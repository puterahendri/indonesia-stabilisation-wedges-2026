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utera Hendri\Downloads\"/>
    </mc:Choice>
  </mc:AlternateContent>
  <xr:revisionPtr revIDLastSave="0" documentId="13_ncr:1_{31B31390-016F-4836-9BBD-264013B362E4}" xr6:coauthVersionLast="47" xr6:coauthVersionMax="47" xr10:uidLastSave="{00000000-0000-0000-0000-000000000000}"/>
  <bookViews>
    <workbookView xWindow="-110" yWindow="-110" windowWidth="19420" windowHeight="11500" xr2:uid="{00000000-000D-0000-FFFF-FFFF00000000}"/>
  </bookViews>
  <sheets>
    <sheet name="Wedge Scale" sheetId="9" r:id="rId1"/>
    <sheet name="Effort &amp; Upper Bound" sheetId="11" r:id="rId2"/>
    <sheet name="Power Sector Inputs" sheetId="10" r:id="rId3"/>
    <sheet name="Land Use &amp; Food Inputs" sheetId="3" r:id="rId4"/>
    <sheet name="Calc. Soil Carbon" sheetId="12" r:id="rId5"/>
    <sheet name="Calc. Meat Cons." sheetId="13" r:id="rId6"/>
    <sheet name="Emissions (IDN)" sheetId="15" r:id="rId7"/>
    <sheet name="Food loss and waste (IDN)" sheetId="16" r:id="rId8"/>
    <sheet name="FSC data (IDN)" sheetId="17" r:id="rId9"/>
    <sheet name="Loss factors" sheetId="18" r:id="rId10"/>
    <sheet name="Emissions factors" sheetId="19" r:id="rId11"/>
    <sheet name="Transport Inputs" sheetId="4" r:id="rId12"/>
    <sheet name="Buildings Inputs" sheetId="6" r:id="rId13"/>
    <sheet name="Industry Inputs" sheetId="5" r:id="rId14"/>
    <sheet name="Add. Industry" sheetId="14" r:id="rId15"/>
  </sheets>
  <externalReferences>
    <externalReference r:id="rId16"/>
  </externalReferences>
  <definedNames>
    <definedName name="_xlnm._FilterDatabase" localSheetId="5" hidden="1">'Calc. Meat Cons.'!$A$3:$J$4620</definedName>
    <definedName name="_xlnm._FilterDatabase" localSheetId="6" hidden="1">'Emissions (IDN)'!$A$1:$K$52</definedName>
    <definedName name="_xlnm._FilterDatabase" localSheetId="10" hidden="1">'Emissions factors'!$A$1:$D$176</definedName>
    <definedName name="_xlnm._FilterDatabase" localSheetId="7" hidden="1">'Food loss and waste (IDN)'!$A$1:$R$51</definedName>
    <definedName name="_xlnm._FilterDatabase" localSheetId="8" hidden="1">'FSC data (IDN)'!$A$1:$M$526</definedName>
    <definedName name="_xlnm._FilterDatabase" localSheetId="9" hidden="1">'Loss factors'!$A$1:$I$1963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6" l="1"/>
  <c r="H6" i="6"/>
  <c r="E42" i="11" s="1"/>
  <c r="F42" i="11" s="1"/>
  <c r="I6" i="6"/>
  <c r="E21" i="5"/>
  <c r="H77" i="4"/>
  <c r="G69" i="4"/>
  <c r="G32" i="17"/>
  <c r="E42" i="3" l="1"/>
  <c r="F27" i="11" s="1"/>
  <c r="D42" i="3"/>
  <c r="C42" i="3"/>
  <c r="B42" i="3"/>
  <c r="F51" i="16"/>
  <c r="F50" i="16"/>
  <c r="F49" i="16"/>
  <c r="F48" i="16"/>
  <c r="F47" i="16"/>
  <c r="F46" i="16"/>
  <c r="F45" i="16"/>
  <c r="F44" i="16"/>
  <c r="F43" i="16"/>
  <c r="F42" i="16"/>
  <c r="F41" i="16"/>
  <c r="F40" i="16"/>
  <c r="F38" i="16"/>
  <c r="F37" i="16"/>
  <c r="F32" i="16"/>
  <c r="F28" i="16"/>
  <c r="J26" i="16"/>
  <c r="I26" i="16"/>
  <c r="H26" i="16"/>
  <c r="G26" i="16"/>
  <c r="F25" i="16"/>
  <c r="J24" i="16"/>
  <c r="I24" i="16"/>
  <c r="H24" i="16"/>
  <c r="G24" i="16"/>
  <c r="J23" i="16"/>
  <c r="I23" i="16"/>
  <c r="H23" i="16"/>
  <c r="G23" i="16"/>
  <c r="J22" i="16"/>
  <c r="I22" i="16"/>
  <c r="H22" i="16"/>
  <c r="G22" i="16"/>
  <c r="F21" i="16"/>
  <c r="J20" i="16"/>
  <c r="I20" i="16"/>
  <c r="H20" i="16"/>
  <c r="G20" i="16"/>
  <c r="F20" i="16"/>
  <c r="J19" i="16"/>
  <c r="I19" i="16"/>
  <c r="H19" i="16"/>
  <c r="G19" i="16"/>
  <c r="J18" i="16"/>
  <c r="I18" i="16"/>
  <c r="H18" i="16"/>
  <c r="G18" i="16"/>
  <c r="J17" i="16"/>
  <c r="I17" i="16"/>
  <c r="H17" i="16"/>
  <c r="G17" i="16"/>
  <c r="F12" i="16"/>
  <c r="F13" i="16"/>
  <c r="F14" i="16"/>
  <c r="F15" i="16"/>
  <c r="F16" i="16"/>
  <c r="J11" i="16"/>
  <c r="I11" i="16"/>
  <c r="H11" i="16"/>
  <c r="G11" i="16"/>
  <c r="F10" i="16"/>
  <c r="F3" i="16"/>
  <c r="F4" i="16"/>
  <c r="F5" i="16"/>
  <c r="F6" i="16"/>
  <c r="F7" i="16"/>
  <c r="J2" i="16"/>
  <c r="I2" i="16"/>
  <c r="H2" i="16"/>
  <c r="G2" i="16"/>
  <c r="H32" i="17" l="1"/>
  <c r="P38" i="17"/>
  <c r="G38" i="16" s="1"/>
  <c r="O38" i="17"/>
  <c r="L2" i="16" l="1"/>
  <c r="N15" i="17"/>
  <c r="E25" i="11" l="1"/>
  <c r="F25" i="11" s="1"/>
  <c r="F9" i="12"/>
  <c r="B8" i="12"/>
  <c r="B9" i="12" l="1"/>
  <c r="F11" i="12"/>
  <c r="F10" i="12"/>
  <c r="B10" i="12" l="1"/>
  <c r="B16" i="12"/>
  <c r="F20" i="3" l="1"/>
  <c r="E16" i="3" l="1"/>
  <c r="D79" i="10"/>
  <c r="E79" i="10" s="1"/>
  <c r="H9" i="11"/>
  <c r="H14" i="11"/>
  <c r="E37" i="10"/>
  <c r="D30" i="10"/>
  <c r="E38" i="10" s="1"/>
  <c r="H53" i="11"/>
  <c r="J53" i="11" s="1"/>
  <c r="W6" i="14" l="1"/>
  <c r="S8" i="14"/>
  <c r="H28" i="17"/>
  <c r="G28" i="17"/>
  <c r="G42" i="17"/>
  <c r="D33" i="5"/>
  <c r="F46" i="4" l="1"/>
  <c r="L3" i="14"/>
  <c r="H25" i="11" l="1"/>
  <c r="D34" i="4"/>
  <c r="C53" i="9"/>
  <c r="E28" i="9"/>
  <c r="I1952" i="18"/>
  <c r="H1952" i="18"/>
  <c r="G1952" i="18"/>
  <c r="F1952" i="18"/>
  <c r="E1952" i="18"/>
  <c r="I1951" i="18"/>
  <c r="H1951" i="18"/>
  <c r="G1951" i="18"/>
  <c r="F1951" i="18"/>
  <c r="E1951" i="18"/>
  <c r="I1950" i="18"/>
  <c r="H1950" i="18"/>
  <c r="G1950" i="18"/>
  <c r="F1950" i="18"/>
  <c r="E1950" i="18"/>
  <c r="I1949" i="18"/>
  <c r="H1949" i="18"/>
  <c r="G1949" i="18"/>
  <c r="F1949" i="18"/>
  <c r="E1949" i="18"/>
  <c r="I1948" i="18"/>
  <c r="H1948" i="18"/>
  <c r="G1948" i="18"/>
  <c r="F1948" i="18"/>
  <c r="E1948" i="18"/>
  <c r="I1947" i="18"/>
  <c r="H1947" i="18"/>
  <c r="G1947" i="18"/>
  <c r="F1947" i="18"/>
  <c r="E1947" i="18"/>
  <c r="I1946" i="18"/>
  <c r="H1946" i="18"/>
  <c r="G1946" i="18"/>
  <c r="F1946" i="18"/>
  <c r="E1946" i="18"/>
  <c r="I1945" i="18"/>
  <c r="H1945" i="18"/>
  <c r="G1945" i="18"/>
  <c r="F1945" i="18"/>
  <c r="E1945" i="18"/>
  <c r="I1944" i="18"/>
  <c r="H1944" i="18"/>
  <c r="G1944" i="18"/>
  <c r="F1944" i="18"/>
  <c r="E1944" i="18"/>
  <c r="I1943" i="18"/>
  <c r="H1943" i="18"/>
  <c r="G1943" i="18"/>
  <c r="F1943" i="18"/>
  <c r="E1943" i="18"/>
  <c r="I1942" i="18"/>
  <c r="H1942" i="18"/>
  <c r="G1942" i="18"/>
  <c r="F1942" i="18"/>
  <c r="E1942" i="18"/>
  <c r="I1831" i="18"/>
  <c r="H1831" i="18"/>
  <c r="G1831" i="18"/>
  <c r="F1831" i="18"/>
  <c r="E1831" i="18"/>
  <c r="I1830" i="18"/>
  <c r="H1830" i="18"/>
  <c r="G1830" i="18"/>
  <c r="F1830" i="18"/>
  <c r="E1830" i="18"/>
  <c r="I1829" i="18"/>
  <c r="H1829" i="18"/>
  <c r="G1829" i="18"/>
  <c r="F1829" i="18"/>
  <c r="E1829" i="18"/>
  <c r="I1828" i="18"/>
  <c r="H1828" i="18"/>
  <c r="G1828" i="18"/>
  <c r="F1828" i="18"/>
  <c r="E1828" i="18"/>
  <c r="I1827" i="18"/>
  <c r="H1827" i="18"/>
  <c r="G1827" i="18"/>
  <c r="F1827" i="18"/>
  <c r="E1827" i="18"/>
  <c r="I1826" i="18"/>
  <c r="H1826" i="18"/>
  <c r="G1826" i="18"/>
  <c r="F1826" i="18"/>
  <c r="E1826" i="18"/>
  <c r="I1825" i="18"/>
  <c r="H1825" i="18"/>
  <c r="G1825" i="18"/>
  <c r="F1825" i="18"/>
  <c r="E1825" i="18"/>
  <c r="I1824" i="18"/>
  <c r="H1824" i="18"/>
  <c r="G1824" i="18"/>
  <c r="F1824" i="18"/>
  <c r="E1824" i="18"/>
  <c r="I1823" i="18"/>
  <c r="H1823" i="18"/>
  <c r="G1823" i="18"/>
  <c r="F1823" i="18"/>
  <c r="E1823" i="18"/>
  <c r="I1822" i="18"/>
  <c r="H1822" i="18"/>
  <c r="G1822" i="18"/>
  <c r="F1822" i="18"/>
  <c r="E1822" i="18"/>
  <c r="I1821" i="18"/>
  <c r="H1821" i="18"/>
  <c r="G1821" i="18"/>
  <c r="F1821" i="18"/>
  <c r="E1821" i="18"/>
  <c r="I1809" i="18"/>
  <c r="H1809" i="18"/>
  <c r="G1809" i="18"/>
  <c r="F1809" i="18"/>
  <c r="E1809" i="18"/>
  <c r="I1808" i="18"/>
  <c r="H1808" i="18"/>
  <c r="G1808" i="18"/>
  <c r="F1808" i="18"/>
  <c r="E1808" i="18"/>
  <c r="I1807" i="18"/>
  <c r="H1807" i="18"/>
  <c r="G1807" i="18"/>
  <c r="F1807" i="18"/>
  <c r="E1807" i="18"/>
  <c r="I1806" i="18"/>
  <c r="H1806" i="18"/>
  <c r="G1806" i="18"/>
  <c r="F1806" i="18"/>
  <c r="E1806" i="18"/>
  <c r="I1805" i="18"/>
  <c r="H1805" i="18"/>
  <c r="G1805" i="18"/>
  <c r="F1805" i="18"/>
  <c r="E1805" i="18"/>
  <c r="I1804" i="18"/>
  <c r="H1804" i="18"/>
  <c r="G1804" i="18"/>
  <c r="F1804" i="18"/>
  <c r="E1804" i="18"/>
  <c r="I1803" i="18"/>
  <c r="H1803" i="18"/>
  <c r="G1803" i="18"/>
  <c r="F1803" i="18"/>
  <c r="E1803" i="18"/>
  <c r="I1802" i="18"/>
  <c r="H1802" i="18"/>
  <c r="G1802" i="18"/>
  <c r="F1802" i="18"/>
  <c r="E1802" i="18"/>
  <c r="I1801" i="18"/>
  <c r="H1801" i="18"/>
  <c r="G1801" i="18"/>
  <c r="F1801" i="18"/>
  <c r="E1801" i="18"/>
  <c r="I1800" i="18"/>
  <c r="H1800" i="18"/>
  <c r="G1800" i="18"/>
  <c r="F1800" i="18"/>
  <c r="E1800" i="18"/>
  <c r="I1799" i="18"/>
  <c r="H1799" i="18"/>
  <c r="G1799" i="18"/>
  <c r="F1799" i="18"/>
  <c r="E1799" i="18"/>
  <c r="I1730" i="18"/>
  <c r="E1730" i="18"/>
  <c r="I1729" i="18"/>
  <c r="E1729" i="18"/>
  <c r="I1728" i="18"/>
  <c r="E1728" i="18"/>
  <c r="I1727" i="18"/>
  <c r="E1727" i="18"/>
  <c r="I1726" i="18"/>
  <c r="E1726" i="18"/>
  <c r="I1725" i="18"/>
  <c r="E1725" i="18"/>
  <c r="I1724" i="18"/>
  <c r="E1724" i="18"/>
  <c r="I1723" i="18"/>
  <c r="E1723" i="18"/>
  <c r="I1722" i="18"/>
  <c r="E1722" i="18"/>
  <c r="I1721" i="18"/>
  <c r="E1721" i="18"/>
  <c r="I1720" i="18"/>
  <c r="E1720" i="18"/>
  <c r="I1719" i="18"/>
  <c r="E1719" i="18"/>
  <c r="I1718" i="18"/>
  <c r="E1718" i="18"/>
  <c r="I1717" i="18"/>
  <c r="E1717" i="18"/>
  <c r="I1716" i="18"/>
  <c r="E1716" i="18"/>
  <c r="I1715" i="18"/>
  <c r="E1715" i="18"/>
  <c r="I1714" i="18"/>
  <c r="E1714" i="18"/>
  <c r="I1713" i="18"/>
  <c r="E1713" i="18"/>
  <c r="I1712" i="18"/>
  <c r="E1712" i="18"/>
  <c r="I1711" i="18"/>
  <c r="E1711" i="18"/>
  <c r="I1710" i="18"/>
  <c r="E1710" i="18"/>
  <c r="I1709" i="18"/>
  <c r="E1709" i="18"/>
  <c r="I1708" i="18"/>
  <c r="E1708" i="18"/>
  <c r="I1707" i="18"/>
  <c r="E1707" i="18"/>
  <c r="I1706" i="18"/>
  <c r="E1706" i="18"/>
  <c r="I1705" i="18"/>
  <c r="E1705" i="18"/>
  <c r="I1704" i="18"/>
  <c r="E1704" i="18"/>
  <c r="I1703" i="18"/>
  <c r="E1703" i="18"/>
  <c r="I1702" i="18"/>
  <c r="E1702" i="18"/>
  <c r="I1701" i="18"/>
  <c r="E1701" i="18"/>
  <c r="I1700" i="18"/>
  <c r="E1700" i="18"/>
  <c r="I1699" i="18"/>
  <c r="E1699" i="18"/>
  <c r="I1698" i="18"/>
  <c r="E1698" i="18"/>
  <c r="I1697" i="18"/>
  <c r="E1697" i="18"/>
  <c r="I1696" i="18"/>
  <c r="E1696" i="18"/>
  <c r="I1695" i="18"/>
  <c r="E1695" i="18"/>
  <c r="I1694" i="18"/>
  <c r="E1694" i="18"/>
  <c r="I1693" i="18"/>
  <c r="E1693" i="18"/>
  <c r="I1692" i="18"/>
  <c r="E1692" i="18"/>
  <c r="I1691" i="18"/>
  <c r="E1691" i="18"/>
  <c r="I1690" i="18"/>
  <c r="E1690" i="18"/>
  <c r="I1689" i="18"/>
  <c r="E1689" i="18"/>
  <c r="I1688" i="18"/>
  <c r="E1688" i="18"/>
  <c r="I1687" i="18"/>
  <c r="E1687" i="18"/>
  <c r="I1686" i="18"/>
  <c r="E1686" i="18"/>
  <c r="I1685" i="18"/>
  <c r="E1685" i="18"/>
  <c r="I1684" i="18"/>
  <c r="E1684" i="18"/>
  <c r="I1683" i="18"/>
  <c r="E1683" i="18"/>
  <c r="I1682" i="18"/>
  <c r="E1682" i="18"/>
  <c r="I1681" i="18"/>
  <c r="E1681" i="18"/>
  <c r="I1680" i="18"/>
  <c r="E1680" i="18"/>
  <c r="I1679" i="18"/>
  <c r="E1679" i="18"/>
  <c r="I1678" i="18"/>
  <c r="E1678" i="18"/>
  <c r="I1677" i="18"/>
  <c r="E1677" i="18"/>
  <c r="I1676" i="18"/>
  <c r="E1676" i="18"/>
  <c r="I1675" i="18"/>
  <c r="E1675" i="18"/>
  <c r="I1674" i="18"/>
  <c r="E1674" i="18"/>
  <c r="I1673" i="18"/>
  <c r="E1673" i="18"/>
  <c r="I1672" i="18"/>
  <c r="E1672" i="18"/>
  <c r="I1671" i="18"/>
  <c r="E1671" i="18"/>
  <c r="I1670" i="18"/>
  <c r="E1670" i="18"/>
  <c r="I1669" i="18"/>
  <c r="E1669" i="18"/>
  <c r="I1668" i="18"/>
  <c r="E1668" i="18"/>
  <c r="I1667" i="18"/>
  <c r="E1667" i="18"/>
  <c r="I1666" i="18"/>
  <c r="E1666" i="18"/>
  <c r="I1665" i="18"/>
  <c r="E1665" i="18"/>
  <c r="I1664" i="18"/>
  <c r="E1664" i="18"/>
  <c r="I1663" i="18"/>
  <c r="E1663" i="18"/>
  <c r="I1662" i="18"/>
  <c r="E1662" i="18"/>
  <c r="I1661" i="18"/>
  <c r="E1661" i="18"/>
  <c r="I1660" i="18"/>
  <c r="E1660" i="18"/>
  <c r="I1659" i="18"/>
  <c r="E1659" i="18"/>
  <c r="I1658" i="18"/>
  <c r="E1658" i="18"/>
  <c r="I1657" i="18"/>
  <c r="E1657" i="18"/>
  <c r="I1656" i="18"/>
  <c r="E1656" i="18"/>
  <c r="I1655" i="18"/>
  <c r="E1655" i="18"/>
  <c r="I1654" i="18"/>
  <c r="E1654" i="18"/>
  <c r="I1572" i="18"/>
  <c r="H1572" i="18"/>
  <c r="G1572" i="18"/>
  <c r="F1572" i="18"/>
  <c r="E1572" i="18"/>
  <c r="I1571" i="18"/>
  <c r="H1571" i="18"/>
  <c r="G1571" i="18"/>
  <c r="F1571" i="18"/>
  <c r="E1571" i="18"/>
  <c r="I1570" i="18"/>
  <c r="H1570" i="18"/>
  <c r="G1570" i="18"/>
  <c r="F1570" i="18"/>
  <c r="E1570" i="18"/>
  <c r="I1569" i="18"/>
  <c r="H1569" i="18"/>
  <c r="G1569" i="18"/>
  <c r="F1569" i="18"/>
  <c r="E1569" i="18"/>
  <c r="I1568" i="18"/>
  <c r="H1568" i="18"/>
  <c r="G1568" i="18"/>
  <c r="F1568" i="18"/>
  <c r="E1568" i="18"/>
  <c r="I1561" i="18"/>
  <c r="H1561" i="18"/>
  <c r="G1561" i="18"/>
  <c r="F1561" i="18"/>
  <c r="E1561" i="18"/>
  <c r="I1560" i="18"/>
  <c r="H1560" i="18"/>
  <c r="G1560" i="18"/>
  <c r="F1560" i="18"/>
  <c r="E1560" i="18"/>
  <c r="I1559" i="18"/>
  <c r="H1559" i="18"/>
  <c r="G1559" i="18"/>
  <c r="F1559" i="18"/>
  <c r="E1559" i="18"/>
  <c r="I1558" i="18"/>
  <c r="H1558" i="18"/>
  <c r="G1558" i="18"/>
  <c r="F1558" i="18"/>
  <c r="E1558" i="18"/>
  <c r="I1557" i="18"/>
  <c r="H1557" i="18"/>
  <c r="G1557" i="18"/>
  <c r="F1557" i="18"/>
  <c r="E1557" i="18"/>
  <c r="I1550" i="18"/>
  <c r="H1550" i="18"/>
  <c r="G1550" i="18"/>
  <c r="F1550" i="18"/>
  <c r="E1550" i="18"/>
  <c r="I1549" i="18"/>
  <c r="H1549" i="18"/>
  <c r="G1549" i="18"/>
  <c r="F1549" i="18"/>
  <c r="E1549" i="18"/>
  <c r="I1548" i="18"/>
  <c r="H1548" i="18"/>
  <c r="G1548" i="18"/>
  <c r="F1548" i="18"/>
  <c r="E1548" i="18"/>
  <c r="I1547" i="18"/>
  <c r="H1547" i="18"/>
  <c r="G1547" i="18"/>
  <c r="F1547" i="18"/>
  <c r="E1547" i="18"/>
  <c r="I1546" i="18"/>
  <c r="H1546" i="18"/>
  <c r="G1546" i="18"/>
  <c r="F1546" i="18"/>
  <c r="E1546" i="18"/>
  <c r="I1539" i="18"/>
  <c r="H1539" i="18"/>
  <c r="G1539" i="18"/>
  <c r="F1539" i="18"/>
  <c r="E1539" i="18"/>
  <c r="I1538" i="18"/>
  <c r="H1538" i="18"/>
  <c r="G1538" i="18"/>
  <c r="F1538" i="18"/>
  <c r="E1538" i="18"/>
  <c r="I1537" i="18"/>
  <c r="H1537" i="18"/>
  <c r="G1537" i="18"/>
  <c r="F1537" i="18"/>
  <c r="E1537" i="18"/>
  <c r="I1536" i="18"/>
  <c r="H1536" i="18"/>
  <c r="G1536" i="18"/>
  <c r="F1536" i="18"/>
  <c r="E1536" i="18"/>
  <c r="I1535" i="18"/>
  <c r="H1535" i="18"/>
  <c r="G1535" i="18"/>
  <c r="F1535" i="18"/>
  <c r="E1535" i="18"/>
  <c r="I1528" i="18"/>
  <c r="H1528" i="18"/>
  <c r="G1528" i="18"/>
  <c r="F1528" i="18"/>
  <c r="E1528" i="18"/>
  <c r="I1527" i="18"/>
  <c r="H1527" i="18"/>
  <c r="G1527" i="18"/>
  <c r="F1527" i="18"/>
  <c r="E1527" i="18"/>
  <c r="I1526" i="18"/>
  <c r="H1526" i="18"/>
  <c r="G1526" i="18"/>
  <c r="F1526" i="18"/>
  <c r="E1526" i="18"/>
  <c r="I1525" i="18"/>
  <c r="H1525" i="18"/>
  <c r="G1525" i="18"/>
  <c r="F1525" i="18"/>
  <c r="E1525" i="18"/>
  <c r="I1524" i="18"/>
  <c r="H1524" i="18"/>
  <c r="G1524" i="18"/>
  <c r="F1524" i="18"/>
  <c r="E1524" i="18"/>
  <c r="I1517" i="18"/>
  <c r="H1517" i="18"/>
  <c r="G1517" i="18"/>
  <c r="F1517" i="18"/>
  <c r="E1517" i="18"/>
  <c r="I1516" i="18"/>
  <c r="H1516" i="18"/>
  <c r="G1516" i="18"/>
  <c r="F1516" i="18"/>
  <c r="E1516" i="18"/>
  <c r="I1515" i="18"/>
  <c r="H1515" i="18"/>
  <c r="G1515" i="18"/>
  <c r="F1515" i="18"/>
  <c r="E1515" i="18"/>
  <c r="I1514" i="18"/>
  <c r="H1514" i="18"/>
  <c r="G1514" i="18"/>
  <c r="F1514" i="18"/>
  <c r="E1514" i="18"/>
  <c r="I1513" i="18"/>
  <c r="H1513" i="18"/>
  <c r="G1513" i="18"/>
  <c r="F1513" i="18"/>
  <c r="E1513" i="18"/>
  <c r="I1506" i="18"/>
  <c r="H1506" i="18"/>
  <c r="G1506" i="18"/>
  <c r="F1506" i="18"/>
  <c r="E1506" i="18"/>
  <c r="I1505" i="18"/>
  <c r="H1505" i="18"/>
  <c r="G1505" i="18"/>
  <c r="F1505" i="18"/>
  <c r="E1505" i="18"/>
  <c r="I1504" i="18"/>
  <c r="H1504" i="18"/>
  <c r="G1504" i="18"/>
  <c r="F1504" i="18"/>
  <c r="E1504" i="18"/>
  <c r="I1503" i="18"/>
  <c r="H1503" i="18"/>
  <c r="G1503" i="18"/>
  <c r="F1503" i="18"/>
  <c r="E1503" i="18"/>
  <c r="I1502" i="18"/>
  <c r="H1502" i="18"/>
  <c r="G1502" i="18"/>
  <c r="F1502" i="18"/>
  <c r="E1502" i="18"/>
  <c r="I1495" i="18"/>
  <c r="H1495" i="18"/>
  <c r="G1495" i="18"/>
  <c r="F1495" i="18"/>
  <c r="E1495" i="18"/>
  <c r="I1494" i="18"/>
  <c r="H1494" i="18"/>
  <c r="G1494" i="18"/>
  <c r="F1494" i="18"/>
  <c r="E1494" i="18"/>
  <c r="I1493" i="18"/>
  <c r="H1493" i="18"/>
  <c r="G1493" i="18"/>
  <c r="F1493" i="18"/>
  <c r="E1493" i="18"/>
  <c r="I1492" i="18"/>
  <c r="H1492" i="18"/>
  <c r="G1492" i="18"/>
  <c r="F1492" i="18"/>
  <c r="E1492" i="18"/>
  <c r="I1489" i="18"/>
  <c r="H1489" i="18"/>
  <c r="G1489" i="18"/>
  <c r="F1489" i="18"/>
  <c r="E1489" i="18"/>
  <c r="I1484" i="18"/>
  <c r="H1484" i="18"/>
  <c r="G1484" i="18"/>
  <c r="F1484" i="18"/>
  <c r="E1484" i="18"/>
  <c r="I1483" i="18"/>
  <c r="H1483" i="18"/>
  <c r="G1483" i="18"/>
  <c r="F1483" i="18"/>
  <c r="E1483" i="18"/>
  <c r="I1482" i="18"/>
  <c r="H1482" i="18"/>
  <c r="G1482" i="18"/>
  <c r="F1482" i="18"/>
  <c r="E1482" i="18"/>
  <c r="I1481" i="18"/>
  <c r="H1481" i="18"/>
  <c r="G1481" i="18"/>
  <c r="F1481" i="18"/>
  <c r="E1481" i="18"/>
  <c r="I1478" i="18"/>
  <c r="H1478" i="18"/>
  <c r="G1478" i="18"/>
  <c r="F1478" i="18"/>
  <c r="E1478" i="18"/>
  <c r="I1473" i="18"/>
  <c r="H1473" i="18"/>
  <c r="G1473" i="18"/>
  <c r="F1473" i="18"/>
  <c r="E1473" i="18"/>
  <c r="I1472" i="18"/>
  <c r="H1472" i="18"/>
  <c r="G1472" i="18"/>
  <c r="F1472" i="18"/>
  <c r="E1472" i="18"/>
  <c r="I1471" i="18"/>
  <c r="H1471" i="18"/>
  <c r="G1471" i="18"/>
  <c r="F1471" i="18"/>
  <c r="E1471" i="18"/>
  <c r="I1470" i="18"/>
  <c r="H1470" i="18"/>
  <c r="G1470" i="18"/>
  <c r="F1470" i="18"/>
  <c r="E1470" i="18"/>
  <c r="I1467" i="18"/>
  <c r="H1467" i="18"/>
  <c r="G1467" i="18"/>
  <c r="F1467" i="18"/>
  <c r="E1467" i="18"/>
  <c r="I1462" i="18"/>
  <c r="H1462" i="18"/>
  <c r="G1462" i="18"/>
  <c r="F1462" i="18"/>
  <c r="E1462" i="18"/>
  <c r="I1461" i="18"/>
  <c r="H1461" i="18"/>
  <c r="G1461" i="18"/>
  <c r="F1461" i="18"/>
  <c r="E1461" i="18"/>
  <c r="I1460" i="18"/>
  <c r="H1460" i="18"/>
  <c r="G1460" i="18"/>
  <c r="F1460" i="18"/>
  <c r="E1460" i="18"/>
  <c r="I1459" i="18"/>
  <c r="H1459" i="18"/>
  <c r="G1459" i="18"/>
  <c r="F1459" i="18"/>
  <c r="E1459" i="18"/>
  <c r="I1456" i="18"/>
  <c r="H1456" i="18"/>
  <c r="G1456" i="18"/>
  <c r="F1456" i="18"/>
  <c r="E1456" i="18"/>
  <c r="I1451" i="18"/>
  <c r="H1451" i="18"/>
  <c r="G1451" i="18"/>
  <c r="F1451" i="18"/>
  <c r="E1451" i="18"/>
  <c r="I1450" i="18"/>
  <c r="H1450" i="18"/>
  <c r="G1450" i="18"/>
  <c r="F1450" i="18"/>
  <c r="E1450" i="18"/>
  <c r="I1449" i="18"/>
  <c r="H1449" i="18"/>
  <c r="G1449" i="18"/>
  <c r="F1449" i="18"/>
  <c r="E1449" i="18"/>
  <c r="I1448" i="18"/>
  <c r="H1448" i="18"/>
  <c r="G1448" i="18"/>
  <c r="F1448" i="18"/>
  <c r="E1448" i="18"/>
  <c r="I1445" i="18"/>
  <c r="H1445" i="18"/>
  <c r="G1445" i="18"/>
  <c r="F1445" i="18"/>
  <c r="E1445" i="18"/>
  <c r="I1440" i="18"/>
  <c r="H1440" i="18"/>
  <c r="G1440" i="18"/>
  <c r="F1440" i="18"/>
  <c r="E1440" i="18"/>
  <c r="I1439" i="18"/>
  <c r="H1439" i="18"/>
  <c r="G1439" i="18"/>
  <c r="F1439" i="18"/>
  <c r="E1439" i="18"/>
  <c r="I1438" i="18"/>
  <c r="H1438" i="18"/>
  <c r="G1438" i="18"/>
  <c r="F1438" i="18"/>
  <c r="E1438" i="18"/>
  <c r="I1437" i="18"/>
  <c r="H1437" i="18"/>
  <c r="G1437" i="18"/>
  <c r="F1437" i="18"/>
  <c r="E1437" i="18"/>
  <c r="I1434" i="18"/>
  <c r="H1434" i="18"/>
  <c r="G1434" i="18"/>
  <c r="F1434" i="18"/>
  <c r="E1434" i="18"/>
  <c r="I1429" i="18"/>
  <c r="H1429" i="18"/>
  <c r="G1429" i="18"/>
  <c r="F1429" i="18"/>
  <c r="E1429" i="18"/>
  <c r="I1428" i="18"/>
  <c r="H1428" i="18"/>
  <c r="G1428" i="18"/>
  <c r="F1428" i="18"/>
  <c r="E1428" i="18"/>
  <c r="I1427" i="18"/>
  <c r="H1427" i="18"/>
  <c r="G1427" i="18"/>
  <c r="F1427" i="18"/>
  <c r="E1427" i="18"/>
  <c r="I1426" i="18"/>
  <c r="H1426" i="18"/>
  <c r="G1426" i="18"/>
  <c r="F1426" i="18"/>
  <c r="E1426" i="18"/>
  <c r="I1423" i="18"/>
  <c r="H1423" i="18"/>
  <c r="G1423" i="18"/>
  <c r="F1423" i="18"/>
  <c r="E1423" i="18"/>
  <c r="I1422" i="18"/>
  <c r="G1422" i="18"/>
  <c r="I1421" i="18"/>
  <c r="G1421" i="18"/>
  <c r="I1420" i="18"/>
  <c r="G1420" i="18"/>
  <c r="I1419" i="18"/>
  <c r="G1419" i="18"/>
  <c r="I1418" i="18"/>
  <c r="G1418" i="18"/>
  <c r="I1417" i="18"/>
  <c r="G1417" i="18"/>
  <c r="I1416" i="18"/>
  <c r="G1416" i="18"/>
  <c r="I1415" i="18"/>
  <c r="G1415" i="18"/>
  <c r="I1414" i="18"/>
  <c r="G1414" i="18"/>
  <c r="I1413" i="18"/>
  <c r="G1413" i="18"/>
  <c r="I1412" i="18"/>
  <c r="G1412" i="18"/>
  <c r="I1411" i="18"/>
  <c r="G1411" i="18"/>
  <c r="I1410" i="18"/>
  <c r="G1410" i="18"/>
  <c r="I1409" i="18"/>
  <c r="G1409" i="18"/>
  <c r="I1408" i="18"/>
  <c r="G1408" i="18"/>
  <c r="I1407" i="18"/>
  <c r="G1407" i="18"/>
  <c r="I1406" i="18"/>
  <c r="G1406" i="18"/>
  <c r="I1405" i="18"/>
  <c r="G1405" i="18"/>
  <c r="I1404" i="18"/>
  <c r="G1404" i="18"/>
  <c r="I1403" i="18"/>
  <c r="G1403" i="18"/>
  <c r="I1402" i="18"/>
  <c r="G1402" i="18"/>
  <c r="I1401" i="18"/>
  <c r="G1401" i="18"/>
  <c r="I1400" i="18"/>
  <c r="G1400" i="18"/>
  <c r="I1399" i="18"/>
  <c r="G1399" i="18"/>
  <c r="I1398" i="18"/>
  <c r="G1398" i="18"/>
  <c r="I1397" i="18"/>
  <c r="G1397" i="18"/>
  <c r="I1396" i="18"/>
  <c r="G1396" i="18"/>
  <c r="I1395" i="18"/>
  <c r="G1395" i="18"/>
  <c r="I1394" i="18"/>
  <c r="G1394" i="18"/>
  <c r="I1393" i="18"/>
  <c r="G1393" i="18"/>
  <c r="I1392" i="18"/>
  <c r="G1392" i="18"/>
  <c r="I1391" i="18"/>
  <c r="G1391" i="18"/>
  <c r="I1390" i="18"/>
  <c r="G1390" i="18"/>
  <c r="I1389" i="18"/>
  <c r="G1389" i="18"/>
  <c r="I1388" i="18"/>
  <c r="G1388" i="18"/>
  <c r="I1387" i="18"/>
  <c r="G1387" i="18"/>
  <c r="I1386" i="18"/>
  <c r="G1386" i="18"/>
  <c r="I1385" i="18"/>
  <c r="G1385" i="18"/>
  <c r="I1384" i="18"/>
  <c r="G1384" i="18"/>
  <c r="I1383" i="18"/>
  <c r="G1383" i="18"/>
  <c r="I1382" i="18"/>
  <c r="G1382" i="18"/>
  <c r="I1381" i="18"/>
  <c r="G1381" i="18"/>
  <c r="I1380" i="18"/>
  <c r="G1380" i="18"/>
  <c r="I1379" i="18"/>
  <c r="G1379" i="18"/>
  <c r="I1378" i="18"/>
  <c r="G1378" i="18"/>
  <c r="I1377" i="18"/>
  <c r="G1377" i="18"/>
  <c r="I1376" i="18"/>
  <c r="G1376" i="18"/>
  <c r="I1375" i="18"/>
  <c r="G1375" i="18"/>
  <c r="I1374" i="18"/>
  <c r="G1374" i="18"/>
  <c r="I1373" i="18"/>
  <c r="G1373" i="18"/>
  <c r="I1372" i="18"/>
  <c r="G1372" i="18"/>
  <c r="I1371" i="18"/>
  <c r="G1371" i="18"/>
  <c r="I1370" i="18"/>
  <c r="G1370" i="18"/>
  <c r="I1369" i="18"/>
  <c r="G1369" i="18"/>
  <c r="I1368" i="18"/>
  <c r="G1368" i="18"/>
  <c r="I1367" i="18"/>
  <c r="G1367" i="18"/>
  <c r="I1366" i="18"/>
  <c r="G1366" i="18"/>
  <c r="I1365" i="18"/>
  <c r="G1365" i="18"/>
  <c r="I1364" i="18"/>
  <c r="G1364" i="18"/>
  <c r="I1363" i="18"/>
  <c r="G1363" i="18"/>
  <c r="I1362" i="18"/>
  <c r="G1362" i="18"/>
  <c r="I1361" i="18"/>
  <c r="G1361" i="18"/>
  <c r="I1360" i="18"/>
  <c r="G1360" i="18"/>
  <c r="I1359" i="18"/>
  <c r="G1359" i="18"/>
  <c r="I1358" i="18"/>
  <c r="G1358" i="18"/>
  <c r="I1357" i="18"/>
  <c r="G1357" i="18"/>
  <c r="I1356" i="18"/>
  <c r="G1356" i="18"/>
  <c r="I1355" i="18"/>
  <c r="G1355" i="18"/>
  <c r="I1354" i="18"/>
  <c r="G1354" i="18"/>
  <c r="I1353" i="18"/>
  <c r="G1353" i="18"/>
  <c r="I1352" i="18"/>
  <c r="G1352" i="18"/>
  <c r="I1351" i="18"/>
  <c r="G1351" i="18"/>
  <c r="I1350" i="18"/>
  <c r="G1350" i="18"/>
  <c r="I1349" i="18"/>
  <c r="G1349" i="18"/>
  <c r="I1348" i="18"/>
  <c r="G1348" i="18"/>
  <c r="I1347" i="18"/>
  <c r="G1347" i="18"/>
  <c r="I1346" i="18"/>
  <c r="G1346" i="18"/>
  <c r="I1268" i="18"/>
  <c r="H1268" i="18"/>
  <c r="G1268" i="18"/>
  <c r="F1268" i="18"/>
  <c r="E1268" i="18"/>
  <c r="I1267" i="18"/>
  <c r="H1267" i="18"/>
  <c r="G1267" i="18"/>
  <c r="F1267" i="18"/>
  <c r="E1267" i="18"/>
  <c r="I1266" i="18"/>
  <c r="H1266" i="18"/>
  <c r="G1266" i="18"/>
  <c r="F1266" i="18"/>
  <c r="E1266" i="18"/>
  <c r="I1265" i="18"/>
  <c r="H1265" i="18"/>
  <c r="G1265" i="18"/>
  <c r="F1265" i="18"/>
  <c r="E1265" i="18"/>
  <c r="I1264" i="18"/>
  <c r="H1264" i="18"/>
  <c r="G1264" i="18"/>
  <c r="F1264" i="18"/>
  <c r="E1264" i="18"/>
  <c r="I1263" i="18"/>
  <c r="H1263" i="18"/>
  <c r="G1263" i="18"/>
  <c r="F1263" i="18"/>
  <c r="E1263" i="18"/>
  <c r="I1262" i="18"/>
  <c r="H1262" i="18"/>
  <c r="G1262" i="18"/>
  <c r="F1262" i="18"/>
  <c r="E1262" i="18"/>
  <c r="I876" i="18"/>
  <c r="H876" i="18"/>
  <c r="G876" i="18"/>
  <c r="F876" i="18"/>
  <c r="E876" i="18"/>
  <c r="I875" i="18"/>
  <c r="H875" i="18"/>
  <c r="G875" i="18"/>
  <c r="F875" i="18"/>
  <c r="E875" i="18"/>
  <c r="I874" i="18"/>
  <c r="H874" i="18"/>
  <c r="G874" i="18"/>
  <c r="F874" i="18"/>
  <c r="E874" i="18"/>
  <c r="I873" i="18"/>
  <c r="H873" i="18"/>
  <c r="G873" i="18"/>
  <c r="F873" i="18"/>
  <c r="E873" i="18"/>
  <c r="I872" i="18"/>
  <c r="H872" i="18"/>
  <c r="G872" i="18"/>
  <c r="F872" i="18"/>
  <c r="E872" i="18"/>
  <c r="I871" i="18"/>
  <c r="H871" i="18"/>
  <c r="G871" i="18"/>
  <c r="F871" i="18"/>
  <c r="E871" i="18"/>
  <c r="I870" i="18"/>
  <c r="H870" i="18"/>
  <c r="G870" i="18"/>
  <c r="F870" i="18"/>
  <c r="E870" i="18"/>
  <c r="I869" i="18"/>
  <c r="H869" i="18"/>
  <c r="G869" i="18"/>
  <c r="F869" i="18"/>
  <c r="E869" i="18"/>
  <c r="I868" i="18"/>
  <c r="H868" i="18"/>
  <c r="G868" i="18"/>
  <c r="F868" i="18"/>
  <c r="E868" i="18"/>
  <c r="I867" i="18"/>
  <c r="H867" i="18"/>
  <c r="G867" i="18"/>
  <c r="F867" i="18"/>
  <c r="E867" i="18"/>
  <c r="I866" i="18"/>
  <c r="H866" i="18"/>
  <c r="G866" i="18"/>
  <c r="F866" i="18"/>
  <c r="E866" i="18"/>
  <c r="I865" i="18"/>
  <c r="H865" i="18"/>
  <c r="G865" i="18"/>
  <c r="F865" i="18"/>
  <c r="E865" i="18"/>
  <c r="I864" i="18"/>
  <c r="H864" i="18"/>
  <c r="G864" i="18"/>
  <c r="F864" i="18"/>
  <c r="E864" i="18"/>
  <c r="I863" i="18"/>
  <c r="H863" i="18"/>
  <c r="G863" i="18"/>
  <c r="F863" i="18"/>
  <c r="E863" i="18"/>
  <c r="I862" i="18"/>
  <c r="H862" i="18"/>
  <c r="G862" i="18"/>
  <c r="F862" i="18"/>
  <c r="E862" i="18"/>
  <c r="I861" i="18"/>
  <c r="H861" i="18"/>
  <c r="G861" i="18"/>
  <c r="F861" i="18"/>
  <c r="E861" i="18"/>
  <c r="I860" i="18"/>
  <c r="H860" i="18"/>
  <c r="G860" i="18"/>
  <c r="F860" i="18"/>
  <c r="E860" i="18"/>
  <c r="I859" i="18"/>
  <c r="H859" i="18"/>
  <c r="G859" i="18"/>
  <c r="F859" i="18"/>
  <c r="E859" i="18"/>
  <c r="I858" i="18"/>
  <c r="H858" i="18"/>
  <c r="G858" i="18"/>
  <c r="F858" i="18"/>
  <c r="E858" i="18"/>
  <c r="I857" i="18"/>
  <c r="H857" i="18"/>
  <c r="G857" i="18"/>
  <c r="F857" i="18"/>
  <c r="E857" i="18"/>
  <c r="I856" i="18"/>
  <c r="H856" i="18"/>
  <c r="G856" i="18"/>
  <c r="F856" i="18"/>
  <c r="E856" i="18"/>
  <c r="I855" i="18"/>
  <c r="H855" i="18"/>
  <c r="G855" i="18"/>
  <c r="F855" i="18"/>
  <c r="E855" i="18"/>
  <c r="I854" i="18"/>
  <c r="H854" i="18"/>
  <c r="G854" i="18"/>
  <c r="F854" i="18"/>
  <c r="E854" i="18"/>
  <c r="I853" i="18"/>
  <c r="H853" i="18"/>
  <c r="G853" i="18"/>
  <c r="F853" i="18"/>
  <c r="E853" i="18"/>
  <c r="I852" i="18"/>
  <c r="H852" i="18"/>
  <c r="G852" i="18"/>
  <c r="F852" i="18"/>
  <c r="E852" i="18"/>
  <c r="I851" i="18"/>
  <c r="H851" i="18"/>
  <c r="G851" i="18"/>
  <c r="F851" i="18"/>
  <c r="E851" i="18"/>
  <c r="I850" i="18"/>
  <c r="H850" i="18"/>
  <c r="G850" i="18"/>
  <c r="F850" i="18"/>
  <c r="E850" i="18"/>
  <c r="I849" i="18"/>
  <c r="H849" i="18"/>
  <c r="G849" i="18"/>
  <c r="F849" i="18"/>
  <c r="E849" i="18"/>
  <c r="I839" i="18"/>
  <c r="H839" i="18"/>
  <c r="G839" i="18"/>
  <c r="F839" i="18"/>
  <c r="E839" i="18"/>
  <c r="I828" i="18"/>
  <c r="H828" i="18"/>
  <c r="G828" i="18"/>
  <c r="F828" i="18"/>
  <c r="E828" i="18"/>
  <c r="I817" i="18"/>
  <c r="H817" i="18"/>
  <c r="G817" i="18"/>
  <c r="F817" i="18"/>
  <c r="E817" i="18"/>
  <c r="I806" i="18"/>
  <c r="H806" i="18"/>
  <c r="G806" i="18"/>
  <c r="F806" i="18"/>
  <c r="E806" i="18"/>
  <c r="I795" i="18"/>
  <c r="H795" i="18"/>
  <c r="G795" i="18"/>
  <c r="F795" i="18"/>
  <c r="E795" i="18"/>
  <c r="I784" i="18"/>
  <c r="H784" i="18"/>
  <c r="G784" i="18"/>
  <c r="F784" i="18"/>
  <c r="E784" i="18"/>
  <c r="I773" i="18"/>
  <c r="H773" i="18"/>
  <c r="G773" i="18"/>
  <c r="F773" i="18"/>
  <c r="E773" i="18"/>
  <c r="I761" i="18"/>
  <c r="H761" i="18"/>
  <c r="G761" i="18"/>
  <c r="F761" i="18"/>
  <c r="E761" i="18"/>
  <c r="I750" i="18"/>
  <c r="H750" i="18"/>
  <c r="G750" i="18"/>
  <c r="F750" i="18"/>
  <c r="E750" i="18"/>
  <c r="I739" i="18"/>
  <c r="H739" i="18"/>
  <c r="G739" i="18"/>
  <c r="F739" i="18"/>
  <c r="E739" i="18"/>
  <c r="I728" i="18"/>
  <c r="H728" i="18"/>
  <c r="G728" i="18"/>
  <c r="F728" i="18"/>
  <c r="E728" i="18"/>
  <c r="I717" i="18"/>
  <c r="H717" i="18"/>
  <c r="G717" i="18"/>
  <c r="F717" i="18"/>
  <c r="E717" i="18"/>
  <c r="I706" i="18"/>
  <c r="H706" i="18"/>
  <c r="G706" i="18"/>
  <c r="F706" i="18"/>
  <c r="E706" i="18"/>
  <c r="I695" i="18"/>
  <c r="H695" i="18"/>
  <c r="G695" i="18"/>
  <c r="F695" i="18"/>
  <c r="E695" i="18"/>
  <c r="G694" i="18"/>
  <c r="G693" i="18"/>
  <c r="G692" i="18"/>
  <c r="G691" i="18"/>
  <c r="G690" i="18"/>
  <c r="G689" i="18"/>
  <c r="G688" i="18"/>
  <c r="G687" i="18"/>
  <c r="G686" i="18"/>
  <c r="G685" i="18"/>
  <c r="G684" i="18"/>
  <c r="G683" i="18"/>
  <c r="G682" i="18"/>
  <c r="G681" i="18"/>
  <c r="G680" i="18"/>
  <c r="G679" i="18"/>
  <c r="G678" i="18"/>
  <c r="G677" i="18"/>
  <c r="G676" i="18"/>
  <c r="G675" i="18"/>
  <c r="G674" i="18"/>
  <c r="G673" i="18"/>
  <c r="G672" i="18"/>
  <c r="G671" i="18"/>
  <c r="G670" i="18"/>
  <c r="G669" i="18"/>
  <c r="G668" i="18"/>
  <c r="G667" i="18"/>
  <c r="G666" i="18"/>
  <c r="G665" i="18"/>
  <c r="G664" i="18"/>
  <c r="G663" i="18"/>
  <c r="G662" i="18"/>
  <c r="G661" i="18"/>
  <c r="G660" i="18"/>
  <c r="G659" i="18"/>
  <c r="G658" i="18"/>
  <c r="G657" i="18"/>
  <c r="G656" i="18"/>
  <c r="G655" i="18"/>
  <c r="G654" i="18"/>
  <c r="G653" i="18"/>
  <c r="G652" i="18"/>
  <c r="G651" i="18"/>
  <c r="G650" i="18"/>
  <c r="G649" i="18"/>
  <c r="G648" i="18"/>
  <c r="G647" i="18"/>
  <c r="G646" i="18"/>
  <c r="G645" i="18"/>
  <c r="G644" i="18"/>
  <c r="G643" i="18"/>
  <c r="G642" i="18"/>
  <c r="G641" i="18"/>
  <c r="G640" i="18"/>
  <c r="G639" i="18"/>
  <c r="G638" i="18"/>
  <c r="G637" i="18"/>
  <c r="G636" i="18"/>
  <c r="G635" i="18"/>
  <c r="G634" i="18"/>
  <c r="G633" i="18"/>
  <c r="G632" i="18"/>
  <c r="G631" i="18"/>
  <c r="G630" i="18"/>
  <c r="G629" i="18"/>
  <c r="G628" i="18"/>
  <c r="G627" i="18"/>
  <c r="G626" i="18"/>
  <c r="G625" i="18"/>
  <c r="G624" i="18"/>
  <c r="G623" i="18"/>
  <c r="G622" i="18"/>
  <c r="G621" i="18"/>
  <c r="G620" i="18"/>
  <c r="G619" i="18"/>
  <c r="G618" i="18"/>
  <c r="I540" i="18"/>
  <c r="I539" i="18"/>
  <c r="I538" i="18"/>
  <c r="I537" i="18"/>
  <c r="I536" i="18"/>
  <c r="I535" i="18"/>
  <c r="I534" i="18"/>
  <c r="I533" i="18"/>
  <c r="I532" i="18"/>
  <c r="I531" i="18"/>
  <c r="I530" i="18"/>
  <c r="I529" i="18"/>
  <c r="I528" i="18"/>
  <c r="I527" i="18"/>
  <c r="I526" i="18"/>
  <c r="I525" i="18"/>
  <c r="I524" i="18"/>
  <c r="I523" i="18"/>
  <c r="I522" i="18"/>
  <c r="I521" i="18"/>
  <c r="I520" i="18"/>
  <c r="I519" i="18"/>
  <c r="I518" i="18"/>
  <c r="I517" i="18"/>
  <c r="I516" i="18"/>
  <c r="I515" i="18"/>
  <c r="I514" i="18"/>
  <c r="I513" i="18"/>
  <c r="I512" i="18"/>
  <c r="I511" i="18"/>
  <c r="I510" i="18"/>
  <c r="I509" i="18"/>
  <c r="I508" i="18"/>
  <c r="I507" i="18"/>
  <c r="I506" i="18"/>
  <c r="I505" i="18"/>
  <c r="I504" i="18"/>
  <c r="I503" i="18"/>
  <c r="I502" i="18"/>
  <c r="I501" i="18"/>
  <c r="I500" i="18"/>
  <c r="I499" i="18"/>
  <c r="I498" i="18"/>
  <c r="I497" i="18"/>
  <c r="I496" i="18"/>
  <c r="I495" i="18"/>
  <c r="I494" i="18"/>
  <c r="I493" i="18"/>
  <c r="I492" i="18"/>
  <c r="I491" i="18"/>
  <c r="I490" i="18"/>
  <c r="I489" i="18"/>
  <c r="I488" i="18"/>
  <c r="I487" i="18"/>
  <c r="I486" i="18"/>
  <c r="I485" i="18"/>
  <c r="I484" i="18"/>
  <c r="I483" i="18"/>
  <c r="I482" i="18"/>
  <c r="I481" i="18"/>
  <c r="I480" i="18"/>
  <c r="I479" i="18"/>
  <c r="I478" i="18"/>
  <c r="I477" i="18"/>
  <c r="I476" i="18"/>
  <c r="I475" i="18"/>
  <c r="I474" i="18"/>
  <c r="I473" i="18"/>
  <c r="I472" i="18"/>
  <c r="I471" i="18"/>
  <c r="I470" i="18"/>
  <c r="I469" i="18"/>
  <c r="I468" i="18"/>
  <c r="I467" i="18"/>
  <c r="I466" i="18"/>
  <c r="I465" i="18"/>
  <c r="I464" i="18"/>
  <c r="E386" i="18"/>
  <c r="E385" i="18"/>
  <c r="E384" i="18"/>
  <c r="E383" i="18"/>
  <c r="E382" i="18"/>
  <c r="E381" i="18"/>
  <c r="E380" i="18"/>
  <c r="E379" i="18"/>
  <c r="E378" i="18"/>
  <c r="E377" i="18"/>
  <c r="E376" i="18"/>
  <c r="E375" i="18"/>
  <c r="E374" i="18"/>
  <c r="E373" i="18"/>
  <c r="E372" i="18"/>
  <c r="E371" i="18"/>
  <c r="E370" i="18"/>
  <c r="E369" i="18"/>
  <c r="E368" i="18"/>
  <c r="E367" i="18"/>
  <c r="E366" i="18"/>
  <c r="E365" i="18"/>
  <c r="E364" i="18"/>
  <c r="E363" i="18"/>
  <c r="E362" i="18"/>
  <c r="E361" i="18"/>
  <c r="E360" i="18"/>
  <c r="E359" i="18"/>
  <c r="E358" i="18"/>
  <c r="E357" i="18"/>
  <c r="E356" i="18"/>
  <c r="E355" i="18"/>
  <c r="E354" i="18"/>
  <c r="E353" i="18"/>
  <c r="E352" i="18"/>
  <c r="E351" i="18"/>
  <c r="E350" i="18"/>
  <c r="E349" i="18"/>
  <c r="E348" i="18"/>
  <c r="E347" i="18"/>
  <c r="E346" i="18"/>
  <c r="E345" i="18"/>
  <c r="E344" i="18"/>
  <c r="E343" i="18"/>
  <c r="E342" i="18"/>
  <c r="E341" i="18"/>
  <c r="E340" i="18"/>
  <c r="E339" i="18"/>
  <c r="E338" i="18"/>
  <c r="E337" i="18"/>
  <c r="E336" i="18"/>
  <c r="E335" i="18"/>
  <c r="E334" i="18"/>
  <c r="E333" i="18"/>
  <c r="E332" i="18"/>
  <c r="E331" i="18"/>
  <c r="E330" i="18"/>
  <c r="E329" i="18"/>
  <c r="E328" i="18"/>
  <c r="E327" i="18"/>
  <c r="E326" i="18"/>
  <c r="E325" i="18"/>
  <c r="E324" i="18"/>
  <c r="E323" i="18"/>
  <c r="E322" i="18"/>
  <c r="E321" i="18"/>
  <c r="E320" i="18"/>
  <c r="E319" i="18"/>
  <c r="E318" i="18"/>
  <c r="E317" i="18"/>
  <c r="E316" i="18"/>
  <c r="E315" i="18"/>
  <c r="E314" i="18"/>
  <c r="E313" i="18"/>
  <c r="E312" i="18"/>
  <c r="E311" i="18"/>
  <c r="E310" i="18"/>
  <c r="I309" i="18"/>
  <c r="H309" i="18"/>
  <c r="G309" i="18"/>
  <c r="F309" i="18"/>
  <c r="E309" i="18"/>
  <c r="I308" i="18"/>
  <c r="H308" i="18"/>
  <c r="G308" i="18"/>
  <c r="F308" i="18"/>
  <c r="E308" i="18"/>
  <c r="I307" i="18"/>
  <c r="H307" i="18"/>
  <c r="G307" i="18"/>
  <c r="F307" i="18"/>
  <c r="E307" i="18"/>
  <c r="I306" i="18"/>
  <c r="H306" i="18"/>
  <c r="G306" i="18"/>
  <c r="F306" i="18"/>
  <c r="E306" i="18"/>
  <c r="I305" i="18"/>
  <c r="H305" i="18"/>
  <c r="G305" i="18"/>
  <c r="F305" i="18"/>
  <c r="E305" i="18"/>
  <c r="I304" i="18"/>
  <c r="H304" i="18"/>
  <c r="G304" i="18"/>
  <c r="F304" i="18"/>
  <c r="E304" i="18"/>
  <c r="I303" i="18"/>
  <c r="H303" i="18"/>
  <c r="G303" i="18"/>
  <c r="F303" i="18"/>
  <c r="E303" i="18"/>
  <c r="I302" i="18"/>
  <c r="H302" i="18"/>
  <c r="G302" i="18"/>
  <c r="F302" i="18"/>
  <c r="E302" i="18"/>
  <c r="I301" i="18"/>
  <c r="H301" i="18"/>
  <c r="G301" i="18"/>
  <c r="F301" i="18"/>
  <c r="E301" i="18"/>
  <c r="I300" i="18"/>
  <c r="H300" i="18"/>
  <c r="G300" i="18"/>
  <c r="F300" i="18"/>
  <c r="E300" i="18"/>
  <c r="I299" i="18"/>
  <c r="H299" i="18"/>
  <c r="G299" i="18"/>
  <c r="F299" i="18"/>
  <c r="E299" i="18"/>
  <c r="I298" i="18"/>
  <c r="H298" i="18"/>
  <c r="G298" i="18"/>
  <c r="F298" i="18"/>
  <c r="E298" i="18"/>
  <c r="I297" i="18"/>
  <c r="H297" i="18"/>
  <c r="G297" i="18"/>
  <c r="F297" i="18"/>
  <c r="E297" i="18"/>
  <c r="I296" i="18"/>
  <c r="H296" i="18"/>
  <c r="G296" i="18"/>
  <c r="F296" i="18"/>
  <c r="E296" i="18"/>
  <c r="I295" i="18"/>
  <c r="H295" i="18"/>
  <c r="G295" i="18"/>
  <c r="F295" i="18"/>
  <c r="E295" i="18"/>
  <c r="I294" i="18"/>
  <c r="H294" i="18"/>
  <c r="G294" i="18"/>
  <c r="F294" i="18"/>
  <c r="E294" i="18"/>
  <c r="I293" i="18"/>
  <c r="H293" i="18"/>
  <c r="G293" i="18"/>
  <c r="F293" i="18"/>
  <c r="E293" i="18"/>
  <c r="I292" i="18"/>
  <c r="H292" i="18"/>
  <c r="G292" i="18"/>
  <c r="F292" i="18"/>
  <c r="E292" i="18"/>
  <c r="I291" i="18"/>
  <c r="H291" i="18"/>
  <c r="G291" i="18"/>
  <c r="F291" i="18"/>
  <c r="E291" i="18"/>
  <c r="I290" i="18"/>
  <c r="H290" i="18"/>
  <c r="G290" i="18"/>
  <c r="F290" i="18"/>
  <c r="E290" i="18"/>
  <c r="I289" i="18"/>
  <c r="H289" i="18"/>
  <c r="G289" i="18"/>
  <c r="F289" i="18"/>
  <c r="E289" i="18"/>
  <c r="I288" i="18"/>
  <c r="H288" i="18"/>
  <c r="G288" i="18"/>
  <c r="F288" i="18"/>
  <c r="E288" i="18"/>
  <c r="I287" i="18"/>
  <c r="H287" i="18"/>
  <c r="G287" i="18"/>
  <c r="F287" i="18"/>
  <c r="E287" i="18"/>
  <c r="I286" i="18"/>
  <c r="H286" i="18"/>
  <c r="G286" i="18"/>
  <c r="F286" i="18"/>
  <c r="E286" i="18"/>
  <c r="I285" i="18"/>
  <c r="H285" i="18"/>
  <c r="G285" i="18"/>
  <c r="F285" i="18"/>
  <c r="E285" i="18"/>
  <c r="I284" i="18"/>
  <c r="H284" i="18"/>
  <c r="G284" i="18"/>
  <c r="F284" i="18"/>
  <c r="E284" i="18"/>
  <c r="I283" i="18"/>
  <c r="H283" i="18"/>
  <c r="G283" i="18"/>
  <c r="F283" i="18"/>
  <c r="E283" i="18"/>
  <c r="I282" i="18"/>
  <c r="H282" i="18"/>
  <c r="G282" i="18"/>
  <c r="F282" i="18"/>
  <c r="E282" i="18"/>
  <c r="I281" i="18"/>
  <c r="H281" i="18"/>
  <c r="G281" i="18"/>
  <c r="F281" i="18"/>
  <c r="E281" i="18"/>
  <c r="I280" i="18"/>
  <c r="H280" i="18"/>
  <c r="G280" i="18"/>
  <c r="F280" i="18"/>
  <c r="E280" i="18"/>
  <c r="I279" i="18"/>
  <c r="H279" i="18"/>
  <c r="G279" i="18"/>
  <c r="F279" i="18"/>
  <c r="E279" i="18"/>
  <c r="I278" i="18"/>
  <c r="H278" i="18"/>
  <c r="G278" i="18"/>
  <c r="F278" i="18"/>
  <c r="E278" i="18"/>
  <c r="I277" i="18"/>
  <c r="H277" i="18"/>
  <c r="G277" i="18"/>
  <c r="F277" i="18"/>
  <c r="E277" i="18"/>
  <c r="I276" i="18"/>
  <c r="H276" i="18"/>
  <c r="G276" i="18"/>
  <c r="F276" i="18"/>
  <c r="E276" i="18"/>
  <c r="I275" i="18"/>
  <c r="H275" i="18"/>
  <c r="G275" i="18"/>
  <c r="F275" i="18"/>
  <c r="E275" i="18"/>
  <c r="I274" i="18"/>
  <c r="H274" i="18"/>
  <c r="G274" i="18"/>
  <c r="F274" i="18"/>
  <c r="E274" i="18"/>
  <c r="I273" i="18"/>
  <c r="H273" i="18"/>
  <c r="G273" i="18"/>
  <c r="F273" i="18"/>
  <c r="E273" i="18"/>
  <c r="I272" i="18"/>
  <c r="H272" i="18"/>
  <c r="G272" i="18"/>
  <c r="F272" i="18"/>
  <c r="E272" i="18"/>
  <c r="I271" i="18"/>
  <c r="H271" i="18"/>
  <c r="G271" i="18"/>
  <c r="F271" i="18"/>
  <c r="E271" i="18"/>
  <c r="I270" i="18"/>
  <c r="H270" i="18"/>
  <c r="G270" i="18"/>
  <c r="F270" i="18"/>
  <c r="E270" i="18"/>
  <c r="I269" i="18"/>
  <c r="H269" i="18"/>
  <c r="G269" i="18"/>
  <c r="F269" i="18"/>
  <c r="E269" i="18"/>
  <c r="I268" i="18"/>
  <c r="H268" i="18"/>
  <c r="G268" i="18"/>
  <c r="F268" i="18"/>
  <c r="E268" i="18"/>
  <c r="I267" i="18"/>
  <c r="H267" i="18"/>
  <c r="G267" i="18"/>
  <c r="F267" i="18"/>
  <c r="E267" i="18"/>
  <c r="I266" i="18"/>
  <c r="H266" i="18"/>
  <c r="G266" i="18"/>
  <c r="F266" i="18"/>
  <c r="E266" i="18"/>
  <c r="I265" i="18"/>
  <c r="H265" i="18"/>
  <c r="G265" i="18"/>
  <c r="F265" i="18"/>
  <c r="E265" i="18"/>
  <c r="I264" i="18"/>
  <c r="H264" i="18"/>
  <c r="G264" i="18"/>
  <c r="F264" i="18"/>
  <c r="E264" i="18"/>
  <c r="I263" i="18"/>
  <c r="H263" i="18"/>
  <c r="G263" i="18"/>
  <c r="F263" i="18"/>
  <c r="E263" i="18"/>
  <c r="I262" i="18"/>
  <c r="H262" i="18"/>
  <c r="G262" i="18"/>
  <c r="F262" i="18"/>
  <c r="E262" i="18"/>
  <c r="I261" i="18"/>
  <c r="H261" i="18"/>
  <c r="G261" i="18"/>
  <c r="F261" i="18"/>
  <c r="E261" i="18"/>
  <c r="I260" i="18"/>
  <c r="H260" i="18"/>
  <c r="G260" i="18"/>
  <c r="F260" i="18"/>
  <c r="E260" i="18"/>
  <c r="I259" i="18"/>
  <c r="H259" i="18"/>
  <c r="G259" i="18"/>
  <c r="F259" i="18"/>
  <c r="E259" i="18"/>
  <c r="I258" i="18"/>
  <c r="H258" i="18"/>
  <c r="G258" i="18"/>
  <c r="F258" i="18"/>
  <c r="E258" i="18"/>
  <c r="I257" i="18"/>
  <c r="H257" i="18"/>
  <c r="G257" i="18"/>
  <c r="F257" i="18"/>
  <c r="E257" i="18"/>
  <c r="I256" i="18"/>
  <c r="H256" i="18"/>
  <c r="G256" i="18"/>
  <c r="F256" i="18"/>
  <c r="E256" i="18"/>
  <c r="I255" i="18"/>
  <c r="H255" i="18"/>
  <c r="G255" i="18"/>
  <c r="F255" i="18"/>
  <c r="E255" i="18"/>
  <c r="I254" i="18"/>
  <c r="H254" i="18"/>
  <c r="G254" i="18"/>
  <c r="F254" i="18"/>
  <c r="E254" i="18"/>
  <c r="I253" i="18"/>
  <c r="H253" i="18"/>
  <c r="G253" i="18"/>
  <c r="F253" i="18"/>
  <c r="E253" i="18"/>
  <c r="I252" i="18"/>
  <c r="H252" i="18"/>
  <c r="G252" i="18"/>
  <c r="F252" i="18"/>
  <c r="E252" i="18"/>
  <c r="I251" i="18"/>
  <c r="H251" i="18"/>
  <c r="G251" i="18"/>
  <c r="F251" i="18"/>
  <c r="E251" i="18"/>
  <c r="I250" i="18"/>
  <c r="H250" i="18"/>
  <c r="G250" i="18"/>
  <c r="F250" i="18"/>
  <c r="E250" i="18"/>
  <c r="I249" i="18"/>
  <c r="H249" i="18"/>
  <c r="G249" i="18"/>
  <c r="F249" i="18"/>
  <c r="E249" i="18"/>
  <c r="I248" i="18"/>
  <c r="H248" i="18"/>
  <c r="G248" i="18"/>
  <c r="F248" i="18"/>
  <c r="E248" i="18"/>
  <c r="I247" i="18"/>
  <c r="H247" i="18"/>
  <c r="G247" i="18"/>
  <c r="F247" i="18"/>
  <c r="E247" i="18"/>
  <c r="I246" i="18"/>
  <c r="H246" i="18"/>
  <c r="G246" i="18"/>
  <c r="F246" i="18"/>
  <c r="E246" i="18"/>
  <c r="I245" i="18"/>
  <c r="H245" i="18"/>
  <c r="G245" i="18"/>
  <c r="F245" i="18"/>
  <c r="E245" i="18"/>
  <c r="I244" i="18"/>
  <c r="H244" i="18"/>
  <c r="G244" i="18"/>
  <c r="F244" i="18"/>
  <c r="E244" i="18"/>
  <c r="I243" i="18"/>
  <c r="H243" i="18"/>
  <c r="G243" i="18"/>
  <c r="F243" i="18"/>
  <c r="E243" i="18"/>
  <c r="I242" i="18"/>
  <c r="H242" i="18"/>
  <c r="G242" i="18"/>
  <c r="F242" i="18"/>
  <c r="E242" i="18"/>
  <c r="I241" i="18"/>
  <c r="H241" i="18"/>
  <c r="G241" i="18"/>
  <c r="F241" i="18"/>
  <c r="E241" i="18"/>
  <c r="I240" i="18"/>
  <c r="H240" i="18"/>
  <c r="G240" i="18"/>
  <c r="F240" i="18"/>
  <c r="E240" i="18"/>
  <c r="I239" i="18"/>
  <c r="H239" i="18"/>
  <c r="G239" i="18"/>
  <c r="F239" i="18"/>
  <c r="E239" i="18"/>
  <c r="I238" i="18"/>
  <c r="H238" i="18"/>
  <c r="G238" i="18"/>
  <c r="F238" i="18"/>
  <c r="E238" i="18"/>
  <c r="I237" i="18"/>
  <c r="H237" i="18"/>
  <c r="G237" i="18"/>
  <c r="F237" i="18"/>
  <c r="E237" i="18"/>
  <c r="I236" i="18"/>
  <c r="H236" i="18"/>
  <c r="G236" i="18"/>
  <c r="F236" i="18"/>
  <c r="E236" i="18"/>
  <c r="I235" i="18"/>
  <c r="H235" i="18"/>
  <c r="G235" i="18"/>
  <c r="F235" i="18"/>
  <c r="E235" i="18"/>
  <c r="I234" i="18"/>
  <c r="H234" i="18"/>
  <c r="G234" i="18"/>
  <c r="F234" i="18"/>
  <c r="E234" i="18"/>
  <c r="I233" i="18"/>
  <c r="H233" i="18"/>
  <c r="G233" i="18"/>
  <c r="F233" i="18"/>
  <c r="E233" i="18"/>
  <c r="I232" i="18"/>
  <c r="H232" i="18"/>
  <c r="G232" i="18"/>
  <c r="F232" i="18"/>
  <c r="E232" i="18"/>
  <c r="I231" i="18"/>
  <c r="H231" i="18"/>
  <c r="G231" i="18"/>
  <c r="F231" i="18"/>
  <c r="E231" i="18"/>
  <c r="I230" i="18"/>
  <c r="H230" i="18"/>
  <c r="G230" i="18"/>
  <c r="F230" i="18"/>
  <c r="E230" i="18"/>
  <c r="I229" i="18"/>
  <c r="H229" i="18"/>
  <c r="G229" i="18"/>
  <c r="F229" i="18"/>
  <c r="E229" i="18"/>
  <c r="I228" i="18"/>
  <c r="H228" i="18"/>
  <c r="G228" i="18"/>
  <c r="F228" i="18"/>
  <c r="E228" i="18"/>
  <c r="I227" i="18"/>
  <c r="H227" i="18"/>
  <c r="G227" i="18"/>
  <c r="F227" i="18"/>
  <c r="E227" i="18"/>
  <c r="I226" i="18"/>
  <c r="H226" i="18"/>
  <c r="G226" i="18"/>
  <c r="F226" i="18"/>
  <c r="E226" i="18"/>
  <c r="I225" i="18"/>
  <c r="H225" i="18"/>
  <c r="G225" i="18"/>
  <c r="F225" i="18"/>
  <c r="E225" i="18"/>
  <c r="I224" i="18"/>
  <c r="H224" i="18"/>
  <c r="G224" i="18"/>
  <c r="F224" i="18"/>
  <c r="E224" i="18"/>
  <c r="I223" i="18"/>
  <c r="H223" i="18"/>
  <c r="G223" i="18"/>
  <c r="F223" i="18"/>
  <c r="E223" i="18"/>
  <c r="I222" i="18"/>
  <c r="H222" i="18"/>
  <c r="G222" i="18"/>
  <c r="F222" i="18"/>
  <c r="E222" i="18"/>
  <c r="I221" i="18"/>
  <c r="H221" i="18"/>
  <c r="G221" i="18"/>
  <c r="F221" i="18"/>
  <c r="E221" i="18"/>
  <c r="I220" i="18"/>
  <c r="H220" i="18"/>
  <c r="G220" i="18"/>
  <c r="F220" i="18"/>
  <c r="E220" i="18"/>
  <c r="I219" i="18"/>
  <c r="H219" i="18"/>
  <c r="G219" i="18"/>
  <c r="F219" i="18"/>
  <c r="E219" i="18"/>
  <c r="I218" i="18"/>
  <c r="H218" i="18"/>
  <c r="G218" i="18"/>
  <c r="F218" i="18"/>
  <c r="E218" i="18"/>
  <c r="I217" i="18"/>
  <c r="H217" i="18"/>
  <c r="G217" i="18"/>
  <c r="F217" i="18"/>
  <c r="E217" i="18"/>
  <c r="I216" i="18"/>
  <c r="H216" i="18"/>
  <c r="G216" i="18"/>
  <c r="F216" i="18"/>
  <c r="E216" i="18"/>
  <c r="I215" i="18"/>
  <c r="H215" i="18"/>
  <c r="G215" i="18"/>
  <c r="F215" i="18"/>
  <c r="E215" i="18"/>
  <c r="I214" i="18"/>
  <c r="H214" i="18"/>
  <c r="G214" i="18"/>
  <c r="F214" i="18"/>
  <c r="E214" i="18"/>
  <c r="I213" i="18"/>
  <c r="H213" i="18"/>
  <c r="G213" i="18"/>
  <c r="F213" i="18"/>
  <c r="E213" i="18"/>
  <c r="I212" i="18"/>
  <c r="H212" i="18"/>
  <c r="G212" i="18"/>
  <c r="F212" i="18"/>
  <c r="E212" i="18"/>
  <c r="I211" i="18"/>
  <c r="H211" i="18"/>
  <c r="G211" i="18"/>
  <c r="F211" i="18"/>
  <c r="E211" i="18"/>
  <c r="I210" i="18"/>
  <c r="H210" i="18"/>
  <c r="G210" i="18"/>
  <c r="F210" i="18"/>
  <c r="E210" i="18"/>
  <c r="I209" i="18"/>
  <c r="H209" i="18"/>
  <c r="G209" i="18"/>
  <c r="F209" i="18"/>
  <c r="E209" i="18"/>
  <c r="I208" i="18"/>
  <c r="H208" i="18"/>
  <c r="G208" i="18"/>
  <c r="F208" i="18"/>
  <c r="E208" i="18"/>
  <c r="I207" i="18"/>
  <c r="H207" i="18"/>
  <c r="G207" i="18"/>
  <c r="F207" i="18"/>
  <c r="E207" i="18"/>
  <c r="I206" i="18"/>
  <c r="H206" i="18"/>
  <c r="G206" i="18"/>
  <c r="F206" i="18"/>
  <c r="E206" i="18"/>
  <c r="I205" i="18"/>
  <c r="H205" i="18"/>
  <c r="G205" i="18"/>
  <c r="F205" i="18"/>
  <c r="E205" i="18"/>
  <c r="I204" i="18"/>
  <c r="H204" i="18"/>
  <c r="G204" i="18"/>
  <c r="F204" i="18"/>
  <c r="E204" i="18"/>
  <c r="I203" i="18"/>
  <c r="H203" i="18"/>
  <c r="G203" i="18"/>
  <c r="F203" i="18"/>
  <c r="E203" i="18"/>
  <c r="I202" i="18"/>
  <c r="H202" i="18"/>
  <c r="G202" i="18"/>
  <c r="F202" i="18"/>
  <c r="E202" i="18"/>
  <c r="I201" i="18"/>
  <c r="H201" i="18"/>
  <c r="G201" i="18"/>
  <c r="F201" i="18"/>
  <c r="E201" i="18"/>
  <c r="I200" i="18"/>
  <c r="H200" i="18"/>
  <c r="G200" i="18"/>
  <c r="F200" i="18"/>
  <c r="E200" i="18"/>
  <c r="I199" i="18"/>
  <c r="H199" i="18"/>
  <c r="G199" i="18"/>
  <c r="F199" i="18"/>
  <c r="E199" i="18"/>
  <c r="I198" i="18"/>
  <c r="H198" i="18"/>
  <c r="G198" i="18"/>
  <c r="F198" i="18"/>
  <c r="E198" i="18"/>
  <c r="I197" i="18"/>
  <c r="H197" i="18"/>
  <c r="G197" i="18"/>
  <c r="F197" i="18"/>
  <c r="E197" i="18"/>
  <c r="I196" i="18"/>
  <c r="H196" i="18"/>
  <c r="G196" i="18"/>
  <c r="F196" i="18"/>
  <c r="E196" i="18"/>
  <c r="I195" i="18"/>
  <c r="H195" i="18"/>
  <c r="G195" i="18"/>
  <c r="F195" i="18"/>
  <c r="E195" i="18"/>
  <c r="I194" i="18"/>
  <c r="H194" i="18"/>
  <c r="G194" i="18"/>
  <c r="F194" i="18"/>
  <c r="E194" i="18"/>
  <c r="I193" i="18"/>
  <c r="H193" i="18"/>
  <c r="G193" i="18"/>
  <c r="F193" i="18"/>
  <c r="E193" i="18"/>
  <c r="I192" i="18"/>
  <c r="H192" i="18"/>
  <c r="G192" i="18"/>
  <c r="F192" i="18"/>
  <c r="E192" i="18"/>
  <c r="I191" i="18"/>
  <c r="H191" i="18"/>
  <c r="G191" i="18"/>
  <c r="F191" i="18"/>
  <c r="E191" i="18"/>
  <c r="I190" i="18"/>
  <c r="H190" i="18"/>
  <c r="G190" i="18"/>
  <c r="F190" i="18"/>
  <c r="E190" i="18"/>
  <c r="I189" i="18"/>
  <c r="H189" i="18"/>
  <c r="G189" i="18"/>
  <c r="F189" i="18"/>
  <c r="E189" i="18"/>
  <c r="I188" i="18"/>
  <c r="H188" i="18"/>
  <c r="G188" i="18"/>
  <c r="F188" i="18"/>
  <c r="E188" i="18"/>
  <c r="I187" i="18"/>
  <c r="H187" i="18"/>
  <c r="G187" i="18"/>
  <c r="F187" i="18"/>
  <c r="E187" i="18"/>
  <c r="I186" i="18"/>
  <c r="H186" i="18"/>
  <c r="G186" i="18"/>
  <c r="F186" i="18"/>
  <c r="E186" i="18"/>
  <c r="I185" i="18"/>
  <c r="H185" i="18"/>
  <c r="G185" i="18"/>
  <c r="F185" i="18"/>
  <c r="E185" i="18"/>
  <c r="I184" i="18"/>
  <c r="H184" i="18"/>
  <c r="G184" i="18"/>
  <c r="F184" i="18"/>
  <c r="E184" i="18"/>
  <c r="I183" i="18"/>
  <c r="H183" i="18"/>
  <c r="G183" i="18"/>
  <c r="F183" i="18"/>
  <c r="E183" i="18"/>
  <c r="I182" i="18"/>
  <c r="H182" i="18"/>
  <c r="G182" i="18"/>
  <c r="F182" i="18"/>
  <c r="E182" i="18"/>
  <c r="I181" i="18"/>
  <c r="H181" i="18"/>
  <c r="G181" i="18"/>
  <c r="F181" i="18"/>
  <c r="E181" i="18"/>
  <c r="I180" i="18"/>
  <c r="H180" i="18"/>
  <c r="G180" i="18"/>
  <c r="F180" i="18"/>
  <c r="E180" i="18"/>
  <c r="I179" i="18"/>
  <c r="H179" i="18"/>
  <c r="G179" i="18"/>
  <c r="F179" i="18"/>
  <c r="E179" i="18"/>
  <c r="I178" i="18"/>
  <c r="H178" i="18"/>
  <c r="G178" i="18"/>
  <c r="F178" i="18"/>
  <c r="E178" i="18"/>
  <c r="I177" i="18"/>
  <c r="H177" i="18"/>
  <c r="G177" i="18"/>
  <c r="F177" i="18"/>
  <c r="E177" i="18"/>
  <c r="I176" i="18"/>
  <c r="H176" i="18"/>
  <c r="G176" i="18"/>
  <c r="F176" i="18"/>
  <c r="E176" i="18"/>
  <c r="I175" i="18"/>
  <c r="H175" i="18"/>
  <c r="G175" i="18"/>
  <c r="F175" i="18"/>
  <c r="E175" i="18"/>
  <c r="I174" i="18"/>
  <c r="H174" i="18"/>
  <c r="G174" i="18"/>
  <c r="F174" i="18"/>
  <c r="E174" i="18"/>
  <c r="I173" i="18"/>
  <c r="H173" i="18"/>
  <c r="G173" i="18"/>
  <c r="F173" i="18"/>
  <c r="E173" i="18"/>
  <c r="I172" i="18"/>
  <c r="H172" i="18"/>
  <c r="G172" i="18"/>
  <c r="F172" i="18"/>
  <c r="E172" i="18"/>
  <c r="I171" i="18"/>
  <c r="H171" i="18"/>
  <c r="G171" i="18"/>
  <c r="F171" i="18"/>
  <c r="E171" i="18"/>
  <c r="I170" i="18"/>
  <c r="H170" i="18"/>
  <c r="G170" i="18"/>
  <c r="F170" i="18"/>
  <c r="E170" i="18"/>
  <c r="I169" i="18"/>
  <c r="H169" i="18"/>
  <c r="G169" i="18"/>
  <c r="F169" i="18"/>
  <c r="E169" i="18"/>
  <c r="I168" i="18"/>
  <c r="H168" i="18"/>
  <c r="G168" i="18"/>
  <c r="F168" i="18"/>
  <c r="E168" i="18"/>
  <c r="I167" i="18"/>
  <c r="H167" i="18"/>
  <c r="G167" i="18"/>
  <c r="F167" i="18"/>
  <c r="E167" i="18"/>
  <c r="I166" i="18"/>
  <c r="H166" i="18"/>
  <c r="G166" i="18"/>
  <c r="F166" i="18"/>
  <c r="E166" i="18"/>
  <c r="I165" i="18"/>
  <c r="H165" i="18"/>
  <c r="G165" i="18"/>
  <c r="F165" i="18"/>
  <c r="E165" i="18"/>
  <c r="I164" i="18"/>
  <c r="H164" i="18"/>
  <c r="G164" i="18"/>
  <c r="F164" i="18"/>
  <c r="E164" i="18"/>
  <c r="I163" i="18"/>
  <c r="H163" i="18"/>
  <c r="G163" i="18"/>
  <c r="F163" i="18"/>
  <c r="E163" i="18"/>
  <c r="I162" i="18"/>
  <c r="H162" i="18"/>
  <c r="G162" i="18"/>
  <c r="F162" i="18"/>
  <c r="E162" i="18"/>
  <c r="I161" i="18"/>
  <c r="H161" i="18"/>
  <c r="G161" i="18"/>
  <c r="F161" i="18"/>
  <c r="E161" i="18"/>
  <c r="I160" i="18"/>
  <c r="H160" i="18"/>
  <c r="G160" i="18"/>
  <c r="F160" i="18"/>
  <c r="E160" i="18"/>
  <c r="I159" i="18"/>
  <c r="H159" i="18"/>
  <c r="G159" i="18"/>
  <c r="F159" i="18"/>
  <c r="E159" i="18"/>
  <c r="I158" i="18"/>
  <c r="H158" i="18"/>
  <c r="G158" i="18"/>
  <c r="F158" i="18"/>
  <c r="E158" i="18"/>
  <c r="I157" i="18"/>
  <c r="H157" i="18"/>
  <c r="G157" i="18"/>
  <c r="F157" i="18"/>
  <c r="E157" i="18"/>
  <c r="I156" i="18"/>
  <c r="H156" i="18"/>
  <c r="G156" i="18"/>
  <c r="F156" i="18"/>
  <c r="E156" i="18"/>
  <c r="I155" i="18"/>
  <c r="H155" i="18"/>
  <c r="G155" i="18"/>
  <c r="F155" i="18"/>
  <c r="E155" i="18"/>
  <c r="I154" i="18"/>
  <c r="H154" i="18"/>
  <c r="G154" i="18"/>
  <c r="F154" i="18"/>
  <c r="E154" i="18"/>
  <c r="I153" i="18"/>
  <c r="H153" i="18"/>
  <c r="G153" i="18"/>
  <c r="F153" i="18"/>
  <c r="E153" i="18"/>
  <c r="I152" i="18"/>
  <c r="H152" i="18"/>
  <c r="G152" i="18"/>
  <c r="F152" i="18"/>
  <c r="E152" i="18"/>
  <c r="I151" i="18"/>
  <c r="H151" i="18"/>
  <c r="G151" i="18"/>
  <c r="F151" i="18"/>
  <c r="E151" i="18"/>
  <c r="I150" i="18"/>
  <c r="H150" i="18"/>
  <c r="G150" i="18"/>
  <c r="F150" i="18"/>
  <c r="E150" i="18"/>
  <c r="I149" i="18"/>
  <c r="H149" i="18"/>
  <c r="G149" i="18"/>
  <c r="F149" i="18"/>
  <c r="E149" i="18"/>
  <c r="I148" i="18"/>
  <c r="H148" i="18"/>
  <c r="G148" i="18"/>
  <c r="F148" i="18"/>
  <c r="E148" i="18"/>
  <c r="I147" i="18"/>
  <c r="H147" i="18"/>
  <c r="G147" i="18"/>
  <c r="F147" i="18"/>
  <c r="E147" i="18"/>
  <c r="I146" i="18"/>
  <c r="H146" i="18"/>
  <c r="G146" i="18"/>
  <c r="F146" i="18"/>
  <c r="E146" i="18"/>
  <c r="I145" i="18"/>
  <c r="H145" i="18"/>
  <c r="G145" i="18"/>
  <c r="F145" i="18"/>
  <c r="E145" i="18"/>
  <c r="I144" i="18"/>
  <c r="H144" i="18"/>
  <c r="G144" i="18"/>
  <c r="F144" i="18"/>
  <c r="E144" i="18"/>
  <c r="I143" i="18"/>
  <c r="H143" i="18"/>
  <c r="G143" i="18"/>
  <c r="F143" i="18"/>
  <c r="E143" i="18"/>
  <c r="I142" i="18"/>
  <c r="H142" i="18"/>
  <c r="G142" i="18"/>
  <c r="F142" i="18"/>
  <c r="E142" i="18"/>
  <c r="I141" i="18"/>
  <c r="H141" i="18"/>
  <c r="G141" i="18"/>
  <c r="F141" i="18"/>
  <c r="E141" i="18"/>
  <c r="I140" i="18"/>
  <c r="H140" i="18"/>
  <c r="G140" i="18"/>
  <c r="F140" i="18"/>
  <c r="E140" i="18"/>
  <c r="I139" i="18"/>
  <c r="H139" i="18"/>
  <c r="G139" i="18"/>
  <c r="F139" i="18"/>
  <c r="E139" i="18"/>
  <c r="I138" i="18"/>
  <c r="H138" i="18"/>
  <c r="G138" i="18"/>
  <c r="F138" i="18"/>
  <c r="E138" i="18"/>
  <c r="I137" i="18"/>
  <c r="H137" i="18"/>
  <c r="G137" i="18"/>
  <c r="F137" i="18"/>
  <c r="E137" i="18"/>
  <c r="I136" i="18"/>
  <c r="H136" i="18"/>
  <c r="G136" i="18"/>
  <c r="F136" i="18"/>
  <c r="E136" i="18"/>
  <c r="I135" i="18"/>
  <c r="H135" i="18"/>
  <c r="G135" i="18"/>
  <c r="F135" i="18"/>
  <c r="E135" i="18"/>
  <c r="I134" i="18"/>
  <c r="H134" i="18"/>
  <c r="G134" i="18"/>
  <c r="F134" i="18"/>
  <c r="E134" i="18"/>
  <c r="I133" i="18"/>
  <c r="H133" i="18"/>
  <c r="G133" i="18"/>
  <c r="F133" i="18"/>
  <c r="E133" i="18"/>
  <c r="I132" i="18"/>
  <c r="H132" i="18"/>
  <c r="G132" i="18"/>
  <c r="F132" i="18"/>
  <c r="E132" i="18"/>
  <c r="I131" i="18"/>
  <c r="H131" i="18"/>
  <c r="G131" i="18"/>
  <c r="F131" i="18"/>
  <c r="E131" i="18"/>
  <c r="I130" i="18"/>
  <c r="H130" i="18"/>
  <c r="G130" i="18"/>
  <c r="F130" i="18"/>
  <c r="E130" i="18"/>
  <c r="I129" i="18"/>
  <c r="H129" i="18"/>
  <c r="G129" i="18"/>
  <c r="F129" i="18"/>
  <c r="E129" i="18"/>
  <c r="I128" i="18"/>
  <c r="H128" i="18"/>
  <c r="G128" i="18"/>
  <c r="F128" i="18"/>
  <c r="E128" i="18"/>
  <c r="I127" i="18"/>
  <c r="H127" i="18"/>
  <c r="G127" i="18"/>
  <c r="F127" i="18"/>
  <c r="E127" i="18"/>
  <c r="I126" i="18"/>
  <c r="H126" i="18"/>
  <c r="G126" i="18"/>
  <c r="F126" i="18"/>
  <c r="E126" i="18"/>
  <c r="I125" i="18"/>
  <c r="H125" i="18"/>
  <c r="G125" i="18"/>
  <c r="F125" i="18"/>
  <c r="E125" i="18"/>
  <c r="I124" i="18"/>
  <c r="H124" i="18"/>
  <c r="G124" i="18"/>
  <c r="F124" i="18"/>
  <c r="E124" i="18"/>
  <c r="I123" i="18"/>
  <c r="H123" i="18"/>
  <c r="G123" i="18"/>
  <c r="F123" i="18"/>
  <c r="E123" i="18"/>
  <c r="I122" i="18"/>
  <c r="H122" i="18"/>
  <c r="G122" i="18"/>
  <c r="F122" i="18"/>
  <c r="E122" i="18"/>
  <c r="I121" i="18"/>
  <c r="H121" i="18"/>
  <c r="G121" i="18"/>
  <c r="F121" i="18"/>
  <c r="E121" i="18"/>
  <c r="I120" i="18"/>
  <c r="H120" i="18"/>
  <c r="G120" i="18"/>
  <c r="F120" i="18"/>
  <c r="E120" i="18"/>
  <c r="I119" i="18"/>
  <c r="H119" i="18"/>
  <c r="G119" i="18"/>
  <c r="F119" i="18"/>
  <c r="E119" i="18"/>
  <c r="I118" i="18"/>
  <c r="H118" i="18"/>
  <c r="G118" i="18"/>
  <c r="F118" i="18"/>
  <c r="E118" i="18"/>
  <c r="I117" i="18"/>
  <c r="H117" i="18"/>
  <c r="G117" i="18"/>
  <c r="F117" i="18"/>
  <c r="E117" i="18"/>
  <c r="I116" i="18"/>
  <c r="H116" i="18"/>
  <c r="G116" i="18"/>
  <c r="F116" i="18"/>
  <c r="E116" i="18"/>
  <c r="I115" i="18"/>
  <c r="H115" i="18"/>
  <c r="G115" i="18"/>
  <c r="F115" i="18"/>
  <c r="E115" i="18"/>
  <c r="I114" i="18"/>
  <c r="H114" i="18"/>
  <c r="G114" i="18"/>
  <c r="F114" i="18"/>
  <c r="E114" i="18"/>
  <c r="I113" i="18"/>
  <c r="H113" i="18"/>
  <c r="G113" i="18"/>
  <c r="F113" i="18"/>
  <c r="E113" i="18"/>
  <c r="I112" i="18"/>
  <c r="H112" i="18"/>
  <c r="G112" i="18"/>
  <c r="F112" i="18"/>
  <c r="E112" i="18"/>
  <c r="I111" i="18"/>
  <c r="H111" i="18"/>
  <c r="G111" i="18"/>
  <c r="F111" i="18"/>
  <c r="E111" i="18"/>
  <c r="I110" i="18"/>
  <c r="H110" i="18"/>
  <c r="G110" i="18"/>
  <c r="F110" i="18"/>
  <c r="E110" i="18"/>
  <c r="I109" i="18"/>
  <c r="H109" i="18"/>
  <c r="G109" i="18"/>
  <c r="F109" i="18"/>
  <c r="E109" i="18"/>
  <c r="I108" i="18"/>
  <c r="H108" i="18"/>
  <c r="G108" i="18"/>
  <c r="F108" i="18"/>
  <c r="E108" i="18"/>
  <c r="I107" i="18"/>
  <c r="H107" i="18"/>
  <c r="G107" i="18"/>
  <c r="F107" i="18"/>
  <c r="E107" i="18"/>
  <c r="I106" i="18"/>
  <c r="H106" i="18"/>
  <c r="G106" i="18"/>
  <c r="F106" i="18"/>
  <c r="E106" i="18"/>
  <c r="I105" i="18"/>
  <c r="H105" i="18"/>
  <c r="G105" i="18"/>
  <c r="F105" i="18"/>
  <c r="E105" i="18"/>
  <c r="I104" i="18"/>
  <c r="H104" i="18"/>
  <c r="G104" i="18"/>
  <c r="F104" i="18"/>
  <c r="E104" i="18"/>
  <c r="I103" i="18"/>
  <c r="H103" i="18"/>
  <c r="G103" i="18"/>
  <c r="F103" i="18"/>
  <c r="E103" i="18"/>
  <c r="I102" i="18"/>
  <c r="H102" i="18"/>
  <c r="G102" i="18"/>
  <c r="F102" i="18"/>
  <c r="E102" i="18"/>
  <c r="I101" i="18"/>
  <c r="H101" i="18"/>
  <c r="G101" i="18"/>
  <c r="F101" i="18"/>
  <c r="E101" i="18"/>
  <c r="I100" i="18"/>
  <c r="H100" i="18"/>
  <c r="G100" i="18"/>
  <c r="F100" i="18"/>
  <c r="E100" i="18"/>
  <c r="I99" i="18"/>
  <c r="H99" i="18"/>
  <c r="G99" i="18"/>
  <c r="F99" i="18"/>
  <c r="E99" i="18"/>
  <c r="I98" i="18"/>
  <c r="H98" i="18"/>
  <c r="G98" i="18"/>
  <c r="F98" i="18"/>
  <c r="E98" i="18"/>
  <c r="I97" i="18"/>
  <c r="H97" i="18"/>
  <c r="G97" i="18"/>
  <c r="F97" i="18"/>
  <c r="E97" i="18"/>
  <c r="I96" i="18"/>
  <c r="H96" i="18"/>
  <c r="G96" i="18"/>
  <c r="F96" i="18"/>
  <c r="E96" i="18"/>
  <c r="I95" i="18"/>
  <c r="H95" i="18"/>
  <c r="G95" i="18"/>
  <c r="F95" i="18"/>
  <c r="E95" i="18"/>
  <c r="I94" i="18"/>
  <c r="H94" i="18"/>
  <c r="G94" i="18"/>
  <c r="F94" i="18"/>
  <c r="E94" i="18"/>
  <c r="I93" i="18"/>
  <c r="H93" i="18"/>
  <c r="G93" i="18"/>
  <c r="F93" i="18"/>
  <c r="E93" i="18"/>
  <c r="I92" i="18"/>
  <c r="H92" i="18"/>
  <c r="G92" i="18"/>
  <c r="F92" i="18"/>
  <c r="E92" i="18"/>
  <c r="I91" i="18"/>
  <c r="H91" i="18"/>
  <c r="G91" i="18"/>
  <c r="F91" i="18"/>
  <c r="E91" i="18"/>
  <c r="I90" i="18"/>
  <c r="H90" i="18"/>
  <c r="G90" i="18"/>
  <c r="F90" i="18"/>
  <c r="E90" i="18"/>
  <c r="I89" i="18"/>
  <c r="H89" i="18"/>
  <c r="G89" i="18"/>
  <c r="F89" i="18"/>
  <c r="E89" i="18"/>
  <c r="I88" i="18"/>
  <c r="H88" i="18"/>
  <c r="G88" i="18"/>
  <c r="F88" i="18"/>
  <c r="E88" i="18"/>
  <c r="I87" i="18"/>
  <c r="H87" i="18"/>
  <c r="G87" i="18"/>
  <c r="F87" i="18"/>
  <c r="E87" i="18"/>
  <c r="I86" i="18"/>
  <c r="H86" i="18"/>
  <c r="G86" i="18"/>
  <c r="F86" i="18"/>
  <c r="E86" i="18"/>
  <c r="I85" i="18"/>
  <c r="H85" i="18"/>
  <c r="G85" i="18"/>
  <c r="F85" i="18"/>
  <c r="E85" i="18"/>
  <c r="I84" i="18"/>
  <c r="H84" i="18"/>
  <c r="G84" i="18"/>
  <c r="F84" i="18"/>
  <c r="E84" i="18"/>
  <c r="I83" i="18"/>
  <c r="H83" i="18"/>
  <c r="G83" i="18"/>
  <c r="F83" i="18"/>
  <c r="E83" i="18"/>
  <c r="I82" i="18"/>
  <c r="H82" i="18"/>
  <c r="G82" i="18"/>
  <c r="F82" i="18"/>
  <c r="E82" i="18"/>
  <c r="I81" i="18"/>
  <c r="H81" i="18"/>
  <c r="G81" i="18"/>
  <c r="F81" i="18"/>
  <c r="E81" i="18"/>
  <c r="I80" i="18"/>
  <c r="H80" i="18"/>
  <c r="G80" i="18"/>
  <c r="F80" i="18"/>
  <c r="E80" i="18"/>
  <c r="I79" i="18"/>
  <c r="H79" i="18"/>
  <c r="G79" i="18"/>
  <c r="F79" i="18"/>
  <c r="E79" i="18"/>
  <c r="N51" i="17"/>
  <c r="O51" i="17" s="1"/>
  <c r="M51" i="17"/>
  <c r="L51" i="17"/>
  <c r="K51" i="17"/>
  <c r="J51" i="17"/>
  <c r="I51" i="17"/>
  <c r="H51" i="17"/>
  <c r="G51" i="17"/>
  <c r="M50" i="17"/>
  <c r="L50" i="17"/>
  <c r="K50" i="17"/>
  <c r="J50" i="17"/>
  <c r="I50" i="17"/>
  <c r="H50" i="17"/>
  <c r="G50" i="17"/>
  <c r="N49" i="17"/>
  <c r="O49" i="17" s="1"/>
  <c r="P49" i="17" s="1"/>
  <c r="G49" i="16" s="1"/>
  <c r="M49" i="17"/>
  <c r="L49" i="17"/>
  <c r="K49" i="17"/>
  <c r="J49" i="17"/>
  <c r="I49" i="17"/>
  <c r="H49" i="17"/>
  <c r="G49" i="17"/>
  <c r="M48" i="17"/>
  <c r="L48" i="17"/>
  <c r="N48" i="17" s="1"/>
  <c r="O48" i="17" s="1"/>
  <c r="K48" i="17"/>
  <c r="J48" i="17"/>
  <c r="I48" i="17"/>
  <c r="H48" i="17"/>
  <c r="G48" i="17"/>
  <c r="M47" i="17"/>
  <c r="L47" i="17"/>
  <c r="K47" i="17"/>
  <c r="J47" i="17"/>
  <c r="I47" i="17"/>
  <c r="H47" i="17"/>
  <c r="G47" i="17"/>
  <c r="F47" i="17"/>
  <c r="M46" i="17"/>
  <c r="L46" i="17"/>
  <c r="K46" i="17"/>
  <c r="N46" i="17" s="1"/>
  <c r="O46" i="17" s="1"/>
  <c r="J46" i="17"/>
  <c r="I46" i="17"/>
  <c r="H46" i="17"/>
  <c r="G46" i="17"/>
  <c r="M45" i="17"/>
  <c r="L45" i="17"/>
  <c r="N45" i="17" s="1"/>
  <c r="O45" i="17" s="1"/>
  <c r="P45" i="17" s="1"/>
  <c r="G45" i="16" s="1"/>
  <c r="K45" i="17"/>
  <c r="J45" i="17"/>
  <c r="I45" i="17"/>
  <c r="H45" i="17"/>
  <c r="G45" i="17"/>
  <c r="M44" i="17"/>
  <c r="N44" i="17" s="1"/>
  <c r="O44" i="17" s="1"/>
  <c r="L44" i="17"/>
  <c r="K44" i="17"/>
  <c r="J44" i="17"/>
  <c r="I44" i="17"/>
  <c r="H44" i="17"/>
  <c r="G44" i="17"/>
  <c r="M43" i="17"/>
  <c r="L43" i="17"/>
  <c r="K43" i="17"/>
  <c r="N43" i="17" s="1"/>
  <c r="O43" i="17" s="1"/>
  <c r="J43" i="17"/>
  <c r="I43" i="17"/>
  <c r="H43" i="17"/>
  <c r="G43" i="17"/>
  <c r="M42" i="17"/>
  <c r="L42" i="17"/>
  <c r="K42" i="17"/>
  <c r="J42" i="17"/>
  <c r="I42" i="17"/>
  <c r="H42" i="17"/>
  <c r="M41" i="17"/>
  <c r="L41" i="17"/>
  <c r="K41" i="17"/>
  <c r="J41" i="17"/>
  <c r="I41" i="17"/>
  <c r="H41" i="17"/>
  <c r="G41" i="17"/>
  <c r="M40" i="17"/>
  <c r="L40" i="17"/>
  <c r="N40" i="17" s="1"/>
  <c r="O40" i="17" s="1"/>
  <c r="K40" i="17"/>
  <c r="J40" i="17"/>
  <c r="I40" i="17"/>
  <c r="H40" i="17"/>
  <c r="G40" i="17"/>
  <c r="M38" i="17"/>
  <c r="L38" i="17"/>
  <c r="K38" i="17"/>
  <c r="N38" i="17" s="1"/>
  <c r="J38" i="17"/>
  <c r="I38" i="17"/>
  <c r="H38" i="17"/>
  <c r="G38" i="17"/>
  <c r="N37" i="17"/>
  <c r="O37" i="17" s="1"/>
  <c r="M37" i="17"/>
  <c r="L37" i="17"/>
  <c r="K37" i="17"/>
  <c r="J37" i="17"/>
  <c r="I37" i="17"/>
  <c r="H37" i="17"/>
  <c r="G37" i="17"/>
  <c r="P37" i="17" s="1"/>
  <c r="G37" i="16" s="1"/>
  <c r="O32" i="17"/>
  <c r="M32" i="17"/>
  <c r="L32" i="17"/>
  <c r="N32" i="17" s="1"/>
  <c r="K32" i="17"/>
  <c r="J32" i="17"/>
  <c r="I32" i="17"/>
  <c r="M28" i="17"/>
  <c r="N28" i="17" s="1"/>
  <c r="O28" i="17" s="1"/>
  <c r="L28" i="17"/>
  <c r="K28" i="17"/>
  <c r="J28" i="17"/>
  <c r="I28" i="17"/>
  <c r="N26" i="17"/>
  <c r="O26" i="17" s="1"/>
  <c r="P25" i="17"/>
  <c r="G25" i="16" s="1"/>
  <c r="N25" i="17"/>
  <c r="O25" i="17" s="1"/>
  <c r="N24" i="17"/>
  <c r="O24" i="17" s="1"/>
  <c r="N23" i="17"/>
  <c r="O23" i="17" s="1"/>
  <c r="N22" i="17"/>
  <c r="O22" i="17" s="1"/>
  <c r="N21" i="17"/>
  <c r="O21" i="17" s="1"/>
  <c r="N20" i="17"/>
  <c r="O20" i="17" s="1"/>
  <c r="P19" i="17"/>
  <c r="N19" i="17"/>
  <c r="O19" i="17" s="1"/>
  <c r="N18" i="17"/>
  <c r="O18" i="17" s="1"/>
  <c r="P17" i="17"/>
  <c r="M17" i="16" s="1"/>
  <c r="N17" i="17"/>
  <c r="O17" i="17" s="1"/>
  <c r="N16" i="17"/>
  <c r="O16" i="17" s="1"/>
  <c r="O15" i="17"/>
  <c r="N14" i="17"/>
  <c r="O14" i="17" s="1"/>
  <c r="P13" i="17"/>
  <c r="N13" i="17"/>
  <c r="O13" i="17" s="1"/>
  <c r="N12" i="17"/>
  <c r="O12" i="17" s="1"/>
  <c r="N11" i="17"/>
  <c r="O11" i="17" s="1"/>
  <c r="N10" i="17"/>
  <c r="O10" i="17" s="1"/>
  <c r="N7" i="17"/>
  <c r="O7" i="17" s="1"/>
  <c r="N6" i="17"/>
  <c r="O6" i="17" s="1"/>
  <c r="P5" i="17"/>
  <c r="G5" i="16" s="1"/>
  <c r="N5" i="17"/>
  <c r="O5" i="17" s="1"/>
  <c r="N4" i="17"/>
  <c r="O4" i="17" s="1"/>
  <c r="P3" i="17"/>
  <c r="G3" i="16" s="1"/>
  <c r="N3" i="17"/>
  <c r="O3" i="17" s="1"/>
  <c r="N2" i="17"/>
  <c r="O2" i="17" s="1"/>
  <c r="F2" i="16" s="1"/>
  <c r="L37" i="16"/>
  <c r="F26" i="16"/>
  <c r="L26" i="16" s="1"/>
  <c r="L25" i="16"/>
  <c r="L23" i="16"/>
  <c r="F23" i="16"/>
  <c r="P23" i="17" s="1"/>
  <c r="F22" i="16"/>
  <c r="L19" i="16"/>
  <c r="F19" i="16"/>
  <c r="L18" i="16"/>
  <c r="F18" i="16"/>
  <c r="L17" i="16"/>
  <c r="F17" i="16"/>
  <c r="L14" i="16"/>
  <c r="L13" i="16"/>
  <c r="L11" i="16"/>
  <c r="F11" i="16"/>
  <c r="P11" i="17" s="1"/>
  <c r="F10" i="15"/>
  <c r="L5" i="16"/>
  <c r="L4" i="16"/>
  <c r="L3" i="16"/>
  <c r="F49" i="15"/>
  <c r="F37" i="15"/>
  <c r="F32" i="15"/>
  <c r="F26" i="15"/>
  <c r="F25" i="15"/>
  <c r="L25" i="15" s="1"/>
  <c r="L19" i="15"/>
  <c r="F19" i="15"/>
  <c r="F18" i="15"/>
  <c r="G17" i="15"/>
  <c r="M17" i="15" s="1"/>
  <c r="F17" i="15"/>
  <c r="F15" i="15"/>
  <c r="F14" i="15"/>
  <c r="F13" i="15"/>
  <c r="F11" i="15"/>
  <c r="F5" i="15"/>
  <c r="F4" i="15"/>
  <c r="F3" i="15"/>
  <c r="G13" i="16" l="1"/>
  <c r="G13" i="15" s="1"/>
  <c r="M13" i="15" s="1"/>
  <c r="M3" i="16"/>
  <c r="L10" i="15"/>
  <c r="F2" i="15"/>
  <c r="L16" i="16"/>
  <c r="F16" i="15"/>
  <c r="L49" i="15"/>
  <c r="L28" i="16"/>
  <c r="F28" i="15"/>
  <c r="P44" i="17"/>
  <c r="G44" i="16" s="1"/>
  <c r="P46" i="17"/>
  <c r="G46" i="16" s="1"/>
  <c r="L32" i="16"/>
  <c r="L5" i="15"/>
  <c r="L13" i="15"/>
  <c r="P28" i="17"/>
  <c r="G28" i="16" s="1"/>
  <c r="P16" i="17"/>
  <c r="G16" i="16" s="1"/>
  <c r="P48" i="17"/>
  <c r="G48" i="16" s="1"/>
  <c r="P21" i="17"/>
  <c r="G21" i="16" s="1"/>
  <c r="F21" i="15"/>
  <c r="L21" i="16"/>
  <c r="L49" i="16"/>
  <c r="F24" i="16"/>
  <c r="L17" i="15"/>
  <c r="F22" i="15"/>
  <c r="L22" i="16"/>
  <c r="P40" i="17"/>
  <c r="G40" i="16" s="1"/>
  <c r="L10" i="16"/>
  <c r="L3" i="15"/>
  <c r="L11" i="15"/>
  <c r="L37" i="15"/>
  <c r="G3" i="15"/>
  <c r="M3" i="15" s="1"/>
  <c r="L26" i="15"/>
  <c r="F45" i="15"/>
  <c r="L45" i="16"/>
  <c r="L32" i="15"/>
  <c r="L7" i="16"/>
  <c r="P7" i="17"/>
  <c r="G7" i="16" s="1"/>
  <c r="Q5" i="17"/>
  <c r="H5" i="16" s="1"/>
  <c r="P43" i="17"/>
  <c r="G43" i="16" s="1"/>
  <c r="L14" i="15"/>
  <c r="Q23" i="17"/>
  <c r="P2" i="17"/>
  <c r="Q19" i="17"/>
  <c r="L4" i="15"/>
  <c r="F7" i="15"/>
  <c r="L15" i="15"/>
  <c r="L18" i="15"/>
  <c r="P15" i="17"/>
  <c r="G15" i="16" s="1"/>
  <c r="L15" i="16"/>
  <c r="P32" i="17"/>
  <c r="G32" i="16" s="1"/>
  <c r="N47" i="17"/>
  <c r="O47" i="17" s="1"/>
  <c r="Q3" i="17"/>
  <c r="H3" i="16" s="1"/>
  <c r="Q13" i="17"/>
  <c r="H13" i="16" s="1"/>
  <c r="Q17" i="17"/>
  <c r="P26" i="17"/>
  <c r="P4" i="17"/>
  <c r="G4" i="16" s="1"/>
  <c r="P10" i="17"/>
  <c r="G10" i="16" s="1"/>
  <c r="P14" i="17"/>
  <c r="G14" i="16" s="1"/>
  <c r="P18" i="17"/>
  <c r="P22" i="17"/>
  <c r="N42" i="17"/>
  <c r="O42" i="17" s="1"/>
  <c r="F23" i="15"/>
  <c r="N50" i="17"/>
  <c r="O50" i="17" s="1"/>
  <c r="N41" i="17"/>
  <c r="O41" i="17" s="1"/>
  <c r="M13" i="16" l="1"/>
  <c r="Q40" i="17"/>
  <c r="H40" i="16" s="1"/>
  <c r="L22" i="15"/>
  <c r="L28" i="15"/>
  <c r="Q18" i="17"/>
  <c r="L51" i="16"/>
  <c r="F51" i="15"/>
  <c r="L21" i="15"/>
  <c r="L20" i="16"/>
  <c r="F20" i="15"/>
  <c r="P50" i="17"/>
  <c r="G50" i="16" s="1"/>
  <c r="M11" i="16"/>
  <c r="G11" i="15"/>
  <c r="F24" i="15"/>
  <c r="L24" i="16"/>
  <c r="L6" i="16"/>
  <c r="F6" i="15"/>
  <c r="M49" i="16"/>
  <c r="G49" i="15"/>
  <c r="Q44" i="17"/>
  <c r="H44" i="16" s="1"/>
  <c r="F40" i="15"/>
  <c r="L40" i="16"/>
  <c r="P20" i="17"/>
  <c r="F12" i="15"/>
  <c r="L12" i="16"/>
  <c r="Q11" i="17"/>
  <c r="P24" i="17"/>
  <c r="P6" i="17"/>
  <c r="G6" i="16" s="1"/>
  <c r="Q49" i="17"/>
  <c r="H49" i="16" s="1"/>
  <c r="L38" i="16"/>
  <c r="F38" i="15"/>
  <c r="L2" i="15"/>
  <c r="Q48" i="17"/>
  <c r="H48" i="16" s="1"/>
  <c r="M19" i="16"/>
  <c r="G19" i="15"/>
  <c r="P12" i="17"/>
  <c r="G12" i="16" s="1"/>
  <c r="L7" i="15"/>
  <c r="P51" i="17"/>
  <c r="G51" i="16" s="1"/>
  <c r="M5" i="16"/>
  <c r="G5" i="15"/>
  <c r="M37" i="16"/>
  <c r="G37" i="15"/>
  <c r="L45" i="15"/>
  <c r="Q10" i="17"/>
  <c r="H10" i="16" s="1"/>
  <c r="Q4" i="17"/>
  <c r="H4" i="16" s="1"/>
  <c r="L48" i="16"/>
  <c r="F48" i="15"/>
  <c r="M25" i="16"/>
  <c r="G25" i="15"/>
  <c r="R13" i="17"/>
  <c r="I13" i="16" s="1"/>
  <c r="Q15" i="17"/>
  <c r="H15" i="16" s="1"/>
  <c r="L23" i="15"/>
  <c r="M45" i="16"/>
  <c r="G45" i="15"/>
  <c r="M45" i="15" s="1"/>
  <c r="Q45" i="17"/>
  <c r="H45" i="16" s="1"/>
  <c r="Q16" i="17"/>
  <c r="H16" i="16" s="1"/>
  <c r="F46" i="15"/>
  <c r="L46" i="16"/>
  <c r="Q37" i="17"/>
  <c r="H37" i="16" s="1"/>
  <c r="L44" i="16"/>
  <c r="F44" i="15"/>
  <c r="L16" i="15"/>
  <c r="L43" i="16"/>
  <c r="F43" i="15"/>
  <c r="P42" i="17"/>
  <c r="G42" i="16" s="1"/>
  <c r="Q25" i="17"/>
  <c r="H25" i="16" s="1"/>
  <c r="M23" i="16"/>
  <c r="G23" i="15"/>
  <c r="M23" i="15" s="1"/>
  <c r="Q28" i="17"/>
  <c r="H28" i="16" s="1"/>
  <c r="Q46" i="17"/>
  <c r="H46" i="16" s="1"/>
  <c r="R44" i="17" l="1"/>
  <c r="I44" i="16" s="1"/>
  <c r="Q42" i="17"/>
  <c r="H42" i="16" s="1"/>
  <c r="M5" i="15"/>
  <c r="R45" i="17"/>
  <c r="I45" i="16" s="1"/>
  <c r="M2" i="16"/>
  <c r="G2" i="15"/>
  <c r="M7" i="16"/>
  <c r="G7" i="15"/>
  <c r="M22" i="16"/>
  <c r="G22" i="15"/>
  <c r="R18" i="17"/>
  <c r="M14" i="16"/>
  <c r="G14" i="15"/>
  <c r="M26" i="16"/>
  <c r="G26" i="15"/>
  <c r="M16" i="16"/>
  <c r="G16" i="15"/>
  <c r="M15" i="16"/>
  <c r="G15" i="15"/>
  <c r="Q2" i="17"/>
  <c r="Q7" i="17"/>
  <c r="H7" i="16" s="1"/>
  <c r="Q22" i="17"/>
  <c r="L12" i="15"/>
  <c r="L6" i="15"/>
  <c r="L20" i="15"/>
  <c r="M18" i="16"/>
  <c r="G18" i="15"/>
  <c r="Q14" i="17"/>
  <c r="H14" i="16" s="1"/>
  <c r="R16" i="17"/>
  <c r="I16" i="16" s="1"/>
  <c r="Q26" i="17"/>
  <c r="Q20" i="17"/>
  <c r="L51" i="15"/>
  <c r="Q12" i="17"/>
  <c r="H12" i="16" s="1"/>
  <c r="M10" i="16"/>
  <c r="G10" i="15"/>
  <c r="M19" i="15"/>
  <c r="L24" i="15"/>
  <c r="M21" i="16"/>
  <c r="G21" i="15"/>
  <c r="L47" i="16"/>
  <c r="F47" i="15"/>
  <c r="L40" i="15"/>
  <c r="M11" i="15"/>
  <c r="Q21" i="17"/>
  <c r="H21" i="16" s="1"/>
  <c r="P47" i="17"/>
  <c r="G47" i="16" s="1"/>
  <c r="F41" i="15"/>
  <c r="L41" i="16"/>
  <c r="L44" i="15"/>
  <c r="H19" i="15"/>
  <c r="N19" i="15" s="1"/>
  <c r="N19" i="16"/>
  <c r="H5" i="15"/>
  <c r="N5" i="15" s="1"/>
  <c r="N5" i="16"/>
  <c r="Q38" i="17"/>
  <c r="H38" i="16" s="1"/>
  <c r="M32" i="16"/>
  <c r="G32" i="15"/>
  <c r="M43" i="16"/>
  <c r="G43" i="15"/>
  <c r="M43" i="15" s="1"/>
  <c r="Q51" i="17"/>
  <c r="H51" i="16" s="1"/>
  <c r="N17" i="16"/>
  <c r="H17" i="15"/>
  <c r="M25" i="15"/>
  <c r="F42" i="15"/>
  <c r="L42" i="16"/>
  <c r="H23" i="15"/>
  <c r="N23" i="15" s="1"/>
  <c r="N23" i="16"/>
  <c r="R23" i="17"/>
  <c r="N3" i="16"/>
  <c r="H3" i="15"/>
  <c r="R19" i="17"/>
  <c r="R48" i="17"/>
  <c r="I48" i="16" s="1"/>
  <c r="M46" i="16"/>
  <c r="G46" i="15"/>
  <c r="M46" i="15" s="1"/>
  <c r="R5" i="17"/>
  <c r="I5" i="16" s="1"/>
  <c r="R37" i="17"/>
  <c r="I37" i="16" s="1"/>
  <c r="R3" i="17"/>
  <c r="I3" i="16" s="1"/>
  <c r="M37" i="15"/>
  <c r="M48" i="16"/>
  <c r="G48" i="15"/>
  <c r="M48" i="15" s="1"/>
  <c r="Q24" i="17"/>
  <c r="L50" i="16"/>
  <c r="F50" i="15"/>
  <c r="Q32" i="17"/>
  <c r="H32" i="16" s="1"/>
  <c r="Q43" i="17"/>
  <c r="H43" i="16" s="1"/>
  <c r="R15" i="17"/>
  <c r="I15" i="16" s="1"/>
  <c r="L38" i="15"/>
  <c r="L43" i="15"/>
  <c r="L48" i="15"/>
  <c r="R11" i="17"/>
  <c r="Q50" i="17"/>
  <c r="H50" i="16" s="1"/>
  <c r="R40" i="17"/>
  <c r="I40" i="16" s="1"/>
  <c r="M4" i="16"/>
  <c r="G4" i="15"/>
  <c r="H13" i="15"/>
  <c r="N13" i="16"/>
  <c r="P41" i="17"/>
  <c r="G41" i="16" s="1"/>
  <c r="R17" i="17"/>
  <c r="R46" i="17"/>
  <c r="I46" i="16" s="1"/>
  <c r="M44" i="16"/>
  <c r="G44" i="15"/>
  <c r="M44" i="15" s="1"/>
  <c r="M28" i="16"/>
  <c r="G28" i="15"/>
  <c r="L46" i="15"/>
  <c r="M49" i="15"/>
  <c r="M40" i="16"/>
  <c r="G40" i="15"/>
  <c r="M40" i="15" s="1"/>
  <c r="S44" i="17" l="1"/>
  <c r="J44" i="16" s="1"/>
  <c r="N17" i="15"/>
  <c r="M6" i="16"/>
  <c r="G6" i="15"/>
  <c r="L41" i="15"/>
  <c r="S3" i="17"/>
  <c r="J3" i="16" s="1"/>
  <c r="N37" i="16"/>
  <c r="H37" i="15"/>
  <c r="M38" i="16"/>
  <c r="G38" i="15"/>
  <c r="M20" i="16"/>
  <c r="G20" i="15"/>
  <c r="R28" i="17"/>
  <c r="I28" i="16" s="1"/>
  <c r="M22" i="15"/>
  <c r="M42" i="16"/>
  <c r="G42" i="15"/>
  <c r="M42" i="15" s="1"/>
  <c r="R32" i="17"/>
  <c r="I32" i="16" s="1"/>
  <c r="L47" i="15"/>
  <c r="R42" i="17"/>
  <c r="I42" i="16" s="1"/>
  <c r="N13" i="15"/>
  <c r="L50" i="15"/>
  <c r="S5" i="17"/>
  <c r="J5" i="16" s="1"/>
  <c r="M51" i="16"/>
  <c r="G51" i="15"/>
  <c r="R21" i="17"/>
  <c r="I21" i="16" s="1"/>
  <c r="R26" i="17"/>
  <c r="R43" i="17"/>
  <c r="I43" i="16" s="1"/>
  <c r="N48" i="16"/>
  <c r="H48" i="15"/>
  <c r="M21" i="15"/>
  <c r="I13" i="15"/>
  <c r="O13" i="15" s="1"/>
  <c r="O13" i="16"/>
  <c r="Q47" i="17"/>
  <c r="H47" i="16" s="1"/>
  <c r="M26" i="15"/>
  <c r="R7" i="17"/>
  <c r="I7" i="16" s="1"/>
  <c r="M18" i="15"/>
  <c r="M14" i="15"/>
  <c r="M2" i="15"/>
  <c r="S13" i="17"/>
  <c r="J13" i="16" s="1"/>
  <c r="M4" i="15"/>
  <c r="M7" i="15"/>
  <c r="M24" i="16"/>
  <c r="G24" i="15"/>
  <c r="L42" i="15"/>
  <c r="S19" i="17"/>
  <c r="M32" i="15"/>
  <c r="N49" i="16"/>
  <c r="H49" i="15"/>
  <c r="M12" i="16"/>
  <c r="G12" i="15"/>
  <c r="M15" i="15"/>
  <c r="N4" i="16"/>
  <c r="H4" i="15"/>
  <c r="N4" i="15" s="1"/>
  <c r="R51" i="17"/>
  <c r="I51" i="16" s="1"/>
  <c r="N44" i="16"/>
  <c r="H44" i="15"/>
  <c r="N44" i="15" s="1"/>
  <c r="M10" i="15"/>
  <c r="H46" i="15"/>
  <c r="N46" i="15" s="1"/>
  <c r="N46" i="16"/>
  <c r="H25" i="15"/>
  <c r="N25" i="16"/>
  <c r="R25" i="17"/>
  <c r="I25" i="16" s="1"/>
  <c r="M50" i="16"/>
  <c r="G50" i="15"/>
  <c r="M50" i="15" s="1"/>
  <c r="R49" i="17"/>
  <c r="I49" i="16" s="1"/>
  <c r="N18" i="16"/>
  <c r="H18" i="15"/>
  <c r="N18" i="15" s="1"/>
  <c r="H45" i="15"/>
  <c r="N45" i="16"/>
  <c r="R4" i="17"/>
  <c r="I4" i="16" s="1"/>
  <c r="N16" i="16"/>
  <c r="H16" i="15"/>
  <c r="N16" i="15" s="1"/>
  <c r="N40" i="16"/>
  <c r="H40" i="15"/>
  <c r="N40" i="15" s="1"/>
  <c r="M28" i="15"/>
  <c r="R50" i="17"/>
  <c r="I50" i="16" s="1"/>
  <c r="N15" i="16"/>
  <c r="H15" i="15"/>
  <c r="N15" i="15" s="1"/>
  <c r="N3" i="15"/>
  <c r="S18" i="17"/>
  <c r="S45" i="17"/>
  <c r="N10" i="16"/>
  <c r="H10" i="15"/>
  <c r="N10" i="15" s="1"/>
  <c r="S37" i="17"/>
  <c r="J37" i="16" s="1"/>
  <c r="K37" i="16"/>
  <c r="N28" i="16"/>
  <c r="H28" i="15"/>
  <c r="N28" i="15" s="1"/>
  <c r="N11" i="16"/>
  <c r="H11" i="15"/>
  <c r="Q6" i="17"/>
  <c r="H6" i="16" s="1"/>
  <c r="M16" i="15"/>
  <c r="R10" i="17"/>
  <c r="I10" i="16" s="1"/>
  <c r="K45" i="16" l="1"/>
  <c r="J45" i="16"/>
  <c r="S51" i="17"/>
  <c r="M24" i="15"/>
  <c r="N14" i="16"/>
  <c r="H14" i="15"/>
  <c r="O16" i="16"/>
  <c r="I16" i="15"/>
  <c r="O16" i="15" s="1"/>
  <c r="P44" i="16"/>
  <c r="J44" i="15"/>
  <c r="P44" i="15" s="1"/>
  <c r="S15" i="17"/>
  <c r="J15" i="16" s="1"/>
  <c r="N51" i="16"/>
  <c r="H51" i="15"/>
  <c r="N51" i="15" s="1"/>
  <c r="N7" i="16"/>
  <c r="H7" i="15"/>
  <c r="R14" i="17"/>
  <c r="I14" i="16" s="1"/>
  <c r="I5" i="15"/>
  <c r="O5" i="16"/>
  <c r="Q5" i="16" s="1"/>
  <c r="K5" i="16"/>
  <c r="N32" i="16"/>
  <c r="H32" i="15"/>
  <c r="S4" i="17"/>
  <c r="J4" i="16" s="1"/>
  <c r="P37" i="16"/>
  <c r="Q37" i="16" s="1"/>
  <c r="J37" i="15"/>
  <c r="P37" i="15" s="1"/>
  <c r="P5" i="16"/>
  <c r="J5" i="15"/>
  <c r="P5" i="15" s="1"/>
  <c r="H43" i="15"/>
  <c r="N43" i="16"/>
  <c r="K43" i="16"/>
  <c r="M6" i="15"/>
  <c r="O15" i="16"/>
  <c r="I15" i="15"/>
  <c r="O15" i="15" s="1"/>
  <c r="M38" i="15"/>
  <c r="S25" i="17"/>
  <c r="J25" i="16" s="1"/>
  <c r="I46" i="15"/>
  <c r="O46" i="15" s="1"/>
  <c r="O46" i="16"/>
  <c r="M47" i="16"/>
  <c r="G47" i="15"/>
  <c r="N26" i="16"/>
  <c r="H26" i="15"/>
  <c r="P45" i="16"/>
  <c r="Q45" i="16" s="1"/>
  <c r="J45" i="15"/>
  <c r="P45" i="15" s="1"/>
  <c r="N12" i="16"/>
  <c r="H12" i="15"/>
  <c r="N12" i="15" s="1"/>
  <c r="N37" i="15"/>
  <c r="K37" i="15"/>
  <c r="O40" i="16"/>
  <c r="I40" i="15"/>
  <c r="O40" i="15" s="1"/>
  <c r="N49" i="15"/>
  <c r="S43" i="17"/>
  <c r="J43" i="16" s="1"/>
  <c r="I45" i="15"/>
  <c r="O45" i="15" s="1"/>
  <c r="O45" i="16"/>
  <c r="S46" i="17"/>
  <c r="R47" i="17"/>
  <c r="I47" i="16" s="1"/>
  <c r="K16" i="16"/>
  <c r="K44" i="16"/>
  <c r="I19" i="15"/>
  <c r="O19" i="16"/>
  <c r="K19" i="16"/>
  <c r="R12" i="17"/>
  <c r="I12" i="16" s="1"/>
  <c r="S28" i="17"/>
  <c r="J28" i="16" s="1"/>
  <c r="I23" i="15"/>
  <c r="O23" i="16"/>
  <c r="S40" i="17"/>
  <c r="J40" i="16" s="1"/>
  <c r="O11" i="16"/>
  <c r="I11" i="15"/>
  <c r="O11" i="15" s="1"/>
  <c r="N11" i="15"/>
  <c r="P18" i="16"/>
  <c r="J18" i="15"/>
  <c r="P18" i="15" s="1"/>
  <c r="O18" i="16"/>
  <c r="I18" i="15"/>
  <c r="K18" i="16"/>
  <c r="N25" i="15"/>
  <c r="P19" i="16"/>
  <c r="Q19" i="16" s="1"/>
  <c r="J19" i="15"/>
  <c r="P19" i="15" s="1"/>
  <c r="N48" i="15"/>
  <c r="H21" i="15"/>
  <c r="N21" i="16"/>
  <c r="H42" i="15"/>
  <c r="N42" i="15" s="1"/>
  <c r="N42" i="16"/>
  <c r="O3" i="16"/>
  <c r="I3" i="15"/>
  <c r="K3" i="16"/>
  <c r="S23" i="17"/>
  <c r="M41" i="16"/>
  <c r="G41" i="15"/>
  <c r="N45" i="15"/>
  <c r="N38" i="16"/>
  <c r="H38" i="15"/>
  <c r="N38" i="15" s="1"/>
  <c r="S21" i="17"/>
  <c r="J21" i="16" s="1"/>
  <c r="S42" i="17"/>
  <c r="J42" i="16" s="1"/>
  <c r="P3" i="16"/>
  <c r="J3" i="15"/>
  <c r="P3" i="15" s="1"/>
  <c r="N20" i="16"/>
  <c r="H20" i="15"/>
  <c r="N20" i="15" s="1"/>
  <c r="O17" i="16"/>
  <c r="I17" i="15"/>
  <c r="K17" i="16"/>
  <c r="S17" i="17"/>
  <c r="H22" i="15"/>
  <c r="N22" i="16"/>
  <c r="R38" i="17"/>
  <c r="I38" i="16" s="1"/>
  <c r="O48" i="16"/>
  <c r="I48" i="15"/>
  <c r="O48" i="15" s="1"/>
  <c r="N2" i="16"/>
  <c r="H2" i="15"/>
  <c r="M20" i="15"/>
  <c r="R20" i="17"/>
  <c r="H24" i="15"/>
  <c r="N24" i="15" s="1"/>
  <c r="N24" i="16"/>
  <c r="S7" i="17"/>
  <c r="J7" i="16" s="1"/>
  <c r="N50" i="16"/>
  <c r="H50" i="15"/>
  <c r="N50" i="15" s="1"/>
  <c r="S11" i="17"/>
  <c r="Q41" i="17"/>
  <c r="H41" i="16" s="1"/>
  <c r="O37" i="16"/>
  <c r="I37" i="15"/>
  <c r="O37" i="15" s="1"/>
  <c r="R22" i="17"/>
  <c r="M12" i="15"/>
  <c r="P13" i="16"/>
  <c r="Q13" i="16" s="1"/>
  <c r="J13" i="15"/>
  <c r="P13" i="15" s="1"/>
  <c r="Q13" i="15" s="1"/>
  <c r="K13" i="16"/>
  <c r="S48" i="17"/>
  <c r="J48" i="16" s="1"/>
  <c r="R2" i="17"/>
  <c r="S16" i="17"/>
  <c r="J16" i="16" s="1"/>
  <c r="M51" i="15"/>
  <c r="O44" i="16"/>
  <c r="Q44" i="16" s="1"/>
  <c r="I44" i="15"/>
  <c r="R24" i="17"/>
  <c r="J51" i="16" l="1"/>
  <c r="K51" i="16" s="1"/>
  <c r="J46" i="16"/>
  <c r="K46" i="16" s="1"/>
  <c r="K13" i="15"/>
  <c r="P4" i="16"/>
  <c r="J4" i="15"/>
  <c r="P4" i="15" s="1"/>
  <c r="Q46" i="16"/>
  <c r="Q51" i="16"/>
  <c r="N22" i="15"/>
  <c r="N21" i="15"/>
  <c r="S24" i="17"/>
  <c r="P17" i="16"/>
  <c r="Q17" i="16" s="1"/>
  <c r="J17" i="15"/>
  <c r="P17" i="15" s="1"/>
  <c r="O42" i="16"/>
  <c r="I42" i="15"/>
  <c r="K42" i="16"/>
  <c r="O23" i="15"/>
  <c r="O44" i="15"/>
  <c r="Q44" i="15" s="1"/>
  <c r="K44" i="15"/>
  <c r="P11" i="16"/>
  <c r="Q11" i="16" s="1"/>
  <c r="J11" i="15"/>
  <c r="K11" i="16"/>
  <c r="P42" i="16"/>
  <c r="J42" i="15"/>
  <c r="P42" i="15" s="1"/>
  <c r="O32" i="16"/>
  <c r="I32" i="15"/>
  <c r="O32" i="15" s="1"/>
  <c r="O4" i="16"/>
  <c r="I4" i="15"/>
  <c r="K4" i="16"/>
  <c r="N14" i="15"/>
  <c r="N2" i="15"/>
  <c r="O21" i="16"/>
  <c r="I21" i="15"/>
  <c r="O21" i="15" s="1"/>
  <c r="S32" i="17"/>
  <c r="J32" i="16" s="1"/>
  <c r="O28" i="16"/>
  <c r="I28" i="15"/>
  <c r="K28" i="16"/>
  <c r="H47" i="15"/>
  <c r="N47" i="15" s="1"/>
  <c r="N47" i="16"/>
  <c r="O51" i="16"/>
  <c r="I51" i="15"/>
  <c r="P21" i="16"/>
  <c r="J21" i="15"/>
  <c r="P21" i="15" s="1"/>
  <c r="P23" i="16"/>
  <c r="Q23" i="16" s="1"/>
  <c r="J23" i="15"/>
  <c r="P23" i="15" s="1"/>
  <c r="P28" i="16"/>
  <c r="J28" i="15"/>
  <c r="P28" i="15" s="1"/>
  <c r="P51" i="16"/>
  <c r="J51" i="15"/>
  <c r="P51" i="15" s="1"/>
  <c r="O49" i="16"/>
  <c r="I49" i="15"/>
  <c r="O17" i="15"/>
  <c r="S12" i="17"/>
  <c r="J12" i="16" s="1"/>
  <c r="P15" i="16"/>
  <c r="Q15" i="16" s="1"/>
  <c r="J15" i="15"/>
  <c r="P15" i="15" s="1"/>
  <c r="Q15" i="15" s="1"/>
  <c r="O50" i="16"/>
  <c r="I50" i="15"/>
  <c r="O50" i="15" s="1"/>
  <c r="S49" i="17"/>
  <c r="J49" i="16" s="1"/>
  <c r="O7" i="16"/>
  <c r="I7" i="15"/>
  <c r="O7" i="15" s="1"/>
  <c r="O3" i="15"/>
  <c r="Q3" i="15" s="1"/>
  <c r="K3" i="15"/>
  <c r="K15" i="15"/>
  <c r="Q37" i="15"/>
  <c r="I25" i="15"/>
  <c r="O25" i="16"/>
  <c r="K25" i="16"/>
  <c r="S50" i="17"/>
  <c r="J50" i="16" s="1"/>
  <c r="P16" i="16"/>
  <c r="Q16" i="16" s="1"/>
  <c r="J16" i="15"/>
  <c r="P7" i="16"/>
  <c r="Q7" i="16" s="1"/>
  <c r="J7" i="15"/>
  <c r="P7" i="15" s="1"/>
  <c r="S38" i="17"/>
  <c r="J38" i="16" s="1"/>
  <c r="O10" i="16"/>
  <c r="I10" i="15"/>
  <c r="Q3" i="16"/>
  <c r="N26" i="15"/>
  <c r="P25" i="16"/>
  <c r="Q25" i="16" s="1"/>
  <c r="J25" i="15"/>
  <c r="P25" i="15" s="1"/>
  <c r="N32" i="15"/>
  <c r="S2" i="17"/>
  <c r="S10" i="17"/>
  <c r="J10" i="16" s="1"/>
  <c r="K10" i="16" s="1"/>
  <c r="K45" i="15"/>
  <c r="N43" i="15"/>
  <c r="O5" i="15"/>
  <c r="Q5" i="15" s="1"/>
  <c r="K5" i="15"/>
  <c r="P48" i="16"/>
  <c r="Q48" i="16" s="1"/>
  <c r="J48" i="15"/>
  <c r="P48" i="15" s="1"/>
  <c r="Q48" i="15" s="1"/>
  <c r="K48" i="16"/>
  <c r="N6" i="16"/>
  <c r="H6" i="15"/>
  <c r="Q45" i="15"/>
  <c r="O19" i="15"/>
  <c r="Q19" i="15" s="1"/>
  <c r="K19" i="15"/>
  <c r="I26" i="15"/>
  <c r="O26" i="15" s="1"/>
  <c r="O26" i="16"/>
  <c r="K15" i="16"/>
  <c r="R6" i="17"/>
  <c r="I6" i="16" s="1"/>
  <c r="S20" i="17"/>
  <c r="K21" i="16"/>
  <c r="O18" i="15"/>
  <c r="Q18" i="15" s="1"/>
  <c r="K18" i="15"/>
  <c r="P40" i="16"/>
  <c r="Q40" i="16" s="1"/>
  <c r="J40" i="15"/>
  <c r="P40" i="15" s="1"/>
  <c r="Q40" i="15" s="1"/>
  <c r="K40" i="16"/>
  <c r="I43" i="15"/>
  <c r="O43" i="15" s="1"/>
  <c r="O43" i="16"/>
  <c r="S26" i="17"/>
  <c r="K7" i="16"/>
  <c r="P46" i="16"/>
  <c r="J46" i="15"/>
  <c r="P46" i="15" s="1"/>
  <c r="Q46" i="15" s="1"/>
  <c r="M41" i="15"/>
  <c r="Q18" i="16"/>
  <c r="K23" i="16"/>
  <c r="P43" i="16"/>
  <c r="J43" i="15"/>
  <c r="P43" i="15" s="1"/>
  <c r="M47" i="15"/>
  <c r="N7" i="15"/>
  <c r="Q42" i="16" l="1"/>
  <c r="K40" i="15"/>
  <c r="K46" i="15"/>
  <c r="Q43" i="16"/>
  <c r="Q21" i="16"/>
  <c r="K7" i="15"/>
  <c r="K2" i="16"/>
  <c r="P20" i="16"/>
  <c r="J20" i="15"/>
  <c r="P20" i="15" s="1"/>
  <c r="P24" i="16"/>
  <c r="J24" i="15"/>
  <c r="P24" i="15" s="1"/>
  <c r="I14" i="15"/>
  <c r="O14" i="16"/>
  <c r="P38" i="16"/>
  <c r="J38" i="15"/>
  <c r="P38" i="15" s="1"/>
  <c r="S14" i="17"/>
  <c r="J14" i="16" s="1"/>
  <c r="K14" i="16" s="1"/>
  <c r="P11" i="15"/>
  <c r="Q11" i="15" s="1"/>
  <c r="K11" i="15"/>
  <c r="Q7" i="15"/>
  <c r="P16" i="15"/>
  <c r="Q16" i="15" s="1"/>
  <c r="K16" i="15"/>
  <c r="O12" i="16"/>
  <c r="I12" i="15"/>
  <c r="K12" i="16"/>
  <c r="Q28" i="16"/>
  <c r="N41" i="16"/>
  <c r="H41" i="15"/>
  <c r="K43" i="15"/>
  <c r="K17" i="15"/>
  <c r="P32" i="16"/>
  <c r="Q32" i="16" s="1"/>
  <c r="J32" i="15"/>
  <c r="I24" i="15"/>
  <c r="O24" i="16"/>
  <c r="Q24" i="16" s="1"/>
  <c r="K24" i="16"/>
  <c r="R41" i="17"/>
  <c r="I41" i="16" s="1"/>
  <c r="Q43" i="15"/>
  <c r="Q17" i="15"/>
  <c r="I47" i="15"/>
  <c r="O47" i="15" s="1"/>
  <c r="O47" i="16"/>
  <c r="O4" i="15"/>
  <c r="Q4" i="15" s="1"/>
  <c r="K4" i="15"/>
  <c r="P50" i="16"/>
  <c r="Q50" i="16" s="1"/>
  <c r="J50" i="15"/>
  <c r="K50" i="16"/>
  <c r="P49" i="16"/>
  <c r="Q49" i="16" s="1"/>
  <c r="J49" i="15"/>
  <c r="P49" i="15" s="1"/>
  <c r="K49" i="16"/>
  <c r="O51" i="15"/>
  <c r="Q51" i="15" s="1"/>
  <c r="K51" i="15"/>
  <c r="S47" i="17"/>
  <c r="J47" i="16" s="1"/>
  <c r="O49" i="15"/>
  <c r="K23" i="15"/>
  <c r="O28" i="15"/>
  <c r="Q28" i="15" s="1"/>
  <c r="K28" i="15"/>
  <c r="Q23" i="15"/>
  <c r="K21" i="15"/>
  <c r="I20" i="15"/>
  <c r="O20" i="16"/>
  <c r="Q20" i="16" s="1"/>
  <c r="K20" i="16"/>
  <c r="N6" i="15"/>
  <c r="P10" i="16"/>
  <c r="Q10" i="16" s="1"/>
  <c r="J10" i="15"/>
  <c r="P10" i="15" s="1"/>
  <c r="O10" i="15"/>
  <c r="Q10" i="15" s="1"/>
  <c r="O25" i="15"/>
  <c r="Q25" i="15" s="1"/>
  <c r="K25" i="15"/>
  <c r="K32" i="16"/>
  <c r="I22" i="15"/>
  <c r="O22" i="16"/>
  <c r="K48" i="15"/>
  <c r="Q21" i="15"/>
  <c r="P12" i="16"/>
  <c r="Q12" i="16" s="1"/>
  <c r="J12" i="15"/>
  <c r="P12" i="15" s="1"/>
  <c r="P2" i="16"/>
  <c r="J2" i="15"/>
  <c r="P2" i="15" s="1"/>
  <c r="S22" i="17"/>
  <c r="K22" i="16" s="1"/>
  <c r="Q4" i="16"/>
  <c r="P26" i="16"/>
  <c r="Q26" i="16" s="1"/>
  <c r="J26" i="15"/>
  <c r="P26" i="15" s="1"/>
  <c r="Q26" i="15" s="1"/>
  <c r="K26" i="16"/>
  <c r="O2" i="16"/>
  <c r="I2" i="15"/>
  <c r="I38" i="15"/>
  <c r="O38" i="16"/>
  <c r="K38" i="16"/>
  <c r="O42" i="15"/>
  <c r="Q42" i="15" s="1"/>
  <c r="K42" i="15"/>
  <c r="K49" i="15" l="1"/>
  <c r="Q38" i="16"/>
  <c r="I6" i="15"/>
  <c r="O6" i="16"/>
  <c r="O12" i="15"/>
  <c r="Q12" i="15" s="1"/>
  <c r="K12" i="15"/>
  <c r="O2" i="15"/>
  <c r="Q2" i="15" s="1"/>
  <c r="K2" i="15"/>
  <c r="O24" i="15"/>
  <c r="Q24" i="15" s="1"/>
  <c r="K24" i="15"/>
  <c r="P32" i="15"/>
  <c r="Q32" i="15" s="1"/>
  <c r="K32" i="15"/>
  <c r="P47" i="16"/>
  <c r="J47" i="15"/>
  <c r="P47" i="15" s="1"/>
  <c r="Q47" i="15" s="1"/>
  <c r="K47" i="16"/>
  <c r="O14" i="15"/>
  <c r="Q47" i="16"/>
  <c r="P22" i="16"/>
  <c r="Q22" i="16" s="1"/>
  <c r="J22" i="15"/>
  <c r="P22" i="15" s="1"/>
  <c r="Q22" i="15" s="1"/>
  <c r="O22" i="15"/>
  <c r="K22" i="15"/>
  <c r="O20" i="15"/>
  <c r="Q20" i="15" s="1"/>
  <c r="K20" i="15"/>
  <c r="Q49" i="15"/>
  <c r="K26" i="15"/>
  <c r="N41" i="15"/>
  <c r="P14" i="16"/>
  <c r="Q14" i="16" s="1"/>
  <c r="J14" i="15"/>
  <c r="P14" i="15" s="1"/>
  <c r="Q14" i="15" s="1"/>
  <c r="Q2" i="16"/>
  <c r="S41" i="17"/>
  <c r="J41" i="16" s="1"/>
  <c r="O38" i="15"/>
  <c r="Q38" i="15" s="1"/>
  <c r="K38" i="15"/>
  <c r="S6" i="17"/>
  <c r="J6" i="16" s="1"/>
  <c r="K10" i="15"/>
  <c r="P50" i="15"/>
  <c r="Q50" i="15" s="1"/>
  <c r="K50" i="15"/>
  <c r="K47" i="15" l="1"/>
  <c r="P41" i="16"/>
  <c r="J41" i="15"/>
  <c r="P41" i="15" s="1"/>
  <c r="K14" i="15"/>
  <c r="O41" i="16"/>
  <c r="I41" i="15"/>
  <c r="K41" i="16"/>
  <c r="P6" i="16"/>
  <c r="Q6" i="16" s="1"/>
  <c r="P53" i="16" s="1"/>
  <c r="J6" i="15"/>
  <c r="P6" i="15" s="1"/>
  <c r="Q6" i="15" s="1"/>
  <c r="P54" i="15" s="1"/>
  <c r="K6" i="16"/>
  <c r="O6" i="15"/>
  <c r="O41" i="15" l="1"/>
  <c r="Q41" i="15" s="1"/>
  <c r="P55" i="15" s="1"/>
  <c r="K41" i="15"/>
  <c r="K6" i="15"/>
  <c r="Q41" i="16"/>
  <c r="P54" i="16" l="1"/>
  <c r="Q52" i="16"/>
  <c r="D8" i="4" l="1"/>
  <c r="H20" i="11"/>
  <c r="D17" i="6"/>
  <c r="D18" i="6" s="1"/>
  <c r="D19" i="6" s="1"/>
  <c r="H21" i="11"/>
  <c r="H36" i="11"/>
  <c r="H35" i="11"/>
  <c r="H8" i="11" l="1"/>
  <c r="H7" i="11"/>
  <c r="H12" i="11"/>
  <c r="C59" i="5"/>
  <c r="C61" i="5" s="1"/>
  <c r="G20" i="3"/>
  <c r="H27" i="11"/>
  <c r="E53" i="11" l="1"/>
  <c r="E21" i="11"/>
  <c r="J21" i="11" s="1"/>
  <c r="C50" i="5"/>
  <c r="C49" i="5"/>
  <c r="C51" i="5" s="1"/>
  <c r="H52" i="11" s="1"/>
  <c r="J52" i="11" s="1"/>
  <c r="Z34" i="14"/>
  <c r="Y34" i="14"/>
  <c r="Z33" i="14"/>
  <c r="Y33" i="14"/>
  <c r="Z32" i="14"/>
  <c r="Y32" i="14"/>
  <c r="Z31" i="14"/>
  <c r="Y31" i="14"/>
  <c r="Z30" i="14"/>
  <c r="Y30" i="14"/>
  <c r="Z29" i="14"/>
  <c r="Y29" i="14"/>
  <c r="Z28" i="14"/>
  <c r="Y28" i="14"/>
  <c r="Z27" i="14"/>
  <c r="Y27" i="14"/>
  <c r="Z26" i="14"/>
  <c r="Y26" i="14"/>
  <c r="Z25" i="14"/>
  <c r="Y25" i="14"/>
  <c r="Z24" i="14"/>
  <c r="Y24" i="14"/>
  <c r="Z23" i="14"/>
  <c r="Y23" i="14"/>
  <c r="Z22" i="14"/>
  <c r="Y22" i="14"/>
  <c r="Z21" i="14"/>
  <c r="Y21" i="14"/>
  <c r="Z20" i="14"/>
  <c r="Y20" i="14"/>
  <c r="Z19" i="14"/>
  <c r="Y19" i="14"/>
  <c r="Z18" i="14"/>
  <c r="Y18" i="14"/>
  <c r="Z17" i="14"/>
  <c r="Y17" i="14"/>
  <c r="Z16" i="14"/>
  <c r="Y16" i="14"/>
  <c r="Z15" i="14"/>
  <c r="Y15" i="14"/>
  <c r="Z14" i="14"/>
  <c r="Y14" i="14"/>
  <c r="Z13" i="14"/>
  <c r="Y13" i="14"/>
  <c r="Z12" i="14"/>
  <c r="Y12" i="14"/>
  <c r="Z11" i="14"/>
  <c r="Y11" i="14"/>
  <c r="Z10" i="14"/>
  <c r="Y10" i="14"/>
  <c r="Z9" i="14"/>
  <c r="Y9" i="14"/>
  <c r="Z8" i="14"/>
  <c r="Y8" i="14"/>
  <c r="Z7" i="14"/>
  <c r="Y7" i="14"/>
  <c r="Z6" i="14"/>
  <c r="Y6" i="14"/>
  <c r="Z5" i="14"/>
  <c r="Y5" i="14"/>
  <c r="Z4" i="14"/>
  <c r="Y4" i="14"/>
  <c r="Z3" i="14"/>
  <c r="Y3" i="14"/>
  <c r="X33" i="14"/>
  <c r="W33" i="14"/>
  <c r="X32" i="14"/>
  <c r="W32" i="14"/>
  <c r="X31" i="14"/>
  <c r="W31" i="14"/>
  <c r="X30" i="14"/>
  <c r="W30" i="14"/>
  <c r="X29" i="14"/>
  <c r="W29" i="14"/>
  <c r="X28" i="14"/>
  <c r="W28" i="14"/>
  <c r="X27" i="14"/>
  <c r="W27" i="14"/>
  <c r="X26" i="14"/>
  <c r="W26" i="14"/>
  <c r="X25" i="14"/>
  <c r="W25" i="14"/>
  <c r="X24" i="14"/>
  <c r="W24" i="14"/>
  <c r="X23" i="14"/>
  <c r="W23" i="14"/>
  <c r="X22" i="14"/>
  <c r="W22" i="14"/>
  <c r="X21" i="14"/>
  <c r="W21" i="14"/>
  <c r="X20" i="14"/>
  <c r="W20" i="14"/>
  <c r="X19" i="14"/>
  <c r="W19" i="14"/>
  <c r="X18" i="14"/>
  <c r="W18" i="14"/>
  <c r="X17" i="14"/>
  <c r="W17" i="14"/>
  <c r="X16" i="14"/>
  <c r="W16" i="14"/>
  <c r="X15" i="14"/>
  <c r="W15" i="14"/>
  <c r="X14" i="14"/>
  <c r="W14" i="14"/>
  <c r="X13" i="14"/>
  <c r="W13" i="14"/>
  <c r="X12" i="14"/>
  <c r="W12" i="14"/>
  <c r="X11" i="14"/>
  <c r="W11" i="14"/>
  <c r="X10" i="14"/>
  <c r="W10" i="14"/>
  <c r="X9" i="14"/>
  <c r="W9" i="14"/>
  <c r="X8" i="14"/>
  <c r="W8" i="14"/>
  <c r="X7" i="14"/>
  <c r="W7" i="14"/>
  <c r="X6" i="14"/>
  <c r="X5" i="14"/>
  <c r="W5" i="14"/>
  <c r="X4" i="14"/>
  <c r="W4" i="14"/>
  <c r="X3" i="14"/>
  <c r="W3" i="14"/>
  <c r="M9" i="14"/>
  <c r="O9" i="14" s="1"/>
  <c r="M10" i="14"/>
  <c r="O10" i="14" s="1"/>
  <c r="M11" i="14"/>
  <c r="O11" i="14" s="1"/>
  <c r="M12" i="14"/>
  <c r="O12" i="14" s="1"/>
  <c r="M13" i="14"/>
  <c r="L9" i="14"/>
  <c r="N9" i="14" s="1"/>
  <c r="L10" i="14"/>
  <c r="N10" i="14" s="1"/>
  <c r="L11" i="14"/>
  <c r="N11" i="14" s="1"/>
  <c r="L12" i="14"/>
  <c r="N12" i="14" s="1"/>
  <c r="K4" i="14"/>
  <c r="K5" i="14"/>
  <c r="K6" i="14"/>
  <c r="K7" i="14"/>
  <c r="K8" i="14"/>
  <c r="K9" i="14"/>
  <c r="K10" i="14"/>
  <c r="K11" i="14"/>
  <c r="K12" i="14"/>
  <c r="K13" i="14"/>
  <c r="K14" i="14"/>
  <c r="K15" i="14"/>
  <c r="K16" i="14"/>
  <c r="K3" i="14"/>
  <c r="M3" i="14" s="1"/>
  <c r="O3" i="14" s="1"/>
  <c r="J4" i="14"/>
  <c r="J5" i="14"/>
  <c r="J6" i="14"/>
  <c r="J7" i="14"/>
  <c r="J8" i="14"/>
  <c r="J9" i="14"/>
  <c r="J10" i="14"/>
  <c r="J11" i="14"/>
  <c r="J12" i="14"/>
  <c r="J13" i="14"/>
  <c r="J14" i="14"/>
  <c r="J15" i="14"/>
  <c r="J16" i="14"/>
  <c r="J3" i="14"/>
  <c r="G16" i="14"/>
  <c r="L16" i="14" s="1"/>
  <c r="G15" i="14"/>
  <c r="M15" i="14" s="1"/>
  <c r="G14" i="14"/>
  <c r="M14" i="14" s="1"/>
  <c r="O14" i="14" s="1"/>
  <c r="G13" i="14"/>
  <c r="L13" i="14" s="1"/>
  <c r="G12" i="14"/>
  <c r="G11" i="14"/>
  <c r="G10" i="14"/>
  <c r="G9" i="14"/>
  <c r="G8" i="14"/>
  <c r="L8" i="14" s="1"/>
  <c r="N8" i="14" s="1"/>
  <c r="G7" i="14"/>
  <c r="L7" i="14" s="1"/>
  <c r="N7" i="14" s="1"/>
  <c r="G6" i="14"/>
  <c r="L6" i="14" s="1"/>
  <c r="G5" i="14"/>
  <c r="M5" i="14" s="1"/>
  <c r="G4" i="14"/>
  <c r="M4" i="14" s="1"/>
  <c r="O4" i="14" s="1"/>
  <c r="G3" i="14"/>
  <c r="H51" i="11"/>
  <c r="D45" i="5"/>
  <c r="F52" i="11" l="1"/>
  <c r="N13" i="14"/>
  <c r="O13" i="14"/>
  <c r="N6" i="14"/>
  <c r="M8" i="14"/>
  <c r="O8" i="14" s="1"/>
  <c r="M6" i="14"/>
  <c r="L4" i="14"/>
  <c r="N4" i="14" s="1"/>
  <c r="L15" i="14"/>
  <c r="N15" i="14" s="1"/>
  <c r="M16" i="14"/>
  <c r="O15" i="14" s="1"/>
  <c r="M7" i="14"/>
  <c r="O7" i="14" s="1"/>
  <c r="L5" i="14"/>
  <c r="N5" i="14" s="1"/>
  <c r="L14" i="14"/>
  <c r="H48" i="11"/>
  <c r="H42" i="11"/>
  <c r="H24" i="11"/>
  <c r="H23" i="11"/>
  <c r="H22" i="11"/>
  <c r="H47" i="11"/>
  <c r="N3" i="14" l="1"/>
  <c r="N14" i="14"/>
  <c r="O6" i="14"/>
  <c r="O5" i="14"/>
  <c r="D36" i="5"/>
  <c r="E47" i="11" s="1"/>
  <c r="E25" i="5"/>
  <c r="H46" i="11" s="1"/>
  <c r="D25" i="5"/>
  <c r="D21" i="5"/>
  <c r="P3" i="14" l="1"/>
  <c r="F47" i="11"/>
  <c r="J47" i="11"/>
  <c r="T7" i="14" l="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S7" i="14"/>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H26" i="11" l="1"/>
  <c r="E35" i="11"/>
  <c r="E41" i="11"/>
  <c r="C16" i="6"/>
  <c r="C18" i="6" s="1"/>
  <c r="F35" i="11" l="1"/>
  <c r="J35" i="11"/>
  <c r="F41" i="11"/>
  <c r="H41" i="11"/>
  <c r="J41" i="11" s="1"/>
  <c r="H11" i="11"/>
  <c r="C10" i="6"/>
  <c r="E10" i="6" s="1"/>
  <c r="F10" i="6" s="1"/>
  <c r="E20" i="11" l="1"/>
  <c r="J20" i="11" s="1"/>
  <c r="E19" i="11"/>
  <c r="G4620" i="13"/>
  <c r="H4620" i="13" s="1"/>
  <c r="J4620" i="13" s="1"/>
  <c r="C4620" i="13"/>
  <c r="F4620" i="13" s="1"/>
  <c r="B4620" i="13"/>
  <c r="G4619" i="13"/>
  <c r="H4619" i="13" s="1"/>
  <c r="J4619" i="13" s="1"/>
  <c r="C4619" i="13"/>
  <c r="F4619" i="13" s="1"/>
  <c r="B4619" i="13"/>
  <c r="G4618" i="13"/>
  <c r="H4618" i="13" s="1"/>
  <c r="J4618" i="13" s="1"/>
  <c r="C4618" i="13"/>
  <c r="F4618" i="13" s="1"/>
  <c r="B4618" i="13"/>
  <c r="G4617" i="13"/>
  <c r="H4617" i="13" s="1"/>
  <c r="J4617" i="13" s="1"/>
  <c r="C4617" i="13"/>
  <c r="F4617" i="13" s="1"/>
  <c r="B4617" i="13"/>
  <c r="G4616" i="13"/>
  <c r="H4616" i="13" s="1"/>
  <c r="J4616" i="13" s="1"/>
  <c r="C4616" i="13"/>
  <c r="F4616" i="13" s="1"/>
  <c r="B4616" i="13"/>
  <c r="G4615" i="13"/>
  <c r="H4615" i="13" s="1"/>
  <c r="J4615" i="13" s="1"/>
  <c r="C4615" i="13"/>
  <c r="F4615" i="13" s="1"/>
  <c r="B4615" i="13"/>
  <c r="G4614" i="13"/>
  <c r="H4614" i="13" s="1"/>
  <c r="J4614" i="13" s="1"/>
  <c r="C4614" i="13"/>
  <c r="F4614" i="13" s="1"/>
  <c r="B4614" i="13"/>
  <c r="G4613" i="13"/>
  <c r="H4613" i="13" s="1"/>
  <c r="J4613" i="13" s="1"/>
  <c r="C4613" i="13"/>
  <c r="F4613" i="13" s="1"/>
  <c r="B4613" i="13"/>
  <c r="G4612" i="13"/>
  <c r="H4612" i="13" s="1"/>
  <c r="J4612" i="13" s="1"/>
  <c r="C4612" i="13"/>
  <c r="F4612" i="13" s="1"/>
  <c r="B4612" i="13"/>
  <c r="G4611" i="13"/>
  <c r="H4611" i="13" s="1"/>
  <c r="J4611" i="13" s="1"/>
  <c r="C4611" i="13"/>
  <c r="F4611" i="13" s="1"/>
  <c r="B4611" i="13"/>
  <c r="G4610" i="13"/>
  <c r="H4610" i="13" s="1"/>
  <c r="J4610" i="13" s="1"/>
  <c r="C4610" i="13"/>
  <c r="F4610" i="13" s="1"/>
  <c r="B4610" i="13"/>
  <c r="G4609" i="13"/>
  <c r="H4609" i="13" s="1"/>
  <c r="J4609" i="13" s="1"/>
  <c r="C4609" i="13"/>
  <c r="F4609" i="13" s="1"/>
  <c r="B4609" i="13"/>
  <c r="G4608" i="13"/>
  <c r="H4608" i="13" s="1"/>
  <c r="J4608" i="13" s="1"/>
  <c r="C4608" i="13"/>
  <c r="F4608" i="13" s="1"/>
  <c r="B4608" i="13"/>
  <c r="G4607" i="13"/>
  <c r="H4607" i="13" s="1"/>
  <c r="J4607" i="13" s="1"/>
  <c r="C4607" i="13"/>
  <c r="F4607" i="13" s="1"/>
  <c r="B4607" i="13"/>
  <c r="G4606" i="13"/>
  <c r="H4606" i="13" s="1"/>
  <c r="J4606" i="13" s="1"/>
  <c r="C4606" i="13"/>
  <c r="F4606" i="13" s="1"/>
  <c r="B4606" i="13"/>
  <c r="G4605" i="13"/>
  <c r="H4605" i="13" s="1"/>
  <c r="C4605" i="13"/>
  <c r="F4605" i="13" s="1"/>
  <c r="B4605" i="13"/>
  <c r="G4604" i="13"/>
  <c r="H4604" i="13" s="1"/>
  <c r="J4604" i="13" s="1"/>
  <c r="C4604" i="13"/>
  <c r="F4604" i="13" s="1"/>
  <c r="B4604" i="13"/>
  <c r="G4603" i="13"/>
  <c r="H4603" i="13" s="1"/>
  <c r="J4603" i="13" s="1"/>
  <c r="C4603" i="13"/>
  <c r="F4603" i="13" s="1"/>
  <c r="B4603" i="13"/>
  <c r="G4602" i="13"/>
  <c r="H4602" i="13" s="1"/>
  <c r="J4602" i="13" s="1"/>
  <c r="C4602" i="13"/>
  <c r="F4602" i="13" s="1"/>
  <c r="B4602" i="13"/>
  <c r="G4601" i="13"/>
  <c r="H4601" i="13" s="1"/>
  <c r="J4601" i="13" s="1"/>
  <c r="C4601" i="13"/>
  <c r="F4601" i="13" s="1"/>
  <c r="B4601" i="13"/>
  <c r="G4600" i="13"/>
  <c r="H4600" i="13" s="1"/>
  <c r="J4600" i="13" s="1"/>
  <c r="C4600" i="13"/>
  <c r="F4600" i="13" s="1"/>
  <c r="B4600" i="13"/>
  <c r="G4599" i="13"/>
  <c r="H4599" i="13" s="1"/>
  <c r="J4599" i="13" s="1"/>
  <c r="C4599" i="13"/>
  <c r="F4599" i="13" s="1"/>
  <c r="B4599" i="13"/>
  <c r="G4598" i="13"/>
  <c r="H4598" i="13" s="1"/>
  <c r="J4598" i="13" s="1"/>
  <c r="C4598" i="13"/>
  <c r="F4598" i="13" s="1"/>
  <c r="B4598" i="13"/>
  <c r="G4597" i="13"/>
  <c r="H4597" i="13" s="1"/>
  <c r="J4597" i="13" s="1"/>
  <c r="C4597" i="13"/>
  <c r="F4597" i="13" s="1"/>
  <c r="B4597" i="13"/>
  <c r="G4596" i="13"/>
  <c r="H4596" i="13" s="1"/>
  <c r="J4596" i="13" s="1"/>
  <c r="C4596" i="13"/>
  <c r="F4596" i="13" s="1"/>
  <c r="B4596" i="13"/>
  <c r="G4595" i="13"/>
  <c r="H4595" i="13" s="1"/>
  <c r="J4595" i="13" s="1"/>
  <c r="C4595" i="13"/>
  <c r="F4595" i="13" s="1"/>
  <c r="B4595" i="13"/>
  <c r="G4594" i="13"/>
  <c r="H4594" i="13" s="1"/>
  <c r="J4594" i="13" s="1"/>
  <c r="C4594" i="13"/>
  <c r="F4594" i="13" s="1"/>
  <c r="B4594" i="13"/>
  <c r="G4593" i="13"/>
  <c r="H4593" i="13" s="1"/>
  <c r="J4593" i="13" s="1"/>
  <c r="C4593" i="13"/>
  <c r="F4593" i="13" s="1"/>
  <c r="B4593" i="13"/>
  <c r="G4592" i="13"/>
  <c r="H4592" i="13" s="1"/>
  <c r="J4592" i="13" s="1"/>
  <c r="C4592" i="13"/>
  <c r="F4592" i="13" s="1"/>
  <c r="B4592" i="13"/>
  <c r="G4591" i="13"/>
  <c r="H4591" i="13" s="1"/>
  <c r="J4591" i="13" s="1"/>
  <c r="C4591" i="13"/>
  <c r="F4591" i="13" s="1"/>
  <c r="B4591" i="13"/>
  <c r="G4590" i="13"/>
  <c r="H4590" i="13" s="1"/>
  <c r="J4590" i="13" s="1"/>
  <c r="C4590" i="13"/>
  <c r="F4590" i="13" s="1"/>
  <c r="B4590" i="13"/>
  <c r="G4589" i="13"/>
  <c r="H4589" i="13" s="1"/>
  <c r="J4589" i="13" s="1"/>
  <c r="C4589" i="13"/>
  <c r="F4589" i="13" s="1"/>
  <c r="B4589" i="13"/>
  <c r="G4588" i="13"/>
  <c r="H4588" i="13" s="1"/>
  <c r="J4588" i="13" s="1"/>
  <c r="C4588" i="13"/>
  <c r="F4588" i="13" s="1"/>
  <c r="B4588" i="13"/>
  <c r="G4587" i="13"/>
  <c r="H4587" i="13" s="1"/>
  <c r="J4587" i="13" s="1"/>
  <c r="C4587" i="13"/>
  <c r="F4587" i="13" s="1"/>
  <c r="B4587" i="13"/>
  <c r="G4586" i="13"/>
  <c r="H4586" i="13" s="1"/>
  <c r="J4586" i="13" s="1"/>
  <c r="C4586" i="13"/>
  <c r="F4586" i="13" s="1"/>
  <c r="B4586" i="13"/>
  <c r="G4585" i="13"/>
  <c r="H4585" i="13" s="1"/>
  <c r="J4585" i="13" s="1"/>
  <c r="C4585" i="13"/>
  <c r="F4585" i="13" s="1"/>
  <c r="B4585" i="13"/>
  <c r="G4584" i="13"/>
  <c r="H4584" i="13" s="1"/>
  <c r="J4584" i="13" s="1"/>
  <c r="C4584" i="13"/>
  <c r="F4584" i="13" s="1"/>
  <c r="B4584" i="13"/>
  <c r="G4583" i="13"/>
  <c r="H4583" i="13" s="1"/>
  <c r="J4583" i="13" s="1"/>
  <c r="C4583" i="13"/>
  <c r="F4583" i="13" s="1"/>
  <c r="B4583" i="13"/>
  <c r="G4582" i="13"/>
  <c r="H4582" i="13" s="1"/>
  <c r="J4582" i="13" s="1"/>
  <c r="C4582" i="13"/>
  <c r="F4582" i="13" s="1"/>
  <c r="B4582" i="13"/>
  <c r="G4581" i="13"/>
  <c r="H4581" i="13" s="1"/>
  <c r="J4581" i="13" s="1"/>
  <c r="C4581" i="13"/>
  <c r="F4581" i="13" s="1"/>
  <c r="B4581" i="13"/>
  <c r="G4580" i="13"/>
  <c r="H4580" i="13" s="1"/>
  <c r="J4580" i="13" s="1"/>
  <c r="C4580" i="13"/>
  <c r="F4580" i="13" s="1"/>
  <c r="B4580" i="13"/>
  <c r="G4579" i="13"/>
  <c r="H4579" i="13" s="1"/>
  <c r="J4579" i="13" s="1"/>
  <c r="C4579" i="13"/>
  <c r="F4579" i="13" s="1"/>
  <c r="B4579" i="13"/>
  <c r="G4578" i="13"/>
  <c r="H4578" i="13" s="1"/>
  <c r="J4578" i="13" s="1"/>
  <c r="C4578" i="13"/>
  <c r="F4578" i="13" s="1"/>
  <c r="B4578" i="13"/>
  <c r="G4577" i="13"/>
  <c r="H4577" i="13" s="1"/>
  <c r="J4577" i="13" s="1"/>
  <c r="C4577" i="13"/>
  <c r="F4577" i="13" s="1"/>
  <c r="B4577" i="13"/>
  <c r="G4576" i="13"/>
  <c r="H4576" i="13" s="1"/>
  <c r="J4576" i="13" s="1"/>
  <c r="C4576" i="13"/>
  <c r="F4576" i="13" s="1"/>
  <c r="B4576" i="13"/>
  <c r="G4575" i="13"/>
  <c r="H4575" i="13" s="1"/>
  <c r="J4575" i="13" s="1"/>
  <c r="C4575" i="13"/>
  <c r="F4575" i="13" s="1"/>
  <c r="B4575" i="13"/>
  <c r="G4574" i="13"/>
  <c r="H4574" i="13" s="1"/>
  <c r="J4574" i="13" s="1"/>
  <c r="C4574" i="13"/>
  <c r="F4574" i="13" s="1"/>
  <c r="B4574" i="13"/>
  <c r="G4573" i="13"/>
  <c r="H4573" i="13" s="1"/>
  <c r="J4573" i="13" s="1"/>
  <c r="C4573" i="13"/>
  <c r="F4573" i="13" s="1"/>
  <c r="B4573" i="13"/>
  <c r="G4572" i="13"/>
  <c r="H4572" i="13" s="1"/>
  <c r="J4572" i="13" s="1"/>
  <c r="C4572" i="13"/>
  <c r="F4572" i="13" s="1"/>
  <c r="B4572" i="13"/>
  <c r="G4571" i="13"/>
  <c r="H4571" i="13" s="1"/>
  <c r="J4571" i="13" s="1"/>
  <c r="C4571" i="13"/>
  <c r="F4571" i="13" s="1"/>
  <c r="B4571" i="13"/>
  <c r="G4570" i="13"/>
  <c r="H4570" i="13" s="1"/>
  <c r="J4570" i="13" s="1"/>
  <c r="C4570" i="13"/>
  <c r="F4570" i="13" s="1"/>
  <c r="B4570" i="13"/>
  <c r="G4569" i="13"/>
  <c r="H4569" i="13" s="1"/>
  <c r="J4569" i="13" s="1"/>
  <c r="C4569" i="13"/>
  <c r="F4569" i="13" s="1"/>
  <c r="B4569" i="13"/>
  <c r="G4568" i="13"/>
  <c r="H4568" i="13" s="1"/>
  <c r="J4568" i="13" s="1"/>
  <c r="C4568" i="13"/>
  <c r="F4568" i="13" s="1"/>
  <c r="B4568" i="13"/>
  <c r="G4567" i="13"/>
  <c r="H4567" i="13" s="1"/>
  <c r="J4567" i="13" s="1"/>
  <c r="C4567" i="13"/>
  <c r="F4567" i="13" s="1"/>
  <c r="B4567" i="13"/>
  <c r="G4566" i="13"/>
  <c r="H4566" i="13" s="1"/>
  <c r="J4566" i="13" s="1"/>
  <c r="C4566" i="13"/>
  <c r="F4566" i="13" s="1"/>
  <c r="B4566" i="13"/>
  <c r="G4565" i="13"/>
  <c r="H4565" i="13" s="1"/>
  <c r="J4565" i="13" s="1"/>
  <c r="C4565" i="13"/>
  <c r="F4565" i="13" s="1"/>
  <c r="B4565" i="13"/>
  <c r="G4564" i="13"/>
  <c r="H4564" i="13" s="1"/>
  <c r="J4564" i="13" s="1"/>
  <c r="C4564" i="13"/>
  <c r="F4564" i="13" s="1"/>
  <c r="B4564" i="13"/>
  <c r="G4563" i="13"/>
  <c r="H4563" i="13" s="1"/>
  <c r="J4563" i="13" s="1"/>
  <c r="C4563" i="13"/>
  <c r="F4563" i="13" s="1"/>
  <c r="B4563" i="13"/>
  <c r="G4562" i="13"/>
  <c r="H4562" i="13" s="1"/>
  <c r="J4562" i="13" s="1"/>
  <c r="C4562" i="13"/>
  <c r="F4562" i="13" s="1"/>
  <c r="B4562" i="13"/>
  <c r="G4561" i="13"/>
  <c r="H4561" i="13" s="1"/>
  <c r="J4561" i="13" s="1"/>
  <c r="C4561" i="13"/>
  <c r="F4561" i="13" s="1"/>
  <c r="B4561" i="13"/>
  <c r="G4560" i="13"/>
  <c r="H4560" i="13" s="1"/>
  <c r="J4560" i="13" s="1"/>
  <c r="C4560" i="13"/>
  <c r="F4560" i="13" s="1"/>
  <c r="B4560" i="13"/>
  <c r="G4559" i="13"/>
  <c r="H4559" i="13" s="1"/>
  <c r="J4559" i="13" s="1"/>
  <c r="C4559" i="13"/>
  <c r="F4559" i="13" s="1"/>
  <c r="B4559" i="13"/>
  <c r="G4558" i="13"/>
  <c r="H4558" i="13" s="1"/>
  <c r="J4558" i="13" s="1"/>
  <c r="C4558" i="13"/>
  <c r="F4558" i="13" s="1"/>
  <c r="B4558" i="13"/>
  <c r="G4557" i="13"/>
  <c r="H4557" i="13" s="1"/>
  <c r="J4557" i="13" s="1"/>
  <c r="C4557" i="13"/>
  <c r="F4557" i="13" s="1"/>
  <c r="B4557" i="13"/>
  <c r="G4556" i="13"/>
  <c r="H4556" i="13" s="1"/>
  <c r="C4556" i="13"/>
  <c r="F4556" i="13" s="1"/>
  <c r="B4556" i="13"/>
  <c r="G4555" i="13"/>
  <c r="H4555" i="13" s="1"/>
  <c r="J4555" i="13" s="1"/>
  <c r="C4555" i="13"/>
  <c r="F4555" i="13" s="1"/>
  <c r="B4555" i="13"/>
  <c r="G4554" i="13"/>
  <c r="H4554" i="13" s="1"/>
  <c r="J4554" i="13" s="1"/>
  <c r="C4554" i="13"/>
  <c r="F4554" i="13" s="1"/>
  <c r="B4554" i="13"/>
  <c r="G4553" i="13"/>
  <c r="H4553" i="13" s="1"/>
  <c r="J4553" i="13" s="1"/>
  <c r="C4553" i="13"/>
  <c r="F4553" i="13" s="1"/>
  <c r="B4553" i="13"/>
  <c r="G4552" i="13"/>
  <c r="H4552" i="13" s="1"/>
  <c r="J4552" i="13" s="1"/>
  <c r="C4552" i="13"/>
  <c r="F4552" i="13" s="1"/>
  <c r="B4552" i="13"/>
  <c r="G4551" i="13"/>
  <c r="H4551" i="13" s="1"/>
  <c r="J4551" i="13" s="1"/>
  <c r="C4551" i="13"/>
  <c r="F4551" i="13" s="1"/>
  <c r="B4551" i="13"/>
  <c r="G4550" i="13"/>
  <c r="H4550" i="13" s="1"/>
  <c r="J4550" i="13" s="1"/>
  <c r="C4550" i="13"/>
  <c r="F4550" i="13" s="1"/>
  <c r="B4550" i="13"/>
  <c r="G4549" i="13"/>
  <c r="H4549" i="13" s="1"/>
  <c r="J4549" i="13" s="1"/>
  <c r="C4549" i="13"/>
  <c r="F4549" i="13" s="1"/>
  <c r="B4549" i="13"/>
  <c r="G4548" i="13"/>
  <c r="H4548" i="13" s="1"/>
  <c r="J4548" i="13" s="1"/>
  <c r="C4548" i="13"/>
  <c r="F4548" i="13" s="1"/>
  <c r="B4548" i="13"/>
  <c r="G4547" i="13"/>
  <c r="H4547" i="13" s="1"/>
  <c r="J4547" i="13" s="1"/>
  <c r="C4547" i="13"/>
  <c r="F4547" i="13" s="1"/>
  <c r="B4547" i="13"/>
  <c r="G4546" i="13"/>
  <c r="H4546" i="13" s="1"/>
  <c r="J4546" i="13" s="1"/>
  <c r="C4546" i="13"/>
  <c r="F4546" i="13" s="1"/>
  <c r="B4546" i="13"/>
  <c r="G4545" i="13"/>
  <c r="H4545" i="13" s="1"/>
  <c r="J4545" i="13" s="1"/>
  <c r="C4545" i="13"/>
  <c r="F4545" i="13" s="1"/>
  <c r="B4545" i="13"/>
  <c r="G4544" i="13"/>
  <c r="H4544" i="13" s="1"/>
  <c r="J4544" i="13" s="1"/>
  <c r="C4544" i="13"/>
  <c r="F4544" i="13" s="1"/>
  <c r="B4544" i="13"/>
  <c r="G4543" i="13"/>
  <c r="H4543" i="13" s="1"/>
  <c r="J4543" i="13" s="1"/>
  <c r="C4543" i="13"/>
  <c r="F4543" i="13" s="1"/>
  <c r="B4543" i="13"/>
  <c r="G4542" i="13"/>
  <c r="H4542" i="13" s="1"/>
  <c r="J4542" i="13" s="1"/>
  <c r="C4542" i="13"/>
  <c r="F4542" i="13" s="1"/>
  <c r="B4542" i="13"/>
  <c r="G4541" i="13"/>
  <c r="H4541" i="13" s="1"/>
  <c r="J4541" i="13" s="1"/>
  <c r="C4541" i="13"/>
  <c r="F4541" i="13" s="1"/>
  <c r="B4541" i="13"/>
  <c r="G4540" i="13"/>
  <c r="H4540" i="13" s="1"/>
  <c r="J4540" i="13" s="1"/>
  <c r="C4540" i="13"/>
  <c r="F4540" i="13" s="1"/>
  <c r="B4540" i="13"/>
  <c r="G4539" i="13"/>
  <c r="H4539" i="13" s="1"/>
  <c r="J4539" i="13" s="1"/>
  <c r="C4539" i="13"/>
  <c r="F4539" i="13" s="1"/>
  <c r="B4539" i="13"/>
  <c r="G4538" i="13"/>
  <c r="H4538" i="13" s="1"/>
  <c r="J4538" i="13" s="1"/>
  <c r="C4538" i="13"/>
  <c r="F4538" i="13" s="1"/>
  <c r="B4538" i="13"/>
  <c r="G4537" i="13"/>
  <c r="H4537" i="13" s="1"/>
  <c r="J4537" i="13" s="1"/>
  <c r="C4537" i="13"/>
  <c r="F4537" i="13" s="1"/>
  <c r="B4537" i="13"/>
  <c r="G4536" i="13"/>
  <c r="H4536" i="13" s="1"/>
  <c r="J4536" i="13" s="1"/>
  <c r="C4536" i="13"/>
  <c r="F4536" i="13" s="1"/>
  <c r="B4536" i="13"/>
  <c r="G4535" i="13"/>
  <c r="H4535" i="13" s="1"/>
  <c r="J4535" i="13" s="1"/>
  <c r="C4535" i="13"/>
  <c r="F4535" i="13" s="1"/>
  <c r="B4535" i="13"/>
  <c r="G4534" i="13"/>
  <c r="H4534" i="13" s="1"/>
  <c r="J4534" i="13" s="1"/>
  <c r="C4534" i="13"/>
  <c r="F4534" i="13" s="1"/>
  <c r="B4534" i="13"/>
  <c r="G4533" i="13"/>
  <c r="H4533" i="13" s="1"/>
  <c r="C4533" i="13"/>
  <c r="F4533" i="13" s="1"/>
  <c r="B4533" i="13"/>
  <c r="G4532" i="13"/>
  <c r="H4532" i="13" s="1"/>
  <c r="J4532" i="13" s="1"/>
  <c r="C4532" i="13"/>
  <c r="F4532" i="13" s="1"/>
  <c r="B4532" i="13"/>
  <c r="G4531" i="13"/>
  <c r="H4531" i="13" s="1"/>
  <c r="J4531" i="13" s="1"/>
  <c r="C4531" i="13"/>
  <c r="F4531" i="13" s="1"/>
  <c r="B4531" i="13"/>
  <c r="G4530" i="13"/>
  <c r="H4530" i="13" s="1"/>
  <c r="J4530" i="13" s="1"/>
  <c r="C4530" i="13"/>
  <c r="F4530" i="13" s="1"/>
  <c r="B4530" i="13"/>
  <c r="G4529" i="13"/>
  <c r="H4529" i="13" s="1"/>
  <c r="J4529" i="13" s="1"/>
  <c r="C4529" i="13"/>
  <c r="F4529" i="13" s="1"/>
  <c r="B4529" i="13"/>
  <c r="G4528" i="13"/>
  <c r="H4528" i="13" s="1"/>
  <c r="J4528" i="13" s="1"/>
  <c r="C4528" i="13"/>
  <c r="F4528" i="13" s="1"/>
  <c r="B4528" i="13"/>
  <c r="G4527" i="13"/>
  <c r="H4527" i="13" s="1"/>
  <c r="J4527" i="13" s="1"/>
  <c r="C4527" i="13"/>
  <c r="F4527" i="13" s="1"/>
  <c r="B4527" i="13"/>
  <c r="G4526" i="13"/>
  <c r="H4526" i="13" s="1"/>
  <c r="J4526" i="13" s="1"/>
  <c r="C4526" i="13"/>
  <c r="F4526" i="13" s="1"/>
  <c r="B4526" i="13"/>
  <c r="G4525" i="13"/>
  <c r="H4525" i="13" s="1"/>
  <c r="J4525" i="13" s="1"/>
  <c r="C4525" i="13"/>
  <c r="F4525" i="13" s="1"/>
  <c r="B4525" i="13"/>
  <c r="G4524" i="13"/>
  <c r="H4524" i="13" s="1"/>
  <c r="J4524" i="13" s="1"/>
  <c r="C4524" i="13"/>
  <c r="F4524" i="13" s="1"/>
  <c r="B4524" i="13"/>
  <c r="G4523" i="13"/>
  <c r="H4523" i="13" s="1"/>
  <c r="J4523" i="13" s="1"/>
  <c r="C4523" i="13"/>
  <c r="F4523" i="13" s="1"/>
  <c r="B4523" i="13"/>
  <c r="G4522" i="13"/>
  <c r="H4522" i="13" s="1"/>
  <c r="J4522" i="13" s="1"/>
  <c r="C4522" i="13"/>
  <c r="F4522" i="13" s="1"/>
  <c r="B4522" i="13"/>
  <c r="G4521" i="13"/>
  <c r="H4521" i="13" s="1"/>
  <c r="C4521" i="13"/>
  <c r="F4521" i="13" s="1"/>
  <c r="B4521" i="13"/>
  <c r="G4520" i="13"/>
  <c r="H4520" i="13" s="1"/>
  <c r="J4520" i="13" s="1"/>
  <c r="C4520" i="13"/>
  <c r="F4520" i="13" s="1"/>
  <c r="B4520" i="13"/>
  <c r="G4519" i="13"/>
  <c r="H4519" i="13" s="1"/>
  <c r="J4519" i="13" s="1"/>
  <c r="C4519" i="13"/>
  <c r="F4519" i="13" s="1"/>
  <c r="B4519" i="13"/>
  <c r="G4518" i="13"/>
  <c r="H4518" i="13" s="1"/>
  <c r="J4518" i="13" s="1"/>
  <c r="C4518" i="13"/>
  <c r="F4518" i="13" s="1"/>
  <c r="B4518" i="13"/>
  <c r="G4517" i="13"/>
  <c r="H4517" i="13" s="1"/>
  <c r="J4517" i="13" s="1"/>
  <c r="C4517" i="13"/>
  <c r="F4517" i="13" s="1"/>
  <c r="B4517" i="13"/>
  <c r="G4516" i="13"/>
  <c r="H4516" i="13" s="1"/>
  <c r="J4516" i="13" s="1"/>
  <c r="C4516" i="13"/>
  <c r="F4516" i="13" s="1"/>
  <c r="B4516" i="13"/>
  <c r="G4515" i="13"/>
  <c r="H4515" i="13" s="1"/>
  <c r="J4515" i="13" s="1"/>
  <c r="C4515" i="13"/>
  <c r="F4515" i="13" s="1"/>
  <c r="B4515" i="13"/>
  <c r="G4514" i="13"/>
  <c r="H4514" i="13" s="1"/>
  <c r="J4514" i="13" s="1"/>
  <c r="C4514" i="13"/>
  <c r="F4514" i="13" s="1"/>
  <c r="B4514" i="13"/>
  <c r="G4513" i="13"/>
  <c r="H4513" i="13" s="1"/>
  <c r="J4513" i="13" s="1"/>
  <c r="C4513" i="13"/>
  <c r="F4513" i="13" s="1"/>
  <c r="B4513" i="13"/>
  <c r="G4512" i="13"/>
  <c r="H4512" i="13" s="1"/>
  <c r="J4512" i="13" s="1"/>
  <c r="C4512" i="13"/>
  <c r="F4512" i="13" s="1"/>
  <c r="B4512" i="13"/>
  <c r="G4511" i="13"/>
  <c r="H4511" i="13" s="1"/>
  <c r="J4511" i="13" s="1"/>
  <c r="C4511" i="13"/>
  <c r="F4511" i="13" s="1"/>
  <c r="B4511" i="13"/>
  <c r="G4510" i="13"/>
  <c r="H4510" i="13" s="1"/>
  <c r="J4510" i="13" s="1"/>
  <c r="C4510" i="13"/>
  <c r="F4510" i="13" s="1"/>
  <c r="B4510" i="13"/>
  <c r="G4509" i="13"/>
  <c r="H4509" i="13" s="1"/>
  <c r="J4509" i="13" s="1"/>
  <c r="C4509" i="13"/>
  <c r="F4509" i="13" s="1"/>
  <c r="B4509" i="13"/>
  <c r="G4508" i="13"/>
  <c r="H4508" i="13" s="1"/>
  <c r="J4508" i="13" s="1"/>
  <c r="C4508" i="13"/>
  <c r="F4508" i="13" s="1"/>
  <c r="B4508" i="13"/>
  <c r="G4507" i="13"/>
  <c r="H4507" i="13" s="1"/>
  <c r="J4507" i="13" s="1"/>
  <c r="C4507" i="13"/>
  <c r="F4507" i="13" s="1"/>
  <c r="B4507" i="13"/>
  <c r="G4506" i="13"/>
  <c r="H4506" i="13" s="1"/>
  <c r="J4506" i="13" s="1"/>
  <c r="C4506" i="13"/>
  <c r="F4506" i="13" s="1"/>
  <c r="B4506" i="13"/>
  <c r="G4505" i="13"/>
  <c r="H4505" i="13" s="1"/>
  <c r="J4505" i="13" s="1"/>
  <c r="C4505" i="13"/>
  <c r="F4505" i="13" s="1"/>
  <c r="B4505" i="13"/>
  <c r="G4504" i="13"/>
  <c r="H4504" i="13" s="1"/>
  <c r="J4504" i="13" s="1"/>
  <c r="C4504" i="13"/>
  <c r="F4504" i="13" s="1"/>
  <c r="B4504" i="13"/>
  <c r="G4503" i="13"/>
  <c r="H4503" i="13" s="1"/>
  <c r="J4503" i="13" s="1"/>
  <c r="C4503" i="13"/>
  <c r="F4503" i="13" s="1"/>
  <c r="B4503" i="13"/>
  <c r="G4502" i="13"/>
  <c r="H4502" i="13" s="1"/>
  <c r="J4502" i="13" s="1"/>
  <c r="C4502" i="13"/>
  <c r="F4502" i="13" s="1"/>
  <c r="B4502" i="13"/>
  <c r="G4501" i="13"/>
  <c r="H4501" i="13" s="1"/>
  <c r="J4501" i="13" s="1"/>
  <c r="C4501" i="13"/>
  <c r="F4501" i="13" s="1"/>
  <c r="B4501" i="13"/>
  <c r="G4500" i="13"/>
  <c r="H4500" i="13" s="1"/>
  <c r="J4500" i="13" s="1"/>
  <c r="C4500" i="13"/>
  <c r="F4500" i="13" s="1"/>
  <c r="B4500" i="13"/>
  <c r="G4499" i="13"/>
  <c r="H4499" i="13" s="1"/>
  <c r="J4499" i="13" s="1"/>
  <c r="C4499" i="13"/>
  <c r="F4499" i="13" s="1"/>
  <c r="B4499" i="13"/>
  <c r="G4498" i="13"/>
  <c r="H4498" i="13" s="1"/>
  <c r="J4498" i="13" s="1"/>
  <c r="C4498" i="13"/>
  <c r="F4498" i="13" s="1"/>
  <c r="B4498" i="13"/>
  <c r="G4497" i="13"/>
  <c r="H4497" i="13" s="1"/>
  <c r="J4497" i="13" s="1"/>
  <c r="C4497" i="13"/>
  <c r="F4497" i="13" s="1"/>
  <c r="B4497" i="13"/>
  <c r="G4496" i="13"/>
  <c r="H4496" i="13" s="1"/>
  <c r="J4496" i="13" s="1"/>
  <c r="C4496" i="13"/>
  <c r="F4496" i="13" s="1"/>
  <c r="B4496" i="13"/>
  <c r="G4495" i="13"/>
  <c r="H4495" i="13" s="1"/>
  <c r="J4495" i="13" s="1"/>
  <c r="C4495" i="13"/>
  <c r="F4495" i="13" s="1"/>
  <c r="B4495" i="13"/>
  <c r="G4494" i="13"/>
  <c r="H4494" i="13" s="1"/>
  <c r="J4494" i="13" s="1"/>
  <c r="C4494" i="13"/>
  <c r="F4494" i="13" s="1"/>
  <c r="B4494" i="13"/>
  <c r="G4493" i="13"/>
  <c r="H4493" i="13" s="1"/>
  <c r="J4493" i="13" s="1"/>
  <c r="C4493" i="13"/>
  <c r="F4493" i="13" s="1"/>
  <c r="B4493" i="13"/>
  <c r="G4492" i="13"/>
  <c r="H4492" i="13" s="1"/>
  <c r="J4492" i="13" s="1"/>
  <c r="C4492" i="13"/>
  <c r="F4492" i="13" s="1"/>
  <c r="B4492" i="13"/>
  <c r="G4491" i="13"/>
  <c r="H4491" i="13" s="1"/>
  <c r="J4491" i="13" s="1"/>
  <c r="C4491" i="13"/>
  <c r="F4491" i="13" s="1"/>
  <c r="B4491" i="13"/>
  <c r="G4490" i="13"/>
  <c r="H4490" i="13" s="1"/>
  <c r="J4490" i="13" s="1"/>
  <c r="C4490" i="13"/>
  <c r="F4490" i="13" s="1"/>
  <c r="B4490" i="13"/>
  <c r="G4489" i="13"/>
  <c r="H4489" i="13" s="1"/>
  <c r="C4489" i="13"/>
  <c r="F4489" i="13" s="1"/>
  <c r="B4489" i="13"/>
  <c r="G4488" i="13"/>
  <c r="H4488" i="13" s="1"/>
  <c r="J4488" i="13" s="1"/>
  <c r="C4488" i="13"/>
  <c r="F4488" i="13" s="1"/>
  <c r="B4488" i="13"/>
  <c r="G4487" i="13"/>
  <c r="H4487" i="13" s="1"/>
  <c r="J4487" i="13" s="1"/>
  <c r="C4487" i="13"/>
  <c r="F4487" i="13" s="1"/>
  <c r="B4487" i="13"/>
  <c r="G4486" i="13"/>
  <c r="H4486" i="13" s="1"/>
  <c r="J4486" i="13" s="1"/>
  <c r="C4486" i="13"/>
  <c r="F4486" i="13" s="1"/>
  <c r="B4486" i="13"/>
  <c r="G4485" i="13"/>
  <c r="H4485" i="13" s="1"/>
  <c r="J4485" i="13" s="1"/>
  <c r="C4485" i="13"/>
  <c r="F4485" i="13" s="1"/>
  <c r="B4485" i="13"/>
  <c r="G4484" i="13"/>
  <c r="H4484" i="13" s="1"/>
  <c r="J4484" i="13" s="1"/>
  <c r="C4484" i="13"/>
  <c r="F4484" i="13" s="1"/>
  <c r="B4484" i="13"/>
  <c r="G4483" i="13"/>
  <c r="H4483" i="13" s="1"/>
  <c r="J4483" i="13" s="1"/>
  <c r="C4483" i="13"/>
  <c r="F4483" i="13" s="1"/>
  <c r="B4483" i="13"/>
  <c r="G4482" i="13"/>
  <c r="H4482" i="13" s="1"/>
  <c r="J4482" i="13" s="1"/>
  <c r="C4482" i="13"/>
  <c r="F4482" i="13" s="1"/>
  <c r="B4482" i="13"/>
  <c r="G4481" i="13"/>
  <c r="H4481" i="13" s="1"/>
  <c r="J4481" i="13" s="1"/>
  <c r="C4481" i="13"/>
  <c r="F4481" i="13" s="1"/>
  <c r="B4481" i="13"/>
  <c r="G4480" i="13"/>
  <c r="H4480" i="13" s="1"/>
  <c r="J4480" i="13" s="1"/>
  <c r="C4480" i="13"/>
  <c r="F4480" i="13" s="1"/>
  <c r="B4480" i="13"/>
  <c r="G4479" i="13"/>
  <c r="H4479" i="13" s="1"/>
  <c r="J4479" i="13" s="1"/>
  <c r="C4479" i="13"/>
  <c r="F4479" i="13" s="1"/>
  <c r="B4479" i="13"/>
  <c r="G4478" i="13"/>
  <c r="H4478" i="13" s="1"/>
  <c r="J4478" i="13" s="1"/>
  <c r="C4478" i="13"/>
  <c r="F4478" i="13" s="1"/>
  <c r="B4478" i="13"/>
  <c r="G4477" i="13"/>
  <c r="H4477" i="13" s="1"/>
  <c r="J4477" i="13" s="1"/>
  <c r="C4477" i="13"/>
  <c r="F4477" i="13" s="1"/>
  <c r="B4477" i="13"/>
  <c r="G4476" i="13"/>
  <c r="H4476" i="13" s="1"/>
  <c r="J4476" i="13" s="1"/>
  <c r="C4476" i="13"/>
  <c r="F4476" i="13" s="1"/>
  <c r="B4476" i="13"/>
  <c r="G4475" i="13"/>
  <c r="H4475" i="13" s="1"/>
  <c r="J4475" i="13" s="1"/>
  <c r="C4475" i="13"/>
  <c r="F4475" i="13" s="1"/>
  <c r="B4475" i="13"/>
  <c r="G4474" i="13"/>
  <c r="H4474" i="13" s="1"/>
  <c r="J4474" i="13" s="1"/>
  <c r="C4474" i="13"/>
  <c r="F4474" i="13" s="1"/>
  <c r="B4474" i="13"/>
  <c r="G4473" i="13"/>
  <c r="H4473" i="13" s="1"/>
  <c r="J4473" i="13" s="1"/>
  <c r="C4473" i="13"/>
  <c r="F4473" i="13" s="1"/>
  <c r="B4473" i="13"/>
  <c r="G4472" i="13"/>
  <c r="H4472" i="13" s="1"/>
  <c r="J4472" i="13" s="1"/>
  <c r="C4472" i="13"/>
  <c r="F4472" i="13" s="1"/>
  <c r="B4472" i="13"/>
  <c r="G4471" i="13"/>
  <c r="H4471" i="13" s="1"/>
  <c r="J4471" i="13" s="1"/>
  <c r="C4471" i="13"/>
  <c r="F4471" i="13" s="1"/>
  <c r="B4471" i="13"/>
  <c r="G4470" i="13"/>
  <c r="H4470" i="13" s="1"/>
  <c r="J4470" i="13" s="1"/>
  <c r="C4470" i="13"/>
  <c r="F4470" i="13" s="1"/>
  <c r="B4470" i="13"/>
  <c r="G4469" i="13"/>
  <c r="H4469" i="13" s="1"/>
  <c r="J4469" i="13" s="1"/>
  <c r="C4469" i="13"/>
  <c r="F4469" i="13" s="1"/>
  <c r="B4469" i="13"/>
  <c r="G4468" i="13"/>
  <c r="H4468" i="13" s="1"/>
  <c r="J4468" i="13" s="1"/>
  <c r="C4468" i="13"/>
  <c r="F4468" i="13" s="1"/>
  <c r="B4468" i="13"/>
  <c r="G4467" i="13"/>
  <c r="H4467" i="13" s="1"/>
  <c r="J4467" i="13" s="1"/>
  <c r="C4467" i="13"/>
  <c r="F4467" i="13" s="1"/>
  <c r="B4467" i="13"/>
  <c r="G4466" i="13"/>
  <c r="H4466" i="13" s="1"/>
  <c r="J4466" i="13" s="1"/>
  <c r="C4466" i="13"/>
  <c r="F4466" i="13" s="1"/>
  <c r="B4466" i="13"/>
  <c r="G4465" i="13"/>
  <c r="H4465" i="13" s="1"/>
  <c r="J4465" i="13" s="1"/>
  <c r="C4465" i="13"/>
  <c r="F4465" i="13" s="1"/>
  <c r="B4465" i="13"/>
  <c r="G4464" i="13"/>
  <c r="H4464" i="13" s="1"/>
  <c r="J4464" i="13" s="1"/>
  <c r="C4464" i="13"/>
  <c r="F4464" i="13" s="1"/>
  <c r="B4464" i="13"/>
  <c r="G4463" i="13"/>
  <c r="H4463" i="13" s="1"/>
  <c r="J4463" i="13" s="1"/>
  <c r="C4463" i="13"/>
  <c r="F4463" i="13" s="1"/>
  <c r="B4463" i="13"/>
  <c r="G4462" i="13"/>
  <c r="H4462" i="13" s="1"/>
  <c r="J4462" i="13" s="1"/>
  <c r="C4462" i="13"/>
  <c r="F4462" i="13" s="1"/>
  <c r="B4462" i="13"/>
  <c r="G4461" i="13"/>
  <c r="H4461" i="13" s="1"/>
  <c r="J4461" i="13" s="1"/>
  <c r="C4461" i="13"/>
  <c r="F4461" i="13" s="1"/>
  <c r="B4461" i="13"/>
  <c r="G4460" i="13"/>
  <c r="H4460" i="13" s="1"/>
  <c r="J4460" i="13" s="1"/>
  <c r="C4460" i="13"/>
  <c r="F4460" i="13" s="1"/>
  <c r="B4460" i="13"/>
  <c r="G4459" i="13"/>
  <c r="H4459" i="13" s="1"/>
  <c r="J4459" i="13" s="1"/>
  <c r="C4459" i="13"/>
  <c r="F4459" i="13" s="1"/>
  <c r="B4459" i="13"/>
  <c r="G4458" i="13"/>
  <c r="H4458" i="13" s="1"/>
  <c r="J4458" i="13" s="1"/>
  <c r="C4458" i="13"/>
  <c r="F4458" i="13" s="1"/>
  <c r="B4458" i="13"/>
  <c r="G4457" i="13"/>
  <c r="H4457" i="13" s="1"/>
  <c r="J4457" i="13" s="1"/>
  <c r="C4457" i="13"/>
  <c r="F4457" i="13" s="1"/>
  <c r="B4457" i="13"/>
  <c r="G4456" i="13"/>
  <c r="H4456" i="13" s="1"/>
  <c r="J4456" i="13" s="1"/>
  <c r="C4456" i="13"/>
  <c r="F4456" i="13" s="1"/>
  <c r="B4456" i="13"/>
  <c r="G4455" i="13"/>
  <c r="H4455" i="13" s="1"/>
  <c r="J4455" i="13" s="1"/>
  <c r="C4455" i="13"/>
  <c r="F4455" i="13" s="1"/>
  <c r="B4455" i="13"/>
  <c r="G4454" i="13"/>
  <c r="H4454" i="13" s="1"/>
  <c r="J4454" i="13" s="1"/>
  <c r="C4454" i="13"/>
  <c r="F4454" i="13" s="1"/>
  <c r="B4454" i="13"/>
  <c r="G4453" i="13"/>
  <c r="H4453" i="13" s="1"/>
  <c r="J4453" i="13" s="1"/>
  <c r="C4453" i="13"/>
  <c r="F4453" i="13" s="1"/>
  <c r="B4453" i="13"/>
  <c r="G4452" i="13"/>
  <c r="H4452" i="13" s="1"/>
  <c r="J4452" i="13" s="1"/>
  <c r="C4452" i="13"/>
  <c r="F4452" i="13" s="1"/>
  <c r="B4452" i="13"/>
  <c r="G4451" i="13"/>
  <c r="H4451" i="13" s="1"/>
  <c r="J4451" i="13" s="1"/>
  <c r="C4451" i="13"/>
  <c r="F4451" i="13" s="1"/>
  <c r="B4451" i="13"/>
  <c r="G4450" i="13"/>
  <c r="H4450" i="13" s="1"/>
  <c r="J4450" i="13" s="1"/>
  <c r="C4450" i="13"/>
  <c r="F4450" i="13" s="1"/>
  <c r="B4450" i="13"/>
  <c r="G4449" i="13"/>
  <c r="H4449" i="13" s="1"/>
  <c r="J4449" i="13" s="1"/>
  <c r="C4449" i="13"/>
  <c r="F4449" i="13" s="1"/>
  <c r="B4449" i="13"/>
  <c r="G4448" i="13"/>
  <c r="H4448" i="13" s="1"/>
  <c r="J4448" i="13" s="1"/>
  <c r="C4448" i="13"/>
  <c r="F4448" i="13" s="1"/>
  <c r="B4448" i="13"/>
  <c r="G4447" i="13"/>
  <c r="H4447" i="13" s="1"/>
  <c r="J4447" i="13" s="1"/>
  <c r="C4447" i="13"/>
  <c r="F4447" i="13" s="1"/>
  <c r="B4447" i="13"/>
  <c r="G4446" i="13"/>
  <c r="H4446" i="13" s="1"/>
  <c r="J4446" i="13" s="1"/>
  <c r="C4446" i="13"/>
  <c r="F4446" i="13" s="1"/>
  <c r="B4446" i="13"/>
  <c r="G4445" i="13"/>
  <c r="H4445" i="13" s="1"/>
  <c r="J4445" i="13" s="1"/>
  <c r="C4445" i="13"/>
  <c r="F4445" i="13" s="1"/>
  <c r="B4445" i="13"/>
  <c r="G4444" i="13"/>
  <c r="H4444" i="13" s="1"/>
  <c r="J4444" i="13" s="1"/>
  <c r="C4444" i="13"/>
  <c r="F4444" i="13" s="1"/>
  <c r="B4444" i="13"/>
  <c r="G4443" i="13"/>
  <c r="H4443" i="13" s="1"/>
  <c r="J4443" i="13" s="1"/>
  <c r="C4443" i="13"/>
  <c r="F4443" i="13" s="1"/>
  <c r="B4443" i="13"/>
  <c r="G4442" i="13"/>
  <c r="H4442" i="13" s="1"/>
  <c r="J4442" i="13" s="1"/>
  <c r="C4442" i="13"/>
  <c r="F4442" i="13" s="1"/>
  <c r="B4442" i="13"/>
  <c r="G4441" i="13"/>
  <c r="H4441" i="13" s="1"/>
  <c r="J4441" i="13" s="1"/>
  <c r="C4441" i="13"/>
  <c r="F4441" i="13" s="1"/>
  <c r="B4441" i="13"/>
  <c r="G4440" i="13"/>
  <c r="H4440" i="13" s="1"/>
  <c r="J4440" i="13" s="1"/>
  <c r="C4440" i="13"/>
  <c r="F4440" i="13" s="1"/>
  <c r="B4440" i="13"/>
  <c r="G4439" i="13"/>
  <c r="H4439" i="13" s="1"/>
  <c r="J4439" i="13" s="1"/>
  <c r="C4439" i="13"/>
  <c r="F4439" i="13" s="1"/>
  <c r="B4439" i="13"/>
  <c r="G4438" i="13"/>
  <c r="H4438" i="13" s="1"/>
  <c r="J4438" i="13" s="1"/>
  <c r="C4438" i="13"/>
  <c r="F4438" i="13" s="1"/>
  <c r="B4438" i="13"/>
  <c r="G4437" i="13"/>
  <c r="H4437" i="13" s="1"/>
  <c r="C4437" i="13"/>
  <c r="F4437" i="13" s="1"/>
  <c r="B4437" i="13"/>
  <c r="G4436" i="13"/>
  <c r="H4436" i="13" s="1"/>
  <c r="C4436" i="13"/>
  <c r="F4436" i="13" s="1"/>
  <c r="B4436" i="13"/>
  <c r="G4435" i="13"/>
  <c r="H4435" i="13" s="1"/>
  <c r="J4435" i="13" s="1"/>
  <c r="C4435" i="13"/>
  <c r="F4435" i="13" s="1"/>
  <c r="B4435" i="13"/>
  <c r="G4434" i="13"/>
  <c r="H4434" i="13" s="1"/>
  <c r="J4434" i="13" s="1"/>
  <c r="C4434" i="13"/>
  <c r="F4434" i="13" s="1"/>
  <c r="B4434" i="13"/>
  <c r="G4433" i="13"/>
  <c r="H4433" i="13" s="1"/>
  <c r="J4433" i="13" s="1"/>
  <c r="C4433" i="13"/>
  <c r="F4433" i="13" s="1"/>
  <c r="B4433" i="13"/>
  <c r="G4432" i="13"/>
  <c r="H4432" i="13" s="1"/>
  <c r="J4432" i="13" s="1"/>
  <c r="C4432" i="13"/>
  <c r="F4432" i="13" s="1"/>
  <c r="B4432" i="13"/>
  <c r="G4431" i="13"/>
  <c r="H4431" i="13" s="1"/>
  <c r="J4431" i="13" s="1"/>
  <c r="C4431" i="13"/>
  <c r="F4431" i="13" s="1"/>
  <c r="B4431" i="13"/>
  <c r="G4430" i="13"/>
  <c r="H4430" i="13" s="1"/>
  <c r="J4430" i="13" s="1"/>
  <c r="C4430" i="13"/>
  <c r="F4430" i="13" s="1"/>
  <c r="B4430" i="13"/>
  <c r="G4429" i="13"/>
  <c r="H4429" i="13" s="1"/>
  <c r="J4429" i="13" s="1"/>
  <c r="C4429" i="13"/>
  <c r="F4429" i="13" s="1"/>
  <c r="B4429" i="13"/>
  <c r="G4428" i="13"/>
  <c r="H4428" i="13" s="1"/>
  <c r="J4428" i="13" s="1"/>
  <c r="C4428" i="13"/>
  <c r="F4428" i="13" s="1"/>
  <c r="B4428" i="13"/>
  <c r="G4427" i="13"/>
  <c r="H4427" i="13" s="1"/>
  <c r="J4427" i="13" s="1"/>
  <c r="C4427" i="13"/>
  <c r="F4427" i="13" s="1"/>
  <c r="B4427" i="13"/>
  <c r="G4426" i="13"/>
  <c r="H4426" i="13" s="1"/>
  <c r="J4426" i="13" s="1"/>
  <c r="C4426" i="13"/>
  <c r="F4426" i="13" s="1"/>
  <c r="B4426" i="13"/>
  <c r="G4425" i="13"/>
  <c r="H4425" i="13" s="1"/>
  <c r="J4425" i="13" s="1"/>
  <c r="C4425" i="13"/>
  <c r="F4425" i="13" s="1"/>
  <c r="B4425" i="13"/>
  <c r="G4424" i="13"/>
  <c r="H4424" i="13" s="1"/>
  <c r="J4424" i="13" s="1"/>
  <c r="C4424" i="13"/>
  <c r="F4424" i="13" s="1"/>
  <c r="B4424" i="13"/>
  <c r="G4423" i="13"/>
  <c r="H4423" i="13" s="1"/>
  <c r="J4423" i="13" s="1"/>
  <c r="C4423" i="13"/>
  <c r="F4423" i="13" s="1"/>
  <c r="B4423" i="13"/>
  <c r="G4422" i="13"/>
  <c r="H4422" i="13" s="1"/>
  <c r="J4422" i="13" s="1"/>
  <c r="C4422" i="13"/>
  <c r="F4422" i="13" s="1"/>
  <c r="B4422" i="13"/>
  <c r="G4421" i="13"/>
  <c r="H4421" i="13" s="1"/>
  <c r="J4421" i="13" s="1"/>
  <c r="C4421" i="13"/>
  <c r="F4421" i="13" s="1"/>
  <c r="B4421" i="13"/>
  <c r="G4420" i="13"/>
  <c r="H4420" i="13" s="1"/>
  <c r="J4420" i="13" s="1"/>
  <c r="C4420" i="13"/>
  <c r="F4420" i="13" s="1"/>
  <c r="B4420" i="13"/>
  <c r="G4419" i="13"/>
  <c r="H4419" i="13" s="1"/>
  <c r="J4419" i="13" s="1"/>
  <c r="C4419" i="13"/>
  <c r="F4419" i="13" s="1"/>
  <c r="B4419" i="13"/>
  <c r="G4418" i="13"/>
  <c r="H4418" i="13" s="1"/>
  <c r="J4418" i="13" s="1"/>
  <c r="C4418" i="13"/>
  <c r="F4418" i="13" s="1"/>
  <c r="B4418" i="13"/>
  <c r="G4417" i="13"/>
  <c r="H4417" i="13" s="1"/>
  <c r="J4417" i="13" s="1"/>
  <c r="C4417" i="13"/>
  <c r="F4417" i="13" s="1"/>
  <c r="B4417" i="13"/>
  <c r="G4416" i="13"/>
  <c r="H4416" i="13" s="1"/>
  <c r="J4416" i="13" s="1"/>
  <c r="C4416" i="13"/>
  <c r="F4416" i="13" s="1"/>
  <c r="B4416" i="13"/>
  <c r="G4415" i="13"/>
  <c r="H4415" i="13" s="1"/>
  <c r="J4415" i="13" s="1"/>
  <c r="C4415" i="13"/>
  <c r="F4415" i="13" s="1"/>
  <c r="B4415" i="13"/>
  <c r="G4414" i="13"/>
  <c r="H4414" i="13" s="1"/>
  <c r="J4414" i="13" s="1"/>
  <c r="C4414" i="13"/>
  <c r="F4414" i="13" s="1"/>
  <c r="B4414" i="13"/>
  <c r="G4413" i="13"/>
  <c r="H4413" i="13" s="1"/>
  <c r="J4413" i="13" s="1"/>
  <c r="C4413" i="13"/>
  <c r="F4413" i="13" s="1"/>
  <c r="B4413" i="13"/>
  <c r="G4412" i="13"/>
  <c r="H4412" i="13" s="1"/>
  <c r="J4412" i="13" s="1"/>
  <c r="C4412" i="13"/>
  <c r="F4412" i="13" s="1"/>
  <c r="B4412" i="13"/>
  <c r="G4411" i="13"/>
  <c r="H4411" i="13" s="1"/>
  <c r="J4411" i="13" s="1"/>
  <c r="C4411" i="13"/>
  <c r="F4411" i="13" s="1"/>
  <c r="B4411" i="13"/>
  <c r="G4410" i="13"/>
  <c r="H4410" i="13" s="1"/>
  <c r="J4410" i="13" s="1"/>
  <c r="C4410" i="13"/>
  <c r="F4410" i="13" s="1"/>
  <c r="B4410" i="13"/>
  <c r="G4409" i="13"/>
  <c r="H4409" i="13" s="1"/>
  <c r="J4409" i="13" s="1"/>
  <c r="C4409" i="13"/>
  <c r="F4409" i="13" s="1"/>
  <c r="B4409" i="13"/>
  <c r="G4408" i="13"/>
  <c r="H4408" i="13" s="1"/>
  <c r="J4408" i="13" s="1"/>
  <c r="C4408" i="13"/>
  <c r="F4408" i="13" s="1"/>
  <c r="B4408" i="13"/>
  <c r="G4407" i="13"/>
  <c r="H4407" i="13" s="1"/>
  <c r="J4407" i="13" s="1"/>
  <c r="C4407" i="13"/>
  <c r="F4407" i="13" s="1"/>
  <c r="B4407" i="13"/>
  <c r="G4406" i="13"/>
  <c r="H4406" i="13" s="1"/>
  <c r="J4406" i="13" s="1"/>
  <c r="C4406" i="13"/>
  <c r="F4406" i="13" s="1"/>
  <c r="B4406" i="13"/>
  <c r="G4405" i="13"/>
  <c r="H4405" i="13" s="1"/>
  <c r="J4405" i="13" s="1"/>
  <c r="C4405" i="13"/>
  <c r="F4405" i="13" s="1"/>
  <c r="B4405" i="13"/>
  <c r="G4404" i="13"/>
  <c r="H4404" i="13" s="1"/>
  <c r="J4404" i="13" s="1"/>
  <c r="C4404" i="13"/>
  <c r="F4404" i="13" s="1"/>
  <c r="B4404" i="13"/>
  <c r="G4403" i="13"/>
  <c r="H4403" i="13" s="1"/>
  <c r="J4403" i="13" s="1"/>
  <c r="C4403" i="13"/>
  <c r="F4403" i="13" s="1"/>
  <c r="B4403" i="13"/>
  <c r="G4402" i="13"/>
  <c r="H4402" i="13" s="1"/>
  <c r="J4402" i="13" s="1"/>
  <c r="C4402" i="13"/>
  <c r="F4402" i="13" s="1"/>
  <c r="B4402" i="13"/>
  <c r="G4401" i="13"/>
  <c r="H4401" i="13" s="1"/>
  <c r="C4401" i="13"/>
  <c r="F4401" i="13" s="1"/>
  <c r="B4401" i="13"/>
  <c r="G4400" i="13"/>
  <c r="H4400" i="13" s="1"/>
  <c r="C4400" i="13"/>
  <c r="F4400" i="13" s="1"/>
  <c r="B4400" i="13"/>
  <c r="G4399" i="13"/>
  <c r="H4399" i="13" s="1"/>
  <c r="J4399" i="13" s="1"/>
  <c r="C4399" i="13"/>
  <c r="F4399" i="13" s="1"/>
  <c r="B4399" i="13"/>
  <c r="G4398" i="13"/>
  <c r="H4398" i="13" s="1"/>
  <c r="J4398" i="13" s="1"/>
  <c r="C4398" i="13"/>
  <c r="F4398" i="13" s="1"/>
  <c r="B4398" i="13"/>
  <c r="G4397" i="13"/>
  <c r="H4397" i="13" s="1"/>
  <c r="J4397" i="13" s="1"/>
  <c r="C4397" i="13"/>
  <c r="F4397" i="13" s="1"/>
  <c r="B4397" i="13"/>
  <c r="G4396" i="13"/>
  <c r="H4396" i="13" s="1"/>
  <c r="J4396" i="13" s="1"/>
  <c r="C4396" i="13"/>
  <c r="F4396" i="13" s="1"/>
  <c r="B4396" i="13"/>
  <c r="G4395" i="13"/>
  <c r="H4395" i="13" s="1"/>
  <c r="J4395" i="13" s="1"/>
  <c r="C4395" i="13"/>
  <c r="F4395" i="13" s="1"/>
  <c r="B4395" i="13"/>
  <c r="G4394" i="13"/>
  <c r="H4394" i="13" s="1"/>
  <c r="J4394" i="13" s="1"/>
  <c r="C4394" i="13"/>
  <c r="F4394" i="13" s="1"/>
  <c r="B4394" i="13"/>
  <c r="G4393" i="13"/>
  <c r="H4393" i="13" s="1"/>
  <c r="J4393" i="13" s="1"/>
  <c r="C4393" i="13"/>
  <c r="F4393" i="13" s="1"/>
  <c r="B4393" i="13"/>
  <c r="G4392" i="13"/>
  <c r="H4392" i="13" s="1"/>
  <c r="J4392" i="13" s="1"/>
  <c r="C4392" i="13"/>
  <c r="F4392" i="13" s="1"/>
  <c r="B4392" i="13"/>
  <c r="G4391" i="13"/>
  <c r="H4391" i="13" s="1"/>
  <c r="J4391" i="13" s="1"/>
  <c r="C4391" i="13"/>
  <c r="F4391" i="13" s="1"/>
  <c r="B4391" i="13"/>
  <c r="G4390" i="13"/>
  <c r="H4390" i="13" s="1"/>
  <c r="J4390" i="13" s="1"/>
  <c r="C4390" i="13"/>
  <c r="F4390" i="13" s="1"/>
  <c r="B4390" i="13"/>
  <c r="G4389" i="13"/>
  <c r="H4389" i="13" s="1"/>
  <c r="J4389" i="13" s="1"/>
  <c r="C4389" i="13"/>
  <c r="F4389" i="13" s="1"/>
  <c r="B4389" i="13"/>
  <c r="G4388" i="13"/>
  <c r="H4388" i="13" s="1"/>
  <c r="J4388" i="13" s="1"/>
  <c r="C4388" i="13"/>
  <c r="F4388" i="13" s="1"/>
  <c r="B4388" i="13"/>
  <c r="G4387" i="13"/>
  <c r="H4387" i="13" s="1"/>
  <c r="J4387" i="13" s="1"/>
  <c r="C4387" i="13"/>
  <c r="F4387" i="13" s="1"/>
  <c r="B4387" i="13"/>
  <c r="G4386" i="13"/>
  <c r="H4386" i="13" s="1"/>
  <c r="J4386" i="13" s="1"/>
  <c r="C4386" i="13"/>
  <c r="F4386" i="13" s="1"/>
  <c r="B4386" i="13"/>
  <c r="G4385" i="13"/>
  <c r="H4385" i="13" s="1"/>
  <c r="J4385" i="13" s="1"/>
  <c r="C4385" i="13"/>
  <c r="F4385" i="13" s="1"/>
  <c r="B4385" i="13"/>
  <c r="G4384" i="13"/>
  <c r="H4384" i="13" s="1"/>
  <c r="C4384" i="13"/>
  <c r="F4384" i="13" s="1"/>
  <c r="B4384" i="13"/>
  <c r="G4383" i="13"/>
  <c r="H4383" i="13" s="1"/>
  <c r="J4383" i="13" s="1"/>
  <c r="C4383" i="13"/>
  <c r="F4383" i="13" s="1"/>
  <c r="B4383" i="13"/>
  <c r="G4382" i="13"/>
  <c r="H4382" i="13" s="1"/>
  <c r="J4382" i="13" s="1"/>
  <c r="C4382" i="13"/>
  <c r="F4382" i="13" s="1"/>
  <c r="B4382" i="13"/>
  <c r="G4381" i="13"/>
  <c r="H4381" i="13" s="1"/>
  <c r="J4381" i="13" s="1"/>
  <c r="C4381" i="13"/>
  <c r="F4381" i="13" s="1"/>
  <c r="B4381" i="13"/>
  <c r="G4380" i="13"/>
  <c r="H4380" i="13" s="1"/>
  <c r="J4380" i="13" s="1"/>
  <c r="C4380" i="13"/>
  <c r="F4380" i="13" s="1"/>
  <c r="B4380" i="13"/>
  <c r="G4379" i="13"/>
  <c r="H4379" i="13" s="1"/>
  <c r="J4379" i="13" s="1"/>
  <c r="C4379" i="13"/>
  <c r="F4379" i="13" s="1"/>
  <c r="B4379" i="13"/>
  <c r="G4378" i="13"/>
  <c r="H4378" i="13" s="1"/>
  <c r="J4378" i="13" s="1"/>
  <c r="C4378" i="13"/>
  <c r="F4378" i="13" s="1"/>
  <c r="B4378" i="13"/>
  <c r="G4377" i="13"/>
  <c r="H4377" i="13" s="1"/>
  <c r="J4377" i="13" s="1"/>
  <c r="C4377" i="13"/>
  <c r="F4377" i="13" s="1"/>
  <c r="B4377" i="13"/>
  <c r="G4376" i="13"/>
  <c r="H4376" i="13" s="1"/>
  <c r="J4376" i="13" s="1"/>
  <c r="C4376" i="13"/>
  <c r="F4376" i="13" s="1"/>
  <c r="B4376" i="13"/>
  <c r="G4375" i="13"/>
  <c r="H4375" i="13" s="1"/>
  <c r="J4375" i="13" s="1"/>
  <c r="C4375" i="13"/>
  <c r="F4375" i="13" s="1"/>
  <c r="B4375" i="13"/>
  <c r="G4374" i="13"/>
  <c r="H4374" i="13" s="1"/>
  <c r="J4374" i="13" s="1"/>
  <c r="C4374" i="13"/>
  <c r="F4374" i="13" s="1"/>
  <c r="B4374" i="13"/>
  <c r="G4373" i="13"/>
  <c r="H4373" i="13" s="1"/>
  <c r="J4373" i="13" s="1"/>
  <c r="C4373" i="13"/>
  <c r="F4373" i="13" s="1"/>
  <c r="B4373" i="13"/>
  <c r="G4372" i="13"/>
  <c r="H4372" i="13" s="1"/>
  <c r="J4372" i="13" s="1"/>
  <c r="C4372" i="13"/>
  <c r="F4372" i="13" s="1"/>
  <c r="B4372" i="13"/>
  <c r="G4371" i="13"/>
  <c r="H4371" i="13" s="1"/>
  <c r="J4371" i="13" s="1"/>
  <c r="C4371" i="13"/>
  <c r="F4371" i="13" s="1"/>
  <c r="B4371" i="13"/>
  <c r="G4370" i="13"/>
  <c r="H4370" i="13" s="1"/>
  <c r="J4370" i="13" s="1"/>
  <c r="C4370" i="13"/>
  <c r="F4370" i="13" s="1"/>
  <c r="B4370" i="13"/>
  <c r="G4369" i="13"/>
  <c r="H4369" i="13" s="1"/>
  <c r="J4369" i="13" s="1"/>
  <c r="C4369" i="13"/>
  <c r="F4369" i="13" s="1"/>
  <c r="B4369" i="13"/>
  <c r="G4368" i="13"/>
  <c r="H4368" i="13" s="1"/>
  <c r="J4368" i="13" s="1"/>
  <c r="C4368" i="13"/>
  <c r="F4368" i="13" s="1"/>
  <c r="B4368" i="13"/>
  <c r="G4367" i="13"/>
  <c r="H4367" i="13" s="1"/>
  <c r="C4367" i="13"/>
  <c r="F4367" i="13" s="1"/>
  <c r="B4367" i="13"/>
  <c r="G4366" i="13"/>
  <c r="H4366" i="13" s="1"/>
  <c r="J4366" i="13" s="1"/>
  <c r="C4366" i="13"/>
  <c r="F4366" i="13" s="1"/>
  <c r="B4366" i="13"/>
  <c r="G4365" i="13"/>
  <c r="H4365" i="13" s="1"/>
  <c r="J4365" i="13" s="1"/>
  <c r="C4365" i="13"/>
  <c r="F4365" i="13" s="1"/>
  <c r="B4365" i="13"/>
  <c r="G4364" i="13"/>
  <c r="H4364" i="13" s="1"/>
  <c r="J4364" i="13" s="1"/>
  <c r="C4364" i="13"/>
  <c r="F4364" i="13" s="1"/>
  <c r="B4364" i="13"/>
  <c r="G4363" i="13"/>
  <c r="H4363" i="13" s="1"/>
  <c r="J4363" i="13" s="1"/>
  <c r="C4363" i="13"/>
  <c r="F4363" i="13" s="1"/>
  <c r="B4363" i="13"/>
  <c r="G4362" i="13"/>
  <c r="H4362" i="13" s="1"/>
  <c r="J4362" i="13" s="1"/>
  <c r="C4362" i="13"/>
  <c r="F4362" i="13" s="1"/>
  <c r="B4362" i="13"/>
  <c r="G4361" i="13"/>
  <c r="H4361" i="13" s="1"/>
  <c r="J4361" i="13" s="1"/>
  <c r="C4361" i="13"/>
  <c r="F4361" i="13" s="1"/>
  <c r="B4361" i="13"/>
  <c r="G4360" i="13"/>
  <c r="H4360" i="13" s="1"/>
  <c r="J4360" i="13" s="1"/>
  <c r="C4360" i="13"/>
  <c r="F4360" i="13" s="1"/>
  <c r="B4360" i="13"/>
  <c r="G4359" i="13"/>
  <c r="H4359" i="13" s="1"/>
  <c r="J4359" i="13" s="1"/>
  <c r="C4359" i="13"/>
  <c r="F4359" i="13" s="1"/>
  <c r="B4359" i="13"/>
  <c r="G4358" i="13"/>
  <c r="H4358" i="13" s="1"/>
  <c r="J4358" i="13" s="1"/>
  <c r="C4358" i="13"/>
  <c r="F4358" i="13" s="1"/>
  <c r="B4358" i="13"/>
  <c r="G4357" i="13"/>
  <c r="H4357" i="13" s="1"/>
  <c r="J4357" i="13" s="1"/>
  <c r="C4357" i="13"/>
  <c r="F4357" i="13" s="1"/>
  <c r="B4357" i="13"/>
  <c r="G4356" i="13"/>
  <c r="H4356" i="13" s="1"/>
  <c r="J4356" i="13" s="1"/>
  <c r="C4356" i="13"/>
  <c r="F4356" i="13" s="1"/>
  <c r="B4356" i="13"/>
  <c r="G4355" i="13"/>
  <c r="H4355" i="13" s="1"/>
  <c r="C4355" i="13"/>
  <c r="F4355" i="13" s="1"/>
  <c r="B4355" i="13"/>
  <c r="G4354" i="13"/>
  <c r="H4354" i="13" s="1"/>
  <c r="J4354" i="13" s="1"/>
  <c r="C4354" i="13"/>
  <c r="F4354" i="13" s="1"/>
  <c r="B4354" i="13"/>
  <c r="G4353" i="13"/>
  <c r="H4353" i="13" s="1"/>
  <c r="J4353" i="13" s="1"/>
  <c r="C4353" i="13"/>
  <c r="F4353" i="13" s="1"/>
  <c r="B4353" i="13"/>
  <c r="G4352" i="13"/>
  <c r="H4352" i="13" s="1"/>
  <c r="J4352" i="13" s="1"/>
  <c r="C4352" i="13"/>
  <c r="F4352" i="13" s="1"/>
  <c r="B4352" i="13"/>
  <c r="G4351" i="13"/>
  <c r="H4351" i="13" s="1"/>
  <c r="J4351" i="13" s="1"/>
  <c r="C4351" i="13"/>
  <c r="F4351" i="13" s="1"/>
  <c r="B4351" i="13"/>
  <c r="G4350" i="13"/>
  <c r="H4350" i="13" s="1"/>
  <c r="J4350" i="13" s="1"/>
  <c r="C4350" i="13"/>
  <c r="F4350" i="13" s="1"/>
  <c r="B4350" i="13"/>
  <c r="G4349" i="13"/>
  <c r="H4349" i="13" s="1"/>
  <c r="J4349" i="13" s="1"/>
  <c r="C4349" i="13"/>
  <c r="F4349" i="13" s="1"/>
  <c r="B4349" i="13"/>
  <c r="G4348" i="13"/>
  <c r="H4348" i="13" s="1"/>
  <c r="J4348" i="13" s="1"/>
  <c r="C4348" i="13"/>
  <c r="F4348" i="13" s="1"/>
  <c r="B4348" i="13"/>
  <c r="G4347" i="13"/>
  <c r="H4347" i="13" s="1"/>
  <c r="C4347" i="13"/>
  <c r="F4347" i="13" s="1"/>
  <c r="B4347" i="13"/>
  <c r="G4346" i="13"/>
  <c r="H4346" i="13" s="1"/>
  <c r="J4346" i="13" s="1"/>
  <c r="C4346" i="13"/>
  <c r="F4346" i="13" s="1"/>
  <c r="B4346" i="13"/>
  <c r="G4345" i="13"/>
  <c r="H4345" i="13" s="1"/>
  <c r="J4345" i="13" s="1"/>
  <c r="C4345" i="13"/>
  <c r="F4345" i="13" s="1"/>
  <c r="B4345" i="13"/>
  <c r="G4344" i="13"/>
  <c r="H4344" i="13" s="1"/>
  <c r="J4344" i="13" s="1"/>
  <c r="C4344" i="13"/>
  <c r="F4344" i="13" s="1"/>
  <c r="B4344" i="13"/>
  <c r="G4343" i="13"/>
  <c r="H4343" i="13" s="1"/>
  <c r="C4343" i="13"/>
  <c r="F4343" i="13" s="1"/>
  <c r="B4343" i="13"/>
  <c r="G4342" i="13"/>
  <c r="H4342" i="13" s="1"/>
  <c r="C4342" i="13"/>
  <c r="F4342" i="13" s="1"/>
  <c r="B4342" i="13"/>
  <c r="G4341" i="13"/>
  <c r="H4341" i="13" s="1"/>
  <c r="J4341" i="13" s="1"/>
  <c r="C4341" i="13"/>
  <c r="F4341" i="13" s="1"/>
  <c r="B4341" i="13"/>
  <c r="G4340" i="13"/>
  <c r="H4340" i="13" s="1"/>
  <c r="J4340" i="13" s="1"/>
  <c r="C4340" i="13"/>
  <c r="F4340" i="13" s="1"/>
  <c r="B4340" i="13"/>
  <c r="G4339" i="13"/>
  <c r="H4339" i="13" s="1"/>
  <c r="J4339" i="13" s="1"/>
  <c r="C4339" i="13"/>
  <c r="F4339" i="13" s="1"/>
  <c r="B4339" i="13"/>
  <c r="G4338" i="13"/>
  <c r="H4338" i="13" s="1"/>
  <c r="J4338" i="13" s="1"/>
  <c r="C4338" i="13"/>
  <c r="F4338" i="13" s="1"/>
  <c r="B4338" i="13"/>
  <c r="G4337" i="13"/>
  <c r="H4337" i="13" s="1"/>
  <c r="J4337" i="13" s="1"/>
  <c r="C4337" i="13"/>
  <c r="F4337" i="13" s="1"/>
  <c r="B4337" i="13"/>
  <c r="G4336" i="13"/>
  <c r="H4336" i="13" s="1"/>
  <c r="J4336" i="13" s="1"/>
  <c r="C4336" i="13"/>
  <c r="F4336" i="13" s="1"/>
  <c r="B4336" i="13"/>
  <c r="G4335" i="13"/>
  <c r="H4335" i="13" s="1"/>
  <c r="C4335" i="13"/>
  <c r="F4335" i="13" s="1"/>
  <c r="B4335" i="13"/>
  <c r="G4334" i="13"/>
  <c r="H4334" i="13" s="1"/>
  <c r="J4334" i="13" s="1"/>
  <c r="C4334" i="13"/>
  <c r="F4334" i="13" s="1"/>
  <c r="B4334" i="13"/>
  <c r="G4333" i="13"/>
  <c r="H4333" i="13" s="1"/>
  <c r="J4333" i="13" s="1"/>
  <c r="C4333" i="13"/>
  <c r="F4333" i="13" s="1"/>
  <c r="B4333" i="13"/>
  <c r="G4332" i="13"/>
  <c r="H4332" i="13" s="1"/>
  <c r="J4332" i="13" s="1"/>
  <c r="C4332" i="13"/>
  <c r="F4332" i="13" s="1"/>
  <c r="B4332" i="13"/>
  <c r="G4331" i="13"/>
  <c r="H4331" i="13" s="1"/>
  <c r="C4331" i="13"/>
  <c r="F4331" i="13" s="1"/>
  <c r="B4331" i="13"/>
  <c r="G4330" i="13"/>
  <c r="H4330" i="13" s="1"/>
  <c r="J4330" i="13" s="1"/>
  <c r="C4330" i="13"/>
  <c r="F4330" i="13" s="1"/>
  <c r="B4330" i="13"/>
  <c r="G4329" i="13"/>
  <c r="H4329" i="13" s="1"/>
  <c r="J4329" i="13" s="1"/>
  <c r="C4329" i="13"/>
  <c r="F4329" i="13" s="1"/>
  <c r="B4329" i="13"/>
  <c r="G4328" i="13"/>
  <c r="H4328" i="13" s="1"/>
  <c r="J4328" i="13" s="1"/>
  <c r="C4328" i="13"/>
  <c r="F4328" i="13" s="1"/>
  <c r="B4328" i="13"/>
  <c r="G4327" i="13"/>
  <c r="H4327" i="13" s="1"/>
  <c r="J4327" i="13" s="1"/>
  <c r="C4327" i="13"/>
  <c r="F4327" i="13" s="1"/>
  <c r="B4327" i="13"/>
  <c r="G4326" i="13"/>
  <c r="H4326" i="13" s="1"/>
  <c r="J4326" i="13" s="1"/>
  <c r="C4326" i="13"/>
  <c r="F4326" i="13" s="1"/>
  <c r="B4326" i="13"/>
  <c r="G4325" i="13"/>
  <c r="H4325" i="13" s="1"/>
  <c r="J4325" i="13" s="1"/>
  <c r="C4325" i="13"/>
  <c r="F4325" i="13" s="1"/>
  <c r="B4325" i="13"/>
  <c r="G4324" i="13"/>
  <c r="H4324" i="13" s="1"/>
  <c r="J4324" i="13" s="1"/>
  <c r="C4324" i="13"/>
  <c r="F4324" i="13" s="1"/>
  <c r="B4324" i="13"/>
  <c r="G4323" i="13"/>
  <c r="H4323" i="13" s="1"/>
  <c r="C4323" i="13"/>
  <c r="F4323" i="13" s="1"/>
  <c r="B4323" i="13"/>
  <c r="G4322" i="13"/>
  <c r="H4322" i="13" s="1"/>
  <c r="J4322" i="13" s="1"/>
  <c r="C4322" i="13"/>
  <c r="F4322" i="13" s="1"/>
  <c r="B4322" i="13"/>
  <c r="G4321" i="13"/>
  <c r="H4321" i="13" s="1"/>
  <c r="J4321" i="13" s="1"/>
  <c r="C4321" i="13"/>
  <c r="F4321" i="13" s="1"/>
  <c r="B4321" i="13"/>
  <c r="G4320" i="13"/>
  <c r="H4320" i="13" s="1"/>
  <c r="J4320" i="13" s="1"/>
  <c r="C4320" i="13"/>
  <c r="F4320" i="13" s="1"/>
  <c r="B4320" i="13"/>
  <c r="G4319" i="13"/>
  <c r="H4319" i="13" s="1"/>
  <c r="C4319" i="13"/>
  <c r="F4319" i="13" s="1"/>
  <c r="B4319" i="13"/>
  <c r="G4318" i="13"/>
  <c r="H4318" i="13" s="1"/>
  <c r="J4318" i="13" s="1"/>
  <c r="C4318" i="13"/>
  <c r="F4318" i="13" s="1"/>
  <c r="B4318" i="13"/>
  <c r="G4317" i="13"/>
  <c r="H4317" i="13" s="1"/>
  <c r="J4317" i="13" s="1"/>
  <c r="C4317" i="13"/>
  <c r="F4317" i="13" s="1"/>
  <c r="B4317" i="13"/>
  <c r="G4316" i="13"/>
  <c r="H4316" i="13" s="1"/>
  <c r="J4316" i="13" s="1"/>
  <c r="C4316" i="13"/>
  <c r="F4316" i="13" s="1"/>
  <c r="B4316" i="13"/>
  <c r="G4315" i="13"/>
  <c r="H4315" i="13" s="1"/>
  <c r="J4315" i="13" s="1"/>
  <c r="C4315" i="13"/>
  <c r="F4315" i="13" s="1"/>
  <c r="B4315" i="13"/>
  <c r="G4314" i="13"/>
  <c r="H4314" i="13" s="1"/>
  <c r="J4314" i="13" s="1"/>
  <c r="C4314" i="13"/>
  <c r="F4314" i="13" s="1"/>
  <c r="B4314" i="13"/>
  <c r="G4313" i="13"/>
  <c r="H4313" i="13" s="1"/>
  <c r="J4313" i="13" s="1"/>
  <c r="C4313" i="13"/>
  <c r="F4313" i="13" s="1"/>
  <c r="B4313" i="13"/>
  <c r="G4312" i="13"/>
  <c r="H4312" i="13" s="1"/>
  <c r="J4312" i="13" s="1"/>
  <c r="C4312" i="13"/>
  <c r="F4312" i="13" s="1"/>
  <c r="B4312" i="13"/>
  <c r="G4311" i="13"/>
  <c r="H4311" i="13" s="1"/>
  <c r="J4311" i="13" s="1"/>
  <c r="C4311" i="13"/>
  <c r="F4311" i="13" s="1"/>
  <c r="B4311" i="13"/>
  <c r="G4310" i="13"/>
  <c r="H4310" i="13" s="1"/>
  <c r="J4310" i="13" s="1"/>
  <c r="C4310" i="13"/>
  <c r="F4310" i="13" s="1"/>
  <c r="B4310" i="13"/>
  <c r="G4309" i="13"/>
  <c r="H4309" i="13" s="1"/>
  <c r="J4309" i="13" s="1"/>
  <c r="C4309" i="13"/>
  <c r="F4309" i="13" s="1"/>
  <c r="B4309" i="13"/>
  <c r="G4308" i="13"/>
  <c r="H4308" i="13" s="1"/>
  <c r="J4308" i="13" s="1"/>
  <c r="C4308" i="13"/>
  <c r="F4308" i="13" s="1"/>
  <c r="B4308" i="13"/>
  <c r="G4307" i="13"/>
  <c r="H4307" i="13" s="1"/>
  <c r="J4307" i="13" s="1"/>
  <c r="C4307" i="13"/>
  <c r="F4307" i="13" s="1"/>
  <c r="B4307" i="13"/>
  <c r="G4306" i="13"/>
  <c r="H4306" i="13" s="1"/>
  <c r="J4306" i="13" s="1"/>
  <c r="C4306" i="13"/>
  <c r="F4306" i="13" s="1"/>
  <c r="B4306" i="13"/>
  <c r="G4305" i="13"/>
  <c r="H4305" i="13" s="1"/>
  <c r="J4305" i="13" s="1"/>
  <c r="C4305" i="13"/>
  <c r="F4305" i="13" s="1"/>
  <c r="B4305" i="13"/>
  <c r="G4304" i="13"/>
  <c r="H4304" i="13" s="1"/>
  <c r="J4304" i="13" s="1"/>
  <c r="C4304" i="13"/>
  <c r="F4304" i="13" s="1"/>
  <c r="B4304" i="13"/>
  <c r="G4303" i="13"/>
  <c r="H4303" i="13" s="1"/>
  <c r="J4303" i="13" s="1"/>
  <c r="C4303" i="13"/>
  <c r="F4303" i="13" s="1"/>
  <c r="B4303" i="13"/>
  <c r="G4302" i="13"/>
  <c r="H4302" i="13" s="1"/>
  <c r="J4302" i="13" s="1"/>
  <c r="C4302" i="13"/>
  <c r="F4302" i="13" s="1"/>
  <c r="B4302" i="13"/>
  <c r="G4301" i="13"/>
  <c r="H4301" i="13" s="1"/>
  <c r="J4301" i="13" s="1"/>
  <c r="C4301" i="13"/>
  <c r="F4301" i="13" s="1"/>
  <c r="B4301" i="13"/>
  <c r="G4300" i="13"/>
  <c r="H4300" i="13" s="1"/>
  <c r="C4300" i="13"/>
  <c r="F4300" i="13" s="1"/>
  <c r="B4300" i="13"/>
  <c r="G4299" i="13"/>
  <c r="H4299" i="13" s="1"/>
  <c r="J4299" i="13" s="1"/>
  <c r="C4299" i="13"/>
  <c r="F4299" i="13" s="1"/>
  <c r="B4299" i="13"/>
  <c r="G4298" i="13"/>
  <c r="H4298" i="13" s="1"/>
  <c r="J4298" i="13" s="1"/>
  <c r="C4298" i="13"/>
  <c r="F4298" i="13" s="1"/>
  <c r="B4298" i="13"/>
  <c r="G4297" i="13"/>
  <c r="H4297" i="13" s="1"/>
  <c r="J4297" i="13" s="1"/>
  <c r="C4297" i="13"/>
  <c r="F4297" i="13" s="1"/>
  <c r="B4297" i="13"/>
  <c r="G4296" i="13"/>
  <c r="H4296" i="13" s="1"/>
  <c r="J4296" i="13" s="1"/>
  <c r="C4296" i="13"/>
  <c r="F4296" i="13" s="1"/>
  <c r="B4296" i="13"/>
  <c r="G4295" i="13"/>
  <c r="H4295" i="13" s="1"/>
  <c r="C4295" i="13"/>
  <c r="F4295" i="13" s="1"/>
  <c r="B4295" i="13"/>
  <c r="G4294" i="13"/>
  <c r="H4294" i="13" s="1"/>
  <c r="J4294" i="13" s="1"/>
  <c r="C4294" i="13"/>
  <c r="F4294" i="13" s="1"/>
  <c r="B4294" i="13"/>
  <c r="G4293" i="13"/>
  <c r="H4293" i="13" s="1"/>
  <c r="J4293" i="13" s="1"/>
  <c r="C4293" i="13"/>
  <c r="F4293" i="13" s="1"/>
  <c r="B4293" i="13"/>
  <c r="G4292" i="13"/>
  <c r="H4292" i="13" s="1"/>
  <c r="J4292" i="13" s="1"/>
  <c r="C4292" i="13"/>
  <c r="F4292" i="13" s="1"/>
  <c r="B4292" i="13"/>
  <c r="G4291" i="13"/>
  <c r="H4291" i="13" s="1"/>
  <c r="J4291" i="13" s="1"/>
  <c r="C4291" i="13"/>
  <c r="F4291" i="13" s="1"/>
  <c r="B4291" i="13"/>
  <c r="G4290" i="13"/>
  <c r="H4290" i="13" s="1"/>
  <c r="J4290" i="13" s="1"/>
  <c r="C4290" i="13"/>
  <c r="F4290" i="13" s="1"/>
  <c r="B4290" i="13"/>
  <c r="G4289" i="13"/>
  <c r="H4289" i="13" s="1"/>
  <c r="J4289" i="13" s="1"/>
  <c r="C4289" i="13"/>
  <c r="F4289" i="13" s="1"/>
  <c r="B4289" i="13"/>
  <c r="G4288" i="13"/>
  <c r="H4288" i="13" s="1"/>
  <c r="J4288" i="13" s="1"/>
  <c r="C4288" i="13"/>
  <c r="F4288" i="13" s="1"/>
  <c r="B4288" i="13"/>
  <c r="G4287" i="13"/>
  <c r="H4287" i="13" s="1"/>
  <c r="J4287" i="13" s="1"/>
  <c r="C4287" i="13"/>
  <c r="F4287" i="13" s="1"/>
  <c r="B4287" i="13"/>
  <c r="G4286" i="13"/>
  <c r="H4286" i="13" s="1"/>
  <c r="J4286" i="13" s="1"/>
  <c r="C4286" i="13"/>
  <c r="F4286" i="13" s="1"/>
  <c r="B4286" i="13"/>
  <c r="G4285" i="13"/>
  <c r="H4285" i="13" s="1"/>
  <c r="J4285" i="13" s="1"/>
  <c r="C4285" i="13"/>
  <c r="F4285" i="13" s="1"/>
  <c r="B4285" i="13"/>
  <c r="G4284" i="13"/>
  <c r="H4284" i="13" s="1"/>
  <c r="J4284" i="13" s="1"/>
  <c r="C4284" i="13"/>
  <c r="F4284" i="13" s="1"/>
  <c r="B4284" i="13"/>
  <c r="G4283" i="13"/>
  <c r="H4283" i="13" s="1"/>
  <c r="J4283" i="13" s="1"/>
  <c r="C4283" i="13"/>
  <c r="F4283" i="13" s="1"/>
  <c r="B4283" i="13"/>
  <c r="G4282" i="13"/>
  <c r="H4282" i="13" s="1"/>
  <c r="J4282" i="13" s="1"/>
  <c r="C4282" i="13"/>
  <c r="F4282" i="13" s="1"/>
  <c r="B4282" i="13"/>
  <c r="G4281" i="13"/>
  <c r="H4281" i="13" s="1"/>
  <c r="J4281" i="13" s="1"/>
  <c r="C4281" i="13"/>
  <c r="F4281" i="13" s="1"/>
  <c r="B4281" i="13"/>
  <c r="G4280" i="13"/>
  <c r="H4280" i="13" s="1"/>
  <c r="J4280" i="13" s="1"/>
  <c r="C4280" i="13"/>
  <c r="F4280" i="13" s="1"/>
  <c r="B4280" i="13"/>
  <c r="G4279" i="13"/>
  <c r="H4279" i="13" s="1"/>
  <c r="J4279" i="13" s="1"/>
  <c r="C4279" i="13"/>
  <c r="F4279" i="13" s="1"/>
  <c r="B4279" i="13"/>
  <c r="G4278" i="13"/>
  <c r="H4278" i="13" s="1"/>
  <c r="C4278" i="13"/>
  <c r="F4278" i="13" s="1"/>
  <c r="B4278" i="13"/>
  <c r="G4277" i="13"/>
  <c r="H4277" i="13" s="1"/>
  <c r="J4277" i="13" s="1"/>
  <c r="C4277" i="13"/>
  <c r="F4277" i="13" s="1"/>
  <c r="B4277" i="13"/>
  <c r="G4276" i="13"/>
  <c r="H4276" i="13" s="1"/>
  <c r="J4276" i="13" s="1"/>
  <c r="C4276" i="13"/>
  <c r="F4276" i="13" s="1"/>
  <c r="B4276" i="13"/>
  <c r="G4275" i="13"/>
  <c r="H4275" i="13" s="1"/>
  <c r="J4275" i="13" s="1"/>
  <c r="C4275" i="13"/>
  <c r="F4275" i="13" s="1"/>
  <c r="B4275" i="13"/>
  <c r="G4274" i="13"/>
  <c r="H4274" i="13" s="1"/>
  <c r="J4274" i="13" s="1"/>
  <c r="C4274" i="13"/>
  <c r="F4274" i="13" s="1"/>
  <c r="B4274" i="13"/>
  <c r="G4273" i="13"/>
  <c r="H4273" i="13" s="1"/>
  <c r="J4273" i="13" s="1"/>
  <c r="C4273" i="13"/>
  <c r="F4273" i="13" s="1"/>
  <c r="B4273" i="13"/>
  <c r="G4272" i="13"/>
  <c r="H4272" i="13" s="1"/>
  <c r="J4272" i="13" s="1"/>
  <c r="C4272" i="13"/>
  <c r="F4272" i="13" s="1"/>
  <c r="B4272" i="13"/>
  <c r="G4271" i="13"/>
  <c r="H4271" i="13" s="1"/>
  <c r="J4271" i="13" s="1"/>
  <c r="C4271" i="13"/>
  <c r="F4271" i="13" s="1"/>
  <c r="B4271" i="13"/>
  <c r="G4270" i="13"/>
  <c r="H4270" i="13" s="1"/>
  <c r="J4270" i="13" s="1"/>
  <c r="C4270" i="13"/>
  <c r="F4270" i="13" s="1"/>
  <c r="B4270" i="13"/>
  <c r="G4269" i="13"/>
  <c r="H4269" i="13" s="1"/>
  <c r="J4269" i="13" s="1"/>
  <c r="C4269" i="13"/>
  <c r="F4269" i="13" s="1"/>
  <c r="B4269" i="13"/>
  <c r="G4268" i="13"/>
  <c r="H4268" i="13" s="1"/>
  <c r="J4268" i="13" s="1"/>
  <c r="C4268" i="13"/>
  <c r="F4268" i="13" s="1"/>
  <c r="B4268" i="13"/>
  <c r="G4267" i="13"/>
  <c r="H4267" i="13" s="1"/>
  <c r="J4267" i="13" s="1"/>
  <c r="C4267" i="13"/>
  <c r="F4267" i="13" s="1"/>
  <c r="B4267" i="13"/>
  <c r="G4266" i="13"/>
  <c r="H4266" i="13" s="1"/>
  <c r="J4266" i="13" s="1"/>
  <c r="C4266" i="13"/>
  <c r="F4266" i="13" s="1"/>
  <c r="B4266" i="13"/>
  <c r="G4265" i="13"/>
  <c r="H4265" i="13" s="1"/>
  <c r="J4265" i="13" s="1"/>
  <c r="C4265" i="13"/>
  <c r="F4265" i="13" s="1"/>
  <c r="B4265" i="13"/>
  <c r="G4264" i="13"/>
  <c r="H4264" i="13" s="1"/>
  <c r="J4264" i="13" s="1"/>
  <c r="C4264" i="13"/>
  <c r="F4264" i="13" s="1"/>
  <c r="B4264" i="13"/>
  <c r="G4263" i="13"/>
  <c r="H4263" i="13" s="1"/>
  <c r="C4263" i="13"/>
  <c r="F4263" i="13" s="1"/>
  <c r="B4263" i="13"/>
  <c r="G4262" i="13"/>
  <c r="H4262" i="13" s="1"/>
  <c r="J4262" i="13" s="1"/>
  <c r="C4262" i="13"/>
  <c r="F4262" i="13" s="1"/>
  <c r="B4262" i="13"/>
  <c r="G4261" i="13"/>
  <c r="H4261" i="13" s="1"/>
  <c r="J4261" i="13" s="1"/>
  <c r="C4261" i="13"/>
  <c r="F4261" i="13" s="1"/>
  <c r="B4261" i="13"/>
  <c r="G4260" i="13"/>
  <c r="H4260" i="13" s="1"/>
  <c r="J4260" i="13" s="1"/>
  <c r="C4260" i="13"/>
  <c r="F4260" i="13" s="1"/>
  <c r="B4260" i="13"/>
  <c r="G4259" i="13"/>
  <c r="H4259" i="13" s="1"/>
  <c r="C4259" i="13"/>
  <c r="F4259" i="13" s="1"/>
  <c r="B4259" i="13"/>
  <c r="G4258" i="13"/>
  <c r="H4258" i="13" s="1"/>
  <c r="J4258" i="13" s="1"/>
  <c r="C4258" i="13"/>
  <c r="F4258" i="13" s="1"/>
  <c r="B4258" i="13"/>
  <c r="G4257" i="13"/>
  <c r="H4257" i="13" s="1"/>
  <c r="J4257" i="13" s="1"/>
  <c r="C4257" i="13"/>
  <c r="F4257" i="13" s="1"/>
  <c r="B4257" i="13"/>
  <c r="G4256" i="13"/>
  <c r="H4256" i="13" s="1"/>
  <c r="J4256" i="13" s="1"/>
  <c r="C4256" i="13"/>
  <c r="F4256" i="13" s="1"/>
  <c r="B4256" i="13"/>
  <c r="G4255" i="13"/>
  <c r="H4255" i="13" s="1"/>
  <c r="J4255" i="13" s="1"/>
  <c r="C4255" i="13"/>
  <c r="F4255" i="13" s="1"/>
  <c r="B4255" i="13"/>
  <c r="G4254" i="13"/>
  <c r="H4254" i="13" s="1"/>
  <c r="C4254" i="13"/>
  <c r="F4254" i="13" s="1"/>
  <c r="B4254" i="13"/>
  <c r="G4253" i="13"/>
  <c r="H4253" i="13" s="1"/>
  <c r="J4253" i="13" s="1"/>
  <c r="C4253" i="13"/>
  <c r="F4253" i="13" s="1"/>
  <c r="B4253" i="13"/>
  <c r="G4252" i="13"/>
  <c r="H4252" i="13" s="1"/>
  <c r="J4252" i="13" s="1"/>
  <c r="C4252" i="13"/>
  <c r="F4252" i="13" s="1"/>
  <c r="B4252" i="13"/>
  <c r="G4251" i="13"/>
  <c r="H4251" i="13" s="1"/>
  <c r="J4251" i="13" s="1"/>
  <c r="C4251" i="13"/>
  <c r="F4251" i="13" s="1"/>
  <c r="B4251" i="13"/>
  <c r="G4250" i="13"/>
  <c r="H4250" i="13" s="1"/>
  <c r="J4250" i="13" s="1"/>
  <c r="C4250" i="13"/>
  <c r="F4250" i="13" s="1"/>
  <c r="B4250" i="13"/>
  <c r="G4249" i="13"/>
  <c r="H4249" i="13" s="1"/>
  <c r="J4249" i="13" s="1"/>
  <c r="C4249" i="13"/>
  <c r="F4249" i="13" s="1"/>
  <c r="B4249" i="13"/>
  <c r="G4248" i="13"/>
  <c r="H4248" i="13" s="1"/>
  <c r="J4248" i="13" s="1"/>
  <c r="C4248" i="13"/>
  <c r="F4248" i="13" s="1"/>
  <c r="B4248" i="13"/>
  <c r="G4247" i="13"/>
  <c r="H4247" i="13" s="1"/>
  <c r="C4247" i="13"/>
  <c r="F4247" i="13" s="1"/>
  <c r="B4247" i="13"/>
  <c r="G4246" i="13"/>
  <c r="H4246" i="13" s="1"/>
  <c r="J4246" i="13" s="1"/>
  <c r="C4246" i="13"/>
  <c r="F4246" i="13" s="1"/>
  <c r="B4246" i="13"/>
  <c r="G4245" i="13"/>
  <c r="H4245" i="13" s="1"/>
  <c r="J4245" i="13" s="1"/>
  <c r="C4245" i="13"/>
  <c r="F4245" i="13" s="1"/>
  <c r="B4245" i="13"/>
  <c r="G4244" i="13"/>
  <c r="H4244" i="13" s="1"/>
  <c r="J4244" i="13" s="1"/>
  <c r="C4244" i="13"/>
  <c r="F4244" i="13" s="1"/>
  <c r="B4244" i="13"/>
  <c r="G4243" i="13"/>
  <c r="H4243" i="13" s="1"/>
  <c r="J4243" i="13" s="1"/>
  <c r="C4243" i="13"/>
  <c r="F4243" i="13" s="1"/>
  <c r="B4243" i="13"/>
  <c r="G4242" i="13"/>
  <c r="H4242" i="13" s="1"/>
  <c r="J4242" i="13" s="1"/>
  <c r="C4242" i="13"/>
  <c r="F4242" i="13" s="1"/>
  <c r="B4242" i="13"/>
  <c r="G4241" i="13"/>
  <c r="H4241" i="13" s="1"/>
  <c r="J4241" i="13" s="1"/>
  <c r="C4241" i="13"/>
  <c r="F4241" i="13" s="1"/>
  <c r="B4241" i="13"/>
  <c r="G4240" i="13"/>
  <c r="H4240" i="13" s="1"/>
  <c r="J4240" i="13" s="1"/>
  <c r="C4240" i="13"/>
  <c r="F4240" i="13" s="1"/>
  <c r="B4240" i="13"/>
  <c r="G4239" i="13"/>
  <c r="H4239" i="13" s="1"/>
  <c r="J4239" i="13" s="1"/>
  <c r="C4239" i="13"/>
  <c r="F4239" i="13" s="1"/>
  <c r="B4239" i="13"/>
  <c r="G4238" i="13"/>
  <c r="H4238" i="13" s="1"/>
  <c r="J4238" i="13" s="1"/>
  <c r="C4238" i="13"/>
  <c r="F4238" i="13" s="1"/>
  <c r="B4238" i="13"/>
  <c r="G4237" i="13"/>
  <c r="H4237" i="13" s="1"/>
  <c r="J4237" i="13" s="1"/>
  <c r="C4237" i="13"/>
  <c r="F4237" i="13" s="1"/>
  <c r="B4237" i="13"/>
  <c r="G4236" i="13"/>
  <c r="H4236" i="13" s="1"/>
  <c r="C4236" i="13"/>
  <c r="F4236" i="13" s="1"/>
  <c r="B4236" i="13"/>
  <c r="G4235" i="13"/>
  <c r="H4235" i="13" s="1"/>
  <c r="J4235" i="13" s="1"/>
  <c r="C4235" i="13"/>
  <c r="F4235" i="13" s="1"/>
  <c r="B4235" i="13"/>
  <c r="G4234" i="13"/>
  <c r="H4234" i="13" s="1"/>
  <c r="J4234" i="13" s="1"/>
  <c r="C4234" i="13"/>
  <c r="F4234" i="13" s="1"/>
  <c r="B4234" i="13"/>
  <c r="G4233" i="13"/>
  <c r="H4233" i="13" s="1"/>
  <c r="J4233" i="13" s="1"/>
  <c r="C4233" i="13"/>
  <c r="F4233" i="13" s="1"/>
  <c r="B4233" i="13"/>
  <c r="G4232" i="13"/>
  <c r="H4232" i="13" s="1"/>
  <c r="J4232" i="13" s="1"/>
  <c r="C4232" i="13"/>
  <c r="F4232" i="13" s="1"/>
  <c r="B4232" i="13"/>
  <c r="G4231" i="13"/>
  <c r="H4231" i="13" s="1"/>
  <c r="J4231" i="13" s="1"/>
  <c r="C4231" i="13"/>
  <c r="F4231" i="13" s="1"/>
  <c r="B4231" i="13"/>
  <c r="G4230" i="13"/>
  <c r="H4230" i="13" s="1"/>
  <c r="J4230" i="13" s="1"/>
  <c r="C4230" i="13"/>
  <c r="F4230" i="13" s="1"/>
  <c r="B4230" i="13"/>
  <c r="G4229" i="13"/>
  <c r="H4229" i="13" s="1"/>
  <c r="J4229" i="13" s="1"/>
  <c r="C4229" i="13"/>
  <c r="F4229" i="13" s="1"/>
  <c r="B4229" i="13"/>
  <c r="G4228" i="13"/>
  <c r="H4228" i="13" s="1"/>
  <c r="J4228" i="13" s="1"/>
  <c r="C4228" i="13"/>
  <c r="F4228" i="13" s="1"/>
  <c r="B4228" i="13"/>
  <c r="G4227" i="13"/>
  <c r="H4227" i="13" s="1"/>
  <c r="J4227" i="13" s="1"/>
  <c r="C4227" i="13"/>
  <c r="F4227" i="13" s="1"/>
  <c r="B4227" i="13"/>
  <c r="G4226" i="13"/>
  <c r="H4226" i="13" s="1"/>
  <c r="J4226" i="13" s="1"/>
  <c r="C4226" i="13"/>
  <c r="F4226" i="13" s="1"/>
  <c r="B4226" i="13"/>
  <c r="G4225" i="13"/>
  <c r="H4225" i="13" s="1"/>
  <c r="J4225" i="13" s="1"/>
  <c r="C4225" i="13"/>
  <c r="F4225" i="13" s="1"/>
  <c r="B4225" i="13"/>
  <c r="G4224" i="13"/>
  <c r="H4224" i="13" s="1"/>
  <c r="J4224" i="13" s="1"/>
  <c r="C4224" i="13"/>
  <c r="F4224" i="13" s="1"/>
  <c r="B4224" i="13"/>
  <c r="G4223" i="13"/>
  <c r="H4223" i="13" s="1"/>
  <c r="J4223" i="13" s="1"/>
  <c r="C4223" i="13"/>
  <c r="F4223" i="13" s="1"/>
  <c r="B4223" i="13"/>
  <c r="G4222" i="13"/>
  <c r="H4222" i="13" s="1"/>
  <c r="J4222" i="13" s="1"/>
  <c r="C4222" i="13"/>
  <c r="F4222" i="13" s="1"/>
  <c r="B4222" i="13"/>
  <c r="G4221" i="13"/>
  <c r="H4221" i="13" s="1"/>
  <c r="J4221" i="13" s="1"/>
  <c r="C4221" i="13"/>
  <c r="F4221" i="13" s="1"/>
  <c r="B4221" i="13"/>
  <c r="G4220" i="13"/>
  <c r="H4220" i="13" s="1"/>
  <c r="J4220" i="13" s="1"/>
  <c r="C4220" i="13"/>
  <c r="F4220" i="13" s="1"/>
  <c r="B4220" i="13"/>
  <c r="G4219" i="13"/>
  <c r="H4219" i="13" s="1"/>
  <c r="J4219" i="13" s="1"/>
  <c r="C4219" i="13"/>
  <c r="F4219" i="13" s="1"/>
  <c r="B4219" i="13"/>
  <c r="G4218" i="13"/>
  <c r="H4218" i="13" s="1"/>
  <c r="J4218" i="13" s="1"/>
  <c r="C4218" i="13"/>
  <c r="F4218" i="13" s="1"/>
  <c r="B4218" i="13"/>
  <c r="G4217" i="13"/>
  <c r="H4217" i="13" s="1"/>
  <c r="J4217" i="13" s="1"/>
  <c r="C4217" i="13"/>
  <c r="F4217" i="13" s="1"/>
  <c r="B4217" i="13"/>
  <c r="G4216" i="13"/>
  <c r="H4216" i="13" s="1"/>
  <c r="J4216" i="13" s="1"/>
  <c r="C4216" i="13"/>
  <c r="F4216" i="13" s="1"/>
  <c r="B4216" i="13"/>
  <c r="G4215" i="13"/>
  <c r="H4215" i="13" s="1"/>
  <c r="J4215" i="13" s="1"/>
  <c r="C4215" i="13"/>
  <c r="F4215" i="13" s="1"/>
  <c r="B4215" i="13"/>
  <c r="G4214" i="13"/>
  <c r="H4214" i="13" s="1"/>
  <c r="J4214" i="13" s="1"/>
  <c r="C4214" i="13"/>
  <c r="F4214" i="13" s="1"/>
  <c r="B4214" i="13"/>
  <c r="G4213" i="13"/>
  <c r="H4213" i="13" s="1"/>
  <c r="J4213" i="13" s="1"/>
  <c r="C4213" i="13"/>
  <c r="F4213" i="13" s="1"/>
  <c r="B4213" i="13"/>
  <c r="G4212" i="13"/>
  <c r="H4212" i="13" s="1"/>
  <c r="J4212" i="13" s="1"/>
  <c r="C4212" i="13"/>
  <c r="F4212" i="13" s="1"/>
  <c r="B4212" i="13"/>
  <c r="G4211" i="13"/>
  <c r="H4211" i="13" s="1"/>
  <c r="J4211" i="13" s="1"/>
  <c r="C4211" i="13"/>
  <c r="F4211" i="13" s="1"/>
  <c r="B4211" i="13"/>
  <c r="G4210" i="13"/>
  <c r="H4210" i="13" s="1"/>
  <c r="J4210" i="13" s="1"/>
  <c r="C4210" i="13"/>
  <c r="F4210" i="13" s="1"/>
  <c r="B4210" i="13"/>
  <c r="G4209" i="13"/>
  <c r="H4209" i="13" s="1"/>
  <c r="J4209" i="13" s="1"/>
  <c r="C4209" i="13"/>
  <c r="F4209" i="13" s="1"/>
  <c r="B4209" i="13"/>
  <c r="G4208" i="13"/>
  <c r="H4208" i="13" s="1"/>
  <c r="J4208" i="13" s="1"/>
  <c r="C4208" i="13"/>
  <c r="F4208" i="13" s="1"/>
  <c r="B4208" i="13"/>
  <c r="G4207" i="13"/>
  <c r="H4207" i="13" s="1"/>
  <c r="J4207" i="13" s="1"/>
  <c r="C4207" i="13"/>
  <c r="F4207" i="13" s="1"/>
  <c r="B4207" i="13"/>
  <c r="G4206" i="13"/>
  <c r="H4206" i="13" s="1"/>
  <c r="J4206" i="13" s="1"/>
  <c r="C4206" i="13"/>
  <c r="F4206" i="13" s="1"/>
  <c r="B4206" i="13"/>
  <c r="G4205" i="13"/>
  <c r="H4205" i="13" s="1"/>
  <c r="J4205" i="13" s="1"/>
  <c r="C4205" i="13"/>
  <c r="F4205" i="13" s="1"/>
  <c r="B4205" i="13"/>
  <c r="G4204" i="13"/>
  <c r="H4204" i="13" s="1"/>
  <c r="J4204" i="13" s="1"/>
  <c r="C4204" i="13"/>
  <c r="F4204" i="13" s="1"/>
  <c r="B4204" i="13"/>
  <c r="G4203" i="13"/>
  <c r="H4203" i="13" s="1"/>
  <c r="J4203" i="13" s="1"/>
  <c r="C4203" i="13"/>
  <c r="F4203" i="13" s="1"/>
  <c r="B4203" i="13"/>
  <c r="G4202" i="13"/>
  <c r="H4202" i="13" s="1"/>
  <c r="J4202" i="13" s="1"/>
  <c r="C4202" i="13"/>
  <c r="F4202" i="13" s="1"/>
  <c r="B4202" i="13"/>
  <c r="G4201" i="13"/>
  <c r="H4201" i="13" s="1"/>
  <c r="J4201" i="13" s="1"/>
  <c r="C4201" i="13"/>
  <c r="F4201" i="13" s="1"/>
  <c r="B4201" i="13"/>
  <c r="G4200" i="13"/>
  <c r="H4200" i="13" s="1"/>
  <c r="J4200" i="13" s="1"/>
  <c r="C4200" i="13"/>
  <c r="F4200" i="13" s="1"/>
  <c r="B4200" i="13"/>
  <c r="G4199" i="13"/>
  <c r="H4199" i="13" s="1"/>
  <c r="J4199" i="13" s="1"/>
  <c r="C4199" i="13"/>
  <c r="F4199" i="13" s="1"/>
  <c r="B4199" i="13"/>
  <c r="G4198" i="13"/>
  <c r="H4198" i="13" s="1"/>
  <c r="J4198" i="13" s="1"/>
  <c r="C4198" i="13"/>
  <c r="F4198" i="13" s="1"/>
  <c r="B4198" i="13"/>
  <c r="G4197" i="13"/>
  <c r="H4197" i="13" s="1"/>
  <c r="J4197" i="13" s="1"/>
  <c r="C4197" i="13"/>
  <c r="F4197" i="13" s="1"/>
  <c r="B4197" i="13"/>
  <c r="G4196" i="13"/>
  <c r="H4196" i="13" s="1"/>
  <c r="J4196" i="13" s="1"/>
  <c r="C4196" i="13"/>
  <c r="F4196" i="13" s="1"/>
  <c r="B4196" i="13"/>
  <c r="G4195" i="13"/>
  <c r="H4195" i="13" s="1"/>
  <c r="J4195" i="13" s="1"/>
  <c r="C4195" i="13"/>
  <c r="F4195" i="13" s="1"/>
  <c r="B4195" i="13"/>
  <c r="G4194" i="13"/>
  <c r="H4194" i="13" s="1"/>
  <c r="C4194" i="13"/>
  <c r="F4194" i="13" s="1"/>
  <c r="B4194" i="13"/>
  <c r="G4193" i="13"/>
  <c r="H4193" i="13" s="1"/>
  <c r="J4193" i="13" s="1"/>
  <c r="C4193" i="13"/>
  <c r="F4193" i="13" s="1"/>
  <c r="B4193" i="13"/>
  <c r="G4192" i="13"/>
  <c r="H4192" i="13" s="1"/>
  <c r="J4192" i="13" s="1"/>
  <c r="C4192" i="13"/>
  <c r="F4192" i="13" s="1"/>
  <c r="B4192" i="13"/>
  <c r="G4191" i="13"/>
  <c r="H4191" i="13" s="1"/>
  <c r="J4191" i="13" s="1"/>
  <c r="C4191" i="13"/>
  <c r="F4191" i="13" s="1"/>
  <c r="B4191" i="13"/>
  <c r="G4190" i="13"/>
  <c r="H4190" i="13" s="1"/>
  <c r="J4190" i="13" s="1"/>
  <c r="C4190" i="13"/>
  <c r="F4190" i="13" s="1"/>
  <c r="B4190" i="13"/>
  <c r="G4189" i="13"/>
  <c r="H4189" i="13" s="1"/>
  <c r="J4189" i="13" s="1"/>
  <c r="C4189" i="13"/>
  <c r="F4189" i="13" s="1"/>
  <c r="B4189" i="13"/>
  <c r="G4188" i="13"/>
  <c r="H4188" i="13" s="1"/>
  <c r="J4188" i="13" s="1"/>
  <c r="C4188" i="13"/>
  <c r="F4188" i="13" s="1"/>
  <c r="B4188" i="13"/>
  <c r="G4187" i="13"/>
  <c r="H4187" i="13" s="1"/>
  <c r="J4187" i="13" s="1"/>
  <c r="C4187" i="13"/>
  <c r="F4187" i="13" s="1"/>
  <c r="B4187" i="13"/>
  <c r="G4186" i="13"/>
  <c r="H4186" i="13" s="1"/>
  <c r="J4186" i="13" s="1"/>
  <c r="C4186" i="13"/>
  <c r="F4186" i="13" s="1"/>
  <c r="B4186" i="13"/>
  <c r="G4185" i="13"/>
  <c r="H4185" i="13" s="1"/>
  <c r="J4185" i="13" s="1"/>
  <c r="C4185" i="13"/>
  <c r="F4185" i="13" s="1"/>
  <c r="B4185" i="13"/>
  <c r="G4184" i="13"/>
  <c r="H4184" i="13" s="1"/>
  <c r="J4184" i="13" s="1"/>
  <c r="C4184" i="13"/>
  <c r="F4184" i="13" s="1"/>
  <c r="B4184" i="13"/>
  <c r="G4183" i="13"/>
  <c r="H4183" i="13" s="1"/>
  <c r="J4183" i="13" s="1"/>
  <c r="C4183" i="13"/>
  <c r="F4183" i="13" s="1"/>
  <c r="B4183" i="13"/>
  <c r="G4182" i="13"/>
  <c r="H4182" i="13" s="1"/>
  <c r="J4182" i="13" s="1"/>
  <c r="C4182" i="13"/>
  <c r="F4182" i="13" s="1"/>
  <c r="B4182" i="13"/>
  <c r="G4181" i="13"/>
  <c r="H4181" i="13" s="1"/>
  <c r="J4181" i="13" s="1"/>
  <c r="C4181" i="13"/>
  <c r="F4181" i="13" s="1"/>
  <c r="B4181" i="13"/>
  <c r="G4180" i="13"/>
  <c r="H4180" i="13" s="1"/>
  <c r="J4180" i="13" s="1"/>
  <c r="C4180" i="13"/>
  <c r="F4180" i="13" s="1"/>
  <c r="B4180" i="13"/>
  <c r="G4179" i="13"/>
  <c r="H4179" i="13" s="1"/>
  <c r="J4179" i="13" s="1"/>
  <c r="C4179" i="13"/>
  <c r="F4179" i="13" s="1"/>
  <c r="B4179" i="13"/>
  <c r="G4178" i="13"/>
  <c r="H4178" i="13" s="1"/>
  <c r="J4178" i="13" s="1"/>
  <c r="C4178" i="13"/>
  <c r="F4178" i="13" s="1"/>
  <c r="B4178" i="13"/>
  <c r="G4177" i="13"/>
  <c r="H4177" i="13" s="1"/>
  <c r="J4177" i="13" s="1"/>
  <c r="C4177" i="13"/>
  <c r="F4177" i="13" s="1"/>
  <c r="B4177" i="13"/>
  <c r="G4176" i="13"/>
  <c r="H4176" i="13" s="1"/>
  <c r="J4176" i="13" s="1"/>
  <c r="C4176" i="13"/>
  <c r="F4176" i="13" s="1"/>
  <c r="B4176" i="13"/>
  <c r="G4175" i="13"/>
  <c r="H4175" i="13" s="1"/>
  <c r="J4175" i="13" s="1"/>
  <c r="C4175" i="13"/>
  <c r="F4175" i="13" s="1"/>
  <c r="B4175" i="13"/>
  <c r="G4174" i="13"/>
  <c r="H4174" i="13" s="1"/>
  <c r="J4174" i="13" s="1"/>
  <c r="C4174" i="13"/>
  <c r="F4174" i="13" s="1"/>
  <c r="B4174" i="13"/>
  <c r="G4173" i="13"/>
  <c r="H4173" i="13" s="1"/>
  <c r="J4173" i="13" s="1"/>
  <c r="C4173" i="13"/>
  <c r="F4173" i="13" s="1"/>
  <c r="B4173" i="13"/>
  <c r="G4172" i="13"/>
  <c r="H4172" i="13" s="1"/>
  <c r="J4172" i="13" s="1"/>
  <c r="C4172" i="13"/>
  <c r="F4172" i="13" s="1"/>
  <c r="B4172" i="13"/>
  <c r="G4171" i="13"/>
  <c r="H4171" i="13" s="1"/>
  <c r="J4171" i="13" s="1"/>
  <c r="C4171" i="13"/>
  <c r="F4171" i="13" s="1"/>
  <c r="B4171" i="13"/>
  <c r="G4170" i="13"/>
  <c r="H4170" i="13" s="1"/>
  <c r="J4170" i="13" s="1"/>
  <c r="C4170" i="13"/>
  <c r="F4170" i="13" s="1"/>
  <c r="B4170" i="13"/>
  <c r="G4169" i="13"/>
  <c r="H4169" i="13" s="1"/>
  <c r="J4169" i="13" s="1"/>
  <c r="C4169" i="13"/>
  <c r="F4169" i="13" s="1"/>
  <c r="B4169" i="13"/>
  <c r="G4168" i="13"/>
  <c r="H4168" i="13" s="1"/>
  <c r="J4168" i="13" s="1"/>
  <c r="C4168" i="13"/>
  <c r="F4168" i="13" s="1"/>
  <c r="B4168" i="13"/>
  <c r="G4167" i="13"/>
  <c r="H4167" i="13" s="1"/>
  <c r="J4167" i="13" s="1"/>
  <c r="C4167" i="13"/>
  <c r="F4167" i="13" s="1"/>
  <c r="B4167" i="13"/>
  <c r="G4166" i="13"/>
  <c r="H4166" i="13" s="1"/>
  <c r="J4166" i="13" s="1"/>
  <c r="C4166" i="13"/>
  <c r="F4166" i="13" s="1"/>
  <c r="B4166" i="13"/>
  <c r="G4165" i="13"/>
  <c r="H4165" i="13" s="1"/>
  <c r="J4165" i="13" s="1"/>
  <c r="C4165" i="13"/>
  <c r="F4165" i="13" s="1"/>
  <c r="B4165" i="13"/>
  <c r="G4164" i="13"/>
  <c r="H4164" i="13" s="1"/>
  <c r="J4164" i="13" s="1"/>
  <c r="C4164" i="13"/>
  <c r="F4164" i="13" s="1"/>
  <c r="B4164" i="13"/>
  <c r="G4163" i="13"/>
  <c r="H4163" i="13" s="1"/>
  <c r="J4163" i="13" s="1"/>
  <c r="C4163" i="13"/>
  <c r="F4163" i="13" s="1"/>
  <c r="B4163" i="13"/>
  <c r="G4162" i="13"/>
  <c r="H4162" i="13" s="1"/>
  <c r="J4162" i="13" s="1"/>
  <c r="C4162" i="13"/>
  <c r="F4162" i="13" s="1"/>
  <c r="B4162" i="13"/>
  <c r="G4161" i="13"/>
  <c r="H4161" i="13" s="1"/>
  <c r="J4161" i="13" s="1"/>
  <c r="C4161" i="13"/>
  <c r="F4161" i="13" s="1"/>
  <c r="B4161" i="13"/>
  <c r="G4160" i="13"/>
  <c r="H4160" i="13" s="1"/>
  <c r="J4160" i="13" s="1"/>
  <c r="C4160" i="13"/>
  <c r="F4160" i="13" s="1"/>
  <c r="B4160" i="13"/>
  <c r="G4159" i="13"/>
  <c r="H4159" i="13" s="1"/>
  <c r="J4159" i="13" s="1"/>
  <c r="C4159" i="13"/>
  <c r="F4159" i="13" s="1"/>
  <c r="B4159" i="13"/>
  <c r="G4158" i="13"/>
  <c r="H4158" i="13" s="1"/>
  <c r="J4158" i="13" s="1"/>
  <c r="C4158" i="13"/>
  <c r="F4158" i="13" s="1"/>
  <c r="B4158" i="13"/>
  <c r="G4157" i="13"/>
  <c r="H4157" i="13" s="1"/>
  <c r="J4157" i="13" s="1"/>
  <c r="C4157" i="13"/>
  <c r="F4157" i="13" s="1"/>
  <c r="B4157" i="13"/>
  <c r="G4156" i="13"/>
  <c r="H4156" i="13" s="1"/>
  <c r="J4156" i="13" s="1"/>
  <c r="C4156" i="13"/>
  <c r="F4156" i="13" s="1"/>
  <c r="B4156" i="13"/>
  <c r="G4155" i="13"/>
  <c r="H4155" i="13" s="1"/>
  <c r="J4155" i="13" s="1"/>
  <c r="C4155" i="13"/>
  <c r="F4155" i="13" s="1"/>
  <c r="B4155" i="13"/>
  <c r="G4154" i="13"/>
  <c r="H4154" i="13" s="1"/>
  <c r="J4154" i="13" s="1"/>
  <c r="C4154" i="13"/>
  <c r="F4154" i="13" s="1"/>
  <c r="B4154" i="13"/>
  <c r="G4153" i="13"/>
  <c r="H4153" i="13" s="1"/>
  <c r="J4153" i="13" s="1"/>
  <c r="C4153" i="13"/>
  <c r="F4153" i="13" s="1"/>
  <c r="B4153" i="13"/>
  <c r="G4152" i="13"/>
  <c r="H4152" i="13" s="1"/>
  <c r="J4152" i="13" s="1"/>
  <c r="C4152" i="13"/>
  <c r="F4152" i="13" s="1"/>
  <c r="B4152" i="13"/>
  <c r="G4151" i="13"/>
  <c r="H4151" i="13" s="1"/>
  <c r="J4151" i="13" s="1"/>
  <c r="C4151" i="13"/>
  <c r="F4151" i="13" s="1"/>
  <c r="B4151" i="13"/>
  <c r="G4150" i="13"/>
  <c r="H4150" i="13" s="1"/>
  <c r="J4150" i="13" s="1"/>
  <c r="C4150" i="13"/>
  <c r="F4150" i="13" s="1"/>
  <c r="B4150" i="13"/>
  <c r="G4149" i="13"/>
  <c r="H4149" i="13" s="1"/>
  <c r="J4149" i="13" s="1"/>
  <c r="C4149" i="13"/>
  <c r="F4149" i="13" s="1"/>
  <c r="B4149" i="13"/>
  <c r="G4148" i="13"/>
  <c r="H4148" i="13" s="1"/>
  <c r="J4148" i="13" s="1"/>
  <c r="C4148" i="13"/>
  <c r="F4148" i="13" s="1"/>
  <c r="B4148" i="13"/>
  <c r="G4147" i="13"/>
  <c r="H4147" i="13" s="1"/>
  <c r="J4147" i="13" s="1"/>
  <c r="C4147" i="13"/>
  <c r="F4147" i="13" s="1"/>
  <c r="B4147" i="13"/>
  <c r="G4146" i="13"/>
  <c r="H4146" i="13" s="1"/>
  <c r="J4146" i="13" s="1"/>
  <c r="C4146" i="13"/>
  <c r="F4146" i="13" s="1"/>
  <c r="B4146" i="13"/>
  <c r="G4145" i="13"/>
  <c r="H4145" i="13" s="1"/>
  <c r="J4145" i="13" s="1"/>
  <c r="C4145" i="13"/>
  <c r="F4145" i="13" s="1"/>
  <c r="B4145" i="13"/>
  <c r="G4144" i="13"/>
  <c r="H4144" i="13" s="1"/>
  <c r="J4144" i="13" s="1"/>
  <c r="C4144" i="13"/>
  <c r="F4144" i="13" s="1"/>
  <c r="B4144" i="13"/>
  <c r="G4143" i="13"/>
  <c r="H4143" i="13" s="1"/>
  <c r="J4143" i="13" s="1"/>
  <c r="C4143" i="13"/>
  <c r="F4143" i="13" s="1"/>
  <c r="B4143" i="13"/>
  <c r="G4142" i="13"/>
  <c r="H4142" i="13" s="1"/>
  <c r="J4142" i="13" s="1"/>
  <c r="C4142" i="13"/>
  <c r="F4142" i="13" s="1"/>
  <c r="B4142" i="13"/>
  <c r="G4141" i="13"/>
  <c r="H4141" i="13" s="1"/>
  <c r="J4141" i="13" s="1"/>
  <c r="C4141" i="13"/>
  <c r="F4141" i="13" s="1"/>
  <c r="B4141" i="13"/>
  <c r="G4140" i="13"/>
  <c r="H4140" i="13" s="1"/>
  <c r="J4140" i="13" s="1"/>
  <c r="C4140" i="13"/>
  <c r="F4140" i="13" s="1"/>
  <c r="B4140" i="13"/>
  <c r="G4139" i="13"/>
  <c r="H4139" i="13" s="1"/>
  <c r="J4139" i="13" s="1"/>
  <c r="C4139" i="13"/>
  <c r="F4139" i="13" s="1"/>
  <c r="B4139" i="13"/>
  <c r="G4138" i="13"/>
  <c r="H4138" i="13" s="1"/>
  <c r="J4138" i="13" s="1"/>
  <c r="C4138" i="13"/>
  <c r="F4138" i="13" s="1"/>
  <c r="B4138" i="13"/>
  <c r="G4137" i="13"/>
  <c r="H4137" i="13" s="1"/>
  <c r="J4137" i="13" s="1"/>
  <c r="C4137" i="13"/>
  <c r="F4137" i="13" s="1"/>
  <c r="B4137" i="13"/>
  <c r="G4136" i="13"/>
  <c r="H4136" i="13" s="1"/>
  <c r="J4136" i="13" s="1"/>
  <c r="C4136" i="13"/>
  <c r="F4136" i="13" s="1"/>
  <c r="B4136" i="13"/>
  <c r="G4135" i="13"/>
  <c r="H4135" i="13" s="1"/>
  <c r="J4135" i="13" s="1"/>
  <c r="C4135" i="13"/>
  <c r="F4135" i="13" s="1"/>
  <c r="B4135" i="13"/>
  <c r="G4134" i="13"/>
  <c r="H4134" i="13" s="1"/>
  <c r="J4134" i="13" s="1"/>
  <c r="C4134" i="13"/>
  <c r="F4134" i="13" s="1"/>
  <c r="B4134" i="13"/>
  <c r="G4133" i="13"/>
  <c r="H4133" i="13" s="1"/>
  <c r="J4133" i="13" s="1"/>
  <c r="C4133" i="13"/>
  <c r="F4133" i="13" s="1"/>
  <c r="B4133" i="13"/>
  <c r="G4132" i="13"/>
  <c r="H4132" i="13" s="1"/>
  <c r="J4132" i="13" s="1"/>
  <c r="C4132" i="13"/>
  <c r="F4132" i="13" s="1"/>
  <c r="B4132" i="13"/>
  <c r="G4131" i="13"/>
  <c r="H4131" i="13" s="1"/>
  <c r="J4131" i="13" s="1"/>
  <c r="C4131" i="13"/>
  <c r="F4131" i="13" s="1"/>
  <c r="B4131" i="13"/>
  <c r="G4130" i="13"/>
  <c r="H4130" i="13" s="1"/>
  <c r="J4130" i="13" s="1"/>
  <c r="C4130" i="13"/>
  <c r="F4130" i="13" s="1"/>
  <c r="B4130" i="13"/>
  <c r="G4129" i="13"/>
  <c r="H4129" i="13" s="1"/>
  <c r="C4129" i="13"/>
  <c r="F4129" i="13" s="1"/>
  <c r="B4129" i="13"/>
  <c r="G4128" i="13"/>
  <c r="H4128" i="13" s="1"/>
  <c r="J4128" i="13" s="1"/>
  <c r="C4128" i="13"/>
  <c r="F4128" i="13" s="1"/>
  <c r="B4128" i="13"/>
  <c r="G4127" i="13"/>
  <c r="H4127" i="13" s="1"/>
  <c r="J4127" i="13" s="1"/>
  <c r="C4127" i="13"/>
  <c r="F4127" i="13" s="1"/>
  <c r="B4127" i="13"/>
  <c r="G4126" i="13"/>
  <c r="H4126" i="13" s="1"/>
  <c r="J4126" i="13" s="1"/>
  <c r="C4126" i="13"/>
  <c r="F4126" i="13" s="1"/>
  <c r="B4126" i="13"/>
  <c r="G4125" i="13"/>
  <c r="H4125" i="13" s="1"/>
  <c r="J4125" i="13" s="1"/>
  <c r="C4125" i="13"/>
  <c r="F4125" i="13" s="1"/>
  <c r="B4125" i="13"/>
  <c r="G4124" i="13"/>
  <c r="H4124" i="13" s="1"/>
  <c r="J4124" i="13" s="1"/>
  <c r="C4124" i="13"/>
  <c r="F4124" i="13" s="1"/>
  <c r="B4124" i="13"/>
  <c r="G4123" i="13"/>
  <c r="H4123" i="13" s="1"/>
  <c r="J4123" i="13" s="1"/>
  <c r="C4123" i="13"/>
  <c r="F4123" i="13" s="1"/>
  <c r="B4123" i="13"/>
  <c r="G4122" i="13"/>
  <c r="H4122" i="13" s="1"/>
  <c r="J4122" i="13" s="1"/>
  <c r="C4122" i="13"/>
  <c r="F4122" i="13" s="1"/>
  <c r="B4122" i="13"/>
  <c r="G4121" i="13"/>
  <c r="H4121" i="13" s="1"/>
  <c r="J4121" i="13" s="1"/>
  <c r="C4121" i="13"/>
  <c r="F4121" i="13" s="1"/>
  <c r="B4121" i="13"/>
  <c r="G4120" i="13"/>
  <c r="H4120" i="13" s="1"/>
  <c r="J4120" i="13" s="1"/>
  <c r="C4120" i="13"/>
  <c r="F4120" i="13" s="1"/>
  <c r="B4120" i="13"/>
  <c r="G4119" i="13"/>
  <c r="H4119" i="13" s="1"/>
  <c r="J4119" i="13" s="1"/>
  <c r="C4119" i="13"/>
  <c r="F4119" i="13" s="1"/>
  <c r="B4119" i="13"/>
  <c r="G4118" i="13"/>
  <c r="H4118" i="13" s="1"/>
  <c r="J4118" i="13" s="1"/>
  <c r="C4118" i="13"/>
  <c r="F4118" i="13" s="1"/>
  <c r="B4118" i="13"/>
  <c r="G4117" i="13"/>
  <c r="H4117" i="13" s="1"/>
  <c r="J4117" i="13" s="1"/>
  <c r="C4117" i="13"/>
  <c r="F4117" i="13" s="1"/>
  <c r="B4117" i="13"/>
  <c r="G4116" i="13"/>
  <c r="H4116" i="13" s="1"/>
  <c r="J4116" i="13" s="1"/>
  <c r="C4116" i="13"/>
  <c r="F4116" i="13" s="1"/>
  <c r="B4116" i="13"/>
  <c r="G4115" i="13"/>
  <c r="H4115" i="13" s="1"/>
  <c r="J4115" i="13" s="1"/>
  <c r="C4115" i="13"/>
  <c r="F4115" i="13" s="1"/>
  <c r="B4115" i="13"/>
  <c r="G4114" i="13"/>
  <c r="H4114" i="13" s="1"/>
  <c r="J4114" i="13" s="1"/>
  <c r="C4114" i="13"/>
  <c r="F4114" i="13" s="1"/>
  <c r="B4114" i="13"/>
  <c r="G4113" i="13"/>
  <c r="H4113" i="13" s="1"/>
  <c r="J4113" i="13" s="1"/>
  <c r="C4113" i="13"/>
  <c r="F4113" i="13" s="1"/>
  <c r="B4113" i="13"/>
  <c r="G4112" i="13"/>
  <c r="H4112" i="13" s="1"/>
  <c r="J4112" i="13" s="1"/>
  <c r="C4112" i="13"/>
  <c r="F4112" i="13" s="1"/>
  <c r="B4112" i="13"/>
  <c r="G4111" i="13"/>
  <c r="H4111" i="13" s="1"/>
  <c r="J4111" i="13" s="1"/>
  <c r="C4111" i="13"/>
  <c r="F4111" i="13" s="1"/>
  <c r="B4111" i="13"/>
  <c r="G4110" i="13"/>
  <c r="H4110" i="13" s="1"/>
  <c r="J4110" i="13" s="1"/>
  <c r="C4110" i="13"/>
  <c r="F4110" i="13" s="1"/>
  <c r="B4110" i="13"/>
  <c r="G4109" i="13"/>
  <c r="H4109" i="13" s="1"/>
  <c r="J4109" i="13" s="1"/>
  <c r="C4109" i="13"/>
  <c r="F4109" i="13" s="1"/>
  <c r="B4109" i="13"/>
  <c r="G4108" i="13"/>
  <c r="H4108" i="13" s="1"/>
  <c r="J4108" i="13" s="1"/>
  <c r="C4108" i="13"/>
  <c r="F4108" i="13" s="1"/>
  <c r="B4108" i="13"/>
  <c r="G4107" i="13"/>
  <c r="H4107" i="13" s="1"/>
  <c r="J4107" i="13" s="1"/>
  <c r="C4107" i="13"/>
  <c r="F4107" i="13" s="1"/>
  <c r="B4107" i="13"/>
  <c r="G4106" i="13"/>
  <c r="H4106" i="13" s="1"/>
  <c r="J4106" i="13" s="1"/>
  <c r="C4106" i="13"/>
  <c r="F4106" i="13" s="1"/>
  <c r="B4106" i="13"/>
  <c r="G4105" i="13"/>
  <c r="H4105" i="13" s="1"/>
  <c r="J4105" i="13" s="1"/>
  <c r="C4105" i="13"/>
  <c r="F4105" i="13" s="1"/>
  <c r="B4105" i="13"/>
  <c r="G4104" i="13"/>
  <c r="H4104" i="13" s="1"/>
  <c r="J4104" i="13" s="1"/>
  <c r="C4104" i="13"/>
  <c r="F4104" i="13" s="1"/>
  <c r="B4104" i="13"/>
  <c r="G4103" i="13"/>
  <c r="H4103" i="13" s="1"/>
  <c r="J4103" i="13" s="1"/>
  <c r="C4103" i="13"/>
  <c r="F4103" i="13" s="1"/>
  <c r="B4103" i="13"/>
  <c r="G4102" i="13"/>
  <c r="H4102" i="13" s="1"/>
  <c r="J4102" i="13" s="1"/>
  <c r="C4102" i="13"/>
  <c r="F4102" i="13" s="1"/>
  <c r="B4102" i="13"/>
  <c r="G4101" i="13"/>
  <c r="H4101" i="13" s="1"/>
  <c r="J4101" i="13" s="1"/>
  <c r="C4101" i="13"/>
  <c r="F4101" i="13" s="1"/>
  <c r="B4101" i="13"/>
  <c r="G4100" i="13"/>
  <c r="H4100" i="13" s="1"/>
  <c r="J4100" i="13" s="1"/>
  <c r="C4100" i="13"/>
  <c r="F4100" i="13" s="1"/>
  <c r="B4100" i="13"/>
  <c r="G4099" i="13"/>
  <c r="H4099" i="13" s="1"/>
  <c r="J4099" i="13" s="1"/>
  <c r="C4099" i="13"/>
  <c r="F4099" i="13" s="1"/>
  <c r="B4099" i="13"/>
  <c r="G4098" i="13"/>
  <c r="H4098" i="13" s="1"/>
  <c r="J4098" i="13" s="1"/>
  <c r="C4098" i="13"/>
  <c r="F4098" i="13" s="1"/>
  <c r="B4098" i="13"/>
  <c r="G4097" i="13"/>
  <c r="H4097" i="13" s="1"/>
  <c r="J4097" i="13" s="1"/>
  <c r="C4097" i="13"/>
  <c r="F4097" i="13" s="1"/>
  <c r="B4097" i="13"/>
  <c r="G4096" i="13"/>
  <c r="H4096" i="13" s="1"/>
  <c r="J4096" i="13" s="1"/>
  <c r="C4096" i="13"/>
  <c r="F4096" i="13" s="1"/>
  <c r="B4096" i="13"/>
  <c r="G4095" i="13"/>
  <c r="H4095" i="13" s="1"/>
  <c r="J4095" i="13" s="1"/>
  <c r="C4095" i="13"/>
  <c r="F4095" i="13" s="1"/>
  <c r="B4095" i="13"/>
  <c r="G4094" i="13"/>
  <c r="H4094" i="13" s="1"/>
  <c r="J4094" i="13" s="1"/>
  <c r="C4094" i="13"/>
  <c r="F4094" i="13" s="1"/>
  <c r="B4094" i="13"/>
  <c r="G4093" i="13"/>
  <c r="H4093" i="13" s="1"/>
  <c r="J4093" i="13" s="1"/>
  <c r="C4093" i="13"/>
  <c r="F4093" i="13" s="1"/>
  <c r="B4093" i="13"/>
  <c r="G4092" i="13"/>
  <c r="H4092" i="13" s="1"/>
  <c r="J4092" i="13" s="1"/>
  <c r="C4092" i="13"/>
  <c r="F4092" i="13" s="1"/>
  <c r="B4092" i="13"/>
  <c r="G4091" i="13"/>
  <c r="H4091" i="13" s="1"/>
  <c r="J4091" i="13" s="1"/>
  <c r="C4091" i="13"/>
  <c r="F4091" i="13" s="1"/>
  <c r="B4091" i="13"/>
  <c r="G4090" i="13"/>
  <c r="H4090" i="13" s="1"/>
  <c r="J4090" i="13" s="1"/>
  <c r="C4090" i="13"/>
  <c r="F4090" i="13" s="1"/>
  <c r="B4090" i="13"/>
  <c r="G4089" i="13"/>
  <c r="H4089" i="13" s="1"/>
  <c r="J4089" i="13" s="1"/>
  <c r="C4089" i="13"/>
  <c r="F4089" i="13" s="1"/>
  <c r="B4089" i="13"/>
  <c r="G4088" i="13"/>
  <c r="H4088" i="13" s="1"/>
  <c r="J4088" i="13" s="1"/>
  <c r="C4088" i="13"/>
  <c r="F4088" i="13" s="1"/>
  <c r="B4088" i="13"/>
  <c r="G4087" i="13"/>
  <c r="H4087" i="13" s="1"/>
  <c r="J4087" i="13" s="1"/>
  <c r="C4087" i="13"/>
  <c r="F4087" i="13" s="1"/>
  <c r="B4087" i="13"/>
  <c r="G4086" i="13"/>
  <c r="H4086" i="13" s="1"/>
  <c r="J4086" i="13" s="1"/>
  <c r="C4086" i="13"/>
  <c r="F4086" i="13" s="1"/>
  <c r="B4086" i="13"/>
  <c r="G4085" i="13"/>
  <c r="H4085" i="13" s="1"/>
  <c r="J4085" i="13" s="1"/>
  <c r="C4085" i="13"/>
  <c r="F4085" i="13" s="1"/>
  <c r="B4085" i="13"/>
  <c r="G4084" i="13"/>
  <c r="H4084" i="13" s="1"/>
  <c r="J4084" i="13" s="1"/>
  <c r="C4084" i="13"/>
  <c r="F4084" i="13" s="1"/>
  <c r="B4084" i="13"/>
  <c r="G4083" i="13"/>
  <c r="H4083" i="13" s="1"/>
  <c r="J4083" i="13" s="1"/>
  <c r="C4083" i="13"/>
  <c r="F4083" i="13" s="1"/>
  <c r="B4083" i="13"/>
  <c r="G4082" i="13"/>
  <c r="H4082" i="13" s="1"/>
  <c r="J4082" i="13" s="1"/>
  <c r="C4082" i="13"/>
  <c r="F4082" i="13" s="1"/>
  <c r="B4082" i="13"/>
  <c r="G4081" i="13"/>
  <c r="H4081" i="13" s="1"/>
  <c r="C4081" i="13"/>
  <c r="F4081" i="13" s="1"/>
  <c r="B4081" i="13"/>
  <c r="G4080" i="13"/>
  <c r="H4080" i="13" s="1"/>
  <c r="J4080" i="13" s="1"/>
  <c r="C4080" i="13"/>
  <c r="F4080" i="13" s="1"/>
  <c r="B4080" i="13"/>
  <c r="G4079" i="13"/>
  <c r="H4079" i="13" s="1"/>
  <c r="J4079" i="13" s="1"/>
  <c r="C4079" i="13"/>
  <c r="F4079" i="13" s="1"/>
  <c r="B4079" i="13"/>
  <c r="G4078" i="13"/>
  <c r="H4078" i="13" s="1"/>
  <c r="J4078" i="13" s="1"/>
  <c r="C4078" i="13"/>
  <c r="F4078" i="13" s="1"/>
  <c r="B4078" i="13"/>
  <c r="G4077" i="13"/>
  <c r="H4077" i="13" s="1"/>
  <c r="J4077" i="13" s="1"/>
  <c r="C4077" i="13"/>
  <c r="F4077" i="13" s="1"/>
  <c r="B4077" i="13"/>
  <c r="G4076" i="13"/>
  <c r="H4076" i="13" s="1"/>
  <c r="J4076" i="13" s="1"/>
  <c r="C4076" i="13"/>
  <c r="F4076" i="13" s="1"/>
  <c r="B4076" i="13"/>
  <c r="G4075" i="13"/>
  <c r="H4075" i="13" s="1"/>
  <c r="J4075" i="13" s="1"/>
  <c r="C4075" i="13"/>
  <c r="F4075" i="13" s="1"/>
  <c r="B4075" i="13"/>
  <c r="G4074" i="13"/>
  <c r="H4074" i="13" s="1"/>
  <c r="J4074" i="13" s="1"/>
  <c r="C4074" i="13"/>
  <c r="F4074" i="13" s="1"/>
  <c r="B4074" i="13"/>
  <c r="G4073" i="13"/>
  <c r="H4073" i="13" s="1"/>
  <c r="C4073" i="13"/>
  <c r="F4073" i="13" s="1"/>
  <c r="B4073" i="13"/>
  <c r="G4072" i="13"/>
  <c r="H4072" i="13" s="1"/>
  <c r="J4072" i="13" s="1"/>
  <c r="C4072" i="13"/>
  <c r="F4072" i="13" s="1"/>
  <c r="B4072" i="13"/>
  <c r="G4071" i="13"/>
  <c r="H4071" i="13" s="1"/>
  <c r="J4071" i="13" s="1"/>
  <c r="C4071" i="13"/>
  <c r="F4071" i="13" s="1"/>
  <c r="B4071" i="13"/>
  <c r="G4070" i="13"/>
  <c r="H4070" i="13" s="1"/>
  <c r="J4070" i="13" s="1"/>
  <c r="C4070" i="13"/>
  <c r="F4070" i="13" s="1"/>
  <c r="B4070" i="13"/>
  <c r="G4069" i="13"/>
  <c r="H4069" i="13" s="1"/>
  <c r="C4069" i="13"/>
  <c r="F4069" i="13" s="1"/>
  <c r="B4069" i="13"/>
  <c r="G4068" i="13"/>
  <c r="H4068" i="13" s="1"/>
  <c r="J4068" i="13" s="1"/>
  <c r="C4068" i="13"/>
  <c r="F4068" i="13" s="1"/>
  <c r="B4068" i="13"/>
  <c r="G4067" i="13"/>
  <c r="H4067" i="13" s="1"/>
  <c r="J4067" i="13" s="1"/>
  <c r="C4067" i="13"/>
  <c r="F4067" i="13" s="1"/>
  <c r="B4067" i="13"/>
  <c r="G4066" i="13"/>
  <c r="H4066" i="13" s="1"/>
  <c r="J4066" i="13" s="1"/>
  <c r="C4066" i="13"/>
  <c r="F4066" i="13" s="1"/>
  <c r="B4066" i="13"/>
  <c r="G4065" i="13"/>
  <c r="H4065" i="13" s="1"/>
  <c r="J4065" i="13" s="1"/>
  <c r="C4065" i="13"/>
  <c r="F4065" i="13" s="1"/>
  <c r="B4065" i="13"/>
  <c r="G4064" i="13"/>
  <c r="H4064" i="13" s="1"/>
  <c r="J4064" i="13" s="1"/>
  <c r="C4064" i="13"/>
  <c r="F4064" i="13" s="1"/>
  <c r="B4064" i="13"/>
  <c r="G4063" i="13"/>
  <c r="H4063" i="13" s="1"/>
  <c r="J4063" i="13" s="1"/>
  <c r="C4063" i="13"/>
  <c r="F4063" i="13" s="1"/>
  <c r="B4063" i="13"/>
  <c r="G4062" i="13"/>
  <c r="H4062" i="13" s="1"/>
  <c r="J4062" i="13" s="1"/>
  <c r="C4062" i="13"/>
  <c r="F4062" i="13" s="1"/>
  <c r="B4062" i="13"/>
  <c r="G4061" i="13"/>
  <c r="H4061" i="13" s="1"/>
  <c r="J4061" i="13" s="1"/>
  <c r="C4061" i="13"/>
  <c r="F4061" i="13" s="1"/>
  <c r="B4061" i="13"/>
  <c r="G4060" i="13"/>
  <c r="H4060" i="13" s="1"/>
  <c r="C4060" i="13"/>
  <c r="F4060" i="13" s="1"/>
  <c r="B4060" i="13"/>
  <c r="G4059" i="13"/>
  <c r="H4059" i="13" s="1"/>
  <c r="J4059" i="13" s="1"/>
  <c r="C4059" i="13"/>
  <c r="F4059" i="13" s="1"/>
  <c r="B4059" i="13"/>
  <c r="G4058" i="13"/>
  <c r="H4058" i="13" s="1"/>
  <c r="J4058" i="13" s="1"/>
  <c r="C4058" i="13"/>
  <c r="F4058" i="13" s="1"/>
  <c r="B4058" i="13"/>
  <c r="G4057" i="13"/>
  <c r="H4057" i="13" s="1"/>
  <c r="J4057" i="13" s="1"/>
  <c r="C4057" i="13"/>
  <c r="F4057" i="13" s="1"/>
  <c r="B4057" i="13"/>
  <c r="G4056" i="13"/>
  <c r="H4056" i="13" s="1"/>
  <c r="J4056" i="13" s="1"/>
  <c r="C4056" i="13"/>
  <c r="F4056" i="13" s="1"/>
  <c r="B4056" i="13"/>
  <c r="G4055" i="13"/>
  <c r="H4055" i="13" s="1"/>
  <c r="J4055" i="13" s="1"/>
  <c r="C4055" i="13"/>
  <c r="F4055" i="13" s="1"/>
  <c r="B4055" i="13"/>
  <c r="G4054" i="13"/>
  <c r="H4054" i="13" s="1"/>
  <c r="J4054" i="13" s="1"/>
  <c r="C4054" i="13"/>
  <c r="F4054" i="13" s="1"/>
  <c r="B4054" i="13"/>
  <c r="G4053" i="13"/>
  <c r="H4053" i="13" s="1"/>
  <c r="J4053" i="13" s="1"/>
  <c r="C4053" i="13"/>
  <c r="F4053" i="13" s="1"/>
  <c r="B4053" i="13"/>
  <c r="G4052" i="13"/>
  <c r="H4052" i="13" s="1"/>
  <c r="J4052" i="13" s="1"/>
  <c r="C4052" i="13"/>
  <c r="F4052" i="13" s="1"/>
  <c r="B4052" i="13"/>
  <c r="G4051" i="13"/>
  <c r="H4051" i="13" s="1"/>
  <c r="J4051" i="13" s="1"/>
  <c r="C4051" i="13"/>
  <c r="F4051" i="13" s="1"/>
  <c r="B4051" i="13"/>
  <c r="G4050" i="13"/>
  <c r="H4050" i="13" s="1"/>
  <c r="J4050" i="13" s="1"/>
  <c r="C4050" i="13"/>
  <c r="F4050" i="13" s="1"/>
  <c r="B4050" i="13"/>
  <c r="G4049" i="13"/>
  <c r="H4049" i="13" s="1"/>
  <c r="J4049" i="13" s="1"/>
  <c r="C4049" i="13"/>
  <c r="F4049" i="13" s="1"/>
  <c r="B4049" i="13"/>
  <c r="G4048" i="13"/>
  <c r="H4048" i="13" s="1"/>
  <c r="J4048" i="13" s="1"/>
  <c r="C4048" i="13"/>
  <c r="F4048" i="13" s="1"/>
  <c r="B4048" i="13"/>
  <c r="G4047" i="13"/>
  <c r="H4047" i="13" s="1"/>
  <c r="J4047" i="13" s="1"/>
  <c r="C4047" i="13"/>
  <c r="F4047" i="13" s="1"/>
  <c r="B4047" i="13"/>
  <c r="G4046" i="13"/>
  <c r="H4046" i="13" s="1"/>
  <c r="J4046" i="13" s="1"/>
  <c r="C4046" i="13"/>
  <c r="F4046" i="13" s="1"/>
  <c r="B4046" i="13"/>
  <c r="G4045" i="13"/>
  <c r="H4045" i="13" s="1"/>
  <c r="J4045" i="13" s="1"/>
  <c r="C4045" i="13"/>
  <c r="F4045" i="13" s="1"/>
  <c r="B4045" i="13"/>
  <c r="G4044" i="13"/>
  <c r="H4044" i="13" s="1"/>
  <c r="J4044" i="13" s="1"/>
  <c r="C4044" i="13"/>
  <c r="F4044" i="13" s="1"/>
  <c r="B4044" i="13"/>
  <c r="G4043" i="13"/>
  <c r="H4043" i="13" s="1"/>
  <c r="J4043" i="13" s="1"/>
  <c r="C4043" i="13"/>
  <c r="F4043" i="13" s="1"/>
  <c r="B4043" i="13"/>
  <c r="G4042" i="13"/>
  <c r="H4042" i="13" s="1"/>
  <c r="J4042" i="13" s="1"/>
  <c r="C4042" i="13"/>
  <c r="F4042" i="13" s="1"/>
  <c r="B4042" i="13"/>
  <c r="G4041" i="13"/>
  <c r="H4041" i="13" s="1"/>
  <c r="J4041" i="13" s="1"/>
  <c r="C4041" i="13"/>
  <c r="F4041" i="13" s="1"/>
  <c r="B4041" i="13"/>
  <c r="G4040" i="13"/>
  <c r="H4040" i="13" s="1"/>
  <c r="J4040" i="13" s="1"/>
  <c r="C4040" i="13"/>
  <c r="F4040" i="13" s="1"/>
  <c r="B4040" i="13"/>
  <c r="G4039" i="13"/>
  <c r="H4039" i="13" s="1"/>
  <c r="J4039" i="13" s="1"/>
  <c r="C4039" i="13"/>
  <c r="F4039" i="13" s="1"/>
  <c r="B4039" i="13"/>
  <c r="G4038" i="13"/>
  <c r="H4038" i="13" s="1"/>
  <c r="J4038" i="13" s="1"/>
  <c r="C4038" i="13"/>
  <c r="F4038" i="13" s="1"/>
  <c r="B4038" i="13"/>
  <c r="G4037" i="13"/>
  <c r="H4037" i="13" s="1"/>
  <c r="J4037" i="13" s="1"/>
  <c r="C4037" i="13"/>
  <c r="F4037" i="13" s="1"/>
  <c r="B4037" i="13"/>
  <c r="G4036" i="13"/>
  <c r="H4036" i="13" s="1"/>
  <c r="J4036" i="13" s="1"/>
  <c r="C4036" i="13"/>
  <c r="F4036" i="13" s="1"/>
  <c r="B4036" i="13"/>
  <c r="G4035" i="13"/>
  <c r="H4035" i="13" s="1"/>
  <c r="J4035" i="13" s="1"/>
  <c r="C4035" i="13"/>
  <c r="F4035" i="13" s="1"/>
  <c r="B4035" i="13"/>
  <c r="G4034" i="13"/>
  <c r="H4034" i="13" s="1"/>
  <c r="J4034" i="13" s="1"/>
  <c r="C4034" i="13"/>
  <c r="F4034" i="13" s="1"/>
  <c r="B4034" i="13"/>
  <c r="G4033" i="13"/>
  <c r="H4033" i="13" s="1"/>
  <c r="J4033" i="13" s="1"/>
  <c r="C4033" i="13"/>
  <c r="F4033" i="13" s="1"/>
  <c r="B4033" i="13"/>
  <c r="G4032" i="13"/>
  <c r="H4032" i="13" s="1"/>
  <c r="J4032" i="13" s="1"/>
  <c r="C4032" i="13"/>
  <c r="F4032" i="13" s="1"/>
  <c r="B4032" i="13"/>
  <c r="G4031" i="13"/>
  <c r="H4031" i="13" s="1"/>
  <c r="J4031" i="13" s="1"/>
  <c r="C4031" i="13"/>
  <c r="F4031" i="13" s="1"/>
  <c r="B4031" i="13"/>
  <c r="G4030" i="13"/>
  <c r="H4030" i="13" s="1"/>
  <c r="J4030" i="13" s="1"/>
  <c r="C4030" i="13"/>
  <c r="F4030" i="13" s="1"/>
  <c r="B4030" i="13"/>
  <c r="G4029" i="13"/>
  <c r="H4029" i="13" s="1"/>
  <c r="J4029" i="13" s="1"/>
  <c r="C4029" i="13"/>
  <c r="F4029" i="13" s="1"/>
  <c r="B4029" i="13"/>
  <c r="G4028" i="13"/>
  <c r="H4028" i="13" s="1"/>
  <c r="J4028" i="13" s="1"/>
  <c r="C4028" i="13"/>
  <c r="F4028" i="13" s="1"/>
  <c r="B4028" i="13"/>
  <c r="G4027" i="13"/>
  <c r="H4027" i="13" s="1"/>
  <c r="J4027" i="13" s="1"/>
  <c r="C4027" i="13"/>
  <c r="F4027" i="13" s="1"/>
  <c r="B4027" i="13"/>
  <c r="G4026" i="13"/>
  <c r="H4026" i="13" s="1"/>
  <c r="J4026" i="13" s="1"/>
  <c r="C4026" i="13"/>
  <c r="F4026" i="13" s="1"/>
  <c r="B4026" i="13"/>
  <c r="G4025" i="13"/>
  <c r="H4025" i="13" s="1"/>
  <c r="J4025" i="13" s="1"/>
  <c r="C4025" i="13"/>
  <c r="F4025" i="13" s="1"/>
  <c r="B4025" i="13"/>
  <c r="G4024" i="13"/>
  <c r="H4024" i="13" s="1"/>
  <c r="J4024" i="13" s="1"/>
  <c r="C4024" i="13"/>
  <c r="F4024" i="13" s="1"/>
  <c r="B4024" i="13"/>
  <c r="G4023" i="13"/>
  <c r="H4023" i="13" s="1"/>
  <c r="J4023" i="13" s="1"/>
  <c r="C4023" i="13"/>
  <c r="F4023" i="13" s="1"/>
  <c r="B4023" i="13"/>
  <c r="G4022" i="13"/>
  <c r="H4022" i="13" s="1"/>
  <c r="C4022" i="13"/>
  <c r="F4022" i="13" s="1"/>
  <c r="B4022" i="13"/>
  <c r="G4021" i="13"/>
  <c r="H4021" i="13" s="1"/>
  <c r="J4021" i="13" s="1"/>
  <c r="C4021" i="13"/>
  <c r="F4021" i="13" s="1"/>
  <c r="B4021" i="13"/>
  <c r="G4020" i="13"/>
  <c r="H4020" i="13" s="1"/>
  <c r="J4020" i="13" s="1"/>
  <c r="C4020" i="13"/>
  <c r="F4020" i="13" s="1"/>
  <c r="B4020" i="13"/>
  <c r="G4019" i="13"/>
  <c r="H4019" i="13" s="1"/>
  <c r="J4019" i="13" s="1"/>
  <c r="C4019" i="13"/>
  <c r="F4019" i="13" s="1"/>
  <c r="B4019" i="13"/>
  <c r="G4018" i="13"/>
  <c r="H4018" i="13" s="1"/>
  <c r="J4018" i="13" s="1"/>
  <c r="C4018" i="13"/>
  <c r="F4018" i="13" s="1"/>
  <c r="B4018" i="13"/>
  <c r="G4017" i="13"/>
  <c r="H4017" i="13" s="1"/>
  <c r="J4017" i="13" s="1"/>
  <c r="C4017" i="13"/>
  <c r="F4017" i="13" s="1"/>
  <c r="B4017" i="13"/>
  <c r="G4016" i="13"/>
  <c r="H4016" i="13" s="1"/>
  <c r="J4016" i="13" s="1"/>
  <c r="C4016" i="13"/>
  <c r="F4016" i="13" s="1"/>
  <c r="B4016" i="13"/>
  <c r="G4015" i="13"/>
  <c r="H4015" i="13" s="1"/>
  <c r="J4015" i="13" s="1"/>
  <c r="C4015" i="13"/>
  <c r="F4015" i="13" s="1"/>
  <c r="B4015" i="13"/>
  <c r="G4014" i="13"/>
  <c r="H4014" i="13" s="1"/>
  <c r="J4014" i="13" s="1"/>
  <c r="C4014" i="13"/>
  <c r="F4014" i="13" s="1"/>
  <c r="B4014" i="13"/>
  <c r="G4013" i="13"/>
  <c r="H4013" i="13" s="1"/>
  <c r="J4013" i="13" s="1"/>
  <c r="C4013" i="13"/>
  <c r="F4013" i="13" s="1"/>
  <c r="B4013" i="13"/>
  <c r="G4012" i="13"/>
  <c r="H4012" i="13" s="1"/>
  <c r="J4012" i="13" s="1"/>
  <c r="C4012" i="13"/>
  <c r="F4012" i="13" s="1"/>
  <c r="B4012" i="13"/>
  <c r="G4011" i="13"/>
  <c r="H4011" i="13" s="1"/>
  <c r="J4011" i="13" s="1"/>
  <c r="C4011" i="13"/>
  <c r="F4011" i="13" s="1"/>
  <c r="B4011" i="13"/>
  <c r="G4010" i="13"/>
  <c r="H4010" i="13" s="1"/>
  <c r="J4010" i="13" s="1"/>
  <c r="C4010" i="13"/>
  <c r="F4010" i="13" s="1"/>
  <c r="B4010" i="13"/>
  <c r="G4009" i="13"/>
  <c r="H4009" i="13" s="1"/>
  <c r="J4009" i="13" s="1"/>
  <c r="C4009" i="13"/>
  <c r="F4009" i="13" s="1"/>
  <c r="B4009" i="13"/>
  <c r="G4008" i="13"/>
  <c r="H4008" i="13" s="1"/>
  <c r="J4008" i="13" s="1"/>
  <c r="C4008" i="13"/>
  <c r="F4008" i="13" s="1"/>
  <c r="B4008" i="13"/>
  <c r="G4007" i="13"/>
  <c r="H4007" i="13" s="1"/>
  <c r="J4007" i="13" s="1"/>
  <c r="C4007" i="13"/>
  <c r="F4007" i="13" s="1"/>
  <c r="B4007" i="13"/>
  <c r="G4006" i="13"/>
  <c r="H4006" i="13" s="1"/>
  <c r="J4006" i="13" s="1"/>
  <c r="C4006" i="13"/>
  <c r="F4006" i="13" s="1"/>
  <c r="B4006" i="13"/>
  <c r="G4005" i="13"/>
  <c r="H4005" i="13" s="1"/>
  <c r="J4005" i="13" s="1"/>
  <c r="C4005" i="13"/>
  <c r="F4005" i="13" s="1"/>
  <c r="B4005" i="13"/>
  <c r="G4004" i="13"/>
  <c r="H4004" i="13" s="1"/>
  <c r="J4004" i="13" s="1"/>
  <c r="C4004" i="13"/>
  <c r="F4004" i="13" s="1"/>
  <c r="B4004" i="13"/>
  <c r="G4003" i="13"/>
  <c r="H4003" i="13" s="1"/>
  <c r="J4003" i="13" s="1"/>
  <c r="C4003" i="13"/>
  <c r="F4003" i="13" s="1"/>
  <c r="B4003" i="13"/>
  <c r="G4002" i="13"/>
  <c r="H4002" i="13" s="1"/>
  <c r="J4002" i="13" s="1"/>
  <c r="C4002" i="13"/>
  <c r="F4002" i="13" s="1"/>
  <c r="B4002" i="13"/>
  <c r="G4001" i="13"/>
  <c r="H4001" i="13" s="1"/>
  <c r="J4001" i="13" s="1"/>
  <c r="C4001" i="13"/>
  <c r="F4001" i="13" s="1"/>
  <c r="B4001" i="13"/>
  <c r="G4000" i="13"/>
  <c r="H4000" i="13" s="1"/>
  <c r="J4000" i="13" s="1"/>
  <c r="C4000" i="13"/>
  <c r="F4000" i="13" s="1"/>
  <c r="B4000" i="13"/>
  <c r="G3999" i="13"/>
  <c r="H3999" i="13" s="1"/>
  <c r="J3999" i="13" s="1"/>
  <c r="C3999" i="13"/>
  <c r="F3999" i="13" s="1"/>
  <c r="B3999" i="13"/>
  <c r="G3998" i="13"/>
  <c r="H3998" i="13" s="1"/>
  <c r="J3998" i="13" s="1"/>
  <c r="C3998" i="13"/>
  <c r="F3998" i="13" s="1"/>
  <c r="B3998" i="13"/>
  <c r="G3997" i="13"/>
  <c r="H3997" i="13" s="1"/>
  <c r="J3997" i="13" s="1"/>
  <c r="C3997" i="13"/>
  <c r="F3997" i="13" s="1"/>
  <c r="B3997" i="13"/>
  <c r="G3996" i="13"/>
  <c r="H3996" i="13" s="1"/>
  <c r="J3996" i="13" s="1"/>
  <c r="C3996" i="13"/>
  <c r="F3996" i="13" s="1"/>
  <c r="B3996" i="13"/>
  <c r="G3995" i="13"/>
  <c r="H3995" i="13" s="1"/>
  <c r="J3995" i="13" s="1"/>
  <c r="C3995" i="13"/>
  <c r="F3995" i="13" s="1"/>
  <c r="B3995" i="13"/>
  <c r="G3994" i="13"/>
  <c r="H3994" i="13" s="1"/>
  <c r="J3994" i="13" s="1"/>
  <c r="C3994" i="13"/>
  <c r="F3994" i="13" s="1"/>
  <c r="B3994" i="13"/>
  <c r="G3993" i="13"/>
  <c r="H3993" i="13" s="1"/>
  <c r="J3993" i="13" s="1"/>
  <c r="C3993" i="13"/>
  <c r="F3993" i="13" s="1"/>
  <c r="B3993" i="13"/>
  <c r="G3992" i="13"/>
  <c r="H3992" i="13" s="1"/>
  <c r="J3992" i="13" s="1"/>
  <c r="C3992" i="13"/>
  <c r="F3992" i="13" s="1"/>
  <c r="B3992" i="13"/>
  <c r="G3991" i="13"/>
  <c r="H3991" i="13" s="1"/>
  <c r="C3991" i="13"/>
  <c r="F3991" i="13" s="1"/>
  <c r="B3991" i="13"/>
  <c r="G3990" i="13"/>
  <c r="H3990" i="13" s="1"/>
  <c r="J3990" i="13" s="1"/>
  <c r="C3990" i="13"/>
  <c r="F3990" i="13" s="1"/>
  <c r="B3990" i="13"/>
  <c r="G3989" i="13"/>
  <c r="H3989" i="13" s="1"/>
  <c r="J3989" i="13" s="1"/>
  <c r="C3989" i="13"/>
  <c r="F3989" i="13" s="1"/>
  <c r="B3989" i="13"/>
  <c r="G3988" i="13"/>
  <c r="H3988" i="13" s="1"/>
  <c r="J3988" i="13" s="1"/>
  <c r="C3988" i="13"/>
  <c r="F3988" i="13" s="1"/>
  <c r="B3988" i="13"/>
  <c r="G3987" i="13"/>
  <c r="H3987" i="13" s="1"/>
  <c r="J3987" i="13" s="1"/>
  <c r="C3987" i="13"/>
  <c r="F3987" i="13" s="1"/>
  <c r="B3987" i="13"/>
  <c r="G3986" i="13"/>
  <c r="H3986" i="13" s="1"/>
  <c r="J3986" i="13" s="1"/>
  <c r="C3986" i="13"/>
  <c r="F3986" i="13" s="1"/>
  <c r="B3986" i="13"/>
  <c r="G3985" i="13"/>
  <c r="H3985" i="13" s="1"/>
  <c r="J3985" i="13" s="1"/>
  <c r="C3985" i="13"/>
  <c r="F3985" i="13" s="1"/>
  <c r="B3985" i="13"/>
  <c r="G3984" i="13"/>
  <c r="H3984" i="13" s="1"/>
  <c r="J3984" i="13" s="1"/>
  <c r="C3984" i="13"/>
  <c r="F3984" i="13" s="1"/>
  <c r="B3984" i="13"/>
  <c r="G3983" i="13"/>
  <c r="H3983" i="13" s="1"/>
  <c r="J3983" i="13" s="1"/>
  <c r="C3983" i="13"/>
  <c r="F3983" i="13" s="1"/>
  <c r="B3983" i="13"/>
  <c r="G3982" i="13"/>
  <c r="H3982" i="13" s="1"/>
  <c r="J3982" i="13" s="1"/>
  <c r="C3982" i="13"/>
  <c r="F3982" i="13" s="1"/>
  <c r="B3982" i="13"/>
  <c r="G3981" i="13"/>
  <c r="H3981" i="13" s="1"/>
  <c r="J3981" i="13" s="1"/>
  <c r="C3981" i="13"/>
  <c r="F3981" i="13" s="1"/>
  <c r="B3981" i="13"/>
  <c r="G3980" i="13"/>
  <c r="H3980" i="13" s="1"/>
  <c r="J3980" i="13" s="1"/>
  <c r="C3980" i="13"/>
  <c r="F3980" i="13" s="1"/>
  <c r="B3980" i="13"/>
  <c r="G3979" i="13"/>
  <c r="H3979" i="13" s="1"/>
  <c r="J3979" i="13" s="1"/>
  <c r="C3979" i="13"/>
  <c r="F3979" i="13" s="1"/>
  <c r="B3979" i="13"/>
  <c r="G3978" i="13"/>
  <c r="H3978" i="13" s="1"/>
  <c r="J3978" i="13" s="1"/>
  <c r="C3978" i="13"/>
  <c r="F3978" i="13" s="1"/>
  <c r="B3978" i="13"/>
  <c r="G3977" i="13"/>
  <c r="H3977" i="13" s="1"/>
  <c r="J3977" i="13" s="1"/>
  <c r="C3977" i="13"/>
  <c r="F3977" i="13" s="1"/>
  <c r="B3977" i="13"/>
  <c r="G3976" i="13"/>
  <c r="H3976" i="13" s="1"/>
  <c r="J3976" i="13" s="1"/>
  <c r="C3976" i="13"/>
  <c r="F3976" i="13" s="1"/>
  <c r="B3976" i="13"/>
  <c r="G3975" i="13"/>
  <c r="H3975" i="13" s="1"/>
  <c r="J3975" i="13" s="1"/>
  <c r="C3975" i="13"/>
  <c r="F3975" i="13" s="1"/>
  <c r="B3975" i="13"/>
  <c r="G3974" i="13"/>
  <c r="H3974" i="13" s="1"/>
  <c r="J3974" i="13" s="1"/>
  <c r="C3974" i="13"/>
  <c r="F3974" i="13" s="1"/>
  <c r="B3974" i="13"/>
  <c r="G3973" i="13"/>
  <c r="H3973" i="13" s="1"/>
  <c r="J3973" i="13" s="1"/>
  <c r="C3973" i="13"/>
  <c r="F3973" i="13" s="1"/>
  <c r="B3973" i="13"/>
  <c r="G3972" i="13"/>
  <c r="H3972" i="13" s="1"/>
  <c r="J3972" i="13" s="1"/>
  <c r="C3972" i="13"/>
  <c r="F3972" i="13" s="1"/>
  <c r="B3972" i="13"/>
  <c r="G3971" i="13"/>
  <c r="H3971" i="13" s="1"/>
  <c r="J3971" i="13" s="1"/>
  <c r="C3971" i="13"/>
  <c r="F3971" i="13" s="1"/>
  <c r="B3971" i="13"/>
  <c r="G3970" i="13"/>
  <c r="H3970" i="13" s="1"/>
  <c r="J3970" i="13" s="1"/>
  <c r="C3970" i="13"/>
  <c r="F3970" i="13" s="1"/>
  <c r="B3970" i="13"/>
  <c r="G3969" i="13"/>
  <c r="H3969" i="13" s="1"/>
  <c r="J3969" i="13" s="1"/>
  <c r="C3969" i="13"/>
  <c r="F3969" i="13" s="1"/>
  <c r="B3969" i="13"/>
  <c r="G3968" i="13"/>
  <c r="H3968" i="13" s="1"/>
  <c r="J3968" i="13" s="1"/>
  <c r="C3968" i="13"/>
  <c r="F3968" i="13" s="1"/>
  <c r="B3968" i="13"/>
  <c r="G3967" i="13"/>
  <c r="H3967" i="13" s="1"/>
  <c r="J3967" i="13" s="1"/>
  <c r="C3967" i="13"/>
  <c r="F3967" i="13" s="1"/>
  <c r="B3967" i="13"/>
  <c r="G3966" i="13"/>
  <c r="H3966" i="13" s="1"/>
  <c r="J3966" i="13" s="1"/>
  <c r="C3966" i="13"/>
  <c r="F3966" i="13" s="1"/>
  <c r="B3966" i="13"/>
  <c r="G3965" i="13"/>
  <c r="H3965" i="13" s="1"/>
  <c r="J3965" i="13" s="1"/>
  <c r="C3965" i="13"/>
  <c r="F3965" i="13" s="1"/>
  <c r="B3965" i="13"/>
  <c r="G3964" i="13"/>
  <c r="H3964" i="13" s="1"/>
  <c r="J3964" i="13" s="1"/>
  <c r="C3964" i="13"/>
  <c r="F3964" i="13" s="1"/>
  <c r="B3964" i="13"/>
  <c r="G3963" i="13"/>
  <c r="H3963" i="13" s="1"/>
  <c r="J3963" i="13" s="1"/>
  <c r="C3963" i="13"/>
  <c r="F3963" i="13" s="1"/>
  <c r="B3963" i="13"/>
  <c r="G3962" i="13"/>
  <c r="H3962" i="13" s="1"/>
  <c r="J3962" i="13" s="1"/>
  <c r="C3962" i="13"/>
  <c r="F3962" i="13" s="1"/>
  <c r="B3962" i="13"/>
  <c r="G3961" i="13"/>
  <c r="H3961" i="13" s="1"/>
  <c r="J3961" i="13" s="1"/>
  <c r="C3961" i="13"/>
  <c r="F3961" i="13" s="1"/>
  <c r="B3961" i="13"/>
  <c r="G3960" i="13"/>
  <c r="H3960" i="13" s="1"/>
  <c r="J3960" i="13" s="1"/>
  <c r="C3960" i="13"/>
  <c r="F3960" i="13" s="1"/>
  <c r="B3960" i="13"/>
  <c r="G3959" i="13"/>
  <c r="H3959" i="13" s="1"/>
  <c r="J3959" i="13" s="1"/>
  <c r="C3959" i="13"/>
  <c r="F3959" i="13" s="1"/>
  <c r="B3959" i="13"/>
  <c r="G3958" i="13"/>
  <c r="H3958" i="13" s="1"/>
  <c r="J3958" i="13" s="1"/>
  <c r="C3958" i="13"/>
  <c r="F3958" i="13" s="1"/>
  <c r="B3958" i="13"/>
  <c r="G3957" i="13"/>
  <c r="H3957" i="13" s="1"/>
  <c r="J3957" i="13" s="1"/>
  <c r="C3957" i="13"/>
  <c r="F3957" i="13" s="1"/>
  <c r="B3957" i="13"/>
  <c r="G3956" i="13"/>
  <c r="H3956" i="13" s="1"/>
  <c r="J3956" i="13" s="1"/>
  <c r="C3956" i="13"/>
  <c r="F3956" i="13" s="1"/>
  <c r="B3956" i="13"/>
  <c r="G3955" i="13"/>
  <c r="H3955" i="13" s="1"/>
  <c r="J3955" i="13" s="1"/>
  <c r="C3955" i="13"/>
  <c r="F3955" i="13" s="1"/>
  <c r="B3955" i="13"/>
  <c r="G3954" i="13"/>
  <c r="H3954" i="13" s="1"/>
  <c r="J3954" i="13" s="1"/>
  <c r="C3954" i="13"/>
  <c r="F3954" i="13" s="1"/>
  <c r="B3954" i="13"/>
  <c r="G3953" i="13"/>
  <c r="H3953" i="13" s="1"/>
  <c r="J3953" i="13" s="1"/>
  <c r="C3953" i="13"/>
  <c r="F3953" i="13" s="1"/>
  <c r="B3953" i="13"/>
  <c r="G3952" i="13"/>
  <c r="H3952" i="13" s="1"/>
  <c r="C3952" i="13"/>
  <c r="F3952" i="13" s="1"/>
  <c r="B3952" i="13"/>
  <c r="G3951" i="13"/>
  <c r="H3951" i="13" s="1"/>
  <c r="J3951" i="13" s="1"/>
  <c r="C3951" i="13"/>
  <c r="F3951" i="13" s="1"/>
  <c r="B3951" i="13"/>
  <c r="G3950" i="13"/>
  <c r="H3950" i="13" s="1"/>
  <c r="J3950" i="13" s="1"/>
  <c r="C3950" i="13"/>
  <c r="F3950" i="13" s="1"/>
  <c r="B3950" i="13"/>
  <c r="G3949" i="13"/>
  <c r="H3949" i="13" s="1"/>
  <c r="J3949" i="13" s="1"/>
  <c r="C3949" i="13"/>
  <c r="F3949" i="13" s="1"/>
  <c r="B3949" i="13"/>
  <c r="G3948" i="13"/>
  <c r="H3948" i="13" s="1"/>
  <c r="J3948" i="13" s="1"/>
  <c r="C3948" i="13"/>
  <c r="F3948" i="13" s="1"/>
  <c r="B3948" i="13"/>
  <c r="G3947" i="13"/>
  <c r="H3947" i="13" s="1"/>
  <c r="J3947" i="13" s="1"/>
  <c r="C3947" i="13"/>
  <c r="F3947" i="13" s="1"/>
  <c r="B3947" i="13"/>
  <c r="G3946" i="13"/>
  <c r="H3946" i="13" s="1"/>
  <c r="J3946" i="13" s="1"/>
  <c r="C3946" i="13"/>
  <c r="F3946" i="13" s="1"/>
  <c r="B3946" i="13"/>
  <c r="G3945" i="13"/>
  <c r="H3945" i="13" s="1"/>
  <c r="J3945" i="13" s="1"/>
  <c r="C3945" i="13"/>
  <c r="F3945" i="13" s="1"/>
  <c r="B3945" i="13"/>
  <c r="G3944" i="13"/>
  <c r="H3944" i="13" s="1"/>
  <c r="J3944" i="13" s="1"/>
  <c r="C3944" i="13"/>
  <c r="F3944" i="13" s="1"/>
  <c r="B3944" i="13"/>
  <c r="G3943" i="13"/>
  <c r="H3943" i="13" s="1"/>
  <c r="J3943" i="13" s="1"/>
  <c r="C3943" i="13"/>
  <c r="F3943" i="13" s="1"/>
  <c r="B3943" i="13"/>
  <c r="G3942" i="13"/>
  <c r="H3942" i="13" s="1"/>
  <c r="J3942" i="13" s="1"/>
  <c r="C3942" i="13"/>
  <c r="F3942" i="13" s="1"/>
  <c r="B3942" i="13"/>
  <c r="G3941" i="13"/>
  <c r="H3941" i="13" s="1"/>
  <c r="J3941" i="13" s="1"/>
  <c r="C3941" i="13"/>
  <c r="F3941" i="13" s="1"/>
  <c r="B3941" i="13"/>
  <c r="G3940" i="13"/>
  <c r="H3940" i="13" s="1"/>
  <c r="J3940" i="13" s="1"/>
  <c r="C3940" i="13"/>
  <c r="F3940" i="13" s="1"/>
  <c r="B3940" i="13"/>
  <c r="G3939" i="13"/>
  <c r="H3939" i="13" s="1"/>
  <c r="J3939" i="13" s="1"/>
  <c r="C3939" i="13"/>
  <c r="F3939" i="13" s="1"/>
  <c r="B3939" i="13"/>
  <c r="G3938" i="13"/>
  <c r="H3938" i="13" s="1"/>
  <c r="J3938" i="13" s="1"/>
  <c r="C3938" i="13"/>
  <c r="F3938" i="13" s="1"/>
  <c r="B3938" i="13"/>
  <c r="G3937" i="13"/>
  <c r="H3937" i="13" s="1"/>
  <c r="J3937" i="13" s="1"/>
  <c r="C3937" i="13"/>
  <c r="F3937" i="13" s="1"/>
  <c r="B3937" i="13"/>
  <c r="G3936" i="13"/>
  <c r="H3936" i="13" s="1"/>
  <c r="J3936" i="13" s="1"/>
  <c r="C3936" i="13"/>
  <c r="F3936" i="13" s="1"/>
  <c r="B3936" i="13"/>
  <c r="G3935" i="13"/>
  <c r="H3935" i="13" s="1"/>
  <c r="J3935" i="13" s="1"/>
  <c r="C3935" i="13"/>
  <c r="F3935" i="13" s="1"/>
  <c r="B3935" i="13"/>
  <c r="G3934" i="13"/>
  <c r="H3934" i="13" s="1"/>
  <c r="J3934" i="13" s="1"/>
  <c r="C3934" i="13"/>
  <c r="F3934" i="13" s="1"/>
  <c r="B3934" i="13"/>
  <c r="G3933" i="13"/>
  <c r="H3933" i="13" s="1"/>
  <c r="J3933" i="13" s="1"/>
  <c r="C3933" i="13"/>
  <c r="F3933" i="13" s="1"/>
  <c r="B3933" i="13"/>
  <c r="G3932" i="13"/>
  <c r="H3932" i="13" s="1"/>
  <c r="J3932" i="13" s="1"/>
  <c r="C3932" i="13"/>
  <c r="F3932" i="13" s="1"/>
  <c r="B3932" i="13"/>
  <c r="G3931" i="13"/>
  <c r="H3931" i="13" s="1"/>
  <c r="J3931" i="13" s="1"/>
  <c r="C3931" i="13"/>
  <c r="F3931" i="13" s="1"/>
  <c r="B3931" i="13"/>
  <c r="G3930" i="13"/>
  <c r="H3930" i="13" s="1"/>
  <c r="J3930" i="13" s="1"/>
  <c r="C3930" i="13"/>
  <c r="F3930" i="13" s="1"/>
  <c r="B3930" i="13"/>
  <c r="G3929" i="13"/>
  <c r="H3929" i="13" s="1"/>
  <c r="J3929" i="13" s="1"/>
  <c r="C3929" i="13"/>
  <c r="F3929" i="13" s="1"/>
  <c r="B3929" i="13"/>
  <c r="G3928" i="13"/>
  <c r="H3928" i="13" s="1"/>
  <c r="J3928" i="13" s="1"/>
  <c r="C3928" i="13"/>
  <c r="F3928" i="13" s="1"/>
  <c r="B3928" i="13"/>
  <c r="G3927" i="13"/>
  <c r="H3927" i="13" s="1"/>
  <c r="J3927" i="13" s="1"/>
  <c r="C3927" i="13"/>
  <c r="F3927" i="13" s="1"/>
  <c r="B3927" i="13"/>
  <c r="G3926" i="13"/>
  <c r="H3926" i="13" s="1"/>
  <c r="J3926" i="13" s="1"/>
  <c r="C3926" i="13"/>
  <c r="F3926" i="13" s="1"/>
  <c r="B3926" i="13"/>
  <c r="G3925" i="13"/>
  <c r="H3925" i="13" s="1"/>
  <c r="J3925" i="13" s="1"/>
  <c r="C3925" i="13"/>
  <c r="F3925" i="13" s="1"/>
  <c r="B3925" i="13"/>
  <c r="G3924" i="13"/>
  <c r="H3924" i="13" s="1"/>
  <c r="J3924" i="13" s="1"/>
  <c r="C3924" i="13"/>
  <c r="F3924" i="13" s="1"/>
  <c r="B3924" i="13"/>
  <c r="G3923" i="13"/>
  <c r="H3923" i="13" s="1"/>
  <c r="J3923" i="13" s="1"/>
  <c r="C3923" i="13"/>
  <c r="F3923" i="13" s="1"/>
  <c r="B3923" i="13"/>
  <c r="G3922" i="13"/>
  <c r="H3922" i="13" s="1"/>
  <c r="J3922" i="13" s="1"/>
  <c r="C3922" i="13"/>
  <c r="F3922" i="13" s="1"/>
  <c r="B3922" i="13"/>
  <c r="G3921" i="13"/>
  <c r="H3921" i="13" s="1"/>
  <c r="J3921" i="13" s="1"/>
  <c r="C3921" i="13"/>
  <c r="F3921" i="13" s="1"/>
  <c r="B3921" i="13"/>
  <c r="G3920" i="13"/>
  <c r="H3920" i="13" s="1"/>
  <c r="J3920" i="13" s="1"/>
  <c r="C3920" i="13"/>
  <c r="F3920" i="13" s="1"/>
  <c r="B3920" i="13"/>
  <c r="G3919" i="13"/>
  <c r="H3919" i="13" s="1"/>
  <c r="J3919" i="13" s="1"/>
  <c r="C3919" i="13"/>
  <c r="F3919" i="13" s="1"/>
  <c r="B3919" i="13"/>
  <c r="G3918" i="13"/>
  <c r="H3918" i="13" s="1"/>
  <c r="J3918" i="13" s="1"/>
  <c r="C3918" i="13"/>
  <c r="F3918" i="13" s="1"/>
  <c r="B3918" i="13"/>
  <c r="G3917" i="13"/>
  <c r="H3917" i="13" s="1"/>
  <c r="J3917" i="13" s="1"/>
  <c r="C3917" i="13"/>
  <c r="F3917" i="13" s="1"/>
  <c r="B3917" i="13"/>
  <c r="G3916" i="13"/>
  <c r="H3916" i="13" s="1"/>
  <c r="J3916" i="13" s="1"/>
  <c r="C3916" i="13"/>
  <c r="F3916" i="13" s="1"/>
  <c r="B3916" i="13"/>
  <c r="G3915" i="13"/>
  <c r="H3915" i="13" s="1"/>
  <c r="J3915" i="13" s="1"/>
  <c r="C3915" i="13"/>
  <c r="F3915" i="13" s="1"/>
  <c r="B3915" i="13"/>
  <c r="G3914" i="13"/>
  <c r="H3914" i="13" s="1"/>
  <c r="J3914" i="13" s="1"/>
  <c r="C3914" i="13"/>
  <c r="F3914" i="13" s="1"/>
  <c r="B3914" i="13"/>
  <c r="G3913" i="13"/>
  <c r="H3913" i="13" s="1"/>
  <c r="J3913" i="13" s="1"/>
  <c r="C3913" i="13"/>
  <c r="F3913" i="13" s="1"/>
  <c r="B3913" i="13"/>
  <c r="G3912" i="13"/>
  <c r="H3912" i="13" s="1"/>
  <c r="J3912" i="13" s="1"/>
  <c r="C3912" i="13"/>
  <c r="F3912" i="13" s="1"/>
  <c r="B3912" i="13"/>
  <c r="G3911" i="13"/>
  <c r="H3911" i="13" s="1"/>
  <c r="J3911" i="13" s="1"/>
  <c r="C3911" i="13"/>
  <c r="F3911" i="13" s="1"/>
  <c r="B3911" i="13"/>
  <c r="G3910" i="13"/>
  <c r="H3910" i="13" s="1"/>
  <c r="J3910" i="13" s="1"/>
  <c r="C3910" i="13"/>
  <c r="F3910" i="13" s="1"/>
  <c r="B3910" i="13"/>
  <c r="G3909" i="13"/>
  <c r="H3909" i="13" s="1"/>
  <c r="J3909" i="13" s="1"/>
  <c r="C3909" i="13"/>
  <c r="F3909" i="13" s="1"/>
  <c r="B3909" i="13"/>
  <c r="G3908" i="13"/>
  <c r="H3908" i="13" s="1"/>
  <c r="J3908" i="13" s="1"/>
  <c r="C3908" i="13"/>
  <c r="F3908" i="13" s="1"/>
  <c r="B3908" i="13"/>
  <c r="G3907" i="13"/>
  <c r="H3907" i="13" s="1"/>
  <c r="J3907" i="13" s="1"/>
  <c r="C3907" i="13"/>
  <c r="F3907" i="13" s="1"/>
  <c r="B3907" i="13"/>
  <c r="G3906" i="13"/>
  <c r="H3906" i="13" s="1"/>
  <c r="J3906" i="13" s="1"/>
  <c r="C3906" i="13"/>
  <c r="F3906" i="13" s="1"/>
  <c r="B3906" i="13"/>
  <c r="G3905" i="13"/>
  <c r="H3905" i="13" s="1"/>
  <c r="J3905" i="13" s="1"/>
  <c r="C3905" i="13"/>
  <c r="F3905" i="13" s="1"/>
  <c r="B3905" i="13"/>
  <c r="G3904" i="13"/>
  <c r="H3904" i="13" s="1"/>
  <c r="J3904" i="13" s="1"/>
  <c r="C3904" i="13"/>
  <c r="F3904" i="13" s="1"/>
  <c r="B3904" i="13"/>
  <c r="G3903" i="13"/>
  <c r="H3903" i="13" s="1"/>
  <c r="J3903" i="13" s="1"/>
  <c r="C3903" i="13"/>
  <c r="F3903" i="13" s="1"/>
  <c r="B3903" i="13"/>
  <c r="G3902" i="13"/>
  <c r="H3902" i="13" s="1"/>
  <c r="J3902" i="13" s="1"/>
  <c r="C3902" i="13"/>
  <c r="F3902" i="13" s="1"/>
  <c r="B3902" i="13"/>
  <c r="G3901" i="13"/>
  <c r="H3901" i="13" s="1"/>
  <c r="J3901" i="13" s="1"/>
  <c r="C3901" i="13"/>
  <c r="F3901" i="13" s="1"/>
  <c r="B3901" i="13"/>
  <c r="G3900" i="13"/>
  <c r="H3900" i="13" s="1"/>
  <c r="J3900" i="13" s="1"/>
  <c r="C3900" i="13"/>
  <c r="F3900" i="13" s="1"/>
  <c r="B3900" i="13"/>
  <c r="G3899" i="13"/>
  <c r="H3899" i="13" s="1"/>
  <c r="J3899" i="13" s="1"/>
  <c r="C3899" i="13"/>
  <c r="F3899" i="13" s="1"/>
  <c r="B3899" i="13"/>
  <c r="G3898" i="13"/>
  <c r="H3898" i="13" s="1"/>
  <c r="J3898" i="13" s="1"/>
  <c r="C3898" i="13"/>
  <c r="F3898" i="13" s="1"/>
  <c r="B3898" i="13"/>
  <c r="G3897" i="13"/>
  <c r="H3897" i="13" s="1"/>
  <c r="J3897" i="13" s="1"/>
  <c r="C3897" i="13"/>
  <c r="F3897" i="13" s="1"/>
  <c r="B3897" i="13"/>
  <c r="G3896" i="13"/>
  <c r="H3896" i="13" s="1"/>
  <c r="J3896" i="13" s="1"/>
  <c r="C3896" i="13"/>
  <c r="F3896" i="13" s="1"/>
  <c r="B3896" i="13"/>
  <c r="G3895" i="13"/>
  <c r="H3895" i="13" s="1"/>
  <c r="J3895" i="13" s="1"/>
  <c r="C3895" i="13"/>
  <c r="F3895" i="13" s="1"/>
  <c r="B3895" i="13"/>
  <c r="G3894" i="13"/>
  <c r="H3894" i="13" s="1"/>
  <c r="J3894" i="13" s="1"/>
  <c r="C3894" i="13"/>
  <c r="F3894" i="13" s="1"/>
  <c r="B3894" i="13"/>
  <c r="G3893" i="13"/>
  <c r="H3893" i="13" s="1"/>
  <c r="J3893" i="13" s="1"/>
  <c r="C3893" i="13"/>
  <c r="F3893" i="13" s="1"/>
  <c r="B3893" i="13"/>
  <c r="G3892" i="13"/>
  <c r="H3892" i="13" s="1"/>
  <c r="J3892" i="13" s="1"/>
  <c r="C3892" i="13"/>
  <c r="F3892" i="13" s="1"/>
  <c r="B3892" i="13"/>
  <c r="G3891" i="13"/>
  <c r="H3891" i="13" s="1"/>
  <c r="J3891" i="13" s="1"/>
  <c r="C3891" i="13"/>
  <c r="F3891" i="13" s="1"/>
  <c r="B3891" i="13"/>
  <c r="G3890" i="13"/>
  <c r="H3890" i="13" s="1"/>
  <c r="J3890" i="13" s="1"/>
  <c r="C3890" i="13"/>
  <c r="F3890" i="13" s="1"/>
  <c r="B3890" i="13"/>
  <c r="G3889" i="13"/>
  <c r="H3889" i="13" s="1"/>
  <c r="J3889" i="13" s="1"/>
  <c r="C3889" i="13"/>
  <c r="F3889" i="13" s="1"/>
  <c r="B3889" i="13"/>
  <c r="G3888" i="13"/>
  <c r="H3888" i="13" s="1"/>
  <c r="J3888" i="13" s="1"/>
  <c r="C3888" i="13"/>
  <c r="F3888" i="13" s="1"/>
  <c r="B3888" i="13"/>
  <c r="G3887" i="13"/>
  <c r="H3887" i="13" s="1"/>
  <c r="J3887" i="13" s="1"/>
  <c r="C3887" i="13"/>
  <c r="F3887" i="13" s="1"/>
  <c r="B3887" i="13"/>
  <c r="G3886" i="13"/>
  <c r="H3886" i="13" s="1"/>
  <c r="J3886" i="13" s="1"/>
  <c r="C3886" i="13"/>
  <c r="F3886" i="13" s="1"/>
  <c r="B3886" i="13"/>
  <c r="G3885" i="13"/>
  <c r="H3885" i="13" s="1"/>
  <c r="C3885" i="13"/>
  <c r="F3885" i="13" s="1"/>
  <c r="B3885" i="13"/>
  <c r="G3884" i="13"/>
  <c r="H3884" i="13" s="1"/>
  <c r="J3884" i="13" s="1"/>
  <c r="C3884" i="13"/>
  <c r="F3884" i="13" s="1"/>
  <c r="B3884" i="13"/>
  <c r="G3883" i="13"/>
  <c r="H3883" i="13" s="1"/>
  <c r="J3883" i="13" s="1"/>
  <c r="C3883" i="13"/>
  <c r="F3883" i="13" s="1"/>
  <c r="B3883" i="13"/>
  <c r="G3882" i="13"/>
  <c r="H3882" i="13" s="1"/>
  <c r="J3882" i="13" s="1"/>
  <c r="C3882" i="13"/>
  <c r="F3882" i="13" s="1"/>
  <c r="B3882" i="13"/>
  <c r="G3881" i="13"/>
  <c r="H3881" i="13" s="1"/>
  <c r="J3881" i="13" s="1"/>
  <c r="C3881" i="13"/>
  <c r="F3881" i="13" s="1"/>
  <c r="B3881" i="13"/>
  <c r="G3880" i="13"/>
  <c r="H3880" i="13" s="1"/>
  <c r="C3880" i="13"/>
  <c r="F3880" i="13" s="1"/>
  <c r="B3880" i="13"/>
  <c r="G3879" i="13"/>
  <c r="H3879" i="13" s="1"/>
  <c r="J3879" i="13" s="1"/>
  <c r="C3879" i="13"/>
  <c r="F3879" i="13" s="1"/>
  <c r="B3879" i="13"/>
  <c r="G3878" i="13"/>
  <c r="H3878" i="13" s="1"/>
  <c r="J3878" i="13" s="1"/>
  <c r="C3878" i="13"/>
  <c r="F3878" i="13" s="1"/>
  <c r="B3878" i="13"/>
  <c r="G3877" i="13"/>
  <c r="H3877" i="13" s="1"/>
  <c r="J3877" i="13" s="1"/>
  <c r="C3877" i="13"/>
  <c r="F3877" i="13" s="1"/>
  <c r="B3877" i="13"/>
  <c r="G3876" i="13"/>
  <c r="H3876" i="13" s="1"/>
  <c r="J3876" i="13" s="1"/>
  <c r="C3876" i="13"/>
  <c r="F3876" i="13" s="1"/>
  <c r="B3876" i="13"/>
  <c r="G3875" i="13"/>
  <c r="H3875" i="13" s="1"/>
  <c r="J3875" i="13" s="1"/>
  <c r="C3875" i="13"/>
  <c r="F3875" i="13" s="1"/>
  <c r="B3875" i="13"/>
  <c r="G3874" i="13"/>
  <c r="H3874" i="13" s="1"/>
  <c r="J3874" i="13" s="1"/>
  <c r="C3874" i="13"/>
  <c r="F3874" i="13" s="1"/>
  <c r="B3874" i="13"/>
  <c r="G3873" i="13"/>
  <c r="H3873" i="13" s="1"/>
  <c r="J3873" i="13" s="1"/>
  <c r="C3873" i="13"/>
  <c r="F3873" i="13" s="1"/>
  <c r="B3873" i="13"/>
  <c r="G3872" i="13"/>
  <c r="H3872" i="13" s="1"/>
  <c r="J3872" i="13" s="1"/>
  <c r="C3872" i="13"/>
  <c r="F3872" i="13" s="1"/>
  <c r="B3872" i="13"/>
  <c r="G3871" i="13"/>
  <c r="H3871" i="13" s="1"/>
  <c r="C3871" i="13"/>
  <c r="F3871" i="13" s="1"/>
  <c r="B3871" i="13"/>
  <c r="G3870" i="13"/>
  <c r="H3870" i="13" s="1"/>
  <c r="J3870" i="13" s="1"/>
  <c r="C3870" i="13"/>
  <c r="F3870" i="13" s="1"/>
  <c r="B3870" i="13"/>
  <c r="G3869" i="13"/>
  <c r="H3869" i="13" s="1"/>
  <c r="J3869" i="13" s="1"/>
  <c r="C3869" i="13"/>
  <c r="F3869" i="13" s="1"/>
  <c r="B3869" i="13"/>
  <c r="G3868" i="13"/>
  <c r="H3868" i="13" s="1"/>
  <c r="C3868" i="13"/>
  <c r="F3868" i="13" s="1"/>
  <c r="B3868" i="13"/>
  <c r="G3867" i="13"/>
  <c r="H3867" i="13" s="1"/>
  <c r="J3867" i="13" s="1"/>
  <c r="C3867" i="13"/>
  <c r="F3867" i="13" s="1"/>
  <c r="B3867" i="13"/>
  <c r="G3866" i="13"/>
  <c r="H3866" i="13" s="1"/>
  <c r="J3866" i="13" s="1"/>
  <c r="C3866" i="13"/>
  <c r="F3866" i="13" s="1"/>
  <c r="B3866" i="13"/>
  <c r="G3865" i="13"/>
  <c r="H3865" i="13" s="1"/>
  <c r="J3865" i="13" s="1"/>
  <c r="C3865" i="13"/>
  <c r="F3865" i="13" s="1"/>
  <c r="B3865" i="13"/>
  <c r="G3864" i="13"/>
  <c r="H3864" i="13" s="1"/>
  <c r="J3864" i="13" s="1"/>
  <c r="C3864" i="13"/>
  <c r="F3864" i="13" s="1"/>
  <c r="B3864" i="13"/>
  <c r="G3863" i="13"/>
  <c r="H3863" i="13" s="1"/>
  <c r="J3863" i="13" s="1"/>
  <c r="C3863" i="13"/>
  <c r="F3863" i="13" s="1"/>
  <c r="B3863" i="13"/>
  <c r="G3862" i="13"/>
  <c r="H3862" i="13" s="1"/>
  <c r="J3862" i="13" s="1"/>
  <c r="C3862" i="13"/>
  <c r="F3862" i="13" s="1"/>
  <c r="B3862" i="13"/>
  <c r="G3861" i="13"/>
  <c r="H3861" i="13" s="1"/>
  <c r="C3861" i="13"/>
  <c r="F3861" i="13" s="1"/>
  <c r="B3861" i="13"/>
  <c r="G3860" i="13"/>
  <c r="H3860" i="13" s="1"/>
  <c r="C3860" i="13"/>
  <c r="F3860" i="13" s="1"/>
  <c r="B3860" i="13"/>
  <c r="G3859" i="13"/>
  <c r="H3859" i="13" s="1"/>
  <c r="J3859" i="13" s="1"/>
  <c r="C3859" i="13"/>
  <c r="F3859" i="13" s="1"/>
  <c r="B3859" i="13"/>
  <c r="G3858" i="13"/>
  <c r="H3858" i="13" s="1"/>
  <c r="J3858" i="13" s="1"/>
  <c r="C3858" i="13"/>
  <c r="F3858" i="13" s="1"/>
  <c r="B3858" i="13"/>
  <c r="G3857" i="13"/>
  <c r="H3857" i="13" s="1"/>
  <c r="J3857" i="13" s="1"/>
  <c r="C3857" i="13"/>
  <c r="F3857" i="13" s="1"/>
  <c r="B3857" i="13"/>
  <c r="G3856" i="13"/>
  <c r="H3856" i="13" s="1"/>
  <c r="J3856" i="13" s="1"/>
  <c r="C3856" i="13"/>
  <c r="F3856" i="13" s="1"/>
  <c r="B3856" i="13"/>
  <c r="G3855" i="13"/>
  <c r="H3855" i="13" s="1"/>
  <c r="J3855" i="13" s="1"/>
  <c r="C3855" i="13"/>
  <c r="F3855" i="13" s="1"/>
  <c r="B3855" i="13"/>
  <c r="G3854" i="13"/>
  <c r="H3854" i="13" s="1"/>
  <c r="J3854" i="13" s="1"/>
  <c r="C3854" i="13"/>
  <c r="F3854" i="13" s="1"/>
  <c r="B3854" i="13"/>
  <c r="G3853" i="13"/>
  <c r="H3853" i="13" s="1"/>
  <c r="J3853" i="13" s="1"/>
  <c r="C3853" i="13"/>
  <c r="F3853" i="13" s="1"/>
  <c r="B3853" i="13"/>
  <c r="G3852" i="13"/>
  <c r="H3852" i="13" s="1"/>
  <c r="J3852" i="13" s="1"/>
  <c r="C3852" i="13"/>
  <c r="F3852" i="13" s="1"/>
  <c r="B3852" i="13"/>
  <c r="G3851" i="13"/>
  <c r="H3851" i="13" s="1"/>
  <c r="J3851" i="13" s="1"/>
  <c r="C3851" i="13"/>
  <c r="F3851" i="13" s="1"/>
  <c r="B3851" i="13"/>
  <c r="G3850" i="13"/>
  <c r="H3850" i="13" s="1"/>
  <c r="J3850" i="13" s="1"/>
  <c r="C3850" i="13"/>
  <c r="F3850" i="13" s="1"/>
  <c r="B3850" i="13"/>
  <c r="G3849" i="13"/>
  <c r="H3849" i="13" s="1"/>
  <c r="J3849" i="13" s="1"/>
  <c r="C3849" i="13"/>
  <c r="F3849" i="13" s="1"/>
  <c r="B3849" i="13"/>
  <c r="G3848" i="13"/>
  <c r="H3848" i="13" s="1"/>
  <c r="J3848" i="13" s="1"/>
  <c r="C3848" i="13"/>
  <c r="F3848" i="13" s="1"/>
  <c r="B3848" i="13"/>
  <c r="G3847" i="13"/>
  <c r="H3847" i="13" s="1"/>
  <c r="C3847" i="13"/>
  <c r="F3847" i="13" s="1"/>
  <c r="B3847" i="13"/>
  <c r="G3846" i="13"/>
  <c r="H3846" i="13" s="1"/>
  <c r="J3846" i="13" s="1"/>
  <c r="C3846" i="13"/>
  <c r="F3846" i="13" s="1"/>
  <c r="B3846" i="13"/>
  <c r="G3845" i="13"/>
  <c r="H3845" i="13" s="1"/>
  <c r="J3845" i="13" s="1"/>
  <c r="C3845" i="13"/>
  <c r="F3845" i="13" s="1"/>
  <c r="B3845" i="13"/>
  <c r="G3844" i="13"/>
  <c r="H3844" i="13" s="1"/>
  <c r="J3844" i="13" s="1"/>
  <c r="C3844" i="13"/>
  <c r="F3844" i="13" s="1"/>
  <c r="B3844" i="13"/>
  <c r="G3843" i="13"/>
  <c r="H3843" i="13" s="1"/>
  <c r="J3843" i="13" s="1"/>
  <c r="C3843" i="13"/>
  <c r="F3843" i="13" s="1"/>
  <c r="B3843" i="13"/>
  <c r="G3842" i="13"/>
  <c r="H3842" i="13" s="1"/>
  <c r="J3842" i="13" s="1"/>
  <c r="C3842" i="13"/>
  <c r="F3842" i="13" s="1"/>
  <c r="B3842" i="13"/>
  <c r="G3841" i="13"/>
  <c r="H3841" i="13" s="1"/>
  <c r="J3841" i="13" s="1"/>
  <c r="C3841" i="13"/>
  <c r="F3841" i="13" s="1"/>
  <c r="B3841" i="13"/>
  <c r="G3840" i="13"/>
  <c r="H3840" i="13" s="1"/>
  <c r="C3840" i="13"/>
  <c r="F3840" i="13" s="1"/>
  <c r="B3840" i="13"/>
  <c r="G3839" i="13"/>
  <c r="H3839" i="13" s="1"/>
  <c r="J3839" i="13" s="1"/>
  <c r="C3839" i="13"/>
  <c r="F3839" i="13" s="1"/>
  <c r="B3839" i="13"/>
  <c r="G3838" i="13"/>
  <c r="H3838" i="13" s="1"/>
  <c r="J3838" i="13" s="1"/>
  <c r="C3838" i="13"/>
  <c r="F3838" i="13" s="1"/>
  <c r="B3838" i="13"/>
  <c r="G3837" i="13"/>
  <c r="H3837" i="13" s="1"/>
  <c r="J3837" i="13" s="1"/>
  <c r="C3837" i="13"/>
  <c r="F3837" i="13" s="1"/>
  <c r="B3837" i="13"/>
  <c r="G3836" i="13"/>
  <c r="H3836" i="13" s="1"/>
  <c r="J3836" i="13" s="1"/>
  <c r="C3836" i="13"/>
  <c r="F3836" i="13" s="1"/>
  <c r="B3836" i="13"/>
  <c r="G3835" i="13"/>
  <c r="H3835" i="13" s="1"/>
  <c r="C3835" i="13"/>
  <c r="F3835" i="13" s="1"/>
  <c r="B3835" i="13"/>
  <c r="G3834" i="13"/>
  <c r="H3834" i="13" s="1"/>
  <c r="J3834" i="13" s="1"/>
  <c r="C3834" i="13"/>
  <c r="F3834" i="13" s="1"/>
  <c r="B3834" i="13"/>
  <c r="G3833" i="13"/>
  <c r="H3833" i="13" s="1"/>
  <c r="J3833" i="13" s="1"/>
  <c r="C3833" i="13"/>
  <c r="F3833" i="13" s="1"/>
  <c r="B3833" i="13"/>
  <c r="G3832" i="13"/>
  <c r="H3832" i="13" s="1"/>
  <c r="J3832" i="13" s="1"/>
  <c r="C3832" i="13"/>
  <c r="F3832" i="13" s="1"/>
  <c r="B3832" i="13"/>
  <c r="G3831" i="13"/>
  <c r="H3831" i="13" s="1"/>
  <c r="J3831" i="13" s="1"/>
  <c r="C3831" i="13"/>
  <c r="F3831" i="13" s="1"/>
  <c r="B3831" i="13"/>
  <c r="G3830" i="13"/>
  <c r="H3830" i="13" s="1"/>
  <c r="J3830" i="13" s="1"/>
  <c r="C3830" i="13"/>
  <c r="F3830" i="13" s="1"/>
  <c r="B3830" i="13"/>
  <c r="G3829" i="13"/>
  <c r="H3829" i="13" s="1"/>
  <c r="J3829" i="13" s="1"/>
  <c r="C3829" i="13"/>
  <c r="F3829" i="13" s="1"/>
  <c r="B3829" i="13"/>
  <c r="G3828" i="13"/>
  <c r="H3828" i="13" s="1"/>
  <c r="C3828" i="13"/>
  <c r="F3828" i="13" s="1"/>
  <c r="B3828" i="13"/>
  <c r="G3827" i="13"/>
  <c r="H3827" i="13" s="1"/>
  <c r="J3827" i="13" s="1"/>
  <c r="C3827" i="13"/>
  <c r="F3827" i="13" s="1"/>
  <c r="B3827" i="13"/>
  <c r="G3826" i="13"/>
  <c r="H3826" i="13" s="1"/>
  <c r="J3826" i="13" s="1"/>
  <c r="C3826" i="13"/>
  <c r="F3826" i="13" s="1"/>
  <c r="B3826" i="13"/>
  <c r="G3825" i="13"/>
  <c r="H3825" i="13" s="1"/>
  <c r="J3825" i="13" s="1"/>
  <c r="C3825" i="13"/>
  <c r="F3825" i="13" s="1"/>
  <c r="B3825" i="13"/>
  <c r="G3824" i="13"/>
  <c r="H3824" i="13" s="1"/>
  <c r="J3824" i="13" s="1"/>
  <c r="C3824" i="13"/>
  <c r="F3824" i="13" s="1"/>
  <c r="B3824" i="13"/>
  <c r="G3823" i="13"/>
  <c r="H3823" i="13" s="1"/>
  <c r="C3823" i="13"/>
  <c r="F3823" i="13" s="1"/>
  <c r="B3823" i="13"/>
  <c r="G3822" i="13"/>
  <c r="H3822" i="13" s="1"/>
  <c r="J3822" i="13" s="1"/>
  <c r="C3822" i="13"/>
  <c r="F3822" i="13" s="1"/>
  <c r="B3822" i="13"/>
  <c r="G3821" i="13"/>
  <c r="H3821" i="13" s="1"/>
  <c r="J3821" i="13" s="1"/>
  <c r="C3821" i="13"/>
  <c r="F3821" i="13" s="1"/>
  <c r="B3821" i="13"/>
  <c r="G3820" i="13"/>
  <c r="H3820" i="13" s="1"/>
  <c r="J3820" i="13" s="1"/>
  <c r="C3820" i="13"/>
  <c r="F3820" i="13" s="1"/>
  <c r="B3820" i="13"/>
  <c r="G3819" i="13"/>
  <c r="H3819" i="13" s="1"/>
  <c r="J3819" i="13" s="1"/>
  <c r="C3819" i="13"/>
  <c r="F3819" i="13" s="1"/>
  <c r="B3819" i="13"/>
  <c r="G3818" i="13"/>
  <c r="H3818" i="13" s="1"/>
  <c r="J3818" i="13" s="1"/>
  <c r="C3818" i="13"/>
  <c r="F3818" i="13" s="1"/>
  <c r="B3818" i="13"/>
  <c r="G3817" i="13"/>
  <c r="H3817" i="13" s="1"/>
  <c r="J3817" i="13" s="1"/>
  <c r="C3817" i="13"/>
  <c r="F3817" i="13" s="1"/>
  <c r="B3817" i="13"/>
  <c r="G3816" i="13"/>
  <c r="H3816" i="13" s="1"/>
  <c r="C3816" i="13"/>
  <c r="F3816" i="13" s="1"/>
  <c r="B3816" i="13"/>
  <c r="G3815" i="13"/>
  <c r="H3815" i="13" s="1"/>
  <c r="J3815" i="13" s="1"/>
  <c r="C3815" i="13"/>
  <c r="F3815" i="13" s="1"/>
  <c r="B3815" i="13"/>
  <c r="G3814" i="13"/>
  <c r="H3814" i="13" s="1"/>
  <c r="J3814" i="13" s="1"/>
  <c r="C3814" i="13"/>
  <c r="F3814" i="13" s="1"/>
  <c r="B3814" i="13"/>
  <c r="G3813" i="13"/>
  <c r="H3813" i="13" s="1"/>
  <c r="J3813" i="13" s="1"/>
  <c r="C3813" i="13"/>
  <c r="F3813" i="13" s="1"/>
  <c r="B3813" i="13"/>
  <c r="G3812" i="13"/>
  <c r="H3812" i="13" s="1"/>
  <c r="J3812" i="13" s="1"/>
  <c r="C3812" i="13"/>
  <c r="F3812" i="13" s="1"/>
  <c r="B3812" i="13"/>
  <c r="G3811" i="13"/>
  <c r="H3811" i="13" s="1"/>
  <c r="C3811" i="13"/>
  <c r="F3811" i="13" s="1"/>
  <c r="B3811" i="13"/>
  <c r="G3810" i="13"/>
  <c r="H3810" i="13" s="1"/>
  <c r="J3810" i="13" s="1"/>
  <c r="C3810" i="13"/>
  <c r="F3810" i="13" s="1"/>
  <c r="B3810" i="13"/>
  <c r="G3809" i="13"/>
  <c r="H3809" i="13" s="1"/>
  <c r="J3809" i="13" s="1"/>
  <c r="C3809" i="13"/>
  <c r="F3809" i="13" s="1"/>
  <c r="B3809" i="13"/>
  <c r="G3808" i="13"/>
  <c r="H3808" i="13" s="1"/>
  <c r="J3808" i="13" s="1"/>
  <c r="C3808" i="13"/>
  <c r="F3808" i="13" s="1"/>
  <c r="B3808" i="13"/>
  <c r="G3807" i="13"/>
  <c r="H3807" i="13" s="1"/>
  <c r="J3807" i="13" s="1"/>
  <c r="C3807" i="13"/>
  <c r="F3807" i="13" s="1"/>
  <c r="B3807" i="13"/>
  <c r="G3806" i="13"/>
  <c r="H3806" i="13" s="1"/>
  <c r="J3806" i="13" s="1"/>
  <c r="C3806" i="13"/>
  <c r="F3806" i="13" s="1"/>
  <c r="B3806" i="13"/>
  <c r="G3805" i="13"/>
  <c r="H3805" i="13" s="1"/>
  <c r="J3805" i="13" s="1"/>
  <c r="C3805" i="13"/>
  <c r="F3805" i="13" s="1"/>
  <c r="B3805" i="13"/>
  <c r="G3804" i="13"/>
  <c r="H3804" i="13" s="1"/>
  <c r="C3804" i="13"/>
  <c r="F3804" i="13" s="1"/>
  <c r="B3804" i="13"/>
  <c r="G3803" i="13"/>
  <c r="H3803" i="13" s="1"/>
  <c r="J3803" i="13" s="1"/>
  <c r="C3803" i="13"/>
  <c r="F3803" i="13" s="1"/>
  <c r="B3803" i="13"/>
  <c r="G3802" i="13"/>
  <c r="H3802" i="13" s="1"/>
  <c r="J3802" i="13" s="1"/>
  <c r="C3802" i="13"/>
  <c r="F3802" i="13" s="1"/>
  <c r="B3802" i="13"/>
  <c r="G3801" i="13"/>
  <c r="H3801" i="13" s="1"/>
  <c r="J3801" i="13" s="1"/>
  <c r="C3801" i="13"/>
  <c r="F3801" i="13" s="1"/>
  <c r="B3801" i="13"/>
  <c r="G3800" i="13"/>
  <c r="H3800" i="13" s="1"/>
  <c r="J3800" i="13" s="1"/>
  <c r="C3800" i="13"/>
  <c r="F3800" i="13" s="1"/>
  <c r="B3800" i="13"/>
  <c r="G3799" i="13"/>
  <c r="H3799" i="13" s="1"/>
  <c r="C3799" i="13"/>
  <c r="F3799" i="13" s="1"/>
  <c r="B3799" i="13"/>
  <c r="G3798" i="13"/>
  <c r="H3798" i="13" s="1"/>
  <c r="J3798" i="13" s="1"/>
  <c r="C3798" i="13"/>
  <c r="F3798" i="13" s="1"/>
  <c r="B3798" i="13"/>
  <c r="G3797" i="13"/>
  <c r="H3797" i="13" s="1"/>
  <c r="J3797" i="13" s="1"/>
  <c r="C3797" i="13"/>
  <c r="F3797" i="13" s="1"/>
  <c r="B3797" i="13"/>
  <c r="G3796" i="13"/>
  <c r="H3796" i="13" s="1"/>
  <c r="J3796" i="13" s="1"/>
  <c r="C3796" i="13"/>
  <c r="F3796" i="13" s="1"/>
  <c r="B3796" i="13"/>
  <c r="G3795" i="13"/>
  <c r="H3795" i="13" s="1"/>
  <c r="J3795" i="13" s="1"/>
  <c r="C3795" i="13"/>
  <c r="F3795" i="13" s="1"/>
  <c r="B3795" i="13"/>
  <c r="G3794" i="13"/>
  <c r="H3794" i="13" s="1"/>
  <c r="J3794" i="13" s="1"/>
  <c r="C3794" i="13"/>
  <c r="F3794" i="13" s="1"/>
  <c r="B3794" i="13"/>
  <c r="G3793" i="13"/>
  <c r="H3793" i="13" s="1"/>
  <c r="J3793" i="13" s="1"/>
  <c r="C3793" i="13"/>
  <c r="F3793" i="13" s="1"/>
  <c r="B3793" i="13"/>
  <c r="G3792" i="13"/>
  <c r="H3792" i="13" s="1"/>
  <c r="C3792" i="13"/>
  <c r="F3792" i="13" s="1"/>
  <c r="B3792" i="13"/>
  <c r="G3791" i="13"/>
  <c r="H3791" i="13" s="1"/>
  <c r="J3791" i="13" s="1"/>
  <c r="C3791" i="13"/>
  <c r="F3791" i="13" s="1"/>
  <c r="B3791" i="13"/>
  <c r="G3790" i="13"/>
  <c r="H3790" i="13" s="1"/>
  <c r="J3790" i="13" s="1"/>
  <c r="C3790" i="13"/>
  <c r="F3790" i="13" s="1"/>
  <c r="B3790" i="13"/>
  <c r="G3789" i="13"/>
  <c r="H3789" i="13" s="1"/>
  <c r="J3789" i="13" s="1"/>
  <c r="C3789" i="13"/>
  <c r="F3789" i="13" s="1"/>
  <c r="B3789" i="13"/>
  <c r="G3788" i="13"/>
  <c r="H3788" i="13" s="1"/>
  <c r="J3788" i="13" s="1"/>
  <c r="C3788" i="13"/>
  <c r="F3788" i="13" s="1"/>
  <c r="B3788" i="13"/>
  <c r="G3787" i="13"/>
  <c r="H3787" i="13" s="1"/>
  <c r="C3787" i="13"/>
  <c r="F3787" i="13" s="1"/>
  <c r="B3787" i="13"/>
  <c r="G3786" i="13"/>
  <c r="H3786" i="13" s="1"/>
  <c r="J3786" i="13" s="1"/>
  <c r="C3786" i="13"/>
  <c r="F3786" i="13" s="1"/>
  <c r="B3786" i="13"/>
  <c r="G3785" i="13"/>
  <c r="H3785" i="13" s="1"/>
  <c r="J3785" i="13" s="1"/>
  <c r="C3785" i="13"/>
  <c r="F3785" i="13" s="1"/>
  <c r="B3785" i="13"/>
  <c r="G3784" i="13"/>
  <c r="H3784" i="13" s="1"/>
  <c r="J3784" i="13" s="1"/>
  <c r="C3784" i="13"/>
  <c r="F3784" i="13" s="1"/>
  <c r="B3784" i="13"/>
  <c r="G3783" i="13"/>
  <c r="H3783" i="13" s="1"/>
  <c r="J3783" i="13" s="1"/>
  <c r="C3783" i="13"/>
  <c r="F3783" i="13" s="1"/>
  <c r="B3783" i="13"/>
  <c r="G3782" i="13"/>
  <c r="H3782" i="13" s="1"/>
  <c r="J3782" i="13" s="1"/>
  <c r="C3782" i="13"/>
  <c r="F3782" i="13" s="1"/>
  <c r="B3782" i="13"/>
  <c r="G3781" i="13"/>
  <c r="H3781" i="13" s="1"/>
  <c r="J3781" i="13" s="1"/>
  <c r="C3781" i="13"/>
  <c r="F3781" i="13" s="1"/>
  <c r="B3781" i="13"/>
  <c r="G3780" i="13"/>
  <c r="H3780" i="13" s="1"/>
  <c r="C3780" i="13"/>
  <c r="F3780" i="13" s="1"/>
  <c r="B3780" i="13"/>
  <c r="G3779" i="13"/>
  <c r="H3779" i="13" s="1"/>
  <c r="J3779" i="13" s="1"/>
  <c r="C3779" i="13"/>
  <c r="F3779" i="13" s="1"/>
  <c r="B3779" i="13"/>
  <c r="G3778" i="13"/>
  <c r="H3778" i="13" s="1"/>
  <c r="J3778" i="13" s="1"/>
  <c r="C3778" i="13"/>
  <c r="F3778" i="13" s="1"/>
  <c r="B3778" i="13"/>
  <c r="G3777" i="13"/>
  <c r="H3777" i="13" s="1"/>
  <c r="J3777" i="13" s="1"/>
  <c r="C3777" i="13"/>
  <c r="F3777" i="13" s="1"/>
  <c r="B3777" i="13"/>
  <c r="G3776" i="13"/>
  <c r="H3776" i="13" s="1"/>
  <c r="J3776" i="13" s="1"/>
  <c r="C3776" i="13"/>
  <c r="F3776" i="13" s="1"/>
  <c r="B3776" i="13"/>
  <c r="G3775" i="13"/>
  <c r="H3775" i="13" s="1"/>
  <c r="J3775" i="13" s="1"/>
  <c r="C3775" i="13"/>
  <c r="F3775" i="13" s="1"/>
  <c r="B3775" i="13"/>
  <c r="G3774" i="13"/>
  <c r="H3774" i="13" s="1"/>
  <c r="J3774" i="13" s="1"/>
  <c r="C3774" i="13"/>
  <c r="F3774" i="13" s="1"/>
  <c r="B3774" i="13"/>
  <c r="G3773" i="13"/>
  <c r="H3773" i="13" s="1"/>
  <c r="J3773" i="13" s="1"/>
  <c r="C3773" i="13"/>
  <c r="F3773" i="13" s="1"/>
  <c r="B3773" i="13"/>
  <c r="G3772" i="13"/>
  <c r="H3772" i="13" s="1"/>
  <c r="J3772" i="13" s="1"/>
  <c r="C3772" i="13"/>
  <c r="F3772" i="13" s="1"/>
  <c r="B3772" i="13"/>
  <c r="G3771" i="13"/>
  <c r="H3771" i="13" s="1"/>
  <c r="J3771" i="13" s="1"/>
  <c r="C3771" i="13"/>
  <c r="F3771" i="13" s="1"/>
  <c r="B3771" i="13"/>
  <c r="G3770" i="13"/>
  <c r="H3770" i="13" s="1"/>
  <c r="J3770" i="13" s="1"/>
  <c r="C3770" i="13"/>
  <c r="F3770" i="13" s="1"/>
  <c r="B3770" i="13"/>
  <c r="G3769" i="13"/>
  <c r="H3769" i="13" s="1"/>
  <c r="J3769" i="13" s="1"/>
  <c r="C3769" i="13"/>
  <c r="F3769" i="13" s="1"/>
  <c r="B3769" i="13"/>
  <c r="G3768" i="13"/>
  <c r="H3768" i="13" s="1"/>
  <c r="J3768" i="13" s="1"/>
  <c r="C3768" i="13"/>
  <c r="F3768" i="13" s="1"/>
  <c r="B3768" i="13"/>
  <c r="G3767" i="13"/>
  <c r="H3767" i="13" s="1"/>
  <c r="J3767" i="13" s="1"/>
  <c r="C3767" i="13"/>
  <c r="F3767" i="13" s="1"/>
  <c r="B3767" i="13"/>
  <c r="G3766" i="13"/>
  <c r="H3766" i="13" s="1"/>
  <c r="J3766" i="13" s="1"/>
  <c r="C3766" i="13"/>
  <c r="F3766" i="13" s="1"/>
  <c r="B3766" i="13"/>
  <c r="G3765" i="13"/>
  <c r="H3765" i="13" s="1"/>
  <c r="J3765" i="13" s="1"/>
  <c r="C3765" i="13"/>
  <c r="F3765" i="13" s="1"/>
  <c r="B3765" i="13"/>
  <c r="G3764" i="13"/>
  <c r="H3764" i="13" s="1"/>
  <c r="J3764" i="13" s="1"/>
  <c r="C3764" i="13"/>
  <c r="F3764" i="13" s="1"/>
  <c r="B3764" i="13"/>
  <c r="G3763" i="13"/>
  <c r="H3763" i="13" s="1"/>
  <c r="J3763" i="13" s="1"/>
  <c r="C3763" i="13"/>
  <c r="F3763" i="13" s="1"/>
  <c r="B3763" i="13"/>
  <c r="G3762" i="13"/>
  <c r="H3762" i="13" s="1"/>
  <c r="J3762" i="13" s="1"/>
  <c r="C3762" i="13"/>
  <c r="F3762" i="13" s="1"/>
  <c r="B3762" i="13"/>
  <c r="G3761" i="13"/>
  <c r="H3761" i="13" s="1"/>
  <c r="J3761" i="13" s="1"/>
  <c r="C3761" i="13"/>
  <c r="F3761" i="13" s="1"/>
  <c r="B3761" i="13"/>
  <c r="G3760" i="13"/>
  <c r="H3760" i="13" s="1"/>
  <c r="J3760" i="13" s="1"/>
  <c r="C3760" i="13"/>
  <c r="F3760" i="13" s="1"/>
  <c r="B3760" i="13"/>
  <c r="G3759" i="13"/>
  <c r="H3759" i="13" s="1"/>
  <c r="J3759" i="13" s="1"/>
  <c r="C3759" i="13"/>
  <c r="F3759" i="13" s="1"/>
  <c r="B3759" i="13"/>
  <c r="G3758" i="13"/>
  <c r="H3758" i="13" s="1"/>
  <c r="J3758" i="13" s="1"/>
  <c r="C3758" i="13"/>
  <c r="F3758" i="13" s="1"/>
  <c r="B3758" i="13"/>
  <c r="G3757" i="13"/>
  <c r="H3757" i="13" s="1"/>
  <c r="J3757" i="13" s="1"/>
  <c r="C3757" i="13"/>
  <c r="F3757" i="13" s="1"/>
  <c r="B3757" i="13"/>
  <c r="G3756" i="13"/>
  <c r="H3756" i="13" s="1"/>
  <c r="J3756" i="13" s="1"/>
  <c r="C3756" i="13"/>
  <c r="F3756" i="13" s="1"/>
  <c r="B3756" i="13"/>
  <c r="G3755" i="13"/>
  <c r="H3755" i="13" s="1"/>
  <c r="J3755" i="13" s="1"/>
  <c r="C3755" i="13"/>
  <c r="F3755" i="13" s="1"/>
  <c r="B3755" i="13"/>
  <c r="G3754" i="13"/>
  <c r="H3754" i="13" s="1"/>
  <c r="J3754" i="13" s="1"/>
  <c r="C3754" i="13"/>
  <c r="F3754" i="13" s="1"/>
  <c r="B3754" i="13"/>
  <c r="G3753" i="13"/>
  <c r="H3753" i="13" s="1"/>
  <c r="J3753" i="13" s="1"/>
  <c r="C3753" i="13"/>
  <c r="F3753" i="13" s="1"/>
  <c r="B3753" i="13"/>
  <c r="G3752" i="13"/>
  <c r="H3752" i="13" s="1"/>
  <c r="J3752" i="13" s="1"/>
  <c r="C3752" i="13"/>
  <c r="F3752" i="13" s="1"/>
  <c r="B3752" i="13"/>
  <c r="G3751" i="13"/>
  <c r="H3751" i="13" s="1"/>
  <c r="C3751" i="13"/>
  <c r="F3751" i="13" s="1"/>
  <c r="B3751" i="13"/>
  <c r="G3750" i="13"/>
  <c r="H3750" i="13" s="1"/>
  <c r="J3750" i="13" s="1"/>
  <c r="C3750" i="13"/>
  <c r="F3750" i="13" s="1"/>
  <c r="B3750" i="13"/>
  <c r="G3749" i="13"/>
  <c r="H3749" i="13" s="1"/>
  <c r="J3749" i="13" s="1"/>
  <c r="C3749" i="13"/>
  <c r="F3749" i="13" s="1"/>
  <c r="B3749" i="13"/>
  <c r="G3748" i="13"/>
  <c r="H3748" i="13" s="1"/>
  <c r="J3748" i="13" s="1"/>
  <c r="C3748" i="13"/>
  <c r="F3748" i="13" s="1"/>
  <c r="B3748" i="13"/>
  <c r="G3747" i="13"/>
  <c r="H3747" i="13" s="1"/>
  <c r="J3747" i="13" s="1"/>
  <c r="C3747" i="13"/>
  <c r="F3747" i="13" s="1"/>
  <c r="B3747" i="13"/>
  <c r="G3746" i="13"/>
  <c r="H3746" i="13" s="1"/>
  <c r="J3746" i="13" s="1"/>
  <c r="C3746" i="13"/>
  <c r="F3746" i="13" s="1"/>
  <c r="B3746" i="13"/>
  <c r="G3745" i="13"/>
  <c r="H3745" i="13" s="1"/>
  <c r="J3745" i="13" s="1"/>
  <c r="C3745" i="13"/>
  <c r="F3745" i="13" s="1"/>
  <c r="B3745" i="13"/>
  <c r="G3744" i="13"/>
  <c r="H3744" i="13" s="1"/>
  <c r="J3744" i="13" s="1"/>
  <c r="C3744" i="13"/>
  <c r="F3744" i="13" s="1"/>
  <c r="B3744" i="13"/>
  <c r="G3743" i="13"/>
  <c r="H3743" i="13" s="1"/>
  <c r="J3743" i="13" s="1"/>
  <c r="C3743" i="13"/>
  <c r="F3743" i="13" s="1"/>
  <c r="B3743" i="13"/>
  <c r="G3742" i="13"/>
  <c r="H3742" i="13" s="1"/>
  <c r="J3742" i="13" s="1"/>
  <c r="C3742" i="13"/>
  <c r="F3742" i="13" s="1"/>
  <c r="B3742" i="13"/>
  <c r="G3741" i="13"/>
  <c r="H3741" i="13" s="1"/>
  <c r="J3741" i="13" s="1"/>
  <c r="C3741" i="13"/>
  <c r="F3741" i="13" s="1"/>
  <c r="B3741" i="13"/>
  <c r="G3740" i="13"/>
  <c r="H3740" i="13" s="1"/>
  <c r="J3740" i="13" s="1"/>
  <c r="C3740" i="13"/>
  <c r="F3740" i="13" s="1"/>
  <c r="B3740" i="13"/>
  <c r="G3739" i="13"/>
  <c r="H3739" i="13" s="1"/>
  <c r="J3739" i="13" s="1"/>
  <c r="C3739" i="13"/>
  <c r="F3739" i="13" s="1"/>
  <c r="B3739" i="13"/>
  <c r="G3738" i="13"/>
  <c r="H3738" i="13" s="1"/>
  <c r="J3738" i="13" s="1"/>
  <c r="C3738" i="13"/>
  <c r="F3738" i="13" s="1"/>
  <c r="B3738" i="13"/>
  <c r="G3737" i="13"/>
  <c r="H3737" i="13" s="1"/>
  <c r="J3737" i="13" s="1"/>
  <c r="C3737" i="13"/>
  <c r="F3737" i="13" s="1"/>
  <c r="B3737" i="13"/>
  <c r="G3736" i="13"/>
  <c r="H3736" i="13" s="1"/>
  <c r="J3736" i="13" s="1"/>
  <c r="C3736" i="13"/>
  <c r="F3736" i="13" s="1"/>
  <c r="B3736" i="13"/>
  <c r="G3735" i="13"/>
  <c r="H3735" i="13" s="1"/>
  <c r="J3735" i="13" s="1"/>
  <c r="C3735" i="13"/>
  <c r="F3735" i="13" s="1"/>
  <c r="B3735" i="13"/>
  <c r="G3734" i="13"/>
  <c r="H3734" i="13" s="1"/>
  <c r="J3734" i="13" s="1"/>
  <c r="C3734" i="13"/>
  <c r="F3734" i="13" s="1"/>
  <c r="B3734" i="13"/>
  <c r="G3733" i="13"/>
  <c r="H3733" i="13" s="1"/>
  <c r="J3733" i="13" s="1"/>
  <c r="C3733" i="13"/>
  <c r="F3733" i="13" s="1"/>
  <c r="B3733" i="13"/>
  <c r="G3732" i="13"/>
  <c r="H3732" i="13" s="1"/>
  <c r="J3732" i="13" s="1"/>
  <c r="C3732" i="13"/>
  <c r="F3732" i="13" s="1"/>
  <c r="B3732" i="13"/>
  <c r="G3731" i="13"/>
  <c r="H3731" i="13" s="1"/>
  <c r="J3731" i="13" s="1"/>
  <c r="C3731" i="13"/>
  <c r="F3731" i="13" s="1"/>
  <c r="B3731" i="13"/>
  <c r="G3730" i="13"/>
  <c r="H3730" i="13" s="1"/>
  <c r="J3730" i="13" s="1"/>
  <c r="C3730" i="13"/>
  <c r="F3730" i="13" s="1"/>
  <c r="B3730" i="13"/>
  <c r="G3729" i="13"/>
  <c r="H3729" i="13" s="1"/>
  <c r="J3729" i="13" s="1"/>
  <c r="C3729" i="13"/>
  <c r="F3729" i="13" s="1"/>
  <c r="B3729" i="13"/>
  <c r="G3728" i="13"/>
  <c r="H3728" i="13" s="1"/>
  <c r="J3728" i="13" s="1"/>
  <c r="C3728" i="13"/>
  <c r="F3728" i="13" s="1"/>
  <c r="B3728" i="13"/>
  <c r="G3727" i="13"/>
  <c r="H3727" i="13" s="1"/>
  <c r="J3727" i="13" s="1"/>
  <c r="C3727" i="13"/>
  <c r="F3727" i="13" s="1"/>
  <c r="B3727" i="13"/>
  <c r="G3726" i="13"/>
  <c r="H3726" i="13" s="1"/>
  <c r="J3726" i="13" s="1"/>
  <c r="C3726" i="13"/>
  <c r="F3726" i="13" s="1"/>
  <c r="B3726" i="13"/>
  <c r="G3725" i="13"/>
  <c r="H3725" i="13" s="1"/>
  <c r="J3725" i="13" s="1"/>
  <c r="C3725" i="13"/>
  <c r="F3725" i="13" s="1"/>
  <c r="B3725" i="13"/>
  <c r="G3724" i="13"/>
  <c r="H3724" i="13" s="1"/>
  <c r="J3724" i="13" s="1"/>
  <c r="C3724" i="13"/>
  <c r="F3724" i="13" s="1"/>
  <c r="B3724" i="13"/>
  <c r="G3723" i="13"/>
  <c r="H3723" i="13" s="1"/>
  <c r="J3723" i="13" s="1"/>
  <c r="C3723" i="13"/>
  <c r="F3723" i="13" s="1"/>
  <c r="B3723" i="13"/>
  <c r="G3722" i="13"/>
  <c r="H3722" i="13" s="1"/>
  <c r="J3722" i="13" s="1"/>
  <c r="C3722" i="13"/>
  <c r="F3722" i="13" s="1"/>
  <c r="B3722" i="13"/>
  <c r="G3721" i="13"/>
  <c r="H3721" i="13" s="1"/>
  <c r="J3721" i="13" s="1"/>
  <c r="C3721" i="13"/>
  <c r="F3721" i="13" s="1"/>
  <c r="B3721" i="13"/>
  <c r="G3720" i="13"/>
  <c r="H3720" i="13" s="1"/>
  <c r="J3720" i="13" s="1"/>
  <c r="C3720" i="13"/>
  <c r="F3720" i="13" s="1"/>
  <c r="B3720" i="13"/>
  <c r="G3719" i="13"/>
  <c r="H3719" i="13" s="1"/>
  <c r="J3719" i="13" s="1"/>
  <c r="C3719" i="13"/>
  <c r="F3719" i="13" s="1"/>
  <c r="B3719" i="13"/>
  <c r="G3718" i="13"/>
  <c r="H3718" i="13" s="1"/>
  <c r="J3718" i="13" s="1"/>
  <c r="C3718" i="13"/>
  <c r="F3718" i="13" s="1"/>
  <c r="B3718" i="13"/>
  <c r="G3717" i="13"/>
  <c r="H3717" i="13" s="1"/>
  <c r="J3717" i="13" s="1"/>
  <c r="C3717" i="13"/>
  <c r="F3717" i="13" s="1"/>
  <c r="B3717" i="13"/>
  <c r="G3716" i="13"/>
  <c r="H3716" i="13" s="1"/>
  <c r="J3716" i="13" s="1"/>
  <c r="C3716" i="13"/>
  <c r="F3716" i="13" s="1"/>
  <c r="B3716" i="13"/>
  <c r="G3715" i="13"/>
  <c r="H3715" i="13" s="1"/>
  <c r="J3715" i="13" s="1"/>
  <c r="C3715" i="13"/>
  <c r="F3715" i="13" s="1"/>
  <c r="B3715" i="13"/>
  <c r="G3714" i="13"/>
  <c r="H3714" i="13" s="1"/>
  <c r="J3714" i="13" s="1"/>
  <c r="C3714" i="13"/>
  <c r="F3714" i="13" s="1"/>
  <c r="B3714" i="13"/>
  <c r="G3713" i="13"/>
  <c r="H3713" i="13" s="1"/>
  <c r="J3713" i="13" s="1"/>
  <c r="C3713" i="13"/>
  <c r="F3713" i="13" s="1"/>
  <c r="B3713" i="13"/>
  <c r="G3712" i="13"/>
  <c r="H3712" i="13" s="1"/>
  <c r="J3712" i="13" s="1"/>
  <c r="C3712" i="13"/>
  <c r="F3712" i="13" s="1"/>
  <c r="B3712" i="13"/>
  <c r="G3711" i="13"/>
  <c r="H3711" i="13" s="1"/>
  <c r="J3711" i="13" s="1"/>
  <c r="C3711" i="13"/>
  <c r="F3711" i="13" s="1"/>
  <c r="B3711" i="13"/>
  <c r="G3710" i="13"/>
  <c r="H3710" i="13" s="1"/>
  <c r="J3710" i="13" s="1"/>
  <c r="C3710" i="13"/>
  <c r="F3710" i="13" s="1"/>
  <c r="B3710" i="13"/>
  <c r="G3709" i="13"/>
  <c r="H3709" i="13" s="1"/>
  <c r="J3709" i="13" s="1"/>
  <c r="C3709" i="13"/>
  <c r="F3709" i="13" s="1"/>
  <c r="B3709" i="13"/>
  <c r="G3708" i="13"/>
  <c r="H3708" i="13" s="1"/>
  <c r="J3708" i="13" s="1"/>
  <c r="C3708" i="13"/>
  <c r="F3708" i="13" s="1"/>
  <c r="B3708" i="13"/>
  <c r="G3707" i="13"/>
  <c r="H3707" i="13" s="1"/>
  <c r="J3707" i="13" s="1"/>
  <c r="C3707" i="13"/>
  <c r="F3707" i="13" s="1"/>
  <c r="B3707" i="13"/>
  <c r="G3706" i="13"/>
  <c r="H3706" i="13" s="1"/>
  <c r="J3706" i="13" s="1"/>
  <c r="C3706" i="13"/>
  <c r="F3706" i="13" s="1"/>
  <c r="B3706" i="13"/>
  <c r="G3705" i="13"/>
  <c r="H3705" i="13" s="1"/>
  <c r="J3705" i="13" s="1"/>
  <c r="C3705" i="13"/>
  <c r="F3705" i="13" s="1"/>
  <c r="B3705" i="13"/>
  <c r="G3704" i="13"/>
  <c r="H3704" i="13" s="1"/>
  <c r="J3704" i="13" s="1"/>
  <c r="C3704" i="13"/>
  <c r="F3704" i="13" s="1"/>
  <c r="B3704" i="13"/>
  <c r="G3703" i="13"/>
  <c r="H3703" i="13" s="1"/>
  <c r="J3703" i="13" s="1"/>
  <c r="C3703" i="13"/>
  <c r="F3703" i="13" s="1"/>
  <c r="B3703" i="13"/>
  <c r="G3702" i="13"/>
  <c r="H3702" i="13" s="1"/>
  <c r="J3702" i="13" s="1"/>
  <c r="C3702" i="13"/>
  <c r="F3702" i="13" s="1"/>
  <c r="B3702" i="13"/>
  <c r="G3701" i="13"/>
  <c r="H3701" i="13" s="1"/>
  <c r="J3701" i="13" s="1"/>
  <c r="C3701" i="13"/>
  <c r="F3701" i="13" s="1"/>
  <c r="B3701" i="13"/>
  <c r="G3700" i="13"/>
  <c r="H3700" i="13" s="1"/>
  <c r="J3700" i="13" s="1"/>
  <c r="C3700" i="13"/>
  <c r="F3700" i="13" s="1"/>
  <c r="B3700" i="13"/>
  <c r="G3699" i="13"/>
  <c r="H3699" i="13" s="1"/>
  <c r="J3699" i="13" s="1"/>
  <c r="C3699" i="13"/>
  <c r="F3699" i="13" s="1"/>
  <c r="B3699" i="13"/>
  <c r="G3698" i="13"/>
  <c r="H3698" i="13" s="1"/>
  <c r="J3698" i="13" s="1"/>
  <c r="C3698" i="13"/>
  <c r="F3698" i="13" s="1"/>
  <c r="B3698" i="13"/>
  <c r="G3697" i="13"/>
  <c r="H3697" i="13" s="1"/>
  <c r="J3697" i="13" s="1"/>
  <c r="C3697" i="13"/>
  <c r="F3697" i="13" s="1"/>
  <c r="B3697" i="13"/>
  <c r="G3696" i="13"/>
  <c r="H3696" i="13" s="1"/>
  <c r="J3696" i="13" s="1"/>
  <c r="C3696" i="13"/>
  <c r="F3696" i="13" s="1"/>
  <c r="B3696" i="13"/>
  <c r="G3695" i="13"/>
  <c r="H3695" i="13" s="1"/>
  <c r="J3695" i="13" s="1"/>
  <c r="C3695" i="13"/>
  <c r="F3695" i="13" s="1"/>
  <c r="B3695" i="13"/>
  <c r="G3694" i="13"/>
  <c r="H3694" i="13" s="1"/>
  <c r="J3694" i="13" s="1"/>
  <c r="C3694" i="13"/>
  <c r="F3694" i="13" s="1"/>
  <c r="B3694" i="13"/>
  <c r="G3693" i="13"/>
  <c r="H3693" i="13" s="1"/>
  <c r="J3693" i="13" s="1"/>
  <c r="C3693" i="13"/>
  <c r="F3693" i="13" s="1"/>
  <c r="B3693" i="13"/>
  <c r="G3692" i="13"/>
  <c r="H3692" i="13" s="1"/>
  <c r="J3692" i="13" s="1"/>
  <c r="C3692" i="13"/>
  <c r="F3692" i="13" s="1"/>
  <c r="B3692" i="13"/>
  <c r="G3691" i="13"/>
  <c r="H3691" i="13" s="1"/>
  <c r="J3691" i="13" s="1"/>
  <c r="C3691" i="13"/>
  <c r="F3691" i="13" s="1"/>
  <c r="B3691" i="13"/>
  <c r="G3690" i="13"/>
  <c r="H3690" i="13" s="1"/>
  <c r="J3690" i="13" s="1"/>
  <c r="C3690" i="13"/>
  <c r="F3690" i="13" s="1"/>
  <c r="B3690" i="13"/>
  <c r="G3689" i="13"/>
  <c r="H3689" i="13" s="1"/>
  <c r="J3689" i="13" s="1"/>
  <c r="C3689" i="13"/>
  <c r="F3689" i="13" s="1"/>
  <c r="B3689" i="13"/>
  <c r="G3688" i="13"/>
  <c r="H3688" i="13" s="1"/>
  <c r="J3688" i="13" s="1"/>
  <c r="C3688" i="13"/>
  <c r="F3688" i="13" s="1"/>
  <c r="B3688" i="13"/>
  <c r="G3687" i="13"/>
  <c r="H3687" i="13" s="1"/>
  <c r="J3687" i="13" s="1"/>
  <c r="C3687" i="13"/>
  <c r="F3687" i="13" s="1"/>
  <c r="B3687" i="13"/>
  <c r="G3686" i="13"/>
  <c r="H3686" i="13" s="1"/>
  <c r="J3686" i="13" s="1"/>
  <c r="C3686" i="13"/>
  <c r="F3686" i="13" s="1"/>
  <c r="B3686" i="13"/>
  <c r="G3685" i="13"/>
  <c r="H3685" i="13" s="1"/>
  <c r="J3685" i="13" s="1"/>
  <c r="C3685" i="13"/>
  <c r="F3685" i="13" s="1"/>
  <c r="B3685" i="13"/>
  <c r="G3684" i="13"/>
  <c r="H3684" i="13" s="1"/>
  <c r="C3684" i="13"/>
  <c r="F3684" i="13" s="1"/>
  <c r="B3684" i="13"/>
  <c r="G3683" i="13"/>
  <c r="H3683" i="13" s="1"/>
  <c r="J3683" i="13" s="1"/>
  <c r="C3683" i="13"/>
  <c r="F3683" i="13" s="1"/>
  <c r="B3683" i="13"/>
  <c r="G3682" i="13"/>
  <c r="H3682" i="13" s="1"/>
  <c r="J3682" i="13" s="1"/>
  <c r="C3682" i="13"/>
  <c r="F3682" i="13" s="1"/>
  <c r="B3682" i="13"/>
  <c r="G3681" i="13"/>
  <c r="H3681" i="13" s="1"/>
  <c r="J3681" i="13" s="1"/>
  <c r="C3681" i="13"/>
  <c r="F3681" i="13" s="1"/>
  <c r="B3681" i="13"/>
  <c r="G3680" i="13"/>
  <c r="H3680" i="13" s="1"/>
  <c r="J3680" i="13" s="1"/>
  <c r="C3680" i="13"/>
  <c r="F3680" i="13" s="1"/>
  <c r="B3680" i="13"/>
  <c r="G3679" i="13"/>
  <c r="H3679" i="13" s="1"/>
  <c r="J3679" i="13" s="1"/>
  <c r="C3679" i="13"/>
  <c r="F3679" i="13" s="1"/>
  <c r="B3679" i="13"/>
  <c r="G3678" i="13"/>
  <c r="H3678" i="13" s="1"/>
  <c r="J3678" i="13" s="1"/>
  <c r="C3678" i="13"/>
  <c r="F3678" i="13" s="1"/>
  <c r="B3678" i="13"/>
  <c r="G3677" i="13"/>
  <c r="H3677" i="13" s="1"/>
  <c r="C3677" i="13"/>
  <c r="F3677" i="13" s="1"/>
  <c r="B3677" i="13"/>
  <c r="G3676" i="13"/>
  <c r="H3676" i="13" s="1"/>
  <c r="J3676" i="13" s="1"/>
  <c r="C3676" i="13"/>
  <c r="F3676" i="13" s="1"/>
  <c r="B3676" i="13"/>
  <c r="G3675" i="13"/>
  <c r="H3675" i="13" s="1"/>
  <c r="J3675" i="13" s="1"/>
  <c r="C3675" i="13"/>
  <c r="F3675" i="13" s="1"/>
  <c r="B3675" i="13"/>
  <c r="G3674" i="13"/>
  <c r="H3674" i="13" s="1"/>
  <c r="J3674" i="13" s="1"/>
  <c r="C3674" i="13"/>
  <c r="F3674" i="13" s="1"/>
  <c r="B3674" i="13"/>
  <c r="G3673" i="13"/>
  <c r="H3673" i="13" s="1"/>
  <c r="J3673" i="13" s="1"/>
  <c r="C3673" i="13"/>
  <c r="F3673" i="13" s="1"/>
  <c r="B3673" i="13"/>
  <c r="G3672" i="13"/>
  <c r="H3672" i="13" s="1"/>
  <c r="J3672" i="13" s="1"/>
  <c r="C3672" i="13"/>
  <c r="F3672" i="13" s="1"/>
  <c r="B3672" i="13"/>
  <c r="G3671" i="13"/>
  <c r="H3671" i="13" s="1"/>
  <c r="J3671" i="13" s="1"/>
  <c r="C3671" i="13"/>
  <c r="F3671" i="13" s="1"/>
  <c r="B3671" i="13"/>
  <c r="G3670" i="13"/>
  <c r="H3670" i="13" s="1"/>
  <c r="C3670" i="13"/>
  <c r="F3670" i="13" s="1"/>
  <c r="B3670" i="13"/>
  <c r="G3669" i="13"/>
  <c r="H3669" i="13" s="1"/>
  <c r="J3669" i="13" s="1"/>
  <c r="C3669" i="13"/>
  <c r="F3669" i="13" s="1"/>
  <c r="B3669" i="13"/>
  <c r="G3668" i="13"/>
  <c r="H3668" i="13" s="1"/>
  <c r="J3668" i="13" s="1"/>
  <c r="C3668" i="13"/>
  <c r="F3668" i="13" s="1"/>
  <c r="B3668" i="13"/>
  <c r="G3667" i="13"/>
  <c r="H3667" i="13" s="1"/>
  <c r="J3667" i="13" s="1"/>
  <c r="C3667" i="13"/>
  <c r="F3667" i="13" s="1"/>
  <c r="B3667" i="13"/>
  <c r="G3666" i="13"/>
  <c r="H3666" i="13" s="1"/>
  <c r="J3666" i="13" s="1"/>
  <c r="C3666" i="13"/>
  <c r="F3666" i="13" s="1"/>
  <c r="B3666" i="13"/>
  <c r="G3665" i="13"/>
  <c r="H3665" i="13" s="1"/>
  <c r="J3665" i="13" s="1"/>
  <c r="C3665" i="13"/>
  <c r="F3665" i="13" s="1"/>
  <c r="B3665" i="13"/>
  <c r="G3664" i="13"/>
  <c r="H3664" i="13" s="1"/>
  <c r="C3664" i="13"/>
  <c r="F3664" i="13" s="1"/>
  <c r="B3664" i="13"/>
  <c r="G3663" i="13"/>
  <c r="H3663" i="13" s="1"/>
  <c r="J3663" i="13" s="1"/>
  <c r="C3663" i="13"/>
  <c r="F3663" i="13" s="1"/>
  <c r="B3663" i="13"/>
  <c r="G3662" i="13"/>
  <c r="H3662" i="13" s="1"/>
  <c r="J3662" i="13" s="1"/>
  <c r="C3662" i="13"/>
  <c r="F3662" i="13" s="1"/>
  <c r="B3662" i="13"/>
  <c r="G3661" i="13"/>
  <c r="H3661" i="13" s="1"/>
  <c r="J3661" i="13" s="1"/>
  <c r="C3661" i="13"/>
  <c r="F3661" i="13" s="1"/>
  <c r="B3661" i="13"/>
  <c r="G3660" i="13"/>
  <c r="H3660" i="13" s="1"/>
  <c r="J3660" i="13" s="1"/>
  <c r="C3660" i="13"/>
  <c r="F3660" i="13" s="1"/>
  <c r="B3660" i="13"/>
  <c r="G3659" i="13"/>
  <c r="H3659" i="13" s="1"/>
  <c r="J3659" i="13" s="1"/>
  <c r="C3659" i="13"/>
  <c r="F3659" i="13" s="1"/>
  <c r="B3659" i="13"/>
  <c r="G3658" i="13"/>
  <c r="H3658" i="13" s="1"/>
  <c r="J3658" i="13" s="1"/>
  <c r="C3658" i="13"/>
  <c r="F3658" i="13" s="1"/>
  <c r="B3658" i="13"/>
  <c r="G3657" i="13"/>
  <c r="H3657" i="13" s="1"/>
  <c r="J3657" i="13" s="1"/>
  <c r="C3657" i="13"/>
  <c r="F3657" i="13" s="1"/>
  <c r="B3657" i="13"/>
  <c r="G3656" i="13"/>
  <c r="H3656" i="13" s="1"/>
  <c r="J3656" i="13" s="1"/>
  <c r="C3656" i="13"/>
  <c r="F3656" i="13" s="1"/>
  <c r="B3656" i="13"/>
  <c r="G3655" i="13"/>
  <c r="H3655" i="13" s="1"/>
  <c r="J3655" i="13" s="1"/>
  <c r="C3655" i="13"/>
  <c r="F3655" i="13" s="1"/>
  <c r="B3655" i="13"/>
  <c r="G3654" i="13"/>
  <c r="H3654" i="13" s="1"/>
  <c r="J3654" i="13" s="1"/>
  <c r="C3654" i="13"/>
  <c r="F3654" i="13" s="1"/>
  <c r="B3654" i="13"/>
  <c r="G3653" i="13"/>
  <c r="H3653" i="13" s="1"/>
  <c r="J3653" i="13" s="1"/>
  <c r="C3653" i="13"/>
  <c r="F3653" i="13" s="1"/>
  <c r="B3653" i="13"/>
  <c r="G3652" i="13"/>
  <c r="H3652" i="13" s="1"/>
  <c r="C3652" i="13"/>
  <c r="F3652" i="13" s="1"/>
  <c r="B3652" i="13"/>
  <c r="G3651" i="13"/>
  <c r="H3651" i="13" s="1"/>
  <c r="J3651" i="13" s="1"/>
  <c r="C3651" i="13"/>
  <c r="F3651" i="13" s="1"/>
  <c r="B3651" i="13"/>
  <c r="G3650" i="13"/>
  <c r="H3650" i="13" s="1"/>
  <c r="J3650" i="13" s="1"/>
  <c r="C3650" i="13"/>
  <c r="F3650" i="13" s="1"/>
  <c r="B3650" i="13"/>
  <c r="G3649" i="13"/>
  <c r="H3649" i="13" s="1"/>
  <c r="J3649" i="13" s="1"/>
  <c r="C3649" i="13"/>
  <c r="F3649" i="13" s="1"/>
  <c r="B3649" i="13"/>
  <c r="G3648" i="13"/>
  <c r="H3648" i="13" s="1"/>
  <c r="J3648" i="13" s="1"/>
  <c r="C3648" i="13"/>
  <c r="F3648" i="13" s="1"/>
  <c r="B3648" i="13"/>
  <c r="G3647" i="13"/>
  <c r="H3647" i="13" s="1"/>
  <c r="J3647" i="13" s="1"/>
  <c r="C3647" i="13"/>
  <c r="F3647" i="13" s="1"/>
  <c r="B3647" i="13"/>
  <c r="G3646" i="13"/>
  <c r="H3646" i="13" s="1"/>
  <c r="J3646" i="13" s="1"/>
  <c r="C3646" i="13"/>
  <c r="F3646" i="13" s="1"/>
  <c r="B3646" i="13"/>
  <c r="G3645" i="13"/>
  <c r="H3645" i="13" s="1"/>
  <c r="J3645" i="13" s="1"/>
  <c r="C3645" i="13"/>
  <c r="F3645" i="13" s="1"/>
  <c r="B3645" i="13"/>
  <c r="G3644" i="13"/>
  <c r="H3644" i="13" s="1"/>
  <c r="J3644" i="13" s="1"/>
  <c r="C3644" i="13"/>
  <c r="F3644" i="13" s="1"/>
  <c r="B3644" i="13"/>
  <c r="G3643" i="13"/>
  <c r="H3643" i="13" s="1"/>
  <c r="J3643" i="13" s="1"/>
  <c r="C3643" i="13"/>
  <c r="F3643" i="13" s="1"/>
  <c r="B3643" i="13"/>
  <c r="G3642" i="13"/>
  <c r="H3642" i="13" s="1"/>
  <c r="J3642" i="13" s="1"/>
  <c r="C3642" i="13"/>
  <c r="F3642" i="13" s="1"/>
  <c r="B3642" i="13"/>
  <c r="G3641" i="13"/>
  <c r="H3641" i="13" s="1"/>
  <c r="J3641" i="13" s="1"/>
  <c r="C3641" i="13"/>
  <c r="F3641" i="13" s="1"/>
  <c r="B3641" i="13"/>
  <c r="G3640" i="13"/>
  <c r="H3640" i="13" s="1"/>
  <c r="C3640" i="13"/>
  <c r="F3640" i="13" s="1"/>
  <c r="B3640" i="13"/>
  <c r="G3639" i="13"/>
  <c r="H3639" i="13" s="1"/>
  <c r="J3639" i="13" s="1"/>
  <c r="C3639" i="13"/>
  <c r="F3639" i="13" s="1"/>
  <c r="B3639" i="13"/>
  <c r="G3638" i="13"/>
  <c r="H3638" i="13" s="1"/>
  <c r="J3638" i="13" s="1"/>
  <c r="C3638" i="13"/>
  <c r="F3638" i="13" s="1"/>
  <c r="B3638" i="13"/>
  <c r="G3637" i="13"/>
  <c r="H3637" i="13" s="1"/>
  <c r="J3637" i="13" s="1"/>
  <c r="C3637" i="13"/>
  <c r="F3637" i="13" s="1"/>
  <c r="B3637" i="13"/>
  <c r="G3636" i="13"/>
  <c r="H3636" i="13" s="1"/>
  <c r="J3636" i="13" s="1"/>
  <c r="C3636" i="13"/>
  <c r="F3636" i="13" s="1"/>
  <c r="B3636" i="13"/>
  <c r="G3635" i="13"/>
  <c r="H3635" i="13" s="1"/>
  <c r="J3635" i="13" s="1"/>
  <c r="C3635" i="13"/>
  <c r="F3635" i="13" s="1"/>
  <c r="B3635" i="13"/>
  <c r="G3634" i="13"/>
  <c r="H3634" i="13" s="1"/>
  <c r="J3634" i="13" s="1"/>
  <c r="C3634" i="13"/>
  <c r="F3634" i="13" s="1"/>
  <c r="B3634" i="13"/>
  <c r="G3633" i="13"/>
  <c r="H3633" i="13" s="1"/>
  <c r="J3633" i="13" s="1"/>
  <c r="C3633" i="13"/>
  <c r="F3633" i="13" s="1"/>
  <c r="B3633" i="13"/>
  <c r="G3632" i="13"/>
  <c r="H3632" i="13" s="1"/>
  <c r="J3632" i="13" s="1"/>
  <c r="C3632" i="13"/>
  <c r="F3632" i="13" s="1"/>
  <c r="B3632" i="13"/>
  <c r="G3631" i="13"/>
  <c r="H3631" i="13" s="1"/>
  <c r="J3631" i="13" s="1"/>
  <c r="C3631" i="13"/>
  <c r="F3631" i="13" s="1"/>
  <c r="B3631" i="13"/>
  <c r="G3630" i="13"/>
  <c r="H3630" i="13" s="1"/>
  <c r="J3630" i="13" s="1"/>
  <c r="C3630" i="13"/>
  <c r="F3630" i="13" s="1"/>
  <c r="B3630" i="13"/>
  <c r="G3629" i="13"/>
  <c r="H3629" i="13" s="1"/>
  <c r="J3629" i="13" s="1"/>
  <c r="C3629" i="13"/>
  <c r="F3629" i="13" s="1"/>
  <c r="B3629" i="13"/>
  <c r="G3628" i="13"/>
  <c r="H3628" i="13" s="1"/>
  <c r="J3628" i="13" s="1"/>
  <c r="C3628" i="13"/>
  <c r="F3628" i="13" s="1"/>
  <c r="B3628" i="13"/>
  <c r="G3627" i="13"/>
  <c r="H3627" i="13" s="1"/>
  <c r="J3627" i="13" s="1"/>
  <c r="C3627" i="13"/>
  <c r="F3627" i="13" s="1"/>
  <c r="B3627" i="13"/>
  <c r="G3626" i="13"/>
  <c r="H3626" i="13" s="1"/>
  <c r="J3626" i="13" s="1"/>
  <c r="C3626" i="13"/>
  <c r="F3626" i="13" s="1"/>
  <c r="B3626" i="13"/>
  <c r="G3625" i="13"/>
  <c r="H3625" i="13" s="1"/>
  <c r="J3625" i="13" s="1"/>
  <c r="C3625" i="13"/>
  <c r="F3625" i="13" s="1"/>
  <c r="B3625" i="13"/>
  <c r="G3624" i="13"/>
  <c r="H3624" i="13" s="1"/>
  <c r="J3624" i="13" s="1"/>
  <c r="C3624" i="13"/>
  <c r="F3624" i="13" s="1"/>
  <c r="B3624" i="13"/>
  <c r="G3623" i="13"/>
  <c r="H3623" i="13" s="1"/>
  <c r="J3623" i="13" s="1"/>
  <c r="C3623" i="13"/>
  <c r="F3623" i="13" s="1"/>
  <c r="B3623" i="13"/>
  <c r="G3622" i="13"/>
  <c r="H3622" i="13" s="1"/>
  <c r="J3622" i="13" s="1"/>
  <c r="C3622" i="13"/>
  <c r="F3622" i="13" s="1"/>
  <c r="B3622" i="13"/>
  <c r="G3621" i="13"/>
  <c r="H3621" i="13" s="1"/>
  <c r="J3621" i="13" s="1"/>
  <c r="C3621" i="13"/>
  <c r="F3621" i="13" s="1"/>
  <c r="B3621" i="13"/>
  <c r="G3620" i="13"/>
  <c r="H3620" i="13" s="1"/>
  <c r="J3620" i="13" s="1"/>
  <c r="C3620" i="13"/>
  <c r="F3620" i="13" s="1"/>
  <c r="B3620" i="13"/>
  <c r="G3619" i="13"/>
  <c r="H3619" i="13" s="1"/>
  <c r="J3619" i="13" s="1"/>
  <c r="C3619" i="13"/>
  <c r="F3619" i="13" s="1"/>
  <c r="B3619" i="13"/>
  <c r="G3618" i="13"/>
  <c r="H3618" i="13" s="1"/>
  <c r="J3618" i="13" s="1"/>
  <c r="C3618" i="13"/>
  <c r="F3618" i="13" s="1"/>
  <c r="B3618" i="13"/>
  <c r="G3617" i="13"/>
  <c r="H3617" i="13" s="1"/>
  <c r="J3617" i="13" s="1"/>
  <c r="C3617" i="13"/>
  <c r="F3617" i="13" s="1"/>
  <c r="B3617" i="13"/>
  <c r="G3616" i="13"/>
  <c r="H3616" i="13" s="1"/>
  <c r="C3616" i="13"/>
  <c r="F3616" i="13" s="1"/>
  <c r="B3616" i="13"/>
  <c r="G3615" i="13"/>
  <c r="H3615" i="13" s="1"/>
  <c r="J3615" i="13" s="1"/>
  <c r="C3615" i="13"/>
  <c r="F3615" i="13" s="1"/>
  <c r="B3615" i="13"/>
  <c r="G3614" i="13"/>
  <c r="H3614" i="13" s="1"/>
  <c r="J3614" i="13" s="1"/>
  <c r="C3614" i="13"/>
  <c r="F3614" i="13" s="1"/>
  <c r="B3614" i="13"/>
  <c r="G3613" i="13"/>
  <c r="H3613" i="13" s="1"/>
  <c r="J3613" i="13" s="1"/>
  <c r="C3613" i="13"/>
  <c r="F3613" i="13" s="1"/>
  <c r="B3613" i="13"/>
  <c r="G3612" i="13"/>
  <c r="H3612" i="13" s="1"/>
  <c r="J3612" i="13" s="1"/>
  <c r="C3612" i="13"/>
  <c r="F3612" i="13" s="1"/>
  <c r="B3612" i="13"/>
  <c r="G3611" i="13"/>
  <c r="H3611" i="13" s="1"/>
  <c r="J3611" i="13" s="1"/>
  <c r="C3611" i="13"/>
  <c r="F3611" i="13" s="1"/>
  <c r="B3611" i="13"/>
  <c r="G3610" i="13"/>
  <c r="H3610" i="13" s="1"/>
  <c r="J3610" i="13" s="1"/>
  <c r="C3610" i="13"/>
  <c r="F3610" i="13" s="1"/>
  <c r="B3610" i="13"/>
  <c r="G3609" i="13"/>
  <c r="H3609" i="13" s="1"/>
  <c r="J3609" i="13" s="1"/>
  <c r="C3609" i="13"/>
  <c r="F3609" i="13" s="1"/>
  <c r="B3609" i="13"/>
  <c r="G3608" i="13"/>
  <c r="H3608" i="13" s="1"/>
  <c r="J3608" i="13" s="1"/>
  <c r="C3608" i="13"/>
  <c r="F3608" i="13" s="1"/>
  <c r="B3608" i="13"/>
  <c r="G3607" i="13"/>
  <c r="H3607" i="13" s="1"/>
  <c r="J3607" i="13" s="1"/>
  <c r="C3607" i="13"/>
  <c r="F3607" i="13" s="1"/>
  <c r="B3607" i="13"/>
  <c r="G3606" i="13"/>
  <c r="H3606" i="13" s="1"/>
  <c r="J3606" i="13" s="1"/>
  <c r="C3606" i="13"/>
  <c r="F3606" i="13" s="1"/>
  <c r="B3606" i="13"/>
  <c r="G3605" i="13"/>
  <c r="H3605" i="13" s="1"/>
  <c r="J3605" i="13" s="1"/>
  <c r="C3605" i="13"/>
  <c r="F3605" i="13" s="1"/>
  <c r="B3605" i="13"/>
  <c r="G3604" i="13"/>
  <c r="H3604" i="13" s="1"/>
  <c r="J3604" i="13" s="1"/>
  <c r="C3604" i="13"/>
  <c r="F3604" i="13" s="1"/>
  <c r="B3604" i="13"/>
  <c r="G3603" i="13"/>
  <c r="H3603" i="13" s="1"/>
  <c r="J3603" i="13" s="1"/>
  <c r="C3603" i="13"/>
  <c r="F3603" i="13" s="1"/>
  <c r="B3603" i="13"/>
  <c r="G3602" i="13"/>
  <c r="H3602" i="13" s="1"/>
  <c r="J3602" i="13" s="1"/>
  <c r="C3602" i="13"/>
  <c r="F3602" i="13" s="1"/>
  <c r="B3602" i="13"/>
  <c r="G3601" i="13"/>
  <c r="H3601" i="13" s="1"/>
  <c r="J3601" i="13" s="1"/>
  <c r="C3601" i="13"/>
  <c r="F3601" i="13" s="1"/>
  <c r="B3601" i="13"/>
  <c r="G3600" i="13"/>
  <c r="H3600" i="13" s="1"/>
  <c r="J3600" i="13" s="1"/>
  <c r="C3600" i="13"/>
  <c r="F3600" i="13" s="1"/>
  <c r="B3600" i="13"/>
  <c r="G3599" i="13"/>
  <c r="H3599" i="13" s="1"/>
  <c r="J3599" i="13" s="1"/>
  <c r="C3599" i="13"/>
  <c r="F3599" i="13" s="1"/>
  <c r="B3599" i="13"/>
  <c r="G3598" i="13"/>
  <c r="H3598" i="13" s="1"/>
  <c r="J3598" i="13" s="1"/>
  <c r="C3598" i="13"/>
  <c r="F3598" i="13" s="1"/>
  <c r="B3598" i="13"/>
  <c r="G3597" i="13"/>
  <c r="H3597" i="13" s="1"/>
  <c r="J3597" i="13" s="1"/>
  <c r="C3597" i="13"/>
  <c r="F3597" i="13" s="1"/>
  <c r="B3597" i="13"/>
  <c r="G3596" i="13"/>
  <c r="H3596" i="13" s="1"/>
  <c r="J3596" i="13" s="1"/>
  <c r="C3596" i="13"/>
  <c r="F3596" i="13" s="1"/>
  <c r="B3596" i="13"/>
  <c r="G3595" i="13"/>
  <c r="H3595" i="13" s="1"/>
  <c r="J3595" i="13" s="1"/>
  <c r="C3595" i="13"/>
  <c r="F3595" i="13" s="1"/>
  <c r="B3595" i="13"/>
  <c r="G3594" i="13"/>
  <c r="H3594" i="13" s="1"/>
  <c r="J3594" i="13" s="1"/>
  <c r="C3594" i="13"/>
  <c r="F3594" i="13" s="1"/>
  <c r="B3594" i="13"/>
  <c r="G3593" i="13"/>
  <c r="H3593" i="13" s="1"/>
  <c r="J3593" i="13" s="1"/>
  <c r="C3593" i="13"/>
  <c r="F3593" i="13" s="1"/>
  <c r="B3593" i="13"/>
  <c r="G3592" i="13"/>
  <c r="H3592" i="13" s="1"/>
  <c r="J3592" i="13" s="1"/>
  <c r="C3592" i="13"/>
  <c r="F3592" i="13" s="1"/>
  <c r="B3592" i="13"/>
  <c r="G3591" i="13"/>
  <c r="H3591" i="13" s="1"/>
  <c r="J3591" i="13" s="1"/>
  <c r="C3591" i="13"/>
  <c r="F3591" i="13" s="1"/>
  <c r="B3591" i="13"/>
  <c r="G3590" i="13"/>
  <c r="H3590" i="13" s="1"/>
  <c r="J3590" i="13" s="1"/>
  <c r="C3590" i="13"/>
  <c r="F3590" i="13" s="1"/>
  <c r="B3590" i="13"/>
  <c r="G3589" i="13"/>
  <c r="H3589" i="13" s="1"/>
  <c r="J3589" i="13" s="1"/>
  <c r="C3589" i="13"/>
  <c r="F3589" i="13" s="1"/>
  <c r="B3589" i="13"/>
  <c r="G3588" i="13"/>
  <c r="H3588" i="13" s="1"/>
  <c r="J3588" i="13" s="1"/>
  <c r="C3588" i="13"/>
  <c r="F3588" i="13" s="1"/>
  <c r="B3588" i="13"/>
  <c r="G3587" i="13"/>
  <c r="H3587" i="13" s="1"/>
  <c r="J3587" i="13" s="1"/>
  <c r="C3587" i="13"/>
  <c r="F3587" i="13" s="1"/>
  <c r="B3587" i="13"/>
  <c r="G3586" i="13"/>
  <c r="H3586" i="13" s="1"/>
  <c r="J3586" i="13" s="1"/>
  <c r="C3586" i="13"/>
  <c r="F3586" i="13" s="1"/>
  <c r="B3586" i="13"/>
  <c r="G3585" i="13"/>
  <c r="H3585" i="13" s="1"/>
  <c r="J3585" i="13" s="1"/>
  <c r="C3585" i="13"/>
  <c r="F3585" i="13" s="1"/>
  <c r="B3585" i="13"/>
  <c r="G3584" i="13"/>
  <c r="H3584" i="13" s="1"/>
  <c r="J3584" i="13" s="1"/>
  <c r="C3584" i="13"/>
  <c r="F3584" i="13" s="1"/>
  <c r="B3584" i="13"/>
  <c r="G3583" i="13"/>
  <c r="H3583" i="13" s="1"/>
  <c r="J3583" i="13" s="1"/>
  <c r="C3583" i="13"/>
  <c r="F3583" i="13" s="1"/>
  <c r="B3583" i="13"/>
  <c r="G3582" i="13"/>
  <c r="H3582" i="13" s="1"/>
  <c r="J3582" i="13" s="1"/>
  <c r="C3582" i="13"/>
  <c r="F3582" i="13" s="1"/>
  <c r="B3582" i="13"/>
  <c r="G3581" i="13"/>
  <c r="H3581" i="13" s="1"/>
  <c r="J3581" i="13" s="1"/>
  <c r="C3581" i="13"/>
  <c r="F3581" i="13" s="1"/>
  <c r="B3581" i="13"/>
  <c r="G3580" i="13"/>
  <c r="H3580" i="13" s="1"/>
  <c r="J3580" i="13" s="1"/>
  <c r="C3580" i="13"/>
  <c r="F3580" i="13" s="1"/>
  <c r="B3580" i="13"/>
  <c r="G3579" i="13"/>
  <c r="H3579" i="13" s="1"/>
  <c r="J3579" i="13" s="1"/>
  <c r="C3579" i="13"/>
  <c r="F3579" i="13" s="1"/>
  <c r="B3579" i="13"/>
  <c r="G3578" i="13"/>
  <c r="H3578" i="13" s="1"/>
  <c r="J3578" i="13" s="1"/>
  <c r="C3578" i="13"/>
  <c r="F3578" i="13" s="1"/>
  <c r="B3578" i="13"/>
  <c r="G3577" i="13"/>
  <c r="H3577" i="13" s="1"/>
  <c r="J3577" i="13" s="1"/>
  <c r="C3577" i="13"/>
  <c r="F3577" i="13" s="1"/>
  <c r="B3577" i="13"/>
  <c r="G3576" i="13"/>
  <c r="H3576" i="13" s="1"/>
  <c r="J3576" i="13" s="1"/>
  <c r="C3576" i="13"/>
  <c r="F3576" i="13" s="1"/>
  <c r="B3576" i="13"/>
  <c r="G3575" i="13"/>
  <c r="H3575" i="13" s="1"/>
  <c r="J3575" i="13" s="1"/>
  <c r="C3575" i="13"/>
  <c r="F3575" i="13" s="1"/>
  <c r="B3575" i="13"/>
  <c r="G3574" i="13"/>
  <c r="H3574" i="13" s="1"/>
  <c r="J3574" i="13" s="1"/>
  <c r="C3574" i="13"/>
  <c r="F3574" i="13" s="1"/>
  <c r="B3574" i="13"/>
  <c r="G3573" i="13"/>
  <c r="H3573" i="13" s="1"/>
  <c r="J3573" i="13" s="1"/>
  <c r="C3573" i="13"/>
  <c r="F3573" i="13" s="1"/>
  <c r="B3573" i="13"/>
  <c r="G3572" i="13"/>
  <c r="H3572" i="13" s="1"/>
  <c r="J3572" i="13" s="1"/>
  <c r="C3572" i="13"/>
  <c r="F3572" i="13" s="1"/>
  <c r="B3572" i="13"/>
  <c r="G3571" i="13"/>
  <c r="H3571" i="13" s="1"/>
  <c r="J3571" i="13" s="1"/>
  <c r="C3571" i="13"/>
  <c r="F3571" i="13" s="1"/>
  <c r="B3571" i="13"/>
  <c r="G3570" i="13"/>
  <c r="H3570" i="13" s="1"/>
  <c r="J3570" i="13" s="1"/>
  <c r="C3570" i="13"/>
  <c r="F3570" i="13" s="1"/>
  <c r="B3570" i="13"/>
  <c r="G3569" i="13"/>
  <c r="H3569" i="13" s="1"/>
  <c r="J3569" i="13" s="1"/>
  <c r="C3569" i="13"/>
  <c r="F3569" i="13" s="1"/>
  <c r="B3569" i="13"/>
  <c r="G3568" i="13"/>
  <c r="H3568" i="13" s="1"/>
  <c r="J3568" i="13" s="1"/>
  <c r="C3568" i="13"/>
  <c r="F3568" i="13" s="1"/>
  <c r="B3568" i="13"/>
  <c r="G3567" i="13"/>
  <c r="H3567" i="13" s="1"/>
  <c r="J3567" i="13" s="1"/>
  <c r="C3567" i="13"/>
  <c r="F3567" i="13" s="1"/>
  <c r="B3567" i="13"/>
  <c r="G3566" i="13"/>
  <c r="H3566" i="13" s="1"/>
  <c r="J3566" i="13" s="1"/>
  <c r="C3566" i="13"/>
  <c r="F3566" i="13" s="1"/>
  <c r="B3566" i="13"/>
  <c r="G3565" i="13"/>
  <c r="H3565" i="13" s="1"/>
  <c r="J3565" i="13" s="1"/>
  <c r="C3565" i="13"/>
  <c r="F3565" i="13" s="1"/>
  <c r="B3565" i="13"/>
  <c r="G3564" i="13"/>
  <c r="H3564" i="13" s="1"/>
  <c r="J3564" i="13" s="1"/>
  <c r="C3564" i="13"/>
  <c r="F3564" i="13" s="1"/>
  <c r="B3564" i="13"/>
  <c r="G3563" i="13"/>
  <c r="H3563" i="13" s="1"/>
  <c r="C3563" i="13"/>
  <c r="F3563" i="13" s="1"/>
  <c r="B3563" i="13"/>
  <c r="G3562" i="13"/>
  <c r="H3562" i="13" s="1"/>
  <c r="J3562" i="13" s="1"/>
  <c r="C3562" i="13"/>
  <c r="F3562" i="13" s="1"/>
  <c r="B3562" i="13"/>
  <c r="G3561" i="13"/>
  <c r="H3561" i="13" s="1"/>
  <c r="J3561" i="13" s="1"/>
  <c r="C3561" i="13"/>
  <c r="F3561" i="13" s="1"/>
  <c r="B3561" i="13"/>
  <c r="G3560" i="13"/>
  <c r="H3560" i="13" s="1"/>
  <c r="J3560" i="13" s="1"/>
  <c r="C3560" i="13"/>
  <c r="F3560" i="13" s="1"/>
  <c r="B3560" i="13"/>
  <c r="G3559" i="13"/>
  <c r="H3559" i="13" s="1"/>
  <c r="J3559" i="13" s="1"/>
  <c r="C3559" i="13"/>
  <c r="F3559" i="13" s="1"/>
  <c r="B3559" i="13"/>
  <c r="G3558" i="13"/>
  <c r="H3558" i="13" s="1"/>
  <c r="J3558" i="13" s="1"/>
  <c r="C3558" i="13"/>
  <c r="F3558" i="13" s="1"/>
  <c r="B3558" i="13"/>
  <c r="G3557" i="13"/>
  <c r="H3557" i="13" s="1"/>
  <c r="J3557" i="13" s="1"/>
  <c r="C3557" i="13"/>
  <c r="F3557" i="13" s="1"/>
  <c r="B3557" i="13"/>
  <c r="G3556" i="13"/>
  <c r="H3556" i="13" s="1"/>
  <c r="C3556" i="13"/>
  <c r="F3556" i="13" s="1"/>
  <c r="B3556" i="13"/>
  <c r="G3555" i="13"/>
  <c r="H3555" i="13" s="1"/>
  <c r="J3555" i="13" s="1"/>
  <c r="C3555" i="13"/>
  <c r="F3555" i="13" s="1"/>
  <c r="B3555" i="13"/>
  <c r="G3554" i="13"/>
  <c r="H3554" i="13" s="1"/>
  <c r="J3554" i="13" s="1"/>
  <c r="C3554" i="13"/>
  <c r="F3554" i="13" s="1"/>
  <c r="B3554" i="13"/>
  <c r="G3553" i="13"/>
  <c r="H3553" i="13" s="1"/>
  <c r="J3553" i="13" s="1"/>
  <c r="C3553" i="13"/>
  <c r="F3553" i="13" s="1"/>
  <c r="B3553" i="13"/>
  <c r="G3552" i="13"/>
  <c r="H3552" i="13" s="1"/>
  <c r="J3552" i="13" s="1"/>
  <c r="C3552" i="13"/>
  <c r="F3552" i="13" s="1"/>
  <c r="B3552" i="13"/>
  <c r="G3551" i="13"/>
  <c r="H3551" i="13" s="1"/>
  <c r="J3551" i="13" s="1"/>
  <c r="C3551" i="13"/>
  <c r="F3551" i="13" s="1"/>
  <c r="B3551" i="13"/>
  <c r="G3550" i="13"/>
  <c r="H3550" i="13" s="1"/>
  <c r="J3550" i="13" s="1"/>
  <c r="C3550" i="13"/>
  <c r="F3550" i="13" s="1"/>
  <c r="B3550" i="13"/>
  <c r="G3549" i="13"/>
  <c r="H3549" i="13" s="1"/>
  <c r="J3549" i="13" s="1"/>
  <c r="C3549" i="13"/>
  <c r="F3549" i="13" s="1"/>
  <c r="B3549" i="13"/>
  <c r="G3548" i="13"/>
  <c r="H3548" i="13" s="1"/>
  <c r="J3548" i="13" s="1"/>
  <c r="C3548" i="13"/>
  <c r="F3548" i="13" s="1"/>
  <c r="B3548" i="13"/>
  <c r="G3547" i="13"/>
  <c r="H3547" i="13" s="1"/>
  <c r="J3547" i="13" s="1"/>
  <c r="C3547" i="13"/>
  <c r="F3547" i="13" s="1"/>
  <c r="B3547" i="13"/>
  <c r="G3546" i="13"/>
  <c r="H3546" i="13" s="1"/>
  <c r="J3546" i="13" s="1"/>
  <c r="C3546" i="13"/>
  <c r="F3546" i="13" s="1"/>
  <c r="B3546" i="13"/>
  <c r="G3545" i="13"/>
  <c r="H3545" i="13" s="1"/>
  <c r="J3545" i="13" s="1"/>
  <c r="C3545" i="13"/>
  <c r="F3545" i="13" s="1"/>
  <c r="B3545" i="13"/>
  <c r="G3544" i="13"/>
  <c r="H3544" i="13" s="1"/>
  <c r="J3544" i="13" s="1"/>
  <c r="C3544" i="13"/>
  <c r="F3544" i="13" s="1"/>
  <c r="B3544" i="13"/>
  <c r="G3543" i="13"/>
  <c r="H3543" i="13" s="1"/>
  <c r="J3543" i="13" s="1"/>
  <c r="C3543" i="13"/>
  <c r="F3543" i="13" s="1"/>
  <c r="B3543" i="13"/>
  <c r="G3542" i="13"/>
  <c r="H3542" i="13" s="1"/>
  <c r="J3542" i="13" s="1"/>
  <c r="C3542" i="13"/>
  <c r="F3542" i="13" s="1"/>
  <c r="B3542" i="13"/>
  <c r="G3541" i="13"/>
  <c r="H3541" i="13" s="1"/>
  <c r="J3541" i="13" s="1"/>
  <c r="C3541" i="13"/>
  <c r="F3541" i="13" s="1"/>
  <c r="B3541" i="13"/>
  <c r="G3540" i="13"/>
  <c r="H3540" i="13" s="1"/>
  <c r="J3540" i="13" s="1"/>
  <c r="C3540" i="13"/>
  <c r="F3540" i="13" s="1"/>
  <c r="B3540" i="13"/>
  <c r="G3539" i="13"/>
  <c r="H3539" i="13" s="1"/>
  <c r="C3539" i="13"/>
  <c r="F3539" i="13" s="1"/>
  <c r="B3539" i="13"/>
  <c r="G3538" i="13"/>
  <c r="H3538" i="13" s="1"/>
  <c r="J3538" i="13" s="1"/>
  <c r="C3538" i="13"/>
  <c r="F3538" i="13" s="1"/>
  <c r="B3538" i="13"/>
  <c r="G3537" i="13"/>
  <c r="H3537" i="13" s="1"/>
  <c r="J3537" i="13" s="1"/>
  <c r="C3537" i="13"/>
  <c r="F3537" i="13" s="1"/>
  <c r="B3537" i="13"/>
  <c r="G3536" i="13"/>
  <c r="H3536" i="13" s="1"/>
  <c r="J3536" i="13" s="1"/>
  <c r="C3536" i="13"/>
  <c r="F3536" i="13" s="1"/>
  <c r="B3536" i="13"/>
  <c r="G3535" i="13"/>
  <c r="H3535" i="13" s="1"/>
  <c r="J3535" i="13" s="1"/>
  <c r="C3535" i="13"/>
  <c r="F3535" i="13" s="1"/>
  <c r="B3535" i="13"/>
  <c r="G3534" i="13"/>
  <c r="H3534" i="13" s="1"/>
  <c r="J3534" i="13" s="1"/>
  <c r="C3534" i="13"/>
  <c r="F3534" i="13" s="1"/>
  <c r="B3534" i="13"/>
  <c r="G3533" i="13"/>
  <c r="H3533" i="13" s="1"/>
  <c r="J3533" i="13" s="1"/>
  <c r="C3533" i="13"/>
  <c r="F3533" i="13" s="1"/>
  <c r="B3533" i="13"/>
  <c r="G3532" i="13"/>
  <c r="H3532" i="13" s="1"/>
  <c r="C3532" i="13"/>
  <c r="F3532" i="13" s="1"/>
  <c r="B3532" i="13"/>
  <c r="G3531" i="13"/>
  <c r="H3531" i="13" s="1"/>
  <c r="J3531" i="13" s="1"/>
  <c r="C3531" i="13"/>
  <c r="F3531" i="13" s="1"/>
  <c r="B3531" i="13"/>
  <c r="G3530" i="13"/>
  <c r="H3530" i="13" s="1"/>
  <c r="J3530" i="13" s="1"/>
  <c r="C3530" i="13"/>
  <c r="F3530" i="13" s="1"/>
  <c r="B3530" i="13"/>
  <c r="G3529" i="13"/>
  <c r="H3529" i="13" s="1"/>
  <c r="J3529" i="13" s="1"/>
  <c r="C3529" i="13"/>
  <c r="F3529" i="13" s="1"/>
  <c r="B3529" i="13"/>
  <c r="G3528" i="13"/>
  <c r="H3528" i="13" s="1"/>
  <c r="J3528" i="13" s="1"/>
  <c r="C3528" i="13"/>
  <c r="F3528" i="13" s="1"/>
  <c r="B3528" i="13"/>
  <c r="G3527" i="13"/>
  <c r="H3527" i="13" s="1"/>
  <c r="J3527" i="13" s="1"/>
  <c r="C3527" i="13"/>
  <c r="F3527" i="13" s="1"/>
  <c r="B3527" i="13"/>
  <c r="G3526" i="13"/>
  <c r="H3526" i="13" s="1"/>
  <c r="J3526" i="13" s="1"/>
  <c r="C3526" i="13"/>
  <c r="F3526" i="13" s="1"/>
  <c r="B3526" i="13"/>
  <c r="G3525" i="13"/>
  <c r="H3525" i="13" s="1"/>
  <c r="J3525" i="13" s="1"/>
  <c r="C3525" i="13"/>
  <c r="F3525" i="13" s="1"/>
  <c r="B3525" i="13"/>
  <c r="G3524" i="13"/>
  <c r="H3524" i="13" s="1"/>
  <c r="J3524" i="13" s="1"/>
  <c r="C3524" i="13"/>
  <c r="F3524" i="13" s="1"/>
  <c r="B3524" i="13"/>
  <c r="G3523" i="13"/>
  <c r="H3523" i="13" s="1"/>
  <c r="J3523" i="13" s="1"/>
  <c r="C3523" i="13"/>
  <c r="F3523" i="13" s="1"/>
  <c r="B3523" i="13"/>
  <c r="G3522" i="13"/>
  <c r="H3522" i="13" s="1"/>
  <c r="J3522" i="13" s="1"/>
  <c r="C3522" i="13"/>
  <c r="F3522" i="13" s="1"/>
  <c r="B3522" i="13"/>
  <c r="G3521" i="13"/>
  <c r="H3521" i="13" s="1"/>
  <c r="J3521" i="13" s="1"/>
  <c r="C3521" i="13"/>
  <c r="F3521" i="13" s="1"/>
  <c r="B3521" i="13"/>
  <c r="G3520" i="13"/>
  <c r="H3520" i="13" s="1"/>
  <c r="J3520" i="13" s="1"/>
  <c r="C3520" i="13"/>
  <c r="F3520" i="13" s="1"/>
  <c r="B3520" i="13"/>
  <c r="G3519" i="13"/>
  <c r="H3519" i="13" s="1"/>
  <c r="J3519" i="13" s="1"/>
  <c r="C3519" i="13"/>
  <c r="F3519" i="13" s="1"/>
  <c r="B3519" i="13"/>
  <c r="G3518" i="13"/>
  <c r="H3518" i="13" s="1"/>
  <c r="J3518" i="13" s="1"/>
  <c r="C3518" i="13"/>
  <c r="F3518" i="13" s="1"/>
  <c r="B3518" i="13"/>
  <c r="G3517" i="13"/>
  <c r="H3517" i="13" s="1"/>
  <c r="J3517" i="13" s="1"/>
  <c r="C3517" i="13"/>
  <c r="F3517" i="13" s="1"/>
  <c r="B3517" i="13"/>
  <c r="G3516" i="13"/>
  <c r="H3516" i="13" s="1"/>
  <c r="J3516" i="13" s="1"/>
  <c r="C3516" i="13"/>
  <c r="F3516" i="13" s="1"/>
  <c r="B3516" i="13"/>
  <c r="G3515" i="13"/>
  <c r="H3515" i="13" s="1"/>
  <c r="C3515" i="13"/>
  <c r="F3515" i="13" s="1"/>
  <c r="B3515" i="13"/>
  <c r="G3514" i="13"/>
  <c r="H3514" i="13" s="1"/>
  <c r="J3514" i="13" s="1"/>
  <c r="C3514" i="13"/>
  <c r="F3514" i="13" s="1"/>
  <c r="B3514" i="13"/>
  <c r="G3513" i="13"/>
  <c r="H3513" i="13" s="1"/>
  <c r="J3513" i="13" s="1"/>
  <c r="C3513" i="13"/>
  <c r="F3513" i="13" s="1"/>
  <c r="B3513" i="13"/>
  <c r="G3512" i="13"/>
  <c r="H3512" i="13" s="1"/>
  <c r="J3512" i="13" s="1"/>
  <c r="C3512" i="13"/>
  <c r="F3512" i="13" s="1"/>
  <c r="B3512" i="13"/>
  <c r="G3511" i="13"/>
  <c r="H3511" i="13" s="1"/>
  <c r="J3511" i="13" s="1"/>
  <c r="C3511" i="13"/>
  <c r="F3511" i="13" s="1"/>
  <c r="B3511" i="13"/>
  <c r="G3510" i="13"/>
  <c r="H3510" i="13" s="1"/>
  <c r="J3510" i="13" s="1"/>
  <c r="C3510" i="13"/>
  <c r="F3510" i="13" s="1"/>
  <c r="B3510" i="13"/>
  <c r="G3509" i="13"/>
  <c r="H3509" i="13" s="1"/>
  <c r="J3509" i="13" s="1"/>
  <c r="C3509" i="13"/>
  <c r="F3509" i="13" s="1"/>
  <c r="B3509" i="13"/>
  <c r="G3508" i="13"/>
  <c r="H3508" i="13" s="1"/>
  <c r="C3508" i="13"/>
  <c r="F3508" i="13" s="1"/>
  <c r="B3508" i="13"/>
  <c r="G3507" i="13"/>
  <c r="H3507" i="13" s="1"/>
  <c r="J3507" i="13" s="1"/>
  <c r="C3507" i="13"/>
  <c r="F3507" i="13" s="1"/>
  <c r="B3507" i="13"/>
  <c r="G3506" i="13"/>
  <c r="H3506" i="13" s="1"/>
  <c r="J3506" i="13" s="1"/>
  <c r="C3506" i="13"/>
  <c r="F3506" i="13" s="1"/>
  <c r="B3506" i="13"/>
  <c r="G3505" i="13"/>
  <c r="H3505" i="13" s="1"/>
  <c r="J3505" i="13" s="1"/>
  <c r="C3505" i="13"/>
  <c r="F3505" i="13" s="1"/>
  <c r="B3505" i="13"/>
  <c r="G3504" i="13"/>
  <c r="H3504" i="13" s="1"/>
  <c r="J3504" i="13" s="1"/>
  <c r="C3504" i="13"/>
  <c r="F3504" i="13" s="1"/>
  <c r="B3504" i="13"/>
  <c r="G3503" i="13"/>
  <c r="H3503" i="13" s="1"/>
  <c r="J3503" i="13" s="1"/>
  <c r="C3503" i="13"/>
  <c r="F3503" i="13" s="1"/>
  <c r="B3503" i="13"/>
  <c r="G3502" i="13"/>
  <c r="H3502" i="13" s="1"/>
  <c r="J3502" i="13" s="1"/>
  <c r="C3502" i="13"/>
  <c r="F3502" i="13" s="1"/>
  <c r="B3502" i="13"/>
  <c r="G3501" i="13"/>
  <c r="H3501" i="13" s="1"/>
  <c r="J3501" i="13" s="1"/>
  <c r="C3501" i="13"/>
  <c r="F3501" i="13" s="1"/>
  <c r="B3501" i="13"/>
  <c r="G3500" i="13"/>
  <c r="H3500" i="13" s="1"/>
  <c r="J3500" i="13" s="1"/>
  <c r="C3500" i="13"/>
  <c r="F3500" i="13" s="1"/>
  <c r="B3500" i="13"/>
  <c r="G3499" i="13"/>
  <c r="H3499" i="13" s="1"/>
  <c r="J3499" i="13" s="1"/>
  <c r="C3499" i="13"/>
  <c r="F3499" i="13" s="1"/>
  <c r="B3499" i="13"/>
  <c r="G3498" i="13"/>
  <c r="H3498" i="13" s="1"/>
  <c r="J3498" i="13" s="1"/>
  <c r="C3498" i="13"/>
  <c r="F3498" i="13" s="1"/>
  <c r="B3498" i="13"/>
  <c r="G3497" i="13"/>
  <c r="H3497" i="13" s="1"/>
  <c r="J3497" i="13" s="1"/>
  <c r="C3497" i="13"/>
  <c r="F3497" i="13" s="1"/>
  <c r="B3497" i="13"/>
  <c r="G3496" i="13"/>
  <c r="H3496" i="13" s="1"/>
  <c r="J3496" i="13" s="1"/>
  <c r="C3496" i="13"/>
  <c r="F3496" i="13" s="1"/>
  <c r="B3496" i="13"/>
  <c r="G3495" i="13"/>
  <c r="H3495" i="13" s="1"/>
  <c r="J3495" i="13" s="1"/>
  <c r="C3495" i="13"/>
  <c r="F3495" i="13" s="1"/>
  <c r="B3495" i="13"/>
  <c r="G3494" i="13"/>
  <c r="H3494" i="13" s="1"/>
  <c r="J3494" i="13" s="1"/>
  <c r="C3494" i="13"/>
  <c r="F3494" i="13" s="1"/>
  <c r="B3494" i="13"/>
  <c r="G3493" i="13"/>
  <c r="H3493" i="13" s="1"/>
  <c r="J3493" i="13" s="1"/>
  <c r="C3493" i="13"/>
  <c r="F3493" i="13" s="1"/>
  <c r="B3493" i="13"/>
  <c r="G3492" i="13"/>
  <c r="H3492" i="13" s="1"/>
  <c r="J3492" i="13" s="1"/>
  <c r="C3492" i="13"/>
  <c r="F3492" i="13" s="1"/>
  <c r="B3492" i="13"/>
  <c r="G3491" i="13"/>
  <c r="H3491" i="13" s="1"/>
  <c r="J3491" i="13" s="1"/>
  <c r="C3491" i="13"/>
  <c r="F3491" i="13" s="1"/>
  <c r="B3491" i="13"/>
  <c r="G3490" i="13"/>
  <c r="H3490" i="13" s="1"/>
  <c r="J3490" i="13" s="1"/>
  <c r="C3490" i="13"/>
  <c r="F3490" i="13" s="1"/>
  <c r="B3490" i="13"/>
  <c r="G3489" i="13"/>
  <c r="H3489" i="13" s="1"/>
  <c r="C3489" i="13"/>
  <c r="F3489" i="13" s="1"/>
  <c r="B3489" i="13"/>
  <c r="G3488" i="13"/>
  <c r="H3488" i="13" s="1"/>
  <c r="J3488" i="13" s="1"/>
  <c r="C3488" i="13"/>
  <c r="F3488" i="13" s="1"/>
  <c r="B3488" i="13"/>
  <c r="G3487" i="13"/>
  <c r="H3487" i="13" s="1"/>
  <c r="J3487" i="13" s="1"/>
  <c r="C3487" i="13"/>
  <c r="F3487" i="13" s="1"/>
  <c r="B3487" i="13"/>
  <c r="G3486" i="13"/>
  <c r="H3486" i="13" s="1"/>
  <c r="J3486" i="13" s="1"/>
  <c r="C3486" i="13"/>
  <c r="F3486" i="13" s="1"/>
  <c r="B3486" i="13"/>
  <c r="G3485" i="13"/>
  <c r="H3485" i="13" s="1"/>
  <c r="J3485" i="13" s="1"/>
  <c r="C3485" i="13"/>
  <c r="F3485" i="13" s="1"/>
  <c r="B3485" i="13"/>
  <c r="G3484" i="13"/>
  <c r="H3484" i="13" s="1"/>
  <c r="J3484" i="13" s="1"/>
  <c r="C3484" i="13"/>
  <c r="F3484" i="13" s="1"/>
  <c r="B3484" i="13"/>
  <c r="G3483" i="13"/>
  <c r="H3483" i="13" s="1"/>
  <c r="J3483" i="13" s="1"/>
  <c r="C3483" i="13"/>
  <c r="F3483" i="13" s="1"/>
  <c r="B3483" i="13"/>
  <c r="G3482" i="13"/>
  <c r="H3482" i="13" s="1"/>
  <c r="J3482" i="13" s="1"/>
  <c r="C3482" i="13"/>
  <c r="F3482" i="13" s="1"/>
  <c r="B3482" i="13"/>
  <c r="G3481" i="13"/>
  <c r="H3481" i="13" s="1"/>
  <c r="J3481" i="13" s="1"/>
  <c r="C3481" i="13"/>
  <c r="F3481" i="13" s="1"/>
  <c r="B3481" i="13"/>
  <c r="G3480" i="13"/>
  <c r="H3480" i="13" s="1"/>
  <c r="J3480" i="13" s="1"/>
  <c r="C3480" i="13"/>
  <c r="F3480" i="13" s="1"/>
  <c r="B3480" i="13"/>
  <c r="G3479" i="13"/>
  <c r="H3479" i="13" s="1"/>
  <c r="J3479" i="13" s="1"/>
  <c r="C3479" i="13"/>
  <c r="F3479" i="13" s="1"/>
  <c r="B3479" i="13"/>
  <c r="G3478" i="13"/>
  <c r="H3478" i="13" s="1"/>
  <c r="J3478" i="13" s="1"/>
  <c r="C3478" i="13"/>
  <c r="F3478" i="13" s="1"/>
  <c r="B3478" i="13"/>
  <c r="G3477" i="13"/>
  <c r="H3477" i="13" s="1"/>
  <c r="J3477" i="13" s="1"/>
  <c r="C3477" i="13"/>
  <c r="F3477" i="13" s="1"/>
  <c r="B3477" i="13"/>
  <c r="G3476" i="13"/>
  <c r="H3476" i="13" s="1"/>
  <c r="J3476" i="13" s="1"/>
  <c r="C3476" i="13"/>
  <c r="F3476" i="13" s="1"/>
  <c r="B3476" i="13"/>
  <c r="G3475" i="13"/>
  <c r="H3475" i="13" s="1"/>
  <c r="J3475" i="13" s="1"/>
  <c r="C3475" i="13"/>
  <c r="F3475" i="13" s="1"/>
  <c r="B3475" i="13"/>
  <c r="G3474" i="13"/>
  <c r="H3474" i="13" s="1"/>
  <c r="J3474" i="13" s="1"/>
  <c r="C3474" i="13"/>
  <c r="F3474" i="13" s="1"/>
  <c r="B3474" i="13"/>
  <c r="G3473" i="13"/>
  <c r="H3473" i="13" s="1"/>
  <c r="J3473" i="13" s="1"/>
  <c r="C3473" i="13"/>
  <c r="F3473" i="13" s="1"/>
  <c r="B3473" i="13"/>
  <c r="G3472" i="13"/>
  <c r="H3472" i="13" s="1"/>
  <c r="C3472" i="13"/>
  <c r="F3472" i="13" s="1"/>
  <c r="B3472" i="13"/>
  <c r="G3471" i="13"/>
  <c r="H3471" i="13" s="1"/>
  <c r="J3471" i="13" s="1"/>
  <c r="C3471" i="13"/>
  <c r="F3471" i="13" s="1"/>
  <c r="B3471" i="13"/>
  <c r="G3470" i="13"/>
  <c r="H3470" i="13" s="1"/>
  <c r="J3470" i="13" s="1"/>
  <c r="C3470" i="13"/>
  <c r="F3470" i="13" s="1"/>
  <c r="B3470" i="13"/>
  <c r="G3469" i="13"/>
  <c r="H3469" i="13" s="1"/>
  <c r="C3469" i="13"/>
  <c r="F3469" i="13" s="1"/>
  <c r="B3469" i="13"/>
  <c r="G3468" i="13"/>
  <c r="H3468" i="13" s="1"/>
  <c r="J3468" i="13" s="1"/>
  <c r="C3468" i="13"/>
  <c r="F3468" i="13" s="1"/>
  <c r="B3468" i="13"/>
  <c r="G3467" i="13"/>
  <c r="H3467" i="13" s="1"/>
  <c r="J3467" i="13" s="1"/>
  <c r="C3467" i="13"/>
  <c r="F3467" i="13" s="1"/>
  <c r="B3467" i="13"/>
  <c r="G3466" i="13"/>
  <c r="H3466" i="13" s="1"/>
  <c r="J3466" i="13" s="1"/>
  <c r="C3466" i="13"/>
  <c r="F3466" i="13" s="1"/>
  <c r="B3466" i="13"/>
  <c r="G3465" i="13"/>
  <c r="H3465" i="13" s="1"/>
  <c r="C3465" i="13"/>
  <c r="F3465" i="13" s="1"/>
  <c r="B3465" i="13"/>
  <c r="G3464" i="13"/>
  <c r="H3464" i="13" s="1"/>
  <c r="J3464" i="13" s="1"/>
  <c r="C3464" i="13"/>
  <c r="F3464" i="13" s="1"/>
  <c r="B3464" i="13"/>
  <c r="G3463" i="13"/>
  <c r="H3463" i="13" s="1"/>
  <c r="J3463" i="13" s="1"/>
  <c r="C3463" i="13"/>
  <c r="F3463" i="13" s="1"/>
  <c r="B3463" i="13"/>
  <c r="G3462" i="13"/>
  <c r="H3462" i="13" s="1"/>
  <c r="J3462" i="13" s="1"/>
  <c r="C3462" i="13"/>
  <c r="F3462" i="13" s="1"/>
  <c r="B3462" i="13"/>
  <c r="G3461" i="13"/>
  <c r="H3461" i="13" s="1"/>
  <c r="J3461" i="13" s="1"/>
  <c r="C3461" i="13"/>
  <c r="F3461" i="13" s="1"/>
  <c r="B3461" i="13"/>
  <c r="G3460" i="13"/>
  <c r="H3460" i="13" s="1"/>
  <c r="J3460" i="13" s="1"/>
  <c r="C3460" i="13"/>
  <c r="F3460" i="13" s="1"/>
  <c r="B3460" i="13"/>
  <c r="G3459" i="13"/>
  <c r="H3459" i="13" s="1"/>
  <c r="J3459" i="13" s="1"/>
  <c r="C3459" i="13"/>
  <c r="F3459" i="13" s="1"/>
  <c r="B3459" i="13"/>
  <c r="G3458" i="13"/>
  <c r="H3458" i="13" s="1"/>
  <c r="J3458" i="13" s="1"/>
  <c r="C3458" i="13"/>
  <c r="F3458" i="13" s="1"/>
  <c r="B3458" i="13"/>
  <c r="G3457" i="13"/>
  <c r="H3457" i="13" s="1"/>
  <c r="J3457" i="13" s="1"/>
  <c r="C3457" i="13"/>
  <c r="F3457" i="13" s="1"/>
  <c r="B3457" i="13"/>
  <c r="G3456" i="13"/>
  <c r="H3456" i="13" s="1"/>
  <c r="J3456" i="13" s="1"/>
  <c r="C3456" i="13"/>
  <c r="F3456" i="13" s="1"/>
  <c r="B3456" i="13"/>
  <c r="G3455" i="13"/>
  <c r="H3455" i="13" s="1"/>
  <c r="J3455" i="13" s="1"/>
  <c r="C3455" i="13"/>
  <c r="F3455" i="13" s="1"/>
  <c r="B3455" i="13"/>
  <c r="G3454" i="13"/>
  <c r="H3454" i="13" s="1"/>
  <c r="J3454" i="13" s="1"/>
  <c r="C3454" i="13"/>
  <c r="F3454" i="13" s="1"/>
  <c r="B3454" i="13"/>
  <c r="G3453" i="13"/>
  <c r="H3453" i="13" s="1"/>
  <c r="J3453" i="13" s="1"/>
  <c r="C3453" i="13"/>
  <c r="F3453" i="13" s="1"/>
  <c r="B3453" i="13"/>
  <c r="G3452" i="13"/>
  <c r="H3452" i="13" s="1"/>
  <c r="J3452" i="13" s="1"/>
  <c r="C3452" i="13"/>
  <c r="F3452" i="13" s="1"/>
  <c r="B3452" i="13"/>
  <c r="G3451" i="13"/>
  <c r="H3451" i="13" s="1"/>
  <c r="J3451" i="13" s="1"/>
  <c r="C3451" i="13"/>
  <c r="F3451" i="13" s="1"/>
  <c r="B3451" i="13"/>
  <c r="G3450" i="13"/>
  <c r="H3450" i="13" s="1"/>
  <c r="J3450" i="13" s="1"/>
  <c r="C3450" i="13"/>
  <c r="F3450" i="13" s="1"/>
  <c r="B3450" i="13"/>
  <c r="G3449" i="13"/>
  <c r="H3449" i="13" s="1"/>
  <c r="J3449" i="13" s="1"/>
  <c r="C3449" i="13"/>
  <c r="F3449" i="13" s="1"/>
  <c r="B3449" i="13"/>
  <c r="G3448" i="13"/>
  <c r="H3448" i="13" s="1"/>
  <c r="C3448" i="13"/>
  <c r="F3448" i="13" s="1"/>
  <c r="B3448" i="13"/>
  <c r="G3447" i="13"/>
  <c r="H3447" i="13" s="1"/>
  <c r="J3447" i="13" s="1"/>
  <c r="C3447" i="13"/>
  <c r="F3447" i="13" s="1"/>
  <c r="B3447" i="13"/>
  <c r="G3446" i="13"/>
  <c r="H3446" i="13" s="1"/>
  <c r="J3446" i="13" s="1"/>
  <c r="C3446" i="13"/>
  <c r="F3446" i="13" s="1"/>
  <c r="B3446" i="13"/>
  <c r="G3445" i="13"/>
  <c r="H3445" i="13" s="1"/>
  <c r="J3445" i="13" s="1"/>
  <c r="C3445" i="13"/>
  <c r="F3445" i="13" s="1"/>
  <c r="B3445" i="13"/>
  <c r="G3444" i="13"/>
  <c r="H3444" i="13" s="1"/>
  <c r="J3444" i="13" s="1"/>
  <c r="C3444" i="13"/>
  <c r="F3444" i="13" s="1"/>
  <c r="B3444" i="13"/>
  <c r="G3443" i="13"/>
  <c r="H3443" i="13" s="1"/>
  <c r="J3443" i="13" s="1"/>
  <c r="C3443" i="13"/>
  <c r="F3443" i="13" s="1"/>
  <c r="B3443" i="13"/>
  <c r="G3442" i="13"/>
  <c r="H3442" i="13" s="1"/>
  <c r="J3442" i="13" s="1"/>
  <c r="C3442" i="13"/>
  <c r="F3442" i="13" s="1"/>
  <c r="B3442" i="13"/>
  <c r="G3441" i="13"/>
  <c r="H3441" i="13" s="1"/>
  <c r="J3441" i="13" s="1"/>
  <c r="C3441" i="13"/>
  <c r="F3441" i="13" s="1"/>
  <c r="B3441" i="13"/>
  <c r="G3440" i="13"/>
  <c r="H3440" i="13" s="1"/>
  <c r="J3440" i="13" s="1"/>
  <c r="C3440" i="13"/>
  <c r="F3440" i="13" s="1"/>
  <c r="B3440" i="13"/>
  <c r="G3439" i="13"/>
  <c r="H3439" i="13" s="1"/>
  <c r="J3439" i="13" s="1"/>
  <c r="C3439" i="13"/>
  <c r="F3439" i="13" s="1"/>
  <c r="B3439" i="13"/>
  <c r="G3438" i="13"/>
  <c r="H3438" i="13" s="1"/>
  <c r="J3438" i="13" s="1"/>
  <c r="C3438" i="13"/>
  <c r="F3438" i="13" s="1"/>
  <c r="B3438" i="13"/>
  <c r="G3437" i="13"/>
  <c r="H3437" i="13" s="1"/>
  <c r="J3437" i="13" s="1"/>
  <c r="C3437" i="13"/>
  <c r="F3437" i="13" s="1"/>
  <c r="B3437" i="13"/>
  <c r="G3436" i="13"/>
  <c r="H3436" i="13" s="1"/>
  <c r="C3436" i="13"/>
  <c r="F3436" i="13" s="1"/>
  <c r="B3436" i="13"/>
  <c r="G3435" i="13"/>
  <c r="H3435" i="13" s="1"/>
  <c r="J3435" i="13" s="1"/>
  <c r="C3435" i="13"/>
  <c r="F3435" i="13" s="1"/>
  <c r="B3435" i="13"/>
  <c r="G3434" i="13"/>
  <c r="H3434" i="13" s="1"/>
  <c r="J3434" i="13" s="1"/>
  <c r="C3434" i="13"/>
  <c r="F3434" i="13" s="1"/>
  <c r="B3434" i="13"/>
  <c r="G3433" i="13"/>
  <c r="H3433" i="13" s="1"/>
  <c r="J3433" i="13" s="1"/>
  <c r="C3433" i="13"/>
  <c r="F3433" i="13" s="1"/>
  <c r="B3433" i="13"/>
  <c r="G3432" i="13"/>
  <c r="H3432" i="13" s="1"/>
  <c r="J3432" i="13" s="1"/>
  <c r="C3432" i="13"/>
  <c r="F3432" i="13" s="1"/>
  <c r="B3432" i="13"/>
  <c r="G3431" i="13"/>
  <c r="H3431" i="13" s="1"/>
  <c r="J3431" i="13" s="1"/>
  <c r="C3431" i="13"/>
  <c r="F3431" i="13" s="1"/>
  <c r="B3431" i="13"/>
  <c r="G3430" i="13"/>
  <c r="H3430" i="13" s="1"/>
  <c r="J3430" i="13" s="1"/>
  <c r="C3430" i="13"/>
  <c r="F3430" i="13" s="1"/>
  <c r="B3430" i="13"/>
  <c r="G3429" i="13"/>
  <c r="H3429" i="13" s="1"/>
  <c r="J3429" i="13" s="1"/>
  <c r="C3429" i="13"/>
  <c r="F3429" i="13" s="1"/>
  <c r="B3429" i="13"/>
  <c r="G3428" i="13"/>
  <c r="H3428" i="13" s="1"/>
  <c r="J3428" i="13" s="1"/>
  <c r="C3428" i="13"/>
  <c r="F3428" i="13" s="1"/>
  <c r="B3428" i="13"/>
  <c r="G3427" i="13"/>
  <c r="H3427" i="13" s="1"/>
  <c r="J3427" i="13" s="1"/>
  <c r="C3427" i="13"/>
  <c r="F3427" i="13" s="1"/>
  <c r="B3427" i="13"/>
  <c r="G3426" i="13"/>
  <c r="H3426" i="13" s="1"/>
  <c r="J3426" i="13" s="1"/>
  <c r="C3426" i="13"/>
  <c r="F3426" i="13" s="1"/>
  <c r="B3426" i="13"/>
  <c r="G3425" i="13"/>
  <c r="H3425" i="13" s="1"/>
  <c r="J3425" i="13" s="1"/>
  <c r="C3425" i="13"/>
  <c r="F3425" i="13" s="1"/>
  <c r="B3425" i="13"/>
  <c r="G3424" i="13"/>
  <c r="H3424" i="13" s="1"/>
  <c r="C3424" i="13"/>
  <c r="F3424" i="13" s="1"/>
  <c r="B3424" i="13"/>
  <c r="G3423" i="13"/>
  <c r="H3423" i="13" s="1"/>
  <c r="C3423" i="13"/>
  <c r="F3423" i="13" s="1"/>
  <c r="B3423" i="13"/>
  <c r="G3422" i="13"/>
  <c r="H3422" i="13" s="1"/>
  <c r="J3422" i="13" s="1"/>
  <c r="C3422" i="13"/>
  <c r="F3422" i="13" s="1"/>
  <c r="B3422" i="13"/>
  <c r="G3421" i="13"/>
  <c r="H3421" i="13" s="1"/>
  <c r="J3421" i="13" s="1"/>
  <c r="C3421" i="13"/>
  <c r="F3421" i="13" s="1"/>
  <c r="B3421" i="13"/>
  <c r="G3420" i="13"/>
  <c r="H3420" i="13" s="1"/>
  <c r="J3420" i="13" s="1"/>
  <c r="C3420" i="13"/>
  <c r="F3420" i="13" s="1"/>
  <c r="B3420" i="13"/>
  <c r="G3419" i="13"/>
  <c r="H3419" i="13" s="1"/>
  <c r="J3419" i="13" s="1"/>
  <c r="C3419" i="13"/>
  <c r="F3419" i="13" s="1"/>
  <c r="B3419" i="13"/>
  <c r="G3418" i="13"/>
  <c r="H3418" i="13" s="1"/>
  <c r="J3418" i="13" s="1"/>
  <c r="C3418" i="13"/>
  <c r="F3418" i="13" s="1"/>
  <c r="B3418" i="13"/>
  <c r="G3417" i="13"/>
  <c r="H3417" i="13" s="1"/>
  <c r="J3417" i="13" s="1"/>
  <c r="C3417" i="13"/>
  <c r="F3417" i="13" s="1"/>
  <c r="B3417" i="13"/>
  <c r="G3416" i="13"/>
  <c r="H3416" i="13" s="1"/>
  <c r="J3416" i="13" s="1"/>
  <c r="C3416" i="13"/>
  <c r="F3416" i="13" s="1"/>
  <c r="B3416" i="13"/>
  <c r="G3415" i="13"/>
  <c r="H3415" i="13" s="1"/>
  <c r="J3415" i="13" s="1"/>
  <c r="C3415" i="13"/>
  <c r="F3415" i="13" s="1"/>
  <c r="B3415" i="13"/>
  <c r="G3414" i="13"/>
  <c r="H3414" i="13" s="1"/>
  <c r="J3414" i="13" s="1"/>
  <c r="C3414" i="13"/>
  <c r="F3414" i="13" s="1"/>
  <c r="B3414" i="13"/>
  <c r="G3413" i="13"/>
  <c r="H3413" i="13" s="1"/>
  <c r="J3413" i="13" s="1"/>
  <c r="C3413" i="13"/>
  <c r="F3413" i="13" s="1"/>
  <c r="B3413" i="13"/>
  <c r="G3412" i="13"/>
  <c r="H3412" i="13" s="1"/>
  <c r="C3412" i="13"/>
  <c r="F3412" i="13" s="1"/>
  <c r="B3412" i="13"/>
  <c r="G3411" i="13"/>
  <c r="H3411" i="13" s="1"/>
  <c r="C3411" i="13"/>
  <c r="F3411" i="13" s="1"/>
  <c r="B3411" i="13"/>
  <c r="G3410" i="13"/>
  <c r="H3410" i="13" s="1"/>
  <c r="J3410" i="13" s="1"/>
  <c r="C3410" i="13"/>
  <c r="F3410" i="13" s="1"/>
  <c r="B3410" i="13"/>
  <c r="G3409" i="13"/>
  <c r="H3409" i="13" s="1"/>
  <c r="J3409" i="13" s="1"/>
  <c r="C3409" i="13"/>
  <c r="F3409" i="13" s="1"/>
  <c r="B3409" i="13"/>
  <c r="G3408" i="13"/>
  <c r="H3408" i="13" s="1"/>
  <c r="J3408" i="13" s="1"/>
  <c r="C3408" i="13"/>
  <c r="F3408" i="13" s="1"/>
  <c r="B3408" i="13"/>
  <c r="G3407" i="13"/>
  <c r="H3407" i="13" s="1"/>
  <c r="J3407" i="13" s="1"/>
  <c r="C3407" i="13"/>
  <c r="F3407" i="13" s="1"/>
  <c r="B3407" i="13"/>
  <c r="G3406" i="13"/>
  <c r="H3406" i="13" s="1"/>
  <c r="J3406" i="13" s="1"/>
  <c r="C3406" i="13"/>
  <c r="F3406" i="13" s="1"/>
  <c r="B3406" i="13"/>
  <c r="G3405" i="13"/>
  <c r="H3405" i="13" s="1"/>
  <c r="J3405" i="13" s="1"/>
  <c r="C3405" i="13"/>
  <c r="F3405" i="13" s="1"/>
  <c r="B3405" i="13"/>
  <c r="G3404" i="13"/>
  <c r="H3404" i="13" s="1"/>
  <c r="C3404" i="13"/>
  <c r="F3404" i="13" s="1"/>
  <c r="B3404" i="13"/>
  <c r="G3403" i="13"/>
  <c r="H3403" i="13" s="1"/>
  <c r="J3403" i="13" s="1"/>
  <c r="C3403" i="13"/>
  <c r="F3403" i="13" s="1"/>
  <c r="B3403" i="13"/>
  <c r="G3402" i="13"/>
  <c r="H3402" i="13" s="1"/>
  <c r="J3402" i="13" s="1"/>
  <c r="C3402" i="13"/>
  <c r="F3402" i="13" s="1"/>
  <c r="B3402" i="13"/>
  <c r="G3401" i="13"/>
  <c r="H3401" i="13" s="1"/>
  <c r="J3401" i="13" s="1"/>
  <c r="C3401" i="13"/>
  <c r="F3401" i="13" s="1"/>
  <c r="B3401" i="13"/>
  <c r="G3400" i="13"/>
  <c r="H3400" i="13" s="1"/>
  <c r="J3400" i="13" s="1"/>
  <c r="C3400" i="13"/>
  <c r="F3400" i="13" s="1"/>
  <c r="B3400" i="13"/>
  <c r="G3399" i="13"/>
  <c r="H3399" i="13" s="1"/>
  <c r="J3399" i="13" s="1"/>
  <c r="C3399" i="13"/>
  <c r="F3399" i="13" s="1"/>
  <c r="B3399" i="13"/>
  <c r="G3398" i="13"/>
  <c r="H3398" i="13" s="1"/>
  <c r="J3398" i="13" s="1"/>
  <c r="C3398" i="13"/>
  <c r="F3398" i="13" s="1"/>
  <c r="B3398" i="13"/>
  <c r="G3397" i="13"/>
  <c r="H3397" i="13" s="1"/>
  <c r="J3397" i="13" s="1"/>
  <c r="C3397" i="13"/>
  <c r="F3397" i="13" s="1"/>
  <c r="B3397" i="13"/>
  <c r="G3396" i="13"/>
  <c r="H3396" i="13" s="1"/>
  <c r="J3396" i="13" s="1"/>
  <c r="C3396" i="13"/>
  <c r="F3396" i="13" s="1"/>
  <c r="B3396" i="13"/>
  <c r="G3395" i="13"/>
  <c r="H3395" i="13" s="1"/>
  <c r="J3395" i="13" s="1"/>
  <c r="C3395" i="13"/>
  <c r="F3395" i="13" s="1"/>
  <c r="B3395" i="13"/>
  <c r="G3394" i="13"/>
  <c r="H3394" i="13" s="1"/>
  <c r="J3394" i="13" s="1"/>
  <c r="C3394" i="13"/>
  <c r="F3394" i="13" s="1"/>
  <c r="B3394" i="13"/>
  <c r="G3393" i="13"/>
  <c r="H3393" i="13" s="1"/>
  <c r="J3393" i="13" s="1"/>
  <c r="C3393" i="13"/>
  <c r="F3393" i="13" s="1"/>
  <c r="B3393" i="13"/>
  <c r="G3392" i="13"/>
  <c r="H3392" i="13" s="1"/>
  <c r="J3392" i="13" s="1"/>
  <c r="C3392" i="13"/>
  <c r="F3392" i="13" s="1"/>
  <c r="B3392" i="13"/>
  <c r="G3391" i="13"/>
  <c r="H3391" i="13" s="1"/>
  <c r="J3391" i="13" s="1"/>
  <c r="C3391" i="13"/>
  <c r="F3391" i="13" s="1"/>
  <c r="B3391" i="13"/>
  <c r="G3390" i="13"/>
  <c r="H3390" i="13" s="1"/>
  <c r="J3390" i="13" s="1"/>
  <c r="C3390" i="13"/>
  <c r="F3390" i="13" s="1"/>
  <c r="B3390" i="13"/>
  <c r="G3389" i="13"/>
  <c r="H3389" i="13" s="1"/>
  <c r="J3389" i="13" s="1"/>
  <c r="C3389" i="13"/>
  <c r="F3389" i="13" s="1"/>
  <c r="B3389" i="13"/>
  <c r="G3388" i="13"/>
  <c r="H3388" i="13" s="1"/>
  <c r="J3388" i="13" s="1"/>
  <c r="C3388" i="13"/>
  <c r="F3388" i="13" s="1"/>
  <c r="B3388" i="13"/>
  <c r="G3387" i="13"/>
  <c r="H3387" i="13" s="1"/>
  <c r="J3387" i="13" s="1"/>
  <c r="C3387" i="13"/>
  <c r="F3387" i="13" s="1"/>
  <c r="B3387" i="13"/>
  <c r="G3386" i="13"/>
  <c r="H3386" i="13" s="1"/>
  <c r="J3386" i="13" s="1"/>
  <c r="C3386" i="13"/>
  <c r="F3386" i="13" s="1"/>
  <c r="B3386" i="13"/>
  <c r="G3385" i="13"/>
  <c r="H3385" i="13" s="1"/>
  <c r="J3385" i="13" s="1"/>
  <c r="C3385" i="13"/>
  <c r="F3385" i="13" s="1"/>
  <c r="B3385" i="13"/>
  <c r="G3384" i="13"/>
  <c r="H3384" i="13" s="1"/>
  <c r="J3384" i="13" s="1"/>
  <c r="C3384" i="13"/>
  <c r="F3384" i="13" s="1"/>
  <c r="B3384" i="13"/>
  <c r="G3383" i="13"/>
  <c r="H3383" i="13" s="1"/>
  <c r="J3383" i="13" s="1"/>
  <c r="C3383" i="13"/>
  <c r="F3383" i="13" s="1"/>
  <c r="B3383" i="13"/>
  <c r="G3382" i="13"/>
  <c r="H3382" i="13" s="1"/>
  <c r="J3382" i="13" s="1"/>
  <c r="C3382" i="13"/>
  <c r="F3382" i="13" s="1"/>
  <c r="B3382" i="13"/>
  <c r="G3381" i="13"/>
  <c r="H3381" i="13" s="1"/>
  <c r="J3381" i="13" s="1"/>
  <c r="C3381" i="13"/>
  <c r="F3381" i="13" s="1"/>
  <c r="B3381" i="13"/>
  <c r="G3380" i="13"/>
  <c r="H3380" i="13" s="1"/>
  <c r="J3380" i="13" s="1"/>
  <c r="C3380" i="13"/>
  <c r="F3380" i="13" s="1"/>
  <c r="B3380" i="13"/>
  <c r="G3379" i="13"/>
  <c r="H3379" i="13" s="1"/>
  <c r="J3379" i="13" s="1"/>
  <c r="C3379" i="13"/>
  <c r="F3379" i="13" s="1"/>
  <c r="B3379" i="13"/>
  <c r="G3378" i="13"/>
  <c r="H3378" i="13" s="1"/>
  <c r="J3378" i="13" s="1"/>
  <c r="C3378" i="13"/>
  <c r="F3378" i="13" s="1"/>
  <c r="B3378" i="13"/>
  <c r="G3377" i="13"/>
  <c r="H3377" i="13" s="1"/>
  <c r="J3377" i="13" s="1"/>
  <c r="C3377" i="13"/>
  <c r="F3377" i="13" s="1"/>
  <c r="B3377" i="13"/>
  <c r="G3376" i="13"/>
  <c r="H3376" i="13" s="1"/>
  <c r="J3376" i="13" s="1"/>
  <c r="C3376" i="13"/>
  <c r="F3376" i="13" s="1"/>
  <c r="B3376" i="13"/>
  <c r="G3375" i="13"/>
  <c r="H3375" i="13" s="1"/>
  <c r="J3375" i="13" s="1"/>
  <c r="C3375" i="13"/>
  <c r="F3375" i="13" s="1"/>
  <c r="B3375" i="13"/>
  <c r="G3374" i="13"/>
  <c r="H3374" i="13" s="1"/>
  <c r="J3374" i="13" s="1"/>
  <c r="C3374" i="13"/>
  <c r="F3374" i="13" s="1"/>
  <c r="B3374" i="13"/>
  <c r="G3373" i="13"/>
  <c r="H3373" i="13" s="1"/>
  <c r="J3373" i="13" s="1"/>
  <c r="C3373" i="13"/>
  <c r="F3373" i="13" s="1"/>
  <c r="B3373" i="13"/>
  <c r="G3372" i="13"/>
  <c r="H3372" i="13" s="1"/>
  <c r="J3372" i="13" s="1"/>
  <c r="C3372" i="13"/>
  <c r="F3372" i="13" s="1"/>
  <c r="B3372" i="13"/>
  <c r="G3371" i="13"/>
  <c r="H3371" i="13" s="1"/>
  <c r="J3371" i="13" s="1"/>
  <c r="C3371" i="13"/>
  <c r="F3371" i="13" s="1"/>
  <c r="B3371" i="13"/>
  <c r="G3370" i="13"/>
  <c r="H3370" i="13" s="1"/>
  <c r="J3370" i="13" s="1"/>
  <c r="C3370" i="13"/>
  <c r="F3370" i="13" s="1"/>
  <c r="B3370" i="13"/>
  <c r="G3369" i="13"/>
  <c r="H3369" i="13" s="1"/>
  <c r="J3369" i="13" s="1"/>
  <c r="C3369" i="13"/>
  <c r="F3369" i="13" s="1"/>
  <c r="B3369" i="13"/>
  <c r="G3368" i="13"/>
  <c r="H3368" i="13" s="1"/>
  <c r="J3368" i="13" s="1"/>
  <c r="C3368" i="13"/>
  <c r="F3368" i="13" s="1"/>
  <c r="B3368" i="13"/>
  <c r="G3367" i="13"/>
  <c r="H3367" i="13" s="1"/>
  <c r="J3367" i="13" s="1"/>
  <c r="C3367" i="13"/>
  <c r="F3367" i="13" s="1"/>
  <c r="B3367" i="13"/>
  <c r="G3366" i="13"/>
  <c r="H3366" i="13" s="1"/>
  <c r="J3366" i="13" s="1"/>
  <c r="C3366" i="13"/>
  <c r="F3366" i="13" s="1"/>
  <c r="B3366" i="13"/>
  <c r="G3365" i="13"/>
  <c r="H3365" i="13" s="1"/>
  <c r="J3365" i="13" s="1"/>
  <c r="C3365" i="13"/>
  <c r="F3365" i="13" s="1"/>
  <c r="B3365" i="13"/>
  <c r="G3364" i="13"/>
  <c r="H3364" i="13" s="1"/>
  <c r="J3364" i="13" s="1"/>
  <c r="C3364" i="13"/>
  <c r="F3364" i="13" s="1"/>
  <c r="B3364" i="13"/>
  <c r="G3363" i="13"/>
  <c r="H3363" i="13" s="1"/>
  <c r="J3363" i="13" s="1"/>
  <c r="C3363" i="13"/>
  <c r="F3363" i="13" s="1"/>
  <c r="B3363" i="13"/>
  <c r="G3362" i="13"/>
  <c r="H3362" i="13" s="1"/>
  <c r="J3362" i="13" s="1"/>
  <c r="C3362" i="13"/>
  <c r="F3362" i="13" s="1"/>
  <c r="B3362" i="13"/>
  <c r="G3361" i="13"/>
  <c r="H3361" i="13" s="1"/>
  <c r="J3361" i="13" s="1"/>
  <c r="C3361" i="13"/>
  <c r="F3361" i="13" s="1"/>
  <c r="B3361" i="13"/>
  <c r="G3360" i="13"/>
  <c r="H3360" i="13" s="1"/>
  <c r="J3360" i="13" s="1"/>
  <c r="C3360" i="13"/>
  <c r="F3360" i="13" s="1"/>
  <c r="B3360" i="13"/>
  <c r="G3359" i="13"/>
  <c r="H3359" i="13" s="1"/>
  <c r="J3359" i="13" s="1"/>
  <c r="C3359" i="13"/>
  <c r="F3359" i="13" s="1"/>
  <c r="B3359" i="13"/>
  <c r="G3358" i="13"/>
  <c r="H3358" i="13" s="1"/>
  <c r="J3358" i="13" s="1"/>
  <c r="C3358" i="13"/>
  <c r="F3358" i="13" s="1"/>
  <c r="B3358" i="13"/>
  <c r="G3357" i="13"/>
  <c r="H3357" i="13" s="1"/>
  <c r="J3357" i="13" s="1"/>
  <c r="C3357" i="13"/>
  <c r="F3357" i="13" s="1"/>
  <c r="B3357" i="13"/>
  <c r="G3356" i="13"/>
  <c r="H3356" i="13" s="1"/>
  <c r="J3356" i="13" s="1"/>
  <c r="C3356" i="13"/>
  <c r="F3356" i="13" s="1"/>
  <c r="B3356" i="13"/>
  <c r="G3355" i="13"/>
  <c r="H3355" i="13" s="1"/>
  <c r="J3355" i="13" s="1"/>
  <c r="C3355" i="13"/>
  <c r="F3355" i="13" s="1"/>
  <c r="B3355" i="13"/>
  <c r="G3354" i="13"/>
  <c r="H3354" i="13" s="1"/>
  <c r="J3354" i="13" s="1"/>
  <c r="C3354" i="13"/>
  <c r="F3354" i="13" s="1"/>
  <c r="B3354" i="13"/>
  <c r="G3353" i="13"/>
  <c r="H3353" i="13" s="1"/>
  <c r="J3353" i="13" s="1"/>
  <c r="C3353" i="13"/>
  <c r="F3353" i="13" s="1"/>
  <c r="B3353" i="13"/>
  <c r="G3352" i="13"/>
  <c r="H3352" i="13" s="1"/>
  <c r="J3352" i="13" s="1"/>
  <c r="C3352" i="13"/>
  <c r="F3352" i="13" s="1"/>
  <c r="B3352" i="13"/>
  <c r="G3351" i="13"/>
  <c r="H3351" i="13" s="1"/>
  <c r="J3351" i="13" s="1"/>
  <c r="C3351" i="13"/>
  <c r="F3351" i="13" s="1"/>
  <c r="B3351" i="13"/>
  <c r="G3350" i="13"/>
  <c r="H3350" i="13" s="1"/>
  <c r="J3350" i="13" s="1"/>
  <c r="C3350" i="13"/>
  <c r="F3350" i="13" s="1"/>
  <c r="B3350" i="13"/>
  <c r="G3349" i="13"/>
  <c r="H3349" i="13" s="1"/>
  <c r="J3349" i="13" s="1"/>
  <c r="C3349" i="13"/>
  <c r="F3349" i="13" s="1"/>
  <c r="B3349" i="13"/>
  <c r="G3348" i="13"/>
  <c r="H3348" i="13" s="1"/>
  <c r="J3348" i="13" s="1"/>
  <c r="C3348" i="13"/>
  <c r="F3348" i="13" s="1"/>
  <c r="B3348" i="13"/>
  <c r="G3347" i="13"/>
  <c r="H3347" i="13" s="1"/>
  <c r="J3347" i="13" s="1"/>
  <c r="C3347" i="13"/>
  <c r="F3347" i="13" s="1"/>
  <c r="B3347" i="13"/>
  <c r="G3346" i="13"/>
  <c r="H3346" i="13" s="1"/>
  <c r="J3346" i="13" s="1"/>
  <c r="C3346" i="13"/>
  <c r="F3346" i="13" s="1"/>
  <c r="B3346" i="13"/>
  <c r="G3345" i="13"/>
  <c r="H3345" i="13" s="1"/>
  <c r="J3345" i="13" s="1"/>
  <c r="C3345" i="13"/>
  <c r="F3345" i="13" s="1"/>
  <c r="B3345" i="13"/>
  <c r="G3344" i="13"/>
  <c r="H3344" i="13" s="1"/>
  <c r="J3344" i="13" s="1"/>
  <c r="C3344" i="13"/>
  <c r="F3344" i="13" s="1"/>
  <c r="B3344" i="13"/>
  <c r="G3343" i="13"/>
  <c r="H3343" i="13" s="1"/>
  <c r="J3343" i="13" s="1"/>
  <c r="C3343" i="13"/>
  <c r="F3343" i="13" s="1"/>
  <c r="B3343" i="13"/>
  <c r="G3342" i="13"/>
  <c r="H3342" i="13" s="1"/>
  <c r="J3342" i="13" s="1"/>
  <c r="C3342" i="13"/>
  <c r="F3342" i="13" s="1"/>
  <c r="B3342" i="13"/>
  <c r="G3341" i="13"/>
  <c r="H3341" i="13" s="1"/>
  <c r="J3341" i="13" s="1"/>
  <c r="C3341" i="13"/>
  <c r="F3341" i="13" s="1"/>
  <c r="B3341" i="13"/>
  <c r="G3340" i="13"/>
  <c r="H3340" i="13" s="1"/>
  <c r="J3340" i="13" s="1"/>
  <c r="C3340" i="13"/>
  <c r="F3340" i="13" s="1"/>
  <c r="B3340" i="13"/>
  <c r="G3339" i="13"/>
  <c r="H3339" i="13" s="1"/>
  <c r="J3339" i="13" s="1"/>
  <c r="C3339" i="13"/>
  <c r="F3339" i="13" s="1"/>
  <c r="B3339" i="13"/>
  <c r="G3338" i="13"/>
  <c r="H3338" i="13" s="1"/>
  <c r="J3338" i="13" s="1"/>
  <c r="C3338" i="13"/>
  <c r="F3338" i="13" s="1"/>
  <c r="B3338" i="13"/>
  <c r="G3337" i="13"/>
  <c r="H3337" i="13" s="1"/>
  <c r="J3337" i="13" s="1"/>
  <c r="C3337" i="13"/>
  <c r="F3337" i="13" s="1"/>
  <c r="B3337" i="13"/>
  <c r="G3336" i="13"/>
  <c r="H3336" i="13" s="1"/>
  <c r="J3336" i="13" s="1"/>
  <c r="C3336" i="13"/>
  <c r="F3336" i="13" s="1"/>
  <c r="B3336" i="13"/>
  <c r="G3335" i="13"/>
  <c r="H3335" i="13" s="1"/>
  <c r="J3335" i="13" s="1"/>
  <c r="C3335" i="13"/>
  <c r="F3335" i="13" s="1"/>
  <c r="B3335" i="13"/>
  <c r="G3334" i="13"/>
  <c r="H3334" i="13" s="1"/>
  <c r="J3334" i="13" s="1"/>
  <c r="C3334" i="13"/>
  <c r="F3334" i="13" s="1"/>
  <c r="B3334" i="13"/>
  <c r="G3333" i="13"/>
  <c r="H3333" i="13" s="1"/>
  <c r="J3333" i="13" s="1"/>
  <c r="C3333" i="13"/>
  <c r="F3333" i="13" s="1"/>
  <c r="B3333" i="13"/>
  <c r="G3332" i="13"/>
  <c r="H3332" i="13" s="1"/>
  <c r="J3332" i="13" s="1"/>
  <c r="C3332" i="13"/>
  <c r="F3332" i="13" s="1"/>
  <c r="B3332" i="13"/>
  <c r="G3331" i="13"/>
  <c r="H3331" i="13" s="1"/>
  <c r="J3331" i="13" s="1"/>
  <c r="C3331" i="13"/>
  <c r="F3331" i="13" s="1"/>
  <c r="B3331" i="13"/>
  <c r="G3330" i="13"/>
  <c r="H3330" i="13" s="1"/>
  <c r="J3330" i="13" s="1"/>
  <c r="C3330" i="13"/>
  <c r="F3330" i="13" s="1"/>
  <c r="B3330" i="13"/>
  <c r="G3329" i="13"/>
  <c r="H3329" i="13" s="1"/>
  <c r="J3329" i="13" s="1"/>
  <c r="C3329" i="13"/>
  <c r="F3329" i="13" s="1"/>
  <c r="B3329" i="13"/>
  <c r="G3328" i="13"/>
  <c r="H3328" i="13" s="1"/>
  <c r="C3328" i="13"/>
  <c r="F3328" i="13" s="1"/>
  <c r="B3328" i="13"/>
  <c r="G3327" i="13"/>
  <c r="H3327" i="13" s="1"/>
  <c r="J3327" i="13" s="1"/>
  <c r="C3327" i="13"/>
  <c r="F3327" i="13" s="1"/>
  <c r="B3327" i="13"/>
  <c r="G3326" i="13"/>
  <c r="H3326" i="13" s="1"/>
  <c r="J3326" i="13" s="1"/>
  <c r="C3326" i="13"/>
  <c r="F3326" i="13" s="1"/>
  <c r="B3326" i="13"/>
  <c r="G3325" i="13"/>
  <c r="H3325" i="13" s="1"/>
  <c r="J3325" i="13" s="1"/>
  <c r="C3325" i="13"/>
  <c r="F3325" i="13" s="1"/>
  <c r="B3325" i="13"/>
  <c r="G3324" i="13"/>
  <c r="H3324" i="13" s="1"/>
  <c r="J3324" i="13" s="1"/>
  <c r="C3324" i="13"/>
  <c r="F3324" i="13" s="1"/>
  <c r="B3324" i="13"/>
  <c r="G3323" i="13"/>
  <c r="H3323" i="13" s="1"/>
  <c r="J3323" i="13" s="1"/>
  <c r="C3323" i="13"/>
  <c r="F3323" i="13" s="1"/>
  <c r="B3323" i="13"/>
  <c r="G3322" i="13"/>
  <c r="H3322" i="13" s="1"/>
  <c r="J3322" i="13" s="1"/>
  <c r="C3322" i="13"/>
  <c r="F3322" i="13" s="1"/>
  <c r="B3322" i="13"/>
  <c r="G3321" i="13"/>
  <c r="H3321" i="13" s="1"/>
  <c r="J3321" i="13" s="1"/>
  <c r="C3321" i="13"/>
  <c r="F3321" i="13" s="1"/>
  <c r="B3321" i="13"/>
  <c r="G3320" i="13"/>
  <c r="H3320" i="13" s="1"/>
  <c r="J3320" i="13" s="1"/>
  <c r="C3320" i="13"/>
  <c r="F3320" i="13" s="1"/>
  <c r="B3320" i="13"/>
  <c r="G3319" i="13"/>
  <c r="H3319" i="13" s="1"/>
  <c r="J3319" i="13" s="1"/>
  <c r="C3319" i="13"/>
  <c r="F3319" i="13" s="1"/>
  <c r="B3319" i="13"/>
  <c r="G3318" i="13"/>
  <c r="H3318" i="13" s="1"/>
  <c r="J3318" i="13" s="1"/>
  <c r="C3318" i="13"/>
  <c r="F3318" i="13" s="1"/>
  <c r="B3318" i="13"/>
  <c r="G3317" i="13"/>
  <c r="H3317" i="13" s="1"/>
  <c r="J3317" i="13" s="1"/>
  <c r="C3317" i="13"/>
  <c r="F3317" i="13" s="1"/>
  <c r="B3317" i="13"/>
  <c r="G3316" i="13"/>
  <c r="H3316" i="13" s="1"/>
  <c r="J3316" i="13" s="1"/>
  <c r="C3316" i="13"/>
  <c r="F3316" i="13" s="1"/>
  <c r="B3316" i="13"/>
  <c r="G3315" i="13"/>
  <c r="H3315" i="13" s="1"/>
  <c r="C3315" i="13"/>
  <c r="F3315" i="13" s="1"/>
  <c r="B3315" i="13"/>
  <c r="G3314" i="13"/>
  <c r="H3314" i="13" s="1"/>
  <c r="J3314" i="13" s="1"/>
  <c r="C3314" i="13"/>
  <c r="F3314" i="13" s="1"/>
  <c r="B3314" i="13"/>
  <c r="G3313" i="13"/>
  <c r="H3313" i="13" s="1"/>
  <c r="J3313" i="13" s="1"/>
  <c r="C3313" i="13"/>
  <c r="F3313" i="13" s="1"/>
  <c r="B3313" i="13"/>
  <c r="G3312" i="13"/>
  <c r="H3312" i="13" s="1"/>
  <c r="J3312" i="13" s="1"/>
  <c r="C3312" i="13"/>
  <c r="F3312" i="13" s="1"/>
  <c r="B3312" i="13"/>
  <c r="G3311" i="13"/>
  <c r="H3311" i="13" s="1"/>
  <c r="J3311" i="13" s="1"/>
  <c r="C3311" i="13"/>
  <c r="F3311" i="13" s="1"/>
  <c r="B3311" i="13"/>
  <c r="G3310" i="13"/>
  <c r="H3310" i="13" s="1"/>
  <c r="J3310" i="13" s="1"/>
  <c r="C3310" i="13"/>
  <c r="F3310" i="13" s="1"/>
  <c r="B3310" i="13"/>
  <c r="G3309" i="13"/>
  <c r="H3309" i="13" s="1"/>
  <c r="J3309" i="13" s="1"/>
  <c r="C3309" i="13"/>
  <c r="F3309" i="13" s="1"/>
  <c r="B3309" i="13"/>
  <c r="G3308" i="13"/>
  <c r="H3308" i="13" s="1"/>
  <c r="J3308" i="13" s="1"/>
  <c r="C3308" i="13"/>
  <c r="F3308" i="13" s="1"/>
  <c r="B3308" i="13"/>
  <c r="G3307" i="13"/>
  <c r="H3307" i="13" s="1"/>
  <c r="J3307" i="13" s="1"/>
  <c r="C3307" i="13"/>
  <c r="F3307" i="13" s="1"/>
  <c r="B3307" i="13"/>
  <c r="G3306" i="13"/>
  <c r="H3306" i="13" s="1"/>
  <c r="J3306" i="13" s="1"/>
  <c r="C3306" i="13"/>
  <c r="F3306" i="13" s="1"/>
  <c r="B3306" i="13"/>
  <c r="G3305" i="13"/>
  <c r="H3305" i="13" s="1"/>
  <c r="J3305" i="13" s="1"/>
  <c r="C3305" i="13"/>
  <c r="F3305" i="13" s="1"/>
  <c r="B3305" i="13"/>
  <c r="G3304" i="13"/>
  <c r="H3304" i="13" s="1"/>
  <c r="J3304" i="13" s="1"/>
  <c r="C3304" i="13"/>
  <c r="F3304" i="13" s="1"/>
  <c r="B3304" i="13"/>
  <c r="G3303" i="13"/>
  <c r="H3303" i="13" s="1"/>
  <c r="C3303" i="13"/>
  <c r="F3303" i="13" s="1"/>
  <c r="B3303" i="13"/>
  <c r="G3302" i="13"/>
  <c r="H3302" i="13" s="1"/>
  <c r="J3302" i="13" s="1"/>
  <c r="C3302" i="13"/>
  <c r="F3302" i="13" s="1"/>
  <c r="B3302" i="13"/>
  <c r="G3301" i="13"/>
  <c r="H3301" i="13" s="1"/>
  <c r="J3301" i="13" s="1"/>
  <c r="C3301" i="13"/>
  <c r="F3301" i="13" s="1"/>
  <c r="B3301" i="13"/>
  <c r="G3300" i="13"/>
  <c r="H3300" i="13" s="1"/>
  <c r="J3300" i="13" s="1"/>
  <c r="C3300" i="13"/>
  <c r="F3300" i="13" s="1"/>
  <c r="B3300" i="13"/>
  <c r="G3299" i="13"/>
  <c r="H3299" i="13" s="1"/>
  <c r="J3299" i="13" s="1"/>
  <c r="C3299" i="13"/>
  <c r="F3299" i="13" s="1"/>
  <c r="B3299" i="13"/>
  <c r="G3298" i="13"/>
  <c r="H3298" i="13" s="1"/>
  <c r="C3298" i="13"/>
  <c r="F3298" i="13" s="1"/>
  <c r="B3298" i="13"/>
  <c r="G3297" i="13"/>
  <c r="H3297" i="13" s="1"/>
  <c r="J3297" i="13" s="1"/>
  <c r="C3297" i="13"/>
  <c r="F3297" i="13" s="1"/>
  <c r="B3297" i="13"/>
  <c r="G3296" i="13"/>
  <c r="H3296" i="13" s="1"/>
  <c r="J3296" i="13" s="1"/>
  <c r="C3296" i="13"/>
  <c r="F3296" i="13" s="1"/>
  <c r="B3296" i="13"/>
  <c r="G3295" i="13"/>
  <c r="H3295" i="13" s="1"/>
  <c r="J3295" i="13" s="1"/>
  <c r="C3295" i="13"/>
  <c r="F3295" i="13" s="1"/>
  <c r="B3295" i="13"/>
  <c r="G3294" i="13"/>
  <c r="H3294" i="13" s="1"/>
  <c r="J3294" i="13" s="1"/>
  <c r="C3294" i="13"/>
  <c r="F3294" i="13" s="1"/>
  <c r="B3294" i="13"/>
  <c r="G3293" i="13"/>
  <c r="H3293" i="13" s="1"/>
  <c r="J3293" i="13" s="1"/>
  <c r="C3293" i="13"/>
  <c r="F3293" i="13" s="1"/>
  <c r="B3293" i="13"/>
  <c r="G3292" i="13"/>
  <c r="H3292" i="13" s="1"/>
  <c r="J3292" i="13" s="1"/>
  <c r="C3292" i="13"/>
  <c r="F3292" i="13" s="1"/>
  <c r="B3292" i="13"/>
  <c r="G3291" i="13"/>
  <c r="H3291" i="13" s="1"/>
  <c r="C3291" i="13"/>
  <c r="F3291" i="13" s="1"/>
  <c r="B3291" i="13"/>
  <c r="G3290" i="13"/>
  <c r="H3290" i="13" s="1"/>
  <c r="J3290" i="13" s="1"/>
  <c r="C3290" i="13"/>
  <c r="F3290" i="13" s="1"/>
  <c r="B3290" i="13"/>
  <c r="G3289" i="13"/>
  <c r="H3289" i="13" s="1"/>
  <c r="J3289" i="13" s="1"/>
  <c r="C3289" i="13"/>
  <c r="F3289" i="13" s="1"/>
  <c r="B3289" i="13"/>
  <c r="G3288" i="13"/>
  <c r="H3288" i="13" s="1"/>
  <c r="J3288" i="13" s="1"/>
  <c r="C3288" i="13"/>
  <c r="F3288" i="13" s="1"/>
  <c r="B3288" i="13"/>
  <c r="G3287" i="13"/>
  <c r="H3287" i="13" s="1"/>
  <c r="J3287" i="13" s="1"/>
  <c r="C3287" i="13"/>
  <c r="F3287" i="13" s="1"/>
  <c r="B3287" i="13"/>
  <c r="G3286" i="13"/>
  <c r="H3286" i="13" s="1"/>
  <c r="J3286" i="13" s="1"/>
  <c r="C3286" i="13"/>
  <c r="F3286" i="13" s="1"/>
  <c r="B3286" i="13"/>
  <c r="G3285" i="13"/>
  <c r="H3285" i="13" s="1"/>
  <c r="J3285" i="13" s="1"/>
  <c r="C3285" i="13"/>
  <c r="F3285" i="13" s="1"/>
  <c r="B3285" i="13"/>
  <c r="G3284" i="13"/>
  <c r="H3284" i="13" s="1"/>
  <c r="J3284" i="13" s="1"/>
  <c r="C3284" i="13"/>
  <c r="F3284" i="13" s="1"/>
  <c r="B3284" i="13"/>
  <c r="G3283" i="13"/>
  <c r="H3283" i="13" s="1"/>
  <c r="J3283" i="13" s="1"/>
  <c r="C3283" i="13"/>
  <c r="F3283" i="13" s="1"/>
  <c r="B3283" i="13"/>
  <c r="G3282" i="13"/>
  <c r="H3282" i="13" s="1"/>
  <c r="J3282" i="13" s="1"/>
  <c r="C3282" i="13"/>
  <c r="F3282" i="13" s="1"/>
  <c r="B3282" i="13"/>
  <c r="G3281" i="13"/>
  <c r="H3281" i="13" s="1"/>
  <c r="J3281" i="13" s="1"/>
  <c r="C3281" i="13"/>
  <c r="F3281" i="13" s="1"/>
  <c r="B3281" i="13"/>
  <c r="G3280" i="13"/>
  <c r="H3280" i="13" s="1"/>
  <c r="J3280" i="13" s="1"/>
  <c r="C3280" i="13"/>
  <c r="F3280" i="13" s="1"/>
  <c r="B3280" i="13"/>
  <c r="G3279" i="13"/>
  <c r="H3279" i="13" s="1"/>
  <c r="C3279" i="13"/>
  <c r="F3279" i="13" s="1"/>
  <c r="B3279" i="13"/>
  <c r="G3278" i="13"/>
  <c r="H3278" i="13" s="1"/>
  <c r="J3278" i="13" s="1"/>
  <c r="C3278" i="13"/>
  <c r="F3278" i="13" s="1"/>
  <c r="B3278" i="13"/>
  <c r="G3277" i="13"/>
  <c r="H3277" i="13" s="1"/>
  <c r="J3277" i="13" s="1"/>
  <c r="C3277" i="13"/>
  <c r="F3277" i="13" s="1"/>
  <c r="B3277" i="13"/>
  <c r="G3276" i="13"/>
  <c r="H3276" i="13" s="1"/>
  <c r="J3276" i="13" s="1"/>
  <c r="C3276" i="13"/>
  <c r="F3276" i="13" s="1"/>
  <c r="B3276" i="13"/>
  <c r="G3275" i="13"/>
  <c r="H3275" i="13" s="1"/>
  <c r="J3275" i="13" s="1"/>
  <c r="C3275" i="13"/>
  <c r="F3275" i="13" s="1"/>
  <c r="B3275" i="13"/>
  <c r="G3274" i="13"/>
  <c r="H3274" i="13" s="1"/>
  <c r="J3274" i="13" s="1"/>
  <c r="C3274" i="13"/>
  <c r="F3274" i="13" s="1"/>
  <c r="B3274" i="13"/>
  <c r="G3273" i="13"/>
  <c r="H3273" i="13" s="1"/>
  <c r="J3273" i="13" s="1"/>
  <c r="C3273" i="13"/>
  <c r="F3273" i="13" s="1"/>
  <c r="B3273" i="13"/>
  <c r="G3272" i="13"/>
  <c r="H3272" i="13" s="1"/>
  <c r="J3272" i="13" s="1"/>
  <c r="C3272" i="13"/>
  <c r="F3272" i="13" s="1"/>
  <c r="B3272" i="13"/>
  <c r="G3271" i="13"/>
  <c r="H3271" i="13" s="1"/>
  <c r="J3271" i="13" s="1"/>
  <c r="C3271" i="13"/>
  <c r="F3271" i="13" s="1"/>
  <c r="B3271" i="13"/>
  <c r="G3270" i="13"/>
  <c r="H3270" i="13" s="1"/>
  <c r="C3270" i="13"/>
  <c r="F3270" i="13" s="1"/>
  <c r="B3270" i="13"/>
  <c r="G3269" i="13"/>
  <c r="H3269" i="13" s="1"/>
  <c r="C3269" i="13"/>
  <c r="F3269" i="13" s="1"/>
  <c r="B3269" i="13"/>
  <c r="G3268" i="13"/>
  <c r="H3268" i="13" s="1"/>
  <c r="J3268" i="13" s="1"/>
  <c r="C3268" i="13"/>
  <c r="F3268" i="13" s="1"/>
  <c r="B3268" i="13"/>
  <c r="G3267" i="13"/>
  <c r="H3267" i="13" s="1"/>
  <c r="J3267" i="13" s="1"/>
  <c r="C3267" i="13"/>
  <c r="F3267" i="13" s="1"/>
  <c r="B3267" i="13"/>
  <c r="G3266" i="13"/>
  <c r="H3266" i="13" s="1"/>
  <c r="J3266" i="13" s="1"/>
  <c r="C3266" i="13"/>
  <c r="F3266" i="13" s="1"/>
  <c r="B3266" i="13"/>
  <c r="G3265" i="13"/>
  <c r="H3265" i="13" s="1"/>
  <c r="J3265" i="13" s="1"/>
  <c r="C3265" i="13"/>
  <c r="F3265" i="13" s="1"/>
  <c r="B3265" i="13"/>
  <c r="G3264" i="13"/>
  <c r="H3264" i="13" s="1"/>
  <c r="J3264" i="13" s="1"/>
  <c r="C3264" i="13"/>
  <c r="F3264" i="13" s="1"/>
  <c r="B3264" i="13"/>
  <c r="G3263" i="13"/>
  <c r="H3263" i="13" s="1"/>
  <c r="J3263" i="13" s="1"/>
  <c r="C3263" i="13"/>
  <c r="F3263" i="13" s="1"/>
  <c r="B3263" i="13"/>
  <c r="G3262" i="13"/>
  <c r="H3262" i="13" s="1"/>
  <c r="J3262" i="13" s="1"/>
  <c r="C3262" i="13"/>
  <c r="F3262" i="13" s="1"/>
  <c r="B3262" i="13"/>
  <c r="G3261" i="13"/>
  <c r="H3261" i="13" s="1"/>
  <c r="J3261" i="13" s="1"/>
  <c r="C3261" i="13"/>
  <c r="F3261" i="13" s="1"/>
  <c r="B3261" i="13"/>
  <c r="G3260" i="13"/>
  <c r="H3260" i="13" s="1"/>
  <c r="J3260" i="13" s="1"/>
  <c r="C3260" i="13"/>
  <c r="F3260" i="13" s="1"/>
  <c r="B3260" i="13"/>
  <c r="G3259" i="13"/>
  <c r="H3259" i="13" s="1"/>
  <c r="J3259" i="13" s="1"/>
  <c r="C3259" i="13"/>
  <c r="F3259" i="13" s="1"/>
  <c r="B3259" i="13"/>
  <c r="G3258" i="13"/>
  <c r="H3258" i="13" s="1"/>
  <c r="J3258" i="13" s="1"/>
  <c r="C3258" i="13"/>
  <c r="F3258" i="13" s="1"/>
  <c r="B3258" i="13"/>
  <c r="G3257" i="13"/>
  <c r="H3257" i="13" s="1"/>
  <c r="J3257" i="13" s="1"/>
  <c r="C3257" i="13"/>
  <c r="F3257" i="13" s="1"/>
  <c r="B3257" i="13"/>
  <c r="G3256" i="13"/>
  <c r="H3256" i="13" s="1"/>
  <c r="J3256" i="13" s="1"/>
  <c r="C3256" i="13"/>
  <c r="F3256" i="13" s="1"/>
  <c r="B3256" i="13"/>
  <c r="G3255" i="13"/>
  <c r="H3255" i="13" s="1"/>
  <c r="J3255" i="13" s="1"/>
  <c r="C3255" i="13"/>
  <c r="F3255" i="13" s="1"/>
  <c r="B3255" i="13"/>
  <c r="G3254" i="13"/>
  <c r="H3254" i="13" s="1"/>
  <c r="J3254" i="13" s="1"/>
  <c r="C3254" i="13"/>
  <c r="F3254" i="13" s="1"/>
  <c r="B3254" i="13"/>
  <c r="G3253" i="13"/>
  <c r="H3253" i="13" s="1"/>
  <c r="J3253" i="13" s="1"/>
  <c r="C3253" i="13"/>
  <c r="F3253" i="13" s="1"/>
  <c r="B3253" i="13"/>
  <c r="G3252" i="13"/>
  <c r="H3252" i="13" s="1"/>
  <c r="J3252" i="13" s="1"/>
  <c r="C3252" i="13"/>
  <c r="F3252" i="13" s="1"/>
  <c r="B3252" i="13"/>
  <c r="G3251" i="13"/>
  <c r="H3251" i="13" s="1"/>
  <c r="J3251" i="13" s="1"/>
  <c r="C3251" i="13"/>
  <c r="F3251" i="13" s="1"/>
  <c r="B3251" i="13"/>
  <c r="G3250" i="13"/>
  <c r="H3250" i="13" s="1"/>
  <c r="J3250" i="13" s="1"/>
  <c r="C3250" i="13"/>
  <c r="F3250" i="13" s="1"/>
  <c r="B3250" i="13"/>
  <c r="G3249" i="13"/>
  <c r="H3249" i="13" s="1"/>
  <c r="J3249" i="13" s="1"/>
  <c r="C3249" i="13"/>
  <c r="F3249" i="13" s="1"/>
  <c r="B3249" i="13"/>
  <c r="G3248" i="13"/>
  <c r="H3248" i="13" s="1"/>
  <c r="J3248" i="13" s="1"/>
  <c r="C3248" i="13"/>
  <c r="F3248" i="13" s="1"/>
  <c r="B3248" i="13"/>
  <c r="G3247" i="13"/>
  <c r="H3247" i="13" s="1"/>
  <c r="J3247" i="13" s="1"/>
  <c r="C3247" i="13"/>
  <c r="F3247" i="13" s="1"/>
  <c r="B3247" i="13"/>
  <c r="G3246" i="13"/>
  <c r="H3246" i="13" s="1"/>
  <c r="J3246" i="13" s="1"/>
  <c r="C3246" i="13"/>
  <c r="F3246" i="13" s="1"/>
  <c r="B3246" i="13"/>
  <c r="G3245" i="13"/>
  <c r="H3245" i="13" s="1"/>
  <c r="J3245" i="13" s="1"/>
  <c r="C3245" i="13"/>
  <c r="F3245" i="13" s="1"/>
  <c r="B3245" i="13"/>
  <c r="G3244" i="13"/>
  <c r="H3244" i="13" s="1"/>
  <c r="J3244" i="13" s="1"/>
  <c r="C3244" i="13"/>
  <c r="F3244" i="13" s="1"/>
  <c r="B3244" i="13"/>
  <c r="G3243" i="13"/>
  <c r="H3243" i="13" s="1"/>
  <c r="J3243" i="13" s="1"/>
  <c r="C3243" i="13"/>
  <c r="F3243" i="13" s="1"/>
  <c r="B3243" i="13"/>
  <c r="G3242" i="13"/>
  <c r="H3242" i="13" s="1"/>
  <c r="J3242" i="13" s="1"/>
  <c r="C3242" i="13"/>
  <c r="F3242" i="13" s="1"/>
  <c r="B3242" i="13"/>
  <c r="G3241" i="13"/>
  <c r="H3241" i="13" s="1"/>
  <c r="J3241" i="13" s="1"/>
  <c r="C3241" i="13"/>
  <c r="F3241" i="13" s="1"/>
  <c r="B3241" i="13"/>
  <c r="G3240" i="13"/>
  <c r="H3240" i="13" s="1"/>
  <c r="J3240" i="13" s="1"/>
  <c r="C3240" i="13"/>
  <c r="F3240" i="13" s="1"/>
  <c r="B3240" i="13"/>
  <c r="G3239" i="13"/>
  <c r="H3239" i="13" s="1"/>
  <c r="J3239" i="13" s="1"/>
  <c r="C3239" i="13"/>
  <c r="F3239" i="13" s="1"/>
  <c r="B3239" i="13"/>
  <c r="G3238" i="13"/>
  <c r="H3238" i="13" s="1"/>
  <c r="C3238" i="13"/>
  <c r="F3238" i="13" s="1"/>
  <c r="B3238" i="13"/>
  <c r="G3237" i="13"/>
  <c r="H3237" i="13" s="1"/>
  <c r="J3237" i="13" s="1"/>
  <c r="C3237" i="13"/>
  <c r="F3237" i="13" s="1"/>
  <c r="B3237" i="13"/>
  <c r="G3236" i="13"/>
  <c r="H3236" i="13" s="1"/>
  <c r="J3236" i="13" s="1"/>
  <c r="C3236" i="13"/>
  <c r="F3236" i="13" s="1"/>
  <c r="B3236" i="13"/>
  <c r="G3235" i="13"/>
  <c r="H3235" i="13" s="1"/>
  <c r="J3235" i="13" s="1"/>
  <c r="C3235" i="13"/>
  <c r="F3235" i="13" s="1"/>
  <c r="B3235" i="13"/>
  <c r="G3234" i="13"/>
  <c r="H3234" i="13" s="1"/>
  <c r="J3234" i="13" s="1"/>
  <c r="C3234" i="13"/>
  <c r="F3234" i="13" s="1"/>
  <c r="B3234" i="13"/>
  <c r="G3233" i="13"/>
  <c r="H3233" i="13" s="1"/>
  <c r="J3233" i="13" s="1"/>
  <c r="C3233" i="13"/>
  <c r="F3233" i="13" s="1"/>
  <c r="B3233" i="13"/>
  <c r="G3232" i="13"/>
  <c r="H3232" i="13" s="1"/>
  <c r="J3232" i="13" s="1"/>
  <c r="C3232" i="13"/>
  <c r="F3232" i="13" s="1"/>
  <c r="B3232" i="13"/>
  <c r="G3231" i="13"/>
  <c r="H3231" i="13" s="1"/>
  <c r="J3231" i="13" s="1"/>
  <c r="C3231" i="13"/>
  <c r="F3231" i="13" s="1"/>
  <c r="B3231" i="13"/>
  <c r="G3230" i="13"/>
  <c r="H3230" i="13" s="1"/>
  <c r="J3230" i="13" s="1"/>
  <c r="C3230" i="13"/>
  <c r="F3230" i="13" s="1"/>
  <c r="B3230" i="13"/>
  <c r="G3229" i="13"/>
  <c r="H3229" i="13" s="1"/>
  <c r="J3229" i="13" s="1"/>
  <c r="C3229" i="13"/>
  <c r="F3229" i="13" s="1"/>
  <c r="B3229" i="13"/>
  <c r="G3228" i="13"/>
  <c r="H3228" i="13" s="1"/>
  <c r="J3228" i="13" s="1"/>
  <c r="C3228" i="13"/>
  <c r="F3228" i="13" s="1"/>
  <c r="B3228" i="13"/>
  <c r="G3227" i="13"/>
  <c r="H3227" i="13" s="1"/>
  <c r="J3227" i="13" s="1"/>
  <c r="C3227" i="13"/>
  <c r="F3227" i="13" s="1"/>
  <c r="B3227" i="13"/>
  <c r="G3226" i="13"/>
  <c r="H3226" i="13" s="1"/>
  <c r="C3226" i="13"/>
  <c r="F3226" i="13" s="1"/>
  <c r="B3226" i="13"/>
  <c r="G3225" i="13"/>
  <c r="H3225" i="13" s="1"/>
  <c r="J3225" i="13" s="1"/>
  <c r="C3225" i="13"/>
  <c r="F3225" i="13" s="1"/>
  <c r="B3225" i="13"/>
  <c r="G3224" i="13"/>
  <c r="H3224" i="13" s="1"/>
  <c r="J3224" i="13" s="1"/>
  <c r="C3224" i="13"/>
  <c r="F3224" i="13" s="1"/>
  <c r="B3224" i="13"/>
  <c r="G3223" i="13"/>
  <c r="H3223" i="13" s="1"/>
  <c r="J3223" i="13" s="1"/>
  <c r="C3223" i="13"/>
  <c r="F3223" i="13" s="1"/>
  <c r="B3223" i="13"/>
  <c r="G3222" i="13"/>
  <c r="H3222" i="13" s="1"/>
  <c r="J3222" i="13" s="1"/>
  <c r="C3222" i="13"/>
  <c r="F3222" i="13" s="1"/>
  <c r="B3222" i="13"/>
  <c r="G3221" i="13"/>
  <c r="H3221" i="13" s="1"/>
  <c r="J3221" i="13" s="1"/>
  <c r="C3221" i="13"/>
  <c r="F3221" i="13" s="1"/>
  <c r="B3221" i="13"/>
  <c r="G3220" i="13"/>
  <c r="H3220" i="13" s="1"/>
  <c r="J3220" i="13" s="1"/>
  <c r="C3220" i="13"/>
  <c r="F3220" i="13" s="1"/>
  <c r="B3220" i="13"/>
  <c r="G3219" i="13"/>
  <c r="H3219" i="13" s="1"/>
  <c r="J3219" i="13" s="1"/>
  <c r="C3219" i="13"/>
  <c r="F3219" i="13" s="1"/>
  <c r="B3219" i="13"/>
  <c r="G3218" i="13"/>
  <c r="H3218" i="13" s="1"/>
  <c r="J3218" i="13" s="1"/>
  <c r="C3218" i="13"/>
  <c r="F3218" i="13" s="1"/>
  <c r="B3218" i="13"/>
  <c r="G3217" i="13"/>
  <c r="H3217" i="13" s="1"/>
  <c r="J3217" i="13" s="1"/>
  <c r="C3217" i="13"/>
  <c r="F3217" i="13" s="1"/>
  <c r="B3217" i="13"/>
  <c r="G3216" i="13"/>
  <c r="H3216" i="13" s="1"/>
  <c r="J3216" i="13" s="1"/>
  <c r="C3216" i="13"/>
  <c r="F3216" i="13" s="1"/>
  <c r="B3216" i="13"/>
  <c r="G3215" i="13"/>
  <c r="H3215" i="13" s="1"/>
  <c r="J3215" i="13" s="1"/>
  <c r="C3215" i="13"/>
  <c r="F3215" i="13" s="1"/>
  <c r="B3215" i="13"/>
  <c r="G3214" i="13"/>
  <c r="H3214" i="13" s="1"/>
  <c r="C3214" i="13"/>
  <c r="F3214" i="13" s="1"/>
  <c r="B3214" i="13"/>
  <c r="G3213" i="13"/>
  <c r="H3213" i="13" s="1"/>
  <c r="J3213" i="13" s="1"/>
  <c r="C3213" i="13"/>
  <c r="F3213" i="13" s="1"/>
  <c r="B3213" i="13"/>
  <c r="G3212" i="13"/>
  <c r="H3212" i="13" s="1"/>
  <c r="J3212" i="13" s="1"/>
  <c r="C3212" i="13"/>
  <c r="F3212" i="13" s="1"/>
  <c r="B3212" i="13"/>
  <c r="G3211" i="13"/>
  <c r="H3211" i="13" s="1"/>
  <c r="J3211" i="13" s="1"/>
  <c r="C3211" i="13"/>
  <c r="F3211" i="13" s="1"/>
  <c r="B3211" i="13"/>
  <c r="G3210" i="13"/>
  <c r="H3210" i="13" s="1"/>
  <c r="J3210" i="13" s="1"/>
  <c r="C3210" i="13"/>
  <c r="F3210" i="13" s="1"/>
  <c r="B3210" i="13"/>
  <c r="G3209" i="13"/>
  <c r="H3209" i="13" s="1"/>
  <c r="J3209" i="13" s="1"/>
  <c r="C3209" i="13"/>
  <c r="F3209" i="13" s="1"/>
  <c r="B3209" i="13"/>
  <c r="G3208" i="13"/>
  <c r="H3208" i="13" s="1"/>
  <c r="J3208" i="13" s="1"/>
  <c r="C3208" i="13"/>
  <c r="F3208" i="13" s="1"/>
  <c r="B3208" i="13"/>
  <c r="G3207" i="13"/>
  <c r="H3207" i="13" s="1"/>
  <c r="J3207" i="13" s="1"/>
  <c r="C3207" i="13"/>
  <c r="F3207" i="13" s="1"/>
  <c r="B3207" i="13"/>
  <c r="G3206" i="13"/>
  <c r="H3206" i="13" s="1"/>
  <c r="J3206" i="13" s="1"/>
  <c r="C3206" i="13"/>
  <c r="F3206" i="13" s="1"/>
  <c r="B3206" i="13"/>
  <c r="G3205" i="13"/>
  <c r="H3205" i="13" s="1"/>
  <c r="J3205" i="13" s="1"/>
  <c r="C3205" i="13"/>
  <c r="F3205" i="13" s="1"/>
  <c r="B3205" i="13"/>
  <c r="G3204" i="13"/>
  <c r="H3204" i="13" s="1"/>
  <c r="J3204" i="13" s="1"/>
  <c r="C3204" i="13"/>
  <c r="F3204" i="13" s="1"/>
  <c r="B3204" i="13"/>
  <c r="G3203" i="13"/>
  <c r="H3203" i="13" s="1"/>
  <c r="J3203" i="13" s="1"/>
  <c r="C3203" i="13"/>
  <c r="F3203" i="13" s="1"/>
  <c r="B3203" i="13"/>
  <c r="G3202" i="13"/>
  <c r="H3202" i="13" s="1"/>
  <c r="C3202" i="13"/>
  <c r="F3202" i="13" s="1"/>
  <c r="B3202" i="13"/>
  <c r="G3201" i="13"/>
  <c r="H3201" i="13" s="1"/>
  <c r="J3201" i="13" s="1"/>
  <c r="C3201" i="13"/>
  <c r="F3201" i="13" s="1"/>
  <c r="B3201" i="13"/>
  <c r="G3200" i="13"/>
  <c r="H3200" i="13" s="1"/>
  <c r="J3200" i="13" s="1"/>
  <c r="C3200" i="13"/>
  <c r="F3200" i="13" s="1"/>
  <c r="B3200" i="13"/>
  <c r="G3199" i="13"/>
  <c r="H3199" i="13" s="1"/>
  <c r="J3199" i="13" s="1"/>
  <c r="C3199" i="13"/>
  <c r="F3199" i="13" s="1"/>
  <c r="B3199" i="13"/>
  <c r="G3198" i="13"/>
  <c r="H3198" i="13" s="1"/>
  <c r="C3198" i="13"/>
  <c r="F3198" i="13" s="1"/>
  <c r="B3198" i="13"/>
  <c r="G3197" i="13"/>
  <c r="H3197" i="13" s="1"/>
  <c r="J3197" i="13" s="1"/>
  <c r="C3197" i="13"/>
  <c r="F3197" i="13" s="1"/>
  <c r="B3197" i="13"/>
  <c r="G3196" i="13"/>
  <c r="H3196" i="13" s="1"/>
  <c r="J3196" i="13" s="1"/>
  <c r="C3196" i="13"/>
  <c r="F3196" i="13" s="1"/>
  <c r="B3196" i="13"/>
  <c r="G3195" i="13"/>
  <c r="H3195" i="13" s="1"/>
  <c r="J3195" i="13" s="1"/>
  <c r="C3195" i="13"/>
  <c r="F3195" i="13" s="1"/>
  <c r="B3195" i="13"/>
  <c r="G3194" i="13"/>
  <c r="H3194" i="13" s="1"/>
  <c r="J3194" i="13" s="1"/>
  <c r="C3194" i="13"/>
  <c r="F3194" i="13" s="1"/>
  <c r="B3194" i="13"/>
  <c r="G3193" i="13"/>
  <c r="H3193" i="13" s="1"/>
  <c r="J3193" i="13" s="1"/>
  <c r="C3193" i="13"/>
  <c r="F3193" i="13" s="1"/>
  <c r="B3193" i="13"/>
  <c r="G3192" i="13"/>
  <c r="H3192" i="13" s="1"/>
  <c r="J3192" i="13" s="1"/>
  <c r="C3192" i="13"/>
  <c r="F3192" i="13" s="1"/>
  <c r="B3192" i="13"/>
  <c r="G3191" i="13"/>
  <c r="H3191" i="13" s="1"/>
  <c r="J3191" i="13" s="1"/>
  <c r="C3191" i="13"/>
  <c r="F3191" i="13" s="1"/>
  <c r="B3191" i="13"/>
  <c r="G3190" i="13"/>
  <c r="H3190" i="13" s="1"/>
  <c r="C3190" i="13"/>
  <c r="F3190" i="13" s="1"/>
  <c r="B3190" i="13"/>
  <c r="G3189" i="13"/>
  <c r="H3189" i="13" s="1"/>
  <c r="J3189" i="13" s="1"/>
  <c r="C3189" i="13"/>
  <c r="F3189" i="13" s="1"/>
  <c r="B3189" i="13"/>
  <c r="G3188" i="13"/>
  <c r="H3188" i="13" s="1"/>
  <c r="J3188" i="13" s="1"/>
  <c r="C3188" i="13"/>
  <c r="F3188" i="13" s="1"/>
  <c r="B3188" i="13"/>
  <c r="G3187" i="13"/>
  <c r="H3187" i="13" s="1"/>
  <c r="J3187" i="13" s="1"/>
  <c r="C3187" i="13"/>
  <c r="F3187" i="13" s="1"/>
  <c r="B3187" i="13"/>
  <c r="G3186" i="13"/>
  <c r="H3186" i="13" s="1"/>
  <c r="C3186" i="13"/>
  <c r="F3186" i="13" s="1"/>
  <c r="B3186" i="13"/>
  <c r="G3185" i="13"/>
  <c r="H3185" i="13" s="1"/>
  <c r="J3185" i="13" s="1"/>
  <c r="C3185" i="13"/>
  <c r="F3185" i="13" s="1"/>
  <c r="B3185" i="13"/>
  <c r="G3184" i="13"/>
  <c r="H3184" i="13" s="1"/>
  <c r="J3184" i="13" s="1"/>
  <c r="C3184" i="13"/>
  <c r="F3184" i="13" s="1"/>
  <c r="B3184" i="13"/>
  <c r="G3183" i="13"/>
  <c r="H3183" i="13" s="1"/>
  <c r="J3183" i="13" s="1"/>
  <c r="C3183" i="13"/>
  <c r="F3183" i="13" s="1"/>
  <c r="B3183" i="13"/>
  <c r="G3182" i="13"/>
  <c r="H3182" i="13" s="1"/>
  <c r="J3182" i="13" s="1"/>
  <c r="C3182" i="13"/>
  <c r="F3182" i="13" s="1"/>
  <c r="B3182" i="13"/>
  <c r="G3181" i="13"/>
  <c r="H3181" i="13" s="1"/>
  <c r="J3181" i="13" s="1"/>
  <c r="C3181" i="13"/>
  <c r="F3181" i="13" s="1"/>
  <c r="B3181" i="13"/>
  <c r="G3180" i="13"/>
  <c r="H3180" i="13" s="1"/>
  <c r="J3180" i="13" s="1"/>
  <c r="C3180" i="13"/>
  <c r="F3180" i="13" s="1"/>
  <c r="B3180" i="13"/>
  <c r="G3179" i="13"/>
  <c r="H3179" i="13" s="1"/>
  <c r="C3179" i="13"/>
  <c r="F3179" i="13" s="1"/>
  <c r="B3179" i="13"/>
  <c r="G3178" i="13"/>
  <c r="H3178" i="13" s="1"/>
  <c r="C3178" i="13"/>
  <c r="F3178" i="13" s="1"/>
  <c r="B3178" i="13"/>
  <c r="G3177" i="13"/>
  <c r="H3177" i="13" s="1"/>
  <c r="J3177" i="13" s="1"/>
  <c r="C3177" i="13"/>
  <c r="F3177" i="13" s="1"/>
  <c r="B3177" i="13"/>
  <c r="G3176" i="13"/>
  <c r="H3176" i="13" s="1"/>
  <c r="J3176" i="13" s="1"/>
  <c r="C3176" i="13"/>
  <c r="F3176" i="13" s="1"/>
  <c r="B3176" i="13"/>
  <c r="G3175" i="13"/>
  <c r="H3175" i="13" s="1"/>
  <c r="J3175" i="13" s="1"/>
  <c r="C3175" i="13"/>
  <c r="F3175" i="13" s="1"/>
  <c r="B3175" i="13"/>
  <c r="G3174" i="13"/>
  <c r="H3174" i="13" s="1"/>
  <c r="J3174" i="13" s="1"/>
  <c r="C3174" i="13"/>
  <c r="F3174" i="13" s="1"/>
  <c r="B3174" i="13"/>
  <c r="G3173" i="13"/>
  <c r="H3173" i="13" s="1"/>
  <c r="J3173" i="13" s="1"/>
  <c r="C3173" i="13"/>
  <c r="F3173" i="13" s="1"/>
  <c r="B3173" i="13"/>
  <c r="G3172" i="13"/>
  <c r="H3172" i="13" s="1"/>
  <c r="J3172" i="13" s="1"/>
  <c r="C3172" i="13"/>
  <c r="F3172" i="13" s="1"/>
  <c r="B3172" i="13"/>
  <c r="G3171" i="13"/>
  <c r="H3171" i="13" s="1"/>
  <c r="J3171" i="13" s="1"/>
  <c r="C3171" i="13"/>
  <c r="F3171" i="13" s="1"/>
  <c r="B3171" i="13"/>
  <c r="G3170" i="13"/>
  <c r="H3170" i="13" s="1"/>
  <c r="J3170" i="13" s="1"/>
  <c r="C3170" i="13"/>
  <c r="F3170" i="13" s="1"/>
  <c r="B3170" i="13"/>
  <c r="G3169" i="13"/>
  <c r="H3169" i="13" s="1"/>
  <c r="J3169" i="13" s="1"/>
  <c r="C3169" i="13"/>
  <c r="F3169" i="13" s="1"/>
  <c r="B3169" i="13"/>
  <c r="G3168" i="13"/>
  <c r="H3168" i="13" s="1"/>
  <c r="J3168" i="13" s="1"/>
  <c r="C3168" i="13"/>
  <c r="F3168" i="13" s="1"/>
  <c r="B3168" i="13"/>
  <c r="G3167" i="13"/>
  <c r="H3167" i="13" s="1"/>
  <c r="C3167" i="13"/>
  <c r="F3167" i="13" s="1"/>
  <c r="B3167" i="13"/>
  <c r="G3166" i="13"/>
  <c r="H3166" i="13" s="1"/>
  <c r="J3166" i="13" s="1"/>
  <c r="C3166" i="13"/>
  <c r="F3166" i="13" s="1"/>
  <c r="B3166" i="13"/>
  <c r="G3165" i="13"/>
  <c r="H3165" i="13" s="1"/>
  <c r="J3165" i="13" s="1"/>
  <c r="C3165" i="13"/>
  <c r="F3165" i="13" s="1"/>
  <c r="B3165" i="13"/>
  <c r="G3164" i="13"/>
  <c r="H3164" i="13" s="1"/>
  <c r="J3164" i="13" s="1"/>
  <c r="C3164" i="13"/>
  <c r="F3164" i="13" s="1"/>
  <c r="B3164" i="13"/>
  <c r="G3163" i="13"/>
  <c r="H3163" i="13" s="1"/>
  <c r="J3163" i="13" s="1"/>
  <c r="C3163" i="13"/>
  <c r="F3163" i="13" s="1"/>
  <c r="B3163" i="13"/>
  <c r="G3162" i="13"/>
  <c r="H3162" i="13" s="1"/>
  <c r="J3162" i="13" s="1"/>
  <c r="C3162" i="13"/>
  <c r="F3162" i="13" s="1"/>
  <c r="B3162" i="13"/>
  <c r="G3161" i="13"/>
  <c r="H3161" i="13" s="1"/>
  <c r="J3161" i="13" s="1"/>
  <c r="C3161" i="13"/>
  <c r="F3161" i="13" s="1"/>
  <c r="B3161" i="13"/>
  <c r="G3160" i="13"/>
  <c r="H3160" i="13" s="1"/>
  <c r="J3160" i="13" s="1"/>
  <c r="C3160" i="13"/>
  <c r="F3160" i="13" s="1"/>
  <c r="B3160" i="13"/>
  <c r="G3159" i="13"/>
  <c r="H3159" i="13" s="1"/>
  <c r="J3159" i="13" s="1"/>
  <c r="C3159" i="13"/>
  <c r="F3159" i="13" s="1"/>
  <c r="B3159" i="13"/>
  <c r="G3158" i="13"/>
  <c r="H3158" i="13" s="1"/>
  <c r="J3158" i="13" s="1"/>
  <c r="C3158" i="13"/>
  <c r="F3158" i="13" s="1"/>
  <c r="B3158" i="13"/>
  <c r="G3157" i="13"/>
  <c r="H3157" i="13" s="1"/>
  <c r="J3157" i="13" s="1"/>
  <c r="C3157" i="13"/>
  <c r="F3157" i="13" s="1"/>
  <c r="B3157" i="13"/>
  <c r="G3156" i="13"/>
  <c r="H3156" i="13" s="1"/>
  <c r="J3156" i="13" s="1"/>
  <c r="C3156" i="13"/>
  <c r="F3156" i="13" s="1"/>
  <c r="B3156" i="13"/>
  <c r="G3155" i="13"/>
  <c r="H3155" i="13" s="1"/>
  <c r="J3155" i="13" s="1"/>
  <c r="C3155" i="13"/>
  <c r="F3155" i="13" s="1"/>
  <c r="B3155" i="13"/>
  <c r="G3154" i="13"/>
  <c r="H3154" i="13" s="1"/>
  <c r="C3154" i="13"/>
  <c r="F3154" i="13" s="1"/>
  <c r="B3154" i="13"/>
  <c r="G3153" i="13"/>
  <c r="H3153" i="13" s="1"/>
  <c r="J3153" i="13" s="1"/>
  <c r="C3153" i="13"/>
  <c r="F3153" i="13" s="1"/>
  <c r="B3153" i="13"/>
  <c r="G3152" i="13"/>
  <c r="H3152" i="13" s="1"/>
  <c r="J3152" i="13" s="1"/>
  <c r="C3152" i="13"/>
  <c r="F3152" i="13" s="1"/>
  <c r="B3152" i="13"/>
  <c r="G3151" i="13"/>
  <c r="H3151" i="13" s="1"/>
  <c r="J3151" i="13" s="1"/>
  <c r="C3151" i="13"/>
  <c r="F3151" i="13" s="1"/>
  <c r="B3151" i="13"/>
  <c r="G3150" i="13"/>
  <c r="H3150" i="13" s="1"/>
  <c r="J3150" i="13" s="1"/>
  <c r="C3150" i="13"/>
  <c r="F3150" i="13" s="1"/>
  <c r="B3150" i="13"/>
  <c r="G3149" i="13"/>
  <c r="H3149" i="13" s="1"/>
  <c r="J3149" i="13" s="1"/>
  <c r="C3149" i="13"/>
  <c r="F3149" i="13" s="1"/>
  <c r="B3149" i="13"/>
  <c r="G3148" i="13"/>
  <c r="H3148" i="13" s="1"/>
  <c r="J3148" i="13" s="1"/>
  <c r="C3148" i="13"/>
  <c r="F3148" i="13" s="1"/>
  <c r="B3148" i="13"/>
  <c r="G3147" i="13"/>
  <c r="H3147" i="13" s="1"/>
  <c r="J3147" i="13" s="1"/>
  <c r="C3147" i="13"/>
  <c r="F3147" i="13" s="1"/>
  <c r="B3147" i="13"/>
  <c r="G3146" i="13"/>
  <c r="H3146" i="13" s="1"/>
  <c r="J3146" i="13" s="1"/>
  <c r="C3146" i="13"/>
  <c r="F3146" i="13" s="1"/>
  <c r="B3146" i="13"/>
  <c r="G3145" i="13"/>
  <c r="H3145" i="13" s="1"/>
  <c r="J3145" i="13" s="1"/>
  <c r="C3145" i="13"/>
  <c r="F3145" i="13" s="1"/>
  <c r="B3145" i="13"/>
  <c r="G3144" i="13"/>
  <c r="H3144" i="13" s="1"/>
  <c r="J3144" i="13" s="1"/>
  <c r="C3144" i="13"/>
  <c r="F3144" i="13" s="1"/>
  <c r="B3144" i="13"/>
  <c r="G3143" i="13"/>
  <c r="H3143" i="13" s="1"/>
  <c r="C3143" i="13"/>
  <c r="F3143" i="13" s="1"/>
  <c r="B3143" i="13"/>
  <c r="G3142" i="13"/>
  <c r="H3142" i="13" s="1"/>
  <c r="J3142" i="13" s="1"/>
  <c r="C3142" i="13"/>
  <c r="F3142" i="13" s="1"/>
  <c r="B3142" i="13"/>
  <c r="G3141" i="13"/>
  <c r="H3141" i="13" s="1"/>
  <c r="J3141" i="13" s="1"/>
  <c r="C3141" i="13"/>
  <c r="F3141" i="13" s="1"/>
  <c r="B3141" i="13"/>
  <c r="G3140" i="13"/>
  <c r="H3140" i="13" s="1"/>
  <c r="J3140" i="13" s="1"/>
  <c r="C3140" i="13"/>
  <c r="F3140" i="13" s="1"/>
  <c r="B3140" i="13"/>
  <c r="G3139" i="13"/>
  <c r="H3139" i="13" s="1"/>
  <c r="J3139" i="13" s="1"/>
  <c r="C3139" i="13"/>
  <c r="F3139" i="13" s="1"/>
  <c r="B3139" i="13"/>
  <c r="G3138" i="13"/>
  <c r="H3138" i="13" s="1"/>
  <c r="J3138" i="13" s="1"/>
  <c r="C3138" i="13"/>
  <c r="F3138" i="13" s="1"/>
  <c r="B3138" i="13"/>
  <c r="G3137" i="13"/>
  <c r="H3137" i="13" s="1"/>
  <c r="J3137" i="13" s="1"/>
  <c r="C3137" i="13"/>
  <c r="F3137" i="13" s="1"/>
  <c r="B3137" i="13"/>
  <c r="G3136" i="13"/>
  <c r="H3136" i="13" s="1"/>
  <c r="J3136" i="13" s="1"/>
  <c r="C3136" i="13"/>
  <c r="F3136" i="13" s="1"/>
  <c r="B3136" i="13"/>
  <c r="G3135" i="13"/>
  <c r="H3135" i="13" s="1"/>
  <c r="J3135" i="13" s="1"/>
  <c r="C3135" i="13"/>
  <c r="F3135" i="13" s="1"/>
  <c r="B3135" i="13"/>
  <c r="G3134" i="13"/>
  <c r="H3134" i="13" s="1"/>
  <c r="J3134" i="13" s="1"/>
  <c r="C3134" i="13"/>
  <c r="F3134" i="13" s="1"/>
  <c r="B3134" i="13"/>
  <c r="G3133" i="13"/>
  <c r="H3133" i="13" s="1"/>
  <c r="J3133" i="13" s="1"/>
  <c r="C3133" i="13"/>
  <c r="F3133" i="13" s="1"/>
  <c r="B3133" i="13"/>
  <c r="G3132" i="13"/>
  <c r="H3132" i="13" s="1"/>
  <c r="J3132" i="13" s="1"/>
  <c r="C3132" i="13"/>
  <c r="F3132" i="13" s="1"/>
  <c r="B3132" i="13"/>
  <c r="G3131" i="13"/>
  <c r="H3131" i="13" s="1"/>
  <c r="J3131" i="13" s="1"/>
  <c r="C3131" i="13"/>
  <c r="F3131" i="13" s="1"/>
  <c r="B3131" i="13"/>
  <c r="G3130" i="13"/>
  <c r="H3130" i="13" s="1"/>
  <c r="J3130" i="13" s="1"/>
  <c r="C3130" i="13"/>
  <c r="F3130" i="13" s="1"/>
  <c r="B3130" i="13"/>
  <c r="G3129" i="13"/>
  <c r="H3129" i="13" s="1"/>
  <c r="J3129" i="13" s="1"/>
  <c r="C3129" i="13"/>
  <c r="F3129" i="13" s="1"/>
  <c r="B3129" i="13"/>
  <c r="G3128" i="13"/>
  <c r="H3128" i="13" s="1"/>
  <c r="J3128" i="13" s="1"/>
  <c r="C3128" i="13"/>
  <c r="F3128" i="13" s="1"/>
  <c r="B3128" i="13"/>
  <c r="G3127" i="13"/>
  <c r="H3127" i="13" s="1"/>
  <c r="J3127" i="13" s="1"/>
  <c r="C3127" i="13"/>
  <c r="F3127" i="13" s="1"/>
  <c r="B3127" i="13"/>
  <c r="G3126" i="13"/>
  <c r="H3126" i="13" s="1"/>
  <c r="J3126" i="13" s="1"/>
  <c r="C3126" i="13"/>
  <c r="F3126" i="13" s="1"/>
  <c r="B3126" i="13"/>
  <c r="G3125" i="13"/>
  <c r="H3125" i="13" s="1"/>
  <c r="J3125" i="13" s="1"/>
  <c r="C3125" i="13"/>
  <c r="F3125" i="13" s="1"/>
  <c r="B3125" i="13"/>
  <c r="G3124" i="13"/>
  <c r="H3124" i="13" s="1"/>
  <c r="J3124" i="13" s="1"/>
  <c r="C3124" i="13"/>
  <c r="F3124" i="13" s="1"/>
  <c r="B3124" i="13"/>
  <c r="G3123" i="13"/>
  <c r="H3123" i="13" s="1"/>
  <c r="J3123" i="13" s="1"/>
  <c r="C3123" i="13"/>
  <c r="F3123" i="13" s="1"/>
  <c r="B3123" i="13"/>
  <c r="G3122" i="13"/>
  <c r="H3122" i="13" s="1"/>
  <c r="J3122" i="13" s="1"/>
  <c r="C3122" i="13"/>
  <c r="F3122" i="13" s="1"/>
  <c r="B3122" i="13"/>
  <c r="G3121" i="13"/>
  <c r="H3121" i="13" s="1"/>
  <c r="J3121" i="13" s="1"/>
  <c r="C3121" i="13"/>
  <c r="F3121" i="13" s="1"/>
  <c r="B3121" i="13"/>
  <c r="G3120" i="13"/>
  <c r="H3120" i="13" s="1"/>
  <c r="J3120" i="13" s="1"/>
  <c r="C3120" i="13"/>
  <c r="F3120" i="13" s="1"/>
  <c r="B3120" i="13"/>
  <c r="G3119" i="13"/>
  <c r="H3119" i="13" s="1"/>
  <c r="J3119" i="13" s="1"/>
  <c r="C3119" i="13"/>
  <c r="F3119" i="13" s="1"/>
  <c r="B3119" i="13"/>
  <c r="G3118" i="13"/>
  <c r="H3118" i="13" s="1"/>
  <c r="C3118" i="13"/>
  <c r="F3118" i="13" s="1"/>
  <c r="B3118" i="13"/>
  <c r="G3117" i="13"/>
  <c r="H3117" i="13" s="1"/>
  <c r="J3117" i="13" s="1"/>
  <c r="C3117" i="13"/>
  <c r="F3117" i="13" s="1"/>
  <c r="B3117" i="13"/>
  <c r="G3116" i="13"/>
  <c r="H3116" i="13" s="1"/>
  <c r="J3116" i="13" s="1"/>
  <c r="C3116" i="13"/>
  <c r="F3116" i="13" s="1"/>
  <c r="B3116" i="13"/>
  <c r="G3115" i="13"/>
  <c r="H3115" i="13" s="1"/>
  <c r="J3115" i="13" s="1"/>
  <c r="C3115" i="13"/>
  <c r="F3115" i="13" s="1"/>
  <c r="B3115" i="13"/>
  <c r="G3114" i="13"/>
  <c r="H3114" i="13" s="1"/>
  <c r="J3114" i="13" s="1"/>
  <c r="C3114" i="13"/>
  <c r="F3114" i="13" s="1"/>
  <c r="B3114" i="13"/>
  <c r="G3113" i="13"/>
  <c r="H3113" i="13" s="1"/>
  <c r="J3113" i="13" s="1"/>
  <c r="C3113" i="13"/>
  <c r="F3113" i="13" s="1"/>
  <c r="B3113" i="13"/>
  <c r="G3112" i="13"/>
  <c r="H3112" i="13" s="1"/>
  <c r="J3112" i="13" s="1"/>
  <c r="C3112" i="13"/>
  <c r="F3112" i="13" s="1"/>
  <c r="B3112" i="13"/>
  <c r="G3111" i="13"/>
  <c r="H3111" i="13" s="1"/>
  <c r="J3111" i="13" s="1"/>
  <c r="C3111" i="13"/>
  <c r="F3111" i="13" s="1"/>
  <c r="B3111" i="13"/>
  <c r="G3110" i="13"/>
  <c r="H3110" i="13" s="1"/>
  <c r="J3110" i="13" s="1"/>
  <c r="C3110" i="13"/>
  <c r="F3110" i="13" s="1"/>
  <c r="B3110" i="13"/>
  <c r="G3109" i="13"/>
  <c r="H3109" i="13" s="1"/>
  <c r="J3109" i="13" s="1"/>
  <c r="C3109" i="13"/>
  <c r="F3109" i="13" s="1"/>
  <c r="B3109" i="13"/>
  <c r="G3108" i="13"/>
  <c r="H3108" i="13" s="1"/>
  <c r="J3108" i="13" s="1"/>
  <c r="C3108" i="13"/>
  <c r="F3108" i="13" s="1"/>
  <c r="B3108" i="13"/>
  <c r="G3107" i="13"/>
  <c r="H3107" i="13" s="1"/>
  <c r="J3107" i="13" s="1"/>
  <c r="C3107" i="13"/>
  <c r="F3107" i="13" s="1"/>
  <c r="B3107" i="13"/>
  <c r="G3106" i="13"/>
  <c r="H3106" i="13" s="1"/>
  <c r="C3106" i="13"/>
  <c r="F3106" i="13" s="1"/>
  <c r="B3106" i="13"/>
  <c r="G3105" i="13"/>
  <c r="H3105" i="13" s="1"/>
  <c r="J3105" i="13" s="1"/>
  <c r="C3105" i="13"/>
  <c r="F3105" i="13" s="1"/>
  <c r="B3105" i="13"/>
  <c r="G3104" i="13"/>
  <c r="H3104" i="13" s="1"/>
  <c r="J3104" i="13" s="1"/>
  <c r="C3104" i="13"/>
  <c r="F3104" i="13" s="1"/>
  <c r="B3104" i="13"/>
  <c r="G3103" i="13"/>
  <c r="H3103" i="13" s="1"/>
  <c r="J3103" i="13" s="1"/>
  <c r="C3103" i="13"/>
  <c r="F3103" i="13" s="1"/>
  <c r="B3103" i="13"/>
  <c r="G3102" i="13"/>
  <c r="H3102" i="13" s="1"/>
  <c r="J3102" i="13" s="1"/>
  <c r="C3102" i="13"/>
  <c r="F3102" i="13" s="1"/>
  <c r="B3102" i="13"/>
  <c r="G3101" i="13"/>
  <c r="H3101" i="13" s="1"/>
  <c r="J3101" i="13" s="1"/>
  <c r="C3101" i="13"/>
  <c r="F3101" i="13" s="1"/>
  <c r="B3101" i="13"/>
  <c r="G3100" i="13"/>
  <c r="H3100" i="13" s="1"/>
  <c r="J3100" i="13" s="1"/>
  <c r="C3100" i="13"/>
  <c r="F3100" i="13" s="1"/>
  <c r="B3100" i="13"/>
  <c r="G3099" i="13"/>
  <c r="H3099" i="13" s="1"/>
  <c r="J3099" i="13" s="1"/>
  <c r="C3099" i="13"/>
  <c r="F3099" i="13" s="1"/>
  <c r="B3099" i="13"/>
  <c r="G3098" i="13"/>
  <c r="H3098" i="13" s="1"/>
  <c r="J3098" i="13" s="1"/>
  <c r="C3098" i="13"/>
  <c r="F3098" i="13" s="1"/>
  <c r="B3098" i="13"/>
  <c r="G3097" i="13"/>
  <c r="H3097" i="13" s="1"/>
  <c r="J3097" i="13" s="1"/>
  <c r="C3097" i="13"/>
  <c r="F3097" i="13" s="1"/>
  <c r="B3097" i="13"/>
  <c r="G3096" i="13"/>
  <c r="H3096" i="13" s="1"/>
  <c r="C3096" i="13"/>
  <c r="F3096" i="13" s="1"/>
  <c r="B3096" i="13"/>
  <c r="G3095" i="13"/>
  <c r="H3095" i="13" s="1"/>
  <c r="J3095" i="13" s="1"/>
  <c r="C3095" i="13"/>
  <c r="F3095" i="13" s="1"/>
  <c r="B3095" i="13"/>
  <c r="G3094" i="13"/>
  <c r="H3094" i="13" s="1"/>
  <c r="J3094" i="13" s="1"/>
  <c r="C3094" i="13"/>
  <c r="F3094" i="13" s="1"/>
  <c r="B3094" i="13"/>
  <c r="G3093" i="13"/>
  <c r="H3093" i="13" s="1"/>
  <c r="J3093" i="13" s="1"/>
  <c r="C3093" i="13"/>
  <c r="F3093" i="13" s="1"/>
  <c r="B3093" i="13"/>
  <c r="G3092" i="13"/>
  <c r="H3092" i="13" s="1"/>
  <c r="J3092" i="13" s="1"/>
  <c r="C3092" i="13"/>
  <c r="F3092" i="13" s="1"/>
  <c r="B3092" i="13"/>
  <c r="G3091" i="13"/>
  <c r="H3091" i="13" s="1"/>
  <c r="J3091" i="13" s="1"/>
  <c r="C3091" i="13"/>
  <c r="F3091" i="13" s="1"/>
  <c r="B3091" i="13"/>
  <c r="G3090" i="13"/>
  <c r="H3090" i="13" s="1"/>
  <c r="C3090" i="13"/>
  <c r="F3090" i="13" s="1"/>
  <c r="B3090" i="13"/>
  <c r="G3089" i="13"/>
  <c r="H3089" i="13" s="1"/>
  <c r="J3089" i="13" s="1"/>
  <c r="C3089" i="13"/>
  <c r="F3089" i="13" s="1"/>
  <c r="B3089" i="13"/>
  <c r="G3088" i="13"/>
  <c r="H3088" i="13" s="1"/>
  <c r="J3088" i="13" s="1"/>
  <c r="C3088" i="13"/>
  <c r="F3088" i="13" s="1"/>
  <c r="B3088" i="13"/>
  <c r="G3087" i="13"/>
  <c r="H3087" i="13" s="1"/>
  <c r="J3087" i="13" s="1"/>
  <c r="C3087" i="13"/>
  <c r="F3087" i="13" s="1"/>
  <c r="B3087" i="13"/>
  <c r="G3086" i="13"/>
  <c r="H3086" i="13" s="1"/>
  <c r="J3086" i="13" s="1"/>
  <c r="C3086" i="13"/>
  <c r="F3086" i="13" s="1"/>
  <c r="B3086" i="13"/>
  <c r="G3085" i="13"/>
  <c r="H3085" i="13" s="1"/>
  <c r="J3085" i="13" s="1"/>
  <c r="C3085" i="13"/>
  <c r="F3085" i="13" s="1"/>
  <c r="B3085" i="13"/>
  <c r="G3084" i="13"/>
  <c r="H3084" i="13" s="1"/>
  <c r="J3084" i="13" s="1"/>
  <c r="C3084" i="13"/>
  <c r="F3084" i="13" s="1"/>
  <c r="B3084" i="13"/>
  <c r="G3083" i="13"/>
  <c r="H3083" i="13" s="1"/>
  <c r="J3083" i="13" s="1"/>
  <c r="C3083" i="13"/>
  <c r="F3083" i="13" s="1"/>
  <c r="B3083" i="13"/>
  <c r="G3082" i="13"/>
  <c r="H3082" i="13" s="1"/>
  <c r="J3082" i="13" s="1"/>
  <c r="C3082" i="13"/>
  <c r="F3082" i="13" s="1"/>
  <c r="B3082" i="13"/>
  <c r="G3081" i="13"/>
  <c r="H3081" i="13" s="1"/>
  <c r="J3081" i="13" s="1"/>
  <c r="C3081" i="13"/>
  <c r="F3081" i="13" s="1"/>
  <c r="B3081" i="13"/>
  <c r="G3080" i="13"/>
  <c r="H3080" i="13" s="1"/>
  <c r="J3080" i="13" s="1"/>
  <c r="C3080" i="13"/>
  <c r="F3080" i="13" s="1"/>
  <c r="B3080" i="13"/>
  <c r="G3079" i="13"/>
  <c r="H3079" i="13" s="1"/>
  <c r="J3079" i="13" s="1"/>
  <c r="C3079" i="13"/>
  <c r="F3079" i="13" s="1"/>
  <c r="B3079" i="13"/>
  <c r="G3078" i="13"/>
  <c r="H3078" i="13" s="1"/>
  <c r="J3078" i="13" s="1"/>
  <c r="C3078" i="13"/>
  <c r="F3078" i="13" s="1"/>
  <c r="B3078" i="13"/>
  <c r="G3077" i="13"/>
  <c r="H3077" i="13" s="1"/>
  <c r="J3077" i="13" s="1"/>
  <c r="C3077" i="13"/>
  <c r="F3077" i="13" s="1"/>
  <c r="B3077" i="13"/>
  <c r="G3076" i="13"/>
  <c r="H3076" i="13" s="1"/>
  <c r="J3076" i="13" s="1"/>
  <c r="C3076" i="13"/>
  <c r="F3076" i="13" s="1"/>
  <c r="B3076" i="13"/>
  <c r="G3075" i="13"/>
  <c r="H3075" i="13" s="1"/>
  <c r="J3075" i="13" s="1"/>
  <c r="C3075" i="13"/>
  <c r="F3075" i="13" s="1"/>
  <c r="B3075" i="13"/>
  <c r="G3074" i="13"/>
  <c r="H3074" i="13" s="1"/>
  <c r="J3074" i="13" s="1"/>
  <c r="C3074" i="13"/>
  <c r="F3074" i="13" s="1"/>
  <c r="B3074" i="13"/>
  <c r="G3073" i="13"/>
  <c r="H3073" i="13" s="1"/>
  <c r="J3073" i="13" s="1"/>
  <c r="C3073" i="13"/>
  <c r="F3073" i="13" s="1"/>
  <c r="B3073" i="13"/>
  <c r="G3072" i="13"/>
  <c r="H3072" i="13" s="1"/>
  <c r="J3072" i="13" s="1"/>
  <c r="C3072" i="13"/>
  <c r="F3072" i="13" s="1"/>
  <c r="B3072" i="13"/>
  <c r="G3071" i="13"/>
  <c r="H3071" i="13" s="1"/>
  <c r="J3071" i="13" s="1"/>
  <c r="C3071" i="13"/>
  <c r="F3071" i="13" s="1"/>
  <c r="B3071" i="13"/>
  <c r="G3070" i="13"/>
  <c r="H3070" i="13" s="1"/>
  <c r="J3070" i="13" s="1"/>
  <c r="C3070" i="13"/>
  <c r="F3070" i="13" s="1"/>
  <c r="B3070" i="13"/>
  <c r="G3069" i="13"/>
  <c r="H3069" i="13" s="1"/>
  <c r="J3069" i="13" s="1"/>
  <c r="C3069" i="13"/>
  <c r="F3069" i="13" s="1"/>
  <c r="B3069" i="13"/>
  <c r="G3068" i="13"/>
  <c r="H3068" i="13" s="1"/>
  <c r="J3068" i="13" s="1"/>
  <c r="C3068" i="13"/>
  <c r="F3068" i="13" s="1"/>
  <c r="B3068" i="13"/>
  <c r="G3067" i="13"/>
  <c r="H3067" i="13" s="1"/>
  <c r="C3067" i="13"/>
  <c r="F3067" i="13" s="1"/>
  <c r="B3067" i="13"/>
  <c r="G3066" i="13"/>
  <c r="H3066" i="13" s="1"/>
  <c r="J3066" i="13" s="1"/>
  <c r="C3066" i="13"/>
  <c r="F3066" i="13" s="1"/>
  <c r="B3066" i="13"/>
  <c r="G3065" i="13"/>
  <c r="H3065" i="13" s="1"/>
  <c r="J3065" i="13" s="1"/>
  <c r="C3065" i="13"/>
  <c r="F3065" i="13" s="1"/>
  <c r="B3065" i="13"/>
  <c r="G3064" i="13"/>
  <c r="H3064" i="13" s="1"/>
  <c r="J3064" i="13" s="1"/>
  <c r="C3064" i="13"/>
  <c r="F3064" i="13" s="1"/>
  <c r="B3064" i="13"/>
  <c r="G3063" i="13"/>
  <c r="H3063" i="13" s="1"/>
  <c r="J3063" i="13" s="1"/>
  <c r="C3063" i="13"/>
  <c r="F3063" i="13" s="1"/>
  <c r="B3063" i="13"/>
  <c r="G3062" i="13"/>
  <c r="H3062" i="13" s="1"/>
  <c r="J3062" i="13" s="1"/>
  <c r="C3062" i="13"/>
  <c r="F3062" i="13" s="1"/>
  <c r="B3062" i="13"/>
  <c r="G3061" i="13"/>
  <c r="H3061" i="13" s="1"/>
  <c r="J3061" i="13" s="1"/>
  <c r="C3061" i="13"/>
  <c r="F3061" i="13" s="1"/>
  <c r="B3061" i="13"/>
  <c r="G3060" i="13"/>
  <c r="H3060" i="13" s="1"/>
  <c r="J3060" i="13" s="1"/>
  <c r="C3060" i="13"/>
  <c r="F3060" i="13" s="1"/>
  <c r="B3060" i="13"/>
  <c r="G3059" i="13"/>
  <c r="H3059" i="13" s="1"/>
  <c r="J3059" i="13" s="1"/>
  <c r="C3059" i="13"/>
  <c r="F3059" i="13" s="1"/>
  <c r="B3059" i="13"/>
  <c r="G3058" i="13"/>
  <c r="H3058" i="13" s="1"/>
  <c r="J3058" i="13" s="1"/>
  <c r="C3058" i="13"/>
  <c r="F3058" i="13" s="1"/>
  <c r="B3058" i="13"/>
  <c r="G3057" i="13"/>
  <c r="H3057" i="13" s="1"/>
  <c r="J3057" i="13" s="1"/>
  <c r="C3057" i="13"/>
  <c r="F3057" i="13" s="1"/>
  <c r="B3057" i="13"/>
  <c r="G3056" i="13"/>
  <c r="H3056" i="13" s="1"/>
  <c r="J3056" i="13" s="1"/>
  <c r="C3056" i="13"/>
  <c r="F3056" i="13" s="1"/>
  <c r="B3056" i="13"/>
  <c r="G3055" i="13"/>
  <c r="H3055" i="13" s="1"/>
  <c r="J3055" i="13" s="1"/>
  <c r="C3055" i="13"/>
  <c r="F3055" i="13" s="1"/>
  <c r="B3055" i="13"/>
  <c r="G3054" i="13"/>
  <c r="H3054" i="13" s="1"/>
  <c r="J3054" i="13" s="1"/>
  <c r="C3054" i="13"/>
  <c r="F3054" i="13" s="1"/>
  <c r="B3054" i="13"/>
  <c r="G3053" i="13"/>
  <c r="H3053" i="13" s="1"/>
  <c r="J3053" i="13" s="1"/>
  <c r="C3053" i="13"/>
  <c r="F3053" i="13" s="1"/>
  <c r="B3053" i="13"/>
  <c r="G3052" i="13"/>
  <c r="H3052" i="13" s="1"/>
  <c r="J3052" i="13" s="1"/>
  <c r="C3052" i="13"/>
  <c r="F3052" i="13" s="1"/>
  <c r="B3052" i="13"/>
  <c r="G3051" i="13"/>
  <c r="H3051" i="13" s="1"/>
  <c r="J3051" i="13" s="1"/>
  <c r="C3051" i="13"/>
  <c r="F3051" i="13" s="1"/>
  <c r="B3051" i="13"/>
  <c r="G3050" i="13"/>
  <c r="H3050" i="13" s="1"/>
  <c r="J3050" i="13" s="1"/>
  <c r="C3050" i="13"/>
  <c r="F3050" i="13" s="1"/>
  <c r="B3050" i="13"/>
  <c r="G3049" i="13"/>
  <c r="H3049" i="13" s="1"/>
  <c r="J3049" i="13" s="1"/>
  <c r="C3049" i="13"/>
  <c r="F3049" i="13" s="1"/>
  <c r="B3049" i="13"/>
  <c r="G3048" i="13"/>
  <c r="H3048" i="13" s="1"/>
  <c r="J3048" i="13" s="1"/>
  <c r="C3048" i="13"/>
  <c r="F3048" i="13" s="1"/>
  <c r="B3048" i="13"/>
  <c r="G3047" i="13"/>
  <c r="H3047" i="13" s="1"/>
  <c r="J3047" i="13" s="1"/>
  <c r="C3047" i="13"/>
  <c r="F3047" i="13" s="1"/>
  <c r="B3047" i="13"/>
  <c r="G3046" i="13"/>
  <c r="H3046" i="13" s="1"/>
  <c r="J3046" i="13" s="1"/>
  <c r="C3046" i="13"/>
  <c r="F3046" i="13" s="1"/>
  <c r="B3046" i="13"/>
  <c r="G3045" i="13"/>
  <c r="H3045" i="13" s="1"/>
  <c r="J3045" i="13" s="1"/>
  <c r="C3045" i="13"/>
  <c r="F3045" i="13" s="1"/>
  <c r="B3045" i="13"/>
  <c r="G3044" i="13"/>
  <c r="H3044" i="13" s="1"/>
  <c r="J3044" i="13" s="1"/>
  <c r="C3044" i="13"/>
  <c r="F3044" i="13" s="1"/>
  <c r="B3044" i="13"/>
  <c r="G3043" i="13"/>
  <c r="H3043" i="13" s="1"/>
  <c r="J3043" i="13" s="1"/>
  <c r="C3043" i="13"/>
  <c r="F3043" i="13" s="1"/>
  <c r="B3043" i="13"/>
  <c r="G3042" i="13"/>
  <c r="H3042" i="13" s="1"/>
  <c r="J3042" i="13" s="1"/>
  <c r="C3042" i="13"/>
  <c r="F3042" i="13" s="1"/>
  <c r="B3042" i="13"/>
  <c r="G3041" i="13"/>
  <c r="H3041" i="13" s="1"/>
  <c r="J3041" i="13" s="1"/>
  <c r="C3041" i="13"/>
  <c r="F3041" i="13" s="1"/>
  <c r="B3041" i="13"/>
  <c r="G3040" i="13"/>
  <c r="H3040" i="13" s="1"/>
  <c r="J3040" i="13" s="1"/>
  <c r="C3040" i="13"/>
  <c r="F3040" i="13" s="1"/>
  <c r="B3040" i="13"/>
  <c r="G3039" i="13"/>
  <c r="H3039" i="13" s="1"/>
  <c r="J3039" i="13" s="1"/>
  <c r="C3039" i="13"/>
  <c r="F3039" i="13" s="1"/>
  <c r="B3039" i="13"/>
  <c r="G3038" i="13"/>
  <c r="H3038" i="13" s="1"/>
  <c r="J3038" i="13" s="1"/>
  <c r="C3038" i="13"/>
  <c r="F3038" i="13" s="1"/>
  <c r="B3038" i="13"/>
  <c r="G3037" i="13"/>
  <c r="H3037" i="13" s="1"/>
  <c r="J3037" i="13" s="1"/>
  <c r="C3037" i="13"/>
  <c r="F3037" i="13" s="1"/>
  <c r="B3037" i="13"/>
  <c r="G3036" i="13"/>
  <c r="H3036" i="13" s="1"/>
  <c r="J3036" i="13" s="1"/>
  <c r="C3036" i="13"/>
  <c r="F3036" i="13" s="1"/>
  <c r="B3036" i="13"/>
  <c r="G3035" i="13"/>
  <c r="H3035" i="13" s="1"/>
  <c r="J3035" i="13" s="1"/>
  <c r="C3035" i="13"/>
  <c r="F3035" i="13" s="1"/>
  <c r="B3035" i="13"/>
  <c r="G3034" i="13"/>
  <c r="H3034" i="13" s="1"/>
  <c r="J3034" i="13" s="1"/>
  <c r="C3034" i="13"/>
  <c r="F3034" i="13" s="1"/>
  <c r="B3034" i="13"/>
  <c r="G3033" i="13"/>
  <c r="H3033" i="13" s="1"/>
  <c r="J3033" i="13" s="1"/>
  <c r="C3033" i="13"/>
  <c r="F3033" i="13" s="1"/>
  <c r="B3033" i="13"/>
  <c r="G3032" i="13"/>
  <c r="H3032" i="13" s="1"/>
  <c r="J3032" i="13" s="1"/>
  <c r="C3032" i="13"/>
  <c r="F3032" i="13" s="1"/>
  <c r="B3032" i="13"/>
  <c r="G3031" i="13"/>
  <c r="H3031" i="13" s="1"/>
  <c r="C3031" i="13"/>
  <c r="F3031" i="13" s="1"/>
  <c r="B3031" i="13"/>
  <c r="G3030" i="13"/>
  <c r="H3030" i="13" s="1"/>
  <c r="J3030" i="13" s="1"/>
  <c r="C3030" i="13"/>
  <c r="F3030" i="13" s="1"/>
  <c r="B3030" i="13"/>
  <c r="G3029" i="13"/>
  <c r="H3029" i="13" s="1"/>
  <c r="J3029" i="13" s="1"/>
  <c r="C3029" i="13"/>
  <c r="F3029" i="13" s="1"/>
  <c r="B3029" i="13"/>
  <c r="G3028" i="13"/>
  <c r="H3028" i="13" s="1"/>
  <c r="J3028" i="13" s="1"/>
  <c r="C3028" i="13"/>
  <c r="F3028" i="13" s="1"/>
  <c r="B3028" i="13"/>
  <c r="G3027" i="13"/>
  <c r="H3027" i="13" s="1"/>
  <c r="J3027" i="13" s="1"/>
  <c r="C3027" i="13"/>
  <c r="F3027" i="13" s="1"/>
  <c r="B3027" i="13"/>
  <c r="G3026" i="13"/>
  <c r="H3026" i="13" s="1"/>
  <c r="J3026" i="13" s="1"/>
  <c r="C3026" i="13"/>
  <c r="F3026" i="13" s="1"/>
  <c r="B3026" i="13"/>
  <c r="G3025" i="13"/>
  <c r="H3025" i="13" s="1"/>
  <c r="J3025" i="13" s="1"/>
  <c r="C3025" i="13"/>
  <c r="F3025" i="13" s="1"/>
  <c r="B3025" i="13"/>
  <c r="G3024" i="13"/>
  <c r="H3024" i="13" s="1"/>
  <c r="J3024" i="13" s="1"/>
  <c r="C3024" i="13"/>
  <c r="F3024" i="13" s="1"/>
  <c r="B3024" i="13"/>
  <c r="G3023" i="13"/>
  <c r="H3023" i="13" s="1"/>
  <c r="J3023" i="13" s="1"/>
  <c r="C3023" i="13"/>
  <c r="F3023" i="13" s="1"/>
  <c r="B3023" i="13"/>
  <c r="G3022" i="13"/>
  <c r="H3022" i="13" s="1"/>
  <c r="J3022" i="13" s="1"/>
  <c r="C3022" i="13"/>
  <c r="F3022" i="13" s="1"/>
  <c r="B3022" i="13"/>
  <c r="G3021" i="13"/>
  <c r="H3021" i="13" s="1"/>
  <c r="J3021" i="13" s="1"/>
  <c r="C3021" i="13"/>
  <c r="F3021" i="13" s="1"/>
  <c r="B3021" i="13"/>
  <c r="G3020" i="13"/>
  <c r="H3020" i="13" s="1"/>
  <c r="J3020" i="13" s="1"/>
  <c r="C3020" i="13"/>
  <c r="F3020" i="13" s="1"/>
  <c r="B3020" i="13"/>
  <c r="G3019" i="13"/>
  <c r="H3019" i="13" s="1"/>
  <c r="J3019" i="13" s="1"/>
  <c r="C3019" i="13"/>
  <c r="F3019" i="13" s="1"/>
  <c r="B3019" i="13"/>
  <c r="G3018" i="13"/>
  <c r="H3018" i="13" s="1"/>
  <c r="J3018" i="13" s="1"/>
  <c r="C3018" i="13"/>
  <c r="F3018" i="13" s="1"/>
  <c r="B3018" i="13"/>
  <c r="G3017" i="13"/>
  <c r="H3017" i="13" s="1"/>
  <c r="J3017" i="13" s="1"/>
  <c r="C3017" i="13"/>
  <c r="F3017" i="13" s="1"/>
  <c r="B3017" i="13"/>
  <c r="G3016" i="13"/>
  <c r="H3016" i="13" s="1"/>
  <c r="J3016" i="13" s="1"/>
  <c r="C3016" i="13"/>
  <c r="F3016" i="13" s="1"/>
  <c r="B3016" i="13"/>
  <c r="G3015" i="13"/>
  <c r="H3015" i="13" s="1"/>
  <c r="J3015" i="13" s="1"/>
  <c r="C3015" i="13"/>
  <c r="F3015" i="13" s="1"/>
  <c r="B3015" i="13"/>
  <c r="G3014" i="13"/>
  <c r="H3014" i="13" s="1"/>
  <c r="J3014" i="13" s="1"/>
  <c r="C3014" i="13"/>
  <c r="F3014" i="13" s="1"/>
  <c r="B3014" i="13"/>
  <c r="G3013" i="13"/>
  <c r="H3013" i="13" s="1"/>
  <c r="J3013" i="13" s="1"/>
  <c r="C3013" i="13"/>
  <c r="F3013" i="13" s="1"/>
  <c r="B3013" i="13"/>
  <c r="G3012" i="13"/>
  <c r="H3012" i="13" s="1"/>
  <c r="J3012" i="13" s="1"/>
  <c r="C3012" i="13"/>
  <c r="F3012" i="13" s="1"/>
  <c r="B3012" i="13"/>
  <c r="G3011" i="13"/>
  <c r="H3011" i="13" s="1"/>
  <c r="J3011" i="13" s="1"/>
  <c r="C3011" i="13"/>
  <c r="F3011" i="13" s="1"/>
  <c r="B3011" i="13"/>
  <c r="G3010" i="13"/>
  <c r="H3010" i="13" s="1"/>
  <c r="J3010" i="13" s="1"/>
  <c r="C3010" i="13"/>
  <c r="F3010" i="13" s="1"/>
  <c r="B3010" i="13"/>
  <c r="G3009" i="13"/>
  <c r="H3009" i="13" s="1"/>
  <c r="J3009" i="13" s="1"/>
  <c r="C3009" i="13"/>
  <c r="F3009" i="13" s="1"/>
  <c r="B3009" i="13"/>
  <c r="G3008" i="13"/>
  <c r="H3008" i="13" s="1"/>
  <c r="J3008" i="13" s="1"/>
  <c r="C3008" i="13"/>
  <c r="F3008" i="13" s="1"/>
  <c r="B3008" i="13"/>
  <c r="G3007" i="13"/>
  <c r="H3007" i="13" s="1"/>
  <c r="J3007" i="13" s="1"/>
  <c r="C3007" i="13"/>
  <c r="F3007" i="13" s="1"/>
  <c r="B3007" i="13"/>
  <c r="G3006" i="13"/>
  <c r="H3006" i="13" s="1"/>
  <c r="J3006" i="13" s="1"/>
  <c r="C3006" i="13"/>
  <c r="F3006" i="13" s="1"/>
  <c r="B3006" i="13"/>
  <c r="G3005" i="13"/>
  <c r="H3005" i="13" s="1"/>
  <c r="J3005" i="13" s="1"/>
  <c r="C3005" i="13"/>
  <c r="F3005" i="13" s="1"/>
  <c r="B3005" i="13"/>
  <c r="G3004" i="13"/>
  <c r="H3004" i="13" s="1"/>
  <c r="J3004" i="13" s="1"/>
  <c r="C3004" i="13"/>
  <c r="F3004" i="13" s="1"/>
  <c r="B3004" i="13"/>
  <c r="G3003" i="13"/>
  <c r="H3003" i="13" s="1"/>
  <c r="J3003" i="13" s="1"/>
  <c r="C3003" i="13"/>
  <c r="F3003" i="13" s="1"/>
  <c r="B3003" i="13"/>
  <c r="G3002" i="13"/>
  <c r="H3002" i="13" s="1"/>
  <c r="J3002" i="13" s="1"/>
  <c r="C3002" i="13"/>
  <c r="F3002" i="13" s="1"/>
  <c r="B3002" i="13"/>
  <c r="G3001" i="13"/>
  <c r="H3001" i="13" s="1"/>
  <c r="J3001" i="13" s="1"/>
  <c r="C3001" i="13"/>
  <c r="F3001" i="13" s="1"/>
  <c r="B3001" i="13"/>
  <c r="G3000" i="13"/>
  <c r="H3000" i="13" s="1"/>
  <c r="J3000" i="13" s="1"/>
  <c r="C3000" i="13"/>
  <c r="F3000" i="13" s="1"/>
  <c r="B3000" i="13"/>
  <c r="G2999" i="13"/>
  <c r="H2999" i="13" s="1"/>
  <c r="J2999" i="13" s="1"/>
  <c r="C2999" i="13"/>
  <c r="F2999" i="13" s="1"/>
  <c r="B2999" i="13"/>
  <c r="G2998" i="13"/>
  <c r="H2998" i="13" s="1"/>
  <c r="J2998" i="13" s="1"/>
  <c r="C2998" i="13"/>
  <c r="F2998" i="13" s="1"/>
  <c r="B2998" i="13"/>
  <c r="G2997" i="13"/>
  <c r="H2997" i="13" s="1"/>
  <c r="J2997" i="13" s="1"/>
  <c r="C2997" i="13"/>
  <c r="F2997" i="13" s="1"/>
  <c r="B2997" i="13"/>
  <c r="G2996" i="13"/>
  <c r="H2996" i="13" s="1"/>
  <c r="J2996" i="13" s="1"/>
  <c r="C2996" i="13"/>
  <c r="F2996" i="13" s="1"/>
  <c r="B2996" i="13"/>
  <c r="G2995" i="13"/>
  <c r="H2995" i="13" s="1"/>
  <c r="J2995" i="13" s="1"/>
  <c r="C2995" i="13"/>
  <c r="F2995" i="13" s="1"/>
  <c r="B2995" i="13"/>
  <c r="G2994" i="13"/>
  <c r="H2994" i="13" s="1"/>
  <c r="J2994" i="13" s="1"/>
  <c r="C2994" i="13"/>
  <c r="F2994" i="13" s="1"/>
  <c r="B2994" i="13"/>
  <c r="G2993" i="13"/>
  <c r="H2993" i="13" s="1"/>
  <c r="J2993" i="13" s="1"/>
  <c r="C2993" i="13"/>
  <c r="F2993" i="13" s="1"/>
  <c r="B2993" i="13"/>
  <c r="G2992" i="13"/>
  <c r="H2992" i="13" s="1"/>
  <c r="J2992" i="13" s="1"/>
  <c r="C2992" i="13"/>
  <c r="F2992" i="13" s="1"/>
  <c r="B2992" i="13"/>
  <c r="G2991" i="13"/>
  <c r="H2991" i="13" s="1"/>
  <c r="J2991" i="13" s="1"/>
  <c r="C2991" i="13"/>
  <c r="F2991" i="13" s="1"/>
  <c r="B2991" i="13"/>
  <c r="G2990" i="13"/>
  <c r="H2990" i="13" s="1"/>
  <c r="J2990" i="13" s="1"/>
  <c r="C2990" i="13"/>
  <c r="F2990" i="13" s="1"/>
  <c r="B2990" i="13"/>
  <c r="G2989" i="13"/>
  <c r="H2989" i="13" s="1"/>
  <c r="J2989" i="13" s="1"/>
  <c r="C2989" i="13"/>
  <c r="F2989" i="13" s="1"/>
  <c r="B2989" i="13"/>
  <c r="G2988" i="13"/>
  <c r="H2988" i="13" s="1"/>
  <c r="J2988" i="13" s="1"/>
  <c r="C2988" i="13"/>
  <c r="F2988" i="13" s="1"/>
  <c r="B2988" i="13"/>
  <c r="G2987" i="13"/>
  <c r="H2987" i="13" s="1"/>
  <c r="J2987" i="13" s="1"/>
  <c r="C2987" i="13"/>
  <c r="F2987" i="13" s="1"/>
  <c r="B2987" i="13"/>
  <c r="G2986" i="13"/>
  <c r="H2986" i="13" s="1"/>
  <c r="J2986" i="13" s="1"/>
  <c r="C2986" i="13"/>
  <c r="F2986" i="13" s="1"/>
  <c r="B2986" i="13"/>
  <c r="G2985" i="13"/>
  <c r="H2985" i="13" s="1"/>
  <c r="J2985" i="13" s="1"/>
  <c r="C2985" i="13"/>
  <c r="F2985" i="13" s="1"/>
  <c r="B2985" i="13"/>
  <c r="G2984" i="13"/>
  <c r="H2984" i="13" s="1"/>
  <c r="J2984" i="13" s="1"/>
  <c r="C2984" i="13"/>
  <c r="F2984" i="13" s="1"/>
  <c r="B2984" i="13"/>
  <c r="G2983" i="13"/>
  <c r="H2983" i="13" s="1"/>
  <c r="J2983" i="13" s="1"/>
  <c r="C2983" i="13"/>
  <c r="F2983" i="13" s="1"/>
  <c r="B2983" i="13"/>
  <c r="G2982" i="13"/>
  <c r="H2982" i="13" s="1"/>
  <c r="J2982" i="13" s="1"/>
  <c r="C2982" i="13"/>
  <c r="F2982" i="13" s="1"/>
  <c r="B2982" i="13"/>
  <c r="G2981" i="13"/>
  <c r="H2981" i="13" s="1"/>
  <c r="J2981" i="13" s="1"/>
  <c r="C2981" i="13"/>
  <c r="F2981" i="13" s="1"/>
  <c r="B2981" i="13"/>
  <c r="G2980" i="13"/>
  <c r="H2980" i="13" s="1"/>
  <c r="J2980" i="13" s="1"/>
  <c r="C2980" i="13"/>
  <c r="F2980" i="13" s="1"/>
  <c r="B2980" i="13"/>
  <c r="G2979" i="13"/>
  <c r="H2979" i="13" s="1"/>
  <c r="J2979" i="13" s="1"/>
  <c r="C2979" i="13"/>
  <c r="F2979" i="13" s="1"/>
  <c r="B2979" i="13"/>
  <c r="G2978" i="13"/>
  <c r="H2978" i="13" s="1"/>
  <c r="J2978" i="13" s="1"/>
  <c r="C2978" i="13"/>
  <c r="F2978" i="13" s="1"/>
  <c r="B2978" i="13"/>
  <c r="G2977" i="13"/>
  <c r="H2977" i="13" s="1"/>
  <c r="J2977" i="13" s="1"/>
  <c r="C2977" i="13"/>
  <c r="F2977" i="13" s="1"/>
  <c r="B2977" i="13"/>
  <c r="G2976" i="13"/>
  <c r="H2976" i="13" s="1"/>
  <c r="J2976" i="13" s="1"/>
  <c r="C2976" i="13"/>
  <c r="F2976" i="13" s="1"/>
  <c r="B2976" i="13"/>
  <c r="G2975" i="13"/>
  <c r="H2975" i="13" s="1"/>
  <c r="J2975" i="13" s="1"/>
  <c r="C2975" i="13"/>
  <c r="F2975" i="13" s="1"/>
  <c r="B2975" i="13"/>
  <c r="G2974" i="13"/>
  <c r="H2974" i="13" s="1"/>
  <c r="J2974" i="13" s="1"/>
  <c r="C2974" i="13"/>
  <c r="F2974" i="13" s="1"/>
  <c r="B2974" i="13"/>
  <c r="G2973" i="13"/>
  <c r="H2973" i="13" s="1"/>
  <c r="J2973" i="13" s="1"/>
  <c r="C2973" i="13"/>
  <c r="F2973" i="13" s="1"/>
  <c r="B2973" i="13"/>
  <c r="G2972" i="13"/>
  <c r="H2972" i="13" s="1"/>
  <c r="J2972" i="13" s="1"/>
  <c r="C2972" i="13"/>
  <c r="F2972" i="13" s="1"/>
  <c r="B2972" i="13"/>
  <c r="G2971" i="13"/>
  <c r="H2971" i="13" s="1"/>
  <c r="J2971" i="13" s="1"/>
  <c r="C2971" i="13"/>
  <c r="F2971" i="13" s="1"/>
  <c r="B2971" i="13"/>
  <c r="G2970" i="13"/>
  <c r="H2970" i="13" s="1"/>
  <c r="J2970" i="13" s="1"/>
  <c r="C2970" i="13"/>
  <c r="F2970" i="13" s="1"/>
  <c r="B2970" i="13"/>
  <c r="G2969" i="13"/>
  <c r="H2969" i="13" s="1"/>
  <c r="J2969" i="13" s="1"/>
  <c r="C2969" i="13"/>
  <c r="F2969" i="13" s="1"/>
  <c r="B2969" i="13"/>
  <c r="G2968" i="13"/>
  <c r="H2968" i="13" s="1"/>
  <c r="J2968" i="13" s="1"/>
  <c r="C2968" i="13"/>
  <c r="F2968" i="13" s="1"/>
  <c r="B2968" i="13"/>
  <c r="G2967" i="13"/>
  <c r="H2967" i="13" s="1"/>
  <c r="J2967" i="13" s="1"/>
  <c r="C2967" i="13"/>
  <c r="F2967" i="13" s="1"/>
  <c r="B2967" i="13"/>
  <c r="G2966" i="13"/>
  <c r="H2966" i="13" s="1"/>
  <c r="J2966" i="13" s="1"/>
  <c r="C2966" i="13"/>
  <c r="F2966" i="13" s="1"/>
  <c r="B2966" i="13"/>
  <c r="G2965" i="13"/>
  <c r="H2965" i="13" s="1"/>
  <c r="J2965" i="13" s="1"/>
  <c r="C2965" i="13"/>
  <c r="F2965" i="13" s="1"/>
  <c r="B2965" i="13"/>
  <c r="G2964" i="13"/>
  <c r="H2964" i="13" s="1"/>
  <c r="J2964" i="13" s="1"/>
  <c r="C2964" i="13"/>
  <c r="F2964" i="13" s="1"/>
  <c r="B2964" i="13"/>
  <c r="G2963" i="13"/>
  <c r="H2963" i="13" s="1"/>
  <c r="J2963" i="13" s="1"/>
  <c r="C2963" i="13"/>
  <c r="F2963" i="13" s="1"/>
  <c r="B2963" i="13"/>
  <c r="G2962" i="13"/>
  <c r="H2962" i="13" s="1"/>
  <c r="J2962" i="13" s="1"/>
  <c r="C2962" i="13"/>
  <c r="F2962" i="13" s="1"/>
  <c r="B2962" i="13"/>
  <c r="G2961" i="13"/>
  <c r="H2961" i="13" s="1"/>
  <c r="J2961" i="13" s="1"/>
  <c r="C2961" i="13"/>
  <c r="F2961" i="13" s="1"/>
  <c r="B2961" i="13"/>
  <c r="G2960" i="13"/>
  <c r="H2960" i="13" s="1"/>
  <c r="J2960" i="13" s="1"/>
  <c r="C2960" i="13"/>
  <c r="F2960" i="13" s="1"/>
  <c r="B2960" i="13"/>
  <c r="G2959" i="13"/>
  <c r="H2959" i="13" s="1"/>
  <c r="J2959" i="13" s="1"/>
  <c r="C2959" i="13"/>
  <c r="F2959" i="13" s="1"/>
  <c r="B2959" i="13"/>
  <c r="G2958" i="13"/>
  <c r="H2958" i="13" s="1"/>
  <c r="J2958" i="13" s="1"/>
  <c r="C2958" i="13"/>
  <c r="F2958" i="13" s="1"/>
  <c r="B2958" i="13"/>
  <c r="G2957" i="13"/>
  <c r="H2957" i="13" s="1"/>
  <c r="J2957" i="13" s="1"/>
  <c r="C2957" i="13"/>
  <c r="F2957" i="13" s="1"/>
  <c r="B2957" i="13"/>
  <c r="G2956" i="13"/>
  <c r="H2956" i="13" s="1"/>
  <c r="J2956" i="13" s="1"/>
  <c r="C2956" i="13"/>
  <c r="F2956" i="13" s="1"/>
  <c r="B2956" i="13"/>
  <c r="G2955" i="13"/>
  <c r="H2955" i="13" s="1"/>
  <c r="J2955" i="13" s="1"/>
  <c r="C2955" i="13"/>
  <c r="F2955" i="13" s="1"/>
  <c r="B2955" i="13"/>
  <c r="G2954" i="13"/>
  <c r="H2954" i="13" s="1"/>
  <c r="J2954" i="13" s="1"/>
  <c r="C2954" i="13"/>
  <c r="F2954" i="13" s="1"/>
  <c r="B2954" i="13"/>
  <c r="G2953" i="13"/>
  <c r="H2953" i="13" s="1"/>
  <c r="J2953" i="13" s="1"/>
  <c r="C2953" i="13"/>
  <c r="F2953" i="13" s="1"/>
  <c r="B2953" i="13"/>
  <c r="G2952" i="13"/>
  <c r="H2952" i="13" s="1"/>
  <c r="J2952" i="13" s="1"/>
  <c r="C2952" i="13"/>
  <c r="F2952" i="13" s="1"/>
  <c r="B2952" i="13"/>
  <c r="G2951" i="13"/>
  <c r="H2951" i="13" s="1"/>
  <c r="J2951" i="13" s="1"/>
  <c r="C2951" i="13"/>
  <c r="F2951" i="13" s="1"/>
  <c r="B2951" i="13"/>
  <c r="G2950" i="13"/>
  <c r="H2950" i="13" s="1"/>
  <c r="J2950" i="13" s="1"/>
  <c r="C2950" i="13"/>
  <c r="F2950" i="13" s="1"/>
  <c r="B2950" i="13"/>
  <c r="G2949" i="13"/>
  <c r="H2949" i="13" s="1"/>
  <c r="J2949" i="13" s="1"/>
  <c r="C2949" i="13"/>
  <c r="F2949" i="13" s="1"/>
  <c r="B2949" i="13"/>
  <c r="G2948" i="13"/>
  <c r="H2948" i="13" s="1"/>
  <c r="J2948" i="13" s="1"/>
  <c r="C2948" i="13"/>
  <c r="F2948" i="13" s="1"/>
  <c r="B2948" i="13"/>
  <c r="G2947" i="13"/>
  <c r="H2947" i="13" s="1"/>
  <c r="C2947" i="13"/>
  <c r="F2947" i="13" s="1"/>
  <c r="B2947" i="13"/>
  <c r="G2946" i="13"/>
  <c r="H2946" i="13" s="1"/>
  <c r="J2946" i="13" s="1"/>
  <c r="C2946" i="13"/>
  <c r="F2946" i="13" s="1"/>
  <c r="B2946" i="13"/>
  <c r="G2945" i="13"/>
  <c r="H2945" i="13" s="1"/>
  <c r="J2945" i="13" s="1"/>
  <c r="C2945" i="13"/>
  <c r="F2945" i="13" s="1"/>
  <c r="B2945" i="13"/>
  <c r="G2944" i="13"/>
  <c r="H2944" i="13" s="1"/>
  <c r="J2944" i="13" s="1"/>
  <c r="C2944" i="13"/>
  <c r="F2944" i="13" s="1"/>
  <c r="B2944" i="13"/>
  <c r="G2943" i="13"/>
  <c r="H2943" i="13" s="1"/>
  <c r="J2943" i="13" s="1"/>
  <c r="C2943" i="13"/>
  <c r="F2943" i="13" s="1"/>
  <c r="B2943" i="13"/>
  <c r="G2942" i="13"/>
  <c r="H2942" i="13" s="1"/>
  <c r="J2942" i="13" s="1"/>
  <c r="C2942" i="13"/>
  <c r="F2942" i="13" s="1"/>
  <c r="B2942" i="13"/>
  <c r="G2941" i="13"/>
  <c r="H2941" i="13" s="1"/>
  <c r="J2941" i="13" s="1"/>
  <c r="C2941" i="13"/>
  <c r="F2941" i="13" s="1"/>
  <c r="B2941" i="13"/>
  <c r="G2940" i="13"/>
  <c r="H2940" i="13" s="1"/>
  <c r="J2940" i="13" s="1"/>
  <c r="C2940" i="13"/>
  <c r="F2940" i="13" s="1"/>
  <c r="B2940" i="13"/>
  <c r="G2939" i="13"/>
  <c r="H2939" i="13" s="1"/>
  <c r="J2939" i="13" s="1"/>
  <c r="C2939" i="13"/>
  <c r="F2939" i="13" s="1"/>
  <c r="B2939" i="13"/>
  <c r="G2938" i="13"/>
  <c r="H2938" i="13" s="1"/>
  <c r="C2938" i="13"/>
  <c r="F2938" i="13" s="1"/>
  <c r="B2938" i="13"/>
  <c r="G2937" i="13"/>
  <c r="H2937" i="13" s="1"/>
  <c r="J2937" i="13" s="1"/>
  <c r="C2937" i="13"/>
  <c r="F2937" i="13" s="1"/>
  <c r="B2937" i="13"/>
  <c r="G2936" i="13"/>
  <c r="H2936" i="13" s="1"/>
  <c r="J2936" i="13" s="1"/>
  <c r="C2936" i="13"/>
  <c r="F2936" i="13" s="1"/>
  <c r="B2936" i="13"/>
  <c r="G2935" i="13"/>
  <c r="H2935" i="13" s="1"/>
  <c r="J2935" i="13" s="1"/>
  <c r="C2935" i="13"/>
  <c r="F2935" i="13" s="1"/>
  <c r="B2935" i="13"/>
  <c r="G2934" i="13"/>
  <c r="H2934" i="13" s="1"/>
  <c r="J2934" i="13" s="1"/>
  <c r="C2934" i="13"/>
  <c r="F2934" i="13" s="1"/>
  <c r="B2934" i="13"/>
  <c r="G2933" i="13"/>
  <c r="H2933" i="13" s="1"/>
  <c r="J2933" i="13" s="1"/>
  <c r="C2933" i="13"/>
  <c r="F2933" i="13" s="1"/>
  <c r="B2933" i="13"/>
  <c r="G2932" i="13"/>
  <c r="H2932" i="13" s="1"/>
  <c r="J2932" i="13" s="1"/>
  <c r="C2932" i="13"/>
  <c r="F2932" i="13" s="1"/>
  <c r="B2932" i="13"/>
  <c r="G2931" i="13"/>
  <c r="H2931" i="13" s="1"/>
  <c r="J2931" i="13" s="1"/>
  <c r="C2931" i="13"/>
  <c r="F2931" i="13" s="1"/>
  <c r="B2931" i="13"/>
  <c r="G2930" i="13"/>
  <c r="H2930" i="13" s="1"/>
  <c r="J2930" i="13" s="1"/>
  <c r="C2930" i="13"/>
  <c r="F2930" i="13" s="1"/>
  <c r="B2930" i="13"/>
  <c r="G2929" i="13"/>
  <c r="H2929" i="13" s="1"/>
  <c r="J2929" i="13" s="1"/>
  <c r="C2929" i="13"/>
  <c r="F2929" i="13" s="1"/>
  <c r="B2929" i="13"/>
  <c r="G2928" i="13"/>
  <c r="H2928" i="13" s="1"/>
  <c r="J2928" i="13" s="1"/>
  <c r="C2928" i="13"/>
  <c r="F2928" i="13" s="1"/>
  <c r="B2928" i="13"/>
  <c r="G2927" i="13"/>
  <c r="H2927" i="13" s="1"/>
  <c r="J2927" i="13" s="1"/>
  <c r="C2927" i="13"/>
  <c r="F2927" i="13" s="1"/>
  <c r="B2927" i="13"/>
  <c r="G2926" i="13"/>
  <c r="H2926" i="13" s="1"/>
  <c r="C2926" i="13"/>
  <c r="F2926" i="13" s="1"/>
  <c r="B2926" i="13"/>
  <c r="G2925" i="13"/>
  <c r="H2925" i="13" s="1"/>
  <c r="J2925" i="13" s="1"/>
  <c r="C2925" i="13"/>
  <c r="F2925" i="13" s="1"/>
  <c r="B2925" i="13"/>
  <c r="G2924" i="13"/>
  <c r="H2924" i="13" s="1"/>
  <c r="J2924" i="13" s="1"/>
  <c r="C2924" i="13"/>
  <c r="F2924" i="13" s="1"/>
  <c r="B2924" i="13"/>
  <c r="G2923" i="13"/>
  <c r="H2923" i="13" s="1"/>
  <c r="J2923" i="13" s="1"/>
  <c r="C2923" i="13"/>
  <c r="F2923" i="13" s="1"/>
  <c r="B2923" i="13"/>
  <c r="G2922" i="13"/>
  <c r="H2922" i="13" s="1"/>
  <c r="J2922" i="13" s="1"/>
  <c r="C2922" i="13"/>
  <c r="F2922" i="13" s="1"/>
  <c r="B2922" i="13"/>
  <c r="G2921" i="13"/>
  <c r="H2921" i="13" s="1"/>
  <c r="J2921" i="13" s="1"/>
  <c r="C2921" i="13"/>
  <c r="F2921" i="13" s="1"/>
  <c r="B2921" i="13"/>
  <c r="G2920" i="13"/>
  <c r="H2920" i="13" s="1"/>
  <c r="J2920" i="13" s="1"/>
  <c r="C2920" i="13"/>
  <c r="F2920" i="13" s="1"/>
  <c r="B2920" i="13"/>
  <c r="G2919" i="13"/>
  <c r="H2919" i="13" s="1"/>
  <c r="J2919" i="13" s="1"/>
  <c r="C2919" i="13"/>
  <c r="F2919" i="13" s="1"/>
  <c r="B2919" i="13"/>
  <c r="G2918" i="13"/>
  <c r="H2918" i="13" s="1"/>
  <c r="J2918" i="13" s="1"/>
  <c r="C2918" i="13"/>
  <c r="F2918" i="13" s="1"/>
  <c r="B2918" i="13"/>
  <c r="G2917" i="13"/>
  <c r="H2917" i="13" s="1"/>
  <c r="J2917" i="13" s="1"/>
  <c r="C2917" i="13"/>
  <c r="F2917" i="13" s="1"/>
  <c r="B2917" i="13"/>
  <c r="G2916" i="13"/>
  <c r="H2916" i="13" s="1"/>
  <c r="J2916" i="13" s="1"/>
  <c r="C2916" i="13"/>
  <c r="F2916" i="13" s="1"/>
  <c r="B2916" i="13"/>
  <c r="G2915" i="13"/>
  <c r="H2915" i="13" s="1"/>
  <c r="J2915" i="13" s="1"/>
  <c r="C2915" i="13"/>
  <c r="F2915" i="13" s="1"/>
  <c r="B2915" i="13"/>
  <c r="G2914" i="13"/>
  <c r="H2914" i="13" s="1"/>
  <c r="C2914" i="13"/>
  <c r="F2914" i="13" s="1"/>
  <c r="B2914" i="13"/>
  <c r="G2913" i="13"/>
  <c r="H2913" i="13" s="1"/>
  <c r="J2913" i="13" s="1"/>
  <c r="C2913" i="13"/>
  <c r="F2913" i="13" s="1"/>
  <c r="B2913" i="13"/>
  <c r="G2912" i="13"/>
  <c r="H2912" i="13" s="1"/>
  <c r="J2912" i="13" s="1"/>
  <c r="C2912" i="13"/>
  <c r="F2912" i="13" s="1"/>
  <c r="B2912" i="13"/>
  <c r="G2911" i="13"/>
  <c r="H2911" i="13" s="1"/>
  <c r="J2911" i="13" s="1"/>
  <c r="C2911" i="13"/>
  <c r="F2911" i="13" s="1"/>
  <c r="B2911" i="13"/>
  <c r="G2910" i="13"/>
  <c r="H2910" i="13" s="1"/>
  <c r="J2910" i="13" s="1"/>
  <c r="C2910" i="13"/>
  <c r="F2910" i="13" s="1"/>
  <c r="B2910" i="13"/>
  <c r="G2909" i="13"/>
  <c r="H2909" i="13" s="1"/>
  <c r="J2909" i="13" s="1"/>
  <c r="C2909" i="13"/>
  <c r="F2909" i="13" s="1"/>
  <c r="B2909" i="13"/>
  <c r="G2908" i="13"/>
  <c r="H2908" i="13" s="1"/>
  <c r="J2908" i="13" s="1"/>
  <c r="C2908" i="13"/>
  <c r="F2908" i="13" s="1"/>
  <c r="B2908" i="13"/>
  <c r="G2907" i="13"/>
  <c r="H2907" i="13" s="1"/>
  <c r="J2907" i="13" s="1"/>
  <c r="C2907" i="13"/>
  <c r="F2907" i="13" s="1"/>
  <c r="B2907" i="13"/>
  <c r="G2906" i="13"/>
  <c r="H2906" i="13" s="1"/>
  <c r="J2906" i="13" s="1"/>
  <c r="C2906" i="13"/>
  <c r="F2906" i="13" s="1"/>
  <c r="B2906" i="13"/>
  <c r="G2905" i="13"/>
  <c r="H2905" i="13" s="1"/>
  <c r="J2905" i="13" s="1"/>
  <c r="C2905" i="13"/>
  <c r="F2905" i="13" s="1"/>
  <c r="B2905" i="13"/>
  <c r="G2904" i="13"/>
  <c r="H2904" i="13" s="1"/>
  <c r="J2904" i="13" s="1"/>
  <c r="C2904" i="13"/>
  <c r="F2904" i="13" s="1"/>
  <c r="B2904" i="13"/>
  <c r="G2903" i="13"/>
  <c r="H2903" i="13" s="1"/>
  <c r="J2903" i="13" s="1"/>
  <c r="C2903" i="13"/>
  <c r="F2903" i="13" s="1"/>
  <c r="B2903" i="13"/>
  <c r="G2902" i="13"/>
  <c r="H2902" i="13" s="1"/>
  <c r="C2902" i="13"/>
  <c r="F2902" i="13" s="1"/>
  <c r="B2902" i="13"/>
  <c r="G2901" i="13"/>
  <c r="H2901" i="13" s="1"/>
  <c r="J2901" i="13" s="1"/>
  <c r="C2901" i="13"/>
  <c r="F2901" i="13" s="1"/>
  <c r="B2901" i="13"/>
  <c r="G2900" i="13"/>
  <c r="H2900" i="13" s="1"/>
  <c r="J2900" i="13" s="1"/>
  <c r="C2900" i="13"/>
  <c r="F2900" i="13" s="1"/>
  <c r="B2900" i="13"/>
  <c r="G2899" i="13"/>
  <c r="H2899" i="13" s="1"/>
  <c r="J2899" i="13" s="1"/>
  <c r="C2899" i="13"/>
  <c r="F2899" i="13" s="1"/>
  <c r="B2899" i="13"/>
  <c r="G2898" i="13"/>
  <c r="H2898" i="13" s="1"/>
  <c r="J2898" i="13" s="1"/>
  <c r="C2898" i="13"/>
  <c r="F2898" i="13" s="1"/>
  <c r="B2898" i="13"/>
  <c r="G2897" i="13"/>
  <c r="H2897" i="13" s="1"/>
  <c r="J2897" i="13" s="1"/>
  <c r="C2897" i="13"/>
  <c r="F2897" i="13" s="1"/>
  <c r="B2897" i="13"/>
  <c r="G2896" i="13"/>
  <c r="H2896" i="13" s="1"/>
  <c r="J2896" i="13" s="1"/>
  <c r="C2896" i="13"/>
  <c r="F2896" i="13" s="1"/>
  <c r="B2896" i="13"/>
  <c r="G2895" i="13"/>
  <c r="H2895" i="13" s="1"/>
  <c r="J2895" i="13" s="1"/>
  <c r="C2895" i="13"/>
  <c r="F2895" i="13" s="1"/>
  <c r="B2895" i="13"/>
  <c r="G2894" i="13"/>
  <c r="H2894" i="13" s="1"/>
  <c r="J2894" i="13" s="1"/>
  <c r="C2894" i="13"/>
  <c r="F2894" i="13" s="1"/>
  <c r="B2894" i="13"/>
  <c r="G2893" i="13"/>
  <c r="H2893" i="13" s="1"/>
  <c r="J2893" i="13" s="1"/>
  <c r="C2893" i="13"/>
  <c r="F2893" i="13" s="1"/>
  <c r="B2893" i="13"/>
  <c r="G2892" i="13"/>
  <c r="H2892" i="13" s="1"/>
  <c r="J2892" i="13" s="1"/>
  <c r="C2892" i="13"/>
  <c r="F2892" i="13" s="1"/>
  <c r="B2892" i="13"/>
  <c r="G2891" i="13"/>
  <c r="H2891" i="13" s="1"/>
  <c r="J2891" i="13" s="1"/>
  <c r="C2891" i="13"/>
  <c r="F2891" i="13" s="1"/>
  <c r="B2891" i="13"/>
  <c r="G2890" i="13"/>
  <c r="H2890" i="13" s="1"/>
  <c r="C2890" i="13"/>
  <c r="F2890" i="13" s="1"/>
  <c r="B2890" i="13"/>
  <c r="G2889" i="13"/>
  <c r="H2889" i="13" s="1"/>
  <c r="J2889" i="13" s="1"/>
  <c r="C2889" i="13"/>
  <c r="F2889" i="13" s="1"/>
  <c r="B2889" i="13"/>
  <c r="G2888" i="13"/>
  <c r="H2888" i="13" s="1"/>
  <c r="J2888" i="13" s="1"/>
  <c r="C2888" i="13"/>
  <c r="F2888" i="13" s="1"/>
  <c r="B2888" i="13"/>
  <c r="G2887" i="13"/>
  <c r="H2887" i="13" s="1"/>
  <c r="J2887" i="13" s="1"/>
  <c r="C2887" i="13"/>
  <c r="F2887" i="13" s="1"/>
  <c r="B2887" i="13"/>
  <c r="G2886" i="13"/>
  <c r="H2886" i="13" s="1"/>
  <c r="J2886" i="13" s="1"/>
  <c r="C2886" i="13"/>
  <c r="F2886" i="13" s="1"/>
  <c r="B2886" i="13"/>
  <c r="G2885" i="13"/>
  <c r="H2885" i="13" s="1"/>
  <c r="J2885" i="13" s="1"/>
  <c r="C2885" i="13"/>
  <c r="F2885" i="13" s="1"/>
  <c r="B2885" i="13"/>
  <c r="G2884" i="13"/>
  <c r="H2884" i="13" s="1"/>
  <c r="J2884" i="13" s="1"/>
  <c r="C2884" i="13"/>
  <c r="F2884" i="13" s="1"/>
  <c r="B2884" i="13"/>
  <c r="G2883" i="13"/>
  <c r="H2883" i="13" s="1"/>
  <c r="J2883" i="13" s="1"/>
  <c r="C2883" i="13"/>
  <c r="F2883" i="13" s="1"/>
  <c r="B2883" i="13"/>
  <c r="G2882" i="13"/>
  <c r="H2882" i="13" s="1"/>
  <c r="J2882" i="13" s="1"/>
  <c r="C2882" i="13"/>
  <c r="F2882" i="13" s="1"/>
  <c r="B2882" i="13"/>
  <c r="G2881" i="13"/>
  <c r="H2881" i="13" s="1"/>
  <c r="J2881" i="13" s="1"/>
  <c r="C2881" i="13"/>
  <c r="F2881" i="13" s="1"/>
  <c r="B2881" i="13"/>
  <c r="G2880" i="13"/>
  <c r="H2880" i="13" s="1"/>
  <c r="J2880" i="13" s="1"/>
  <c r="C2880" i="13"/>
  <c r="F2880" i="13" s="1"/>
  <c r="B2880" i="13"/>
  <c r="G2879" i="13"/>
  <c r="H2879" i="13" s="1"/>
  <c r="J2879" i="13" s="1"/>
  <c r="C2879" i="13"/>
  <c r="F2879" i="13" s="1"/>
  <c r="B2879" i="13"/>
  <c r="G2878" i="13"/>
  <c r="H2878" i="13" s="1"/>
  <c r="C2878" i="13"/>
  <c r="F2878" i="13" s="1"/>
  <c r="B2878" i="13"/>
  <c r="G2877" i="13"/>
  <c r="H2877" i="13" s="1"/>
  <c r="J2877" i="13" s="1"/>
  <c r="C2877" i="13"/>
  <c r="F2877" i="13" s="1"/>
  <c r="B2877" i="13"/>
  <c r="G2876" i="13"/>
  <c r="H2876" i="13" s="1"/>
  <c r="J2876" i="13" s="1"/>
  <c r="C2876" i="13"/>
  <c r="F2876" i="13" s="1"/>
  <c r="B2876" i="13"/>
  <c r="G2875" i="13"/>
  <c r="H2875" i="13" s="1"/>
  <c r="C2875" i="13"/>
  <c r="F2875" i="13" s="1"/>
  <c r="B2875" i="13"/>
  <c r="G2874" i="13"/>
  <c r="H2874" i="13" s="1"/>
  <c r="J2874" i="13" s="1"/>
  <c r="C2874" i="13"/>
  <c r="F2874" i="13" s="1"/>
  <c r="B2874" i="13"/>
  <c r="G2873" i="13"/>
  <c r="H2873" i="13" s="1"/>
  <c r="J2873" i="13" s="1"/>
  <c r="C2873" i="13"/>
  <c r="F2873" i="13" s="1"/>
  <c r="B2873" i="13"/>
  <c r="G2872" i="13"/>
  <c r="H2872" i="13" s="1"/>
  <c r="J2872" i="13" s="1"/>
  <c r="C2872" i="13"/>
  <c r="F2872" i="13" s="1"/>
  <c r="B2872" i="13"/>
  <c r="G2871" i="13"/>
  <c r="H2871" i="13" s="1"/>
  <c r="J2871" i="13" s="1"/>
  <c r="C2871" i="13"/>
  <c r="F2871" i="13" s="1"/>
  <c r="B2871" i="13"/>
  <c r="G2870" i="13"/>
  <c r="H2870" i="13" s="1"/>
  <c r="J2870" i="13" s="1"/>
  <c r="C2870" i="13"/>
  <c r="F2870" i="13" s="1"/>
  <c r="B2870" i="13"/>
  <c r="G2869" i="13"/>
  <c r="H2869" i="13" s="1"/>
  <c r="J2869" i="13" s="1"/>
  <c r="C2869" i="13"/>
  <c r="F2869" i="13" s="1"/>
  <c r="B2869" i="13"/>
  <c r="G2868" i="13"/>
  <c r="H2868" i="13" s="1"/>
  <c r="J2868" i="13" s="1"/>
  <c r="C2868" i="13"/>
  <c r="F2868" i="13" s="1"/>
  <c r="B2868" i="13"/>
  <c r="G2867" i="13"/>
  <c r="H2867" i="13" s="1"/>
  <c r="J2867" i="13" s="1"/>
  <c r="C2867" i="13"/>
  <c r="F2867" i="13" s="1"/>
  <c r="B2867" i="13"/>
  <c r="G2866" i="13"/>
  <c r="H2866" i="13" s="1"/>
  <c r="C2866" i="13"/>
  <c r="F2866" i="13" s="1"/>
  <c r="B2866" i="13"/>
  <c r="G2865" i="13"/>
  <c r="H2865" i="13" s="1"/>
  <c r="J2865" i="13" s="1"/>
  <c r="C2865" i="13"/>
  <c r="F2865" i="13" s="1"/>
  <c r="B2865" i="13"/>
  <c r="G2864" i="13"/>
  <c r="H2864" i="13" s="1"/>
  <c r="J2864" i="13" s="1"/>
  <c r="C2864" i="13"/>
  <c r="F2864" i="13" s="1"/>
  <c r="B2864" i="13"/>
  <c r="G2863" i="13"/>
  <c r="H2863" i="13" s="1"/>
  <c r="J2863" i="13" s="1"/>
  <c r="C2863" i="13"/>
  <c r="F2863" i="13" s="1"/>
  <c r="B2863" i="13"/>
  <c r="G2862" i="13"/>
  <c r="H2862" i="13" s="1"/>
  <c r="J2862" i="13" s="1"/>
  <c r="C2862" i="13"/>
  <c r="F2862" i="13" s="1"/>
  <c r="B2862" i="13"/>
  <c r="G2861" i="13"/>
  <c r="H2861" i="13" s="1"/>
  <c r="J2861" i="13" s="1"/>
  <c r="C2861" i="13"/>
  <c r="F2861" i="13" s="1"/>
  <c r="B2861" i="13"/>
  <c r="G2860" i="13"/>
  <c r="H2860" i="13" s="1"/>
  <c r="J2860" i="13" s="1"/>
  <c r="C2860" i="13"/>
  <c r="F2860" i="13" s="1"/>
  <c r="B2860" i="13"/>
  <c r="G2859" i="13"/>
  <c r="H2859" i="13" s="1"/>
  <c r="J2859" i="13" s="1"/>
  <c r="C2859" i="13"/>
  <c r="F2859" i="13" s="1"/>
  <c r="B2859" i="13"/>
  <c r="G2858" i="13"/>
  <c r="H2858" i="13" s="1"/>
  <c r="J2858" i="13" s="1"/>
  <c r="C2858" i="13"/>
  <c r="F2858" i="13" s="1"/>
  <c r="B2858" i="13"/>
  <c r="G2857" i="13"/>
  <c r="H2857" i="13" s="1"/>
  <c r="J2857" i="13" s="1"/>
  <c r="C2857" i="13"/>
  <c r="F2857" i="13" s="1"/>
  <c r="B2857" i="13"/>
  <c r="G2856" i="13"/>
  <c r="H2856" i="13" s="1"/>
  <c r="J2856" i="13" s="1"/>
  <c r="C2856" i="13"/>
  <c r="F2856" i="13" s="1"/>
  <c r="B2856" i="13"/>
  <c r="G2855" i="13"/>
  <c r="H2855" i="13" s="1"/>
  <c r="J2855" i="13" s="1"/>
  <c r="C2855" i="13"/>
  <c r="F2855" i="13" s="1"/>
  <c r="B2855" i="13"/>
  <c r="G2854" i="13"/>
  <c r="H2854" i="13" s="1"/>
  <c r="C2854" i="13"/>
  <c r="F2854" i="13" s="1"/>
  <c r="B2854" i="13"/>
  <c r="G2853" i="13"/>
  <c r="H2853" i="13" s="1"/>
  <c r="J2853" i="13" s="1"/>
  <c r="C2853" i="13"/>
  <c r="F2853" i="13" s="1"/>
  <c r="B2853" i="13"/>
  <c r="G2852" i="13"/>
  <c r="H2852" i="13" s="1"/>
  <c r="J2852" i="13" s="1"/>
  <c r="C2852" i="13"/>
  <c r="F2852" i="13" s="1"/>
  <c r="B2852" i="13"/>
  <c r="G2851" i="13"/>
  <c r="H2851" i="13" s="1"/>
  <c r="J2851" i="13" s="1"/>
  <c r="C2851" i="13"/>
  <c r="F2851" i="13" s="1"/>
  <c r="B2851" i="13"/>
  <c r="G2850" i="13"/>
  <c r="H2850" i="13" s="1"/>
  <c r="J2850" i="13" s="1"/>
  <c r="C2850" i="13"/>
  <c r="F2850" i="13" s="1"/>
  <c r="B2850" i="13"/>
  <c r="G2849" i="13"/>
  <c r="H2849" i="13" s="1"/>
  <c r="J2849" i="13" s="1"/>
  <c r="C2849" i="13"/>
  <c r="F2849" i="13" s="1"/>
  <c r="B2849" i="13"/>
  <c r="G2848" i="13"/>
  <c r="H2848" i="13" s="1"/>
  <c r="J2848" i="13" s="1"/>
  <c r="C2848" i="13"/>
  <c r="F2848" i="13" s="1"/>
  <c r="B2848" i="13"/>
  <c r="G2847" i="13"/>
  <c r="H2847" i="13" s="1"/>
  <c r="J2847" i="13" s="1"/>
  <c r="C2847" i="13"/>
  <c r="F2847" i="13" s="1"/>
  <c r="B2847" i="13"/>
  <c r="G2846" i="13"/>
  <c r="H2846" i="13" s="1"/>
  <c r="J2846" i="13" s="1"/>
  <c r="C2846" i="13"/>
  <c r="F2846" i="13" s="1"/>
  <c r="B2846" i="13"/>
  <c r="G2845" i="13"/>
  <c r="H2845" i="13" s="1"/>
  <c r="J2845" i="13" s="1"/>
  <c r="C2845" i="13"/>
  <c r="F2845" i="13" s="1"/>
  <c r="B2845" i="13"/>
  <c r="G2844" i="13"/>
  <c r="H2844" i="13" s="1"/>
  <c r="J2844" i="13" s="1"/>
  <c r="C2844" i="13"/>
  <c r="F2844" i="13" s="1"/>
  <c r="B2844" i="13"/>
  <c r="G2843" i="13"/>
  <c r="H2843" i="13" s="1"/>
  <c r="J2843" i="13" s="1"/>
  <c r="C2843" i="13"/>
  <c r="F2843" i="13" s="1"/>
  <c r="B2843" i="13"/>
  <c r="G2842" i="13"/>
  <c r="H2842" i="13" s="1"/>
  <c r="C2842" i="13"/>
  <c r="F2842" i="13" s="1"/>
  <c r="B2842" i="13"/>
  <c r="G2841" i="13"/>
  <c r="H2841" i="13" s="1"/>
  <c r="J2841" i="13" s="1"/>
  <c r="C2841" i="13"/>
  <c r="F2841" i="13" s="1"/>
  <c r="B2841" i="13"/>
  <c r="G2840" i="13"/>
  <c r="H2840" i="13" s="1"/>
  <c r="J2840" i="13" s="1"/>
  <c r="C2840" i="13"/>
  <c r="F2840" i="13" s="1"/>
  <c r="B2840" i="13"/>
  <c r="G2839" i="13"/>
  <c r="H2839" i="13" s="1"/>
  <c r="J2839" i="13" s="1"/>
  <c r="C2839" i="13"/>
  <c r="F2839" i="13" s="1"/>
  <c r="B2839" i="13"/>
  <c r="G2838" i="13"/>
  <c r="H2838" i="13" s="1"/>
  <c r="J2838" i="13" s="1"/>
  <c r="C2838" i="13"/>
  <c r="F2838" i="13" s="1"/>
  <c r="B2838" i="13"/>
  <c r="G2837" i="13"/>
  <c r="H2837" i="13" s="1"/>
  <c r="J2837" i="13" s="1"/>
  <c r="C2837" i="13"/>
  <c r="F2837" i="13" s="1"/>
  <c r="B2837" i="13"/>
  <c r="G2836" i="13"/>
  <c r="H2836" i="13" s="1"/>
  <c r="C2836" i="13"/>
  <c r="F2836" i="13" s="1"/>
  <c r="B2836" i="13"/>
  <c r="G2835" i="13"/>
  <c r="H2835" i="13" s="1"/>
  <c r="J2835" i="13" s="1"/>
  <c r="C2835" i="13"/>
  <c r="F2835" i="13" s="1"/>
  <c r="B2835" i="13"/>
  <c r="G2834" i="13"/>
  <c r="H2834" i="13" s="1"/>
  <c r="J2834" i="13" s="1"/>
  <c r="C2834" i="13"/>
  <c r="F2834" i="13" s="1"/>
  <c r="B2834" i="13"/>
  <c r="G2833" i="13"/>
  <c r="H2833" i="13" s="1"/>
  <c r="J2833" i="13" s="1"/>
  <c r="C2833" i="13"/>
  <c r="F2833" i="13" s="1"/>
  <c r="B2833" i="13"/>
  <c r="G2832" i="13"/>
  <c r="H2832" i="13" s="1"/>
  <c r="J2832" i="13" s="1"/>
  <c r="C2832" i="13"/>
  <c r="F2832" i="13" s="1"/>
  <c r="B2832" i="13"/>
  <c r="G2831" i="13"/>
  <c r="H2831" i="13" s="1"/>
  <c r="J2831" i="13" s="1"/>
  <c r="C2831" i="13"/>
  <c r="F2831" i="13" s="1"/>
  <c r="B2831" i="13"/>
  <c r="G2830" i="13"/>
  <c r="H2830" i="13" s="1"/>
  <c r="J2830" i="13" s="1"/>
  <c r="C2830" i="13"/>
  <c r="F2830" i="13" s="1"/>
  <c r="B2830" i="13"/>
  <c r="G2829" i="13"/>
  <c r="H2829" i="13" s="1"/>
  <c r="J2829" i="13" s="1"/>
  <c r="C2829" i="13"/>
  <c r="F2829" i="13" s="1"/>
  <c r="B2829" i="13"/>
  <c r="G2828" i="13"/>
  <c r="H2828" i="13" s="1"/>
  <c r="J2828" i="13" s="1"/>
  <c r="C2828" i="13"/>
  <c r="F2828" i="13" s="1"/>
  <c r="B2828" i="13"/>
  <c r="G2827" i="13"/>
  <c r="H2827" i="13" s="1"/>
  <c r="J2827" i="13" s="1"/>
  <c r="C2827" i="13"/>
  <c r="F2827" i="13" s="1"/>
  <c r="B2827" i="13"/>
  <c r="G2826" i="13"/>
  <c r="H2826" i="13" s="1"/>
  <c r="C2826" i="13"/>
  <c r="F2826" i="13" s="1"/>
  <c r="B2826" i="13"/>
  <c r="G2825" i="13"/>
  <c r="H2825" i="13" s="1"/>
  <c r="J2825" i="13" s="1"/>
  <c r="C2825" i="13"/>
  <c r="F2825" i="13" s="1"/>
  <c r="B2825" i="13"/>
  <c r="G2824" i="13"/>
  <c r="H2824" i="13" s="1"/>
  <c r="J2824" i="13" s="1"/>
  <c r="C2824" i="13"/>
  <c r="F2824" i="13" s="1"/>
  <c r="B2824" i="13"/>
  <c r="G2823" i="13"/>
  <c r="H2823" i="13" s="1"/>
  <c r="J2823" i="13" s="1"/>
  <c r="C2823" i="13"/>
  <c r="F2823" i="13" s="1"/>
  <c r="B2823" i="13"/>
  <c r="G2822" i="13"/>
  <c r="H2822" i="13" s="1"/>
  <c r="J2822" i="13" s="1"/>
  <c r="C2822" i="13"/>
  <c r="F2822" i="13" s="1"/>
  <c r="B2822" i="13"/>
  <c r="G2821" i="13"/>
  <c r="H2821" i="13" s="1"/>
  <c r="C2821" i="13"/>
  <c r="F2821" i="13" s="1"/>
  <c r="B2821" i="13"/>
  <c r="G2820" i="13"/>
  <c r="H2820" i="13" s="1"/>
  <c r="J2820" i="13" s="1"/>
  <c r="C2820" i="13"/>
  <c r="F2820" i="13" s="1"/>
  <c r="B2820" i="13"/>
  <c r="G2819" i="13"/>
  <c r="H2819" i="13" s="1"/>
  <c r="J2819" i="13" s="1"/>
  <c r="C2819" i="13"/>
  <c r="F2819" i="13" s="1"/>
  <c r="B2819" i="13"/>
  <c r="G2818" i="13"/>
  <c r="H2818" i="13" s="1"/>
  <c r="J2818" i="13" s="1"/>
  <c r="C2818" i="13"/>
  <c r="F2818" i="13" s="1"/>
  <c r="B2818" i="13"/>
  <c r="G2817" i="13"/>
  <c r="H2817" i="13" s="1"/>
  <c r="J2817" i="13" s="1"/>
  <c r="C2817" i="13"/>
  <c r="F2817" i="13" s="1"/>
  <c r="B2817" i="13"/>
  <c r="G2816" i="13"/>
  <c r="H2816" i="13" s="1"/>
  <c r="J2816" i="13" s="1"/>
  <c r="C2816" i="13"/>
  <c r="F2816" i="13" s="1"/>
  <c r="B2816" i="13"/>
  <c r="G2815" i="13"/>
  <c r="H2815" i="13" s="1"/>
  <c r="J2815" i="13" s="1"/>
  <c r="C2815" i="13"/>
  <c r="F2815" i="13" s="1"/>
  <c r="B2815" i="13"/>
  <c r="G2814" i="13"/>
  <c r="H2814" i="13" s="1"/>
  <c r="J2814" i="13" s="1"/>
  <c r="C2814" i="13"/>
  <c r="F2814" i="13" s="1"/>
  <c r="B2814" i="13"/>
  <c r="G2813" i="13"/>
  <c r="H2813" i="13" s="1"/>
  <c r="J2813" i="13" s="1"/>
  <c r="C2813" i="13"/>
  <c r="F2813" i="13" s="1"/>
  <c r="B2813" i="13"/>
  <c r="G2812" i="13"/>
  <c r="H2812" i="13" s="1"/>
  <c r="J2812" i="13" s="1"/>
  <c r="C2812" i="13"/>
  <c r="F2812" i="13" s="1"/>
  <c r="B2812" i="13"/>
  <c r="G2811" i="13"/>
  <c r="H2811" i="13" s="1"/>
  <c r="J2811" i="13" s="1"/>
  <c r="C2811" i="13"/>
  <c r="F2811" i="13" s="1"/>
  <c r="B2811" i="13"/>
  <c r="G2810" i="13"/>
  <c r="H2810" i="13" s="1"/>
  <c r="J2810" i="13" s="1"/>
  <c r="C2810" i="13"/>
  <c r="F2810" i="13" s="1"/>
  <c r="B2810" i="13"/>
  <c r="G2809" i="13"/>
  <c r="H2809" i="13" s="1"/>
  <c r="J2809" i="13" s="1"/>
  <c r="C2809" i="13"/>
  <c r="F2809" i="13" s="1"/>
  <c r="B2809" i="13"/>
  <c r="G2808" i="13"/>
  <c r="H2808" i="13" s="1"/>
  <c r="J2808" i="13" s="1"/>
  <c r="C2808" i="13"/>
  <c r="F2808" i="13" s="1"/>
  <c r="B2808" i="13"/>
  <c r="G2807" i="13"/>
  <c r="H2807" i="13" s="1"/>
  <c r="J2807" i="13" s="1"/>
  <c r="C2807" i="13"/>
  <c r="F2807" i="13" s="1"/>
  <c r="B2807" i="13"/>
  <c r="G2806" i="13"/>
  <c r="H2806" i="13" s="1"/>
  <c r="J2806" i="13" s="1"/>
  <c r="C2806" i="13"/>
  <c r="F2806" i="13" s="1"/>
  <c r="B2806" i="13"/>
  <c r="G2805" i="13"/>
  <c r="H2805" i="13" s="1"/>
  <c r="J2805" i="13" s="1"/>
  <c r="C2805" i="13"/>
  <c r="F2805" i="13" s="1"/>
  <c r="B2805" i="13"/>
  <c r="G2804" i="13"/>
  <c r="H2804" i="13" s="1"/>
  <c r="J2804" i="13" s="1"/>
  <c r="C2804" i="13"/>
  <c r="F2804" i="13" s="1"/>
  <c r="B2804" i="13"/>
  <c r="G2803" i="13"/>
  <c r="H2803" i="13" s="1"/>
  <c r="J2803" i="13" s="1"/>
  <c r="C2803" i="13"/>
  <c r="F2803" i="13" s="1"/>
  <c r="B2803" i="13"/>
  <c r="G2802" i="13"/>
  <c r="H2802" i="13" s="1"/>
  <c r="J2802" i="13" s="1"/>
  <c r="C2802" i="13"/>
  <c r="F2802" i="13" s="1"/>
  <c r="B2802" i="13"/>
  <c r="G2801" i="13"/>
  <c r="H2801" i="13" s="1"/>
  <c r="J2801" i="13" s="1"/>
  <c r="C2801" i="13"/>
  <c r="F2801" i="13" s="1"/>
  <c r="B2801" i="13"/>
  <c r="G2800" i="13"/>
  <c r="H2800" i="13" s="1"/>
  <c r="J2800" i="13" s="1"/>
  <c r="C2800" i="13"/>
  <c r="F2800" i="13" s="1"/>
  <c r="B2800" i="13"/>
  <c r="G2799" i="13"/>
  <c r="H2799" i="13" s="1"/>
  <c r="J2799" i="13" s="1"/>
  <c r="C2799" i="13"/>
  <c r="F2799" i="13" s="1"/>
  <c r="B2799" i="13"/>
  <c r="G2798" i="13"/>
  <c r="H2798" i="13" s="1"/>
  <c r="J2798" i="13" s="1"/>
  <c r="C2798" i="13"/>
  <c r="F2798" i="13" s="1"/>
  <c r="B2798" i="13"/>
  <c r="G2797" i="13"/>
  <c r="H2797" i="13" s="1"/>
  <c r="J2797" i="13" s="1"/>
  <c r="C2797" i="13"/>
  <c r="F2797" i="13" s="1"/>
  <c r="B2797" i="13"/>
  <c r="G2796" i="13"/>
  <c r="H2796" i="13" s="1"/>
  <c r="J2796" i="13" s="1"/>
  <c r="C2796" i="13"/>
  <c r="F2796" i="13" s="1"/>
  <c r="B2796" i="13"/>
  <c r="G2795" i="13"/>
  <c r="H2795" i="13" s="1"/>
  <c r="J2795" i="13" s="1"/>
  <c r="C2795" i="13"/>
  <c r="F2795" i="13" s="1"/>
  <c r="B2795" i="13"/>
  <c r="G2794" i="13"/>
  <c r="H2794" i="13" s="1"/>
  <c r="J2794" i="13" s="1"/>
  <c r="C2794" i="13"/>
  <c r="F2794" i="13" s="1"/>
  <c r="B2794" i="13"/>
  <c r="G2793" i="13"/>
  <c r="H2793" i="13" s="1"/>
  <c r="J2793" i="13" s="1"/>
  <c r="C2793" i="13"/>
  <c r="F2793" i="13" s="1"/>
  <c r="B2793" i="13"/>
  <c r="G2792" i="13"/>
  <c r="H2792" i="13" s="1"/>
  <c r="J2792" i="13" s="1"/>
  <c r="C2792" i="13"/>
  <c r="F2792" i="13" s="1"/>
  <c r="B2792" i="13"/>
  <c r="G2791" i="13"/>
  <c r="H2791" i="13" s="1"/>
  <c r="J2791" i="13" s="1"/>
  <c r="C2791" i="13"/>
  <c r="F2791" i="13" s="1"/>
  <c r="B2791" i="13"/>
  <c r="G2790" i="13"/>
  <c r="H2790" i="13" s="1"/>
  <c r="J2790" i="13" s="1"/>
  <c r="C2790" i="13"/>
  <c r="F2790" i="13" s="1"/>
  <c r="B2790" i="13"/>
  <c r="G2789" i="13"/>
  <c r="H2789" i="13" s="1"/>
  <c r="J2789" i="13" s="1"/>
  <c r="C2789" i="13"/>
  <c r="F2789" i="13" s="1"/>
  <c r="B2789" i="13"/>
  <c r="G2788" i="13"/>
  <c r="H2788" i="13" s="1"/>
  <c r="J2788" i="13" s="1"/>
  <c r="C2788" i="13"/>
  <c r="F2788" i="13" s="1"/>
  <c r="B2788" i="13"/>
  <c r="G2787" i="13"/>
  <c r="H2787" i="13" s="1"/>
  <c r="J2787" i="13" s="1"/>
  <c r="C2787" i="13"/>
  <c r="F2787" i="13" s="1"/>
  <c r="B2787" i="13"/>
  <c r="G2786" i="13"/>
  <c r="H2786" i="13" s="1"/>
  <c r="J2786" i="13" s="1"/>
  <c r="C2786" i="13"/>
  <c r="F2786" i="13" s="1"/>
  <c r="B2786" i="13"/>
  <c r="G2785" i="13"/>
  <c r="H2785" i="13" s="1"/>
  <c r="J2785" i="13" s="1"/>
  <c r="C2785" i="13"/>
  <c r="F2785" i="13" s="1"/>
  <c r="B2785" i="13"/>
  <c r="G2784" i="13"/>
  <c r="H2784" i="13" s="1"/>
  <c r="J2784" i="13" s="1"/>
  <c r="C2784" i="13"/>
  <c r="F2784" i="13" s="1"/>
  <c r="B2784" i="13"/>
  <c r="G2783" i="13"/>
  <c r="H2783" i="13" s="1"/>
  <c r="J2783" i="13" s="1"/>
  <c r="C2783" i="13"/>
  <c r="F2783" i="13" s="1"/>
  <c r="B2783" i="13"/>
  <c r="G2782" i="13"/>
  <c r="H2782" i="13" s="1"/>
  <c r="J2782" i="13" s="1"/>
  <c r="C2782" i="13"/>
  <c r="F2782" i="13" s="1"/>
  <c r="B2782" i="13"/>
  <c r="G2781" i="13"/>
  <c r="H2781" i="13" s="1"/>
  <c r="J2781" i="13" s="1"/>
  <c r="C2781" i="13"/>
  <c r="F2781" i="13" s="1"/>
  <c r="B2781" i="13"/>
  <c r="G2780" i="13"/>
  <c r="H2780" i="13" s="1"/>
  <c r="J2780" i="13" s="1"/>
  <c r="C2780" i="13"/>
  <c r="F2780" i="13" s="1"/>
  <c r="B2780" i="13"/>
  <c r="G2779" i="13"/>
  <c r="H2779" i="13" s="1"/>
  <c r="J2779" i="13" s="1"/>
  <c r="C2779" i="13"/>
  <c r="F2779" i="13" s="1"/>
  <c r="B2779" i="13"/>
  <c r="G2778" i="13"/>
  <c r="H2778" i="13" s="1"/>
  <c r="J2778" i="13" s="1"/>
  <c r="C2778" i="13"/>
  <c r="F2778" i="13" s="1"/>
  <c r="B2778" i="13"/>
  <c r="G2777" i="13"/>
  <c r="H2777" i="13" s="1"/>
  <c r="J2777" i="13" s="1"/>
  <c r="C2777" i="13"/>
  <c r="F2777" i="13" s="1"/>
  <c r="B2777" i="13"/>
  <c r="G2776" i="13"/>
  <c r="H2776" i="13" s="1"/>
  <c r="J2776" i="13" s="1"/>
  <c r="C2776" i="13"/>
  <c r="F2776" i="13" s="1"/>
  <c r="B2776" i="13"/>
  <c r="G2775" i="13"/>
  <c r="H2775" i="13" s="1"/>
  <c r="J2775" i="13" s="1"/>
  <c r="C2775" i="13"/>
  <c r="F2775" i="13" s="1"/>
  <c r="B2775" i="13"/>
  <c r="G2774" i="13"/>
  <c r="H2774" i="13" s="1"/>
  <c r="J2774" i="13" s="1"/>
  <c r="C2774" i="13"/>
  <c r="F2774" i="13" s="1"/>
  <c r="B2774" i="13"/>
  <c r="G2773" i="13"/>
  <c r="H2773" i="13" s="1"/>
  <c r="J2773" i="13" s="1"/>
  <c r="C2773" i="13"/>
  <c r="F2773" i="13" s="1"/>
  <c r="B2773" i="13"/>
  <c r="G2772" i="13"/>
  <c r="H2772" i="13" s="1"/>
  <c r="J2772" i="13" s="1"/>
  <c r="C2772" i="13"/>
  <c r="F2772" i="13" s="1"/>
  <c r="B2772" i="13"/>
  <c r="G2771" i="13"/>
  <c r="H2771" i="13" s="1"/>
  <c r="J2771" i="13" s="1"/>
  <c r="C2771" i="13"/>
  <c r="F2771" i="13" s="1"/>
  <c r="B2771" i="13"/>
  <c r="G2770" i="13"/>
  <c r="H2770" i="13" s="1"/>
  <c r="J2770" i="13" s="1"/>
  <c r="C2770" i="13"/>
  <c r="F2770" i="13" s="1"/>
  <c r="B2770" i="13"/>
  <c r="G2769" i="13"/>
  <c r="H2769" i="13" s="1"/>
  <c r="J2769" i="13" s="1"/>
  <c r="C2769" i="13"/>
  <c r="F2769" i="13" s="1"/>
  <c r="B2769" i="13"/>
  <c r="G2768" i="13"/>
  <c r="H2768" i="13" s="1"/>
  <c r="J2768" i="13" s="1"/>
  <c r="C2768" i="13"/>
  <c r="F2768" i="13" s="1"/>
  <c r="B2768" i="13"/>
  <c r="G2767" i="13"/>
  <c r="H2767" i="13" s="1"/>
  <c r="J2767" i="13" s="1"/>
  <c r="C2767" i="13"/>
  <c r="F2767" i="13" s="1"/>
  <c r="B2767" i="13"/>
  <c r="G2766" i="13"/>
  <c r="H2766" i="13" s="1"/>
  <c r="J2766" i="13" s="1"/>
  <c r="C2766" i="13"/>
  <c r="F2766" i="13" s="1"/>
  <c r="B2766" i="13"/>
  <c r="G2765" i="13"/>
  <c r="H2765" i="13" s="1"/>
  <c r="J2765" i="13" s="1"/>
  <c r="C2765" i="13"/>
  <c r="F2765" i="13" s="1"/>
  <c r="B2765" i="13"/>
  <c r="G2764" i="13"/>
  <c r="H2764" i="13" s="1"/>
  <c r="J2764" i="13" s="1"/>
  <c r="C2764" i="13"/>
  <c r="F2764" i="13" s="1"/>
  <c r="B2764" i="13"/>
  <c r="G2763" i="13"/>
  <c r="H2763" i="13" s="1"/>
  <c r="J2763" i="13" s="1"/>
  <c r="C2763" i="13"/>
  <c r="F2763" i="13" s="1"/>
  <c r="B2763" i="13"/>
  <c r="G2762" i="13"/>
  <c r="H2762" i="13" s="1"/>
  <c r="J2762" i="13" s="1"/>
  <c r="C2762" i="13"/>
  <c r="F2762" i="13" s="1"/>
  <c r="B2762" i="13"/>
  <c r="G2761" i="13"/>
  <c r="H2761" i="13" s="1"/>
  <c r="J2761" i="13" s="1"/>
  <c r="C2761" i="13"/>
  <c r="F2761" i="13" s="1"/>
  <c r="B2761" i="13"/>
  <c r="G2760" i="13"/>
  <c r="H2760" i="13" s="1"/>
  <c r="J2760" i="13" s="1"/>
  <c r="C2760" i="13"/>
  <c r="F2760" i="13" s="1"/>
  <c r="B2760" i="13"/>
  <c r="G2759" i="13"/>
  <c r="H2759" i="13" s="1"/>
  <c r="J2759" i="13" s="1"/>
  <c r="C2759" i="13"/>
  <c r="F2759" i="13" s="1"/>
  <c r="B2759" i="13"/>
  <c r="G2758" i="13"/>
  <c r="H2758" i="13" s="1"/>
  <c r="J2758" i="13" s="1"/>
  <c r="C2758" i="13"/>
  <c r="F2758" i="13" s="1"/>
  <c r="B2758" i="13"/>
  <c r="G2757" i="13"/>
  <c r="H2757" i="13" s="1"/>
  <c r="J2757" i="13" s="1"/>
  <c r="C2757" i="13"/>
  <c r="F2757" i="13" s="1"/>
  <c r="B2757" i="13"/>
  <c r="G2756" i="13"/>
  <c r="H2756" i="13" s="1"/>
  <c r="J2756" i="13" s="1"/>
  <c r="C2756" i="13"/>
  <c r="F2756" i="13" s="1"/>
  <c r="B2756" i="13"/>
  <c r="G2755" i="13"/>
  <c r="H2755" i="13" s="1"/>
  <c r="J2755" i="13" s="1"/>
  <c r="C2755" i="13"/>
  <c r="F2755" i="13" s="1"/>
  <c r="B2755" i="13"/>
  <c r="G2754" i="13"/>
  <c r="H2754" i="13" s="1"/>
  <c r="J2754" i="13" s="1"/>
  <c r="C2754" i="13"/>
  <c r="F2754" i="13" s="1"/>
  <c r="B2754" i="13"/>
  <c r="G2753" i="13"/>
  <c r="H2753" i="13" s="1"/>
  <c r="J2753" i="13" s="1"/>
  <c r="C2753" i="13"/>
  <c r="F2753" i="13" s="1"/>
  <c r="B2753" i="13"/>
  <c r="G2752" i="13"/>
  <c r="H2752" i="13" s="1"/>
  <c r="J2752" i="13" s="1"/>
  <c r="C2752" i="13"/>
  <c r="F2752" i="13" s="1"/>
  <c r="B2752" i="13"/>
  <c r="G2751" i="13"/>
  <c r="H2751" i="13" s="1"/>
  <c r="J2751" i="13" s="1"/>
  <c r="C2751" i="13"/>
  <c r="F2751" i="13" s="1"/>
  <c r="B2751" i="13"/>
  <c r="G2750" i="13"/>
  <c r="H2750" i="13" s="1"/>
  <c r="J2750" i="13" s="1"/>
  <c r="C2750" i="13"/>
  <c r="F2750" i="13" s="1"/>
  <c r="B2750" i="13"/>
  <c r="G2749" i="13"/>
  <c r="H2749" i="13" s="1"/>
  <c r="J2749" i="13" s="1"/>
  <c r="C2749" i="13"/>
  <c r="F2749" i="13" s="1"/>
  <c r="B2749" i="13"/>
  <c r="G2748" i="13"/>
  <c r="H2748" i="13" s="1"/>
  <c r="J2748" i="13" s="1"/>
  <c r="C2748" i="13"/>
  <c r="F2748" i="13" s="1"/>
  <c r="B2748" i="13"/>
  <c r="G2747" i="13"/>
  <c r="H2747" i="13" s="1"/>
  <c r="J2747" i="13" s="1"/>
  <c r="C2747" i="13"/>
  <c r="F2747" i="13" s="1"/>
  <c r="B2747" i="13"/>
  <c r="G2746" i="13"/>
  <c r="H2746" i="13" s="1"/>
  <c r="J2746" i="13" s="1"/>
  <c r="C2746" i="13"/>
  <c r="F2746" i="13" s="1"/>
  <c r="B2746" i="13"/>
  <c r="G2745" i="13"/>
  <c r="H2745" i="13" s="1"/>
  <c r="J2745" i="13" s="1"/>
  <c r="C2745" i="13"/>
  <c r="F2745" i="13" s="1"/>
  <c r="B2745" i="13"/>
  <c r="G2744" i="13"/>
  <c r="H2744" i="13" s="1"/>
  <c r="J2744" i="13" s="1"/>
  <c r="C2744" i="13"/>
  <c r="F2744" i="13" s="1"/>
  <c r="B2744" i="13"/>
  <c r="G2743" i="13"/>
  <c r="H2743" i="13" s="1"/>
  <c r="J2743" i="13" s="1"/>
  <c r="C2743" i="13"/>
  <c r="F2743" i="13" s="1"/>
  <c r="B2743" i="13"/>
  <c r="G2742" i="13"/>
  <c r="H2742" i="13" s="1"/>
  <c r="J2742" i="13" s="1"/>
  <c r="C2742" i="13"/>
  <c r="F2742" i="13" s="1"/>
  <c r="B2742" i="13"/>
  <c r="G2741" i="13"/>
  <c r="H2741" i="13" s="1"/>
  <c r="J2741" i="13" s="1"/>
  <c r="C2741" i="13"/>
  <c r="F2741" i="13" s="1"/>
  <c r="B2741" i="13"/>
  <c r="G2740" i="13"/>
  <c r="H2740" i="13" s="1"/>
  <c r="J2740" i="13" s="1"/>
  <c r="C2740" i="13"/>
  <c r="F2740" i="13" s="1"/>
  <c r="B2740" i="13"/>
  <c r="G2739" i="13"/>
  <c r="H2739" i="13" s="1"/>
  <c r="J2739" i="13" s="1"/>
  <c r="C2739" i="13"/>
  <c r="F2739" i="13" s="1"/>
  <c r="B2739" i="13"/>
  <c r="G2738" i="13"/>
  <c r="H2738" i="13" s="1"/>
  <c r="J2738" i="13" s="1"/>
  <c r="C2738" i="13"/>
  <c r="F2738" i="13" s="1"/>
  <c r="B2738" i="13"/>
  <c r="G2737" i="13"/>
  <c r="H2737" i="13" s="1"/>
  <c r="J2737" i="13" s="1"/>
  <c r="C2737" i="13"/>
  <c r="F2737" i="13" s="1"/>
  <c r="B2737" i="13"/>
  <c r="G2736" i="13"/>
  <c r="H2736" i="13" s="1"/>
  <c r="J2736" i="13" s="1"/>
  <c r="C2736" i="13"/>
  <c r="F2736" i="13" s="1"/>
  <c r="B2736" i="13"/>
  <c r="G2735" i="13"/>
  <c r="H2735" i="13" s="1"/>
  <c r="J2735" i="13" s="1"/>
  <c r="C2735" i="13"/>
  <c r="F2735" i="13" s="1"/>
  <c r="B2735" i="13"/>
  <c r="G2734" i="13"/>
  <c r="H2734" i="13" s="1"/>
  <c r="J2734" i="13" s="1"/>
  <c r="C2734" i="13"/>
  <c r="F2734" i="13" s="1"/>
  <c r="B2734" i="13"/>
  <c r="G2733" i="13"/>
  <c r="H2733" i="13" s="1"/>
  <c r="J2733" i="13" s="1"/>
  <c r="C2733" i="13"/>
  <c r="F2733" i="13" s="1"/>
  <c r="B2733" i="13"/>
  <c r="G2732" i="13"/>
  <c r="H2732" i="13" s="1"/>
  <c r="J2732" i="13" s="1"/>
  <c r="C2732" i="13"/>
  <c r="F2732" i="13" s="1"/>
  <c r="B2732" i="13"/>
  <c r="G2731" i="13"/>
  <c r="H2731" i="13" s="1"/>
  <c r="J2731" i="13" s="1"/>
  <c r="C2731" i="13"/>
  <c r="F2731" i="13" s="1"/>
  <c r="B2731" i="13"/>
  <c r="G2730" i="13"/>
  <c r="H2730" i="13" s="1"/>
  <c r="J2730" i="13" s="1"/>
  <c r="C2730" i="13"/>
  <c r="F2730" i="13" s="1"/>
  <c r="B2730" i="13"/>
  <c r="G2729" i="13"/>
  <c r="H2729" i="13" s="1"/>
  <c r="J2729" i="13" s="1"/>
  <c r="C2729" i="13"/>
  <c r="F2729" i="13" s="1"/>
  <c r="B2729" i="13"/>
  <c r="G2728" i="13"/>
  <c r="H2728" i="13" s="1"/>
  <c r="J2728" i="13" s="1"/>
  <c r="C2728" i="13"/>
  <c r="F2728" i="13" s="1"/>
  <c r="B2728" i="13"/>
  <c r="G2727" i="13"/>
  <c r="H2727" i="13" s="1"/>
  <c r="J2727" i="13" s="1"/>
  <c r="C2727" i="13"/>
  <c r="F2727" i="13" s="1"/>
  <c r="B2727" i="13"/>
  <c r="G2726" i="13"/>
  <c r="H2726" i="13" s="1"/>
  <c r="J2726" i="13" s="1"/>
  <c r="C2726" i="13"/>
  <c r="F2726" i="13" s="1"/>
  <c r="B2726" i="13"/>
  <c r="G2725" i="13"/>
  <c r="H2725" i="13" s="1"/>
  <c r="J2725" i="13" s="1"/>
  <c r="C2725" i="13"/>
  <c r="F2725" i="13" s="1"/>
  <c r="B2725" i="13"/>
  <c r="G2724" i="13"/>
  <c r="H2724" i="13" s="1"/>
  <c r="J2724" i="13" s="1"/>
  <c r="C2724" i="13"/>
  <c r="F2724" i="13" s="1"/>
  <c r="B2724" i="13"/>
  <c r="G2723" i="13"/>
  <c r="H2723" i="13" s="1"/>
  <c r="J2723" i="13" s="1"/>
  <c r="C2723" i="13"/>
  <c r="F2723" i="13" s="1"/>
  <c r="B2723" i="13"/>
  <c r="G2722" i="13"/>
  <c r="H2722" i="13" s="1"/>
  <c r="J2722" i="13" s="1"/>
  <c r="C2722" i="13"/>
  <c r="F2722" i="13" s="1"/>
  <c r="B2722" i="13"/>
  <c r="G2721" i="13"/>
  <c r="H2721" i="13" s="1"/>
  <c r="J2721" i="13" s="1"/>
  <c r="C2721" i="13"/>
  <c r="F2721" i="13" s="1"/>
  <c r="B2721" i="13"/>
  <c r="G2720" i="13"/>
  <c r="H2720" i="13" s="1"/>
  <c r="J2720" i="13" s="1"/>
  <c r="C2720" i="13"/>
  <c r="F2720" i="13" s="1"/>
  <c r="B2720" i="13"/>
  <c r="G2719" i="13"/>
  <c r="H2719" i="13" s="1"/>
  <c r="J2719" i="13" s="1"/>
  <c r="C2719" i="13"/>
  <c r="F2719" i="13" s="1"/>
  <c r="B2719" i="13"/>
  <c r="G2718" i="13"/>
  <c r="H2718" i="13" s="1"/>
  <c r="J2718" i="13" s="1"/>
  <c r="C2718" i="13"/>
  <c r="F2718" i="13" s="1"/>
  <c r="B2718" i="13"/>
  <c r="G2717" i="13"/>
  <c r="H2717" i="13" s="1"/>
  <c r="J2717" i="13" s="1"/>
  <c r="C2717" i="13"/>
  <c r="F2717" i="13" s="1"/>
  <c r="B2717" i="13"/>
  <c r="G2716" i="13"/>
  <c r="H2716" i="13" s="1"/>
  <c r="J2716" i="13" s="1"/>
  <c r="C2716" i="13"/>
  <c r="F2716" i="13" s="1"/>
  <c r="B2716" i="13"/>
  <c r="G2715" i="13"/>
  <c r="H2715" i="13" s="1"/>
  <c r="J2715" i="13" s="1"/>
  <c r="C2715" i="13"/>
  <c r="F2715" i="13" s="1"/>
  <c r="B2715" i="13"/>
  <c r="G2714" i="13"/>
  <c r="H2714" i="13" s="1"/>
  <c r="J2714" i="13" s="1"/>
  <c r="C2714" i="13"/>
  <c r="F2714" i="13" s="1"/>
  <c r="B2714" i="13"/>
  <c r="G2713" i="13"/>
  <c r="H2713" i="13" s="1"/>
  <c r="J2713" i="13" s="1"/>
  <c r="C2713" i="13"/>
  <c r="F2713" i="13" s="1"/>
  <c r="B2713" i="13"/>
  <c r="G2712" i="13"/>
  <c r="H2712" i="13" s="1"/>
  <c r="J2712" i="13" s="1"/>
  <c r="C2712" i="13"/>
  <c r="F2712" i="13" s="1"/>
  <c r="B2712" i="13"/>
  <c r="G2711" i="13"/>
  <c r="H2711" i="13" s="1"/>
  <c r="J2711" i="13" s="1"/>
  <c r="C2711" i="13"/>
  <c r="F2711" i="13" s="1"/>
  <c r="B2711" i="13"/>
  <c r="G2710" i="13"/>
  <c r="H2710" i="13" s="1"/>
  <c r="J2710" i="13" s="1"/>
  <c r="C2710" i="13"/>
  <c r="F2710" i="13" s="1"/>
  <c r="B2710" i="13"/>
  <c r="G2709" i="13"/>
  <c r="H2709" i="13" s="1"/>
  <c r="J2709" i="13" s="1"/>
  <c r="C2709" i="13"/>
  <c r="F2709" i="13" s="1"/>
  <c r="B2709" i="13"/>
  <c r="G2708" i="13"/>
  <c r="H2708" i="13" s="1"/>
  <c r="J2708" i="13" s="1"/>
  <c r="C2708" i="13"/>
  <c r="F2708" i="13" s="1"/>
  <c r="B2708" i="13"/>
  <c r="G2707" i="13"/>
  <c r="H2707" i="13" s="1"/>
  <c r="J2707" i="13" s="1"/>
  <c r="C2707" i="13"/>
  <c r="F2707" i="13" s="1"/>
  <c r="B2707" i="13"/>
  <c r="G2706" i="13"/>
  <c r="H2706" i="13" s="1"/>
  <c r="J2706" i="13" s="1"/>
  <c r="C2706" i="13"/>
  <c r="F2706" i="13" s="1"/>
  <c r="B2706" i="13"/>
  <c r="G2705" i="13"/>
  <c r="H2705" i="13" s="1"/>
  <c r="J2705" i="13" s="1"/>
  <c r="C2705" i="13"/>
  <c r="F2705" i="13" s="1"/>
  <c r="B2705" i="13"/>
  <c r="G2704" i="13"/>
  <c r="H2704" i="13" s="1"/>
  <c r="J2704" i="13" s="1"/>
  <c r="C2704" i="13"/>
  <c r="F2704" i="13" s="1"/>
  <c r="B2704" i="13"/>
  <c r="G2703" i="13"/>
  <c r="H2703" i="13" s="1"/>
  <c r="J2703" i="13" s="1"/>
  <c r="C2703" i="13"/>
  <c r="F2703" i="13" s="1"/>
  <c r="B2703" i="13"/>
  <c r="G2702" i="13"/>
  <c r="H2702" i="13" s="1"/>
  <c r="J2702" i="13" s="1"/>
  <c r="C2702" i="13"/>
  <c r="F2702" i="13" s="1"/>
  <c r="B2702" i="13"/>
  <c r="G2701" i="13"/>
  <c r="H2701" i="13" s="1"/>
  <c r="J2701" i="13" s="1"/>
  <c r="C2701" i="13"/>
  <c r="F2701" i="13" s="1"/>
  <c r="B2701" i="13"/>
  <c r="G2700" i="13"/>
  <c r="H2700" i="13" s="1"/>
  <c r="J2700" i="13" s="1"/>
  <c r="C2700" i="13"/>
  <c r="F2700" i="13" s="1"/>
  <c r="B2700" i="13"/>
  <c r="G2699" i="13"/>
  <c r="H2699" i="13" s="1"/>
  <c r="J2699" i="13" s="1"/>
  <c r="C2699" i="13"/>
  <c r="F2699" i="13" s="1"/>
  <c r="B2699" i="13"/>
  <c r="G2698" i="13"/>
  <c r="H2698" i="13" s="1"/>
  <c r="J2698" i="13" s="1"/>
  <c r="C2698" i="13"/>
  <c r="F2698" i="13" s="1"/>
  <c r="B2698" i="13"/>
  <c r="G2697" i="13"/>
  <c r="H2697" i="13" s="1"/>
  <c r="J2697" i="13" s="1"/>
  <c r="C2697" i="13"/>
  <c r="F2697" i="13" s="1"/>
  <c r="B2697" i="13"/>
  <c r="G2696" i="13"/>
  <c r="H2696" i="13" s="1"/>
  <c r="J2696" i="13" s="1"/>
  <c r="C2696" i="13"/>
  <c r="F2696" i="13" s="1"/>
  <c r="B2696" i="13"/>
  <c r="G2695" i="13"/>
  <c r="H2695" i="13" s="1"/>
  <c r="J2695" i="13" s="1"/>
  <c r="C2695" i="13"/>
  <c r="F2695" i="13" s="1"/>
  <c r="B2695" i="13"/>
  <c r="G2694" i="13"/>
  <c r="H2694" i="13" s="1"/>
  <c r="J2694" i="13" s="1"/>
  <c r="C2694" i="13"/>
  <c r="F2694" i="13" s="1"/>
  <c r="B2694" i="13"/>
  <c r="G2693" i="13"/>
  <c r="H2693" i="13" s="1"/>
  <c r="J2693" i="13" s="1"/>
  <c r="C2693" i="13"/>
  <c r="F2693" i="13" s="1"/>
  <c r="B2693" i="13"/>
  <c r="G2692" i="13"/>
  <c r="H2692" i="13" s="1"/>
  <c r="J2692" i="13" s="1"/>
  <c r="C2692" i="13"/>
  <c r="F2692" i="13" s="1"/>
  <c r="B2692" i="13"/>
  <c r="G2691" i="13"/>
  <c r="H2691" i="13" s="1"/>
  <c r="J2691" i="13" s="1"/>
  <c r="C2691" i="13"/>
  <c r="F2691" i="13" s="1"/>
  <c r="B2691" i="13"/>
  <c r="G2690" i="13"/>
  <c r="H2690" i="13" s="1"/>
  <c r="J2690" i="13" s="1"/>
  <c r="C2690" i="13"/>
  <c r="F2690" i="13" s="1"/>
  <c r="B2690" i="13"/>
  <c r="G2689" i="13"/>
  <c r="H2689" i="13" s="1"/>
  <c r="J2689" i="13" s="1"/>
  <c r="C2689" i="13"/>
  <c r="F2689" i="13" s="1"/>
  <c r="B2689" i="13"/>
  <c r="G2688" i="13"/>
  <c r="H2688" i="13" s="1"/>
  <c r="J2688" i="13" s="1"/>
  <c r="C2688" i="13"/>
  <c r="F2688" i="13" s="1"/>
  <c r="B2688" i="13"/>
  <c r="G2687" i="13"/>
  <c r="H2687" i="13" s="1"/>
  <c r="J2687" i="13" s="1"/>
  <c r="C2687" i="13"/>
  <c r="F2687" i="13" s="1"/>
  <c r="B2687" i="13"/>
  <c r="G2686" i="13"/>
  <c r="H2686" i="13" s="1"/>
  <c r="J2686" i="13" s="1"/>
  <c r="C2686" i="13"/>
  <c r="F2686" i="13" s="1"/>
  <c r="B2686" i="13"/>
  <c r="G2685" i="13"/>
  <c r="H2685" i="13" s="1"/>
  <c r="J2685" i="13" s="1"/>
  <c r="C2685" i="13"/>
  <c r="F2685" i="13" s="1"/>
  <c r="B2685" i="13"/>
  <c r="G2684" i="13"/>
  <c r="H2684" i="13" s="1"/>
  <c r="J2684" i="13" s="1"/>
  <c r="C2684" i="13"/>
  <c r="F2684" i="13" s="1"/>
  <c r="B2684" i="13"/>
  <c r="G2683" i="13"/>
  <c r="H2683" i="13" s="1"/>
  <c r="J2683" i="13" s="1"/>
  <c r="C2683" i="13"/>
  <c r="F2683" i="13" s="1"/>
  <c r="B2683" i="13"/>
  <c r="G2682" i="13"/>
  <c r="H2682" i="13" s="1"/>
  <c r="J2682" i="13" s="1"/>
  <c r="C2682" i="13"/>
  <c r="F2682" i="13" s="1"/>
  <c r="B2682" i="13"/>
  <c r="G2681" i="13"/>
  <c r="H2681" i="13" s="1"/>
  <c r="J2681" i="13" s="1"/>
  <c r="C2681" i="13"/>
  <c r="F2681" i="13" s="1"/>
  <c r="B2681" i="13"/>
  <c r="G2680" i="13"/>
  <c r="H2680" i="13" s="1"/>
  <c r="J2680" i="13" s="1"/>
  <c r="C2680" i="13"/>
  <c r="F2680" i="13" s="1"/>
  <c r="B2680" i="13"/>
  <c r="G2679" i="13"/>
  <c r="H2679" i="13" s="1"/>
  <c r="J2679" i="13" s="1"/>
  <c r="C2679" i="13"/>
  <c r="F2679" i="13" s="1"/>
  <c r="B2679" i="13"/>
  <c r="G2678" i="13"/>
  <c r="H2678" i="13" s="1"/>
  <c r="J2678" i="13" s="1"/>
  <c r="C2678" i="13"/>
  <c r="F2678" i="13" s="1"/>
  <c r="B2678" i="13"/>
  <c r="G2677" i="13"/>
  <c r="H2677" i="13" s="1"/>
  <c r="J2677" i="13" s="1"/>
  <c r="C2677" i="13"/>
  <c r="F2677" i="13" s="1"/>
  <c r="B2677" i="13"/>
  <c r="G2676" i="13"/>
  <c r="H2676" i="13" s="1"/>
  <c r="J2676" i="13" s="1"/>
  <c r="C2676" i="13"/>
  <c r="F2676" i="13" s="1"/>
  <c r="B2676" i="13"/>
  <c r="G2675" i="13"/>
  <c r="H2675" i="13" s="1"/>
  <c r="J2675" i="13" s="1"/>
  <c r="C2675" i="13"/>
  <c r="F2675" i="13" s="1"/>
  <c r="B2675" i="13"/>
  <c r="G2674" i="13"/>
  <c r="H2674" i="13" s="1"/>
  <c r="J2674" i="13" s="1"/>
  <c r="C2674" i="13"/>
  <c r="F2674" i="13" s="1"/>
  <c r="B2674" i="13"/>
  <c r="G2673" i="13"/>
  <c r="H2673" i="13" s="1"/>
  <c r="J2673" i="13" s="1"/>
  <c r="C2673" i="13"/>
  <c r="F2673" i="13" s="1"/>
  <c r="B2673" i="13"/>
  <c r="G2672" i="13"/>
  <c r="H2672" i="13" s="1"/>
  <c r="J2672" i="13" s="1"/>
  <c r="C2672" i="13"/>
  <c r="F2672" i="13" s="1"/>
  <c r="B2672" i="13"/>
  <c r="G2671" i="13"/>
  <c r="H2671" i="13" s="1"/>
  <c r="J2671" i="13" s="1"/>
  <c r="C2671" i="13"/>
  <c r="F2671" i="13" s="1"/>
  <c r="B2671" i="13"/>
  <c r="G2670" i="13"/>
  <c r="H2670" i="13" s="1"/>
  <c r="J2670" i="13" s="1"/>
  <c r="C2670" i="13"/>
  <c r="F2670" i="13" s="1"/>
  <c r="B2670" i="13"/>
  <c r="G2669" i="13"/>
  <c r="H2669" i="13" s="1"/>
  <c r="J2669" i="13" s="1"/>
  <c r="C2669" i="13"/>
  <c r="F2669" i="13" s="1"/>
  <c r="B2669" i="13"/>
  <c r="G2668" i="13"/>
  <c r="H2668" i="13" s="1"/>
  <c r="J2668" i="13" s="1"/>
  <c r="C2668" i="13"/>
  <c r="F2668" i="13" s="1"/>
  <c r="B2668" i="13"/>
  <c r="G2667" i="13"/>
  <c r="H2667" i="13" s="1"/>
  <c r="J2667" i="13" s="1"/>
  <c r="C2667" i="13"/>
  <c r="F2667" i="13" s="1"/>
  <c r="B2667" i="13"/>
  <c r="G2666" i="13"/>
  <c r="H2666" i="13" s="1"/>
  <c r="J2666" i="13" s="1"/>
  <c r="C2666" i="13"/>
  <c r="F2666" i="13" s="1"/>
  <c r="B2666" i="13"/>
  <c r="G2665" i="13"/>
  <c r="H2665" i="13" s="1"/>
  <c r="J2665" i="13" s="1"/>
  <c r="C2665" i="13"/>
  <c r="F2665" i="13" s="1"/>
  <c r="B2665" i="13"/>
  <c r="G2664" i="13"/>
  <c r="H2664" i="13" s="1"/>
  <c r="J2664" i="13" s="1"/>
  <c r="C2664" i="13"/>
  <c r="F2664" i="13" s="1"/>
  <c r="B2664" i="13"/>
  <c r="G2663" i="13"/>
  <c r="H2663" i="13" s="1"/>
  <c r="J2663" i="13" s="1"/>
  <c r="C2663" i="13"/>
  <c r="F2663" i="13" s="1"/>
  <c r="B2663" i="13"/>
  <c r="G2662" i="13"/>
  <c r="H2662" i="13" s="1"/>
  <c r="J2662" i="13" s="1"/>
  <c r="C2662" i="13"/>
  <c r="F2662" i="13" s="1"/>
  <c r="B2662" i="13"/>
  <c r="G2661" i="13"/>
  <c r="H2661" i="13" s="1"/>
  <c r="J2661" i="13" s="1"/>
  <c r="C2661" i="13"/>
  <c r="F2661" i="13" s="1"/>
  <c r="B2661" i="13"/>
  <c r="G2660" i="13"/>
  <c r="H2660" i="13" s="1"/>
  <c r="J2660" i="13" s="1"/>
  <c r="C2660" i="13"/>
  <c r="F2660" i="13" s="1"/>
  <c r="B2660" i="13"/>
  <c r="G2659" i="13"/>
  <c r="H2659" i="13" s="1"/>
  <c r="J2659" i="13" s="1"/>
  <c r="C2659" i="13"/>
  <c r="F2659" i="13" s="1"/>
  <c r="B2659" i="13"/>
  <c r="G2658" i="13"/>
  <c r="H2658" i="13" s="1"/>
  <c r="J2658" i="13" s="1"/>
  <c r="C2658" i="13"/>
  <c r="F2658" i="13" s="1"/>
  <c r="B2658" i="13"/>
  <c r="G2657" i="13"/>
  <c r="H2657" i="13" s="1"/>
  <c r="J2657" i="13" s="1"/>
  <c r="C2657" i="13"/>
  <c r="F2657" i="13" s="1"/>
  <c r="B2657" i="13"/>
  <c r="G2656" i="13"/>
  <c r="H2656" i="13" s="1"/>
  <c r="J2656" i="13" s="1"/>
  <c r="C2656" i="13"/>
  <c r="F2656" i="13" s="1"/>
  <c r="B2656" i="13"/>
  <c r="G2655" i="13"/>
  <c r="H2655" i="13" s="1"/>
  <c r="J2655" i="13" s="1"/>
  <c r="C2655" i="13"/>
  <c r="F2655" i="13" s="1"/>
  <c r="B2655" i="13"/>
  <c r="G2654" i="13"/>
  <c r="H2654" i="13" s="1"/>
  <c r="J2654" i="13" s="1"/>
  <c r="C2654" i="13"/>
  <c r="F2654" i="13" s="1"/>
  <c r="B2654" i="13"/>
  <c r="G2653" i="13"/>
  <c r="H2653" i="13" s="1"/>
  <c r="J2653" i="13" s="1"/>
  <c r="C2653" i="13"/>
  <c r="F2653" i="13" s="1"/>
  <c r="B2653" i="13"/>
  <c r="G2652" i="13"/>
  <c r="H2652" i="13" s="1"/>
  <c r="J2652" i="13" s="1"/>
  <c r="C2652" i="13"/>
  <c r="F2652" i="13" s="1"/>
  <c r="B2652" i="13"/>
  <c r="G2651" i="13"/>
  <c r="H2651" i="13" s="1"/>
  <c r="J2651" i="13" s="1"/>
  <c r="C2651" i="13"/>
  <c r="F2651" i="13" s="1"/>
  <c r="B2651" i="13"/>
  <c r="G2650" i="13"/>
  <c r="H2650" i="13" s="1"/>
  <c r="J2650" i="13" s="1"/>
  <c r="C2650" i="13"/>
  <c r="F2650" i="13" s="1"/>
  <c r="B2650" i="13"/>
  <c r="G2649" i="13"/>
  <c r="H2649" i="13" s="1"/>
  <c r="J2649" i="13" s="1"/>
  <c r="C2649" i="13"/>
  <c r="F2649" i="13" s="1"/>
  <c r="B2649" i="13"/>
  <c r="G2648" i="13"/>
  <c r="H2648" i="13" s="1"/>
  <c r="J2648" i="13" s="1"/>
  <c r="C2648" i="13"/>
  <c r="F2648" i="13" s="1"/>
  <c r="B2648" i="13"/>
  <c r="G2647" i="13"/>
  <c r="H2647" i="13" s="1"/>
  <c r="J2647" i="13" s="1"/>
  <c r="C2647" i="13"/>
  <c r="F2647" i="13" s="1"/>
  <c r="B2647" i="13"/>
  <c r="G2646" i="13"/>
  <c r="H2646" i="13" s="1"/>
  <c r="J2646" i="13" s="1"/>
  <c r="C2646" i="13"/>
  <c r="F2646" i="13" s="1"/>
  <c r="B2646" i="13"/>
  <c r="G2645" i="13"/>
  <c r="H2645" i="13" s="1"/>
  <c r="J2645" i="13" s="1"/>
  <c r="C2645" i="13"/>
  <c r="F2645" i="13" s="1"/>
  <c r="B2645" i="13"/>
  <c r="G2644" i="13"/>
  <c r="H2644" i="13" s="1"/>
  <c r="J2644" i="13" s="1"/>
  <c r="C2644" i="13"/>
  <c r="F2644" i="13" s="1"/>
  <c r="B2644" i="13"/>
  <c r="G2643" i="13"/>
  <c r="H2643" i="13" s="1"/>
  <c r="J2643" i="13" s="1"/>
  <c r="C2643" i="13"/>
  <c r="F2643" i="13" s="1"/>
  <c r="B2643" i="13"/>
  <c r="G2642" i="13"/>
  <c r="H2642" i="13" s="1"/>
  <c r="J2642" i="13" s="1"/>
  <c r="C2642" i="13"/>
  <c r="F2642" i="13" s="1"/>
  <c r="B2642" i="13"/>
  <c r="G2641" i="13"/>
  <c r="H2641" i="13" s="1"/>
  <c r="J2641" i="13" s="1"/>
  <c r="C2641" i="13"/>
  <c r="F2641" i="13" s="1"/>
  <c r="B2641" i="13"/>
  <c r="G2640" i="13"/>
  <c r="H2640" i="13" s="1"/>
  <c r="J2640" i="13" s="1"/>
  <c r="C2640" i="13"/>
  <c r="F2640" i="13" s="1"/>
  <c r="B2640" i="13"/>
  <c r="G2639" i="13"/>
  <c r="H2639" i="13" s="1"/>
  <c r="J2639" i="13" s="1"/>
  <c r="C2639" i="13"/>
  <c r="F2639" i="13" s="1"/>
  <c r="B2639" i="13"/>
  <c r="G2638" i="13"/>
  <c r="H2638" i="13" s="1"/>
  <c r="J2638" i="13" s="1"/>
  <c r="C2638" i="13"/>
  <c r="F2638" i="13" s="1"/>
  <c r="B2638" i="13"/>
  <c r="G2637" i="13"/>
  <c r="H2637" i="13" s="1"/>
  <c r="J2637" i="13" s="1"/>
  <c r="C2637" i="13"/>
  <c r="F2637" i="13" s="1"/>
  <c r="B2637" i="13"/>
  <c r="G2636" i="13"/>
  <c r="H2636" i="13" s="1"/>
  <c r="J2636" i="13" s="1"/>
  <c r="C2636" i="13"/>
  <c r="F2636" i="13" s="1"/>
  <c r="B2636" i="13"/>
  <c r="G2635" i="13"/>
  <c r="H2635" i="13" s="1"/>
  <c r="J2635" i="13" s="1"/>
  <c r="C2635" i="13"/>
  <c r="F2635" i="13" s="1"/>
  <c r="B2635" i="13"/>
  <c r="G2634" i="13"/>
  <c r="H2634" i="13" s="1"/>
  <c r="J2634" i="13" s="1"/>
  <c r="C2634" i="13"/>
  <c r="F2634" i="13" s="1"/>
  <c r="B2634" i="13"/>
  <c r="G2633" i="13"/>
  <c r="H2633" i="13" s="1"/>
  <c r="J2633" i="13" s="1"/>
  <c r="C2633" i="13"/>
  <c r="F2633" i="13" s="1"/>
  <c r="B2633" i="13"/>
  <c r="G2632" i="13"/>
  <c r="H2632" i="13" s="1"/>
  <c r="J2632" i="13" s="1"/>
  <c r="C2632" i="13"/>
  <c r="F2632" i="13" s="1"/>
  <c r="B2632" i="13"/>
  <c r="G2631" i="13"/>
  <c r="H2631" i="13" s="1"/>
  <c r="J2631" i="13" s="1"/>
  <c r="C2631" i="13"/>
  <c r="F2631" i="13" s="1"/>
  <c r="B2631" i="13"/>
  <c r="G2630" i="13"/>
  <c r="H2630" i="13" s="1"/>
  <c r="J2630" i="13" s="1"/>
  <c r="C2630" i="13"/>
  <c r="F2630" i="13" s="1"/>
  <c r="B2630" i="13"/>
  <c r="G2629" i="13"/>
  <c r="H2629" i="13" s="1"/>
  <c r="J2629" i="13" s="1"/>
  <c r="C2629" i="13"/>
  <c r="F2629" i="13" s="1"/>
  <c r="B2629" i="13"/>
  <c r="G2628" i="13"/>
  <c r="H2628" i="13" s="1"/>
  <c r="J2628" i="13" s="1"/>
  <c r="C2628" i="13"/>
  <c r="F2628" i="13" s="1"/>
  <c r="B2628" i="13"/>
  <c r="G2627" i="13"/>
  <c r="H2627" i="13" s="1"/>
  <c r="J2627" i="13" s="1"/>
  <c r="C2627" i="13"/>
  <c r="F2627" i="13" s="1"/>
  <c r="B2627" i="13"/>
  <c r="G2626" i="13"/>
  <c r="H2626" i="13" s="1"/>
  <c r="J2626" i="13" s="1"/>
  <c r="C2626" i="13"/>
  <c r="F2626" i="13" s="1"/>
  <c r="B2626" i="13"/>
  <c r="G2625" i="13"/>
  <c r="H2625" i="13" s="1"/>
  <c r="J2625" i="13" s="1"/>
  <c r="C2625" i="13"/>
  <c r="F2625" i="13" s="1"/>
  <c r="B2625" i="13"/>
  <c r="G2624" i="13"/>
  <c r="H2624" i="13" s="1"/>
  <c r="J2624" i="13" s="1"/>
  <c r="C2624" i="13"/>
  <c r="F2624" i="13" s="1"/>
  <c r="B2624" i="13"/>
  <c r="G2623" i="13"/>
  <c r="H2623" i="13" s="1"/>
  <c r="J2623" i="13" s="1"/>
  <c r="C2623" i="13"/>
  <c r="F2623" i="13" s="1"/>
  <c r="B2623" i="13"/>
  <c r="G2622" i="13"/>
  <c r="H2622" i="13" s="1"/>
  <c r="J2622" i="13" s="1"/>
  <c r="C2622" i="13"/>
  <c r="F2622" i="13" s="1"/>
  <c r="B2622" i="13"/>
  <c r="G2621" i="13"/>
  <c r="H2621" i="13" s="1"/>
  <c r="J2621" i="13" s="1"/>
  <c r="C2621" i="13"/>
  <c r="F2621" i="13" s="1"/>
  <c r="B2621" i="13"/>
  <c r="G2620" i="13"/>
  <c r="H2620" i="13" s="1"/>
  <c r="J2620" i="13" s="1"/>
  <c r="C2620" i="13"/>
  <c r="F2620" i="13" s="1"/>
  <c r="B2620" i="13"/>
  <c r="G2619" i="13"/>
  <c r="H2619" i="13" s="1"/>
  <c r="J2619" i="13" s="1"/>
  <c r="C2619" i="13"/>
  <c r="F2619" i="13" s="1"/>
  <c r="B2619" i="13"/>
  <c r="G2618" i="13"/>
  <c r="H2618" i="13" s="1"/>
  <c r="J2618" i="13" s="1"/>
  <c r="C2618" i="13"/>
  <c r="F2618" i="13" s="1"/>
  <c r="B2618" i="13"/>
  <c r="G2617" i="13"/>
  <c r="H2617" i="13" s="1"/>
  <c r="J2617" i="13" s="1"/>
  <c r="C2617" i="13"/>
  <c r="F2617" i="13" s="1"/>
  <c r="B2617" i="13"/>
  <c r="G2616" i="13"/>
  <c r="H2616" i="13" s="1"/>
  <c r="J2616" i="13" s="1"/>
  <c r="C2616" i="13"/>
  <c r="F2616" i="13" s="1"/>
  <c r="B2616" i="13"/>
  <c r="G2615" i="13"/>
  <c r="H2615" i="13" s="1"/>
  <c r="J2615" i="13" s="1"/>
  <c r="C2615" i="13"/>
  <c r="F2615" i="13" s="1"/>
  <c r="B2615" i="13"/>
  <c r="G2614" i="13"/>
  <c r="H2614" i="13" s="1"/>
  <c r="J2614" i="13" s="1"/>
  <c r="C2614" i="13"/>
  <c r="F2614" i="13" s="1"/>
  <c r="B2614" i="13"/>
  <c r="G2613" i="13"/>
  <c r="H2613" i="13" s="1"/>
  <c r="J2613" i="13" s="1"/>
  <c r="C2613" i="13"/>
  <c r="F2613" i="13" s="1"/>
  <c r="B2613" i="13"/>
  <c r="G2612" i="13"/>
  <c r="H2612" i="13" s="1"/>
  <c r="J2612" i="13" s="1"/>
  <c r="C2612" i="13"/>
  <c r="F2612" i="13" s="1"/>
  <c r="B2612" i="13"/>
  <c r="G2611" i="13"/>
  <c r="H2611" i="13" s="1"/>
  <c r="J2611" i="13" s="1"/>
  <c r="C2611" i="13"/>
  <c r="F2611" i="13" s="1"/>
  <c r="B2611" i="13"/>
  <c r="G2610" i="13"/>
  <c r="H2610" i="13" s="1"/>
  <c r="J2610" i="13" s="1"/>
  <c r="C2610" i="13"/>
  <c r="F2610" i="13" s="1"/>
  <c r="B2610" i="13"/>
  <c r="G2609" i="13"/>
  <c r="H2609" i="13" s="1"/>
  <c r="J2609" i="13" s="1"/>
  <c r="C2609" i="13"/>
  <c r="F2609" i="13" s="1"/>
  <c r="B2609" i="13"/>
  <c r="G2608" i="13"/>
  <c r="H2608" i="13" s="1"/>
  <c r="J2608" i="13" s="1"/>
  <c r="C2608" i="13"/>
  <c r="F2608" i="13" s="1"/>
  <c r="B2608" i="13"/>
  <c r="G2607" i="13"/>
  <c r="H2607" i="13" s="1"/>
  <c r="J2607" i="13" s="1"/>
  <c r="C2607" i="13"/>
  <c r="F2607" i="13" s="1"/>
  <c r="B2607" i="13"/>
  <c r="G2606" i="13"/>
  <c r="H2606" i="13" s="1"/>
  <c r="J2606" i="13" s="1"/>
  <c r="C2606" i="13"/>
  <c r="F2606" i="13" s="1"/>
  <c r="B2606" i="13"/>
  <c r="G2605" i="13"/>
  <c r="H2605" i="13" s="1"/>
  <c r="J2605" i="13" s="1"/>
  <c r="C2605" i="13"/>
  <c r="F2605" i="13" s="1"/>
  <c r="B2605" i="13"/>
  <c r="G2604" i="13"/>
  <c r="H2604" i="13" s="1"/>
  <c r="J2604" i="13" s="1"/>
  <c r="C2604" i="13"/>
  <c r="F2604" i="13" s="1"/>
  <c r="B2604" i="13"/>
  <c r="G2603" i="13"/>
  <c r="H2603" i="13" s="1"/>
  <c r="C2603" i="13"/>
  <c r="F2603" i="13" s="1"/>
  <c r="B2603" i="13"/>
  <c r="G2602" i="13"/>
  <c r="H2602" i="13" s="1"/>
  <c r="J2602" i="13" s="1"/>
  <c r="C2602" i="13"/>
  <c r="F2602" i="13" s="1"/>
  <c r="B2602" i="13"/>
  <c r="G2601" i="13"/>
  <c r="H2601" i="13" s="1"/>
  <c r="J2601" i="13" s="1"/>
  <c r="C2601" i="13"/>
  <c r="F2601" i="13" s="1"/>
  <c r="B2601" i="13"/>
  <c r="G2600" i="13"/>
  <c r="H2600" i="13" s="1"/>
  <c r="J2600" i="13" s="1"/>
  <c r="C2600" i="13"/>
  <c r="F2600" i="13" s="1"/>
  <c r="B2600" i="13"/>
  <c r="G2599" i="13"/>
  <c r="H2599" i="13" s="1"/>
  <c r="J2599" i="13" s="1"/>
  <c r="C2599" i="13"/>
  <c r="F2599" i="13" s="1"/>
  <c r="B2599" i="13"/>
  <c r="G2598" i="13"/>
  <c r="H2598" i="13" s="1"/>
  <c r="J2598" i="13" s="1"/>
  <c r="C2598" i="13"/>
  <c r="F2598" i="13" s="1"/>
  <c r="B2598" i="13"/>
  <c r="G2597" i="13"/>
  <c r="H2597" i="13" s="1"/>
  <c r="J2597" i="13" s="1"/>
  <c r="C2597" i="13"/>
  <c r="F2597" i="13" s="1"/>
  <c r="B2597" i="13"/>
  <c r="G2596" i="13"/>
  <c r="H2596" i="13" s="1"/>
  <c r="J2596" i="13" s="1"/>
  <c r="C2596" i="13"/>
  <c r="F2596" i="13" s="1"/>
  <c r="B2596" i="13"/>
  <c r="G2595" i="13"/>
  <c r="H2595" i="13" s="1"/>
  <c r="J2595" i="13" s="1"/>
  <c r="C2595" i="13"/>
  <c r="F2595" i="13" s="1"/>
  <c r="B2595" i="13"/>
  <c r="G2594" i="13"/>
  <c r="H2594" i="13" s="1"/>
  <c r="J2594" i="13" s="1"/>
  <c r="C2594" i="13"/>
  <c r="F2594" i="13" s="1"/>
  <c r="B2594" i="13"/>
  <c r="G2593" i="13"/>
  <c r="H2593" i="13" s="1"/>
  <c r="J2593" i="13" s="1"/>
  <c r="C2593" i="13"/>
  <c r="F2593" i="13" s="1"/>
  <c r="B2593" i="13"/>
  <c r="G2592" i="13"/>
  <c r="H2592" i="13" s="1"/>
  <c r="J2592" i="13" s="1"/>
  <c r="C2592" i="13"/>
  <c r="F2592" i="13" s="1"/>
  <c r="B2592" i="13"/>
  <c r="G2591" i="13"/>
  <c r="H2591" i="13" s="1"/>
  <c r="J2591" i="13" s="1"/>
  <c r="C2591" i="13"/>
  <c r="F2591" i="13" s="1"/>
  <c r="B2591" i="13"/>
  <c r="G2590" i="13"/>
  <c r="H2590" i="13" s="1"/>
  <c r="J2590" i="13" s="1"/>
  <c r="C2590" i="13"/>
  <c r="F2590" i="13" s="1"/>
  <c r="B2590" i="13"/>
  <c r="G2589" i="13"/>
  <c r="H2589" i="13" s="1"/>
  <c r="J2589" i="13" s="1"/>
  <c r="C2589" i="13"/>
  <c r="F2589" i="13" s="1"/>
  <c r="B2589" i="13"/>
  <c r="G2588" i="13"/>
  <c r="H2588" i="13" s="1"/>
  <c r="C2588" i="13"/>
  <c r="F2588" i="13" s="1"/>
  <c r="B2588" i="13"/>
  <c r="G2587" i="13"/>
  <c r="H2587" i="13" s="1"/>
  <c r="J2587" i="13" s="1"/>
  <c r="C2587" i="13"/>
  <c r="F2587" i="13" s="1"/>
  <c r="B2587" i="13"/>
  <c r="G2586" i="13"/>
  <c r="H2586" i="13" s="1"/>
  <c r="J2586" i="13" s="1"/>
  <c r="C2586" i="13"/>
  <c r="F2586" i="13" s="1"/>
  <c r="B2586" i="13"/>
  <c r="G2585" i="13"/>
  <c r="H2585" i="13" s="1"/>
  <c r="J2585" i="13" s="1"/>
  <c r="C2585" i="13"/>
  <c r="F2585" i="13" s="1"/>
  <c r="B2585" i="13"/>
  <c r="G2584" i="13"/>
  <c r="H2584" i="13" s="1"/>
  <c r="J2584" i="13" s="1"/>
  <c r="C2584" i="13"/>
  <c r="F2584" i="13" s="1"/>
  <c r="B2584" i="13"/>
  <c r="G2583" i="13"/>
  <c r="H2583" i="13" s="1"/>
  <c r="J2583" i="13" s="1"/>
  <c r="C2583" i="13"/>
  <c r="F2583" i="13" s="1"/>
  <c r="B2583" i="13"/>
  <c r="G2582" i="13"/>
  <c r="H2582" i="13" s="1"/>
  <c r="J2582" i="13" s="1"/>
  <c r="C2582" i="13"/>
  <c r="F2582" i="13" s="1"/>
  <c r="B2582" i="13"/>
  <c r="G2581" i="13"/>
  <c r="H2581" i="13" s="1"/>
  <c r="J2581" i="13" s="1"/>
  <c r="C2581" i="13"/>
  <c r="F2581" i="13" s="1"/>
  <c r="B2581" i="13"/>
  <c r="G2580" i="13"/>
  <c r="H2580" i="13" s="1"/>
  <c r="J2580" i="13" s="1"/>
  <c r="C2580" i="13"/>
  <c r="F2580" i="13" s="1"/>
  <c r="B2580" i="13"/>
  <c r="G2579" i="13"/>
  <c r="H2579" i="13" s="1"/>
  <c r="J2579" i="13" s="1"/>
  <c r="C2579" i="13"/>
  <c r="F2579" i="13" s="1"/>
  <c r="B2579" i="13"/>
  <c r="G2578" i="13"/>
  <c r="H2578" i="13" s="1"/>
  <c r="J2578" i="13" s="1"/>
  <c r="C2578" i="13"/>
  <c r="F2578" i="13" s="1"/>
  <c r="B2578" i="13"/>
  <c r="G2577" i="13"/>
  <c r="H2577" i="13" s="1"/>
  <c r="J2577" i="13" s="1"/>
  <c r="C2577" i="13"/>
  <c r="F2577" i="13" s="1"/>
  <c r="B2577" i="13"/>
  <c r="G2576" i="13"/>
  <c r="H2576" i="13" s="1"/>
  <c r="C2576" i="13"/>
  <c r="F2576" i="13" s="1"/>
  <c r="B2576" i="13"/>
  <c r="G2575" i="13"/>
  <c r="H2575" i="13" s="1"/>
  <c r="J2575" i="13" s="1"/>
  <c r="C2575" i="13"/>
  <c r="F2575" i="13" s="1"/>
  <c r="B2575" i="13"/>
  <c r="G2574" i="13"/>
  <c r="H2574" i="13" s="1"/>
  <c r="J2574" i="13" s="1"/>
  <c r="C2574" i="13"/>
  <c r="F2574" i="13" s="1"/>
  <c r="B2574" i="13"/>
  <c r="G2573" i="13"/>
  <c r="H2573" i="13" s="1"/>
  <c r="J2573" i="13" s="1"/>
  <c r="C2573" i="13"/>
  <c r="F2573" i="13" s="1"/>
  <c r="B2573" i="13"/>
  <c r="G2572" i="13"/>
  <c r="H2572" i="13" s="1"/>
  <c r="J2572" i="13" s="1"/>
  <c r="C2572" i="13"/>
  <c r="F2572" i="13" s="1"/>
  <c r="B2572" i="13"/>
  <c r="G2571" i="13"/>
  <c r="H2571" i="13" s="1"/>
  <c r="J2571" i="13" s="1"/>
  <c r="C2571" i="13"/>
  <c r="F2571" i="13" s="1"/>
  <c r="B2571" i="13"/>
  <c r="G2570" i="13"/>
  <c r="H2570" i="13" s="1"/>
  <c r="J2570" i="13" s="1"/>
  <c r="C2570" i="13"/>
  <c r="F2570" i="13" s="1"/>
  <c r="B2570" i="13"/>
  <c r="G2569" i="13"/>
  <c r="H2569" i="13" s="1"/>
  <c r="J2569" i="13" s="1"/>
  <c r="C2569" i="13"/>
  <c r="F2569" i="13" s="1"/>
  <c r="B2569" i="13"/>
  <c r="G2568" i="13"/>
  <c r="H2568" i="13" s="1"/>
  <c r="J2568" i="13" s="1"/>
  <c r="C2568" i="13"/>
  <c r="F2568" i="13" s="1"/>
  <c r="B2568" i="13"/>
  <c r="G2567" i="13"/>
  <c r="H2567" i="13" s="1"/>
  <c r="J2567" i="13" s="1"/>
  <c r="C2567" i="13"/>
  <c r="F2567" i="13" s="1"/>
  <c r="B2567" i="13"/>
  <c r="G2566" i="13"/>
  <c r="H2566" i="13" s="1"/>
  <c r="J2566" i="13" s="1"/>
  <c r="C2566" i="13"/>
  <c r="F2566" i="13" s="1"/>
  <c r="B2566" i="13"/>
  <c r="G2565" i="13"/>
  <c r="H2565" i="13" s="1"/>
  <c r="J2565" i="13" s="1"/>
  <c r="C2565" i="13"/>
  <c r="F2565" i="13" s="1"/>
  <c r="B2565" i="13"/>
  <c r="G2564" i="13"/>
  <c r="H2564" i="13" s="1"/>
  <c r="C2564" i="13"/>
  <c r="F2564" i="13" s="1"/>
  <c r="B2564" i="13"/>
  <c r="G2563" i="13"/>
  <c r="H2563" i="13" s="1"/>
  <c r="J2563" i="13" s="1"/>
  <c r="C2563" i="13"/>
  <c r="F2563" i="13" s="1"/>
  <c r="B2563" i="13"/>
  <c r="G2562" i="13"/>
  <c r="H2562" i="13" s="1"/>
  <c r="J2562" i="13" s="1"/>
  <c r="C2562" i="13"/>
  <c r="F2562" i="13" s="1"/>
  <c r="B2562" i="13"/>
  <c r="G2561" i="13"/>
  <c r="H2561" i="13" s="1"/>
  <c r="J2561" i="13" s="1"/>
  <c r="C2561" i="13"/>
  <c r="F2561" i="13" s="1"/>
  <c r="B2561" i="13"/>
  <c r="G2560" i="13"/>
  <c r="H2560" i="13" s="1"/>
  <c r="J2560" i="13" s="1"/>
  <c r="C2560" i="13"/>
  <c r="F2560" i="13" s="1"/>
  <c r="B2560" i="13"/>
  <c r="G2559" i="13"/>
  <c r="H2559" i="13" s="1"/>
  <c r="J2559" i="13" s="1"/>
  <c r="C2559" i="13"/>
  <c r="F2559" i="13" s="1"/>
  <c r="B2559" i="13"/>
  <c r="G2558" i="13"/>
  <c r="H2558" i="13" s="1"/>
  <c r="J2558" i="13" s="1"/>
  <c r="C2558" i="13"/>
  <c r="F2558" i="13" s="1"/>
  <c r="B2558" i="13"/>
  <c r="G2557" i="13"/>
  <c r="H2557" i="13" s="1"/>
  <c r="J2557" i="13" s="1"/>
  <c r="C2557" i="13"/>
  <c r="F2557" i="13" s="1"/>
  <c r="B2557" i="13"/>
  <c r="G2556" i="13"/>
  <c r="H2556" i="13" s="1"/>
  <c r="J2556" i="13" s="1"/>
  <c r="C2556" i="13"/>
  <c r="F2556" i="13" s="1"/>
  <c r="B2556" i="13"/>
  <c r="G2555" i="13"/>
  <c r="H2555" i="13" s="1"/>
  <c r="J2555" i="13" s="1"/>
  <c r="C2555" i="13"/>
  <c r="F2555" i="13" s="1"/>
  <c r="B2555" i="13"/>
  <c r="G2554" i="13"/>
  <c r="H2554" i="13" s="1"/>
  <c r="J2554" i="13" s="1"/>
  <c r="C2554" i="13"/>
  <c r="F2554" i="13" s="1"/>
  <c r="B2554" i="13"/>
  <c r="G2553" i="13"/>
  <c r="H2553" i="13" s="1"/>
  <c r="J2553" i="13" s="1"/>
  <c r="C2553" i="13"/>
  <c r="F2553" i="13" s="1"/>
  <c r="B2553" i="13"/>
  <c r="G2552" i="13"/>
  <c r="H2552" i="13" s="1"/>
  <c r="C2552" i="13"/>
  <c r="F2552" i="13" s="1"/>
  <c r="B2552" i="13"/>
  <c r="G2551" i="13"/>
  <c r="H2551" i="13" s="1"/>
  <c r="J2551" i="13" s="1"/>
  <c r="C2551" i="13"/>
  <c r="F2551" i="13" s="1"/>
  <c r="B2551" i="13"/>
  <c r="G2550" i="13"/>
  <c r="H2550" i="13" s="1"/>
  <c r="J2550" i="13" s="1"/>
  <c r="C2550" i="13"/>
  <c r="F2550" i="13" s="1"/>
  <c r="B2550" i="13"/>
  <c r="G2549" i="13"/>
  <c r="H2549" i="13" s="1"/>
  <c r="J2549" i="13" s="1"/>
  <c r="C2549" i="13"/>
  <c r="F2549" i="13" s="1"/>
  <c r="B2549" i="13"/>
  <c r="G2548" i="13"/>
  <c r="H2548" i="13" s="1"/>
  <c r="J2548" i="13" s="1"/>
  <c r="C2548" i="13"/>
  <c r="F2548" i="13" s="1"/>
  <c r="B2548" i="13"/>
  <c r="G2547" i="13"/>
  <c r="H2547" i="13" s="1"/>
  <c r="J2547" i="13" s="1"/>
  <c r="C2547" i="13"/>
  <c r="F2547" i="13" s="1"/>
  <c r="B2547" i="13"/>
  <c r="G2546" i="13"/>
  <c r="H2546" i="13" s="1"/>
  <c r="J2546" i="13" s="1"/>
  <c r="C2546" i="13"/>
  <c r="F2546" i="13" s="1"/>
  <c r="B2546" i="13"/>
  <c r="G2545" i="13"/>
  <c r="H2545" i="13" s="1"/>
  <c r="J2545" i="13" s="1"/>
  <c r="C2545" i="13"/>
  <c r="F2545" i="13" s="1"/>
  <c r="B2545" i="13"/>
  <c r="G2544" i="13"/>
  <c r="H2544" i="13" s="1"/>
  <c r="J2544" i="13" s="1"/>
  <c r="C2544" i="13"/>
  <c r="F2544" i="13" s="1"/>
  <c r="B2544" i="13"/>
  <c r="G2543" i="13"/>
  <c r="H2543" i="13" s="1"/>
  <c r="J2543" i="13" s="1"/>
  <c r="C2543" i="13"/>
  <c r="F2543" i="13" s="1"/>
  <c r="B2543" i="13"/>
  <c r="G2542" i="13"/>
  <c r="H2542" i="13" s="1"/>
  <c r="J2542" i="13" s="1"/>
  <c r="C2542" i="13"/>
  <c r="F2542" i="13" s="1"/>
  <c r="B2542" i="13"/>
  <c r="G2541" i="13"/>
  <c r="H2541" i="13" s="1"/>
  <c r="J2541" i="13" s="1"/>
  <c r="C2541" i="13"/>
  <c r="F2541" i="13" s="1"/>
  <c r="B2541" i="13"/>
  <c r="G2540" i="13"/>
  <c r="H2540" i="13" s="1"/>
  <c r="C2540" i="13"/>
  <c r="F2540" i="13" s="1"/>
  <c r="B2540" i="13"/>
  <c r="G2539" i="13"/>
  <c r="H2539" i="13" s="1"/>
  <c r="J2539" i="13" s="1"/>
  <c r="C2539" i="13"/>
  <c r="F2539" i="13" s="1"/>
  <c r="B2539" i="13"/>
  <c r="G2538" i="13"/>
  <c r="H2538" i="13" s="1"/>
  <c r="J2538" i="13" s="1"/>
  <c r="C2538" i="13"/>
  <c r="F2538" i="13" s="1"/>
  <c r="B2538" i="13"/>
  <c r="G2537" i="13"/>
  <c r="H2537" i="13" s="1"/>
  <c r="J2537" i="13" s="1"/>
  <c r="C2537" i="13"/>
  <c r="F2537" i="13" s="1"/>
  <c r="B2537" i="13"/>
  <c r="G2536" i="13"/>
  <c r="H2536" i="13" s="1"/>
  <c r="J2536" i="13" s="1"/>
  <c r="C2536" i="13"/>
  <c r="F2536" i="13" s="1"/>
  <c r="B2536" i="13"/>
  <c r="G2535" i="13"/>
  <c r="H2535" i="13" s="1"/>
  <c r="J2535" i="13" s="1"/>
  <c r="C2535" i="13"/>
  <c r="F2535" i="13" s="1"/>
  <c r="B2535" i="13"/>
  <c r="G2534" i="13"/>
  <c r="H2534" i="13" s="1"/>
  <c r="J2534" i="13" s="1"/>
  <c r="C2534" i="13"/>
  <c r="F2534" i="13" s="1"/>
  <c r="B2534" i="13"/>
  <c r="G2533" i="13"/>
  <c r="H2533" i="13" s="1"/>
  <c r="J2533" i="13" s="1"/>
  <c r="C2533" i="13"/>
  <c r="F2533" i="13" s="1"/>
  <c r="B2533" i="13"/>
  <c r="G2532" i="13"/>
  <c r="H2532" i="13" s="1"/>
  <c r="J2532" i="13" s="1"/>
  <c r="C2532" i="13"/>
  <c r="F2532" i="13" s="1"/>
  <c r="B2532" i="13"/>
  <c r="G2531" i="13"/>
  <c r="H2531" i="13" s="1"/>
  <c r="J2531" i="13" s="1"/>
  <c r="C2531" i="13"/>
  <c r="F2531" i="13" s="1"/>
  <c r="B2531" i="13"/>
  <c r="G2530" i="13"/>
  <c r="H2530" i="13" s="1"/>
  <c r="J2530" i="13" s="1"/>
  <c r="C2530" i="13"/>
  <c r="F2530" i="13" s="1"/>
  <c r="B2530" i="13"/>
  <c r="G2529" i="13"/>
  <c r="H2529" i="13" s="1"/>
  <c r="J2529" i="13" s="1"/>
  <c r="C2529" i="13"/>
  <c r="F2529" i="13" s="1"/>
  <c r="B2529" i="13"/>
  <c r="G2528" i="13"/>
  <c r="H2528" i="13" s="1"/>
  <c r="C2528" i="13"/>
  <c r="F2528" i="13" s="1"/>
  <c r="B2528" i="13"/>
  <c r="G2527" i="13"/>
  <c r="H2527" i="13" s="1"/>
  <c r="J2527" i="13" s="1"/>
  <c r="C2527" i="13"/>
  <c r="F2527" i="13" s="1"/>
  <c r="B2527" i="13"/>
  <c r="G2526" i="13"/>
  <c r="H2526" i="13" s="1"/>
  <c r="J2526" i="13" s="1"/>
  <c r="C2526" i="13"/>
  <c r="F2526" i="13" s="1"/>
  <c r="B2526" i="13"/>
  <c r="G2525" i="13"/>
  <c r="H2525" i="13" s="1"/>
  <c r="J2525" i="13" s="1"/>
  <c r="C2525" i="13"/>
  <c r="F2525" i="13" s="1"/>
  <c r="B2525" i="13"/>
  <c r="G2524" i="13"/>
  <c r="H2524" i="13" s="1"/>
  <c r="J2524" i="13" s="1"/>
  <c r="C2524" i="13"/>
  <c r="F2524" i="13" s="1"/>
  <c r="B2524" i="13"/>
  <c r="G2523" i="13"/>
  <c r="H2523" i="13" s="1"/>
  <c r="J2523" i="13" s="1"/>
  <c r="C2523" i="13"/>
  <c r="F2523" i="13" s="1"/>
  <c r="B2523" i="13"/>
  <c r="G2522" i="13"/>
  <c r="H2522" i="13" s="1"/>
  <c r="J2522" i="13" s="1"/>
  <c r="C2522" i="13"/>
  <c r="F2522" i="13" s="1"/>
  <c r="B2522" i="13"/>
  <c r="G2521" i="13"/>
  <c r="H2521" i="13" s="1"/>
  <c r="J2521" i="13" s="1"/>
  <c r="C2521" i="13"/>
  <c r="F2521" i="13" s="1"/>
  <c r="B2521" i="13"/>
  <c r="G2520" i="13"/>
  <c r="H2520" i="13" s="1"/>
  <c r="J2520" i="13" s="1"/>
  <c r="C2520" i="13"/>
  <c r="F2520" i="13" s="1"/>
  <c r="B2520" i="13"/>
  <c r="G2519" i="13"/>
  <c r="H2519" i="13" s="1"/>
  <c r="J2519" i="13" s="1"/>
  <c r="C2519" i="13"/>
  <c r="F2519" i="13" s="1"/>
  <c r="B2519" i="13"/>
  <c r="G2518" i="13"/>
  <c r="H2518" i="13" s="1"/>
  <c r="J2518" i="13" s="1"/>
  <c r="C2518" i="13"/>
  <c r="F2518" i="13" s="1"/>
  <c r="B2518" i="13"/>
  <c r="G2517" i="13"/>
  <c r="H2517" i="13" s="1"/>
  <c r="J2517" i="13" s="1"/>
  <c r="C2517" i="13"/>
  <c r="F2517" i="13" s="1"/>
  <c r="B2517" i="13"/>
  <c r="G2516" i="13"/>
  <c r="H2516" i="13" s="1"/>
  <c r="C2516" i="13"/>
  <c r="F2516" i="13" s="1"/>
  <c r="B2516" i="13"/>
  <c r="G2515" i="13"/>
  <c r="H2515" i="13" s="1"/>
  <c r="J2515" i="13" s="1"/>
  <c r="C2515" i="13"/>
  <c r="F2515" i="13" s="1"/>
  <c r="B2515" i="13"/>
  <c r="G2514" i="13"/>
  <c r="H2514" i="13" s="1"/>
  <c r="J2514" i="13" s="1"/>
  <c r="C2514" i="13"/>
  <c r="F2514" i="13" s="1"/>
  <c r="B2514" i="13"/>
  <c r="G2513" i="13"/>
  <c r="H2513" i="13" s="1"/>
  <c r="J2513" i="13" s="1"/>
  <c r="C2513" i="13"/>
  <c r="F2513" i="13" s="1"/>
  <c r="B2513" i="13"/>
  <c r="G2512" i="13"/>
  <c r="H2512" i="13" s="1"/>
  <c r="J2512" i="13" s="1"/>
  <c r="C2512" i="13"/>
  <c r="F2512" i="13" s="1"/>
  <c r="B2512" i="13"/>
  <c r="G2511" i="13"/>
  <c r="H2511" i="13" s="1"/>
  <c r="J2511" i="13" s="1"/>
  <c r="C2511" i="13"/>
  <c r="F2511" i="13" s="1"/>
  <c r="B2511" i="13"/>
  <c r="G2510" i="13"/>
  <c r="H2510" i="13" s="1"/>
  <c r="J2510" i="13" s="1"/>
  <c r="C2510" i="13"/>
  <c r="F2510" i="13" s="1"/>
  <c r="B2510" i="13"/>
  <c r="G2509" i="13"/>
  <c r="H2509" i="13" s="1"/>
  <c r="J2509" i="13" s="1"/>
  <c r="C2509" i="13"/>
  <c r="F2509" i="13" s="1"/>
  <c r="B2509" i="13"/>
  <c r="G2508" i="13"/>
  <c r="H2508" i="13" s="1"/>
  <c r="J2508" i="13" s="1"/>
  <c r="C2508" i="13"/>
  <c r="F2508" i="13" s="1"/>
  <c r="B2508" i="13"/>
  <c r="G2507" i="13"/>
  <c r="H2507" i="13" s="1"/>
  <c r="J2507" i="13" s="1"/>
  <c r="C2507" i="13"/>
  <c r="F2507" i="13" s="1"/>
  <c r="B2507" i="13"/>
  <c r="G2506" i="13"/>
  <c r="H2506" i="13" s="1"/>
  <c r="J2506" i="13" s="1"/>
  <c r="C2506" i="13"/>
  <c r="F2506" i="13" s="1"/>
  <c r="B2506" i="13"/>
  <c r="G2505" i="13"/>
  <c r="H2505" i="13" s="1"/>
  <c r="J2505" i="13" s="1"/>
  <c r="C2505" i="13"/>
  <c r="F2505" i="13" s="1"/>
  <c r="B2505" i="13"/>
  <c r="G2504" i="13"/>
  <c r="H2504" i="13" s="1"/>
  <c r="C2504" i="13"/>
  <c r="F2504" i="13" s="1"/>
  <c r="B2504" i="13"/>
  <c r="G2503" i="13"/>
  <c r="H2503" i="13" s="1"/>
  <c r="J2503" i="13" s="1"/>
  <c r="C2503" i="13"/>
  <c r="F2503" i="13" s="1"/>
  <c r="B2503" i="13"/>
  <c r="G2502" i="13"/>
  <c r="H2502" i="13" s="1"/>
  <c r="J2502" i="13" s="1"/>
  <c r="C2502" i="13"/>
  <c r="F2502" i="13" s="1"/>
  <c r="B2502" i="13"/>
  <c r="G2501" i="13"/>
  <c r="H2501" i="13" s="1"/>
  <c r="J2501" i="13" s="1"/>
  <c r="C2501" i="13"/>
  <c r="F2501" i="13" s="1"/>
  <c r="B2501" i="13"/>
  <c r="G2500" i="13"/>
  <c r="H2500" i="13" s="1"/>
  <c r="J2500" i="13" s="1"/>
  <c r="C2500" i="13"/>
  <c r="F2500" i="13" s="1"/>
  <c r="B2500" i="13"/>
  <c r="G2499" i="13"/>
  <c r="H2499" i="13" s="1"/>
  <c r="J2499" i="13" s="1"/>
  <c r="C2499" i="13"/>
  <c r="F2499" i="13" s="1"/>
  <c r="B2499" i="13"/>
  <c r="G2498" i="13"/>
  <c r="H2498" i="13" s="1"/>
  <c r="J2498" i="13" s="1"/>
  <c r="C2498" i="13"/>
  <c r="F2498" i="13" s="1"/>
  <c r="B2498" i="13"/>
  <c r="G2497" i="13"/>
  <c r="H2497" i="13" s="1"/>
  <c r="J2497" i="13" s="1"/>
  <c r="C2497" i="13"/>
  <c r="F2497" i="13" s="1"/>
  <c r="B2497" i="13"/>
  <c r="G2496" i="13"/>
  <c r="H2496" i="13" s="1"/>
  <c r="J2496" i="13" s="1"/>
  <c r="C2496" i="13"/>
  <c r="F2496" i="13" s="1"/>
  <c r="B2496" i="13"/>
  <c r="G2495" i="13"/>
  <c r="H2495" i="13" s="1"/>
  <c r="J2495" i="13" s="1"/>
  <c r="C2495" i="13"/>
  <c r="F2495" i="13" s="1"/>
  <c r="B2495" i="13"/>
  <c r="G2494" i="13"/>
  <c r="H2494" i="13" s="1"/>
  <c r="J2494" i="13" s="1"/>
  <c r="C2494" i="13"/>
  <c r="F2494" i="13" s="1"/>
  <c r="B2494" i="13"/>
  <c r="G2493" i="13"/>
  <c r="H2493" i="13" s="1"/>
  <c r="J2493" i="13" s="1"/>
  <c r="C2493" i="13"/>
  <c r="F2493" i="13" s="1"/>
  <c r="B2493" i="13"/>
  <c r="G2492" i="13"/>
  <c r="H2492" i="13" s="1"/>
  <c r="C2492" i="13"/>
  <c r="F2492" i="13" s="1"/>
  <c r="B2492" i="13"/>
  <c r="G2491" i="13"/>
  <c r="H2491" i="13" s="1"/>
  <c r="J2491" i="13" s="1"/>
  <c r="C2491" i="13"/>
  <c r="F2491" i="13" s="1"/>
  <c r="B2491" i="13"/>
  <c r="G2490" i="13"/>
  <c r="H2490" i="13" s="1"/>
  <c r="J2490" i="13" s="1"/>
  <c r="C2490" i="13"/>
  <c r="F2490" i="13" s="1"/>
  <c r="B2490" i="13"/>
  <c r="G2489" i="13"/>
  <c r="H2489" i="13" s="1"/>
  <c r="J2489" i="13" s="1"/>
  <c r="C2489" i="13"/>
  <c r="F2489" i="13" s="1"/>
  <c r="B2489" i="13"/>
  <c r="G2488" i="13"/>
  <c r="H2488" i="13" s="1"/>
  <c r="J2488" i="13" s="1"/>
  <c r="C2488" i="13"/>
  <c r="F2488" i="13" s="1"/>
  <c r="B2488" i="13"/>
  <c r="G2487" i="13"/>
  <c r="H2487" i="13" s="1"/>
  <c r="J2487" i="13" s="1"/>
  <c r="C2487" i="13"/>
  <c r="F2487" i="13" s="1"/>
  <c r="B2487" i="13"/>
  <c r="G2486" i="13"/>
  <c r="H2486" i="13" s="1"/>
  <c r="J2486" i="13" s="1"/>
  <c r="C2486" i="13"/>
  <c r="F2486" i="13" s="1"/>
  <c r="B2486" i="13"/>
  <c r="G2485" i="13"/>
  <c r="H2485" i="13" s="1"/>
  <c r="J2485" i="13" s="1"/>
  <c r="C2485" i="13"/>
  <c r="F2485" i="13" s="1"/>
  <c r="B2485" i="13"/>
  <c r="G2484" i="13"/>
  <c r="H2484" i="13" s="1"/>
  <c r="J2484" i="13" s="1"/>
  <c r="C2484" i="13"/>
  <c r="F2484" i="13" s="1"/>
  <c r="B2484" i="13"/>
  <c r="G2483" i="13"/>
  <c r="H2483" i="13" s="1"/>
  <c r="J2483" i="13" s="1"/>
  <c r="C2483" i="13"/>
  <c r="F2483" i="13" s="1"/>
  <c r="B2483" i="13"/>
  <c r="G2482" i="13"/>
  <c r="H2482" i="13" s="1"/>
  <c r="J2482" i="13" s="1"/>
  <c r="C2482" i="13"/>
  <c r="F2482" i="13" s="1"/>
  <c r="B2482" i="13"/>
  <c r="G2481" i="13"/>
  <c r="H2481" i="13" s="1"/>
  <c r="J2481" i="13" s="1"/>
  <c r="C2481" i="13"/>
  <c r="F2481" i="13" s="1"/>
  <c r="B2481" i="13"/>
  <c r="G2480" i="13"/>
  <c r="H2480" i="13" s="1"/>
  <c r="J2480" i="13" s="1"/>
  <c r="C2480" i="13"/>
  <c r="F2480" i="13" s="1"/>
  <c r="B2480" i="13"/>
  <c r="G2479" i="13"/>
  <c r="H2479" i="13" s="1"/>
  <c r="J2479" i="13" s="1"/>
  <c r="C2479" i="13"/>
  <c r="F2479" i="13" s="1"/>
  <c r="B2479" i="13"/>
  <c r="G2478" i="13"/>
  <c r="H2478" i="13" s="1"/>
  <c r="J2478" i="13" s="1"/>
  <c r="C2478" i="13"/>
  <c r="F2478" i="13" s="1"/>
  <c r="B2478" i="13"/>
  <c r="G2477" i="13"/>
  <c r="H2477" i="13" s="1"/>
  <c r="J2477" i="13" s="1"/>
  <c r="C2477" i="13"/>
  <c r="F2477" i="13" s="1"/>
  <c r="B2477" i="13"/>
  <c r="G2476" i="13"/>
  <c r="H2476" i="13" s="1"/>
  <c r="J2476" i="13" s="1"/>
  <c r="C2476" i="13"/>
  <c r="F2476" i="13" s="1"/>
  <c r="B2476" i="13"/>
  <c r="G2475" i="13"/>
  <c r="H2475" i="13" s="1"/>
  <c r="J2475" i="13" s="1"/>
  <c r="C2475" i="13"/>
  <c r="F2475" i="13" s="1"/>
  <c r="B2475" i="13"/>
  <c r="G2474" i="13"/>
  <c r="H2474" i="13" s="1"/>
  <c r="J2474" i="13" s="1"/>
  <c r="C2474" i="13"/>
  <c r="F2474" i="13" s="1"/>
  <c r="B2474" i="13"/>
  <c r="G2473" i="13"/>
  <c r="H2473" i="13" s="1"/>
  <c r="J2473" i="13" s="1"/>
  <c r="C2473" i="13"/>
  <c r="F2473" i="13" s="1"/>
  <c r="B2473" i="13"/>
  <c r="G2472" i="13"/>
  <c r="H2472" i="13" s="1"/>
  <c r="J2472" i="13" s="1"/>
  <c r="C2472" i="13"/>
  <c r="F2472" i="13" s="1"/>
  <c r="B2472" i="13"/>
  <c r="G2471" i="13"/>
  <c r="H2471" i="13" s="1"/>
  <c r="J2471" i="13" s="1"/>
  <c r="C2471" i="13"/>
  <c r="F2471" i="13" s="1"/>
  <c r="B2471" i="13"/>
  <c r="G2470" i="13"/>
  <c r="H2470" i="13" s="1"/>
  <c r="J2470" i="13" s="1"/>
  <c r="C2470" i="13"/>
  <c r="F2470" i="13" s="1"/>
  <c r="B2470" i="13"/>
  <c r="G2469" i="13"/>
  <c r="H2469" i="13" s="1"/>
  <c r="J2469" i="13" s="1"/>
  <c r="C2469" i="13"/>
  <c r="F2469" i="13" s="1"/>
  <c r="B2469" i="13"/>
  <c r="G2468" i="13"/>
  <c r="H2468" i="13" s="1"/>
  <c r="J2468" i="13" s="1"/>
  <c r="C2468" i="13"/>
  <c r="F2468" i="13" s="1"/>
  <c r="B2468" i="13"/>
  <c r="G2467" i="13"/>
  <c r="H2467" i="13" s="1"/>
  <c r="J2467" i="13" s="1"/>
  <c r="C2467" i="13"/>
  <c r="F2467" i="13" s="1"/>
  <c r="B2467" i="13"/>
  <c r="G2466" i="13"/>
  <c r="H2466" i="13" s="1"/>
  <c r="J2466" i="13" s="1"/>
  <c r="C2466" i="13"/>
  <c r="F2466" i="13" s="1"/>
  <c r="B2466" i="13"/>
  <c r="G2465" i="13"/>
  <c r="H2465" i="13" s="1"/>
  <c r="J2465" i="13" s="1"/>
  <c r="C2465" i="13"/>
  <c r="F2465" i="13" s="1"/>
  <c r="B2465" i="13"/>
  <c r="G2464" i="13"/>
  <c r="H2464" i="13" s="1"/>
  <c r="J2464" i="13" s="1"/>
  <c r="C2464" i="13"/>
  <c r="F2464" i="13" s="1"/>
  <c r="B2464" i="13"/>
  <c r="G2463" i="13"/>
  <c r="H2463" i="13" s="1"/>
  <c r="J2463" i="13" s="1"/>
  <c r="C2463" i="13"/>
  <c r="F2463" i="13" s="1"/>
  <c r="B2463" i="13"/>
  <c r="G2462" i="13"/>
  <c r="H2462" i="13" s="1"/>
  <c r="J2462" i="13" s="1"/>
  <c r="C2462" i="13"/>
  <c r="F2462" i="13" s="1"/>
  <c r="B2462" i="13"/>
  <c r="G2461" i="13"/>
  <c r="H2461" i="13" s="1"/>
  <c r="J2461" i="13" s="1"/>
  <c r="C2461" i="13"/>
  <c r="F2461" i="13" s="1"/>
  <c r="B2461" i="13"/>
  <c r="G2460" i="13"/>
  <c r="H2460" i="13" s="1"/>
  <c r="J2460" i="13" s="1"/>
  <c r="C2460" i="13"/>
  <c r="F2460" i="13" s="1"/>
  <c r="B2460" i="13"/>
  <c r="G2459" i="13"/>
  <c r="H2459" i="13" s="1"/>
  <c r="J2459" i="13" s="1"/>
  <c r="C2459" i="13"/>
  <c r="F2459" i="13" s="1"/>
  <c r="B2459" i="13"/>
  <c r="G2458" i="13"/>
  <c r="H2458" i="13" s="1"/>
  <c r="J2458" i="13" s="1"/>
  <c r="C2458" i="13"/>
  <c r="F2458" i="13" s="1"/>
  <c r="B2458" i="13"/>
  <c r="G2457" i="13"/>
  <c r="H2457" i="13" s="1"/>
  <c r="J2457" i="13" s="1"/>
  <c r="C2457" i="13"/>
  <c r="F2457" i="13" s="1"/>
  <c r="B2457" i="13"/>
  <c r="G2456" i="13"/>
  <c r="H2456" i="13" s="1"/>
  <c r="J2456" i="13" s="1"/>
  <c r="C2456" i="13"/>
  <c r="F2456" i="13" s="1"/>
  <c r="B2456" i="13"/>
  <c r="G2455" i="13"/>
  <c r="H2455" i="13" s="1"/>
  <c r="J2455" i="13" s="1"/>
  <c r="C2455" i="13"/>
  <c r="F2455" i="13" s="1"/>
  <c r="B2455" i="13"/>
  <c r="G2454" i="13"/>
  <c r="H2454" i="13" s="1"/>
  <c r="J2454" i="13" s="1"/>
  <c r="C2454" i="13"/>
  <c r="F2454" i="13" s="1"/>
  <c r="B2454" i="13"/>
  <c r="G2453" i="13"/>
  <c r="H2453" i="13" s="1"/>
  <c r="J2453" i="13" s="1"/>
  <c r="C2453" i="13"/>
  <c r="F2453" i="13" s="1"/>
  <c r="B2453" i="13"/>
  <c r="G2452" i="13"/>
  <c r="H2452" i="13" s="1"/>
  <c r="J2452" i="13" s="1"/>
  <c r="C2452" i="13"/>
  <c r="F2452" i="13" s="1"/>
  <c r="B2452" i="13"/>
  <c r="G2451" i="13"/>
  <c r="H2451" i="13" s="1"/>
  <c r="J2451" i="13" s="1"/>
  <c r="C2451" i="13"/>
  <c r="F2451" i="13" s="1"/>
  <c r="B2451" i="13"/>
  <c r="G2450" i="13"/>
  <c r="H2450" i="13" s="1"/>
  <c r="J2450" i="13" s="1"/>
  <c r="C2450" i="13"/>
  <c r="F2450" i="13" s="1"/>
  <c r="B2450" i="13"/>
  <c r="G2449" i="13"/>
  <c r="H2449" i="13" s="1"/>
  <c r="J2449" i="13" s="1"/>
  <c r="C2449" i="13"/>
  <c r="F2449" i="13" s="1"/>
  <c r="B2449" i="13"/>
  <c r="G2448" i="13"/>
  <c r="H2448" i="13" s="1"/>
  <c r="J2448" i="13" s="1"/>
  <c r="C2448" i="13"/>
  <c r="F2448" i="13" s="1"/>
  <c r="B2448" i="13"/>
  <c r="G2447" i="13"/>
  <c r="H2447" i="13" s="1"/>
  <c r="J2447" i="13" s="1"/>
  <c r="C2447" i="13"/>
  <c r="F2447" i="13" s="1"/>
  <c r="B2447" i="13"/>
  <c r="G2446" i="13"/>
  <c r="H2446" i="13" s="1"/>
  <c r="J2446" i="13" s="1"/>
  <c r="C2446" i="13"/>
  <c r="F2446" i="13" s="1"/>
  <c r="B2446" i="13"/>
  <c r="G2445" i="13"/>
  <c r="H2445" i="13" s="1"/>
  <c r="J2445" i="13" s="1"/>
  <c r="C2445" i="13"/>
  <c r="F2445" i="13" s="1"/>
  <c r="B2445" i="13"/>
  <c r="G2444" i="13"/>
  <c r="H2444" i="13" s="1"/>
  <c r="J2444" i="13" s="1"/>
  <c r="C2444" i="13"/>
  <c r="F2444" i="13" s="1"/>
  <c r="B2444" i="13"/>
  <c r="G2443" i="13"/>
  <c r="H2443" i="13" s="1"/>
  <c r="J2443" i="13" s="1"/>
  <c r="C2443" i="13"/>
  <c r="F2443" i="13" s="1"/>
  <c r="B2443" i="13"/>
  <c r="G2442" i="13"/>
  <c r="H2442" i="13" s="1"/>
  <c r="J2442" i="13" s="1"/>
  <c r="C2442" i="13"/>
  <c r="F2442" i="13" s="1"/>
  <c r="B2442" i="13"/>
  <c r="G2441" i="13"/>
  <c r="H2441" i="13" s="1"/>
  <c r="J2441" i="13" s="1"/>
  <c r="C2441" i="13"/>
  <c r="F2441" i="13" s="1"/>
  <c r="B2441" i="13"/>
  <c r="G2440" i="13"/>
  <c r="H2440" i="13" s="1"/>
  <c r="J2440" i="13" s="1"/>
  <c r="C2440" i="13"/>
  <c r="F2440" i="13" s="1"/>
  <c r="B2440" i="13"/>
  <c r="G2439" i="13"/>
  <c r="H2439" i="13" s="1"/>
  <c r="J2439" i="13" s="1"/>
  <c r="C2439" i="13"/>
  <c r="F2439" i="13" s="1"/>
  <c r="B2439" i="13"/>
  <c r="G2438" i="13"/>
  <c r="H2438" i="13" s="1"/>
  <c r="J2438" i="13" s="1"/>
  <c r="C2438" i="13"/>
  <c r="F2438" i="13" s="1"/>
  <c r="B2438" i="13"/>
  <c r="G2437" i="13"/>
  <c r="H2437" i="13" s="1"/>
  <c r="J2437" i="13" s="1"/>
  <c r="C2437" i="13"/>
  <c r="F2437" i="13" s="1"/>
  <c r="B2437" i="13"/>
  <c r="G2436" i="13"/>
  <c r="H2436" i="13" s="1"/>
  <c r="J2436" i="13" s="1"/>
  <c r="C2436" i="13"/>
  <c r="F2436" i="13" s="1"/>
  <c r="B2436" i="13"/>
  <c r="G2435" i="13"/>
  <c r="H2435" i="13" s="1"/>
  <c r="J2435" i="13" s="1"/>
  <c r="C2435" i="13"/>
  <c r="F2435" i="13" s="1"/>
  <c r="B2435" i="13"/>
  <c r="G2434" i="13"/>
  <c r="H2434" i="13" s="1"/>
  <c r="J2434" i="13" s="1"/>
  <c r="C2434" i="13"/>
  <c r="F2434" i="13" s="1"/>
  <c r="B2434" i="13"/>
  <c r="G2433" i="13"/>
  <c r="H2433" i="13" s="1"/>
  <c r="J2433" i="13" s="1"/>
  <c r="C2433" i="13"/>
  <c r="F2433" i="13" s="1"/>
  <c r="B2433" i="13"/>
  <c r="G2432" i="13"/>
  <c r="H2432" i="13" s="1"/>
  <c r="J2432" i="13" s="1"/>
  <c r="C2432" i="13"/>
  <c r="F2432" i="13" s="1"/>
  <c r="B2432" i="13"/>
  <c r="G2431" i="13"/>
  <c r="H2431" i="13" s="1"/>
  <c r="J2431" i="13" s="1"/>
  <c r="C2431" i="13"/>
  <c r="F2431" i="13" s="1"/>
  <c r="B2431" i="13"/>
  <c r="G2430" i="13"/>
  <c r="H2430" i="13" s="1"/>
  <c r="J2430" i="13" s="1"/>
  <c r="C2430" i="13"/>
  <c r="F2430" i="13" s="1"/>
  <c r="B2430" i="13"/>
  <c r="G2429" i="13"/>
  <c r="H2429" i="13" s="1"/>
  <c r="J2429" i="13" s="1"/>
  <c r="C2429" i="13"/>
  <c r="F2429" i="13" s="1"/>
  <c r="B2429" i="13"/>
  <c r="G2428" i="13"/>
  <c r="H2428" i="13" s="1"/>
  <c r="J2428" i="13" s="1"/>
  <c r="C2428" i="13"/>
  <c r="F2428" i="13" s="1"/>
  <c r="B2428" i="13"/>
  <c r="G2427" i="13"/>
  <c r="H2427" i="13" s="1"/>
  <c r="J2427" i="13" s="1"/>
  <c r="C2427" i="13"/>
  <c r="F2427" i="13" s="1"/>
  <c r="B2427" i="13"/>
  <c r="G2426" i="13"/>
  <c r="H2426" i="13" s="1"/>
  <c r="J2426" i="13" s="1"/>
  <c r="C2426" i="13"/>
  <c r="F2426" i="13" s="1"/>
  <c r="B2426" i="13"/>
  <c r="G2425" i="13"/>
  <c r="H2425" i="13" s="1"/>
  <c r="J2425" i="13" s="1"/>
  <c r="C2425" i="13"/>
  <c r="F2425" i="13" s="1"/>
  <c r="B2425" i="13"/>
  <c r="G2424" i="13"/>
  <c r="H2424" i="13" s="1"/>
  <c r="J2424" i="13" s="1"/>
  <c r="C2424" i="13"/>
  <c r="F2424" i="13" s="1"/>
  <c r="B2424" i="13"/>
  <c r="G2423" i="13"/>
  <c r="H2423" i="13" s="1"/>
  <c r="J2423" i="13" s="1"/>
  <c r="C2423" i="13"/>
  <c r="F2423" i="13" s="1"/>
  <c r="B2423" i="13"/>
  <c r="G2422" i="13"/>
  <c r="H2422" i="13" s="1"/>
  <c r="J2422" i="13" s="1"/>
  <c r="C2422" i="13"/>
  <c r="F2422" i="13" s="1"/>
  <c r="B2422" i="13"/>
  <c r="G2421" i="13"/>
  <c r="H2421" i="13" s="1"/>
  <c r="J2421" i="13" s="1"/>
  <c r="C2421" i="13"/>
  <c r="F2421" i="13" s="1"/>
  <c r="B2421" i="13"/>
  <c r="G2420" i="13"/>
  <c r="H2420" i="13" s="1"/>
  <c r="J2420" i="13" s="1"/>
  <c r="C2420" i="13"/>
  <c r="F2420" i="13" s="1"/>
  <c r="B2420" i="13"/>
  <c r="G2419" i="13"/>
  <c r="H2419" i="13" s="1"/>
  <c r="J2419" i="13" s="1"/>
  <c r="C2419" i="13"/>
  <c r="F2419" i="13" s="1"/>
  <c r="B2419" i="13"/>
  <c r="G2418" i="13"/>
  <c r="H2418" i="13" s="1"/>
  <c r="J2418" i="13" s="1"/>
  <c r="C2418" i="13"/>
  <c r="F2418" i="13" s="1"/>
  <c r="B2418" i="13"/>
  <c r="G2417" i="13"/>
  <c r="H2417" i="13" s="1"/>
  <c r="J2417" i="13" s="1"/>
  <c r="C2417" i="13"/>
  <c r="F2417" i="13" s="1"/>
  <c r="B2417" i="13"/>
  <c r="G2416" i="13"/>
  <c r="H2416" i="13" s="1"/>
  <c r="J2416" i="13" s="1"/>
  <c r="C2416" i="13"/>
  <c r="F2416" i="13" s="1"/>
  <c r="B2416" i="13"/>
  <c r="G2415" i="13"/>
  <c r="H2415" i="13" s="1"/>
  <c r="J2415" i="13" s="1"/>
  <c r="C2415" i="13"/>
  <c r="F2415" i="13" s="1"/>
  <c r="B2415" i="13"/>
  <c r="G2414" i="13"/>
  <c r="H2414" i="13" s="1"/>
  <c r="J2414" i="13" s="1"/>
  <c r="C2414" i="13"/>
  <c r="F2414" i="13" s="1"/>
  <c r="B2414" i="13"/>
  <c r="G2413" i="13"/>
  <c r="H2413" i="13" s="1"/>
  <c r="J2413" i="13" s="1"/>
  <c r="C2413" i="13"/>
  <c r="F2413" i="13" s="1"/>
  <c r="B2413" i="13"/>
  <c r="G2412" i="13"/>
  <c r="H2412" i="13" s="1"/>
  <c r="J2412" i="13" s="1"/>
  <c r="C2412" i="13"/>
  <c r="F2412" i="13" s="1"/>
  <c r="B2412" i="13"/>
  <c r="G2411" i="13"/>
  <c r="H2411" i="13" s="1"/>
  <c r="J2411" i="13" s="1"/>
  <c r="C2411" i="13"/>
  <c r="F2411" i="13" s="1"/>
  <c r="B2411" i="13"/>
  <c r="G2410" i="13"/>
  <c r="H2410" i="13" s="1"/>
  <c r="J2410" i="13" s="1"/>
  <c r="C2410" i="13"/>
  <c r="F2410" i="13" s="1"/>
  <c r="B2410" i="13"/>
  <c r="G2409" i="13"/>
  <c r="H2409" i="13" s="1"/>
  <c r="J2409" i="13" s="1"/>
  <c r="C2409" i="13"/>
  <c r="F2409" i="13" s="1"/>
  <c r="B2409" i="13"/>
  <c r="G2408" i="13"/>
  <c r="H2408" i="13" s="1"/>
  <c r="J2408" i="13" s="1"/>
  <c r="C2408" i="13"/>
  <c r="F2408" i="13" s="1"/>
  <c r="B2408" i="13"/>
  <c r="G2407" i="13"/>
  <c r="H2407" i="13" s="1"/>
  <c r="J2407" i="13" s="1"/>
  <c r="C2407" i="13"/>
  <c r="F2407" i="13" s="1"/>
  <c r="B2407" i="13"/>
  <c r="G2406" i="13"/>
  <c r="H2406" i="13" s="1"/>
  <c r="J2406" i="13" s="1"/>
  <c r="C2406" i="13"/>
  <c r="F2406" i="13" s="1"/>
  <c r="B2406" i="13"/>
  <c r="G2405" i="13"/>
  <c r="H2405" i="13" s="1"/>
  <c r="J2405" i="13" s="1"/>
  <c r="C2405" i="13"/>
  <c r="F2405" i="13" s="1"/>
  <c r="B2405" i="13"/>
  <c r="G2404" i="13"/>
  <c r="H2404" i="13" s="1"/>
  <c r="J2404" i="13" s="1"/>
  <c r="C2404" i="13"/>
  <c r="F2404" i="13" s="1"/>
  <c r="B2404" i="13"/>
  <c r="G2403" i="13"/>
  <c r="H2403" i="13" s="1"/>
  <c r="J2403" i="13" s="1"/>
  <c r="C2403" i="13"/>
  <c r="F2403" i="13" s="1"/>
  <c r="B2403" i="13"/>
  <c r="G2402" i="13"/>
  <c r="H2402" i="13" s="1"/>
  <c r="J2402" i="13" s="1"/>
  <c r="C2402" i="13"/>
  <c r="F2402" i="13" s="1"/>
  <c r="B2402" i="13"/>
  <c r="G2401" i="13"/>
  <c r="H2401" i="13" s="1"/>
  <c r="J2401" i="13" s="1"/>
  <c r="C2401" i="13"/>
  <c r="F2401" i="13" s="1"/>
  <c r="B2401" i="13"/>
  <c r="G2400" i="13"/>
  <c r="H2400" i="13" s="1"/>
  <c r="J2400" i="13" s="1"/>
  <c r="C2400" i="13"/>
  <c r="F2400" i="13" s="1"/>
  <c r="B2400" i="13"/>
  <c r="G2399" i="13"/>
  <c r="H2399" i="13" s="1"/>
  <c r="J2399" i="13" s="1"/>
  <c r="C2399" i="13"/>
  <c r="F2399" i="13" s="1"/>
  <c r="B2399" i="13"/>
  <c r="G2398" i="13"/>
  <c r="H2398" i="13" s="1"/>
  <c r="J2398" i="13" s="1"/>
  <c r="C2398" i="13"/>
  <c r="F2398" i="13" s="1"/>
  <c r="B2398" i="13"/>
  <c r="G2397" i="13"/>
  <c r="H2397" i="13" s="1"/>
  <c r="J2397" i="13" s="1"/>
  <c r="C2397" i="13"/>
  <c r="F2397" i="13" s="1"/>
  <c r="B2397" i="13"/>
  <c r="G2396" i="13"/>
  <c r="H2396" i="13" s="1"/>
  <c r="J2396" i="13" s="1"/>
  <c r="C2396" i="13"/>
  <c r="F2396" i="13" s="1"/>
  <c r="B2396" i="13"/>
  <c r="G2395" i="13"/>
  <c r="H2395" i="13" s="1"/>
  <c r="J2395" i="13" s="1"/>
  <c r="C2395" i="13"/>
  <c r="F2395" i="13" s="1"/>
  <c r="B2395" i="13"/>
  <c r="G2394" i="13"/>
  <c r="H2394" i="13" s="1"/>
  <c r="J2394" i="13" s="1"/>
  <c r="C2394" i="13"/>
  <c r="F2394" i="13" s="1"/>
  <c r="B2394" i="13"/>
  <c r="G2393" i="13"/>
  <c r="H2393" i="13" s="1"/>
  <c r="J2393" i="13" s="1"/>
  <c r="C2393" i="13"/>
  <c r="F2393" i="13" s="1"/>
  <c r="B2393" i="13"/>
  <c r="G2392" i="13"/>
  <c r="H2392" i="13" s="1"/>
  <c r="J2392" i="13" s="1"/>
  <c r="C2392" i="13"/>
  <c r="F2392" i="13" s="1"/>
  <c r="B2392" i="13"/>
  <c r="G2391" i="13"/>
  <c r="H2391" i="13" s="1"/>
  <c r="J2391" i="13" s="1"/>
  <c r="C2391" i="13"/>
  <c r="F2391" i="13" s="1"/>
  <c r="B2391" i="13"/>
  <c r="G2390" i="13"/>
  <c r="H2390" i="13" s="1"/>
  <c r="J2390" i="13" s="1"/>
  <c r="C2390" i="13"/>
  <c r="F2390" i="13" s="1"/>
  <c r="B2390" i="13"/>
  <c r="G2389" i="13"/>
  <c r="H2389" i="13" s="1"/>
  <c r="J2389" i="13" s="1"/>
  <c r="C2389" i="13"/>
  <c r="F2389" i="13" s="1"/>
  <c r="B2389" i="13"/>
  <c r="G2388" i="13"/>
  <c r="H2388" i="13" s="1"/>
  <c r="J2388" i="13" s="1"/>
  <c r="C2388" i="13"/>
  <c r="F2388" i="13" s="1"/>
  <c r="B2388" i="13"/>
  <c r="G2387" i="13"/>
  <c r="H2387" i="13" s="1"/>
  <c r="J2387" i="13" s="1"/>
  <c r="C2387" i="13"/>
  <c r="F2387" i="13" s="1"/>
  <c r="B2387" i="13"/>
  <c r="G2386" i="13"/>
  <c r="H2386" i="13" s="1"/>
  <c r="J2386" i="13" s="1"/>
  <c r="C2386" i="13"/>
  <c r="F2386" i="13" s="1"/>
  <c r="B2386" i="13"/>
  <c r="G2385" i="13"/>
  <c r="H2385" i="13" s="1"/>
  <c r="J2385" i="13" s="1"/>
  <c r="C2385" i="13"/>
  <c r="F2385" i="13" s="1"/>
  <c r="B2385" i="13"/>
  <c r="G2384" i="13"/>
  <c r="H2384" i="13" s="1"/>
  <c r="J2384" i="13" s="1"/>
  <c r="C2384" i="13"/>
  <c r="F2384" i="13" s="1"/>
  <c r="B2384" i="13"/>
  <c r="G2383" i="13"/>
  <c r="H2383" i="13" s="1"/>
  <c r="J2383" i="13" s="1"/>
  <c r="C2383" i="13"/>
  <c r="F2383" i="13" s="1"/>
  <c r="B2383" i="13"/>
  <c r="G2382" i="13"/>
  <c r="H2382" i="13" s="1"/>
  <c r="J2382" i="13" s="1"/>
  <c r="C2382" i="13"/>
  <c r="F2382" i="13" s="1"/>
  <c r="B2382" i="13"/>
  <c r="G2381" i="13"/>
  <c r="H2381" i="13" s="1"/>
  <c r="J2381" i="13" s="1"/>
  <c r="C2381" i="13"/>
  <c r="F2381" i="13" s="1"/>
  <c r="B2381" i="13"/>
  <c r="G2380" i="13"/>
  <c r="H2380" i="13" s="1"/>
  <c r="J2380" i="13" s="1"/>
  <c r="C2380" i="13"/>
  <c r="F2380" i="13" s="1"/>
  <c r="B2380" i="13"/>
  <c r="G2379" i="13"/>
  <c r="H2379" i="13" s="1"/>
  <c r="J2379" i="13" s="1"/>
  <c r="C2379" i="13"/>
  <c r="F2379" i="13" s="1"/>
  <c r="B2379" i="13"/>
  <c r="G2378" i="13"/>
  <c r="H2378" i="13" s="1"/>
  <c r="J2378" i="13" s="1"/>
  <c r="C2378" i="13"/>
  <c r="F2378" i="13" s="1"/>
  <c r="B2378" i="13"/>
  <c r="G2377" i="13"/>
  <c r="H2377" i="13" s="1"/>
  <c r="J2377" i="13" s="1"/>
  <c r="C2377" i="13"/>
  <c r="F2377" i="13" s="1"/>
  <c r="B2377" i="13"/>
  <c r="G2376" i="13"/>
  <c r="H2376" i="13" s="1"/>
  <c r="J2376" i="13" s="1"/>
  <c r="C2376" i="13"/>
  <c r="F2376" i="13" s="1"/>
  <c r="B2376" i="13"/>
  <c r="G2375" i="13"/>
  <c r="H2375" i="13" s="1"/>
  <c r="J2375" i="13" s="1"/>
  <c r="C2375" i="13"/>
  <c r="F2375" i="13" s="1"/>
  <c r="B2375" i="13"/>
  <c r="G2374" i="13"/>
  <c r="H2374" i="13" s="1"/>
  <c r="J2374" i="13" s="1"/>
  <c r="C2374" i="13"/>
  <c r="F2374" i="13" s="1"/>
  <c r="B2374" i="13"/>
  <c r="G2373" i="13"/>
  <c r="H2373" i="13" s="1"/>
  <c r="J2373" i="13" s="1"/>
  <c r="C2373" i="13"/>
  <c r="F2373" i="13" s="1"/>
  <c r="B2373" i="13"/>
  <c r="G2372" i="13"/>
  <c r="H2372" i="13" s="1"/>
  <c r="J2372" i="13" s="1"/>
  <c r="C2372" i="13"/>
  <c r="F2372" i="13" s="1"/>
  <c r="B2372" i="13"/>
  <c r="G2371" i="13"/>
  <c r="H2371" i="13" s="1"/>
  <c r="J2371" i="13" s="1"/>
  <c r="C2371" i="13"/>
  <c r="F2371" i="13" s="1"/>
  <c r="B2371" i="13"/>
  <c r="G2370" i="13"/>
  <c r="H2370" i="13" s="1"/>
  <c r="C2370" i="13"/>
  <c r="F2370" i="13" s="1"/>
  <c r="B2370" i="13"/>
  <c r="G2369" i="13"/>
  <c r="H2369" i="13" s="1"/>
  <c r="J2369" i="13" s="1"/>
  <c r="C2369" i="13"/>
  <c r="F2369" i="13" s="1"/>
  <c r="B2369" i="13"/>
  <c r="G2368" i="13"/>
  <c r="H2368" i="13" s="1"/>
  <c r="J2368" i="13" s="1"/>
  <c r="C2368" i="13"/>
  <c r="F2368" i="13" s="1"/>
  <c r="B2368" i="13"/>
  <c r="G2367" i="13"/>
  <c r="H2367" i="13" s="1"/>
  <c r="J2367" i="13" s="1"/>
  <c r="C2367" i="13"/>
  <c r="F2367" i="13" s="1"/>
  <c r="B2367" i="13"/>
  <c r="G2366" i="13"/>
  <c r="H2366" i="13" s="1"/>
  <c r="J2366" i="13" s="1"/>
  <c r="C2366" i="13"/>
  <c r="F2366" i="13" s="1"/>
  <c r="B2366" i="13"/>
  <c r="G2365" i="13"/>
  <c r="H2365" i="13" s="1"/>
  <c r="J2365" i="13" s="1"/>
  <c r="C2365" i="13"/>
  <c r="F2365" i="13" s="1"/>
  <c r="B2365" i="13"/>
  <c r="G2364" i="13"/>
  <c r="H2364" i="13" s="1"/>
  <c r="J2364" i="13" s="1"/>
  <c r="C2364" i="13"/>
  <c r="F2364" i="13" s="1"/>
  <c r="B2364" i="13"/>
  <c r="G2363" i="13"/>
  <c r="H2363" i="13" s="1"/>
  <c r="J2363" i="13" s="1"/>
  <c r="C2363" i="13"/>
  <c r="F2363" i="13" s="1"/>
  <c r="B2363" i="13"/>
  <c r="G2362" i="13"/>
  <c r="H2362" i="13" s="1"/>
  <c r="J2362" i="13" s="1"/>
  <c r="C2362" i="13"/>
  <c r="F2362" i="13" s="1"/>
  <c r="B2362" i="13"/>
  <c r="G2361" i="13"/>
  <c r="H2361" i="13" s="1"/>
  <c r="J2361" i="13" s="1"/>
  <c r="C2361" i="13"/>
  <c r="F2361" i="13" s="1"/>
  <c r="B2361" i="13"/>
  <c r="G2360" i="13"/>
  <c r="H2360" i="13" s="1"/>
  <c r="J2360" i="13" s="1"/>
  <c r="C2360" i="13"/>
  <c r="F2360" i="13" s="1"/>
  <c r="B2360" i="13"/>
  <c r="G2359" i="13"/>
  <c r="H2359" i="13" s="1"/>
  <c r="J2359" i="13" s="1"/>
  <c r="C2359" i="13"/>
  <c r="F2359" i="13" s="1"/>
  <c r="B2359" i="13"/>
  <c r="G2358" i="13"/>
  <c r="H2358" i="13" s="1"/>
  <c r="J2358" i="13" s="1"/>
  <c r="C2358" i="13"/>
  <c r="F2358" i="13" s="1"/>
  <c r="B2358" i="13"/>
  <c r="G2357" i="13"/>
  <c r="H2357" i="13" s="1"/>
  <c r="J2357" i="13" s="1"/>
  <c r="C2357" i="13"/>
  <c r="F2357" i="13" s="1"/>
  <c r="B2357" i="13"/>
  <c r="G2356" i="13"/>
  <c r="H2356" i="13" s="1"/>
  <c r="J2356" i="13" s="1"/>
  <c r="C2356" i="13"/>
  <c r="F2356" i="13" s="1"/>
  <c r="B2356" i="13"/>
  <c r="G2355" i="13"/>
  <c r="H2355" i="13" s="1"/>
  <c r="J2355" i="13" s="1"/>
  <c r="C2355" i="13"/>
  <c r="F2355" i="13" s="1"/>
  <c r="B2355" i="13"/>
  <c r="G2354" i="13"/>
  <c r="H2354" i="13" s="1"/>
  <c r="J2354" i="13" s="1"/>
  <c r="C2354" i="13"/>
  <c r="F2354" i="13" s="1"/>
  <c r="B2354" i="13"/>
  <c r="G2353" i="13"/>
  <c r="H2353" i="13" s="1"/>
  <c r="J2353" i="13" s="1"/>
  <c r="C2353" i="13"/>
  <c r="F2353" i="13" s="1"/>
  <c r="B2353" i="13"/>
  <c r="G2352" i="13"/>
  <c r="H2352" i="13" s="1"/>
  <c r="J2352" i="13" s="1"/>
  <c r="C2352" i="13"/>
  <c r="F2352" i="13" s="1"/>
  <c r="B2352" i="13"/>
  <c r="G2351" i="13"/>
  <c r="H2351" i="13" s="1"/>
  <c r="J2351" i="13" s="1"/>
  <c r="C2351" i="13"/>
  <c r="F2351" i="13" s="1"/>
  <c r="B2351" i="13"/>
  <c r="G2350" i="13"/>
  <c r="H2350" i="13" s="1"/>
  <c r="J2350" i="13" s="1"/>
  <c r="C2350" i="13"/>
  <c r="F2350" i="13" s="1"/>
  <c r="B2350" i="13"/>
  <c r="G2349" i="13"/>
  <c r="H2349" i="13" s="1"/>
  <c r="J2349" i="13" s="1"/>
  <c r="C2349" i="13"/>
  <c r="F2349" i="13" s="1"/>
  <c r="B2349" i="13"/>
  <c r="G2348" i="13"/>
  <c r="H2348" i="13" s="1"/>
  <c r="J2348" i="13" s="1"/>
  <c r="C2348" i="13"/>
  <c r="F2348" i="13" s="1"/>
  <c r="B2348" i="13"/>
  <c r="G2347" i="13"/>
  <c r="H2347" i="13" s="1"/>
  <c r="J2347" i="13" s="1"/>
  <c r="C2347" i="13"/>
  <c r="F2347" i="13" s="1"/>
  <c r="B2347" i="13"/>
  <c r="G2346" i="13"/>
  <c r="H2346" i="13" s="1"/>
  <c r="J2346" i="13" s="1"/>
  <c r="C2346" i="13"/>
  <c r="F2346" i="13" s="1"/>
  <c r="B2346" i="13"/>
  <c r="G2345" i="13"/>
  <c r="H2345" i="13" s="1"/>
  <c r="J2345" i="13" s="1"/>
  <c r="C2345" i="13"/>
  <c r="F2345" i="13" s="1"/>
  <c r="B2345" i="13"/>
  <c r="G2344" i="13"/>
  <c r="H2344" i="13" s="1"/>
  <c r="J2344" i="13" s="1"/>
  <c r="C2344" i="13"/>
  <c r="F2344" i="13" s="1"/>
  <c r="B2344" i="13"/>
  <c r="G2343" i="13"/>
  <c r="H2343" i="13" s="1"/>
  <c r="J2343" i="13" s="1"/>
  <c r="C2343" i="13"/>
  <c r="F2343" i="13" s="1"/>
  <c r="B2343" i="13"/>
  <c r="G2342" i="13"/>
  <c r="H2342" i="13" s="1"/>
  <c r="J2342" i="13" s="1"/>
  <c r="C2342" i="13"/>
  <c r="F2342" i="13" s="1"/>
  <c r="B2342" i="13"/>
  <c r="G2341" i="13"/>
  <c r="H2341" i="13" s="1"/>
  <c r="J2341" i="13" s="1"/>
  <c r="C2341" i="13"/>
  <c r="F2341" i="13" s="1"/>
  <c r="B2341" i="13"/>
  <c r="G2340" i="13"/>
  <c r="H2340" i="13" s="1"/>
  <c r="J2340" i="13" s="1"/>
  <c r="C2340" i="13"/>
  <c r="F2340" i="13" s="1"/>
  <c r="B2340" i="13"/>
  <c r="G2339" i="13"/>
  <c r="H2339" i="13" s="1"/>
  <c r="J2339" i="13" s="1"/>
  <c r="C2339" i="13"/>
  <c r="F2339" i="13" s="1"/>
  <c r="B2339" i="13"/>
  <c r="G2338" i="13"/>
  <c r="H2338" i="13" s="1"/>
  <c r="J2338" i="13" s="1"/>
  <c r="C2338" i="13"/>
  <c r="F2338" i="13" s="1"/>
  <c r="B2338" i="13"/>
  <c r="G2337" i="13"/>
  <c r="H2337" i="13" s="1"/>
  <c r="J2337" i="13" s="1"/>
  <c r="C2337" i="13"/>
  <c r="F2337" i="13" s="1"/>
  <c r="B2337" i="13"/>
  <c r="G2336" i="13"/>
  <c r="H2336" i="13" s="1"/>
  <c r="C2336" i="13"/>
  <c r="F2336" i="13" s="1"/>
  <c r="B2336" i="13"/>
  <c r="G2335" i="13"/>
  <c r="H2335" i="13" s="1"/>
  <c r="J2335" i="13" s="1"/>
  <c r="C2335" i="13"/>
  <c r="F2335" i="13" s="1"/>
  <c r="B2335" i="13"/>
  <c r="G2334" i="13"/>
  <c r="H2334" i="13" s="1"/>
  <c r="J2334" i="13" s="1"/>
  <c r="C2334" i="13"/>
  <c r="F2334" i="13" s="1"/>
  <c r="B2334" i="13"/>
  <c r="G2333" i="13"/>
  <c r="H2333" i="13" s="1"/>
  <c r="J2333" i="13" s="1"/>
  <c r="C2333" i="13"/>
  <c r="F2333" i="13" s="1"/>
  <c r="B2333" i="13"/>
  <c r="G2332" i="13"/>
  <c r="H2332" i="13" s="1"/>
  <c r="J2332" i="13" s="1"/>
  <c r="C2332" i="13"/>
  <c r="F2332" i="13" s="1"/>
  <c r="B2332" i="13"/>
  <c r="G2331" i="13"/>
  <c r="H2331" i="13" s="1"/>
  <c r="J2331" i="13" s="1"/>
  <c r="C2331" i="13"/>
  <c r="F2331" i="13" s="1"/>
  <c r="B2331" i="13"/>
  <c r="G2330" i="13"/>
  <c r="H2330" i="13" s="1"/>
  <c r="J2330" i="13" s="1"/>
  <c r="C2330" i="13"/>
  <c r="F2330" i="13" s="1"/>
  <c r="B2330" i="13"/>
  <c r="G2329" i="13"/>
  <c r="H2329" i="13" s="1"/>
  <c r="J2329" i="13" s="1"/>
  <c r="C2329" i="13"/>
  <c r="F2329" i="13" s="1"/>
  <c r="B2329" i="13"/>
  <c r="G2328" i="13"/>
  <c r="H2328" i="13" s="1"/>
  <c r="J2328" i="13" s="1"/>
  <c r="C2328" i="13"/>
  <c r="F2328" i="13" s="1"/>
  <c r="B2328" i="13"/>
  <c r="G2327" i="13"/>
  <c r="H2327" i="13" s="1"/>
  <c r="J2327" i="13" s="1"/>
  <c r="C2327" i="13"/>
  <c r="F2327" i="13" s="1"/>
  <c r="B2327" i="13"/>
  <c r="G2326" i="13"/>
  <c r="H2326" i="13" s="1"/>
  <c r="J2326" i="13" s="1"/>
  <c r="C2326" i="13"/>
  <c r="F2326" i="13" s="1"/>
  <c r="B2326" i="13"/>
  <c r="G2325" i="13"/>
  <c r="H2325" i="13" s="1"/>
  <c r="J2325" i="13" s="1"/>
  <c r="C2325" i="13"/>
  <c r="F2325" i="13" s="1"/>
  <c r="B2325" i="13"/>
  <c r="G2324" i="13"/>
  <c r="H2324" i="13" s="1"/>
  <c r="C2324" i="13"/>
  <c r="F2324" i="13" s="1"/>
  <c r="B2324" i="13"/>
  <c r="G2323" i="13"/>
  <c r="H2323" i="13" s="1"/>
  <c r="J2323" i="13" s="1"/>
  <c r="C2323" i="13"/>
  <c r="F2323" i="13" s="1"/>
  <c r="B2323" i="13"/>
  <c r="G2322" i="13"/>
  <c r="H2322" i="13" s="1"/>
  <c r="J2322" i="13" s="1"/>
  <c r="C2322" i="13"/>
  <c r="F2322" i="13" s="1"/>
  <c r="B2322" i="13"/>
  <c r="G2321" i="13"/>
  <c r="H2321" i="13" s="1"/>
  <c r="J2321" i="13" s="1"/>
  <c r="C2321" i="13"/>
  <c r="F2321" i="13" s="1"/>
  <c r="B2321" i="13"/>
  <c r="G2320" i="13"/>
  <c r="H2320" i="13" s="1"/>
  <c r="J2320" i="13" s="1"/>
  <c r="C2320" i="13"/>
  <c r="F2320" i="13" s="1"/>
  <c r="B2320" i="13"/>
  <c r="G2319" i="13"/>
  <c r="H2319" i="13" s="1"/>
  <c r="J2319" i="13" s="1"/>
  <c r="C2319" i="13"/>
  <c r="F2319" i="13" s="1"/>
  <c r="B2319" i="13"/>
  <c r="G2318" i="13"/>
  <c r="H2318" i="13" s="1"/>
  <c r="J2318" i="13" s="1"/>
  <c r="C2318" i="13"/>
  <c r="F2318" i="13" s="1"/>
  <c r="B2318" i="13"/>
  <c r="G2317" i="13"/>
  <c r="H2317" i="13" s="1"/>
  <c r="J2317" i="13" s="1"/>
  <c r="C2317" i="13"/>
  <c r="F2317" i="13" s="1"/>
  <c r="B2317" i="13"/>
  <c r="G2316" i="13"/>
  <c r="H2316" i="13" s="1"/>
  <c r="C2316" i="13"/>
  <c r="F2316" i="13" s="1"/>
  <c r="B2316" i="13"/>
  <c r="G2315" i="13"/>
  <c r="H2315" i="13" s="1"/>
  <c r="J2315" i="13" s="1"/>
  <c r="C2315" i="13"/>
  <c r="F2315" i="13" s="1"/>
  <c r="B2315" i="13"/>
  <c r="G2314" i="13"/>
  <c r="H2314" i="13" s="1"/>
  <c r="J2314" i="13" s="1"/>
  <c r="C2314" i="13"/>
  <c r="F2314" i="13" s="1"/>
  <c r="B2314" i="13"/>
  <c r="G2313" i="13"/>
  <c r="H2313" i="13" s="1"/>
  <c r="C2313" i="13"/>
  <c r="F2313" i="13" s="1"/>
  <c r="B2313" i="13"/>
  <c r="G2312" i="13"/>
  <c r="H2312" i="13" s="1"/>
  <c r="J2312" i="13" s="1"/>
  <c r="C2312" i="13"/>
  <c r="F2312" i="13" s="1"/>
  <c r="B2312" i="13"/>
  <c r="G2311" i="13"/>
  <c r="H2311" i="13" s="1"/>
  <c r="J2311" i="13" s="1"/>
  <c r="C2311" i="13"/>
  <c r="F2311" i="13" s="1"/>
  <c r="B2311" i="13"/>
  <c r="G2310" i="13"/>
  <c r="H2310" i="13" s="1"/>
  <c r="J2310" i="13" s="1"/>
  <c r="C2310" i="13"/>
  <c r="F2310" i="13" s="1"/>
  <c r="B2310" i="13"/>
  <c r="G2309" i="13"/>
  <c r="H2309" i="13" s="1"/>
  <c r="J2309" i="13" s="1"/>
  <c r="C2309" i="13"/>
  <c r="F2309" i="13" s="1"/>
  <c r="B2309" i="13"/>
  <c r="G2308" i="13"/>
  <c r="H2308" i="13" s="1"/>
  <c r="J2308" i="13" s="1"/>
  <c r="C2308" i="13"/>
  <c r="F2308" i="13" s="1"/>
  <c r="B2308" i="13"/>
  <c r="G2307" i="13"/>
  <c r="H2307" i="13" s="1"/>
  <c r="J2307" i="13" s="1"/>
  <c r="C2307" i="13"/>
  <c r="F2307" i="13" s="1"/>
  <c r="B2307" i="13"/>
  <c r="G2306" i="13"/>
  <c r="H2306" i="13" s="1"/>
  <c r="J2306" i="13" s="1"/>
  <c r="C2306" i="13"/>
  <c r="F2306" i="13" s="1"/>
  <c r="B2306" i="13"/>
  <c r="G2305" i="13"/>
  <c r="H2305" i="13" s="1"/>
  <c r="J2305" i="13" s="1"/>
  <c r="C2305" i="13"/>
  <c r="F2305" i="13" s="1"/>
  <c r="B2305" i="13"/>
  <c r="G2304" i="13"/>
  <c r="H2304" i="13" s="1"/>
  <c r="C2304" i="13"/>
  <c r="F2304" i="13" s="1"/>
  <c r="B2304" i="13"/>
  <c r="G2303" i="13"/>
  <c r="H2303" i="13" s="1"/>
  <c r="J2303" i="13" s="1"/>
  <c r="C2303" i="13"/>
  <c r="F2303" i="13" s="1"/>
  <c r="B2303" i="13"/>
  <c r="G2302" i="13"/>
  <c r="H2302" i="13" s="1"/>
  <c r="J2302" i="13" s="1"/>
  <c r="C2302" i="13"/>
  <c r="F2302" i="13" s="1"/>
  <c r="B2302" i="13"/>
  <c r="G2301" i="13"/>
  <c r="H2301" i="13" s="1"/>
  <c r="J2301" i="13" s="1"/>
  <c r="C2301" i="13"/>
  <c r="F2301" i="13" s="1"/>
  <c r="B2301" i="13"/>
  <c r="G2300" i="13"/>
  <c r="H2300" i="13" s="1"/>
  <c r="J2300" i="13" s="1"/>
  <c r="C2300" i="13"/>
  <c r="F2300" i="13" s="1"/>
  <c r="B2300" i="13"/>
  <c r="G2299" i="13"/>
  <c r="H2299" i="13" s="1"/>
  <c r="J2299" i="13" s="1"/>
  <c r="C2299" i="13"/>
  <c r="F2299" i="13" s="1"/>
  <c r="B2299" i="13"/>
  <c r="G2298" i="13"/>
  <c r="H2298" i="13" s="1"/>
  <c r="J2298" i="13" s="1"/>
  <c r="C2298" i="13"/>
  <c r="F2298" i="13" s="1"/>
  <c r="B2298" i="13"/>
  <c r="G2297" i="13"/>
  <c r="H2297" i="13" s="1"/>
  <c r="J2297" i="13" s="1"/>
  <c r="C2297" i="13"/>
  <c r="F2297" i="13" s="1"/>
  <c r="B2297" i="13"/>
  <c r="G2296" i="13"/>
  <c r="H2296" i="13" s="1"/>
  <c r="J2296" i="13" s="1"/>
  <c r="C2296" i="13"/>
  <c r="F2296" i="13" s="1"/>
  <c r="B2296" i="13"/>
  <c r="G2295" i="13"/>
  <c r="H2295" i="13" s="1"/>
  <c r="J2295" i="13" s="1"/>
  <c r="C2295" i="13"/>
  <c r="F2295" i="13" s="1"/>
  <c r="B2295" i="13"/>
  <c r="G2294" i="13"/>
  <c r="H2294" i="13" s="1"/>
  <c r="J2294" i="13" s="1"/>
  <c r="C2294" i="13"/>
  <c r="F2294" i="13" s="1"/>
  <c r="B2294" i="13"/>
  <c r="G2293" i="13"/>
  <c r="H2293" i="13" s="1"/>
  <c r="J2293" i="13" s="1"/>
  <c r="C2293" i="13"/>
  <c r="F2293" i="13" s="1"/>
  <c r="B2293" i="13"/>
  <c r="G2292" i="13"/>
  <c r="H2292" i="13" s="1"/>
  <c r="J2292" i="13" s="1"/>
  <c r="C2292" i="13"/>
  <c r="F2292" i="13" s="1"/>
  <c r="B2292" i="13"/>
  <c r="G2291" i="13"/>
  <c r="H2291" i="13" s="1"/>
  <c r="J2291" i="13" s="1"/>
  <c r="C2291" i="13"/>
  <c r="F2291" i="13" s="1"/>
  <c r="B2291" i="13"/>
  <c r="G2290" i="13"/>
  <c r="H2290" i="13" s="1"/>
  <c r="J2290" i="13" s="1"/>
  <c r="C2290" i="13"/>
  <c r="F2290" i="13" s="1"/>
  <c r="B2290" i="13"/>
  <c r="G2289" i="13"/>
  <c r="H2289" i="13" s="1"/>
  <c r="J2289" i="13" s="1"/>
  <c r="C2289" i="13"/>
  <c r="F2289" i="13" s="1"/>
  <c r="B2289" i="13"/>
  <c r="G2288" i="13"/>
  <c r="H2288" i="13" s="1"/>
  <c r="J2288" i="13" s="1"/>
  <c r="C2288" i="13"/>
  <c r="F2288" i="13" s="1"/>
  <c r="B2288" i="13"/>
  <c r="G2287" i="13"/>
  <c r="H2287" i="13" s="1"/>
  <c r="J2287" i="13" s="1"/>
  <c r="C2287" i="13"/>
  <c r="F2287" i="13" s="1"/>
  <c r="B2287" i="13"/>
  <c r="G2286" i="13"/>
  <c r="H2286" i="13" s="1"/>
  <c r="J2286" i="13" s="1"/>
  <c r="C2286" i="13"/>
  <c r="F2286" i="13" s="1"/>
  <c r="B2286" i="13"/>
  <c r="G2285" i="13"/>
  <c r="H2285" i="13" s="1"/>
  <c r="J2285" i="13" s="1"/>
  <c r="C2285" i="13"/>
  <c r="F2285" i="13" s="1"/>
  <c r="B2285" i="13"/>
  <c r="G2284" i="13"/>
  <c r="H2284" i="13" s="1"/>
  <c r="J2284" i="13" s="1"/>
  <c r="C2284" i="13"/>
  <c r="F2284" i="13" s="1"/>
  <c r="B2284" i="13"/>
  <c r="G2283" i="13"/>
  <c r="H2283" i="13" s="1"/>
  <c r="J2283" i="13" s="1"/>
  <c r="C2283" i="13"/>
  <c r="F2283" i="13" s="1"/>
  <c r="B2283" i="13"/>
  <c r="G2282" i="13"/>
  <c r="H2282" i="13" s="1"/>
  <c r="J2282" i="13" s="1"/>
  <c r="C2282" i="13"/>
  <c r="F2282" i="13" s="1"/>
  <c r="B2282" i="13"/>
  <c r="G2281" i="13"/>
  <c r="H2281" i="13" s="1"/>
  <c r="J2281" i="13" s="1"/>
  <c r="C2281" i="13"/>
  <c r="F2281" i="13" s="1"/>
  <c r="B2281" i="13"/>
  <c r="G2280" i="13"/>
  <c r="H2280" i="13" s="1"/>
  <c r="J2280" i="13" s="1"/>
  <c r="C2280" i="13"/>
  <c r="F2280" i="13" s="1"/>
  <c r="B2280" i="13"/>
  <c r="G2279" i="13"/>
  <c r="H2279" i="13" s="1"/>
  <c r="J2279" i="13" s="1"/>
  <c r="C2279" i="13"/>
  <c r="F2279" i="13" s="1"/>
  <c r="B2279" i="13"/>
  <c r="G2278" i="13"/>
  <c r="H2278" i="13" s="1"/>
  <c r="J2278" i="13" s="1"/>
  <c r="C2278" i="13"/>
  <c r="F2278" i="13" s="1"/>
  <c r="B2278" i="13"/>
  <c r="G2277" i="13"/>
  <c r="H2277" i="13" s="1"/>
  <c r="J2277" i="13" s="1"/>
  <c r="C2277" i="13"/>
  <c r="F2277" i="13" s="1"/>
  <c r="B2277" i="13"/>
  <c r="G2276" i="13"/>
  <c r="H2276" i="13" s="1"/>
  <c r="J2276" i="13" s="1"/>
  <c r="C2276" i="13"/>
  <c r="F2276" i="13" s="1"/>
  <c r="B2276" i="13"/>
  <c r="G2275" i="13"/>
  <c r="H2275" i="13" s="1"/>
  <c r="J2275" i="13" s="1"/>
  <c r="C2275" i="13"/>
  <c r="F2275" i="13" s="1"/>
  <c r="B2275" i="13"/>
  <c r="G2274" i="13"/>
  <c r="H2274" i="13" s="1"/>
  <c r="J2274" i="13" s="1"/>
  <c r="C2274" i="13"/>
  <c r="F2274" i="13" s="1"/>
  <c r="B2274" i="13"/>
  <c r="G2273" i="13"/>
  <c r="H2273" i="13" s="1"/>
  <c r="J2273" i="13" s="1"/>
  <c r="C2273" i="13"/>
  <c r="F2273" i="13" s="1"/>
  <c r="B2273" i="13"/>
  <c r="G2272" i="13"/>
  <c r="H2272" i="13" s="1"/>
  <c r="J2272" i="13" s="1"/>
  <c r="C2272" i="13"/>
  <c r="F2272" i="13" s="1"/>
  <c r="B2272" i="13"/>
  <c r="G2271" i="13"/>
  <c r="H2271" i="13" s="1"/>
  <c r="J2271" i="13" s="1"/>
  <c r="C2271" i="13"/>
  <c r="F2271" i="13" s="1"/>
  <c r="B2271" i="13"/>
  <c r="G2270" i="13"/>
  <c r="H2270" i="13" s="1"/>
  <c r="J2270" i="13" s="1"/>
  <c r="C2270" i="13"/>
  <c r="F2270" i="13" s="1"/>
  <c r="B2270" i="13"/>
  <c r="G2269" i="13"/>
  <c r="H2269" i="13" s="1"/>
  <c r="J2269" i="13" s="1"/>
  <c r="C2269" i="13"/>
  <c r="F2269" i="13" s="1"/>
  <c r="B2269" i="13"/>
  <c r="G2268" i="13"/>
  <c r="H2268" i="13" s="1"/>
  <c r="J2268" i="13" s="1"/>
  <c r="C2268" i="13"/>
  <c r="F2268" i="13" s="1"/>
  <c r="B2268" i="13"/>
  <c r="G2267" i="13"/>
  <c r="H2267" i="13" s="1"/>
  <c r="J2267" i="13" s="1"/>
  <c r="C2267" i="13"/>
  <c r="F2267" i="13" s="1"/>
  <c r="B2267" i="13"/>
  <c r="G2266" i="13"/>
  <c r="H2266" i="13" s="1"/>
  <c r="J2266" i="13" s="1"/>
  <c r="C2266" i="13"/>
  <c r="F2266" i="13" s="1"/>
  <c r="B2266" i="13"/>
  <c r="G2265" i="13"/>
  <c r="H2265" i="13" s="1"/>
  <c r="J2265" i="13" s="1"/>
  <c r="C2265" i="13"/>
  <c r="F2265" i="13" s="1"/>
  <c r="B2265" i="13"/>
  <c r="G2264" i="13"/>
  <c r="H2264" i="13" s="1"/>
  <c r="J2264" i="13" s="1"/>
  <c r="C2264" i="13"/>
  <c r="F2264" i="13" s="1"/>
  <c r="B2264" i="13"/>
  <c r="G2263" i="13"/>
  <c r="H2263" i="13" s="1"/>
  <c r="J2263" i="13" s="1"/>
  <c r="C2263" i="13"/>
  <c r="F2263" i="13" s="1"/>
  <c r="B2263" i="13"/>
  <c r="G2262" i="13"/>
  <c r="H2262" i="13" s="1"/>
  <c r="J2262" i="13" s="1"/>
  <c r="C2262" i="13"/>
  <c r="F2262" i="13" s="1"/>
  <c r="B2262" i="13"/>
  <c r="G2261" i="13"/>
  <c r="H2261" i="13" s="1"/>
  <c r="J2261" i="13" s="1"/>
  <c r="C2261" i="13"/>
  <c r="F2261" i="13" s="1"/>
  <c r="B2261" i="13"/>
  <c r="G2260" i="13"/>
  <c r="H2260" i="13" s="1"/>
  <c r="J2260" i="13" s="1"/>
  <c r="C2260" i="13"/>
  <c r="F2260" i="13" s="1"/>
  <c r="B2260" i="13"/>
  <c r="G2259" i="13"/>
  <c r="H2259" i="13" s="1"/>
  <c r="J2259" i="13" s="1"/>
  <c r="C2259" i="13"/>
  <c r="F2259" i="13" s="1"/>
  <c r="B2259" i="13"/>
  <c r="G2258" i="13"/>
  <c r="H2258" i="13" s="1"/>
  <c r="J2258" i="13" s="1"/>
  <c r="C2258" i="13"/>
  <c r="F2258" i="13" s="1"/>
  <c r="B2258" i="13"/>
  <c r="G2257" i="13"/>
  <c r="H2257" i="13" s="1"/>
  <c r="J2257" i="13" s="1"/>
  <c r="C2257" i="13"/>
  <c r="F2257" i="13" s="1"/>
  <c r="B2257" i="13"/>
  <c r="G2256" i="13"/>
  <c r="H2256" i="13" s="1"/>
  <c r="J2256" i="13" s="1"/>
  <c r="C2256" i="13"/>
  <c r="F2256" i="13" s="1"/>
  <c r="B2256" i="13"/>
  <c r="G2255" i="13"/>
  <c r="H2255" i="13" s="1"/>
  <c r="J2255" i="13" s="1"/>
  <c r="C2255" i="13"/>
  <c r="F2255" i="13" s="1"/>
  <c r="B2255" i="13"/>
  <c r="G2254" i="13"/>
  <c r="H2254" i="13" s="1"/>
  <c r="J2254" i="13" s="1"/>
  <c r="C2254" i="13"/>
  <c r="F2254" i="13" s="1"/>
  <c r="B2254" i="13"/>
  <c r="G2253" i="13"/>
  <c r="H2253" i="13" s="1"/>
  <c r="J2253" i="13" s="1"/>
  <c r="C2253" i="13"/>
  <c r="F2253" i="13" s="1"/>
  <c r="B2253" i="13"/>
  <c r="G2252" i="13"/>
  <c r="H2252" i="13" s="1"/>
  <c r="J2252" i="13" s="1"/>
  <c r="C2252" i="13"/>
  <c r="F2252" i="13" s="1"/>
  <c r="B2252" i="13"/>
  <c r="G2251" i="13"/>
  <c r="H2251" i="13" s="1"/>
  <c r="J2251" i="13" s="1"/>
  <c r="C2251" i="13"/>
  <c r="F2251" i="13" s="1"/>
  <c r="B2251" i="13"/>
  <c r="G2250" i="13"/>
  <c r="H2250" i="13" s="1"/>
  <c r="J2250" i="13" s="1"/>
  <c r="C2250" i="13"/>
  <c r="F2250" i="13" s="1"/>
  <c r="B2250" i="13"/>
  <c r="G2249" i="13"/>
  <c r="H2249" i="13" s="1"/>
  <c r="J2249" i="13" s="1"/>
  <c r="C2249" i="13"/>
  <c r="F2249" i="13" s="1"/>
  <c r="B2249" i="13"/>
  <c r="G2248" i="13"/>
  <c r="H2248" i="13" s="1"/>
  <c r="J2248" i="13" s="1"/>
  <c r="C2248" i="13"/>
  <c r="F2248" i="13" s="1"/>
  <c r="B2248" i="13"/>
  <c r="G2247" i="13"/>
  <c r="H2247" i="13" s="1"/>
  <c r="J2247" i="13" s="1"/>
  <c r="C2247" i="13"/>
  <c r="F2247" i="13" s="1"/>
  <c r="B2247" i="13"/>
  <c r="G2246" i="13"/>
  <c r="H2246" i="13" s="1"/>
  <c r="J2246" i="13" s="1"/>
  <c r="C2246" i="13"/>
  <c r="F2246" i="13" s="1"/>
  <c r="B2246" i="13"/>
  <c r="G2245" i="13"/>
  <c r="H2245" i="13" s="1"/>
  <c r="J2245" i="13" s="1"/>
  <c r="C2245" i="13"/>
  <c r="F2245" i="13" s="1"/>
  <c r="B2245" i="13"/>
  <c r="G2244" i="13"/>
  <c r="H2244" i="13" s="1"/>
  <c r="J2244" i="13" s="1"/>
  <c r="C2244" i="13"/>
  <c r="F2244" i="13" s="1"/>
  <c r="B2244" i="13"/>
  <c r="G2243" i="13"/>
  <c r="H2243" i="13" s="1"/>
  <c r="J2243" i="13" s="1"/>
  <c r="C2243" i="13"/>
  <c r="F2243" i="13" s="1"/>
  <c r="B2243" i="13"/>
  <c r="G2242" i="13"/>
  <c r="H2242" i="13" s="1"/>
  <c r="J2242" i="13" s="1"/>
  <c r="C2242" i="13"/>
  <c r="F2242" i="13" s="1"/>
  <c r="B2242" i="13"/>
  <c r="G2241" i="13"/>
  <c r="H2241" i="13" s="1"/>
  <c r="J2241" i="13" s="1"/>
  <c r="C2241" i="13"/>
  <c r="F2241" i="13" s="1"/>
  <c r="B2241" i="13"/>
  <c r="G2240" i="13"/>
  <c r="H2240" i="13" s="1"/>
  <c r="J2240" i="13" s="1"/>
  <c r="C2240" i="13"/>
  <c r="F2240" i="13" s="1"/>
  <c r="B2240" i="13"/>
  <c r="G2239" i="13"/>
  <c r="H2239" i="13" s="1"/>
  <c r="J2239" i="13" s="1"/>
  <c r="C2239" i="13"/>
  <c r="F2239" i="13" s="1"/>
  <c r="B2239" i="13"/>
  <c r="G2238" i="13"/>
  <c r="H2238" i="13" s="1"/>
  <c r="J2238" i="13" s="1"/>
  <c r="C2238" i="13"/>
  <c r="F2238" i="13" s="1"/>
  <c r="B2238" i="13"/>
  <c r="G2237" i="13"/>
  <c r="H2237" i="13" s="1"/>
  <c r="J2237" i="13" s="1"/>
  <c r="C2237" i="13"/>
  <c r="F2237" i="13" s="1"/>
  <c r="B2237" i="13"/>
  <c r="G2236" i="13"/>
  <c r="H2236" i="13" s="1"/>
  <c r="J2236" i="13" s="1"/>
  <c r="C2236" i="13"/>
  <c r="F2236" i="13" s="1"/>
  <c r="B2236" i="13"/>
  <c r="G2235" i="13"/>
  <c r="H2235" i="13" s="1"/>
  <c r="J2235" i="13" s="1"/>
  <c r="C2235" i="13"/>
  <c r="F2235" i="13" s="1"/>
  <c r="B2235" i="13"/>
  <c r="G2234" i="13"/>
  <c r="H2234" i="13" s="1"/>
  <c r="J2234" i="13" s="1"/>
  <c r="C2234" i="13"/>
  <c r="F2234" i="13" s="1"/>
  <c r="B2234" i="13"/>
  <c r="G2233" i="13"/>
  <c r="H2233" i="13" s="1"/>
  <c r="J2233" i="13" s="1"/>
  <c r="C2233" i="13"/>
  <c r="F2233" i="13" s="1"/>
  <c r="B2233" i="13"/>
  <c r="G2232" i="13"/>
  <c r="H2232" i="13" s="1"/>
  <c r="J2232" i="13" s="1"/>
  <c r="C2232" i="13"/>
  <c r="F2232" i="13" s="1"/>
  <c r="B2232" i="13"/>
  <c r="G2231" i="13"/>
  <c r="H2231" i="13" s="1"/>
  <c r="J2231" i="13" s="1"/>
  <c r="C2231" i="13"/>
  <c r="F2231" i="13" s="1"/>
  <c r="B2231" i="13"/>
  <c r="G2230" i="13"/>
  <c r="H2230" i="13" s="1"/>
  <c r="J2230" i="13" s="1"/>
  <c r="C2230" i="13"/>
  <c r="F2230" i="13" s="1"/>
  <c r="B2230" i="13"/>
  <c r="G2229" i="13"/>
  <c r="H2229" i="13" s="1"/>
  <c r="J2229" i="13" s="1"/>
  <c r="C2229" i="13"/>
  <c r="F2229" i="13" s="1"/>
  <c r="B2229" i="13"/>
  <c r="G2228" i="13"/>
  <c r="H2228" i="13" s="1"/>
  <c r="J2228" i="13" s="1"/>
  <c r="C2228" i="13"/>
  <c r="F2228" i="13" s="1"/>
  <c r="B2228" i="13"/>
  <c r="G2227" i="13"/>
  <c r="H2227" i="13" s="1"/>
  <c r="J2227" i="13" s="1"/>
  <c r="C2227" i="13"/>
  <c r="F2227" i="13" s="1"/>
  <c r="B2227" i="13"/>
  <c r="G2226" i="13"/>
  <c r="H2226" i="13" s="1"/>
  <c r="J2226" i="13" s="1"/>
  <c r="C2226" i="13"/>
  <c r="F2226" i="13" s="1"/>
  <c r="B2226" i="13"/>
  <c r="G2225" i="13"/>
  <c r="H2225" i="13" s="1"/>
  <c r="J2225" i="13" s="1"/>
  <c r="C2225" i="13"/>
  <c r="F2225" i="13" s="1"/>
  <c r="B2225" i="13"/>
  <c r="G2224" i="13"/>
  <c r="H2224" i="13" s="1"/>
  <c r="J2224" i="13" s="1"/>
  <c r="C2224" i="13"/>
  <c r="F2224" i="13" s="1"/>
  <c r="B2224" i="13"/>
  <c r="G2223" i="13"/>
  <c r="H2223" i="13" s="1"/>
  <c r="J2223" i="13" s="1"/>
  <c r="C2223" i="13"/>
  <c r="F2223" i="13" s="1"/>
  <c r="B2223" i="13"/>
  <c r="G2222" i="13"/>
  <c r="H2222" i="13" s="1"/>
  <c r="J2222" i="13" s="1"/>
  <c r="C2222" i="13"/>
  <c r="F2222" i="13" s="1"/>
  <c r="B2222" i="13"/>
  <c r="G2221" i="13"/>
  <c r="H2221" i="13" s="1"/>
  <c r="J2221" i="13" s="1"/>
  <c r="C2221" i="13"/>
  <c r="F2221" i="13" s="1"/>
  <c r="B2221" i="13"/>
  <c r="G2220" i="13"/>
  <c r="H2220" i="13" s="1"/>
  <c r="J2220" i="13" s="1"/>
  <c r="C2220" i="13"/>
  <c r="F2220" i="13" s="1"/>
  <c r="B2220" i="13"/>
  <c r="G2219" i="13"/>
  <c r="H2219" i="13" s="1"/>
  <c r="J2219" i="13" s="1"/>
  <c r="C2219" i="13"/>
  <c r="F2219" i="13" s="1"/>
  <c r="B2219" i="13"/>
  <c r="G2218" i="13"/>
  <c r="H2218" i="13" s="1"/>
  <c r="J2218" i="13" s="1"/>
  <c r="C2218" i="13"/>
  <c r="F2218" i="13" s="1"/>
  <c r="B2218" i="13"/>
  <c r="G2217" i="13"/>
  <c r="H2217" i="13" s="1"/>
  <c r="J2217" i="13" s="1"/>
  <c r="C2217" i="13"/>
  <c r="F2217" i="13" s="1"/>
  <c r="B2217" i="13"/>
  <c r="G2216" i="13"/>
  <c r="H2216" i="13" s="1"/>
  <c r="J2216" i="13" s="1"/>
  <c r="C2216" i="13"/>
  <c r="F2216" i="13" s="1"/>
  <c r="B2216" i="13"/>
  <c r="G2215" i="13"/>
  <c r="H2215" i="13" s="1"/>
  <c r="J2215" i="13" s="1"/>
  <c r="C2215" i="13"/>
  <c r="F2215" i="13" s="1"/>
  <c r="B2215" i="13"/>
  <c r="G2214" i="13"/>
  <c r="H2214" i="13" s="1"/>
  <c r="J2214" i="13" s="1"/>
  <c r="C2214" i="13"/>
  <c r="F2214" i="13" s="1"/>
  <c r="B2214" i="13"/>
  <c r="G2213" i="13"/>
  <c r="H2213" i="13" s="1"/>
  <c r="J2213" i="13" s="1"/>
  <c r="C2213" i="13"/>
  <c r="F2213" i="13" s="1"/>
  <c r="B2213" i="13"/>
  <c r="G2212" i="13"/>
  <c r="H2212" i="13" s="1"/>
  <c r="J2212" i="13" s="1"/>
  <c r="C2212" i="13"/>
  <c r="F2212" i="13" s="1"/>
  <c r="B2212" i="13"/>
  <c r="G2211" i="13"/>
  <c r="H2211" i="13" s="1"/>
  <c r="J2211" i="13" s="1"/>
  <c r="C2211" i="13"/>
  <c r="F2211" i="13" s="1"/>
  <c r="B2211" i="13"/>
  <c r="G2210" i="13"/>
  <c r="H2210" i="13" s="1"/>
  <c r="J2210" i="13" s="1"/>
  <c r="C2210" i="13"/>
  <c r="F2210" i="13" s="1"/>
  <c r="B2210" i="13"/>
  <c r="G2209" i="13"/>
  <c r="H2209" i="13" s="1"/>
  <c r="J2209" i="13" s="1"/>
  <c r="C2209" i="13"/>
  <c r="F2209" i="13" s="1"/>
  <c r="B2209" i="13"/>
  <c r="G2208" i="13"/>
  <c r="H2208" i="13" s="1"/>
  <c r="J2208" i="13" s="1"/>
  <c r="C2208" i="13"/>
  <c r="F2208" i="13" s="1"/>
  <c r="B2208" i="13"/>
  <c r="G2207" i="13"/>
  <c r="H2207" i="13" s="1"/>
  <c r="J2207" i="13" s="1"/>
  <c r="C2207" i="13"/>
  <c r="F2207" i="13" s="1"/>
  <c r="B2207" i="13"/>
  <c r="G2206" i="13"/>
  <c r="H2206" i="13" s="1"/>
  <c r="J2206" i="13" s="1"/>
  <c r="C2206" i="13"/>
  <c r="F2206" i="13" s="1"/>
  <c r="B2206" i="13"/>
  <c r="G2205" i="13"/>
  <c r="H2205" i="13" s="1"/>
  <c r="J2205" i="13" s="1"/>
  <c r="C2205" i="13"/>
  <c r="F2205" i="13" s="1"/>
  <c r="B2205" i="13"/>
  <c r="G2204" i="13"/>
  <c r="H2204" i="13" s="1"/>
  <c r="J2204" i="13" s="1"/>
  <c r="C2204" i="13"/>
  <c r="F2204" i="13" s="1"/>
  <c r="B2204" i="13"/>
  <c r="G2203" i="13"/>
  <c r="H2203" i="13" s="1"/>
  <c r="J2203" i="13" s="1"/>
  <c r="C2203" i="13"/>
  <c r="F2203" i="13" s="1"/>
  <c r="B2203" i="13"/>
  <c r="G2202" i="13"/>
  <c r="H2202" i="13" s="1"/>
  <c r="J2202" i="13" s="1"/>
  <c r="C2202" i="13"/>
  <c r="F2202" i="13" s="1"/>
  <c r="B2202" i="13"/>
  <c r="G2201" i="13"/>
  <c r="H2201" i="13" s="1"/>
  <c r="J2201" i="13" s="1"/>
  <c r="C2201" i="13"/>
  <c r="F2201" i="13" s="1"/>
  <c r="B2201" i="13"/>
  <c r="G2200" i="13"/>
  <c r="H2200" i="13" s="1"/>
  <c r="J2200" i="13" s="1"/>
  <c r="C2200" i="13"/>
  <c r="F2200" i="13" s="1"/>
  <c r="B2200" i="13"/>
  <c r="G2199" i="13"/>
  <c r="H2199" i="13" s="1"/>
  <c r="J2199" i="13" s="1"/>
  <c r="C2199" i="13"/>
  <c r="F2199" i="13" s="1"/>
  <c r="B2199" i="13"/>
  <c r="G2198" i="13"/>
  <c r="H2198" i="13" s="1"/>
  <c r="J2198" i="13" s="1"/>
  <c r="C2198" i="13"/>
  <c r="F2198" i="13" s="1"/>
  <c r="B2198" i="13"/>
  <c r="G2197" i="13"/>
  <c r="H2197" i="13" s="1"/>
  <c r="J2197" i="13" s="1"/>
  <c r="C2197" i="13"/>
  <c r="F2197" i="13" s="1"/>
  <c r="B2197" i="13"/>
  <c r="G2196" i="13"/>
  <c r="H2196" i="13" s="1"/>
  <c r="J2196" i="13" s="1"/>
  <c r="C2196" i="13"/>
  <c r="F2196" i="13" s="1"/>
  <c r="B2196" i="13"/>
  <c r="G2195" i="13"/>
  <c r="H2195" i="13" s="1"/>
  <c r="J2195" i="13" s="1"/>
  <c r="C2195" i="13"/>
  <c r="F2195" i="13" s="1"/>
  <c r="B2195" i="13"/>
  <c r="G2194" i="13"/>
  <c r="H2194" i="13" s="1"/>
  <c r="J2194" i="13" s="1"/>
  <c r="C2194" i="13"/>
  <c r="F2194" i="13" s="1"/>
  <c r="B2194" i="13"/>
  <c r="G2193" i="13"/>
  <c r="H2193" i="13" s="1"/>
  <c r="C2193" i="13"/>
  <c r="F2193" i="13" s="1"/>
  <c r="B2193" i="13"/>
  <c r="G2192" i="13"/>
  <c r="H2192" i="13" s="1"/>
  <c r="J2192" i="13" s="1"/>
  <c r="C2192" i="13"/>
  <c r="F2192" i="13" s="1"/>
  <c r="B2192" i="13"/>
  <c r="G2191" i="13"/>
  <c r="H2191" i="13" s="1"/>
  <c r="J2191" i="13" s="1"/>
  <c r="C2191" i="13"/>
  <c r="F2191" i="13" s="1"/>
  <c r="B2191" i="13"/>
  <c r="G2190" i="13"/>
  <c r="H2190" i="13" s="1"/>
  <c r="J2190" i="13" s="1"/>
  <c r="C2190" i="13"/>
  <c r="F2190" i="13" s="1"/>
  <c r="B2190" i="13"/>
  <c r="G2189" i="13"/>
  <c r="H2189" i="13" s="1"/>
  <c r="J2189" i="13" s="1"/>
  <c r="C2189" i="13"/>
  <c r="F2189" i="13" s="1"/>
  <c r="B2189" i="13"/>
  <c r="G2188" i="13"/>
  <c r="H2188" i="13" s="1"/>
  <c r="J2188" i="13" s="1"/>
  <c r="C2188" i="13"/>
  <c r="F2188" i="13" s="1"/>
  <c r="B2188" i="13"/>
  <c r="G2187" i="13"/>
  <c r="H2187" i="13" s="1"/>
  <c r="J2187" i="13" s="1"/>
  <c r="C2187" i="13"/>
  <c r="F2187" i="13" s="1"/>
  <c r="B2187" i="13"/>
  <c r="G2186" i="13"/>
  <c r="H2186" i="13" s="1"/>
  <c r="J2186" i="13" s="1"/>
  <c r="C2186" i="13"/>
  <c r="F2186" i="13" s="1"/>
  <c r="B2186" i="13"/>
  <c r="G2185" i="13"/>
  <c r="H2185" i="13" s="1"/>
  <c r="J2185" i="13" s="1"/>
  <c r="C2185" i="13"/>
  <c r="F2185" i="13" s="1"/>
  <c r="B2185" i="13"/>
  <c r="G2184" i="13"/>
  <c r="H2184" i="13" s="1"/>
  <c r="J2184" i="13" s="1"/>
  <c r="C2184" i="13"/>
  <c r="F2184" i="13" s="1"/>
  <c r="B2184" i="13"/>
  <c r="G2183" i="13"/>
  <c r="H2183" i="13" s="1"/>
  <c r="J2183" i="13" s="1"/>
  <c r="C2183" i="13"/>
  <c r="F2183" i="13" s="1"/>
  <c r="B2183" i="13"/>
  <c r="G2182" i="13"/>
  <c r="H2182" i="13" s="1"/>
  <c r="J2182" i="13" s="1"/>
  <c r="C2182" i="13"/>
  <c r="F2182" i="13" s="1"/>
  <c r="B2182" i="13"/>
  <c r="G2181" i="13"/>
  <c r="H2181" i="13" s="1"/>
  <c r="J2181" i="13" s="1"/>
  <c r="C2181" i="13"/>
  <c r="F2181" i="13" s="1"/>
  <c r="B2181" i="13"/>
  <c r="G2180" i="13"/>
  <c r="H2180" i="13" s="1"/>
  <c r="J2180" i="13" s="1"/>
  <c r="C2180" i="13"/>
  <c r="F2180" i="13" s="1"/>
  <c r="B2180" i="13"/>
  <c r="G2179" i="13"/>
  <c r="H2179" i="13" s="1"/>
  <c r="J2179" i="13" s="1"/>
  <c r="C2179" i="13"/>
  <c r="F2179" i="13" s="1"/>
  <c r="B2179" i="13"/>
  <c r="G2178" i="13"/>
  <c r="H2178" i="13" s="1"/>
  <c r="J2178" i="13" s="1"/>
  <c r="C2178" i="13"/>
  <c r="F2178" i="13" s="1"/>
  <c r="B2178" i="13"/>
  <c r="G2177" i="13"/>
  <c r="H2177" i="13" s="1"/>
  <c r="J2177" i="13" s="1"/>
  <c r="C2177" i="13"/>
  <c r="F2177" i="13" s="1"/>
  <c r="B2177" i="13"/>
  <c r="G2176" i="13"/>
  <c r="H2176" i="13" s="1"/>
  <c r="J2176" i="13" s="1"/>
  <c r="C2176" i="13"/>
  <c r="F2176" i="13" s="1"/>
  <c r="B2176" i="13"/>
  <c r="G2175" i="13"/>
  <c r="H2175" i="13" s="1"/>
  <c r="J2175" i="13" s="1"/>
  <c r="C2175" i="13"/>
  <c r="F2175" i="13" s="1"/>
  <c r="B2175" i="13"/>
  <c r="G2174" i="13"/>
  <c r="H2174" i="13" s="1"/>
  <c r="J2174" i="13" s="1"/>
  <c r="C2174" i="13"/>
  <c r="F2174" i="13" s="1"/>
  <c r="B2174" i="13"/>
  <c r="G2173" i="13"/>
  <c r="H2173" i="13" s="1"/>
  <c r="J2173" i="13" s="1"/>
  <c r="C2173" i="13"/>
  <c r="F2173" i="13" s="1"/>
  <c r="B2173" i="13"/>
  <c r="G2172" i="13"/>
  <c r="H2172" i="13" s="1"/>
  <c r="J2172" i="13" s="1"/>
  <c r="C2172" i="13"/>
  <c r="F2172" i="13" s="1"/>
  <c r="B2172" i="13"/>
  <c r="G2171" i="13"/>
  <c r="H2171" i="13" s="1"/>
  <c r="J2171" i="13" s="1"/>
  <c r="C2171" i="13"/>
  <c r="F2171" i="13" s="1"/>
  <c r="B2171" i="13"/>
  <c r="G2170" i="13"/>
  <c r="H2170" i="13" s="1"/>
  <c r="J2170" i="13" s="1"/>
  <c r="C2170" i="13"/>
  <c r="F2170" i="13" s="1"/>
  <c r="B2170" i="13"/>
  <c r="G2169" i="13"/>
  <c r="H2169" i="13" s="1"/>
  <c r="J2169" i="13" s="1"/>
  <c r="C2169" i="13"/>
  <c r="F2169" i="13" s="1"/>
  <c r="B2169" i="13"/>
  <c r="G2168" i="13"/>
  <c r="H2168" i="13" s="1"/>
  <c r="J2168" i="13" s="1"/>
  <c r="C2168" i="13"/>
  <c r="F2168" i="13" s="1"/>
  <c r="B2168" i="13"/>
  <c r="G2167" i="13"/>
  <c r="H2167" i="13" s="1"/>
  <c r="J2167" i="13" s="1"/>
  <c r="C2167" i="13"/>
  <c r="F2167" i="13" s="1"/>
  <c r="B2167" i="13"/>
  <c r="G2166" i="13"/>
  <c r="H2166" i="13" s="1"/>
  <c r="J2166" i="13" s="1"/>
  <c r="C2166" i="13"/>
  <c r="F2166" i="13" s="1"/>
  <c r="B2166" i="13"/>
  <c r="G2165" i="13"/>
  <c r="H2165" i="13" s="1"/>
  <c r="J2165" i="13" s="1"/>
  <c r="C2165" i="13"/>
  <c r="F2165" i="13" s="1"/>
  <c r="B2165" i="13"/>
  <c r="G2164" i="13"/>
  <c r="H2164" i="13" s="1"/>
  <c r="J2164" i="13" s="1"/>
  <c r="C2164" i="13"/>
  <c r="F2164" i="13" s="1"/>
  <c r="B2164" i="13"/>
  <c r="G2163" i="13"/>
  <c r="H2163" i="13" s="1"/>
  <c r="J2163" i="13" s="1"/>
  <c r="C2163" i="13"/>
  <c r="F2163" i="13" s="1"/>
  <c r="B2163" i="13"/>
  <c r="G2162" i="13"/>
  <c r="H2162" i="13" s="1"/>
  <c r="J2162" i="13" s="1"/>
  <c r="C2162" i="13"/>
  <c r="F2162" i="13" s="1"/>
  <c r="B2162" i="13"/>
  <c r="G2161" i="13"/>
  <c r="H2161" i="13" s="1"/>
  <c r="J2161" i="13" s="1"/>
  <c r="C2161" i="13"/>
  <c r="F2161" i="13" s="1"/>
  <c r="B2161" i="13"/>
  <c r="G2160" i="13"/>
  <c r="H2160" i="13" s="1"/>
  <c r="J2160" i="13" s="1"/>
  <c r="C2160" i="13"/>
  <c r="F2160" i="13" s="1"/>
  <c r="B2160" i="13"/>
  <c r="G2159" i="13"/>
  <c r="H2159" i="13" s="1"/>
  <c r="J2159" i="13" s="1"/>
  <c r="C2159" i="13"/>
  <c r="F2159" i="13" s="1"/>
  <c r="B2159" i="13"/>
  <c r="G2158" i="13"/>
  <c r="H2158" i="13" s="1"/>
  <c r="J2158" i="13" s="1"/>
  <c r="C2158" i="13"/>
  <c r="F2158" i="13" s="1"/>
  <c r="B2158" i="13"/>
  <c r="G2157" i="13"/>
  <c r="H2157" i="13" s="1"/>
  <c r="J2157" i="13" s="1"/>
  <c r="C2157" i="13"/>
  <c r="F2157" i="13" s="1"/>
  <c r="B2157" i="13"/>
  <c r="G2156" i="13"/>
  <c r="H2156" i="13" s="1"/>
  <c r="J2156" i="13" s="1"/>
  <c r="C2156" i="13"/>
  <c r="F2156" i="13" s="1"/>
  <c r="B2156" i="13"/>
  <c r="G2155" i="13"/>
  <c r="H2155" i="13" s="1"/>
  <c r="J2155" i="13" s="1"/>
  <c r="C2155" i="13"/>
  <c r="F2155" i="13" s="1"/>
  <c r="B2155" i="13"/>
  <c r="G2154" i="13"/>
  <c r="H2154" i="13" s="1"/>
  <c r="J2154" i="13" s="1"/>
  <c r="C2154" i="13"/>
  <c r="F2154" i="13" s="1"/>
  <c r="B2154" i="13"/>
  <c r="G2153" i="13"/>
  <c r="H2153" i="13" s="1"/>
  <c r="J2153" i="13" s="1"/>
  <c r="C2153" i="13"/>
  <c r="F2153" i="13" s="1"/>
  <c r="B2153" i="13"/>
  <c r="G2152" i="13"/>
  <c r="H2152" i="13" s="1"/>
  <c r="J2152" i="13" s="1"/>
  <c r="C2152" i="13"/>
  <c r="F2152" i="13" s="1"/>
  <c r="B2152" i="13"/>
  <c r="G2151" i="13"/>
  <c r="H2151" i="13" s="1"/>
  <c r="J2151" i="13" s="1"/>
  <c r="C2151" i="13"/>
  <c r="F2151" i="13" s="1"/>
  <c r="B2151" i="13"/>
  <c r="G2150" i="13"/>
  <c r="H2150" i="13" s="1"/>
  <c r="J2150" i="13" s="1"/>
  <c r="C2150" i="13"/>
  <c r="F2150" i="13" s="1"/>
  <c r="B2150" i="13"/>
  <c r="G2149" i="13"/>
  <c r="H2149" i="13" s="1"/>
  <c r="J2149" i="13" s="1"/>
  <c r="C2149" i="13"/>
  <c r="F2149" i="13" s="1"/>
  <c r="B2149" i="13"/>
  <c r="G2148" i="13"/>
  <c r="H2148" i="13" s="1"/>
  <c r="J2148" i="13" s="1"/>
  <c r="C2148" i="13"/>
  <c r="F2148" i="13" s="1"/>
  <c r="B2148" i="13"/>
  <c r="G2147" i="13"/>
  <c r="H2147" i="13" s="1"/>
  <c r="J2147" i="13" s="1"/>
  <c r="C2147" i="13"/>
  <c r="F2147" i="13" s="1"/>
  <c r="B2147" i="13"/>
  <c r="G2146" i="13"/>
  <c r="H2146" i="13" s="1"/>
  <c r="J2146" i="13" s="1"/>
  <c r="C2146" i="13"/>
  <c r="F2146" i="13" s="1"/>
  <c r="B2146" i="13"/>
  <c r="G2145" i="13"/>
  <c r="H2145" i="13" s="1"/>
  <c r="J2145" i="13" s="1"/>
  <c r="C2145" i="13"/>
  <c r="F2145" i="13" s="1"/>
  <c r="B2145" i="13"/>
  <c r="G2144" i="13"/>
  <c r="H2144" i="13" s="1"/>
  <c r="J2144" i="13" s="1"/>
  <c r="C2144" i="13"/>
  <c r="F2144" i="13" s="1"/>
  <c r="B2144" i="13"/>
  <c r="G2143" i="13"/>
  <c r="H2143" i="13" s="1"/>
  <c r="J2143" i="13" s="1"/>
  <c r="C2143" i="13"/>
  <c r="F2143" i="13" s="1"/>
  <c r="B2143" i="13"/>
  <c r="G2142" i="13"/>
  <c r="H2142" i="13" s="1"/>
  <c r="J2142" i="13" s="1"/>
  <c r="C2142" i="13"/>
  <c r="F2142" i="13" s="1"/>
  <c r="B2142" i="13"/>
  <c r="G2141" i="13"/>
  <c r="H2141" i="13" s="1"/>
  <c r="J2141" i="13" s="1"/>
  <c r="C2141" i="13"/>
  <c r="F2141" i="13" s="1"/>
  <c r="B2141" i="13"/>
  <c r="G2140" i="13"/>
  <c r="H2140" i="13" s="1"/>
  <c r="J2140" i="13" s="1"/>
  <c r="C2140" i="13"/>
  <c r="F2140" i="13" s="1"/>
  <c r="B2140" i="13"/>
  <c r="G2139" i="13"/>
  <c r="H2139" i="13" s="1"/>
  <c r="J2139" i="13" s="1"/>
  <c r="C2139" i="13"/>
  <c r="F2139" i="13" s="1"/>
  <c r="B2139" i="13"/>
  <c r="G2138" i="13"/>
  <c r="H2138" i="13" s="1"/>
  <c r="J2138" i="13" s="1"/>
  <c r="C2138" i="13"/>
  <c r="F2138" i="13" s="1"/>
  <c r="B2138" i="13"/>
  <c r="G2137" i="13"/>
  <c r="H2137" i="13" s="1"/>
  <c r="J2137" i="13" s="1"/>
  <c r="C2137" i="13"/>
  <c r="F2137" i="13" s="1"/>
  <c r="B2137" i="13"/>
  <c r="G2136" i="13"/>
  <c r="H2136" i="13" s="1"/>
  <c r="J2136" i="13" s="1"/>
  <c r="C2136" i="13"/>
  <c r="F2136" i="13" s="1"/>
  <c r="B2136" i="13"/>
  <c r="G2135" i="13"/>
  <c r="H2135" i="13" s="1"/>
  <c r="J2135" i="13" s="1"/>
  <c r="C2135" i="13"/>
  <c r="F2135" i="13" s="1"/>
  <c r="B2135" i="13"/>
  <c r="G2134" i="13"/>
  <c r="H2134" i="13" s="1"/>
  <c r="J2134" i="13" s="1"/>
  <c r="C2134" i="13"/>
  <c r="F2134" i="13" s="1"/>
  <c r="B2134" i="13"/>
  <c r="G2133" i="13"/>
  <c r="H2133" i="13" s="1"/>
  <c r="J2133" i="13" s="1"/>
  <c r="C2133" i="13"/>
  <c r="F2133" i="13" s="1"/>
  <c r="B2133" i="13"/>
  <c r="G2132" i="13"/>
  <c r="H2132" i="13" s="1"/>
  <c r="J2132" i="13" s="1"/>
  <c r="C2132" i="13"/>
  <c r="F2132" i="13" s="1"/>
  <c r="B2132" i="13"/>
  <c r="G2131" i="13"/>
  <c r="H2131" i="13" s="1"/>
  <c r="J2131" i="13" s="1"/>
  <c r="C2131" i="13"/>
  <c r="F2131" i="13" s="1"/>
  <c r="B2131" i="13"/>
  <c r="G2130" i="13"/>
  <c r="H2130" i="13" s="1"/>
  <c r="J2130" i="13" s="1"/>
  <c r="C2130" i="13"/>
  <c r="F2130" i="13" s="1"/>
  <c r="B2130" i="13"/>
  <c r="G2129" i="13"/>
  <c r="H2129" i="13" s="1"/>
  <c r="J2129" i="13" s="1"/>
  <c r="C2129" i="13"/>
  <c r="F2129" i="13" s="1"/>
  <c r="B2129" i="13"/>
  <c r="G2128" i="13"/>
  <c r="H2128" i="13" s="1"/>
  <c r="J2128" i="13" s="1"/>
  <c r="C2128" i="13"/>
  <c r="F2128" i="13" s="1"/>
  <c r="B2128" i="13"/>
  <c r="G2127" i="13"/>
  <c r="H2127" i="13" s="1"/>
  <c r="J2127" i="13" s="1"/>
  <c r="C2127" i="13"/>
  <c r="F2127" i="13" s="1"/>
  <c r="B2127" i="13"/>
  <c r="G2126" i="13"/>
  <c r="H2126" i="13" s="1"/>
  <c r="J2126" i="13" s="1"/>
  <c r="C2126" i="13"/>
  <c r="F2126" i="13" s="1"/>
  <c r="B2126" i="13"/>
  <c r="G2125" i="13"/>
  <c r="H2125" i="13" s="1"/>
  <c r="J2125" i="13" s="1"/>
  <c r="C2125" i="13"/>
  <c r="F2125" i="13" s="1"/>
  <c r="B2125" i="13"/>
  <c r="G2124" i="13"/>
  <c r="H2124" i="13" s="1"/>
  <c r="J2124" i="13" s="1"/>
  <c r="C2124" i="13"/>
  <c r="F2124" i="13" s="1"/>
  <c r="B2124" i="13"/>
  <c r="G2123" i="13"/>
  <c r="H2123" i="13" s="1"/>
  <c r="J2123" i="13" s="1"/>
  <c r="C2123" i="13"/>
  <c r="F2123" i="13" s="1"/>
  <c r="B2123" i="13"/>
  <c r="G2122" i="13"/>
  <c r="H2122" i="13" s="1"/>
  <c r="J2122" i="13" s="1"/>
  <c r="C2122" i="13"/>
  <c r="F2122" i="13" s="1"/>
  <c r="B2122" i="13"/>
  <c r="G2121" i="13"/>
  <c r="H2121" i="13" s="1"/>
  <c r="C2121" i="13"/>
  <c r="F2121" i="13" s="1"/>
  <c r="B2121" i="13"/>
  <c r="G2120" i="13"/>
  <c r="H2120" i="13" s="1"/>
  <c r="J2120" i="13" s="1"/>
  <c r="C2120" i="13"/>
  <c r="F2120" i="13" s="1"/>
  <c r="B2120" i="13"/>
  <c r="G2119" i="13"/>
  <c r="H2119" i="13" s="1"/>
  <c r="J2119" i="13" s="1"/>
  <c r="C2119" i="13"/>
  <c r="F2119" i="13" s="1"/>
  <c r="B2119" i="13"/>
  <c r="G2118" i="13"/>
  <c r="H2118" i="13" s="1"/>
  <c r="J2118" i="13" s="1"/>
  <c r="C2118" i="13"/>
  <c r="F2118" i="13" s="1"/>
  <c r="B2118" i="13"/>
  <c r="G2117" i="13"/>
  <c r="H2117" i="13" s="1"/>
  <c r="J2117" i="13" s="1"/>
  <c r="C2117" i="13"/>
  <c r="F2117" i="13" s="1"/>
  <c r="B2117" i="13"/>
  <c r="G2116" i="13"/>
  <c r="H2116" i="13" s="1"/>
  <c r="J2116" i="13" s="1"/>
  <c r="C2116" i="13"/>
  <c r="F2116" i="13" s="1"/>
  <c r="B2116" i="13"/>
  <c r="G2115" i="13"/>
  <c r="H2115" i="13" s="1"/>
  <c r="J2115" i="13" s="1"/>
  <c r="C2115" i="13"/>
  <c r="F2115" i="13" s="1"/>
  <c r="B2115" i="13"/>
  <c r="G2114" i="13"/>
  <c r="H2114" i="13" s="1"/>
  <c r="J2114" i="13" s="1"/>
  <c r="C2114" i="13"/>
  <c r="F2114" i="13" s="1"/>
  <c r="B2114" i="13"/>
  <c r="G2113" i="13"/>
  <c r="H2113" i="13" s="1"/>
  <c r="J2113" i="13" s="1"/>
  <c r="C2113" i="13"/>
  <c r="F2113" i="13" s="1"/>
  <c r="B2113" i="13"/>
  <c r="G2112" i="13"/>
  <c r="H2112" i="13" s="1"/>
  <c r="J2112" i="13" s="1"/>
  <c r="C2112" i="13"/>
  <c r="F2112" i="13" s="1"/>
  <c r="B2112" i="13"/>
  <c r="G2111" i="13"/>
  <c r="H2111" i="13" s="1"/>
  <c r="J2111" i="13" s="1"/>
  <c r="C2111" i="13"/>
  <c r="F2111" i="13" s="1"/>
  <c r="B2111" i="13"/>
  <c r="G2110" i="13"/>
  <c r="H2110" i="13" s="1"/>
  <c r="J2110" i="13" s="1"/>
  <c r="C2110" i="13"/>
  <c r="F2110" i="13" s="1"/>
  <c r="B2110" i="13"/>
  <c r="G2109" i="13"/>
  <c r="H2109" i="13" s="1"/>
  <c r="J2109" i="13" s="1"/>
  <c r="C2109" i="13"/>
  <c r="F2109" i="13" s="1"/>
  <c r="B2109" i="13"/>
  <c r="G2108" i="13"/>
  <c r="H2108" i="13" s="1"/>
  <c r="J2108" i="13" s="1"/>
  <c r="C2108" i="13"/>
  <c r="F2108" i="13" s="1"/>
  <c r="B2108" i="13"/>
  <c r="G2107" i="13"/>
  <c r="H2107" i="13" s="1"/>
  <c r="J2107" i="13" s="1"/>
  <c r="C2107" i="13"/>
  <c r="F2107" i="13" s="1"/>
  <c r="B2107" i="13"/>
  <c r="G2106" i="13"/>
  <c r="H2106" i="13" s="1"/>
  <c r="J2106" i="13" s="1"/>
  <c r="C2106" i="13"/>
  <c r="F2106" i="13" s="1"/>
  <c r="B2106" i="13"/>
  <c r="G2105" i="13"/>
  <c r="H2105" i="13" s="1"/>
  <c r="J2105" i="13" s="1"/>
  <c r="C2105" i="13"/>
  <c r="F2105" i="13" s="1"/>
  <c r="B2105" i="13"/>
  <c r="G2104" i="13"/>
  <c r="H2104" i="13" s="1"/>
  <c r="J2104" i="13" s="1"/>
  <c r="C2104" i="13"/>
  <c r="F2104" i="13" s="1"/>
  <c r="B2104" i="13"/>
  <c r="G2103" i="13"/>
  <c r="H2103" i="13" s="1"/>
  <c r="J2103" i="13" s="1"/>
  <c r="C2103" i="13"/>
  <c r="F2103" i="13" s="1"/>
  <c r="B2103" i="13"/>
  <c r="G2102" i="13"/>
  <c r="H2102" i="13" s="1"/>
  <c r="J2102" i="13" s="1"/>
  <c r="C2102" i="13"/>
  <c r="F2102" i="13" s="1"/>
  <c r="B2102" i="13"/>
  <c r="G2101" i="13"/>
  <c r="H2101" i="13" s="1"/>
  <c r="J2101" i="13" s="1"/>
  <c r="C2101" i="13"/>
  <c r="F2101" i="13" s="1"/>
  <c r="B2101" i="13"/>
  <c r="G2100" i="13"/>
  <c r="H2100" i="13" s="1"/>
  <c r="J2100" i="13" s="1"/>
  <c r="C2100" i="13"/>
  <c r="F2100" i="13" s="1"/>
  <c r="B2100" i="13"/>
  <c r="G2099" i="13"/>
  <c r="H2099" i="13" s="1"/>
  <c r="J2099" i="13" s="1"/>
  <c r="C2099" i="13"/>
  <c r="F2099" i="13" s="1"/>
  <c r="B2099" i="13"/>
  <c r="G2098" i="13"/>
  <c r="H2098" i="13" s="1"/>
  <c r="J2098" i="13" s="1"/>
  <c r="C2098" i="13"/>
  <c r="F2098" i="13" s="1"/>
  <c r="B2098" i="13"/>
  <c r="G2097" i="13"/>
  <c r="H2097" i="13" s="1"/>
  <c r="J2097" i="13" s="1"/>
  <c r="C2097" i="13"/>
  <c r="F2097" i="13" s="1"/>
  <c r="B2097" i="13"/>
  <c r="G2096" i="13"/>
  <c r="H2096" i="13" s="1"/>
  <c r="J2096" i="13" s="1"/>
  <c r="C2096" i="13"/>
  <c r="F2096" i="13" s="1"/>
  <c r="B2096" i="13"/>
  <c r="G2095" i="13"/>
  <c r="H2095" i="13" s="1"/>
  <c r="J2095" i="13" s="1"/>
  <c r="C2095" i="13"/>
  <c r="F2095" i="13" s="1"/>
  <c r="B2095" i="13"/>
  <c r="G2094" i="13"/>
  <c r="H2094" i="13" s="1"/>
  <c r="J2094" i="13" s="1"/>
  <c r="C2094" i="13"/>
  <c r="F2094" i="13" s="1"/>
  <c r="B2094" i="13"/>
  <c r="G2093" i="13"/>
  <c r="H2093" i="13" s="1"/>
  <c r="J2093" i="13" s="1"/>
  <c r="C2093" i="13"/>
  <c r="F2093" i="13" s="1"/>
  <c r="B2093" i="13"/>
  <c r="G2092" i="13"/>
  <c r="H2092" i="13" s="1"/>
  <c r="J2092" i="13" s="1"/>
  <c r="C2092" i="13"/>
  <c r="F2092" i="13" s="1"/>
  <c r="B2092" i="13"/>
  <c r="G2091" i="13"/>
  <c r="H2091" i="13" s="1"/>
  <c r="J2091" i="13" s="1"/>
  <c r="C2091" i="13"/>
  <c r="F2091" i="13" s="1"/>
  <c r="B2091" i="13"/>
  <c r="G2090" i="13"/>
  <c r="H2090" i="13" s="1"/>
  <c r="J2090" i="13" s="1"/>
  <c r="C2090" i="13"/>
  <c r="F2090" i="13" s="1"/>
  <c r="B2090" i="13"/>
  <c r="G2089" i="13"/>
  <c r="H2089" i="13" s="1"/>
  <c r="J2089" i="13" s="1"/>
  <c r="C2089" i="13"/>
  <c r="F2089" i="13" s="1"/>
  <c r="B2089" i="13"/>
  <c r="G2088" i="13"/>
  <c r="H2088" i="13" s="1"/>
  <c r="J2088" i="13" s="1"/>
  <c r="C2088" i="13"/>
  <c r="F2088" i="13" s="1"/>
  <c r="B2088" i="13"/>
  <c r="G2087" i="13"/>
  <c r="H2087" i="13" s="1"/>
  <c r="J2087" i="13" s="1"/>
  <c r="C2087" i="13"/>
  <c r="F2087" i="13" s="1"/>
  <c r="B2087" i="13"/>
  <c r="G2086" i="13"/>
  <c r="H2086" i="13" s="1"/>
  <c r="J2086" i="13" s="1"/>
  <c r="C2086" i="13"/>
  <c r="F2086" i="13" s="1"/>
  <c r="B2086" i="13"/>
  <c r="G2085" i="13"/>
  <c r="H2085" i="13" s="1"/>
  <c r="J2085" i="13" s="1"/>
  <c r="C2085" i="13"/>
  <c r="F2085" i="13" s="1"/>
  <c r="B2085" i="13"/>
  <c r="G2084" i="13"/>
  <c r="H2084" i="13" s="1"/>
  <c r="J2084" i="13" s="1"/>
  <c r="C2084" i="13"/>
  <c r="F2084" i="13" s="1"/>
  <c r="B2084" i="13"/>
  <c r="G2083" i="13"/>
  <c r="H2083" i="13" s="1"/>
  <c r="J2083" i="13" s="1"/>
  <c r="C2083" i="13"/>
  <c r="F2083" i="13" s="1"/>
  <c r="B2083" i="13"/>
  <c r="G2082" i="13"/>
  <c r="H2082" i="13" s="1"/>
  <c r="J2082" i="13" s="1"/>
  <c r="C2082" i="13"/>
  <c r="F2082" i="13" s="1"/>
  <c r="B2082" i="13"/>
  <c r="G2081" i="13"/>
  <c r="H2081" i="13" s="1"/>
  <c r="J2081" i="13" s="1"/>
  <c r="C2081" i="13"/>
  <c r="F2081" i="13" s="1"/>
  <c r="B2081" i="13"/>
  <c r="G2080" i="13"/>
  <c r="H2080" i="13" s="1"/>
  <c r="J2080" i="13" s="1"/>
  <c r="C2080" i="13"/>
  <c r="F2080" i="13" s="1"/>
  <c r="B2080" i="13"/>
  <c r="G2079" i="13"/>
  <c r="H2079" i="13" s="1"/>
  <c r="J2079" i="13" s="1"/>
  <c r="C2079" i="13"/>
  <c r="F2079" i="13" s="1"/>
  <c r="B2079" i="13"/>
  <c r="G2078" i="13"/>
  <c r="H2078" i="13" s="1"/>
  <c r="J2078" i="13" s="1"/>
  <c r="C2078" i="13"/>
  <c r="F2078" i="13" s="1"/>
  <c r="B2078" i="13"/>
  <c r="G2077" i="13"/>
  <c r="H2077" i="13" s="1"/>
  <c r="J2077" i="13" s="1"/>
  <c r="C2077" i="13"/>
  <c r="F2077" i="13" s="1"/>
  <c r="B2077" i="13"/>
  <c r="G2076" i="13"/>
  <c r="H2076" i="13" s="1"/>
  <c r="J2076" i="13" s="1"/>
  <c r="C2076" i="13"/>
  <c r="F2076" i="13" s="1"/>
  <c r="B2076" i="13"/>
  <c r="G2075" i="13"/>
  <c r="H2075" i="13" s="1"/>
  <c r="J2075" i="13" s="1"/>
  <c r="C2075" i="13"/>
  <c r="F2075" i="13" s="1"/>
  <c r="B2075" i="13"/>
  <c r="G2074" i="13"/>
  <c r="H2074" i="13" s="1"/>
  <c r="J2074" i="13" s="1"/>
  <c r="C2074" i="13"/>
  <c r="F2074" i="13" s="1"/>
  <c r="B2074" i="13"/>
  <c r="G2073" i="13"/>
  <c r="H2073" i="13" s="1"/>
  <c r="J2073" i="13" s="1"/>
  <c r="C2073" i="13"/>
  <c r="F2073" i="13" s="1"/>
  <c r="B2073" i="13"/>
  <c r="G2072" i="13"/>
  <c r="H2072" i="13" s="1"/>
  <c r="J2072" i="13" s="1"/>
  <c r="C2072" i="13"/>
  <c r="F2072" i="13" s="1"/>
  <c r="B2072" i="13"/>
  <c r="G2071" i="13"/>
  <c r="H2071" i="13" s="1"/>
  <c r="J2071" i="13" s="1"/>
  <c r="C2071" i="13"/>
  <c r="F2071" i="13" s="1"/>
  <c r="B2071" i="13"/>
  <c r="G2070" i="13"/>
  <c r="H2070" i="13" s="1"/>
  <c r="J2070" i="13" s="1"/>
  <c r="C2070" i="13"/>
  <c r="F2070" i="13" s="1"/>
  <c r="B2070" i="13"/>
  <c r="G2069" i="13"/>
  <c r="H2069" i="13" s="1"/>
  <c r="J2069" i="13" s="1"/>
  <c r="C2069" i="13"/>
  <c r="F2069" i="13" s="1"/>
  <c r="B2069" i="13"/>
  <c r="G2068" i="13"/>
  <c r="H2068" i="13" s="1"/>
  <c r="J2068" i="13" s="1"/>
  <c r="C2068" i="13"/>
  <c r="F2068" i="13" s="1"/>
  <c r="B2068" i="13"/>
  <c r="G2067" i="13"/>
  <c r="H2067" i="13" s="1"/>
  <c r="J2067" i="13" s="1"/>
  <c r="C2067" i="13"/>
  <c r="F2067" i="13" s="1"/>
  <c r="B2067" i="13"/>
  <c r="G2066" i="13"/>
  <c r="H2066" i="13" s="1"/>
  <c r="J2066" i="13" s="1"/>
  <c r="C2066" i="13"/>
  <c r="F2066" i="13" s="1"/>
  <c r="B2066" i="13"/>
  <c r="G2065" i="13"/>
  <c r="H2065" i="13" s="1"/>
  <c r="J2065" i="13" s="1"/>
  <c r="C2065" i="13"/>
  <c r="F2065" i="13" s="1"/>
  <c r="B2065" i="13"/>
  <c r="G2064" i="13"/>
  <c r="H2064" i="13" s="1"/>
  <c r="J2064" i="13" s="1"/>
  <c r="C2064" i="13"/>
  <c r="F2064" i="13" s="1"/>
  <c r="B2064" i="13"/>
  <c r="G2063" i="13"/>
  <c r="H2063" i="13" s="1"/>
  <c r="J2063" i="13" s="1"/>
  <c r="C2063" i="13"/>
  <c r="F2063" i="13" s="1"/>
  <c r="B2063" i="13"/>
  <c r="G2062" i="13"/>
  <c r="H2062" i="13" s="1"/>
  <c r="J2062" i="13" s="1"/>
  <c r="C2062" i="13"/>
  <c r="F2062" i="13" s="1"/>
  <c r="B2062" i="13"/>
  <c r="G2061" i="13"/>
  <c r="H2061" i="13" s="1"/>
  <c r="J2061" i="13" s="1"/>
  <c r="C2061" i="13"/>
  <c r="F2061" i="13" s="1"/>
  <c r="B2061" i="13"/>
  <c r="G2060" i="13"/>
  <c r="H2060" i="13" s="1"/>
  <c r="J2060" i="13" s="1"/>
  <c r="C2060" i="13"/>
  <c r="F2060" i="13" s="1"/>
  <c r="B2060" i="13"/>
  <c r="G2059" i="13"/>
  <c r="H2059" i="13" s="1"/>
  <c r="J2059" i="13" s="1"/>
  <c r="C2059" i="13"/>
  <c r="F2059" i="13" s="1"/>
  <c r="B2059" i="13"/>
  <c r="G2058" i="13"/>
  <c r="H2058" i="13" s="1"/>
  <c r="J2058" i="13" s="1"/>
  <c r="C2058" i="13"/>
  <c r="F2058" i="13" s="1"/>
  <c r="B2058" i="13"/>
  <c r="G2057" i="13"/>
  <c r="H2057" i="13" s="1"/>
  <c r="J2057" i="13" s="1"/>
  <c r="C2057" i="13"/>
  <c r="F2057" i="13" s="1"/>
  <c r="B2057" i="13"/>
  <c r="G2056" i="13"/>
  <c r="H2056" i="13" s="1"/>
  <c r="J2056" i="13" s="1"/>
  <c r="C2056" i="13"/>
  <c r="F2056" i="13" s="1"/>
  <c r="B2056" i="13"/>
  <c r="G2055" i="13"/>
  <c r="H2055" i="13" s="1"/>
  <c r="J2055" i="13" s="1"/>
  <c r="C2055" i="13"/>
  <c r="F2055" i="13" s="1"/>
  <c r="B2055" i="13"/>
  <c r="G2054" i="13"/>
  <c r="H2054" i="13" s="1"/>
  <c r="J2054" i="13" s="1"/>
  <c r="C2054" i="13"/>
  <c r="F2054" i="13" s="1"/>
  <c r="B2054" i="13"/>
  <c r="G2053" i="13"/>
  <c r="H2053" i="13" s="1"/>
  <c r="J2053" i="13" s="1"/>
  <c r="C2053" i="13"/>
  <c r="F2053" i="13" s="1"/>
  <c r="B2053" i="13"/>
  <c r="G2052" i="13"/>
  <c r="H2052" i="13" s="1"/>
  <c r="J2052" i="13" s="1"/>
  <c r="C2052" i="13"/>
  <c r="F2052" i="13" s="1"/>
  <c r="B2052" i="13"/>
  <c r="G2051" i="13"/>
  <c r="H2051" i="13" s="1"/>
  <c r="J2051" i="13" s="1"/>
  <c r="C2051" i="13"/>
  <c r="F2051" i="13" s="1"/>
  <c r="B2051" i="13"/>
  <c r="G2050" i="13"/>
  <c r="H2050" i="13" s="1"/>
  <c r="J2050" i="13" s="1"/>
  <c r="C2050" i="13"/>
  <c r="F2050" i="13" s="1"/>
  <c r="B2050" i="13"/>
  <c r="G2049" i="13"/>
  <c r="H2049" i="13" s="1"/>
  <c r="J2049" i="13" s="1"/>
  <c r="C2049" i="13"/>
  <c r="F2049" i="13" s="1"/>
  <c r="B2049" i="13"/>
  <c r="G2048" i="13"/>
  <c r="H2048" i="13" s="1"/>
  <c r="J2048" i="13" s="1"/>
  <c r="C2048" i="13"/>
  <c r="F2048" i="13" s="1"/>
  <c r="B2048" i="13"/>
  <c r="G2047" i="13"/>
  <c r="H2047" i="13" s="1"/>
  <c r="J2047" i="13" s="1"/>
  <c r="C2047" i="13"/>
  <c r="F2047" i="13" s="1"/>
  <c r="B2047" i="13"/>
  <c r="G2046" i="13"/>
  <c r="H2046" i="13" s="1"/>
  <c r="J2046" i="13" s="1"/>
  <c r="C2046" i="13"/>
  <c r="F2046" i="13" s="1"/>
  <c r="B2046" i="13"/>
  <c r="G2045" i="13"/>
  <c r="H2045" i="13" s="1"/>
  <c r="J2045" i="13" s="1"/>
  <c r="C2045" i="13"/>
  <c r="F2045" i="13" s="1"/>
  <c r="B2045" i="13"/>
  <c r="G2044" i="13"/>
  <c r="H2044" i="13" s="1"/>
  <c r="J2044" i="13" s="1"/>
  <c r="C2044" i="13"/>
  <c r="F2044" i="13" s="1"/>
  <c r="B2044" i="13"/>
  <c r="G2043" i="13"/>
  <c r="H2043" i="13" s="1"/>
  <c r="J2043" i="13" s="1"/>
  <c r="C2043" i="13"/>
  <c r="F2043" i="13" s="1"/>
  <c r="B2043" i="13"/>
  <c r="G2042" i="13"/>
  <c r="H2042" i="13" s="1"/>
  <c r="J2042" i="13" s="1"/>
  <c r="C2042" i="13"/>
  <c r="F2042" i="13" s="1"/>
  <c r="B2042" i="13"/>
  <c r="G2041" i="13"/>
  <c r="H2041" i="13" s="1"/>
  <c r="J2041" i="13" s="1"/>
  <c r="C2041" i="13"/>
  <c r="F2041" i="13" s="1"/>
  <c r="B2041" i="13"/>
  <c r="G2040" i="13"/>
  <c r="H2040" i="13" s="1"/>
  <c r="J2040" i="13" s="1"/>
  <c r="C2040" i="13"/>
  <c r="F2040" i="13" s="1"/>
  <c r="B2040" i="13"/>
  <c r="G2039" i="13"/>
  <c r="H2039" i="13" s="1"/>
  <c r="J2039" i="13" s="1"/>
  <c r="C2039" i="13"/>
  <c r="F2039" i="13" s="1"/>
  <c r="B2039" i="13"/>
  <c r="G2038" i="13"/>
  <c r="H2038" i="13" s="1"/>
  <c r="J2038" i="13" s="1"/>
  <c r="C2038" i="13"/>
  <c r="F2038" i="13" s="1"/>
  <c r="B2038" i="13"/>
  <c r="G2037" i="13"/>
  <c r="H2037" i="13" s="1"/>
  <c r="J2037" i="13" s="1"/>
  <c r="C2037" i="13"/>
  <c r="F2037" i="13" s="1"/>
  <c r="B2037" i="13"/>
  <c r="G2036" i="13"/>
  <c r="H2036" i="13" s="1"/>
  <c r="J2036" i="13" s="1"/>
  <c r="C2036" i="13"/>
  <c r="F2036" i="13" s="1"/>
  <c r="B2036" i="13"/>
  <c r="G2035" i="13"/>
  <c r="H2035" i="13" s="1"/>
  <c r="J2035" i="13" s="1"/>
  <c r="C2035" i="13"/>
  <c r="F2035" i="13" s="1"/>
  <c r="B2035" i="13"/>
  <c r="G2034" i="13"/>
  <c r="H2034" i="13" s="1"/>
  <c r="J2034" i="13" s="1"/>
  <c r="C2034" i="13"/>
  <c r="F2034" i="13" s="1"/>
  <c r="B2034" i="13"/>
  <c r="G2033" i="13"/>
  <c r="H2033" i="13" s="1"/>
  <c r="J2033" i="13" s="1"/>
  <c r="C2033" i="13"/>
  <c r="F2033" i="13" s="1"/>
  <c r="B2033" i="13"/>
  <c r="G2032" i="13"/>
  <c r="H2032" i="13" s="1"/>
  <c r="J2032" i="13" s="1"/>
  <c r="C2032" i="13"/>
  <c r="F2032" i="13" s="1"/>
  <c r="B2032" i="13"/>
  <c r="G2031" i="13"/>
  <c r="H2031" i="13" s="1"/>
  <c r="J2031" i="13" s="1"/>
  <c r="C2031" i="13"/>
  <c r="F2031" i="13" s="1"/>
  <c r="B2031" i="13"/>
  <c r="G2030" i="13"/>
  <c r="H2030" i="13" s="1"/>
  <c r="J2030" i="13" s="1"/>
  <c r="C2030" i="13"/>
  <c r="F2030" i="13" s="1"/>
  <c r="B2030" i="13"/>
  <c r="G2029" i="13"/>
  <c r="H2029" i="13" s="1"/>
  <c r="J2029" i="13" s="1"/>
  <c r="C2029" i="13"/>
  <c r="F2029" i="13" s="1"/>
  <c r="B2029" i="13"/>
  <c r="G2028" i="13"/>
  <c r="H2028" i="13" s="1"/>
  <c r="J2028" i="13" s="1"/>
  <c r="C2028" i="13"/>
  <c r="F2028" i="13" s="1"/>
  <c r="B2028" i="13"/>
  <c r="G2027" i="13"/>
  <c r="H2027" i="13" s="1"/>
  <c r="J2027" i="13" s="1"/>
  <c r="C2027" i="13"/>
  <c r="F2027" i="13" s="1"/>
  <c r="B2027" i="13"/>
  <c r="G2026" i="13"/>
  <c r="H2026" i="13" s="1"/>
  <c r="J2026" i="13" s="1"/>
  <c r="C2026" i="13"/>
  <c r="F2026" i="13" s="1"/>
  <c r="B2026" i="13"/>
  <c r="G2025" i="13"/>
  <c r="H2025" i="13" s="1"/>
  <c r="J2025" i="13" s="1"/>
  <c r="C2025" i="13"/>
  <c r="F2025" i="13" s="1"/>
  <c r="B2025" i="13"/>
  <c r="G2024" i="13"/>
  <c r="H2024" i="13" s="1"/>
  <c r="J2024" i="13" s="1"/>
  <c r="C2024" i="13"/>
  <c r="F2024" i="13" s="1"/>
  <c r="B2024" i="13"/>
  <c r="G2023" i="13"/>
  <c r="H2023" i="13" s="1"/>
  <c r="J2023" i="13" s="1"/>
  <c r="C2023" i="13"/>
  <c r="F2023" i="13" s="1"/>
  <c r="B2023" i="13"/>
  <c r="G2022" i="13"/>
  <c r="H2022" i="13" s="1"/>
  <c r="J2022" i="13" s="1"/>
  <c r="C2022" i="13"/>
  <c r="F2022" i="13" s="1"/>
  <c r="B2022" i="13"/>
  <c r="G2021" i="13"/>
  <c r="H2021" i="13" s="1"/>
  <c r="J2021" i="13" s="1"/>
  <c r="C2021" i="13"/>
  <c r="F2021" i="13" s="1"/>
  <c r="B2021" i="13"/>
  <c r="G2020" i="13"/>
  <c r="H2020" i="13" s="1"/>
  <c r="J2020" i="13" s="1"/>
  <c r="C2020" i="13"/>
  <c r="F2020" i="13" s="1"/>
  <c r="B2020" i="13"/>
  <c r="G2019" i="13"/>
  <c r="H2019" i="13" s="1"/>
  <c r="J2019" i="13" s="1"/>
  <c r="C2019" i="13"/>
  <c r="F2019" i="13" s="1"/>
  <c r="B2019" i="13"/>
  <c r="G2018" i="13"/>
  <c r="H2018" i="13" s="1"/>
  <c r="J2018" i="13" s="1"/>
  <c r="C2018" i="13"/>
  <c r="F2018" i="13" s="1"/>
  <c r="B2018" i="13"/>
  <c r="G2017" i="13"/>
  <c r="H2017" i="13" s="1"/>
  <c r="J2017" i="13" s="1"/>
  <c r="C2017" i="13"/>
  <c r="F2017" i="13" s="1"/>
  <c r="B2017" i="13"/>
  <c r="G2016" i="13"/>
  <c r="H2016" i="13" s="1"/>
  <c r="J2016" i="13" s="1"/>
  <c r="C2016" i="13"/>
  <c r="F2016" i="13" s="1"/>
  <c r="B2016" i="13"/>
  <c r="G2015" i="13"/>
  <c r="H2015" i="13" s="1"/>
  <c r="J2015" i="13" s="1"/>
  <c r="C2015" i="13"/>
  <c r="F2015" i="13" s="1"/>
  <c r="B2015" i="13"/>
  <c r="G2014" i="13"/>
  <c r="H2014" i="13" s="1"/>
  <c r="J2014" i="13" s="1"/>
  <c r="C2014" i="13"/>
  <c r="F2014" i="13" s="1"/>
  <c r="B2014" i="13"/>
  <c r="G2013" i="13"/>
  <c r="H2013" i="13" s="1"/>
  <c r="J2013" i="13" s="1"/>
  <c r="C2013" i="13"/>
  <c r="F2013" i="13" s="1"/>
  <c r="B2013" i="13"/>
  <c r="G2012" i="13"/>
  <c r="H2012" i="13" s="1"/>
  <c r="J2012" i="13" s="1"/>
  <c r="C2012" i="13"/>
  <c r="F2012" i="13" s="1"/>
  <c r="B2012" i="13"/>
  <c r="G2011" i="13"/>
  <c r="H2011" i="13" s="1"/>
  <c r="J2011" i="13" s="1"/>
  <c r="C2011" i="13"/>
  <c r="F2011" i="13" s="1"/>
  <c r="B2011" i="13"/>
  <c r="G2010" i="13"/>
  <c r="H2010" i="13" s="1"/>
  <c r="J2010" i="13" s="1"/>
  <c r="C2010" i="13"/>
  <c r="F2010" i="13" s="1"/>
  <c r="B2010" i="13"/>
  <c r="G2009" i="13"/>
  <c r="H2009" i="13" s="1"/>
  <c r="J2009" i="13" s="1"/>
  <c r="C2009" i="13"/>
  <c r="F2009" i="13" s="1"/>
  <c r="B2009" i="13"/>
  <c r="G2008" i="13"/>
  <c r="H2008" i="13" s="1"/>
  <c r="J2008" i="13" s="1"/>
  <c r="C2008" i="13"/>
  <c r="F2008" i="13" s="1"/>
  <c r="B2008" i="13"/>
  <c r="G2007" i="13"/>
  <c r="H2007" i="13" s="1"/>
  <c r="J2007" i="13" s="1"/>
  <c r="C2007" i="13"/>
  <c r="F2007" i="13" s="1"/>
  <c r="B2007" i="13"/>
  <c r="G2006" i="13"/>
  <c r="H2006" i="13" s="1"/>
  <c r="J2006" i="13" s="1"/>
  <c r="C2006" i="13"/>
  <c r="F2006" i="13" s="1"/>
  <c r="B2006" i="13"/>
  <c r="G2005" i="13"/>
  <c r="H2005" i="13" s="1"/>
  <c r="J2005" i="13" s="1"/>
  <c r="C2005" i="13"/>
  <c r="F2005" i="13" s="1"/>
  <c r="B2005" i="13"/>
  <c r="G2004" i="13"/>
  <c r="H2004" i="13" s="1"/>
  <c r="J2004" i="13" s="1"/>
  <c r="C2004" i="13"/>
  <c r="F2004" i="13" s="1"/>
  <c r="B2004" i="13"/>
  <c r="G2003" i="13"/>
  <c r="H2003" i="13" s="1"/>
  <c r="J2003" i="13" s="1"/>
  <c r="C2003" i="13"/>
  <c r="F2003" i="13" s="1"/>
  <c r="B2003" i="13"/>
  <c r="G2002" i="13"/>
  <c r="H2002" i="13" s="1"/>
  <c r="C2002" i="13"/>
  <c r="F2002" i="13" s="1"/>
  <c r="B2002" i="13"/>
  <c r="G2001" i="13"/>
  <c r="H2001" i="13" s="1"/>
  <c r="J2001" i="13" s="1"/>
  <c r="C2001" i="13"/>
  <c r="F2001" i="13" s="1"/>
  <c r="B2001" i="13"/>
  <c r="G2000" i="13"/>
  <c r="H2000" i="13" s="1"/>
  <c r="J2000" i="13" s="1"/>
  <c r="C2000" i="13"/>
  <c r="F2000" i="13" s="1"/>
  <c r="B2000" i="13"/>
  <c r="G1999" i="13"/>
  <c r="H1999" i="13" s="1"/>
  <c r="J1999" i="13" s="1"/>
  <c r="C1999" i="13"/>
  <c r="F1999" i="13" s="1"/>
  <c r="B1999" i="13"/>
  <c r="G1998" i="13"/>
  <c r="H1998" i="13" s="1"/>
  <c r="J1998" i="13" s="1"/>
  <c r="C1998" i="13"/>
  <c r="F1998" i="13" s="1"/>
  <c r="B1998" i="13"/>
  <c r="G1997" i="13"/>
  <c r="H1997" i="13" s="1"/>
  <c r="J1997" i="13" s="1"/>
  <c r="C1997" i="13"/>
  <c r="F1997" i="13" s="1"/>
  <c r="B1997" i="13"/>
  <c r="G1996" i="13"/>
  <c r="H1996" i="13" s="1"/>
  <c r="J1996" i="13" s="1"/>
  <c r="C1996" i="13"/>
  <c r="F1996" i="13" s="1"/>
  <c r="B1996" i="13"/>
  <c r="G1995" i="13"/>
  <c r="H1995" i="13" s="1"/>
  <c r="J1995" i="13" s="1"/>
  <c r="C1995" i="13"/>
  <c r="F1995" i="13" s="1"/>
  <c r="B1995" i="13"/>
  <c r="G1994" i="13"/>
  <c r="H1994" i="13" s="1"/>
  <c r="J1994" i="13" s="1"/>
  <c r="C1994" i="13"/>
  <c r="F1994" i="13" s="1"/>
  <c r="B1994" i="13"/>
  <c r="G1993" i="13"/>
  <c r="H1993" i="13" s="1"/>
  <c r="J1993" i="13" s="1"/>
  <c r="C1993" i="13"/>
  <c r="F1993" i="13" s="1"/>
  <c r="B1993" i="13"/>
  <c r="G1992" i="13"/>
  <c r="H1992" i="13" s="1"/>
  <c r="J1992" i="13" s="1"/>
  <c r="C1992" i="13"/>
  <c r="F1992" i="13" s="1"/>
  <c r="B1992" i="13"/>
  <c r="G1991" i="13"/>
  <c r="H1991" i="13" s="1"/>
  <c r="J1991" i="13" s="1"/>
  <c r="C1991" i="13"/>
  <c r="F1991" i="13" s="1"/>
  <c r="B1991" i="13"/>
  <c r="G1990" i="13"/>
  <c r="H1990" i="13" s="1"/>
  <c r="C1990" i="13"/>
  <c r="F1990" i="13" s="1"/>
  <c r="B1990" i="13"/>
  <c r="G1989" i="13"/>
  <c r="H1989" i="13" s="1"/>
  <c r="J1989" i="13" s="1"/>
  <c r="C1989" i="13"/>
  <c r="F1989" i="13" s="1"/>
  <c r="B1989" i="13"/>
  <c r="G1988" i="13"/>
  <c r="H1988" i="13" s="1"/>
  <c r="J1988" i="13" s="1"/>
  <c r="C1988" i="13"/>
  <c r="F1988" i="13" s="1"/>
  <c r="B1988" i="13"/>
  <c r="G1987" i="13"/>
  <c r="H1987" i="13" s="1"/>
  <c r="J1987" i="13" s="1"/>
  <c r="C1987" i="13"/>
  <c r="F1987" i="13" s="1"/>
  <c r="B1987" i="13"/>
  <c r="G1986" i="13"/>
  <c r="H1986" i="13" s="1"/>
  <c r="J1986" i="13" s="1"/>
  <c r="C1986" i="13"/>
  <c r="F1986" i="13" s="1"/>
  <c r="B1986" i="13"/>
  <c r="G1985" i="13"/>
  <c r="H1985" i="13" s="1"/>
  <c r="J1985" i="13" s="1"/>
  <c r="C1985" i="13"/>
  <c r="F1985" i="13" s="1"/>
  <c r="B1985" i="13"/>
  <c r="G1984" i="13"/>
  <c r="H1984" i="13" s="1"/>
  <c r="J1984" i="13" s="1"/>
  <c r="C1984" i="13"/>
  <c r="F1984" i="13" s="1"/>
  <c r="B1984" i="13"/>
  <c r="G1983" i="13"/>
  <c r="H1983" i="13" s="1"/>
  <c r="J1983" i="13" s="1"/>
  <c r="C1983" i="13"/>
  <c r="F1983" i="13" s="1"/>
  <c r="B1983" i="13"/>
  <c r="G1982" i="13"/>
  <c r="H1982" i="13" s="1"/>
  <c r="J1982" i="13" s="1"/>
  <c r="C1982" i="13"/>
  <c r="F1982" i="13" s="1"/>
  <c r="B1982" i="13"/>
  <c r="G1981" i="13"/>
  <c r="H1981" i="13" s="1"/>
  <c r="J1981" i="13" s="1"/>
  <c r="C1981" i="13"/>
  <c r="F1981" i="13" s="1"/>
  <c r="B1981" i="13"/>
  <c r="G1980" i="13"/>
  <c r="H1980" i="13" s="1"/>
  <c r="J1980" i="13" s="1"/>
  <c r="C1980" i="13"/>
  <c r="F1980" i="13" s="1"/>
  <c r="B1980" i="13"/>
  <c r="G1979" i="13"/>
  <c r="H1979" i="13" s="1"/>
  <c r="J1979" i="13" s="1"/>
  <c r="C1979" i="13"/>
  <c r="F1979" i="13" s="1"/>
  <c r="B1979" i="13"/>
  <c r="G1978" i="13"/>
  <c r="H1978" i="13" s="1"/>
  <c r="C1978" i="13"/>
  <c r="F1978" i="13" s="1"/>
  <c r="B1978" i="13"/>
  <c r="G1977" i="13"/>
  <c r="H1977" i="13" s="1"/>
  <c r="J1977" i="13" s="1"/>
  <c r="C1977" i="13"/>
  <c r="F1977" i="13" s="1"/>
  <c r="B1977" i="13"/>
  <c r="G1976" i="13"/>
  <c r="H1976" i="13" s="1"/>
  <c r="J1976" i="13" s="1"/>
  <c r="C1976" i="13"/>
  <c r="F1976" i="13" s="1"/>
  <c r="B1976" i="13"/>
  <c r="G1975" i="13"/>
  <c r="H1975" i="13" s="1"/>
  <c r="J1975" i="13" s="1"/>
  <c r="C1975" i="13"/>
  <c r="F1975" i="13" s="1"/>
  <c r="B1975" i="13"/>
  <c r="G1974" i="13"/>
  <c r="H1974" i="13" s="1"/>
  <c r="J1974" i="13" s="1"/>
  <c r="C1974" i="13"/>
  <c r="F1974" i="13" s="1"/>
  <c r="B1974" i="13"/>
  <c r="G1973" i="13"/>
  <c r="H1973" i="13" s="1"/>
  <c r="J1973" i="13" s="1"/>
  <c r="C1973" i="13"/>
  <c r="F1973" i="13" s="1"/>
  <c r="B1973" i="13"/>
  <c r="G1972" i="13"/>
  <c r="H1972" i="13" s="1"/>
  <c r="J1972" i="13" s="1"/>
  <c r="C1972" i="13"/>
  <c r="F1972" i="13" s="1"/>
  <c r="B1972" i="13"/>
  <c r="G1971" i="13"/>
  <c r="H1971" i="13" s="1"/>
  <c r="J1971" i="13" s="1"/>
  <c r="C1971" i="13"/>
  <c r="F1971" i="13" s="1"/>
  <c r="B1971" i="13"/>
  <c r="G1970" i="13"/>
  <c r="H1970" i="13" s="1"/>
  <c r="J1970" i="13" s="1"/>
  <c r="C1970" i="13"/>
  <c r="F1970" i="13" s="1"/>
  <c r="B1970" i="13"/>
  <c r="G1969" i="13"/>
  <c r="H1969" i="13" s="1"/>
  <c r="J1969" i="13" s="1"/>
  <c r="C1969" i="13"/>
  <c r="F1969" i="13" s="1"/>
  <c r="B1969" i="13"/>
  <c r="G1968" i="13"/>
  <c r="H1968" i="13" s="1"/>
  <c r="J1968" i="13" s="1"/>
  <c r="C1968" i="13"/>
  <c r="F1968" i="13" s="1"/>
  <c r="B1968" i="13"/>
  <c r="G1967" i="13"/>
  <c r="H1967" i="13" s="1"/>
  <c r="J1967" i="13" s="1"/>
  <c r="C1967" i="13"/>
  <c r="F1967" i="13" s="1"/>
  <c r="B1967" i="13"/>
  <c r="G1966" i="13"/>
  <c r="H1966" i="13" s="1"/>
  <c r="C1966" i="13"/>
  <c r="F1966" i="13" s="1"/>
  <c r="B1966" i="13"/>
  <c r="G1965" i="13"/>
  <c r="H1965" i="13" s="1"/>
  <c r="J1965" i="13" s="1"/>
  <c r="C1965" i="13"/>
  <c r="F1965" i="13" s="1"/>
  <c r="B1965" i="13"/>
  <c r="G1964" i="13"/>
  <c r="H1964" i="13" s="1"/>
  <c r="J1964" i="13" s="1"/>
  <c r="C1964" i="13"/>
  <c r="F1964" i="13" s="1"/>
  <c r="B1964" i="13"/>
  <c r="G1963" i="13"/>
  <c r="H1963" i="13" s="1"/>
  <c r="J1963" i="13" s="1"/>
  <c r="C1963" i="13"/>
  <c r="F1963" i="13" s="1"/>
  <c r="B1963" i="13"/>
  <c r="G1962" i="13"/>
  <c r="H1962" i="13" s="1"/>
  <c r="J1962" i="13" s="1"/>
  <c r="C1962" i="13"/>
  <c r="F1962" i="13" s="1"/>
  <c r="B1962" i="13"/>
  <c r="G1961" i="13"/>
  <c r="H1961" i="13" s="1"/>
  <c r="J1961" i="13" s="1"/>
  <c r="C1961" i="13"/>
  <c r="F1961" i="13" s="1"/>
  <c r="B1961" i="13"/>
  <c r="G1960" i="13"/>
  <c r="H1960" i="13" s="1"/>
  <c r="J1960" i="13" s="1"/>
  <c r="C1960" i="13"/>
  <c r="F1960" i="13" s="1"/>
  <c r="B1960" i="13"/>
  <c r="G1959" i="13"/>
  <c r="H1959" i="13" s="1"/>
  <c r="J1959" i="13" s="1"/>
  <c r="C1959" i="13"/>
  <c r="F1959" i="13" s="1"/>
  <c r="B1959" i="13"/>
  <c r="G1958" i="13"/>
  <c r="H1958" i="13" s="1"/>
  <c r="J1958" i="13" s="1"/>
  <c r="C1958" i="13"/>
  <c r="F1958" i="13" s="1"/>
  <c r="B1958" i="13"/>
  <c r="G1957" i="13"/>
  <c r="H1957" i="13" s="1"/>
  <c r="J1957" i="13" s="1"/>
  <c r="C1957" i="13"/>
  <c r="F1957" i="13" s="1"/>
  <c r="B1957" i="13"/>
  <c r="G1956" i="13"/>
  <c r="H1956" i="13" s="1"/>
  <c r="J1956" i="13" s="1"/>
  <c r="C1956" i="13"/>
  <c r="F1956" i="13" s="1"/>
  <c r="B1956" i="13"/>
  <c r="G1955" i="13"/>
  <c r="H1955" i="13" s="1"/>
  <c r="J1955" i="13" s="1"/>
  <c r="C1955" i="13"/>
  <c r="F1955" i="13" s="1"/>
  <c r="B1955" i="13"/>
  <c r="G1954" i="13"/>
  <c r="H1954" i="13" s="1"/>
  <c r="C1954" i="13"/>
  <c r="F1954" i="13" s="1"/>
  <c r="B1954" i="13"/>
  <c r="G1953" i="13"/>
  <c r="H1953" i="13" s="1"/>
  <c r="J1953" i="13" s="1"/>
  <c r="C1953" i="13"/>
  <c r="F1953" i="13" s="1"/>
  <c r="B1953" i="13"/>
  <c r="G1952" i="13"/>
  <c r="H1952" i="13" s="1"/>
  <c r="J1952" i="13" s="1"/>
  <c r="C1952" i="13"/>
  <c r="F1952" i="13" s="1"/>
  <c r="B1952" i="13"/>
  <c r="G1951" i="13"/>
  <c r="H1951" i="13" s="1"/>
  <c r="J1951" i="13" s="1"/>
  <c r="C1951" i="13"/>
  <c r="F1951" i="13" s="1"/>
  <c r="B1951" i="13"/>
  <c r="G1950" i="13"/>
  <c r="H1950" i="13" s="1"/>
  <c r="J1950" i="13" s="1"/>
  <c r="C1950" i="13"/>
  <c r="F1950" i="13" s="1"/>
  <c r="B1950" i="13"/>
  <c r="G1949" i="13"/>
  <c r="H1949" i="13" s="1"/>
  <c r="J1949" i="13" s="1"/>
  <c r="C1949" i="13"/>
  <c r="F1949" i="13" s="1"/>
  <c r="B1949" i="13"/>
  <c r="G1948" i="13"/>
  <c r="H1948" i="13" s="1"/>
  <c r="J1948" i="13" s="1"/>
  <c r="C1948" i="13"/>
  <c r="F1948" i="13" s="1"/>
  <c r="B1948" i="13"/>
  <c r="G1947" i="13"/>
  <c r="H1947" i="13" s="1"/>
  <c r="J1947" i="13" s="1"/>
  <c r="C1947" i="13"/>
  <c r="F1947" i="13" s="1"/>
  <c r="B1947" i="13"/>
  <c r="G1946" i="13"/>
  <c r="H1946" i="13" s="1"/>
  <c r="J1946" i="13" s="1"/>
  <c r="C1946" i="13"/>
  <c r="F1946" i="13" s="1"/>
  <c r="B1946" i="13"/>
  <c r="G1945" i="13"/>
  <c r="H1945" i="13" s="1"/>
  <c r="J1945" i="13" s="1"/>
  <c r="C1945" i="13"/>
  <c r="F1945" i="13" s="1"/>
  <c r="B1945" i="13"/>
  <c r="G1944" i="13"/>
  <c r="H1944" i="13" s="1"/>
  <c r="J1944" i="13" s="1"/>
  <c r="C1944" i="13"/>
  <c r="F1944" i="13" s="1"/>
  <c r="B1944" i="13"/>
  <c r="G1943" i="13"/>
  <c r="H1943" i="13" s="1"/>
  <c r="J1943" i="13" s="1"/>
  <c r="C1943" i="13"/>
  <c r="F1943" i="13" s="1"/>
  <c r="B1943" i="13"/>
  <c r="G1942" i="13"/>
  <c r="H1942" i="13" s="1"/>
  <c r="C1942" i="13"/>
  <c r="F1942" i="13" s="1"/>
  <c r="B1942" i="13"/>
  <c r="G1941" i="13"/>
  <c r="H1941" i="13" s="1"/>
  <c r="J1941" i="13" s="1"/>
  <c r="C1941" i="13"/>
  <c r="F1941" i="13" s="1"/>
  <c r="B1941" i="13"/>
  <c r="G1940" i="13"/>
  <c r="H1940" i="13" s="1"/>
  <c r="J1940" i="13" s="1"/>
  <c r="C1940" i="13"/>
  <c r="F1940" i="13" s="1"/>
  <c r="B1940" i="13"/>
  <c r="G1939" i="13"/>
  <c r="H1939" i="13" s="1"/>
  <c r="J1939" i="13" s="1"/>
  <c r="C1939" i="13"/>
  <c r="F1939" i="13" s="1"/>
  <c r="B1939" i="13"/>
  <c r="G1938" i="13"/>
  <c r="H1938" i="13" s="1"/>
  <c r="J1938" i="13" s="1"/>
  <c r="C1938" i="13"/>
  <c r="F1938" i="13" s="1"/>
  <c r="B1938" i="13"/>
  <c r="G1937" i="13"/>
  <c r="H1937" i="13" s="1"/>
  <c r="J1937" i="13" s="1"/>
  <c r="C1937" i="13"/>
  <c r="F1937" i="13" s="1"/>
  <c r="B1937" i="13"/>
  <c r="G1936" i="13"/>
  <c r="H1936" i="13" s="1"/>
  <c r="J1936" i="13" s="1"/>
  <c r="C1936" i="13"/>
  <c r="F1936" i="13" s="1"/>
  <c r="B1936" i="13"/>
  <c r="G1935" i="13"/>
  <c r="H1935" i="13" s="1"/>
  <c r="J1935" i="13" s="1"/>
  <c r="C1935" i="13"/>
  <c r="F1935" i="13" s="1"/>
  <c r="B1935" i="13"/>
  <c r="G1934" i="13"/>
  <c r="H1934" i="13" s="1"/>
  <c r="J1934" i="13" s="1"/>
  <c r="C1934" i="13"/>
  <c r="F1934" i="13" s="1"/>
  <c r="B1934" i="13"/>
  <c r="G1933" i="13"/>
  <c r="H1933" i="13" s="1"/>
  <c r="J1933" i="13" s="1"/>
  <c r="C1933" i="13"/>
  <c r="F1933" i="13" s="1"/>
  <c r="B1933" i="13"/>
  <c r="G1932" i="13"/>
  <c r="H1932" i="13" s="1"/>
  <c r="J1932" i="13" s="1"/>
  <c r="C1932" i="13"/>
  <c r="F1932" i="13" s="1"/>
  <c r="B1932" i="13"/>
  <c r="G1931" i="13"/>
  <c r="H1931" i="13" s="1"/>
  <c r="J1931" i="13" s="1"/>
  <c r="C1931" i="13"/>
  <c r="F1931" i="13" s="1"/>
  <c r="B1931" i="13"/>
  <c r="G1930" i="13"/>
  <c r="H1930" i="13" s="1"/>
  <c r="C1930" i="13"/>
  <c r="F1930" i="13" s="1"/>
  <c r="B1930" i="13"/>
  <c r="G1929" i="13"/>
  <c r="H1929" i="13" s="1"/>
  <c r="J1929" i="13" s="1"/>
  <c r="C1929" i="13"/>
  <c r="F1929" i="13" s="1"/>
  <c r="B1929" i="13"/>
  <c r="G1928" i="13"/>
  <c r="H1928" i="13" s="1"/>
  <c r="J1928" i="13" s="1"/>
  <c r="C1928" i="13"/>
  <c r="F1928" i="13" s="1"/>
  <c r="B1928" i="13"/>
  <c r="G1927" i="13"/>
  <c r="H1927" i="13" s="1"/>
  <c r="J1927" i="13" s="1"/>
  <c r="C1927" i="13"/>
  <c r="F1927" i="13" s="1"/>
  <c r="B1927" i="13"/>
  <c r="G1926" i="13"/>
  <c r="H1926" i="13" s="1"/>
  <c r="J1926" i="13" s="1"/>
  <c r="C1926" i="13"/>
  <c r="F1926" i="13" s="1"/>
  <c r="B1926" i="13"/>
  <c r="G1925" i="13"/>
  <c r="H1925" i="13" s="1"/>
  <c r="J1925" i="13" s="1"/>
  <c r="C1925" i="13"/>
  <c r="F1925" i="13" s="1"/>
  <c r="B1925" i="13"/>
  <c r="G1924" i="13"/>
  <c r="H1924" i="13" s="1"/>
  <c r="J1924" i="13" s="1"/>
  <c r="C1924" i="13"/>
  <c r="F1924" i="13" s="1"/>
  <c r="B1924" i="13"/>
  <c r="G1923" i="13"/>
  <c r="H1923" i="13" s="1"/>
  <c r="J1923" i="13" s="1"/>
  <c r="C1923" i="13"/>
  <c r="F1923" i="13" s="1"/>
  <c r="B1923" i="13"/>
  <c r="G1922" i="13"/>
  <c r="H1922" i="13" s="1"/>
  <c r="J1922" i="13" s="1"/>
  <c r="C1922" i="13"/>
  <c r="F1922" i="13" s="1"/>
  <c r="B1922" i="13"/>
  <c r="G1921" i="13"/>
  <c r="H1921" i="13" s="1"/>
  <c r="J1921" i="13" s="1"/>
  <c r="C1921" i="13"/>
  <c r="F1921" i="13" s="1"/>
  <c r="B1921" i="13"/>
  <c r="G1920" i="13"/>
  <c r="H1920" i="13" s="1"/>
  <c r="J1920" i="13" s="1"/>
  <c r="C1920" i="13"/>
  <c r="F1920" i="13" s="1"/>
  <c r="B1920" i="13"/>
  <c r="G1919" i="13"/>
  <c r="H1919" i="13" s="1"/>
  <c r="J1919" i="13" s="1"/>
  <c r="C1919" i="13"/>
  <c r="F1919" i="13" s="1"/>
  <c r="B1919" i="13"/>
  <c r="G1918" i="13"/>
  <c r="H1918" i="13" s="1"/>
  <c r="C1918" i="13"/>
  <c r="F1918" i="13" s="1"/>
  <c r="B1918" i="13"/>
  <c r="G1917" i="13"/>
  <c r="H1917" i="13" s="1"/>
  <c r="J1917" i="13" s="1"/>
  <c r="C1917" i="13"/>
  <c r="F1917" i="13" s="1"/>
  <c r="B1917" i="13"/>
  <c r="G1916" i="13"/>
  <c r="H1916" i="13" s="1"/>
  <c r="J1916" i="13" s="1"/>
  <c r="C1916" i="13"/>
  <c r="F1916" i="13" s="1"/>
  <c r="B1916" i="13"/>
  <c r="G1915" i="13"/>
  <c r="H1915" i="13" s="1"/>
  <c r="J1915" i="13" s="1"/>
  <c r="C1915" i="13"/>
  <c r="F1915" i="13" s="1"/>
  <c r="B1915" i="13"/>
  <c r="G1914" i="13"/>
  <c r="H1914" i="13" s="1"/>
  <c r="J1914" i="13" s="1"/>
  <c r="C1914" i="13"/>
  <c r="F1914" i="13" s="1"/>
  <c r="B1914" i="13"/>
  <c r="G1913" i="13"/>
  <c r="H1913" i="13" s="1"/>
  <c r="J1913" i="13" s="1"/>
  <c r="C1913" i="13"/>
  <c r="F1913" i="13" s="1"/>
  <c r="B1913" i="13"/>
  <c r="G1912" i="13"/>
  <c r="H1912" i="13" s="1"/>
  <c r="J1912" i="13" s="1"/>
  <c r="C1912" i="13"/>
  <c r="F1912" i="13" s="1"/>
  <c r="B1912" i="13"/>
  <c r="G1911" i="13"/>
  <c r="H1911" i="13" s="1"/>
  <c r="J1911" i="13" s="1"/>
  <c r="C1911" i="13"/>
  <c r="F1911" i="13" s="1"/>
  <c r="B1911" i="13"/>
  <c r="G1910" i="13"/>
  <c r="H1910" i="13" s="1"/>
  <c r="J1910" i="13" s="1"/>
  <c r="C1910" i="13"/>
  <c r="F1910" i="13" s="1"/>
  <c r="B1910" i="13"/>
  <c r="G1909" i="13"/>
  <c r="H1909" i="13" s="1"/>
  <c r="J1909" i="13" s="1"/>
  <c r="C1909" i="13"/>
  <c r="F1909" i="13" s="1"/>
  <c r="B1909" i="13"/>
  <c r="G1908" i="13"/>
  <c r="H1908" i="13" s="1"/>
  <c r="J1908" i="13" s="1"/>
  <c r="C1908" i="13"/>
  <c r="F1908" i="13" s="1"/>
  <c r="B1908" i="13"/>
  <c r="G1907" i="13"/>
  <c r="H1907" i="13" s="1"/>
  <c r="J1907" i="13" s="1"/>
  <c r="C1907" i="13"/>
  <c r="F1907" i="13" s="1"/>
  <c r="B1907" i="13"/>
  <c r="G1906" i="13"/>
  <c r="H1906" i="13" s="1"/>
  <c r="J1906" i="13" s="1"/>
  <c r="C1906" i="13"/>
  <c r="F1906" i="13" s="1"/>
  <c r="B1906" i="13"/>
  <c r="G1905" i="13"/>
  <c r="H1905" i="13" s="1"/>
  <c r="C1905" i="13"/>
  <c r="F1905" i="13" s="1"/>
  <c r="B1905" i="13"/>
  <c r="G1904" i="13"/>
  <c r="H1904" i="13" s="1"/>
  <c r="J1904" i="13" s="1"/>
  <c r="C1904" i="13"/>
  <c r="F1904" i="13" s="1"/>
  <c r="B1904" i="13"/>
  <c r="G1903" i="13"/>
  <c r="H1903" i="13" s="1"/>
  <c r="J1903" i="13" s="1"/>
  <c r="C1903" i="13"/>
  <c r="F1903" i="13" s="1"/>
  <c r="B1903" i="13"/>
  <c r="G1902" i="13"/>
  <c r="H1902" i="13" s="1"/>
  <c r="J1902" i="13" s="1"/>
  <c r="C1902" i="13"/>
  <c r="F1902" i="13" s="1"/>
  <c r="B1902" i="13"/>
  <c r="G1901" i="13"/>
  <c r="H1901" i="13" s="1"/>
  <c r="J1901" i="13" s="1"/>
  <c r="C1901" i="13"/>
  <c r="F1901" i="13" s="1"/>
  <c r="B1901" i="13"/>
  <c r="G1900" i="13"/>
  <c r="H1900" i="13" s="1"/>
  <c r="J1900" i="13" s="1"/>
  <c r="C1900" i="13"/>
  <c r="F1900" i="13" s="1"/>
  <c r="B1900" i="13"/>
  <c r="G1899" i="13"/>
  <c r="H1899" i="13" s="1"/>
  <c r="J1899" i="13" s="1"/>
  <c r="C1899" i="13"/>
  <c r="F1899" i="13" s="1"/>
  <c r="B1899" i="13"/>
  <c r="G1898" i="13"/>
  <c r="H1898" i="13" s="1"/>
  <c r="J1898" i="13" s="1"/>
  <c r="C1898" i="13"/>
  <c r="F1898" i="13" s="1"/>
  <c r="B1898" i="13"/>
  <c r="G1897" i="13"/>
  <c r="H1897" i="13" s="1"/>
  <c r="J1897" i="13" s="1"/>
  <c r="C1897" i="13"/>
  <c r="F1897" i="13" s="1"/>
  <c r="B1897" i="13"/>
  <c r="G1896" i="13"/>
  <c r="H1896" i="13" s="1"/>
  <c r="J1896" i="13" s="1"/>
  <c r="C1896" i="13"/>
  <c r="F1896" i="13" s="1"/>
  <c r="B1896" i="13"/>
  <c r="G1895" i="13"/>
  <c r="H1895" i="13" s="1"/>
  <c r="J1895" i="13" s="1"/>
  <c r="C1895" i="13"/>
  <c r="F1895" i="13" s="1"/>
  <c r="B1895" i="13"/>
  <c r="G1894" i="13"/>
  <c r="H1894" i="13" s="1"/>
  <c r="J1894" i="13" s="1"/>
  <c r="C1894" i="13"/>
  <c r="F1894" i="13" s="1"/>
  <c r="B1894" i="13"/>
  <c r="G1893" i="13"/>
  <c r="H1893" i="13" s="1"/>
  <c r="J1893" i="13" s="1"/>
  <c r="C1893" i="13"/>
  <c r="F1893" i="13" s="1"/>
  <c r="B1893" i="13"/>
  <c r="G1892" i="13"/>
  <c r="H1892" i="13" s="1"/>
  <c r="J1892" i="13" s="1"/>
  <c r="C1892" i="13"/>
  <c r="F1892" i="13" s="1"/>
  <c r="B1892" i="13"/>
  <c r="G1891" i="13"/>
  <c r="H1891" i="13" s="1"/>
  <c r="C1891" i="13"/>
  <c r="F1891" i="13" s="1"/>
  <c r="B1891" i="13"/>
  <c r="G1890" i="13"/>
  <c r="H1890" i="13" s="1"/>
  <c r="J1890" i="13" s="1"/>
  <c r="C1890" i="13"/>
  <c r="F1890" i="13" s="1"/>
  <c r="B1890" i="13"/>
  <c r="G1889" i="13"/>
  <c r="H1889" i="13" s="1"/>
  <c r="C1889" i="13"/>
  <c r="F1889" i="13" s="1"/>
  <c r="B1889" i="13"/>
  <c r="G1888" i="13"/>
  <c r="H1888" i="13" s="1"/>
  <c r="J1888" i="13" s="1"/>
  <c r="C1888" i="13"/>
  <c r="F1888" i="13" s="1"/>
  <c r="B1888" i="13"/>
  <c r="G1887" i="13"/>
  <c r="H1887" i="13" s="1"/>
  <c r="J1887" i="13" s="1"/>
  <c r="C1887" i="13"/>
  <c r="F1887" i="13" s="1"/>
  <c r="B1887" i="13"/>
  <c r="G1886" i="13"/>
  <c r="H1886" i="13" s="1"/>
  <c r="J1886" i="13" s="1"/>
  <c r="C1886" i="13"/>
  <c r="F1886" i="13" s="1"/>
  <c r="B1886" i="13"/>
  <c r="G1885" i="13"/>
  <c r="H1885" i="13" s="1"/>
  <c r="J1885" i="13" s="1"/>
  <c r="C1885" i="13"/>
  <c r="F1885" i="13" s="1"/>
  <c r="B1885" i="13"/>
  <c r="G1884" i="13"/>
  <c r="H1884" i="13" s="1"/>
  <c r="C1884" i="13"/>
  <c r="F1884" i="13" s="1"/>
  <c r="B1884" i="13"/>
  <c r="G1883" i="13"/>
  <c r="H1883" i="13" s="1"/>
  <c r="J1883" i="13" s="1"/>
  <c r="C1883" i="13"/>
  <c r="F1883" i="13" s="1"/>
  <c r="B1883" i="13"/>
  <c r="G1882" i="13"/>
  <c r="H1882" i="13" s="1"/>
  <c r="J1882" i="13" s="1"/>
  <c r="C1882" i="13"/>
  <c r="F1882" i="13" s="1"/>
  <c r="B1882" i="13"/>
  <c r="G1881" i="13"/>
  <c r="H1881" i="13" s="1"/>
  <c r="J1881" i="13" s="1"/>
  <c r="C1881" i="13"/>
  <c r="F1881" i="13" s="1"/>
  <c r="B1881" i="13"/>
  <c r="G1880" i="13"/>
  <c r="H1880" i="13" s="1"/>
  <c r="J1880" i="13" s="1"/>
  <c r="C1880" i="13"/>
  <c r="F1880" i="13" s="1"/>
  <c r="B1880" i="13"/>
  <c r="G1879" i="13"/>
  <c r="H1879" i="13" s="1"/>
  <c r="J1879" i="13" s="1"/>
  <c r="C1879" i="13"/>
  <c r="F1879" i="13" s="1"/>
  <c r="B1879" i="13"/>
  <c r="G1878" i="13"/>
  <c r="H1878" i="13" s="1"/>
  <c r="J1878" i="13" s="1"/>
  <c r="C1878" i="13"/>
  <c r="F1878" i="13" s="1"/>
  <c r="B1878" i="13"/>
  <c r="G1877" i="13"/>
  <c r="H1877" i="13" s="1"/>
  <c r="J1877" i="13" s="1"/>
  <c r="C1877" i="13"/>
  <c r="F1877" i="13" s="1"/>
  <c r="B1877" i="13"/>
  <c r="G1876" i="13"/>
  <c r="H1876" i="13" s="1"/>
  <c r="J1876" i="13" s="1"/>
  <c r="C1876" i="13"/>
  <c r="F1876" i="13" s="1"/>
  <c r="B1876" i="13"/>
  <c r="G1875" i="13"/>
  <c r="H1875" i="13" s="1"/>
  <c r="C1875" i="13"/>
  <c r="F1875" i="13" s="1"/>
  <c r="B1875" i="13"/>
  <c r="G1874" i="13"/>
  <c r="H1874" i="13" s="1"/>
  <c r="J1874" i="13" s="1"/>
  <c r="C1874" i="13"/>
  <c r="F1874" i="13" s="1"/>
  <c r="B1874" i="13"/>
  <c r="G1873" i="13"/>
  <c r="H1873" i="13" s="1"/>
  <c r="C1873" i="13"/>
  <c r="F1873" i="13" s="1"/>
  <c r="B1873" i="13"/>
  <c r="G1872" i="13"/>
  <c r="H1872" i="13" s="1"/>
  <c r="J1872" i="13" s="1"/>
  <c r="C1872" i="13"/>
  <c r="F1872" i="13" s="1"/>
  <c r="B1872" i="13"/>
  <c r="G1871" i="13"/>
  <c r="H1871" i="13" s="1"/>
  <c r="J1871" i="13" s="1"/>
  <c r="C1871" i="13"/>
  <c r="F1871" i="13" s="1"/>
  <c r="B1871" i="13"/>
  <c r="G1870" i="13"/>
  <c r="H1870" i="13" s="1"/>
  <c r="J1870" i="13" s="1"/>
  <c r="C1870" i="13"/>
  <c r="F1870" i="13" s="1"/>
  <c r="B1870" i="13"/>
  <c r="G1869" i="13"/>
  <c r="H1869" i="13" s="1"/>
  <c r="J1869" i="13" s="1"/>
  <c r="C1869" i="13"/>
  <c r="F1869" i="13" s="1"/>
  <c r="B1869" i="13"/>
  <c r="G1868" i="13"/>
  <c r="H1868" i="13" s="1"/>
  <c r="J1868" i="13" s="1"/>
  <c r="C1868" i="13"/>
  <c r="F1868" i="13" s="1"/>
  <c r="B1868" i="13"/>
  <c r="G1867" i="13"/>
  <c r="H1867" i="13" s="1"/>
  <c r="J1867" i="13" s="1"/>
  <c r="C1867" i="13"/>
  <c r="F1867" i="13" s="1"/>
  <c r="B1867" i="13"/>
  <c r="G1866" i="13"/>
  <c r="H1866" i="13" s="1"/>
  <c r="J1866" i="13" s="1"/>
  <c r="C1866" i="13"/>
  <c r="F1866" i="13" s="1"/>
  <c r="B1866" i="13"/>
  <c r="G1865" i="13"/>
  <c r="H1865" i="13" s="1"/>
  <c r="J1865" i="13" s="1"/>
  <c r="C1865" i="13"/>
  <c r="F1865" i="13" s="1"/>
  <c r="B1865" i="13"/>
  <c r="G1864" i="13"/>
  <c r="H1864" i="13" s="1"/>
  <c r="J1864" i="13" s="1"/>
  <c r="C1864" i="13"/>
  <c r="F1864" i="13" s="1"/>
  <c r="B1864" i="13"/>
  <c r="G1863" i="13"/>
  <c r="H1863" i="13" s="1"/>
  <c r="C1863" i="13"/>
  <c r="F1863" i="13" s="1"/>
  <c r="B1863" i="13"/>
  <c r="G1862" i="13"/>
  <c r="H1862" i="13" s="1"/>
  <c r="J1862" i="13" s="1"/>
  <c r="C1862" i="13"/>
  <c r="F1862" i="13" s="1"/>
  <c r="B1862" i="13"/>
  <c r="G1861" i="13"/>
  <c r="H1861" i="13" s="1"/>
  <c r="J1861" i="13" s="1"/>
  <c r="C1861" i="13"/>
  <c r="F1861" i="13" s="1"/>
  <c r="B1861" i="13"/>
  <c r="G1860" i="13"/>
  <c r="H1860" i="13" s="1"/>
  <c r="J1860" i="13" s="1"/>
  <c r="C1860" i="13"/>
  <c r="F1860" i="13" s="1"/>
  <c r="B1860" i="13"/>
  <c r="G1859" i="13"/>
  <c r="H1859" i="13" s="1"/>
  <c r="J1859" i="13" s="1"/>
  <c r="C1859" i="13"/>
  <c r="F1859" i="13" s="1"/>
  <c r="B1859" i="13"/>
  <c r="G1858" i="13"/>
  <c r="H1858" i="13" s="1"/>
  <c r="J1858" i="13" s="1"/>
  <c r="C1858" i="13"/>
  <c r="F1858" i="13" s="1"/>
  <c r="B1858" i="13"/>
  <c r="G1857" i="13"/>
  <c r="H1857" i="13" s="1"/>
  <c r="J1857" i="13" s="1"/>
  <c r="C1857" i="13"/>
  <c r="F1857" i="13" s="1"/>
  <c r="B1857" i="13"/>
  <c r="G1856" i="13"/>
  <c r="H1856" i="13" s="1"/>
  <c r="J1856" i="13" s="1"/>
  <c r="C1856" i="13"/>
  <c r="F1856" i="13" s="1"/>
  <c r="B1856" i="13"/>
  <c r="G1855" i="13"/>
  <c r="H1855" i="13" s="1"/>
  <c r="J1855" i="13" s="1"/>
  <c r="C1855" i="13"/>
  <c r="F1855" i="13" s="1"/>
  <c r="B1855" i="13"/>
  <c r="G1854" i="13"/>
  <c r="H1854" i="13" s="1"/>
  <c r="J1854" i="13" s="1"/>
  <c r="C1854" i="13"/>
  <c r="F1854" i="13" s="1"/>
  <c r="B1854" i="13"/>
  <c r="G1853" i="13"/>
  <c r="H1853" i="13" s="1"/>
  <c r="J1853" i="13" s="1"/>
  <c r="C1853" i="13"/>
  <c r="F1853" i="13" s="1"/>
  <c r="B1853" i="13"/>
  <c r="G1852" i="13"/>
  <c r="H1852" i="13" s="1"/>
  <c r="J1852" i="13" s="1"/>
  <c r="C1852" i="13"/>
  <c r="F1852" i="13" s="1"/>
  <c r="B1852" i="13"/>
  <c r="G1851" i="13"/>
  <c r="H1851" i="13" s="1"/>
  <c r="C1851" i="13"/>
  <c r="F1851" i="13" s="1"/>
  <c r="B1851" i="13"/>
  <c r="G1850" i="13"/>
  <c r="H1850" i="13" s="1"/>
  <c r="J1850" i="13" s="1"/>
  <c r="C1850" i="13"/>
  <c r="F1850" i="13" s="1"/>
  <c r="B1850" i="13"/>
  <c r="G1849" i="13"/>
  <c r="H1849" i="13" s="1"/>
  <c r="J1849" i="13" s="1"/>
  <c r="C1849" i="13"/>
  <c r="F1849" i="13" s="1"/>
  <c r="B1849" i="13"/>
  <c r="G1848" i="13"/>
  <c r="H1848" i="13" s="1"/>
  <c r="J1848" i="13" s="1"/>
  <c r="C1848" i="13"/>
  <c r="F1848" i="13" s="1"/>
  <c r="B1848" i="13"/>
  <c r="G1847" i="13"/>
  <c r="H1847" i="13" s="1"/>
  <c r="J1847" i="13" s="1"/>
  <c r="C1847" i="13"/>
  <c r="F1847" i="13" s="1"/>
  <c r="B1847" i="13"/>
  <c r="G1846" i="13"/>
  <c r="H1846" i="13" s="1"/>
  <c r="J1846" i="13" s="1"/>
  <c r="C1846" i="13"/>
  <c r="F1846" i="13" s="1"/>
  <c r="B1846" i="13"/>
  <c r="G1845" i="13"/>
  <c r="H1845" i="13" s="1"/>
  <c r="J1845" i="13" s="1"/>
  <c r="C1845" i="13"/>
  <c r="F1845" i="13" s="1"/>
  <c r="B1845" i="13"/>
  <c r="G1844" i="13"/>
  <c r="H1844" i="13" s="1"/>
  <c r="J1844" i="13" s="1"/>
  <c r="C1844" i="13"/>
  <c r="F1844" i="13" s="1"/>
  <c r="B1844" i="13"/>
  <c r="G1843" i="13"/>
  <c r="H1843" i="13" s="1"/>
  <c r="J1843" i="13" s="1"/>
  <c r="C1843" i="13"/>
  <c r="F1843" i="13" s="1"/>
  <c r="B1843" i="13"/>
  <c r="G1842" i="13"/>
  <c r="H1842" i="13" s="1"/>
  <c r="J1842" i="13" s="1"/>
  <c r="C1842" i="13"/>
  <c r="F1842" i="13" s="1"/>
  <c r="B1842" i="13"/>
  <c r="G1841" i="13"/>
  <c r="H1841" i="13" s="1"/>
  <c r="J1841" i="13" s="1"/>
  <c r="C1841" i="13"/>
  <c r="F1841" i="13" s="1"/>
  <c r="B1841" i="13"/>
  <c r="G1840" i="13"/>
  <c r="H1840" i="13" s="1"/>
  <c r="J1840" i="13" s="1"/>
  <c r="C1840" i="13"/>
  <c r="F1840" i="13" s="1"/>
  <c r="B1840" i="13"/>
  <c r="G1839" i="13"/>
  <c r="H1839" i="13" s="1"/>
  <c r="C1839" i="13"/>
  <c r="F1839" i="13" s="1"/>
  <c r="B1839" i="13"/>
  <c r="G1838" i="13"/>
  <c r="H1838" i="13" s="1"/>
  <c r="J1838" i="13" s="1"/>
  <c r="C1838" i="13"/>
  <c r="F1838" i="13" s="1"/>
  <c r="B1838" i="13"/>
  <c r="G1837" i="13"/>
  <c r="H1837" i="13" s="1"/>
  <c r="J1837" i="13" s="1"/>
  <c r="C1837" i="13"/>
  <c r="F1837" i="13" s="1"/>
  <c r="B1837" i="13"/>
  <c r="G1836" i="13"/>
  <c r="H1836" i="13" s="1"/>
  <c r="J1836" i="13" s="1"/>
  <c r="C1836" i="13"/>
  <c r="F1836" i="13" s="1"/>
  <c r="B1836" i="13"/>
  <c r="G1835" i="13"/>
  <c r="H1835" i="13" s="1"/>
  <c r="J1835" i="13" s="1"/>
  <c r="C1835" i="13"/>
  <c r="F1835" i="13" s="1"/>
  <c r="B1835" i="13"/>
  <c r="G1834" i="13"/>
  <c r="H1834" i="13" s="1"/>
  <c r="J1834" i="13" s="1"/>
  <c r="C1834" i="13"/>
  <c r="F1834" i="13" s="1"/>
  <c r="B1834" i="13"/>
  <c r="G1833" i="13"/>
  <c r="H1833" i="13" s="1"/>
  <c r="J1833" i="13" s="1"/>
  <c r="C1833" i="13"/>
  <c r="F1833" i="13" s="1"/>
  <c r="B1833" i="13"/>
  <c r="G1832" i="13"/>
  <c r="H1832" i="13" s="1"/>
  <c r="J1832" i="13" s="1"/>
  <c r="C1832" i="13"/>
  <c r="F1832" i="13" s="1"/>
  <c r="B1832" i="13"/>
  <c r="G1831" i="13"/>
  <c r="H1831" i="13" s="1"/>
  <c r="J1831" i="13" s="1"/>
  <c r="C1831" i="13"/>
  <c r="F1831" i="13" s="1"/>
  <c r="B1831" i="13"/>
  <c r="G1830" i="13"/>
  <c r="H1830" i="13" s="1"/>
  <c r="J1830" i="13" s="1"/>
  <c r="C1830" i="13"/>
  <c r="F1830" i="13" s="1"/>
  <c r="B1830" i="13"/>
  <c r="G1829" i="13"/>
  <c r="H1829" i="13" s="1"/>
  <c r="J1829" i="13" s="1"/>
  <c r="C1829" i="13"/>
  <c r="F1829" i="13" s="1"/>
  <c r="B1829" i="13"/>
  <c r="G1828" i="13"/>
  <c r="H1828" i="13" s="1"/>
  <c r="J1828" i="13" s="1"/>
  <c r="C1828" i="13"/>
  <c r="F1828" i="13" s="1"/>
  <c r="B1828" i="13"/>
  <c r="G1827" i="13"/>
  <c r="H1827" i="13" s="1"/>
  <c r="C1827" i="13"/>
  <c r="F1827" i="13" s="1"/>
  <c r="B1827" i="13"/>
  <c r="G1826" i="13"/>
  <c r="H1826" i="13" s="1"/>
  <c r="J1826" i="13" s="1"/>
  <c r="C1826" i="13"/>
  <c r="F1826" i="13" s="1"/>
  <c r="B1826" i="13"/>
  <c r="G1825" i="13"/>
  <c r="H1825" i="13" s="1"/>
  <c r="J1825" i="13" s="1"/>
  <c r="C1825" i="13"/>
  <c r="F1825" i="13" s="1"/>
  <c r="B1825" i="13"/>
  <c r="G1824" i="13"/>
  <c r="H1824" i="13" s="1"/>
  <c r="J1824" i="13" s="1"/>
  <c r="C1824" i="13"/>
  <c r="F1824" i="13" s="1"/>
  <c r="B1824" i="13"/>
  <c r="G1823" i="13"/>
  <c r="H1823" i="13" s="1"/>
  <c r="J1823" i="13" s="1"/>
  <c r="C1823" i="13"/>
  <c r="F1823" i="13" s="1"/>
  <c r="B1823" i="13"/>
  <c r="G1822" i="13"/>
  <c r="H1822" i="13" s="1"/>
  <c r="J1822" i="13" s="1"/>
  <c r="C1822" i="13"/>
  <c r="F1822" i="13" s="1"/>
  <c r="B1822" i="13"/>
  <c r="G1821" i="13"/>
  <c r="H1821" i="13" s="1"/>
  <c r="J1821" i="13" s="1"/>
  <c r="C1821" i="13"/>
  <c r="F1821" i="13" s="1"/>
  <c r="B1821" i="13"/>
  <c r="G1820" i="13"/>
  <c r="H1820" i="13" s="1"/>
  <c r="J1820" i="13" s="1"/>
  <c r="C1820" i="13"/>
  <c r="F1820" i="13" s="1"/>
  <c r="B1820" i="13"/>
  <c r="G1819" i="13"/>
  <c r="H1819" i="13" s="1"/>
  <c r="J1819" i="13" s="1"/>
  <c r="C1819" i="13"/>
  <c r="F1819" i="13" s="1"/>
  <c r="B1819" i="13"/>
  <c r="G1818" i="13"/>
  <c r="H1818" i="13" s="1"/>
  <c r="J1818" i="13" s="1"/>
  <c r="C1818" i="13"/>
  <c r="F1818" i="13" s="1"/>
  <c r="B1818" i="13"/>
  <c r="G1817" i="13"/>
  <c r="H1817" i="13" s="1"/>
  <c r="J1817" i="13" s="1"/>
  <c r="C1817" i="13"/>
  <c r="F1817" i="13" s="1"/>
  <c r="B1817" i="13"/>
  <c r="G1816" i="13"/>
  <c r="H1816" i="13" s="1"/>
  <c r="J1816" i="13" s="1"/>
  <c r="C1816" i="13"/>
  <c r="F1816" i="13" s="1"/>
  <c r="B1816" i="13"/>
  <c r="G1815" i="13"/>
  <c r="H1815" i="13" s="1"/>
  <c r="C1815" i="13"/>
  <c r="F1815" i="13" s="1"/>
  <c r="B1815" i="13"/>
  <c r="G1814" i="13"/>
  <c r="H1814" i="13" s="1"/>
  <c r="J1814" i="13" s="1"/>
  <c r="C1814" i="13"/>
  <c r="F1814" i="13" s="1"/>
  <c r="B1814" i="13"/>
  <c r="G1813" i="13"/>
  <c r="H1813" i="13" s="1"/>
  <c r="J1813" i="13" s="1"/>
  <c r="C1813" i="13"/>
  <c r="F1813" i="13" s="1"/>
  <c r="B1813" i="13"/>
  <c r="G1812" i="13"/>
  <c r="H1812" i="13" s="1"/>
  <c r="J1812" i="13" s="1"/>
  <c r="C1812" i="13"/>
  <c r="F1812" i="13" s="1"/>
  <c r="B1812" i="13"/>
  <c r="G1811" i="13"/>
  <c r="H1811" i="13" s="1"/>
  <c r="J1811" i="13" s="1"/>
  <c r="C1811" i="13"/>
  <c r="F1811" i="13" s="1"/>
  <c r="B1811" i="13"/>
  <c r="G1810" i="13"/>
  <c r="H1810" i="13" s="1"/>
  <c r="J1810" i="13" s="1"/>
  <c r="C1810" i="13"/>
  <c r="F1810" i="13" s="1"/>
  <c r="B1810" i="13"/>
  <c r="G1809" i="13"/>
  <c r="H1809" i="13" s="1"/>
  <c r="J1809" i="13" s="1"/>
  <c r="C1809" i="13"/>
  <c r="F1809" i="13" s="1"/>
  <c r="B1809" i="13"/>
  <c r="G1808" i="13"/>
  <c r="H1808" i="13" s="1"/>
  <c r="J1808" i="13" s="1"/>
  <c r="C1808" i="13"/>
  <c r="F1808" i="13" s="1"/>
  <c r="B1808" i="13"/>
  <c r="G1807" i="13"/>
  <c r="H1807" i="13" s="1"/>
  <c r="J1807" i="13" s="1"/>
  <c r="C1807" i="13"/>
  <c r="F1807" i="13" s="1"/>
  <c r="B1807" i="13"/>
  <c r="G1806" i="13"/>
  <c r="H1806" i="13" s="1"/>
  <c r="J1806" i="13" s="1"/>
  <c r="C1806" i="13"/>
  <c r="F1806" i="13" s="1"/>
  <c r="B1806" i="13"/>
  <c r="G1805" i="13"/>
  <c r="H1805" i="13" s="1"/>
  <c r="J1805" i="13" s="1"/>
  <c r="C1805" i="13"/>
  <c r="F1805" i="13" s="1"/>
  <c r="B1805" i="13"/>
  <c r="G1804" i="13"/>
  <c r="H1804" i="13" s="1"/>
  <c r="J1804" i="13" s="1"/>
  <c r="C1804" i="13"/>
  <c r="F1804" i="13" s="1"/>
  <c r="B1804" i="13"/>
  <c r="G1803" i="13"/>
  <c r="H1803" i="13" s="1"/>
  <c r="C1803" i="13"/>
  <c r="F1803" i="13" s="1"/>
  <c r="B1803" i="13"/>
  <c r="G1802" i="13"/>
  <c r="H1802" i="13" s="1"/>
  <c r="J1802" i="13" s="1"/>
  <c r="C1802" i="13"/>
  <c r="F1802" i="13" s="1"/>
  <c r="B1802" i="13"/>
  <c r="G1801" i="13"/>
  <c r="H1801" i="13" s="1"/>
  <c r="J1801" i="13" s="1"/>
  <c r="C1801" i="13"/>
  <c r="F1801" i="13" s="1"/>
  <c r="B1801" i="13"/>
  <c r="G1800" i="13"/>
  <c r="H1800" i="13" s="1"/>
  <c r="J1800" i="13" s="1"/>
  <c r="C1800" i="13"/>
  <c r="F1800" i="13" s="1"/>
  <c r="B1800" i="13"/>
  <c r="G1799" i="13"/>
  <c r="H1799" i="13" s="1"/>
  <c r="J1799" i="13" s="1"/>
  <c r="C1799" i="13"/>
  <c r="F1799" i="13" s="1"/>
  <c r="B1799" i="13"/>
  <c r="G1798" i="13"/>
  <c r="H1798" i="13" s="1"/>
  <c r="J1798" i="13" s="1"/>
  <c r="C1798" i="13"/>
  <c r="F1798" i="13" s="1"/>
  <c r="B1798" i="13"/>
  <c r="G1797" i="13"/>
  <c r="H1797" i="13" s="1"/>
  <c r="J1797" i="13" s="1"/>
  <c r="C1797" i="13"/>
  <c r="F1797" i="13" s="1"/>
  <c r="B1797" i="13"/>
  <c r="G1796" i="13"/>
  <c r="H1796" i="13" s="1"/>
  <c r="J1796" i="13" s="1"/>
  <c r="C1796" i="13"/>
  <c r="F1796" i="13" s="1"/>
  <c r="B1796" i="13"/>
  <c r="G1795" i="13"/>
  <c r="H1795" i="13" s="1"/>
  <c r="J1795" i="13" s="1"/>
  <c r="C1795" i="13"/>
  <c r="F1795" i="13" s="1"/>
  <c r="B1795" i="13"/>
  <c r="G1794" i="13"/>
  <c r="H1794" i="13" s="1"/>
  <c r="J1794" i="13" s="1"/>
  <c r="C1794" i="13"/>
  <c r="F1794" i="13" s="1"/>
  <c r="B1794" i="13"/>
  <c r="G1793" i="13"/>
  <c r="H1793" i="13" s="1"/>
  <c r="J1793" i="13" s="1"/>
  <c r="C1793" i="13"/>
  <c r="F1793" i="13" s="1"/>
  <c r="B1793" i="13"/>
  <c r="G1792" i="13"/>
  <c r="H1792" i="13" s="1"/>
  <c r="J1792" i="13" s="1"/>
  <c r="C1792" i="13"/>
  <c r="F1792" i="13" s="1"/>
  <c r="B1792" i="13"/>
  <c r="G1791" i="13"/>
  <c r="H1791" i="13" s="1"/>
  <c r="C1791" i="13"/>
  <c r="F1791" i="13" s="1"/>
  <c r="B1791" i="13"/>
  <c r="G1790" i="13"/>
  <c r="H1790" i="13" s="1"/>
  <c r="J1790" i="13" s="1"/>
  <c r="C1790" i="13"/>
  <c r="F1790" i="13" s="1"/>
  <c r="B1790" i="13"/>
  <c r="G1789" i="13"/>
  <c r="H1789" i="13" s="1"/>
  <c r="J1789" i="13" s="1"/>
  <c r="C1789" i="13"/>
  <c r="F1789" i="13" s="1"/>
  <c r="B1789" i="13"/>
  <c r="G1788" i="13"/>
  <c r="H1788" i="13" s="1"/>
  <c r="J1788" i="13" s="1"/>
  <c r="C1788" i="13"/>
  <c r="F1788" i="13" s="1"/>
  <c r="B1788" i="13"/>
  <c r="G1787" i="13"/>
  <c r="H1787" i="13" s="1"/>
  <c r="J1787" i="13" s="1"/>
  <c r="C1787" i="13"/>
  <c r="F1787" i="13" s="1"/>
  <c r="B1787" i="13"/>
  <c r="G1786" i="13"/>
  <c r="H1786" i="13" s="1"/>
  <c r="J1786" i="13" s="1"/>
  <c r="C1786" i="13"/>
  <c r="F1786" i="13" s="1"/>
  <c r="B1786" i="13"/>
  <c r="G1785" i="13"/>
  <c r="H1785" i="13" s="1"/>
  <c r="J1785" i="13" s="1"/>
  <c r="C1785" i="13"/>
  <c r="F1785" i="13" s="1"/>
  <c r="B1785" i="13"/>
  <c r="G1784" i="13"/>
  <c r="H1784" i="13" s="1"/>
  <c r="J1784" i="13" s="1"/>
  <c r="C1784" i="13"/>
  <c r="F1784" i="13" s="1"/>
  <c r="B1784" i="13"/>
  <c r="G1783" i="13"/>
  <c r="H1783" i="13" s="1"/>
  <c r="J1783" i="13" s="1"/>
  <c r="C1783" i="13"/>
  <c r="F1783" i="13" s="1"/>
  <c r="B1783" i="13"/>
  <c r="G1782" i="13"/>
  <c r="H1782" i="13" s="1"/>
  <c r="J1782" i="13" s="1"/>
  <c r="C1782" i="13"/>
  <c r="F1782" i="13" s="1"/>
  <c r="B1782" i="13"/>
  <c r="G1781" i="13"/>
  <c r="H1781" i="13" s="1"/>
  <c r="J1781" i="13" s="1"/>
  <c r="C1781" i="13"/>
  <c r="F1781" i="13" s="1"/>
  <c r="B1781" i="13"/>
  <c r="G1780" i="13"/>
  <c r="H1780" i="13" s="1"/>
  <c r="J1780" i="13" s="1"/>
  <c r="C1780" i="13"/>
  <c r="F1780" i="13" s="1"/>
  <c r="B1780" i="13"/>
  <c r="G1779" i="13"/>
  <c r="H1779" i="13" s="1"/>
  <c r="C1779" i="13"/>
  <c r="F1779" i="13" s="1"/>
  <c r="B1779" i="13"/>
  <c r="G1778" i="13"/>
  <c r="H1778" i="13" s="1"/>
  <c r="J1778" i="13" s="1"/>
  <c r="C1778" i="13"/>
  <c r="F1778" i="13" s="1"/>
  <c r="B1778" i="13"/>
  <c r="G1777" i="13"/>
  <c r="H1777" i="13" s="1"/>
  <c r="J1777" i="13" s="1"/>
  <c r="C1777" i="13"/>
  <c r="F1777" i="13" s="1"/>
  <c r="B1777" i="13"/>
  <c r="G1776" i="13"/>
  <c r="H1776" i="13" s="1"/>
  <c r="J1776" i="13" s="1"/>
  <c r="C1776" i="13"/>
  <c r="F1776" i="13" s="1"/>
  <c r="B1776" i="13"/>
  <c r="G1775" i="13"/>
  <c r="H1775" i="13" s="1"/>
  <c r="J1775" i="13" s="1"/>
  <c r="C1775" i="13"/>
  <c r="F1775" i="13" s="1"/>
  <c r="B1775" i="13"/>
  <c r="G1774" i="13"/>
  <c r="H1774" i="13" s="1"/>
  <c r="J1774" i="13" s="1"/>
  <c r="C1774" i="13"/>
  <c r="F1774" i="13" s="1"/>
  <c r="B1774" i="13"/>
  <c r="G1773" i="13"/>
  <c r="H1773" i="13" s="1"/>
  <c r="J1773" i="13" s="1"/>
  <c r="C1773" i="13"/>
  <c r="F1773" i="13" s="1"/>
  <c r="B1773" i="13"/>
  <c r="G1772" i="13"/>
  <c r="H1772" i="13" s="1"/>
  <c r="J1772" i="13" s="1"/>
  <c r="C1772" i="13"/>
  <c r="F1772" i="13" s="1"/>
  <c r="B1772" i="13"/>
  <c r="G1771" i="13"/>
  <c r="H1771" i="13" s="1"/>
  <c r="J1771" i="13" s="1"/>
  <c r="C1771" i="13"/>
  <c r="F1771" i="13" s="1"/>
  <c r="B1771" i="13"/>
  <c r="G1770" i="13"/>
  <c r="H1770" i="13" s="1"/>
  <c r="J1770" i="13" s="1"/>
  <c r="C1770" i="13"/>
  <c r="F1770" i="13" s="1"/>
  <c r="B1770" i="13"/>
  <c r="G1769" i="13"/>
  <c r="H1769" i="13" s="1"/>
  <c r="J1769" i="13" s="1"/>
  <c r="C1769" i="13"/>
  <c r="F1769" i="13" s="1"/>
  <c r="B1769" i="13"/>
  <c r="G1768" i="13"/>
  <c r="H1768" i="13" s="1"/>
  <c r="J1768" i="13" s="1"/>
  <c r="C1768" i="13"/>
  <c r="F1768" i="13" s="1"/>
  <c r="B1768" i="13"/>
  <c r="G1767" i="13"/>
  <c r="H1767" i="13" s="1"/>
  <c r="C1767" i="13"/>
  <c r="F1767" i="13" s="1"/>
  <c r="B1767" i="13"/>
  <c r="G1766" i="13"/>
  <c r="H1766" i="13" s="1"/>
  <c r="J1766" i="13" s="1"/>
  <c r="C1766" i="13"/>
  <c r="F1766" i="13" s="1"/>
  <c r="B1766" i="13"/>
  <c r="G1765" i="13"/>
  <c r="H1765" i="13" s="1"/>
  <c r="J1765" i="13" s="1"/>
  <c r="C1765" i="13"/>
  <c r="F1765" i="13" s="1"/>
  <c r="B1765" i="13"/>
  <c r="G1764" i="13"/>
  <c r="H1764" i="13" s="1"/>
  <c r="J1764" i="13" s="1"/>
  <c r="C1764" i="13"/>
  <c r="F1764" i="13" s="1"/>
  <c r="B1764" i="13"/>
  <c r="G1763" i="13"/>
  <c r="H1763" i="13" s="1"/>
  <c r="J1763" i="13" s="1"/>
  <c r="C1763" i="13"/>
  <c r="F1763" i="13" s="1"/>
  <c r="B1763" i="13"/>
  <c r="G1762" i="13"/>
  <c r="H1762" i="13" s="1"/>
  <c r="J1762" i="13" s="1"/>
  <c r="C1762" i="13"/>
  <c r="F1762" i="13" s="1"/>
  <c r="B1762" i="13"/>
  <c r="G1761" i="13"/>
  <c r="H1761" i="13" s="1"/>
  <c r="J1761" i="13" s="1"/>
  <c r="C1761" i="13"/>
  <c r="F1761" i="13" s="1"/>
  <c r="B1761" i="13"/>
  <c r="G1760" i="13"/>
  <c r="H1760" i="13" s="1"/>
  <c r="C1760" i="13"/>
  <c r="F1760" i="13" s="1"/>
  <c r="B1760" i="13"/>
  <c r="G1759" i="13"/>
  <c r="H1759" i="13" s="1"/>
  <c r="J1759" i="13" s="1"/>
  <c r="C1759" i="13"/>
  <c r="F1759" i="13" s="1"/>
  <c r="B1759" i="13"/>
  <c r="G1758" i="13"/>
  <c r="H1758" i="13" s="1"/>
  <c r="J1758" i="13" s="1"/>
  <c r="C1758" i="13"/>
  <c r="F1758" i="13" s="1"/>
  <c r="B1758" i="13"/>
  <c r="G1757" i="13"/>
  <c r="H1757" i="13" s="1"/>
  <c r="J1757" i="13" s="1"/>
  <c r="C1757" i="13"/>
  <c r="F1757" i="13" s="1"/>
  <c r="B1757" i="13"/>
  <c r="G1756" i="13"/>
  <c r="H1756" i="13" s="1"/>
  <c r="J1756" i="13" s="1"/>
  <c r="C1756" i="13"/>
  <c r="F1756" i="13" s="1"/>
  <c r="B1756" i="13"/>
  <c r="G1755" i="13"/>
  <c r="H1755" i="13" s="1"/>
  <c r="C1755" i="13"/>
  <c r="F1755" i="13" s="1"/>
  <c r="B1755" i="13"/>
  <c r="G1754" i="13"/>
  <c r="H1754" i="13" s="1"/>
  <c r="J1754" i="13" s="1"/>
  <c r="C1754" i="13"/>
  <c r="F1754" i="13" s="1"/>
  <c r="B1754" i="13"/>
  <c r="G1753" i="13"/>
  <c r="H1753" i="13" s="1"/>
  <c r="J1753" i="13" s="1"/>
  <c r="C1753" i="13"/>
  <c r="F1753" i="13" s="1"/>
  <c r="B1753" i="13"/>
  <c r="G1752" i="13"/>
  <c r="H1752" i="13" s="1"/>
  <c r="J1752" i="13" s="1"/>
  <c r="C1752" i="13"/>
  <c r="F1752" i="13" s="1"/>
  <c r="B1752" i="13"/>
  <c r="G1751" i="13"/>
  <c r="H1751" i="13" s="1"/>
  <c r="J1751" i="13" s="1"/>
  <c r="C1751" i="13"/>
  <c r="F1751" i="13" s="1"/>
  <c r="B1751" i="13"/>
  <c r="G1750" i="13"/>
  <c r="H1750" i="13" s="1"/>
  <c r="J1750" i="13" s="1"/>
  <c r="C1750" i="13"/>
  <c r="F1750" i="13" s="1"/>
  <c r="B1750" i="13"/>
  <c r="G1749" i="13"/>
  <c r="H1749" i="13" s="1"/>
  <c r="J1749" i="13" s="1"/>
  <c r="C1749" i="13"/>
  <c r="F1749" i="13" s="1"/>
  <c r="B1749" i="13"/>
  <c r="G1748" i="13"/>
  <c r="H1748" i="13" s="1"/>
  <c r="J1748" i="13" s="1"/>
  <c r="C1748" i="13"/>
  <c r="F1748" i="13" s="1"/>
  <c r="B1748" i="13"/>
  <c r="G1747" i="13"/>
  <c r="H1747" i="13" s="1"/>
  <c r="J1747" i="13" s="1"/>
  <c r="C1747" i="13"/>
  <c r="F1747" i="13" s="1"/>
  <c r="B1747" i="13"/>
  <c r="G1746" i="13"/>
  <c r="H1746" i="13" s="1"/>
  <c r="J1746" i="13" s="1"/>
  <c r="C1746" i="13"/>
  <c r="F1746" i="13" s="1"/>
  <c r="B1746" i="13"/>
  <c r="G1745" i="13"/>
  <c r="H1745" i="13" s="1"/>
  <c r="J1745" i="13" s="1"/>
  <c r="C1745" i="13"/>
  <c r="F1745" i="13" s="1"/>
  <c r="B1745" i="13"/>
  <c r="G1744" i="13"/>
  <c r="H1744" i="13" s="1"/>
  <c r="J1744" i="13" s="1"/>
  <c r="C1744" i="13"/>
  <c r="F1744" i="13" s="1"/>
  <c r="B1744" i="13"/>
  <c r="G1743" i="13"/>
  <c r="H1743" i="13" s="1"/>
  <c r="C1743" i="13"/>
  <c r="F1743" i="13" s="1"/>
  <c r="B1743" i="13"/>
  <c r="G1742" i="13"/>
  <c r="H1742" i="13" s="1"/>
  <c r="J1742" i="13" s="1"/>
  <c r="C1742" i="13"/>
  <c r="F1742" i="13" s="1"/>
  <c r="B1742" i="13"/>
  <c r="G1741" i="13"/>
  <c r="H1741" i="13" s="1"/>
  <c r="J1741" i="13" s="1"/>
  <c r="C1741" i="13"/>
  <c r="F1741" i="13" s="1"/>
  <c r="B1741" i="13"/>
  <c r="G1740" i="13"/>
  <c r="H1740" i="13" s="1"/>
  <c r="J1740" i="13" s="1"/>
  <c r="C1740" i="13"/>
  <c r="F1740" i="13" s="1"/>
  <c r="B1740" i="13"/>
  <c r="G1739" i="13"/>
  <c r="H1739" i="13" s="1"/>
  <c r="J1739" i="13" s="1"/>
  <c r="C1739" i="13"/>
  <c r="F1739" i="13" s="1"/>
  <c r="B1739" i="13"/>
  <c r="G1738" i="13"/>
  <c r="H1738" i="13" s="1"/>
  <c r="J1738" i="13" s="1"/>
  <c r="C1738" i="13"/>
  <c r="F1738" i="13" s="1"/>
  <c r="B1738" i="13"/>
  <c r="G1737" i="13"/>
  <c r="H1737" i="13" s="1"/>
  <c r="J1737" i="13" s="1"/>
  <c r="C1737" i="13"/>
  <c r="F1737" i="13" s="1"/>
  <c r="B1737" i="13"/>
  <c r="G1736" i="13"/>
  <c r="H1736" i="13" s="1"/>
  <c r="J1736" i="13" s="1"/>
  <c r="C1736" i="13"/>
  <c r="F1736" i="13" s="1"/>
  <c r="B1736" i="13"/>
  <c r="G1735" i="13"/>
  <c r="H1735" i="13" s="1"/>
  <c r="J1735" i="13" s="1"/>
  <c r="C1735" i="13"/>
  <c r="F1735" i="13" s="1"/>
  <c r="B1735" i="13"/>
  <c r="G1734" i="13"/>
  <c r="H1734" i="13" s="1"/>
  <c r="J1734" i="13" s="1"/>
  <c r="C1734" i="13"/>
  <c r="F1734" i="13" s="1"/>
  <c r="B1734" i="13"/>
  <c r="G1733" i="13"/>
  <c r="H1733" i="13" s="1"/>
  <c r="C1733" i="13"/>
  <c r="F1733" i="13" s="1"/>
  <c r="B1733" i="13"/>
  <c r="G1732" i="13"/>
  <c r="H1732" i="13" s="1"/>
  <c r="J1732" i="13" s="1"/>
  <c r="C1732" i="13"/>
  <c r="F1732" i="13" s="1"/>
  <c r="B1732" i="13"/>
  <c r="G1731" i="13"/>
  <c r="H1731" i="13" s="1"/>
  <c r="J1731" i="13" s="1"/>
  <c r="C1731" i="13"/>
  <c r="F1731" i="13" s="1"/>
  <c r="B1731" i="13"/>
  <c r="G1730" i="13"/>
  <c r="H1730" i="13" s="1"/>
  <c r="J1730" i="13" s="1"/>
  <c r="C1730" i="13"/>
  <c r="F1730" i="13" s="1"/>
  <c r="B1730" i="13"/>
  <c r="G1729" i="13"/>
  <c r="H1729" i="13" s="1"/>
  <c r="J1729" i="13" s="1"/>
  <c r="C1729" i="13"/>
  <c r="F1729" i="13" s="1"/>
  <c r="B1729" i="13"/>
  <c r="G1728" i="13"/>
  <c r="H1728" i="13" s="1"/>
  <c r="C1728" i="13"/>
  <c r="F1728" i="13" s="1"/>
  <c r="B1728" i="13"/>
  <c r="G1727" i="13"/>
  <c r="H1727" i="13" s="1"/>
  <c r="J1727" i="13" s="1"/>
  <c r="C1727" i="13"/>
  <c r="F1727" i="13" s="1"/>
  <c r="B1727" i="13"/>
  <c r="G1726" i="13"/>
  <c r="H1726" i="13" s="1"/>
  <c r="J1726" i="13" s="1"/>
  <c r="C1726" i="13"/>
  <c r="F1726" i="13" s="1"/>
  <c r="B1726" i="13"/>
  <c r="G1725" i="13"/>
  <c r="H1725" i="13" s="1"/>
  <c r="J1725" i="13" s="1"/>
  <c r="C1725" i="13"/>
  <c r="F1725" i="13" s="1"/>
  <c r="B1725" i="13"/>
  <c r="G1724" i="13"/>
  <c r="H1724" i="13" s="1"/>
  <c r="J1724" i="13" s="1"/>
  <c r="C1724" i="13"/>
  <c r="F1724" i="13" s="1"/>
  <c r="B1724" i="13"/>
  <c r="G1723" i="13"/>
  <c r="H1723" i="13" s="1"/>
  <c r="J1723" i="13" s="1"/>
  <c r="C1723" i="13"/>
  <c r="F1723" i="13" s="1"/>
  <c r="B1723" i="13"/>
  <c r="G1722" i="13"/>
  <c r="H1722" i="13" s="1"/>
  <c r="J1722" i="13" s="1"/>
  <c r="C1722" i="13"/>
  <c r="F1722" i="13" s="1"/>
  <c r="B1722" i="13"/>
  <c r="G1721" i="13"/>
  <c r="H1721" i="13" s="1"/>
  <c r="J1721" i="13" s="1"/>
  <c r="C1721" i="13"/>
  <c r="F1721" i="13" s="1"/>
  <c r="B1721" i="13"/>
  <c r="G1720" i="13"/>
  <c r="H1720" i="13" s="1"/>
  <c r="J1720" i="13" s="1"/>
  <c r="C1720" i="13"/>
  <c r="F1720" i="13" s="1"/>
  <c r="B1720" i="13"/>
  <c r="G1719" i="13"/>
  <c r="H1719" i="13" s="1"/>
  <c r="J1719" i="13" s="1"/>
  <c r="C1719" i="13"/>
  <c r="F1719" i="13" s="1"/>
  <c r="B1719" i="13"/>
  <c r="G1718" i="13"/>
  <c r="H1718" i="13" s="1"/>
  <c r="J1718" i="13" s="1"/>
  <c r="C1718" i="13"/>
  <c r="F1718" i="13" s="1"/>
  <c r="B1718" i="13"/>
  <c r="G1717" i="13"/>
  <c r="H1717" i="13" s="1"/>
  <c r="C1717" i="13"/>
  <c r="F1717" i="13" s="1"/>
  <c r="B1717" i="13"/>
  <c r="G1716" i="13"/>
  <c r="H1716" i="13" s="1"/>
  <c r="J1716" i="13" s="1"/>
  <c r="C1716" i="13"/>
  <c r="F1716" i="13" s="1"/>
  <c r="B1716" i="13"/>
  <c r="G1715" i="13"/>
  <c r="H1715" i="13" s="1"/>
  <c r="J1715" i="13" s="1"/>
  <c r="C1715" i="13"/>
  <c r="F1715" i="13" s="1"/>
  <c r="B1715" i="13"/>
  <c r="G1714" i="13"/>
  <c r="H1714" i="13" s="1"/>
  <c r="J1714" i="13" s="1"/>
  <c r="C1714" i="13"/>
  <c r="F1714" i="13" s="1"/>
  <c r="B1714" i="13"/>
  <c r="G1713" i="13"/>
  <c r="H1713" i="13" s="1"/>
  <c r="J1713" i="13" s="1"/>
  <c r="C1713" i="13"/>
  <c r="F1713" i="13" s="1"/>
  <c r="B1713" i="13"/>
  <c r="G1712" i="13"/>
  <c r="H1712" i="13" s="1"/>
  <c r="J1712" i="13" s="1"/>
  <c r="C1712" i="13"/>
  <c r="F1712" i="13" s="1"/>
  <c r="B1712" i="13"/>
  <c r="G1711" i="13"/>
  <c r="H1711" i="13" s="1"/>
  <c r="J1711" i="13" s="1"/>
  <c r="C1711" i="13"/>
  <c r="F1711" i="13" s="1"/>
  <c r="B1711" i="13"/>
  <c r="G1710" i="13"/>
  <c r="H1710" i="13" s="1"/>
  <c r="J1710" i="13" s="1"/>
  <c r="C1710" i="13"/>
  <c r="F1710" i="13" s="1"/>
  <c r="B1710" i="13"/>
  <c r="G1709" i="13"/>
  <c r="H1709" i="13" s="1"/>
  <c r="C1709" i="13"/>
  <c r="F1709" i="13" s="1"/>
  <c r="B1709" i="13"/>
  <c r="G1708" i="13"/>
  <c r="H1708" i="13" s="1"/>
  <c r="C1708" i="13"/>
  <c r="F1708" i="13" s="1"/>
  <c r="B1708" i="13"/>
  <c r="G1707" i="13"/>
  <c r="H1707" i="13" s="1"/>
  <c r="J1707" i="13" s="1"/>
  <c r="C1707" i="13"/>
  <c r="F1707" i="13" s="1"/>
  <c r="B1707" i="13"/>
  <c r="G1706" i="13"/>
  <c r="H1706" i="13" s="1"/>
  <c r="J1706" i="13" s="1"/>
  <c r="C1706" i="13"/>
  <c r="F1706" i="13" s="1"/>
  <c r="B1706" i="13"/>
  <c r="G1705" i="13"/>
  <c r="H1705" i="13" s="1"/>
  <c r="J1705" i="13" s="1"/>
  <c r="C1705" i="13"/>
  <c r="F1705" i="13" s="1"/>
  <c r="B1705" i="13"/>
  <c r="G1704" i="13"/>
  <c r="H1704" i="13" s="1"/>
  <c r="J1704" i="13" s="1"/>
  <c r="C1704" i="13"/>
  <c r="F1704" i="13" s="1"/>
  <c r="B1704" i="13"/>
  <c r="G1703" i="13"/>
  <c r="H1703" i="13" s="1"/>
  <c r="J1703" i="13" s="1"/>
  <c r="C1703" i="13"/>
  <c r="F1703" i="13" s="1"/>
  <c r="B1703" i="13"/>
  <c r="G1702" i="13"/>
  <c r="H1702" i="13" s="1"/>
  <c r="J1702" i="13" s="1"/>
  <c r="C1702" i="13"/>
  <c r="F1702" i="13" s="1"/>
  <c r="B1702" i="13"/>
  <c r="G1701" i="13"/>
  <c r="H1701" i="13" s="1"/>
  <c r="J1701" i="13" s="1"/>
  <c r="C1701" i="13"/>
  <c r="F1701" i="13" s="1"/>
  <c r="B1701" i="13"/>
  <c r="G1700" i="13"/>
  <c r="H1700" i="13" s="1"/>
  <c r="C1700" i="13"/>
  <c r="F1700" i="13" s="1"/>
  <c r="B1700" i="13"/>
  <c r="G1699" i="13"/>
  <c r="H1699" i="13" s="1"/>
  <c r="J1699" i="13" s="1"/>
  <c r="C1699" i="13"/>
  <c r="F1699" i="13" s="1"/>
  <c r="B1699" i="13"/>
  <c r="G1698" i="13"/>
  <c r="H1698" i="13" s="1"/>
  <c r="J1698" i="13" s="1"/>
  <c r="C1698" i="13"/>
  <c r="F1698" i="13" s="1"/>
  <c r="B1698" i="13"/>
  <c r="G1697" i="13"/>
  <c r="H1697" i="13" s="1"/>
  <c r="J1697" i="13" s="1"/>
  <c r="C1697" i="13"/>
  <c r="F1697" i="13" s="1"/>
  <c r="B1697" i="13"/>
  <c r="G1696" i="13"/>
  <c r="H1696" i="13" s="1"/>
  <c r="J1696" i="13" s="1"/>
  <c r="C1696" i="13"/>
  <c r="F1696" i="13" s="1"/>
  <c r="B1696" i="13"/>
  <c r="G1695" i="13"/>
  <c r="H1695" i="13" s="1"/>
  <c r="J1695" i="13" s="1"/>
  <c r="C1695" i="13"/>
  <c r="F1695" i="13" s="1"/>
  <c r="B1695" i="13"/>
  <c r="G1694" i="13"/>
  <c r="H1694" i="13" s="1"/>
  <c r="J1694" i="13" s="1"/>
  <c r="C1694" i="13"/>
  <c r="F1694" i="13" s="1"/>
  <c r="B1694" i="13"/>
  <c r="G1693" i="13"/>
  <c r="H1693" i="13" s="1"/>
  <c r="J1693" i="13" s="1"/>
  <c r="C1693" i="13"/>
  <c r="F1693" i="13" s="1"/>
  <c r="B1693" i="13"/>
  <c r="G1692" i="13"/>
  <c r="H1692" i="13" s="1"/>
  <c r="C1692" i="13"/>
  <c r="F1692" i="13" s="1"/>
  <c r="B1692" i="13"/>
  <c r="G1691" i="13"/>
  <c r="H1691" i="13" s="1"/>
  <c r="J1691" i="13" s="1"/>
  <c r="C1691" i="13"/>
  <c r="F1691" i="13" s="1"/>
  <c r="B1691" i="13"/>
  <c r="G1690" i="13"/>
  <c r="H1690" i="13" s="1"/>
  <c r="J1690" i="13" s="1"/>
  <c r="C1690" i="13"/>
  <c r="F1690" i="13" s="1"/>
  <c r="B1690" i="13"/>
  <c r="G1689" i="13"/>
  <c r="H1689" i="13" s="1"/>
  <c r="J1689" i="13" s="1"/>
  <c r="C1689" i="13"/>
  <c r="F1689" i="13" s="1"/>
  <c r="B1689" i="13"/>
  <c r="G1688" i="13"/>
  <c r="H1688" i="13" s="1"/>
  <c r="J1688" i="13" s="1"/>
  <c r="C1688" i="13"/>
  <c r="F1688" i="13" s="1"/>
  <c r="B1688" i="13"/>
  <c r="G1687" i="13"/>
  <c r="H1687" i="13" s="1"/>
  <c r="J1687" i="13" s="1"/>
  <c r="C1687" i="13"/>
  <c r="F1687" i="13" s="1"/>
  <c r="B1687" i="13"/>
  <c r="G1686" i="13"/>
  <c r="H1686" i="13" s="1"/>
  <c r="C1686" i="13"/>
  <c r="F1686" i="13" s="1"/>
  <c r="B1686" i="13"/>
  <c r="G1685" i="13"/>
  <c r="H1685" i="13" s="1"/>
  <c r="J1685" i="13" s="1"/>
  <c r="C1685" i="13"/>
  <c r="F1685" i="13" s="1"/>
  <c r="B1685" i="13"/>
  <c r="G1684" i="13"/>
  <c r="H1684" i="13" s="1"/>
  <c r="J1684" i="13" s="1"/>
  <c r="C1684" i="13"/>
  <c r="F1684" i="13" s="1"/>
  <c r="B1684" i="13"/>
  <c r="G1683" i="13"/>
  <c r="H1683" i="13" s="1"/>
  <c r="J1683" i="13" s="1"/>
  <c r="C1683" i="13"/>
  <c r="F1683" i="13" s="1"/>
  <c r="B1683" i="13"/>
  <c r="G1682" i="13"/>
  <c r="H1682" i="13" s="1"/>
  <c r="J1682" i="13" s="1"/>
  <c r="C1682" i="13"/>
  <c r="F1682" i="13" s="1"/>
  <c r="B1682" i="13"/>
  <c r="G1681" i="13"/>
  <c r="H1681" i="13" s="1"/>
  <c r="J1681" i="13" s="1"/>
  <c r="C1681" i="13"/>
  <c r="F1681" i="13" s="1"/>
  <c r="B1681" i="13"/>
  <c r="G1680" i="13"/>
  <c r="H1680" i="13" s="1"/>
  <c r="C1680" i="13"/>
  <c r="F1680" i="13" s="1"/>
  <c r="B1680" i="13"/>
  <c r="G1679" i="13"/>
  <c r="H1679" i="13" s="1"/>
  <c r="J1679" i="13" s="1"/>
  <c r="C1679" i="13"/>
  <c r="F1679" i="13" s="1"/>
  <c r="B1679" i="13"/>
  <c r="G1678" i="13"/>
  <c r="H1678" i="13" s="1"/>
  <c r="J1678" i="13" s="1"/>
  <c r="C1678" i="13"/>
  <c r="F1678" i="13" s="1"/>
  <c r="B1678" i="13"/>
  <c r="G1677" i="13"/>
  <c r="H1677" i="13" s="1"/>
  <c r="J1677" i="13" s="1"/>
  <c r="C1677" i="13"/>
  <c r="F1677" i="13" s="1"/>
  <c r="B1677" i="13"/>
  <c r="G1676" i="13"/>
  <c r="H1676" i="13" s="1"/>
  <c r="J1676" i="13" s="1"/>
  <c r="C1676" i="13"/>
  <c r="F1676" i="13" s="1"/>
  <c r="B1676" i="13"/>
  <c r="G1675" i="13"/>
  <c r="H1675" i="13" s="1"/>
  <c r="J1675" i="13" s="1"/>
  <c r="C1675" i="13"/>
  <c r="F1675" i="13" s="1"/>
  <c r="B1675" i="13"/>
  <c r="G1674" i="13"/>
  <c r="H1674" i="13" s="1"/>
  <c r="C1674" i="13"/>
  <c r="F1674" i="13" s="1"/>
  <c r="B1674" i="13"/>
  <c r="G1673" i="13"/>
  <c r="H1673" i="13" s="1"/>
  <c r="J1673" i="13" s="1"/>
  <c r="C1673" i="13"/>
  <c r="F1673" i="13" s="1"/>
  <c r="B1673" i="13"/>
  <c r="G1672" i="13"/>
  <c r="H1672" i="13" s="1"/>
  <c r="J1672" i="13" s="1"/>
  <c r="C1672" i="13"/>
  <c r="F1672" i="13" s="1"/>
  <c r="B1672" i="13"/>
  <c r="G1671" i="13"/>
  <c r="H1671" i="13" s="1"/>
  <c r="J1671" i="13" s="1"/>
  <c r="C1671" i="13"/>
  <c r="F1671" i="13" s="1"/>
  <c r="B1671" i="13"/>
  <c r="G1670" i="13"/>
  <c r="H1670" i="13" s="1"/>
  <c r="J1670" i="13" s="1"/>
  <c r="C1670" i="13"/>
  <c r="F1670" i="13" s="1"/>
  <c r="B1670" i="13"/>
  <c r="G1669" i="13"/>
  <c r="H1669" i="13" s="1"/>
  <c r="J1669" i="13" s="1"/>
  <c r="C1669" i="13"/>
  <c r="F1669" i="13" s="1"/>
  <c r="B1669" i="13"/>
  <c r="G1668" i="13"/>
  <c r="H1668" i="13" s="1"/>
  <c r="C1668" i="13"/>
  <c r="F1668" i="13" s="1"/>
  <c r="B1668" i="13"/>
  <c r="G1667" i="13"/>
  <c r="H1667" i="13" s="1"/>
  <c r="J1667" i="13" s="1"/>
  <c r="C1667" i="13"/>
  <c r="F1667" i="13" s="1"/>
  <c r="B1667" i="13"/>
  <c r="G1666" i="13"/>
  <c r="H1666" i="13" s="1"/>
  <c r="J1666" i="13" s="1"/>
  <c r="C1666" i="13"/>
  <c r="F1666" i="13" s="1"/>
  <c r="B1666" i="13"/>
  <c r="G1665" i="13"/>
  <c r="H1665" i="13" s="1"/>
  <c r="J1665" i="13" s="1"/>
  <c r="C1665" i="13"/>
  <c r="F1665" i="13" s="1"/>
  <c r="B1665" i="13"/>
  <c r="G1664" i="13"/>
  <c r="H1664" i="13" s="1"/>
  <c r="J1664" i="13" s="1"/>
  <c r="C1664" i="13"/>
  <c r="F1664" i="13" s="1"/>
  <c r="B1664" i="13"/>
  <c r="G1663" i="13"/>
  <c r="H1663" i="13" s="1"/>
  <c r="J1663" i="13" s="1"/>
  <c r="C1663" i="13"/>
  <c r="F1663" i="13" s="1"/>
  <c r="B1663" i="13"/>
  <c r="G1662" i="13"/>
  <c r="H1662" i="13" s="1"/>
  <c r="J1662" i="13" s="1"/>
  <c r="C1662" i="13"/>
  <c r="F1662" i="13" s="1"/>
  <c r="B1662" i="13"/>
  <c r="G1661" i="13"/>
  <c r="H1661" i="13" s="1"/>
  <c r="J1661" i="13" s="1"/>
  <c r="C1661" i="13"/>
  <c r="F1661" i="13" s="1"/>
  <c r="B1661" i="13"/>
  <c r="G1660" i="13"/>
  <c r="H1660" i="13" s="1"/>
  <c r="J1660" i="13" s="1"/>
  <c r="C1660" i="13"/>
  <c r="F1660" i="13" s="1"/>
  <c r="B1660" i="13"/>
  <c r="G1659" i="13"/>
  <c r="H1659" i="13" s="1"/>
  <c r="J1659" i="13" s="1"/>
  <c r="C1659" i="13"/>
  <c r="F1659" i="13" s="1"/>
  <c r="B1659" i="13"/>
  <c r="G1658" i="13"/>
  <c r="H1658" i="13" s="1"/>
  <c r="J1658" i="13" s="1"/>
  <c r="C1658" i="13"/>
  <c r="F1658" i="13" s="1"/>
  <c r="B1658" i="13"/>
  <c r="G1657" i="13"/>
  <c r="H1657" i="13" s="1"/>
  <c r="J1657" i="13" s="1"/>
  <c r="C1657" i="13"/>
  <c r="F1657" i="13" s="1"/>
  <c r="B1657" i="13"/>
  <c r="G1656" i="13"/>
  <c r="H1656" i="13" s="1"/>
  <c r="C1656" i="13"/>
  <c r="F1656" i="13" s="1"/>
  <c r="B1656" i="13"/>
  <c r="G1655" i="13"/>
  <c r="H1655" i="13" s="1"/>
  <c r="J1655" i="13" s="1"/>
  <c r="C1655" i="13"/>
  <c r="F1655" i="13" s="1"/>
  <c r="B1655" i="13"/>
  <c r="G1654" i="13"/>
  <c r="H1654" i="13" s="1"/>
  <c r="J1654" i="13" s="1"/>
  <c r="C1654" i="13"/>
  <c r="F1654" i="13" s="1"/>
  <c r="B1654" i="13"/>
  <c r="G1653" i="13"/>
  <c r="H1653" i="13" s="1"/>
  <c r="J1653" i="13" s="1"/>
  <c r="C1653" i="13"/>
  <c r="F1653" i="13" s="1"/>
  <c r="B1653" i="13"/>
  <c r="G1652" i="13"/>
  <c r="H1652" i="13" s="1"/>
  <c r="J1652" i="13" s="1"/>
  <c r="C1652" i="13"/>
  <c r="F1652" i="13" s="1"/>
  <c r="B1652" i="13"/>
  <c r="G1651" i="13"/>
  <c r="H1651" i="13" s="1"/>
  <c r="J1651" i="13" s="1"/>
  <c r="C1651" i="13"/>
  <c r="F1651" i="13" s="1"/>
  <c r="B1651" i="13"/>
  <c r="G1650" i="13"/>
  <c r="H1650" i="13" s="1"/>
  <c r="J1650" i="13" s="1"/>
  <c r="C1650" i="13"/>
  <c r="F1650" i="13" s="1"/>
  <c r="B1650" i="13"/>
  <c r="G1649" i="13"/>
  <c r="H1649" i="13" s="1"/>
  <c r="J1649" i="13" s="1"/>
  <c r="C1649" i="13"/>
  <c r="F1649" i="13" s="1"/>
  <c r="B1649" i="13"/>
  <c r="G1648" i="13"/>
  <c r="H1648" i="13" s="1"/>
  <c r="J1648" i="13" s="1"/>
  <c r="C1648" i="13"/>
  <c r="F1648" i="13" s="1"/>
  <c r="B1648" i="13"/>
  <c r="G1647" i="13"/>
  <c r="H1647" i="13" s="1"/>
  <c r="J1647" i="13" s="1"/>
  <c r="C1647" i="13"/>
  <c r="F1647" i="13" s="1"/>
  <c r="B1647" i="13"/>
  <c r="G1646" i="13"/>
  <c r="H1646" i="13" s="1"/>
  <c r="J1646" i="13" s="1"/>
  <c r="C1646" i="13"/>
  <c r="F1646" i="13" s="1"/>
  <c r="B1646" i="13"/>
  <c r="G1645" i="13"/>
  <c r="H1645" i="13" s="1"/>
  <c r="J1645" i="13" s="1"/>
  <c r="C1645" i="13"/>
  <c r="F1645" i="13" s="1"/>
  <c r="B1645" i="13"/>
  <c r="G1644" i="13"/>
  <c r="H1644" i="13" s="1"/>
  <c r="C1644" i="13"/>
  <c r="F1644" i="13" s="1"/>
  <c r="B1644" i="13"/>
  <c r="G1643" i="13"/>
  <c r="H1643" i="13" s="1"/>
  <c r="J1643" i="13" s="1"/>
  <c r="C1643" i="13"/>
  <c r="F1643" i="13" s="1"/>
  <c r="B1643" i="13"/>
  <c r="G1642" i="13"/>
  <c r="H1642" i="13" s="1"/>
  <c r="J1642" i="13" s="1"/>
  <c r="C1642" i="13"/>
  <c r="F1642" i="13" s="1"/>
  <c r="B1642" i="13"/>
  <c r="G1641" i="13"/>
  <c r="H1641" i="13" s="1"/>
  <c r="J1641" i="13" s="1"/>
  <c r="C1641" i="13"/>
  <c r="F1641" i="13" s="1"/>
  <c r="B1641" i="13"/>
  <c r="G1640" i="13"/>
  <c r="H1640" i="13" s="1"/>
  <c r="J1640" i="13" s="1"/>
  <c r="C1640" i="13"/>
  <c r="F1640" i="13" s="1"/>
  <c r="B1640" i="13"/>
  <c r="G1639" i="13"/>
  <c r="H1639" i="13" s="1"/>
  <c r="J1639" i="13" s="1"/>
  <c r="C1639" i="13"/>
  <c r="F1639" i="13" s="1"/>
  <c r="B1639" i="13"/>
  <c r="G1638" i="13"/>
  <c r="H1638" i="13" s="1"/>
  <c r="J1638" i="13" s="1"/>
  <c r="C1638" i="13"/>
  <c r="F1638" i="13" s="1"/>
  <c r="B1638" i="13"/>
  <c r="G1637" i="13"/>
  <c r="H1637" i="13" s="1"/>
  <c r="J1637" i="13" s="1"/>
  <c r="C1637" i="13"/>
  <c r="F1637" i="13" s="1"/>
  <c r="B1637" i="13"/>
  <c r="G1636" i="13"/>
  <c r="H1636" i="13" s="1"/>
  <c r="J1636" i="13" s="1"/>
  <c r="C1636" i="13"/>
  <c r="F1636" i="13" s="1"/>
  <c r="B1636" i="13"/>
  <c r="G1635" i="13"/>
  <c r="H1635" i="13" s="1"/>
  <c r="J1635" i="13" s="1"/>
  <c r="C1635" i="13"/>
  <c r="F1635" i="13" s="1"/>
  <c r="B1635" i="13"/>
  <c r="G1634" i="13"/>
  <c r="H1634" i="13" s="1"/>
  <c r="J1634" i="13" s="1"/>
  <c r="C1634" i="13"/>
  <c r="F1634" i="13" s="1"/>
  <c r="B1634" i="13"/>
  <c r="G1633" i="13"/>
  <c r="H1633" i="13" s="1"/>
  <c r="J1633" i="13" s="1"/>
  <c r="C1633" i="13"/>
  <c r="F1633" i="13" s="1"/>
  <c r="B1633" i="13"/>
  <c r="G1632" i="13"/>
  <c r="H1632" i="13" s="1"/>
  <c r="C1632" i="13"/>
  <c r="F1632" i="13" s="1"/>
  <c r="B1632" i="13"/>
  <c r="G1631" i="13"/>
  <c r="H1631" i="13" s="1"/>
  <c r="J1631" i="13" s="1"/>
  <c r="C1631" i="13"/>
  <c r="F1631" i="13" s="1"/>
  <c r="B1631" i="13"/>
  <c r="G1630" i="13"/>
  <c r="H1630" i="13" s="1"/>
  <c r="J1630" i="13" s="1"/>
  <c r="C1630" i="13"/>
  <c r="F1630" i="13" s="1"/>
  <c r="B1630" i="13"/>
  <c r="G1629" i="13"/>
  <c r="H1629" i="13" s="1"/>
  <c r="J1629" i="13" s="1"/>
  <c r="C1629" i="13"/>
  <c r="F1629" i="13" s="1"/>
  <c r="B1629" i="13"/>
  <c r="G1628" i="13"/>
  <c r="H1628" i="13" s="1"/>
  <c r="J1628" i="13" s="1"/>
  <c r="C1628" i="13"/>
  <c r="F1628" i="13" s="1"/>
  <c r="B1628" i="13"/>
  <c r="G1627" i="13"/>
  <c r="H1627" i="13" s="1"/>
  <c r="J1627" i="13" s="1"/>
  <c r="C1627" i="13"/>
  <c r="F1627" i="13" s="1"/>
  <c r="B1627" i="13"/>
  <c r="G1626" i="13"/>
  <c r="H1626" i="13" s="1"/>
  <c r="J1626" i="13" s="1"/>
  <c r="C1626" i="13"/>
  <c r="F1626" i="13" s="1"/>
  <c r="B1626" i="13"/>
  <c r="G1625" i="13"/>
  <c r="H1625" i="13" s="1"/>
  <c r="J1625" i="13" s="1"/>
  <c r="C1625" i="13"/>
  <c r="F1625" i="13" s="1"/>
  <c r="B1625" i="13"/>
  <c r="G1624" i="13"/>
  <c r="H1624" i="13" s="1"/>
  <c r="J1624" i="13" s="1"/>
  <c r="C1624" i="13"/>
  <c r="F1624" i="13" s="1"/>
  <c r="B1624" i="13"/>
  <c r="G1623" i="13"/>
  <c r="H1623" i="13" s="1"/>
  <c r="J1623" i="13" s="1"/>
  <c r="C1623" i="13"/>
  <c r="F1623" i="13" s="1"/>
  <c r="B1623" i="13"/>
  <c r="G1622" i="13"/>
  <c r="H1622" i="13" s="1"/>
  <c r="J1622" i="13" s="1"/>
  <c r="C1622" i="13"/>
  <c r="F1622" i="13" s="1"/>
  <c r="B1622" i="13"/>
  <c r="G1621" i="13"/>
  <c r="H1621" i="13" s="1"/>
  <c r="J1621" i="13" s="1"/>
  <c r="C1621" i="13"/>
  <c r="F1621" i="13" s="1"/>
  <c r="B1621" i="13"/>
  <c r="G1620" i="13"/>
  <c r="H1620" i="13" s="1"/>
  <c r="C1620" i="13"/>
  <c r="F1620" i="13" s="1"/>
  <c r="B1620" i="13"/>
  <c r="G1619" i="13"/>
  <c r="H1619" i="13" s="1"/>
  <c r="J1619" i="13" s="1"/>
  <c r="C1619" i="13"/>
  <c r="F1619" i="13" s="1"/>
  <c r="B1619" i="13"/>
  <c r="G1618" i="13"/>
  <c r="H1618" i="13" s="1"/>
  <c r="J1618" i="13" s="1"/>
  <c r="C1618" i="13"/>
  <c r="F1618" i="13" s="1"/>
  <c r="B1618" i="13"/>
  <c r="G1617" i="13"/>
  <c r="H1617" i="13" s="1"/>
  <c r="J1617" i="13" s="1"/>
  <c r="C1617" i="13"/>
  <c r="F1617" i="13" s="1"/>
  <c r="B1617" i="13"/>
  <c r="G1616" i="13"/>
  <c r="H1616" i="13" s="1"/>
  <c r="J1616" i="13" s="1"/>
  <c r="C1616" i="13"/>
  <c r="F1616" i="13" s="1"/>
  <c r="B1616" i="13"/>
  <c r="G1615" i="13"/>
  <c r="H1615" i="13" s="1"/>
  <c r="J1615" i="13" s="1"/>
  <c r="C1615" i="13"/>
  <c r="F1615" i="13" s="1"/>
  <c r="B1615" i="13"/>
  <c r="G1614" i="13"/>
  <c r="H1614" i="13" s="1"/>
  <c r="J1614" i="13" s="1"/>
  <c r="C1614" i="13"/>
  <c r="F1614" i="13" s="1"/>
  <c r="B1614" i="13"/>
  <c r="G1613" i="13"/>
  <c r="H1613" i="13" s="1"/>
  <c r="J1613" i="13" s="1"/>
  <c r="C1613" i="13"/>
  <c r="F1613" i="13" s="1"/>
  <c r="B1613" i="13"/>
  <c r="G1612" i="13"/>
  <c r="H1612" i="13" s="1"/>
  <c r="J1612" i="13" s="1"/>
  <c r="C1612" i="13"/>
  <c r="F1612" i="13" s="1"/>
  <c r="B1612" i="13"/>
  <c r="G1611" i="13"/>
  <c r="H1611" i="13" s="1"/>
  <c r="J1611" i="13" s="1"/>
  <c r="C1611" i="13"/>
  <c r="F1611" i="13" s="1"/>
  <c r="B1611" i="13"/>
  <c r="G1610" i="13"/>
  <c r="H1610" i="13" s="1"/>
  <c r="J1610" i="13" s="1"/>
  <c r="C1610" i="13"/>
  <c r="F1610" i="13" s="1"/>
  <c r="B1610" i="13"/>
  <c r="G1609" i="13"/>
  <c r="H1609" i="13" s="1"/>
  <c r="J1609" i="13" s="1"/>
  <c r="C1609" i="13"/>
  <c r="F1609" i="13" s="1"/>
  <c r="B1609" i="13"/>
  <c r="G1608" i="13"/>
  <c r="H1608" i="13" s="1"/>
  <c r="C1608" i="13"/>
  <c r="F1608" i="13" s="1"/>
  <c r="B1608" i="13"/>
  <c r="G1607" i="13"/>
  <c r="H1607" i="13" s="1"/>
  <c r="J1607" i="13" s="1"/>
  <c r="C1607" i="13"/>
  <c r="F1607" i="13" s="1"/>
  <c r="B1607" i="13"/>
  <c r="G1606" i="13"/>
  <c r="H1606" i="13" s="1"/>
  <c r="J1606" i="13" s="1"/>
  <c r="C1606" i="13"/>
  <c r="F1606" i="13" s="1"/>
  <c r="B1606" i="13"/>
  <c r="G1605" i="13"/>
  <c r="H1605" i="13" s="1"/>
  <c r="J1605" i="13" s="1"/>
  <c r="C1605" i="13"/>
  <c r="F1605" i="13" s="1"/>
  <c r="B1605" i="13"/>
  <c r="G1604" i="13"/>
  <c r="H1604" i="13" s="1"/>
  <c r="J1604" i="13" s="1"/>
  <c r="C1604" i="13"/>
  <c r="F1604" i="13" s="1"/>
  <c r="B1604" i="13"/>
  <c r="G1603" i="13"/>
  <c r="H1603" i="13" s="1"/>
  <c r="J1603" i="13" s="1"/>
  <c r="C1603" i="13"/>
  <c r="F1603" i="13" s="1"/>
  <c r="B1603" i="13"/>
  <c r="G1602" i="13"/>
  <c r="H1602" i="13" s="1"/>
  <c r="J1602" i="13" s="1"/>
  <c r="C1602" i="13"/>
  <c r="F1602" i="13" s="1"/>
  <c r="B1602" i="13"/>
  <c r="G1601" i="13"/>
  <c r="H1601" i="13" s="1"/>
  <c r="J1601" i="13" s="1"/>
  <c r="C1601" i="13"/>
  <c r="F1601" i="13" s="1"/>
  <c r="B1601" i="13"/>
  <c r="G1600" i="13"/>
  <c r="H1600" i="13" s="1"/>
  <c r="J1600" i="13" s="1"/>
  <c r="C1600" i="13"/>
  <c r="F1600" i="13" s="1"/>
  <c r="B1600" i="13"/>
  <c r="G1599" i="13"/>
  <c r="H1599" i="13" s="1"/>
  <c r="J1599" i="13" s="1"/>
  <c r="C1599" i="13"/>
  <c r="F1599" i="13" s="1"/>
  <c r="B1599" i="13"/>
  <c r="G1598" i="13"/>
  <c r="H1598" i="13" s="1"/>
  <c r="J1598" i="13" s="1"/>
  <c r="C1598" i="13"/>
  <c r="F1598" i="13" s="1"/>
  <c r="B1598" i="13"/>
  <c r="G1597" i="13"/>
  <c r="H1597" i="13" s="1"/>
  <c r="J1597" i="13" s="1"/>
  <c r="C1597" i="13"/>
  <c r="F1597" i="13" s="1"/>
  <c r="B1597" i="13"/>
  <c r="G1596" i="13"/>
  <c r="H1596" i="13" s="1"/>
  <c r="C1596" i="13"/>
  <c r="F1596" i="13" s="1"/>
  <c r="B1596" i="13"/>
  <c r="G1595" i="13"/>
  <c r="H1595" i="13" s="1"/>
  <c r="J1595" i="13" s="1"/>
  <c r="C1595" i="13"/>
  <c r="F1595" i="13" s="1"/>
  <c r="B1595" i="13"/>
  <c r="G1594" i="13"/>
  <c r="H1594" i="13" s="1"/>
  <c r="J1594" i="13" s="1"/>
  <c r="C1594" i="13"/>
  <c r="F1594" i="13" s="1"/>
  <c r="B1594" i="13"/>
  <c r="G1593" i="13"/>
  <c r="H1593" i="13" s="1"/>
  <c r="J1593" i="13" s="1"/>
  <c r="C1593" i="13"/>
  <c r="F1593" i="13" s="1"/>
  <c r="B1593" i="13"/>
  <c r="G1592" i="13"/>
  <c r="H1592" i="13" s="1"/>
  <c r="J1592" i="13" s="1"/>
  <c r="C1592" i="13"/>
  <c r="F1592" i="13" s="1"/>
  <c r="B1592" i="13"/>
  <c r="G1591" i="13"/>
  <c r="H1591" i="13" s="1"/>
  <c r="J1591" i="13" s="1"/>
  <c r="C1591" i="13"/>
  <c r="F1591" i="13" s="1"/>
  <c r="B1591" i="13"/>
  <c r="G1590" i="13"/>
  <c r="H1590" i="13" s="1"/>
  <c r="J1590" i="13" s="1"/>
  <c r="C1590" i="13"/>
  <c r="F1590" i="13" s="1"/>
  <c r="B1590" i="13"/>
  <c r="G1589" i="13"/>
  <c r="H1589" i="13" s="1"/>
  <c r="J1589" i="13" s="1"/>
  <c r="C1589" i="13"/>
  <c r="F1589" i="13" s="1"/>
  <c r="B1589" i="13"/>
  <c r="G1588" i="13"/>
  <c r="H1588" i="13" s="1"/>
  <c r="J1588" i="13" s="1"/>
  <c r="C1588" i="13"/>
  <c r="F1588" i="13" s="1"/>
  <c r="B1588" i="13"/>
  <c r="G1587" i="13"/>
  <c r="H1587" i="13" s="1"/>
  <c r="J1587" i="13" s="1"/>
  <c r="C1587" i="13"/>
  <c r="F1587" i="13" s="1"/>
  <c r="B1587" i="13"/>
  <c r="G1586" i="13"/>
  <c r="H1586" i="13" s="1"/>
  <c r="J1586" i="13" s="1"/>
  <c r="C1586" i="13"/>
  <c r="F1586" i="13" s="1"/>
  <c r="B1586" i="13"/>
  <c r="G1585" i="13"/>
  <c r="H1585" i="13" s="1"/>
  <c r="J1585" i="13" s="1"/>
  <c r="C1585" i="13"/>
  <c r="F1585" i="13" s="1"/>
  <c r="B1585" i="13"/>
  <c r="G1584" i="13"/>
  <c r="H1584" i="13" s="1"/>
  <c r="C1584" i="13"/>
  <c r="F1584" i="13" s="1"/>
  <c r="B1584" i="13"/>
  <c r="G1583" i="13"/>
  <c r="H1583" i="13" s="1"/>
  <c r="J1583" i="13" s="1"/>
  <c r="C1583" i="13"/>
  <c r="F1583" i="13" s="1"/>
  <c r="B1583" i="13"/>
  <c r="G1582" i="13"/>
  <c r="H1582" i="13" s="1"/>
  <c r="J1582" i="13" s="1"/>
  <c r="C1582" i="13"/>
  <c r="F1582" i="13" s="1"/>
  <c r="B1582" i="13"/>
  <c r="G1581" i="13"/>
  <c r="H1581" i="13" s="1"/>
  <c r="J1581" i="13" s="1"/>
  <c r="C1581" i="13"/>
  <c r="F1581" i="13" s="1"/>
  <c r="B1581" i="13"/>
  <c r="G1580" i="13"/>
  <c r="H1580" i="13" s="1"/>
  <c r="J1580" i="13" s="1"/>
  <c r="C1580" i="13"/>
  <c r="F1580" i="13" s="1"/>
  <c r="B1580" i="13"/>
  <c r="G1579" i="13"/>
  <c r="H1579" i="13" s="1"/>
  <c r="J1579" i="13" s="1"/>
  <c r="C1579" i="13"/>
  <c r="F1579" i="13" s="1"/>
  <c r="B1579" i="13"/>
  <c r="G1578" i="13"/>
  <c r="H1578" i="13" s="1"/>
  <c r="J1578" i="13" s="1"/>
  <c r="C1578" i="13"/>
  <c r="F1578" i="13" s="1"/>
  <c r="B1578" i="13"/>
  <c r="G1577" i="13"/>
  <c r="H1577" i="13" s="1"/>
  <c r="J1577" i="13" s="1"/>
  <c r="C1577" i="13"/>
  <c r="F1577" i="13" s="1"/>
  <c r="B1577" i="13"/>
  <c r="G1576" i="13"/>
  <c r="H1576" i="13" s="1"/>
  <c r="J1576" i="13" s="1"/>
  <c r="C1576" i="13"/>
  <c r="F1576" i="13" s="1"/>
  <c r="B1576" i="13"/>
  <c r="G1575" i="13"/>
  <c r="H1575" i="13" s="1"/>
  <c r="J1575" i="13" s="1"/>
  <c r="C1575" i="13"/>
  <c r="F1575" i="13" s="1"/>
  <c r="B1575" i="13"/>
  <c r="G1574" i="13"/>
  <c r="H1574" i="13" s="1"/>
  <c r="J1574" i="13" s="1"/>
  <c r="C1574" i="13"/>
  <c r="F1574" i="13" s="1"/>
  <c r="B1574" i="13"/>
  <c r="G1573" i="13"/>
  <c r="H1573" i="13" s="1"/>
  <c r="J1573" i="13" s="1"/>
  <c r="C1573" i="13"/>
  <c r="F1573" i="13" s="1"/>
  <c r="B1573" i="13"/>
  <c r="G1572" i="13"/>
  <c r="H1572" i="13" s="1"/>
  <c r="C1572" i="13"/>
  <c r="F1572" i="13" s="1"/>
  <c r="B1572" i="13"/>
  <c r="G1571" i="13"/>
  <c r="H1571" i="13" s="1"/>
  <c r="J1571" i="13" s="1"/>
  <c r="C1571" i="13"/>
  <c r="F1571" i="13" s="1"/>
  <c r="B1571" i="13"/>
  <c r="G1570" i="13"/>
  <c r="H1570" i="13" s="1"/>
  <c r="J1570" i="13" s="1"/>
  <c r="C1570" i="13"/>
  <c r="F1570" i="13" s="1"/>
  <c r="B1570" i="13"/>
  <c r="G1569" i="13"/>
  <c r="H1569" i="13" s="1"/>
  <c r="J1569" i="13" s="1"/>
  <c r="C1569" i="13"/>
  <c r="F1569" i="13" s="1"/>
  <c r="B1569" i="13"/>
  <c r="G1568" i="13"/>
  <c r="H1568" i="13" s="1"/>
  <c r="J1568" i="13" s="1"/>
  <c r="C1568" i="13"/>
  <c r="F1568" i="13" s="1"/>
  <c r="B1568" i="13"/>
  <c r="G1567" i="13"/>
  <c r="H1567" i="13" s="1"/>
  <c r="J1567" i="13" s="1"/>
  <c r="C1567" i="13"/>
  <c r="F1567" i="13" s="1"/>
  <c r="B1567" i="13"/>
  <c r="G1566" i="13"/>
  <c r="H1566" i="13" s="1"/>
  <c r="J1566" i="13" s="1"/>
  <c r="C1566" i="13"/>
  <c r="F1566" i="13" s="1"/>
  <c r="B1566" i="13"/>
  <c r="G1565" i="13"/>
  <c r="H1565" i="13" s="1"/>
  <c r="J1565" i="13" s="1"/>
  <c r="C1565" i="13"/>
  <c r="F1565" i="13" s="1"/>
  <c r="B1565" i="13"/>
  <c r="G1564" i="13"/>
  <c r="H1564" i="13" s="1"/>
  <c r="J1564" i="13" s="1"/>
  <c r="C1564" i="13"/>
  <c r="F1564" i="13" s="1"/>
  <c r="B1564" i="13"/>
  <c r="G1563" i="13"/>
  <c r="H1563" i="13" s="1"/>
  <c r="J1563" i="13" s="1"/>
  <c r="C1563" i="13"/>
  <c r="F1563" i="13" s="1"/>
  <c r="B1563" i="13"/>
  <c r="G1562" i="13"/>
  <c r="H1562" i="13" s="1"/>
  <c r="J1562" i="13" s="1"/>
  <c r="C1562" i="13"/>
  <c r="F1562" i="13" s="1"/>
  <c r="B1562" i="13"/>
  <c r="G1561" i="13"/>
  <c r="H1561" i="13" s="1"/>
  <c r="J1561" i="13" s="1"/>
  <c r="C1561" i="13"/>
  <c r="F1561" i="13" s="1"/>
  <c r="B1561" i="13"/>
  <c r="G1560" i="13"/>
  <c r="H1560" i="13" s="1"/>
  <c r="C1560" i="13"/>
  <c r="F1560" i="13" s="1"/>
  <c r="B1560" i="13"/>
  <c r="G1559" i="13"/>
  <c r="H1559" i="13" s="1"/>
  <c r="J1559" i="13" s="1"/>
  <c r="C1559" i="13"/>
  <c r="F1559" i="13" s="1"/>
  <c r="B1559" i="13"/>
  <c r="G1558" i="13"/>
  <c r="H1558" i="13" s="1"/>
  <c r="J1558" i="13" s="1"/>
  <c r="C1558" i="13"/>
  <c r="F1558" i="13" s="1"/>
  <c r="B1558" i="13"/>
  <c r="G1557" i="13"/>
  <c r="H1557" i="13" s="1"/>
  <c r="J1557" i="13" s="1"/>
  <c r="C1557" i="13"/>
  <c r="F1557" i="13" s="1"/>
  <c r="B1557" i="13"/>
  <c r="G1556" i="13"/>
  <c r="H1556" i="13" s="1"/>
  <c r="J1556" i="13" s="1"/>
  <c r="C1556" i="13"/>
  <c r="F1556" i="13" s="1"/>
  <c r="B1556" i="13"/>
  <c r="G1555" i="13"/>
  <c r="H1555" i="13" s="1"/>
  <c r="J1555" i="13" s="1"/>
  <c r="C1555" i="13"/>
  <c r="F1555" i="13" s="1"/>
  <c r="B1555" i="13"/>
  <c r="G1554" i="13"/>
  <c r="H1554" i="13" s="1"/>
  <c r="J1554" i="13" s="1"/>
  <c r="C1554" i="13"/>
  <c r="F1554" i="13" s="1"/>
  <c r="B1554" i="13"/>
  <c r="G1553" i="13"/>
  <c r="H1553" i="13" s="1"/>
  <c r="J1553" i="13" s="1"/>
  <c r="C1553" i="13"/>
  <c r="F1553" i="13" s="1"/>
  <c r="B1553" i="13"/>
  <c r="G1552" i="13"/>
  <c r="H1552" i="13" s="1"/>
  <c r="J1552" i="13" s="1"/>
  <c r="C1552" i="13"/>
  <c r="F1552" i="13" s="1"/>
  <c r="B1552" i="13"/>
  <c r="G1551" i="13"/>
  <c r="H1551" i="13" s="1"/>
  <c r="J1551" i="13" s="1"/>
  <c r="C1551" i="13"/>
  <c r="F1551" i="13" s="1"/>
  <c r="B1551" i="13"/>
  <c r="G1550" i="13"/>
  <c r="H1550" i="13" s="1"/>
  <c r="J1550" i="13" s="1"/>
  <c r="C1550" i="13"/>
  <c r="F1550" i="13" s="1"/>
  <c r="B1550" i="13"/>
  <c r="G1549" i="13"/>
  <c r="H1549" i="13" s="1"/>
  <c r="J1549" i="13" s="1"/>
  <c r="C1549" i="13"/>
  <c r="F1549" i="13" s="1"/>
  <c r="B1549" i="13"/>
  <c r="G1548" i="13"/>
  <c r="H1548" i="13" s="1"/>
  <c r="C1548" i="13"/>
  <c r="F1548" i="13" s="1"/>
  <c r="B1548" i="13"/>
  <c r="G1547" i="13"/>
  <c r="H1547" i="13" s="1"/>
  <c r="J1547" i="13" s="1"/>
  <c r="C1547" i="13"/>
  <c r="F1547" i="13" s="1"/>
  <c r="B1547" i="13"/>
  <c r="G1546" i="13"/>
  <c r="H1546" i="13" s="1"/>
  <c r="J1546" i="13" s="1"/>
  <c r="C1546" i="13"/>
  <c r="F1546" i="13" s="1"/>
  <c r="B1546" i="13"/>
  <c r="G1545" i="13"/>
  <c r="H1545" i="13" s="1"/>
  <c r="J1545" i="13" s="1"/>
  <c r="C1545" i="13"/>
  <c r="F1545" i="13" s="1"/>
  <c r="B1545" i="13"/>
  <c r="G1544" i="13"/>
  <c r="H1544" i="13" s="1"/>
  <c r="J1544" i="13" s="1"/>
  <c r="C1544" i="13"/>
  <c r="F1544" i="13" s="1"/>
  <c r="B1544" i="13"/>
  <c r="G1543" i="13"/>
  <c r="H1543" i="13" s="1"/>
  <c r="J1543" i="13" s="1"/>
  <c r="C1543" i="13"/>
  <c r="F1543" i="13" s="1"/>
  <c r="B1543" i="13"/>
  <c r="G1542" i="13"/>
  <c r="H1542" i="13" s="1"/>
  <c r="J1542" i="13" s="1"/>
  <c r="C1542" i="13"/>
  <c r="F1542" i="13" s="1"/>
  <c r="B1542" i="13"/>
  <c r="G1541" i="13"/>
  <c r="H1541" i="13" s="1"/>
  <c r="J1541" i="13" s="1"/>
  <c r="C1541" i="13"/>
  <c r="F1541" i="13" s="1"/>
  <c r="B1541" i="13"/>
  <c r="G1540" i="13"/>
  <c r="H1540" i="13" s="1"/>
  <c r="J1540" i="13" s="1"/>
  <c r="C1540" i="13"/>
  <c r="F1540" i="13" s="1"/>
  <c r="B1540" i="13"/>
  <c r="G1539" i="13"/>
  <c r="H1539" i="13" s="1"/>
  <c r="J1539" i="13" s="1"/>
  <c r="C1539" i="13"/>
  <c r="F1539" i="13" s="1"/>
  <c r="B1539" i="13"/>
  <c r="G1538" i="13"/>
  <c r="H1538" i="13" s="1"/>
  <c r="J1538" i="13" s="1"/>
  <c r="C1538" i="13"/>
  <c r="F1538" i="13" s="1"/>
  <c r="B1538" i="13"/>
  <c r="G1537" i="13"/>
  <c r="H1537" i="13" s="1"/>
  <c r="J1537" i="13" s="1"/>
  <c r="C1537" i="13"/>
  <c r="F1537" i="13" s="1"/>
  <c r="B1537" i="13"/>
  <c r="G1536" i="13"/>
  <c r="H1536" i="13" s="1"/>
  <c r="C1536" i="13"/>
  <c r="F1536" i="13" s="1"/>
  <c r="B1536" i="13"/>
  <c r="G1535" i="13"/>
  <c r="H1535" i="13" s="1"/>
  <c r="J1535" i="13" s="1"/>
  <c r="C1535" i="13"/>
  <c r="F1535" i="13" s="1"/>
  <c r="B1535" i="13"/>
  <c r="G1534" i="13"/>
  <c r="H1534" i="13" s="1"/>
  <c r="J1534" i="13" s="1"/>
  <c r="C1534" i="13"/>
  <c r="F1534" i="13" s="1"/>
  <c r="B1534" i="13"/>
  <c r="G1533" i="13"/>
  <c r="H1533" i="13" s="1"/>
  <c r="J1533" i="13" s="1"/>
  <c r="C1533" i="13"/>
  <c r="F1533" i="13" s="1"/>
  <c r="B1533" i="13"/>
  <c r="G1532" i="13"/>
  <c r="H1532" i="13" s="1"/>
  <c r="J1532" i="13" s="1"/>
  <c r="C1532" i="13"/>
  <c r="F1532" i="13" s="1"/>
  <c r="B1532" i="13"/>
  <c r="G1531" i="13"/>
  <c r="H1531" i="13" s="1"/>
  <c r="J1531" i="13" s="1"/>
  <c r="C1531" i="13"/>
  <c r="F1531" i="13" s="1"/>
  <c r="B1531" i="13"/>
  <c r="G1530" i="13"/>
  <c r="H1530" i="13" s="1"/>
  <c r="J1530" i="13" s="1"/>
  <c r="C1530" i="13"/>
  <c r="F1530" i="13" s="1"/>
  <c r="B1530" i="13"/>
  <c r="G1529" i="13"/>
  <c r="H1529" i="13" s="1"/>
  <c r="J1529" i="13" s="1"/>
  <c r="C1529" i="13"/>
  <c r="F1529" i="13" s="1"/>
  <c r="B1529" i="13"/>
  <c r="G1528" i="13"/>
  <c r="H1528" i="13" s="1"/>
  <c r="J1528" i="13" s="1"/>
  <c r="C1528" i="13"/>
  <c r="F1528" i="13" s="1"/>
  <c r="B1528" i="13"/>
  <c r="G1527" i="13"/>
  <c r="H1527" i="13" s="1"/>
  <c r="J1527" i="13" s="1"/>
  <c r="C1527" i="13"/>
  <c r="F1527" i="13" s="1"/>
  <c r="B1527" i="13"/>
  <c r="G1526" i="13"/>
  <c r="H1526" i="13" s="1"/>
  <c r="J1526" i="13" s="1"/>
  <c r="C1526" i="13"/>
  <c r="F1526" i="13" s="1"/>
  <c r="B1526" i="13"/>
  <c r="G1525" i="13"/>
  <c r="H1525" i="13" s="1"/>
  <c r="J1525" i="13" s="1"/>
  <c r="C1525" i="13"/>
  <c r="F1525" i="13" s="1"/>
  <c r="B1525" i="13"/>
  <c r="G1524" i="13"/>
  <c r="H1524" i="13" s="1"/>
  <c r="C1524" i="13"/>
  <c r="F1524" i="13" s="1"/>
  <c r="B1524" i="13"/>
  <c r="G1523" i="13"/>
  <c r="H1523" i="13" s="1"/>
  <c r="J1523" i="13" s="1"/>
  <c r="C1523" i="13"/>
  <c r="F1523" i="13" s="1"/>
  <c r="B1523" i="13"/>
  <c r="G1522" i="13"/>
  <c r="H1522" i="13" s="1"/>
  <c r="J1522" i="13" s="1"/>
  <c r="C1522" i="13"/>
  <c r="F1522" i="13" s="1"/>
  <c r="B1522" i="13"/>
  <c r="G1521" i="13"/>
  <c r="H1521" i="13" s="1"/>
  <c r="J1521" i="13" s="1"/>
  <c r="C1521" i="13"/>
  <c r="F1521" i="13" s="1"/>
  <c r="B1521" i="13"/>
  <c r="G1520" i="13"/>
  <c r="H1520" i="13" s="1"/>
  <c r="J1520" i="13" s="1"/>
  <c r="C1520" i="13"/>
  <c r="F1520" i="13" s="1"/>
  <c r="B1520" i="13"/>
  <c r="G1519" i="13"/>
  <c r="H1519" i="13" s="1"/>
  <c r="J1519" i="13" s="1"/>
  <c r="C1519" i="13"/>
  <c r="F1519" i="13" s="1"/>
  <c r="B1519" i="13"/>
  <c r="G1518" i="13"/>
  <c r="H1518" i="13" s="1"/>
  <c r="J1518" i="13" s="1"/>
  <c r="C1518" i="13"/>
  <c r="F1518" i="13" s="1"/>
  <c r="B1518" i="13"/>
  <c r="G1517" i="13"/>
  <c r="H1517" i="13" s="1"/>
  <c r="J1517" i="13" s="1"/>
  <c r="C1517" i="13"/>
  <c r="F1517" i="13" s="1"/>
  <c r="B1517" i="13"/>
  <c r="G1516" i="13"/>
  <c r="H1516" i="13" s="1"/>
  <c r="J1516" i="13" s="1"/>
  <c r="C1516" i="13"/>
  <c r="F1516" i="13" s="1"/>
  <c r="B1516" i="13"/>
  <c r="G1515" i="13"/>
  <c r="H1515" i="13" s="1"/>
  <c r="J1515" i="13" s="1"/>
  <c r="C1515" i="13"/>
  <c r="F1515" i="13" s="1"/>
  <c r="B1515" i="13"/>
  <c r="G1514" i="13"/>
  <c r="H1514" i="13" s="1"/>
  <c r="J1514" i="13" s="1"/>
  <c r="C1514" i="13"/>
  <c r="F1514" i="13" s="1"/>
  <c r="B1514" i="13"/>
  <c r="G1513" i="13"/>
  <c r="H1513" i="13" s="1"/>
  <c r="J1513" i="13" s="1"/>
  <c r="C1513" i="13"/>
  <c r="F1513" i="13" s="1"/>
  <c r="B1513" i="13"/>
  <c r="G1512" i="13"/>
  <c r="H1512" i="13" s="1"/>
  <c r="C1512" i="13"/>
  <c r="F1512" i="13" s="1"/>
  <c r="B1512" i="13"/>
  <c r="G1511" i="13"/>
  <c r="H1511" i="13" s="1"/>
  <c r="J1511" i="13" s="1"/>
  <c r="C1511" i="13"/>
  <c r="F1511" i="13" s="1"/>
  <c r="B1511" i="13"/>
  <c r="G1510" i="13"/>
  <c r="H1510" i="13" s="1"/>
  <c r="J1510" i="13" s="1"/>
  <c r="C1510" i="13"/>
  <c r="F1510" i="13" s="1"/>
  <c r="B1510" i="13"/>
  <c r="G1509" i="13"/>
  <c r="H1509" i="13" s="1"/>
  <c r="J1509" i="13" s="1"/>
  <c r="C1509" i="13"/>
  <c r="F1509" i="13" s="1"/>
  <c r="B1509" i="13"/>
  <c r="G1508" i="13"/>
  <c r="H1508" i="13" s="1"/>
  <c r="J1508" i="13" s="1"/>
  <c r="C1508" i="13"/>
  <c r="F1508" i="13" s="1"/>
  <c r="B1508" i="13"/>
  <c r="G1507" i="13"/>
  <c r="H1507" i="13" s="1"/>
  <c r="J1507" i="13" s="1"/>
  <c r="C1507" i="13"/>
  <c r="F1507" i="13" s="1"/>
  <c r="B1507" i="13"/>
  <c r="G1506" i="13"/>
  <c r="H1506" i="13" s="1"/>
  <c r="J1506" i="13" s="1"/>
  <c r="C1506" i="13"/>
  <c r="F1506" i="13" s="1"/>
  <c r="B1506" i="13"/>
  <c r="G1505" i="13"/>
  <c r="H1505" i="13" s="1"/>
  <c r="C1505" i="13"/>
  <c r="F1505" i="13" s="1"/>
  <c r="B1505" i="13"/>
  <c r="G1504" i="13"/>
  <c r="H1504" i="13" s="1"/>
  <c r="J1504" i="13" s="1"/>
  <c r="C1504" i="13"/>
  <c r="F1504" i="13" s="1"/>
  <c r="B1504" i="13"/>
  <c r="G1503" i="13"/>
  <c r="H1503" i="13" s="1"/>
  <c r="J1503" i="13" s="1"/>
  <c r="C1503" i="13"/>
  <c r="F1503" i="13" s="1"/>
  <c r="B1503" i="13"/>
  <c r="G1502" i="13"/>
  <c r="H1502" i="13" s="1"/>
  <c r="J1502" i="13" s="1"/>
  <c r="C1502" i="13"/>
  <c r="F1502" i="13" s="1"/>
  <c r="B1502" i="13"/>
  <c r="G1501" i="13"/>
  <c r="H1501" i="13" s="1"/>
  <c r="J1501" i="13" s="1"/>
  <c r="C1501" i="13"/>
  <c r="F1501" i="13" s="1"/>
  <c r="B1501" i="13"/>
  <c r="G1500" i="13"/>
  <c r="H1500" i="13" s="1"/>
  <c r="C1500" i="13"/>
  <c r="F1500" i="13" s="1"/>
  <c r="B1500" i="13"/>
  <c r="G1499" i="13"/>
  <c r="H1499" i="13" s="1"/>
  <c r="J1499" i="13" s="1"/>
  <c r="C1499" i="13"/>
  <c r="F1499" i="13" s="1"/>
  <c r="B1499" i="13"/>
  <c r="G1498" i="13"/>
  <c r="H1498" i="13" s="1"/>
  <c r="J1498" i="13" s="1"/>
  <c r="C1498" i="13"/>
  <c r="F1498" i="13" s="1"/>
  <c r="B1498" i="13"/>
  <c r="G1497" i="13"/>
  <c r="H1497" i="13" s="1"/>
  <c r="J1497" i="13" s="1"/>
  <c r="C1497" i="13"/>
  <c r="F1497" i="13" s="1"/>
  <c r="B1497" i="13"/>
  <c r="G1496" i="13"/>
  <c r="H1496" i="13" s="1"/>
  <c r="J1496" i="13" s="1"/>
  <c r="C1496" i="13"/>
  <c r="F1496" i="13" s="1"/>
  <c r="B1496" i="13"/>
  <c r="G1495" i="13"/>
  <c r="H1495" i="13" s="1"/>
  <c r="J1495" i="13" s="1"/>
  <c r="C1495" i="13"/>
  <c r="F1495" i="13" s="1"/>
  <c r="B1495" i="13"/>
  <c r="G1494" i="13"/>
  <c r="H1494" i="13" s="1"/>
  <c r="J1494" i="13" s="1"/>
  <c r="C1494" i="13"/>
  <c r="F1494" i="13" s="1"/>
  <c r="B1494" i="13"/>
  <c r="G1493" i="13"/>
  <c r="H1493" i="13" s="1"/>
  <c r="J1493" i="13" s="1"/>
  <c r="C1493" i="13"/>
  <c r="F1493" i="13" s="1"/>
  <c r="B1493" i="13"/>
  <c r="G1492" i="13"/>
  <c r="H1492" i="13" s="1"/>
  <c r="J1492" i="13" s="1"/>
  <c r="C1492" i="13"/>
  <c r="F1492" i="13" s="1"/>
  <c r="B1492" i="13"/>
  <c r="G1491" i="13"/>
  <c r="H1491" i="13" s="1"/>
  <c r="J1491" i="13" s="1"/>
  <c r="C1491" i="13"/>
  <c r="F1491" i="13" s="1"/>
  <c r="B1491" i="13"/>
  <c r="G1490" i="13"/>
  <c r="H1490" i="13" s="1"/>
  <c r="J1490" i="13" s="1"/>
  <c r="C1490" i="13"/>
  <c r="F1490" i="13" s="1"/>
  <c r="B1490" i="13"/>
  <c r="G1489" i="13"/>
  <c r="H1489" i="13" s="1"/>
  <c r="J1489" i="13" s="1"/>
  <c r="C1489" i="13"/>
  <c r="F1489" i="13" s="1"/>
  <c r="B1489" i="13"/>
  <c r="G1488" i="13"/>
  <c r="H1488" i="13" s="1"/>
  <c r="C1488" i="13"/>
  <c r="F1488" i="13" s="1"/>
  <c r="B1488" i="13"/>
  <c r="G1487" i="13"/>
  <c r="H1487" i="13" s="1"/>
  <c r="J1487" i="13" s="1"/>
  <c r="C1487" i="13"/>
  <c r="F1487" i="13" s="1"/>
  <c r="B1487" i="13"/>
  <c r="G1486" i="13"/>
  <c r="H1486" i="13" s="1"/>
  <c r="J1486" i="13" s="1"/>
  <c r="C1486" i="13"/>
  <c r="F1486" i="13" s="1"/>
  <c r="B1486" i="13"/>
  <c r="G1485" i="13"/>
  <c r="H1485" i="13" s="1"/>
  <c r="J1485" i="13" s="1"/>
  <c r="C1485" i="13"/>
  <c r="F1485" i="13" s="1"/>
  <c r="B1485" i="13"/>
  <c r="G1484" i="13"/>
  <c r="H1484" i="13" s="1"/>
  <c r="J1484" i="13" s="1"/>
  <c r="C1484" i="13"/>
  <c r="F1484" i="13" s="1"/>
  <c r="B1484" i="13"/>
  <c r="G1483" i="13"/>
  <c r="H1483" i="13" s="1"/>
  <c r="J1483" i="13" s="1"/>
  <c r="C1483" i="13"/>
  <c r="F1483" i="13" s="1"/>
  <c r="B1483" i="13"/>
  <c r="G1482" i="13"/>
  <c r="H1482" i="13" s="1"/>
  <c r="J1482" i="13" s="1"/>
  <c r="C1482" i="13"/>
  <c r="F1482" i="13" s="1"/>
  <c r="B1482" i="13"/>
  <c r="G1481" i="13"/>
  <c r="H1481" i="13" s="1"/>
  <c r="J1481" i="13" s="1"/>
  <c r="C1481" i="13"/>
  <c r="F1481" i="13" s="1"/>
  <c r="B1481" i="13"/>
  <c r="G1480" i="13"/>
  <c r="H1480" i="13" s="1"/>
  <c r="J1480" i="13" s="1"/>
  <c r="C1480" i="13"/>
  <c r="F1480" i="13" s="1"/>
  <c r="B1480" i="13"/>
  <c r="G1479" i="13"/>
  <c r="H1479" i="13" s="1"/>
  <c r="J1479" i="13" s="1"/>
  <c r="C1479" i="13"/>
  <c r="F1479" i="13" s="1"/>
  <c r="B1479" i="13"/>
  <c r="G1478" i="13"/>
  <c r="H1478" i="13" s="1"/>
  <c r="J1478" i="13" s="1"/>
  <c r="C1478" i="13"/>
  <c r="F1478" i="13" s="1"/>
  <c r="B1478" i="13"/>
  <c r="G1477" i="13"/>
  <c r="H1477" i="13" s="1"/>
  <c r="J1477" i="13" s="1"/>
  <c r="C1477" i="13"/>
  <c r="F1477" i="13" s="1"/>
  <c r="B1477" i="13"/>
  <c r="G1476" i="13"/>
  <c r="H1476" i="13" s="1"/>
  <c r="C1476" i="13"/>
  <c r="F1476" i="13" s="1"/>
  <c r="B1476" i="13"/>
  <c r="G1475" i="13"/>
  <c r="H1475" i="13" s="1"/>
  <c r="J1475" i="13" s="1"/>
  <c r="C1475" i="13"/>
  <c r="F1475" i="13" s="1"/>
  <c r="B1475" i="13"/>
  <c r="G1474" i="13"/>
  <c r="H1474" i="13" s="1"/>
  <c r="J1474" i="13" s="1"/>
  <c r="C1474" i="13"/>
  <c r="F1474" i="13" s="1"/>
  <c r="B1474" i="13"/>
  <c r="G1473" i="13"/>
  <c r="H1473" i="13" s="1"/>
  <c r="J1473" i="13" s="1"/>
  <c r="C1473" i="13"/>
  <c r="F1473" i="13" s="1"/>
  <c r="B1473" i="13"/>
  <c r="G1472" i="13"/>
  <c r="H1472" i="13" s="1"/>
  <c r="J1472" i="13" s="1"/>
  <c r="C1472" i="13"/>
  <c r="F1472" i="13" s="1"/>
  <c r="B1472" i="13"/>
  <c r="G1471" i="13"/>
  <c r="H1471" i="13" s="1"/>
  <c r="J1471" i="13" s="1"/>
  <c r="C1471" i="13"/>
  <c r="F1471" i="13" s="1"/>
  <c r="B1471" i="13"/>
  <c r="G1470" i="13"/>
  <c r="H1470" i="13" s="1"/>
  <c r="J1470" i="13" s="1"/>
  <c r="C1470" i="13"/>
  <c r="F1470" i="13" s="1"/>
  <c r="B1470" i="13"/>
  <c r="G1469" i="13"/>
  <c r="H1469" i="13" s="1"/>
  <c r="J1469" i="13" s="1"/>
  <c r="C1469" i="13"/>
  <c r="F1469" i="13" s="1"/>
  <c r="B1469" i="13"/>
  <c r="G1468" i="13"/>
  <c r="H1468" i="13" s="1"/>
  <c r="J1468" i="13" s="1"/>
  <c r="C1468" i="13"/>
  <c r="F1468" i="13" s="1"/>
  <c r="B1468" i="13"/>
  <c r="G1467" i="13"/>
  <c r="H1467" i="13" s="1"/>
  <c r="J1467" i="13" s="1"/>
  <c r="C1467" i="13"/>
  <c r="F1467" i="13" s="1"/>
  <c r="B1467" i="13"/>
  <c r="G1466" i="13"/>
  <c r="H1466" i="13" s="1"/>
  <c r="J1466" i="13" s="1"/>
  <c r="C1466" i="13"/>
  <c r="F1466" i="13" s="1"/>
  <c r="B1466" i="13"/>
  <c r="G1465" i="13"/>
  <c r="H1465" i="13" s="1"/>
  <c r="J1465" i="13" s="1"/>
  <c r="C1465" i="13"/>
  <c r="F1465" i="13" s="1"/>
  <c r="B1465" i="13"/>
  <c r="G1464" i="13"/>
  <c r="H1464" i="13" s="1"/>
  <c r="C1464" i="13"/>
  <c r="F1464" i="13" s="1"/>
  <c r="B1464" i="13"/>
  <c r="G1463" i="13"/>
  <c r="H1463" i="13" s="1"/>
  <c r="J1463" i="13" s="1"/>
  <c r="C1463" i="13"/>
  <c r="F1463" i="13" s="1"/>
  <c r="B1463" i="13"/>
  <c r="G1462" i="13"/>
  <c r="H1462" i="13" s="1"/>
  <c r="J1462" i="13" s="1"/>
  <c r="C1462" i="13"/>
  <c r="F1462" i="13" s="1"/>
  <c r="B1462" i="13"/>
  <c r="G1461" i="13"/>
  <c r="H1461" i="13" s="1"/>
  <c r="J1461" i="13" s="1"/>
  <c r="C1461" i="13"/>
  <c r="F1461" i="13" s="1"/>
  <c r="B1461" i="13"/>
  <c r="G1460" i="13"/>
  <c r="H1460" i="13" s="1"/>
  <c r="J1460" i="13" s="1"/>
  <c r="C1460" i="13"/>
  <c r="F1460" i="13" s="1"/>
  <c r="B1460" i="13"/>
  <c r="G1459" i="13"/>
  <c r="H1459" i="13" s="1"/>
  <c r="J1459" i="13" s="1"/>
  <c r="C1459" i="13"/>
  <c r="F1459" i="13" s="1"/>
  <c r="B1459" i="13"/>
  <c r="G1458" i="13"/>
  <c r="H1458" i="13" s="1"/>
  <c r="J1458" i="13" s="1"/>
  <c r="C1458" i="13"/>
  <c r="F1458" i="13" s="1"/>
  <c r="B1458" i="13"/>
  <c r="G1457" i="13"/>
  <c r="H1457" i="13" s="1"/>
  <c r="J1457" i="13" s="1"/>
  <c r="C1457" i="13"/>
  <c r="F1457" i="13" s="1"/>
  <c r="B1457" i="13"/>
  <c r="G1456" i="13"/>
  <c r="H1456" i="13" s="1"/>
  <c r="J1456" i="13" s="1"/>
  <c r="C1456" i="13"/>
  <c r="F1456" i="13" s="1"/>
  <c r="B1456" i="13"/>
  <c r="G1455" i="13"/>
  <c r="H1455" i="13" s="1"/>
  <c r="J1455" i="13" s="1"/>
  <c r="C1455" i="13"/>
  <c r="F1455" i="13" s="1"/>
  <c r="B1455" i="13"/>
  <c r="G1454" i="13"/>
  <c r="H1454" i="13" s="1"/>
  <c r="J1454" i="13" s="1"/>
  <c r="C1454" i="13"/>
  <c r="F1454" i="13" s="1"/>
  <c r="B1454" i="13"/>
  <c r="G1453" i="13"/>
  <c r="H1453" i="13" s="1"/>
  <c r="J1453" i="13" s="1"/>
  <c r="C1453" i="13"/>
  <c r="F1453" i="13" s="1"/>
  <c r="B1453" i="13"/>
  <c r="G1452" i="13"/>
  <c r="H1452" i="13" s="1"/>
  <c r="C1452" i="13"/>
  <c r="F1452" i="13" s="1"/>
  <c r="B1452" i="13"/>
  <c r="G1451" i="13"/>
  <c r="H1451" i="13" s="1"/>
  <c r="J1451" i="13" s="1"/>
  <c r="C1451" i="13"/>
  <c r="F1451" i="13" s="1"/>
  <c r="B1451" i="13"/>
  <c r="G1450" i="13"/>
  <c r="H1450" i="13" s="1"/>
  <c r="J1450" i="13" s="1"/>
  <c r="C1450" i="13"/>
  <c r="F1450" i="13" s="1"/>
  <c r="B1450" i="13"/>
  <c r="G1449" i="13"/>
  <c r="H1449" i="13" s="1"/>
  <c r="J1449" i="13" s="1"/>
  <c r="C1449" i="13"/>
  <c r="F1449" i="13" s="1"/>
  <c r="B1449" i="13"/>
  <c r="G1448" i="13"/>
  <c r="H1448" i="13" s="1"/>
  <c r="J1448" i="13" s="1"/>
  <c r="C1448" i="13"/>
  <c r="F1448" i="13" s="1"/>
  <c r="B1448" i="13"/>
  <c r="G1447" i="13"/>
  <c r="H1447" i="13" s="1"/>
  <c r="J1447" i="13" s="1"/>
  <c r="C1447" i="13"/>
  <c r="F1447" i="13" s="1"/>
  <c r="B1447" i="13"/>
  <c r="G1446" i="13"/>
  <c r="H1446" i="13" s="1"/>
  <c r="J1446" i="13" s="1"/>
  <c r="C1446" i="13"/>
  <c r="F1446" i="13" s="1"/>
  <c r="B1446" i="13"/>
  <c r="G1445" i="13"/>
  <c r="H1445" i="13" s="1"/>
  <c r="J1445" i="13" s="1"/>
  <c r="C1445" i="13"/>
  <c r="F1445" i="13" s="1"/>
  <c r="B1445" i="13"/>
  <c r="G1444" i="13"/>
  <c r="H1444" i="13" s="1"/>
  <c r="J1444" i="13" s="1"/>
  <c r="C1444" i="13"/>
  <c r="F1444" i="13" s="1"/>
  <c r="B1444" i="13"/>
  <c r="G1443" i="13"/>
  <c r="H1443" i="13" s="1"/>
  <c r="J1443" i="13" s="1"/>
  <c r="C1443" i="13"/>
  <c r="F1443" i="13" s="1"/>
  <c r="B1443" i="13"/>
  <c r="G1442" i="13"/>
  <c r="H1442" i="13" s="1"/>
  <c r="J1442" i="13" s="1"/>
  <c r="C1442" i="13"/>
  <c r="F1442" i="13" s="1"/>
  <c r="B1442" i="13"/>
  <c r="G1441" i="13"/>
  <c r="H1441" i="13" s="1"/>
  <c r="J1441" i="13" s="1"/>
  <c r="C1441" i="13"/>
  <c r="F1441" i="13" s="1"/>
  <c r="B1441" i="13"/>
  <c r="G1440" i="13"/>
  <c r="H1440" i="13" s="1"/>
  <c r="C1440" i="13"/>
  <c r="F1440" i="13" s="1"/>
  <c r="B1440" i="13"/>
  <c r="G1439" i="13"/>
  <c r="H1439" i="13" s="1"/>
  <c r="J1439" i="13" s="1"/>
  <c r="C1439" i="13"/>
  <c r="F1439" i="13" s="1"/>
  <c r="B1439" i="13"/>
  <c r="G1438" i="13"/>
  <c r="H1438" i="13" s="1"/>
  <c r="J1438" i="13" s="1"/>
  <c r="C1438" i="13"/>
  <c r="F1438" i="13" s="1"/>
  <c r="B1438" i="13"/>
  <c r="G1437" i="13"/>
  <c r="H1437" i="13" s="1"/>
  <c r="J1437" i="13" s="1"/>
  <c r="C1437" i="13"/>
  <c r="F1437" i="13" s="1"/>
  <c r="B1437" i="13"/>
  <c r="G1436" i="13"/>
  <c r="H1436" i="13" s="1"/>
  <c r="J1436" i="13" s="1"/>
  <c r="C1436" i="13"/>
  <c r="F1436" i="13" s="1"/>
  <c r="B1436" i="13"/>
  <c r="G1435" i="13"/>
  <c r="H1435" i="13" s="1"/>
  <c r="J1435" i="13" s="1"/>
  <c r="C1435" i="13"/>
  <c r="F1435" i="13" s="1"/>
  <c r="B1435" i="13"/>
  <c r="G1434" i="13"/>
  <c r="H1434" i="13" s="1"/>
  <c r="J1434" i="13" s="1"/>
  <c r="C1434" i="13"/>
  <c r="F1434" i="13" s="1"/>
  <c r="B1434" i="13"/>
  <c r="G1433" i="13"/>
  <c r="H1433" i="13" s="1"/>
  <c r="J1433" i="13" s="1"/>
  <c r="C1433" i="13"/>
  <c r="F1433" i="13" s="1"/>
  <c r="B1433" i="13"/>
  <c r="G1432" i="13"/>
  <c r="H1432" i="13" s="1"/>
  <c r="J1432" i="13" s="1"/>
  <c r="C1432" i="13"/>
  <c r="F1432" i="13" s="1"/>
  <c r="B1432" i="13"/>
  <c r="G1431" i="13"/>
  <c r="H1431" i="13" s="1"/>
  <c r="J1431" i="13" s="1"/>
  <c r="C1431" i="13"/>
  <c r="F1431" i="13" s="1"/>
  <c r="B1431" i="13"/>
  <c r="G1430" i="13"/>
  <c r="H1430" i="13" s="1"/>
  <c r="J1430" i="13" s="1"/>
  <c r="C1430" i="13"/>
  <c r="F1430" i="13" s="1"/>
  <c r="B1430" i="13"/>
  <c r="G1429" i="13"/>
  <c r="H1429" i="13" s="1"/>
  <c r="J1429" i="13" s="1"/>
  <c r="C1429" i="13"/>
  <c r="F1429" i="13" s="1"/>
  <c r="B1429" i="13"/>
  <c r="G1428" i="13"/>
  <c r="H1428" i="13" s="1"/>
  <c r="C1428" i="13"/>
  <c r="F1428" i="13" s="1"/>
  <c r="B1428" i="13"/>
  <c r="G1427" i="13"/>
  <c r="H1427" i="13" s="1"/>
  <c r="J1427" i="13" s="1"/>
  <c r="C1427" i="13"/>
  <c r="F1427" i="13" s="1"/>
  <c r="B1427" i="13"/>
  <c r="G1426" i="13"/>
  <c r="H1426" i="13" s="1"/>
  <c r="J1426" i="13" s="1"/>
  <c r="C1426" i="13"/>
  <c r="F1426" i="13" s="1"/>
  <c r="B1426" i="13"/>
  <c r="G1425" i="13"/>
  <c r="H1425" i="13" s="1"/>
  <c r="J1425" i="13" s="1"/>
  <c r="C1425" i="13"/>
  <c r="F1425" i="13" s="1"/>
  <c r="B1425" i="13"/>
  <c r="G1424" i="13"/>
  <c r="H1424" i="13" s="1"/>
  <c r="J1424" i="13" s="1"/>
  <c r="C1424" i="13"/>
  <c r="F1424" i="13" s="1"/>
  <c r="B1424" i="13"/>
  <c r="G1423" i="13"/>
  <c r="H1423" i="13" s="1"/>
  <c r="J1423" i="13" s="1"/>
  <c r="C1423" i="13"/>
  <c r="F1423" i="13" s="1"/>
  <c r="B1423" i="13"/>
  <c r="G1422" i="13"/>
  <c r="H1422" i="13" s="1"/>
  <c r="J1422" i="13" s="1"/>
  <c r="C1422" i="13"/>
  <c r="F1422" i="13" s="1"/>
  <c r="B1422" i="13"/>
  <c r="G1421" i="13"/>
  <c r="H1421" i="13" s="1"/>
  <c r="J1421" i="13" s="1"/>
  <c r="C1421" i="13"/>
  <c r="F1421" i="13" s="1"/>
  <c r="B1421" i="13"/>
  <c r="G1420" i="13"/>
  <c r="H1420" i="13" s="1"/>
  <c r="J1420" i="13" s="1"/>
  <c r="C1420" i="13"/>
  <c r="F1420" i="13" s="1"/>
  <c r="B1420" i="13"/>
  <c r="G1419" i="13"/>
  <c r="H1419" i="13" s="1"/>
  <c r="J1419" i="13" s="1"/>
  <c r="C1419" i="13"/>
  <c r="F1419" i="13" s="1"/>
  <c r="B1419" i="13"/>
  <c r="G1418" i="13"/>
  <c r="H1418" i="13" s="1"/>
  <c r="J1418" i="13" s="1"/>
  <c r="C1418" i="13"/>
  <c r="F1418" i="13" s="1"/>
  <c r="B1418" i="13"/>
  <c r="G1417" i="13"/>
  <c r="H1417" i="13" s="1"/>
  <c r="J1417" i="13" s="1"/>
  <c r="C1417" i="13"/>
  <c r="F1417" i="13" s="1"/>
  <c r="B1417" i="13"/>
  <c r="G1416" i="13"/>
  <c r="H1416" i="13" s="1"/>
  <c r="C1416" i="13"/>
  <c r="F1416" i="13" s="1"/>
  <c r="B1416" i="13"/>
  <c r="G1415" i="13"/>
  <c r="H1415" i="13" s="1"/>
  <c r="J1415" i="13" s="1"/>
  <c r="C1415" i="13"/>
  <c r="F1415" i="13" s="1"/>
  <c r="B1415" i="13"/>
  <c r="G1414" i="13"/>
  <c r="H1414" i="13" s="1"/>
  <c r="J1414" i="13" s="1"/>
  <c r="C1414" i="13"/>
  <c r="F1414" i="13" s="1"/>
  <c r="B1414" i="13"/>
  <c r="G1413" i="13"/>
  <c r="H1413" i="13" s="1"/>
  <c r="J1413" i="13" s="1"/>
  <c r="C1413" i="13"/>
  <c r="F1413" i="13" s="1"/>
  <c r="B1413" i="13"/>
  <c r="G1412" i="13"/>
  <c r="H1412" i="13" s="1"/>
  <c r="J1412" i="13" s="1"/>
  <c r="C1412" i="13"/>
  <c r="F1412" i="13" s="1"/>
  <c r="B1412" i="13"/>
  <c r="G1411" i="13"/>
  <c r="H1411" i="13" s="1"/>
  <c r="J1411" i="13" s="1"/>
  <c r="C1411" i="13"/>
  <c r="F1411" i="13" s="1"/>
  <c r="B1411" i="13"/>
  <c r="G1410" i="13"/>
  <c r="H1410" i="13" s="1"/>
  <c r="J1410" i="13" s="1"/>
  <c r="C1410" i="13"/>
  <c r="F1410" i="13" s="1"/>
  <c r="B1410" i="13"/>
  <c r="G1409" i="13"/>
  <c r="H1409" i="13" s="1"/>
  <c r="J1409" i="13" s="1"/>
  <c r="C1409" i="13"/>
  <c r="F1409" i="13" s="1"/>
  <c r="B1409" i="13"/>
  <c r="G1408" i="13"/>
  <c r="H1408" i="13" s="1"/>
  <c r="J1408" i="13" s="1"/>
  <c r="C1408" i="13"/>
  <c r="F1408" i="13" s="1"/>
  <c r="B1408" i="13"/>
  <c r="G1407" i="13"/>
  <c r="H1407" i="13" s="1"/>
  <c r="J1407" i="13" s="1"/>
  <c r="C1407" i="13"/>
  <c r="F1407" i="13" s="1"/>
  <c r="B1407" i="13"/>
  <c r="G1406" i="13"/>
  <c r="H1406" i="13" s="1"/>
  <c r="J1406" i="13" s="1"/>
  <c r="C1406" i="13"/>
  <c r="F1406" i="13" s="1"/>
  <c r="B1406" i="13"/>
  <c r="G1405" i="13"/>
  <c r="H1405" i="13" s="1"/>
  <c r="J1405" i="13" s="1"/>
  <c r="C1405" i="13"/>
  <c r="F1405" i="13" s="1"/>
  <c r="B1405" i="13"/>
  <c r="G1404" i="13"/>
  <c r="H1404" i="13" s="1"/>
  <c r="C1404" i="13"/>
  <c r="F1404" i="13" s="1"/>
  <c r="B1404" i="13"/>
  <c r="G1403" i="13"/>
  <c r="H1403" i="13" s="1"/>
  <c r="J1403" i="13" s="1"/>
  <c r="C1403" i="13"/>
  <c r="F1403" i="13" s="1"/>
  <c r="B1403" i="13"/>
  <c r="G1402" i="13"/>
  <c r="H1402" i="13" s="1"/>
  <c r="J1402" i="13" s="1"/>
  <c r="C1402" i="13"/>
  <c r="F1402" i="13" s="1"/>
  <c r="B1402" i="13"/>
  <c r="G1401" i="13"/>
  <c r="H1401" i="13" s="1"/>
  <c r="J1401" i="13" s="1"/>
  <c r="C1401" i="13"/>
  <c r="F1401" i="13" s="1"/>
  <c r="B1401" i="13"/>
  <c r="G1400" i="13"/>
  <c r="H1400" i="13" s="1"/>
  <c r="J1400" i="13" s="1"/>
  <c r="C1400" i="13"/>
  <c r="F1400" i="13" s="1"/>
  <c r="B1400" i="13"/>
  <c r="G1399" i="13"/>
  <c r="H1399" i="13" s="1"/>
  <c r="J1399" i="13" s="1"/>
  <c r="C1399" i="13"/>
  <c r="F1399" i="13" s="1"/>
  <c r="B1399" i="13"/>
  <c r="G1398" i="13"/>
  <c r="H1398" i="13" s="1"/>
  <c r="C1398" i="13"/>
  <c r="F1398" i="13" s="1"/>
  <c r="B1398" i="13"/>
  <c r="G1397" i="13"/>
  <c r="H1397" i="13" s="1"/>
  <c r="J1397" i="13" s="1"/>
  <c r="C1397" i="13"/>
  <c r="F1397" i="13" s="1"/>
  <c r="B1397" i="13"/>
  <c r="G1396" i="13"/>
  <c r="H1396" i="13" s="1"/>
  <c r="J1396" i="13" s="1"/>
  <c r="C1396" i="13"/>
  <c r="F1396" i="13" s="1"/>
  <c r="B1396" i="13"/>
  <c r="G1395" i="13"/>
  <c r="H1395" i="13" s="1"/>
  <c r="J1395" i="13" s="1"/>
  <c r="C1395" i="13"/>
  <c r="F1395" i="13" s="1"/>
  <c r="B1395" i="13"/>
  <c r="G1394" i="13"/>
  <c r="H1394" i="13" s="1"/>
  <c r="J1394" i="13" s="1"/>
  <c r="C1394" i="13"/>
  <c r="F1394" i="13" s="1"/>
  <c r="B1394" i="13"/>
  <c r="G1393" i="13"/>
  <c r="H1393" i="13" s="1"/>
  <c r="J1393" i="13" s="1"/>
  <c r="C1393" i="13"/>
  <c r="F1393" i="13" s="1"/>
  <c r="B1393" i="13"/>
  <c r="G1392" i="13"/>
  <c r="H1392" i="13" s="1"/>
  <c r="C1392" i="13"/>
  <c r="F1392" i="13" s="1"/>
  <c r="B1392" i="13"/>
  <c r="G1391" i="13"/>
  <c r="H1391" i="13" s="1"/>
  <c r="J1391" i="13" s="1"/>
  <c r="C1391" i="13"/>
  <c r="F1391" i="13" s="1"/>
  <c r="B1391" i="13"/>
  <c r="G1390" i="13"/>
  <c r="H1390" i="13" s="1"/>
  <c r="J1390" i="13" s="1"/>
  <c r="C1390" i="13"/>
  <c r="F1390" i="13" s="1"/>
  <c r="B1390" i="13"/>
  <c r="G1389" i="13"/>
  <c r="H1389" i="13" s="1"/>
  <c r="J1389" i="13" s="1"/>
  <c r="C1389" i="13"/>
  <c r="F1389" i="13" s="1"/>
  <c r="B1389" i="13"/>
  <c r="G1388" i="13"/>
  <c r="H1388" i="13" s="1"/>
  <c r="J1388" i="13" s="1"/>
  <c r="C1388" i="13"/>
  <c r="F1388" i="13" s="1"/>
  <c r="B1388" i="13"/>
  <c r="G1387" i="13"/>
  <c r="H1387" i="13" s="1"/>
  <c r="J1387" i="13" s="1"/>
  <c r="C1387" i="13"/>
  <c r="F1387" i="13" s="1"/>
  <c r="B1387" i="13"/>
  <c r="G1386" i="13"/>
  <c r="H1386" i="13" s="1"/>
  <c r="C1386" i="13"/>
  <c r="F1386" i="13" s="1"/>
  <c r="B1386" i="13"/>
  <c r="G1385" i="13"/>
  <c r="H1385" i="13" s="1"/>
  <c r="J1385" i="13" s="1"/>
  <c r="C1385" i="13"/>
  <c r="F1385" i="13" s="1"/>
  <c r="B1385" i="13"/>
  <c r="G1384" i="13"/>
  <c r="H1384" i="13" s="1"/>
  <c r="J1384" i="13" s="1"/>
  <c r="C1384" i="13"/>
  <c r="F1384" i="13" s="1"/>
  <c r="B1384" i="13"/>
  <c r="G1383" i="13"/>
  <c r="H1383" i="13" s="1"/>
  <c r="J1383" i="13" s="1"/>
  <c r="C1383" i="13"/>
  <c r="F1383" i="13" s="1"/>
  <c r="B1383" i="13"/>
  <c r="G1382" i="13"/>
  <c r="H1382" i="13" s="1"/>
  <c r="J1382" i="13" s="1"/>
  <c r="C1382" i="13"/>
  <c r="F1382" i="13" s="1"/>
  <c r="B1382" i="13"/>
  <c r="G1381" i="13"/>
  <c r="H1381" i="13" s="1"/>
  <c r="J1381" i="13" s="1"/>
  <c r="C1381" i="13"/>
  <c r="F1381" i="13" s="1"/>
  <c r="B1381" i="13"/>
  <c r="G1380" i="13"/>
  <c r="H1380" i="13" s="1"/>
  <c r="C1380" i="13"/>
  <c r="F1380" i="13" s="1"/>
  <c r="B1380" i="13"/>
  <c r="G1379" i="13"/>
  <c r="H1379" i="13" s="1"/>
  <c r="C1379" i="13"/>
  <c r="F1379" i="13" s="1"/>
  <c r="B1379" i="13"/>
  <c r="G1378" i="13"/>
  <c r="H1378" i="13" s="1"/>
  <c r="C1378" i="13"/>
  <c r="F1378" i="13" s="1"/>
  <c r="B1378" i="13"/>
  <c r="G1377" i="13"/>
  <c r="H1377" i="13" s="1"/>
  <c r="J1377" i="13" s="1"/>
  <c r="C1377" i="13"/>
  <c r="F1377" i="13" s="1"/>
  <c r="B1377" i="13"/>
  <c r="G1376" i="13"/>
  <c r="H1376" i="13" s="1"/>
  <c r="J1376" i="13" s="1"/>
  <c r="C1376" i="13"/>
  <c r="F1376" i="13" s="1"/>
  <c r="B1376" i="13"/>
  <c r="G1375" i="13"/>
  <c r="H1375" i="13" s="1"/>
  <c r="J1375" i="13" s="1"/>
  <c r="C1375" i="13"/>
  <c r="F1375" i="13" s="1"/>
  <c r="B1375" i="13"/>
  <c r="G1374" i="13"/>
  <c r="H1374" i="13" s="1"/>
  <c r="C1374" i="13"/>
  <c r="F1374" i="13" s="1"/>
  <c r="B1374" i="13"/>
  <c r="G1373" i="13"/>
  <c r="H1373" i="13" s="1"/>
  <c r="J1373" i="13" s="1"/>
  <c r="C1373" i="13"/>
  <c r="F1373" i="13" s="1"/>
  <c r="B1373" i="13"/>
  <c r="G1372" i="13"/>
  <c r="H1372" i="13" s="1"/>
  <c r="J1372" i="13" s="1"/>
  <c r="C1372" i="13"/>
  <c r="F1372" i="13" s="1"/>
  <c r="B1372" i="13"/>
  <c r="G1371" i="13"/>
  <c r="H1371" i="13" s="1"/>
  <c r="J1371" i="13" s="1"/>
  <c r="C1371" i="13"/>
  <c r="F1371" i="13" s="1"/>
  <c r="B1371" i="13"/>
  <c r="G1370" i="13"/>
  <c r="H1370" i="13" s="1"/>
  <c r="J1370" i="13" s="1"/>
  <c r="C1370" i="13"/>
  <c r="F1370" i="13" s="1"/>
  <c r="B1370" i="13"/>
  <c r="G1369" i="13"/>
  <c r="H1369" i="13" s="1"/>
  <c r="J1369" i="13" s="1"/>
  <c r="C1369" i="13"/>
  <c r="F1369" i="13" s="1"/>
  <c r="B1369" i="13"/>
  <c r="G1368" i="13"/>
  <c r="H1368" i="13" s="1"/>
  <c r="C1368" i="13"/>
  <c r="F1368" i="13" s="1"/>
  <c r="B1368" i="13"/>
  <c r="G1367" i="13"/>
  <c r="H1367" i="13" s="1"/>
  <c r="C1367" i="13"/>
  <c r="F1367" i="13" s="1"/>
  <c r="B1367" i="13"/>
  <c r="G1366" i="13"/>
  <c r="H1366" i="13" s="1"/>
  <c r="J1366" i="13" s="1"/>
  <c r="C1366" i="13"/>
  <c r="F1366" i="13" s="1"/>
  <c r="B1366" i="13"/>
  <c r="G1365" i="13"/>
  <c r="H1365" i="13" s="1"/>
  <c r="J1365" i="13" s="1"/>
  <c r="C1365" i="13"/>
  <c r="F1365" i="13" s="1"/>
  <c r="B1365" i="13"/>
  <c r="G1364" i="13"/>
  <c r="H1364" i="13" s="1"/>
  <c r="J1364" i="13" s="1"/>
  <c r="C1364" i="13"/>
  <c r="F1364" i="13" s="1"/>
  <c r="B1364" i="13"/>
  <c r="G1363" i="13"/>
  <c r="H1363" i="13" s="1"/>
  <c r="J1363" i="13" s="1"/>
  <c r="C1363" i="13"/>
  <c r="F1363" i="13" s="1"/>
  <c r="B1363" i="13"/>
  <c r="G1362" i="13"/>
  <c r="H1362" i="13" s="1"/>
  <c r="C1362" i="13"/>
  <c r="F1362" i="13" s="1"/>
  <c r="B1362" i="13"/>
  <c r="G1361" i="13"/>
  <c r="H1361" i="13" s="1"/>
  <c r="J1361" i="13" s="1"/>
  <c r="C1361" i="13"/>
  <c r="F1361" i="13" s="1"/>
  <c r="B1361" i="13"/>
  <c r="G1360" i="13"/>
  <c r="H1360" i="13" s="1"/>
  <c r="J1360" i="13" s="1"/>
  <c r="C1360" i="13"/>
  <c r="F1360" i="13" s="1"/>
  <c r="B1360" i="13"/>
  <c r="G1359" i="13"/>
  <c r="H1359" i="13" s="1"/>
  <c r="J1359" i="13" s="1"/>
  <c r="C1359" i="13"/>
  <c r="F1359" i="13" s="1"/>
  <c r="B1359" i="13"/>
  <c r="G1358" i="13"/>
  <c r="H1358" i="13" s="1"/>
  <c r="J1358" i="13" s="1"/>
  <c r="C1358" i="13"/>
  <c r="F1358" i="13" s="1"/>
  <c r="B1358" i="13"/>
  <c r="G1357" i="13"/>
  <c r="H1357" i="13" s="1"/>
  <c r="J1357" i="13" s="1"/>
  <c r="C1357" i="13"/>
  <c r="F1357" i="13" s="1"/>
  <c r="B1357" i="13"/>
  <c r="G1356" i="13"/>
  <c r="H1356" i="13" s="1"/>
  <c r="C1356" i="13"/>
  <c r="F1356" i="13" s="1"/>
  <c r="B1356" i="13"/>
  <c r="G1355" i="13"/>
  <c r="H1355" i="13" s="1"/>
  <c r="C1355" i="13"/>
  <c r="F1355" i="13" s="1"/>
  <c r="B1355" i="13"/>
  <c r="G1354" i="13"/>
  <c r="H1354" i="13" s="1"/>
  <c r="J1354" i="13" s="1"/>
  <c r="C1354" i="13"/>
  <c r="F1354" i="13" s="1"/>
  <c r="B1354" i="13"/>
  <c r="G1353" i="13"/>
  <c r="H1353" i="13" s="1"/>
  <c r="J1353" i="13" s="1"/>
  <c r="C1353" i="13"/>
  <c r="F1353" i="13" s="1"/>
  <c r="B1353" i="13"/>
  <c r="G1352" i="13"/>
  <c r="H1352" i="13" s="1"/>
  <c r="J1352" i="13" s="1"/>
  <c r="C1352" i="13"/>
  <c r="F1352" i="13" s="1"/>
  <c r="B1352" i="13"/>
  <c r="G1351" i="13"/>
  <c r="H1351" i="13" s="1"/>
  <c r="J1351" i="13" s="1"/>
  <c r="C1351" i="13"/>
  <c r="F1351" i="13" s="1"/>
  <c r="B1351" i="13"/>
  <c r="G1350" i="13"/>
  <c r="H1350" i="13" s="1"/>
  <c r="C1350" i="13"/>
  <c r="F1350" i="13" s="1"/>
  <c r="B1350" i="13"/>
  <c r="G1349" i="13"/>
  <c r="H1349" i="13" s="1"/>
  <c r="J1349" i="13" s="1"/>
  <c r="C1349" i="13"/>
  <c r="F1349" i="13" s="1"/>
  <c r="B1349" i="13"/>
  <c r="G1348" i="13"/>
  <c r="H1348" i="13" s="1"/>
  <c r="J1348" i="13" s="1"/>
  <c r="C1348" i="13"/>
  <c r="F1348" i="13" s="1"/>
  <c r="B1348" i="13"/>
  <c r="G1347" i="13"/>
  <c r="H1347" i="13" s="1"/>
  <c r="J1347" i="13" s="1"/>
  <c r="C1347" i="13"/>
  <c r="F1347" i="13" s="1"/>
  <c r="B1347" i="13"/>
  <c r="G1346" i="13"/>
  <c r="H1346" i="13" s="1"/>
  <c r="J1346" i="13" s="1"/>
  <c r="C1346" i="13"/>
  <c r="F1346" i="13" s="1"/>
  <c r="B1346" i="13"/>
  <c r="G1345" i="13"/>
  <c r="H1345" i="13" s="1"/>
  <c r="J1345" i="13" s="1"/>
  <c r="C1345" i="13"/>
  <c r="F1345" i="13" s="1"/>
  <c r="B1345" i="13"/>
  <c r="G1344" i="13"/>
  <c r="H1344" i="13" s="1"/>
  <c r="C1344" i="13"/>
  <c r="F1344" i="13" s="1"/>
  <c r="B1344" i="13"/>
  <c r="G1343" i="13"/>
  <c r="H1343" i="13" s="1"/>
  <c r="C1343" i="13"/>
  <c r="F1343" i="13" s="1"/>
  <c r="B1343" i="13"/>
  <c r="G1342" i="13"/>
  <c r="H1342" i="13" s="1"/>
  <c r="J1342" i="13" s="1"/>
  <c r="C1342" i="13"/>
  <c r="F1342" i="13" s="1"/>
  <c r="B1342" i="13"/>
  <c r="G1341" i="13"/>
  <c r="H1341" i="13" s="1"/>
  <c r="J1341" i="13" s="1"/>
  <c r="C1341" i="13"/>
  <c r="F1341" i="13" s="1"/>
  <c r="B1341" i="13"/>
  <c r="G1340" i="13"/>
  <c r="H1340" i="13" s="1"/>
  <c r="J1340" i="13" s="1"/>
  <c r="C1340" i="13"/>
  <c r="F1340" i="13" s="1"/>
  <c r="B1340" i="13"/>
  <c r="G1339" i="13"/>
  <c r="H1339" i="13" s="1"/>
  <c r="J1339" i="13" s="1"/>
  <c r="C1339" i="13"/>
  <c r="F1339" i="13" s="1"/>
  <c r="B1339" i="13"/>
  <c r="G1338" i="13"/>
  <c r="H1338" i="13" s="1"/>
  <c r="C1338" i="13"/>
  <c r="F1338" i="13" s="1"/>
  <c r="B1338" i="13"/>
  <c r="G1337" i="13"/>
  <c r="H1337" i="13" s="1"/>
  <c r="J1337" i="13" s="1"/>
  <c r="C1337" i="13"/>
  <c r="F1337" i="13" s="1"/>
  <c r="B1337" i="13"/>
  <c r="G1336" i="13"/>
  <c r="H1336" i="13" s="1"/>
  <c r="J1336" i="13" s="1"/>
  <c r="C1336" i="13"/>
  <c r="F1336" i="13" s="1"/>
  <c r="B1336" i="13"/>
  <c r="G1335" i="13"/>
  <c r="H1335" i="13" s="1"/>
  <c r="J1335" i="13" s="1"/>
  <c r="C1335" i="13"/>
  <c r="F1335" i="13" s="1"/>
  <c r="B1335" i="13"/>
  <c r="G1334" i="13"/>
  <c r="H1334" i="13" s="1"/>
  <c r="J1334" i="13" s="1"/>
  <c r="C1334" i="13"/>
  <c r="F1334" i="13" s="1"/>
  <c r="B1334" i="13"/>
  <c r="G1333" i="13"/>
  <c r="H1333" i="13" s="1"/>
  <c r="J1333" i="13" s="1"/>
  <c r="C1333" i="13"/>
  <c r="F1333" i="13" s="1"/>
  <c r="B1333" i="13"/>
  <c r="G1332" i="13"/>
  <c r="H1332" i="13" s="1"/>
  <c r="C1332" i="13"/>
  <c r="F1332" i="13" s="1"/>
  <c r="B1332" i="13"/>
  <c r="G1331" i="13"/>
  <c r="H1331" i="13" s="1"/>
  <c r="C1331" i="13"/>
  <c r="F1331" i="13" s="1"/>
  <c r="B1331" i="13"/>
  <c r="G1330" i="13"/>
  <c r="H1330" i="13" s="1"/>
  <c r="J1330" i="13" s="1"/>
  <c r="C1330" i="13"/>
  <c r="F1330" i="13" s="1"/>
  <c r="B1330" i="13"/>
  <c r="G1329" i="13"/>
  <c r="H1329" i="13" s="1"/>
  <c r="J1329" i="13" s="1"/>
  <c r="C1329" i="13"/>
  <c r="F1329" i="13" s="1"/>
  <c r="B1329" i="13"/>
  <c r="G1328" i="13"/>
  <c r="H1328" i="13" s="1"/>
  <c r="J1328" i="13" s="1"/>
  <c r="C1328" i="13"/>
  <c r="F1328" i="13" s="1"/>
  <c r="B1328" i="13"/>
  <c r="G1327" i="13"/>
  <c r="H1327" i="13" s="1"/>
  <c r="J1327" i="13" s="1"/>
  <c r="C1327" i="13"/>
  <c r="F1327" i="13" s="1"/>
  <c r="B1327" i="13"/>
  <c r="G1326" i="13"/>
  <c r="H1326" i="13" s="1"/>
  <c r="C1326" i="13"/>
  <c r="F1326" i="13" s="1"/>
  <c r="B1326" i="13"/>
  <c r="G1325" i="13"/>
  <c r="H1325" i="13" s="1"/>
  <c r="J1325" i="13" s="1"/>
  <c r="C1325" i="13"/>
  <c r="F1325" i="13" s="1"/>
  <c r="B1325" i="13"/>
  <c r="G1324" i="13"/>
  <c r="H1324" i="13" s="1"/>
  <c r="J1324" i="13" s="1"/>
  <c r="C1324" i="13"/>
  <c r="F1324" i="13" s="1"/>
  <c r="B1324" i="13"/>
  <c r="G1323" i="13"/>
  <c r="H1323" i="13" s="1"/>
  <c r="J1323" i="13" s="1"/>
  <c r="C1323" i="13"/>
  <c r="F1323" i="13" s="1"/>
  <c r="B1323" i="13"/>
  <c r="G1322" i="13"/>
  <c r="H1322" i="13" s="1"/>
  <c r="J1322" i="13" s="1"/>
  <c r="C1322" i="13"/>
  <c r="F1322" i="13" s="1"/>
  <c r="B1322" i="13"/>
  <c r="G1321" i="13"/>
  <c r="H1321" i="13" s="1"/>
  <c r="J1321" i="13" s="1"/>
  <c r="C1321" i="13"/>
  <c r="F1321" i="13" s="1"/>
  <c r="B1321" i="13"/>
  <c r="G1320" i="13"/>
  <c r="H1320" i="13" s="1"/>
  <c r="C1320" i="13"/>
  <c r="F1320" i="13" s="1"/>
  <c r="B1320" i="13"/>
  <c r="G1319" i="13"/>
  <c r="H1319" i="13" s="1"/>
  <c r="C1319" i="13"/>
  <c r="F1319" i="13" s="1"/>
  <c r="B1319" i="13"/>
  <c r="G1318" i="13"/>
  <c r="H1318" i="13" s="1"/>
  <c r="J1318" i="13" s="1"/>
  <c r="C1318" i="13"/>
  <c r="F1318" i="13" s="1"/>
  <c r="B1318" i="13"/>
  <c r="G1317" i="13"/>
  <c r="H1317" i="13" s="1"/>
  <c r="J1317" i="13" s="1"/>
  <c r="C1317" i="13"/>
  <c r="F1317" i="13" s="1"/>
  <c r="B1317" i="13"/>
  <c r="G1316" i="13"/>
  <c r="H1316" i="13" s="1"/>
  <c r="J1316" i="13" s="1"/>
  <c r="C1316" i="13"/>
  <c r="F1316" i="13" s="1"/>
  <c r="B1316" i="13"/>
  <c r="G1315" i="13"/>
  <c r="H1315" i="13" s="1"/>
  <c r="J1315" i="13" s="1"/>
  <c r="C1315" i="13"/>
  <c r="F1315" i="13" s="1"/>
  <c r="B1315" i="13"/>
  <c r="G1314" i="13"/>
  <c r="H1314" i="13" s="1"/>
  <c r="C1314" i="13"/>
  <c r="F1314" i="13" s="1"/>
  <c r="B1314" i="13"/>
  <c r="G1313" i="13"/>
  <c r="H1313" i="13" s="1"/>
  <c r="J1313" i="13" s="1"/>
  <c r="C1313" i="13"/>
  <c r="F1313" i="13" s="1"/>
  <c r="B1313" i="13"/>
  <c r="G1312" i="13"/>
  <c r="H1312" i="13" s="1"/>
  <c r="J1312" i="13" s="1"/>
  <c r="C1312" i="13"/>
  <c r="F1312" i="13" s="1"/>
  <c r="B1312" i="13"/>
  <c r="G1311" i="13"/>
  <c r="H1311" i="13" s="1"/>
  <c r="J1311" i="13" s="1"/>
  <c r="C1311" i="13"/>
  <c r="F1311" i="13" s="1"/>
  <c r="B1311" i="13"/>
  <c r="G1310" i="13"/>
  <c r="H1310" i="13" s="1"/>
  <c r="J1310" i="13" s="1"/>
  <c r="C1310" i="13"/>
  <c r="F1310" i="13" s="1"/>
  <c r="B1310" i="13"/>
  <c r="G1309" i="13"/>
  <c r="H1309" i="13" s="1"/>
  <c r="J1309" i="13" s="1"/>
  <c r="C1309" i="13"/>
  <c r="F1309" i="13" s="1"/>
  <c r="B1309" i="13"/>
  <c r="G1308" i="13"/>
  <c r="H1308" i="13" s="1"/>
  <c r="J1308" i="13" s="1"/>
  <c r="C1308" i="13"/>
  <c r="F1308" i="13" s="1"/>
  <c r="B1308" i="13"/>
  <c r="G1307" i="13"/>
  <c r="H1307" i="13" s="1"/>
  <c r="C1307" i="13"/>
  <c r="F1307" i="13" s="1"/>
  <c r="B1307" i="13"/>
  <c r="G1306" i="13"/>
  <c r="H1306" i="13" s="1"/>
  <c r="J1306" i="13" s="1"/>
  <c r="C1306" i="13"/>
  <c r="F1306" i="13" s="1"/>
  <c r="B1306" i="13"/>
  <c r="G1305" i="13"/>
  <c r="H1305" i="13" s="1"/>
  <c r="J1305" i="13" s="1"/>
  <c r="C1305" i="13"/>
  <c r="F1305" i="13" s="1"/>
  <c r="B1305" i="13"/>
  <c r="G1304" i="13"/>
  <c r="H1304" i="13" s="1"/>
  <c r="J1304" i="13" s="1"/>
  <c r="C1304" i="13"/>
  <c r="F1304" i="13" s="1"/>
  <c r="B1304" i="13"/>
  <c r="G1303" i="13"/>
  <c r="H1303" i="13" s="1"/>
  <c r="J1303" i="13" s="1"/>
  <c r="C1303" i="13"/>
  <c r="F1303" i="13" s="1"/>
  <c r="B1303" i="13"/>
  <c r="G1302" i="13"/>
  <c r="H1302" i="13" s="1"/>
  <c r="C1302" i="13"/>
  <c r="F1302" i="13" s="1"/>
  <c r="B1302" i="13"/>
  <c r="G1301" i="13"/>
  <c r="H1301" i="13" s="1"/>
  <c r="J1301" i="13" s="1"/>
  <c r="C1301" i="13"/>
  <c r="F1301" i="13" s="1"/>
  <c r="B1301" i="13"/>
  <c r="G1300" i="13"/>
  <c r="H1300" i="13" s="1"/>
  <c r="J1300" i="13" s="1"/>
  <c r="C1300" i="13"/>
  <c r="F1300" i="13" s="1"/>
  <c r="B1300" i="13"/>
  <c r="G1299" i="13"/>
  <c r="H1299" i="13" s="1"/>
  <c r="J1299" i="13" s="1"/>
  <c r="C1299" i="13"/>
  <c r="F1299" i="13" s="1"/>
  <c r="B1299" i="13"/>
  <c r="G1298" i="13"/>
  <c r="H1298" i="13" s="1"/>
  <c r="J1298" i="13" s="1"/>
  <c r="C1298" i="13"/>
  <c r="F1298" i="13" s="1"/>
  <c r="B1298" i="13"/>
  <c r="G1297" i="13"/>
  <c r="H1297" i="13" s="1"/>
  <c r="J1297" i="13" s="1"/>
  <c r="C1297" i="13"/>
  <c r="F1297" i="13" s="1"/>
  <c r="B1297" i="13"/>
  <c r="G1296" i="13"/>
  <c r="H1296" i="13" s="1"/>
  <c r="J1296" i="13" s="1"/>
  <c r="C1296" i="13"/>
  <c r="F1296" i="13" s="1"/>
  <c r="B1296" i="13"/>
  <c r="G1295" i="13"/>
  <c r="H1295" i="13" s="1"/>
  <c r="C1295" i="13"/>
  <c r="F1295" i="13" s="1"/>
  <c r="B1295" i="13"/>
  <c r="G1294" i="13"/>
  <c r="H1294" i="13" s="1"/>
  <c r="J1294" i="13" s="1"/>
  <c r="C1294" i="13"/>
  <c r="F1294" i="13" s="1"/>
  <c r="B1294" i="13"/>
  <c r="G1293" i="13"/>
  <c r="H1293" i="13" s="1"/>
  <c r="J1293" i="13" s="1"/>
  <c r="C1293" i="13"/>
  <c r="F1293" i="13" s="1"/>
  <c r="B1293" i="13"/>
  <c r="G1292" i="13"/>
  <c r="H1292" i="13" s="1"/>
  <c r="J1292" i="13" s="1"/>
  <c r="C1292" i="13"/>
  <c r="F1292" i="13" s="1"/>
  <c r="B1292" i="13"/>
  <c r="G1291" i="13"/>
  <c r="H1291" i="13" s="1"/>
  <c r="J1291" i="13" s="1"/>
  <c r="C1291" i="13"/>
  <c r="F1291" i="13" s="1"/>
  <c r="B1291" i="13"/>
  <c r="G1290" i="13"/>
  <c r="H1290" i="13" s="1"/>
  <c r="C1290" i="13"/>
  <c r="F1290" i="13" s="1"/>
  <c r="B1290" i="13"/>
  <c r="G1289" i="13"/>
  <c r="H1289" i="13" s="1"/>
  <c r="J1289" i="13" s="1"/>
  <c r="C1289" i="13"/>
  <c r="F1289" i="13" s="1"/>
  <c r="B1289" i="13"/>
  <c r="G1288" i="13"/>
  <c r="H1288" i="13" s="1"/>
  <c r="J1288" i="13" s="1"/>
  <c r="C1288" i="13"/>
  <c r="F1288" i="13" s="1"/>
  <c r="B1288" i="13"/>
  <c r="G1287" i="13"/>
  <c r="H1287" i="13" s="1"/>
  <c r="J1287" i="13" s="1"/>
  <c r="C1287" i="13"/>
  <c r="F1287" i="13" s="1"/>
  <c r="B1287" i="13"/>
  <c r="G1286" i="13"/>
  <c r="H1286" i="13" s="1"/>
  <c r="J1286" i="13" s="1"/>
  <c r="C1286" i="13"/>
  <c r="F1286" i="13" s="1"/>
  <c r="B1286" i="13"/>
  <c r="G1285" i="13"/>
  <c r="H1285" i="13" s="1"/>
  <c r="J1285" i="13" s="1"/>
  <c r="C1285" i="13"/>
  <c r="F1285" i="13" s="1"/>
  <c r="B1285" i="13"/>
  <c r="G1284" i="13"/>
  <c r="H1284" i="13" s="1"/>
  <c r="J1284" i="13" s="1"/>
  <c r="C1284" i="13"/>
  <c r="F1284" i="13" s="1"/>
  <c r="B1284" i="13"/>
  <c r="G1283" i="13"/>
  <c r="H1283" i="13" s="1"/>
  <c r="C1283" i="13"/>
  <c r="F1283" i="13" s="1"/>
  <c r="B1283" i="13"/>
  <c r="G1282" i="13"/>
  <c r="H1282" i="13" s="1"/>
  <c r="J1282" i="13" s="1"/>
  <c r="C1282" i="13"/>
  <c r="F1282" i="13" s="1"/>
  <c r="B1282" i="13"/>
  <c r="G1281" i="13"/>
  <c r="H1281" i="13" s="1"/>
  <c r="J1281" i="13" s="1"/>
  <c r="C1281" i="13"/>
  <c r="F1281" i="13" s="1"/>
  <c r="B1281" i="13"/>
  <c r="G1280" i="13"/>
  <c r="H1280" i="13" s="1"/>
  <c r="J1280" i="13" s="1"/>
  <c r="C1280" i="13"/>
  <c r="F1280" i="13" s="1"/>
  <c r="B1280" i="13"/>
  <c r="G1279" i="13"/>
  <c r="H1279" i="13" s="1"/>
  <c r="J1279" i="13" s="1"/>
  <c r="C1279" i="13"/>
  <c r="F1279" i="13" s="1"/>
  <c r="B1279" i="13"/>
  <c r="G1278" i="13"/>
  <c r="H1278" i="13" s="1"/>
  <c r="J1278" i="13" s="1"/>
  <c r="C1278" i="13"/>
  <c r="F1278" i="13" s="1"/>
  <c r="B1278" i="13"/>
  <c r="G1277" i="13"/>
  <c r="H1277" i="13" s="1"/>
  <c r="J1277" i="13" s="1"/>
  <c r="C1277" i="13"/>
  <c r="F1277" i="13" s="1"/>
  <c r="B1277" i="13"/>
  <c r="G1276" i="13"/>
  <c r="H1276" i="13" s="1"/>
  <c r="J1276" i="13" s="1"/>
  <c r="C1276" i="13"/>
  <c r="F1276" i="13" s="1"/>
  <c r="B1276" i="13"/>
  <c r="G1275" i="13"/>
  <c r="H1275" i="13" s="1"/>
  <c r="J1275" i="13" s="1"/>
  <c r="C1275" i="13"/>
  <c r="F1275" i="13" s="1"/>
  <c r="B1275" i="13"/>
  <c r="G1274" i="13"/>
  <c r="H1274" i="13" s="1"/>
  <c r="J1274" i="13" s="1"/>
  <c r="C1274" i="13"/>
  <c r="F1274" i="13" s="1"/>
  <c r="B1274" i="13"/>
  <c r="G1273" i="13"/>
  <c r="H1273" i="13" s="1"/>
  <c r="J1273" i="13" s="1"/>
  <c r="C1273" i="13"/>
  <c r="F1273" i="13" s="1"/>
  <c r="B1273" i="13"/>
  <c r="G1272" i="13"/>
  <c r="H1272" i="13" s="1"/>
  <c r="J1272" i="13" s="1"/>
  <c r="C1272" i="13"/>
  <c r="F1272" i="13" s="1"/>
  <c r="B1272" i="13"/>
  <c r="G1271" i="13"/>
  <c r="H1271" i="13" s="1"/>
  <c r="C1271" i="13"/>
  <c r="F1271" i="13" s="1"/>
  <c r="B1271" i="13"/>
  <c r="G1270" i="13"/>
  <c r="H1270" i="13" s="1"/>
  <c r="J1270" i="13" s="1"/>
  <c r="C1270" i="13"/>
  <c r="F1270" i="13" s="1"/>
  <c r="B1270" i="13"/>
  <c r="G1269" i="13"/>
  <c r="H1269" i="13" s="1"/>
  <c r="C1269" i="13"/>
  <c r="F1269" i="13" s="1"/>
  <c r="B1269" i="13"/>
  <c r="G1268" i="13"/>
  <c r="H1268" i="13" s="1"/>
  <c r="J1268" i="13" s="1"/>
  <c r="C1268" i="13"/>
  <c r="F1268" i="13" s="1"/>
  <c r="B1268" i="13"/>
  <c r="G1267" i="13"/>
  <c r="H1267" i="13" s="1"/>
  <c r="J1267" i="13" s="1"/>
  <c r="C1267" i="13"/>
  <c r="F1267" i="13" s="1"/>
  <c r="B1267" i="13"/>
  <c r="G1266" i="13"/>
  <c r="H1266" i="13" s="1"/>
  <c r="J1266" i="13" s="1"/>
  <c r="C1266" i="13"/>
  <c r="F1266" i="13" s="1"/>
  <c r="B1266" i="13"/>
  <c r="G1265" i="13"/>
  <c r="H1265" i="13" s="1"/>
  <c r="J1265" i="13" s="1"/>
  <c r="C1265" i="13"/>
  <c r="F1265" i="13" s="1"/>
  <c r="B1265" i="13"/>
  <c r="G1264" i="13"/>
  <c r="H1264" i="13" s="1"/>
  <c r="J1264" i="13" s="1"/>
  <c r="C1264" i="13"/>
  <c r="F1264" i="13" s="1"/>
  <c r="B1264" i="13"/>
  <c r="G1263" i="13"/>
  <c r="H1263" i="13" s="1"/>
  <c r="J1263" i="13" s="1"/>
  <c r="C1263" i="13"/>
  <c r="F1263" i="13" s="1"/>
  <c r="B1263" i="13"/>
  <c r="G1262" i="13"/>
  <c r="H1262" i="13" s="1"/>
  <c r="J1262" i="13" s="1"/>
  <c r="C1262" i="13"/>
  <c r="F1262" i="13" s="1"/>
  <c r="B1262" i="13"/>
  <c r="G1261" i="13"/>
  <c r="H1261" i="13" s="1"/>
  <c r="J1261" i="13" s="1"/>
  <c r="C1261" i="13"/>
  <c r="F1261" i="13" s="1"/>
  <c r="B1261" i="13"/>
  <c r="G1260" i="13"/>
  <c r="H1260" i="13" s="1"/>
  <c r="J1260" i="13" s="1"/>
  <c r="C1260" i="13"/>
  <c r="F1260" i="13" s="1"/>
  <c r="B1260" i="13"/>
  <c r="G1259" i="13"/>
  <c r="H1259" i="13" s="1"/>
  <c r="C1259" i="13"/>
  <c r="F1259" i="13" s="1"/>
  <c r="B1259" i="13"/>
  <c r="G1258" i="13"/>
  <c r="H1258" i="13" s="1"/>
  <c r="J1258" i="13" s="1"/>
  <c r="C1258" i="13"/>
  <c r="F1258" i="13" s="1"/>
  <c r="B1258" i="13"/>
  <c r="G1257" i="13"/>
  <c r="H1257" i="13" s="1"/>
  <c r="J1257" i="13" s="1"/>
  <c r="C1257" i="13"/>
  <c r="F1257" i="13" s="1"/>
  <c r="B1257" i="13"/>
  <c r="G1256" i="13"/>
  <c r="H1256" i="13" s="1"/>
  <c r="J1256" i="13" s="1"/>
  <c r="C1256" i="13"/>
  <c r="F1256" i="13" s="1"/>
  <c r="B1256" i="13"/>
  <c r="G1255" i="13"/>
  <c r="H1255" i="13" s="1"/>
  <c r="J1255" i="13" s="1"/>
  <c r="C1255" i="13"/>
  <c r="F1255" i="13" s="1"/>
  <c r="B1255" i="13"/>
  <c r="G1254" i="13"/>
  <c r="H1254" i="13" s="1"/>
  <c r="J1254" i="13" s="1"/>
  <c r="C1254" i="13"/>
  <c r="F1254" i="13" s="1"/>
  <c r="B1254" i="13"/>
  <c r="G1253" i="13"/>
  <c r="H1253" i="13" s="1"/>
  <c r="J1253" i="13" s="1"/>
  <c r="C1253" i="13"/>
  <c r="F1253" i="13" s="1"/>
  <c r="B1253" i="13"/>
  <c r="G1252" i="13"/>
  <c r="H1252" i="13" s="1"/>
  <c r="J1252" i="13" s="1"/>
  <c r="C1252" i="13"/>
  <c r="F1252" i="13" s="1"/>
  <c r="B1252" i="13"/>
  <c r="G1251" i="13"/>
  <c r="H1251" i="13" s="1"/>
  <c r="J1251" i="13" s="1"/>
  <c r="C1251" i="13"/>
  <c r="F1251" i="13" s="1"/>
  <c r="B1251" i="13"/>
  <c r="G1250" i="13"/>
  <c r="H1250" i="13" s="1"/>
  <c r="J1250" i="13" s="1"/>
  <c r="C1250" i="13"/>
  <c r="F1250" i="13" s="1"/>
  <c r="B1250" i="13"/>
  <c r="G1249" i="13"/>
  <c r="H1249" i="13" s="1"/>
  <c r="J1249" i="13" s="1"/>
  <c r="C1249" i="13"/>
  <c r="F1249" i="13" s="1"/>
  <c r="B1249" i="13"/>
  <c r="G1248" i="13"/>
  <c r="H1248" i="13" s="1"/>
  <c r="J1248" i="13" s="1"/>
  <c r="C1248" i="13"/>
  <c r="F1248" i="13" s="1"/>
  <c r="B1248" i="13"/>
  <c r="G1247" i="13"/>
  <c r="H1247" i="13" s="1"/>
  <c r="C1247" i="13"/>
  <c r="F1247" i="13" s="1"/>
  <c r="B1247" i="13"/>
  <c r="G1246" i="13"/>
  <c r="H1246" i="13" s="1"/>
  <c r="J1246" i="13" s="1"/>
  <c r="C1246" i="13"/>
  <c r="F1246" i="13" s="1"/>
  <c r="B1246" i="13"/>
  <c r="G1245" i="13"/>
  <c r="H1245" i="13" s="1"/>
  <c r="J1245" i="13" s="1"/>
  <c r="C1245" i="13"/>
  <c r="F1245" i="13" s="1"/>
  <c r="B1245" i="13"/>
  <c r="G1244" i="13"/>
  <c r="H1244" i="13" s="1"/>
  <c r="J1244" i="13" s="1"/>
  <c r="C1244" i="13"/>
  <c r="F1244" i="13" s="1"/>
  <c r="B1244" i="13"/>
  <c r="G1243" i="13"/>
  <c r="H1243" i="13" s="1"/>
  <c r="J1243" i="13" s="1"/>
  <c r="C1243" i="13"/>
  <c r="F1243" i="13" s="1"/>
  <c r="B1243" i="13"/>
  <c r="G1242" i="13"/>
  <c r="H1242" i="13" s="1"/>
  <c r="J1242" i="13" s="1"/>
  <c r="C1242" i="13"/>
  <c r="F1242" i="13" s="1"/>
  <c r="B1242" i="13"/>
  <c r="G1241" i="13"/>
  <c r="H1241" i="13" s="1"/>
  <c r="J1241" i="13" s="1"/>
  <c r="C1241" i="13"/>
  <c r="F1241" i="13" s="1"/>
  <c r="B1241" i="13"/>
  <c r="G1240" i="13"/>
  <c r="H1240" i="13" s="1"/>
  <c r="J1240" i="13" s="1"/>
  <c r="C1240" i="13"/>
  <c r="F1240" i="13" s="1"/>
  <c r="B1240" i="13"/>
  <c r="G1239" i="13"/>
  <c r="H1239" i="13" s="1"/>
  <c r="J1239" i="13" s="1"/>
  <c r="C1239" i="13"/>
  <c r="F1239" i="13" s="1"/>
  <c r="B1239" i="13"/>
  <c r="G1238" i="13"/>
  <c r="H1238" i="13" s="1"/>
  <c r="J1238" i="13" s="1"/>
  <c r="C1238" i="13"/>
  <c r="F1238" i="13" s="1"/>
  <c r="B1238" i="13"/>
  <c r="G1237" i="13"/>
  <c r="H1237" i="13" s="1"/>
  <c r="J1237" i="13" s="1"/>
  <c r="C1237" i="13"/>
  <c r="F1237" i="13" s="1"/>
  <c r="B1237" i="13"/>
  <c r="G1236" i="13"/>
  <c r="H1236" i="13" s="1"/>
  <c r="J1236" i="13" s="1"/>
  <c r="C1236" i="13"/>
  <c r="F1236" i="13" s="1"/>
  <c r="B1236" i="13"/>
  <c r="G1235" i="13"/>
  <c r="H1235" i="13" s="1"/>
  <c r="J1235" i="13" s="1"/>
  <c r="C1235" i="13"/>
  <c r="F1235" i="13" s="1"/>
  <c r="B1235" i="13"/>
  <c r="G1234" i="13"/>
  <c r="H1234" i="13" s="1"/>
  <c r="J1234" i="13" s="1"/>
  <c r="C1234" i="13"/>
  <c r="F1234" i="13" s="1"/>
  <c r="B1234" i="13"/>
  <c r="G1233" i="13"/>
  <c r="H1233" i="13" s="1"/>
  <c r="J1233" i="13" s="1"/>
  <c r="C1233" i="13"/>
  <c r="F1233" i="13" s="1"/>
  <c r="B1233" i="13"/>
  <c r="G1232" i="13"/>
  <c r="H1232" i="13" s="1"/>
  <c r="J1232" i="13" s="1"/>
  <c r="C1232" i="13"/>
  <c r="F1232" i="13" s="1"/>
  <c r="B1232" i="13"/>
  <c r="G1231" i="13"/>
  <c r="H1231" i="13" s="1"/>
  <c r="J1231" i="13" s="1"/>
  <c r="C1231" i="13"/>
  <c r="F1231" i="13" s="1"/>
  <c r="B1231" i="13"/>
  <c r="G1230" i="13"/>
  <c r="H1230" i="13" s="1"/>
  <c r="C1230" i="13"/>
  <c r="F1230" i="13" s="1"/>
  <c r="B1230" i="13"/>
  <c r="G1229" i="13"/>
  <c r="H1229" i="13" s="1"/>
  <c r="J1229" i="13" s="1"/>
  <c r="C1229" i="13"/>
  <c r="F1229" i="13" s="1"/>
  <c r="B1229" i="13"/>
  <c r="G1228" i="13"/>
  <c r="H1228" i="13" s="1"/>
  <c r="J1228" i="13" s="1"/>
  <c r="C1228" i="13"/>
  <c r="F1228" i="13" s="1"/>
  <c r="B1228" i="13"/>
  <c r="G1227" i="13"/>
  <c r="H1227" i="13" s="1"/>
  <c r="J1227" i="13" s="1"/>
  <c r="C1227" i="13"/>
  <c r="F1227" i="13" s="1"/>
  <c r="B1227" i="13"/>
  <c r="G1226" i="13"/>
  <c r="H1226" i="13" s="1"/>
  <c r="J1226" i="13" s="1"/>
  <c r="C1226" i="13"/>
  <c r="F1226" i="13" s="1"/>
  <c r="B1226" i="13"/>
  <c r="G1225" i="13"/>
  <c r="H1225" i="13" s="1"/>
  <c r="J1225" i="13" s="1"/>
  <c r="C1225" i="13"/>
  <c r="F1225" i="13" s="1"/>
  <c r="B1225" i="13"/>
  <c r="G1224" i="13"/>
  <c r="H1224" i="13" s="1"/>
  <c r="J1224" i="13" s="1"/>
  <c r="C1224" i="13"/>
  <c r="F1224" i="13" s="1"/>
  <c r="B1224" i="13"/>
  <c r="G1223" i="13"/>
  <c r="H1223" i="13" s="1"/>
  <c r="J1223" i="13" s="1"/>
  <c r="C1223" i="13"/>
  <c r="F1223" i="13" s="1"/>
  <c r="B1223" i="13"/>
  <c r="G1222" i="13"/>
  <c r="H1222" i="13" s="1"/>
  <c r="J1222" i="13" s="1"/>
  <c r="C1222" i="13"/>
  <c r="F1222" i="13" s="1"/>
  <c r="B1222" i="13"/>
  <c r="G1221" i="13"/>
  <c r="H1221" i="13" s="1"/>
  <c r="J1221" i="13" s="1"/>
  <c r="C1221" i="13"/>
  <c r="F1221" i="13" s="1"/>
  <c r="B1221" i="13"/>
  <c r="G1220" i="13"/>
  <c r="H1220" i="13" s="1"/>
  <c r="J1220" i="13" s="1"/>
  <c r="C1220" i="13"/>
  <c r="F1220" i="13" s="1"/>
  <c r="B1220" i="13"/>
  <c r="G1219" i="13"/>
  <c r="H1219" i="13" s="1"/>
  <c r="J1219" i="13" s="1"/>
  <c r="C1219" i="13"/>
  <c r="F1219" i="13" s="1"/>
  <c r="B1219" i="13"/>
  <c r="G1218" i="13"/>
  <c r="H1218" i="13" s="1"/>
  <c r="C1218" i="13"/>
  <c r="F1218" i="13" s="1"/>
  <c r="B1218" i="13"/>
  <c r="G1217" i="13"/>
  <c r="H1217" i="13" s="1"/>
  <c r="C1217" i="13"/>
  <c r="F1217" i="13" s="1"/>
  <c r="B1217" i="13"/>
  <c r="G1216" i="13"/>
  <c r="H1216" i="13" s="1"/>
  <c r="J1216" i="13" s="1"/>
  <c r="C1216" i="13"/>
  <c r="F1216" i="13" s="1"/>
  <c r="B1216" i="13"/>
  <c r="G1215" i="13"/>
  <c r="H1215" i="13" s="1"/>
  <c r="J1215" i="13" s="1"/>
  <c r="C1215" i="13"/>
  <c r="F1215" i="13" s="1"/>
  <c r="B1215" i="13"/>
  <c r="G1214" i="13"/>
  <c r="H1214" i="13" s="1"/>
  <c r="J1214" i="13" s="1"/>
  <c r="C1214" i="13"/>
  <c r="F1214" i="13" s="1"/>
  <c r="B1214" i="13"/>
  <c r="G1213" i="13"/>
  <c r="H1213" i="13" s="1"/>
  <c r="J1213" i="13" s="1"/>
  <c r="C1213" i="13"/>
  <c r="F1213" i="13" s="1"/>
  <c r="B1213" i="13"/>
  <c r="G1212" i="13"/>
  <c r="H1212" i="13" s="1"/>
  <c r="J1212" i="13" s="1"/>
  <c r="C1212" i="13"/>
  <c r="F1212" i="13" s="1"/>
  <c r="B1212" i="13"/>
  <c r="G1211" i="13"/>
  <c r="H1211" i="13" s="1"/>
  <c r="J1211" i="13" s="1"/>
  <c r="C1211" i="13"/>
  <c r="F1211" i="13" s="1"/>
  <c r="B1211" i="13"/>
  <c r="G1210" i="13"/>
  <c r="H1210" i="13" s="1"/>
  <c r="J1210" i="13" s="1"/>
  <c r="C1210" i="13"/>
  <c r="F1210" i="13" s="1"/>
  <c r="B1210" i="13"/>
  <c r="G1209" i="13"/>
  <c r="H1209" i="13" s="1"/>
  <c r="J1209" i="13" s="1"/>
  <c r="C1209" i="13"/>
  <c r="F1209" i="13" s="1"/>
  <c r="B1209" i="13"/>
  <c r="G1208" i="13"/>
  <c r="H1208" i="13" s="1"/>
  <c r="J1208" i="13" s="1"/>
  <c r="C1208" i="13"/>
  <c r="F1208" i="13" s="1"/>
  <c r="B1208" i="13"/>
  <c r="G1207" i="13"/>
  <c r="H1207" i="13" s="1"/>
  <c r="J1207" i="13" s="1"/>
  <c r="C1207" i="13"/>
  <c r="F1207" i="13" s="1"/>
  <c r="B1207" i="13"/>
  <c r="G1206" i="13"/>
  <c r="H1206" i="13" s="1"/>
  <c r="C1206" i="13"/>
  <c r="F1206" i="13" s="1"/>
  <c r="B1206" i="13"/>
  <c r="G1205" i="13"/>
  <c r="H1205" i="13" s="1"/>
  <c r="J1205" i="13" s="1"/>
  <c r="C1205" i="13"/>
  <c r="F1205" i="13" s="1"/>
  <c r="B1205" i="13"/>
  <c r="G1204" i="13"/>
  <c r="H1204" i="13" s="1"/>
  <c r="J1204" i="13" s="1"/>
  <c r="C1204" i="13"/>
  <c r="F1204" i="13" s="1"/>
  <c r="B1204" i="13"/>
  <c r="G1203" i="13"/>
  <c r="H1203" i="13" s="1"/>
  <c r="J1203" i="13" s="1"/>
  <c r="C1203" i="13"/>
  <c r="F1203" i="13" s="1"/>
  <c r="B1203" i="13"/>
  <c r="G1202" i="13"/>
  <c r="H1202" i="13" s="1"/>
  <c r="J1202" i="13" s="1"/>
  <c r="C1202" i="13"/>
  <c r="F1202" i="13" s="1"/>
  <c r="B1202" i="13"/>
  <c r="G1201" i="13"/>
  <c r="H1201" i="13" s="1"/>
  <c r="J1201" i="13" s="1"/>
  <c r="C1201" i="13"/>
  <c r="F1201" i="13" s="1"/>
  <c r="B1201" i="13"/>
  <c r="G1200" i="13"/>
  <c r="H1200" i="13" s="1"/>
  <c r="J1200" i="13" s="1"/>
  <c r="C1200" i="13"/>
  <c r="F1200" i="13" s="1"/>
  <c r="B1200" i="13"/>
  <c r="G1199" i="13"/>
  <c r="H1199" i="13" s="1"/>
  <c r="J1199" i="13" s="1"/>
  <c r="C1199" i="13"/>
  <c r="F1199" i="13" s="1"/>
  <c r="B1199" i="13"/>
  <c r="G1198" i="13"/>
  <c r="H1198" i="13" s="1"/>
  <c r="J1198" i="13" s="1"/>
  <c r="C1198" i="13"/>
  <c r="F1198" i="13" s="1"/>
  <c r="B1198" i="13"/>
  <c r="G1197" i="13"/>
  <c r="H1197" i="13" s="1"/>
  <c r="J1197" i="13" s="1"/>
  <c r="C1197" i="13"/>
  <c r="F1197" i="13" s="1"/>
  <c r="B1197" i="13"/>
  <c r="G1196" i="13"/>
  <c r="H1196" i="13" s="1"/>
  <c r="J1196" i="13" s="1"/>
  <c r="C1196" i="13"/>
  <c r="F1196" i="13" s="1"/>
  <c r="B1196" i="13"/>
  <c r="G1195" i="13"/>
  <c r="H1195" i="13" s="1"/>
  <c r="J1195" i="13" s="1"/>
  <c r="C1195" i="13"/>
  <c r="F1195" i="13" s="1"/>
  <c r="B1195" i="13"/>
  <c r="G1194" i="13"/>
  <c r="H1194" i="13" s="1"/>
  <c r="C1194" i="13"/>
  <c r="F1194" i="13" s="1"/>
  <c r="B1194" i="13"/>
  <c r="G1193" i="13"/>
  <c r="H1193" i="13" s="1"/>
  <c r="J1193" i="13" s="1"/>
  <c r="C1193" i="13"/>
  <c r="F1193" i="13" s="1"/>
  <c r="B1193" i="13"/>
  <c r="G1192" i="13"/>
  <c r="H1192" i="13" s="1"/>
  <c r="J1192" i="13" s="1"/>
  <c r="C1192" i="13"/>
  <c r="F1192" i="13" s="1"/>
  <c r="B1192" i="13"/>
  <c r="G1191" i="13"/>
  <c r="H1191" i="13" s="1"/>
  <c r="J1191" i="13" s="1"/>
  <c r="C1191" i="13"/>
  <c r="F1191" i="13" s="1"/>
  <c r="B1191" i="13"/>
  <c r="G1190" i="13"/>
  <c r="H1190" i="13" s="1"/>
  <c r="J1190" i="13" s="1"/>
  <c r="C1190" i="13"/>
  <c r="F1190" i="13" s="1"/>
  <c r="B1190" i="13"/>
  <c r="G1189" i="13"/>
  <c r="H1189" i="13" s="1"/>
  <c r="J1189" i="13" s="1"/>
  <c r="C1189" i="13"/>
  <c r="F1189" i="13" s="1"/>
  <c r="B1189" i="13"/>
  <c r="G1188" i="13"/>
  <c r="H1188" i="13" s="1"/>
  <c r="J1188" i="13" s="1"/>
  <c r="C1188" i="13"/>
  <c r="F1188" i="13" s="1"/>
  <c r="B1188" i="13"/>
  <c r="G1187" i="13"/>
  <c r="H1187" i="13" s="1"/>
  <c r="J1187" i="13" s="1"/>
  <c r="C1187" i="13"/>
  <c r="F1187" i="13" s="1"/>
  <c r="B1187" i="13"/>
  <c r="G1186" i="13"/>
  <c r="H1186" i="13" s="1"/>
  <c r="J1186" i="13" s="1"/>
  <c r="C1186" i="13"/>
  <c r="F1186" i="13" s="1"/>
  <c r="B1186" i="13"/>
  <c r="G1185" i="13"/>
  <c r="H1185" i="13" s="1"/>
  <c r="J1185" i="13" s="1"/>
  <c r="C1185" i="13"/>
  <c r="F1185" i="13" s="1"/>
  <c r="B1185" i="13"/>
  <c r="G1184" i="13"/>
  <c r="H1184" i="13" s="1"/>
  <c r="J1184" i="13" s="1"/>
  <c r="C1184" i="13"/>
  <c r="F1184" i="13" s="1"/>
  <c r="B1184" i="13"/>
  <c r="G1183" i="13"/>
  <c r="H1183" i="13" s="1"/>
  <c r="J1183" i="13" s="1"/>
  <c r="C1183" i="13"/>
  <c r="F1183" i="13" s="1"/>
  <c r="B1183" i="13"/>
  <c r="G1182" i="13"/>
  <c r="H1182" i="13" s="1"/>
  <c r="C1182" i="13"/>
  <c r="F1182" i="13" s="1"/>
  <c r="B1182" i="13"/>
  <c r="G1181" i="13"/>
  <c r="H1181" i="13" s="1"/>
  <c r="J1181" i="13" s="1"/>
  <c r="C1181" i="13"/>
  <c r="F1181" i="13" s="1"/>
  <c r="B1181" i="13"/>
  <c r="G1180" i="13"/>
  <c r="H1180" i="13" s="1"/>
  <c r="J1180" i="13" s="1"/>
  <c r="C1180" i="13"/>
  <c r="F1180" i="13" s="1"/>
  <c r="B1180" i="13"/>
  <c r="G1179" i="13"/>
  <c r="H1179" i="13" s="1"/>
  <c r="J1179" i="13" s="1"/>
  <c r="C1179" i="13"/>
  <c r="F1179" i="13" s="1"/>
  <c r="B1179" i="13"/>
  <c r="G1178" i="13"/>
  <c r="H1178" i="13" s="1"/>
  <c r="J1178" i="13" s="1"/>
  <c r="C1178" i="13"/>
  <c r="F1178" i="13" s="1"/>
  <c r="B1178" i="13"/>
  <c r="G1177" i="13"/>
  <c r="H1177" i="13" s="1"/>
  <c r="J1177" i="13" s="1"/>
  <c r="C1177" i="13"/>
  <c r="F1177" i="13" s="1"/>
  <c r="B1177" i="13"/>
  <c r="G1176" i="13"/>
  <c r="H1176" i="13" s="1"/>
  <c r="J1176" i="13" s="1"/>
  <c r="C1176" i="13"/>
  <c r="F1176" i="13" s="1"/>
  <c r="B1176" i="13"/>
  <c r="G1175" i="13"/>
  <c r="H1175" i="13" s="1"/>
  <c r="J1175" i="13" s="1"/>
  <c r="C1175" i="13"/>
  <c r="F1175" i="13" s="1"/>
  <c r="B1175" i="13"/>
  <c r="G1174" i="13"/>
  <c r="H1174" i="13" s="1"/>
  <c r="J1174" i="13" s="1"/>
  <c r="C1174" i="13"/>
  <c r="F1174" i="13" s="1"/>
  <c r="B1174" i="13"/>
  <c r="G1173" i="13"/>
  <c r="H1173" i="13" s="1"/>
  <c r="J1173" i="13" s="1"/>
  <c r="C1173" i="13"/>
  <c r="F1173" i="13" s="1"/>
  <c r="B1173" i="13"/>
  <c r="G1172" i="13"/>
  <c r="H1172" i="13" s="1"/>
  <c r="J1172" i="13" s="1"/>
  <c r="C1172" i="13"/>
  <c r="F1172" i="13" s="1"/>
  <c r="B1172" i="13"/>
  <c r="G1171" i="13"/>
  <c r="H1171" i="13" s="1"/>
  <c r="J1171" i="13" s="1"/>
  <c r="C1171" i="13"/>
  <c r="F1171" i="13" s="1"/>
  <c r="B1171" i="13"/>
  <c r="G1170" i="13"/>
  <c r="H1170" i="13" s="1"/>
  <c r="C1170" i="13"/>
  <c r="F1170" i="13" s="1"/>
  <c r="B1170" i="13"/>
  <c r="G1169" i="13"/>
  <c r="H1169" i="13" s="1"/>
  <c r="J1169" i="13" s="1"/>
  <c r="C1169" i="13"/>
  <c r="F1169" i="13" s="1"/>
  <c r="B1169" i="13"/>
  <c r="G1168" i="13"/>
  <c r="H1168" i="13" s="1"/>
  <c r="J1168" i="13" s="1"/>
  <c r="C1168" i="13"/>
  <c r="F1168" i="13" s="1"/>
  <c r="B1168" i="13"/>
  <c r="G1167" i="13"/>
  <c r="H1167" i="13" s="1"/>
  <c r="J1167" i="13" s="1"/>
  <c r="C1167" i="13"/>
  <c r="F1167" i="13" s="1"/>
  <c r="B1167" i="13"/>
  <c r="G1166" i="13"/>
  <c r="H1166" i="13" s="1"/>
  <c r="J1166" i="13" s="1"/>
  <c r="C1166" i="13"/>
  <c r="F1166" i="13" s="1"/>
  <c r="B1166" i="13"/>
  <c r="G1165" i="13"/>
  <c r="H1165" i="13" s="1"/>
  <c r="J1165" i="13" s="1"/>
  <c r="C1165" i="13"/>
  <c r="F1165" i="13" s="1"/>
  <c r="B1165" i="13"/>
  <c r="G1164" i="13"/>
  <c r="H1164" i="13" s="1"/>
  <c r="J1164" i="13" s="1"/>
  <c r="C1164" i="13"/>
  <c r="F1164" i="13" s="1"/>
  <c r="B1164" i="13"/>
  <c r="G1163" i="13"/>
  <c r="H1163" i="13" s="1"/>
  <c r="J1163" i="13" s="1"/>
  <c r="C1163" i="13"/>
  <c r="F1163" i="13" s="1"/>
  <c r="B1163" i="13"/>
  <c r="G1162" i="13"/>
  <c r="H1162" i="13" s="1"/>
  <c r="J1162" i="13" s="1"/>
  <c r="C1162" i="13"/>
  <c r="F1162" i="13" s="1"/>
  <c r="B1162" i="13"/>
  <c r="G1161" i="13"/>
  <c r="H1161" i="13" s="1"/>
  <c r="J1161" i="13" s="1"/>
  <c r="C1161" i="13"/>
  <c r="F1161" i="13" s="1"/>
  <c r="B1161" i="13"/>
  <c r="G1160" i="13"/>
  <c r="H1160" i="13" s="1"/>
  <c r="J1160" i="13" s="1"/>
  <c r="C1160" i="13"/>
  <c r="F1160" i="13" s="1"/>
  <c r="B1160" i="13"/>
  <c r="G1159" i="13"/>
  <c r="H1159" i="13" s="1"/>
  <c r="J1159" i="13" s="1"/>
  <c r="C1159" i="13"/>
  <c r="F1159" i="13" s="1"/>
  <c r="B1159" i="13"/>
  <c r="G1158" i="13"/>
  <c r="H1158" i="13" s="1"/>
  <c r="C1158" i="13"/>
  <c r="F1158" i="13" s="1"/>
  <c r="B1158" i="13"/>
  <c r="G1157" i="13"/>
  <c r="H1157" i="13" s="1"/>
  <c r="J1157" i="13" s="1"/>
  <c r="C1157" i="13"/>
  <c r="F1157" i="13" s="1"/>
  <c r="B1157" i="13"/>
  <c r="G1156" i="13"/>
  <c r="H1156" i="13" s="1"/>
  <c r="J1156" i="13" s="1"/>
  <c r="C1156" i="13"/>
  <c r="F1156" i="13" s="1"/>
  <c r="B1156" i="13"/>
  <c r="G1155" i="13"/>
  <c r="H1155" i="13" s="1"/>
  <c r="J1155" i="13" s="1"/>
  <c r="C1155" i="13"/>
  <c r="F1155" i="13" s="1"/>
  <c r="B1155" i="13"/>
  <c r="G1154" i="13"/>
  <c r="H1154" i="13" s="1"/>
  <c r="J1154" i="13" s="1"/>
  <c r="C1154" i="13"/>
  <c r="F1154" i="13" s="1"/>
  <c r="B1154" i="13"/>
  <c r="G1153" i="13"/>
  <c r="H1153" i="13" s="1"/>
  <c r="J1153" i="13" s="1"/>
  <c r="C1153" i="13"/>
  <c r="F1153" i="13" s="1"/>
  <c r="B1153" i="13"/>
  <c r="G1152" i="13"/>
  <c r="H1152" i="13" s="1"/>
  <c r="J1152" i="13" s="1"/>
  <c r="C1152" i="13"/>
  <c r="F1152" i="13" s="1"/>
  <c r="B1152" i="13"/>
  <c r="G1151" i="13"/>
  <c r="H1151" i="13" s="1"/>
  <c r="J1151" i="13" s="1"/>
  <c r="C1151" i="13"/>
  <c r="F1151" i="13" s="1"/>
  <c r="B1151" i="13"/>
  <c r="G1150" i="13"/>
  <c r="H1150" i="13" s="1"/>
  <c r="J1150" i="13" s="1"/>
  <c r="C1150" i="13"/>
  <c r="F1150" i="13" s="1"/>
  <c r="B1150" i="13"/>
  <c r="G1149" i="13"/>
  <c r="H1149" i="13" s="1"/>
  <c r="J1149" i="13" s="1"/>
  <c r="C1149" i="13"/>
  <c r="F1149" i="13" s="1"/>
  <c r="B1149" i="13"/>
  <c r="G1148" i="13"/>
  <c r="H1148" i="13" s="1"/>
  <c r="J1148" i="13" s="1"/>
  <c r="C1148" i="13"/>
  <c r="F1148" i="13" s="1"/>
  <c r="B1148" i="13"/>
  <c r="G1147" i="13"/>
  <c r="H1147" i="13" s="1"/>
  <c r="J1147" i="13" s="1"/>
  <c r="C1147" i="13"/>
  <c r="F1147" i="13" s="1"/>
  <c r="B1147" i="13"/>
  <c r="G1146" i="13"/>
  <c r="H1146" i="13" s="1"/>
  <c r="C1146" i="13"/>
  <c r="F1146" i="13" s="1"/>
  <c r="B1146" i="13"/>
  <c r="G1145" i="13"/>
  <c r="H1145" i="13" s="1"/>
  <c r="J1145" i="13" s="1"/>
  <c r="C1145" i="13"/>
  <c r="F1145" i="13" s="1"/>
  <c r="B1145" i="13"/>
  <c r="G1144" i="13"/>
  <c r="H1144" i="13" s="1"/>
  <c r="J1144" i="13" s="1"/>
  <c r="C1144" i="13"/>
  <c r="F1144" i="13" s="1"/>
  <c r="B1144" i="13"/>
  <c r="G1143" i="13"/>
  <c r="H1143" i="13" s="1"/>
  <c r="J1143" i="13" s="1"/>
  <c r="C1143" i="13"/>
  <c r="F1143" i="13" s="1"/>
  <c r="B1143" i="13"/>
  <c r="G1142" i="13"/>
  <c r="H1142" i="13" s="1"/>
  <c r="J1142" i="13" s="1"/>
  <c r="C1142" i="13"/>
  <c r="F1142" i="13" s="1"/>
  <c r="B1142" i="13"/>
  <c r="G1141" i="13"/>
  <c r="H1141" i="13" s="1"/>
  <c r="J1141" i="13" s="1"/>
  <c r="C1141" i="13"/>
  <c r="F1141" i="13" s="1"/>
  <c r="B1141" i="13"/>
  <c r="G1140" i="13"/>
  <c r="H1140" i="13" s="1"/>
  <c r="J1140" i="13" s="1"/>
  <c r="C1140" i="13"/>
  <c r="F1140" i="13" s="1"/>
  <c r="B1140" i="13"/>
  <c r="G1139" i="13"/>
  <c r="H1139" i="13" s="1"/>
  <c r="J1139" i="13" s="1"/>
  <c r="C1139" i="13"/>
  <c r="F1139" i="13" s="1"/>
  <c r="B1139" i="13"/>
  <c r="G1138" i="13"/>
  <c r="H1138" i="13" s="1"/>
  <c r="J1138" i="13" s="1"/>
  <c r="C1138" i="13"/>
  <c r="F1138" i="13" s="1"/>
  <c r="B1138" i="13"/>
  <c r="G1137" i="13"/>
  <c r="H1137" i="13" s="1"/>
  <c r="J1137" i="13" s="1"/>
  <c r="C1137" i="13"/>
  <c r="F1137" i="13" s="1"/>
  <c r="B1137" i="13"/>
  <c r="G1136" i="13"/>
  <c r="H1136" i="13" s="1"/>
  <c r="J1136" i="13" s="1"/>
  <c r="C1136" i="13"/>
  <c r="F1136" i="13" s="1"/>
  <c r="B1136" i="13"/>
  <c r="G1135" i="13"/>
  <c r="H1135" i="13" s="1"/>
  <c r="J1135" i="13" s="1"/>
  <c r="C1135" i="13"/>
  <c r="F1135" i="13" s="1"/>
  <c r="B1135" i="13"/>
  <c r="G1134" i="13"/>
  <c r="H1134" i="13" s="1"/>
  <c r="C1134" i="13"/>
  <c r="F1134" i="13" s="1"/>
  <c r="B1134" i="13"/>
  <c r="G1133" i="13"/>
  <c r="H1133" i="13" s="1"/>
  <c r="J1133" i="13" s="1"/>
  <c r="C1133" i="13"/>
  <c r="F1133" i="13" s="1"/>
  <c r="B1133" i="13"/>
  <c r="G1132" i="13"/>
  <c r="H1132" i="13" s="1"/>
  <c r="J1132" i="13" s="1"/>
  <c r="C1132" i="13"/>
  <c r="F1132" i="13" s="1"/>
  <c r="B1132" i="13"/>
  <c r="G1131" i="13"/>
  <c r="H1131" i="13" s="1"/>
  <c r="J1131" i="13" s="1"/>
  <c r="C1131" i="13"/>
  <c r="F1131" i="13" s="1"/>
  <c r="B1131" i="13"/>
  <c r="G1130" i="13"/>
  <c r="H1130" i="13" s="1"/>
  <c r="J1130" i="13" s="1"/>
  <c r="C1130" i="13"/>
  <c r="F1130" i="13" s="1"/>
  <c r="B1130" i="13"/>
  <c r="G1129" i="13"/>
  <c r="H1129" i="13" s="1"/>
  <c r="J1129" i="13" s="1"/>
  <c r="C1129" i="13"/>
  <c r="F1129" i="13" s="1"/>
  <c r="B1129" i="13"/>
  <c r="G1128" i="13"/>
  <c r="H1128" i="13" s="1"/>
  <c r="J1128" i="13" s="1"/>
  <c r="C1128" i="13"/>
  <c r="F1128" i="13" s="1"/>
  <c r="B1128" i="13"/>
  <c r="G1127" i="13"/>
  <c r="H1127" i="13" s="1"/>
  <c r="J1127" i="13" s="1"/>
  <c r="C1127" i="13"/>
  <c r="F1127" i="13" s="1"/>
  <c r="B1127" i="13"/>
  <c r="G1126" i="13"/>
  <c r="H1126" i="13" s="1"/>
  <c r="J1126" i="13" s="1"/>
  <c r="C1126" i="13"/>
  <c r="F1126" i="13" s="1"/>
  <c r="B1126" i="13"/>
  <c r="G1125" i="13"/>
  <c r="H1125" i="13" s="1"/>
  <c r="J1125" i="13" s="1"/>
  <c r="C1125" i="13"/>
  <c r="F1125" i="13" s="1"/>
  <c r="B1125" i="13"/>
  <c r="G1124" i="13"/>
  <c r="H1124" i="13" s="1"/>
  <c r="J1124" i="13" s="1"/>
  <c r="C1124" i="13"/>
  <c r="F1124" i="13" s="1"/>
  <c r="B1124" i="13"/>
  <c r="G1123" i="13"/>
  <c r="H1123" i="13" s="1"/>
  <c r="J1123" i="13" s="1"/>
  <c r="C1123" i="13"/>
  <c r="F1123" i="13" s="1"/>
  <c r="B1123" i="13"/>
  <c r="G1122" i="13"/>
  <c r="H1122" i="13" s="1"/>
  <c r="C1122" i="13"/>
  <c r="F1122" i="13" s="1"/>
  <c r="B1122" i="13"/>
  <c r="G1121" i="13"/>
  <c r="H1121" i="13" s="1"/>
  <c r="J1121" i="13" s="1"/>
  <c r="C1121" i="13"/>
  <c r="F1121" i="13" s="1"/>
  <c r="B1121" i="13"/>
  <c r="G1120" i="13"/>
  <c r="H1120" i="13" s="1"/>
  <c r="J1120" i="13" s="1"/>
  <c r="C1120" i="13"/>
  <c r="F1120" i="13" s="1"/>
  <c r="B1120" i="13"/>
  <c r="G1119" i="13"/>
  <c r="H1119" i="13" s="1"/>
  <c r="J1119" i="13" s="1"/>
  <c r="C1119" i="13"/>
  <c r="F1119" i="13" s="1"/>
  <c r="B1119" i="13"/>
  <c r="G1118" i="13"/>
  <c r="H1118" i="13" s="1"/>
  <c r="J1118" i="13" s="1"/>
  <c r="C1118" i="13"/>
  <c r="F1118" i="13" s="1"/>
  <c r="B1118" i="13"/>
  <c r="G1117" i="13"/>
  <c r="H1117" i="13" s="1"/>
  <c r="J1117" i="13" s="1"/>
  <c r="C1117" i="13"/>
  <c r="F1117" i="13" s="1"/>
  <c r="B1117" i="13"/>
  <c r="G1116" i="13"/>
  <c r="H1116" i="13" s="1"/>
  <c r="J1116" i="13" s="1"/>
  <c r="C1116" i="13"/>
  <c r="F1116" i="13" s="1"/>
  <c r="B1116" i="13"/>
  <c r="G1115" i="13"/>
  <c r="H1115" i="13" s="1"/>
  <c r="J1115" i="13" s="1"/>
  <c r="C1115" i="13"/>
  <c r="F1115" i="13" s="1"/>
  <c r="B1115" i="13"/>
  <c r="G1114" i="13"/>
  <c r="H1114" i="13" s="1"/>
  <c r="J1114" i="13" s="1"/>
  <c r="C1114" i="13"/>
  <c r="F1114" i="13" s="1"/>
  <c r="B1114" i="13"/>
  <c r="G1113" i="13"/>
  <c r="H1113" i="13" s="1"/>
  <c r="J1113" i="13" s="1"/>
  <c r="C1113" i="13"/>
  <c r="F1113" i="13" s="1"/>
  <c r="B1113" i="13"/>
  <c r="G1112" i="13"/>
  <c r="H1112" i="13" s="1"/>
  <c r="J1112" i="13" s="1"/>
  <c r="C1112" i="13"/>
  <c r="F1112" i="13" s="1"/>
  <c r="B1112" i="13"/>
  <c r="G1111" i="13"/>
  <c r="H1111" i="13" s="1"/>
  <c r="J1111" i="13" s="1"/>
  <c r="C1111" i="13"/>
  <c r="F1111" i="13" s="1"/>
  <c r="B1111" i="13"/>
  <c r="G1110" i="13"/>
  <c r="H1110" i="13" s="1"/>
  <c r="C1110" i="13"/>
  <c r="F1110" i="13" s="1"/>
  <c r="B1110" i="13"/>
  <c r="G1109" i="13"/>
  <c r="H1109" i="13" s="1"/>
  <c r="J1109" i="13" s="1"/>
  <c r="C1109" i="13"/>
  <c r="F1109" i="13" s="1"/>
  <c r="B1109" i="13"/>
  <c r="G1108" i="13"/>
  <c r="H1108" i="13" s="1"/>
  <c r="J1108" i="13" s="1"/>
  <c r="C1108" i="13"/>
  <c r="F1108" i="13" s="1"/>
  <c r="B1108" i="13"/>
  <c r="G1107" i="13"/>
  <c r="H1107" i="13" s="1"/>
  <c r="J1107" i="13" s="1"/>
  <c r="C1107" i="13"/>
  <c r="F1107" i="13" s="1"/>
  <c r="B1107" i="13"/>
  <c r="G1106" i="13"/>
  <c r="H1106" i="13" s="1"/>
  <c r="J1106" i="13" s="1"/>
  <c r="C1106" i="13"/>
  <c r="F1106" i="13" s="1"/>
  <c r="B1106" i="13"/>
  <c r="G1105" i="13"/>
  <c r="H1105" i="13" s="1"/>
  <c r="J1105" i="13" s="1"/>
  <c r="C1105" i="13"/>
  <c r="F1105" i="13" s="1"/>
  <c r="B1105" i="13"/>
  <c r="G1104" i="13"/>
  <c r="H1104" i="13" s="1"/>
  <c r="J1104" i="13" s="1"/>
  <c r="C1104" i="13"/>
  <c r="F1104" i="13" s="1"/>
  <c r="B1104" i="13"/>
  <c r="G1103" i="13"/>
  <c r="H1103" i="13" s="1"/>
  <c r="J1103" i="13" s="1"/>
  <c r="C1103" i="13"/>
  <c r="F1103" i="13" s="1"/>
  <c r="B1103" i="13"/>
  <c r="G1102" i="13"/>
  <c r="H1102" i="13" s="1"/>
  <c r="J1102" i="13" s="1"/>
  <c r="C1102" i="13"/>
  <c r="F1102" i="13" s="1"/>
  <c r="B1102" i="13"/>
  <c r="G1101" i="13"/>
  <c r="H1101" i="13" s="1"/>
  <c r="J1101" i="13" s="1"/>
  <c r="C1101" i="13"/>
  <c r="F1101" i="13" s="1"/>
  <c r="B1101" i="13"/>
  <c r="G1100" i="13"/>
  <c r="H1100" i="13" s="1"/>
  <c r="J1100" i="13" s="1"/>
  <c r="C1100" i="13"/>
  <c r="F1100" i="13" s="1"/>
  <c r="B1100" i="13"/>
  <c r="G1099" i="13"/>
  <c r="H1099" i="13" s="1"/>
  <c r="J1099" i="13" s="1"/>
  <c r="C1099" i="13"/>
  <c r="F1099" i="13" s="1"/>
  <c r="B1099" i="13"/>
  <c r="G1098" i="13"/>
  <c r="H1098" i="13" s="1"/>
  <c r="C1098" i="13"/>
  <c r="F1098" i="13" s="1"/>
  <c r="B1098" i="13"/>
  <c r="G1097" i="13"/>
  <c r="H1097" i="13" s="1"/>
  <c r="J1097" i="13" s="1"/>
  <c r="C1097" i="13"/>
  <c r="F1097" i="13" s="1"/>
  <c r="B1097" i="13"/>
  <c r="G1096" i="13"/>
  <c r="H1096" i="13" s="1"/>
  <c r="J1096" i="13" s="1"/>
  <c r="C1096" i="13"/>
  <c r="F1096" i="13" s="1"/>
  <c r="B1096" i="13"/>
  <c r="G1095" i="13"/>
  <c r="H1095" i="13" s="1"/>
  <c r="J1095" i="13" s="1"/>
  <c r="C1095" i="13"/>
  <c r="F1095" i="13" s="1"/>
  <c r="B1095" i="13"/>
  <c r="G1094" i="13"/>
  <c r="H1094" i="13" s="1"/>
  <c r="J1094" i="13" s="1"/>
  <c r="C1094" i="13"/>
  <c r="F1094" i="13" s="1"/>
  <c r="B1094" i="13"/>
  <c r="G1093" i="13"/>
  <c r="H1093" i="13" s="1"/>
  <c r="J1093" i="13" s="1"/>
  <c r="C1093" i="13"/>
  <c r="F1093" i="13" s="1"/>
  <c r="B1093" i="13"/>
  <c r="G1092" i="13"/>
  <c r="H1092" i="13" s="1"/>
  <c r="J1092" i="13" s="1"/>
  <c r="C1092" i="13"/>
  <c r="F1092" i="13" s="1"/>
  <c r="B1092" i="13"/>
  <c r="G1091" i="13"/>
  <c r="H1091" i="13" s="1"/>
  <c r="J1091" i="13" s="1"/>
  <c r="C1091" i="13"/>
  <c r="F1091" i="13" s="1"/>
  <c r="B1091" i="13"/>
  <c r="G1090" i="13"/>
  <c r="H1090" i="13" s="1"/>
  <c r="J1090" i="13" s="1"/>
  <c r="C1090" i="13"/>
  <c r="F1090" i="13" s="1"/>
  <c r="B1090" i="13"/>
  <c r="G1089" i="13"/>
  <c r="H1089" i="13" s="1"/>
  <c r="J1089" i="13" s="1"/>
  <c r="C1089" i="13"/>
  <c r="F1089" i="13" s="1"/>
  <c r="B1089" i="13"/>
  <c r="G1088" i="13"/>
  <c r="H1088" i="13" s="1"/>
  <c r="J1088" i="13" s="1"/>
  <c r="C1088" i="13"/>
  <c r="F1088" i="13" s="1"/>
  <c r="B1088" i="13"/>
  <c r="G1087" i="13"/>
  <c r="H1087" i="13" s="1"/>
  <c r="J1087" i="13" s="1"/>
  <c r="C1087" i="13"/>
  <c r="F1087" i="13" s="1"/>
  <c r="B1087" i="13"/>
  <c r="G1086" i="13"/>
  <c r="H1086" i="13" s="1"/>
  <c r="C1086" i="13"/>
  <c r="F1086" i="13" s="1"/>
  <c r="B1086" i="13"/>
  <c r="G1085" i="13"/>
  <c r="H1085" i="13" s="1"/>
  <c r="J1085" i="13" s="1"/>
  <c r="C1085" i="13"/>
  <c r="F1085" i="13" s="1"/>
  <c r="B1085" i="13"/>
  <c r="G1084" i="13"/>
  <c r="H1084" i="13" s="1"/>
  <c r="J1084" i="13" s="1"/>
  <c r="C1084" i="13"/>
  <c r="F1084" i="13" s="1"/>
  <c r="B1084" i="13"/>
  <c r="G1083" i="13"/>
  <c r="H1083" i="13" s="1"/>
  <c r="J1083" i="13" s="1"/>
  <c r="C1083" i="13"/>
  <c r="F1083" i="13" s="1"/>
  <c r="B1083" i="13"/>
  <c r="G1082" i="13"/>
  <c r="H1082" i="13" s="1"/>
  <c r="J1082" i="13" s="1"/>
  <c r="C1082" i="13"/>
  <c r="F1082" i="13" s="1"/>
  <c r="B1082" i="13"/>
  <c r="G1081" i="13"/>
  <c r="H1081" i="13" s="1"/>
  <c r="J1081" i="13" s="1"/>
  <c r="C1081" i="13"/>
  <c r="F1081" i="13" s="1"/>
  <c r="B1081" i="13"/>
  <c r="G1080" i="13"/>
  <c r="H1080" i="13" s="1"/>
  <c r="J1080" i="13" s="1"/>
  <c r="C1080" i="13"/>
  <c r="F1080" i="13" s="1"/>
  <c r="B1080" i="13"/>
  <c r="G1079" i="13"/>
  <c r="H1079" i="13" s="1"/>
  <c r="J1079" i="13" s="1"/>
  <c r="C1079" i="13"/>
  <c r="F1079" i="13" s="1"/>
  <c r="B1079" i="13"/>
  <c r="G1078" i="13"/>
  <c r="H1078" i="13" s="1"/>
  <c r="J1078" i="13" s="1"/>
  <c r="C1078" i="13"/>
  <c r="F1078" i="13" s="1"/>
  <c r="B1078" i="13"/>
  <c r="G1077" i="13"/>
  <c r="H1077" i="13" s="1"/>
  <c r="J1077" i="13" s="1"/>
  <c r="C1077" i="13"/>
  <c r="F1077" i="13" s="1"/>
  <c r="B1077" i="13"/>
  <c r="G1076" i="13"/>
  <c r="H1076" i="13" s="1"/>
  <c r="J1076" i="13" s="1"/>
  <c r="C1076" i="13"/>
  <c r="F1076" i="13" s="1"/>
  <c r="B1076" i="13"/>
  <c r="G1075" i="13"/>
  <c r="H1075" i="13" s="1"/>
  <c r="J1075" i="13" s="1"/>
  <c r="C1075" i="13"/>
  <c r="F1075" i="13" s="1"/>
  <c r="B1075" i="13"/>
  <c r="G1074" i="13"/>
  <c r="H1074" i="13" s="1"/>
  <c r="C1074" i="13"/>
  <c r="F1074" i="13" s="1"/>
  <c r="B1074" i="13"/>
  <c r="G1073" i="13"/>
  <c r="H1073" i="13" s="1"/>
  <c r="C1073" i="13"/>
  <c r="F1073" i="13" s="1"/>
  <c r="B1073" i="13"/>
  <c r="G1072" i="13"/>
  <c r="H1072" i="13" s="1"/>
  <c r="J1072" i="13" s="1"/>
  <c r="C1072" i="13"/>
  <c r="F1072" i="13" s="1"/>
  <c r="B1072" i="13"/>
  <c r="G1071" i="13"/>
  <c r="H1071" i="13" s="1"/>
  <c r="J1071" i="13" s="1"/>
  <c r="C1071" i="13"/>
  <c r="F1071" i="13" s="1"/>
  <c r="B1071" i="13"/>
  <c r="G1070" i="13"/>
  <c r="H1070" i="13" s="1"/>
  <c r="J1070" i="13" s="1"/>
  <c r="C1070" i="13"/>
  <c r="F1070" i="13" s="1"/>
  <c r="B1070" i="13"/>
  <c r="G1069" i="13"/>
  <c r="H1069" i="13" s="1"/>
  <c r="J1069" i="13" s="1"/>
  <c r="C1069" i="13"/>
  <c r="F1069" i="13" s="1"/>
  <c r="B1069" i="13"/>
  <c r="G1068" i="13"/>
  <c r="H1068" i="13" s="1"/>
  <c r="J1068" i="13" s="1"/>
  <c r="C1068" i="13"/>
  <c r="F1068" i="13" s="1"/>
  <c r="B1068" i="13"/>
  <c r="G1067" i="13"/>
  <c r="H1067" i="13" s="1"/>
  <c r="J1067" i="13" s="1"/>
  <c r="C1067" i="13"/>
  <c r="F1067" i="13" s="1"/>
  <c r="B1067" i="13"/>
  <c r="G1066" i="13"/>
  <c r="H1066" i="13" s="1"/>
  <c r="J1066" i="13" s="1"/>
  <c r="C1066" i="13"/>
  <c r="F1066" i="13" s="1"/>
  <c r="B1066" i="13"/>
  <c r="G1065" i="13"/>
  <c r="H1065" i="13" s="1"/>
  <c r="J1065" i="13" s="1"/>
  <c r="C1065" i="13"/>
  <c r="F1065" i="13" s="1"/>
  <c r="B1065" i="13"/>
  <c r="G1064" i="13"/>
  <c r="H1064" i="13" s="1"/>
  <c r="J1064" i="13" s="1"/>
  <c r="C1064" i="13"/>
  <c r="F1064" i="13" s="1"/>
  <c r="B1064" i="13"/>
  <c r="G1063" i="13"/>
  <c r="H1063" i="13" s="1"/>
  <c r="J1063" i="13" s="1"/>
  <c r="C1063" i="13"/>
  <c r="F1063" i="13" s="1"/>
  <c r="B1063" i="13"/>
  <c r="G1062" i="13"/>
  <c r="H1062" i="13" s="1"/>
  <c r="C1062" i="13"/>
  <c r="F1062" i="13" s="1"/>
  <c r="B1062" i="13"/>
  <c r="G1061" i="13"/>
  <c r="H1061" i="13" s="1"/>
  <c r="J1061" i="13" s="1"/>
  <c r="C1061" i="13"/>
  <c r="F1061" i="13" s="1"/>
  <c r="B1061" i="13"/>
  <c r="G1060" i="13"/>
  <c r="H1060" i="13" s="1"/>
  <c r="J1060" i="13" s="1"/>
  <c r="C1060" i="13"/>
  <c r="F1060" i="13" s="1"/>
  <c r="B1060" i="13"/>
  <c r="G1059" i="13"/>
  <c r="H1059" i="13" s="1"/>
  <c r="C1059" i="13"/>
  <c r="F1059" i="13" s="1"/>
  <c r="B1059" i="13"/>
  <c r="G1058" i="13"/>
  <c r="H1058" i="13" s="1"/>
  <c r="J1058" i="13" s="1"/>
  <c r="C1058" i="13"/>
  <c r="F1058" i="13" s="1"/>
  <c r="B1058" i="13"/>
  <c r="G1057" i="13"/>
  <c r="H1057" i="13" s="1"/>
  <c r="J1057" i="13" s="1"/>
  <c r="C1057" i="13"/>
  <c r="F1057" i="13" s="1"/>
  <c r="B1057" i="13"/>
  <c r="G1056" i="13"/>
  <c r="H1056" i="13" s="1"/>
  <c r="J1056" i="13" s="1"/>
  <c r="C1056" i="13"/>
  <c r="F1056" i="13" s="1"/>
  <c r="B1056" i="13"/>
  <c r="G1055" i="13"/>
  <c r="H1055" i="13" s="1"/>
  <c r="J1055" i="13" s="1"/>
  <c r="C1055" i="13"/>
  <c r="F1055" i="13" s="1"/>
  <c r="B1055" i="13"/>
  <c r="G1054" i="13"/>
  <c r="H1054" i="13" s="1"/>
  <c r="J1054" i="13" s="1"/>
  <c r="C1054" i="13"/>
  <c r="F1054" i="13" s="1"/>
  <c r="B1054" i="13"/>
  <c r="G1053" i="13"/>
  <c r="H1053" i="13" s="1"/>
  <c r="J1053" i="13" s="1"/>
  <c r="C1053" i="13"/>
  <c r="F1053" i="13" s="1"/>
  <c r="B1053" i="13"/>
  <c r="G1052" i="13"/>
  <c r="H1052" i="13" s="1"/>
  <c r="J1052" i="13" s="1"/>
  <c r="C1052" i="13"/>
  <c r="F1052" i="13" s="1"/>
  <c r="B1052" i="13"/>
  <c r="G1051" i="13"/>
  <c r="H1051" i="13" s="1"/>
  <c r="J1051" i="13" s="1"/>
  <c r="C1051" i="13"/>
  <c r="F1051" i="13" s="1"/>
  <c r="B1051" i="13"/>
  <c r="G1050" i="13"/>
  <c r="H1050" i="13" s="1"/>
  <c r="C1050" i="13"/>
  <c r="F1050" i="13" s="1"/>
  <c r="B1050" i="13"/>
  <c r="G1049" i="13"/>
  <c r="H1049" i="13" s="1"/>
  <c r="J1049" i="13" s="1"/>
  <c r="C1049" i="13"/>
  <c r="F1049" i="13" s="1"/>
  <c r="B1049" i="13"/>
  <c r="G1048" i="13"/>
  <c r="H1048" i="13" s="1"/>
  <c r="J1048" i="13" s="1"/>
  <c r="C1048" i="13"/>
  <c r="F1048" i="13" s="1"/>
  <c r="B1048" i="13"/>
  <c r="G1047" i="13"/>
  <c r="H1047" i="13" s="1"/>
  <c r="C1047" i="13"/>
  <c r="F1047" i="13" s="1"/>
  <c r="B1047" i="13"/>
  <c r="G1046" i="13"/>
  <c r="H1046" i="13" s="1"/>
  <c r="J1046" i="13" s="1"/>
  <c r="C1046" i="13"/>
  <c r="F1046" i="13" s="1"/>
  <c r="B1046" i="13"/>
  <c r="G1045" i="13"/>
  <c r="H1045" i="13" s="1"/>
  <c r="J1045" i="13" s="1"/>
  <c r="C1045" i="13"/>
  <c r="F1045" i="13" s="1"/>
  <c r="B1045" i="13"/>
  <c r="G1044" i="13"/>
  <c r="H1044" i="13" s="1"/>
  <c r="J1044" i="13" s="1"/>
  <c r="C1044" i="13"/>
  <c r="F1044" i="13" s="1"/>
  <c r="B1044" i="13"/>
  <c r="G1043" i="13"/>
  <c r="H1043" i="13" s="1"/>
  <c r="J1043" i="13" s="1"/>
  <c r="C1043" i="13"/>
  <c r="F1043" i="13" s="1"/>
  <c r="B1043" i="13"/>
  <c r="G1042" i="13"/>
  <c r="H1042" i="13" s="1"/>
  <c r="J1042" i="13" s="1"/>
  <c r="C1042" i="13"/>
  <c r="F1042" i="13" s="1"/>
  <c r="B1042" i="13"/>
  <c r="G1041" i="13"/>
  <c r="H1041" i="13" s="1"/>
  <c r="J1041" i="13" s="1"/>
  <c r="C1041" i="13"/>
  <c r="F1041" i="13" s="1"/>
  <c r="B1041" i="13"/>
  <c r="G1040" i="13"/>
  <c r="H1040" i="13" s="1"/>
  <c r="J1040" i="13" s="1"/>
  <c r="C1040" i="13"/>
  <c r="F1040" i="13" s="1"/>
  <c r="B1040" i="13"/>
  <c r="G1039" i="13"/>
  <c r="H1039" i="13" s="1"/>
  <c r="J1039" i="13" s="1"/>
  <c r="C1039" i="13"/>
  <c r="F1039" i="13" s="1"/>
  <c r="B1039" i="13"/>
  <c r="G1038" i="13"/>
  <c r="H1038" i="13" s="1"/>
  <c r="C1038" i="13"/>
  <c r="F1038" i="13" s="1"/>
  <c r="B1038" i="13"/>
  <c r="G1037" i="13"/>
  <c r="H1037" i="13" s="1"/>
  <c r="J1037" i="13" s="1"/>
  <c r="C1037" i="13"/>
  <c r="F1037" i="13" s="1"/>
  <c r="B1037" i="13"/>
  <c r="G1036" i="13"/>
  <c r="H1036" i="13" s="1"/>
  <c r="J1036" i="13" s="1"/>
  <c r="C1036" i="13"/>
  <c r="F1036" i="13" s="1"/>
  <c r="B1036" i="13"/>
  <c r="G1035" i="13"/>
  <c r="H1035" i="13" s="1"/>
  <c r="C1035" i="13"/>
  <c r="F1035" i="13" s="1"/>
  <c r="B1035" i="13"/>
  <c r="G1034" i="13"/>
  <c r="H1034" i="13" s="1"/>
  <c r="J1034" i="13" s="1"/>
  <c r="C1034" i="13"/>
  <c r="F1034" i="13" s="1"/>
  <c r="B1034" i="13"/>
  <c r="G1033" i="13"/>
  <c r="H1033" i="13" s="1"/>
  <c r="J1033" i="13" s="1"/>
  <c r="C1033" i="13"/>
  <c r="F1033" i="13" s="1"/>
  <c r="B1033" i="13"/>
  <c r="G1032" i="13"/>
  <c r="H1032" i="13" s="1"/>
  <c r="J1032" i="13" s="1"/>
  <c r="C1032" i="13"/>
  <c r="F1032" i="13" s="1"/>
  <c r="B1032" i="13"/>
  <c r="G1031" i="13"/>
  <c r="H1031" i="13" s="1"/>
  <c r="J1031" i="13" s="1"/>
  <c r="C1031" i="13"/>
  <c r="F1031" i="13" s="1"/>
  <c r="B1031" i="13"/>
  <c r="G1030" i="13"/>
  <c r="H1030" i="13" s="1"/>
  <c r="J1030" i="13" s="1"/>
  <c r="C1030" i="13"/>
  <c r="F1030" i="13" s="1"/>
  <c r="B1030" i="13"/>
  <c r="G1029" i="13"/>
  <c r="H1029" i="13" s="1"/>
  <c r="J1029" i="13" s="1"/>
  <c r="C1029" i="13"/>
  <c r="F1029" i="13" s="1"/>
  <c r="B1029" i="13"/>
  <c r="G1028" i="13"/>
  <c r="H1028" i="13" s="1"/>
  <c r="J1028" i="13" s="1"/>
  <c r="C1028" i="13"/>
  <c r="F1028" i="13" s="1"/>
  <c r="B1028" i="13"/>
  <c r="G1027" i="13"/>
  <c r="H1027" i="13" s="1"/>
  <c r="J1027" i="13" s="1"/>
  <c r="C1027" i="13"/>
  <c r="F1027" i="13" s="1"/>
  <c r="B1027" i="13"/>
  <c r="G1026" i="13"/>
  <c r="H1026" i="13" s="1"/>
  <c r="C1026" i="13"/>
  <c r="F1026" i="13" s="1"/>
  <c r="B1026" i="13"/>
  <c r="G1025" i="13"/>
  <c r="H1025" i="13" s="1"/>
  <c r="J1025" i="13" s="1"/>
  <c r="C1025" i="13"/>
  <c r="F1025" i="13" s="1"/>
  <c r="B1025" i="13"/>
  <c r="G1024" i="13"/>
  <c r="H1024" i="13" s="1"/>
  <c r="J1024" i="13" s="1"/>
  <c r="C1024" i="13"/>
  <c r="F1024" i="13" s="1"/>
  <c r="B1024" i="13"/>
  <c r="G1023" i="13"/>
  <c r="H1023" i="13" s="1"/>
  <c r="C1023" i="13"/>
  <c r="F1023" i="13" s="1"/>
  <c r="B1023" i="13"/>
  <c r="G1022" i="13"/>
  <c r="H1022" i="13" s="1"/>
  <c r="J1022" i="13" s="1"/>
  <c r="C1022" i="13"/>
  <c r="F1022" i="13" s="1"/>
  <c r="B1022" i="13"/>
  <c r="G1021" i="13"/>
  <c r="H1021" i="13" s="1"/>
  <c r="J1021" i="13" s="1"/>
  <c r="C1021" i="13"/>
  <c r="F1021" i="13" s="1"/>
  <c r="B1021" i="13"/>
  <c r="G1020" i="13"/>
  <c r="H1020" i="13" s="1"/>
  <c r="J1020" i="13" s="1"/>
  <c r="C1020" i="13"/>
  <c r="F1020" i="13" s="1"/>
  <c r="B1020" i="13"/>
  <c r="G1019" i="13"/>
  <c r="H1019" i="13" s="1"/>
  <c r="J1019" i="13" s="1"/>
  <c r="C1019" i="13"/>
  <c r="F1019" i="13" s="1"/>
  <c r="B1019" i="13"/>
  <c r="G1018" i="13"/>
  <c r="H1018" i="13" s="1"/>
  <c r="J1018" i="13" s="1"/>
  <c r="C1018" i="13"/>
  <c r="F1018" i="13" s="1"/>
  <c r="B1018" i="13"/>
  <c r="G1017" i="13"/>
  <c r="H1017" i="13" s="1"/>
  <c r="J1017" i="13" s="1"/>
  <c r="C1017" i="13"/>
  <c r="F1017" i="13" s="1"/>
  <c r="B1017" i="13"/>
  <c r="G1016" i="13"/>
  <c r="H1016" i="13" s="1"/>
  <c r="J1016" i="13" s="1"/>
  <c r="C1016" i="13"/>
  <c r="F1016" i="13" s="1"/>
  <c r="B1016" i="13"/>
  <c r="G1015" i="13"/>
  <c r="H1015" i="13" s="1"/>
  <c r="J1015" i="13" s="1"/>
  <c r="C1015" i="13"/>
  <c r="F1015" i="13" s="1"/>
  <c r="B1015" i="13"/>
  <c r="G1014" i="13"/>
  <c r="H1014" i="13" s="1"/>
  <c r="C1014" i="13"/>
  <c r="F1014" i="13" s="1"/>
  <c r="B1014" i="13"/>
  <c r="G1013" i="13"/>
  <c r="H1013" i="13" s="1"/>
  <c r="J1013" i="13" s="1"/>
  <c r="C1013" i="13"/>
  <c r="F1013" i="13" s="1"/>
  <c r="B1013" i="13"/>
  <c r="G1012" i="13"/>
  <c r="H1012" i="13" s="1"/>
  <c r="J1012" i="13" s="1"/>
  <c r="C1012" i="13"/>
  <c r="F1012" i="13" s="1"/>
  <c r="B1012" i="13"/>
  <c r="G1011" i="13"/>
  <c r="H1011" i="13" s="1"/>
  <c r="C1011" i="13"/>
  <c r="F1011" i="13" s="1"/>
  <c r="B1011" i="13"/>
  <c r="G1010" i="13"/>
  <c r="H1010" i="13" s="1"/>
  <c r="J1010" i="13" s="1"/>
  <c r="C1010" i="13"/>
  <c r="F1010" i="13" s="1"/>
  <c r="B1010" i="13"/>
  <c r="G1009" i="13"/>
  <c r="H1009" i="13" s="1"/>
  <c r="J1009" i="13" s="1"/>
  <c r="C1009" i="13"/>
  <c r="F1009" i="13" s="1"/>
  <c r="B1009" i="13"/>
  <c r="G1008" i="13"/>
  <c r="H1008" i="13" s="1"/>
  <c r="J1008" i="13" s="1"/>
  <c r="C1008" i="13"/>
  <c r="F1008" i="13" s="1"/>
  <c r="B1008" i="13"/>
  <c r="G1007" i="13"/>
  <c r="H1007" i="13" s="1"/>
  <c r="J1007" i="13" s="1"/>
  <c r="C1007" i="13"/>
  <c r="F1007" i="13" s="1"/>
  <c r="B1007" i="13"/>
  <c r="G1006" i="13"/>
  <c r="H1006" i="13" s="1"/>
  <c r="J1006" i="13" s="1"/>
  <c r="C1006" i="13"/>
  <c r="F1006" i="13" s="1"/>
  <c r="B1006" i="13"/>
  <c r="G1005" i="13"/>
  <c r="H1005" i="13" s="1"/>
  <c r="J1005" i="13" s="1"/>
  <c r="C1005" i="13"/>
  <c r="F1005" i="13" s="1"/>
  <c r="B1005" i="13"/>
  <c r="G1004" i="13"/>
  <c r="H1004" i="13" s="1"/>
  <c r="J1004" i="13" s="1"/>
  <c r="C1004" i="13"/>
  <c r="F1004" i="13" s="1"/>
  <c r="B1004" i="13"/>
  <c r="G1003" i="13"/>
  <c r="H1003" i="13" s="1"/>
  <c r="J1003" i="13" s="1"/>
  <c r="C1003" i="13"/>
  <c r="F1003" i="13" s="1"/>
  <c r="B1003" i="13"/>
  <c r="G1002" i="13"/>
  <c r="H1002" i="13" s="1"/>
  <c r="C1002" i="13"/>
  <c r="F1002" i="13" s="1"/>
  <c r="B1002" i="13"/>
  <c r="G1001" i="13"/>
  <c r="H1001" i="13" s="1"/>
  <c r="J1001" i="13" s="1"/>
  <c r="C1001" i="13"/>
  <c r="F1001" i="13" s="1"/>
  <c r="B1001" i="13"/>
  <c r="G1000" i="13"/>
  <c r="H1000" i="13" s="1"/>
  <c r="J1000" i="13" s="1"/>
  <c r="C1000" i="13"/>
  <c r="F1000" i="13" s="1"/>
  <c r="B1000" i="13"/>
  <c r="G999" i="13"/>
  <c r="H999" i="13" s="1"/>
  <c r="C999" i="13"/>
  <c r="F999" i="13" s="1"/>
  <c r="B999" i="13"/>
  <c r="G998" i="13"/>
  <c r="H998" i="13" s="1"/>
  <c r="J998" i="13" s="1"/>
  <c r="C998" i="13"/>
  <c r="F998" i="13" s="1"/>
  <c r="B998" i="13"/>
  <c r="G997" i="13"/>
  <c r="H997" i="13" s="1"/>
  <c r="J997" i="13" s="1"/>
  <c r="C997" i="13"/>
  <c r="F997" i="13" s="1"/>
  <c r="B997" i="13"/>
  <c r="G996" i="13"/>
  <c r="H996" i="13" s="1"/>
  <c r="J996" i="13" s="1"/>
  <c r="C996" i="13"/>
  <c r="F996" i="13" s="1"/>
  <c r="B996" i="13"/>
  <c r="G995" i="13"/>
  <c r="H995" i="13" s="1"/>
  <c r="J995" i="13" s="1"/>
  <c r="C995" i="13"/>
  <c r="F995" i="13" s="1"/>
  <c r="B995" i="13"/>
  <c r="G994" i="13"/>
  <c r="H994" i="13" s="1"/>
  <c r="J994" i="13" s="1"/>
  <c r="C994" i="13"/>
  <c r="F994" i="13" s="1"/>
  <c r="B994" i="13"/>
  <c r="G993" i="13"/>
  <c r="H993" i="13" s="1"/>
  <c r="J993" i="13" s="1"/>
  <c r="C993" i="13"/>
  <c r="F993" i="13" s="1"/>
  <c r="B993" i="13"/>
  <c r="G992" i="13"/>
  <c r="H992" i="13" s="1"/>
  <c r="J992" i="13" s="1"/>
  <c r="C992" i="13"/>
  <c r="F992" i="13" s="1"/>
  <c r="B992" i="13"/>
  <c r="G991" i="13"/>
  <c r="H991" i="13" s="1"/>
  <c r="J991" i="13" s="1"/>
  <c r="C991" i="13"/>
  <c r="F991" i="13" s="1"/>
  <c r="B991" i="13"/>
  <c r="G990" i="13"/>
  <c r="H990" i="13" s="1"/>
  <c r="C990" i="13"/>
  <c r="F990" i="13" s="1"/>
  <c r="B990" i="13"/>
  <c r="G989" i="13"/>
  <c r="H989" i="13" s="1"/>
  <c r="J989" i="13" s="1"/>
  <c r="C989" i="13"/>
  <c r="F989" i="13" s="1"/>
  <c r="B989" i="13"/>
  <c r="G988" i="13"/>
  <c r="H988" i="13" s="1"/>
  <c r="J988" i="13" s="1"/>
  <c r="C988" i="13"/>
  <c r="F988" i="13" s="1"/>
  <c r="B988" i="13"/>
  <c r="G987" i="13"/>
  <c r="H987" i="13" s="1"/>
  <c r="C987" i="13"/>
  <c r="F987" i="13" s="1"/>
  <c r="B987" i="13"/>
  <c r="G986" i="13"/>
  <c r="H986" i="13" s="1"/>
  <c r="J986" i="13" s="1"/>
  <c r="C986" i="13"/>
  <c r="F986" i="13" s="1"/>
  <c r="B986" i="13"/>
  <c r="G985" i="13"/>
  <c r="H985" i="13" s="1"/>
  <c r="J985" i="13" s="1"/>
  <c r="C985" i="13"/>
  <c r="F985" i="13" s="1"/>
  <c r="B985" i="13"/>
  <c r="G984" i="13"/>
  <c r="H984" i="13" s="1"/>
  <c r="J984" i="13" s="1"/>
  <c r="C984" i="13"/>
  <c r="F984" i="13" s="1"/>
  <c r="B984" i="13"/>
  <c r="G983" i="13"/>
  <c r="H983" i="13" s="1"/>
  <c r="J983" i="13" s="1"/>
  <c r="C983" i="13"/>
  <c r="F983" i="13" s="1"/>
  <c r="B983" i="13"/>
  <c r="G982" i="13"/>
  <c r="H982" i="13" s="1"/>
  <c r="J982" i="13" s="1"/>
  <c r="C982" i="13"/>
  <c r="F982" i="13" s="1"/>
  <c r="B982" i="13"/>
  <c r="G981" i="13"/>
  <c r="H981" i="13" s="1"/>
  <c r="J981" i="13" s="1"/>
  <c r="C981" i="13"/>
  <c r="F981" i="13" s="1"/>
  <c r="B981" i="13"/>
  <c r="G980" i="13"/>
  <c r="H980" i="13" s="1"/>
  <c r="J980" i="13" s="1"/>
  <c r="C980" i="13"/>
  <c r="F980" i="13" s="1"/>
  <c r="B980" i="13"/>
  <c r="G979" i="13"/>
  <c r="H979" i="13" s="1"/>
  <c r="J979" i="13" s="1"/>
  <c r="C979" i="13"/>
  <c r="F979" i="13" s="1"/>
  <c r="B979" i="13"/>
  <c r="G978" i="13"/>
  <c r="H978" i="13" s="1"/>
  <c r="J978" i="13" s="1"/>
  <c r="C978" i="13"/>
  <c r="F978" i="13" s="1"/>
  <c r="B978" i="13"/>
  <c r="G977" i="13"/>
  <c r="H977" i="13" s="1"/>
  <c r="J977" i="13" s="1"/>
  <c r="C977" i="13"/>
  <c r="F977" i="13" s="1"/>
  <c r="B977" i="13"/>
  <c r="G976" i="13"/>
  <c r="H976" i="13" s="1"/>
  <c r="J976" i="13" s="1"/>
  <c r="C976" i="13"/>
  <c r="F976" i="13" s="1"/>
  <c r="B976" i="13"/>
  <c r="G975" i="13"/>
  <c r="H975" i="13" s="1"/>
  <c r="C975" i="13"/>
  <c r="F975" i="13" s="1"/>
  <c r="B975" i="13"/>
  <c r="G974" i="13"/>
  <c r="H974" i="13" s="1"/>
  <c r="J974" i="13" s="1"/>
  <c r="C974" i="13"/>
  <c r="F974" i="13" s="1"/>
  <c r="B974" i="13"/>
  <c r="G973" i="13"/>
  <c r="H973" i="13" s="1"/>
  <c r="J973" i="13" s="1"/>
  <c r="C973" i="13"/>
  <c r="F973" i="13" s="1"/>
  <c r="B973" i="13"/>
  <c r="G972" i="13"/>
  <c r="H972" i="13" s="1"/>
  <c r="J972" i="13" s="1"/>
  <c r="C972" i="13"/>
  <c r="F972" i="13" s="1"/>
  <c r="B972" i="13"/>
  <c r="G971" i="13"/>
  <c r="H971" i="13" s="1"/>
  <c r="J971" i="13" s="1"/>
  <c r="C971" i="13"/>
  <c r="F971" i="13" s="1"/>
  <c r="B971" i="13"/>
  <c r="G970" i="13"/>
  <c r="H970" i="13" s="1"/>
  <c r="J970" i="13" s="1"/>
  <c r="C970" i="13"/>
  <c r="F970" i="13" s="1"/>
  <c r="B970" i="13"/>
  <c r="G969" i="13"/>
  <c r="H969" i="13" s="1"/>
  <c r="J969" i="13" s="1"/>
  <c r="C969" i="13"/>
  <c r="F969" i="13" s="1"/>
  <c r="B969" i="13"/>
  <c r="G968" i="13"/>
  <c r="H968" i="13" s="1"/>
  <c r="J968" i="13" s="1"/>
  <c r="C968" i="13"/>
  <c r="F968" i="13" s="1"/>
  <c r="B968" i="13"/>
  <c r="G967" i="13"/>
  <c r="H967" i="13" s="1"/>
  <c r="J967" i="13" s="1"/>
  <c r="C967" i="13"/>
  <c r="F967" i="13" s="1"/>
  <c r="B967" i="13"/>
  <c r="G966" i="13"/>
  <c r="H966" i="13" s="1"/>
  <c r="C966" i="13"/>
  <c r="F966" i="13" s="1"/>
  <c r="B966" i="13"/>
  <c r="G965" i="13"/>
  <c r="H965" i="13" s="1"/>
  <c r="J965" i="13" s="1"/>
  <c r="C965" i="13"/>
  <c r="F965" i="13" s="1"/>
  <c r="B965" i="13"/>
  <c r="G964" i="13"/>
  <c r="H964" i="13" s="1"/>
  <c r="J964" i="13" s="1"/>
  <c r="C964" i="13"/>
  <c r="F964" i="13" s="1"/>
  <c r="B964" i="13"/>
  <c r="G963" i="13"/>
  <c r="H963" i="13" s="1"/>
  <c r="C963" i="13"/>
  <c r="F963" i="13" s="1"/>
  <c r="B963" i="13"/>
  <c r="G962" i="13"/>
  <c r="H962" i="13" s="1"/>
  <c r="J962" i="13" s="1"/>
  <c r="C962" i="13"/>
  <c r="F962" i="13" s="1"/>
  <c r="B962" i="13"/>
  <c r="G961" i="13"/>
  <c r="H961" i="13" s="1"/>
  <c r="J961" i="13" s="1"/>
  <c r="C961" i="13"/>
  <c r="F961" i="13" s="1"/>
  <c r="B961" i="13"/>
  <c r="G960" i="13"/>
  <c r="H960" i="13" s="1"/>
  <c r="J960" i="13" s="1"/>
  <c r="C960" i="13"/>
  <c r="F960" i="13" s="1"/>
  <c r="B960" i="13"/>
  <c r="G959" i="13"/>
  <c r="H959" i="13" s="1"/>
  <c r="J959" i="13" s="1"/>
  <c r="C959" i="13"/>
  <c r="F959" i="13" s="1"/>
  <c r="B959" i="13"/>
  <c r="G958" i="13"/>
  <c r="H958" i="13" s="1"/>
  <c r="J958" i="13" s="1"/>
  <c r="C958" i="13"/>
  <c r="F958" i="13" s="1"/>
  <c r="B958" i="13"/>
  <c r="G957" i="13"/>
  <c r="H957" i="13" s="1"/>
  <c r="J957" i="13" s="1"/>
  <c r="C957" i="13"/>
  <c r="F957" i="13" s="1"/>
  <c r="B957" i="13"/>
  <c r="G956" i="13"/>
  <c r="H956" i="13" s="1"/>
  <c r="J956" i="13" s="1"/>
  <c r="C956" i="13"/>
  <c r="F956" i="13" s="1"/>
  <c r="B956" i="13"/>
  <c r="G955" i="13"/>
  <c r="H955" i="13" s="1"/>
  <c r="J955" i="13" s="1"/>
  <c r="C955" i="13"/>
  <c r="F955" i="13" s="1"/>
  <c r="B955" i="13"/>
  <c r="G954" i="13"/>
  <c r="H954" i="13" s="1"/>
  <c r="C954" i="13"/>
  <c r="F954" i="13" s="1"/>
  <c r="B954" i="13"/>
  <c r="G953" i="13"/>
  <c r="H953" i="13" s="1"/>
  <c r="J953" i="13" s="1"/>
  <c r="C953" i="13"/>
  <c r="F953" i="13" s="1"/>
  <c r="B953" i="13"/>
  <c r="G952" i="13"/>
  <c r="H952" i="13" s="1"/>
  <c r="J952" i="13" s="1"/>
  <c r="C952" i="13"/>
  <c r="F952" i="13" s="1"/>
  <c r="B952" i="13"/>
  <c r="G951" i="13"/>
  <c r="H951" i="13" s="1"/>
  <c r="C951" i="13"/>
  <c r="F951" i="13" s="1"/>
  <c r="B951" i="13"/>
  <c r="G950" i="13"/>
  <c r="H950" i="13" s="1"/>
  <c r="J950" i="13" s="1"/>
  <c r="C950" i="13"/>
  <c r="F950" i="13" s="1"/>
  <c r="B950" i="13"/>
  <c r="G949" i="13"/>
  <c r="H949" i="13" s="1"/>
  <c r="J949" i="13" s="1"/>
  <c r="C949" i="13"/>
  <c r="F949" i="13" s="1"/>
  <c r="B949" i="13"/>
  <c r="G948" i="13"/>
  <c r="H948" i="13" s="1"/>
  <c r="J948" i="13" s="1"/>
  <c r="C948" i="13"/>
  <c r="F948" i="13" s="1"/>
  <c r="B948" i="13"/>
  <c r="G947" i="13"/>
  <c r="H947" i="13" s="1"/>
  <c r="J947" i="13" s="1"/>
  <c r="C947" i="13"/>
  <c r="F947" i="13" s="1"/>
  <c r="B947" i="13"/>
  <c r="G946" i="13"/>
  <c r="H946" i="13" s="1"/>
  <c r="J946" i="13" s="1"/>
  <c r="C946" i="13"/>
  <c r="F946" i="13" s="1"/>
  <c r="B946" i="13"/>
  <c r="G945" i="13"/>
  <c r="H945" i="13" s="1"/>
  <c r="J945" i="13" s="1"/>
  <c r="C945" i="13"/>
  <c r="F945" i="13" s="1"/>
  <c r="B945" i="13"/>
  <c r="G944" i="13"/>
  <c r="H944" i="13" s="1"/>
  <c r="J944" i="13" s="1"/>
  <c r="C944" i="13"/>
  <c r="F944" i="13" s="1"/>
  <c r="B944" i="13"/>
  <c r="G943" i="13"/>
  <c r="H943" i="13" s="1"/>
  <c r="J943" i="13" s="1"/>
  <c r="C943" i="13"/>
  <c r="F943" i="13" s="1"/>
  <c r="B943" i="13"/>
  <c r="G942" i="13"/>
  <c r="H942" i="13" s="1"/>
  <c r="C942" i="13"/>
  <c r="F942" i="13" s="1"/>
  <c r="B942" i="13"/>
  <c r="G941" i="13"/>
  <c r="H941" i="13" s="1"/>
  <c r="J941" i="13" s="1"/>
  <c r="C941" i="13"/>
  <c r="F941" i="13" s="1"/>
  <c r="B941" i="13"/>
  <c r="G940" i="13"/>
  <c r="H940" i="13" s="1"/>
  <c r="J940" i="13" s="1"/>
  <c r="C940" i="13"/>
  <c r="F940" i="13" s="1"/>
  <c r="B940" i="13"/>
  <c r="G939" i="13"/>
  <c r="H939" i="13" s="1"/>
  <c r="C939" i="13"/>
  <c r="F939" i="13" s="1"/>
  <c r="B939" i="13"/>
  <c r="G938" i="13"/>
  <c r="H938" i="13" s="1"/>
  <c r="J938" i="13" s="1"/>
  <c r="C938" i="13"/>
  <c r="F938" i="13" s="1"/>
  <c r="B938" i="13"/>
  <c r="G937" i="13"/>
  <c r="H937" i="13" s="1"/>
  <c r="J937" i="13" s="1"/>
  <c r="C937" i="13"/>
  <c r="F937" i="13" s="1"/>
  <c r="B937" i="13"/>
  <c r="G936" i="13"/>
  <c r="H936" i="13" s="1"/>
  <c r="J936" i="13" s="1"/>
  <c r="C936" i="13"/>
  <c r="F936" i="13" s="1"/>
  <c r="B936" i="13"/>
  <c r="G935" i="13"/>
  <c r="H935" i="13" s="1"/>
  <c r="J935" i="13" s="1"/>
  <c r="C935" i="13"/>
  <c r="F935" i="13" s="1"/>
  <c r="B935" i="13"/>
  <c r="G934" i="13"/>
  <c r="H934" i="13" s="1"/>
  <c r="J934" i="13" s="1"/>
  <c r="C934" i="13"/>
  <c r="F934" i="13" s="1"/>
  <c r="B934" i="13"/>
  <c r="G933" i="13"/>
  <c r="H933" i="13" s="1"/>
  <c r="J933" i="13" s="1"/>
  <c r="C933" i="13"/>
  <c r="F933" i="13" s="1"/>
  <c r="B933" i="13"/>
  <c r="G932" i="13"/>
  <c r="H932" i="13" s="1"/>
  <c r="J932" i="13" s="1"/>
  <c r="C932" i="13"/>
  <c r="F932" i="13" s="1"/>
  <c r="B932" i="13"/>
  <c r="G931" i="13"/>
  <c r="H931" i="13" s="1"/>
  <c r="J931" i="13" s="1"/>
  <c r="C931" i="13"/>
  <c r="F931" i="13" s="1"/>
  <c r="B931" i="13"/>
  <c r="G930" i="13"/>
  <c r="H930" i="13" s="1"/>
  <c r="C930" i="13"/>
  <c r="F930" i="13" s="1"/>
  <c r="B930" i="13"/>
  <c r="G929" i="13"/>
  <c r="H929" i="13" s="1"/>
  <c r="J929" i="13" s="1"/>
  <c r="C929" i="13"/>
  <c r="F929" i="13" s="1"/>
  <c r="B929" i="13"/>
  <c r="G928" i="13"/>
  <c r="H928" i="13" s="1"/>
  <c r="J928" i="13" s="1"/>
  <c r="C928" i="13"/>
  <c r="F928" i="13" s="1"/>
  <c r="B928" i="13"/>
  <c r="G927" i="13"/>
  <c r="H927" i="13" s="1"/>
  <c r="C927" i="13"/>
  <c r="F927" i="13" s="1"/>
  <c r="B927" i="13"/>
  <c r="G926" i="13"/>
  <c r="H926" i="13" s="1"/>
  <c r="J926" i="13" s="1"/>
  <c r="C926" i="13"/>
  <c r="F926" i="13" s="1"/>
  <c r="B926" i="13"/>
  <c r="G925" i="13"/>
  <c r="H925" i="13" s="1"/>
  <c r="J925" i="13" s="1"/>
  <c r="C925" i="13"/>
  <c r="F925" i="13" s="1"/>
  <c r="B925" i="13"/>
  <c r="G924" i="13"/>
  <c r="H924" i="13" s="1"/>
  <c r="J924" i="13" s="1"/>
  <c r="C924" i="13"/>
  <c r="F924" i="13" s="1"/>
  <c r="B924" i="13"/>
  <c r="G923" i="13"/>
  <c r="H923" i="13" s="1"/>
  <c r="J923" i="13" s="1"/>
  <c r="C923" i="13"/>
  <c r="F923" i="13" s="1"/>
  <c r="B923" i="13"/>
  <c r="G922" i="13"/>
  <c r="H922" i="13" s="1"/>
  <c r="J922" i="13" s="1"/>
  <c r="C922" i="13"/>
  <c r="F922" i="13" s="1"/>
  <c r="B922" i="13"/>
  <c r="G921" i="13"/>
  <c r="H921" i="13" s="1"/>
  <c r="J921" i="13" s="1"/>
  <c r="C921" i="13"/>
  <c r="F921" i="13" s="1"/>
  <c r="B921" i="13"/>
  <c r="G920" i="13"/>
  <c r="H920" i="13" s="1"/>
  <c r="J920" i="13" s="1"/>
  <c r="C920" i="13"/>
  <c r="F920" i="13" s="1"/>
  <c r="B920" i="13"/>
  <c r="G919" i="13"/>
  <c r="H919" i="13" s="1"/>
  <c r="J919" i="13" s="1"/>
  <c r="C919" i="13"/>
  <c r="F919" i="13" s="1"/>
  <c r="B919" i="13"/>
  <c r="G918" i="13"/>
  <c r="H918" i="13" s="1"/>
  <c r="C918" i="13"/>
  <c r="F918" i="13" s="1"/>
  <c r="B918" i="13"/>
  <c r="G917" i="13"/>
  <c r="H917" i="13" s="1"/>
  <c r="J917" i="13" s="1"/>
  <c r="C917" i="13"/>
  <c r="F917" i="13" s="1"/>
  <c r="B917" i="13"/>
  <c r="G916" i="13"/>
  <c r="H916" i="13" s="1"/>
  <c r="J916" i="13" s="1"/>
  <c r="C916" i="13"/>
  <c r="F916" i="13" s="1"/>
  <c r="B916" i="13"/>
  <c r="G915" i="13"/>
  <c r="H915" i="13" s="1"/>
  <c r="C915" i="13"/>
  <c r="F915" i="13" s="1"/>
  <c r="B915" i="13"/>
  <c r="G914" i="13"/>
  <c r="H914" i="13" s="1"/>
  <c r="J914" i="13" s="1"/>
  <c r="C914" i="13"/>
  <c r="F914" i="13" s="1"/>
  <c r="B914" i="13"/>
  <c r="G913" i="13"/>
  <c r="H913" i="13" s="1"/>
  <c r="J913" i="13" s="1"/>
  <c r="C913" i="13"/>
  <c r="F913" i="13" s="1"/>
  <c r="B913" i="13"/>
  <c r="G912" i="13"/>
  <c r="H912" i="13" s="1"/>
  <c r="J912" i="13" s="1"/>
  <c r="C912" i="13"/>
  <c r="F912" i="13" s="1"/>
  <c r="B912" i="13"/>
  <c r="G911" i="13"/>
  <c r="H911" i="13" s="1"/>
  <c r="J911" i="13" s="1"/>
  <c r="C911" i="13"/>
  <c r="F911" i="13" s="1"/>
  <c r="B911" i="13"/>
  <c r="G910" i="13"/>
  <c r="H910" i="13" s="1"/>
  <c r="J910" i="13" s="1"/>
  <c r="C910" i="13"/>
  <c r="F910" i="13" s="1"/>
  <c r="B910" i="13"/>
  <c r="G909" i="13"/>
  <c r="H909" i="13" s="1"/>
  <c r="J909" i="13" s="1"/>
  <c r="C909" i="13"/>
  <c r="F909" i="13" s="1"/>
  <c r="B909" i="13"/>
  <c r="G908" i="13"/>
  <c r="H908" i="13" s="1"/>
  <c r="J908" i="13" s="1"/>
  <c r="C908" i="13"/>
  <c r="F908" i="13" s="1"/>
  <c r="B908" i="13"/>
  <c r="G907" i="13"/>
  <c r="H907" i="13" s="1"/>
  <c r="J907" i="13" s="1"/>
  <c r="C907" i="13"/>
  <c r="F907" i="13" s="1"/>
  <c r="B907" i="13"/>
  <c r="G906" i="13"/>
  <c r="H906" i="13" s="1"/>
  <c r="C906" i="13"/>
  <c r="F906" i="13" s="1"/>
  <c r="B906" i="13"/>
  <c r="G905" i="13"/>
  <c r="H905" i="13" s="1"/>
  <c r="J905" i="13" s="1"/>
  <c r="C905" i="13"/>
  <c r="F905" i="13" s="1"/>
  <c r="B905" i="13"/>
  <c r="G904" i="13"/>
  <c r="H904" i="13" s="1"/>
  <c r="J904" i="13" s="1"/>
  <c r="C904" i="13"/>
  <c r="F904" i="13" s="1"/>
  <c r="B904" i="13"/>
  <c r="G903" i="13"/>
  <c r="H903" i="13" s="1"/>
  <c r="C903" i="13"/>
  <c r="F903" i="13" s="1"/>
  <c r="B903" i="13"/>
  <c r="G902" i="13"/>
  <c r="H902" i="13" s="1"/>
  <c r="J902" i="13" s="1"/>
  <c r="C902" i="13"/>
  <c r="F902" i="13" s="1"/>
  <c r="B902" i="13"/>
  <c r="G901" i="13"/>
  <c r="H901" i="13" s="1"/>
  <c r="J901" i="13" s="1"/>
  <c r="C901" i="13"/>
  <c r="F901" i="13" s="1"/>
  <c r="B901" i="13"/>
  <c r="G900" i="13"/>
  <c r="H900" i="13" s="1"/>
  <c r="J900" i="13" s="1"/>
  <c r="C900" i="13"/>
  <c r="F900" i="13" s="1"/>
  <c r="B900" i="13"/>
  <c r="G899" i="13"/>
  <c r="H899" i="13" s="1"/>
  <c r="J899" i="13" s="1"/>
  <c r="C899" i="13"/>
  <c r="F899" i="13" s="1"/>
  <c r="B899" i="13"/>
  <c r="G898" i="13"/>
  <c r="H898" i="13" s="1"/>
  <c r="J898" i="13" s="1"/>
  <c r="C898" i="13"/>
  <c r="F898" i="13" s="1"/>
  <c r="B898" i="13"/>
  <c r="G897" i="13"/>
  <c r="H897" i="13" s="1"/>
  <c r="J897" i="13" s="1"/>
  <c r="C897" i="13"/>
  <c r="F897" i="13" s="1"/>
  <c r="B897" i="13"/>
  <c r="G896" i="13"/>
  <c r="H896" i="13" s="1"/>
  <c r="J896" i="13" s="1"/>
  <c r="C896" i="13"/>
  <c r="F896" i="13" s="1"/>
  <c r="B896" i="13"/>
  <c r="G895" i="13"/>
  <c r="H895" i="13" s="1"/>
  <c r="J895" i="13" s="1"/>
  <c r="C895" i="13"/>
  <c r="F895" i="13" s="1"/>
  <c r="B895" i="13"/>
  <c r="G894" i="13"/>
  <c r="H894" i="13" s="1"/>
  <c r="C894" i="13"/>
  <c r="F894" i="13" s="1"/>
  <c r="B894" i="13"/>
  <c r="G893" i="13"/>
  <c r="H893" i="13" s="1"/>
  <c r="J893" i="13" s="1"/>
  <c r="C893" i="13"/>
  <c r="F893" i="13" s="1"/>
  <c r="B893" i="13"/>
  <c r="G892" i="13"/>
  <c r="H892" i="13" s="1"/>
  <c r="J892" i="13" s="1"/>
  <c r="C892" i="13"/>
  <c r="F892" i="13" s="1"/>
  <c r="B892" i="13"/>
  <c r="G891" i="13"/>
  <c r="H891" i="13" s="1"/>
  <c r="J891" i="13" s="1"/>
  <c r="C891" i="13"/>
  <c r="F891" i="13" s="1"/>
  <c r="B891" i="13"/>
  <c r="G890" i="13"/>
  <c r="H890" i="13" s="1"/>
  <c r="J890" i="13" s="1"/>
  <c r="C890" i="13"/>
  <c r="F890" i="13" s="1"/>
  <c r="B890" i="13"/>
  <c r="G889" i="13"/>
  <c r="H889" i="13" s="1"/>
  <c r="J889" i="13" s="1"/>
  <c r="C889" i="13"/>
  <c r="F889" i="13" s="1"/>
  <c r="B889" i="13"/>
  <c r="G888" i="13"/>
  <c r="H888" i="13" s="1"/>
  <c r="J888" i="13" s="1"/>
  <c r="C888" i="13"/>
  <c r="F888" i="13" s="1"/>
  <c r="B888" i="13"/>
  <c r="G887" i="13"/>
  <c r="H887" i="13" s="1"/>
  <c r="J887" i="13" s="1"/>
  <c r="C887" i="13"/>
  <c r="F887" i="13" s="1"/>
  <c r="B887" i="13"/>
  <c r="G886" i="13"/>
  <c r="H886" i="13" s="1"/>
  <c r="J886" i="13" s="1"/>
  <c r="C886" i="13"/>
  <c r="F886" i="13" s="1"/>
  <c r="B886" i="13"/>
  <c r="G885" i="13"/>
  <c r="H885" i="13" s="1"/>
  <c r="J885" i="13" s="1"/>
  <c r="C885" i="13"/>
  <c r="F885" i="13" s="1"/>
  <c r="B885" i="13"/>
  <c r="G884" i="13"/>
  <c r="H884" i="13" s="1"/>
  <c r="J884" i="13" s="1"/>
  <c r="C884" i="13"/>
  <c r="F884" i="13" s="1"/>
  <c r="B884" i="13"/>
  <c r="G883" i="13"/>
  <c r="H883" i="13" s="1"/>
  <c r="J883" i="13" s="1"/>
  <c r="C883" i="13"/>
  <c r="F883" i="13" s="1"/>
  <c r="B883" i="13"/>
  <c r="G882" i="13"/>
  <c r="H882" i="13" s="1"/>
  <c r="C882" i="13"/>
  <c r="F882" i="13" s="1"/>
  <c r="B882" i="13"/>
  <c r="G881" i="13"/>
  <c r="H881" i="13" s="1"/>
  <c r="J881" i="13" s="1"/>
  <c r="C881" i="13"/>
  <c r="F881" i="13" s="1"/>
  <c r="B881" i="13"/>
  <c r="G880" i="13"/>
  <c r="H880" i="13" s="1"/>
  <c r="J880" i="13" s="1"/>
  <c r="C880" i="13"/>
  <c r="F880" i="13" s="1"/>
  <c r="B880" i="13"/>
  <c r="G879" i="13"/>
  <c r="H879" i="13" s="1"/>
  <c r="J879" i="13" s="1"/>
  <c r="C879" i="13"/>
  <c r="F879" i="13" s="1"/>
  <c r="B879" i="13"/>
  <c r="G878" i="13"/>
  <c r="H878" i="13" s="1"/>
  <c r="J878" i="13" s="1"/>
  <c r="C878" i="13"/>
  <c r="F878" i="13" s="1"/>
  <c r="B878" i="13"/>
  <c r="G877" i="13"/>
  <c r="H877" i="13" s="1"/>
  <c r="J877" i="13" s="1"/>
  <c r="C877" i="13"/>
  <c r="F877" i="13" s="1"/>
  <c r="B877" i="13"/>
  <c r="G876" i="13"/>
  <c r="H876" i="13" s="1"/>
  <c r="J876" i="13" s="1"/>
  <c r="C876" i="13"/>
  <c r="F876" i="13" s="1"/>
  <c r="B876" i="13"/>
  <c r="G875" i="13"/>
  <c r="H875" i="13" s="1"/>
  <c r="J875" i="13" s="1"/>
  <c r="C875" i="13"/>
  <c r="F875" i="13" s="1"/>
  <c r="B875" i="13"/>
  <c r="G874" i="13"/>
  <c r="H874" i="13" s="1"/>
  <c r="J874" i="13" s="1"/>
  <c r="C874" i="13"/>
  <c r="F874" i="13" s="1"/>
  <c r="B874" i="13"/>
  <c r="G873" i="13"/>
  <c r="H873" i="13" s="1"/>
  <c r="J873" i="13" s="1"/>
  <c r="C873" i="13"/>
  <c r="F873" i="13" s="1"/>
  <c r="B873" i="13"/>
  <c r="G872" i="13"/>
  <c r="H872" i="13" s="1"/>
  <c r="J872" i="13" s="1"/>
  <c r="C872" i="13"/>
  <c r="F872" i="13" s="1"/>
  <c r="B872" i="13"/>
  <c r="G871" i="13"/>
  <c r="H871" i="13" s="1"/>
  <c r="J871" i="13" s="1"/>
  <c r="C871" i="13"/>
  <c r="F871" i="13" s="1"/>
  <c r="B871" i="13"/>
  <c r="G870" i="13"/>
  <c r="H870" i="13" s="1"/>
  <c r="J870" i="13" s="1"/>
  <c r="C870" i="13"/>
  <c r="F870" i="13" s="1"/>
  <c r="B870" i="13"/>
  <c r="G869" i="13"/>
  <c r="H869" i="13" s="1"/>
  <c r="J869" i="13" s="1"/>
  <c r="C869" i="13"/>
  <c r="F869" i="13" s="1"/>
  <c r="B869" i="13"/>
  <c r="G868" i="13"/>
  <c r="H868" i="13" s="1"/>
  <c r="J868" i="13" s="1"/>
  <c r="C868" i="13"/>
  <c r="F868" i="13" s="1"/>
  <c r="B868" i="13"/>
  <c r="G867" i="13"/>
  <c r="H867" i="13" s="1"/>
  <c r="J867" i="13" s="1"/>
  <c r="C867" i="13"/>
  <c r="F867" i="13" s="1"/>
  <c r="B867" i="13"/>
  <c r="G866" i="13"/>
  <c r="H866" i="13" s="1"/>
  <c r="J866" i="13" s="1"/>
  <c r="C866" i="13"/>
  <c r="F866" i="13" s="1"/>
  <c r="B866" i="13"/>
  <c r="G865" i="13"/>
  <c r="H865" i="13" s="1"/>
  <c r="J865" i="13" s="1"/>
  <c r="C865" i="13"/>
  <c r="F865" i="13" s="1"/>
  <c r="B865" i="13"/>
  <c r="G864" i="13"/>
  <c r="H864" i="13" s="1"/>
  <c r="J864" i="13" s="1"/>
  <c r="C864" i="13"/>
  <c r="F864" i="13" s="1"/>
  <c r="B864" i="13"/>
  <c r="G863" i="13"/>
  <c r="H863" i="13" s="1"/>
  <c r="J863" i="13" s="1"/>
  <c r="C863" i="13"/>
  <c r="F863" i="13" s="1"/>
  <c r="B863" i="13"/>
  <c r="G862" i="13"/>
  <c r="H862" i="13" s="1"/>
  <c r="J862" i="13" s="1"/>
  <c r="C862" i="13"/>
  <c r="F862" i="13" s="1"/>
  <c r="B862" i="13"/>
  <c r="G861" i="13"/>
  <c r="H861" i="13" s="1"/>
  <c r="J861" i="13" s="1"/>
  <c r="C861" i="13"/>
  <c r="F861" i="13" s="1"/>
  <c r="B861" i="13"/>
  <c r="G860" i="13"/>
  <c r="H860" i="13" s="1"/>
  <c r="J860" i="13" s="1"/>
  <c r="C860" i="13"/>
  <c r="F860" i="13" s="1"/>
  <c r="B860" i="13"/>
  <c r="G859" i="13"/>
  <c r="H859" i="13" s="1"/>
  <c r="J859" i="13" s="1"/>
  <c r="C859" i="13"/>
  <c r="F859" i="13" s="1"/>
  <c r="B859" i="13"/>
  <c r="G858" i="13"/>
  <c r="H858" i="13" s="1"/>
  <c r="J858" i="13" s="1"/>
  <c r="C858" i="13"/>
  <c r="F858" i="13" s="1"/>
  <c r="B858" i="13"/>
  <c r="G857" i="13"/>
  <c r="H857" i="13" s="1"/>
  <c r="J857" i="13" s="1"/>
  <c r="C857" i="13"/>
  <c r="F857" i="13" s="1"/>
  <c r="B857" i="13"/>
  <c r="G856" i="13"/>
  <c r="H856" i="13" s="1"/>
  <c r="J856" i="13" s="1"/>
  <c r="C856" i="13"/>
  <c r="F856" i="13" s="1"/>
  <c r="B856" i="13"/>
  <c r="G855" i="13"/>
  <c r="H855" i="13" s="1"/>
  <c r="J855" i="13" s="1"/>
  <c r="C855" i="13"/>
  <c r="F855" i="13" s="1"/>
  <c r="B855" i="13"/>
  <c r="G854" i="13"/>
  <c r="H854" i="13" s="1"/>
  <c r="J854" i="13" s="1"/>
  <c r="C854" i="13"/>
  <c r="F854" i="13" s="1"/>
  <c r="B854" i="13"/>
  <c r="G853" i="13"/>
  <c r="H853" i="13" s="1"/>
  <c r="J853" i="13" s="1"/>
  <c r="C853" i="13"/>
  <c r="F853" i="13" s="1"/>
  <c r="B853" i="13"/>
  <c r="G852" i="13"/>
  <c r="H852" i="13" s="1"/>
  <c r="J852" i="13" s="1"/>
  <c r="C852" i="13"/>
  <c r="F852" i="13" s="1"/>
  <c r="B852" i="13"/>
  <c r="G851" i="13"/>
  <c r="H851" i="13" s="1"/>
  <c r="J851" i="13" s="1"/>
  <c r="C851" i="13"/>
  <c r="F851" i="13" s="1"/>
  <c r="B851" i="13"/>
  <c r="G850" i="13"/>
  <c r="H850" i="13" s="1"/>
  <c r="J850" i="13" s="1"/>
  <c r="C850" i="13"/>
  <c r="F850" i="13" s="1"/>
  <c r="B850" i="13"/>
  <c r="G849" i="13"/>
  <c r="H849" i="13" s="1"/>
  <c r="J849" i="13" s="1"/>
  <c r="C849" i="13"/>
  <c r="F849" i="13" s="1"/>
  <c r="B849" i="13"/>
  <c r="G848" i="13"/>
  <c r="H848" i="13" s="1"/>
  <c r="J848" i="13" s="1"/>
  <c r="C848" i="13"/>
  <c r="F848" i="13" s="1"/>
  <c r="B848" i="13"/>
  <c r="G847" i="13"/>
  <c r="H847" i="13" s="1"/>
  <c r="J847" i="13" s="1"/>
  <c r="C847" i="13"/>
  <c r="F847" i="13" s="1"/>
  <c r="B847" i="13"/>
  <c r="G846" i="13"/>
  <c r="H846" i="13" s="1"/>
  <c r="J846" i="13" s="1"/>
  <c r="C846" i="13"/>
  <c r="F846" i="13" s="1"/>
  <c r="B846" i="13"/>
  <c r="G845" i="13"/>
  <c r="H845" i="13" s="1"/>
  <c r="J845" i="13" s="1"/>
  <c r="C845" i="13"/>
  <c r="F845" i="13" s="1"/>
  <c r="B845" i="13"/>
  <c r="G844" i="13"/>
  <c r="H844" i="13" s="1"/>
  <c r="J844" i="13" s="1"/>
  <c r="C844" i="13"/>
  <c r="F844" i="13" s="1"/>
  <c r="B844" i="13"/>
  <c r="G843" i="13"/>
  <c r="H843" i="13" s="1"/>
  <c r="J843" i="13" s="1"/>
  <c r="C843" i="13"/>
  <c r="F843" i="13" s="1"/>
  <c r="B843" i="13"/>
  <c r="G842" i="13"/>
  <c r="H842" i="13" s="1"/>
  <c r="J842" i="13" s="1"/>
  <c r="C842" i="13"/>
  <c r="F842" i="13" s="1"/>
  <c r="B842" i="13"/>
  <c r="G841" i="13"/>
  <c r="H841" i="13" s="1"/>
  <c r="J841" i="13" s="1"/>
  <c r="C841" i="13"/>
  <c r="F841" i="13" s="1"/>
  <c r="B841" i="13"/>
  <c r="G840" i="13"/>
  <c r="H840" i="13" s="1"/>
  <c r="J840" i="13" s="1"/>
  <c r="C840" i="13"/>
  <c r="F840" i="13" s="1"/>
  <c r="B840" i="13"/>
  <c r="G839" i="13"/>
  <c r="H839" i="13" s="1"/>
  <c r="J839" i="13" s="1"/>
  <c r="C839" i="13"/>
  <c r="F839" i="13" s="1"/>
  <c r="B839" i="13"/>
  <c r="G838" i="13"/>
  <c r="H838" i="13" s="1"/>
  <c r="J838" i="13" s="1"/>
  <c r="C838" i="13"/>
  <c r="F838" i="13" s="1"/>
  <c r="B838" i="13"/>
  <c r="G837" i="13"/>
  <c r="H837" i="13" s="1"/>
  <c r="J837" i="13" s="1"/>
  <c r="C837" i="13"/>
  <c r="F837" i="13" s="1"/>
  <c r="B837" i="13"/>
  <c r="G836" i="13"/>
  <c r="H836" i="13" s="1"/>
  <c r="J836" i="13" s="1"/>
  <c r="C836" i="13"/>
  <c r="F836" i="13" s="1"/>
  <c r="B836" i="13"/>
  <c r="G835" i="13"/>
  <c r="H835" i="13" s="1"/>
  <c r="J835" i="13" s="1"/>
  <c r="C835" i="13"/>
  <c r="F835" i="13" s="1"/>
  <c r="B835" i="13"/>
  <c r="G834" i="13"/>
  <c r="H834" i="13" s="1"/>
  <c r="J834" i="13" s="1"/>
  <c r="C834" i="13"/>
  <c r="F834" i="13" s="1"/>
  <c r="B834" i="13"/>
  <c r="G833" i="13"/>
  <c r="H833" i="13" s="1"/>
  <c r="J833" i="13" s="1"/>
  <c r="C833" i="13"/>
  <c r="F833" i="13" s="1"/>
  <c r="B833" i="13"/>
  <c r="G832" i="13"/>
  <c r="H832" i="13" s="1"/>
  <c r="J832" i="13" s="1"/>
  <c r="C832" i="13"/>
  <c r="F832" i="13" s="1"/>
  <c r="B832" i="13"/>
  <c r="G831" i="13"/>
  <c r="H831" i="13" s="1"/>
  <c r="J831" i="13" s="1"/>
  <c r="C831" i="13"/>
  <c r="F831" i="13" s="1"/>
  <c r="B831" i="13"/>
  <c r="G830" i="13"/>
  <c r="H830" i="13" s="1"/>
  <c r="J830" i="13" s="1"/>
  <c r="C830" i="13"/>
  <c r="F830" i="13" s="1"/>
  <c r="B830" i="13"/>
  <c r="G829" i="13"/>
  <c r="H829" i="13" s="1"/>
  <c r="J829" i="13" s="1"/>
  <c r="C829" i="13"/>
  <c r="F829" i="13" s="1"/>
  <c r="B829" i="13"/>
  <c r="G828" i="13"/>
  <c r="H828" i="13" s="1"/>
  <c r="J828" i="13" s="1"/>
  <c r="C828" i="13"/>
  <c r="F828" i="13" s="1"/>
  <c r="B828" i="13"/>
  <c r="G827" i="13"/>
  <c r="H827" i="13" s="1"/>
  <c r="J827" i="13" s="1"/>
  <c r="C827" i="13"/>
  <c r="F827" i="13" s="1"/>
  <c r="B827" i="13"/>
  <c r="G826" i="13"/>
  <c r="H826" i="13" s="1"/>
  <c r="J826" i="13" s="1"/>
  <c r="C826" i="13"/>
  <c r="F826" i="13" s="1"/>
  <c r="B826" i="13"/>
  <c r="G825" i="13"/>
  <c r="H825" i="13" s="1"/>
  <c r="J825" i="13" s="1"/>
  <c r="C825" i="13"/>
  <c r="F825" i="13" s="1"/>
  <c r="B825" i="13"/>
  <c r="G824" i="13"/>
  <c r="H824" i="13" s="1"/>
  <c r="J824" i="13" s="1"/>
  <c r="C824" i="13"/>
  <c r="F824" i="13" s="1"/>
  <c r="B824" i="13"/>
  <c r="G823" i="13"/>
  <c r="H823" i="13" s="1"/>
  <c r="J823" i="13" s="1"/>
  <c r="C823" i="13"/>
  <c r="F823" i="13" s="1"/>
  <c r="B823" i="13"/>
  <c r="G822" i="13"/>
  <c r="H822" i="13" s="1"/>
  <c r="J822" i="13" s="1"/>
  <c r="C822" i="13"/>
  <c r="F822" i="13" s="1"/>
  <c r="B822" i="13"/>
  <c r="G821" i="13"/>
  <c r="H821" i="13" s="1"/>
  <c r="J821" i="13" s="1"/>
  <c r="C821" i="13"/>
  <c r="F821" i="13" s="1"/>
  <c r="B821" i="13"/>
  <c r="G820" i="13"/>
  <c r="H820" i="13" s="1"/>
  <c r="J820" i="13" s="1"/>
  <c r="C820" i="13"/>
  <c r="F820" i="13" s="1"/>
  <c r="B820" i="13"/>
  <c r="G819" i="13"/>
  <c r="H819" i="13" s="1"/>
  <c r="J819" i="13" s="1"/>
  <c r="C819" i="13"/>
  <c r="F819" i="13" s="1"/>
  <c r="B819" i="13"/>
  <c r="G818" i="13"/>
  <c r="H818" i="13" s="1"/>
  <c r="J818" i="13" s="1"/>
  <c r="C818" i="13"/>
  <c r="F818" i="13" s="1"/>
  <c r="B818" i="13"/>
  <c r="G817" i="13"/>
  <c r="H817" i="13" s="1"/>
  <c r="J817" i="13" s="1"/>
  <c r="C817" i="13"/>
  <c r="F817" i="13" s="1"/>
  <c r="B817" i="13"/>
  <c r="G816" i="13"/>
  <c r="H816" i="13" s="1"/>
  <c r="J816" i="13" s="1"/>
  <c r="C816" i="13"/>
  <c r="F816" i="13" s="1"/>
  <c r="B816" i="13"/>
  <c r="G815" i="13"/>
  <c r="H815" i="13" s="1"/>
  <c r="J815" i="13" s="1"/>
  <c r="C815" i="13"/>
  <c r="F815" i="13" s="1"/>
  <c r="B815" i="13"/>
  <c r="G814" i="13"/>
  <c r="H814" i="13" s="1"/>
  <c r="J814" i="13" s="1"/>
  <c r="C814" i="13"/>
  <c r="F814" i="13" s="1"/>
  <c r="B814" i="13"/>
  <c r="G813" i="13"/>
  <c r="H813" i="13" s="1"/>
  <c r="J813" i="13" s="1"/>
  <c r="C813" i="13"/>
  <c r="F813" i="13" s="1"/>
  <c r="B813" i="13"/>
  <c r="G812" i="13"/>
  <c r="H812" i="13" s="1"/>
  <c r="J812" i="13" s="1"/>
  <c r="C812" i="13"/>
  <c r="F812" i="13" s="1"/>
  <c r="B812" i="13"/>
  <c r="G811" i="13"/>
  <c r="H811" i="13" s="1"/>
  <c r="J811" i="13" s="1"/>
  <c r="C811" i="13"/>
  <c r="F811" i="13" s="1"/>
  <c r="B811" i="13"/>
  <c r="G810" i="13"/>
  <c r="H810" i="13" s="1"/>
  <c r="J810" i="13" s="1"/>
  <c r="C810" i="13"/>
  <c r="F810" i="13" s="1"/>
  <c r="B810" i="13"/>
  <c r="G809" i="13"/>
  <c r="H809" i="13" s="1"/>
  <c r="J809" i="13" s="1"/>
  <c r="C809" i="13"/>
  <c r="F809" i="13" s="1"/>
  <c r="B809" i="13"/>
  <c r="G808" i="13"/>
  <c r="H808" i="13" s="1"/>
  <c r="C808" i="13"/>
  <c r="F808" i="13" s="1"/>
  <c r="B808" i="13"/>
  <c r="G807" i="13"/>
  <c r="H807" i="13" s="1"/>
  <c r="J807" i="13" s="1"/>
  <c r="C807" i="13"/>
  <c r="F807" i="13" s="1"/>
  <c r="B807" i="13"/>
  <c r="G806" i="13"/>
  <c r="H806" i="13" s="1"/>
  <c r="J806" i="13" s="1"/>
  <c r="C806" i="13"/>
  <c r="F806" i="13" s="1"/>
  <c r="B806" i="13"/>
  <c r="G805" i="13"/>
  <c r="H805" i="13" s="1"/>
  <c r="J805" i="13" s="1"/>
  <c r="C805" i="13"/>
  <c r="F805" i="13" s="1"/>
  <c r="B805" i="13"/>
  <c r="G804" i="13"/>
  <c r="H804" i="13" s="1"/>
  <c r="J804" i="13" s="1"/>
  <c r="C804" i="13"/>
  <c r="F804" i="13" s="1"/>
  <c r="B804" i="13"/>
  <c r="G803" i="13"/>
  <c r="H803" i="13" s="1"/>
  <c r="J803" i="13" s="1"/>
  <c r="C803" i="13"/>
  <c r="F803" i="13" s="1"/>
  <c r="B803" i="13"/>
  <c r="G802" i="13"/>
  <c r="H802" i="13" s="1"/>
  <c r="J802" i="13" s="1"/>
  <c r="C802" i="13"/>
  <c r="F802" i="13" s="1"/>
  <c r="B802" i="13"/>
  <c r="G801" i="13"/>
  <c r="H801" i="13" s="1"/>
  <c r="C801" i="13"/>
  <c r="F801" i="13" s="1"/>
  <c r="B801" i="13"/>
  <c r="G800" i="13"/>
  <c r="H800" i="13" s="1"/>
  <c r="J800" i="13" s="1"/>
  <c r="C800" i="13"/>
  <c r="F800" i="13" s="1"/>
  <c r="B800" i="13"/>
  <c r="G799" i="13"/>
  <c r="H799" i="13" s="1"/>
  <c r="J799" i="13" s="1"/>
  <c r="C799" i="13"/>
  <c r="F799" i="13" s="1"/>
  <c r="B799" i="13"/>
  <c r="G798" i="13"/>
  <c r="H798" i="13" s="1"/>
  <c r="J798" i="13" s="1"/>
  <c r="C798" i="13"/>
  <c r="F798" i="13" s="1"/>
  <c r="B798" i="13"/>
  <c r="G797" i="13"/>
  <c r="H797" i="13" s="1"/>
  <c r="J797" i="13" s="1"/>
  <c r="C797" i="13"/>
  <c r="F797" i="13" s="1"/>
  <c r="B797" i="13"/>
  <c r="G796" i="13"/>
  <c r="H796" i="13" s="1"/>
  <c r="J796" i="13" s="1"/>
  <c r="C796" i="13"/>
  <c r="F796" i="13" s="1"/>
  <c r="B796" i="13"/>
  <c r="G795" i="13"/>
  <c r="H795" i="13" s="1"/>
  <c r="J795" i="13" s="1"/>
  <c r="C795" i="13"/>
  <c r="F795" i="13" s="1"/>
  <c r="B795" i="13"/>
  <c r="G794" i="13"/>
  <c r="H794" i="13" s="1"/>
  <c r="J794" i="13" s="1"/>
  <c r="C794" i="13"/>
  <c r="F794" i="13" s="1"/>
  <c r="B794" i="13"/>
  <c r="G793" i="13"/>
  <c r="H793" i="13" s="1"/>
  <c r="J793" i="13" s="1"/>
  <c r="C793" i="13"/>
  <c r="F793" i="13" s="1"/>
  <c r="B793" i="13"/>
  <c r="G792" i="13"/>
  <c r="H792" i="13" s="1"/>
  <c r="J792" i="13" s="1"/>
  <c r="C792" i="13"/>
  <c r="F792" i="13" s="1"/>
  <c r="B792" i="13"/>
  <c r="G791" i="13"/>
  <c r="H791" i="13" s="1"/>
  <c r="J791" i="13" s="1"/>
  <c r="C791" i="13"/>
  <c r="F791" i="13" s="1"/>
  <c r="B791" i="13"/>
  <c r="G790" i="13"/>
  <c r="H790" i="13" s="1"/>
  <c r="J790" i="13" s="1"/>
  <c r="C790" i="13"/>
  <c r="F790" i="13" s="1"/>
  <c r="B790" i="13"/>
  <c r="G789" i="13"/>
  <c r="H789" i="13" s="1"/>
  <c r="J789" i="13" s="1"/>
  <c r="C789" i="13"/>
  <c r="F789" i="13" s="1"/>
  <c r="B789" i="13"/>
  <c r="G788" i="13"/>
  <c r="H788" i="13" s="1"/>
  <c r="J788" i="13" s="1"/>
  <c r="C788" i="13"/>
  <c r="F788" i="13" s="1"/>
  <c r="B788" i="13"/>
  <c r="G787" i="13"/>
  <c r="H787" i="13" s="1"/>
  <c r="J787" i="13" s="1"/>
  <c r="C787" i="13"/>
  <c r="F787" i="13" s="1"/>
  <c r="B787" i="13"/>
  <c r="G786" i="13"/>
  <c r="H786" i="13" s="1"/>
  <c r="J786" i="13" s="1"/>
  <c r="C786" i="13"/>
  <c r="F786" i="13" s="1"/>
  <c r="B786" i="13"/>
  <c r="G785" i="13"/>
  <c r="H785" i="13" s="1"/>
  <c r="J785" i="13" s="1"/>
  <c r="C785" i="13"/>
  <c r="F785" i="13" s="1"/>
  <c r="B785" i="13"/>
  <c r="G784" i="13"/>
  <c r="H784" i="13" s="1"/>
  <c r="J784" i="13" s="1"/>
  <c r="C784" i="13"/>
  <c r="F784" i="13" s="1"/>
  <c r="B784" i="13"/>
  <c r="G783" i="13"/>
  <c r="H783" i="13" s="1"/>
  <c r="J783" i="13" s="1"/>
  <c r="C783" i="13"/>
  <c r="F783" i="13" s="1"/>
  <c r="B783" i="13"/>
  <c r="G782" i="13"/>
  <c r="H782" i="13" s="1"/>
  <c r="C782" i="13"/>
  <c r="F782" i="13" s="1"/>
  <c r="B782" i="13"/>
  <c r="G781" i="13"/>
  <c r="H781" i="13" s="1"/>
  <c r="J781" i="13" s="1"/>
  <c r="C781" i="13"/>
  <c r="F781" i="13" s="1"/>
  <c r="B781" i="13"/>
  <c r="G780" i="13"/>
  <c r="H780" i="13" s="1"/>
  <c r="J780" i="13" s="1"/>
  <c r="C780" i="13"/>
  <c r="F780" i="13" s="1"/>
  <c r="B780" i="13"/>
  <c r="G779" i="13"/>
  <c r="H779" i="13" s="1"/>
  <c r="J779" i="13" s="1"/>
  <c r="C779" i="13"/>
  <c r="F779" i="13" s="1"/>
  <c r="B779" i="13"/>
  <c r="G778" i="13"/>
  <c r="H778" i="13" s="1"/>
  <c r="J778" i="13" s="1"/>
  <c r="C778" i="13"/>
  <c r="F778" i="13" s="1"/>
  <c r="B778" i="13"/>
  <c r="G777" i="13"/>
  <c r="H777" i="13" s="1"/>
  <c r="J777" i="13" s="1"/>
  <c r="C777" i="13"/>
  <c r="F777" i="13" s="1"/>
  <c r="B777" i="13"/>
  <c r="G776" i="13"/>
  <c r="H776" i="13" s="1"/>
  <c r="J776" i="13" s="1"/>
  <c r="C776" i="13"/>
  <c r="F776" i="13" s="1"/>
  <c r="B776" i="13"/>
  <c r="G775" i="13"/>
  <c r="H775" i="13" s="1"/>
  <c r="J775" i="13" s="1"/>
  <c r="C775" i="13"/>
  <c r="F775" i="13" s="1"/>
  <c r="B775" i="13"/>
  <c r="G774" i="13"/>
  <c r="H774" i="13" s="1"/>
  <c r="J774" i="13" s="1"/>
  <c r="C774" i="13"/>
  <c r="F774" i="13" s="1"/>
  <c r="B774" i="13"/>
  <c r="G773" i="13"/>
  <c r="H773" i="13" s="1"/>
  <c r="C773" i="13"/>
  <c r="F773" i="13" s="1"/>
  <c r="B773" i="13"/>
  <c r="G772" i="13"/>
  <c r="H772" i="13" s="1"/>
  <c r="C772" i="13"/>
  <c r="F772" i="13" s="1"/>
  <c r="B772" i="13"/>
  <c r="G771" i="13"/>
  <c r="H771" i="13" s="1"/>
  <c r="J771" i="13" s="1"/>
  <c r="C771" i="13"/>
  <c r="F771" i="13" s="1"/>
  <c r="B771" i="13"/>
  <c r="G770" i="13"/>
  <c r="H770" i="13" s="1"/>
  <c r="J770" i="13" s="1"/>
  <c r="C770" i="13"/>
  <c r="F770" i="13" s="1"/>
  <c r="B770" i="13"/>
  <c r="G769" i="13"/>
  <c r="H769" i="13" s="1"/>
  <c r="J769" i="13" s="1"/>
  <c r="C769" i="13"/>
  <c r="F769" i="13" s="1"/>
  <c r="B769" i="13"/>
  <c r="G768" i="13"/>
  <c r="H768" i="13" s="1"/>
  <c r="J768" i="13" s="1"/>
  <c r="C768" i="13"/>
  <c r="F768" i="13" s="1"/>
  <c r="B768" i="13"/>
  <c r="G767" i="13"/>
  <c r="H767" i="13" s="1"/>
  <c r="J767" i="13" s="1"/>
  <c r="C767" i="13"/>
  <c r="F767" i="13" s="1"/>
  <c r="B767" i="13"/>
  <c r="G766" i="13"/>
  <c r="H766" i="13" s="1"/>
  <c r="J766" i="13" s="1"/>
  <c r="C766" i="13"/>
  <c r="F766" i="13" s="1"/>
  <c r="B766" i="13"/>
  <c r="G765" i="13"/>
  <c r="H765" i="13" s="1"/>
  <c r="C765" i="13"/>
  <c r="F765" i="13" s="1"/>
  <c r="B765" i="13"/>
  <c r="G764" i="13"/>
  <c r="H764" i="13" s="1"/>
  <c r="J764" i="13" s="1"/>
  <c r="C764" i="13"/>
  <c r="F764" i="13" s="1"/>
  <c r="B764" i="13"/>
  <c r="G763" i="13"/>
  <c r="H763" i="13" s="1"/>
  <c r="J763" i="13" s="1"/>
  <c r="C763" i="13"/>
  <c r="F763" i="13" s="1"/>
  <c r="B763" i="13"/>
  <c r="G762" i="13"/>
  <c r="H762" i="13" s="1"/>
  <c r="J762" i="13" s="1"/>
  <c r="C762" i="13"/>
  <c r="F762" i="13" s="1"/>
  <c r="B762" i="13"/>
  <c r="G761" i="13"/>
  <c r="H761" i="13" s="1"/>
  <c r="J761" i="13" s="1"/>
  <c r="C761" i="13"/>
  <c r="F761" i="13" s="1"/>
  <c r="B761" i="13"/>
  <c r="G760" i="13"/>
  <c r="H760" i="13" s="1"/>
  <c r="J760" i="13" s="1"/>
  <c r="C760" i="13"/>
  <c r="F760" i="13" s="1"/>
  <c r="B760" i="13"/>
  <c r="G759" i="13"/>
  <c r="H759" i="13" s="1"/>
  <c r="J759" i="13" s="1"/>
  <c r="C759" i="13"/>
  <c r="F759" i="13" s="1"/>
  <c r="B759" i="13"/>
  <c r="G758" i="13"/>
  <c r="H758" i="13" s="1"/>
  <c r="J758" i="13" s="1"/>
  <c r="C758" i="13"/>
  <c r="F758" i="13" s="1"/>
  <c r="B758" i="13"/>
  <c r="G757" i="13"/>
  <c r="H757" i="13" s="1"/>
  <c r="J757" i="13" s="1"/>
  <c r="C757" i="13"/>
  <c r="F757" i="13" s="1"/>
  <c r="B757" i="13"/>
  <c r="G756" i="13"/>
  <c r="H756" i="13" s="1"/>
  <c r="J756" i="13" s="1"/>
  <c r="C756" i="13"/>
  <c r="F756" i="13" s="1"/>
  <c r="B756" i="13"/>
  <c r="G755" i="13"/>
  <c r="H755" i="13" s="1"/>
  <c r="C755" i="13"/>
  <c r="F755" i="13" s="1"/>
  <c r="B755" i="13"/>
  <c r="G754" i="13"/>
  <c r="H754" i="13" s="1"/>
  <c r="J754" i="13" s="1"/>
  <c r="C754" i="13"/>
  <c r="F754" i="13" s="1"/>
  <c r="B754" i="13"/>
  <c r="G753" i="13"/>
  <c r="H753" i="13" s="1"/>
  <c r="J753" i="13" s="1"/>
  <c r="C753" i="13"/>
  <c r="F753" i="13" s="1"/>
  <c r="B753" i="13"/>
  <c r="G752" i="13"/>
  <c r="H752" i="13" s="1"/>
  <c r="J752" i="13" s="1"/>
  <c r="C752" i="13"/>
  <c r="F752" i="13" s="1"/>
  <c r="B752" i="13"/>
  <c r="G751" i="13"/>
  <c r="H751" i="13" s="1"/>
  <c r="J751" i="13" s="1"/>
  <c r="C751" i="13"/>
  <c r="F751" i="13" s="1"/>
  <c r="B751" i="13"/>
  <c r="G750" i="13"/>
  <c r="H750" i="13" s="1"/>
  <c r="J750" i="13" s="1"/>
  <c r="C750" i="13"/>
  <c r="F750" i="13" s="1"/>
  <c r="B750" i="13"/>
  <c r="G749" i="13"/>
  <c r="H749" i="13" s="1"/>
  <c r="J749" i="13" s="1"/>
  <c r="C749" i="13"/>
  <c r="F749" i="13" s="1"/>
  <c r="B749" i="13"/>
  <c r="G748" i="13"/>
  <c r="H748" i="13" s="1"/>
  <c r="J748" i="13" s="1"/>
  <c r="C748" i="13"/>
  <c r="F748" i="13" s="1"/>
  <c r="B748" i="13"/>
  <c r="G747" i="13"/>
  <c r="H747" i="13" s="1"/>
  <c r="J747" i="13" s="1"/>
  <c r="C747" i="13"/>
  <c r="F747" i="13" s="1"/>
  <c r="B747" i="13"/>
  <c r="G746" i="13"/>
  <c r="H746" i="13" s="1"/>
  <c r="J746" i="13" s="1"/>
  <c r="C746" i="13"/>
  <c r="F746" i="13" s="1"/>
  <c r="B746" i="13"/>
  <c r="G745" i="13"/>
  <c r="H745" i="13" s="1"/>
  <c r="J745" i="13" s="1"/>
  <c r="C745" i="13"/>
  <c r="F745" i="13" s="1"/>
  <c r="B745" i="13"/>
  <c r="G744" i="13"/>
  <c r="H744" i="13" s="1"/>
  <c r="J744" i="13" s="1"/>
  <c r="C744" i="13"/>
  <c r="F744" i="13" s="1"/>
  <c r="B744" i="13"/>
  <c r="G743" i="13"/>
  <c r="H743" i="13" s="1"/>
  <c r="J743" i="13" s="1"/>
  <c r="C743" i="13"/>
  <c r="F743" i="13" s="1"/>
  <c r="B743" i="13"/>
  <c r="G742" i="13"/>
  <c r="H742" i="13" s="1"/>
  <c r="J742" i="13" s="1"/>
  <c r="C742" i="13"/>
  <c r="F742" i="13" s="1"/>
  <c r="B742" i="13"/>
  <c r="G741" i="13"/>
  <c r="H741" i="13" s="1"/>
  <c r="J741" i="13" s="1"/>
  <c r="C741" i="13"/>
  <c r="F741" i="13" s="1"/>
  <c r="B741" i="13"/>
  <c r="G740" i="13"/>
  <c r="H740" i="13" s="1"/>
  <c r="J740" i="13" s="1"/>
  <c r="C740" i="13"/>
  <c r="F740" i="13" s="1"/>
  <c r="B740" i="13"/>
  <c r="G739" i="13"/>
  <c r="H739" i="13" s="1"/>
  <c r="J739" i="13" s="1"/>
  <c r="C739" i="13"/>
  <c r="F739" i="13" s="1"/>
  <c r="B739" i="13"/>
  <c r="G738" i="13"/>
  <c r="H738" i="13" s="1"/>
  <c r="J738" i="13" s="1"/>
  <c r="C738" i="13"/>
  <c r="F738" i="13" s="1"/>
  <c r="B738" i="13"/>
  <c r="G737" i="13"/>
  <c r="H737" i="13" s="1"/>
  <c r="J737" i="13" s="1"/>
  <c r="C737" i="13"/>
  <c r="F737" i="13" s="1"/>
  <c r="B737" i="13"/>
  <c r="G736" i="13"/>
  <c r="H736" i="13" s="1"/>
  <c r="C736" i="13"/>
  <c r="F736" i="13" s="1"/>
  <c r="B736" i="13"/>
  <c r="G735" i="13"/>
  <c r="H735" i="13" s="1"/>
  <c r="J735" i="13" s="1"/>
  <c r="C735" i="13"/>
  <c r="F735" i="13" s="1"/>
  <c r="B735" i="13"/>
  <c r="G734" i="13"/>
  <c r="H734" i="13" s="1"/>
  <c r="J734" i="13" s="1"/>
  <c r="C734" i="13"/>
  <c r="F734" i="13" s="1"/>
  <c r="B734" i="13"/>
  <c r="G733" i="13"/>
  <c r="H733" i="13" s="1"/>
  <c r="J733" i="13" s="1"/>
  <c r="C733" i="13"/>
  <c r="F733" i="13" s="1"/>
  <c r="B733" i="13"/>
  <c r="G732" i="13"/>
  <c r="H732" i="13" s="1"/>
  <c r="J732" i="13" s="1"/>
  <c r="C732" i="13"/>
  <c r="F732" i="13" s="1"/>
  <c r="B732" i="13"/>
  <c r="G731" i="13"/>
  <c r="H731" i="13" s="1"/>
  <c r="J731" i="13" s="1"/>
  <c r="C731" i="13"/>
  <c r="F731" i="13" s="1"/>
  <c r="B731" i="13"/>
  <c r="G730" i="13"/>
  <c r="H730" i="13" s="1"/>
  <c r="J730" i="13" s="1"/>
  <c r="C730" i="13"/>
  <c r="F730" i="13" s="1"/>
  <c r="B730" i="13"/>
  <c r="G729" i="13"/>
  <c r="H729" i="13" s="1"/>
  <c r="C729" i="13"/>
  <c r="F729" i="13" s="1"/>
  <c r="B729" i="13"/>
  <c r="G728" i="13"/>
  <c r="H728" i="13" s="1"/>
  <c r="J728" i="13" s="1"/>
  <c r="C728" i="13"/>
  <c r="F728" i="13" s="1"/>
  <c r="B728" i="13"/>
  <c r="G727" i="13"/>
  <c r="H727" i="13" s="1"/>
  <c r="J727" i="13" s="1"/>
  <c r="C727" i="13"/>
  <c r="F727" i="13" s="1"/>
  <c r="B727" i="13"/>
  <c r="G726" i="13"/>
  <c r="H726" i="13" s="1"/>
  <c r="J726" i="13" s="1"/>
  <c r="C726" i="13"/>
  <c r="F726" i="13" s="1"/>
  <c r="B726" i="13"/>
  <c r="G725" i="13"/>
  <c r="H725" i="13" s="1"/>
  <c r="J725" i="13" s="1"/>
  <c r="C725" i="13"/>
  <c r="F725" i="13" s="1"/>
  <c r="B725" i="13"/>
  <c r="G724" i="13"/>
  <c r="H724" i="13" s="1"/>
  <c r="J724" i="13" s="1"/>
  <c r="C724" i="13"/>
  <c r="F724" i="13" s="1"/>
  <c r="B724" i="13"/>
  <c r="G723" i="13"/>
  <c r="H723" i="13" s="1"/>
  <c r="J723" i="13" s="1"/>
  <c r="C723" i="13"/>
  <c r="F723" i="13" s="1"/>
  <c r="B723" i="13"/>
  <c r="G722" i="13"/>
  <c r="H722" i="13" s="1"/>
  <c r="J722" i="13" s="1"/>
  <c r="C722" i="13"/>
  <c r="F722" i="13" s="1"/>
  <c r="B722" i="13"/>
  <c r="G721" i="13"/>
  <c r="H721" i="13" s="1"/>
  <c r="J721" i="13" s="1"/>
  <c r="C721" i="13"/>
  <c r="F721" i="13" s="1"/>
  <c r="B721" i="13"/>
  <c r="G720" i="13"/>
  <c r="H720" i="13" s="1"/>
  <c r="J720" i="13" s="1"/>
  <c r="C720" i="13"/>
  <c r="F720" i="13" s="1"/>
  <c r="B720" i="13"/>
  <c r="G719" i="13"/>
  <c r="H719" i="13" s="1"/>
  <c r="J719" i="13" s="1"/>
  <c r="C719" i="13"/>
  <c r="F719" i="13" s="1"/>
  <c r="B719" i="13"/>
  <c r="G718" i="13"/>
  <c r="H718" i="13" s="1"/>
  <c r="J718" i="13" s="1"/>
  <c r="C718" i="13"/>
  <c r="F718" i="13" s="1"/>
  <c r="B718" i="13"/>
  <c r="G717" i="13"/>
  <c r="H717" i="13" s="1"/>
  <c r="J717" i="13" s="1"/>
  <c r="C717" i="13"/>
  <c r="F717" i="13" s="1"/>
  <c r="B717" i="13"/>
  <c r="G716" i="13"/>
  <c r="H716" i="13" s="1"/>
  <c r="J716" i="13" s="1"/>
  <c r="C716" i="13"/>
  <c r="F716" i="13" s="1"/>
  <c r="B716" i="13"/>
  <c r="G715" i="13"/>
  <c r="H715" i="13" s="1"/>
  <c r="J715" i="13" s="1"/>
  <c r="C715" i="13"/>
  <c r="F715" i="13" s="1"/>
  <c r="B715" i="13"/>
  <c r="G714" i="13"/>
  <c r="H714" i="13" s="1"/>
  <c r="J714" i="13" s="1"/>
  <c r="C714" i="13"/>
  <c r="F714" i="13" s="1"/>
  <c r="B714" i="13"/>
  <c r="G713" i="13"/>
  <c r="H713" i="13" s="1"/>
  <c r="J713" i="13" s="1"/>
  <c r="C713" i="13"/>
  <c r="F713" i="13" s="1"/>
  <c r="B713" i="13"/>
  <c r="G712" i="13"/>
  <c r="H712" i="13" s="1"/>
  <c r="J712" i="13" s="1"/>
  <c r="C712" i="13"/>
  <c r="F712" i="13" s="1"/>
  <c r="B712" i="13"/>
  <c r="G711" i="13"/>
  <c r="H711" i="13" s="1"/>
  <c r="J711" i="13" s="1"/>
  <c r="C711" i="13"/>
  <c r="F711" i="13" s="1"/>
  <c r="B711" i="13"/>
  <c r="G710" i="13"/>
  <c r="H710" i="13" s="1"/>
  <c r="J710" i="13" s="1"/>
  <c r="C710" i="13"/>
  <c r="F710" i="13" s="1"/>
  <c r="B710" i="13"/>
  <c r="G709" i="13"/>
  <c r="H709" i="13" s="1"/>
  <c r="J709" i="13" s="1"/>
  <c r="C709" i="13"/>
  <c r="F709" i="13" s="1"/>
  <c r="B709" i="13"/>
  <c r="G708" i="13"/>
  <c r="H708" i="13" s="1"/>
  <c r="J708" i="13" s="1"/>
  <c r="C708" i="13"/>
  <c r="F708" i="13" s="1"/>
  <c r="B708" i="13"/>
  <c r="G707" i="13"/>
  <c r="H707" i="13" s="1"/>
  <c r="J707" i="13" s="1"/>
  <c r="C707" i="13"/>
  <c r="F707" i="13" s="1"/>
  <c r="B707" i="13"/>
  <c r="G706" i="13"/>
  <c r="H706" i="13" s="1"/>
  <c r="J706" i="13" s="1"/>
  <c r="C706" i="13"/>
  <c r="F706" i="13" s="1"/>
  <c r="B706" i="13"/>
  <c r="G705" i="13"/>
  <c r="H705" i="13" s="1"/>
  <c r="J705" i="13" s="1"/>
  <c r="C705" i="13"/>
  <c r="F705" i="13" s="1"/>
  <c r="B705" i="13"/>
  <c r="G704" i="13"/>
  <c r="H704" i="13" s="1"/>
  <c r="J704" i="13" s="1"/>
  <c r="C704" i="13"/>
  <c r="F704" i="13" s="1"/>
  <c r="B704" i="13"/>
  <c r="G703" i="13"/>
  <c r="H703" i="13" s="1"/>
  <c r="J703" i="13" s="1"/>
  <c r="C703" i="13"/>
  <c r="F703" i="13" s="1"/>
  <c r="B703" i="13"/>
  <c r="G702" i="13"/>
  <c r="H702" i="13" s="1"/>
  <c r="J702" i="13" s="1"/>
  <c r="C702" i="13"/>
  <c r="F702" i="13" s="1"/>
  <c r="B702" i="13"/>
  <c r="G701" i="13"/>
  <c r="H701" i="13" s="1"/>
  <c r="J701" i="13" s="1"/>
  <c r="C701" i="13"/>
  <c r="F701" i="13" s="1"/>
  <c r="B701" i="13"/>
  <c r="G700" i="13"/>
  <c r="H700" i="13" s="1"/>
  <c r="J700" i="13" s="1"/>
  <c r="C700" i="13"/>
  <c r="F700" i="13" s="1"/>
  <c r="B700" i="13"/>
  <c r="G699" i="13"/>
  <c r="H699" i="13" s="1"/>
  <c r="J699" i="13" s="1"/>
  <c r="C699" i="13"/>
  <c r="F699" i="13" s="1"/>
  <c r="B699" i="13"/>
  <c r="G698" i="13"/>
  <c r="H698" i="13" s="1"/>
  <c r="J698" i="13" s="1"/>
  <c r="C698" i="13"/>
  <c r="F698" i="13" s="1"/>
  <c r="B698" i="13"/>
  <c r="G697" i="13"/>
  <c r="H697" i="13" s="1"/>
  <c r="J697" i="13" s="1"/>
  <c r="C697" i="13"/>
  <c r="F697" i="13" s="1"/>
  <c r="B697" i="13"/>
  <c r="G696" i="13"/>
  <c r="H696" i="13" s="1"/>
  <c r="J696" i="13" s="1"/>
  <c r="C696" i="13"/>
  <c r="F696" i="13" s="1"/>
  <c r="B696" i="13"/>
  <c r="G695" i="13"/>
  <c r="H695" i="13" s="1"/>
  <c r="J695" i="13" s="1"/>
  <c r="C695" i="13"/>
  <c r="F695" i="13" s="1"/>
  <c r="B695" i="13"/>
  <c r="G694" i="13"/>
  <c r="H694" i="13" s="1"/>
  <c r="J694" i="13" s="1"/>
  <c r="C694" i="13"/>
  <c r="F694" i="13" s="1"/>
  <c r="B694" i="13"/>
  <c r="G693" i="13"/>
  <c r="H693" i="13" s="1"/>
  <c r="J693" i="13" s="1"/>
  <c r="C693" i="13"/>
  <c r="F693" i="13" s="1"/>
  <c r="B693" i="13"/>
  <c r="G692" i="13"/>
  <c r="H692" i="13" s="1"/>
  <c r="J692" i="13" s="1"/>
  <c r="C692" i="13"/>
  <c r="F692" i="13" s="1"/>
  <c r="B692" i="13"/>
  <c r="G691" i="13"/>
  <c r="H691" i="13" s="1"/>
  <c r="J691" i="13" s="1"/>
  <c r="C691" i="13"/>
  <c r="F691" i="13" s="1"/>
  <c r="B691" i="13"/>
  <c r="G690" i="13"/>
  <c r="H690" i="13" s="1"/>
  <c r="J690" i="13" s="1"/>
  <c r="C690" i="13"/>
  <c r="F690" i="13" s="1"/>
  <c r="B690" i="13"/>
  <c r="G689" i="13"/>
  <c r="H689" i="13" s="1"/>
  <c r="J689" i="13" s="1"/>
  <c r="C689" i="13"/>
  <c r="F689" i="13" s="1"/>
  <c r="B689" i="13"/>
  <c r="G688" i="13"/>
  <c r="H688" i="13" s="1"/>
  <c r="J688" i="13" s="1"/>
  <c r="C688" i="13"/>
  <c r="F688" i="13" s="1"/>
  <c r="B688" i="13"/>
  <c r="G687" i="13"/>
  <c r="H687" i="13" s="1"/>
  <c r="J687" i="13" s="1"/>
  <c r="C687" i="13"/>
  <c r="F687" i="13" s="1"/>
  <c r="B687" i="13"/>
  <c r="G686" i="13"/>
  <c r="H686" i="13" s="1"/>
  <c r="J686" i="13" s="1"/>
  <c r="C686" i="13"/>
  <c r="F686" i="13" s="1"/>
  <c r="B686" i="13"/>
  <c r="G685" i="13"/>
  <c r="H685" i="13" s="1"/>
  <c r="J685" i="13" s="1"/>
  <c r="C685" i="13"/>
  <c r="F685" i="13" s="1"/>
  <c r="B685" i="13"/>
  <c r="G684" i="13"/>
  <c r="H684" i="13" s="1"/>
  <c r="J684" i="13" s="1"/>
  <c r="C684" i="13"/>
  <c r="F684" i="13" s="1"/>
  <c r="B684" i="13"/>
  <c r="G683" i="13"/>
  <c r="H683" i="13" s="1"/>
  <c r="J683" i="13" s="1"/>
  <c r="C683" i="13"/>
  <c r="F683" i="13" s="1"/>
  <c r="B683" i="13"/>
  <c r="G682" i="13"/>
  <c r="H682" i="13" s="1"/>
  <c r="J682" i="13" s="1"/>
  <c r="C682" i="13"/>
  <c r="F682" i="13" s="1"/>
  <c r="B682" i="13"/>
  <c r="G681" i="13"/>
  <c r="H681" i="13" s="1"/>
  <c r="J681" i="13" s="1"/>
  <c r="C681" i="13"/>
  <c r="F681" i="13" s="1"/>
  <c r="B681" i="13"/>
  <c r="G680" i="13"/>
  <c r="H680" i="13" s="1"/>
  <c r="J680" i="13" s="1"/>
  <c r="C680" i="13"/>
  <c r="F680" i="13" s="1"/>
  <c r="B680" i="13"/>
  <c r="G679" i="13"/>
  <c r="H679" i="13" s="1"/>
  <c r="J679" i="13" s="1"/>
  <c r="C679" i="13"/>
  <c r="F679" i="13" s="1"/>
  <c r="B679" i="13"/>
  <c r="G678" i="13"/>
  <c r="H678" i="13" s="1"/>
  <c r="J678" i="13" s="1"/>
  <c r="C678" i="13"/>
  <c r="F678" i="13" s="1"/>
  <c r="B678" i="13"/>
  <c r="G677" i="13"/>
  <c r="H677" i="13" s="1"/>
  <c r="J677" i="13" s="1"/>
  <c r="C677" i="13"/>
  <c r="F677" i="13" s="1"/>
  <c r="B677" i="13"/>
  <c r="G676" i="13"/>
  <c r="H676" i="13" s="1"/>
  <c r="J676" i="13" s="1"/>
  <c r="C676" i="13"/>
  <c r="F676" i="13" s="1"/>
  <c r="B676" i="13"/>
  <c r="G675" i="13"/>
  <c r="H675" i="13" s="1"/>
  <c r="J675" i="13" s="1"/>
  <c r="C675" i="13"/>
  <c r="F675" i="13" s="1"/>
  <c r="B675" i="13"/>
  <c r="G674" i="13"/>
  <c r="H674" i="13" s="1"/>
  <c r="J674" i="13" s="1"/>
  <c r="C674" i="13"/>
  <c r="F674" i="13" s="1"/>
  <c r="B674" i="13"/>
  <c r="G673" i="13"/>
  <c r="H673" i="13" s="1"/>
  <c r="J673" i="13" s="1"/>
  <c r="C673" i="13"/>
  <c r="F673" i="13" s="1"/>
  <c r="B673" i="13"/>
  <c r="G672" i="13"/>
  <c r="H672" i="13" s="1"/>
  <c r="J672" i="13" s="1"/>
  <c r="C672" i="13"/>
  <c r="F672" i="13" s="1"/>
  <c r="B672" i="13"/>
  <c r="G671" i="13"/>
  <c r="H671" i="13" s="1"/>
  <c r="J671" i="13" s="1"/>
  <c r="C671" i="13"/>
  <c r="F671" i="13" s="1"/>
  <c r="B671" i="13"/>
  <c r="G670" i="13"/>
  <c r="H670" i="13" s="1"/>
  <c r="J670" i="13" s="1"/>
  <c r="C670" i="13"/>
  <c r="F670" i="13" s="1"/>
  <c r="B670" i="13"/>
  <c r="G669" i="13"/>
  <c r="H669" i="13" s="1"/>
  <c r="J669" i="13" s="1"/>
  <c r="C669" i="13"/>
  <c r="F669" i="13" s="1"/>
  <c r="B669" i="13"/>
  <c r="G668" i="13"/>
  <c r="H668" i="13" s="1"/>
  <c r="J668" i="13" s="1"/>
  <c r="C668" i="13"/>
  <c r="F668" i="13" s="1"/>
  <c r="B668" i="13"/>
  <c r="G667" i="13"/>
  <c r="H667" i="13" s="1"/>
  <c r="J667" i="13" s="1"/>
  <c r="C667" i="13"/>
  <c r="F667" i="13" s="1"/>
  <c r="B667" i="13"/>
  <c r="G666" i="13"/>
  <c r="H666" i="13" s="1"/>
  <c r="J666" i="13" s="1"/>
  <c r="C666" i="13"/>
  <c r="F666" i="13" s="1"/>
  <c r="B666" i="13"/>
  <c r="G665" i="13"/>
  <c r="H665" i="13" s="1"/>
  <c r="J665" i="13" s="1"/>
  <c r="C665" i="13"/>
  <c r="F665" i="13" s="1"/>
  <c r="B665" i="13"/>
  <c r="G664" i="13"/>
  <c r="H664" i="13" s="1"/>
  <c r="J664" i="13" s="1"/>
  <c r="C664" i="13"/>
  <c r="F664" i="13" s="1"/>
  <c r="B664" i="13"/>
  <c r="G663" i="13"/>
  <c r="H663" i="13" s="1"/>
  <c r="J663" i="13" s="1"/>
  <c r="C663" i="13"/>
  <c r="F663" i="13" s="1"/>
  <c r="B663" i="13"/>
  <c r="G662" i="13"/>
  <c r="H662" i="13" s="1"/>
  <c r="J662" i="13" s="1"/>
  <c r="C662" i="13"/>
  <c r="F662" i="13" s="1"/>
  <c r="B662" i="13"/>
  <c r="G661" i="13"/>
  <c r="H661" i="13" s="1"/>
  <c r="J661" i="13" s="1"/>
  <c r="C661" i="13"/>
  <c r="F661" i="13" s="1"/>
  <c r="B661" i="13"/>
  <c r="G660" i="13"/>
  <c r="H660" i="13" s="1"/>
  <c r="J660" i="13" s="1"/>
  <c r="C660" i="13"/>
  <c r="F660" i="13" s="1"/>
  <c r="B660" i="13"/>
  <c r="G659" i="13"/>
  <c r="H659" i="13" s="1"/>
  <c r="J659" i="13" s="1"/>
  <c r="C659" i="13"/>
  <c r="F659" i="13" s="1"/>
  <c r="B659" i="13"/>
  <c r="G658" i="13"/>
  <c r="H658" i="13" s="1"/>
  <c r="J658" i="13" s="1"/>
  <c r="C658" i="13"/>
  <c r="F658" i="13" s="1"/>
  <c r="B658" i="13"/>
  <c r="G657" i="13"/>
  <c r="H657" i="13" s="1"/>
  <c r="J657" i="13" s="1"/>
  <c r="C657" i="13"/>
  <c r="F657" i="13" s="1"/>
  <c r="B657" i="13"/>
  <c r="G656" i="13"/>
  <c r="H656" i="13" s="1"/>
  <c r="J656" i="13" s="1"/>
  <c r="C656" i="13"/>
  <c r="F656" i="13" s="1"/>
  <c r="B656" i="13"/>
  <c r="G655" i="13"/>
  <c r="H655" i="13" s="1"/>
  <c r="J655" i="13" s="1"/>
  <c r="C655" i="13"/>
  <c r="F655" i="13" s="1"/>
  <c r="B655" i="13"/>
  <c r="G654" i="13"/>
  <c r="H654" i="13" s="1"/>
  <c r="J654" i="13" s="1"/>
  <c r="C654" i="13"/>
  <c r="F654" i="13" s="1"/>
  <c r="B654" i="13"/>
  <c r="G653" i="13"/>
  <c r="H653" i="13" s="1"/>
  <c r="J653" i="13" s="1"/>
  <c r="C653" i="13"/>
  <c r="F653" i="13" s="1"/>
  <c r="B653" i="13"/>
  <c r="G652" i="13"/>
  <c r="H652" i="13" s="1"/>
  <c r="J652" i="13" s="1"/>
  <c r="C652" i="13"/>
  <c r="F652" i="13" s="1"/>
  <c r="B652" i="13"/>
  <c r="G651" i="13"/>
  <c r="H651" i="13" s="1"/>
  <c r="J651" i="13" s="1"/>
  <c r="C651" i="13"/>
  <c r="F651" i="13" s="1"/>
  <c r="B651" i="13"/>
  <c r="G650" i="13"/>
  <c r="H650" i="13" s="1"/>
  <c r="J650" i="13" s="1"/>
  <c r="C650" i="13"/>
  <c r="F650" i="13" s="1"/>
  <c r="B650" i="13"/>
  <c r="G649" i="13"/>
  <c r="H649" i="13" s="1"/>
  <c r="J649" i="13" s="1"/>
  <c r="C649" i="13"/>
  <c r="F649" i="13" s="1"/>
  <c r="B649" i="13"/>
  <c r="G648" i="13"/>
  <c r="H648" i="13" s="1"/>
  <c r="J648" i="13" s="1"/>
  <c r="C648" i="13"/>
  <c r="F648" i="13" s="1"/>
  <c r="B648" i="13"/>
  <c r="G647" i="13"/>
  <c r="H647" i="13" s="1"/>
  <c r="J647" i="13" s="1"/>
  <c r="C647" i="13"/>
  <c r="F647" i="13" s="1"/>
  <c r="B647" i="13"/>
  <c r="G646" i="13"/>
  <c r="H646" i="13" s="1"/>
  <c r="J646" i="13" s="1"/>
  <c r="C646" i="13"/>
  <c r="F646" i="13" s="1"/>
  <c r="B646" i="13"/>
  <c r="G645" i="13"/>
  <c r="H645" i="13" s="1"/>
  <c r="J645" i="13" s="1"/>
  <c r="C645" i="13"/>
  <c r="F645" i="13" s="1"/>
  <c r="B645" i="13"/>
  <c r="G644" i="13"/>
  <c r="H644" i="13" s="1"/>
  <c r="J644" i="13" s="1"/>
  <c r="C644" i="13"/>
  <c r="F644" i="13" s="1"/>
  <c r="B644" i="13"/>
  <c r="G643" i="13"/>
  <c r="H643" i="13" s="1"/>
  <c r="J643" i="13" s="1"/>
  <c r="C643" i="13"/>
  <c r="F643" i="13" s="1"/>
  <c r="B643" i="13"/>
  <c r="G642" i="13"/>
  <c r="H642" i="13" s="1"/>
  <c r="J642" i="13" s="1"/>
  <c r="C642" i="13"/>
  <c r="F642" i="13" s="1"/>
  <c r="B642" i="13"/>
  <c r="G641" i="13"/>
  <c r="H641" i="13" s="1"/>
  <c r="J641" i="13" s="1"/>
  <c r="C641" i="13"/>
  <c r="F641" i="13" s="1"/>
  <c r="B641" i="13"/>
  <c r="G640" i="13"/>
  <c r="H640" i="13" s="1"/>
  <c r="J640" i="13" s="1"/>
  <c r="C640" i="13"/>
  <c r="F640" i="13" s="1"/>
  <c r="B640" i="13"/>
  <c r="G639" i="13"/>
  <c r="H639" i="13" s="1"/>
  <c r="J639" i="13" s="1"/>
  <c r="C639" i="13"/>
  <c r="F639" i="13" s="1"/>
  <c r="B639" i="13"/>
  <c r="G638" i="13"/>
  <c r="H638" i="13" s="1"/>
  <c r="J638" i="13" s="1"/>
  <c r="C638" i="13"/>
  <c r="F638" i="13" s="1"/>
  <c r="B638" i="13"/>
  <c r="G637" i="13"/>
  <c r="H637" i="13" s="1"/>
  <c r="J637" i="13" s="1"/>
  <c r="C637" i="13"/>
  <c r="F637" i="13" s="1"/>
  <c r="B637" i="13"/>
  <c r="G636" i="13"/>
  <c r="H636" i="13" s="1"/>
  <c r="J636" i="13" s="1"/>
  <c r="C636" i="13"/>
  <c r="F636" i="13" s="1"/>
  <c r="B636" i="13"/>
  <c r="G635" i="13"/>
  <c r="H635" i="13" s="1"/>
  <c r="J635" i="13" s="1"/>
  <c r="C635" i="13"/>
  <c r="F635" i="13" s="1"/>
  <c r="B635" i="13"/>
  <c r="G634" i="13"/>
  <c r="H634" i="13" s="1"/>
  <c r="J634" i="13" s="1"/>
  <c r="C634" i="13"/>
  <c r="F634" i="13" s="1"/>
  <c r="B634" i="13"/>
  <c r="G633" i="13"/>
  <c r="H633" i="13" s="1"/>
  <c r="J633" i="13" s="1"/>
  <c r="C633" i="13"/>
  <c r="F633" i="13" s="1"/>
  <c r="B633" i="13"/>
  <c r="G632" i="13"/>
  <c r="H632" i="13" s="1"/>
  <c r="J632" i="13" s="1"/>
  <c r="C632" i="13"/>
  <c r="F632" i="13" s="1"/>
  <c r="B632" i="13"/>
  <c r="G631" i="13"/>
  <c r="H631" i="13" s="1"/>
  <c r="J631" i="13" s="1"/>
  <c r="C631" i="13"/>
  <c r="F631" i="13" s="1"/>
  <c r="B631" i="13"/>
  <c r="G630" i="13"/>
  <c r="H630" i="13" s="1"/>
  <c r="J630" i="13" s="1"/>
  <c r="C630" i="13"/>
  <c r="F630" i="13" s="1"/>
  <c r="B630" i="13"/>
  <c r="G629" i="13"/>
  <c r="H629" i="13" s="1"/>
  <c r="J629" i="13" s="1"/>
  <c r="C629" i="13"/>
  <c r="F629" i="13" s="1"/>
  <c r="B629" i="13"/>
  <c r="G628" i="13"/>
  <c r="H628" i="13" s="1"/>
  <c r="J628" i="13" s="1"/>
  <c r="C628" i="13"/>
  <c r="F628" i="13" s="1"/>
  <c r="B628" i="13"/>
  <c r="G627" i="13"/>
  <c r="H627" i="13" s="1"/>
  <c r="J627" i="13" s="1"/>
  <c r="C627" i="13"/>
  <c r="F627" i="13" s="1"/>
  <c r="B627" i="13"/>
  <c r="G626" i="13"/>
  <c r="H626" i="13" s="1"/>
  <c r="J626" i="13" s="1"/>
  <c r="C626" i="13"/>
  <c r="F626" i="13" s="1"/>
  <c r="B626" i="13"/>
  <c r="G625" i="13"/>
  <c r="H625" i="13" s="1"/>
  <c r="J625" i="13" s="1"/>
  <c r="C625" i="13"/>
  <c r="F625" i="13" s="1"/>
  <c r="B625" i="13"/>
  <c r="G624" i="13"/>
  <c r="H624" i="13" s="1"/>
  <c r="J624" i="13" s="1"/>
  <c r="C624" i="13"/>
  <c r="F624" i="13" s="1"/>
  <c r="B624" i="13"/>
  <c r="G623" i="13"/>
  <c r="H623" i="13" s="1"/>
  <c r="J623" i="13" s="1"/>
  <c r="C623" i="13"/>
  <c r="F623" i="13" s="1"/>
  <c r="B623" i="13"/>
  <c r="G622" i="13"/>
  <c r="H622" i="13" s="1"/>
  <c r="J622" i="13" s="1"/>
  <c r="C622" i="13"/>
  <c r="F622" i="13" s="1"/>
  <c r="B622" i="13"/>
  <c r="G621" i="13"/>
  <c r="H621" i="13" s="1"/>
  <c r="J621" i="13" s="1"/>
  <c r="C621" i="13"/>
  <c r="F621" i="13" s="1"/>
  <c r="B621" i="13"/>
  <c r="G620" i="13"/>
  <c r="H620" i="13" s="1"/>
  <c r="J620" i="13" s="1"/>
  <c r="C620" i="13"/>
  <c r="F620" i="13" s="1"/>
  <c r="B620" i="13"/>
  <c r="G619" i="13"/>
  <c r="H619" i="13" s="1"/>
  <c r="J619" i="13" s="1"/>
  <c r="C619" i="13"/>
  <c r="F619" i="13" s="1"/>
  <c r="B619" i="13"/>
  <c r="G618" i="13"/>
  <c r="H618" i="13" s="1"/>
  <c r="J618" i="13" s="1"/>
  <c r="C618" i="13"/>
  <c r="F618" i="13" s="1"/>
  <c r="B618" i="13"/>
  <c r="G617" i="13"/>
  <c r="H617" i="13" s="1"/>
  <c r="J617" i="13" s="1"/>
  <c r="C617" i="13"/>
  <c r="F617" i="13" s="1"/>
  <c r="B617" i="13"/>
  <c r="G616" i="13"/>
  <c r="H616" i="13" s="1"/>
  <c r="J616" i="13" s="1"/>
  <c r="C616" i="13"/>
  <c r="F616" i="13" s="1"/>
  <c r="B616" i="13"/>
  <c r="G615" i="13"/>
  <c r="H615" i="13" s="1"/>
  <c r="J615" i="13" s="1"/>
  <c r="C615" i="13"/>
  <c r="F615" i="13" s="1"/>
  <c r="B615" i="13"/>
  <c r="G614" i="13"/>
  <c r="H614" i="13" s="1"/>
  <c r="J614" i="13" s="1"/>
  <c r="C614" i="13"/>
  <c r="F614" i="13" s="1"/>
  <c r="B614" i="13"/>
  <c r="G613" i="13"/>
  <c r="H613" i="13" s="1"/>
  <c r="J613" i="13" s="1"/>
  <c r="C613" i="13"/>
  <c r="F613" i="13" s="1"/>
  <c r="B613" i="13"/>
  <c r="G612" i="13"/>
  <c r="H612" i="13" s="1"/>
  <c r="J612" i="13" s="1"/>
  <c r="C612" i="13"/>
  <c r="F612" i="13" s="1"/>
  <c r="B612" i="13"/>
  <c r="G611" i="13"/>
  <c r="H611" i="13" s="1"/>
  <c r="J611" i="13" s="1"/>
  <c r="C611" i="13"/>
  <c r="F611" i="13" s="1"/>
  <c r="B611" i="13"/>
  <c r="G610" i="13"/>
  <c r="H610" i="13" s="1"/>
  <c r="J610" i="13" s="1"/>
  <c r="C610" i="13"/>
  <c r="F610" i="13" s="1"/>
  <c r="B610" i="13"/>
  <c r="G609" i="13"/>
  <c r="H609" i="13" s="1"/>
  <c r="J609" i="13" s="1"/>
  <c r="C609" i="13"/>
  <c r="F609" i="13" s="1"/>
  <c r="B609" i="13"/>
  <c r="G608" i="13"/>
  <c r="H608" i="13" s="1"/>
  <c r="J608" i="13" s="1"/>
  <c r="C608" i="13"/>
  <c r="F608" i="13" s="1"/>
  <c r="B608" i="13"/>
  <c r="G607" i="13"/>
  <c r="H607" i="13" s="1"/>
  <c r="J607" i="13" s="1"/>
  <c r="C607" i="13"/>
  <c r="F607" i="13" s="1"/>
  <c r="B607" i="13"/>
  <c r="G606" i="13"/>
  <c r="H606" i="13" s="1"/>
  <c r="J606" i="13" s="1"/>
  <c r="C606" i="13"/>
  <c r="F606" i="13" s="1"/>
  <c r="B606" i="13"/>
  <c r="G605" i="13"/>
  <c r="H605" i="13" s="1"/>
  <c r="J605" i="13" s="1"/>
  <c r="C605" i="13"/>
  <c r="F605" i="13" s="1"/>
  <c r="B605" i="13"/>
  <c r="G604" i="13"/>
  <c r="H604" i="13" s="1"/>
  <c r="J604" i="13" s="1"/>
  <c r="C604" i="13"/>
  <c r="F604" i="13" s="1"/>
  <c r="B604" i="13"/>
  <c r="G603" i="13"/>
  <c r="H603" i="13" s="1"/>
  <c r="J603" i="13" s="1"/>
  <c r="C603" i="13"/>
  <c r="F603" i="13" s="1"/>
  <c r="B603" i="13"/>
  <c r="G602" i="13"/>
  <c r="H602" i="13" s="1"/>
  <c r="J602" i="13" s="1"/>
  <c r="C602" i="13"/>
  <c r="F602" i="13" s="1"/>
  <c r="B602" i="13"/>
  <c r="G601" i="13"/>
  <c r="H601" i="13" s="1"/>
  <c r="J601" i="13" s="1"/>
  <c r="C601" i="13"/>
  <c r="F601" i="13" s="1"/>
  <c r="B601" i="13"/>
  <c r="G600" i="13"/>
  <c r="H600" i="13" s="1"/>
  <c r="J600" i="13" s="1"/>
  <c r="C600" i="13"/>
  <c r="F600" i="13" s="1"/>
  <c r="B600" i="13"/>
  <c r="G599" i="13"/>
  <c r="H599" i="13" s="1"/>
  <c r="J599" i="13" s="1"/>
  <c r="C599" i="13"/>
  <c r="F599" i="13" s="1"/>
  <c r="B599" i="13"/>
  <c r="G598" i="13"/>
  <c r="H598" i="13" s="1"/>
  <c r="J598" i="13" s="1"/>
  <c r="C598" i="13"/>
  <c r="F598" i="13" s="1"/>
  <c r="B598" i="13"/>
  <c r="G597" i="13"/>
  <c r="H597" i="13" s="1"/>
  <c r="C597" i="13"/>
  <c r="F597" i="13" s="1"/>
  <c r="B597" i="13"/>
  <c r="G596" i="13"/>
  <c r="H596" i="13" s="1"/>
  <c r="J596" i="13" s="1"/>
  <c r="C596" i="13"/>
  <c r="F596" i="13" s="1"/>
  <c r="B596" i="13"/>
  <c r="G595" i="13"/>
  <c r="H595" i="13" s="1"/>
  <c r="J595" i="13" s="1"/>
  <c r="C595" i="13"/>
  <c r="F595" i="13" s="1"/>
  <c r="B595" i="13"/>
  <c r="G594" i="13"/>
  <c r="H594" i="13" s="1"/>
  <c r="J594" i="13" s="1"/>
  <c r="C594" i="13"/>
  <c r="F594" i="13" s="1"/>
  <c r="B594" i="13"/>
  <c r="G593" i="13"/>
  <c r="H593" i="13" s="1"/>
  <c r="J593" i="13" s="1"/>
  <c r="C593" i="13"/>
  <c r="F593" i="13" s="1"/>
  <c r="B593" i="13"/>
  <c r="G592" i="13"/>
  <c r="H592" i="13" s="1"/>
  <c r="J592" i="13" s="1"/>
  <c r="C592" i="13"/>
  <c r="F592" i="13" s="1"/>
  <c r="B592" i="13"/>
  <c r="G591" i="13"/>
  <c r="H591" i="13" s="1"/>
  <c r="J591" i="13" s="1"/>
  <c r="C591" i="13"/>
  <c r="F591" i="13" s="1"/>
  <c r="B591" i="13"/>
  <c r="G590" i="13"/>
  <c r="H590" i="13" s="1"/>
  <c r="J590" i="13" s="1"/>
  <c r="C590" i="13"/>
  <c r="F590" i="13" s="1"/>
  <c r="B590" i="13"/>
  <c r="G589" i="13"/>
  <c r="H589" i="13" s="1"/>
  <c r="J589" i="13" s="1"/>
  <c r="C589" i="13"/>
  <c r="F589" i="13" s="1"/>
  <c r="B589" i="13"/>
  <c r="G588" i="13"/>
  <c r="H588" i="13" s="1"/>
  <c r="J588" i="13" s="1"/>
  <c r="C588" i="13"/>
  <c r="F588" i="13" s="1"/>
  <c r="B588" i="13"/>
  <c r="G587" i="13"/>
  <c r="H587" i="13" s="1"/>
  <c r="J587" i="13" s="1"/>
  <c r="C587" i="13"/>
  <c r="F587" i="13" s="1"/>
  <c r="B587" i="13"/>
  <c r="G586" i="13"/>
  <c r="H586" i="13" s="1"/>
  <c r="J586" i="13" s="1"/>
  <c r="C586" i="13"/>
  <c r="F586" i="13" s="1"/>
  <c r="B586" i="13"/>
  <c r="G585" i="13"/>
  <c r="H585" i="13" s="1"/>
  <c r="C585" i="13"/>
  <c r="F585" i="13" s="1"/>
  <c r="B585" i="13"/>
  <c r="G584" i="13"/>
  <c r="H584" i="13" s="1"/>
  <c r="J584" i="13" s="1"/>
  <c r="C584" i="13"/>
  <c r="F584" i="13" s="1"/>
  <c r="B584" i="13"/>
  <c r="G583" i="13"/>
  <c r="H583" i="13" s="1"/>
  <c r="J583" i="13" s="1"/>
  <c r="C583" i="13"/>
  <c r="F583" i="13" s="1"/>
  <c r="B583" i="13"/>
  <c r="G582" i="13"/>
  <c r="H582" i="13" s="1"/>
  <c r="J582" i="13" s="1"/>
  <c r="C582" i="13"/>
  <c r="F582" i="13" s="1"/>
  <c r="B582" i="13"/>
  <c r="G581" i="13"/>
  <c r="H581" i="13" s="1"/>
  <c r="J581" i="13" s="1"/>
  <c r="C581" i="13"/>
  <c r="F581" i="13" s="1"/>
  <c r="B581" i="13"/>
  <c r="G580" i="13"/>
  <c r="H580" i="13" s="1"/>
  <c r="J580" i="13" s="1"/>
  <c r="C580" i="13"/>
  <c r="F580" i="13" s="1"/>
  <c r="B580" i="13"/>
  <c r="G579" i="13"/>
  <c r="H579" i="13" s="1"/>
  <c r="J579" i="13" s="1"/>
  <c r="C579" i="13"/>
  <c r="F579" i="13" s="1"/>
  <c r="B579" i="13"/>
  <c r="G578" i="13"/>
  <c r="H578" i="13" s="1"/>
  <c r="C578" i="13"/>
  <c r="F578" i="13" s="1"/>
  <c r="B578" i="13"/>
  <c r="G577" i="13"/>
  <c r="H577" i="13" s="1"/>
  <c r="J577" i="13" s="1"/>
  <c r="C577" i="13"/>
  <c r="F577" i="13" s="1"/>
  <c r="B577" i="13"/>
  <c r="G576" i="13"/>
  <c r="H576" i="13" s="1"/>
  <c r="J576" i="13" s="1"/>
  <c r="C576" i="13"/>
  <c r="F576" i="13" s="1"/>
  <c r="B576" i="13"/>
  <c r="G575" i="13"/>
  <c r="H575" i="13" s="1"/>
  <c r="J575" i="13" s="1"/>
  <c r="C575" i="13"/>
  <c r="F575" i="13" s="1"/>
  <c r="B575" i="13"/>
  <c r="G574" i="13"/>
  <c r="H574" i="13" s="1"/>
  <c r="J574" i="13" s="1"/>
  <c r="C574" i="13"/>
  <c r="F574" i="13" s="1"/>
  <c r="B574" i="13"/>
  <c r="G573" i="13"/>
  <c r="H573" i="13" s="1"/>
  <c r="J573" i="13" s="1"/>
  <c r="C573" i="13"/>
  <c r="F573" i="13" s="1"/>
  <c r="B573" i="13"/>
  <c r="G572" i="13"/>
  <c r="H572" i="13" s="1"/>
  <c r="J572" i="13" s="1"/>
  <c r="C572" i="13"/>
  <c r="F572" i="13" s="1"/>
  <c r="B572" i="13"/>
  <c r="G571" i="13"/>
  <c r="H571" i="13" s="1"/>
  <c r="J571" i="13" s="1"/>
  <c r="C571" i="13"/>
  <c r="F571" i="13" s="1"/>
  <c r="B571" i="13"/>
  <c r="G570" i="13"/>
  <c r="H570" i="13" s="1"/>
  <c r="J570" i="13" s="1"/>
  <c r="C570" i="13"/>
  <c r="F570" i="13" s="1"/>
  <c r="B570" i="13"/>
  <c r="G569" i="13"/>
  <c r="H569" i="13" s="1"/>
  <c r="J569" i="13" s="1"/>
  <c r="C569" i="13"/>
  <c r="F569" i="13" s="1"/>
  <c r="B569" i="13"/>
  <c r="G568" i="13"/>
  <c r="H568" i="13" s="1"/>
  <c r="J568" i="13" s="1"/>
  <c r="C568" i="13"/>
  <c r="F568" i="13" s="1"/>
  <c r="B568" i="13"/>
  <c r="G567" i="13"/>
  <c r="H567" i="13" s="1"/>
  <c r="J567" i="13" s="1"/>
  <c r="C567" i="13"/>
  <c r="F567" i="13" s="1"/>
  <c r="B567" i="13"/>
  <c r="G566" i="13"/>
  <c r="H566" i="13" s="1"/>
  <c r="C566" i="13"/>
  <c r="F566" i="13" s="1"/>
  <c r="B566" i="13"/>
  <c r="G565" i="13"/>
  <c r="H565" i="13" s="1"/>
  <c r="J565" i="13" s="1"/>
  <c r="C565" i="13"/>
  <c r="F565" i="13" s="1"/>
  <c r="B565" i="13"/>
  <c r="G564" i="13"/>
  <c r="H564" i="13" s="1"/>
  <c r="J564" i="13" s="1"/>
  <c r="C564" i="13"/>
  <c r="F564" i="13" s="1"/>
  <c r="B564" i="13"/>
  <c r="G563" i="13"/>
  <c r="H563" i="13" s="1"/>
  <c r="J563" i="13" s="1"/>
  <c r="C563" i="13"/>
  <c r="F563" i="13" s="1"/>
  <c r="B563" i="13"/>
  <c r="G562" i="13"/>
  <c r="H562" i="13" s="1"/>
  <c r="J562" i="13" s="1"/>
  <c r="C562" i="13"/>
  <c r="F562" i="13" s="1"/>
  <c r="B562" i="13"/>
  <c r="G561" i="13"/>
  <c r="H561" i="13" s="1"/>
  <c r="C561" i="13"/>
  <c r="F561" i="13" s="1"/>
  <c r="B561" i="13"/>
  <c r="G560" i="13"/>
  <c r="H560" i="13" s="1"/>
  <c r="J560" i="13" s="1"/>
  <c r="C560" i="13"/>
  <c r="F560" i="13" s="1"/>
  <c r="B560" i="13"/>
  <c r="G559" i="13"/>
  <c r="H559" i="13" s="1"/>
  <c r="J559" i="13" s="1"/>
  <c r="C559" i="13"/>
  <c r="F559" i="13" s="1"/>
  <c r="B559" i="13"/>
  <c r="G558" i="13"/>
  <c r="H558" i="13" s="1"/>
  <c r="J558" i="13" s="1"/>
  <c r="C558" i="13"/>
  <c r="F558" i="13" s="1"/>
  <c r="B558" i="13"/>
  <c r="G557" i="13"/>
  <c r="H557" i="13" s="1"/>
  <c r="J557" i="13" s="1"/>
  <c r="C557" i="13"/>
  <c r="F557" i="13" s="1"/>
  <c r="B557" i="13"/>
  <c r="G556" i="13"/>
  <c r="H556" i="13" s="1"/>
  <c r="J556" i="13" s="1"/>
  <c r="C556" i="13"/>
  <c r="F556" i="13" s="1"/>
  <c r="B556" i="13"/>
  <c r="G555" i="13"/>
  <c r="H555" i="13" s="1"/>
  <c r="J555" i="13" s="1"/>
  <c r="C555" i="13"/>
  <c r="F555" i="13" s="1"/>
  <c r="B555" i="13"/>
  <c r="G554" i="13"/>
  <c r="H554" i="13" s="1"/>
  <c r="J554" i="13" s="1"/>
  <c r="C554" i="13"/>
  <c r="F554" i="13" s="1"/>
  <c r="B554" i="13"/>
  <c r="G553" i="13"/>
  <c r="H553" i="13" s="1"/>
  <c r="J553" i="13" s="1"/>
  <c r="C553" i="13"/>
  <c r="F553" i="13" s="1"/>
  <c r="B553" i="13"/>
  <c r="G552" i="13"/>
  <c r="H552" i="13" s="1"/>
  <c r="J552" i="13" s="1"/>
  <c r="C552" i="13"/>
  <c r="F552" i="13" s="1"/>
  <c r="B552" i="13"/>
  <c r="G551" i="13"/>
  <c r="H551" i="13" s="1"/>
  <c r="J551" i="13" s="1"/>
  <c r="C551" i="13"/>
  <c r="F551" i="13" s="1"/>
  <c r="B551" i="13"/>
  <c r="G550" i="13"/>
  <c r="H550" i="13" s="1"/>
  <c r="J550" i="13" s="1"/>
  <c r="C550" i="13"/>
  <c r="F550" i="13" s="1"/>
  <c r="B550" i="13"/>
  <c r="G549" i="13"/>
  <c r="H549" i="13" s="1"/>
  <c r="C549" i="13"/>
  <c r="F549" i="13" s="1"/>
  <c r="B549" i="13"/>
  <c r="G548" i="13"/>
  <c r="H548" i="13" s="1"/>
  <c r="J548" i="13" s="1"/>
  <c r="C548" i="13"/>
  <c r="F548" i="13" s="1"/>
  <c r="B548" i="13"/>
  <c r="G547" i="13"/>
  <c r="H547" i="13" s="1"/>
  <c r="J547" i="13" s="1"/>
  <c r="C547" i="13"/>
  <c r="F547" i="13" s="1"/>
  <c r="B547" i="13"/>
  <c r="G546" i="13"/>
  <c r="H546" i="13" s="1"/>
  <c r="J546" i="13" s="1"/>
  <c r="C546" i="13"/>
  <c r="F546" i="13" s="1"/>
  <c r="B546" i="13"/>
  <c r="G545" i="13"/>
  <c r="H545" i="13" s="1"/>
  <c r="J545" i="13" s="1"/>
  <c r="C545" i="13"/>
  <c r="F545" i="13" s="1"/>
  <c r="B545" i="13"/>
  <c r="G544" i="13"/>
  <c r="H544" i="13" s="1"/>
  <c r="J544" i="13" s="1"/>
  <c r="C544" i="13"/>
  <c r="F544" i="13" s="1"/>
  <c r="B544" i="13"/>
  <c r="G543" i="13"/>
  <c r="H543" i="13" s="1"/>
  <c r="J543" i="13" s="1"/>
  <c r="C543" i="13"/>
  <c r="F543" i="13" s="1"/>
  <c r="B543" i="13"/>
  <c r="G542" i="13"/>
  <c r="H542" i="13" s="1"/>
  <c r="J542" i="13" s="1"/>
  <c r="C542" i="13"/>
  <c r="F542" i="13" s="1"/>
  <c r="B542" i="13"/>
  <c r="G541" i="13"/>
  <c r="H541" i="13" s="1"/>
  <c r="J541" i="13" s="1"/>
  <c r="C541" i="13"/>
  <c r="F541" i="13" s="1"/>
  <c r="B541" i="13"/>
  <c r="G540" i="13"/>
  <c r="H540" i="13" s="1"/>
  <c r="J540" i="13" s="1"/>
  <c r="C540" i="13"/>
  <c r="F540" i="13" s="1"/>
  <c r="B540" i="13"/>
  <c r="G539" i="13"/>
  <c r="H539" i="13" s="1"/>
  <c r="J539" i="13" s="1"/>
  <c r="C539" i="13"/>
  <c r="F539" i="13" s="1"/>
  <c r="B539" i="13"/>
  <c r="G538" i="13"/>
  <c r="H538" i="13" s="1"/>
  <c r="J538" i="13" s="1"/>
  <c r="C538" i="13"/>
  <c r="F538" i="13" s="1"/>
  <c r="B538" i="13"/>
  <c r="G537" i="13"/>
  <c r="H537" i="13" s="1"/>
  <c r="C537" i="13"/>
  <c r="F537" i="13" s="1"/>
  <c r="B537" i="13"/>
  <c r="G536" i="13"/>
  <c r="H536" i="13" s="1"/>
  <c r="J536" i="13" s="1"/>
  <c r="C536" i="13"/>
  <c r="F536" i="13" s="1"/>
  <c r="B536" i="13"/>
  <c r="G535" i="13"/>
  <c r="H535" i="13" s="1"/>
  <c r="J535" i="13" s="1"/>
  <c r="C535" i="13"/>
  <c r="F535" i="13" s="1"/>
  <c r="B535" i="13"/>
  <c r="G534" i="13"/>
  <c r="H534" i="13" s="1"/>
  <c r="J534" i="13" s="1"/>
  <c r="C534" i="13"/>
  <c r="F534" i="13" s="1"/>
  <c r="B534" i="13"/>
  <c r="G533" i="13"/>
  <c r="H533" i="13" s="1"/>
  <c r="J533" i="13" s="1"/>
  <c r="C533" i="13"/>
  <c r="F533" i="13" s="1"/>
  <c r="B533" i="13"/>
  <c r="G532" i="13"/>
  <c r="H532" i="13" s="1"/>
  <c r="J532" i="13" s="1"/>
  <c r="C532" i="13"/>
  <c r="F532" i="13" s="1"/>
  <c r="B532" i="13"/>
  <c r="G531" i="13"/>
  <c r="H531" i="13" s="1"/>
  <c r="J531" i="13" s="1"/>
  <c r="C531" i="13"/>
  <c r="F531" i="13" s="1"/>
  <c r="B531" i="13"/>
  <c r="G530" i="13"/>
  <c r="H530" i="13" s="1"/>
  <c r="C530" i="13"/>
  <c r="F530" i="13" s="1"/>
  <c r="B530" i="13"/>
  <c r="G529" i="13"/>
  <c r="H529" i="13" s="1"/>
  <c r="J529" i="13" s="1"/>
  <c r="C529" i="13"/>
  <c r="F529" i="13" s="1"/>
  <c r="B529" i="13"/>
  <c r="G528" i="13"/>
  <c r="H528" i="13" s="1"/>
  <c r="J528" i="13" s="1"/>
  <c r="C528" i="13"/>
  <c r="F528" i="13" s="1"/>
  <c r="B528" i="13"/>
  <c r="G527" i="13"/>
  <c r="H527" i="13" s="1"/>
  <c r="J527" i="13" s="1"/>
  <c r="C527" i="13"/>
  <c r="F527" i="13" s="1"/>
  <c r="B527" i="13"/>
  <c r="G526" i="13"/>
  <c r="H526" i="13" s="1"/>
  <c r="J526" i="13" s="1"/>
  <c r="C526" i="13"/>
  <c r="F526" i="13" s="1"/>
  <c r="B526" i="13"/>
  <c r="G525" i="13"/>
  <c r="H525" i="13" s="1"/>
  <c r="J525" i="13" s="1"/>
  <c r="C525" i="13"/>
  <c r="F525" i="13" s="1"/>
  <c r="B525" i="13"/>
  <c r="G524" i="13"/>
  <c r="H524" i="13" s="1"/>
  <c r="J524" i="13" s="1"/>
  <c r="C524" i="13"/>
  <c r="F524" i="13" s="1"/>
  <c r="B524" i="13"/>
  <c r="G523" i="13"/>
  <c r="H523" i="13" s="1"/>
  <c r="J523" i="13" s="1"/>
  <c r="C523" i="13"/>
  <c r="F523" i="13" s="1"/>
  <c r="B523" i="13"/>
  <c r="G522" i="13"/>
  <c r="H522" i="13" s="1"/>
  <c r="J522" i="13" s="1"/>
  <c r="C522" i="13"/>
  <c r="F522" i="13" s="1"/>
  <c r="B522" i="13"/>
  <c r="G521" i="13"/>
  <c r="H521" i="13" s="1"/>
  <c r="J521" i="13" s="1"/>
  <c r="C521" i="13"/>
  <c r="F521" i="13" s="1"/>
  <c r="B521" i="13"/>
  <c r="G520" i="13"/>
  <c r="H520" i="13" s="1"/>
  <c r="J520" i="13" s="1"/>
  <c r="C520" i="13"/>
  <c r="F520" i="13" s="1"/>
  <c r="B520" i="13"/>
  <c r="G519" i="13"/>
  <c r="H519" i="13" s="1"/>
  <c r="J519" i="13" s="1"/>
  <c r="C519" i="13"/>
  <c r="F519" i="13" s="1"/>
  <c r="B519" i="13"/>
  <c r="G518" i="13"/>
  <c r="H518" i="13" s="1"/>
  <c r="C518" i="13"/>
  <c r="F518" i="13" s="1"/>
  <c r="B518" i="13"/>
  <c r="G517" i="13"/>
  <c r="H517" i="13" s="1"/>
  <c r="J517" i="13" s="1"/>
  <c r="C517" i="13"/>
  <c r="F517" i="13" s="1"/>
  <c r="B517" i="13"/>
  <c r="G516" i="13"/>
  <c r="H516" i="13" s="1"/>
  <c r="J516" i="13" s="1"/>
  <c r="C516" i="13"/>
  <c r="F516" i="13" s="1"/>
  <c r="B516" i="13"/>
  <c r="G515" i="13"/>
  <c r="H515" i="13" s="1"/>
  <c r="J515" i="13" s="1"/>
  <c r="C515" i="13"/>
  <c r="F515" i="13" s="1"/>
  <c r="B515" i="13"/>
  <c r="G514" i="13"/>
  <c r="H514" i="13" s="1"/>
  <c r="J514" i="13" s="1"/>
  <c r="C514" i="13"/>
  <c r="F514" i="13" s="1"/>
  <c r="B514" i="13"/>
  <c r="G513" i="13"/>
  <c r="H513" i="13" s="1"/>
  <c r="J513" i="13" s="1"/>
  <c r="C513" i="13"/>
  <c r="F513" i="13" s="1"/>
  <c r="B513" i="13"/>
  <c r="G512" i="13"/>
  <c r="H512" i="13" s="1"/>
  <c r="J512" i="13" s="1"/>
  <c r="C512" i="13"/>
  <c r="F512" i="13" s="1"/>
  <c r="B512" i="13"/>
  <c r="G511" i="13"/>
  <c r="H511" i="13" s="1"/>
  <c r="J511" i="13" s="1"/>
  <c r="C511" i="13"/>
  <c r="F511" i="13" s="1"/>
  <c r="B511" i="13"/>
  <c r="G510" i="13"/>
  <c r="H510" i="13" s="1"/>
  <c r="J510" i="13" s="1"/>
  <c r="C510" i="13"/>
  <c r="F510" i="13" s="1"/>
  <c r="B510" i="13"/>
  <c r="G509" i="13"/>
  <c r="H509" i="13" s="1"/>
  <c r="J509" i="13" s="1"/>
  <c r="C509" i="13"/>
  <c r="F509" i="13" s="1"/>
  <c r="B509" i="13"/>
  <c r="G508" i="13"/>
  <c r="H508" i="13" s="1"/>
  <c r="J508" i="13" s="1"/>
  <c r="C508" i="13"/>
  <c r="F508" i="13" s="1"/>
  <c r="B508" i="13"/>
  <c r="G507" i="13"/>
  <c r="H507" i="13" s="1"/>
  <c r="J507" i="13" s="1"/>
  <c r="C507" i="13"/>
  <c r="F507" i="13" s="1"/>
  <c r="B507" i="13"/>
  <c r="G506" i="13"/>
  <c r="H506" i="13" s="1"/>
  <c r="C506" i="13"/>
  <c r="F506" i="13" s="1"/>
  <c r="B506" i="13"/>
  <c r="G505" i="13"/>
  <c r="H505" i="13" s="1"/>
  <c r="J505" i="13" s="1"/>
  <c r="C505" i="13"/>
  <c r="F505" i="13" s="1"/>
  <c r="B505" i="13"/>
  <c r="G504" i="13"/>
  <c r="H504" i="13" s="1"/>
  <c r="J504" i="13" s="1"/>
  <c r="C504" i="13"/>
  <c r="F504" i="13" s="1"/>
  <c r="B504" i="13"/>
  <c r="G503" i="13"/>
  <c r="H503" i="13" s="1"/>
  <c r="J503" i="13" s="1"/>
  <c r="C503" i="13"/>
  <c r="F503" i="13" s="1"/>
  <c r="B503" i="13"/>
  <c r="G502" i="13"/>
  <c r="H502" i="13" s="1"/>
  <c r="J502" i="13" s="1"/>
  <c r="C502" i="13"/>
  <c r="F502" i="13" s="1"/>
  <c r="B502" i="13"/>
  <c r="G501" i="13"/>
  <c r="H501" i="13" s="1"/>
  <c r="J501" i="13" s="1"/>
  <c r="C501" i="13"/>
  <c r="F501" i="13" s="1"/>
  <c r="B501" i="13"/>
  <c r="G500" i="13"/>
  <c r="H500" i="13" s="1"/>
  <c r="C500" i="13"/>
  <c r="F500" i="13" s="1"/>
  <c r="B500" i="13"/>
  <c r="G499" i="13"/>
  <c r="H499" i="13" s="1"/>
  <c r="J499" i="13" s="1"/>
  <c r="C499" i="13"/>
  <c r="F499" i="13" s="1"/>
  <c r="B499" i="13"/>
  <c r="G498" i="13"/>
  <c r="H498" i="13" s="1"/>
  <c r="J498" i="13" s="1"/>
  <c r="C498" i="13"/>
  <c r="F498" i="13" s="1"/>
  <c r="B498" i="13"/>
  <c r="G497" i="13"/>
  <c r="H497" i="13" s="1"/>
  <c r="J497" i="13" s="1"/>
  <c r="C497" i="13"/>
  <c r="F497" i="13" s="1"/>
  <c r="B497" i="13"/>
  <c r="G496" i="13"/>
  <c r="H496" i="13" s="1"/>
  <c r="J496" i="13" s="1"/>
  <c r="C496" i="13"/>
  <c r="F496" i="13" s="1"/>
  <c r="B496" i="13"/>
  <c r="G495" i="13"/>
  <c r="H495" i="13" s="1"/>
  <c r="J495" i="13" s="1"/>
  <c r="C495" i="13"/>
  <c r="F495" i="13" s="1"/>
  <c r="B495" i="13"/>
  <c r="G494" i="13"/>
  <c r="H494" i="13" s="1"/>
  <c r="J494" i="13" s="1"/>
  <c r="C494" i="13"/>
  <c r="F494" i="13" s="1"/>
  <c r="B494" i="13"/>
  <c r="G493" i="13"/>
  <c r="H493" i="13" s="1"/>
  <c r="J493" i="13" s="1"/>
  <c r="C493" i="13"/>
  <c r="F493" i="13" s="1"/>
  <c r="B493" i="13"/>
  <c r="G492" i="13"/>
  <c r="H492" i="13" s="1"/>
  <c r="J492" i="13" s="1"/>
  <c r="C492" i="13"/>
  <c r="F492" i="13" s="1"/>
  <c r="B492" i="13"/>
  <c r="G491" i="13"/>
  <c r="H491" i="13" s="1"/>
  <c r="J491" i="13" s="1"/>
  <c r="C491" i="13"/>
  <c r="F491" i="13" s="1"/>
  <c r="B491" i="13"/>
  <c r="G490" i="13"/>
  <c r="H490" i="13" s="1"/>
  <c r="J490" i="13" s="1"/>
  <c r="C490" i="13"/>
  <c r="F490" i="13" s="1"/>
  <c r="B490" i="13"/>
  <c r="G489" i="13"/>
  <c r="H489" i="13" s="1"/>
  <c r="C489" i="13"/>
  <c r="F489" i="13" s="1"/>
  <c r="B489" i="13"/>
  <c r="G488" i="13"/>
  <c r="H488" i="13" s="1"/>
  <c r="J488" i="13" s="1"/>
  <c r="C488" i="13"/>
  <c r="F488" i="13" s="1"/>
  <c r="B488" i="13"/>
  <c r="G487" i="13"/>
  <c r="H487" i="13" s="1"/>
  <c r="J487" i="13" s="1"/>
  <c r="C487" i="13"/>
  <c r="F487" i="13" s="1"/>
  <c r="B487" i="13"/>
  <c r="G486" i="13"/>
  <c r="H486" i="13" s="1"/>
  <c r="J486" i="13" s="1"/>
  <c r="C486" i="13"/>
  <c r="F486" i="13" s="1"/>
  <c r="B486" i="13"/>
  <c r="G485" i="13"/>
  <c r="H485" i="13" s="1"/>
  <c r="J485" i="13" s="1"/>
  <c r="C485" i="13"/>
  <c r="F485" i="13" s="1"/>
  <c r="B485" i="13"/>
  <c r="G484" i="13"/>
  <c r="H484" i="13" s="1"/>
  <c r="J484" i="13" s="1"/>
  <c r="C484" i="13"/>
  <c r="F484" i="13" s="1"/>
  <c r="B484" i="13"/>
  <c r="G483" i="13"/>
  <c r="H483" i="13" s="1"/>
  <c r="J483" i="13" s="1"/>
  <c r="C483" i="13"/>
  <c r="F483" i="13" s="1"/>
  <c r="B483" i="13"/>
  <c r="G482" i="13"/>
  <c r="H482" i="13" s="1"/>
  <c r="J482" i="13" s="1"/>
  <c r="C482" i="13"/>
  <c r="F482" i="13" s="1"/>
  <c r="B482" i="13"/>
  <c r="G481" i="13"/>
  <c r="H481" i="13" s="1"/>
  <c r="J481" i="13" s="1"/>
  <c r="C481" i="13"/>
  <c r="F481" i="13" s="1"/>
  <c r="B481" i="13"/>
  <c r="G480" i="13"/>
  <c r="H480" i="13" s="1"/>
  <c r="J480" i="13" s="1"/>
  <c r="C480" i="13"/>
  <c r="F480" i="13" s="1"/>
  <c r="B480" i="13"/>
  <c r="G479" i="13"/>
  <c r="H479" i="13" s="1"/>
  <c r="J479" i="13" s="1"/>
  <c r="C479" i="13"/>
  <c r="F479" i="13" s="1"/>
  <c r="B479" i="13"/>
  <c r="G478" i="13"/>
  <c r="H478" i="13" s="1"/>
  <c r="J478" i="13" s="1"/>
  <c r="C478" i="13"/>
  <c r="F478" i="13" s="1"/>
  <c r="B478" i="13"/>
  <c r="G477" i="13"/>
  <c r="H477" i="13" s="1"/>
  <c r="J477" i="13" s="1"/>
  <c r="C477" i="13"/>
  <c r="F477" i="13" s="1"/>
  <c r="B477" i="13"/>
  <c r="G476" i="13"/>
  <c r="H476" i="13" s="1"/>
  <c r="J476" i="13" s="1"/>
  <c r="C476" i="13"/>
  <c r="F476" i="13" s="1"/>
  <c r="B476" i="13"/>
  <c r="G475" i="13"/>
  <c r="H475" i="13" s="1"/>
  <c r="J475" i="13" s="1"/>
  <c r="C475" i="13"/>
  <c r="F475" i="13" s="1"/>
  <c r="B475" i="13"/>
  <c r="G474" i="13"/>
  <c r="H474" i="13" s="1"/>
  <c r="J474" i="13" s="1"/>
  <c r="C474" i="13"/>
  <c r="F474" i="13" s="1"/>
  <c r="B474" i="13"/>
  <c r="G473" i="13"/>
  <c r="H473" i="13" s="1"/>
  <c r="J473" i="13" s="1"/>
  <c r="C473" i="13"/>
  <c r="F473" i="13" s="1"/>
  <c r="B473" i="13"/>
  <c r="G472" i="13"/>
  <c r="H472" i="13" s="1"/>
  <c r="J472" i="13" s="1"/>
  <c r="C472" i="13"/>
  <c r="F472" i="13" s="1"/>
  <c r="B472" i="13"/>
  <c r="G471" i="13"/>
  <c r="H471" i="13" s="1"/>
  <c r="J471" i="13" s="1"/>
  <c r="C471" i="13"/>
  <c r="F471" i="13" s="1"/>
  <c r="B471" i="13"/>
  <c r="G470" i="13"/>
  <c r="H470" i="13" s="1"/>
  <c r="C470" i="13"/>
  <c r="F470" i="13" s="1"/>
  <c r="B470" i="13"/>
  <c r="G469" i="13"/>
  <c r="H469" i="13" s="1"/>
  <c r="J469" i="13" s="1"/>
  <c r="C469" i="13"/>
  <c r="F469" i="13" s="1"/>
  <c r="B469" i="13"/>
  <c r="G468" i="13"/>
  <c r="H468" i="13" s="1"/>
  <c r="J468" i="13" s="1"/>
  <c r="C468" i="13"/>
  <c r="F468" i="13" s="1"/>
  <c r="B468" i="13"/>
  <c r="G467" i="13"/>
  <c r="H467" i="13" s="1"/>
  <c r="J467" i="13" s="1"/>
  <c r="C467" i="13"/>
  <c r="F467" i="13" s="1"/>
  <c r="B467" i="13"/>
  <c r="G466" i="13"/>
  <c r="H466" i="13" s="1"/>
  <c r="J466" i="13" s="1"/>
  <c r="C466" i="13"/>
  <c r="F466" i="13" s="1"/>
  <c r="B466" i="13"/>
  <c r="G465" i="13"/>
  <c r="H465" i="13" s="1"/>
  <c r="J465" i="13" s="1"/>
  <c r="C465" i="13"/>
  <c r="F465" i="13" s="1"/>
  <c r="B465" i="13"/>
  <c r="G464" i="13"/>
  <c r="H464" i="13" s="1"/>
  <c r="J464" i="13" s="1"/>
  <c r="C464" i="13"/>
  <c r="F464" i="13" s="1"/>
  <c r="B464" i="13"/>
  <c r="G463" i="13"/>
  <c r="H463" i="13" s="1"/>
  <c r="J463" i="13" s="1"/>
  <c r="C463" i="13"/>
  <c r="F463" i="13" s="1"/>
  <c r="B463" i="13"/>
  <c r="G462" i="13"/>
  <c r="H462" i="13" s="1"/>
  <c r="J462" i="13" s="1"/>
  <c r="C462" i="13"/>
  <c r="F462" i="13" s="1"/>
  <c r="B462" i="13"/>
  <c r="G461" i="13"/>
  <c r="H461" i="13" s="1"/>
  <c r="J461" i="13" s="1"/>
  <c r="C461" i="13"/>
  <c r="F461" i="13" s="1"/>
  <c r="B461" i="13"/>
  <c r="G460" i="13"/>
  <c r="H460" i="13" s="1"/>
  <c r="J460" i="13" s="1"/>
  <c r="C460" i="13"/>
  <c r="F460" i="13" s="1"/>
  <c r="B460" i="13"/>
  <c r="G459" i="13"/>
  <c r="H459" i="13" s="1"/>
  <c r="J459" i="13" s="1"/>
  <c r="C459" i="13"/>
  <c r="F459" i="13" s="1"/>
  <c r="B459" i="13"/>
  <c r="G458" i="13"/>
  <c r="H458" i="13" s="1"/>
  <c r="J458" i="13" s="1"/>
  <c r="C458" i="13"/>
  <c r="F458" i="13" s="1"/>
  <c r="B458" i="13"/>
  <c r="G457" i="13"/>
  <c r="H457" i="13" s="1"/>
  <c r="J457" i="13" s="1"/>
  <c r="C457" i="13"/>
  <c r="F457" i="13" s="1"/>
  <c r="B457" i="13"/>
  <c r="G456" i="13"/>
  <c r="H456" i="13" s="1"/>
  <c r="J456" i="13" s="1"/>
  <c r="C456" i="13"/>
  <c r="F456" i="13" s="1"/>
  <c r="B456" i="13"/>
  <c r="G455" i="13"/>
  <c r="H455" i="13" s="1"/>
  <c r="J455" i="13" s="1"/>
  <c r="C455" i="13"/>
  <c r="F455" i="13" s="1"/>
  <c r="B455" i="13"/>
  <c r="G454" i="13"/>
  <c r="H454" i="13" s="1"/>
  <c r="J454" i="13" s="1"/>
  <c r="C454" i="13"/>
  <c r="F454" i="13" s="1"/>
  <c r="B454" i="13"/>
  <c r="G453" i="13"/>
  <c r="H453" i="13" s="1"/>
  <c r="J453" i="13" s="1"/>
  <c r="C453" i="13"/>
  <c r="F453" i="13" s="1"/>
  <c r="B453" i="13"/>
  <c r="G452" i="13"/>
  <c r="H452" i="13" s="1"/>
  <c r="C452" i="13"/>
  <c r="F452" i="13" s="1"/>
  <c r="B452" i="13"/>
  <c r="G451" i="13"/>
  <c r="H451" i="13" s="1"/>
  <c r="J451" i="13" s="1"/>
  <c r="C451" i="13"/>
  <c r="F451" i="13" s="1"/>
  <c r="B451" i="13"/>
  <c r="G450" i="13"/>
  <c r="H450" i="13" s="1"/>
  <c r="J450" i="13" s="1"/>
  <c r="C450" i="13"/>
  <c r="F450" i="13" s="1"/>
  <c r="B450" i="13"/>
  <c r="G449" i="13"/>
  <c r="H449" i="13" s="1"/>
  <c r="J449" i="13" s="1"/>
  <c r="C449" i="13"/>
  <c r="F449" i="13" s="1"/>
  <c r="B449" i="13"/>
  <c r="G448" i="13"/>
  <c r="H448" i="13" s="1"/>
  <c r="J448" i="13" s="1"/>
  <c r="C448" i="13"/>
  <c r="F448" i="13" s="1"/>
  <c r="B448" i="13"/>
  <c r="G447" i="13"/>
  <c r="H447" i="13" s="1"/>
  <c r="J447" i="13" s="1"/>
  <c r="C447" i="13"/>
  <c r="F447" i="13" s="1"/>
  <c r="B447" i="13"/>
  <c r="G446" i="13"/>
  <c r="H446" i="13" s="1"/>
  <c r="J446" i="13" s="1"/>
  <c r="C446" i="13"/>
  <c r="F446" i="13" s="1"/>
  <c r="B446" i="13"/>
  <c r="G445" i="13"/>
  <c r="H445" i="13" s="1"/>
  <c r="J445" i="13" s="1"/>
  <c r="C445" i="13"/>
  <c r="F445" i="13" s="1"/>
  <c r="B445" i="13"/>
  <c r="G444" i="13"/>
  <c r="H444" i="13" s="1"/>
  <c r="J444" i="13" s="1"/>
  <c r="C444" i="13"/>
  <c r="F444" i="13" s="1"/>
  <c r="B444" i="13"/>
  <c r="G443" i="13"/>
  <c r="H443" i="13" s="1"/>
  <c r="C443" i="13"/>
  <c r="F443" i="13" s="1"/>
  <c r="B443" i="13"/>
  <c r="G442" i="13"/>
  <c r="H442" i="13" s="1"/>
  <c r="J442" i="13" s="1"/>
  <c r="C442" i="13"/>
  <c r="F442" i="13" s="1"/>
  <c r="B442" i="13"/>
  <c r="G441" i="13"/>
  <c r="H441" i="13" s="1"/>
  <c r="C441" i="13"/>
  <c r="F441" i="13" s="1"/>
  <c r="B441" i="13"/>
  <c r="G440" i="13"/>
  <c r="H440" i="13" s="1"/>
  <c r="J440" i="13" s="1"/>
  <c r="C440" i="13"/>
  <c r="F440" i="13" s="1"/>
  <c r="B440" i="13"/>
  <c r="G439" i="13"/>
  <c r="H439" i="13" s="1"/>
  <c r="J439" i="13" s="1"/>
  <c r="C439" i="13"/>
  <c r="F439" i="13" s="1"/>
  <c r="B439" i="13"/>
  <c r="G438" i="13"/>
  <c r="H438" i="13" s="1"/>
  <c r="J438" i="13" s="1"/>
  <c r="C438" i="13"/>
  <c r="F438" i="13" s="1"/>
  <c r="B438" i="13"/>
  <c r="G437" i="13"/>
  <c r="H437" i="13" s="1"/>
  <c r="J437" i="13" s="1"/>
  <c r="C437" i="13"/>
  <c r="F437" i="13" s="1"/>
  <c r="B437" i="13"/>
  <c r="G436" i="13"/>
  <c r="H436" i="13" s="1"/>
  <c r="J436" i="13" s="1"/>
  <c r="C436" i="13"/>
  <c r="F436" i="13" s="1"/>
  <c r="B436" i="13"/>
  <c r="G435" i="13"/>
  <c r="H435" i="13" s="1"/>
  <c r="J435" i="13" s="1"/>
  <c r="C435" i="13"/>
  <c r="F435" i="13" s="1"/>
  <c r="B435" i="13"/>
  <c r="G434" i="13"/>
  <c r="H434" i="13" s="1"/>
  <c r="C434" i="13"/>
  <c r="F434" i="13" s="1"/>
  <c r="B434" i="13"/>
  <c r="G433" i="13"/>
  <c r="H433" i="13" s="1"/>
  <c r="J433" i="13" s="1"/>
  <c r="C433" i="13"/>
  <c r="F433" i="13" s="1"/>
  <c r="B433" i="13"/>
  <c r="G432" i="13"/>
  <c r="H432" i="13" s="1"/>
  <c r="J432" i="13" s="1"/>
  <c r="C432" i="13"/>
  <c r="F432" i="13" s="1"/>
  <c r="B432" i="13"/>
  <c r="G431" i="13"/>
  <c r="H431" i="13" s="1"/>
  <c r="J431" i="13" s="1"/>
  <c r="C431" i="13"/>
  <c r="F431" i="13" s="1"/>
  <c r="B431" i="13"/>
  <c r="G430" i="13"/>
  <c r="H430" i="13" s="1"/>
  <c r="J430" i="13" s="1"/>
  <c r="C430" i="13"/>
  <c r="F430" i="13" s="1"/>
  <c r="B430" i="13"/>
  <c r="G429" i="13"/>
  <c r="H429" i="13" s="1"/>
  <c r="J429" i="13" s="1"/>
  <c r="C429" i="13"/>
  <c r="F429" i="13" s="1"/>
  <c r="B429" i="13"/>
  <c r="G428" i="13"/>
  <c r="H428" i="13" s="1"/>
  <c r="J428" i="13" s="1"/>
  <c r="C428" i="13"/>
  <c r="F428" i="13" s="1"/>
  <c r="B428" i="13"/>
  <c r="G427" i="13"/>
  <c r="H427" i="13" s="1"/>
  <c r="J427" i="13" s="1"/>
  <c r="C427" i="13"/>
  <c r="F427" i="13" s="1"/>
  <c r="B427" i="13"/>
  <c r="G426" i="13"/>
  <c r="H426" i="13" s="1"/>
  <c r="J426" i="13" s="1"/>
  <c r="C426" i="13"/>
  <c r="F426" i="13" s="1"/>
  <c r="B426" i="13"/>
  <c r="G425" i="13"/>
  <c r="H425" i="13" s="1"/>
  <c r="J425" i="13" s="1"/>
  <c r="C425" i="13"/>
  <c r="F425" i="13" s="1"/>
  <c r="B425" i="13"/>
  <c r="G424" i="13"/>
  <c r="H424" i="13" s="1"/>
  <c r="J424" i="13" s="1"/>
  <c r="C424" i="13"/>
  <c r="F424" i="13" s="1"/>
  <c r="B424" i="13"/>
  <c r="G423" i="13"/>
  <c r="H423" i="13" s="1"/>
  <c r="J423" i="13" s="1"/>
  <c r="C423" i="13"/>
  <c r="F423" i="13" s="1"/>
  <c r="B423" i="13"/>
  <c r="G422" i="13"/>
  <c r="H422" i="13" s="1"/>
  <c r="J422" i="13" s="1"/>
  <c r="C422" i="13"/>
  <c r="F422" i="13" s="1"/>
  <c r="B422" i="13"/>
  <c r="G421" i="13"/>
  <c r="H421" i="13" s="1"/>
  <c r="J421" i="13" s="1"/>
  <c r="C421" i="13"/>
  <c r="F421" i="13" s="1"/>
  <c r="B421" i="13"/>
  <c r="G420" i="13"/>
  <c r="H420" i="13" s="1"/>
  <c r="J420" i="13" s="1"/>
  <c r="C420" i="13"/>
  <c r="F420" i="13" s="1"/>
  <c r="B420" i="13"/>
  <c r="G419" i="13"/>
  <c r="H419" i="13" s="1"/>
  <c r="J419" i="13" s="1"/>
  <c r="C419" i="13"/>
  <c r="F419" i="13" s="1"/>
  <c r="B419" i="13"/>
  <c r="G418" i="13"/>
  <c r="H418" i="13" s="1"/>
  <c r="J418" i="13" s="1"/>
  <c r="C418" i="13"/>
  <c r="F418" i="13" s="1"/>
  <c r="B418" i="13"/>
  <c r="G417" i="13"/>
  <c r="H417" i="13" s="1"/>
  <c r="J417" i="13" s="1"/>
  <c r="C417" i="13"/>
  <c r="F417" i="13" s="1"/>
  <c r="B417" i="13"/>
  <c r="G416" i="13"/>
  <c r="H416" i="13" s="1"/>
  <c r="C416" i="13"/>
  <c r="F416" i="13" s="1"/>
  <c r="B416" i="13"/>
  <c r="G415" i="13"/>
  <c r="H415" i="13" s="1"/>
  <c r="J415" i="13" s="1"/>
  <c r="C415" i="13"/>
  <c r="F415" i="13" s="1"/>
  <c r="B415" i="13"/>
  <c r="G414" i="13"/>
  <c r="H414" i="13" s="1"/>
  <c r="J414" i="13" s="1"/>
  <c r="C414" i="13"/>
  <c r="F414" i="13" s="1"/>
  <c r="B414" i="13"/>
  <c r="G413" i="13"/>
  <c r="H413" i="13" s="1"/>
  <c r="J413" i="13" s="1"/>
  <c r="C413" i="13"/>
  <c r="F413" i="13" s="1"/>
  <c r="B413" i="13"/>
  <c r="G412" i="13"/>
  <c r="H412" i="13" s="1"/>
  <c r="J412" i="13" s="1"/>
  <c r="C412" i="13"/>
  <c r="F412" i="13" s="1"/>
  <c r="B412" i="13"/>
  <c r="G411" i="13"/>
  <c r="H411" i="13" s="1"/>
  <c r="J411" i="13" s="1"/>
  <c r="C411" i="13"/>
  <c r="F411" i="13" s="1"/>
  <c r="B411" i="13"/>
  <c r="G410" i="13"/>
  <c r="H410" i="13" s="1"/>
  <c r="J410" i="13" s="1"/>
  <c r="C410" i="13"/>
  <c r="F410" i="13" s="1"/>
  <c r="B410" i="13"/>
  <c r="G409" i="13"/>
  <c r="H409" i="13" s="1"/>
  <c r="J409" i="13" s="1"/>
  <c r="C409" i="13"/>
  <c r="F409" i="13" s="1"/>
  <c r="B409" i="13"/>
  <c r="G408" i="13"/>
  <c r="H408" i="13" s="1"/>
  <c r="J408" i="13" s="1"/>
  <c r="C408" i="13"/>
  <c r="F408" i="13" s="1"/>
  <c r="B408" i="13"/>
  <c r="G407" i="13"/>
  <c r="H407" i="13" s="1"/>
  <c r="C407" i="13"/>
  <c r="F407" i="13" s="1"/>
  <c r="B407" i="13"/>
  <c r="G406" i="13"/>
  <c r="H406" i="13" s="1"/>
  <c r="J406" i="13" s="1"/>
  <c r="C406" i="13"/>
  <c r="F406" i="13" s="1"/>
  <c r="B406" i="13"/>
  <c r="G405" i="13"/>
  <c r="H405" i="13" s="1"/>
  <c r="J405" i="13" s="1"/>
  <c r="C405" i="13"/>
  <c r="F405" i="13" s="1"/>
  <c r="B405" i="13"/>
  <c r="G404" i="13"/>
  <c r="H404" i="13" s="1"/>
  <c r="J404" i="13" s="1"/>
  <c r="C404" i="13"/>
  <c r="F404" i="13" s="1"/>
  <c r="B404" i="13"/>
  <c r="G403" i="13"/>
  <c r="H403" i="13" s="1"/>
  <c r="J403" i="13" s="1"/>
  <c r="C403" i="13"/>
  <c r="F403" i="13" s="1"/>
  <c r="B403" i="13"/>
  <c r="G402" i="13"/>
  <c r="H402" i="13" s="1"/>
  <c r="J402" i="13" s="1"/>
  <c r="C402" i="13"/>
  <c r="F402" i="13" s="1"/>
  <c r="B402" i="13"/>
  <c r="G401" i="13"/>
  <c r="H401" i="13" s="1"/>
  <c r="J401" i="13" s="1"/>
  <c r="C401" i="13"/>
  <c r="F401" i="13" s="1"/>
  <c r="B401" i="13"/>
  <c r="G400" i="13"/>
  <c r="H400" i="13" s="1"/>
  <c r="J400" i="13" s="1"/>
  <c r="C400" i="13"/>
  <c r="F400" i="13" s="1"/>
  <c r="B400" i="13"/>
  <c r="G399" i="13"/>
  <c r="H399" i="13" s="1"/>
  <c r="J399" i="13" s="1"/>
  <c r="C399" i="13"/>
  <c r="F399" i="13" s="1"/>
  <c r="B399" i="13"/>
  <c r="G398" i="13"/>
  <c r="H398" i="13" s="1"/>
  <c r="J398" i="13" s="1"/>
  <c r="C398" i="13"/>
  <c r="F398" i="13" s="1"/>
  <c r="B398" i="13"/>
  <c r="G397" i="13"/>
  <c r="H397" i="13" s="1"/>
  <c r="J397" i="13" s="1"/>
  <c r="C397" i="13"/>
  <c r="F397" i="13" s="1"/>
  <c r="B397" i="13"/>
  <c r="G396" i="13"/>
  <c r="H396" i="13" s="1"/>
  <c r="J396" i="13" s="1"/>
  <c r="C396" i="13"/>
  <c r="F396" i="13" s="1"/>
  <c r="B396" i="13"/>
  <c r="G395" i="13"/>
  <c r="H395" i="13" s="1"/>
  <c r="C395" i="13"/>
  <c r="F395" i="13" s="1"/>
  <c r="B395" i="13"/>
  <c r="G394" i="13"/>
  <c r="H394" i="13" s="1"/>
  <c r="J394" i="13" s="1"/>
  <c r="C394" i="13"/>
  <c r="F394" i="13" s="1"/>
  <c r="B394" i="13"/>
  <c r="G393" i="13"/>
  <c r="H393" i="13" s="1"/>
  <c r="J393" i="13" s="1"/>
  <c r="C393" i="13"/>
  <c r="F393" i="13" s="1"/>
  <c r="B393" i="13"/>
  <c r="G392" i="13"/>
  <c r="H392" i="13" s="1"/>
  <c r="J392" i="13" s="1"/>
  <c r="C392" i="13"/>
  <c r="F392" i="13" s="1"/>
  <c r="B392" i="13"/>
  <c r="G391" i="13"/>
  <c r="H391" i="13" s="1"/>
  <c r="J391" i="13" s="1"/>
  <c r="C391" i="13"/>
  <c r="F391" i="13" s="1"/>
  <c r="B391" i="13"/>
  <c r="G390" i="13"/>
  <c r="H390" i="13" s="1"/>
  <c r="J390" i="13" s="1"/>
  <c r="C390" i="13"/>
  <c r="F390" i="13" s="1"/>
  <c r="B390" i="13"/>
  <c r="G389" i="13"/>
  <c r="H389" i="13" s="1"/>
  <c r="J389" i="13" s="1"/>
  <c r="C389" i="13"/>
  <c r="F389" i="13" s="1"/>
  <c r="B389" i="13"/>
  <c r="G388" i="13"/>
  <c r="H388" i="13" s="1"/>
  <c r="J388" i="13" s="1"/>
  <c r="C388" i="13"/>
  <c r="F388" i="13" s="1"/>
  <c r="B388" i="13"/>
  <c r="G387" i="13"/>
  <c r="H387" i="13" s="1"/>
  <c r="J387" i="13" s="1"/>
  <c r="C387" i="13"/>
  <c r="F387" i="13" s="1"/>
  <c r="B387" i="13"/>
  <c r="G386" i="13"/>
  <c r="H386" i="13" s="1"/>
  <c r="J386" i="13" s="1"/>
  <c r="C386" i="13"/>
  <c r="F386" i="13" s="1"/>
  <c r="B386" i="13"/>
  <c r="G385" i="13"/>
  <c r="H385" i="13" s="1"/>
  <c r="J385" i="13" s="1"/>
  <c r="C385" i="13"/>
  <c r="F385" i="13" s="1"/>
  <c r="B385" i="13"/>
  <c r="G384" i="13"/>
  <c r="H384" i="13" s="1"/>
  <c r="J384" i="13" s="1"/>
  <c r="C384" i="13"/>
  <c r="F384" i="13" s="1"/>
  <c r="B384" i="13"/>
  <c r="G383" i="13"/>
  <c r="H383" i="13" s="1"/>
  <c r="C383" i="13"/>
  <c r="F383" i="13" s="1"/>
  <c r="B383" i="13"/>
  <c r="G382" i="13"/>
  <c r="H382" i="13" s="1"/>
  <c r="J382" i="13" s="1"/>
  <c r="C382" i="13"/>
  <c r="F382" i="13" s="1"/>
  <c r="B382" i="13"/>
  <c r="G381" i="13"/>
  <c r="H381" i="13" s="1"/>
  <c r="J381" i="13" s="1"/>
  <c r="C381" i="13"/>
  <c r="F381" i="13" s="1"/>
  <c r="B381" i="13"/>
  <c r="G380" i="13"/>
  <c r="H380" i="13" s="1"/>
  <c r="J380" i="13" s="1"/>
  <c r="C380" i="13"/>
  <c r="F380" i="13" s="1"/>
  <c r="B380" i="13"/>
  <c r="G379" i="13"/>
  <c r="H379" i="13" s="1"/>
  <c r="J379" i="13" s="1"/>
  <c r="C379" i="13"/>
  <c r="F379" i="13" s="1"/>
  <c r="B379" i="13"/>
  <c r="G378" i="13"/>
  <c r="H378" i="13" s="1"/>
  <c r="J378" i="13" s="1"/>
  <c r="C378" i="13"/>
  <c r="F378" i="13" s="1"/>
  <c r="B378" i="13"/>
  <c r="G377" i="13"/>
  <c r="H377" i="13" s="1"/>
  <c r="J377" i="13" s="1"/>
  <c r="C377" i="13"/>
  <c r="F377" i="13" s="1"/>
  <c r="B377" i="13"/>
  <c r="G376" i="13"/>
  <c r="H376" i="13" s="1"/>
  <c r="J376" i="13" s="1"/>
  <c r="C376" i="13"/>
  <c r="F376" i="13" s="1"/>
  <c r="B376" i="13"/>
  <c r="G375" i="13"/>
  <c r="H375" i="13" s="1"/>
  <c r="J375" i="13" s="1"/>
  <c r="C375" i="13"/>
  <c r="F375" i="13" s="1"/>
  <c r="B375" i="13"/>
  <c r="G374" i="13"/>
  <c r="H374" i="13" s="1"/>
  <c r="J374" i="13" s="1"/>
  <c r="C374" i="13"/>
  <c r="F374" i="13" s="1"/>
  <c r="B374" i="13"/>
  <c r="G373" i="13"/>
  <c r="H373" i="13" s="1"/>
  <c r="J373" i="13" s="1"/>
  <c r="C373" i="13"/>
  <c r="F373" i="13" s="1"/>
  <c r="B373" i="13"/>
  <c r="G372" i="13"/>
  <c r="H372" i="13" s="1"/>
  <c r="J372" i="13" s="1"/>
  <c r="C372" i="13"/>
  <c r="F372" i="13" s="1"/>
  <c r="B372" i="13"/>
  <c r="G371" i="13"/>
  <c r="H371" i="13" s="1"/>
  <c r="C371" i="13"/>
  <c r="F371" i="13" s="1"/>
  <c r="B371" i="13"/>
  <c r="G370" i="13"/>
  <c r="H370" i="13" s="1"/>
  <c r="J370" i="13" s="1"/>
  <c r="C370" i="13"/>
  <c r="F370" i="13" s="1"/>
  <c r="B370" i="13"/>
  <c r="G369" i="13"/>
  <c r="H369" i="13" s="1"/>
  <c r="J369" i="13" s="1"/>
  <c r="C369" i="13"/>
  <c r="F369" i="13" s="1"/>
  <c r="B369" i="13"/>
  <c r="G368" i="13"/>
  <c r="H368" i="13" s="1"/>
  <c r="J368" i="13" s="1"/>
  <c r="C368" i="13"/>
  <c r="F368" i="13" s="1"/>
  <c r="B368" i="13"/>
  <c r="G367" i="13"/>
  <c r="H367" i="13" s="1"/>
  <c r="J367" i="13" s="1"/>
  <c r="C367" i="13"/>
  <c r="F367" i="13" s="1"/>
  <c r="B367" i="13"/>
  <c r="G366" i="13"/>
  <c r="H366" i="13" s="1"/>
  <c r="J366" i="13" s="1"/>
  <c r="C366" i="13"/>
  <c r="F366" i="13" s="1"/>
  <c r="B366" i="13"/>
  <c r="G365" i="13"/>
  <c r="H365" i="13" s="1"/>
  <c r="J365" i="13" s="1"/>
  <c r="C365" i="13"/>
  <c r="F365" i="13" s="1"/>
  <c r="B365" i="13"/>
  <c r="G364" i="13"/>
  <c r="H364" i="13" s="1"/>
  <c r="J364" i="13" s="1"/>
  <c r="C364" i="13"/>
  <c r="F364" i="13" s="1"/>
  <c r="B364" i="13"/>
  <c r="G363" i="13"/>
  <c r="H363" i="13" s="1"/>
  <c r="J363" i="13" s="1"/>
  <c r="C363" i="13"/>
  <c r="F363" i="13" s="1"/>
  <c r="B363" i="13"/>
  <c r="G362" i="13"/>
  <c r="H362" i="13" s="1"/>
  <c r="J362" i="13" s="1"/>
  <c r="C362" i="13"/>
  <c r="F362" i="13" s="1"/>
  <c r="B362" i="13"/>
  <c r="G361" i="13"/>
  <c r="H361" i="13" s="1"/>
  <c r="J361" i="13" s="1"/>
  <c r="C361" i="13"/>
  <c r="F361" i="13" s="1"/>
  <c r="B361" i="13"/>
  <c r="G360" i="13"/>
  <c r="H360" i="13" s="1"/>
  <c r="J360" i="13" s="1"/>
  <c r="C360" i="13"/>
  <c r="F360" i="13" s="1"/>
  <c r="B360" i="13"/>
  <c r="G359" i="13"/>
  <c r="H359" i="13" s="1"/>
  <c r="C359" i="13"/>
  <c r="F359" i="13" s="1"/>
  <c r="B359" i="13"/>
  <c r="G358" i="13"/>
  <c r="H358" i="13" s="1"/>
  <c r="J358" i="13" s="1"/>
  <c r="C358" i="13"/>
  <c r="F358" i="13" s="1"/>
  <c r="B358" i="13"/>
  <c r="G357" i="13"/>
  <c r="H357" i="13" s="1"/>
  <c r="J357" i="13" s="1"/>
  <c r="C357" i="13"/>
  <c r="F357" i="13" s="1"/>
  <c r="B357" i="13"/>
  <c r="G356" i="13"/>
  <c r="H356" i="13" s="1"/>
  <c r="J356" i="13" s="1"/>
  <c r="C356" i="13"/>
  <c r="F356" i="13" s="1"/>
  <c r="B356" i="13"/>
  <c r="G355" i="13"/>
  <c r="H355" i="13" s="1"/>
  <c r="J355" i="13" s="1"/>
  <c r="C355" i="13"/>
  <c r="F355" i="13" s="1"/>
  <c r="B355" i="13"/>
  <c r="G354" i="13"/>
  <c r="H354" i="13" s="1"/>
  <c r="J354" i="13" s="1"/>
  <c r="C354" i="13"/>
  <c r="F354" i="13" s="1"/>
  <c r="B354" i="13"/>
  <c r="G353" i="13"/>
  <c r="H353" i="13" s="1"/>
  <c r="J353" i="13" s="1"/>
  <c r="C353" i="13"/>
  <c r="F353" i="13" s="1"/>
  <c r="B353" i="13"/>
  <c r="G352" i="13"/>
  <c r="H352" i="13" s="1"/>
  <c r="J352" i="13" s="1"/>
  <c r="C352" i="13"/>
  <c r="F352" i="13" s="1"/>
  <c r="B352" i="13"/>
  <c r="G351" i="13"/>
  <c r="H351" i="13" s="1"/>
  <c r="C351" i="13"/>
  <c r="F351" i="13" s="1"/>
  <c r="B351" i="13"/>
  <c r="G350" i="13"/>
  <c r="H350" i="13" s="1"/>
  <c r="J350" i="13" s="1"/>
  <c r="C350" i="13"/>
  <c r="F350" i="13" s="1"/>
  <c r="B350" i="13"/>
  <c r="G349" i="13"/>
  <c r="H349" i="13" s="1"/>
  <c r="J349" i="13" s="1"/>
  <c r="C349" i="13"/>
  <c r="F349" i="13" s="1"/>
  <c r="B349" i="13"/>
  <c r="G348" i="13"/>
  <c r="H348" i="13" s="1"/>
  <c r="J348" i="13" s="1"/>
  <c r="C348" i="13"/>
  <c r="F348" i="13" s="1"/>
  <c r="B348" i="13"/>
  <c r="G347" i="13"/>
  <c r="H347" i="13" s="1"/>
  <c r="C347" i="13"/>
  <c r="F347" i="13" s="1"/>
  <c r="B347" i="13"/>
  <c r="G346" i="13"/>
  <c r="H346" i="13" s="1"/>
  <c r="J346" i="13" s="1"/>
  <c r="C346" i="13"/>
  <c r="F346" i="13" s="1"/>
  <c r="B346" i="13"/>
  <c r="G345" i="13"/>
  <c r="H345" i="13" s="1"/>
  <c r="J345" i="13" s="1"/>
  <c r="C345" i="13"/>
  <c r="F345" i="13" s="1"/>
  <c r="B345" i="13"/>
  <c r="G344" i="13"/>
  <c r="H344" i="13" s="1"/>
  <c r="J344" i="13" s="1"/>
  <c r="C344" i="13"/>
  <c r="F344" i="13" s="1"/>
  <c r="B344" i="13"/>
  <c r="G343" i="13"/>
  <c r="H343" i="13" s="1"/>
  <c r="J343" i="13" s="1"/>
  <c r="C343" i="13"/>
  <c r="F343" i="13" s="1"/>
  <c r="B343" i="13"/>
  <c r="G342" i="13"/>
  <c r="H342" i="13" s="1"/>
  <c r="J342" i="13" s="1"/>
  <c r="C342" i="13"/>
  <c r="F342" i="13" s="1"/>
  <c r="B342" i="13"/>
  <c r="G341" i="13"/>
  <c r="H341" i="13" s="1"/>
  <c r="J341" i="13" s="1"/>
  <c r="C341" i="13"/>
  <c r="F341" i="13" s="1"/>
  <c r="B341" i="13"/>
  <c r="G340" i="13"/>
  <c r="H340" i="13" s="1"/>
  <c r="J340" i="13" s="1"/>
  <c r="C340" i="13"/>
  <c r="F340" i="13" s="1"/>
  <c r="B340" i="13"/>
  <c r="G339" i="13"/>
  <c r="H339" i="13" s="1"/>
  <c r="J339" i="13" s="1"/>
  <c r="C339" i="13"/>
  <c r="F339" i="13" s="1"/>
  <c r="B339" i="13"/>
  <c r="G338" i="13"/>
  <c r="H338" i="13" s="1"/>
  <c r="J338" i="13" s="1"/>
  <c r="C338" i="13"/>
  <c r="F338" i="13" s="1"/>
  <c r="B338" i="13"/>
  <c r="G337" i="13"/>
  <c r="H337" i="13" s="1"/>
  <c r="J337" i="13" s="1"/>
  <c r="C337" i="13"/>
  <c r="F337" i="13" s="1"/>
  <c r="B337" i="13"/>
  <c r="G336" i="13"/>
  <c r="H336" i="13" s="1"/>
  <c r="J336" i="13" s="1"/>
  <c r="C336" i="13"/>
  <c r="F336" i="13" s="1"/>
  <c r="B336" i="13"/>
  <c r="G335" i="13"/>
  <c r="H335" i="13" s="1"/>
  <c r="C335" i="13"/>
  <c r="F335" i="13" s="1"/>
  <c r="B335" i="13"/>
  <c r="G334" i="13"/>
  <c r="H334" i="13" s="1"/>
  <c r="J334" i="13" s="1"/>
  <c r="C334" i="13"/>
  <c r="F334" i="13" s="1"/>
  <c r="B334" i="13"/>
  <c r="G333" i="13"/>
  <c r="H333" i="13" s="1"/>
  <c r="J333" i="13" s="1"/>
  <c r="C333" i="13"/>
  <c r="F333" i="13" s="1"/>
  <c r="B333" i="13"/>
  <c r="G332" i="13"/>
  <c r="H332" i="13" s="1"/>
  <c r="J332" i="13" s="1"/>
  <c r="C332" i="13"/>
  <c r="F332" i="13" s="1"/>
  <c r="B332" i="13"/>
  <c r="G331" i="13"/>
  <c r="H331" i="13" s="1"/>
  <c r="J331" i="13" s="1"/>
  <c r="C331" i="13"/>
  <c r="F331" i="13" s="1"/>
  <c r="B331" i="13"/>
  <c r="G330" i="13"/>
  <c r="H330" i="13" s="1"/>
  <c r="J330" i="13" s="1"/>
  <c r="C330" i="13"/>
  <c r="F330" i="13" s="1"/>
  <c r="B330" i="13"/>
  <c r="G329" i="13"/>
  <c r="H329" i="13" s="1"/>
  <c r="J329" i="13" s="1"/>
  <c r="C329" i="13"/>
  <c r="F329" i="13" s="1"/>
  <c r="B329" i="13"/>
  <c r="G328" i="13"/>
  <c r="H328" i="13" s="1"/>
  <c r="J328" i="13" s="1"/>
  <c r="C328" i="13"/>
  <c r="F328" i="13" s="1"/>
  <c r="B328" i="13"/>
  <c r="G327" i="13"/>
  <c r="H327" i="13" s="1"/>
  <c r="C327" i="13"/>
  <c r="F327" i="13" s="1"/>
  <c r="B327" i="13"/>
  <c r="G326" i="13"/>
  <c r="H326" i="13" s="1"/>
  <c r="J326" i="13" s="1"/>
  <c r="C326" i="13"/>
  <c r="F326" i="13" s="1"/>
  <c r="B326" i="13"/>
  <c r="G325" i="13"/>
  <c r="H325" i="13" s="1"/>
  <c r="J325" i="13" s="1"/>
  <c r="C325" i="13"/>
  <c r="F325" i="13" s="1"/>
  <c r="B325" i="13"/>
  <c r="G324" i="13"/>
  <c r="H324" i="13" s="1"/>
  <c r="J324" i="13" s="1"/>
  <c r="C324" i="13"/>
  <c r="F324" i="13" s="1"/>
  <c r="B324" i="13"/>
  <c r="G323" i="13"/>
  <c r="H323" i="13" s="1"/>
  <c r="C323" i="13"/>
  <c r="F323" i="13" s="1"/>
  <c r="B323" i="13"/>
  <c r="G322" i="13"/>
  <c r="H322" i="13" s="1"/>
  <c r="J322" i="13" s="1"/>
  <c r="C322" i="13"/>
  <c r="F322" i="13" s="1"/>
  <c r="B322" i="13"/>
  <c r="G321" i="13"/>
  <c r="H321" i="13" s="1"/>
  <c r="J321" i="13" s="1"/>
  <c r="C321" i="13"/>
  <c r="F321" i="13" s="1"/>
  <c r="B321" i="13"/>
  <c r="G320" i="13"/>
  <c r="H320" i="13" s="1"/>
  <c r="J320" i="13" s="1"/>
  <c r="C320" i="13"/>
  <c r="F320" i="13" s="1"/>
  <c r="B320" i="13"/>
  <c r="G319" i="13"/>
  <c r="H319" i="13" s="1"/>
  <c r="J319" i="13" s="1"/>
  <c r="C319" i="13"/>
  <c r="F319" i="13" s="1"/>
  <c r="B319" i="13"/>
  <c r="G318" i="13"/>
  <c r="H318" i="13" s="1"/>
  <c r="J318" i="13" s="1"/>
  <c r="C318" i="13"/>
  <c r="F318" i="13" s="1"/>
  <c r="B318" i="13"/>
  <c r="G317" i="13"/>
  <c r="H317" i="13" s="1"/>
  <c r="J317" i="13" s="1"/>
  <c r="C317" i="13"/>
  <c r="F317" i="13" s="1"/>
  <c r="B317" i="13"/>
  <c r="G316" i="13"/>
  <c r="H316" i="13" s="1"/>
  <c r="J316" i="13" s="1"/>
  <c r="C316" i="13"/>
  <c r="F316" i="13" s="1"/>
  <c r="B316" i="13"/>
  <c r="G315" i="13"/>
  <c r="H315" i="13" s="1"/>
  <c r="J315" i="13" s="1"/>
  <c r="C315" i="13"/>
  <c r="F315" i="13" s="1"/>
  <c r="B315" i="13"/>
  <c r="G314" i="13"/>
  <c r="H314" i="13" s="1"/>
  <c r="J314" i="13" s="1"/>
  <c r="C314" i="13"/>
  <c r="F314" i="13" s="1"/>
  <c r="B314" i="13"/>
  <c r="G313" i="13"/>
  <c r="H313" i="13" s="1"/>
  <c r="J313" i="13" s="1"/>
  <c r="C313" i="13"/>
  <c r="F313" i="13" s="1"/>
  <c r="B313" i="13"/>
  <c r="G312" i="13"/>
  <c r="H312" i="13" s="1"/>
  <c r="J312" i="13" s="1"/>
  <c r="C312" i="13"/>
  <c r="F312" i="13" s="1"/>
  <c r="B312" i="13"/>
  <c r="G311" i="13"/>
  <c r="H311" i="13" s="1"/>
  <c r="C311" i="13"/>
  <c r="F311" i="13" s="1"/>
  <c r="B311" i="13"/>
  <c r="G310" i="13"/>
  <c r="H310" i="13" s="1"/>
  <c r="J310" i="13" s="1"/>
  <c r="C310" i="13"/>
  <c r="F310" i="13" s="1"/>
  <c r="B310" i="13"/>
  <c r="G309" i="13"/>
  <c r="H309" i="13" s="1"/>
  <c r="J309" i="13" s="1"/>
  <c r="C309" i="13"/>
  <c r="F309" i="13" s="1"/>
  <c r="B309" i="13"/>
  <c r="G308" i="13"/>
  <c r="H308" i="13" s="1"/>
  <c r="J308" i="13" s="1"/>
  <c r="C308" i="13"/>
  <c r="F308" i="13" s="1"/>
  <c r="B308" i="13"/>
  <c r="G307" i="13"/>
  <c r="H307" i="13" s="1"/>
  <c r="J307" i="13" s="1"/>
  <c r="C307" i="13"/>
  <c r="F307" i="13" s="1"/>
  <c r="B307" i="13"/>
  <c r="G306" i="13"/>
  <c r="H306" i="13" s="1"/>
  <c r="J306" i="13" s="1"/>
  <c r="C306" i="13"/>
  <c r="F306" i="13" s="1"/>
  <c r="B306" i="13"/>
  <c r="G305" i="13"/>
  <c r="H305" i="13" s="1"/>
  <c r="J305" i="13" s="1"/>
  <c r="C305" i="13"/>
  <c r="F305" i="13" s="1"/>
  <c r="B305" i="13"/>
  <c r="G304" i="13"/>
  <c r="H304" i="13" s="1"/>
  <c r="J304" i="13" s="1"/>
  <c r="C304" i="13"/>
  <c r="F304" i="13" s="1"/>
  <c r="B304" i="13"/>
  <c r="G303" i="13"/>
  <c r="H303" i="13" s="1"/>
  <c r="J303" i="13" s="1"/>
  <c r="C303" i="13"/>
  <c r="F303" i="13" s="1"/>
  <c r="B303" i="13"/>
  <c r="G302" i="13"/>
  <c r="H302" i="13" s="1"/>
  <c r="J302" i="13" s="1"/>
  <c r="C302" i="13"/>
  <c r="F302" i="13" s="1"/>
  <c r="B302" i="13"/>
  <c r="G301" i="13"/>
  <c r="H301" i="13" s="1"/>
  <c r="J301" i="13" s="1"/>
  <c r="C301" i="13"/>
  <c r="F301" i="13" s="1"/>
  <c r="B301" i="13"/>
  <c r="G300" i="13"/>
  <c r="H300" i="13" s="1"/>
  <c r="J300" i="13" s="1"/>
  <c r="C300" i="13"/>
  <c r="F300" i="13" s="1"/>
  <c r="B300" i="13"/>
  <c r="G299" i="13"/>
  <c r="H299" i="13" s="1"/>
  <c r="C299" i="13"/>
  <c r="F299" i="13" s="1"/>
  <c r="B299" i="13"/>
  <c r="G298" i="13"/>
  <c r="H298" i="13" s="1"/>
  <c r="J298" i="13" s="1"/>
  <c r="C298" i="13"/>
  <c r="F298" i="13" s="1"/>
  <c r="B298" i="13"/>
  <c r="G297" i="13"/>
  <c r="H297" i="13" s="1"/>
  <c r="C297" i="13"/>
  <c r="F297" i="13" s="1"/>
  <c r="B297" i="13"/>
  <c r="G296" i="13"/>
  <c r="H296" i="13" s="1"/>
  <c r="J296" i="13" s="1"/>
  <c r="C296" i="13"/>
  <c r="F296" i="13" s="1"/>
  <c r="B296" i="13"/>
  <c r="G295" i="13"/>
  <c r="H295" i="13" s="1"/>
  <c r="J295" i="13" s="1"/>
  <c r="C295" i="13"/>
  <c r="F295" i="13" s="1"/>
  <c r="B295" i="13"/>
  <c r="G294" i="13"/>
  <c r="H294" i="13" s="1"/>
  <c r="J294" i="13" s="1"/>
  <c r="C294" i="13"/>
  <c r="F294" i="13" s="1"/>
  <c r="B294" i="13"/>
  <c r="G293" i="13"/>
  <c r="H293" i="13" s="1"/>
  <c r="J293" i="13" s="1"/>
  <c r="C293" i="13"/>
  <c r="F293" i="13" s="1"/>
  <c r="B293" i="13"/>
  <c r="G292" i="13"/>
  <c r="H292" i="13" s="1"/>
  <c r="J292" i="13" s="1"/>
  <c r="C292" i="13"/>
  <c r="F292" i="13" s="1"/>
  <c r="B292" i="13"/>
  <c r="G291" i="13"/>
  <c r="H291" i="13" s="1"/>
  <c r="J291" i="13" s="1"/>
  <c r="C291" i="13"/>
  <c r="F291" i="13" s="1"/>
  <c r="B291" i="13"/>
  <c r="G290" i="13"/>
  <c r="H290" i="13" s="1"/>
  <c r="J290" i="13" s="1"/>
  <c r="C290" i="13"/>
  <c r="F290" i="13" s="1"/>
  <c r="B290" i="13"/>
  <c r="G289" i="13"/>
  <c r="H289" i="13" s="1"/>
  <c r="J289" i="13" s="1"/>
  <c r="C289" i="13"/>
  <c r="F289" i="13" s="1"/>
  <c r="B289" i="13"/>
  <c r="G288" i="13"/>
  <c r="H288" i="13" s="1"/>
  <c r="J288" i="13" s="1"/>
  <c r="C288" i="13"/>
  <c r="F288" i="13" s="1"/>
  <c r="B288" i="13"/>
  <c r="G287" i="13"/>
  <c r="H287" i="13" s="1"/>
  <c r="C287" i="13"/>
  <c r="F287" i="13" s="1"/>
  <c r="B287" i="13"/>
  <c r="G286" i="13"/>
  <c r="H286" i="13" s="1"/>
  <c r="J286" i="13" s="1"/>
  <c r="C286" i="13"/>
  <c r="F286" i="13" s="1"/>
  <c r="B286" i="13"/>
  <c r="G285" i="13"/>
  <c r="H285" i="13" s="1"/>
  <c r="J285" i="13" s="1"/>
  <c r="C285" i="13"/>
  <c r="F285" i="13" s="1"/>
  <c r="B285" i="13"/>
  <c r="G284" i="13"/>
  <c r="H284" i="13" s="1"/>
  <c r="J284" i="13" s="1"/>
  <c r="C284" i="13"/>
  <c r="F284" i="13" s="1"/>
  <c r="B284" i="13"/>
  <c r="G283" i="13"/>
  <c r="H283" i="13" s="1"/>
  <c r="J283" i="13" s="1"/>
  <c r="C283" i="13"/>
  <c r="F283" i="13" s="1"/>
  <c r="B283" i="13"/>
  <c r="G282" i="13"/>
  <c r="H282" i="13" s="1"/>
  <c r="J282" i="13" s="1"/>
  <c r="C282" i="13"/>
  <c r="F282" i="13" s="1"/>
  <c r="B282" i="13"/>
  <c r="G281" i="13"/>
  <c r="H281" i="13" s="1"/>
  <c r="J281" i="13" s="1"/>
  <c r="C281" i="13"/>
  <c r="F281" i="13" s="1"/>
  <c r="B281" i="13"/>
  <c r="G280" i="13"/>
  <c r="H280" i="13" s="1"/>
  <c r="J280" i="13" s="1"/>
  <c r="C280" i="13"/>
  <c r="F280" i="13" s="1"/>
  <c r="B280" i="13"/>
  <c r="G279" i="13"/>
  <c r="H279" i="13" s="1"/>
  <c r="J279" i="13" s="1"/>
  <c r="C279" i="13"/>
  <c r="F279" i="13" s="1"/>
  <c r="B279" i="13"/>
  <c r="G278" i="13"/>
  <c r="H278" i="13" s="1"/>
  <c r="J278" i="13" s="1"/>
  <c r="C278" i="13"/>
  <c r="F278" i="13" s="1"/>
  <c r="B278" i="13"/>
  <c r="G277" i="13"/>
  <c r="H277" i="13" s="1"/>
  <c r="J277" i="13" s="1"/>
  <c r="C277" i="13"/>
  <c r="F277" i="13" s="1"/>
  <c r="B277" i="13"/>
  <c r="G276" i="13"/>
  <c r="H276" i="13" s="1"/>
  <c r="J276" i="13" s="1"/>
  <c r="C276" i="13"/>
  <c r="F276" i="13" s="1"/>
  <c r="B276" i="13"/>
  <c r="G275" i="13"/>
  <c r="H275" i="13" s="1"/>
  <c r="J275" i="13" s="1"/>
  <c r="C275" i="13"/>
  <c r="F275" i="13" s="1"/>
  <c r="B275" i="13"/>
  <c r="G274" i="13"/>
  <c r="H274" i="13" s="1"/>
  <c r="J274" i="13" s="1"/>
  <c r="C274" i="13"/>
  <c r="F274" i="13" s="1"/>
  <c r="B274" i="13"/>
  <c r="G273" i="13"/>
  <c r="H273" i="13" s="1"/>
  <c r="J273" i="13" s="1"/>
  <c r="C273" i="13"/>
  <c r="F273" i="13" s="1"/>
  <c r="B273" i="13"/>
  <c r="G272" i="13"/>
  <c r="H272" i="13" s="1"/>
  <c r="J272" i="13" s="1"/>
  <c r="C272" i="13"/>
  <c r="F272" i="13" s="1"/>
  <c r="B272" i="13"/>
  <c r="G271" i="13"/>
  <c r="H271" i="13" s="1"/>
  <c r="J271" i="13" s="1"/>
  <c r="C271" i="13"/>
  <c r="F271" i="13" s="1"/>
  <c r="B271" i="13"/>
  <c r="G270" i="13"/>
  <c r="H270" i="13" s="1"/>
  <c r="J270" i="13" s="1"/>
  <c r="C270" i="13"/>
  <c r="F270" i="13" s="1"/>
  <c r="B270" i="13"/>
  <c r="G269" i="13"/>
  <c r="H269" i="13" s="1"/>
  <c r="J269" i="13" s="1"/>
  <c r="C269" i="13"/>
  <c r="F269" i="13" s="1"/>
  <c r="B269" i="13"/>
  <c r="G268" i="13"/>
  <c r="H268" i="13" s="1"/>
  <c r="J268" i="13" s="1"/>
  <c r="C268" i="13"/>
  <c r="F268" i="13" s="1"/>
  <c r="B268" i="13"/>
  <c r="G267" i="13"/>
  <c r="H267" i="13" s="1"/>
  <c r="C267" i="13"/>
  <c r="F267" i="13" s="1"/>
  <c r="B267" i="13"/>
  <c r="G266" i="13"/>
  <c r="H266" i="13" s="1"/>
  <c r="J266" i="13" s="1"/>
  <c r="C266" i="13"/>
  <c r="F266" i="13" s="1"/>
  <c r="B266" i="13"/>
  <c r="G265" i="13"/>
  <c r="H265" i="13" s="1"/>
  <c r="J265" i="13" s="1"/>
  <c r="C265" i="13"/>
  <c r="F265" i="13" s="1"/>
  <c r="B265" i="13"/>
  <c r="G264" i="13"/>
  <c r="H264" i="13" s="1"/>
  <c r="J264" i="13" s="1"/>
  <c r="C264" i="13"/>
  <c r="F264" i="13" s="1"/>
  <c r="B264" i="13"/>
  <c r="G263" i="13"/>
  <c r="H263" i="13" s="1"/>
  <c r="J263" i="13" s="1"/>
  <c r="C263" i="13"/>
  <c r="F263" i="13" s="1"/>
  <c r="B263" i="13"/>
  <c r="G262" i="13"/>
  <c r="H262" i="13" s="1"/>
  <c r="J262" i="13" s="1"/>
  <c r="C262" i="13"/>
  <c r="F262" i="13" s="1"/>
  <c r="B262" i="13"/>
  <c r="G261" i="13"/>
  <c r="H261" i="13" s="1"/>
  <c r="J261" i="13" s="1"/>
  <c r="C261" i="13"/>
  <c r="F261" i="13" s="1"/>
  <c r="B261" i="13"/>
  <c r="G260" i="13"/>
  <c r="H260" i="13" s="1"/>
  <c r="J260" i="13" s="1"/>
  <c r="C260" i="13"/>
  <c r="F260" i="13" s="1"/>
  <c r="B260" i="13"/>
  <c r="G259" i="13"/>
  <c r="H259" i="13" s="1"/>
  <c r="J259" i="13" s="1"/>
  <c r="C259" i="13"/>
  <c r="F259" i="13" s="1"/>
  <c r="B259" i="13"/>
  <c r="G258" i="13"/>
  <c r="H258" i="13" s="1"/>
  <c r="J258" i="13" s="1"/>
  <c r="C258" i="13"/>
  <c r="F258" i="13" s="1"/>
  <c r="B258" i="13"/>
  <c r="G257" i="13"/>
  <c r="H257" i="13" s="1"/>
  <c r="J257" i="13" s="1"/>
  <c r="C257" i="13"/>
  <c r="F257" i="13" s="1"/>
  <c r="B257" i="13"/>
  <c r="G256" i="13"/>
  <c r="H256" i="13" s="1"/>
  <c r="J256" i="13" s="1"/>
  <c r="C256" i="13"/>
  <c r="F256" i="13" s="1"/>
  <c r="B256" i="13"/>
  <c r="G255" i="13"/>
  <c r="H255" i="13" s="1"/>
  <c r="J255" i="13" s="1"/>
  <c r="C255" i="13"/>
  <c r="F255" i="13" s="1"/>
  <c r="B255" i="13"/>
  <c r="G254" i="13"/>
  <c r="H254" i="13" s="1"/>
  <c r="J254" i="13" s="1"/>
  <c r="C254" i="13"/>
  <c r="F254" i="13" s="1"/>
  <c r="B254" i="13"/>
  <c r="G253" i="13"/>
  <c r="H253" i="13" s="1"/>
  <c r="J253" i="13" s="1"/>
  <c r="C253" i="13"/>
  <c r="F253" i="13" s="1"/>
  <c r="B253" i="13"/>
  <c r="G252" i="13"/>
  <c r="H252" i="13" s="1"/>
  <c r="J252" i="13" s="1"/>
  <c r="C252" i="13"/>
  <c r="F252" i="13" s="1"/>
  <c r="B252" i="13"/>
  <c r="G251" i="13"/>
  <c r="H251" i="13" s="1"/>
  <c r="J251" i="13" s="1"/>
  <c r="C251" i="13"/>
  <c r="F251" i="13" s="1"/>
  <c r="B251" i="13"/>
  <c r="G250" i="13"/>
  <c r="H250" i="13" s="1"/>
  <c r="J250" i="13" s="1"/>
  <c r="C250" i="13"/>
  <c r="F250" i="13" s="1"/>
  <c r="B250" i="13"/>
  <c r="G249" i="13"/>
  <c r="H249" i="13" s="1"/>
  <c r="J249" i="13" s="1"/>
  <c r="C249" i="13"/>
  <c r="F249" i="13" s="1"/>
  <c r="B249" i="13"/>
  <c r="G248" i="13"/>
  <c r="H248" i="13" s="1"/>
  <c r="J248" i="13" s="1"/>
  <c r="C248" i="13"/>
  <c r="F248" i="13" s="1"/>
  <c r="I248" i="13" s="1"/>
  <c r="B248" i="13"/>
  <c r="G247" i="13"/>
  <c r="H247" i="13" s="1"/>
  <c r="J247" i="13" s="1"/>
  <c r="C247" i="13"/>
  <c r="F247" i="13" s="1"/>
  <c r="B247" i="13"/>
  <c r="G246" i="13"/>
  <c r="H246" i="13" s="1"/>
  <c r="J246" i="13" s="1"/>
  <c r="C246" i="13"/>
  <c r="F246" i="13" s="1"/>
  <c r="B246" i="13"/>
  <c r="G245" i="13"/>
  <c r="H245" i="13" s="1"/>
  <c r="J245" i="13" s="1"/>
  <c r="C245" i="13"/>
  <c r="F245" i="13" s="1"/>
  <c r="B245" i="13"/>
  <c r="G244" i="13"/>
  <c r="H244" i="13" s="1"/>
  <c r="J244" i="13" s="1"/>
  <c r="C244" i="13"/>
  <c r="F244" i="13" s="1"/>
  <c r="B244" i="13"/>
  <c r="G243" i="13"/>
  <c r="H243" i="13" s="1"/>
  <c r="J243" i="13" s="1"/>
  <c r="C243" i="13"/>
  <c r="F243" i="13" s="1"/>
  <c r="B243" i="13"/>
  <c r="G242" i="13"/>
  <c r="H242" i="13" s="1"/>
  <c r="J242" i="13" s="1"/>
  <c r="C242" i="13"/>
  <c r="F242" i="13" s="1"/>
  <c r="B242" i="13"/>
  <c r="G241" i="13"/>
  <c r="H241" i="13" s="1"/>
  <c r="J241" i="13" s="1"/>
  <c r="C241" i="13"/>
  <c r="F241" i="13" s="1"/>
  <c r="B241" i="13"/>
  <c r="G240" i="13"/>
  <c r="H240" i="13" s="1"/>
  <c r="J240" i="13" s="1"/>
  <c r="C240" i="13"/>
  <c r="F240" i="13" s="1"/>
  <c r="I240" i="13" s="1"/>
  <c r="B240" i="13"/>
  <c r="G239" i="13"/>
  <c r="H239" i="13" s="1"/>
  <c r="J239" i="13" s="1"/>
  <c r="C239" i="13"/>
  <c r="F239" i="13" s="1"/>
  <c r="B239" i="13"/>
  <c r="G238" i="13"/>
  <c r="H238" i="13" s="1"/>
  <c r="J238" i="13" s="1"/>
  <c r="C238" i="13"/>
  <c r="F238" i="13" s="1"/>
  <c r="B238" i="13"/>
  <c r="G237" i="13"/>
  <c r="H237" i="13" s="1"/>
  <c r="J237" i="13" s="1"/>
  <c r="C237" i="13"/>
  <c r="F237" i="13" s="1"/>
  <c r="B237" i="13"/>
  <c r="G236" i="13"/>
  <c r="H236" i="13" s="1"/>
  <c r="J236" i="13" s="1"/>
  <c r="C236" i="13"/>
  <c r="F236" i="13" s="1"/>
  <c r="B236" i="13"/>
  <c r="G235" i="13"/>
  <c r="H235" i="13" s="1"/>
  <c r="J235" i="13" s="1"/>
  <c r="C235" i="13"/>
  <c r="F235" i="13" s="1"/>
  <c r="B235" i="13"/>
  <c r="G234" i="13"/>
  <c r="H234" i="13" s="1"/>
  <c r="J234" i="13" s="1"/>
  <c r="C234" i="13"/>
  <c r="F234" i="13" s="1"/>
  <c r="B234" i="13"/>
  <c r="G233" i="13"/>
  <c r="H233" i="13" s="1"/>
  <c r="J233" i="13" s="1"/>
  <c r="C233" i="13"/>
  <c r="F233" i="13" s="1"/>
  <c r="B233" i="13"/>
  <c r="G232" i="13"/>
  <c r="H232" i="13" s="1"/>
  <c r="J232" i="13" s="1"/>
  <c r="C232" i="13"/>
  <c r="F232" i="13" s="1"/>
  <c r="B232" i="13"/>
  <c r="G231" i="13"/>
  <c r="H231" i="13" s="1"/>
  <c r="J231" i="13" s="1"/>
  <c r="C231" i="13"/>
  <c r="F231" i="13" s="1"/>
  <c r="B231" i="13"/>
  <c r="G230" i="13"/>
  <c r="H230" i="13" s="1"/>
  <c r="J230" i="13" s="1"/>
  <c r="C230" i="13"/>
  <c r="F230" i="13" s="1"/>
  <c r="B230" i="13"/>
  <c r="G229" i="13"/>
  <c r="H229" i="13" s="1"/>
  <c r="J229" i="13" s="1"/>
  <c r="C229" i="13"/>
  <c r="F229" i="13" s="1"/>
  <c r="B229" i="13"/>
  <c r="G228" i="13"/>
  <c r="H228" i="13" s="1"/>
  <c r="J228" i="13" s="1"/>
  <c r="C228" i="13"/>
  <c r="F228" i="13" s="1"/>
  <c r="B228" i="13"/>
  <c r="G227" i="13"/>
  <c r="H227" i="13" s="1"/>
  <c r="J227" i="13" s="1"/>
  <c r="C227" i="13"/>
  <c r="F227" i="13" s="1"/>
  <c r="B227" i="13"/>
  <c r="G226" i="13"/>
  <c r="H226" i="13" s="1"/>
  <c r="J226" i="13" s="1"/>
  <c r="C226" i="13"/>
  <c r="F226" i="13" s="1"/>
  <c r="B226" i="13"/>
  <c r="G225" i="13"/>
  <c r="H225" i="13" s="1"/>
  <c r="J225" i="13" s="1"/>
  <c r="C225" i="13"/>
  <c r="F225" i="13" s="1"/>
  <c r="B225" i="13"/>
  <c r="G224" i="13"/>
  <c r="H224" i="13" s="1"/>
  <c r="J224" i="13" s="1"/>
  <c r="C224" i="13"/>
  <c r="F224" i="13" s="1"/>
  <c r="B224" i="13"/>
  <c r="G223" i="13"/>
  <c r="H223" i="13" s="1"/>
  <c r="J223" i="13" s="1"/>
  <c r="C223" i="13"/>
  <c r="F223" i="13" s="1"/>
  <c r="B223" i="13"/>
  <c r="G222" i="13"/>
  <c r="H222" i="13" s="1"/>
  <c r="J222" i="13" s="1"/>
  <c r="C222" i="13"/>
  <c r="F222" i="13" s="1"/>
  <c r="B222" i="13"/>
  <c r="G221" i="13"/>
  <c r="H221" i="13" s="1"/>
  <c r="J221" i="13" s="1"/>
  <c r="C221" i="13"/>
  <c r="F221" i="13" s="1"/>
  <c r="B221" i="13"/>
  <c r="G220" i="13"/>
  <c r="H220" i="13" s="1"/>
  <c r="J220" i="13" s="1"/>
  <c r="C220" i="13"/>
  <c r="F220" i="13" s="1"/>
  <c r="B220" i="13"/>
  <c r="G219" i="13"/>
  <c r="H219" i="13" s="1"/>
  <c r="C219" i="13"/>
  <c r="F219" i="13" s="1"/>
  <c r="B219" i="13"/>
  <c r="G218" i="13"/>
  <c r="H218" i="13" s="1"/>
  <c r="J218" i="13" s="1"/>
  <c r="C218" i="13"/>
  <c r="F218" i="13" s="1"/>
  <c r="B218" i="13"/>
  <c r="G217" i="13"/>
  <c r="H217" i="13" s="1"/>
  <c r="J217" i="13" s="1"/>
  <c r="C217" i="13"/>
  <c r="F217" i="13" s="1"/>
  <c r="B217" i="13"/>
  <c r="G216" i="13"/>
  <c r="H216" i="13" s="1"/>
  <c r="J216" i="13" s="1"/>
  <c r="C216" i="13"/>
  <c r="F216" i="13" s="1"/>
  <c r="B216" i="13"/>
  <c r="G215" i="13"/>
  <c r="H215" i="13" s="1"/>
  <c r="J215" i="13" s="1"/>
  <c r="C215" i="13"/>
  <c r="F215" i="13" s="1"/>
  <c r="B215" i="13"/>
  <c r="G214" i="13"/>
  <c r="H214" i="13" s="1"/>
  <c r="J214" i="13" s="1"/>
  <c r="C214" i="13"/>
  <c r="F214" i="13" s="1"/>
  <c r="B214" i="13"/>
  <c r="G213" i="13"/>
  <c r="H213" i="13" s="1"/>
  <c r="J213" i="13" s="1"/>
  <c r="C213" i="13"/>
  <c r="F213" i="13" s="1"/>
  <c r="B213" i="13"/>
  <c r="G212" i="13"/>
  <c r="H212" i="13" s="1"/>
  <c r="J212" i="13" s="1"/>
  <c r="C212" i="13"/>
  <c r="F212" i="13" s="1"/>
  <c r="B212" i="13"/>
  <c r="G211" i="13"/>
  <c r="H211" i="13" s="1"/>
  <c r="J211" i="13" s="1"/>
  <c r="C211" i="13"/>
  <c r="F211" i="13" s="1"/>
  <c r="B211" i="13"/>
  <c r="G210" i="13"/>
  <c r="H210" i="13" s="1"/>
  <c r="J210" i="13" s="1"/>
  <c r="C210" i="13"/>
  <c r="F210" i="13" s="1"/>
  <c r="B210" i="13"/>
  <c r="G209" i="13"/>
  <c r="H209" i="13" s="1"/>
  <c r="J209" i="13" s="1"/>
  <c r="C209" i="13"/>
  <c r="F209" i="13" s="1"/>
  <c r="B209" i="13"/>
  <c r="G208" i="13"/>
  <c r="H208" i="13" s="1"/>
  <c r="J208" i="13" s="1"/>
  <c r="C208" i="13"/>
  <c r="F208" i="13" s="1"/>
  <c r="B208" i="13"/>
  <c r="G207" i="13"/>
  <c r="H207" i="13" s="1"/>
  <c r="J207" i="13" s="1"/>
  <c r="C207" i="13"/>
  <c r="F207" i="13" s="1"/>
  <c r="B207" i="13"/>
  <c r="G206" i="13"/>
  <c r="H206" i="13" s="1"/>
  <c r="J206" i="13" s="1"/>
  <c r="C206" i="13"/>
  <c r="F206" i="13" s="1"/>
  <c r="B206" i="13"/>
  <c r="G205" i="13"/>
  <c r="H205" i="13" s="1"/>
  <c r="J205" i="13" s="1"/>
  <c r="C205" i="13"/>
  <c r="F205" i="13" s="1"/>
  <c r="B205" i="13"/>
  <c r="G204" i="13"/>
  <c r="H204" i="13" s="1"/>
  <c r="J204" i="13" s="1"/>
  <c r="C204" i="13"/>
  <c r="F204" i="13" s="1"/>
  <c r="B204" i="13"/>
  <c r="G203" i="13"/>
  <c r="H203" i="13" s="1"/>
  <c r="J203" i="13" s="1"/>
  <c r="C203" i="13"/>
  <c r="F203" i="13" s="1"/>
  <c r="B203" i="13"/>
  <c r="G202" i="13"/>
  <c r="H202" i="13" s="1"/>
  <c r="J202" i="13" s="1"/>
  <c r="C202" i="13"/>
  <c r="F202" i="13" s="1"/>
  <c r="B202" i="13"/>
  <c r="G201" i="13"/>
  <c r="H201" i="13" s="1"/>
  <c r="J201" i="13" s="1"/>
  <c r="C201" i="13"/>
  <c r="F201" i="13" s="1"/>
  <c r="B201" i="13"/>
  <c r="G200" i="13"/>
  <c r="H200" i="13" s="1"/>
  <c r="J200" i="13" s="1"/>
  <c r="C200" i="13"/>
  <c r="F200" i="13" s="1"/>
  <c r="B200" i="13"/>
  <c r="G199" i="13"/>
  <c r="H199" i="13" s="1"/>
  <c r="J199" i="13" s="1"/>
  <c r="C199" i="13"/>
  <c r="F199" i="13" s="1"/>
  <c r="B199" i="13"/>
  <c r="G198" i="13"/>
  <c r="H198" i="13" s="1"/>
  <c r="J198" i="13" s="1"/>
  <c r="C198" i="13"/>
  <c r="F198" i="13" s="1"/>
  <c r="B198" i="13"/>
  <c r="G197" i="13"/>
  <c r="H197" i="13" s="1"/>
  <c r="J197" i="13" s="1"/>
  <c r="C197" i="13"/>
  <c r="F197" i="13" s="1"/>
  <c r="B197" i="13"/>
  <c r="G196" i="13"/>
  <c r="H196" i="13" s="1"/>
  <c r="J196" i="13" s="1"/>
  <c r="C196" i="13"/>
  <c r="F196" i="13" s="1"/>
  <c r="B196" i="13"/>
  <c r="G195" i="13"/>
  <c r="H195" i="13" s="1"/>
  <c r="C195" i="13"/>
  <c r="F195" i="13" s="1"/>
  <c r="B195" i="13"/>
  <c r="G194" i="13"/>
  <c r="H194" i="13" s="1"/>
  <c r="J194" i="13" s="1"/>
  <c r="C194" i="13"/>
  <c r="F194" i="13" s="1"/>
  <c r="B194" i="13"/>
  <c r="G193" i="13"/>
  <c r="H193" i="13" s="1"/>
  <c r="J193" i="13" s="1"/>
  <c r="C193" i="13"/>
  <c r="F193" i="13" s="1"/>
  <c r="B193" i="13"/>
  <c r="G192" i="13"/>
  <c r="H192" i="13" s="1"/>
  <c r="J192" i="13" s="1"/>
  <c r="C192" i="13"/>
  <c r="F192" i="13" s="1"/>
  <c r="B192" i="13"/>
  <c r="G191" i="13"/>
  <c r="H191" i="13" s="1"/>
  <c r="J191" i="13" s="1"/>
  <c r="C191" i="13"/>
  <c r="F191" i="13" s="1"/>
  <c r="B191" i="13"/>
  <c r="G190" i="13"/>
  <c r="H190" i="13" s="1"/>
  <c r="J190" i="13" s="1"/>
  <c r="C190" i="13"/>
  <c r="F190" i="13" s="1"/>
  <c r="B190" i="13"/>
  <c r="G189" i="13"/>
  <c r="H189" i="13" s="1"/>
  <c r="J189" i="13" s="1"/>
  <c r="C189" i="13"/>
  <c r="F189" i="13" s="1"/>
  <c r="B189" i="13"/>
  <c r="G188" i="13"/>
  <c r="H188" i="13" s="1"/>
  <c r="J188" i="13" s="1"/>
  <c r="C188" i="13"/>
  <c r="F188" i="13" s="1"/>
  <c r="B188" i="13"/>
  <c r="G187" i="13"/>
  <c r="H187" i="13" s="1"/>
  <c r="J187" i="13" s="1"/>
  <c r="C187" i="13"/>
  <c r="F187" i="13" s="1"/>
  <c r="B187" i="13"/>
  <c r="G186" i="13"/>
  <c r="H186" i="13" s="1"/>
  <c r="J186" i="13" s="1"/>
  <c r="C186" i="13"/>
  <c r="F186" i="13" s="1"/>
  <c r="B186" i="13"/>
  <c r="G185" i="13"/>
  <c r="H185" i="13" s="1"/>
  <c r="J185" i="13" s="1"/>
  <c r="C185" i="13"/>
  <c r="F185" i="13" s="1"/>
  <c r="B185" i="13"/>
  <c r="G184" i="13"/>
  <c r="H184" i="13" s="1"/>
  <c r="J184" i="13" s="1"/>
  <c r="C184" i="13"/>
  <c r="F184" i="13" s="1"/>
  <c r="B184" i="13"/>
  <c r="G183" i="13"/>
  <c r="H183" i="13" s="1"/>
  <c r="J183" i="13" s="1"/>
  <c r="C183" i="13"/>
  <c r="F183" i="13" s="1"/>
  <c r="B183" i="13"/>
  <c r="G182" i="13"/>
  <c r="H182" i="13" s="1"/>
  <c r="J182" i="13" s="1"/>
  <c r="C182" i="13"/>
  <c r="F182" i="13" s="1"/>
  <c r="B182" i="13"/>
  <c r="G181" i="13"/>
  <c r="H181" i="13" s="1"/>
  <c r="J181" i="13" s="1"/>
  <c r="C181" i="13"/>
  <c r="F181" i="13" s="1"/>
  <c r="B181" i="13"/>
  <c r="G180" i="13"/>
  <c r="H180" i="13" s="1"/>
  <c r="J180" i="13" s="1"/>
  <c r="C180" i="13"/>
  <c r="F180" i="13" s="1"/>
  <c r="B180" i="13"/>
  <c r="G179" i="13"/>
  <c r="H179" i="13" s="1"/>
  <c r="J179" i="13" s="1"/>
  <c r="C179" i="13"/>
  <c r="F179" i="13" s="1"/>
  <c r="B179" i="13"/>
  <c r="G178" i="13"/>
  <c r="H178" i="13" s="1"/>
  <c r="J178" i="13" s="1"/>
  <c r="C178" i="13"/>
  <c r="F178" i="13" s="1"/>
  <c r="B178" i="13"/>
  <c r="G177" i="13"/>
  <c r="H177" i="13" s="1"/>
  <c r="J177" i="13" s="1"/>
  <c r="C177" i="13"/>
  <c r="F177" i="13" s="1"/>
  <c r="B177" i="13"/>
  <c r="G176" i="13"/>
  <c r="H176" i="13" s="1"/>
  <c r="J176" i="13" s="1"/>
  <c r="C176" i="13"/>
  <c r="F176" i="13" s="1"/>
  <c r="B176" i="13"/>
  <c r="G175" i="13"/>
  <c r="H175" i="13" s="1"/>
  <c r="J175" i="13" s="1"/>
  <c r="C175" i="13"/>
  <c r="F175" i="13" s="1"/>
  <c r="B175" i="13"/>
  <c r="G174" i="13"/>
  <c r="H174" i="13" s="1"/>
  <c r="J174" i="13" s="1"/>
  <c r="C174" i="13"/>
  <c r="F174" i="13" s="1"/>
  <c r="B174" i="13"/>
  <c r="G173" i="13"/>
  <c r="H173" i="13" s="1"/>
  <c r="J173" i="13" s="1"/>
  <c r="C173" i="13"/>
  <c r="F173" i="13" s="1"/>
  <c r="B173" i="13"/>
  <c r="G172" i="13"/>
  <c r="H172" i="13" s="1"/>
  <c r="J172" i="13" s="1"/>
  <c r="C172" i="13"/>
  <c r="F172" i="13" s="1"/>
  <c r="B172" i="13"/>
  <c r="G171" i="13"/>
  <c r="H171" i="13" s="1"/>
  <c r="C171" i="13"/>
  <c r="F171" i="13" s="1"/>
  <c r="B171" i="13"/>
  <c r="G170" i="13"/>
  <c r="H170" i="13" s="1"/>
  <c r="J170" i="13" s="1"/>
  <c r="C170" i="13"/>
  <c r="F170" i="13" s="1"/>
  <c r="B170" i="13"/>
  <c r="G169" i="13"/>
  <c r="H169" i="13" s="1"/>
  <c r="J169" i="13" s="1"/>
  <c r="C169" i="13"/>
  <c r="F169" i="13" s="1"/>
  <c r="B169" i="13"/>
  <c r="G168" i="13"/>
  <c r="H168" i="13" s="1"/>
  <c r="J168" i="13" s="1"/>
  <c r="C168" i="13"/>
  <c r="F168" i="13" s="1"/>
  <c r="B168" i="13"/>
  <c r="G167" i="13"/>
  <c r="H167" i="13" s="1"/>
  <c r="J167" i="13" s="1"/>
  <c r="C167" i="13"/>
  <c r="F167" i="13" s="1"/>
  <c r="B167" i="13"/>
  <c r="G166" i="13"/>
  <c r="H166" i="13" s="1"/>
  <c r="J166" i="13" s="1"/>
  <c r="C166" i="13"/>
  <c r="F166" i="13" s="1"/>
  <c r="B166" i="13"/>
  <c r="G165" i="13"/>
  <c r="H165" i="13" s="1"/>
  <c r="J165" i="13" s="1"/>
  <c r="C165" i="13"/>
  <c r="F165" i="13" s="1"/>
  <c r="B165" i="13"/>
  <c r="G164" i="13"/>
  <c r="H164" i="13" s="1"/>
  <c r="J164" i="13" s="1"/>
  <c r="C164" i="13"/>
  <c r="F164" i="13" s="1"/>
  <c r="B164" i="13"/>
  <c r="G163" i="13"/>
  <c r="H163" i="13" s="1"/>
  <c r="J163" i="13" s="1"/>
  <c r="C163" i="13"/>
  <c r="F163" i="13" s="1"/>
  <c r="B163" i="13"/>
  <c r="G162" i="13"/>
  <c r="H162" i="13" s="1"/>
  <c r="C162" i="13"/>
  <c r="F162" i="13" s="1"/>
  <c r="B162" i="13"/>
  <c r="G161" i="13"/>
  <c r="H161" i="13" s="1"/>
  <c r="J161" i="13" s="1"/>
  <c r="C161" i="13"/>
  <c r="F161" i="13" s="1"/>
  <c r="B161" i="13"/>
  <c r="G160" i="13"/>
  <c r="H160" i="13" s="1"/>
  <c r="J160" i="13" s="1"/>
  <c r="C160" i="13"/>
  <c r="F160" i="13" s="1"/>
  <c r="B160" i="13"/>
  <c r="G159" i="13"/>
  <c r="H159" i="13" s="1"/>
  <c r="J159" i="13" s="1"/>
  <c r="C159" i="13"/>
  <c r="F159" i="13" s="1"/>
  <c r="B159" i="13"/>
  <c r="G158" i="13"/>
  <c r="H158" i="13" s="1"/>
  <c r="J158" i="13" s="1"/>
  <c r="C158" i="13"/>
  <c r="F158" i="13" s="1"/>
  <c r="B158" i="13"/>
  <c r="G157" i="13"/>
  <c r="H157" i="13" s="1"/>
  <c r="J157" i="13" s="1"/>
  <c r="C157" i="13"/>
  <c r="F157" i="13" s="1"/>
  <c r="B157" i="13"/>
  <c r="G156" i="13"/>
  <c r="H156" i="13" s="1"/>
  <c r="J156" i="13" s="1"/>
  <c r="C156" i="13"/>
  <c r="F156" i="13" s="1"/>
  <c r="B156" i="13"/>
  <c r="G155" i="13"/>
  <c r="H155" i="13" s="1"/>
  <c r="J155" i="13" s="1"/>
  <c r="C155" i="13"/>
  <c r="F155" i="13" s="1"/>
  <c r="B155" i="13"/>
  <c r="G154" i="13"/>
  <c r="H154" i="13" s="1"/>
  <c r="J154" i="13" s="1"/>
  <c r="C154" i="13"/>
  <c r="F154" i="13" s="1"/>
  <c r="B154" i="13"/>
  <c r="G153" i="13"/>
  <c r="H153" i="13" s="1"/>
  <c r="J153" i="13" s="1"/>
  <c r="C153" i="13"/>
  <c r="F153" i="13" s="1"/>
  <c r="B153" i="13"/>
  <c r="G152" i="13"/>
  <c r="H152" i="13" s="1"/>
  <c r="C152" i="13"/>
  <c r="F152" i="13" s="1"/>
  <c r="B152" i="13"/>
  <c r="G151" i="13"/>
  <c r="H151" i="13" s="1"/>
  <c r="J151" i="13" s="1"/>
  <c r="C151" i="13"/>
  <c r="F151" i="13" s="1"/>
  <c r="B151" i="13"/>
  <c r="G150" i="13"/>
  <c r="H150" i="13" s="1"/>
  <c r="C150" i="13"/>
  <c r="F150" i="13" s="1"/>
  <c r="B150" i="13"/>
  <c r="G149" i="13"/>
  <c r="H149" i="13" s="1"/>
  <c r="J149" i="13" s="1"/>
  <c r="C149" i="13"/>
  <c r="F149" i="13" s="1"/>
  <c r="B149" i="13"/>
  <c r="G148" i="13"/>
  <c r="H148" i="13" s="1"/>
  <c r="J148" i="13" s="1"/>
  <c r="C148" i="13"/>
  <c r="F148" i="13" s="1"/>
  <c r="B148" i="13"/>
  <c r="G147" i="13"/>
  <c r="H147" i="13" s="1"/>
  <c r="J147" i="13" s="1"/>
  <c r="C147" i="13"/>
  <c r="F147" i="13" s="1"/>
  <c r="B147" i="13"/>
  <c r="G146" i="13"/>
  <c r="H146" i="13" s="1"/>
  <c r="J146" i="13" s="1"/>
  <c r="C146" i="13"/>
  <c r="F146" i="13" s="1"/>
  <c r="B146" i="13"/>
  <c r="G145" i="13"/>
  <c r="H145" i="13" s="1"/>
  <c r="J145" i="13" s="1"/>
  <c r="C145" i="13"/>
  <c r="F145" i="13" s="1"/>
  <c r="B145" i="13"/>
  <c r="G144" i="13"/>
  <c r="H144" i="13" s="1"/>
  <c r="J144" i="13" s="1"/>
  <c r="C144" i="13"/>
  <c r="F144" i="13" s="1"/>
  <c r="B144" i="13"/>
  <c r="G143" i="13"/>
  <c r="H143" i="13" s="1"/>
  <c r="J143" i="13" s="1"/>
  <c r="C143" i="13"/>
  <c r="F143" i="13" s="1"/>
  <c r="B143" i="13"/>
  <c r="G142" i="13"/>
  <c r="H142" i="13" s="1"/>
  <c r="J142" i="13" s="1"/>
  <c r="C142" i="13"/>
  <c r="F142" i="13" s="1"/>
  <c r="B142" i="13"/>
  <c r="G141" i="13"/>
  <c r="H141" i="13" s="1"/>
  <c r="J141" i="13" s="1"/>
  <c r="C141" i="13"/>
  <c r="F141" i="13" s="1"/>
  <c r="B141" i="13"/>
  <c r="G140" i="13"/>
  <c r="H140" i="13" s="1"/>
  <c r="J140" i="13" s="1"/>
  <c r="C140" i="13"/>
  <c r="F140" i="13" s="1"/>
  <c r="B140" i="13"/>
  <c r="G139" i="13"/>
  <c r="H139" i="13" s="1"/>
  <c r="J139" i="13" s="1"/>
  <c r="C139" i="13"/>
  <c r="F139" i="13" s="1"/>
  <c r="B139" i="13"/>
  <c r="G138" i="13"/>
  <c r="H138" i="13" s="1"/>
  <c r="C138" i="13"/>
  <c r="F138" i="13" s="1"/>
  <c r="B138" i="13"/>
  <c r="G137" i="13"/>
  <c r="H137" i="13" s="1"/>
  <c r="J137" i="13" s="1"/>
  <c r="C137" i="13"/>
  <c r="F137" i="13" s="1"/>
  <c r="B137" i="13"/>
  <c r="G136" i="13"/>
  <c r="H136" i="13" s="1"/>
  <c r="J136" i="13" s="1"/>
  <c r="C136" i="13"/>
  <c r="F136" i="13" s="1"/>
  <c r="B136" i="13"/>
  <c r="G135" i="13"/>
  <c r="H135" i="13" s="1"/>
  <c r="J135" i="13" s="1"/>
  <c r="C135" i="13"/>
  <c r="F135" i="13" s="1"/>
  <c r="B135" i="13"/>
  <c r="G134" i="13"/>
  <c r="H134" i="13" s="1"/>
  <c r="J134" i="13" s="1"/>
  <c r="C134" i="13"/>
  <c r="F134" i="13" s="1"/>
  <c r="B134" i="13"/>
  <c r="G133" i="13"/>
  <c r="H133" i="13" s="1"/>
  <c r="J133" i="13" s="1"/>
  <c r="C133" i="13"/>
  <c r="F133" i="13" s="1"/>
  <c r="B133" i="13"/>
  <c r="G132" i="13"/>
  <c r="H132" i="13" s="1"/>
  <c r="J132" i="13" s="1"/>
  <c r="C132" i="13"/>
  <c r="F132" i="13" s="1"/>
  <c r="B132" i="13"/>
  <c r="G131" i="13"/>
  <c r="H131" i="13" s="1"/>
  <c r="J131" i="13" s="1"/>
  <c r="C131" i="13"/>
  <c r="F131" i="13" s="1"/>
  <c r="B131" i="13"/>
  <c r="G130" i="13"/>
  <c r="H130" i="13" s="1"/>
  <c r="J130" i="13" s="1"/>
  <c r="C130" i="13"/>
  <c r="F130" i="13" s="1"/>
  <c r="B130" i="13"/>
  <c r="G129" i="13"/>
  <c r="H129" i="13" s="1"/>
  <c r="J129" i="13" s="1"/>
  <c r="C129" i="13"/>
  <c r="F129" i="13" s="1"/>
  <c r="B129" i="13"/>
  <c r="G128" i="13"/>
  <c r="H128" i="13" s="1"/>
  <c r="J128" i="13" s="1"/>
  <c r="C128" i="13"/>
  <c r="F128" i="13" s="1"/>
  <c r="B128" i="13"/>
  <c r="G127" i="13"/>
  <c r="H127" i="13" s="1"/>
  <c r="J127" i="13" s="1"/>
  <c r="C127" i="13"/>
  <c r="F127" i="13" s="1"/>
  <c r="B127" i="13"/>
  <c r="G126" i="13"/>
  <c r="H126" i="13" s="1"/>
  <c r="J126" i="13" s="1"/>
  <c r="C126" i="13"/>
  <c r="F126" i="13" s="1"/>
  <c r="B126" i="13"/>
  <c r="G125" i="13"/>
  <c r="H125" i="13" s="1"/>
  <c r="J125" i="13" s="1"/>
  <c r="C125" i="13"/>
  <c r="F125" i="13" s="1"/>
  <c r="B125" i="13"/>
  <c r="G124" i="13"/>
  <c r="H124" i="13" s="1"/>
  <c r="J124" i="13" s="1"/>
  <c r="C124" i="13"/>
  <c r="F124" i="13" s="1"/>
  <c r="B124" i="13"/>
  <c r="G123" i="13"/>
  <c r="H123" i="13" s="1"/>
  <c r="J123" i="13" s="1"/>
  <c r="C123" i="13"/>
  <c r="F123" i="13" s="1"/>
  <c r="B123" i="13"/>
  <c r="G122" i="13"/>
  <c r="H122" i="13" s="1"/>
  <c r="J122" i="13" s="1"/>
  <c r="C122" i="13"/>
  <c r="F122" i="13" s="1"/>
  <c r="B122" i="13"/>
  <c r="G121" i="13"/>
  <c r="H121" i="13" s="1"/>
  <c r="J121" i="13" s="1"/>
  <c r="C121" i="13"/>
  <c r="F121" i="13" s="1"/>
  <c r="B121" i="13"/>
  <c r="G120" i="13"/>
  <c r="H120" i="13" s="1"/>
  <c r="J120" i="13" s="1"/>
  <c r="C120" i="13"/>
  <c r="F120" i="13" s="1"/>
  <c r="B120" i="13"/>
  <c r="G119" i="13"/>
  <c r="H119" i="13" s="1"/>
  <c r="J119" i="13" s="1"/>
  <c r="C119" i="13"/>
  <c r="F119" i="13" s="1"/>
  <c r="B119" i="13"/>
  <c r="G118" i="13"/>
  <c r="H118" i="13" s="1"/>
  <c r="J118" i="13" s="1"/>
  <c r="C118" i="13"/>
  <c r="F118" i="13" s="1"/>
  <c r="B118" i="13"/>
  <c r="G117" i="13"/>
  <c r="H117" i="13" s="1"/>
  <c r="J117" i="13" s="1"/>
  <c r="C117" i="13"/>
  <c r="F117" i="13" s="1"/>
  <c r="B117" i="13"/>
  <c r="G116" i="13"/>
  <c r="H116" i="13" s="1"/>
  <c r="J116" i="13" s="1"/>
  <c r="C116" i="13"/>
  <c r="F116" i="13" s="1"/>
  <c r="B116" i="13"/>
  <c r="G115" i="13"/>
  <c r="H115" i="13" s="1"/>
  <c r="J115" i="13" s="1"/>
  <c r="C115" i="13"/>
  <c r="F115" i="13" s="1"/>
  <c r="B115" i="13"/>
  <c r="G114" i="13"/>
  <c r="H114" i="13" s="1"/>
  <c r="J114" i="13" s="1"/>
  <c r="C114" i="13"/>
  <c r="F114" i="13" s="1"/>
  <c r="B114" i="13"/>
  <c r="G113" i="13"/>
  <c r="H113" i="13" s="1"/>
  <c r="J113" i="13" s="1"/>
  <c r="C113" i="13"/>
  <c r="F113" i="13" s="1"/>
  <c r="B113" i="13"/>
  <c r="G112" i="13"/>
  <c r="H112" i="13" s="1"/>
  <c r="J112" i="13" s="1"/>
  <c r="C112" i="13"/>
  <c r="F112" i="13" s="1"/>
  <c r="B112" i="13"/>
  <c r="G111" i="13"/>
  <c r="H111" i="13" s="1"/>
  <c r="J111" i="13" s="1"/>
  <c r="C111" i="13"/>
  <c r="F111" i="13" s="1"/>
  <c r="B111" i="13"/>
  <c r="G110" i="13"/>
  <c r="H110" i="13" s="1"/>
  <c r="J110" i="13" s="1"/>
  <c r="C110" i="13"/>
  <c r="F110" i="13" s="1"/>
  <c r="B110" i="13"/>
  <c r="G109" i="13"/>
  <c r="H109" i="13" s="1"/>
  <c r="J109" i="13" s="1"/>
  <c r="C109" i="13"/>
  <c r="F109" i="13" s="1"/>
  <c r="B109" i="13"/>
  <c r="G108" i="13"/>
  <c r="H108" i="13" s="1"/>
  <c r="J108" i="13" s="1"/>
  <c r="C108" i="13"/>
  <c r="F108" i="13" s="1"/>
  <c r="B108" i="13"/>
  <c r="G107" i="13"/>
  <c r="H107" i="13" s="1"/>
  <c r="J107" i="13" s="1"/>
  <c r="C107" i="13"/>
  <c r="F107" i="13" s="1"/>
  <c r="B107" i="13"/>
  <c r="G106" i="13"/>
  <c r="H106" i="13" s="1"/>
  <c r="J106" i="13" s="1"/>
  <c r="C106" i="13"/>
  <c r="F106" i="13" s="1"/>
  <c r="B106" i="13"/>
  <c r="G105" i="13"/>
  <c r="H105" i="13" s="1"/>
  <c r="J105" i="13" s="1"/>
  <c r="C105" i="13"/>
  <c r="F105" i="13" s="1"/>
  <c r="B105" i="13"/>
  <c r="G104" i="13"/>
  <c r="H104" i="13" s="1"/>
  <c r="J104" i="13" s="1"/>
  <c r="C104" i="13"/>
  <c r="F104" i="13" s="1"/>
  <c r="B104" i="13"/>
  <c r="G103" i="13"/>
  <c r="H103" i="13" s="1"/>
  <c r="J103" i="13" s="1"/>
  <c r="C103" i="13"/>
  <c r="F103" i="13" s="1"/>
  <c r="B103" i="13"/>
  <c r="G102" i="13"/>
  <c r="H102" i="13" s="1"/>
  <c r="J102" i="13" s="1"/>
  <c r="C102" i="13"/>
  <c r="F102" i="13" s="1"/>
  <c r="B102" i="13"/>
  <c r="G101" i="13"/>
  <c r="H101" i="13" s="1"/>
  <c r="J101" i="13" s="1"/>
  <c r="C101" i="13"/>
  <c r="F101" i="13" s="1"/>
  <c r="B101" i="13"/>
  <c r="G100" i="13"/>
  <c r="H100" i="13" s="1"/>
  <c r="J100" i="13" s="1"/>
  <c r="C100" i="13"/>
  <c r="F100" i="13" s="1"/>
  <c r="B100" i="13"/>
  <c r="G99" i="13"/>
  <c r="H99" i="13" s="1"/>
  <c r="J99" i="13" s="1"/>
  <c r="C99" i="13"/>
  <c r="F99" i="13" s="1"/>
  <c r="B99" i="13"/>
  <c r="G98" i="13"/>
  <c r="H98" i="13" s="1"/>
  <c r="J98" i="13" s="1"/>
  <c r="C98" i="13"/>
  <c r="F98" i="13" s="1"/>
  <c r="B98" i="13"/>
  <c r="G97" i="13"/>
  <c r="H97" i="13" s="1"/>
  <c r="J97" i="13" s="1"/>
  <c r="C97" i="13"/>
  <c r="F97" i="13" s="1"/>
  <c r="B97" i="13"/>
  <c r="G96" i="13"/>
  <c r="H96" i="13" s="1"/>
  <c r="J96" i="13" s="1"/>
  <c r="C96" i="13"/>
  <c r="F96" i="13" s="1"/>
  <c r="B96" i="13"/>
  <c r="G95" i="13"/>
  <c r="H95" i="13" s="1"/>
  <c r="J95" i="13" s="1"/>
  <c r="C95" i="13"/>
  <c r="F95" i="13" s="1"/>
  <c r="B95" i="13"/>
  <c r="G94" i="13"/>
  <c r="H94" i="13" s="1"/>
  <c r="J94" i="13" s="1"/>
  <c r="C94" i="13"/>
  <c r="F94" i="13" s="1"/>
  <c r="B94" i="13"/>
  <c r="G93" i="13"/>
  <c r="H93" i="13" s="1"/>
  <c r="J93" i="13" s="1"/>
  <c r="C93" i="13"/>
  <c r="F93" i="13" s="1"/>
  <c r="B93" i="13"/>
  <c r="G92" i="13"/>
  <c r="H92" i="13" s="1"/>
  <c r="J92" i="13" s="1"/>
  <c r="C92" i="13"/>
  <c r="F92" i="13" s="1"/>
  <c r="B92" i="13"/>
  <c r="G91" i="13"/>
  <c r="H91" i="13" s="1"/>
  <c r="J91" i="13" s="1"/>
  <c r="C91" i="13"/>
  <c r="F91" i="13" s="1"/>
  <c r="B91" i="13"/>
  <c r="G90" i="13"/>
  <c r="H90" i="13" s="1"/>
  <c r="J90" i="13" s="1"/>
  <c r="C90" i="13"/>
  <c r="F90" i="13" s="1"/>
  <c r="B90" i="13"/>
  <c r="G89" i="13"/>
  <c r="H89" i="13" s="1"/>
  <c r="J89" i="13" s="1"/>
  <c r="C89" i="13"/>
  <c r="F89" i="13" s="1"/>
  <c r="B89" i="13"/>
  <c r="G88" i="13"/>
  <c r="H88" i="13" s="1"/>
  <c r="J88" i="13" s="1"/>
  <c r="C88" i="13"/>
  <c r="F88" i="13" s="1"/>
  <c r="B88" i="13"/>
  <c r="G87" i="13"/>
  <c r="H87" i="13" s="1"/>
  <c r="J87" i="13" s="1"/>
  <c r="C87" i="13"/>
  <c r="F87" i="13" s="1"/>
  <c r="B87" i="13"/>
  <c r="G86" i="13"/>
  <c r="H86" i="13" s="1"/>
  <c r="J86" i="13" s="1"/>
  <c r="C86" i="13"/>
  <c r="F86" i="13" s="1"/>
  <c r="B86" i="13"/>
  <c r="G85" i="13"/>
  <c r="H85" i="13" s="1"/>
  <c r="J85" i="13" s="1"/>
  <c r="C85" i="13"/>
  <c r="F85" i="13" s="1"/>
  <c r="B85" i="13"/>
  <c r="G84" i="13"/>
  <c r="H84" i="13" s="1"/>
  <c r="J84" i="13" s="1"/>
  <c r="C84" i="13"/>
  <c r="F84" i="13" s="1"/>
  <c r="B84" i="13"/>
  <c r="G83" i="13"/>
  <c r="H83" i="13" s="1"/>
  <c r="J83" i="13" s="1"/>
  <c r="C83" i="13"/>
  <c r="F83" i="13" s="1"/>
  <c r="B83" i="13"/>
  <c r="G82" i="13"/>
  <c r="H82" i="13" s="1"/>
  <c r="J82" i="13" s="1"/>
  <c r="C82" i="13"/>
  <c r="F82" i="13" s="1"/>
  <c r="B82" i="13"/>
  <c r="G81" i="13"/>
  <c r="H81" i="13" s="1"/>
  <c r="J81" i="13" s="1"/>
  <c r="C81" i="13"/>
  <c r="F81" i="13" s="1"/>
  <c r="B81" i="13"/>
  <c r="G80" i="13"/>
  <c r="H80" i="13" s="1"/>
  <c r="C80" i="13"/>
  <c r="F80" i="13" s="1"/>
  <c r="B80" i="13"/>
  <c r="G79" i="13"/>
  <c r="H79" i="13" s="1"/>
  <c r="J79" i="13" s="1"/>
  <c r="C79" i="13"/>
  <c r="F79" i="13" s="1"/>
  <c r="B79" i="13"/>
  <c r="G78" i="13"/>
  <c r="H78" i="13" s="1"/>
  <c r="J78" i="13" s="1"/>
  <c r="C78" i="13"/>
  <c r="F78" i="13" s="1"/>
  <c r="B78" i="13"/>
  <c r="G77" i="13"/>
  <c r="H77" i="13" s="1"/>
  <c r="J77" i="13" s="1"/>
  <c r="C77" i="13"/>
  <c r="F77" i="13" s="1"/>
  <c r="B77" i="13"/>
  <c r="G76" i="13"/>
  <c r="H76" i="13" s="1"/>
  <c r="J76" i="13" s="1"/>
  <c r="C76" i="13"/>
  <c r="F76" i="13" s="1"/>
  <c r="B76" i="13"/>
  <c r="G75" i="13"/>
  <c r="H75" i="13" s="1"/>
  <c r="J75" i="13" s="1"/>
  <c r="C75" i="13"/>
  <c r="F75" i="13" s="1"/>
  <c r="B75" i="13"/>
  <c r="G74" i="13"/>
  <c r="H74" i="13" s="1"/>
  <c r="J74" i="13" s="1"/>
  <c r="C74" i="13"/>
  <c r="F74" i="13" s="1"/>
  <c r="B74" i="13"/>
  <c r="G73" i="13"/>
  <c r="H73" i="13" s="1"/>
  <c r="J73" i="13" s="1"/>
  <c r="C73" i="13"/>
  <c r="F73" i="13" s="1"/>
  <c r="B73" i="13"/>
  <c r="G72" i="13"/>
  <c r="H72" i="13" s="1"/>
  <c r="J72" i="13" s="1"/>
  <c r="C72" i="13"/>
  <c r="F72" i="13" s="1"/>
  <c r="B72" i="13"/>
  <c r="G71" i="13"/>
  <c r="H71" i="13" s="1"/>
  <c r="J71" i="13" s="1"/>
  <c r="C71" i="13"/>
  <c r="F71" i="13" s="1"/>
  <c r="B71" i="13"/>
  <c r="G70" i="13"/>
  <c r="H70" i="13" s="1"/>
  <c r="J70" i="13" s="1"/>
  <c r="C70" i="13"/>
  <c r="F70" i="13" s="1"/>
  <c r="B70" i="13"/>
  <c r="G69" i="13"/>
  <c r="H69" i="13" s="1"/>
  <c r="J69" i="13" s="1"/>
  <c r="C69" i="13"/>
  <c r="F69" i="13" s="1"/>
  <c r="B69" i="13"/>
  <c r="G68" i="13"/>
  <c r="H68" i="13" s="1"/>
  <c r="C68" i="13"/>
  <c r="F68" i="13" s="1"/>
  <c r="B68" i="13"/>
  <c r="G67" i="13"/>
  <c r="H67" i="13" s="1"/>
  <c r="J67" i="13" s="1"/>
  <c r="C67" i="13"/>
  <c r="F67" i="13" s="1"/>
  <c r="B67" i="13"/>
  <c r="G66" i="13"/>
  <c r="H66" i="13" s="1"/>
  <c r="J66" i="13" s="1"/>
  <c r="C66" i="13"/>
  <c r="F66" i="13" s="1"/>
  <c r="B66" i="13"/>
  <c r="G65" i="13"/>
  <c r="H65" i="13" s="1"/>
  <c r="J65" i="13" s="1"/>
  <c r="C65" i="13"/>
  <c r="F65" i="13" s="1"/>
  <c r="B65" i="13"/>
  <c r="G64" i="13"/>
  <c r="H64" i="13" s="1"/>
  <c r="J64" i="13" s="1"/>
  <c r="C64" i="13"/>
  <c r="F64" i="13" s="1"/>
  <c r="B64" i="13"/>
  <c r="G63" i="13"/>
  <c r="H63" i="13" s="1"/>
  <c r="J63" i="13" s="1"/>
  <c r="C63" i="13"/>
  <c r="F63" i="13" s="1"/>
  <c r="B63" i="13"/>
  <c r="G62" i="13"/>
  <c r="H62" i="13" s="1"/>
  <c r="J62" i="13" s="1"/>
  <c r="C62" i="13"/>
  <c r="F62" i="13" s="1"/>
  <c r="B62" i="13"/>
  <c r="G61" i="13"/>
  <c r="H61" i="13" s="1"/>
  <c r="J61" i="13" s="1"/>
  <c r="C61" i="13"/>
  <c r="F61" i="13" s="1"/>
  <c r="B61" i="13"/>
  <c r="G60" i="13"/>
  <c r="H60" i="13" s="1"/>
  <c r="J60" i="13" s="1"/>
  <c r="C60" i="13"/>
  <c r="F60" i="13" s="1"/>
  <c r="B60" i="13"/>
  <c r="G59" i="13"/>
  <c r="H59" i="13" s="1"/>
  <c r="J59" i="13" s="1"/>
  <c r="C59" i="13"/>
  <c r="F59" i="13" s="1"/>
  <c r="B59" i="13"/>
  <c r="G58" i="13"/>
  <c r="H58" i="13" s="1"/>
  <c r="J58" i="13" s="1"/>
  <c r="C58" i="13"/>
  <c r="F58" i="13" s="1"/>
  <c r="B58" i="13"/>
  <c r="G57" i="13"/>
  <c r="H57" i="13" s="1"/>
  <c r="J57" i="13" s="1"/>
  <c r="C57" i="13"/>
  <c r="F57" i="13" s="1"/>
  <c r="B57" i="13"/>
  <c r="G56" i="13"/>
  <c r="H56" i="13" s="1"/>
  <c r="C56" i="13"/>
  <c r="F56" i="13" s="1"/>
  <c r="B56" i="13"/>
  <c r="G55" i="13"/>
  <c r="H55" i="13" s="1"/>
  <c r="J55" i="13" s="1"/>
  <c r="C55" i="13"/>
  <c r="F55" i="13" s="1"/>
  <c r="B55" i="13"/>
  <c r="G54" i="13"/>
  <c r="H54" i="13" s="1"/>
  <c r="J54" i="13" s="1"/>
  <c r="C54" i="13"/>
  <c r="F54" i="13" s="1"/>
  <c r="B54" i="13"/>
  <c r="G53" i="13"/>
  <c r="H53" i="13" s="1"/>
  <c r="J53" i="13" s="1"/>
  <c r="C53" i="13"/>
  <c r="F53" i="13" s="1"/>
  <c r="B53" i="13"/>
  <c r="G52" i="13"/>
  <c r="H52" i="13" s="1"/>
  <c r="J52" i="13" s="1"/>
  <c r="C52" i="13"/>
  <c r="F52" i="13" s="1"/>
  <c r="B52" i="13"/>
  <c r="G51" i="13"/>
  <c r="H51" i="13" s="1"/>
  <c r="J51" i="13" s="1"/>
  <c r="C51" i="13"/>
  <c r="F51" i="13" s="1"/>
  <c r="B51" i="13"/>
  <c r="G50" i="13"/>
  <c r="H50" i="13" s="1"/>
  <c r="J50" i="13" s="1"/>
  <c r="C50" i="13"/>
  <c r="F50" i="13" s="1"/>
  <c r="B50" i="13"/>
  <c r="G49" i="13"/>
  <c r="H49" i="13" s="1"/>
  <c r="J49" i="13" s="1"/>
  <c r="C49" i="13"/>
  <c r="F49" i="13" s="1"/>
  <c r="B49" i="13"/>
  <c r="G48" i="13"/>
  <c r="H48" i="13" s="1"/>
  <c r="J48" i="13" s="1"/>
  <c r="C48" i="13"/>
  <c r="F48" i="13" s="1"/>
  <c r="B48" i="13"/>
  <c r="G47" i="13"/>
  <c r="H47" i="13" s="1"/>
  <c r="J47" i="13" s="1"/>
  <c r="C47" i="13"/>
  <c r="F47" i="13" s="1"/>
  <c r="B47" i="13"/>
  <c r="G46" i="13"/>
  <c r="H46" i="13" s="1"/>
  <c r="J46" i="13" s="1"/>
  <c r="C46" i="13"/>
  <c r="F46" i="13" s="1"/>
  <c r="B46" i="13"/>
  <c r="G45" i="13"/>
  <c r="H45" i="13" s="1"/>
  <c r="J45" i="13" s="1"/>
  <c r="C45" i="13"/>
  <c r="F45" i="13" s="1"/>
  <c r="B45" i="13"/>
  <c r="G44" i="13"/>
  <c r="H44" i="13" s="1"/>
  <c r="C44" i="13"/>
  <c r="F44" i="13" s="1"/>
  <c r="B44" i="13"/>
  <c r="G43" i="13"/>
  <c r="H43" i="13" s="1"/>
  <c r="J43" i="13" s="1"/>
  <c r="C43" i="13"/>
  <c r="F43" i="13" s="1"/>
  <c r="B43" i="13"/>
  <c r="G42" i="13"/>
  <c r="H42" i="13" s="1"/>
  <c r="J42" i="13" s="1"/>
  <c r="C42" i="13"/>
  <c r="F42" i="13" s="1"/>
  <c r="B42" i="13"/>
  <c r="G41" i="13"/>
  <c r="H41" i="13" s="1"/>
  <c r="J41" i="13" s="1"/>
  <c r="C41" i="13"/>
  <c r="F41" i="13" s="1"/>
  <c r="B41" i="13"/>
  <c r="G40" i="13"/>
  <c r="H40" i="13" s="1"/>
  <c r="J40" i="13" s="1"/>
  <c r="C40" i="13"/>
  <c r="F40" i="13" s="1"/>
  <c r="B40" i="13"/>
  <c r="G39" i="13"/>
  <c r="H39" i="13" s="1"/>
  <c r="J39" i="13" s="1"/>
  <c r="C39" i="13"/>
  <c r="F39" i="13" s="1"/>
  <c r="B39" i="13"/>
  <c r="G38" i="13"/>
  <c r="H38" i="13" s="1"/>
  <c r="J38" i="13" s="1"/>
  <c r="C38" i="13"/>
  <c r="F38" i="13" s="1"/>
  <c r="B38" i="13"/>
  <c r="G37" i="13"/>
  <c r="H37" i="13" s="1"/>
  <c r="J37" i="13" s="1"/>
  <c r="C37" i="13"/>
  <c r="F37" i="13" s="1"/>
  <c r="B37" i="13"/>
  <c r="G36" i="13"/>
  <c r="H36" i="13" s="1"/>
  <c r="J36" i="13" s="1"/>
  <c r="C36" i="13"/>
  <c r="F36" i="13" s="1"/>
  <c r="B36" i="13"/>
  <c r="G35" i="13"/>
  <c r="H35" i="13" s="1"/>
  <c r="J35" i="13" s="1"/>
  <c r="C35" i="13"/>
  <c r="F35" i="13" s="1"/>
  <c r="B35" i="13"/>
  <c r="G34" i="13"/>
  <c r="H34" i="13" s="1"/>
  <c r="J34" i="13" s="1"/>
  <c r="C34" i="13"/>
  <c r="F34" i="13" s="1"/>
  <c r="B34" i="13"/>
  <c r="G33" i="13"/>
  <c r="H33" i="13" s="1"/>
  <c r="J33" i="13" s="1"/>
  <c r="C33" i="13"/>
  <c r="F33" i="13" s="1"/>
  <c r="B33" i="13"/>
  <c r="G32" i="13"/>
  <c r="H32" i="13" s="1"/>
  <c r="C32" i="13"/>
  <c r="F32" i="13" s="1"/>
  <c r="B32" i="13"/>
  <c r="G31" i="13"/>
  <c r="H31" i="13" s="1"/>
  <c r="J31" i="13" s="1"/>
  <c r="C31" i="13"/>
  <c r="F31" i="13" s="1"/>
  <c r="B31" i="13"/>
  <c r="G30" i="13"/>
  <c r="H30" i="13" s="1"/>
  <c r="J30" i="13" s="1"/>
  <c r="C30" i="13"/>
  <c r="F30" i="13" s="1"/>
  <c r="B30" i="13"/>
  <c r="G29" i="13"/>
  <c r="H29" i="13" s="1"/>
  <c r="J29" i="13" s="1"/>
  <c r="C29" i="13"/>
  <c r="F29" i="13" s="1"/>
  <c r="B29" i="13"/>
  <c r="G28" i="13"/>
  <c r="H28" i="13" s="1"/>
  <c r="J28" i="13" s="1"/>
  <c r="C28" i="13"/>
  <c r="F28" i="13" s="1"/>
  <c r="B28" i="13"/>
  <c r="G27" i="13"/>
  <c r="H27" i="13" s="1"/>
  <c r="J27" i="13" s="1"/>
  <c r="C27" i="13"/>
  <c r="F27" i="13" s="1"/>
  <c r="B27" i="13"/>
  <c r="G26" i="13"/>
  <c r="H26" i="13" s="1"/>
  <c r="J26" i="13" s="1"/>
  <c r="C26" i="13"/>
  <c r="F26" i="13" s="1"/>
  <c r="B26" i="13"/>
  <c r="G25" i="13"/>
  <c r="H25" i="13" s="1"/>
  <c r="J25" i="13" s="1"/>
  <c r="C25" i="13"/>
  <c r="F25" i="13" s="1"/>
  <c r="B25" i="13"/>
  <c r="G24" i="13"/>
  <c r="H24" i="13" s="1"/>
  <c r="J24" i="13" s="1"/>
  <c r="C24" i="13"/>
  <c r="F24" i="13" s="1"/>
  <c r="B24" i="13"/>
  <c r="G23" i="13"/>
  <c r="H23" i="13" s="1"/>
  <c r="J23" i="13" s="1"/>
  <c r="C23" i="13"/>
  <c r="F23" i="13" s="1"/>
  <c r="B23" i="13"/>
  <c r="G22" i="13"/>
  <c r="H22" i="13" s="1"/>
  <c r="J22" i="13" s="1"/>
  <c r="C22" i="13"/>
  <c r="F22" i="13" s="1"/>
  <c r="B22" i="13"/>
  <c r="G21" i="13"/>
  <c r="H21" i="13" s="1"/>
  <c r="J21" i="13" s="1"/>
  <c r="C21" i="13"/>
  <c r="F21" i="13" s="1"/>
  <c r="B21" i="13"/>
  <c r="G20" i="13"/>
  <c r="H20" i="13" s="1"/>
  <c r="C20" i="13"/>
  <c r="F20" i="13" s="1"/>
  <c r="B20" i="13"/>
  <c r="G19" i="13"/>
  <c r="H19" i="13" s="1"/>
  <c r="J19" i="13" s="1"/>
  <c r="C19" i="13"/>
  <c r="F19" i="13" s="1"/>
  <c r="B19" i="13"/>
  <c r="G18" i="13"/>
  <c r="H18" i="13" s="1"/>
  <c r="J18" i="13" s="1"/>
  <c r="C18" i="13"/>
  <c r="F18" i="13" s="1"/>
  <c r="B18" i="13"/>
  <c r="G17" i="13"/>
  <c r="H17" i="13" s="1"/>
  <c r="J17" i="13" s="1"/>
  <c r="C17" i="13"/>
  <c r="F17" i="13" s="1"/>
  <c r="B17" i="13"/>
  <c r="G16" i="13"/>
  <c r="H16" i="13" s="1"/>
  <c r="J16" i="13" s="1"/>
  <c r="C16" i="13"/>
  <c r="F16" i="13" s="1"/>
  <c r="B16" i="13"/>
  <c r="G15" i="13"/>
  <c r="H15" i="13" s="1"/>
  <c r="J15" i="13" s="1"/>
  <c r="C15" i="13"/>
  <c r="F15" i="13" s="1"/>
  <c r="B15" i="13"/>
  <c r="G14" i="13"/>
  <c r="H14" i="13" s="1"/>
  <c r="J14" i="13" s="1"/>
  <c r="C14" i="13"/>
  <c r="F14" i="13" s="1"/>
  <c r="B14" i="13"/>
  <c r="G13" i="13"/>
  <c r="H13" i="13" s="1"/>
  <c r="J13" i="13" s="1"/>
  <c r="C13" i="13"/>
  <c r="F13" i="13" s="1"/>
  <c r="B13" i="13"/>
  <c r="G12" i="13"/>
  <c r="H12" i="13" s="1"/>
  <c r="J12" i="13" s="1"/>
  <c r="C12" i="13"/>
  <c r="F12" i="13" s="1"/>
  <c r="B12" i="13"/>
  <c r="G11" i="13"/>
  <c r="H11" i="13" s="1"/>
  <c r="J11" i="13" s="1"/>
  <c r="C11" i="13"/>
  <c r="F11" i="13" s="1"/>
  <c r="B11" i="13"/>
  <c r="G10" i="13"/>
  <c r="H10" i="13" s="1"/>
  <c r="J10" i="13" s="1"/>
  <c r="C10" i="13"/>
  <c r="F10" i="13" s="1"/>
  <c r="B10" i="13"/>
  <c r="G9" i="13"/>
  <c r="H9" i="13" s="1"/>
  <c r="J9" i="13" s="1"/>
  <c r="C9" i="13"/>
  <c r="F9" i="13" s="1"/>
  <c r="B9" i="13"/>
  <c r="G8" i="13"/>
  <c r="H8" i="13" s="1"/>
  <c r="C8" i="13"/>
  <c r="F8" i="13" s="1"/>
  <c r="B8" i="13"/>
  <c r="G7" i="13"/>
  <c r="H7" i="13" s="1"/>
  <c r="J7" i="13" s="1"/>
  <c r="C7" i="13"/>
  <c r="F7" i="13" s="1"/>
  <c r="B7" i="13"/>
  <c r="G6" i="13"/>
  <c r="H6" i="13" s="1"/>
  <c r="J6" i="13" s="1"/>
  <c r="C6" i="13"/>
  <c r="F6" i="13" s="1"/>
  <c r="B6" i="13"/>
  <c r="G5" i="13"/>
  <c r="H5" i="13" s="1"/>
  <c r="J5" i="13" s="1"/>
  <c r="C5" i="13"/>
  <c r="F5" i="13" s="1"/>
  <c r="B5" i="13"/>
  <c r="G4" i="13"/>
  <c r="H4" i="13" s="1"/>
  <c r="J4" i="13" s="1"/>
  <c r="C4" i="13"/>
  <c r="F4" i="13" s="1"/>
  <c r="B4" i="13"/>
  <c r="I1580" i="13" l="1"/>
  <c r="I233" i="13"/>
  <c r="I273" i="13"/>
  <c r="I3513" i="13"/>
  <c r="I3521" i="13"/>
  <c r="I2300" i="13"/>
  <c r="I2328" i="13"/>
  <c r="I2416" i="13"/>
  <c r="I2464" i="13"/>
  <c r="I2924" i="13"/>
  <c r="I3577" i="13"/>
  <c r="I3661" i="13"/>
  <c r="I2786" i="13"/>
  <c r="I3886" i="13"/>
  <c r="I3930" i="13"/>
  <c r="I4225" i="13"/>
  <c r="I4274" i="13"/>
  <c r="I331" i="13"/>
  <c r="I411" i="13"/>
  <c r="I4140" i="13"/>
  <c r="I4292" i="13"/>
  <c r="I260" i="13"/>
  <c r="I308" i="13"/>
  <c r="I320" i="13"/>
  <c r="I2635" i="13"/>
  <c r="I2651" i="13"/>
  <c r="I3094" i="13"/>
  <c r="I4581" i="13"/>
  <c r="I1940" i="13"/>
  <c r="I1976" i="13"/>
  <c r="I128" i="13"/>
  <c r="I164" i="13"/>
  <c r="I168" i="13"/>
  <c r="I176" i="13"/>
  <c r="I188" i="13"/>
  <c r="I216" i="13"/>
  <c r="I2997" i="13"/>
  <c r="I3001" i="13"/>
  <c r="I3005" i="13"/>
  <c r="I3294" i="13"/>
  <c r="I286" i="13"/>
  <c r="I290" i="13"/>
  <c r="I294" i="13"/>
  <c r="I2652" i="13"/>
  <c r="I2676" i="13"/>
  <c r="I2888" i="13"/>
  <c r="I3247" i="13"/>
  <c r="I3255" i="13"/>
  <c r="I1745" i="13"/>
  <c r="I1909" i="13"/>
  <c r="I2077" i="13"/>
  <c r="I2101" i="13"/>
  <c r="I2109" i="13"/>
  <c r="I3000" i="13"/>
  <c r="I3004" i="13"/>
  <c r="I3020" i="13"/>
  <c r="I639" i="13"/>
  <c r="I647" i="13"/>
  <c r="I891" i="13"/>
  <c r="I895" i="13"/>
  <c r="I453" i="13"/>
  <c r="I457" i="13"/>
  <c r="I2265" i="13"/>
  <c r="I1731" i="13"/>
  <c r="I2553" i="13"/>
  <c r="I4057" i="13"/>
  <c r="I522" i="13"/>
  <c r="I558" i="13"/>
  <c r="I678" i="13"/>
  <c r="I846" i="13"/>
  <c r="I1943" i="13"/>
  <c r="I1955" i="13"/>
  <c r="I1979" i="13"/>
  <c r="I2003" i="13"/>
  <c r="I4417" i="13"/>
  <c r="I1768" i="13"/>
  <c r="I2350" i="13"/>
  <c r="I2366" i="13"/>
  <c r="I2626" i="13"/>
  <c r="I2682" i="13"/>
  <c r="I2714" i="13"/>
  <c r="I3499" i="13"/>
  <c r="I3655" i="13"/>
  <c r="I3671" i="13"/>
  <c r="I1046" i="13"/>
  <c r="I4047" i="13"/>
  <c r="I1406" i="13"/>
  <c r="I1422" i="13"/>
  <c r="I1606" i="13"/>
  <c r="I1634" i="13"/>
  <c r="I3920" i="13"/>
  <c r="I3940" i="13"/>
  <c r="I456" i="13"/>
  <c r="I977" i="13"/>
  <c r="I1100" i="13"/>
  <c r="I1224" i="13"/>
  <c r="I1244" i="13"/>
  <c r="I1248" i="13"/>
  <c r="I206" i="13"/>
  <c r="I214" i="13"/>
  <c r="I492" i="13"/>
  <c r="I516" i="13"/>
  <c r="I1928" i="13"/>
  <c r="I3554" i="13"/>
  <c r="I1281" i="13"/>
  <c r="I4620" i="13"/>
  <c r="I39" i="13"/>
  <c r="I43" i="13"/>
  <c r="I59" i="13"/>
  <c r="I75" i="13"/>
  <c r="I83" i="13"/>
  <c r="I179" i="13"/>
  <c r="I191" i="13"/>
  <c r="I342" i="13"/>
  <c r="I410" i="13"/>
  <c r="I1359" i="13"/>
  <c r="I3153" i="13"/>
  <c r="I3165" i="13"/>
  <c r="I3484" i="13"/>
  <c r="I3849" i="13"/>
  <c r="I4012" i="13"/>
  <c r="I227" i="13"/>
  <c r="I947" i="13"/>
  <c r="I1495" i="13"/>
  <c r="I1718" i="13"/>
  <c r="I1730" i="13"/>
  <c r="I1886" i="13"/>
  <c r="I1989" i="13"/>
  <c r="I2462" i="13"/>
  <c r="I3273" i="13"/>
  <c r="I3301" i="13"/>
  <c r="I3341" i="13"/>
  <c r="I3567" i="13"/>
  <c r="I3583" i="13"/>
  <c r="I3595" i="13"/>
  <c r="I4371" i="13"/>
  <c r="I2937" i="13"/>
  <c r="I3461" i="13"/>
  <c r="I3711" i="13"/>
  <c r="I3719" i="13"/>
  <c r="I3810" i="13"/>
  <c r="I1239" i="13"/>
  <c r="I1255" i="13"/>
  <c r="I1263" i="13"/>
  <c r="I2145" i="13"/>
  <c r="I97" i="13"/>
  <c r="I145" i="13"/>
  <c r="I149" i="13"/>
  <c r="I161" i="13"/>
  <c r="I324" i="13"/>
  <c r="I368" i="13"/>
  <c r="I404" i="13"/>
  <c r="I996" i="13"/>
  <c r="I1000" i="13"/>
  <c r="I2173" i="13"/>
  <c r="I2213" i="13"/>
  <c r="I3155" i="13"/>
  <c r="I3482" i="13"/>
  <c r="I3708" i="13"/>
  <c r="I26" i="13"/>
  <c r="I949" i="13"/>
  <c r="I1214" i="13"/>
  <c r="I1480" i="13"/>
  <c r="I1535" i="13"/>
  <c r="I1958" i="13"/>
  <c r="I2199" i="13"/>
  <c r="I2289" i="13"/>
  <c r="I2301" i="13"/>
  <c r="I2305" i="13"/>
  <c r="I3204" i="13"/>
  <c r="I3224" i="13"/>
  <c r="I3232" i="13"/>
  <c r="I3415" i="13"/>
  <c r="I3691" i="13"/>
  <c r="I3707" i="13"/>
  <c r="I3754" i="13"/>
  <c r="I3972" i="13"/>
  <c r="I4275" i="13"/>
  <c r="I4311" i="13"/>
  <c r="I4398" i="13"/>
  <c r="I4402" i="13"/>
  <c r="I4607" i="13"/>
  <c r="I4615" i="13"/>
  <c r="I519" i="13"/>
  <c r="I539" i="13"/>
  <c r="I733" i="13"/>
  <c r="I1013" i="13"/>
  <c r="I1032" i="13"/>
  <c r="I1135" i="13"/>
  <c r="I1143" i="13"/>
  <c r="I1437" i="13"/>
  <c r="I1690" i="13"/>
  <c r="I2034" i="13"/>
  <c r="I2357" i="13"/>
  <c r="I2361" i="13"/>
  <c r="I2365" i="13"/>
  <c r="I3040" i="13"/>
  <c r="I3142" i="13"/>
  <c r="I3541" i="13"/>
  <c r="I4509" i="13"/>
  <c r="I4356" i="13"/>
  <c r="I4478" i="13"/>
  <c r="I738" i="13"/>
  <c r="I1041" i="13"/>
  <c r="I1691" i="13"/>
  <c r="I1794" i="13"/>
  <c r="I3080" i="13"/>
  <c r="I4522" i="13"/>
  <c r="I12" i="13"/>
  <c r="I16" i="13"/>
  <c r="I123" i="13"/>
  <c r="I834" i="13"/>
  <c r="I838" i="13"/>
  <c r="I2319" i="13"/>
  <c r="I3566" i="13"/>
  <c r="I3606" i="13"/>
  <c r="I2704" i="13"/>
  <c r="I2732" i="13"/>
  <c r="I3713" i="13"/>
  <c r="I3721" i="13"/>
  <c r="I3733" i="13"/>
  <c r="I3815" i="13"/>
  <c r="I4091" i="13"/>
  <c r="I116" i="13"/>
  <c r="I203" i="13"/>
  <c r="I313" i="13"/>
  <c r="I474" i="13"/>
  <c r="I1117" i="13"/>
  <c r="I1125" i="13"/>
  <c r="I1157" i="13"/>
  <c r="I1629" i="13"/>
  <c r="I2264" i="13"/>
  <c r="I2665" i="13"/>
  <c r="I2932" i="13"/>
  <c r="I3144" i="13"/>
  <c r="I3457" i="13"/>
  <c r="I3859" i="13"/>
  <c r="I4499" i="13"/>
  <c r="I4578" i="13"/>
  <c r="I4425" i="13"/>
  <c r="I196" i="13"/>
  <c r="I432" i="13"/>
  <c r="I708" i="13"/>
  <c r="I1887" i="13"/>
  <c r="I2064" i="13"/>
  <c r="I2076" i="13"/>
  <c r="I2634" i="13"/>
  <c r="I2737" i="13"/>
  <c r="I3164" i="13"/>
  <c r="I3184" i="13"/>
  <c r="I3979" i="13"/>
  <c r="I4350" i="13"/>
  <c r="I4480" i="13"/>
  <c r="I345" i="13"/>
  <c r="I575" i="13"/>
  <c r="I928" i="13"/>
  <c r="I932" i="13"/>
  <c r="I1638" i="13"/>
  <c r="I1872" i="13"/>
  <c r="I1919" i="13"/>
  <c r="I1969" i="13"/>
  <c r="I2085" i="13"/>
  <c r="I2220" i="13"/>
  <c r="I2278" i="13"/>
  <c r="I2282" i="13"/>
  <c r="I2348" i="13"/>
  <c r="I2352" i="13"/>
  <c r="I2596" i="13"/>
  <c r="I2820" i="13"/>
  <c r="I3250" i="13"/>
  <c r="I3543" i="13"/>
  <c r="I3875" i="13"/>
  <c r="I3879" i="13"/>
  <c r="I4185" i="13"/>
  <c r="I4379" i="13"/>
  <c r="I444" i="13"/>
  <c r="I471" i="13"/>
  <c r="I475" i="13"/>
  <c r="I654" i="13"/>
  <c r="I804" i="13"/>
  <c r="I1237" i="13"/>
  <c r="I1498" i="13"/>
  <c r="I1841" i="13"/>
  <c r="I2209" i="13"/>
  <c r="I2733" i="13"/>
  <c r="I3018" i="13"/>
  <c r="I3022" i="13"/>
  <c r="I3152" i="13"/>
  <c r="I3648" i="13"/>
  <c r="I3706" i="13"/>
  <c r="I3805" i="13"/>
  <c r="I3809" i="13"/>
  <c r="I3931" i="13"/>
  <c r="I3939" i="13"/>
  <c r="I4088" i="13"/>
  <c r="I4415" i="13"/>
  <c r="I4434" i="13"/>
  <c r="I4554" i="13"/>
  <c r="I4569" i="13"/>
  <c r="I3038" i="13"/>
  <c r="I31" i="13"/>
  <c r="I62" i="13"/>
  <c r="I140" i="13"/>
  <c r="I285" i="13"/>
  <c r="I403" i="13"/>
  <c r="I480" i="13"/>
  <c r="I848" i="13"/>
  <c r="I852" i="13"/>
  <c r="I952" i="13"/>
  <c r="I956" i="13"/>
  <c r="I995" i="13"/>
  <c r="I1061" i="13"/>
  <c r="I1299" i="13"/>
  <c r="I1499" i="13"/>
  <c r="I1503" i="13"/>
  <c r="I1518" i="13"/>
  <c r="I2385" i="13"/>
  <c r="I2637" i="13"/>
  <c r="I2851" i="13"/>
  <c r="I3053" i="13"/>
  <c r="I4404" i="13"/>
  <c r="I2684" i="13"/>
  <c r="I3146" i="13"/>
  <c r="I3386" i="13"/>
  <c r="I3463" i="13"/>
  <c r="I845" i="13"/>
  <c r="I1015" i="13"/>
  <c r="I1140" i="13"/>
  <c r="I1203" i="13"/>
  <c r="I1215" i="13"/>
  <c r="I1381" i="13"/>
  <c r="I1438" i="13"/>
  <c r="I1473" i="13"/>
  <c r="I1550" i="13"/>
  <c r="I1811" i="13"/>
  <c r="I2484" i="13"/>
  <c r="I2594" i="13"/>
  <c r="I2692" i="13"/>
  <c r="I2696" i="13"/>
  <c r="I2799" i="13"/>
  <c r="I2885" i="13"/>
  <c r="I3120" i="13"/>
  <c r="I3128" i="13"/>
  <c r="I3256" i="13"/>
  <c r="I3638" i="13"/>
  <c r="I3665" i="13"/>
  <c r="I3669" i="13"/>
  <c r="I3964" i="13"/>
  <c r="I3998" i="13"/>
  <c r="I302" i="13"/>
  <c r="I321" i="13"/>
  <c r="I790" i="13"/>
  <c r="I798" i="13"/>
  <c r="I1998" i="13"/>
  <c r="I2571" i="13"/>
  <c r="I2829" i="13"/>
  <c r="I2913" i="13"/>
  <c r="I3921" i="13"/>
  <c r="I3166" i="13"/>
  <c r="I3292" i="13"/>
  <c r="I3300" i="13"/>
  <c r="I3312" i="13"/>
  <c r="I3316" i="13"/>
  <c r="I3348" i="13"/>
  <c r="I3379" i="13"/>
  <c r="I3391" i="13"/>
  <c r="I3658" i="13"/>
  <c r="I3685" i="13"/>
  <c r="I4033" i="13"/>
  <c r="I4079" i="13"/>
  <c r="I4156" i="13"/>
  <c r="I4277" i="13"/>
  <c r="I4374" i="13"/>
  <c r="I4498" i="13"/>
  <c r="I4571" i="13"/>
  <c r="I4582" i="13"/>
  <c r="I279" i="13"/>
  <c r="I528" i="13"/>
  <c r="I763" i="13"/>
  <c r="I775" i="13"/>
  <c r="I779" i="13"/>
  <c r="I787" i="13"/>
  <c r="I920" i="13"/>
  <c r="I1220" i="13"/>
  <c r="I1474" i="13"/>
  <c r="I1679" i="13"/>
  <c r="I1800" i="13"/>
  <c r="I1871" i="13"/>
  <c r="I2045" i="13"/>
  <c r="I2438" i="13"/>
  <c r="I2442" i="13"/>
  <c r="I2446" i="13"/>
  <c r="I3182" i="13"/>
  <c r="I3217" i="13"/>
  <c r="I3221" i="13"/>
  <c r="I3229" i="13"/>
  <c r="I3662" i="13"/>
  <c r="I3736" i="13"/>
  <c r="I3874" i="13"/>
  <c r="I3878" i="13"/>
  <c r="I3965" i="13"/>
  <c r="I3976" i="13"/>
  <c r="I4110" i="13"/>
  <c r="I4114" i="13"/>
  <c r="I4304" i="13"/>
  <c r="I4495" i="13"/>
  <c r="I264" i="13"/>
  <c r="I356" i="13"/>
  <c r="I417" i="13"/>
  <c r="I878" i="13"/>
  <c r="I1169" i="13"/>
  <c r="I1181" i="13"/>
  <c r="I2165" i="13"/>
  <c r="I584" i="13"/>
  <c r="I588" i="13"/>
  <c r="I723" i="13"/>
  <c r="I727" i="13"/>
  <c r="I810" i="13"/>
  <c r="I1297" i="13"/>
  <c r="I1304" i="13"/>
  <c r="I1354" i="13"/>
  <c r="I1537" i="13"/>
  <c r="I127" i="13"/>
  <c r="I3465" i="13"/>
  <c r="J3465" i="13"/>
  <c r="I153" i="13"/>
  <c r="I183" i="13"/>
  <c r="I1639" i="13"/>
  <c r="I87" i="13"/>
  <c r="I38" i="13"/>
  <c r="I420" i="13"/>
  <c r="I435" i="13"/>
  <c r="I495" i="13"/>
  <c r="I581" i="13"/>
  <c r="I635" i="13"/>
  <c r="I795" i="13"/>
  <c r="I799" i="13"/>
  <c r="I815" i="13"/>
  <c r="I842" i="13"/>
  <c r="I1005" i="13"/>
  <c r="I1042" i="13"/>
  <c r="I1201" i="13"/>
  <c r="I1250" i="13"/>
  <c r="I1258" i="13"/>
  <c r="I1377" i="13"/>
  <c r="I1481" i="13"/>
  <c r="I1496" i="13"/>
  <c r="I1504" i="13"/>
  <c r="I1598" i="13"/>
  <c r="I1670" i="13"/>
  <c r="I1711" i="13"/>
  <c r="I1795" i="13"/>
  <c r="I2041" i="13"/>
  <c r="I2079" i="13"/>
  <c r="I2125" i="13"/>
  <c r="I2262" i="13"/>
  <c r="I1614" i="13"/>
  <c r="I1925" i="13"/>
  <c r="I130" i="13"/>
  <c r="I265" i="13"/>
  <c r="I280" i="13"/>
  <c r="I310" i="13"/>
  <c r="I332" i="13"/>
  <c r="I357" i="13"/>
  <c r="I380" i="13"/>
  <c r="I387" i="13"/>
  <c r="I555" i="13"/>
  <c r="I823" i="13"/>
  <c r="I991" i="13"/>
  <c r="I1020" i="13"/>
  <c r="I1094" i="13"/>
  <c r="I1277" i="13"/>
  <c r="I1455" i="13"/>
  <c r="I1531" i="13"/>
  <c r="I1626" i="13"/>
  <c r="I1746" i="13"/>
  <c r="I1776" i="13"/>
  <c r="I1780" i="13"/>
  <c r="I28" i="13"/>
  <c r="I51" i="13"/>
  <c r="I55" i="13"/>
  <c r="I85" i="13"/>
  <c r="I189" i="13"/>
  <c r="I235" i="13"/>
  <c r="I254" i="13"/>
  <c r="I314" i="13"/>
  <c r="I329" i="13"/>
  <c r="I567" i="13"/>
  <c r="I675" i="13"/>
  <c r="I710" i="13"/>
  <c r="I749" i="13"/>
  <c r="I843" i="13"/>
  <c r="I896" i="13"/>
  <c r="I1024" i="13"/>
  <c r="I1063" i="13"/>
  <c r="I1071" i="13"/>
  <c r="I1145" i="13"/>
  <c r="I1397" i="13"/>
  <c r="I1558" i="13"/>
  <c r="I1562" i="13"/>
  <c r="I1804" i="13"/>
  <c r="I1842" i="13"/>
  <c r="I1865" i="13"/>
  <c r="I1933" i="13"/>
  <c r="I2000" i="13"/>
  <c r="I2046" i="13"/>
  <c r="I2166" i="13"/>
  <c r="I155" i="13"/>
  <c r="I217" i="13"/>
  <c r="I225" i="13"/>
  <c r="I239" i="13"/>
  <c r="I318" i="13"/>
  <c r="I369" i="13"/>
  <c r="I429" i="13"/>
  <c r="I511" i="13"/>
  <c r="I598" i="13"/>
  <c r="I656" i="13"/>
  <c r="I683" i="13"/>
  <c r="I695" i="13"/>
  <c r="I714" i="13"/>
  <c r="I785" i="13"/>
  <c r="I840" i="13"/>
  <c r="I870" i="13"/>
  <c r="I962" i="13"/>
  <c r="I973" i="13"/>
  <c r="I1087" i="13"/>
  <c r="I1153" i="13"/>
  <c r="I1195" i="13"/>
  <c r="I1285" i="13"/>
  <c r="I1401" i="13"/>
  <c r="I1566" i="13"/>
  <c r="I1615" i="13"/>
  <c r="I1739" i="13"/>
  <c r="I1747" i="13"/>
  <c r="I1762" i="13"/>
  <c r="I1812" i="13"/>
  <c r="I1846" i="13"/>
  <c r="I2016" i="13"/>
  <c r="I2027" i="13"/>
  <c r="I2031" i="13"/>
  <c r="I2069" i="13"/>
  <c r="I2130" i="13"/>
  <c r="I2229" i="13"/>
  <c r="I2252" i="13"/>
  <c r="I1238" i="13"/>
  <c r="I1627" i="13"/>
  <c r="I1713" i="13"/>
  <c r="I2058" i="13"/>
  <c r="I86" i="13"/>
  <c r="I104" i="13"/>
  <c r="I190" i="13"/>
  <c r="I337" i="13"/>
  <c r="I341" i="13"/>
  <c r="I348" i="13"/>
  <c r="I352" i="13"/>
  <c r="I363" i="13"/>
  <c r="I426" i="13"/>
  <c r="I591" i="13"/>
  <c r="I606" i="13"/>
  <c r="I672" i="13"/>
  <c r="I821" i="13"/>
  <c r="I908" i="13"/>
  <c r="I941" i="13"/>
  <c r="I1048" i="13"/>
  <c r="I1060" i="13"/>
  <c r="I1068" i="13"/>
  <c r="I1076" i="13"/>
  <c r="I1142" i="13"/>
  <c r="I1339" i="13"/>
  <c r="I1491" i="13"/>
  <c r="I1555" i="13"/>
  <c r="I1574" i="13"/>
  <c r="I1877" i="13"/>
  <c r="I2134" i="13"/>
  <c r="I2138" i="13"/>
  <c r="I4579" i="13"/>
  <c r="I263" i="13"/>
  <c r="I305" i="13"/>
  <c r="I392" i="13"/>
  <c r="I490" i="13"/>
  <c r="I531" i="13"/>
  <c r="I595" i="13"/>
  <c r="I684" i="13"/>
  <c r="I770" i="13"/>
  <c r="I825" i="13"/>
  <c r="I1025" i="13"/>
  <c r="I1029" i="13"/>
  <c r="I1084" i="13"/>
  <c r="I1111" i="13"/>
  <c r="I1165" i="13"/>
  <c r="I1192" i="13"/>
  <c r="I1196" i="13"/>
  <c r="I1200" i="13"/>
  <c r="I1311" i="13"/>
  <c r="I1582" i="13"/>
  <c r="I1590" i="13"/>
  <c r="I1597" i="13"/>
  <c r="I1653" i="13"/>
  <c r="I1855" i="13"/>
  <c r="I2017" i="13"/>
  <c r="I2051" i="13"/>
  <c r="I2055" i="13"/>
  <c r="I2106" i="13"/>
  <c r="I2223" i="13"/>
  <c r="I2253" i="13"/>
  <c r="I2345" i="13"/>
  <c r="I2435" i="13"/>
  <c r="I2439" i="13"/>
  <c r="I2453" i="13"/>
  <c r="I2461" i="13"/>
  <c r="I2617" i="13"/>
  <c r="I2658" i="13"/>
  <c r="I2662" i="13"/>
  <c r="I2749" i="13"/>
  <c r="I2779" i="13"/>
  <c r="I3028" i="13"/>
  <c r="I3889" i="13"/>
  <c r="I3919" i="13"/>
  <c r="I4200" i="13"/>
  <c r="I4389" i="13"/>
  <c r="I2595" i="13"/>
  <c r="I3251" i="13"/>
  <c r="I3299" i="13"/>
  <c r="I2557" i="13"/>
  <c r="I2863" i="13"/>
  <c r="I4244" i="13"/>
  <c r="I4326" i="13"/>
  <c r="I4382" i="13"/>
  <c r="I4426" i="13"/>
  <c r="I4469" i="13"/>
  <c r="I2214" i="13"/>
  <c r="I2286" i="13"/>
  <c r="I2342" i="13"/>
  <c r="I2369" i="13"/>
  <c r="I2415" i="13"/>
  <c r="I2477" i="13"/>
  <c r="I2644" i="13"/>
  <c r="I2699" i="13"/>
  <c r="I2736" i="13"/>
  <c r="I3157" i="13"/>
  <c r="I3460" i="13"/>
  <c r="I3973" i="13"/>
  <c r="I2830" i="13"/>
  <c r="I2849" i="13"/>
  <c r="I2949" i="13"/>
  <c r="I2964" i="13"/>
  <c r="I3150" i="13"/>
  <c r="I3244" i="13"/>
  <c r="I3371" i="13"/>
  <c r="I3485" i="13"/>
  <c r="I3529" i="13"/>
  <c r="I3607" i="13"/>
  <c r="I3769" i="13"/>
  <c r="I3808" i="13"/>
  <c r="I4082" i="13"/>
  <c r="I4111" i="13"/>
  <c r="I4141" i="13"/>
  <c r="I4190" i="13"/>
  <c r="I4308" i="13"/>
  <c r="I4338" i="13"/>
  <c r="I4444" i="13"/>
  <c r="I4477" i="13"/>
  <c r="I4507" i="13"/>
  <c r="I2451" i="13"/>
  <c r="I2474" i="13"/>
  <c r="I2629" i="13"/>
  <c r="I2827" i="13"/>
  <c r="I2957" i="13"/>
  <c r="I3136" i="13"/>
  <c r="I3289" i="13"/>
  <c r="I3748" i="13"/>
  <c r="I3966" i="13"/>
  <c r="I4104" i="13"/>
  <c r="I4167" i="13"/>
  <c r="I4242" i="13"/>
  <c r="I4271" i="13"/>
  <c r="I2478" i="13"/>
  <c r="I2482" i="13"/>
  <c r="I2489" i="13"/>
  <c r="I2535" i="13"/>
  <c r="I2558" i="13"/>
  <c r="I2615" i="13"/>
  <c r="I2689" i="13"/>
  <c r="I2700" i="13"/>
  <c r="I2781" i="13"/>
  <c r="I2813" i="13"/>
  <c r="I3008" i="13"/>
  <c r="I3012" i="13"/>
  <c r="I3237" i="13"/>
  <c r="I3241" i="13"/>
  <c r="I3282" i="13"/>
  <c r="I3286" i="13"/>
  <c r="I3439" i="13"/>
  <c r="I3589" i="13"/>
  <c r="I3626" i="13"/>
  <c r="I3827" i="13"/>
  <c r="I4021" i="13"/>
  <c r="I4090" i="13"/>
  <c r="I4279" i="13"/>
  <c r="I4617" i="13"/>
  <c r="I2276" i="13"/>
  <c r="I2340" i="13"/>
  <c r="I2452" i="13"/>
  <c r="I2471" i="13"/>
  <c r="I2501" i="13"/>
  <c r="I2521" i="13"/>
  <c r="I2532" i="13"/>
  <c r="I2623" i="13"/>
  <c r="I2627" i="13"/>
  <c r="I2653" i="13"/>
  <c r="I2668" i="13"/>
  <c r="I2730" i="13"/>
  <c r="I2839" i="13"/>
  <c r="I2886" i="13"/>
  <c r="I3195" i="13"/>
  <c r="I3253" i="13"/>
  <c r="I3343" i="13"/>
  <c r="I3384" i="13"/>
  <c r="I3493" i="13"/>
  <c r="I3519" i="13"/>
  <c r="I3538" i="13"/>
  <c r="I3755" i="13"/>
  <c r="I3853" i="13"/>
  <c r="I3876" i="13"/>
  <c r="I3941" i="13"/>
  <c r="I3956" i="13"/>
  <c r="I3967" i="13"/>
  <c r="I4010" i="13"/>
  <c r="I4127" i="13"/>
  <c r="I4283" i="13"/>
  <c r="I4380" i="13"/>
  <c r="I4490" i="13"/>
  <c r="I4542" i="13"/>
  <c r="I4557" i="13"/>
  <c r="I4602" i="13"/>
  <c r="I2490" i="13"/>
  <c r="I2612" i="13"/>
  <c r="I2620" i="13"/>
  <c r="I2748" i="13"/>
  <c r="I2752" i="13"/>
  <c r="I3137" i="13"/>
  <c r="I3159" i="13"/>
  <c r="I3163" i="13"/>
  <c r="I3283" i="13"/>
  <c r="I3590" i="13"/>
  <c r="I3627" i="13"/>
  <c r="I3693" i="13"/>
  <c r="I3697" i="13"/>
  <c r="I3785" i="13"/>
  <c r="I3788" i="13"/>
  <c r="I3888" i="13"/>
  <c r="I3918" i="13"/>
  <c r="I3922" i="13"/>
  <c r="I4036" i="13"/>
  <c r="I4087" i="13"/>
  <c r="I4135" i="13"/>
  <c r="I4195" i="13"/>
  <c r="I4199" i="13"/>
  <c r="I4272" i="13"/>
  <c r="I4302" i="13"/>
  <c r="I4442" i="13"/>
  <c r="I4471" i="13"/>
  <c r="I4550" i="13"/>
  <c r="I4565" i="13"/>
  <c r="I2281" i="13"/>
  <c r="I2333" i="13"/>
  <c r="I2639" i="13"/>
  <c r="I2669" i="13"/>
  <c r="I2716" i="13"/>
  <c r="I2832" i="13"/>
  <c r="I2918" i="13"/>
  <c r="I2936" i="13"/>
  <c r="I3254" i="13"/>
  <c r="I3325" i="13"/>
  <c r="I3340" i="13"/>
  <c r="I3362" i="13"/>
  <c r="I3524" i="13"/>
  <c r="I3535" i="13"/>
  <c r="I3609" i="13"/>
  <c r="I3624" i="13"/>
  <c r="I3646" i="13"/>
  <c r="I3650" i="13"/>
  <c r="I3720" i="13"/>
  <c r="I3760" i="13"/>
  <c r="I3961" i="13"/>
  <c r="I4284" i="13"/>
  <c r="I4329" i="13"/>
  <c r="I4543" i="13"/>
  <c r="I36" i="13"/>
  <c r="I141" i="13"/>
  <c r="J195" i="13"/>
  <c r="I195" i="13"/>
  <c r="I1719" i="13"/>
  <c r="I282" i="13"/>
  <c r="I427" i="13"/>
  <c r="I30" i="13"/>
  <c r="I106" i="13"/>
  <c r="I120" i="13"/>
  <c r="I144" i="13"/>
  <c r="I237" i="13"/>
  <c r="I289" i="13"/>
  <c r="I304" i="13"/>
  <c r="I307" i="13"/>
  <c r="I413" i="13"/>
  <c r="I494" i="13"/>
  <c r="I534" i="13"/>
  <c r="I590" i="13"/>
  <c r="I619" i="13"/>
  <c r="I660" i="13"/>
  <c r="I831" i="13"/>
  <c r="I213" i="13"/>
  <c r="I601" i="13"/>
  <c r="I816" i="13"/>
  <c r="I1888" i="13"/>
  <c r="I13" i="13"/>
  <c r="I24" i="13"/>
  <c r="I69" i="13"/>
  <c r="I96" i="13"/>
  <c r="I110" i="13"/>
  <c r="I114" i="13"/>
  <c r="I182" i="13"/>
  <c r="I200" i="13"/>
  <c r="I224" i="13"/>
  <c r="I241" i="13"/>
  <c r="I259" i="13"/>
  <c r="I270" i="13"/>
  <c r="I393" i="13"/>
  <c r="I428" i="13"/>
  <c r="I431" i="13"/>
  <c r="I484" i="13"/>
  <c r="I594" i="13"/>
  <c r="I605" i="13"/>
  <c r="I732" i="13"/>
  <c r="I757" i="13"/>
  <c r="I767" i="13"/>
  <c r="I778" i="13"/>
  <c r="I1543" i="13"/>
  <c r="I502" i="13"/>
  <c r="I631" i="13"/>
  <c r="I754" i="13"/>
  <c r="I107" i="13"/>
  <c r="I445" i="13"/>
  <c r="I499" i="13"/>
  <c r="I650" i="13"/>
  <c r="I880" i="13"/>
  <c r="I1578" i="13"/>
  <c r="I430" i="13"/>
  <c r="I152" i="13"/>
  <c r="I45" i="13"/>
  <c r="I643" i="13"/>
  <c r="I806" i="13"/>
  <c r="I1836" i="13"/>
  <c r="I14" i="13"/>
  <c r="I22" i="13"/>
  <c r="I115" i="13"/>
  <c r="I132" i="13"/>
  <c r="I139" i="13"/>
  <c r="I159" i="13"/>
  <c r="I201" i="13"/>
  <c r="I246" i="13"/>
  <c r="I291" i="13"/>
  <c r="I496" i="13"/>
  <c r="I662" i="13"/>
  <c r="I960" i="13"/>
  <c r="I997" i="13"/>
  <c r="I483" i="13"/>
  <c r="I37" i="13"/>
  <c r="I94" i="13"/>
  <c r="I229" i="13"/>
  <c r="I277" i="13"/>
  <c r="I281" i="13"/>
  <c r="I309" i="13"/>
  <c r="I312" i="13"/>
  <c r="I319" i="13"/>
  <c r="I384" i="13"/>
  <c r="I388" i="13"/>
  <c r="I503" i="13"/>
  <c r="I510" i="13"/>
  <c r="I517" i="13"/>
  <c r="I543" i="13"/>
  <c r="I564" i="13"/>
  <c r="I844" i="13"/>
  <c r="I1399" i="13"/>
  <c r="I46" i="13"/>
  <c r="I63" i="13"/>
  <c r="I67" i="13"/>
  <c r="I91" i="13"/>
  <c r="I102" i="13"/>
  <c r="I222" i="13"/>
  <c r="I243" i="13"/>
  <c r="I253" i="13"/>
  <c r="I257" i="13"/>
  <c r="I261" i="13"/>
  <c r="I268" i="13"/>
  <c r="I274" i="13"/>
  <c r="I284" i="13"/>
  <c r="I330" i="13"/>
  <c r="I333" i="13"/>
  <c r="I344" i="13"/>
  <c r="I360" i="13"/>
  <c r="I398" i="13"/>
  <c r="I402" i="13"/>
  <c r="I405" i="13"/>
  <c r="I408" i="13"/>
  <c r="I440" i="13"/>
  <c r="I450" i="13"/>
  <c r="I468" i="13"/>
  <c r="I507" i="13"/>
  <c r="I525" i="13"/>
  <c r="I603" i="13"/>
  <c r="I607" i="13"/>
  <c r="I636" i="13"/>
  <c r="I707" i="13"/>
  <c r="I769" i="13"/>
  <c r="I784" i="13"/>
  <c r="I859" i="13"/>
  <c r="I889" i="13"/>
  <c r="I1726" i="13"/>
  <c r="I15" i="13"/>
  <c r="I19" i="13"/>
  <c r="I53" i="13"/>
  <c r="I74" i="13"/>
  <c r="I119" i="13"/>
  <c r="I156" i="13"/>
  <c r="I174" i="13"/>
  <c r="I177" i="13"/>
  <c r="I184" i="13"/>
  <c r="I192" i="13"/>
  <c r="I215" i="13"/>
  <c r="I236" i="13"/>
  <c r="I247" i="13"/>
  <c r="I367" i="13"/>
  <c r="I378" i="13"/>
  <c r="I412" i="13"/>
  <c r="I514" i="13"/>
  <c r="I529" i="13"/>
  <c r="I540" i="13"/>
  <c r="I582" i="13"/>
  <c r="I696" i="13"/>
  <c r="I711" i="13"/>
  <c r="I715" i="13"/>
  <c r="I719" i="13"/>
  <c r="I745" i="13"/>
  <c r="I752" i="13"/>
  <c r="I762" i="13"/>
  <c r="I788" i="13"/>
  <c r="I807" i="13"/>
  <c r="I1058" i="13"/>
  <c r="I1764" i="13"/>
  <c r="I1902" i="13"/>
  <c r="I1913" i="13"/>
  <c r="I1927" i="13"/>
  <c r="I3175" i="13"/>
  <c r="I876" i="13"/>
  <c r="I883" i="13"/>
  <c r="I940" i="13"/>
  <c r="I953" i="13"/>
  <c r="I957" i="13"/>
  <c r="I967" i="13"/>
  <c r="I1037" i="13"/>
  <c r="I1112" i="13"/>
  <c r="I1202" i="13"/>
  <c r="I1231" i="13"/>
  <c r="I1268" i="13"/>
  <c r="I1389" i="13"/>
  <c r="I1393" i="13"/>
  <c r="I1468" i="13"/>
  <c r="I1471" i="13"/>
  <c r="I1540" i="13"/>
  <c r="I1565" i="13"/>
  <c r="I1589" i="13"/>
  <c r="I1647" i="13"/>
  <c r="I1688" i="13"/>
  <c r="I1798" i="13"/>
  <c r="I1916" i="13"/>
  <c r="I1920" i="13"/>
  <c r="I2178" i="13"/>
  <c r="I2247" i="13"/>
  <c r="I1900" i="13"/>
  <c r="I1961" i="13"/>
  <c r="I855" i="13"/>
  <c r="I866" i="13"/>
  <c r="I898" i="13"/>
  <c r="I989" i="13"/>
  <c r="I1017" i="13"/>
  <c r="I1027" i="13"/>
  <c r="I1077" i="13"/>
  <c r="I1116" i="13"/>
  <c r="I1210" i="13"/>
  <c r="I1228" i="13"/>
  <c r="I1245" i="13"/>
  <c r="I1272" i="13"/>
  <c r="I1309" i="13"/>
  <c r="I1383" i="13"/>
  <c r="I1465" i="13"/>
  <c r="I1662" i="13"/>
  <c r="I1672" i="13"/>
  <c r="I1675" i="13"/>
  <c r="I1703" i="13"/>
  <c r="I1706" i="13"/>
  <c r="I1773" i="13"/>
  <c r="I1893" i="13"/>
  <c r="I964" i="13"/>
  <c r="I1070" i="13"/>
  <c r="I1106" i="13"/>
  <c r="I1322" i="13"/>
  <c r="I1365" i="13"/>
  <c r="I1390" i="13"/>
  <c r="I1448" i="13"/>
  <c r="I1506" i="13"/>
  <c r="I1534" i="13"/>
  <c r="I1579" i="13"/>
  <c r="I1603" i="13"/>
  <c r="I1655" i="13"/>
  <c r="I1669" i="13"/>
  <c r="I1917" i="13"/>
  <c r="I1931" i="13"/>
  <c r="I2099" i="13"/>
  <c r="J2193" i="13"/>
  <c r="I2193" i="13"/>
  <c r="I905" i="13"/>
  <c r="I1018" i="13"/>
  <c r="I1089" i="13"/>
  <c r="I1120" i="13"/>
  <c r="I1124" i="13"/>
  <c r="I1128" i="13"/>
  <c r="I1147" i="13"/>
  <c r="I1154" i="13"/>
  <c r="I1168" i="13"/>
  <c r="I1259" i="13"/>
  <c r="I1273" i="13"/>
  <c r="I1313" i="13"/>
  <c r="I1419" i="13"/>
  <c r="I1538" i="13"/>
  <c r="I1628" i="13"/>
  <c r="I1752" i="13"/>
  <c r="I1766" i="13"/>
  <c r="I1788" i="13"/>
  <c r="I1810" i="13"/>
  <c r="I1821" i="13"/>
  <c r="I1831" i="13"/>
  <c r="I1852" i="13"/>
  <c r="I1859" i="13"/>
  <c r="I1994" i="13"/>
  <c r="I2001" i="13"/>
  <c r="I2082" i="13"/>
  <c r="I2154" i="13"/>
  <c r="I867" i="13"/>
  <c r="I881" i="13"/>
  <c r="I922" i="13"/>
  <c r="I955" i="13"/>
  <c r="I965" i="13"/>
  <c r="I969" i="13"/>
  <c r="I1021" i="13"/>
  <c r="I1049" i="13"/>
  <c r="I1053" i="13"/>
  <c r="I1082" i="13"/>
  <c r="I1096" i="13"/>
  <c r="I1193" i="13"/>
  <c r="I1240" i="13"/>
  <c r="I1256" i="13"/>
  <c r="I1266" i="13"/>
  <c r="I1323" i="13"/>
  <c r="I1347" i="13"/>
  <c r="I1353" i="13"/>
  <c r="I1387" i="13"/>
  <c r="I1409" i="13"/>
  <c r="I1412" i="13"/>
  <c r="I1429" i="13"/>
  <c r="I1432" i="13"/>
  <c r="I1446" i="13"/>
  <c r="I1466" i="13"/>
  <c r="I1652" i="13"/>
  <c r="I1663" i="13"/>
  <c r="I1676" i="13"/>
  <c r="I1714" i="13"/>
  <c r="I1749" i="13"/>
  <c r="I1763" i="13"/>
  <c r="I1774" i="13"/>
  <c r="I1824" i="13"/>
  <c r="I1835" i="13"/>
  <c r="I1876" i="13"/>
  <c r="I1894" i="13"/>
  <c r="I1898" i="13"/>
  <c r="I1904" i="13"/>
  <c r="I1922" i="13"/>
  <c r="I1952" i="13"/>
  <c r="I2009" i="13"/>
  <c r="I2630" i="13"/>
  <c r="I1144" i="13"/>
  <c r="I1226" i="13"/>
  <c r="I1456" i="13"/>
  <c r="I1493" i="13"/>
  <c r="I1542" i="13"/>
  <c r="I1577" i="13"/>
  <c r="I1701" i="13"/>
  <c r="I1962" i="13"/>
  <c r="I1104" i="13"/>
  <c r="I1470" i="13"/>
  <c r="I1510" i="13"/>
  <c r="I1588" i="13"/>
  <c r="I1704" i="13"/>
  <c r="I1786" i="13"/>
  <c r="I1797" i="13"/>
  <c r="I1860" i="13"/>
  <c r="I1960" i="13"/>
  <c r="I1965" i="13"/>
  <c r="I2216" i="13"/>
  <c r="I916" i="13"/>
  <c r="I998" i="13"/>
  <c r="I1019" i="13"/>
  <c r="I1065" i="13"/>
  <c r="I1152" i="13"/>
  <c r="I1327" i="13"/>
  <c r="I1410" i="13"/>
  <c r="I1453" i="13"/>
  <c r="I1822" i="13"/>
  <c r="I1923" i="13"/>
  <c r="I1973" i="13"/>
  <c r="I2250" i="13"/>
  <c r="I826" i="13"/>
  <c r="I833" i="13"/>
  <c r="I847" i="13"/>
  <c r="I893" i="13"/>
  <c r="I923" i="13"/>
  <c r="I1009" i="13"/>
  <c r="I1012" i="13"/>
  <c r="I1033" i="13"/>
  <c r="I1040" i="13"/>
  <c r="I1072" i="13"/>
  <c r="I1108" i="13"/>
  <c r="I1118" i="13"/>
  <c r="I1133" i="13"/>
  <c r="I1137" i="13"/>
  <c r="I1141" i="13"/>
  <c r="I1198" i="13"/>
  <c r="I1216" i="13"/>
  <c r="I1257" i="13"/>
  <c r="I1284" i="13"/>
  <c r="I1351" i="13"/>
  <c r="I1430" i="13"/>
  <c r="I1444" i="13"/>
  <c r="I1447" i="13"/>
  <c r="I1546" i="13"/>
  <c r="I1581" i="13"/>
  <c r="I1671" i="13"/>
  <c r="I1705" i="13"/>
  <c r="I1729" i="13"/>
  <c r="I1732" i="13"/>
  <c r="I1736" i="13"/>
  <c r="I1750" i="13"/>
  <c r="I1783" i="13"/>
  <c r="I1850" i="13"/>
  <c r="I1977" i="13"/>
  <c r="I1981" i="13"/>
  <c r="I2133" i="13"/>
  <c r="I2887" i="13"/>
  <c r="I3112" i="13"/>
  <c r="I2296" i="13"/>
  <c r="I2320" i="13"/>
  <c r="I2538" i="13"/>
  <c r="I2654" i="13"/>
  <c r="I2670" i="13"/>
  <c r="I2724" i="13"/>
  <c r="I2768" i="13"/>
  <c r="I2782" i="13"/>
  <c r="I2838" i="13"/>
  <c r="I2910" i="13"/>
  <c r="I2945" i="13"/>
  <c r="I2952" i="13"/>
  <c r="I2982" i="13"/>
  <c r="I3043" i="13"/>
  <c r="I3148" i="13"/>
  <c r="I3172" i="13"/>
  <c r="I3235" i="13"/>
  <c r="I3304" i="13"/>
  <c r="I2071" i="13"/>
  <c r="I2157" i="13"/>
  <c r="I2268" i="13"/>
  <c r="I2275" i="13"/>
  <c r="I2334" i="13"/>
  <c r="I2392" i="13"/>
  <c r="I2418" i="13"/>
  <c r="I2422" i="13"/>
  <c r="I2459" i="13"/>
  <c r="I2488" i="13"/>
  <c r="I2758" i="13"/>
  <c r="I2795" i="13"/>
  <c r="I2802" i="13"/>
  <c r="I2852" i="13"/>
  <c r="I2881" i="13"/>
  <c r="I2921" i="13"/>
  <c r="I2928" i="13"/>
  <c r="I2935" i="13"/>
  <c r="I2959" i="13"/>
  <c r="I2993" i="13"/>
  <c r="I3014" i="13"/>
  <c r="I3017" i="13"/>
  <c r="I3030" i="13"/>
  <c r="I3060" i="13"/>
  <c r="I3070" i="13"/>
  <c r="I3087" i="13"/>
  <c r="I3141" i="13"/>
  <c r="I3169" i="13"/>
  <c r="I3183" i="13"/>
  <c r="I3200" i="13"/>
  <c r="I3207" i="13"/>
  <c r="I3308" i="13"/>
  <c r="I3324" i="13"/>
  <c r="I3327" i="13"/>
  <c r="I3383" i="13"/>
  <c r="I3602" i="13"/>
  <c r="I2678" i="13"/>
  <c r="I2816" i="13"/>
  <c r="I3007" i="13"/>
  <c r="I2182" i="13"/>
  <c r="I2186" i="13"/>
  <c r="I2251" i="13"/>
  <c r="I2283" i="13"/>
  <c r="I2314" i="13"/>
  <c r="I2339" i="13"/>
  <c r="I2430" i="13"/>
  <c r="I2434" i="13"/>
  <c r="I2441" i="13"/>
  <c r="I2550" i="13"/>
  <c r="I2568" i="13"/>
  <c r="I2590" i="13"/>
  <c r="I2600" i="13"/>
  <c r="I2641" i="13"/>
  <c r="I2856" i="13"/>
  <c r="I2862" i="13"/>
  <c r="I2925" i="13"/>
  <c r="I3011" i="13"/>
  <c r="I3034" i="13"/>
  <c r="I3057" i="13"/>
  <c r="I3099" i="13"/>
  <c r="I3135" i="13"/>
  <c r="I3156" i="13"/>
  <c r="I3170" i="13"/>
  <c r="I3180" i="13"/>
  <c r="I3243" i="13"/>
  <c r="I3318" i="13"/>
  <c r="I3359" i="13"/>
  <c r="I2287" i="13"/>
  <c r="I2311" i="13"/>
  <c r="I1999" i="13"/>
  <c r="I2038" i="13"/>
  <c r="I2042" i="13"/>
  <c r="I2052" i="13"/>
  <c r="I2514" i="13"/>
  <c r="I2536" i="13"/>
  <c r="I2587" i="13"/>
  <c r="I2618" i="13"/>
  <c r="I2631" i="13"/>
  <c r="I2645" i="13"/>
  <c r="I2702" i="13"/>
  <c r="I2726" i="13"/>
  <c r="I2870" i="13"/>
  <c r="I2912" i="13"/>
  <c r="I2950" i="13"/>
  <c r="I3065" i="13"/>
  <c r="I3075" i="13"/>
  <c r="I3081" i="13"/>
  <c r="I3103" i="13"/>
  <c r="I3278" i="13"/>
  <c r="I3302" i="13"/>
  <c r="I3339" i="13"/>
  <c r="I4290" i="13"/>
  <c r="J4556" i="13"/>
  <c r="I4556" i="13"/>
  <c r="I2475" i="13"/>
  <c r="I2511" i="13"/>
  <c r="J3489" i="13"/>
  <c r="I3489" i="13"/>
  <c r="I2326" i="13"/>
  <c r="I2409" i="13"/>
  <c r="I2601" i="13"/>
  <c r="I2672" i="13"/>
  <c r="I2740" i="13"/>
  <c r="I2750" i="13"/>
  <c r="I2774" i="13"/>
  <c r="I2892" i="13"/>
  <c r="I2899" i="13"/>
  <c r="I2944" i="13"/>
  <c r="I2981" i="13"/>
  <c r="I2998" i="13"/>
  <c r="I3171" i="13"/>
  <c r="I3174" i="13"/>
  <c r="I3220" i="13"/>
  <c r="I3227" i="13"/>
  <c r="I3230" i="13"/>
  <c r="I3265" i="13"/>
  <c r="I3296" i="13"/>
  <c r="I3360" i="13"/>
  <c r="I3396" i="13"/>
  <c r="I2153" i="13"/>
  <c r="I2177" i="13"/>
  <c r="I2201" i="13"/>
  <c r="I2706" i="13"/>
  <c r="I2788" i="13"/>
  <c r="I3019" i="13"/>
  <c r="I3029" i="13"/>
  <c r="I3049" i="13"/>
  <c r="I3093" i="13"/>
  <c r="I3127" i="13"/>
  <c r="I3130" i="13"/>
  <c r="I3133" i="13"/>
  <c r="I3140" i="13"/>
  <c r="I3262" i="13"/>
  <c r="I1997" i="13"/>
  <c r="I2029" i="13"/>
  <c r="I2043" i="13"/>
  <c r="I2105" i="13"/>
  <c r="I2129" i="13"/>
  <c r="I2146" i="13"/>
  <c r="I2150" i="13"/>
  <c r="I2156" i="13"/>
  <c r="I2160" i="13"/>
  <c r="I2180" i="13"/>
  <c r="I2358" i="13"/>
  <c r="I2428" i="13"/>
  <c r="I2454" i="13"/>
  <c r="I2458" i="13"/>
  <c r="I2573" i="13"/>
  <c r="I2577" i="13"/>
  <c r="I2605" i="13"/>
  <c r="I2609" i="13"/>
  <c r="I2690" i="13"/>
  <c r="I2713" i="13"/>
  <c r="I2720" i="13"/>
  <c r="I2747" i="13"/>
  <c r="I2754" i="13"/>
  <c r="I2785" i="13"/>
  <c r="I3009" i="13"/>
  <c r="I3059" i="13"/>
  <c r="I3066" i="13"/>
  <c r="I3073" i="13"/>
  <c r="I3097" i="13"/>
  <c r="I3104" i="13"/>
  <c r="I3310" i="13"/>
  <c r="I3542" i="13"/>
  <c r="I3612" i="13"/>
  <c r="I4351" i="13"/>
  <c r="I2057" i="13"/>
  <c r="I2084" i="13"/>
  <c r="I2188" i="13"/>
  <c r="I2228" i="13"/>
  <c r="I2239" i="13"/>
  <c r="I2292" i="13"/>
  <c r="I2306" i="13"/>
  <c r="I2465" i="13"/>
  <c r="I2505" i="13"/>
  <c r="I2509" i="13"/>
  <c r="I2643" i="13"/>
  <c r="I2663" i="13"/>
  <c r="I2734" i="13"/>
  <c r="I2778" i="13"/>
  <c r="I2798" i="13"/>
  <c r="I2889" i="13"/>
  <c r="I2903" i="13"/>
  <c r="I3347" i="13"/>
  <c r="I4520" i="13"/>
  <c r="I4603" i="13"/>
  <c r="I3516" i="13"/>
  <c r="I3553" i="13"/>
  <c r="I3694" i="13"/>
  <c r="I4411" i="13"/>
  <c r="I3455" i="13"/>
  <c r="I3476" i="13"/>
  <c r="I3506" i="13"/>
  <c r="I3533" i="13"/>
  <c r="I3564" i="13"/>
  <c r="I3587" i="13"/>
  <c r="I3830" i="13"/>
  <c r="I3834" i="13"/>
  <c r="I3841" i="13"/>
  <c r="I3862" i="13"/>
  <c r="I3870" i="13"/>
  <c r="I3881" i="13"/>
  <c r="I3907" i="13"/>
  <c r="I3943" i="13"/>
  <c r="I4137" i="13"/>
  <c r="I4171" i="13"/>
  <c r="I4186" i="13"/>
  <c r="I4214" i="13"/>
  <c r="I4256" i="13"/>
  <c r="I4270" i="13"/>
  <c r="I4312" i="13"/>
  <c r="I4362" i="13"/>
  <c r="I4394" i="13"/>
  <c r="I4418" i="13"/>
  <c r="I4440" i="13"/>
  <c r="I4453" i="13"/>
  <c r="I4500" i="13"/>
  <c r="I4514" i="13"/>
  <c r="I4538" i="13"/>
  <c r="I4555" i="13"/>
  <c r="I4576" i="13"/>
  <c r="I4608" i="13"/>
  <c r="I3355" i="13"/>
  <c r="I3408" i="13"/>
  <c r="I3483" i="13"/>
  <c r="I3491" i="13"/>
  <c r="I3537" i="13"/>
  <c r="I3561" i="13"/>
  <c r="I3617" i="13"/>
  <c r="I3698" i="13"/>
  <c r="I3743" i="13"/>
  <c r="I3750" i="13"/>
  <c r="I3753" i="13"/>
  <c r="I3802" i="13"/>
  <c r="I3820" i="13"/>
  <c r="I3845" i="13"/>
  <c r="I3929" i="13"/>
  <c r="I3968" i="13"/>
  <c r="I3975" i="13"/>
  <c r="I4030" i="13"/>
  <c r="I4051" i="13"/>
  <c r="I4071" i="13"/>
  <c r="I4095" i="13"/>
  <c r="I4099" i="13"/>
  <c r="I4117" i="13"/>
  <c r="I4130" i="13"/>
  <c r="I4147" i="13"/>
  <c r="I4154" i="13"/>
  <c r="I4161" i="13"/>
  <c r="I4179" i="13"/>
  <c r="I4193" i="13"/>
  <c r="I4204" i="13"/>
  <c r="I4211" i="13"/>
  <c r="I4218" i="13"/>
  <c r="I4281" i="13"/>
  <c r="I4288" i="13"/>
  <c r="I4370" i="13"/>
  <c r="I4405" i="13"/>
  <c r="I4470" i="13"/>
  <c r="I4518" i="13"/>
  <c r="I4524" i="13"/>
  <c r="I4549" i="13"/>
  <c r="I4585" i="13"/>
  <c r="I4592" i="13"/>
  <c r="I3395" i="13"/>
  <c r="I3517" i="13"/>
  <c r="I3578" i="13"/>
  <c r="I3608" i="13"/>
  <c r="I3614" i="13"/>
  <c r="I3688" i="13"/>
  <c r="I3695" i="13"/>
  <c r="I3723" i="13"/>
  <c r="I3730" i="13"/>
  <c r="I3765" i="13"/>
  <c r="I3772" i="13"/>
  <c r="I3779" i="13"/>
  <c r="I3831" i="13"/>
  <c r="I3856" i="13"/>
  <c r="I3863" i="13"/>
  <c r="I3904" i="13"/>
  <c r="I3926" i="13"/>
  <c r="I4006" i="13"/>
  <c r="I4041" i="13"/>
  <c r="I4048" i="13"/>
  <c r="I4138" i="13"/>
  <c r="I4165" i="13"/>
  <c r="I4176" i="13"/>
  <c r="I4222" i="13"/>
  <c r="I4249" i="13"/>
  <c r="I4253" i="13"/>
  <c r="I4257" i="13"/>
  <c r="I4260" i="13"/>
  <c r="I4296" i="13"/>
  <c r="I4320" i="13"/>
  <c r="I4353" i="13"/>
  <c r="I4409" i="13"/>
  <c r="I4511" i="13"/>
  <c r="I4528" i="13"/>
  <c r="I4535" i="13"/>
  <c r="I3433" i="13"/>
  <c r="I3449" i="13"/>
  <c r="I3456" i="13"/>
  <c r="I3498" i="13"/>
  <c r="I3501" i="13"/>
  <c r="I3551" i="13"/>
  <c r="I3565" i="13"/>
  <c r="I3618" i="13"/>
  <c r="I3632" i="13"/>
  <c r="I3635" i="13"/>
  <c r="I3737" i="13"/>
  <c r="I3786" i="13"/>
  <c r="I3814" i="13"/>
  <c r="I3897" i="13"/>
  <c r="I3912" i="13"/>
  <c r="I3982" i="13"/>
  <c r="I3992" i="13"/>
  <c r="I4027" i="13"/>
  <c r="I4045" i="13"/>
  <c r="I4062" i="13"/>
  <c r="I4075" i="13"/>
  <c r="I4121" i="13"/>
  <c r="I4131" i="13"/>
  <c r="I4148" i="13"/>
  <c r="I4215" i="13"/>
  <c r="I4246" i="13"/>
  <c r="I4264" i="13"/>
  <c r="I4282" i="13"/>
  <c r="I4485" i="13"/>
  <c r="I4525" i="13"/>
  <c r="I4532" i="13"/>
  <c r="I4546" i="13"/>
  <c r="I4577" i="13"/>
  <c r="I4508" i="13"/>
  <c r="I4593" i="13"/>
  <c r="I3462" i="13"/>
  <c r="I3518" i="13"/>
  <c r="I3598" i="13"/>
  <c r="I3615" i="13"/>
  <c r="I3639" i="13"/>
  <c r="I3668" i="13"/>
  <c r="I3675" i="13"/>
  <c r="I3682" i="13"/>
  <c r="I3766" i="13"/>
  <c r="I3773" i="13"/>
  <c r="I3800" i="13"/>
  <c r="I3857" i="13"/>
  <c r="I3916" i="13"/>
  <c r="I3945" i="13"/>
  <c r="I3963" i="13"/>
  <c r="I4000" i="13"/>
  <c r="I4059" i="13"/>
  <c r="I4066" i="13"/>
  <c r="I4152" i="13"/>
  <c r="I4173" i="13"/>
  <c r="I4184" i="13"/>
  <c r="I4191" i="13"/>
  <c r="I4226" i="13"/>
  <c r="I4230" i="13"/>
  <c r="I4258" i="13"/>
  <c r="I4357" i="13"/>
  <c r="I4438" i="13"/>
  <c r="I4448" i="13"/>
  <c r="I4468" i="13"/>
  <c r="I4567" i="13"/>
  <c r="I4574" i="13"/>
  <c r="I4606" i="13"/>
  <c r="I3420" i="13"/>
  <c r="I3468" i="13"/>
  <c r="I3569" i="13"/>
  <c r="I3636" i="13"/>
  <c r="I3679" i="13"/>
  <c r="I3717" i="13"/>
  <c r="I3738" i="13"/>
  <c r="I3741" i="13"/>
  <c r="I3745" i="13"/>
  <c r="I3818" i="13"/>
  <c r="I3825" i="13"/>
  <c r="I3872" i="13"/>
  <c r="I3883" i="13"/>
  <c r="I3894" i="13"/>
  <c r="I3898" i="13"/>
  <c r="I3934" i="13"/>
  <c r="I3983" i="13"/>
  <c r="I3986" i="13"/>
  <c r="I3989" i="13"/>
  <c r="I4014" i="13"/>
  <c r="I4028" i="13"/>
  <c r="I4046" i="13"/>
  <c r="I4049" i="13"/>
  <c r="I4101" i="13"/>
  <c r="I4108" i="13"/>
  <c r="I4125" i="13"/>
  <c r="I4149" i="13"/>
  <c r="I4159" i="13"/>
  <c r="I4166" i="13"/>
  <c r="I4216" i="13"/>
  <c r="I4265" i="13"/>
  <c r="I4286" i="13"/>
  <c r="I4318" i="13"/>
  <c r="I4321" i="13"/>
  <c r="I4332" i="13"/>
  <c r="I4368" i="13"/>
  <c r="I4396" i="13"/>
  <c r="I4429" i="13"/>
  <c r="I4445" i="13"/>
  <c r="I4458" i="13"/>
  <c r="I4461" i="13"/>
  <c r="I4475" i="13"/>
  <c r="I4496" i="13"/>
  <c r="I4547" i="13"/>
  <c r="I4597" i="13"/>
  <c r="I4610" i="13"/>
  <c r="I3407" i="13"/>
  <c r="I3431" i="13"/>
  <c r="I3749" i="13"/>
  <c r="I3794" i="13"/>
  <c r="I3833" i="13"/>
  <c r="I3869" i="13"/>
  <c r="I3942" i="13"/>
  <c r="I3946" i="13"/>
  <c r="I4039" i="13"/>
  <c r="I4084" i="13"/>
  <c r="I4210" i="13"/>
  <c r="I4227" i="13"/>
  <c r="I4234" i="13"/>
  <c r="I4251" i="13"/>
  <c r="I3509" i="13"/>
  <c r="I3546" i="13"/>
  <c r="I3680" i="13"/>
  <c r="I3718" i="13"/>
  <c r="I3774" i="13"/>
  <c r="I3826" i="13"/>
  <c r="I3858" i="13"/>
  <c r="I3895" i="13"/>
  <c r="I3910" i="13"/>
  <c r="I3914" i="13"/>
  <c r="I3950" i="13"/>
  <c r="I3953" i="13"/>
  <c r="I3987" i="13"/>
  <c r="I4001" i="13"/>
  <c r="I4015" i="13"/>
  <c r="I4019" i="13"/>
  <c r="I4050" i="13"/>
  <c r="I4077" i="13"/>
  <c r="I4098" i="13"/>
  <c r="I4102" i="13"/>
  <c r="I4109" i="13"/>
  <c r="I4133" i="13"/>
  <c r="I4143" i="13"/>
  <c r="I4150" i="13"/>
  <c r="I4224" i="13"/>
  <c r="I4231" i="13"/>
  <c r="I4262" i="13"/>
  <c r="I4298" i="13"/>
  <c r="I4369" i="13"/>
  <c r="I4373" i="13"/>
  <c r="I4376" i="13"/>
  <c r="I4390" i="13"/>
  <c r="I4449" i="13"/>
  <c r="I4462" i="13"/>
  <c r="I4476" i="13"/>
  <c r="I4568" i="13"/>
  <c r="I4591" i="13"/>
  <c r="I4604" i="13"/>
  <c r="J297" i="13"/>
  <c r="I297" i="13"/>
  <c r="I165" i="13"/>
  <c r="I129" i="13"/>
  <c r="J219" i="13"/>
  <c r="I219" i="13"/>
  <c r="J267" i="13"/>
  <c r="I267" i="13"/>
  <c r="J171" i="13"/>
  <c r="I171" i="13"/>
  <c r="I18" i="13"/>
  <c r="I61" i="13"/>
  <c r="I135" i="13"/>
  <c r="I375" i="13"/>
  <c r="I764" i="13"/>
  <c r="I99" i="13"/>
  <c r="I198" i="13"/>
  <c r="I21" i="13"/>
  <c r="I88" i="13"/>
  <c r="I160" i="13"/>
  <c r="I466" i="13"/>
  <c r="J755" i="13"/>
  <c r="I755" i="13"/>
  <c r="J1889" i="13"/>
  <c r="I1889" i="13"/>
  <c r="I70" i="13"/>
  <c r="I10" i="13"/>
  <c r="I33" i="13"/>
  <c r="I73" i="13"/>
  <c r="I82" i="13"/>
  <c r="I122" i="13"/>
  <c r="I136" i="13"/>
  <c r="I163" i="13"/>
  <c r="I193" i="13"/>
  <c r="I207" i="13"/>
  <c r="I212" i="13"/>
  <c r="I232" i="13"/>
  <c r="I295" i="13"/>
  <c r="I317" i="13"/>
  <c r="I379" i="13"/>
  <c r="I399" i="13"/>
  <c r="I436" i="13"/>
  <c r="I512" i="13"/>
  <c r="I535" i="13"/>
  <c r="I827" i="13"/>
  <c r="I7" i="13"/>
  <c r="I27" i="13"/>
  <c r="I42" i="13"/>
  <c r="I50" i="13"/>
  <c r="I65" i="13"/>
  <c r="I79" i="13"/>
  <c r="I100" i="13"/>
  <c r="I147" i="13"/>
  <c r="I172" i="13"/>
  <c r="I199" i="13"/>
  <c r="I255" i="13"/>
  <c r="I272" i="13"/>
  <c r="I278" i="13"/>
  <c r="J327" i="13"/>
  <c r="I327" i="13"/>
  <c r="I372" i="13"/>
  <c r="I386" i="13"/>
  <c r="I721" i="13"/>
  <c r="I1482" i="13"/>
  <c r="I124" i="13"/>
  <c r="J578" i="13"/>
  <c r="I578" i="13"/>
  <c r="I5" i="13"/>
  <c r="I54" i="13"/>
  <c r="I77" i="13"/>
  <c r="I92" i="13"/>
  <c r="I103" i="13"/>
  <c r="I108" i="13"/>
  <c r="I111" i="13"/>
  <c r="J152" i="13"/>
  <c r="I158" i="13"/>
  <c r="I166" i="13"/>
  <c r="I175" i="13"/>
  <c r="I390" i="13"/>
  <c r="I546" i="13"/>
  <c r="I583" i="13"/>
  <c r="I746" i="13"/>
  <c r="I766" i="13"/>
  <c r="I781" i="13"/>
  <c r="I856" i="13"/>
  <c r="I208" i="13"/>
  <c r="I249" i="13"/>
  <c r="J351" i="13"/>
  <c r="I351" i="13"/>
  <c r="I573" i="13"/>
  <c r="J773" i="13"/>
  <c r="I773" i="13"/>
  <c r="I1156" i="13"/>
  <c r="I41" i="13"/>
  <c r="I506" i="13"/>
  <c r="J506" i="13"/>
  <c r="I25" i="13"/>
  <c r="I66" i="13"/>
  <c r="I98" i="13"/>
  <c r="I148" i="13"/>
  <c r="I230" i="13"/>
  <c r="I238" i="13"/>
  <c r="I244" i="13"/>
  <c r="I296" i="13"/>
  <c r="I315" i="13"/>
  <c r="I325" i="13"/>
  <c r="I364" i="13"/>
  <c r="I472" i="13"/>
  <c r="I476" i="13"/>
  <c r="I493" i="13"/>
  <c r="I645" i="13"/>
  <c r="I793" i="13"/>
  <c r="I871" i="13"/>
  <c r="I1174" i="13"/>
  <c r="J1378" i="13"/>
  <c r="I1378" i="13"/>
  <c r="I211" i="13"/>
  <c r="I306" i="13"/>
  <c r="I434" i="13"/>
  <c r="J434" i="13"/>
  <c r="I57" i="13"/>
  <c r="I17" i="13"/>
  <c r="I6" i="13"/>
  <c r="I29" i="13"/>
  <c r="I78" i="13"/>
  <c r="I90" i="13"/>
  <c r="I151" i="13"/>
  <c r="I262" i="13"/>
  <c r="I322" i="13"/>
  <c r="I381" i="13"/>
  <c r="I501" i="13"/>
  <c r="I504" i="13"/>
  <c r="I574" i="13"/>
  <c r="I609" i="13"/>
  <c r="I671" i="13"/>
  <c r="I689" i="13"/>
  <c r="J782" i="13"/>
  <c r="I782" i="13"/>
  <c r="J566" i="13"/>
  <c r="I566" i="13"/>
  <c r="I34" i="13"/>
  <c r="I9" i="13"/>
  <c r="I23" i="13"/>
  <c r="I49" i="13"/>
  <c r="I52" i="13"/>
  <c r="I58" i="13"/>
  <c r="I81" i="13"/>
  <c r="I84" i="13"/>
  <c r="I93" i="13"/>
  <c r="I187" i="13"/>
  <c r="I220" i="13"/>
  <c r="I231" i="13"/>
  <c r="I414" i="13"/>
  <c r="I487" i="13"/>
  <c r="I508" i="13"/>
  <c r="I526" i="13"/>
  <c r="I624" i="13"/>
  <c r="I868" i="13"/>
  <c r="I1212" i="13"/>
  <c r="I1293" i="13"/>
  <c r="I340" i="13"/>
  <c r="I424" i="13"/>
  <c r="I433" i="13"/>
  <c r="I439" i="13"/>
  <c r="I447" i="13"/>
  <c r="I460" i="13"/>
  <c r="I479" i="13"/>
  <c r="I505" i="13"/>
  <c r="I547" i="13"/>
  <c r="I587" i="13"/>
  <c r="I610" i="13"/>
  <c r="I613" i="13"/>
  <c r="I622" i="13"/>
  <c r="I625" i="13"/>
  <c r="I634" i="13"/>
  <c r="I637" i="13"/>
  <c r="I655" i="13"/>
  <c r="I690" i="13"/>
  <c r="I742" i="13"/>
  <c r="I813" i="13"/>
  <c r="I854" i="13"/>
  <c r="I934" i="13"/>
  <c r="I937" i="13"/>
  <c r="I994" i="13"/>
  <c r="I1055" i="13"/>
  <c r="I441" i="13"/>
  <c r="I463" i="13"/>
  <c r="I469" i="13"/>
  <c r="I646" i="13"/>
  <c r="I649" i="13"/>
  <c r="I658" i="13"/>
  <c r="I661" i="13"/>
  <c r="I722" i="13"/>
  <c r="I725" i="13"/>
  <c r="I728" i="13"/>
  <c r="I734" i="13"/>
  <c r="I751" i="13"/>
  <c r="I835" i="13"/>
  <c r="I958" i="13"/>
  <c r="I974" i="13"/>
  <c r="I1034" i="13"/>
  <c r="I1069" i="13"/>
  <c r="I1093" i="13"/>
  <c r="I1130" i="13"/>
  <c r="I1151" i="13"/>
  <c r="I1330" i="13"/>
  <c r="I1514" i="13"/>
  <c r="I343" i="13"/>
  <c r="I376" i="13"/>
  <c r="I406" i="13"/>
  <c r="I421" i="13"/>
  <c r="J441" i="13"/>
  <c r="I485" i="13"/>
  <c r="I523" i="13"/>
  <c r="I538" i="13"/>
  <c r="I553" i="13"/>
  <c r="I667" i="13"/>
  <c r="I731" i="13"/>
  <c r="I791" i="13"/>
  <c r="J1717" i="13"/>
  <c r="I1717" i="13"/>
  <c r="I271" i="13"/>
  <c r="I316" i="13"/>
  <c r="I354" i="13"/>
  <c r="I365" i="13"/>
  <c r="I370" i="13"/>
  <c r="I373" i="13"/>
  <c r="I409" i="13"/>
  <c r="I415" i="13"/>
  <c r="I418" i="13"/>
  <c r="I451" i="13"/>
  <c r="I477" i="13"/>
  <c r="I570" i="13"/>
  <c r="I599" i="13"/>
  <c r="I670" i="13"/>
  <c r="I673" i="13"/>
  <c r="I679" i="13"/>
  <c r="I691" i="13"/>
  <c r="I743" i="13"/>
  <c r="I771" i="13"/>
  <c r="I776" i="13"/>
  <c r="I864" i="13"/>
  <c r="I885" i="13"/>
  <c r="I925" i="13"/>
  <c r="I931" i="13"/>
  <c r="I938" i="13"/>
  <c r="I968" i="13"/>
  <c r="I1045" i="13"/>
  <c r="I1080" i="13"/>
  <c r="I1127" i="13"/>
  <c r="I1162" i="13"/>
  <c r="I1186" i="13"/>
  <c r="I1324" i="13"/>
  <c r="I1384" i="13"/>
  <c r="I562" i="13"/>
  <c r="I565" i="13"/>
  <c r="I614" i="13"/>
  <c r="I626" i="13"/>
  <c r="I638" i="13"/>
  <c r="I682" i="13"/>
  <c r="I685" i="13"/>
  <c r="I694" i="13"/>
  <c r="I697" i="13"/>
  <c r="I740" i="13"/>
  <c r="I780" i="13"/>
  <c r="I817" i="13"/>
  <c r="I832" i="13"/>
  <c r="I913" i="13"/>
  <c r="I919" i="13"/>
  <c r="I959" i="13"/>
  <c r="I982" i="13"/>
  <c r="I985" i="13"/>
  <c r="I988" i="13"/>
  <c r="I1271" i="13"/>
  <c r="I559" i="13"/>
  <c r="I703" i="13"/>
  <c r="I718" i="13"/>
  <c r="I726" i="13"/>
  <c r="I794" i="13"/>
  <c r="I797" i="13"/>
  <c r="I800" i="13"/>
  <c r="I873" i="13"/>
  <c r="I1288" i="13"/>
  <c r="I1321" i="13"/>
  <c r="I1345" i="13"/>
  <c r="I346" i="13"/>
  <c r="I349" i="13"/>
  <c r="I419" i="13"/>
  <c r="I437" i="13"/>
  <c r="I449" i="13"/>
  <c r="I455" i="13"/>
  <c r="I467" i="13"/>
  <c r="I486" i="13"/>
  <c r="I498" i="13"/>
  <c r="I542" i="13"/>
  <c r="I545" i="13"/>
  <c r="I551" i="13"/>
  <c r="I554" i="13"/>
  <c r="I571" i="13"/>
  <c r="I653" i="13"/>
  <c r="I706" i="13"/>
  <c r="I709" i="13"/>
  <c r="I735" i="13"/>
  <c r="I744" i="13"/>
  <c r="I803" i="13"/>
  <c r="I904" i="13"/>
  <c r="I1057" i="13"/>
  <c r="I283" i="13"/>
  <c r="I303" i="13"/>
  <c r="I355" i="13"/>
  <c r="I366" i="13"/>
  <c r="I391" i="13"/>
  <c r="I470" i="13"/>
  <c r="I674" i="13"/>
  <c r="I758" i="13"/>
  <c r="I761" i="13"/>
  <c r="I886" i="13"/>
  <c r="I899" i="13"/>
  <c r="I911" i="13"/>
  <c r="I1036" i="13"/>
  <c r="I1043" i="13"/>
  <c r="I1458" i="13"/>
  <c r="I223" i="13"/>
  <c r="I256" i="13"/>
  <c r="I292" i="13"/>
  <c r="I328" i="13"/>
  <c r="I339" i="13"/>
  <c r="I400" i="13"/>
  <c r="I423" i="13"/>
  <c r="I459" i="13"/>
  <c r="J470" i="13"/>
  <c r="I481" i="13"/>
  <c r="I563" i="13"/>
  <c r="I577" i="13"/>
  <c r="I586" i="13"/>
  <c r="I618" i="13"/>
  <c r="I630" i="13"/>
  <c r="I642" i="13"/>
  <c r="I686" i="13"/>
  <c r="I692" i="13"/>
  <c r="I698" i="13"/>
  <c r="I741" i="13"/>
  <c r="I753" i="13"/>
  <c r="I812" i="13"/>
  <c r="I818" i="13"/>
  <c r="I824" i="13"/>
  <c r="I830" i="13"/>
  <c r="I853" i="13"/>
  <c r="I892" i="13"/>
  <c r="I976" i="13"/>
  <c r="I983" i="13"/>
  <c r="I986" i="13"/>
  <c r="I1022" i="13"/>
  <c r="I1132" i="13"/>
  <c r="I1139" i="13"/>
  <c r="I1180" i="13"/>
  <c r="I1204" i="13"/>
  <c r="I1222" i="13"/>
  <c r="I1276" i="13"/>
  <c r="I1289" i="13"/>
  <c r="I1335" i="13"/>
  <c r="I1375" i="13"/>
  <c r="I1575" i="13"/>
  <c r="I1234" i="13"/>
  <c r="I1261" i="13"/>
  <c r="I1269" i="13"/>
  <c r="I1421" i="13"/>
  <c r="I1834" i="13"/>
  <c r="I1848" i="13"/>
  <c r="I841" i="13"/>
  <c r="I946" i="13"/>
  <c r="I971" i="13"/>
  <c r="I979" i="13"/>
  <c r="I1006" i="13"/>
  <c r="I1067" i="13"/>
  <c r="I1079" i="13"/>
  <c r="I1091" i="13"/>
  <c r="I1103" i="13"/>
  <c r="I1115" i="13"/>
  <c r="I1159" i="13"/>
  <c r="J1269" i="13"/>
  <c r="I1280" i="13"/>
  <c r="I1370" i="13"/>
  <c r="I1415" i="13"/>
  <c r="I1477" i="13"/>
  <c r="I1541" i="13"/>
  <c r="I1623" i="13"/>
  <c r="I1630" i="13"/>
  <c r="I1650" i="13"/>
  <c r="I1687" i="13"/>
  <c r="I1777" i="13"/>
  <c r="I1785" i="13"/>
  <c r="I1975" i="13"/>
  <c r="I1264" i="13"/>
  <c r="I1267" i="13"/>
  <c r="I1291" i="13"/>
  <c r="I1294" i="13"/>
  <c r="I1333" i="13"/>
  <c r="I1336" i="13"/>
  <c r="I1483" i="13"/>
  <c r="I1486" i="13"/>
  <c r="I1030" i="13"/>
  <c r="I1163" i="13"/>
  <c r="I1175" i="13"/>
  <c r="I1187" i="13"/>
  <c r="I1270" i="13"/>
  <c r="I1342" i="13"/>
  <c r="I1602" i="13"/>
  <c r="I917" i="13"/>
  <c r="I935" i="13"/>
  <c r="I943" i="13"/>
  <c r="I980" i="13"/>
  <c r="I1003" i="13"/>
  <c r="I1085" i="13"/>
  <c r="I1097" i="13"/>
  <c r="I1109" i="13"/>
  <c r="I1160" i="13"/>
  <c r="I1199" i="13"/>
  <c r="I1251" i="13"/>
  <c r="I1286" i="13"/>
  <c r="I1300" i="13"/>
  <c r="I1348" i="13"/>
  <c r="I1371" i="13"/>
  <c r="I1434" i="13"/>
  <c r="I1441" i="13"/>
  <c r="I1519" i="13"/>
  <c r="I1522" i="13"/>
  <c r="I1564" i="13"/>
  <c r="I1583" i="13"/>
  <c r="I1600" i="13"/>
  <c r="I1651" i="13"/>
  <c r="I1654" i="13"/>
  <c r="I1987" i="13"/>
  <c r="I1166" i="13"/>
  <c r="I1178" i="13"/>
  <c r="I1190" i="13"/>
  <c r="I1211" i="13"/>
  <c r="I1223" i="13"/>
  <c r="I1235" i="13"/>
  <c r="I1306" i="13"/>
  <c r="I1459" i="13"/>
  <c r="I1561" i="13"/>
  <c r="I1753" i="13"/>
  <c r="I1789" i="13"/>
  <c r="I1007" i="13"/>
  <c r="I1054" i="13"/>
  <c r="I1121" i="13"/>
  <c r="I1243" i="13"/>
  <c r="I1408" i="13"/>
  <c r="I1554" i="13"/>
  <c r="J1873" i="13"/>
  <c r="I1873" i="13"/>
  <c r="I865" i="13"/>
  <c r="I910" i="13"/>
  <c r="I929" i="13"/>
  <c r="I1107" i="13"/>
  <c r="I1119" i="13"/>
  <c r="I1161" i="13"/>
  <c r="I1185" i="13"/>
  <c r="I1312" i="13"/>
  <c r="I1357" i="13"/>
  <c r="I1360" i="13"/>
  <c r="I1678" i="13"/>
  <c r="I901" i="13"/>
  <c r="I970" i="13"/>
  <c r="I1016" i="13"/>
  <c r="I1031" i="13"/>
  <c r="I1039" i="13"/>
  <c r="I1066" i="13"/>
  <c r="I1078" i="13"/>
  <c r="I1090" i="13"/>
  <c r="I1102" i="13"/>
  <c r="I1114" i="13"/>
  <c r="I1229" i="13"/>
  <c r="I1246" i="13"/>
  <c r="I1252" i="13"/>
  <c r="I1298" i="13"/>
  <c r="I1318" i="13"/>
  <c r="I1329" i="13"/>
  <c r="I1346" i="13"/>
  <c r="I1366" i="13"/>
  <c r="I1372" i="13"/>
  <c r="I1405" i="13"/>
  <c r="I1457" i="13"/>
  <c r="I1517" i="13"/>
  <c r="I1591" i="13"/>
  <c r="I1710" i="13"/>
  <c r="I1963" i="13"/>
  <c r="I849" i="13"/>
  <c r="I860" i="13"/>
  <c r="I907" i="13"/>
  <c r="I961" i="13"/>
  <c r="I993" i="13"/>
  <c r="I1001" i="13"/>
  <c r="I1010" i="13"/>
  <c r="I1051" i="13"/>
  <c r="I1126" i="13"/>
  <c r="I1138" i="13"/>
  <c r="I1150" i="13"/>
  <c r="I1167" i="13"/>
  <c r="I1191" i="13"/>
  <c r="I1205" i="13"/>
  <c r="I1209" i="13"/>
  <c r="I1221" i="13"/>
  <c r="I1233" i="13"/>
  <c r="I1260" i="13"/>
  <c r="I1279" i="13"/>
  <c r="I1282" i="13"/>
  <c r="I1301" i="13"/>
  <c r="I1315" i="13"/>
  <c r="I1363" i="13"/>
  <c r="I1369" i="13"/>
  <c r="I1396" i="13"/>
  <c r="I1402" i="13"/>
  <c r="I1411" i="13"/>
  <c r="I1414" i="13"/>
  <c r="I1423" i="13"/>
  <c r="I1435" i="13"/>
  <c r="I1451" i="13"/>
  <c r="I1494" i="13"/>
  <c r="I1501" i="13"/>
  <c r="I1530" i="13"/>
  <c r="I1533" i="13"/>
  <c r="I1618" i="13"/>
  <c r="I1642" i="13"/>
  <c r="I1660" i="13"/>
  <c r="I1801" i="13"/>
  <c r="I1765" i="13"/>
  <c r="I1796" i="13"/>
  <c r="I1813" i="13"/>
  <c r="I1820" i="13"/>
  <c r="I1948" i="13"/>
  <c r="I1950" i="13"/>
  <c r="I1636" i="13"/>
  <c r="I1721" i="13"/>
  <c r="I1808" i="13"/>
  <c r="I1869" i="13"/>
  <c r="I1971" i="13"/>
  <c r="I2022" i="13"/>
  <c r="I2217" i="13"/>
  <c r="I1450" i="13"/>
  <c r="I1487" i="13"/>
  <c r="I1573" i="13"/>
  <c r="I1576" i="13"/>
  <c r="I1607" i="13"/>
  <c r="I1633" i="13"/>
  <c r="I1648" i="13"/>
  <c r="I1845" i="13"/>
  <c r="I1857" i="13"/>
  <c r="I1896" i="13"/>
  <c r="I1907" i="13"/>
  <c r="I1983" i="13"/>
  <c r="I2061" i="13"/>
  <c r="I2092" i="13"/>
  <c r="I2140" i="13"/>
  <c r="I2487" i="13"/>
  <c r="I2666" i="13"/>
  <c r="I1445" i="13"/>
  <c r="I1484" i="13"/>
  <c r="I1507" i="13"/>
  <c r="I1513" i="13"/>
  <c r="I1516" i="13"/>
  <c r="I1567" i="13"/>
  <c r="I1570" i="13"/>
  <c r="I1622" i="13"/>
  <c r="I1645" i="13"/>
  <c r="I1725" i="13"/>
  <c r="I1751" i="13"/>
  <c r="I1757" i="13"/>
  <c r="I1769" i="13"/>
  <c r="I1787" i="13"/>
  <c r="I1793" i="13"/>
  <c r="I1799" i="13"/>
  <c r="I1805" i="13"/>
  <c r="I1817" i="13"/>
  <c r="I1833" i="13"/>
  <c r="I1838" i="13"/>
  <c r="I1854" i="13"/>
  <c r="I1878" i="13"/>
  <c r="I1911" i="13"/>
  <c r="I1974" i="13"/>
  <c r="I1986" i="13"/>
  <c r="I2012" i="13"/>
  <c r="I2033" i="13"/>
  <c r="I2212" i="13"/>
  <c r="I1417" i="13"/>
  <c r="I1420" i="13"/>
  <c r="I1462" i="13"/>
  <c r="I1525" i="13"/>
  <c r="I1528" i="13"/>
  <c r="I1585" i="13"/>
  <c r="I1637" i="13"/>
  <c r="I1657" i="13"/>
  <c r="I1722" i="13"/>
  <c r="I1761" i="13"/>
  <c r="I1809" i="13"/>
  <c r="I1830" i="13"/>
  <c r="I1897" i="13"/>
  <c r="I1908" i="13"/>
  <c r="I1934" i="13"/>
  <c r="I1946" i="13"/>
  <c r="I1951" i="13"/>
  <c r="I1972" i="13"/>
  <c r="I2023" i="13"/>
  <c r="I2036" i="13"/>
  <c r="I2202" i="13"/>
  <c r="I2429" i="13"/>
  <c r="I2606" i="13"/>
  <c r="I1867" i="13"/>
  <c r="I1870" i="13"/>
  <c r="I1885" i="13"/>
  <c r="I1937" i="13"/>
  <c r="I1949" i="13"/>
  <c r="I1993" i="13"/>
  <c r="I2049" i="13"/>
  <c r="I2093" i="13"/>
  <c r="I2117" i="13"/>
  <c r="I2141" i="13"/>
  <c r="I2226" i="13"/>
  <c r="I2237" i="13"/>
  <c r="J2370" i="13"/>
  <c r="I2370" i="13"/>
  <c r="I2426" i="13"/>
  <c r="J3179" i="13"/>
  <c r="I3179" i="13"/>
  <c r="I1594" i="13"/>
  <c r="I1631" i="13"/>
  <c r="I1666" i="13"/>
  <c r="I1681" i="13"/>
  <c r="I1684" i="13"/>
  <c r="I1693" i="13"/>
  <c r="I1735" i="13"/>
  <c r="I1858" i="13"/>
  <c r="I1912" i="13"/>
  <c r="I1914" i="13"/>
  <c r="I2010" i="13"/>
  <c r="I1947" i="13"/>
  <c r="I2070" i="13"/>
  <c r="J2603" i="13"/>
  <c r="I2603" i="13"/>
  <c r="I1426" i="13"/>
  <c r="I1489" i="13"/>
  <c r="I1492" i="13"/>
  <c r="I1526" i="13"/>
  <c r="I1529" i="13"/>
  <c r="I1549" i="13"/>
  <c r="I1552" i="13"/>
  <c r="I1586" i="13"/>
  <c r="I1609" i="13"/>
  <c r="I1612" i="13"/>
  <c r="I1697" i="13"/>
  <c r="I1712" i="13"/>
  <c r="I1720" i="13"/>
  <c r="I1741" i="13"/>
  <c r="I1744" i="13"/>
  <c r="I1759" i="13"/>
  <c r="I1849" i="13"/>
  <c r="I1861" i="13"/>
  <c r="I1892" i="13"/>
  <c r="I1935" i="13"/>
  <c r="I2021" i="13"/>
  <c r="I2227" i="13"/>
  <c r="I2259" i="13"/>
  <c r="I2401" i="13"/>
  <c r="I1837" i="13"/>
  <c r="I1840" i="13"/>
  <c r="I1856" i="13"/>
  <c r="I1932" i="13"/>
  <c r="I2081" i="13"/>
  <c r="I2094" i="13"/>
  <c r="I2118" i="13"/>
  <c r="I2142" i="13"/>
  <c r="I2163" i="13"/>
  <c r="I2190" i="13"/>
  <c r="I2241" i="13"/>
  <c r="I2583" i="13"/>
  <c r="I2638" i="13"/>
  <c r="I1621" i="13"/>
  <c r="I1624" i="13"/>
  <c r="I1724" i="13"/>
  <c r="I1825" i="13"/>
  <c r="I1828" i="13"/>
  <c r="I1832" i="13"/>
  <c r="I1880" i="13"/>
  <c r="I1883" i="13"/>
  <c r="I1895" i="13"/>
  <c r="I1910" i="13"/>
  <c r="I1929" i="13"/>
  <c r="I1959" i="13"/>
  <c r="I1985" i="13"/>
  <c r="I2011" i="13"/>
  <c r="I2298" i="13"/>
  <c r="I2497" i="13"/>
  <c r="J3031" i="13"/>
  <c r="I3031" i="13"/>
  <c r="I1957" i="13"/>
  <c r="I1968" i="13"/>
  <c r="I1995" i="13"/>
  <c r="I2211" i="13"/>
  <c r="I2236" i="13"/>
  <c r="I2254" i="13"/>
  <c r="I2258" i="13"/>
  <c r="I2317" i="13"/>
  <c r="I2372" i="13"/>
  <c r="I2389" i="13"/>
  <c r="I2413" i="13"/>
  <c r="I2423" i="13"/>
  <c r="I2545" i="13"/>
  <c r="I2555" i="13"/>
  <c r="I2613" i="13"/>
  <c r="I2646" i="13"/>
  <c r="I2679" i="13"/>
  <c r="I2701" i="13"/>
  <c r="I2792" i="13"/>
  <c r="I2860" i="13"/>
  <c r="I3088" i="13"/>
  <c r="I3116" i="13"/>
  <c r="I3138" i="13"/>
  <c r="I3572" i="13"/>
  <c r="I3196" i="13"/>
  <c r="J3269" i="13"/>
  <c r="I3269" i="13"/>
  <c r="I2007" i="13"/>
  <c r="I2019" i="13"/>
  <c r="I2067" i="13"/>
  <c r="I2091" i="13"/>
  <c r="I2103" i="13"/>
  <c r="I2111" i="13"/>
  <c r="I2127" i="13"/>
  <c r="I2139" i="13"/>
  <c r="I2147" i="13"/>
  <c r="I2242" i="13"/>
  <c r="I2246" i="13"/>
  <c r="I2271" i="13"/>
  <c r="I2299" i="13"/>
  <c r="I2327" i="13"/>
  <c r="I2335" i="13"/>
  <c r="I2344" i="13"/>
  <c r="I2351" i="13"/>
  <c r="I2396" i="13"/>
  <c r="I2406" i="13"/>
  <c r="I2410" i="13"/>
  <c r="I2437" i="13"/>
  <c r="I2443" i="13"/>
  <c r="I2460" i="13"/>
  <c r="I2473" i="13"/>
  <c r="I2479" i="13"/>
  <c r="I2496" i="13"/>
  <c r="I2502" i="13"/>
  <c r="I2529" i="13"/>
  <c r="I2565" i="13"/>
  <c r="I2604" i="13"/>
  <c r="I2607" i="13"/>
  <c r="I2770" i="13"/>
  <c r="I2864" i="13"/>
  <c r="I2876" i="13"/>
  <c r="J3106" i="13"/>
  <c r="I3106" i="13"/>
  <c r="I2072" i="13"/>
  <c r="I2096" i="13"/>
  <c r="I2115" i="13"/>
  <c r="I2132" i="13"/>
  <c r="I2151" i="13"/>
  <c r="I2171" i="13"/>
  <c r="I2175" i="13"/>
  <c r="I2187" i="13"/>
  <c r="I2196" i="13"/>
  <c r="I2224" i="13"/>
  <c r="I2274" i="13"/>
  <c r="I2284" i="13"/>
  <c r="I2302" i="13"/>
  <c r="I2318" i="13"/>
  <c r="I2360" i="13"/>
  <c r="I2364" i="13"/>
  <c r="I2379" i="13"/>
  <c r="I2403" i="13"/>
  <c r="I2424" i="13"/>
  <c r="I2440" i="13"/>
  <c r="I2447" i="13"/>
  <c r="I2450" i="13"/>
  <c r="I2463" i="13"/>
  <c r="I2466" i="13"/>
  <c r="I2470" i="13"/>
  <c r="I2476" i="13"/>
  <c r="I2483" i="13"/>
  <c r="I2486" i="13"/>
  <c r="I2499" i="13"/>
  <c r="I2526" i="13"/>
  <c r="I2533" i="13"/>
  <c r="I2539" i="13"/>
  <c r="I2556" i="13"/>
  <c r="I2562" i="13"/>
  <c r="I2569" i="13"/>
  <c r="I2625" i="13"/>
  <c r="I2650" i="13"/>
  <c r="I2686" i="13"/>
  <c r="I2718" i="13"/>
  <c r="I2738" i="13"/>
  <c r="I2744" i="13"/>
  <c r="I2793" i="13"/>
  <c r="I2796" i="13"/>
  <c r="I2806" i="13"/>
  <c r="I2909" i="13"/>
  <c r="I3129" i="13"/>
  <c r="I3160" i="13"/>
  <c r="I3176" i="13"/>
  <c r="I3532" i="13"/>
  <c r="J3532" i="13"/>
  <c r="I2427" i="13"/>
  <c r="I2520" i="13"/>
  <c r="I2523" i="13"/>
  <c r="I2559" i="13"/>
  <c r="I2656" i="13"/>
  <c r="I2784" i="13"/>
  <c r="I2923" i="13"/>
  <c r="I2032" i="13"/>
  <c r="I2044" i="13"/>
  <c r="I2056" i="13"/>
  <c r="I2080" i="13"/>
  <c r="I2112" i="13"/>
  <c r="I2136" i="13"/>
  <c r="I2230" i="13"/>
  <c r="I2234" i="13"/>
  <c r="I2243" i="13"/>
  <c r="I2321" i="13"/>
  <c r="I2397" i="13"/>
  <c r="I2407" i="13"/>
  <c r="I2421" i="13"/>
  <c r="I2444" i="13"/>
  <c r="I2480" i="13"/>
  <c r="I2493" i="13"/>
  <c r="I2530" i="13"/>
  <c r="I2608" i="13"/>
  <c r="I2674" i="13"/>
  <c r="I2677" i="13"/>
  <c r="I2722" i="13"/>
  <c r="I2764" i="13"/>
  <c r="I2983" i="13"/>
  <c r="I3079" i="13"/>
  <c r="I2807" i="13"/>
  <c r="I2810" i="13"/>
  <c r="J2947" i="13"/>
  <c r="I2947" i="13"/>
  <c r="J3143" i="13"/>
  <c r="I3143" i="13"/>
  <c r="J3154" i="13"/>
  <c r="I3154" i="13"/>
  <c r="J3167" i="13"/>
  <c r="I3167" i="13"/>
  <c r="I3690" i="13"/>
  <c r="I2425" i="13"/>
  <c r="I2632" i="13"/>
  <c r="J2836" i="13"/>
  <c r="I2836" i="13"/>
  <c r="I2840" i="13"/>
  <c r="I2900" i="13"/>
  <c r="I2971" i="13"/>
  <c r="I3077" i="13"/>
  <c r="I3124" i="13"/>
  <c r="I3208" i="13"/>
  <c r="J3404" i="13"/>
  <c r="I3404" i="13"/>
  <c r="I2185" i="13"/>
  <c r="I2191" i="13"/>
  <c r="I2235" i="13"/>
  <c r="I2244" i="13"/>
  <c r="I2260" i="13"/>
  <c r="I2307" i="13"/>
  <c r="I2337" i="13"/>
  <c r="I2349" i="13"/>
  <c r="I2388" i="13"/>
  <c r="I2408" i="13"/>
  <c r="I2547" i="13"/>
  <c r="I2035" i="13"/>
  <c r="I2047" i="13"/>
  <c r="I2059" i="13"/>
  <c r="I2238" i="13"/>
  <c r="I2263" i="13"/>
  <c r="I2295" i="13"/>
  <c r="I2310" i="13"/>
  <c r="I2331" i="13"/>
  <c r="I2391" i="13"/>
  <c r="I2468" i="13"/>
  <c r="I2581" i="13"/>
  <c r="I2688" i="13"/>
  <c r="I2818" i="13"/>
  <c r="I2837" i="13"/>
  <c r="J2875" i="13"/>
  <c r="I2875" i="13"/>
  <c r="J3067" i="13"/>
  <c r="I3067" i="13"/>
  <c r="I2006" i="13"/>
  <c r="I2062" i="13"/>
  <c r="I2066" i="13"/>
  <c r="I2086" i="13"/>
  <c r="I2090" i="13"/>
  <c r="I2266" i="13"/>
  <c r="I2270" i="13"/>
  <c r="I2346" i="13"/>
  <c r="I2375" i="13"/>
  <c r="I2432" i="13"/>
  <c r="I2436" i="13"/>
  <c r="I2449" i="13"/>
  <c r="I2472" i="13"/>
  <c r="I2485" i="13"/>
  <c r="I2541" i="13"/>
  <c r="I2574" i="13"/>
  <c r="I2624" i="13"/>
  <c r="I2642" i="13"/>
  <c r="I2660" i="13"/>
  <c r="I2710" i="13"/>
  <c r="I2762" i="13"/>
  <c r="I2772" i="13"/>
  <c r="I2911" i="13"/>
  <c r="I2995" i="13"/>
  <c r="I3211" i="13"/>
  <c r="J3670" i="13"/>
  <c r="I3670" i="13"/>
  <c r="I2611" i="13"/>
  <c r="I2633" i="13"/>
  <c r="I2647" i="13"/>
  <c r="I2661" i="13"/>
  <c r="I2844" i="13"/>
  <c r="I2894" i="13"/>
  <c r="I2905" i="13"/>
  <c r="I2976" i="13"/>
  <c r="I3013" i="13"/>
  <c r="I3024" i="13"/>
  <c r="I3046" i="13"/>
  <c r="I3086" i="13"/>
  <c r="I3119" i="13"/>
  <c r="I3122" i="13"/>
  <c r="I3248" i="13"/>
  <c r="I3374" i="13"/>
  <c r="I3417" i="13"/>
  <c r="I3585" i="13"/>
  <c r="I2636" i="13"/>
  <c r="I2664" i="13"/>
  <c r="I2698" i="13"/>
  <c r="I2712" i="13"/>
  <c r="I2746" i="13"/>
  <c r="I2760" i="13"/>
  <c r="I2791" i="13"/>
  <c r="I2794" i="13"/>
  <c r="I2808" i="13"/>
  <c r="I2822" i="13"/>
  <c r="I3016" i="13"/>
  <c r="I3027" i="13"/>
  <c r="I3035" i="13"/>
  <c r="I3050" i="13"/>
  <c r="I3061" i="13"/>
  <c r="I3083" i="13"/>
  <c r="I2766" i="13"/>
  <c r="I2780" i="13"/>
  <c r="I2797" i="13"/>
  <c r="I2800" i="13"/>
  <c r="I2814" i="13"/>
  <c r="I2825" i="13"/>
  <c r="I2833" i="13"/>
  <c r="I2861" i="13"/>
  <c r="I2897" i="13"/>
  <c r="I2908" i="13"/>
  <c r="I2916" i="13"/>
  <c r="I2933" i="13"/>
  <c r="I2999" i="13"/>
  <c r="I3041" i="13"/>
  <c r="I3078" i="13"/>
  <c r="I3095" i="13"/>
  <c r="I3151" i="13"/>
  <c r="I3162" i="13"/>
  <c r="I3206" i="13"/>
  <c r="I3372" i="13"/>
  <c r="I3530" i="13"/>
  <c r="I3556" i="13"/>
  <c r="J3556" i="13"/>
  <c r="I4029" i="13"/>
  <c r="J4073" i="13"/>
  <c r="I4073" i="13"/>
  <c r="I3215" i="13"/>
  <c r="I3218" i="13"/>
  <c r="I2693" i="13"/>
  <c r="I2707" i="13"/>
  <c r="I2727" i="13"/>
  <c r="I2741" i="13"/>
  <c r="I2755" i="13"/>
  <c r="I2775" i="13"/>
  <c r="I2789" i="13"/>
  <c r="I2803" i="13"/>
  <c r="I2845" i="13"/>
  <c r="I2954" i="13"/>
  <c r="I2977" i="13"/>
  <c r="I3021" i="13"/>
  <c r="I3025" i="13"/>
  <c r="I3032" i="13"/>
  <c r="I3055" i="13"/>
  <c r="I3084" i="13"/>
  <c r="I3115" i="13"/>
  <c r="I3117" i="13"/>
  <c r="I3203" i="13"/>
  <c r="I2812" i="13"/>
  <c r="I2834" i="13"/>
  <c r="I2873" i="13"/>
  <c r="I2884" i="13"/>
  <c r="I2966" i="13"/>
  <c r="I3051" i="13"/>
  <c r="I3319" i="13"/>
  <c r="I3350" i="13"/>
  <c r="I3495" i="13"/>
  <c r="I3700" i="13"/>
  <c r="I2831" i="13"/>
  <c r="I3131" i="13"/>
  <c r="I3134" i="13"/>
  <c r="I3139" i="13"/>
  <c r="I2586" i="13"/>
  <c r="I2593" i="13"/>
  <c r="I2599" i="13"/>
  <c r="I2621" i="13"/>
  <c r="I2657" i="13"/>
  <c r="I2767" i="13"/>
  <c r="I2787" i="13"/>
  <c r="I2815" i="13"/>
  <c r="I2846" i="13"/>
  <c r="I2857" i="13"/>
  <c r="I2963" i="13"/>
  <c r="I3074" i="13"/>
  <c r="I3107" i="13"/>
  <c r="I3110" i="13"/>
  <c r="I3187" i="13"/>
  <c r="I3398" i="13"/>
  <c r="I2680" i="13"/>
  <c r="I2694" i="13"/>
  <c r="I2708" i="13"/>
  <c r="I2725" i="13"/>
  <c r="I2728" i="13"/>
  <c r="I2742" i="13"/>
  <c r="I2756" i="13"/>
  <c r="I2773" i="13"/>
  <c r="I2776" i="13"/>
  <c r="I2790" i="13"/>
  <c r="I2804" i="13"/>
  <c r="I2824" i="13"/>
  <c r="I2868" i="13"/>
  <c r="I2940" i="13"/>
  <c r="I2955" i="13"/>
  <c r="I2969" i="13"/>
  <c r="I3015" i="13"/>
  <c r="I3026" i="13"/>
  <c r="I3054" i="13"/>
  <c r="I3085" i="13"/>
  <c r="I3158" i="13"/>
  <c r="I3199" i="13"/>
  <c r="I3216" i="13"/>
  <c r="I3323" i="13"/>
  <c r="I3329" i="13"/>
  <c r="I3367" i="13"/>
  <c r="I3409" i="13"/>
  <c r="I3508" i="13"/>
  <c r="J3508" i="13"/>
  <c r="I3225" i="13"/>
  <c r="I3231" i="13"/>
  <c r="I3245" i="13"/>
  <c r="I3263" i="13"/>
  <c r="I3266" i="13"/>
  <c r="I3275" i="13"/>
  <c r="I3281" i="13"/>
  <c r="I3306" i="13"/>
  <c r="I3311" i="13"/>
  <c r="I3356" i="13"/>
  <c r="I3380" i="13"/>
  <c r="I3428" i="13"/>
  <c r="I3441" i="13"/>
  <c r="I3452" i="13"/>
  <c r="I3486" i="13"/>
  <c r="I3505" i="13"/>
  <c r="I3547" i="13"/>
  <c r="I3596" i="13"/>
  <c r="I3601" i="13"/>
  <c r="I3610" i="13"/>
  <c r="I3620" i="13"/>
  <c r="I3824" i="13"/>
  <c r="I3838" i="13"/>
  <c r="I3866" i="13"/>
  <c r="I3906" i="13"/>
  <c r="I3948" i="13"/>
  <c r="I3951" i="13"/>
  <c r="J4069" i="13"/>
  <c r="I4069" i="13"/>
  <c r="I3314" i="13"/>
  <c r="I3338" i="13"/>
  <c r="I3991" i="13"/>
  <c r="I3995" i="13"/>
  <c r="I4489" i="13"/>
  <c r="J4489" i="13"/>
  <c r="I3288" i="13"/>
  <c r="I3307" i="13"/>
  <c r="I3317" i="13"/>
  <c r="I3320" i="13"/>
  <c r="I3354" i="13"/>
  <c r="I3378" i="13"/>
  <c r="I3402" i="13"/>
  <c r="I3450" i="13"/>
  <c r="I3511" i="13"/>
  <c r="I3548" i="13"/>
  <c r="I3594" i="13"/>
  <c r="I3597" i="13"/>
  <c r="I3727" i="13"/>
  <c r="I3812" i="13"/>
  <c r="I3822" i="13"/>
  <c r="I3846" i="13"/>
  <c r="I3867" i="13"/>
  <c r="I3928" i="13"/>
  <c r="I3261" i="13"/>
  <c r="I3264" i="13"/>
  <c r="I3267" i="13"/>
  <c r="I3349" i="13"/>
  <c r="I3373" i="13"/>
  <c r="I3397" i="13"/>
  <c r="I3410" i="13"/>
  <c r="I3434" i="13"/>
  <c r="I3473" i="13"/>
  <c r="I3559" i="13"/>
  <c r="I3591" i="13"/>
  <c r="I3605" i="13"/>
  <c r="I3642" i="13"/>
  <c r="I3681" i="13"/>
  <c r="I3714" i="13"/>
  <c r="I3724" i="13"/>
  <c r="I3744" i="13"/>
  <c r="I3768" i="13"/>
  <c r="I3836" i="13"/>
  <c r="I3901" i="13"/>
  <c r="I3915" i="13"/>
  <c r="I3925" i="13"/>
  <c r="I4009" i="13"/>
  <c r="I4023" i="13"/>
  <c r="I3331" i="13"/>
  <c r="I3336" i="13"/>
  <c r="I3344" i="13"/>
  <c r="I3368" i="13"/>
  <c r="I3392" i="13"/>
  <c r="I3416" i="13"/>
  <c r="I3421" i="13"/>
  <c r="I3429" i="13"/>
  <c r="I3440" i="13"/>
  <c r="I3442" i="13"/>
  <c r="I3445" i="13"/>
  <c r="I3453" i="13"/>
  <c r="I3470" i="13"/>
  <c r="I3494" i="13"/>
  <c r="I3514" i="13"/>
  <c r="I3540" i="13"/>
  <c r="I3562" i="13"/>
  <c r="I3659" i="13"/>
  <c r="I3403" i="13"/>
  <c r="I3427" i="13"/>
  <c r="I3451" i="13"/>
  <c r="I3477" i="13"/>
  <c r="I3480" i="13"/>
  <c r="I3525" i="13"/>
  <c r="I3545" i="13"/>
  <c r="I3573" i="13"/>
  <c r="I3701" i="13"/>
  <c r="I3458" i="13"/>
  <c r="I3496" i="13"/>
  <c r="I3512" i="13"/>
  <c r="I3622" i="13"/>
  <c r="I3844" i="13"/>
  <c r="I4401" i="13"/>
  <c r="J4401" i="13"/>
  <c r="I3191" i="13"/>
  <c r="I3194" i="13"/>
  <c r="I3239" i="13"/>
  <c r="I3242" i="13"/>
  <c r="I3268" i="13"/>
  <c r="I3280" i="13"/>
  <c r="I3326" i="13"/>
  <c r="I3492" i="13"/>
  <c r="I3549" i="13"/>
  <c r="I3560" i="13"/>
  <c r="I3631" i="13"/>
  <c r="I3653" i="13"/>
  <c r="I3676" i="13"/>
  <c r="I3702" i="13"/>
  <c r="I3752" i="13"/>
  <c r="I3891" i="13"/>
  <c r="I3905" i="13"/>
  <c r="I4007" i="13"/>
  <c r="I4038" i="13"/>
  <c r="I4263" i="13"/>
  <c r="J4263" i="13"/>
  <c r="I3219" i="13"/>
  <c r="I3259" i="13"/>
  <c r="I3277" i="13"/>
  <c r="I3284" i="13"/>
  <c r="I3295" i="13"/>
  <c r="I3313" i="13"/>
  <c r="I3321" i="13"/>
  <c r="I3337" i="13"/>
  <c r="I3366" i="13"/>
  <c r="I3390" i="13"/>
  <c r="I3419" i="13"/>
  <c r="I3443" i="13"/>
  <c r="I3488" i="13"/>
  <c r="I3523" i="13"/>
  <c r="I3536" i="13"/>
  <c r="I3634" i="13"/>
  <c r="I3705" i="13"/>
  <c r="I3732" i="13"/>
  <c r="I3913" i="13"/>
  <c r="I3933" i="13"/>
  <c r="I3997" i="13"/>
  <c r="I4035" i="13"/>
  <c r="I4042" i="13"/>
  <c r="I3272" i="13"/>
  <c r="I3287" i="13"/>
  <c r="I3332" i="13"/>
  <c r="I3361" i="13"/>
  <c r="I3385" i="13"/>
  <c r="I3422" i="13"/>
  <c r="I3446" i="13"/>
  <c r="I3459" i="13"/>
  <c r="I3464" i="13"/>
  <c r="I3475" i="13"/>
  <c r="I3497" i="13"/>
  <c r="I3500" i="13"/>
  <c r="I3510" i="13"/>
  <c r="I3557" i="13"/>
  <c r="I3582" i="13"/>
  <c r="I3660" i="13"/>
  <c r="I3673" i="13"/>
  <c r="I3696" i="13"/>
  <c r="I3712" i="13"/>
  <c r="I3742" i="13"/>
  <c r="I3770" i="13"/>
  <c r="I3790" i="13"/>
  <c r="I3977" i="13"/>
  <c r="I4004" i="13"/>
  <c r="I4223" i="13"/>
  <c r="I4343" i="13"/>
  <c r="J4343" i="13"/>
  <c r="I4367" i="13"/>
  <c r="J4367" i="13"/>
  <c r="I3797" i="13"/>
  <c r="I4011" i="13"/>
  <c r="I4070" i="13"/>
  <c r="I4180" i="13"/>
  <c r="I4295" i="13"/>
  <c r="I4347" i="13"/>
  <c r="J4347" i="13"/>
  <c r="I4580" i="13"/>
  <c r="I3902" i="13"/>
  <c r="I3937" i="13"/>
  <c r="I3949" i="13"/>
  <c r="I3999" i="13"/>
  <c r="I4105" i="13"/>
  <c r="I4250" i="13"/>
  <c r="I4333" i="13"/>
  <c r="I4344" i="13"/>
  <c r="I4372" i="13"/>
  <c r="I4457" i="13"/>
  <c r="I3637" i="13"/>
  <c r="I3725" i="13"/>
  <c r="I3761" i="13"/>
  <c r="I3777" i="13"/>
  <c r="I3783" i="13"/>
  <c r="I3850" i="13"/>
  <c r="I3864" i="13"/>
  <c r="I3887" i="13"/>
  <c r="I3899" i="13"/>
  <c r="I3954" i="13"/>
  <c r="I4002" i="13"/>
  <c r="I4018" i="13"/>
  <c r="I4086" i="13"/>
  <c r="I4174" i="13"/>
  <c r="I4268" i="13"/>
  <c r="I4303" i="13"/>
  <c r="I4365" i="13"/>
  <c r="I4447" i="13"/>
  <c r="I4561" i="13"/>
  <c r="I3854" i="13"/>
  <c r="I4144" i="13"/>
  <c r="I4319" i="13"/>
  <c r="J4319" i="13"/>
  <c r="I4355" i="13"/>
  <c r="J4355" i="13"/>
  <c r="I3644" i="13"/>
  <c r="I3739" i="13"/>
  <c r="I3873" i="13"/>
  <c r="I4053" i="13"/>
  <c r="I4181" i="13"/>
  <c r="I4293" i="13"/>
  <c r="I4341" i="13"/>
  <c r="I4484" i="13"/>
  <c r="I4601" i="13"/>
  <c r="I3683" i="13"/>
  <c r="I3689" i="13"/>
  <c r="I3709" i="13"/>
  <c r="I3731" i="13"/>
  <c r="I3784" i="13"/>
  <c r="I3795" i="13"/>
  <c r="I3851" i="13"/>
  <c r="I3900" i="13"/>
  <c r="I3923" i="13"/>
  <c r="I3938" i="13"/>
  <c r="I4113" i="13"/>
  <c r="I4132" i="13"/>
  <c r="I4168" i="13"/>
  <c r="J4194" i="13"/>
  <c r="I4194" i="13"/>
  <c r="I4247" i="13"/>
  <c r="J4247" i="13"/>
  <c r="I4317" i="13"/>
  <c r="I4345" i="13"/>
  <c r="I4474" i="13"/>
  <c r="I3672" i="13"/>
  <c r="I3678" i="13"/>
  <c r="I3715" i="13"/>
  <c r="I3726" i="13"/>
  <c r="I3762" i="13"/>
  <c r="I3778" i="13"/>
  <c r="I3798" i="13"/>
  <c r="I3832" i="13"/>
  <c r="I3848" i="13"/>
  <c r="I3877" i="13"/>
  <c r="I3903" i="13"/>
  <c r="I3985" i="13"/>
  <c r="I4093" i="13"/>
  <c r="J4300" i="13"/>
  <c r="I4300" i="13"/>
  <c r="I3656" i="13"/>
  <c r="I3821" i="13"/>
  <c r="I4054" i="13"/>
  <c r="I4078" i="13"/>
  <c r="I4126" i="13"/>
  <c r="I4162" i="13"/>
  <c r="I4331" i="13"/>
  <c r="I4420" i="13"/>
  <c r="I3571" i="13"/>
  <c r="I3581" i="13"/>
  <c r="I3613" i="13"/>
  <c r="I3630" i="13"/>
  <c r="I3633" i="13"/>
  <c r="I3687" i="13"/>
  <c r="I3729" i="13"/>
  <c r="I3796" i="13"/>
  <c r="I3829" i="13"/>
  <c r="I3882" i="13"/>
  <c r="I3909" i="13"/>
  <c r="I3924" i="13"/>
  <c r="I3927" i="13"/>
  <c r="I3959" i="13"/>
  <c r="I3962" i="13"/>
  <c r="I3971" i="13"/>
  <c r="I3974" i="13"/>
  <c r="I4025" i="13"/>
  <c r="I4072" i="13"/>
  <c r="I4120" i="13"/>
  <c r="J4129" i="13"/>
  <c r="I4129" i="13"/>
  <c r="I4189" i="13"/>
  <c r="I4235" i="13"/>
  <c r="I4287" i="13"/>
  <c r="J4331" i="13"/>
  <c r="J4342" i="13"/>
  <c r="I4342" i="13"/>
  <c r="I4381" i="13"/>
  <c r="I4609" i="13"/>
  <c r="I4020" i="13"/>
  <c r="I4115" i="13"/>
  <c r="I4118" i="13"/>
  <c r="I4177" i="13"/>
  <c r="I4198" i="13"/>
  <c r="I4221" i="13"/>
  <c r="I4239" i="13"/>
  <c r="I4354" i="13"/>
  <c r="I4359" i="13"/>
  <c r="I4363" i="13"/>
  <c r="I4408" i="13"/>
  <c r="I4414" i="13"/>
  <c r="I4472" i="13"/>
  <c r="I4481" i="13"/>
  <c r="I4492" i="13"/>
  <c r="I4501" i="13"/>
  <c r="I4504" i="13"/>
  <c r="I4536" i="13"/>
  <c r="I4589" i="13"/>
  <c r="I4600" i="13"/>
  <c r="I4202" i="13"/>
  <c r="I4207" i="13"/>
  <c r="I4245" i="13"/>
  <c r="I4266" i="13"/>
  <c r="I4269" i="13"/>
  <c r="I4280" i="13"/>
  <c r="I4291" i="13"/>
  <c r="I4305" i="13"/>
  <c r="I4307" i="13"/>
  <c r="I4366" i="13"/>
  <c r="I4392" i="13"/>
  <c r="I4428" i="13"/>
  <c r="I4441" i="13"/>
  <c r="I4463" i="13"/>
  <c r="I4466" i="13"/>
  <c r="I4513" i="13"/>
  <c r="I4519" i="13"/>
  <c r="I4531" i="13"/>
  <c r="I4548" i="13"/>
  <c r="I4573" i="13"/>
  <c r="I4612" i="13"/>
  <c r="I4493" i="13"/>
  <c r="I4505" i="13"/>
  <c r="I4537" i="13"/>
  <c r="I4142" i="13"/>
  <c r="I4151" i="13"/>
  <c r="I4157" i="13"/>
  <c r="I4163" i="13"/>
  <c r="I4169" i="13"/>
  <c r="I4178" i="13"/>
  <c r="I4187" i="13"/>
  <c r="I4205" i="13"/>
  <c r="I4240" i="13"/>
  <c r="I4406" i="13"/>
  <c r="I4450" i="13"/>
  <c r="I4456" i="13"/>
  <c r="I4487" i="13"/>
  <c r="I4502" i="13"/>
  <c r="I4517" i="13"/>
  <c r="I4529" i="13"/>
  <c r="I4552" i="13"/>
  <c r="I4613" i="13"/>
  <c r="I4233" i="13"/>
  <c r="I4306" i="13"/>
  <c r="I4315" i="13"/>
  <c r="I4619" i="13"/>
  <c r="I4085" i="13"/>
  <c r="I4209" i="13"/>
  <c r="I4410" i="13"/>
  <c r="I4488" i="13"/>
  <c r="I4494" i="13"/>
  <c r="I4526" i="13"/>
  <c r="I4541" i="13"/>
  <c r="I4323" i="13"/>
  <c r="I4327" i="13"/>
  <c r="I4413" i="13"/>
  <c r="I4437" i="13"/>
  <c r="I4451" i="13"/>
  <c r="I4459" i="13"/>
  <c r="I4465" i="13"/>
  <c r="I4483" i="13"/>
  <c r="I4523" i="13"/>
  <c r="I4544" i="13"/>
  <c r="I4588" i="13"/>
  <c r="I4596" i="13"/>
  <c r="I3958" i="13"/>
  <c r="I3970" i="13"/>
  <c r="I4005" i="13"/>
  <c r="I4008" i="13"/>
  <c r="I4034" i="13"/>
  <c r="I4055" i="13"/>
  <c r="I4197" i="13"/>
  <c r="I4201" i="13"/>
  <c r="J4323" i="13"/>
  <c r="I4330" i="13"/>
  <c r="I4335" i="13"/>
  <c r="I4339" i="13"/>
  <c r="J4437" i="13"/>
  <c r="I4454" i="13"/>
  <c r="I4497" i="13"/>
  <c r="I4553" i="13"/>
  <c r="I3955" i="13"/>
  <c r="I4013" i="13"/>
  <c r="I4040" i="13"/>
  <c r="I4063" i="13"/>
  <c r="I4089" i="13"/>
  <c r="I4123" i="13"/>
  <c r="I4134" i="13"/>
  <c r="I4158" i="13"/>
  <c r="I4170" i="13"/>
  <c r="I4252" i="13"/>
  <c r="I4276" i="13"/>
  <c r="J4335" i="13"/>
  <c r="I4386" i="13"/>
  <c r="I4422" i="13"/>
  <c r="I4430" i="13"/>
  <c r="I4446" i="13"/>
  <c r="I4512" i="13"/>
  <c r="I4564" i="13"/>
  <c r="I4" i="13"/>
  <c r="J44" i="13"/>
  <c r="I44" i="13"/>
  <c r="I47" i="13"/>
  <c r="I76" i="13"/>
  <c r="J68" i="13"/>
  <c r="I68" i="13"/>
  <c r="I71" i="13"/>
  <c r="J56" i="13"/>
  <c r="I56" i="13"/>
  <c r="J8" i="13"/>
  <c r="I8" i="13"/>
  <c r="I11" i="13"/>
  <c r="I40" i="13"/>
  <c r="J80" i="13"/>
  <c r="I80" i="13"/>
  <c r="I95" i="13"/>
  <c r="J20" i="13"/>
  <c r="I20" i="13"/>
  <c r="J32" i="13"/>
  <c r="I32" i="13"/>
  <c r="I35" i="13"/>
  <c r="I64" i="13"/>
  <c r="J383" i="13"/>
  <c r="I383" i="13"/>
  <c r="I48" i="13"/>
  <c r="I60" i="13"/>
  <c r="I72" i="13"/>
  <c r="J299" i="13"/>
  <c r="I299" i="13"/>
  <c r="I338" i="13"/>
  <c r="I438" i="13"/>
  <c r="I446" i="13"/>
  <c r="J452" i="13"/>
  <c r="I452" i="13"/>
  <c r="I462" i="13"/>
  <c r="I465" i="13"/>
  <c r="I478" i="13"/>
  <c r="I515" i="13"/>
  <c r="J518" i="13"/>
  <c r="I518" i="13"/>
  <c r="J530" i="13"/>
  <c r="I530" i="13"/>
  <c r="I89" i="13"/>
  <c r="I101" i="13"/>
  <c r="I121" i="13"/>
  <c r="I133" i="13"/>
  <c r="J138" i="13"/>
  <c r="I138" i="13"/>
  <c r="I146" i="13"/>
  <c r="I169" i="13"/>
  <c r="I185" i="13"/>
  <c r="I209" i="13"/>
  <c r="J359" i="13"/>
  <c r="I359" i="13"/>
  <c r="J443" i="13"/>
  <c r="I443" i="13"/>
  <c r="I251" i="13"/>
  <c r="I275" i="13"/>
  <c r="J549" i="13"/>
  <c r="I549" i="13"/>
  <c r="I105" i="13"/>
  <c r="I112" i="13"/>
  <c r="I143" i="13"/>
  <c r="I300" i="13"/>
  <c r="J335" i="13"/>
  <c r="I335" i="13"/>
  <c r="I374" i="13"/>
  <c r="I401" i="13"/>
  <c r="J537" i="13"/>
  <c r="I537" i="13"/>
  <c r="I118" i="13"/>
  <c r="J489" i="13"/>
  <c r="I489" i="13"/>
  <c r="I154" i="13"/>
  <c r="J395" i="13"/>
  <c r="I395" i="13"/>
  <c r="I482" i="13"/>
  <c r="J561" i="13"/>
  <c r="I561" i="13"/>
  <c r="I109" i="13"/>
  <c r="J597" i="13"/>
  <c r="I597" i="13"/>
  <c r="I126" i="13"/>
  <c r="I134" i="13"/>
  <c r="I157" i="13"/>
  <c r="J162" i="13"/>
  <c r="I162" i="13"/>
  <c r="I170" i="13"/>
  <c r="I180" i="13"/>
  <c r="I186" i="13"/>
  <c r="I194" i="13"/>
  <c r="I204" i="13"/>
  <c r="I210" i="13"/>
  <c r="I218" i="13"/>
  <c r="I228" i="13"/>
  <c r="I234" i="13"/>
  <c r="I242" i="13"/>
  <c r="I252" i="13"/>
  <c r="I258" i="13"/>
  <c r="I266" i="13"/>
  <c r="I276" i="13"/>
  <c r="J311" i="13"/>
  <c r="I311" i="13"/>
  <c r="I350" i="13"/>
  <c r="I377" i="13"/>
  <c r="I382" i="13"/>
  <c r="I385" i="13"/>
  <c r="I513" i="13"/>
  <c r="I293" i="13"/>
  <c r="I298" i="13"/>
  <c r="I301" i="13"/>
  <c r="I336" i="13"/>
  <c r="J371" i="13"/>
  <c r="I371" i="13"/>
  <c r="I422" i="13"/>
  <c r="I448" i="13"/>
  <c r="I454" i="13"/>
  <c r="I532" i="13"/>
  <c r="I131" i="13"/>
  <c r="I137" i="13"/>
  <c r="I167" i="13"/>
  <c r="I173" i="13"/>
  <c r="I178" i="13"/>
  <c r="I197" i="13"/>
  <c r="I202" i="13"/>
  <c r="I221" i="13"/>
  <c r="I226" i="13"/>
  <c r="I245" i="13"/>
  <c r="I250" i="13"/>
  <c r="I269" i="13"/>
  <c r="J287" i="13"/>
  <c r="I287" i="13"/>
  <c r="I326" i="13"/>
  <c r="I353" i="13"/>
  <c r="I358" i="13"/>
  <c r="I361" i="13"/>
  <c r="I396" i="13"/>
  <c r="I142" i="13"/>
  <c r="I181" i="13"/>
  <c r="I205" i="13"/>
  <c r="J347" i="13"/>
  <c r="I347" i="13"/>
  <c r="I442" i="13"/>
  <c r="I458" i="13"/>
  <c r="I464" i="13"/>
  <c r="J500" i="13"/>
  <c r="I500" i="13"/>
  <c r="I520" i="13"/>
  <c r="I113" i="13"/>
  <c r="I117" i="13"/>
  <c r="J150" i="13"/>
  <c r="I150" i="13"/>
  <c r="I334" i="13"/>
  <c r="J407" i="13"/>
  <c r="I407" i="13"/>
  <c r="J585" i="13"/>
  <c r="I585" i="13"/>
  <c r="I125" i="13"/>
  <c r="I288" i="13"/>
  <c r="J323" i="13"/>
  <c r="I323" i="13"/>
  <c r="I362" i="13"/>
  <c r="I389" i="13"/>
  <c r="I394" i="13"/>
  <c r="I397" i="13"/>
  <c r="J416" i="13"/>
  <c r="I416" i="13"/>
  <c r="I497" i="13"/>
  <c r="I560" i="13"/>
  <c r="J729" i="13"/>
  <c r="I729" i="13"/>
  <c r="I748" i="13"/>
  <c r="J1038" i="13"/>
  <c r="I1038" i="13"/>
  <c r="J1416" i="13"/>
  <c r="I1416" i="13"/>
  <c r="J2316" i="13"/>
  <c r="I2316" i="13"/>
  <c r="I541" i="13"/>
  <c r="J765" i="13"/>
  <c r="I765" i="13"/>
  <c r="I811" i="13"/>
  <c r="I572" i="13"/>
  <c r="I579" i="13"/>
  <c r="I592" i="13"/>
  <c r="I602" i="13"/>
  <c r="I621" i="13"/>
  <c r="I657" i="13"/>
  <c r="I693" i="13"/>
  <c r="I724" i="13"/>
  <c r="I737" i="13"/>
  <c r="I768" i="13"/>
  <c r="J801" i="13"/>
  <c r="I801" i="13"/>
  <c r="I820" i="13"/>
  <c r="J918" i="13"/>
  <c r="I918" i="13"/>
  <c r="I533" i="13"/>
  <c r="I544" i="13"/>
  <c r="I600" i="13"/>
  <c r="I608" i="13"/>
  <c r="I616" i="13"/>
  <c r="I627" i="13"/>
  <c r="I641" i="13"/>
  <c r="I644" i="13"/>
  <c r="I652" i="13"/>
  <c r="I663" i="13"/>
  <c r="I666" i="13"/>
  <c r="I677" i="13"/>
  <c r="I680" i="13"/>
  <c r="I688" i="13"/>
  <c r="I699" i="13"/>
  <c r="I702" i="13"/>
  <c r="I713" i="13"/>
  <c r="I716" i="13"/>
  <c r="I760" i="13"/>
  <c r="J1217" i="13"/>
  <c r="I1217" i="13"/>
  <c r="I473" i="13"/>
  <c r="I509" i="13"/>
  <c r="I796" i="13"/>
  <c r="I809" i="13"/>
  <c r="I857" i="13"/>
  <c r="I879" i="13"/>
  <c r="I488" i="13"/>
  <c r="I521" i="13"/>
  <c r="I556" i="13"/>
  <c r="I611" i="13"/>
  <c r="J1158" i="13"/>
  <c r="I1158" i="13"/>
  <c r="I527" i="13"/>
  <c r="I580" i="13"/>
  <c r="I593" i="13"/>
  <c r="I633" i="13"/>
  <c r="I669" i="13"/>
  <c r="I705" i="13"/>
  <c r="I717" i="13"/>
  <c r="I730" i="13"/>
  <c r="I774" i="13"/>
  <c r="I777" i="13"/>
  <c r="I805" i="13"/>
  <c r="I829" i="13"/>
  <c r="I836" i="13"/>
  <c r="I839" i="13"/>
  <c r="I872" i="13"/>
  <c r="I536" i="13"/>
  <c r="I568" i="13"/>
  <c r="I617" i="13"/>
  <c r="I620" i="13"/>
  <c r="I628" i="13"/>
  <c r="I664" i="13"/>
  <c r="I700" i="13"/>
  <c r="J942" i="13"/>
  <c r="I942" i="13"/>
  <c r="I552" i="13"/>
  <c r="I596" i="13"/>
  <c r="J736" i="13"/>
  <c r="I736" i="13"/>
  <c r="I747" i="13"/>
  <c r="I750" i="13"/>
  <c r="I789" i="13"/>
  <c r="I802" i="13"/>
  <c r="I869" i="13"/>
  <c r="I425" i="13"/>
  <c r="I461" i="13"/>
  <c r="I557" i="13"/>
  <c r="I612" i="13"/>
  <c r="I623" i="13"/>
  <c r="I648" i="13"/>
  <c r="I659" i="13"/>
  <c r="J772" i="13"/>
  <c r="I772" i="13"/>
  <c r="I783" i="13"/>
  <c r="I786" i="13"/>
  <c r="I837" i="13"/>
  <c r="J894" i="13"/>
  <c r="I894" i="13"/>
  <c r="I491" i="13"/>
  <c r="I548" i="13"/>
  <c r="I550" i="13"/>
  <c r="I604" i="13"/>
  <c r="I681" i="13"/>
  <c r="J808" i="13"/>
  <c r="I808" i="13"/>
  <c r="I819" i="13"/>
  <c r="I524" i="13"/>
  <c r="I569" i="13"/>
  <c r="I576" i="13"/>
  <c r="I589" i="13"/>
  <c r="I615" i="13"/>
  <c r="I629" i="13"/>
  <c r="I632" i="13"/>
  <c r="I640" i="13"/>
  <c r="I651" i="13"/>
  <c r="I665" i="13"/>
  <c r="I668" i="13"/>
  <c r="I676" i="13"/>
  <c r="I687" i="13"/>
  <c r="I701" i="13"/>
  <c r="I704" i="13"/>
  <c r="I712" i="13"/>
  <c r="I739" i="13"/>
  <c r="I759" i="13"/>
  <c r="I814" i="13"/>
  <c r="I822" i="13"/>
  <c r="J1073" i="13"/>
  <c r="I1073" i="13"/>
  <c r="J1047" i="13"/>
  <c r="I1047" i="13"/>
  <c r="J1170" i="13"/>
  <c r="I1170" i="13"/>
  <c r="I851" i="13"/>
  <c r="I863" i="13"/>
  <c r="I875" i="13"/>
  <c r="I877" i="13"/>
  <c r="J1050" i="13"/>
  <c r="I1050" i="13"/>
  <c r="J1182" i="13"/>
  <c r="I1182" i="13"/>
  <c r="I890" i="13"/>
  <c r="I909" i="13"/>
  <c r="I933" i="13"/>
  <c r="J951" i="13"/>
  <c r="I951" i="13"/>
  <c r="J987" i="13"/>
  <c r="I987" i="13"/>
  <c r="I1008" i="13"/>
  <c r="I1028" i="13"/>
  <c r="J1059" i="13"/>
  <c r="I1059" i="13"/>
  <c r="I1083" i="13"/>
  <c r="I1092" i="13"/>
  <c r="I1101" i="13"/>
  <c r="I1136" i="13"/>
  <c r="I1171" i="13"/>
  <c r="I1177" i="13"/>
  <c r="J1194" i="13"/>
  <c r="I1194" i="13"/>
  <c r="I1227" i="13"/>
  <c r="I1236" i="13"/>
  <c r="I1254" i="13"/>
  <c r="J1505" i="13"/>
  <c r="I1505" i="13"/>
  <c r="I720" i="13"/>
  <c r="I756" i="13"/>
  <c r="I792" i="13"/>
  <c r="I828" i="13"/>
  <c r="J882" i="13"/>
  <c r="I882" i="13"/>
  <c r="I888" i="13"/>
  <c r="J903" i="13"/>
  <c r="I903" i="13"/>
  <c r="I914" i="13"/>
  <c r="J927" i="13"/>
  <c r="I927" i="13"/>
  <c r="J954" i="13"/>
  <c r="I954" i="13"/>
  <c r="J990" i="13"/>
  <c r="I990" i="13"/>
  <c r="J1062" i="13"/>
  <c r="I1062" i="13"/>
  <c r="I1095" i="13"/>
  <c r="I1113" i="13"/>
  <c r="I1148" i="13"/>
  <c r="I1183" i="13"/>
  <c r="I1189" i="13"/>
  <c r="J1206" i="13"/>
  <c r="I1206" i="13"/>
  <c r="J1488" i="13"/>
  <c r="I1488" i="13"/>
  <c r="I912" i="13"/>
  <c r="I936" i="13"/>
  <c r="J999" i="13"/>
  <c r="I999" i="13"/>
  <c r="J1074" i="13"/>
  <c r="I1074" i="13"/>
  <c r="J1218" i="13"/>
  <c r="I1218" i="13"/>
  <c r="I858" i="13"/>
  <c r="I861" i="13"/>
  <c r="J906" i="13"/>
  <c r="I906" i="13"/>
  <c r="J930" i="13"/>
  <c r="I930" i="13"/>
  <c r="I944" i="13"/>
  <c r="I972" i="13"/>
  <c r="J1002" i="13"/>
  <c r="I1002" i="13"/>
  <c r="J1086" i="13"/>
  <c r="I1086" i="13"/>
  <c r="I1172" i="13"/>
  <c r="I1207" i="13"/>
  <c r="I1213" i="13"/>
  <c r="J1230" i="13"/>
  <c r="I1230" i="13"/>
  <c r="J963" i="13"/>
  <c r="I963" i="13"/>
  <c r="J1011" i="13"/>
  <c r="I1011" i="13"/>
  <c r="I1052" i="13"/>
  <c r="I1075" i="13"/>
  <c r="I1081" i="13"/>
  <c r="J1098" i="13"/>
  <c r="I1098" i="13"/>
  <c r="I1131" i="13"/>
  <c r="I1149" i="13"/>
  <c r="I1184" i="13"/>
  <c r="I1219" i="13"/>
  <c r="I1225" i="13"/>
  <c r="J1247" i="13"/>
  <c r="I1247" i="13"/>
  <c r="J966" i="13"/>
  <c r="I966" i="13"/>
  <c r="J1014" i="13"/>
  <c r="I1014" i="13"/>
  <c r="J1110" i="13"/>
  <c r="I1110" i="13"/>
  <c r="J1452" i="13"/>
  <c r="I1452" i="13"/>
  <c r="I850" i="13"/>
  <c r="I862" i="13"/>
  <c r="I874" i="13"/>
  <c r="I897" i="13"/>
  <c r="I921" i="13"/>
  <c r="I945" i="13"/>
  <c r="I950" i="13"/>
  <c r="I981" i="13"/>
  <c r="I992" i="13"/>
  <c r="J1023" i="13"/>
  <c r="I1023" i="13"/>
  <c r="I1044" i="13"/>
  <c r="I1064" i="13"/>
  <c r="I1099" i="13"/>
  <c r="I1105" i="13"/>
  <c r="J1122" i="13"/>
  <c r="I1122" i="13"/>
  <c r="I1155" i="13"/>
  <c r="I1164" i="13"/>
  <c r="I1173" i="13"/>
  <c r="I1208" i="13"/>
  <c r="I884" i="13"/>
  <c r="I902" i="13"/>
  <c r="J915" i="13"/>
  <c r="I915" i="13"/>
  <c r="I926" i="13"/>
  <c r="J939" i="13"/>
  <c r="I939" i="13"/>
  <c r="I948" i="13"/>
  <c r="I984" i="13"/>
  <c r="J1026" i="13"/>
  <c r="I1026" i="13"/>
  <c r="J1134" i="13"/>
  <c r="I1134" i="13"/>
  <c r="I1176" i="13"/>
  <c r="I887" i="13"/>
  <c r="I900" i="13"/>
  <c r="I924" i="13"/>
  <c r="J975" i="13"/>
  <c r="I975" i="13"/>
  <c r="I978" i="13"/>
  <c r="I1004" i="13"/>
  <c r="J1035" i="13"/>
  <c r="I1035" i="13"/>
  <c r="I1056" i="13"/>
  <c r="I1088" i="13"/>
  <c r="I1123" i="13"/>
  <c r="I1129" i="13"/>
  <c r="J1146" i="13"/>
  <c r="I1146" i="13"/>
  <c r="I1179" i="13"/>
  <c r="I1188" i="13"/>
  <c r="I1197" i="13"/>
  <c r="I1232" i="13"/>
  <c r="I1317" i="13"/>
  <c r="J1319" i="13"/>
  <c r="I1319" i="13"/>
  <c r="I1341" i="13"/>
  <c r="J1343" i="13"/>
  <c r="I1343" i="13"/>
  <c r="J1367" i="13"/>
  <c r="I1367" i="13"/>
  <c r="J1536" i="13"/>
  <c r="I1536" i="13"/>
  <c r="J1584" i="13"/>
  <c r="I1584" i="13"/>
  <c r="I1610" i="13"/>
  <c r="I1613" i="13"/>
  <c r="J1632" i="13"/>
  <c r="I1632" i="13"/>
  <c r="I1658" i="13"/>
  <c r="I1661" i="13"/>
  <c r="I1696" i="13"/>
  <c r="I1702" i="13"/>
  <c r="I1716" i="13"/>
  <c r="J1283" i="13"/>
  <c r="I1283" i="13"/>
  <c r="J1314" i="13"/>
  <c r="I1314" i="13"/>
  <c r="I1325" i="13"/>
  <c r="J1338" i="13"/>
  <c r="I1338" i="13"/>
  <c r="I1349" i="13"/>
  <c r="J1362" i="13"/>
  <c r="I1362" i="13"/>
  <c r="I1373" i="13"/>
  <c r="J1386" i="13"/>
  <c r="I1386" i="13"/>
  <c r="I1431" i="13"/>
  <c r="I1442" i="13"/>
  <c r="I1467" i="13"/>
  <c r="I1478" i="13"/>
  <c r="I1497" i="13"/>
  <c r="I1508" i="13"/>
  <c r="I1511" i="13"/>
  <c r="I1551" i="13"/>
  <c r="I1556" i="13"/>
  <c r="I1559" i="13"/>
  <c r="I1599" i="13"/>
  <c r="I1604" i="13"/>
  <c r="I1253" i="13"/>
  <c r="J1259" i="13"/>
  <c r="I1262" i="13"/>
  <c r="I1278" i="13"/>
  <c r="I1296" i="13"/>
  <c r="I1328" i="13"/>
  <c r="I1352" i="13"/>
  <c r="I1376" i="13"/>
  <c r="I1395" i="13"/>
  <c r="I1400" i="13"/>
  <c r="I1403" i="13"/>
  <c r="I1425" i="13"/>
  <c r="I1436" i="13"/>
  <c r="I1439" i="13"/>
  <c r="I1461" i="13"/>
  <c r="I1472" i="13"/>
  <c r="I1475" i="13"/>
  <c r="J1500" i="13"/>
  <c r="I1500" i="13"/>
  <c r="I1545" i="13"/>
  <c r="I1593" i="13"/>
  <c r="I1641" i="13"/>
  <c r="J1728" i="13"/>
  <c r="I1728" i="13"/>
  <c r="J1392" i="13"/>
  <c r="I1392" i="13"/>
  <c r="J1428" i="13"/>
  <c r="I1428" i="13"/>
  <c r="J1464" i="13"/>
  <c r="I1464" i="13"/>
  <c r="J1548" i="13"/>
  <c r="I1548" i="13"/>
  <c r="J1596" i="13"/>
  <c r="I1596" i="13"/>
  <c r="I1625" i="13"/>
  <c r="J1644" i="13"/>
  <c r="I1644" i="13"/>
  <c r="I1673" i="13"/>
  <c r="J1708" i="13"/>
  <c r="I1708" i="13"/>
  <c r="J1743" i="13"/>
  <c r="I1743" i="13"/>
  <c r="J1271" i="13"/>
  <c r="I1274" i="13"/>
  <c r="J1320" i="13"/>
  <c r="I1320" i="13"/>
  <c r="J1344" i="13"/>
  <c r="I1344" i="13"/>
  <c r="J1368" i="13"/>
  <c r="I1368" i="13"/>
  <c r="I1515" i="13"/>
  <c r="I1520" i="13"/>
  <c r="I1523" i="13"/>
  <c r="I1563" i="13"/>
  <c r="I1568" i="13"/>
  <c r="I1571" i="13"/>
  <c r="I1611" i="13"/>
  <c r="I1616" i="13"/>
  <c r="I1619" i="13"/>
  <c r="I1659" i="13"/>
  <c r="I1664" i="13"/>
  <c r="I1667" i="13"/>
  <c r="I1682" i="13"/>
  <c r="I1685" i="13"/>
  <c r="I1694" i="13"/>
  <c r="I1723" i="13"/>
  <c r="I1242" i="13"/>
  <c r="I1249" i="13"/>
  <c r="I1287" i="13"/>
  <c r="I1292" i="13"/>
  <c r="I1305" i="13"/>
  <c r="J1307" i="13"/>
  <c r="I1307" i="13"/>
  <c r="I1310" i="13"/>
  <c r="I1334" i="13"/>
  <c r="I1358" i="13"/>
  <c r="I1382" i="13"/>
  <c r="I1407" i="13"/>
  <c r="I1418" i="13"/>
  <c r="I1443" i="13"/>
  <c r="I1454" i="13"/>
  <c r="I1479" i="13"/>
  <c r="I1490" i="13"/>
  <c r="I1509" i="13"/>
  <c r="I1557" i="13"/>
  <c r="I1605" i="13"/>
  <c r="J1700" i="13"/>
  <c r="I1700" i="13"/>
  <c r="J1827" i="13"/>
  <c r="I1827" i="13"/>
  <c r="I1265" i="13"/>
  <c r="J1302" i="13"/>
  <c r="I1302" i="13"/>
  <c r="J1331" i="13"/>
  <c r="I1331" i="13"/>
  <c r="J1355" i="13"/>
  <c r="I1355" i="13"/>
  <c r="J1379" i="13"/>
  <c r="I1379" i="13"/>
  <c r="J1398" i="13"/>
  <c r="I1398" i="13"/>
  <c r="J1512" i="13"/>
  <c r="I1512" i="13"/>
  <c r="J1560" i="13"/>
  <c r="I1560" i="13"/>
  <c r="J1608" i="13"/>
  <c r="I1608" i="13"/>
  <c r="J1656" i="13"/>
  <c r="I1656" i="13"/>
  <c r="J1326" i="13"/>
  <c r="I1326" i="13"/>
  <c r="I1337" i="13"/>
  <c r="J1350" i="13"/>
  <c r="I1350" i="13"/>
  <c r="I1361" i="13"/>
  <c r="J1374" i="13"/>
  <c r="I1374" i="13"/>
  <c r="I1385" i="13"/>
  <c r="J1404" i="13"/>
  <c r="I1404" i="13"/>
  <c r="J1440" i="13"/>
  <c r="I1440" i="13"/>
  <c r="J1476" i="13"/>
  <c r="I1476" i="13"/>
  <c r="I1527" i="13"/>
  <c r="I1532" i="13"/>
  <c r="J1709" i="13"/>
  <c r="I1709" i="13"/>
  <c r="I1241" i="13"/>
  <c r="I1275" i="13"/>
  <c r="I1316" i="13"/>
  <c r="I1340" i="13"/>
  <c r="I1364" i="13"/>
  <c r="I1388" i="13"/>
  <c r="I1502" i="13"/>
  <c r="I1521" i="13"/>
  <c r="I1569" i="13"/>
  <c r="I1617" i="13"/>
  <c r="I1665" i="13"/>
  <c r="I1683" i="13"/>
  <c r="I1695" i="13"/>
  <c r="I1698" i="13"/>
  <c r="J1295" i="13"/>
  <c r="I1295" i="13"/>
  <c r="I1303" i="13"/>
  <c r="I1391" i="13"/>
  <c r="J1524" i="13"/>
  <c r="I1524" i="13"/>
  <c r="I1553" i="13"/>
  <c r="J1572" i="13"/>
  <c r="I1572" i="13"/>
  <c r="I1601" i="13"/>
  <c r="J1620" i="13"/>
  <c r="I1620" i="13"/>
  <c r="I1646" i="13"/>
  <c r="I1649" i="13"/>
  <c r="J1668" i="13"/>
  <c r="I1668" i="13"/>
  <c r="J1674" i="13"/>
  <c r="I1674" i="13"/>
  <c r="I1677" i="13"/>
  <c r="I1689" i="13"/>
  <c r="J1290" i="13"/>
  <c r="I1290" i="13"/>
  <c r="I1308" i="13"/>
  <c r="J1332" i="13"/>
  <c r="I1332" i="13"/>
  <c r="J1356" i="13"/>
  <c r="I1356" i="13"/>
  <c r="J1380" i="13"/>
  <c r="I1380" i="13"/>
  <c r="I1394" i="13"/>
  <c r="I1413" i="13"/>
  <c r="I1424" i="13"/>
  <c r="I1427" i="13"/>
  <c r="I1433" i="13"/>
  <c r="I1449" i="13"/>
  <c r="I1460" i="13"/>
  <c r="I1463" i="13"/>
  <c r="I1469" i="13"/>
  <c r="I1485" i="13"/>
  <c r="I1539" i="13"/>
  <c r="I1544" i="13"/>
  <c r="I1547" i="13"/>
  <c r="I1587" i="13"/>
  <c r="I1592" i="13"/>
  <c r="I1595" i="13"/>
  <c r="I1635" i="13"/>
  <c r="I1640" i="13"/>
  <c r="I1643" i="13"/>
  <c r="J1680" i="13"/>
  <c r="I1680" i="13"/>
  <c r="J1686" i="13"/>
  <c r="I1686" i="13"/>
  <c r="J1692" i="13"/>
  <c r="I1692" i="13"/>
  <c r="I1707" i="13"/>
  <c r="J1733" i="13"/>
  <c r="I1733" i="13"/>
  <c r="I1758" i="13"/>
  <c r="I1775" i="13"/>
  <c r="I1781" i="13"/>
  <c r="I1816" i="13"/>
  <c r="J1839" i="13"/>
  <c r="I1839" i="13"/>
  <c r="I1843" i="13"/>
  <c r="I1881" i="13"/>
  <c r="J1884" i="13"/>
  <c r="I1884" i="13"/>
  <c r="J2304" i="13"/>
  <c r="I2304" i="13"/>
  <c r="J2313" i="13"/>
  <c r="I2313" i="13"/>
  <c r="J1851" i="13"/>
  <c r="I1851" i="13"/>
  <c r="I1770" i="13"/>
  <c r="I1778" i="13"/>
  <c r="J1863" i="13"/>
  <c r="I1863" i="13"/>
  <c r="I1734" i="13"/>
  <c r="J1755" i="13"/>
  <c r="I1755" i="13"/>
  <c r="I1782" i="13"/>
  <c r="I1790" i="13"/>
  <c r="I1844" i="13"/>
  <c r="J1875" i="13"/>
  <c r="I1875" i="13"/>
  <c r="J1891" i="13"/>
  <c r="I1891" i="13"/>
  <c r="I1802" i="13"/>
  <c r="I1823" i="13"/>
  <c r="I1829" i="13"/>
  <c r="I1864" i="13"/>
  <c r="I1879" i="13"/>
  <c r="I1882" i="13"/>
  <c r="J1905" i="13"/>
  <c r="I1905" i="13"/>
  <c r="I1737" i="13"/>
  <c r="I1748" i="13"/>
  <c r="I1756" i="13"/>
  <c r="I1806" i="13"/>
  <c r="I1814" i="13"/>
  <c r="I1868" i="13"/>
  <c r="I1727" i="13"/>
  <c r="I1742" i="13"/>
  <c r="J1767" i="13"/>
  <c r="I1767" i="13"/>
  <c r="I1771" i="13"/>
  <c r="I1818" i="13"/>
  <c r="I1826" i="13"/>
  <c r="I1847" i="13"/>
  <c r="I1853" i="13"/>
  <c r="J1779" i="13"/>
  <c r="I1779" i="13"/>
  <c r="I1740" i="13"/>
  <c r="J1791" i="13"/>
  <c r="I1791" i="13"/>
  <c r="J1966" i="13"/>
  <c r="I1966" i="13"/>
  <c r="I1715" i="13"/>
  <c r="I1772" i="13"/>
  <c r="J1803" i="13"/>
  <c r="I1803" i="13"/>
  <c r="I1807" i="13"/>
  <c r="I1862" i="13"/>
  <c r="I1699" i="13"/>
  <c r="I1738" i="13"/>
  <c r="I1754" i="13"/>
  <c r="J1760" i="13"/>
  <c r="I1760" i="13"/>
  <c r="I1784" i="13"/>
  <c r="I1792" i="13"/>
  <c r="J1815" i="13"/>
  <c r="I1815" i="13"/>
  <c r="I1819" i="13"/>
  <c r="I1866" i="13"/>
  <c r="I1874" i="13"/>
  <c r="I1890" i="13"/>
  <c r="J2121" i="13"/>
  <c r="I2121" i="13"/>
  <c r="I1903" i="13"/>
  <c r="J1918" i="13"/>
  <c r="I1918" i="13"/>
  <c r="I1945" i="13"/>
  <c r="I1982" i="13"/>
  <c r="I2008" i="13"/>
  <c r="I2028" i="13"/>
  <c r="I2048" i="13"/>
  <c r="I2063" i="13"/>
  <c r="I2098" i="13"/>
  <c r="I2102" i="13"/>
  <c r="I2137" i="13"/>
  <c r="I2152" i="13"/>
  <c r="I2172" i="13"/>
  <c r="I2208" i="13"/>
  <c r="I2233" i="13"/>
  <c r="I2261" i="13"/>
  <c r="I2267" i="13"/>
  <c r="I2308" i="13"/>
  <c r="I1899" i="13"/>
  <c r="I1901" i="13"/>
  <c r="I1956" i="13"/>
  <c r="I1964" i="13"/>
  <c r="I1967" i="13"/>
  <c r="J1978" i="13"/>
  <c r="I1978" i="13"/>
  <c r="I2005" i="13"/>
  <c r="I2020" i="13"/>
  <c r="I2040" i="13"/>
  <c r="I2060" i="13"/>
  <c r="I2075" i="13"/>
  <c r="I2110" i="13"/>
  <c r="I2114" i="13"/>
  <c r="I2149" i="13"/>
  <c r="I2164" i="13"/>
  <c r="I2184" i="13"/>
  <c r="I2200" i="13"/>
  <c r="I2280" i="13"/>
  <c r="J1942" i="13"/>
  <c r="I1942" i="13"/>
  <c r="I2087" i="13"/>
  <c r="I2122" i="13"/>
  <c r="I2126" i="13"/>
  <c r="I2161" i="13"/>
  <c r="I2176" i="13"/>
  <c r="I2197" i="13"/>
  <c r="I2221" i="13"/>
  <c r="I2249" i="13"/>
  <c r="I2255" i="13"/>
  <c r="I2293" i="13"/>
  <c r="I2323" i="13"/>
  <c r="I2347" i="13"/>
  <c r="I1953" i="13"/>
  <c r="J1990" i="13"/>
  <c r="I1990" i="13"/>
  <c r="I2013" i="13"/>
  <c r="I2025" i="13"/>
  <c r="I2169" i="13"/>
  <c r="I2205" i="13"/>
  <c r="I1906" i="13"/>
  <c r="I1936" i="13"/>
  <c r="I1938" i="13"/>
  <c r="I1988" i="13"/>
  <c r="I1991" i="13"/>
  <c r="J2002" i="13"/>
  <c r="I2002" i="13"/>
  <c r="I2014" i="13"/>
  <c r="I2018" i="13"/>
  <c r="I2037" i="13"/>
  <c r="I2053" i="13"/>
  <c r="I2068" i="13"/>
  <c r="I2088" i="13"/>
  <c r="I2108" i="13"/>
  <c r="I2123" i="13"/>
  <c r="I2158" i="13"/>
  <c r="I2162" i="13"/>
  <c r="I2181" i="13"/>
  <c r="I2194" i="13"/>
  <c r="I2198" i="13"/>
  <c r="I2218" i="13"/>
  <c r="I2222" i="13"/>
  <c r="I2240" i="13"/>
  <c r="I2256" i="13"/>
  <c r="I2272" i="13"/>
  <c r="I2277" i="13"/>
  <c r="I2290" i="13"/>
  <c r="I2294" i="13"/>
  <c r="I2309" i="13"/>
  <c r="I1980" i="13"/>
  <c r="I2026" i="13"/>
  <c r="I2030" i="13"/>
  <c r="I2065" i="13"/>
  <c r="I2100" i="13"/>
  <c r="I2120" i="13"/>
  <c r="I2135" i="13"/>
  <c r="I2170" i="13"/>
  <c r="I2174" i="13"/>
  <c r="I2206" i="13"/>
  <c r="I2210" i="13"/>
  <c r="I2225" i="13"/>
  <c r="I2231" i="13"/>
  <c r="I2269" i="13"/>
  <c r="I2297" i="13"/>
  <c r="I2303" i="13"/>
  <c r="I2312" i="13"/>
  <c r="I2315" i="13"/>
  <c r="J2324" i="13"/>
  <c r="I2324" i="13"/>
  <c r="I2330" i="13"/>
  <c r="J1930" i="13"/>
  <c r="I1930" i="13"/>
  <c r="J1954" i="13"/>
  <c r="I1954" i="13"/>
  <c r="J2336" i="13"/>
  <c r="I2336" i="13"/>
  <c r="I1915" i="13"/>
  <c r="I1984" i="13"/>
  <c r="I1992" i="13"/>
  <c r="I2015" i="13"/>
  <c r="I2050" i="13"/>
  <c r="I2054" i="13"/>
  <c r="I2073" i="13"/>
  <c r="I2089" i="13"/>
  <c r="I2104" i="13"/>
  <c r="I2124" i="13"/>
  <c r="I2144" i="13"/>
  <c r="I2159" i="13"/>
  <c r="I2189" i="13"/>
  <c r="I2195" i="13"/>
  <c r="I2219" i="13"/>
  <c r="I2257" i="13"/>
  <c r="I2285" i="13"/>
  <c r="I2291" i="13"/>
  <c r="I2116" i="13"/>
  <c r="I2192" i="13"/>
  <c r="I2207" i="13"/>
  <c r="I2232" i="13"/>
  <c r="I2248" i="13"/>
  <c r="I2288" i="13"/>
  <c r="I2325" i="13"/>
  <c r="I1921" i="13"/>
  <c r="I1924" i="13"/>
  <c r="I1926" i="13"/>
  <c r="I1939" i="13"/>
  <c r="I1941" i="13"/>
  <c r="I1944" i="13"/>
  <c r="I1970" i="13"/>
  <c r="I1996" i="13"/>
  <c r="I2004" i="13"/>
  <c r="I2024" i="13"/>
  <c r="I2039" i="13"/>
  <c r="I2074" i="13"/>
  <c r="I2078" i="13"/>
  <c r="I2097" i="13"/>
  <c r="I2113" i="13"/>
  <c r="I2128" i="13"/>
  <c r="I2148" i="13"/>
  <c r="I2168" i="13"/>
  <c r="I2183" i="13"/>
  <c r="I2204" i="13"/>
  <c r="I2245" i="13"/>
  <c r="I2273" i="13"/>
  <c r="I2279" i="13"/>
  <c r="I2322" i="13"/>
  <c r="I2363" i="13"/>
  <c r="I2378" i="13"/>
  <c r="I2394" i="13"/>
  <c r="I2398" i="13"/>
  <c r="I2404" i="13"/>
  <c r="I2411" i="13"/>
  <c r="I2414" i="13"/>
  <c r="J2492" i="13"/>
  <c r="I2492" i="13"/>
  <c r="J2564" i="13"/>
  <c r="I2564" i="13"/>
  <c r="I2332" i="13"/>
  <c r="I2354" i="13"/>
  <c r="I2457" i="13"/>
  <c r="I2518" i="13"/>
  <c r="I2524" i="13"/>
  <c r="I2527" i="13"/>
  <c r="I2543" i="13"/>
  <c r="I2546" i="13"/>
  <c r="I2561" i="13"/>
  <c r="I2381" i="13"/>
  <c r="I2417" i="13"/>
  <c r="J2552" i="13"/>
  <c r="I2552" i="13"/>
  <c r="I2376" i="13"/>
  <c r="I2395" i="13"/>
  <c r="I2412" i="13"/>
  <c r="I2431" i="13"/>
  <c r="I2448" i="13"/>
  <c r="I2467" i="13"/>
  <c r="I2506" i="13"/>
  <c r="I2512" i="13"/>
  <c r="I2515" i="13"/>
  <c r="I2531" i="13"/>
  <c r="I2534" i="13"/>
  <c r="I2549" i="13"/>
  <c r="I2578" i="13"/>
  <c r="I2584" i="13"/>
  <c r="I2373" i="13"/>
  <c r="I2382" i="13"/>
  <c r="I2386" i="13"/>
  <c r="I2399" i="13"/>
  <c r="I2402" i="13"/>
  <c r="J2540" i="13"/>
  <c r="I2540" i="13"/>
  <c r="I2544" i="13"/>
  <c r="I2445" i="13"/>
  <c r="I2481" i="13"/>
  <c r="I2494" i="13"/>
  <c r="I2500" i="13"/>
  <c r="I2503" i="13"/>
  <c r="I2519" i="13"/>
  <c r="I2522" i="13"/>
  <c r="I2537" i="13"/>
  <c r="I2566" i="13"/>
  <c r="I2572" i="13"/>
  <c r="I2575" i="13"/>
  <c r="I2591" i="13"/>
  <c r="I2329" i="13"/>
  <c r="I2355" i="13"/>
  <c r="I2367" i="13"/>
  <c r="I2405" i="13"/>
  <c r="J2528" i="13"/>
  <c r="I2528" i="13"/>
  <c r="I2338" i="13"/>
  <c r="I2353" i="13"/>
  <c r="I2374" i="13"/>
  <c r="I2377" i="13"/>
  <c r="I2383" i="13"/>
  <c r="I2400" i="13"/>
  <c r="I2419" i="13"/>
  <c r="I2455" i="13"/>
  <c r="I2491" i="13"/>
  <c r="I2507" i="13"/>
  <c r="I2510" i="13"/>
  <c r="I2525" i="13"/>
  <c r="I2554" i="13"/>
  <c r="I2560" i="13"/>
  <c r="I2563" i="13"/>
  <c r="I2579" i="13"/>
  <c r="I2582" i="13"/>
  <c r="I2362" i="13"/>
  <c r="I2380" i="13"/>
  <c r="I2387" i="13"/>
  <c r="I2390" i="13"/>
  <c r="J2516" i="13"/>
  <c r="I2516" i="13"/>
  <c r="J2588" i="13"/>
  <c r="I2588" i="13"/>
  <c r="I2592" i="13"/>
  <c r="I2597" i="13"/>
  <c r="I2083" i="13"/>
  <c r="I2095" i="13"/>
  <c r="I2107" i="13"/>
  <c r="I2119" i="13"/>
  <c r="I2131" i="13"/>
  <c r="I2143" i="13"/>
  <c r="I2155" i="13"/>
  <c r="I2167" i="13"/>
  <c r="I2179" i="13"/>
  <c r="I2203" i="13"/>
  <c r="I2215" i="13"/>
  <c r="I2433" i="13"/>
  <c r="I2469" i="13"/>
  <c r="I2495" i="13"/>
  <c r="I2498" i="13"/>
  <c r="I2513" i="13"/>
  <c r="I2542" i="13"/>
  <c r="I2548" i="13"/>
  <c r="I2551" i="13"/>
  <c r="I2567" i="13"/>
  <c r="I2570" i="13"/>
  <c r="I2585" i="13"/>
  <c r="I2341" i="13"/>
  <c r="I2343" i="13"/>
  <c r="I2356" i="13"/>
  <c r="I2359" i="13"/>
  <c r="I2368" i="13"/>
  <c r="I2371" i="13"/>
  <c r="I2384" i="13"/>
  <c r="I2393" i="13"/>
  <c r="I2420" i="13"/>
  <c r="I2456" i="13"/>
  <c r="J2504" i="13"/>
  <c r="I2504" i="13"/>
  <c r="I2508" i="13"/>
  <c r="I2517" i="13"/>
  <c r="J2576" i="13"/>
  <c r="I2576" i="13"/>
  <c r="I2580" i="13"/>
  <c r="I2589" i="13"/>
  <c r="I2598" i="13"/>
  <c r="I2761" i="13"/>
  <c r="I2809" i="13"/>
  <c r="I2823" i="13"/>
  <c r="I2828" i="13"/>
  <c r="I2685" i="13"/>
  <c r="I2649" i="13"/>
  <c r="I2671" i="13"/>
  <c r="I2691" i="13"/>
  <c r="I2705" i="13"/>
  <c r="I2719" i="13"/>
  <c r="I2739" i="13"/>
  <c r="I2753" i="13"/>
  <c r="I2801" i="13"/>
  <c r="I2602" i="13"/>
  <c r="I2616" i="13"/>
  <c r="I2628" i="13"/>
  <c r="I2655" i="13"/>
  <c r="I2697" i="13"/>
  <c r="I2711" i="13"/>
  <c r="I2745" i="13"/>
  <c r="I2759" i="13"/>
  <c r="J2826" i="13"/>
  <c r="I2826" i="13"/>
  <c r="I2683" i="13"/>
  <c r="I2703" i="13"/>
  <c r="I2717" i="13"/>
  <c r="I2731" i="13"/>
  <c r="I2751" i="13"/>
  <c r="I2765" i="13"/>
  <c r="J2821" i="13"/>
  <c r="I2821" i="13"/>
  <c r="I2614" i="13"/>
  <c r="I2675" i="13"/>
  <c r="I2709" i="13"/>
  <c r="I2723" i="13"/>
  <c r="I2757" i="13"/>
  <c r="I2771" i="13"/>
  <c r="I2805" i="13"/>
  <c r="I2819" i="13"/>
  <c r="I2667" i="13"/>
  <c r="I2681" i="13"/>
  <c r="I2695" i="13"/>
  <c r="I2715" i="13"/>
  <c r="I2729" i="13"/>
  <c r="I2743" i="13"/>
  <c r="I2763" i="13"/>
  <c r="I2777" i="13"/>
  <c r="I2811" i="13"/>
  <c r="I2619" i="13"/>
  <c r="I2610" i="13"/>
  <c r="I2622" i="13"/>
  <c r="I2640" i="13"/>
  <c r="I2648" i="13"/>
  <c r="I2659" i="13"/>
  <c r="I2673" i="13"/>
  <c r="I2687" i="13"/>
  <c r="I2721" i="13"/>
  <c r="I2735" i="13"/>
  <c r="I2769" i="13"/>
  <c r="I2783" i="13"/>
  <c r="I2817" i="13"/>
  <c r="I2841" i="13"/>
  <c r="I2855" i="13"/>
  <c r="I2865" i="13"/>
  <c r="I2879" i="13"/>
  <c r="I2987" i="13"/>
  <c r="I3006" i="13"/>
  <c r="I3039" i="13"/>
  <c r="J3315" i="13"/>
  <c r="I3315" i="13"/>
  <c r="J3328" i="13"/>
  <c r="I3328" i="13"/>
  <c r="I2850" i="13"/>
  <c r="I2869" i="13"/>
  <c r="I2874" i="13"/>
  <c r="I2893" i="13"/>
  <c r="I2898" i="13"/>
  <c r="I2917" i="13"/>
  <c r="I2922" i="13"/>
  <c r="I3047" i="13"/>
  <c r="I3071" i="13"/>
  <c r="I2835" i="13"/>
  <c r="J2938" i="13"/>
  <c r="I2938" i="13"/>
  <c r="I2973" i="13"/>
  <c r="I2984" i="13"/>
  <c r="J3090" i="13"/>
  <c r="I3090" i="13"/>
  <c r="J3096" i="13"/>
  <c r="I3096" i="13"/>
  <c r="I3147" i="13"/>
  <c r="I2848" i="13"/>
  <c r="I2872" i="13"/>
  <c r="I2880" i="13"/>
  <c r="I2896" i="13"/>
  <c r="I2904" i="13"/>
  <c r="I2920" i="13"/>
  <c r="I2931" i="13"/>
  <c r="I2942" i="13"/>
  <c r="I2988" i="13"/>
  <c r="I3023" i="13"/>
  <c r="I3033" i="13"/>
  <c r="I3037" i="13"/>
  <c r="I3042" i="13"/>
  <c r="I3044" i="13"/>
  <c r="I3068" i="13"/>
  <c r="J3298" i="13"/>
  <c r="I3298" i="13"/>
  <c r="J2842" i="13"/>
  <c r="I2842" i="13"/>
  <c r="I2859" i="13"/>
  <c r="J2866" i="13"/>
  <c r="I2866" i="13"/>
  <c r="I2883" i="13"/>
  <c r="J2890" i="13"/>
  <c r="I2890" i="13"/>
  <c r="I2907" i="13"/>
  <c r="J2914" i="13"/>
  <c r="I2914" i="13"/>
  <c r="I2939" i="13"/>
  <c r="I2953" i="13"/>
  <c r="I2958" i="13"/>
  <c r="I2960" i="13"/>
  <c r="I2974" i="13"/>
  <c r="I2980" i="13"/>
  <c r="I2991" i="13"/>
  <c r="I3002" i="13"/>
  <c r="I3048" i="13"/>
  <c r="I3058" i="13"/>
  <c r="I3064" i="13"/>
  <c r="I3072" i="13"/>
  <c r="I3082" i="13"/>
  <c r="I3091" i="13"/>
  <c r="I3100" i="13"/>
  <c r="I3173" i="13"/>
  <c r="J3118" i="13"/>
  <c r="I3118" i="13"/>
  <c r="I2843" i="13"/>
  <c r="I2853" i="13"/>
  <c r="I2867" i="13"/>
  <c r="I2877" i="13"/>
  <c r="I2891" i="13"/>
  <c r="I2901" i="13"/>
  <c r="I2915" i="13"/>
  <c r="I2929" i="13"/>
  <c r="I2934" i="13"/>
  <c r="I2956" i="13"/>
  <c r="I2967" i="13"/>
  <c r="I2978" i="13"/>
  <c r="I3062" i="13"/>
  <c r="I2975" i="13"/>
  <c r="I2985" i="13"/>
  <c r="I2989" i="13"/>
  <c r="I2994" i="13"/>
  <c r="I2996" i="13"/>
  <c r="I3010" i="13"/>
  <c r="J3412" i="13"/>
  <c r="I3412" i="13"/>
  <c r="I2943" i="13"/>
  <c r="I3045" i="13"/>
  <c r="I3069" i="13"/>
  <c r="I3092" i="13"/>
  <c r="J2926" i="13"/>
  <c r="I2926" i="13"/>
  <c r="I2951" i="13"/>
  <c r="I2961" i="13"/>
  <c r="I2965" i="13"/>
  <c r="I2970" i="13"/>
  <c r="I2972" i="13"/>
  <c r="I2986" i="13"/>
  <c r="I2992" i="13"/>
  <c r="I3003" i="13"/>
  <c r="I3056" i="13"/>
  <c r="I3089" i="13"/>
  <c r="I2847" i="13"/>
  <c r="J2854" i="13"/>
  <c r="I2854" i="13"/>
  <c r="I2871" i="13"/>
  <c r="J2878" i="13"/>
  <c r="I2878" i="13"/>
  <c r="I2895" i="13"/>
  <c r="J2902" i="13"/>
  <c r="I2902" i="13"/>
  <c r="I2919" i="13"/>
  <c r="I2930" i="13"/>
  <c r="I3052" i="13"/>
  <c r="I3076" i="13"/>
  <c r="I2858" i="13"/>
  <c r="I2882" i="13"/>
  <c r="I2906" i="13"/>
  <c r="I2927" i="13"/>
  <c r="I2941" i="13"/>
  <c r="I2946" i="13"/>
  <c r="I2948" i="13"/>
  <c r="I2962" i="13"/>
  <c r="I2968" i="13"/>
  <c r="I2979" i="13"/>
  <c r="I2990" i="13"/>
  <c r="I3036" i="13"/>
  <c r="I3063" i="13"/>
  <c r="I3109" i="13"/>
  <c r="I3114" i="13"/>
  <c r="I3121" i="13"/>
  <c r="I3126" i="13"/>
  <c r="J3226" i="13"/>
  <c r="I3226" i="13"/>
  <c r="I3249" i="13"/>
  <c r="I3252" i="13"/>
  <c r="I3168" i="13"/>
  <c r="J3270" i="13"/>
  <c r="I3270" i="13"/>
  <c r="I3101" i="13"/>
  <c r="I3161" i="13"/>
  <c r="J3178" i="13"/>
  <c r="I3178" i="13"/>
  <c r="I3181" i="13"/>
  <c r="J3186" i="13"/>
  <c r="I3186" i="13"/>
  <c r="I3189" i="13"/>
  <c r="I3197" i="13"/>
  <c r="J3202" i="13"/>
  <c r="I3202" i="13"/>
  <c r="I3205" i="13"/>
  <c r="I3213" i="13"/>
  <c r="J3238" i="13"/>
  <c r="I3238" i="13"/>
  <c r="I3276" i="13"/>
  <c r="J3303" i="13"/>
  <c r="I3303" i="13"/>
  <c r="J3515" i="13"/>
  <c r="I3515" i="13"/>
  <c r="I3105" i="13"/>
  <c r="I3271" i="13"/>
  <c r="I3149" i="13"/>
  <c r="I3192" i="13"/>
  <c r="I3233" i="13"/>
  <c r="I3236" i="13"/>
  <c r="J3279" i="13"/>
  <c r="I3279" i="13"/>
  <c r="I3290" i="13"/>
  <c r="I3108" i="13"/>
  <c r="I3113" i="13"/>
  <c r="I3125" i="13"/>
  <c r="I3132" i="13"/>
  <c r="I3228" i="13"/>
  <c r="I3102" i="13"/>
  <c r="I3111" i="13"/>
  <c r="I3123" i="13"/>
  <c r="I3177" i="13"/>
  <c r="I3185" i="13"/>
  <c r="J3190" i="13"/>
  <c r="I3190" i="13"/>
  <c r="I3193" i="13"/>
  <c r="J3198" i="13"/>
  <c r="I3198" i="13"/>
  <c r="I3201" i="13"/>
  <c r="I3209" i="13"/>
  <c r="J3214" i="13"/>
  <c r="I3214" i="13"/>
  <c r="J3291" i="13"/>
  <c r="I3291" i="13"/>
  <c r="I3098" i="13"/>
  <c r="I3145" i="13"/>
  <c r="I3188" i="13"/>
  <c r="I3212" i="13"/>
  <c r="I3223" i="13"/>
  <c r="I3240" i="13"/>
  <c r="I3257" i="13"/>
  <c r="I3260" i="13"/>
  <c r="J3411" i="13"/>
  <c r="I3411" i="13"/>
  <c r="J3424" i="13"/>
  <c r="I3424" i="13"/>
  <c r="I3210" i="13"/>
  <c r="I3222" i="13"/>
  <c r="I3234" i="13"/>
  <c r="I3246" i="13"/>
  <c r="I3258" i="13"/>
  <c r="I3274" i="13"/>
  <c r="I3342" i="13"/>
  <c r="I3438" i="13"/>
  <c r="J3448" i="13"/>
  <c r="I3448" i="13"/>
  <c r="I3471" i="13"/>
  <c r="I3335" i="13"/>
  <c r="I3478" i="13"/>
  <c r="I3481" i="13"/>
  <c r="I3333" i="13"/>
  <c r="I3351" i="13"/>
  <c r="I3363" i="13"/>
  <c r="I3375" i="13"/>
  <c r="I3387" i="13"/>
  <c r="I3399" i="13"/>
  <c r="I3425" i="13"/>
  <c r="I3430" i="13"/>
  <c r="I3454" i="13"/>
  <c r="I3570" i="13"/>
  <c r="I3575" i="13"/>
  <c r="I3345" i="13"/>
  <c r="I3357" i="13"/>
  <c r="I3369" i="13"/>
  <c r="I3381" i="13"/>
  <c r="I3393" i="13"/>
  <c r="I3405" i="13"/>
  <c r="I3444" i="13"/>
  <c r="I3309" i="13"/>
  <c r="I3322" i="13"/>
  <c r="I3426" i="13"/>
  <c r="J3469" i="13"/>
  <c r="I3469" i="13"/>
  <c r="J3472" i="13"/>
  <c r="I3472" i="13"/>
  <c r="I3479" i="13"/>
  <c r="I3503" i="13"/>
  <c r="I3534" i="13"/>
  <c r="J3539" i="13"/>
  <c r="I3539" i="13"/>
  <c r="I3285" i="13"/>
  <c r="I3293" i="13"/>
  <c r="I3297" i="13"/>
  <c r="I3305" i="13"/>
  <c r="J3436" i="13"/>
  <c r="I3436" i="13"/>
  <c r="I3352" i="13"/>
  <c r="I3364" i="13"/>
  <c r="I3376" i="13"/>
  <c r="I3388" i="13"/>
  <c r="I3400" i="13"/>
  <c r="I3413" i="13"/>
  <c r="I3418" i="13"/>
  <c r="J3423" i="13"/>
  <c r="I3423" i="13"/>
  <c r="I3558" i="13"/>
  <c r="J3563" i="13"/>
  <c r="I3563" i="13"/>
  <c r="I3334" i="13"/>
  <c r="J3616" i="13"/>
  <c r="I3616" i="13"/>
  <c r="I3437" i="13"/>
  <c r="I3522" i="13"/>
  <c r="I3527" i="13"/>
  <c r="I3330" i="13"/>
  <c r="I3346" i="13"/>
  <c r="I3353" i="13"/>
  <c r="I3358" i="13"/>
  <c r="I3365" i="13"/>
  <c r="I3370" i="13"/>
  <c r="I3377" i="13"/>
  <c r="I3382" i="13"/>
  <c r="I3389" i="13"/>
  <c r="I3394" i="13"/>
  <c r="I3401" i="13"/>
  <c r="I3406" i="13"/>
  <c r="I3414" i="13"/>
  <c r="I3432" i="13"/>
  <c r="I3474" i="13"/>
  <c r="I3490" i="13"/>
  <c r="I3588" i="13"/>
  <c r="I3592" i="13"/>
  <c r="J3640" i="13"/>
  <c r="I3640" i="13"/>
  <c r="I3649" i="13"/>
  <c r="I3666" i="13"/>
  <c r="J3677" i="13"/>
  <c r="I3677" i="13"/>
  <c r="I3584" i="13"/>
  <c r="I3586" i="13"/>
  <c r="I3686" i="13"/>
  <c r="I3600" i="13"/>
  <c r="I3604" i="13"/>
  <c r="I3641" i="13"/>
  <c r="I3663" i="13"/>
  <c r="I3625" i="13"/>
  <c r="I3647" i="13"/>
  <c r="J3652" i="13"/>
  <c r="I3652" i="13"/>
  <c r="I3667" i="13"/>
  <c r="I3435" i="13"/>
  <c r="I3447" i="13"/>
  <c r="I3467" i="13"/>
  <c r="I3507" i="13"/>
  <c r="I3520" i="13"/>
  <c r="I3531" i="13"/>
  <c r="I3544" i="13"/>
  <c r="I3555" i="13"/>
  <c r="I3568" i="13"/>
  <c r="I3579" i="13"/>
  <c r="I3593" i="13"/>
  <c r="I3623" i="13"/>
  <c r="I3645" i="13"/>
  <c r="I3487" i="13"/>
  <c r="I3466" i="13"/>
  <c r="J3664" i="13"/>
  <c r="I3664" i="13"/>
  <c r="J3684" i="13"/>
  <c r="I3684" i="13"/>
  <c r="J3751" i="13"/>
  <c r="I3751" i="13"/>
  <c r="I3603" i="13"/>
  <c r="I3611" i="13"/>
  <c r="I3619" i="13"/>
  <c r="I3621" i="13"/>
  <c r="I3628" i="13"/>
  <c r="I3643" i="13"/>
  <c r="I3654" i="13"/>
  <c r="I3657" i="13"/>
  <c r="I3599" i="13"/>
  <c r="I3502" i="13"/>
  <c r="I3504" i="13"/>
  <c r="I3526" i="13"/>
  <c r="I3528" i="13"/>
  <c r="I3550" i="13"/>
  <c r="I3552" i="13"/>
  <c r="I3574" i="13"/>
  <c r="I3576" i="13"/>
  <c r="I3580" i="13"/>
  <c r="I3629" i="13"/>
  <c r="I3651" i="13"/>
  <c r="J3952" i="13"/>
  <c r="I3952" i="13"/>
  <c r="I3764" i="13"/>
  <c r="I3776" i="13"/>
  <c r="I3781" i="13"/>
  <c r="I3803" i="13"/>
  <c r="I3806" i="13"/>
  <c r="J3811" i="13"/>
  <c r="I3811" i="13"/>
  <c r="I3817" i="13"/>
  <c r="I3839" i="13"/>
  <c r="I3842" i="13"/>
  <c r="J3847" i="13"/>
  <c r="I3847" i="13"/>
  <c r="I3911" i="13"/>
  <c r="I3674" i="13"/>
  <c r="J3792" i="13"/>
  <c r="I3792" i="13"/>
  <c r="J3861" i="13"/>
  <c r="I3861" i="13"/>
  <c r="J4236" i="13"/>
  <c r="I4236" i="13"/>
  <c r="I3757" i="13"/>
  <c r="J3828" i="13"/>
  <c r="I3828" i="13"/>
  <c r="I3767" i="13"/>
  <c r="I3782" i="13"/>
  <c r="J3787" i="13"/>
  <c r="I3787" i="13"/>
  <c r="I3801" i="13"/>
  <c r="I3807" i="13"/>
  <c r="I3837" i="13"/>
  <c r="I3843" i="13"/>
  <c r="I3865" i="13"/>
  <c r="I3710" i="13"/>
  <c r="I3722" i="13"/>
  <c r="I3734" i="13"/>
  <c r="I3746" i="13"/>
  <c r="J3823" i="13"/>
  <c r="I3823" i="13"/>
  <c r="I3758" i="13"/>
  <c r="I3793" i="13"/>
  <c r="I3855" i="13"/>
  <c r="J3804" i="13"/>
  <c r="I3804" i="13"/>
  <c r="J3840" i="13"/>
  <c r="I3840" i="13"/>
  <c r="J3868" i="13"/>
  <c r="I3868" i="13"/>
  <c r="J3885" i="13"/>
  <c r="I3885" i="13"/>
  <c r="I3692" i="13"/>
  <c r="I3699" i="13"/>
  <c r="I3703" i="13"/>
  <c r="I3791" i="13"/>
  <c r="I3813" i="13"/>
  <c r="I3819" i="13"/>
  <c r="I3935" i="13"/>
  <c r="J3780" i="13"/>
  <c r="I3780" i="13"/>
  <c r="J3799" i="13"/>
  <c r="I3799" i="13"/>
  <c r="J3835" i="13"/>
  <c r="I3835" i="13"/>
  <c r="J3871" i="13"/>
  <c r="I3871" i="13"/>
  <c r="I3735" i="13"/>
  <c r="I3747" i="13"/>
  <c r="I3756" i="13"/>
  <c r="I3763" i="13"/>
  <c r="I3775" i="13"/>
  <c r="I3704" i="13"/>
  <c r="I3716" i="13"/>
  <c r="I3728" i="13"/>
  <c r="I3740" i="13"/>
  <c r="I3759" i="13"/>
  <c r="I3771" i="13"/>
  <c r="I3789" i="13"/>
  <c r="J3816" i="13"/>
  <c r="I3816" i="13"/>
  <c r="J3860" i="13"/>
  <c r="I3860" i="13"/>
  <c r="J3880" i="13"/>
  <c r="I3880" i="13"/>
  <c r="I3892" i="13"/>
  <c r="I3947" i="13"/>
  <c r="J4022" i="13"/>
  <c r="I4022" i="13"/>
  <c r="I3917" i="13"/>
  <c r="I3936" i="13"/>
  <c r="I3978" i="13"/>
  <c r="I3981" i="13"/>
  <c r="I3984" i="13"/>
  <c r="J3991" i="13"/>
  <c r="I4016" i="13"/>
  <c r="I4024" i="13"/>
  <c r="I3908" i="13"/>
  <c r="I3960" i="13"/>
  <c r="I4031" i="13"/>
  <c r="I4065" i="13"/>
  <c r="I4107" i="13"/>
  <c r="I4153" i="13"/>
  <c r="I4229" i="13"/>
  <c r="I4017" i="13"/>
  <c r="I3890" i="13"/>
  <c r="I4003" i="13"/>
  <c r="I3932" i="13"/>
  <c r="I3990" i="13"/>
  <c r="I3993" i="13"/>
  <c r="I3996" i="13"/>
  <c r="I4043" i="13"/>
  <c r="I3969" i="13"/>
  <c r="I4074" i="13"/>
  <c r="I4175" i="13"/>
  <c r="I3944" i="13"/>
  <c r="I4037" i="13"/>
  <c r="J4060" i="13"/>
  <c r="I4060" i="13"/>
  <c r="I3893" i="13"/>
  <c r="I4052" i="13"/>
  <c r="I4058" i="13"/>
  <c r="I4100" i="13"/>
  <c r="I4164" i="13"/>
  <c r="I3852" i="13"/>
  <c r="I3884" i="13"/>
  <c r="I3980" i="13"/>
  <c r="I3988" i="13"/>
  <c r="I3994" i="13"/>
  <c r="I4026" i="13"/>
  <c r="I4061" i="13"/>
  <c r="I4112" i="13"/>
  <c r="I3896" i="13"/>
  <c r="I3957" i="13"/>
  <c r="J4081" i="13"/>
  <c r="I4081" i="13"/>
  <c r="I4032" i="13"/>
  <c r="I4044" i="13"/>
  <c r="I4122" i="13"/>
  <c r="I4068" i="13"/>
  <c r="I4103" i="13"/>
  <c r="I4196" i="13"/>
  <c r="I4208" i="13"/>
  <c r="I4261" i="13"/>
  <c r="I4080" i="13"/>
  <c r="I4096" i="13"/>
  <c r="I4106" i="13"/>
  <c r="I4128" i="13"/>
  <c r="I4136" i="13"/>
  <c r="I4146" i="13"/>
  <c r="I4160" i="13"/>
  <c r="I4188" i="13"/>
  <c r="I4203" i="13"/>
  <c r="I4243" i="13"/>
  <c r="I4094" i="13"/>
  <c r="J4278" i="13"/>
  <c r="I4278" i="13"/>
  <c r="I4064" i="13"/>
  <c r="I4092" i="13"/>
  <c r="I4116" i="13"/>
  <c r="I4139" i="13"/>
  <c r="I4155" i="13"/>
  <c r="I4182" i="13"/>
  <c r="J4254" i="13"/>
  <c r="I4254" i="13"/>
  <c r="J4259" i="13"/>
  <c r="I4259" i="13"/>
  <c r="I4241" i="13"/>
  <c r="I4076" i="13"/>
  <c r="I4097" i="13"/>
  <c r="I4206" i="13"/>
  <c r="I4056" i="13"/>
  <c r="I4067" i="13"/>
  <c r="I4083" i="13"/>
  <c r="I4119" i="13"/>
  <c r="I4124" i="13"/>
  <c r="I4145" i="13"/>
  <c r="I4172" i="13"/>
  <c r="I4183" i="13"/>
  <c r="I4212" i="13"/>
  <c r="I4192" i="13"/>
  <c r="I4213" i="13"/>
  <c r="I4228" i="13"/>
  <c r="I4248" i="13"/>
  <c r="I4255" i="13"/>
  <c r="I4313" i="13"/>
  <c r="J4295" i="13"/>
  <c r="I4301" i="13"/>
  <c r="I4316" i="13"/>
  <c r="I4334" i="13"/>
  <c r="I4337" i="13"/>
  <c r="I4340" i="13"/>
  <c r="I4358" i="13"/>
  <c r="I4361" i="13"/>
  <c r="I4364" i="13"/>
  <c r="J4400" i="13"/>
  <c r="I4400" i="13"/>
  <c r="I4460" i="13"/>
  <c r="I4289" i="13"/>
  <c r="J4436" i="13"/>
  <c r="I4436" i="13"/>
  <c r="I4324" i="13"/>
  <c r="I4348" i="13"/>
  <c r="I4375" i="13"/>
  <c r="I4378" i="13"/>
  <c r="J4384" i="13"/>
  <c r="I4384" i="13"/>
  <c r="I4219" i="13"/>
  <c r="I4273" i="13"/>
  <c r="I4294" i="13"/>
  <c r="I4299" i="13"/>
  <c r="I4309" i="13"/>
  <c r="I4314" i="13"/>
  <c r="I4385" i="13"/>
  <c r="I4217" i="13"/>
  <c r="I4237" i="13"/>
  <c r="I4322" i="13"/>
  <c r="I4325" i="13"/>
  <c r="I4328" i="13"/>
  <c r="I4346" i="13"/>
  <c r="I4349" i="13"/>
  <c r="I4352" i="13"/>
  <c r="I4388" i="13"/>
  <c r="I4424" i="13"/>
  <c r="I4432" i="13"/>
  <c r="I4232" i="13"/>
  <c r="I4267" i="13"/>
  <c r="I4297" i="13"/>
  <c r="I4220" i="13"/>
  <c r="I4238" i="13"/>
  <c r="I4285" i="13"/>
  <c r="I4310" i="13"/>
  <c r="I4336" i="13"/>
  <c r="I4360" i="13"/>
  <c r="I4387" i="13"/>
  <c r="I4393" i="13"/>
  <c r="I4412" i="13"/>
  <c r="I4421" i="13"/>
  <c r="I4423" i="13"/>
  <c r="I4575" i="13"/>
  <c r="I4383" i="13"/>
  <c r="I4419" i="13"/>
  <c r="I4455" i="13"/>
  <c r="I4559" i="13"/>
  <c r="I4562" i="13"/>
  <c r="I4464" i="13"/>
  <c r="I4599" i="13"/>
  <c r="I4377" i="13"/>
  <c r="I4467" i="13"/>
  <c r="I4560" i="13"/>
  <c r="I4570" i="13"/>
  <c r="I4583" i="13"/>
  <c r="I4586" i="13"/>
  <c r="I4618" i="13"/>
  <c r="I4407" i="13"/>
  <c r="I4443" i="13"/>
  <c r="I4491" i="13"/>
  <c r="I4515" i="13"/>
  <c r="J4533" i="13"/>
  <c r="I4533" i="13"/>
  <c r="I4539" i="13"/>
  <c r="I4563" i="13"/>
  <c r="I4403" i="13"/>
  <c r="I4439" i="13"/>
  <c r="I4566" i="13"/>
  <c r="I4584" i="13"/>
  <c r="I4594" i="13"/>
  <c r="I4611" i="13"/>
  <c r="I4397" i="13"/>
  <c r="I4399" i="13"/>
  <c r="I4433" i="13"/>
  <c r="I4435" i="13"/>
  <c r="I4486" i="13"/>
  <c r="I4510" i="13"/>
  <c r="I4534" i="13"/>
  <c r="I4587" i="13"/>
  <c r="I4395" i="13"/>
  <c r="I4431" i="13"/>
  <c r="I4473" i="13"/>
  <c r="I4516" i="13"/>
  <c r="I4540" i="13"/>
  <c r="I4558" i="13"/>
  <c r="J4605" i="13"/>
  <c r="I4605" i="13"/>
  <c r="I4614" i="13"/>
  <c r="I4616" i="13"/>
  <c r="I4416" i="13"/>
  <c r="I4452" i="13"/>
  <c r="I4551" i="13"/>
  <c r="I4590" i="13"/>
  <c r="I4391" i="13"/>
  <c r="I4427" i="13"/>
  <c r="I4479" i="13"/>
  <c r="I4482" i="13"/>
  <c r="I4503" i="13"/>
  <c r="I4506" i="13"/>
  <c r="J4521" i="13"/>
  <c r="I4521" i="13"/>
  <c r="I4527" i="13"/>
  <c r="I4530" i="13"/>
  <c r="I4572" i="13"/>
  <c r="I4595" i="13"/>
  <c r="I4598" i="13"/>
  <c r="I4545" i="13"/>
  <c r="J42" i="11" l="1"/>
  <c r="G77" i="4"/>
  <c r="M69" i="4" l="1"/>
  <c r="N69" i="4" s="1"/>
  <c r="O69" i="4" s="1"/>
  <c r="Q69" i="4" s="1"/>
  <c r="H69" i="4"/>
  <c r="I69" i="4" s="1"/>
  <c r="K69" i="4" s="1"/>
  <c r="D70" i="4"/>
  <c r="C68" i="4"/>
  <c r="F64" i="4"/>
  <c r="C59" i="4"/>
  <c r="B59" i="4"/>
  <c r="F53" i="4"/>
  <c r="F54" i="4"/>
  <c r="F52" i="4"/>
  <c r="F51" i="4"/>
  <c r="F50" i="4"/>
  <c r="F49" i="4"/>
  <c r="F48" i="4"/>
  <c r="F47" i="4"/>
  <c r="H54" i="4"/>
  <c r="H53" i="4"/>
  <c r="H52" i="4"/>
  <c r="H51" i="4"/>
  <c r="H50" i="4"/>
  <c r="H49" i="4"/>
  <c r="H48" i="4"/>
  <c r="H47" i="4"/>
  <c r="H46" i="4"/>
  <c r="C30" i="4"/>
  <c r="D41" i="4"/>
  <c r="D37" i="4"/>
  <c r="C66" i="10"/>
  <c r="C31" i="4"/>
  <c r="G46" i="4" l="1"/>
  <c r="I46" i="4" s="1"/>
  <c r="C19" i="6"/>
  <c r="C41" i="4"/>
  <c r="R69" i="4"/>
  <c r="G49" i="4"/>
  <c r="I49" i="4" s="1"/>
  <c r="H55" i="4"/>
  <c r="G50" i="4"/>
  <c r="I50" i="4" s="1"/>
  <c r="G51" i="4"/>
  <c r="I51" i="4" s="1"/>
  <c r="G52" i="4"/>
  <c r="I52" i="4" s="1"/>
  <c r="G53" i="4"/>
  <c r="I53" i="4" s="1"/>
  <c r="G54" i="4"/>
  <c r="I54" i="4" s="1"/>
  <c r="G47" i="4"/>
  <c r="I47" i="4" s="1"/>
  <c r="G48" i="4"/>
  <c r="I48" i="4" s="1"/>
  <c r="C37" i="4"/>
  <c r="C34" i="4"/>
  <c r="H34" i="11" l="1"/>
  <c r="H32" i="11"/>
  <c r="H31" i="11"/>
  <c r="I55" i="4"/>
  <c r="D6" i="4" l="1"/>
  <c r="D7" i="4" s="1"/>
  <c r="C6" i="4"/>
  <c r="C8" i="4" s="1"/>
  <c r="C9" i="4"/>
  <c r="E27" i="11" l="1"/>
  <c r="J27" i="11" s="1"/>
  <c r="G38" i="3" l="1"/>
  <c r="F38" i="3"/>
  <c r="E38" i="3"/>
  <c r="K38" i="3" s="1"/>
  <c r="E26" i="11" l="1"/>
  <c r="C8"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5" i="12"/>
  <c r="B38" i="12"/>
  <c r="C9" i="12" l="1"/>
  <c r="G9" i="12" s="1"/>
  <c r="C10" i="12"/>
  <c r="F26" i="11"/>
  <c r="J26" i="11"/>
  <c r="B15" i="12"/>
  <c r="B33" i="12"/>
  <c r="B34" i="12"/>
  <c r="B36" i="12"/>
  <c r="B35" i="12"/>
  <c r="B21" i="12"/>
  <c r="B22" i="12"/>
  <c r="B27" i="12"/>
  <c r="B28" i="12"/>
  <c r="B29" i="12"/>
  <c r="B30" i="12"/>
  <c r="B32" i="12"/>
  <c r="B37" i="12"/>
  <c r="B11" i="12"/>
  <c r="C11" i="12" s="1"/>
  <c r="B23" i="12"/>
  <c r="B18" i="12"/>
  <c r="B31" i="12"/>
  <c r="B17" i="12"/>
  <c r="B12" i="12"/>
  <c r="B24" i="12"/>
  <c r="B13" i="12"/>
  <c r="B19" i="12"/>
  <c r="B25" i="12"/>
  <c r="B14" i="12"/>
  <c r="B20" i="12"/>
  <c r="B26" i="12"/>
  <c r="G10" i="12" l="1"/>
  <c r="H10" i="12" s="1"/>
  <c r="H9" i="12"/>
  <c r="C20" i="12"/>
  <c r="C27" i="12"/>
  <c r="C17" i="12"/>
  <c r="C12" i="12"/>
  <c r="C33" i="12"/>
  <c r="C26" i="12"/>
  <c r="C22" i="12"/>
  <c r="C16" i="12"/>
  <c r="C36" i="12"/>
  <c r="C29" i="12"/>
  <c r="C35" i="12"/>
  <c r="C34" i="12"/>
  <c r="C19" i="12"/>
  <c r="C30" i="12"/>
  <c r="C37" i="12"/>
  <c r="C13" i="12"/>
  <c r="C24" i="12"/>
  <c r="C28" i="12"/>
  <c r="C38" i="12"/>
  <c r="C31" i="12"/>
  <c r="C18" i="12"/>
  <c r="C21" i="12"/>
  <c r="C23" i="12"/>
  <c r="C15" i="12"/>
  <c r="C14" i="12"/>
  <c r="C32" i="12"/>
  <c r="C25" i="12"/>
  <c r="G11" i="12" l="1"/>
  <c r="H11" i="12" s="1"/>
  <c r="G12" i="12" l="1"/>
  <c r="H12" i="12" s="1"/>
  <c r="G13" i="12" l="1"/>
  <c r="H13" i="12" s="1"/>
  <c r="G14" i="12" l="1"/>
  <c r="H14" i="12" s="1"/>
  <c r="G15" i="12" l="1"/>
  <c r="H15" i="12" s="1"/>
  <c r="G16" i="12" l="1"/>
  <c r="H16" i="12" s="1"/>
  <c r="G17" i="12" l="1"/>
  <c r="G18" i="12" s="1"/>
  <c r="G19" i="12" s="1"/>
  <c r="G20" i="12" s="1"/>
  <c r="G21" i="12" s="1"/>
  <c r="H21" i="12" s="1"/>
  <c r="H20" i="12" l="1"/>
  <c r="G22" i="12"/>
  <c r="H22" i="12" s="1"/>
  <c r="H19" i="12"/>
  <c r="H18" i="12"/>
  <c r="H17" i="12"/>
  <c r="G23" i="12" l="1"/>
  <c r="H23" i="12" s="1"/>
  <c r="G24" i="12" l="1"/>
  <c r="H24" i="12" s="1"/>
  <c r="G25" i="12" l="1"/>
  <c r="G26" i="12" s="1"/>
  <c r="H26" i="12" l="1"/>
  <c r="G27" i="12"/>
  <c r="G28" i="12" s="1"/>
  <c r="H25" i="12"/>
  <c r="H27" i="12" l="1"/>
  <c r="G29" i="12"/>
  <c r="H28" i="12"/>
  <c r="H29" i="12" l="1"/>
  <c r="G30" i="12"/>
  <c r="G31" i="12" l="1"/>
  <c r="H30" i="12"/>
  <c r="G32" i="12" l="1"/>
  <c r="G33" i="12" s="1"/>
  <c r="H31" i="12"/>
  <c r="H32" i="12" l="1"/>
  <c r="G34" i="12" l="1"/>
  <c r="H33" i="12"/>
  <c r="G35" i="12" l="1"/>
  <c r="H34" i="12"/>
  <c r="H35" i="12" l="1"/>
  <c r="G36" i="12"/>
  <c r="G37" i="12" s="1"/>
  <c r="H36" i="12" l="1"/>
  <c r="G38" i="12" l="1"/>
  <c r="H38" i="12" s="1"/>
  <c r="E24" i="11" s="1"/>
  <c r="H37" i="12"/>
  <c r="F24" i="11" l="1"/>
  <c r="J24" i="11"/>
  <c r="F29" i="3"/>
  <c r="E22" i="11" s="1"/>
  <c r="F28" i="3"/>
  <c r="E23" i="11" s="1"/>
  <c r="F20" i="11"/>
  <c r="F22" i="11" l="1"/>
  <c r="J22" i="11"/>
  <c r="F23" i="11"/>
  <c r="J23" i="11"/>
  <c r="B24" i="3"/>
  <c r="B16" i="3"/>
  <c r="H18" i="11" s="1"/>
  <c r="E18" i="11"/>
  <c r="J18" i="11" l="1"/>
  <c r="F19" i="11"/>
  <c r="H19" i="11"/>
  <c r="J19" i="11" s="1"/>
  <c r="F18" i="11"/>
  <c r="J8" i="3"/>
  <c r="J6" i="3"/>
  <c r="J5" i="3"/>
  <c r="I7" i="3" l="1"/>
  <c r="I9" i="3" s="1"/>
  <c r="J9" i="3" s="1"/>
  <c r="I79" i="10"/>
  <c r="E39" i="10" l="1"/>
  <c r="D39" i="10"/>
  <c r="C39" i="10"/>
  <c r="D37" i="10"/>
  <c r="C37" i="10"/>
  <c r="E35" i="10"/>
  <c r="D35" i="10"/>
  <c r="C35" i="10"/>
  <c r="E56" i="10"/>
  <c r="D56" i="10"/>
  <c r="F53" i="11" s="1"/>
  <c r="C56" i="10"/>
  <c r="C40" i="10" l="1"/>
  <c r="D40" i="10"/>
  <c r="D28" i="10"/>
  <c r="E36" i="10" s="1"/>
  <c r="C9" i="10"/>
  <c r="C8" i="10"/>
  <c r="F8" i="10" s="1"/>
  <c r="E63" i="10" s="1"/>
  <c r="E73" i="10" s="1"/>
  <c r="E9" i="10"/>
  <c r="D9" i="10"/>
  <c r="E8" i="10"/>
  <c r="D8" i="10"/>
  <c r="C7" i="10"/>
  <c r="E7" i="10"/>
  <c r="D7" i="10"/>
  <c r="A49" i="9"/>
  <c r="D41" i="9"/>
  <c r="E41" i="9" s="1"/>
  <c r="B37" i="9"/>
  <c r="C37" i="9" s="1"/>
  <c r="C43" i="9" s="1"/>
  <c r="D43" i="9" s="1"/>
  <c r="D32" i="9"/>
  <c r="E32" i="9" s="1"/>
  <c r="F16" i="9"/>
  <c r="E16" i="9"/>
  <c r="D16" i="9"/>
  <c r="C16" i="9"/>
  <c r="B16" i="9"/>
  <c r="E40" i="10" l="1"/>
  <c r="C42" i="9"/>
  <c r="D42" i="9" s="1"/>
  <c r="E42" i="9" s="1"/>
  <c r="E51" i="11" s="1"/>
  <c r="H8" i="10"/>
  <c r="F9" i="10"/>
  <c r="F7" i="10"/>
  <c r="H7" i="10" s="1"/>
  <c r="B58" i="9"/>
  <c r="C58" i="9" s="1"/>
  <c r="E43" i="9"/>
  <c r="B62" i="9" s="1"/>
  <c r="C62" i="9" s="1"/>
  <c r="E20" i="5" l="1"/>
  <c r="E23" i="5"/>
  <c r="E19" i="5"/>
  <c r="E22" i="5" s="1"/>
  <c r="E24" i="5" s="1"/>
  <c r="E62" i="10"/>
  <c r="H9" i="10"/>
  <c r="E37" i="11" s="1"/>
  <c r="H37" i="11" s="1"/>
  <c r="J37" i="11" s="1"/>
  <c r="C71" i="4"/>
  <c r="C72" i="4" s="1"/>
  <c r="E36" i="11"/>
  <c r="D71" i="4"/>
  <c r="D72" i="4" s="1"/>
  <c r="D19" i="5"/>
  <c r="D35" i="4"/>
  <c r="C60" i="10"/>
  <c r="D31" i="5"/>
  <c r="C31" i="5"/>
  <c r="D23" i="5"/>
  <c r="D20" i="5"/>
  <c r="F51" i="11"/>
  <c r="J51" i="11"/>
  <c r="E33" i="11"/>
  <c r="F33" i="11" s="1"/>
  <c r="D38" i="4"/>
  <c r="D40" i="4"/>
  <c r="C38" i="4"/>
  <c r="D36" i="4"/>
  <c r="C35" i="4"/>
  <c r="F21" i="11"/>
  <c r="B49" i="9"/>
  <c r="C49" i="9" s="1"/>
  <c r="E61" i="10"/>
  <c r="E71" i="10" s="1"/>
  <c r="E60" i="10"/>
  <c r="D60" i="10"/>
  <c r="C62" i="10"/>
  <c r="C72" i="10" s="1"/>
  <c r="D62" i="10"/>
  <c r="D72" i="10" s="1"/>
  <c r="D64" i="10" l="1"/>
  <c r="D74" i="10" s="1"/>
  <c r="E12" i="11"/>
  <c r="C70" i="10"/>
  <c r="D10" i="4"/>
  <c r="D11" i="4" s="1"/>
  <c r="C10" i="4"/>
  <c r="C11" i="4" s="1"/>
  <c r="C64" i="10"/>
  <c r="C74" i="10" s="1"/>
  <c r="C75" i="10" s="1"/>
  <c r="E64" i="10"/>
  <c r="E74" i="10" s="1"/>
  <c r="E72" i="10"/>
  <c r="E14" i="11"/>
  <c r="C36" i="4"/>
  <c r="C40" i="4"/>
  <c r="D22" i="5"/>
  <c r="D24" i="5"/>
  <c r="E26" i="5" s="1"/>
  <c r="F36" i="11"/>
  <c r="J36" i="11"/>
  <c r="E49" i="11"/>
  <c r="D32" i="5"/>
  <c r="E50" i="11" s="1"/>
  <c r="F50" i="11" s="1"/>
  <c r="J25" i="11"/>
  <c r="F37" i="11"/>
  <c r="E32" i="11"/>
  <c r="E31" i="11"/>
  <c r="D39" i="4"/>
  <c r="C39" i="4"/>
  <c r="E65" i="10"/>
  <c r="E11" i="11"/>
  <c r="D65" i="10"/>
  <c r="D70" i="10"/>
  <c r="D75" i="10" s="1"/>
  <c r="E70" i="10"/>
  <c r="E75" i="10" l="1"/>
  <c r="F14" i="11"/>
  <c r="J14" i="11"/>
  <c r="C65" i="10"/>
  <c r="E7" i="11"/>
  <c r="J7" i="11" s="1"/>
  <c r="E9" i="11"/>
  <c r="D59" i="4"/>
  <c r="J32" i="11"/>
  <c r="E46" i="11"/>
  <c r="F31" i="11"/>
  <c r="J31" i="11"/>
  <c r="F49" i="11"/>
  <c r="F48" i="11" s="1"/>
  <c r="D40" i="5"/>
  <c r="E48" i="11"/>
  <c r="J48" i="11" s="1"/>
  <c r="F12" i="11"/>
  <c r="J12" i="11"/>
  <c r="F11" i="11"/>
  <c r="J11" i="11"/>
  <c r="F32" i="11"/>
  <c r="E34" i="11"/>
  <c r="E13" i="11"/>
  <c r="E8" i="11"/>
  <c r="E10" i="11"/>
  <c r="F9" i="11" l="1"/>
  <c r="J9" i="11"/>
  <c r="F46" i="11"/>
  <c r="J46" i="11"/>
  <c r="F34" i="11"/>
  <c r="J34" i="11"/>
  <c r="F8" i="11"/>
  <c r="J8" i="11"/>
  <c r="F10" i="11"/>
  <c r="J10" i="11"/>
  <c r="F13" i="11"/>
  <c r="J13" i="11"/>
  <c r="F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Putera Hendri</author>
  </authors>
  <commentList>
    <comment ref="B24" authorId="0" shapeId="0" xr:uid="{C12F64AE-98DF-4F74-88D8-0E29B193942E}">
      <text>
        <r>
          <rPr>
            <b/>
            <sz val="9"/>
            <color indexed="81"/>
            <rFont val="Tahoma"/>
            <family val="2"/>
          </rPr>
          <t>Putera Hendri:</t>
        </r>
        <r>
          <rPr>
            <sz val="9"/>
            <color indexed="81"/>
            <rFont val="Tahoma"/>
            <family val="2"/>
          </rPr>
          <t xml:space="preserve">
After reassessment, the area required to apply soil carbon management exceeds the projected cropland area in 2050, which means that this strategy cannot achieve a full wedge, only 49,46 MtCO2e/year (70% of full wedge)</t>
        </r>
      </text>
    </comment>
    <comment ref="B26" authorId="0" shapeId="0" xr:uid="{72F5986A-D278-4F4E-9AC5-55FF2EF012D1}">
      <text>
        <r>
          <rPr>
            <b/>
            <sz val="9"/>
            <color indexed="81"/>
            <rFont val="Tahoma"/>
            <family val="2"/>
          </rPr>
          <t>Putera Hendri:</t>
        </r>
        <r>
          <rPr>
            <sz val="9"/>
            <color indexed="81"/>
            <rFont val="Tahoma"/>
            <family val="2"/>
          </rPr>
          <t xml:space="preserve">
need tbd, because the recomd daily intake is 92 kcal/cap/day, and if it reduced by 59% then the daily intake will be ~44 kcal/cap/day. Does that mean it cannot achieve wedge or it can by just 1 wedge
Feedbac from Spv:
Keep the strategy in the menu because we just presenting the menu, the choice is given to the user</t>
        </r>
      </text>
    </comment>
    <comment ref="B33" authorId="0" shapeId="0" xr:uid="{C421ABF7-BCD8-46A9-A863-6473B4AA1DA4}">
      <text>
        <r>
          <rPr>
            <b/>
            <sz val="9"/>
            <color indexed="81"/>
            <rFont val="Tahoma"/>
            <family val="2"/>
          </rPr>
          <t>Putera Hendri:</t>
        </r>
        <r>
          <rPr>
            <sz val="9"/>
            <color indexed="81"/>
            <rFont val="Tahoma"/>
            <family val="2"/>
          </rPr>
          <t xml:space="preserve">
This strategy is excluded from the menu because, after reassessment, the result was negative: fuel fails to reduce emissions and instead increases them, thus failing to achieve one wedge. This finding is supported by Mera and Bieker (2023), who state that lifecycle GHG emissions from B35-fueled vehicles are 17% higher than those from gasoline-fueled vehicles. This is attributed to the direct land-use change required to produce biodiesel, given that Indonesia utilises palm oil as its biodiesel feedstock.</t>
        </r>
      </text>
    </comment>
    <comment ref="B42" authorId="0" shapeId="0" xr:uid="{B8BE9AFE-B33A-492F-B48B-3104B771EAE6}">
      <text>
        <r>
          <rPr>
            <b/>
            <sz val="9"/>
            <color indexed="81"/>
            <rFont val="Tahoma"/>
            <family val="2"/>
          </rPr>
          <t>Putera Hendri:</t>
        </r>
        <r>
          <rPr>
            <sz val="9"/>
            <color indexed="81"/>
            <rFont val="Tahoma"/>
            <family val="2"/>
          </rPr>
          <t xml:space="preserve">
After reassessment, the number of clean stoves that need to be deployed is greater than the available traditional fuelwood stoves that can be replaced, where there are only 8,3 million stoves available (BPS, 2026), so it would only reduce 11,9 MtCO2e/year, which essentially cannot achieve one wedge (only 19% of full wedge)</t>
        </r>
      </text>
    </comment>
    <comment ref="B47" authorId="0" shapeId="0" xr:uid="{D357422A-7B1F-45A0-A480-2E8FD8CCB2DB}">
      <text>
        <r>
          <rPr>
            <b/>
            <sz val="9"/>
            <color indexed="81"/>
            <rFont val="Tahoma"/>
            <family val="2"/>
          </rPr>
          <t>Putera Hendri:</t>
        </r>
        <r>
          <rPr>
            <sz val="9"/>
            <color indexed="81"/>
            <rFont val="Tahoma"/>
            <family val="2"/>
          </rPr>
          <t xml:space="preserve">
After reassessment, the amount of cement required to achieve a wedge exceeds the projected cement production in 2050 which is 125 Mt and 105 Mt respectively (LBNL, 2024). So in terms of the amount of cement required, this strategy can only deliver 84% of full wedge.</t>
        </r>
      </text>
    </comment>
    <comment ref="B51" authorId="0" shapeId="0" xr:uid="{0106AF69-BC29-4834-82EF-C9A890CBD543}">
      <text>
        <r>
          <rPr>
            <b/>
            <sz val="9"/>
            <color indexed="81"/>
            <rFont val="Tahoma"/>
            <family val="2"/>
          </rPr>
          <t>Putera Hendri:</t>
        </r>
        <r>
          <rPr>
            <sz val="9"/>
            <color indexed="81"/>
            <rFont val="Tahoma"/>
            <family val="2"/>
          </rPr>
          <t xml:space="preserve">
After reassessment, the cumulative emission needed to abate in 2050 is less than the cumulative wedge size for Indonesia, assuming that the HFC emission is already reduced by the implementation of Kigali Amandement. The cumulative emission nedded to abate is around 487 MtCO2e whereas the wedge size is 1.015 MtCO2e. Therefore, this strategy can only deliver 84% of full wedge.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Putera Hendri</author>
  </authors>
  <commentList>
    <comment ref="B11" authorId="0" shapeId="0" xr:uid="{366729AF-A095-4287-85BA-0FC99A0EF491}">
      <text>
        <r>
          <rPr>
            <b/>
            <sz val="9"/>
            <color indexed="81"/>
            <rFont val="Tahoma"/>
            <family val="2"/>
          </rPr>
          <t>Putera Hendri:</t>
        </r>
        <r>
          <rPr>
            <sz val="9"/>
            <color indexed="81"/>
            <rFont val="Tahoma"/>
            <family val="2"/>
          </rPr>
          <t xml:space="preserve">
Need to be confirmed whether it is necessary for calculation</t>
        </r>
      </text>
    </comment>
  </commentList>
</comments>
</file>

<file path=xl/sharedStrings.xml><?xml version="1.0" encoding="utf-8"?>
<sst xmlns="http://schemas.openxmlformats.org/spreadsheetml/2006/main" count="19319" uniqueCount="805">
  <si>
    <t>Industry</t>
  </si>
  <si>
    <t>TOTAL</t>
  </si>
  <si>
    <t>❌ Not Found</t>
  </si>
  <si>
    <t>Strategy ID</t>
  </si>
  <si>
    <t>Strategy Name</t>
  </si>
  <si>
    <t>Unit</t>
  </si>
  <si>
    <t>Year</t>
  </si>
  <si>
    <t>Status</t>
  </si>
  <si>
    <t>E1</t>
  </si>
  <si>
    <t>Build more solar farms</t>
  </si>
  <si>
    <t>E2</t>
  </si>
  <si>
    <t>Build more wind farms</t>
  </si>
  <si>
    <t>E3</t>
  </si>
  <si>
    <t>Build more nuclear reactors</t>
  </si>
  <si>
    <t>E4</t>
  </si>
  <si>
    <t>Switch coal to gas plants</t>
  </si>
  <si>
    <t>E5</t>
  </si>
  <si>
    <t>Retrofit coal plants with CCS</t>
  </si>
  <si>
    <t>E6</t>
  </si>
  <si>
    <t>Retrofit gas plants with CCS</t>
  </si>
  <si>
    <t>E7</t>
  </si>
  <si>
    <t>Power BECCS using waste</t>
  </si>
  <si>
    <t>E8</t>
  </si>
  <si>
    <t>Mha</t>
  </si>
  <si>
    <t>DATA INVENTORY — LAND USE &amp; FOOD</t>
  </si>
  <si>
    <t>L1</t>
  </si>
  <si>
    <t>L2</t>
  </si>
  <si>
    <t>L3</t>
  </si>
  <si>
    <t>L4</t>
  </si>
  <si>
    <t>L5</t>
  </si>
  <si>
    <t>L6</t>
  </si>
  <si>
    <t>L7</t>
  </si>
  <si>
    <t>L8</t>
  </si>
  <si>
    <t>L9</t>
  </si>
  <si>
    <t>L10</t>
  </si>
  <si>
    <t>DATA INVENTORY — TRANSPORT</t>
  </si>
  <si>
    <t>T1</t>
  </si>
  <si>
    <t>T2</t>
  </si>
  <si>
    <t>T3</t>
  </si>
  <si>
    <t>T4</t>
  </si>
  <si>
    <t>T5</t>
  </si>
  <si>
    <t>T6</t>
  </si>
  <si>
    <t>T7</t>
  </si>
  <si>
    <t>DATA INVENTORY — INDUSTRY</t>
  </si>
  <si>
    <t>I1</t>
  </si>
  <si>
    <t>I2</t>
  </si>
  <si>
    <t>I3</t>
  </si>
  <si>
    <t>I4</t>
  </si>
  <si>
    <t>I5</t>
  </si>
  <si>
    <t>I6</t>
  </si>
  <si>
    <t>DATA INVENTORY — BUILDINGS</t>
  </si>
  <si>
    <t>B1</t>
  </si>
  <si>
    <t>B2</t>
  </si>
  <si>
    <t>Source</t>
  </si>
  <si>
    <t>Emission Gap Between BAU and Target Scenario</t>
  </si>
  <si>
    <t>Total GHG/year (MtCO2e) under 3 different scenarios in 2050</t>
  </si>
  <si>
    <t>Scenario</t>
  </si>
  <si>
    <t>Year 2050</t>
  </si>
  <si>
    <t>CPOS - Current Policy Scenario (BAU)</t>
  </si>
  <si>
    <t>TRNS - Transititon Scenario</t>
  </si>
  <si>
    <t>LCCP - Low Carbon Scenario Compatible with Paris Agreement Target</t>
  </si>
  <si>
    <t>Historical net GHG Emission (MtCO2e) for the period 2000 - 2019</t>
  </si>
  <si>
    <t>Energy</t>
  </si>
  <si>
    <t>Agriculture</t>
  </si>
  <si>
    <t>Waste</t>
  </si>
  <si>
    <t>LULUCF</t>
  </si>
  <si>
    <t>Total</t>
  </si>
  <si>
    <t>CPOS</t>
  </si>
  <si>
    <t>LCCP</t>
  </si>
  <si>
    <t>Rescaling Global Stabilisation Wedge</t>
  </si>
  <si>
    <t>Population Principle</t>
  </si>
  <si>
    <t>Using average of 2020 and 2050 population</t>
  </si>
  <si>
    <t>Indonesia Population 2020 &amp; 2050 (Projection)</t>
  </si>
  <si>
    <t>Average</t>
  </si>
  <si>
    <t>Trend Scenario</t>
  </si>
  <si>
    <t>Optimist Scenario</t>
  </si>
  <si>
    <t>Moderate Scenario</t>
  </si>
  <si>
    <t>World Population 2020 &amp; 2050 (Projection)</t>
  </si>
  <si>
    <t>Upper Limit</t>
  </si>
  <si>
    <t>Lower Limit</t>
  </si>
  <si>
    <t>Median</t>
  </si>
  <si>
    <t>GDP Principle (Sensitivity Analysis)</t>
  </si>
  <si>
    <t>Using GDP 2050 Projection (MER)</t>
  </si>
  <si>
    <t>Indonesia 2050 GDP (at constant 2016 US$bn)</t>
  </si>
  <si>
    <t>World 2050 GDP (at constant 2016 US$bn)</t>
  </si>
  <si>
    <t>Indonesia's GDP Share</t>
  </si>
  <si>
    <t>Scale</t>
  </si>
  <si>
    <t>Timeframe (year)</t>
  </si>
  <si>
    <t>Wedge Size</t>
  </si>
  <si>
    <t>Annual (GtCO2e)</t>
  </si>
  <si>
    <t>Annual (MtCO2e)</t>
  </si>
  <si>
    <t>Cumulative (MtCO2e)</t>
  </si>
  <si>
    <t>Global</t>
  </si>
  <si>
    <t>Indonesia - Population</t>
  </si>
  <si>
    <t>Indonesia - GDP</t>
  </si>
  <si>
    <t>Amount of Required Wedges in Indonesia's Context</t>
  </si>
  <si>
    <t xml:space="preserve">Calculation with Annual Gap </t>
  </si>
  <si>
    <t>Annual Emission Gap (MtCO2e)</t>
  </si>
  <si>
    <t>Annual Wedge - Population (MtCO2e)</t>
  </si>
  <si>
    <t>N Wedges Required - Population</t>
  </si>
  <si>
    <t>Calculation with Cumulative Gap (assuming target trajectories are approximately linear between 2020 and 2050)</t>
  </si>
  <si>
    <t>Cumulative Emission Gap (MtCO2e)</t>
  </si>
  <si>
    <t>Cumulative Wedge Population (MtCO2e)</t>
  </si>
  <si>
    <t>GDP Principle  (Sensitivity Analysis)</t>
  </si>
  <si>
    <t>Calculation with Cumulative Gap</t>
  </si>
  <si>
    <t>Fuel</t>
  </si>
  <si>
    <t>Indirect
(% overhead)</t>
  </si>
  <si>
    <t>Indonesia
Source</t>
  </si>
  <si>
    <t>Coal</t>
  </si>
  <si>
    <t>Gas</t>
  </si>
  <si>
    <t>25%</t>
  </si>
  <si>
    <t>Oil</t>
  </si>
  <si>
    <t>20%</t>
  </si>
  <si>
    <t>TABLE S10 — Net Power Plant Efficiencies (%, LHV)</t>
  </si>
  <si>
    <t>Source: Global Calculator (ref.69). HHV→LHV conversion applied (ratios: coal 1.050, oil 1.052, gas 1.109). Net efficiency = gross efficiency minus plant self-consumption. Indonesia action: obtain average efficiency of existing fleet from PLN Statistik Ketenagalistrikan.</t>
  </si>
  <si>
    <t>Plant Type</t>
  </si>
  <si>
    <t>Gross HHV
(2011, %)</t>
  </si>
  <si>
    <t>Net HHV
(2011, %)</t>
  </si>
  <si>
    <t>Gross LHV
(2011, %)</t>
  </si>
  <si>
    <t>Net LHV
(2011, %)</t>
  </si>
  <si>
    <t>Indonesia
Net LHV (%)</t>
  </si>
  <si>
    <t>Ultracritical coal</t>
  </si>
  <si>
    <t>PLN Statistik Ketenagalistrikan</t>
  </si>
  <si>
    <t>Supercritical coal</t>
  </si>
  <si>
    <t>Subcritical coal</t>
  </si>
  <si>
    <t>Average coal</t>
  </si>
  <si>
    <t>New oil</t>
  </si>
  <si>
    <t>Old oil</t>
  </si>
  <si>
    <t>Average oil</t>
  </si>
  <si>
    <t>OCGT (gas open cycle)</t>
  </si>
  <si>
    <t>CCGT (gas combined)</t>
  </si>
  <si>
    <t>Average gas</t>
  </si>
  <si>
    <t>These are the 2050 projected efficiencies used in wedge calculations. Indonesia action: cross-check with RUPTL 2021–2030 assumptions for new-build plant efficiency. If Indonesia builds new coal or gas plants to 2050 (CPOS scenario), use Indonesian RUPTL efficiency; otherwise use global averages as proxy.</t>
  </si>
  <si>
    <t>Generator Type</t>
  </si>
  <si>
    <t>Geothermal</t>
  </si>
  <si>
    <t>CH4</t>
  </si>
  <si>
    <t>N2O</t>
  </si>
  <si>
    <t xml:space="preserve">CO2 </t>
  </si>
  <si>
    <t>Type of Generator</t>
  </si>
  <si>
    <t>Coal (Unabated)</t>
  </si>
  <si>
    <t>Gas (Unabated)</t>
  </si>
  <si>
    <t>CCS Coal</t>
  </si>
  <si>
    <t>-</t>
  </si>
  <si>
    <t>TABLE 2 - Net Efficiency of Generators for Base Year and 2050 Projection (%, LHV)</t>
  </si>
  <si>
    <t>TABLE 1 - Emission Factors for Fossil Fuels (gCO₂e MJ⁻¹, LHV)</t>
  </si>
  <si>
    <t>BECCS</t>
  </si>
  <si>
    <t>Hydro</t>
  </si>
  <si>
    <t>Wind</t>
  </si>
  <si>
    <t>Solar</t>
  </si>
  <si>
    <t>Biomass</t>
  </si>
  <si>
    <t>Other Renewable Energy</t>
  </si>
  <si>
    <t>Base Year 2020</t>
  </si>
  <si>
    <t xml:space="preserve">Total </t>
  </si>
  <si>
    <t>TABLE 4 - Electricity Supplied to Grid by Generator Type (TWh)</t>
  </si>
  <si>
    <t>TABLE 3 - Fuel Input to Power Plants by Generator Type (TWh)</t>
  </si>
  <si>
    <t>Projection for 2050 - ERIA</t>
  </si>
  <si>
    <t>TABLE 5 - Emission Intensities by Generator Type (gCO₂e/kWh)</t>
  </si>
  <si>
    <t>Combustion</t>
  </si>
  <si>
    <t>Indirect</t>
  </si>
  <si>
    <t>Combined</t>
  </si>
  <si>
    <t>Unabated Fossil Fuel (Average)</t>
  </si>
  <si>
    <t xml:space="preserve">TABLE 6 - GHG Emissions from Electricity Generation by Generator Type (MtCO₂e) </t>
  </si>
  <si>
    <t>Wedge Target</t>
  </si>
  <si>
    <t>Wedge Share</t>
  </si>
  <si>
    <t>Meaning of Wedge Share</t>
  </si>
  <si>
    <t>TWh (Output)</t>
  </si>
  <si>
    <t>Build more hydro power plants</t>
  </si>
  <si>
    <t>Feedstock</t>
  </si>
  <si>
    <t>Palm Kernel Shell</t>
  </si>
  <si>
    <t>Capture Rate (%)</t>
  </si>
  <si>
    <t>Carbon Content (%)</t>
  </si>
  <si>
    <t>Direct Emission Factor (MtCO₂e/TWh)</t>
  </si>
  <si>
    <t>Indirect Emission Factor (MtCO₂e/TWh)</t>
  </si>
  <si>
    <t>TABLE 7 - Emission Intensity and Other Key Assumptions for BECCS Strategy in 2050</t>
  </si>
  <si>
    <t>EI BECCS (MtCO₂e/TWh)</t>
  </si>
  <si>
    <t>Application Rate of Basalt (t/ha/year)</t>
  </si>
  <si>
    <t>Silicate Demand (Gt/year)</t>
  </si>
  <si>
    <t>Apply enhanced weathering in croplands</t>
  </si>
  <si>
    <t>Land Use</t>
  </si>
  <si>
    <t>Cropland</t>
  </si>
  <si>
    <t>Pasture</t>
  </si>
  <si>
    <t>Forest</t>
  </si>
  <si>
    <t>Cropland 2020 FAO</t>
  </si>
  <si>
    <t>ha</t>
  </si>
  <si>
    <t>Cropland 2020 FABLE</t>
  </si>
  <si>
    <t>Correction Factor (FAO - FABLE)</t>
  </si>
  <si>
    <t>Data from different sources</t>
  </si>
  <si>
    <t>Cropland 2050 FABLE</t>
  </si>
  <si>
    <t>Cropland 2050 FABLE (correction)</t>
  </si>
  <si>
    <t>DATA INVENTORY - POWER/ELECTRICITY</t>
  </si>
  <si>
    <t>ELECTRICITY</t>
  </si>
  <si>
    <t>EFFORT &amp; UPPER BOUND ESTIMATES</t>
  </si>
  <si>
    <t>LAND USE &amp; FOOD</t>
  </si>
  <si>
    <t>Tropical Forest Loss Rate (Mha/year)</t>
  </si>
  <si>
    <t>Total annual deforestation area 2006–2020 (ha/year)</t>
  </si>
  <si>
    <t>Net emissions from deforestation (tCO₂e/year)</t>
  </si>
  <si>
    <t>Mha/year</t>
  </si>
  <si>
    <t>Reduce Tropical Forest Loss</t>
  </si>
  <si>
    <t>Reforest the Tropics</t>
  </si>
  <si>
    <t>Add Trees to Tropical Pasture</t>
  </si>
  <si>
    <t>Add Trees to Tropical Cropland</t>
  </si>
  <si>
    <t>Reduce Food Loss and Waste</t>
  </si>
  <si>
    <t>Apply Soil Carbon Management</t>
  </si>
  <si>
    <t>Above-Ground Biomass Growth (Natural) (tonnes d.m/ha.year)</t>
  </si>
  <si>
    <t>Ratio of Below-Ground Biomass to Above-Ground Biomass</t>
  </si>
  <si>
    <t>Carbon Fraction of Forest Biomass (tC/tonnes.d.m)</t>
  </si>
  <si>
    <t>Area of Drained Peatland 
(Mha)</t>
  </si>
  <si>
    <t>Above-Ground Biomass Growth (Plantation)
 (tonnes d.m/ha.year)</t>
  </si>
  <si>
    <t>Rate of Peatland Drainage
(Mha/year)</t>
  </si>
  <si>
    <t>Net Emission Factor for Deforestation (tCO₂e/ha)</t>
  </si>
  <si>
    <t>Rates of Carbon Accumulation in Forest (Natural) (tCO₂/ha/year)</t>
  </si>
  <si>
    <t>Rates of Carbon Accumulation in Forest (Plantation) 
(tCO₂/ha/year)</t>
  </si>
  <si>
    <t>Emission Factor - Drained 
(tCO₂/ha.year)</t>
  </si>
  <si>
    <t>Emission Factor - Rewetted
(tCO₂/ha.year)</t>
  </si>
  <si>
    <t>Wedge Size (MtCO2e/year)</t>
  </si>
  <si>
    <t>Rewet Tropical Peatlands</t>
  </si>
  <si>
    <t>Phase-out Peatland Drainage</t>
  </si>
  <si>
    <t>Calorific Value (MJ/Kg)</t>
  </si>
  <si>
    <t>Practice</t>
  </si>
  <si>
    <t>Above-Ground Sequestration Rate
(tCO₂/ha.year)</t>
  </si>
  <si>
    <t>Below-Ground Sequestration Rate
(tCO₂/ha.year)</t>
  </si>
  <si>
    <t>Soil Sequestration Rate
(tCO₂/ha.year)</t>
  </si>
  <si>
    <t>Tropical Alley Cropping</t>
  </si>
  <si>
    <t>Tropical Silvopasture</t>
  </si>
  <si>
    <t>Total
(tCO₂/ha.year)</t>
  </si>
  <si>
    <t>TABLE 9 - Inputs for Enhanced Weathering in Croplands Strategy</t>
  </si>
  <si>
    <t>TABLE 10 - Inputs for Reduce Tropical Forest Loss Strategy</t>
  </si>
  <si>
    <t>TABLE 11 - Inputs for Reforest the Tropics Strategy</t>
  </si>
  <si>
    <t>TABLE 12 - Inputs for Rewet Peatlands and Stop Drainage Strategy</t>
  </si>
  <si>
    <t>TABLE 13 - Inputs for Add Trees to Tropical Pasture and Cropland Strategy</t>
  </si>
  <si>
    <t>Soil carbon sequestration</t>
  </si>
  <si>
    <t>Input parameters for sigmoid function</t>
  </si>
  <si>
    <t>SOC-0</t>
  </si>
  <si>
    <t>a</t>
  </si>
  <si>
    <t>b</t>
  </si>
  <si>
    <t>t-0</t>
  </si>
  <si>
    <t>%-SOC (med)</t>
  </si>
  <si>
    <t>Mg C ha yr (med)</t>
  </si>
  <si>
    <t>Wedge target (tC/yr)</t>
  </si>
  <si>
    <t>Effort required for a wedge</t>
  </si>
  <si>
    <t>Initial Soil Organic Carbon Content (SOC-0)
(%)</t>
  </si>
  <si>
    <t>T-0 (year)</t>
  </si>
  <si>
    <t>Bulk Density (g/cm3)</t>
  </si>
  <si>
    <t>TABLE 14 - Inputs for Apply Soil Carbon Management Strategy</t>
  </si>
  <si>
    <t>bulk density (g/cm3)</t>
  </si>
  <si>
    <t>Reduce Meat Consumption</t>
  </si>
  <si>
    <t>Linear emissions savings (annual area)
(ha yr)</t>
  </si>
  <si>
    <t>Linear emissions savings (cumulative area)
(Mha)</t>
  </si>
  <si>
    <t>TABLE 15 - Inputs for Reduce Meat Consumption Strategy</t>
  </si>
  <si>
    <t>2050 Meat Consumption (Kcal/cap/day)</t>
  </si>
  <si>
    <t>Ruminant Meats</t>
  </si>
  <si>
    <t>Pork</t>
  </si>
  <si>
    <t>Poultry</t>
  </si>
  <si>
    <t>Emission Factor (gCO₂e/kcal)</t>
  </si>
  <si>
    <t>2050 Meat Consumption (Kcal/day)</t>
  </si>
  <si>
    <t>Emission (MtCO₂e/year)</t>
  </si>
  <si>
    <t>Avoid Car travel or Walk/Cycle</t>
  </si>
  <si>
    <t>Deploy More Electric Vehicles</t>
  </si>
  <si>
    <t>Deploy More Biofuels</t>
  </si>
  <si>
    <t>Use More Public Transport</t>
  </si>
  <si>
    <t>Avoid Taking Flights</t>
  </si>
  <si>
    <t>Improve Efficiency of Cars</t>
  </si>
  <si>
    <t>TRANSPORT</t>
  </si>
  <si>
    <t>Kcal/Capita/Day</t>
  </si>
  <si>
    <t>TABLE 17 - Indonesia Land Usage in Million Hectares (Mha) 2020 &amp; 2050</t>
  </si>
  <si>
    <t>TABLE 16 - Inputs for Reduce Food Loss and Waste Strategy</t>
  </si>
  <si>
    <t>Total Food Loss and Waste 2050 
(Mt)</t>
  </si>
  <si>
    <t>Total Food Loss and Waste 2020 
(Mt)</t>
  </si>
  <si>
    <t>Emission from FLW 2020 (MtCO₂e)</t>
  </si>
  <si>
    <t>Emission from FLW 2050 (MtCO₂e)</t>
  </si>
  <si>
    <t>Mt</t>
  </si>
  <si>
    <t>Wedge Scale Upper Bound</t>
  </si>
  <si>
    <t>Variables (unit)</t>
  </si>
  <si>
    <t>Base Year (2020)</t>
  </si>
  <si>
    <t>Projection for 2050</t>
  </si>
  <si>
    <t>Vehicles (millions)</t>
  </si>
  <si>
    <t>Distance (v-km/vehicle)</t>
  </si>
  <si>
    <t>Fuel efficiency (kWh/v-km)</t>
  </si>
  <si>
    <t>Total distance (billion v-km)</t>
  </si>
  <si>
    <t>Total emissions (MtCO2e)</t>
  </si>
  <si>
    <t>l/100km</t>
  </si>
  <si>
    <t>All Generators (Average)</t>
  </si>
  <si>
    <t>TABLE 18 - Assumptions for Conventional ICE Passenger Car Stock</t>
  </si>
  <si>
    <t>TABLE 19 - Assumptions for Public Transport Fleet Compared to ICE Cars and EVs</t>
  </si>
  <si>
    <t>Bus (electric)</t>
  </si>
  <si>
    <t>Bus (gas)</t>
  </si>
  <si>
    <t>Bus (oil)</t>
  </si>
  <si>
    <t>Train (electric)</t>
  </si>
  <si>
    <t>Train (oil)</t>
  </si>
  <si>
    <t>Car (ICE)</t>
  </si>
  <si>
    <t>Car (EV)</t>
  </si>
  <si>
    <t>Occupancy (passengers/vehicle)</t>
  </si>
  <si>
    <t>Bus</t>
  </si>
  <si>
    <t>Train</t>
  </si>
  <si>
    <t>Cars</t>
  </si>
  <si>
    <t>Emissions intensity (gCO₂e/v-km)</t>
  </si>
  <si>
    <t>Emission intensity (gCO₂e/p-km)</t>
  </si>
  <si>
    <t>Public transport (average)</t>
  </si>
  <si>
    <t>Walking</t>
  </si>
  <si>
    <t>Paratransit</t>
  </si>
  <si>
    <t>Motorcycle Taxi</t>
  </si>
  <si>
    <t>Taxi</t>
  </si>
  <si>
    <t>Cycling</t>
  </si>
  <si>
    <t>Car</t>
  </si>
  <si>
    <t>Motorcycle</t>
  </si>
  <si>
    <t>Share (% p-km) - Public Transport</t>
  </si>
  <si>
    <t>Trillion p-km</t>
  </si>
  <si>
    <t>Mode</t>
  </si>
  <si>
    <t>Share (%p-km)</t>
  </si>
  <si>
    <t>Distance per Trip (km)</t>
  </si>
  <si>
    <t>Occupancy (passenger/vehicle)</t>
  </si>
  <si>
    <t>Base Year 2020 (trillion p-km)</t>
  </si>
  <si>
    <t>Projection for 2050 (trillion p-km)</t>
  </si>
  <si>
    <t>Share (%v-km)</t>
  </si>
  <si>
    <t>Rail</t>
  </si>
  <si>
    <t xml:space="preserve">Relative </t>
  </si>
  <si>
    <t>Final Share</t>
  </si>
  <si>
    <t>Electricity Needed (TWh)</t>
  </si>
  <si>
    <t>Fuel Efficiency (kWh/v-km)</t>
  </si>
  <si>
    <t>TABLE 21 -Assumptions for Deploy More Biofuels Vehicle Strategy</t>
  </si>
  <si>
    <t>Fuel Type</t>
  </si>
  <si>
    <t>Emission Factor (gCO₂e/MJ)</t>
  </si>
  <si>
    <t>Well-to-Tank (WTT)</t>
  </si>
  <si>
    <t>Direct Land Use Change (DLUC)</t>
  </si>
  <si>
    <t>Tank-to-Wheel (TTW)</t>
  </si>
  <si>
    <t>Well-to-Wheel (WTW)</t>
  </si>
  <si>
    <t>Diesel (B35)</t>
  </si>
  <si>
    <t>Distance (billion p-km)</t>
  </si>
  <si>
    <t>Occupancy (passenger/flight)</t>
  </si>
  <si>
    <t>Mass</t>
  </si>
  <si>
    <t>Energy (MJ)</t>
  </si>
  <si>
    <t>Energy (kWh)</t>
  </si>
  <si>
    <t>Aircraft-km</t>
  </si>
  <si>
    <t>Mass (kg)</t>
  </si>
  <si>
    <t>Fuel (litre)</t>
  </si>
  <si>
    <t>Emissions intensity (gCO₂e/p-km)</t>
  </si>
  <si>
    <t xml:space="preserve">TABLE 22 - Assumptions for Passenger Aviation Fleet </t>
  </si>
  <si>
    <t>MtCO2e</t>
  </si>
  <si>
    <t>Mode of Road Transport</t>
  </si>
  <si>
    <t>Share of Emission</t>
  </si>
  <si>
    <t>Freight Road</t>
  </si>
  <si>
    <t>Freight Road Transport Emission (MtCO₂e)</t>
  </si>
  <si>
    <t>Total Road Transport Emission (MtCO₂e)</t>
  </si>
  <si>
    <t>Decarbonise Freight Road</t>
  </si>
  <si>
    <t>Back to index</t>
  </si>
  <si>
    <t>Country</t>
  </si>
  <si>
    <t>Cluster</t>
  </si>
  <si>
    <t>2050Population</t>
  </si>
  <si>
    <t>FAOFoodItem</t>
  </si>
  <si>
    <t>KcalPerCap</t>
  </si>
  <si>
    <t>TotalKCal2050</t>
  </si>
  <si>
    <t>T&amp;C category</t>
  </si>
  <si>
    <t>PerKcalEmissions</t>
  </si>
  <si>
    <t>TotalEmissions2050</t>
  </si>
  <si>
    <t>EmissionsPerCap</t>
  </si>
  <si>
    <t>Afghanistan</t>
  </si>
  <si>
    <t>Bananas</t>
  </si>
  <si>
    <t>Albania</t>
  </si>
  <si>
    <t>Algeria</t>
  </si>
  <si>
    <t>Angola</t>
  </si>
  <si>
    <t>Argentina</t>
  </si>
  <si>
    <t>Armenia</t>
  </si>
  <si>
    <t>Australia</t>
  </si>
  <si>
    <t>Austria</t>
  </si>
  <si>
    <t>Azerbaijan</t>
  </si>
  <si>
    <t>Bangladesh</t>
  </si>
  <si>
    <t>Belarus</t>
  </si>
  <si>
    <t>Belgium</t>
  </si>
  <si>
    <t>Benin</t>
  </si>
  <si>
    <t>Bolivia (Plurinational State of)</t>
  </si>
  <si>
    <t>Bosnia and Herzegovina</t>
  </si>
  <si>
    <t>Botswana</t>
  </si>
  <si>
    <t>Brazil</t>
  </si>
  <si>
    <t>Bulgaria</t>
  </si>
  <si>
    <t>Cambodia</t>
  </si>
  <si>
    <t>Cameroon</t>
  </si>
  <si>
    <t>Canada</t>
  </si>
  <si>
    <t>Central African Republic</t>
  </si>
  <si>
    <t>Chile</t>
  </si>
  <si>
    <t>China, Hong Kong SAR</t>
  </si>
  <si>
    <t>China, mainland</t>
  </si>
  <si>
    <t>China, Taiwan Province of</t>
  </si>
  <si>
    <t>Colombia</t>
  </si>
  <si>
    <t>Costa Rica</t>
  </si>
  <si>
    <t>Côte d'Ivoire</t>
  </si>
  <si>
    <t>Croatia</t>
  </si>
  <si>
    <t>Cuba</t>
  </si>
  <si>
    <t>Czechia</t>
  </si>
  <si>
    <t>Denmark</t>
  </si>
  <si>
    <t>Dominican Republic</t>
  </si>
  <si>
    <t>Ecuador</t>
  </si>
  <si>
    <t>Egypt</t>
  </si>
  <si>
    <t>El Salvador</t>
  </si>
  <si>
    <t>Estonia</t>
  </si>
  <si>
    <t>Ethiopia</t>
  </si>
  <si>
    <t>Finland</t>
  </si>
  <si>
    <t>France</t>
  </si>
  <si>
    <t>Gabon</t>
  </si>
  <si>
    <t>Georgia</t>
  </si>
  <si>
    <t>Germany</t>
  </si>
  <si>
    <t>Ghana</t>
  </si>
  <si>
    <t>Greece</t>
  </si>
  <si>
    <t>Guatemala</t>
  </si>
  <si>
    <t>Guinea</t>
  </si>
  <si>
    <t>Guyana</t>
  </si>
  <si>
    <t>Haiti</t>
  </si>
  <si>
    <t>Honduras</t>
  </si>
  <si>
    <t>Hungary</t>
  </si>
  <si>
    <t>India</t>
  </si>
  <si>
    <t>Indonesia</t>
  </si>
  <si>
    <t>Iran (Islamic Republic of)</t>
  </si>
  <si>
    <t>Iraq</t>
  </si>
  <si>
    <t>Ireland</t>
  </si>
  <si>
    <t>Israel</t>
  </si>
  <si>
    <t>Italy</t>
  </si>
  <si>
    <t>Jamaica</t>
  </si>
  <si>
    <t>Japan</t>
  </si>
  <si>
    <t>Jordan</t>
  </si>
  <si>
    <t>Kazakhstan</t>
  </si>
  <si>
    <t>Kenya</t>
  </si>
  <si>
    <t>Kyrgyzstan</t>
  </si>
  <si>
    <t>Lao People's Democratic Republic</t>
  </si>
  <si>
    <t>Latvia</t>
  </si>
  <si>
    <t>Lebanon</t>
  </si>
  <si>
    <t>Lesotho</t>
  </si>
  <si>
    <t>Liberia</t>
  </si>
  <si>
    <t>Lithuania</t>
  </si>
  <si>
    <t>Madagascar</t>
  </si>
  <si>
    <t>Malawi</t>
  </si>
  <si>
    <t>Malaysia</t>
  </si>
  <si>
    <t>Mali</t>
  </si>
  <si>
    <t>Mauritania</t>
  </si>
  <si>
    <t>Mauritius</t>
  </si>
  <si>
    <t>Mexico</t>
  </si>
  <si>
    <t>Mongolia</t>
  </si>
  <si>
    <t>Morocco</t>
  </si>
  <si>
    <t>Mozambique</t>
  </si>
  <si>
    <t>Namibia</t>
  </si>
  <si>
    <t>Nepal</t>
  </si>
  <si>
    <t>Netherlands</t>
  </si>
  <si>
    <t>New Zealand</t>
  </si>
  <si>
    <t>Nicaragua</t>
  </si>
  <si>
    <t>Norway</t>
  </si>
  <si>
    <t>Pakistan</t>
  </si>
  <si>
    <t>Panama</t>
  </si>
  <si>
    <t>Paraguay</t>
  </si>
  <si>
    <t>Peru</t>
  </si>
  <si>
    <t>Philippines</t>
  </si>
  <si>
    <t>Poland</t>
  </si>
  <si>
    <t>Portugal</t>
  </si>
  <si>
    <t>Republic of Korea</t>
  </si>
  <si>
    <t>Republic of Moldova</t>
  </si>
  <si>
    <t>Congo</t>
  </si>
  <si>
    <t>Romania</t>
  </si>
  <si>
    <t>Russian Federation</t>
  </si>
  <si>
    <t>Rwanda</t>
  </si>
  <si>
    <t>Saudi Arabia</t>
  </si>
  <si>
    <t>Senegal</t>
  </si>
  <si>
    <t>Serbia</t>
  </si>
  <si>
    <t>Slovakia</t>
  </si>
  <si>
    <t>South Africa</t>
  </si>
  <si>
    <t>Spain</t>
  </si>
  <si>
    <t>Suriname</t>
  </si>
  <si>
    <t>Eswatini</t>
  </si>
  <si>
    <t>Sweden</t>
  </si>
  <si>
    <t>Thailand</t>
  </si>
  <si>
    <t>Togo</t>
  </si>
  <si>
    <t>Trinidad and Tobago</t>
  </si>
  <si>
    <t>Tunisia</t>
  </si>
  <si>
    <t>Turkey</t>
  </si>
  <si>
    <t>Uganda</t>
  </si>
  <si>
    <t>Ukraine</t>
  </si>
  <si>
    <t>United Kingdom of Great Britain and Northern Ireland</t>
  </si>
  <si>
    <t>United Republic of Tanzania</t>
  </si>
  <si>
    <t>United States of America</t>
  </si>
  <si>
    <t>Uruguay</t>
  </si>
  <si>
    <t>Venezuela</t>
  </si>
  <si>
    <t>Viet Nam</t>
  </si>
  <si>
    <t>Yemen</t>
  </si>
  <si>
    <t>Zimbabwe</t>
  </si>
  <si>
    <t>Barley</t>
  </si>
  <si>
    <t>Democratic People's Republic of Korea</t>
  </si>
  <si>
    <t>Niger</t>
  </si>
  <si>
    <t>Tajikistan</t>
  </si>
  <si>
    <t>Turkmenistan</t>
  </si>
  <si>
    <t>Uzbekistan</t>
  </si>
  <si>
    <t>Beef and veal</t>
  </si>
  <si>
    <t>Burkina Faso</t>
  </si>
  <si>
    <t>Chad</t>
  </si>
  <si>
    <t>Gambia</t>
  </si>
  <si>
    <t>Myanmar</t>
  </si>
  <si>
    <t>Nigeria</t>
  </si>
  <si>
    <t>Sierra Leone</t>
  </si>
  <si>
    <t>Sri Lanka</t>
  </si>
  <si>
    <t>Zambia</t>
  </si>
  <si>
    <t>Cassava</t>
  </si>
  <si>
    <t>Citrus fruits</t>
  </si>
  <si>
    <t>Cocoa beans</t>
  </si>
  <si>
    <t>Coconuts</t>
  </si>
  <si>
    <t>Coconuts oil</t>
  </si>
  <si>
    <t>Coffee, green</t>
  </si>
  <si>
    <t>Cottonseed oil</t>
  </si>
  <si>
    <t>Dried pulses</t>
  </si>
  <si>
    <t>Fish</t>
  </si>
  <si>
    <t>Grain maize</t>
  </si>
  <si>
    <t>Groundnut oil</t>
  </si>
  <si>
    <t>Groundnuts</t>
  </si>
  <si>
    <t>Milled rice</t>
  </si>
  <si>
    <t>Millet</t>
  </si>
  <si>
    <t>Oilcrops, nes, oil</t>
  </si>
  <si>
    <t>Olive oil</t>
  </si>
  <si>
    <t>Olives</t>
  </si>
  <si>
    <t>Other cereals</t>
  </si>
  <si>
    <t>Other crops</t>
  </si>
  <si>
    <t>Other fruits</t>
  </si>
  <si>
    <t>Other oilseeds</t>
  </si>
  <si>
    <t>Other roots and tubers</t>
  </si>
  <si>
    <t>Other vegetables</t>
  </si>
  <si>
    <t>Palm fruit oil</t>
  </si>
  <si>
    <t>Palm kernel oil</t>
  </si>
  <si>
    <t>Palm kernels</t>
  </si>
  <si>
    <t>Pigmeat</t>
  </si>
  <si>
    <t>Plantains</t>
  </si>
  <si>
    <t>Potatoes</t>
  </si>
  <si>
    <t>Poultry meat</t>
  </si>
  <si>
    <t>Processed sugar</t>
  </si>
  <si>
    <t>Rapeseed and mustard seed</t>
  </si>
  <si>
    <t>Rapeseed oil</t>
  </si>
  <si>
    <t>Raw milk</t>
  </si>
  <si>
    <t>Sesame seed</t>
  </si>
  <si>
    <t>Sesame seed oil</t>
  </si>
  <si>
    <t>Sheep and goat meat</t>
  </si>
  <si>
    <t>Sorghum</t>
  </si>
  <si>
    <t>Soya oil</t>
  </si>
  <si>
    <t>Soybeans</t>
  </si>
  <si>
    <t>Sugar beet</t>
  </si>
  <si>
    <t>Sugar cane</t>
  </si>
  <si>
    <t>Sunflower seed</t>
  </si>
  <si>
    <t>Sunflower seed oil</t>
  </si>
  <si>
    <t>Sweet potato and yams</t>
  </si>
  <si>
    <t>Tea</t>
  </si>
  <si>
    <t>Wheat</t>
  </si>
  <si>
    <t>Useful Energy Demand per Stove (MJ/year)</t>
  </si>
  <si>
    <t>TABLE 24 - Assumptions for Deploy More Clean Cookstoves Strategy</t>
  </si>
  <si>
    <t>Traditional Stove Efficiency (%)</t>
  </si>
  <si>
    <t>Improved Stove Efficiency (%)</t>
  </si>
  <si>
    <t>Traditional Stove Emission (gCO₂e/kg wood combusted)</t>
  </si>
  <si>
    <t>Improved Stove Emission
 (gCO₂e/kg wood combusted)</t>
  </si>
  <si>
    <t>HHV Air-Dried Wood (MJ/kg)</t>
  </si>
  <si>
    <t>Number of Households (Unit)</t>
  </si>
  <si>
    <t>Share of Households Using Fuelwood Traditional Stove (%)</t>
  </si>
  <si>
    <t>BUILDING</t>
  </si>
  <si>
    <t>Reduce Building Heat Transfer</t>
  </si>
  <si>
    <t>Deploy More Clean Stoves</t>
  </si>
  <si>
    <t>E Traditional (tCO₂e/year)</t>
  </si>
  <si>
    <t>E Improved (tCO₂e/year)</t>
  </si>
  <si>
    <t>TABLE 25 - Assumptions for Deploy More Heat Pump Strategy</t>
  </si>
  <si>
    <t>Share of Household Owned Water Heater (%)</t>
  </si>
  <si>
    <t>Population 2020</t>
  </si>
  <si>
    <t>Water Heating GHG Emission (kgCO₂e/cap/day)</t>
  </si>
  <si>
    <t>Water Heater per Capita</t>
  </si>
  <si>
    <t>Annual Water Heating Emission  (MtCO₂e)</t>
  </si>
  <si>
    <t>TABLE 26 - Assumptions for Reduce Building Heat Transfer Strategy</t>
  </si>
  <si>
    <t>U-Value (W/m2 K)</t>
  </si>
  <si>
    <t>SEER</t>
  </si>
  <si>
    <t>Variable (unit)</t>
  </si>
  <si>
    <t>Emissions (MtCO2e)</t>
  </si>
  <si>
    <t>UED (TWh)</t>
  </si>
  <si>
    <t>FED (TWh)</t>
  </si>
  <si>
    <t>W/m2*K</t>
  </si>
  <si>
    <t>Build more solar farms to generate 3% of national electricity</t>
  </si>
  <si>
    <t>Build more wind farms to generate 3% of national electricity</t>
  </si>
  <si>
    <t>Build more hydro power plants to generate 3% of national electricity</t>
  </si>
  <si>
    <t>Switch from coal to gas plants for 5% of national electricity</t>
  </si>
  <si>
    <t>Retrofit coal plants with CCS for 4% of national electricity</t>
  </si>
  <si>
    <t>Power BECCS using waste for 2% of national electricity</t>
  </si>
  <si>
    <t>Reduce tropical forest loss by 60% of the projected loss rate</t>
  </si>
  <si>
    <t>Rewet tropical peatland in 60% of current area</t>
  </si>
  <si>
    <t>Reduce peatland drainage by 22% relative to its current rate</t>
  </si>
  <si>
    <t>Expanding forest area in 2050 by 5%</t>
  </si>
  <si>
    <t>Add trees to tropical pasture across 15% of pasture area in 2050</t>
  </si>
  <si>
    <t>Add trees to tropical cropland across 12% of cropland area in 2050</t>
  </si>
  <si>
    <t>Apply enhanced weathering to 23% of national cropland</t>
  </si>
  <si>
    <t>Eat less meat by 59% relative to meat consumption projection in 2050</t>
  </si>
  <si>
    <t>Avoid car travel, walk or cycle for 13% of national pax travel in 2050</t>
  </si>
  <si>
    <t>Deploy more electric vehicle for 13% of national pax travel in 2050</t>
  </si>
  <si>
    <t>Use more public transport for 18% of national pax travel in 2050</t>
  </si>
  <si>
    <t>Decarbonise freight road by 51% nationally</t>
  </si>
  <si>
    <t>Fly less reducing national pax travel by 99%</t>
  </si>
  <si>
    <t>Improve the efficiency of cars by reducing current fuel use by 56%</t>
  </si>
  <si>
    <t>Reduce building heat transfer by 64% compared to current stock</t>
  </si>
  <si>
    <t>Share (%)</t>
  </si>
  <si>
    <t>Steam Methane Reforming</t>
  </si>
  <si>
    <t>Coal Gasification</t>
  </si>
  <si>
    <t>Electrolysis</t>
  </si>
  <si>
    <t>Steam Methane Reforming w/ CCS</t>
  </si>
  <si>
    <t>Coal Gasification w/ CCS</t>
  </si>
  <si>
    <t>Efficiency (%)</t>
  </si>
  <si>
    <t>Emission Intensity (gCO₂e/kWh)</t>
  </si>
  <si>
    <t>NA</t>
  </si>
  <si>
    <t>Weighted Mean</t>
  </si>
  <si>
    <t>Hydrogen Demand (Mt)</t>
  </si>
  <si>
    <t>Produce Clean Hydrogen</t>
  </si>
  <si>
    <t>Produce clean hydrogen by 58% of 2050 demand</t>
  </si>
  <si>
    <t>TABLE 26 - Assumptions for Produce Clean Hydrogen Strategy</t>
  </si>
  <si>
    <t>Cement</t>
  </si>
  <si>
    <t>Variable (Unit)</t>
  </si>
  <si>
    <t>Cement Emission Intensity (tCO₂e/t)</t>
  </si>
  <si>
    <t>Unabated</t>
  </si>
  <si>
    <t>With CCS</t>
  </si>
  <si>
    <t>Estimated National Production (Mt)</t>
  </si>
  <si>
    <t>Steel</t>
  </si>
  <si>
    <t>Basic Oxygen Steel Emission Intensity (tCO₂e/t)</t>
  </si>
  <si>
    <t>Hydrogen-DRI Emission Intensity (tCO₂e/t)</t>
  </si>
  <si>
    <t>Produce Clean Cement</t>
  </si>
  <si>
    <t>Produce Clean Steel</t>
  </si>
  <si>
    <t>with Hydrogen-DRI</t>
  </si>
  <si>
    <t>with CCS</t>
  </si>
  <si>
    <t>The strategy could only achieve 84% of a full wedge</t>
  </si>
  <si>
    <t>Decarbonise steelmaking for 87% of national production</t>
  </si>
  <si>
    <t>TABLE 27 - Inputs and Assumptions for Produce Clean Steel and Cement Strategy</t>
  </si>
  <si>
    <t>Electricity Required for Electrolysis (TWh)</t>
  </si>
  <si>
    <t>Electricity Required for Hydrogen-DRI (TWh)</t>
  </si>
  <si>
    <t>Reduce Refrigerant Pollution</t>
  </si>
  <si>
    <t>MtCO2e (cum.)</t>
  </si>
  <si>
    <t>Reduce Methane Emission in Oil &amp; Gas Supply Chain</t>
  </si>
  <si>
    <t>Annual HFC Emission (MtCO₂e) - BAU</t>
  </si>
  <si>
    <t>Bussiness as Usual</t>
  </si>
  <si>
    <t>Kigali Schedule</t>
  </si>
  <si>
    <t>Residual Emission (MtCO₂e)</t>
  </si>
  <si>
    <t>TABLE 28 - Cumulative HFC Emission 2020 - 2050 under BAU and Kigali Schedule</t>
  </si>
  <si>
    <t>Avoided Emission (MtCO₂e)</t>
  </si>
  <si>
    <t>Annual HFC Emission (MtCO₂e) - Kigali</t>
  </si>
  <si>
    <t>The strategy could only achieve 50% of a full wedge</t>
  </si>
  <si>
    <t>The strategy could only achieve 20% of a full wedge</t>
  </si>
  <si>
    <t>The strategy could only achieve 70% of a full wedge</t>
  </si>
  <si>
    <t>Annual HFC Emission (MtCO₂e) - BAU &amp; Kigali</t>
  </si>
  <si>
    <t>Methane Emission (ktCH4)</t>
  </si>
  <si>
    <t>Oil Production (TJ)</t>
  </si>
  <si>
    <t>Gas Production (TJ)</t>
  </si>
  <si>
    <t>Methane Emission (ktCO₂e)</t>
  </si>
  <si>
    <t>Oil Production (TWh)</t>
  </si>
  <si>
    <t>Gas Production (TWh)</t>
  </si>
  <si>
    <t>Methane Intensity - Oil (ktCO₂e/TWh)</t>
  </si>
  <si>
    <t>Methane Intensity - Gas (ktCO₂e/TWh)</t>
  </si>
  <si>
    <t>Reduction Rate Oil (%)</t>
  </si>
  <si>
    <t>Reduction Rate Gas (%)</t>
  </si>
  <si>
    <t>Average Reduction Rate (%)</t>
  </si>
  <si>
    <t>Historical Methane Intensities for Global Oil and Gas Production</t>
  </si>
  <si>
    <t>Annual Methane Emissions from Oil and Gas Operation Between 2020 and 2050</t>
  </si>
  <si>
    <t>Oil Production (EJ)</t>
  </si>
  <si>
    <t>Gas Production (EJ)</t>
  </si>
  <si>
    <t>Methane Emissions - Oil (MtCO₂e)</t>
  </si>
  <si>
    <t>Methane Emissions - Gas (MtCO₂e)</t>
  </si>
  <si>
    <t>Cumulative Emission from Oil (MtCO₂e)</t>
  </si>
  <si>
    <t>Cumulative Emission from Gas (MtCO₂e)</t>
  </si>
  <si>
    <t>Cumulative Emission from Oil &amp; Gas (MtCO₂e)</t>
  </si>
  <si>
    <t>Projection for 2020 - 2050</t>
  </si>
  <si>
    <t>Reduce oil &amp; gas methane emissions by 75% nationally</t>
  </si>
  <si>
    <t>Value</t>
  </si>
  <si>
    <t>Basic Electricity Consumption (kWh/tCO₂)</t>
  </si>
  <si>
    <t>Energy Input for Heat (kWh/tCO₂)</t>
  </si>
  <si>
    <t>Heat and Electricity Requirements for Solid Sorbent DAC Plants</t>
  </si>
  <si>
    <t>Emission Factor Electricity</t>
  </si>
  <si>
    <t>Carbon Efficiency</t>
  </si>
  <si>
    <t>Solid Sorben DAC Plants (%)</t>
  </si>
  <si>
    <t>Johnson &amp; Staffel (2026)</t>
  </si>
  <si>
    <t>Build Direct Air Capture (DAC) Plants</t>
  </si>
  <si>
    <t>TWh (input)</t>
  </si>
  <si>
    <t>Addressable Market</t>
  </si>
  <si>
    <t>INDUSTRY</t>
  </si>
  <si>
    <t>Region</t>
  </si>
  <si>
    <t>Commodity group</t>
  </si>
  <si>
    <t>Commodity</t>
  </si>
  <si>
    <t>FSC1 Emissions</t>
  </si>
  <si>
    <t>FSC2 Emissions</t>
  </si>
  <si>
    <t>FSC3 Emissions</t>
  </si>
  <si>
    <t>FSC4 Emissions</t>
  </si>
  <si>
    <t>FSC5 Emissions</t>
  </si>
  <si>
    <t>Total (1000 tonnes)</t>
  </si>
  <si>
    <t>FSC1 Emissions (Mt)</t>
  </si>
  <si>
    <t>FSC2 Emissions (Mt)</t>
  </si>
  <si>
    <t>FSC3 Emissions (Mt)</t>
  </si>
  <si>
    <t>FSC4 Emissions (Mt)</t>
  </si>
  <si>
    <t>FSC5 Emissions (Mt)</t>
  </si>
  <si>
    <t>Total Emissions (Mt)</t>
  </si>
  <si>
    <t>Cereals</t>
  </si>
  <si>
    <t>Maize</t>
  </si>
  <si>
    <t>Oats</t>
  </si>
  <si>
    <t>Rice</t>
  </si>
  <si>
    <t>Rye</t>
  </si>
  <si>
    <t>Fruits &amp; Vegetables</t>
  </si>
  <si>
    <t>Apples</t>
  </si>
  <si>
    <t>Citrus</t>
  </si>
  <si>
    <t>Grapes</t>
  </si>
  <si>
    <t>Vegetables</t>
  </si>
  <si>
    <t>Marine</t>
  </si>
  <si>
    <t>Fish &amp; Seafood</t>
  </si>
  <si>
    <t>Meat</t>
  </si>
  <si>
    <t>Bovine meat</t>
  </si>
  <si>
    <t>Mutton &amp; Goat</t>
  </si>
  <si>
    <t>Milk &amp; Eggs</t>
  </si>
  <si>
    <t>Eggs</t>
  </si>
  <si>
    <t>Milk</t>
  </si>
  <si>
    <t>Oil crops &amp; Pulses</t>
  </si>
  <si>
    <t>Oil crops</t>
  </si>
  <si>
    <t>Pulses</t>
  </si>
  <si>
    <t>Roots &amp; Tubers</t>
  </si>
  <si>
    <t>Starchy Roots</t>
  </si>
  <si>
    <t>Emission 2020</t>
  </si>
  <si>
    <t>Emission 2050</t>
  </si>
  <si>
    <t>FSC1 FLW</t>
  </si>
  <si>
    <t>FSC2 FLW</t>
  </si>
  <si>
    <t>FSC3 FLW</t>
  </si>
  <si>
    <t>FSC4 FLW</t>
  </si>
  <si>
    <t>FSC5 FLW</t>
  </si>
  <si>
    <t>FSC1 FLW (Mt)</t>
  </si>
  <si>
    <t>FSC2 FLW (Mt)</t>
  </si>
  <si>
    <t>FSC3 FLW (Mt)</t>
  </si>
  <si>
    <t>FSC4 FLW (Mt)</t>
  </si>
  <si>
    <t>FSC5 FLW (Mt)</t>
  </si>
  <si>
    <t>Total (Mt)</t>
  </si>
  <si>
    <t>FLW 2020</t>
  </si>
  <si>
    <t>FLW 2050</t>
  </si>
  <si>
    <t>Production</t>
  </si>
  <si>
    <t>Import quantity</t>
  </si>
  <si>
    <t>Stock variation</t>
  </si>
  <si>
    <t>Export quantity</t>
  </si>
  <si>
    <t>Domestic Supply Quantity</t>
  </si>
  <si>
    <t>Feed</t>
  </si>
  <si>
    <t>Seed</t>
  </si>
  <si>
    <t>Other Uses (Non-food)</t>
  </si>
  <si>
    <t>AF</t>
  </si>
  <si>
    <t>FSC 1</t>
  </si>
  <si>
    <t>FSC 2</t>
  </si>
  <si>
    <t>FSC 3</t>
  </si>
  <si>
    <t>FSC 4</t>
  </si>
  <si>
    <t>FSC 5</t>
  </si>
  <si>
    <t>UNIT: 1000 t</t>
  </si>
  <si>
    <t>FSC1 LF</t>
  </si>
  <si>
    <t>FSC2 LF</t>
  </si>
  <si>
    <t>FSC3 LF</t>
  </si>
  <si>
    <t>FSC4 LF</t>
  </si>
  <si>
    <t>FSC5 LF</t>
  </si>
  <si>
    <t>Baseline</t>
  </si>
  <si>
    <t>Europe</t>
  </si>
  <si>
    <t>N/A</t>
  </si>
  <si>
    <t>Bovine</t>
  </si>
  <si>
    <t>IndusAsia</t>
  </si>
  <si>
    <t>NAmOce</t>
  </si>
  <si>
    <t>LatAm</t>
  </si>
  <si>
    <t>NAWCA</t>
  </si>
  <si>
    <t>SSA</t>
  </si>
  <si>
    <t>SSEA</t>
  </si>
  <si>
    <t>50% LF</t>
  </si>
  <si>
    <t>25% LF</t>
  </si>
  <si>
    <t>75% LF</t>
  </si>
  <si>
    <t>50% Production</t>
  </si>
  <si>
    <t>0% Production</t>
  </si>
  <si>
    <t>50% Consumption</t>
  </si>
  <si>
    <t>0% Consumption</t>
  </si>
  <si>
    <t>50% FSC3</t>
  </si>
  <si>
    <t>50% Cereals</t>
  </si>
  <si>
    <t>50% Fruits &amp; Vegetables</t>
  </si>
  <si>
    <t>50% Meat</t>
  </si>
  <si>
    <t>0% Production 0% Consumption</t>
  </si>
  <si>
    <t>0% FSC1 0% FSC3</t>
  </si>
  <si>
    <t>0% Meat</t>
  </si>
  <si>
    <t>0% Fruits &amp; Vegetables</t>
  </si>
  <si>
    <t>0% Cereals</t>
  </si>
  <si>
    <t>50% Marine</t>
  </si>
  <si>
    <t>0% Marine</t>
  </si>
  <si>
    <t>50% FSC3 50% FSC5</t>
  </si>
  <si>
    <t>50% Cereals 50% Meat</t>
  </si>
  <si>
    <t>50% Marine 50% Meat</t>
  </si>
  <si>
    <t>0% FSC3 0% FSC5</t>
  </si>
  <si>
    <t>50% Production 50% Consumption</t>
  </si>
  <si>
    <t>0% Cereals 0% Marine</t>
  </si>
  <si>
    <t>0% Marine 0% Meat</t>
  </si>
  <si>
    <t>50% SSEA</t>
  </si>
  <si>
    <t>50% IndusAsia</t>
  </si>
  <si>
    <t>50% SSA</t>
  </si>
  <si>
    <t>EF</t>
  </si>
  <si>
    <t>Other Cereals</t>
  </si>
  <si>
    <t>Fruit &amp; Vegetables</t>
  </si>
  <si>
    <t>Other Fruit</t>
  </si>
  <si>
    <t>Pig</t>
  </si>
  <si>
    <t>Million</t>
  </si>
  <si>
    <t>Build direct air capture using 2% of national electricity</t>
  </si>
  <si>
    <t>CCS Gas</t>
  </si>
  <si>
    <t>Retrofit gas plants with CCS for 9% of national electricity</t>
  </si>
  <si>
    <t>Build more nuclear reactors to generate 3% of national electricity</t>
  </si>
  <si>
    <t>Plant Efficiency (%HHV)</t>
  </si>
  <si>
    <t>Reduce food loss and waste by 69% nationally</t>
  </si>
  <si>
    <t>TABLE 20 - Distance Travelled by Each Mode of Land Transport in Indonesia</t>
  </si>
  <si>
    <t>Domestic Flight</t>
  </si>
  <si>
    <t>International Flight</t>
  </si>
  <si>
    <t>TABLE 23 - Assumptions for Decarbonise Freight Road Strategy</t>
  </si>
  <si>
    <t>Projection for 2050 - BAU</t>
  </si>
  <si>
    <t>Projection for 2050 - Low Carbon</t>
  </si>
  <si>
    <t>TABLE 29 - Cumulative Methane emissions from Oil and Gas Production Between 2020 and 2050</t>
  </si>
  <si>
    <t>Under low carbon (LCCP) scenario (gCO₂e/kWh)</t>
  </si>
  <si>
    <t>Total Thermal Demand (TJ)</t>
  </si>
  <si>
    <t>Estimation of Electricity Required for Deploying More Electric Vehicle Strategy</t>
  </si>
  <si>
    <t>TABLE 30 - Inputs for Build DAC Plants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</si>
</sst>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 #,##0_-;_-* &quot;-&quot;??_-;_-@_-"/>
    <numFmt numFmtId="165" formatCode="#,##0.000"/>
    <numFmt numFmtId="166" formatCode="0.0%"/>
    <numFmt numFmtId="167" formatCode="0.000"/>
    <numFmt numFmtId="168" formatCode="0.0"/>
    <numFmt numFmtId="169" formatCode="#,##0.0"/>
  </numFmts>
  <fonts count="31" x14ac:knownFonts="1">
    <font>
      <sz val="11"/>
      <color theme="1"/>
      <name val="Calibri"/>
      <family val="2"/>
      <scheme val="minor"/>
    </font>
    <font>
      <b/>
      <sz val="14"/>
      <color rgb="FFFFFFFF"/>
      <name val="Calibri"/>
      <family val="2"/>
    </font>
    <font>
      <b/>
      <sz val="10"/>
      <color rgb="FFFFFFFF"/>
      <name val="Calibri"/>
      <family val="2"/>
    </font>
    <font>
      <b/>
      <sz val="10"/>
      <name val="Calibri"/>
      <family val="2"/>
    </font>
    <font>
      <sz val="10"/>
      <name val="Calibri"/>
      <family val="2"/>
    </font>
    <font>
      <u/>
      <sz val="10"/>
      <color rgb="FF0563C1"/>
      <name val="Calibri"/>
      <family val="2"/>
    </font>
    <font>
      <u/>
      <sz val="11"/>
      <color theme="10"/>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i/>
      <sz val="9"/>
      <color rgb="FFFF0000"/>
      <name val="Calibri"/>
      <family val="2"/>
      <scheme val="minor"/>
    </font>
    <font>
      <b/>
      <i/>
      <sz val="11"/>
      <color theme="1"/>
      <name val="Calibri"/>
      <family val="2"/>
      <scheme val="minor"/>
    </font>
    <font>
      <i/>
      <sz val="11"/>
      <color rgb="FF0070C0"/>
      <name val="Calibri"/>
      <family val="2"/>
      <scheme val="minor"/>
    </font>
    <font>
      <b/>
      <sz val="13"/>
      <color rgb="FFFFFFFF"/>
      <name val="Calibri"/>
      <family val="2"/>
    </font>
    <font>
      <i/>
      <sz val="8"/>
      <color rgb="FF595959"/>
      <name val="Calibri"/>
      <family val="2"/>
    </font>
    <font>
      <sz val="9"/>
      <name val="Calibri"/>
      <family val="2"/>
    </font>
    <font>
      <i/>
      <sz val="9"/>
      <color rgb="FFFF0000"/>
      <name val="Calibri"/>
      <family val="2"/>
    </font>
    <font>
      <b/>
      <sz val="10"/>
      <color rgb="FFFFFFFF"/>
      <name val="Calibri"/>
      <family val="2"/>
    </font>
    <font>
      <sz val="9"/>
      <name val="Calibri"/>
      <family val="2"/>
    </font>
    <font>
      <sz val="9"/>
      <color indexed="81"/>
      <name val="Tahoma"/>
      <family val="2"/>
    </font>
    <font>
      <b/>
      <sz val="9"/>
      <color indexed="81"/>
      <name val="Tahoma"/>
      <family val="2"/>
    </font>
    <font>
      <sz val="9"/>
      <color theme="1"/>
      <name val="Calibri"/>
      <family val="2"/>
      <scheme val="minor"/>
    </font>
    <font>
      <sz val="8"/>
      <name val="Calibri"/>
      <family val="2"/>
      <scheme val="minor"/>
    </font>
    <font>
      <b/>
      <sz val="14"/>
      <color theme="1"/>
      <name val="Calibri"/>
      <family val="2"/>
    </font>
    <font>
      <b/>
      <sz val="10"/>
      <color theme="1"/>
      <name val="Calibri"/>
      <family val="2"/>
    </font>
    <font>
      <sz val="10"/>
      <color theme="1"/>
      <name val="Calibri"/>
      <family val="2"/>
      <scheme val="minor"/>
    </font>
    <font>
      <b/>
      <sz val="12"/>
      <color theme="1"/>
      <name val="Calibri"/>
      <family val="2"/>
      <scheme val="minor"/>
    </font>
    <font>
      <b/>
      <sz val="10"/>
      <color theme="1"/>
      <name val="Calibri"/>
      <family val="2"/>
      <scheme val="minor"/>
    </font>
    <font>
      <b/>
      <i/>
      <sz val="10"/>
      <name val="Calibri"/>
      <family val="2"/>
    </font>
    <font>
      <i/>
      <sz val="9"/>
      <color theme="1"/>
      <name val="Calibri"/>
      <family val="2"/>
      <scheme val="minor"/>
    </font>
    <font>
      <sz val="11"/>
      <name val="Calibri"/>
      <family val="2"/>
      <scheme val="minor"/>
    </font>
  </fonts>
  <fills count="25">
    <fill>
      <patternFill patternType="none"/>
    </fill>
    <fill>
      <patternFill patternType="gray125"/>
    </fill>
    <fill>
      <patternFill patternType="solid">
        <fgColor rgb="FF1F3864"/>
      </patternFill>
    </fill>
    <fill>
      <patternFill patternType="solid">
        <fgColor rgb="FFD6E4F0"/>
      </patternFill>
    </fill>
    <fill>
      <patternFill patternType="solid">
        <fgColor rgb="FF375623"/>
      </patternFill>
    </fill>
    <fill>
      <patternFill patternType="solid">
        <fgColor rgb="FFE2EFDA"/>
      </patternFill>
    </fill>
    <fill>
      <patternFill patternType="solid">
        <fgColor rgb="FF833C00"/>
      </patternFill>
    </fill>
    <fill>
      <patternFill patternType="solid">
        <fgColor rgb="FFFCE4D6"/>
      </patternFill>
    </fill>
    <fill>
      <patternFill patternType="solid">
        <fgColor rgb="FF44546A"/>
      </patternFill>
    </fill>
    <fill>
      <patternFill patternType="solid">
        <fgColor rgb="FFDDEBF7"/>
      </patternFill>
    </fill>
    <fill>
      <patternFill patternType="solid">
        <fgColor rgb="FF7030A0"/>
      </patternFill>
    </fill>
    <fill>
      <patternFill patternType="solid">
        <fgColor rgb="FFEAD1FF"/>
      </patternFill>
    </fill>
    <fill>
      <patternFill patternType="solid">
        <fgColor rgb="FF404040"/>
      </patternFill>
    </fill>
    <fill>
      <patternFill patternType="solid">
        <fgColor rgb="FF2E5FA3"/>
      </patternFill>
    </fill>
    <fill>
      <patternFill patternType="solid">
        <fgColor rgb="FFFFF2CC"/>
      </patternFill>
    </fill>
    <fill>
      <patternFill patternType="solid">
        <fgColor rgb="FFD6E4F0"/>
        <bgColor indexed="64"/>
      </patternFill>
    </fill>
    <fill>
      <patternFill patternType="solid">
        <fgColor theme="6" tint="-0.249977111117893"/>
        <bgColor indexed="64"/>
      </patternFill>
    </fill>
    <fill>
      <patternFill patternType="solid">
        <fgColor rgb="FF375623"/>
        <bgColor indexed="64"/>
      </patternFill>
    </fill>
    <fill>
      <patternFill patternType="solid">
        <fgColor theme="0" tint="-0.499984740745262"/>
        <bgColor indexed="64"/>
      </patternFill>
    </fill>
    <fill>
      <patternFill patternType="solid">
        <fgColor rgb="FFFF99FF"/>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7"/>
        <bgColor indexed="64"/>
      </patternFill>
    </fill>
    <fill>
      <patternFill patternType="solid">
        <fgColor rgb="FF44546A"/>
        <bgColor indexed="64"/>
      </patternFill>
    </fill>
    <fill>
      <patternFill patternType="solid">
        <fgColor rgb="FF5A6F8C"/>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indexed="64"/>
      </bottom>
      <diagonal/>
    </border>
    <border>
      <left style="thin">
        <color rgb="FFBFBFBF"/>
      </left>
      <right/>
      <top style="thin">
        <color rgb="FFBFBFBF"/>
      </top>
      <bottom style="thin">
        <color rgb="FFBFBFBF"/>
      </bottom>
      <diagonal/>
    </border>
    <border>
      <left style="thin">
        <color rgb="FFBFBFBF"/>
      </left>
      <right/>
      <top/>
      <bottom/>
      <diagonal/>
    </border>
    <border>
      <left/>
      <right/>
      <top/>
      <bottom style="thin">
        <color rgb="FFBFBFBF"/>
      </bottom>
      <diagonal/>
    </border>
    <border>
      <left/>
      <right style="thin">
        <color rgb="FFBFBFBF"/>
      </right>
      <top/>
      <bottom/>
      <diagonal/>
    </border>
    <border>
      <left/>
      <right style="thin">
        <color rgb="FFBFBFBF"/>
      </right>
      <top/>
      <bottom style="thin">
        <color rgb="FFBFBFBF"/>
      </bottom>
      <diagonal/>
    </border>
    <border>
      <left style="thin">
        <color rgb="FFBFBFBF"/>
      </left>
      <right/>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s>
  <cellStyleXfs count="4">
    <xf numFmtId="0" fontId="0" fillId="0" borderId="0"/>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cellStyleXfs>
  <cellXfs count="288">
    <xf numFmtId="0" fontId="0" fillId="0" borderId="0" xfId="0"/>
    <xf numFmtId="0" fontId="2" fillId="2" borderId="1" xfId="0" applyFont="1" applyFill="1" applyBorder="1" applyAlignment="1">
      <alignment horizontal="center" vertical="center" wrapText="1"/>
    </xf>
    <xf numFmtId="3" fontId="4" fillId="0" borderId="1"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0" fillId="0" borderId="0" xfId="0" applyAlignment="1">
      <alignment vertical="center"/>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8" fillId="0" borderId="0" xfId="0" applyFont="1"/>
    <xf numFmtId="0" fontId="9" fillId="0" borderId="0" xfId="0" applyFont="1"/>
    <xf numFmtId="0" fontId="0" fillId="0" borderId="4" xfId="0" applyBorder="1" applyAlignment="1">
      <alignment vertical="center" wrapText="1"/>
    </xf>
    <xf numFmtId="3" fontId="0" fillId="0" borderId="4" xfId="2" applyNumberFormat="1" applyFont="1" applyBorder="1" applyAlignment="1">
      <alignment horizontal="center" vertical="center"/>
    </xf>
    <xf numFmtId="0" fontId="9" fillId="0" borderId="0" xfId="0" applyFont="1" applyAlignment="1">
      <alignment vertical="center"/>
    </xf>
    <xf numFmtId="0" fontId="0" fillId="0" borderId="0" xfId="0" applyAlignment="1">
      <alignment horizontal="center"/>
    </xf>
    <xf numFmtId="3" fontId="0" fillId="0" borderId="4" xfId="2" applyNumberFormat="1" applyFont="1" applyBorder="1" applyAlignment="1">
      <alignment horizontal="center"/>
    </xf>
    <xf numFmtId="0" fontId="0" fillId="0" borderId="4" xfId="0" applyBorder="1"/>
    <xf numFmtId="43" fontId="0" fillId="0" borderId="0" xfId="0" applyNumberFormat="1"/>
    <xf numFmtId="0" fontId="11" fillId="0" borderId="0" xfId="0" applyFont="1"/>
    <xf numFmtId="0" fontId="9" fillId="0" borderId="0" xfId="0" applyFont="1" applyAlignment="1">
      <alignment horizontal="left"/>
    </xf>
    <xf numFmtId="0" fontId="10" fillId="0" borderId="0" xfId="0" applyFont="1"/>
    <xf numFmtId="0" fontId="12" fillId="0" borderId="0" xfId="0" applyFont="1" applyAlignment="1">
      <alignment horizontal="left" vertical="center" wrapText="1"/>
    </xf>
    <xf numFmtId="0" fontId="11" fillId="0" borderId="0" xfId="0" applyFont="1" applyAlignment="1">
      <alignment horizontal="left"/>
    </xf>
    <xf numFmtId="3" fontId="0" fillId="0" borderId="0" xfId="2" applyNumberFormat="1" applyFont="1" applyBorder="1" applyAlignment="1">
      <alignment horizontal="center"/>
    </xf>
    <xf numFmtId="165" fontId="0" fillId="0" borderId="0" xfId="2" applyNumberFormat="1" applyFont="1" applyBorder="1" applyAlignment="1">
      <alignment horizontal="center"/>
    </xf>
    <xf numFmtId="0" fontId="0" fillId="0" borderId="4" xfId="0" applyBorder="1" applyAlignment="1">
      <alignment horizontal="center"/>
    </xf>
    <xf numFmtId="165" fontId="0" fillId="0" borderId="4" xfId="2" applyNumberFormat="1" applyFont="1" applyBorder="1" applyAlignment="1">
      <alignment horizontal="center"/>
    </xf>
    <xf numFmtId="167" fontId="0" fillId="0" borderId="4" xfId="0" applyNumberFormat="1" applyBorder="1" applyAlignment="1">
      <alignment horizontal="center"/>
    </xf>
    <xf numFmtId="0" fontId="0" fillId="0" borderId="0" xfId="0" applyAlignment="1">
      <alignment horizontal="center" vertical="center"/>
    </xf>
    <xf numFmtId="3" fontId="0" fillId="0" borderId="4" xfId="0" applyNumberFormat="1" applyBorder="1" applyAlignment="1">
      <alignment horizontal="center" vertical="center" wrapText="1"/>
    </xf>
    <xf numFmtId="3" fontId="0" fillId="0" borderId="4" xfId="0" applyNumberFormat="1" applyBorder="1" applyAlignment="1">
      <alignment horizontal="center" vertical="center"/>
    </xf>
    <xf numFmtId="1" fontId="0" fillId="0" borderId="4" xfId="0" applyNumberFormat="1" applyBorder="1" applyAlignment="1">
      <alignment horizontal="center"/>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0" fontId="15" fillId="3" borderId="1" xfId="0" applyFont="1" applyFill="1" applyBorder="1" applyAlignment="1">
      <alignment horizontal="left" vertical="center" wrapText="1" indent="1"/>
    </xf>
    <xf numFmtId="0" fontId="15" fillId="3" borderId="1" xfId="0" applyFont="1" applyFill="1" applyBorder="1" applyAlignment="1">
      <alignment horizontal="center" vertical="center" wrapText="1"/>
    </xf>
    <xf numFmtId="0" fontId="15" fillId="0" borderId="1" xfId="0" applyFont="1" applyBorder="1" applyAlignment="1">
      <alignment horizontal="left" vertical="center" wrapText="1" indent="1"/>
    </xf>
    <xf numFmtId="0" fontId="15" fillId="0" borderId="1" xfId="0" applyFont="1" applyBorder="1" applyAlignment="1">
      <alignment horizontal="center" vertical="center" wrapText="1"/>
    </xf>
    <xf numFmtId="10" fontId="15" fillId="3" borderId="1" xfId="0" applyNumberFormat="1" applyFont="1" applyFill="1" applyBorder="1" applyAlignment="1">
      <alignment horizontal="center" vertical="center" wrapText="1"/>
    </xf>
    <xf numFmtId="2" fontId="15" fillId="0" borderId="1" xfId="0" applyNumberFormat="1" applyFont="1" applyBorder="1" applyAlignment="1">
      <alignment horizontal="center" vertical="center" wrapText="1"/>
    </xf>
    <xf numFmtId="168" fontId="15" fillId="3" borderId="1" xfId="0" applyNumberFormat="1" applyFont="1" applyFill="1" applyBorder="1" applyAlignment="1">
      <alignment horizontal="center" vertical="center" wrapText="1"/>
    </xf>
    <xf numFmtId="168" fontId="15" fillId="0" borderId="1" xfId="0" applyNumberFormat="1" applyFont="1" applyBorder="1" applyAlignment="1">
      <alignment horizontal="center" vertical="center" wrapText="1"/>
    </xf>
    <xf numFmtId="0" fontId="15" fillId="0" borderId="0" xfId="0" applyFont="1" applyAlignment="1">
      <alignment horizontal="center" vertical="center" wrapText="1"/>
    </xf>
    <xf numFmtId="2" fontId="15" fillId="3" borderId="1" xfId="0" applyNumberFormat="1" applyFont="1" applyFill="1" applyBorder="1" applyAlignment="1">
      <alignment horizontal="center" vertical="center" wrapText="1"/>
    </xf>
    <xf numFmtId="168" fontId="15" fillId="15" borderId="1" xfId="0" applyNumberFormat="1" applyFont="1" applyFill="1" applyBorder="1" applyAlignment="1">
      <alignment horizontal="center" vertical="center" wrapText="1"/>
    </xf>
    <xf numFmtId="0" fontId="10" fillId="0" borderId="0" xfId="0" applyFont="1" applyAlignment="1">
      <alignment horizontal="left" vertical="center"/>
    </xf>
    <xf numFmtId="9" fontId="15" fillId="3" borderId="1" xfId="0" applyNumberFormat="1" applyFont="1" applyFill="1" applyBorder="1" applyAlignment="1">
      <alignment horizontal="center" vertical="center" wrapText="1"/>
    </xf>
    <xf numFmtId="9" fontId="15" fillId="0" borderId="1" xfId="0" applyNumberFormat="1" applyFont="1" applyBorder="1" applyAlignment="1">
      <alignment horizontal="center" vertical="center" wrapText="1"/>
    </xf>
    <xf numFmtId="0" fontId="15" fillId="0" borderId="0" xfId="0" applyFont="1" applyAlignment="1">
      <alignment horizontal="left" vertical="center" wrapText="1" indent="1"/>
    </xf>
    <xf numFmtId="9" fontId="15" fillId="0" borderId="0" xfId="0" applyNumberFormat="1" applyFont="1" applyAlignment="1">
      <alignment horizontal="center" vertical="center" wrapText="1"/>
    </xf>
    <xf numFmtId="0" fontId="16" fillId="0" borderId="0" xfId="0" applyFont="1" applyAlignment="1">
      <alignment horizontal="left" vertical="center" indent="1"/>
    </xf>
    <xf numFmtId="0" fontId="15" fillId="15" borderId="1" xfId="0" applyFont="1" applyFill="1" applyBorder="1" applyAlignment="1">
      <alignment horizontal="left" vertical="center" wrapText="1" indent="1"/>
    </xf>
    <xf numFmtId="9" fontId="15" fillId="15"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18"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3" borderId="5" xfId="0" applyFont="1" applyFill="1" applyBorder="1" applyAlignment="1">
      <alignment horizontal="center" vertical="center" wrapText="1"/>
    </xf>
    <xf numFmtId="2" fontId="4" fillId="3" borderId="1" xfId="0" applyNumberFormat="1" applyFont="1" applyFill="1" applyBorder="1" applyAlignment="1">
      <alignment horizontal="center" vertical="center" wrapText="1"/>
    </xf>
    <xf numFmtId="2" fontId="4" fillId="0" borderId="1" xfId="0" applyNumberFormat="1" applyFont="1" applyBorder="1" applyAlignment="1">
      <alignment horizontal="center" vertical="center" wrapText="1"/>
    </xf>
    <xf numFmtId="9" fontId="15" fillId="3" borderId="1" xfId="3" applyFont="1" applyFill="1" applyBorder="1" applyAlignment="1">
      <alignment horizontal="center" vertical="center" wrapText="1"/>
    </xf>
    <xf numFmtId="0" fontId="2" fillId="17" borderId="1" xfId="0"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9" fontId="0" fillId="0" borderId="0" xfId="3" applyFont="1" applyAlignment="1">
      <alignment vertical="center"/>
    </xf>
    <xf numFmtId="0" fontId="10" fillId="0" borderId="0" xfId="0" applyFont="1" applyAlignment="1">
      <alignment vertical="center"/>
    </xf>
    <xf numFmtId="0" fontId="10"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left" vertical="center" wrapText="1"/>
    </xf>
    <xf numFmtId="0" fontId="4" fillId="0" borderId="9" xfId="0" applyFont="1" applyBorder="1" applyAlignment="1">
      <alignment horizontal="left" vertical="center" wrapText="1"/>
    </xf>
    <xf numFmtId="0" fontId="4" fillId="0" borderId="9" xfId="0" applyFont="1" applyBorder="1" applyAlignment="1">
      <alignment horizontal="center" vertical="center" wrapText="1"/>
    </xf>
    <xf numFmtId="4" fontId="4" fillId="5" borderId="1" xfId="0" applyNumberFormat="1" applyFont="1" applyFill="1" applyBorder="1" applyAlignment="1">
      <alignment horizontal="center" vertical="center" wrapText="1"/>
    </xf>
    <xf numFmtId="2" fontId="0" fillId="0" borderId="0" xfId="0" applyNumberFormat="1" applyAlignment="1">
      <alignment vertical="center"/>
    </xf>
    <xf numFmtId="1" fontId="25" fillId="0" borderId="0" xfId="0" applyNumberFormat="1" applyFont="1" applyAlignment="1">
      <alignment horizontal="center" vertical="center"/>
    </xf>
    <xf numFmtId="4" fontId="4" fillId="0" borderId="1" xfId="0" applyNumberFormat="1" applyFont="1" applyBorder="1" applyAlignment="1">
      <alignment horizontal="center" vertical="center" wrapText="1"/>
    </xf>
    <xf numFmtId="3" fontId="0" fillId="0" borderId="0" xfId="0" applyNumberFormat="1"/>
    <xf numFmtId="1" fontId="0" fillId="0" borderId="0" xfId="0" applyNumberFormat="1"/>
    <xf numFmtId="43" fontId="0" fillId="0" borderId="0" xfId="2" applyFont="1"/>
    <xf numFmtId="0" fontId="8" fillId="20" borderId="4" xfId="0" applyFont="1" applyFill="1" applyBorder="1" applyAlignment="1">
      <alignment horizontal="center" vertical="center"/>
    </xf>
    <xf numFmtId="0" fontId="8" fillId="20" borderId="4" xfId="0" applyFont="1" applyFill="1" applyBorder="1" applyAlignment="1">
      <alignment horizontal="center" vertical="center" wrapText="1"/>
    </xf>
    <xf numFmtId="2" fontId="0" fillId="0" borderId="4" xfId="0" applyNumberFormat="1" applyBorder="1" applyAlignment="1">
      <alignment horizontal="center"/>
    </xf>
    <xf numFmtId="0" fontId="0" fillId="0" borderId="0" xfId="0" applyAlignment="1">
      <alignment horizontal="center" vertical="center" wrapText="1"/>
    </xf>
    <xf numFmtId="0" fontId="0" fillId="0" borderId="0" xfId="0" applyAlignment="1">
      <alignment wrapText="1"/>
    </xf>
    <xf numFmtId="0" fontId="0" fillId="0" borderId="4" xfId="0" applyBorder="1" applyAlignment="1">
      <alignment horizontal="center" vertical="center"/>
    </xf>
    <xf numFmtId="2" fontId="0" fillId="0" borderId="4" xfId="0" applyNumberFormat="1" applyBorder="1" applyAlignment="1">
      <alignment horizontal="center" vertical="center"/>
    </xf>
    <xf numFmtId="3" fontId="0" fillId="19" borderId="4" xfId="0" applyNumberFormat="1" applyFill="1" applyBorder="1" applyAlignment="1">
      <alignment horizontal="center" vertical="center"/>
    </xf>
    <xf numFmtId="0" fontId="25" fillId="0" borderId="0" xfId="0" applyFont="1" applyAlignment="1">
      <alignment vertical="center"/>
    </xf>
    <xf numFmtId="4" fontId="4" fillId="7" borderId="1" xfId="0" applyNumberFormat="1" applyFont="1" applyFill="1" applyBorder="1" applyAlignment="1">
      <alignment horizontal="center" vertical="center" wrapText="1"/>
    </xf>
    <xf numFmtId="4" fontId="25" fillId="0" borderId="0" xfId="0" applyNumberFormat="1" applyFont="1" applyAlignment="1">
      <alignment horizontal="center" vertical="center"/>
    </xf>
    <xf numFmtId="2" fontId="4" fillId="7" borderId="1" xfId="0" applyNumberFormat="1" applyFont="1" applyFill="1" applyBorder="1" applyAlignment="1">
      <alignment horizontal="center" vertical="center" wrapText="1"/>
    </xf>
    <xf numFmtId="2" fontId="25" fillId="0" borderId="0" xfId="0" applyNumberFormat="1" applyFont="1" applyAlignment="1">
      <alignment horizontal="center" vertical="center"/>
    </xf>
    <xf numFmtId="1" fontId="4" fillId="7" borderId="1" xfId="0" applyNumberFormat="1" applyFont="1" applyFill="1" applyBorder="1" applyAlignment="1">
      <alignment horizontal="center" vertical="center" wrapText="1"/>
    </xf>
    <xf numFmtId="10" fontId="4" fillId="7" borderId="1" xfId="3" applyNumberFormat="1" applyFont="1" applyFill="1" applyBorder="1" applyAlignment="1">
      <alignment horizontal="center" vertical="center" wrapText="1"/>
    </xf>
    <xf numFmtId="0" fontId="15" fillId="3" borderId="13" xfId="0" applyFont="1" applyFill="1" applyBorder="1" applyAlignment="1">
      <alignment horizontal="left" vertical="center" wrapText="1" indent="1"/>
    </xf>
    <xf numFmtId="166" fontId="4" fillId="7" borderId="1" xfId="3" applyNumberFormat="1" applyFont="1" applyFill="1" applyBorder="1" applyAlignment="1">
      <alignment horizontal="center" vertical="center" wrapText="1"/>
    </xf>
    <xf numFmtId="166" fontId="25" fillId="0" borderId="0" xfId="3" applyNumberFormat="1" applyFont="1" applyAlignment="1">
      <alignment horizontal="center" vertical="center"/>
    </xf>
    <xf numFmtId="9" fontId="0" fillId="0" borderId="0" xfId="0" applyNumberFormat="1" applyAlignment="1">
      <alignment vertical="center"/>
    </xf>
    <xf numFmtId="0" fontId="25" fillId="0" borderId="0" xfId="0" applyFont="1" applyAlignment="1">
      <alignment horizontal="center" vertical="center"/>
    </xf>
    <xf numFmtId="166" fontId="0" fillId="0" borderId="0" xfId="0" applyNumberFormat="1" applyAlignment="1">
      <alignment vertical="center"/>
    </xf>
    <xf numFmtId="2" fontId="4" fillId="7" borderId="1" xfId="3" applyNumberFormat="1" applyFont="1" applyFill="1" applyBorder="1" applyAlignment="1">
      <alignment horizontal="center" vertical="center" wrapText="1"/>
    </xf>
    <xf numFmtId="2" fontId="25" fillId="0" borderId="0" xfId="3" applyNumberFormat="1" applyFont="1" applyAlignment="1">
      <alignment horizontal="center" vertical="center"/>
    </xf>
    <xf numFmtId="10" fontId="25" fillId="0" borderId="0" xfId="3" applyNumberFormat="1" applyFont="1" applyAlignment="1">
      <alignment horizontal="center" vertical="center"/>
    </xf>
    <xf numFmtId="4" fontId="3" fillId="7" borderId="1" xfId="0" applyNumberFormat="1" applyFont="1" applyFill="1" applyBorder="1" applyAlignment="1">
      <alignment horizontal="center" vertical="center" wrapText="1"/>
    </xf>
    <xf numFmtId="2" fontId="3" fillId="7" borderId="1" xfId="0" applyNumberFormat="1" applyFont="1" applyFill="1" applyBorder="1" applyAlignment="1">
      <alignment horizontal="center" vertical="center" wrapText="1"/>
    </xf>
    <xf numFmtId="3" fontId="25" fillId="0" borderId="0" xfId="2" applyNumberFormat="1" applyFont="1" applyAlignment="1">
      <alignment horizontal="center" vertical="center"/>
    </xf>
    <xf numFmtId="3" fontId="25" fillId="0" borderId="0" xfId="0" applyNumberFormat="1" applyFont="1" applyAlignment="1">
      <alignment horizontal="center" vertical="center"/>
    </xf>
    <xf numFmtId="0" fontId="2" fillId="6" borderId="15" xfId="0" applyFont="1" applyFill="1" applyBorder="1" applyAlignment="1">
      <alignment horizontal="center" vertical="center" wrapText="1"/>
    </xf>
    <xf numFmtId="10" fontId="0" fillId="0" borderId="0" xfId="0" applyNumberFormat="1" applyAlignment="1">
      <alignment vertical="center"/>
    </xf>
    <xf numFmtId="10" fontId="0" fillId="0" borderId="0" xfId="3" applyNumberFormat="1" applyFont="1" applyAlignment="1">
      <alignment vertical="center"/>
    </xf>
    <xf numFmtId="9" fontId="0" fillId="0" borderId="0" xfId="0" applyNumberFormat="1"/>
    <xf numFmtId="0" fontId="3" fillId="11"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6" fillId="0" borderId="0" xfId="1"/>
    <xf numFmtId="49" fontId="0" fillId="0" borderId="0" xfId="0" applyNumberFormat="1" applyAlignment="1">
      <alignment vertical="top"/>
    </xf>
    <xf numFmtId="164" fontId="0" fillId="0" borderId="0" xfId="2" applyNumberFormat="1" applyFont="1" applyAlignment="1" applyProtection="1">
      <alignment vertical="top"/>
      <protection locked="0"/>
    </xf>
    <xf numFmtId="167" fontId="0" fillId="0" borderId="0" xfId="0" applyNumberFormat="1" applyAlignment="1">
      <alignment vertical="top"/>
    </xf>
    <xf numFmtId="2" fontId="0" fillId="0" borderId="0" xfId="0" applyNumberFormat="1"/>
    <xf numFmtId="2" fontId="0" fillId="0" borderId="0" xfId="0" applyNumberFormat="1" applyAlignment="1">
      <alignment vertical="top"/>
    </xf>
    <xf numFmtId="0" fontId="0" fillId="0" borderId="0" xfId="0" applyAlignment="1">
      <alignment vertical="top"/>
    </xf>
    <xf numFmtId="9" fontId="4" fillId="11" borderId="1" xfId="0" applyNumberFormat="1" applyFont="1" applyFill="1" applyBorder="1" applyAlignment="1">
      <alignment horizontal="center" vertical="center" wrapText="1"/>
    </xf>
    <xf numFmtId="10" fontId="4" fillId="11" borderId="1" xfId="0" applyNumberFormat="1" applyFont="1" applyFill="1" applyBorder="1" applyAlignment="1">
      <alignment horizontal="center" vertical="center" wrapText="1"/>
    </xf>
    <xf numFmtId="3" fontId="4" fillId="11" borderId="1" xfId="0" applyNumberFormat="1" applyFont="1" applyFill="1" applyBorder="1" applyAlignment="1">
      <alignment horizontal="center" vertical="center" wrapText="1"/>
    </xf>
    <xf numFmtId="4" fontId="4" fillId="11" borderId="1" xfId="0" applyNumberFormat="1" applyFont="1" applyFill="1" applyBorder="1" applyAlignment="1">
      <alignment horizontal="center" vertical="center" wrapText="1"/>
    </xf>
    <xf numFmtId="9" fontId="4" fillId="11" borderId="1" xfId="3" applyFont="1" applyFill="1" applyBorder="1" applyAlignment="1">
      <alignment horizontal="center" vertical="center" wrapText="1"/>
    </xf>
    <xf numFmtId="166" fontId="4" fillId="11" borderId="1" xfId="3" applyNumberFormat="1" applyFont="1" applyFill="1" applyBorder="1" applyAlignment="1">
      <alignment horizontal="center" vertical="center" wrapText="1"/>
    </xf>
    <xf numFmtId="1" fontId="4" fillId="3" borderId="1" xfId="0"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3" fillId="9"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3" fontId="4" fillId="11" borderId="1" xfId="3" applyNumberFormat="1" applyFont="1" applyFill="1" applyBorder="1" applyAlignment="1">
      <alignment horizontal="center" vertical="center" wrapText="1"/>
    </xf>
    <xf numFmtId="3" fontId="4" fillId="11" borderId="1" xfId="3" applyNumberFormat="1" applyFont="1" applyFill="1" applyBorder="1" applyAlignment="1">
      <alignment horizontal="left" vertical="center" wrapText="1"/>
    </xf>
    <xf numFmtId="3" fontId="4" fillId="0" borderId="1" xfId="3" applyNumberFormat="1" applyFont="1" applyFill="1" applyBorder="1" applyAlignment="1">
      <alignment horizontal="left" vertical="center" wrapText="1"/>
    </xf>
    <xf numFmtId="4" fontId="4" fillId="11" borderId="1" xfId="3" applyNumberFormat="1" applyFont="1" applyFill="1" applyBorder="1" applyAlignment="1">
      <alignment horizontal="center" vertical="center" wrapText="1"/>
    </xf>
    <xf numFmtId="169" fontId="4" fillId="0" borderId="1" xfId="3" applyNumberFormat="1" applyFont="1" applyFill="1" applyBorder="1" applyAlignment="1">
      <alignment horizontal="center" vertical="center" wrapText="1"/>
    </xf>
    <xf numFmtId="4" fontId="4" fillId="0" borderId="1" xfId="3" applyNumberFormat="1" applyFont="1" applyFill="1" applyBorder="1" applyAlignment="1">
      <alignment horizontal="center" vertical="center" wrapText="1"/>
    </xf>
    <xf numFmtId="168" fontId="4" fillId="0" borderId="1" xfId="0" applyNumberFormat="1" applyFont="1" applyBorder="1" applyAlignment="1">
      <alignment horizontal="center" vertical="center" wrapText="1"/>
    </xf>
    <xf numFmtId="168" fontId="4" fillId="5" borderId="1" xfId="0" applyNumberFormat="1"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9" fontId="4" fillId="3" borderId="1" xfId="3" applyFont="1" applyFill="1" applyBorder="1" applyAlignment="1">
      <alignment horizontal="center" vertical="center" wrapText="1"/>
    </xf>
    <xf numFmtId="9" fontId="4" fillId="0" borderId="1" xfId="3" applyFont="1" applyBorder="1" applyAlignment="1">
      <alignment horizontal="center" vertical="center" wrapText="1"/>
    </xf>
    <xf numFmtId="9" fontId="4" fillId="0" borderId="1" xfId="3" applyFont="1" applyFill="1" applyBorder="1" applyAlignment="1">
      <alignment horizontal="center" vertical="center" wrapText="1"/>
    </xf>
    <xf numFmtId="9" fontId="4" fillId="5" borderId="1" xfId="3" applyFont="1" applyFill="1" applyBorder="1" applyAlignment="1">
      <alignment horizontal="center" vertical="center" wrapText="1"/>
    </xf>
    <xf numFmtId="168" fontId="4" fillId="7" borderId="1" xfId="0" applyNumberFormat="1" applyFont="1" applyFill="1" applyBorder="1" applyAlignment="1">
      <alignment horizontal="center" vertical="center" wrapText="1"/>
    </xf>
    <xf numFmtId="9" fontId="4" fillId="7" borderId="1" xfId="3" applyFont="1" applyFill="1" applyBorder="1" applyAlignment="1">
      <alignment horizontal="center" vertical="center" wrapText="1"/>
    </xf>
    <xf numFmtId="168" fontId="4" fillId="11" borderId="1" xfId="0" applyNumberFormat="1" applyFont="1" applyFill="1" applyBorder="1" applyAlignment="1">
      <alignment horizontal="center" vertical="center" wrapText="1"/>
    </xf>
    <xf numFmtId="0" fontId="2" fillId="23" borderId="1" xfId="0" applyFont="1" applyFill="1" applyBorder="1" applyAlignment="1">
      <alignment horizontal="center" vertical="center" wrapText="1"/>
    </xf>
    <xf numFmtId="9" fontId="4" fillId="9" borderId="1" xfId="3" applyFont="1" applyFill="1" applyBorder="1" applyAlignment="1">
      <alignment horizontal="center" vertical="center" wrapText="1"/>
    </xf>
    <xf numFmtId="3" fontId="4" fillId="0" borderId="1" xfId="3" applyNumberFormat="1" applyFont="1" applyFill="1" applyBorder="1" applyAlignment="1">
      <alignment horizontal="center" vertical="center" wrapText="1"/>
    </xf>
    <xf numFmtId="1" fontId="4" fillId="9" borderId="1" xfId="0" applyNumberFormat="1" applyFont="1" applyFill="1" applyBorder="1" applyAlignment="1">
      <alignment horizontal="center" vertical="center" wrapText="1"/>
    </xf>
    <xf numFmtId="0" fontId="27" fillId="0" borderId="0" xfId="0" applyFont="1" applyAlignment="1">
      <alignment vertical="center"/>
    </xf>
    <xf numFmtId="168" fontId="0" fillId="0" borderId="0" xfId="0" applyNumberFormat="1" applyAlignment="1">
      <alignment vertical="center"/>
    </xf>
    <xf numFmtId="168" fontId="25" fillId="0" borderId="15" xfId="0" applyNumberFormat="1" applyFont="1" applyBorder="1" applyAlignment="1">
      <alignment horizontal="center" vertical="center"/>
    </xf>
    <xf numFmtId="3" fontId="3" fillId="0" borderId="1" xfId="3" applyNumberFormat="1" applyFont="1" applyFill="1" applyBorder="1" applyAlignment="1">
      <alignment horizontal="left" vertical="center" wrapText="1"/>
    </xf>
    <xf numFmtId="2" fontId="4" fillId="9" borderId="1" xfId="3" applyNumberFormat="1" applyFont="1" applyFill="1" applyBorder="1" applyAlignment="1">
      <alignment horizontal="center" vertical="center" wrapText="1"/>
    </xf>
    <xf numFmtId="2" fontId="4" fillId="0" borderId="1" xfId="3" applyNumberFormat="1" applyFont="1" applyFill="1" applyBorder="1" applyAlignment="1">
      <alignment horizontal="center" vertical="center" wrapText="1"/>
    </xf>
    <xf numFmtId="1" fontId="4" fillId="9" borderId="1" xfId="3" applyNumberFormat="1" applyFont="1" applyFill="1" applyBorder="1" applyAlignment="1">
      <alignment horizontal="center" vertical="center" wrapText="1"/>
    </xf>
    <xf numFmtId="1" fontId="4" fillId="0" borderId="1" xfId="3" applyNumberFormat="1" applyFont="1" applyFill="1" applyBorder="1" applyAlignment="1">
      <alignment horizontal="center" vertical="center" wrapText="1"/>
    </xf>
    <xf numFmtId="0" fontId="28" fillId="0" borderId="1" xfId="0" applyFont="1" applyBorder="1" applyAlignment="1">
      <alignment horizontal="left" vertical="center" wrapText="1"/>
    </xf>
    <xf numFmtId="0" fontId="28" fillId="9" borderId="1" xfId="0" applyFont="1" applyFill="1" applyBorder="1" applyAlignment="1">
      <alignment horizontal="left" vertical="center" wrapText="1"/>
    </xf>
    <xf numFmtId="169" fontId="4" fillId="11" borderId="1" xfId="0" applyNumberFormat="1" applyFont="1" applyFill="1" applyBorder="1" applyAlignment="1">
      <alignment horizontal="center" vertical="center" wrapText="1"/>
    </xf>
    <xf numFmtId="9" fontId="4" fillId="9" borderId="1" xfId="0" applyNumberFormat="1" applyFont="1" applyFill="1" applyBorder="1" applyAlignment="1">
      <alignment horizontal="center" vertical="center" wrapText="1"/>
    </xf>
    <xf numFmtId="168" fontId="25" fillId="0" borderId="0" xfId="0" applyNumberFormat="1" applyFont="1" applyAlignment="1">
      <alignment horizontal="center" vertical="center"/>
    </xf>
    <xf numFmtId="2" fontId="4" fillId="9" borderId="1" xfId="0" applyNumberFormat="1" applyFont="1" applyFill="1" applyBorder="1" applyAlignment="1">
      <alignment horizontal="center" vertical="center" wrapText="1"/>
    </xf>
    <xf numFmtId="0" fontId="4" fillId="9" borderId="8" xfId="0" applyFont="1" applyFill="1" applyBorder="1" applyAlignment="1">
      <alignment horizontal="center" vertical="center" wrapText="1"/>
    </xf>
    <xf numFmtId="0" fontId="4" fillId="9" borderId="0" xfId="0" applyFont="1" applyFill="1" applyAlignment="1">
      <alignment horizontal="center" vertical="center" wrapText="1"/>
    </xf>
    <xf numFmtId="1" fontId="0" fillId="0" borderId="0" xfId="0" applyNumberFormat="1" applyAlignment="1">
      <alignment horizontal="center"/>
    </xf>
    <xf numFmtId="3" fontId="0" fillId="0" borderId="0" xfId="2" applyNumberFormat="1" applyFont="1" applyAlignment="1">
      <alignment horizontal="center" vertical="center"/>
    </xf>
    <xf numFmtId="3" fontId="0" fillId="0" borderId="0" xfId="2" applyNumberFormat="1" applyFont="1" applyAlignment="1">
      <alignment horizontal="center"/>
    </xf>
    <xf numFmtId="9" fontId="0" fillId="0" borderId="0" xfId="3" applyFont="1" applyAlignment="1">
      <alignment horizontal="center"/>
    </xf>
    <xf numFmtId="9" fontId="0" fillId="0" borderId="0" xfId="0" applyNumberFormat="1" applyAlignment="1">
      <alignment horizontal="center"/>
    </xf>
    <xf numFmtId="4" fontId="0" fillId="0" borderId="0" xfId="0" applyNumberFormat="1" applyAlignment="1">
      <alignment horizontal="center"/>
    </xf>
    <xf numFmtId="3" fontId="0" fillId="0" borderId="0" xfId="0" applyNumberFormat="1" applyAlignment="1">
      <alignment horizontal="center"/>
    </xf>
    <xf numFmtId="0" fontId="21" fillId="0" borderId="0" xfId="0" applyFont="1" applyAlignment="1">
      <alignment vertical="center"/>
    </xf>
    <xf numFmtId="1" fontId="4" fillId="11" borderId="1" xfId="0" applyNumberFormat="1" applyFont="1" applyFill="1" applyBorder="1" applyAlignment="1">
      <alignment horizontal="center" vertical="center" wrapText="1"/>
    </xf>
    <xf numFmtId="3" fontId="4" fillId="9" borderId="1" xfId="0" applyNumberFormat="1" applyFont="1" applyFill="1" applyBorder="1" applyAlignment="1">
      <alignment horizontal="center" vertical="center" wrapText="1"/>
    </xf>
    <xf numFmtId="0" fontId="26" fillId="20" borderId="0" xfId="0" applyFont="1" applyFill="1" applyAlignment="1" applyProtection="1">
      <alignment vertical="top"/>
      <protection locked="0"/>
    </xf>
    <xf numFmtId="0" fontId="26" fillId="20" borderId="0" xfId="0" applyFont="1" applyFill="1" applyAlignment="1" applyProtection="1">
      <alignment horizontal="right" vertical="top"/>
      <protection locked="0"/>
    </xf>
    <xf numFmtId="2" fontId="0" fillId="0" borderId="0" xfId="0" applyNumberFormat="1" applyAlignment="1">
      <alignment horizontal="center" vertical="center"/>
    </xf>
    <xf numFmtId="1" fontId="0" fillId="0" borderId="0" xfId="0" applyNumberFormat="1" applyAlignment="1">
      <alignment horizontal="center" vertical="center"/>
    </xf>
    <xf numFmtId="0" fontId="8" fillId="0" borderId="0" xfId="0" applyFont="1" applyAlignment="1">
      <alignment wrapText="1"/>
    </xf>
    <xf numFmtId="3" fontId="0" fillId="0" borderId="0" xfId="0" applyNumberFormat="1" applyAlignment="1">
      <alignment horizontal="center" vertical="center"/>
    </xf>
    <xf numFmtId="3" fontId="30" fillId="0" borderId="0" xfId="0" applyNumberFormat="1" applyFont="1" applyAlignment="1" applyProtection="1">
      <alignment horizontal="center" vertical="top"/>
      <protection locked="0"/>
    </xf>
    <xf numFmtId="2" fontId="0" fillId="0" borderId="0" xfId="0" applyNumberFormat="1" applyAlignment="1">
      <alignment horizontal="center" vertical="center" wrapText="1"/>
    </xf>
    <xf numFmtId="0" fontId="30" fillId="0" borderId="0" xfId="0" applyFont="1" applyAlignment="1">
      <alignment horizontal="center" vertical="center"/>
    </xf>
    <xf numFmtId="0" fontId="26" fillId="20" borderId="0" xfId="0" applyFont="1" applyFill="1" applyAlignment="1">
      <alignment horizontal="center" vertical="center" wrapText="1"/>
    </xf>
    <xf numFmtId="2" fontId="26" fillId="20" borderId="0" xfId="0" applyNumberFormat="1" applyFont="1" applyFill="1" applyAlignment="1">
      <alignment horizontal="center" vertical="center" wrapText="1"/>
    </xf>
    <xf numFmtId="1" fontId="26" fillId="20" borderId="0" xfId="0" applyNumberFormat="1" applyFont="1" applyFill="1" applyAlignment="1">
      <alignment horizontal="center" vertical="center" wrapText="1"/>
    </xf>
    <xf numFmtId="0" fontId="26" fillId="20" borderId="0" xfId="0" applyFont="1" applyFill="1" applyAlignment="1">
      <alignment horizontal="center" vertical="center"/>
    </xf>
    <xf numFmtId="2" fontId="26" fillId="20" borderId="0" xfId="0" applyNumberFormat="1" applyFont="1" applyFill="1" applyAlignment="1">
      <alignment horizontal="center" vertical="center"/>
    </xf>
    <xf numFmtId="1" fontId="26" fillId="20" borderId="0" xfId="0" applyNumberFormat="1" applyFont="1" applyFill="1" applyAlignment="1">
      <alignment horizontal="center" vertical="center"/>
    </xf>
    <xf numFmtId="0" fontId="8" fillId="20" borderId="0" xfId="0" applyFont="1" applyFill="1" applyAlignment="1">
      <alignment horizontal="center" vertical="center" wrapText="1"/>
    </xf>
    <xf numFmtId="10" fontId="0" fillId="0" borderId="4" xfId="3" applyNumberFormat="1" applyFont="1" applyBorder="1" applyAlignment="1">
      <alignment horizontal="center"/>
    </xf>
    <xf numFmtId="0" fontId="18" fillId="15" borderId="1" xfId="0" applyFont="1" applyFill="1" applyBorder="1" applyAlignment="1">
      <alignment horizontal="left" vertical="center" wrapText="1" indent="1"/>
    </xf>
    <xf numFmtId="169" fontId="15" fillId="0" borderId="1" xfId="0" applyNumberFormat="1" applyFont="1" applyBorder="1" applyAlignment="1">
      <alignment horizontal="center" vertical="center" wrapText="1"/>
    </xf>
    <xf numFmtId="3" fontId="15" fillId="3" borderId="1" xfId="0" applyNumberFormat="1" applyFont="1" applyFill="1" applyBorder="1" applyAlignment="1">
      <alignment horizontal="center" vertical="center" wrapText="1"/>
    </xf>
    <xf numFmtId="3" fontId="15" fillId="0" borderId="1" xfId="0" applyNumberFormat="1" applyFont="1" applyBorder="1" applyAlignment="1">
      <alignment horizontal="center" vertical="center" wrapText="1"/>
    </xf>
    <xf numFmtId="3" fontId="18" fillId="0" borderId="1" xfId="0" applyNumberFormat="1" applyFont="1" applyBorder="1" applyAlignment="1">
      <alignment horizontal="center" vertical="center" wrapText="1"/>
    </xf>
    <xf numFmtId="3" fontId="15" fillId="15" borderId="1" xfId="0" applyNumberFormat="1"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1" fontId="15" fillId="0" borderId="1" xfId="0" applyNumberFormat="1" applyFont="1" applyBorder="1" applyAlignment="1">
      <alignment horizontal="center" vertical="center" wrapText="1"/>
    </xf>
    <xf numFmtId="1" fontId="15" fillId="15" borderId="1" xfId="0" applyNumberFormat="1" applyFont="1" applyFill="1" applyBorder="1" applyAlignment="1">
      <alignment horizontal="center" vertical="center" wrapText="1"/>
    </xf>
    <xf numFmtId="1" fontId="18" fillId="3" borderId="1" xfId="0" applyNumberFormat="1" applyFont="1" applyFill="1" applyBorder="1" applyAlignment="1">
      <alignment horizontal="center" vertical="center" wrapText="1"/>
    </xf>
    <xf numFmtId="0" fontId="3" fillId="15" borderId="1" xfId="0" applyFont="1" applyFill="1" applyBorder="1" applyAlignment="1">
      <alignment horizontal="left" vertical="center" wrapText="1"/>
    </xf>
    <xf numFmtId="0" fontId="4" fillId="15" borderId="1" xfId="0" applyFont="1" applyFill="1" applyBorder="1" applyAlignment="1">
      <alignment horizontal="center" vertical="center" wrapText="1"/>
    </xf>
    <xf numFmtId="1" fontId="4" fillId="15" borderId="1" xfId="0" applyNumberFormat="1" applyFont="1" applyFill="1" applyBorder="1" applyAlignment="1">
      <alignment horizontal="center" vertical="center" wrapText="1"/>
    </xf>
    <xf numFmtId="9" fontId="4" fillId="15" borderId="1" xfId="3" applyFont="1" applyFill="1" applyBorder="1" applyAlignment="1">
      <alignment horizontal="center" vertical="center" wrapText="1"/>
    </xf>
    <xf numFmtId="2" fontId="4" fillId="15" borderId="1" xfId="0" applyNumberFormat="1" applyFont="1" applyFill="1" applyBorder="1" applyAlignment="1">
      <alignment horizontal="center" vertical="center" wrapText="1"/>
    </xf>
    <xf numFmtId="3" fontId="4" fillId="5" borderId="1" xfId="0" applyNumberFormat="1" applyFont="1" applyFill="1" applyBorder="1" applyAlignment="1">
      <alignment horizontal="center" vertical="center" wrapText="1"/>
    </xf>
    <xf numFmtId="9" fontId="4" fillId="5" borderId="7" xfId="3" applyFont="1" applyFill="1" applyBorder="1" applyAlignment="1">
      <alignment horizontal="center" vertical="center" wrapText="1"/>
    </xf>
    <xf numFmtId="9" fontId="4" fillId="5" borderId="7" xfId="3" applyFont="1" applyFill="1" applyBorder="1" applyAlignment="1">
      <alignment vertical="center" wrapText="1"/>
    </xf>
    <xf numFmtId="4" fontId="4" fillId="0" borderId="1" xfId="2" applyNumberFormat="1" applyFont="1" applyBorder="1" applyAlignment="1">
      <alignment horizontal="center" vertical="center" wrapText="1"/>
    </xf>
    <xf numFmtId="0" fontId="2" fillId="22" borderId="9" xfId="0" applyFont="1" applyFill="1" applyBorder="1" applyAlignment="1">
      <alignment horizontal="center" vertical="center" wrapText="1"/>
    </xf>
    <xf numFmtId="0" fontId="1" fillId="10" borderId="0" xfId="0" applyFont="1" applyFill="1" applyAlignment="1">
      <alignment horizontal="center" vertical="center" wrapText="1"/>
    </xf>
    <xf numFmtId="0" fontId="0" fillId="0" borderId="0" xfId="0" applyAlignment="1">
      <alignment vertical="center"/>
    </xf>
    <xf numFmtId="0" fontId="2" fillId="12" borderId="5"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2" fillId="12" borderId="7"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1" fillId="23" borderId="7" xfId="0" applyFont="1" applyFill="1" applyBorder="1" applyAlignment="1">
      <alignment horizontal="center" vertical="center" wrapText="1"/>
    </xf>
    <xf numFmtId="0" fontId="1" fillId="23" borderId="2" xfId="0" applyFont="1" applyFill="1" applyBorder="1" applyAlignment="1">
      <alignment horizontal="center" vertical="center" wrapText="1"/>
    </xf>
    <xf numFmtId="0" fontId="1" fillId="10" borderId="7"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23" fillId="18" borderId="0" xfId="0" applyFont="1" applyFill="1" applyAlignment="1">
      <alignment horizontal="center" vertical="center" wrapText="1"/>
    </xf>
    <xf numFmtId="0" fontId="0" fillId="18" borderId="0" xfId="0" applyFill="1" applyAlignment="1">
      <alignment vertical="center"/>
    </xf>
    <xf numFmtId="0" fontId="1" fillId="2" borderId="0" xfId="0" applyFont="1" applyFill="1" applyAlignment="1">
      <alignment horizontal="center" vertical="center" wrapText="1"/>
    </xf>
    <xf numFmtId="0" fontId="1" fillId="17" borderId="0" xfId="0" applyFont="1" applyFill="1" applyAlignment="1">
      <alignment horizontal="center" vertical="center" wrapText="1"/>
    </xf>
    <xf numFmtId="0" fontId="24" fillId="0" borderId="0" xfId="0" applyFont="1" applyAlignment="1">
      <alignment horizontal="center" vertical="center" wrapText="1"/>
    </xf>
    <xf numFmtId="0" fontId="1" fillId="6" borderId="7"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3" fillId="2" borderId="0" xfId="0" applyFont="1" applyFill="1" applyAlignment="1">
      <alignment horizontal="center" vertical="center" wrapText="1"/>
    </xf>
    <xf numFmtId="0" fontId="2" fillId="13" borderId="0" xfId="0" applyFont="1" applyFill="1" applyAlignment="1">
      <alignment horizontal="center" vertical="center" wrapText="1"/>
    </xf>
    <xf numFmtId="0" fontId="0" fillId="0" borderId="0" xfId="0"/>
    <xf numFmtId="0" fontId="2"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7" fillId="13"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9" xfId="0" applyFont="1" applyFill="1" applyBorder="1" applyAlignment="1">
      <alignment horizontal="center" vertical="center" wrapText="1"/>
    </xf>
    <xf numFmtId="0" fontId="29" fillId="0" borderId="15" xfId="0" applyFont="1" applyBorder="1" applyAlignment="1">
      <alignment horizontal="left" vertical="center" wrapText="1"/>
    </xf>
    <xf numFmtId="0" fontId="14" fillId="14" borderId="0" xfId="0" applyFont="1" applyFill="1" applyAlignment="1">
      <alignment horizontal="left" vertical="center" wrapText="1"/>
    </xf>
    <xf numFmtId="0" fontId="2" fillId="13" borderId="9" xfId="0" applyFont="1" applyFill="1" applyBorder="1" applyAlignment="1">
      <alignment horizontal="center" vertical="center" wrapText="1"/>
    </xf>
    <xf numFmtId="0" fontId="17" fillId="13" borderId="9" xfId="0" applyFont="1" applyFill="1" applyBorder="1" applyAlignment="1">
      <alignment horizontal="center" vertical="center" wrapText="1"/>
    </xf>
    <xf numFmtId="0" fontId="2" fillId="16" borderId="9" xfId="0" applyFont="1" applyFill="1" applyBorder="1" applyAlignment="1">
      <alignment horizontal="center" vertical="center" wrapText="1"/>
    </xf>
    <xf numFmtId="0" fontId="2" fillId="17" borderId="7" xfId="0" applyFont="1" applyFill="1" applyBorder="1" applyAlignment="1">
      <alignment horizontal="center" vertical="center" wrapText="1"/>
    </xf>
    <xf numFmtId="0" fontId="2" fillId="17" borderId="2" xfId="0" applyFont="1" applyFill="1" applyBorder="1" applyAlignment="1">
      <alignment horizontal="center" vertical="center" wrapText="1"/>
    </xf>
    <xf numFmtId="0" fontId="2" fillId="17" borderId="3" xfId="0" applyFont="1" applyFill="1" applyBorder="1" applyAlignment="1">
      <alignment horizontal="center" vertical="center" wrapText="1"/>
    </xf>
    <xf numFmtId="0" fontId="2" fillId="17" borderId="5" xfId="0" applyFont="1" applyFill="1" applyBorder="1" applyAlignment="1">
      <alignment horizontal="center" vertical="center" wrapText="1"/>
    </xf>
    <xf numFmtId="0" fontId="2" fillId="17" borderId="14" xfId="0" applyFont="1" applyFill="1" applyBorder="1" applyAlignment="1">
      <alignment horizontal="center" vertical="center" wrapText="1"/>
    </xf>
    <xf numFmtId="0" fontId="1" fillId="4" borderId="0" xfId="0" applyFont="1" applyFill="1" applyAlignment="1">
      <alignment horizontal="center" vertical="center" wrapText="1"/>
    </xf>
    <xf numFmtId="0" fontId="1" fillId="6" borderId="0" xfId="0" applyFont="1" applyFill="1" applyAlignment="1">
      <alignment horizontal="center" vertical="center" wrapText="1"/>
    </xf>
    <xf numFmtId="0" fontId="2" fillId="21" borderId="9"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6" borderId="2" xfId="0" applyFont="1" applyFill="1" applyBorder="1" applyAlignment="1">
      <alignment horizontal="center" vertical="center" wrapText="1"/>
    </xf>
    <xf numFmtId="0" fontId="2" fillId="24" borderId="9" xfId="0" applyFont="1" applyFill="1" applyBorder="1" applyAlignment="1">
      <alignment horizontal="center" vertical="center" wrapText="1"/>
    </xf>
    <xf numFmtId="0" fontId="1" fillId="8" borderId="0" xfId="0" applyFont="1" applyFill="1" applyAlignment="1">
      <alignment horizontal="center" vertical="center" wrapText="1"/>
    </xf>
    <xf numFmtId="0" fontId="2" fillId="8" borderId="8" xfId="0" applyFont="1" applyFill="1" applyBorder="1" applyAlignment="1">
      <alignment horizontal="center" vertical="center" wrapText="1"/>
    </xf>
    <xf numFmtId="0" fontId="2" fillId="8" borderId="0" xfId="0" applyFont="1" applyFill="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168" fontId="4" fillId="0" borderId="1" xfId="3" applyNumberFormat="1" applyFont="1" applyFill="1" applyBorder="1" applyAlignment="1">
      <alignment horizontal="center" vertical="center" wrapText="1"/>
    </xf>
    <xf numFmtId="0" fontId="17" fillId="13" borderId="15" xfId="0" applyFont="1" applyFill="1" applyBorder="1" applyAlignment="1">
      <alignment horizontal="center" vertical="center" wrapText="1"/>
    </xf>
  </cellXfs>
  <cellStyles count="4">
    <cellStyle name="Comma" xfId="2" builtinId="3"/>
    <cellStyle name="Hyperlink" xfId="1" builtinId="8"/>
    <cellStyle name="Normal" xfId="0" builtinId="0"/>
    <cellStyle name="Percent" xfId="3" builtinId="5"/>
  </cellStyles>
  <dxfs count="0"/>
  <tableStyles count="0" defaultTableStyle="TableStyleMedium9" defaultPivotStyle="PivotStyleLight16"/>
  <colors>
    <mruColors>
      <color rgb="FF00334C"/>
      <color rgb="FF006699"/>
      <color rgb="FF004442"/>
      <color rgb="FF008080"/>
      <color rgb="FF004240"/>
      <color rgb="FF004A48"/>
      <color rgb="FF006666"/>
      <color rgb="FF003366"/>
      <color rgb="FFAC5208"/>
      <color rgb="FF4080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Indonesia Historical Net GHG Emission and Future Projection in 2050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720625546806649"/>
          <c:y val="0.19486111111111112"/>
          <c:w val="0.82834930008748908"/>
          <c:h val="0.72088764946048411"/>
        </c:manualLayout>
      </c:layout>
      <c:lineChart>
        <c:grouping val="standard"/>
        <c:varyColors val="0"/>
        <c:ser>
          <c:idx val="0"/>
          <c:order val="0"/>
          <c:tx>
            <c:v>Historical GHG emission</c:v>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'Wedge Scale'!$B$10:$L$10</c:f>
              <c:numCache>
                <c:formatCode>General</c:formatCode>
                <c:ptCount val="11"/>
                <c:pt idx="0">
                  <c:v>2000</c:v>
                </c:pt>
                <c:pt idx="1">
                  <c:v>2005</c:v>
                </c:pt>
                <c:pt idx="2">
                  <c:v>2010</c:v>
                </c:pt>
                <c:pt idx="3">
                  <c:v>2015</c:v>
                </c:pt>
                <c:pt idx="4">
                  <c:v>2019</c:v>
                </c:pt>
                <c:pt idx="5">
                  <c:v>2025</c:v>
                </c:pt>
                <c:pt idx="6">
                  <c:v>2030</c:v>
                </c:pt>
                <c:pt idx="7">
                  <c:v>2035</c:v>
                </c:pt>
                <c:pt idx="8">
                  <c:v>2040</c:v>
                </c:pt>
                <c:pt idx="9">
                  <c:v>2045</c:v>
                </c:pt>
                <c:pt idx="10">
                  <c:v>2050</c:v>
                </c:pt>
              </c:numCache>
            </c:numRef>
          </c:cat>
          <c:val>
            <c:numRef>
              <c:f>'Wedge Scale'!$B$16:$L$16</c:f>
              <c:numCache>
                <c:formatCode>#,##0</c:formatCode>
                <c:ptCount val="11"/>
                <c:pt idx="0">
                  <c:v>854.50330999999994</c:v>
                </c:pt>
                <c:pt idx="1">
                  <c:v>1307.1153899999999</c:v>
                </c:pt>
                <c:pt idx="2">
                  <c:v>1212.7699700000003</c:v>
                </c:pt>
                <c:pt idx="3">
                  <c:v>2555.8189399999997</c:v>
                </c:pt>
                <c:pt idx="4">
                  <c:v>1787.66786</c:v>
                </c:pt>
              </c:numCache>
            </c:numRef>
          </c:val>
          <c:smooth val="0"/>
          <c:extLst>
            <c:ext xmlns:c16="http://schemas.microsoft.com/office/drawing/2014/chart" uri="{C3380CC4-5D6E-409C-BE32-E72D297353CC}">
              <c16:uniqueId val="{00000000-0850-4048-BFBA-71CE4C755086}"/>
            </c:ext>
          </c:extLst>
        </c:ser>
        <c:ser>
          <c:idx val="1"/>
          <c:order val="1"/>
          <c:tx>
            <c:v>CPOS</c:v>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'Wedge Scale'!$B$10:$L$10</c:f>
              <c:numCache>
                <c:formatCode>General</c:formatCode>
                <c:ptCount val="11"/>
                <c:pt idx="0">
                  <c:v>2000</c:v>
                </c:pt>
                <c:pt idx="1">
                  <c:v>2005</c:v>
                </c:pt>
                <c:pt idx="2">
                  <c:v>2010</c:v>
                </c:pt>
                <c:pt idx="3">
                  <c:v>2015</c:v>
                </c:pt>
                <c:pt idx="4">
                  <c:v>2019</c:v>
                </c:pt>
                <c:pt idx="5">
                  <c:v>2025</c:v>
                </c:pt>
                <c:pt idx="6">
                  <c:v>2030</c:v>
                </c:pt>
                <c:pt idx="7">
                  <c:v>2035</c:v>
                </c:pt>
                <c:pt idx="8">
                  <c:v>2040</c:v>
                </c:pt>
                <c:pt idx="9">
                  <c:v>2045</c:v>
                </c:pt>
                <c:pt idx="10">
                  <c:v>2050</c:v>
                </c:pt>
              </c:numCache>
            </c:numRef>
          </c:cat>
          <c:val>
            <c:numRef>
              <c:f>'Wedge Scale'!$B$17:$L$17</c:f>
              <c:numCache>
                <c:formatCode>#,##0</c:formatCode>
                <c:ptCount val="11"/>
                <c:pt idx="10">
                  <c:v>2454</c:v>
                </c:pt>
              </c:numCache>
            </c:numRef>
          </c:val>
          <c:smooth val="0"/>
          <c:extLst>
            <c:ext xmlns:c16="http://schemas.microsoft.com/office/drawing/2014/chart" uri="{C3380CC4-5D6E-409C-BE32-E72D297353CC}">
              <c16:uniqueId val="{00000001-0850-4048-BFBA-71CE4C755086}"/>
            </c:ext>
          </c:extLst>
        </c:ser>
        <c:ser>
          <c:idx val="2"/>
          <c:order val="2"/>
          <c:tx>
            <c:v>LCCP</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'Wedge Scale'!$B$10:$L$10</c:f>
              <c:numCache>
                <c:formatCode>General</c:formatCode>
                <c:ptCount val="11"/>
                <c:pt idx="0">
                  <c:v>2000</c:v>
                </c:pt>
                <c:pt idx="1">
                  <c:v>2005</c:v>
                </c:pt>
                <c:pt idx="2">
                  <c:v>2010</c:v>
                </c:pt>
                <c:pt idx="3">
                  <c:v>2015</c:v>
                </c:pt>
                <c:pt idx="4">
                  <c:v>2019</c:v>
                </c:pt>
                <c:pt idx="5">
                  <c:v>2025</c:v>
                </c:pt>
                <c:pt idx="6">
                  <c:v>2030</c:v>
                </c:pt>
                <c:pt idx="7">
                  <c:v>2035</c:v>
                </c:pt>
                <c:pt idx="8">
                  <c:v>2040</c:v>
                </c:pt>
                <c:pt idx="9">
                  <c:v>2045</c:v>
                </c:pt>
                <c:pt idx="10">
                  <c:v>2050</c:v>
                </c:pt>
              </c:numCache>
            </c:numRef>
          </c:cat>
          <c:val>
            <c:numRef>
              <c:f>'Wedge Scale'!$B$18:$L$18</c:f>
              <c:numCache>
                <c:formatCode>#,##0</c:formatCode>
                <c:ptCount val="11"/>
                <c:pt idx="10">
                  <c:v>540</c:v>
                </c:pt>
              </c:numCache>
            </c:numRef>
          </c:val>
          <c:smooth val="0"/>
          <c:extLst>
            <c:ext xmlns:c16="http://schemas.microsoft.com/office/drawing/2014/chart" uri="{C3380CC4-5D6E-409C-BE32-E72D297353CC}">
              <c16:uniqueId val="{00000002-0850-4048-BFBA-71CE4C755086}"/>
            </c:ext>
          </c:extLst>
        </c:ser>
        <c:dLbls>
          <c:showLegendKey val="0"/>
          <c:showVal val="0"/>
          <c:showCatName val="0"/>
          <c:showSerName val="0"/>
          <c:showPercent val="0"/>
          <c:showBubbleSize val="0"/>
        </c:dLbls>
        <c:marker val="1"/>
        <c:smooth val="0"/>
        <c:axId val="643545391"/>
        <c:axId val="643542511"/>
      </c:lineChart>
      <c:catAx>
        <c:axId val="64354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42511"/>
        <c:crosses val="autoZero"/>
        <c:auto val="1"/>
        <c:lblAlgn val="ctr"/>
        <c:lblOffset val="100"/>
        <c:noMultiLvlLbl val="0"/>
      </c:catAx>
      <c:valAx>
        <c:axId val="6435425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Annual GHG Emission (MtCO2e)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545391"/>
        <c:crosses val="autoZero"/>
        <c:crossBetween val="between"/>
      </c:valAx>
      <c:spPr>
        <a:noFill/>
        <a:ln>
          <a:noFill/>
        </a:ln>
        <a:effectLst/>
      </c:spPr>
    </c:plotArea>
    <c:legend>
      <c:legendPos val="b"/>
      <c:layout>
        <c:manualLayout>
          <c:xMode val="edge"/>
          <c:yMode val="edge"/>
          <c:x val="0.23119244759761723"/>
          <c:y val="0.80724557175613643"/>
          <c:w val="0.48464475180053507"/>
          <c:h val="6.39360430739085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Increase</a:t>
            </a:r>
            <a:r>
              <a:rPr lang="en-GB" baseline="0"/>
              <a:t> in SOC concentration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1"/>
          <c:order val="0"/>
          <c:tx>
            <c:v>Pessimistic</c:v>
          </c:tx>
          <c:spPr>
            <a:ln w="28575" cap="rnd">
              <a:solidFill>
                <a:schemeClr val="accent3"/>
              </a:solidFill>
              <a:round/>
            </a:ln>
            <a:effectLst/>
          </c:spPr>
          <c:marker>
            <c:symbol val="none"/>
          </c:marker>
          <c:val>
            <c:numRef>
              <c:f>'Calc. Soil Carbon'!$B$8:$B$37</c:f>
              <c:numCache>
                <c:formatCode>0.00</c:formatCode>
                <c:ptCount val="30"/>
                <c:pt idx="0">
                  <c:v>1.0132995233976287</c:v>
                </c:pt>
                <c:pt idx="1">
                  <c:v>1.0282718033263576</c:v>
                </c:pt>
                <c:pt idx="2">
                  <c:v>1.0433573665566807</c:v>
                </c:pt>
                <c:pt idx="3">
                  <c:v>1.0585</c:v>
                </c:pt>
                <c:pt idx="4">
                  <c:v>1.0736426334433191</c:v>
                </c:pt>
                <c:pt idx="5">
                  <c:v>1.0887281966736424</c:v>
                </c:pt>
                <c:pt idx="6">
                  <c:v>1.1037004766023712</c:v>
                </c:pt>
                <c:pt idx="7">
                  <c:v>1.118504947178911</c:v>
                </c:pt>
                <c:pt idx="8">
                  <c:v>1.1330895463552653</c:v>
                </c:pt>
                <c:pt idx="9">
                  <c:v>1.1474053771877879</c:v>
                </c:pt>
                <c:pt idx="10">
                  <c:v>1.161407314110825</c:v>
                </c:pt>
                <c:pt idx="11">
                  <c:v>1.1750545001809352</c:v>
                </c:pt>
                <c:pt idx="12">
                  <c:v>1.1883107263133934</c:v>
                </c:pt>
                <c:pt idx="13">
                  <c:v>1.2011446888475688</c:v>
                </c:pt>
                <c:pt idx="14">
                  <c:v>1.2135301268414485</c:v>
                </c:pt>
                <c:pt idx="15">
                  <c:v>1.225445845017856</c:v>
                </c:pt>
                <c:pt idx="16">
                  <c:v>1.2368756320484844</c:v>
                </c:pt>
                <c:pt idx="17">
                  <c:v>1.2478080867320902</c:v>
                </c:pt>
                <c:pt idx="18">
                  <c:v>1.2582363665480356</c:v>
                </c:pt>
                <c:pt idx="19">
                  <c:v>1.2681578740680908</c:v>
                </c:pt>
                <c:pt idx="20">
                  <c:v>1.2775738968704498</c:v>
                </c:pt>
                <c:pt idx="21">
                  <c:v>1.2864892160455408</c:v>
                </c:pt>
                <c:pt idx="22">
                  <c:v>1.294911697263621</c:v>
                </c:pt>
                <c:pt idx="23">
                  <c:v>1.3028518768478401</c:v>
                </c:pt>
                <c:pt idx="24">
                  <c:v>1.3103225535166929</c:v>
                </c:pt>
                <c:pt idx="25">
                  <c:v>1.3173383945642025</c:v>
                </c:pt>
                <c:pt idx="26">
                  <c:v>1.3239155633505839</c:v>
                </c:pt>
                <c:pt idx="27">
                  <c:v>1.3300713731711933</c:v>
                </c:pt>
                <c:pt idx="28">
                  <c:v>1.3358239709226731</c:v>
                </c:pt>
                <c:pt idx="29">
                  <c:v>1.3411920525341907</c:v>
                </c:pt>
              </c:numCache>
            </c:numRef>
          </c:val>
          <c:smooth val="0"/>
          <c:extLst>
            <c:ext xmlns:c16="http://schemas.microsoft.com/office/drawing/2014/chart" uri="{C3380CC4-5D6E-409C-BE32-E72D297353CC}">
              <c16:uniqueId val="{00000000-A9E8-46C8-B5F2-A29736280912}"/>
            </c:ext>
          </c:extLst>
        </c:ser>
        <c:ser>
          <c:idx val="0"/>
          <c:order val="1"/>
          <c:tx>
            <c:v>Mean</c:v>
          </c:tx>
          <c:spPr>
            <a:ln w="28575" cap="rnd">
              <a:solidFill>
                <a:schemeClr val="accent1"/>
              </a:solidFill>
              <a:round/>
            </a:ln>
            <a:effectLst/>
          </c:spPr>
          <c:marker>
            <c:symbol val="none"/>
          </c:marker>
          <c:val>
            <c:numRef>
              <c:f>'Add Calc. Soil Carbon'!#REF!</c:f>
              <c:numCache>
                <c:formatCode>General</c:formatCode>
                <c:ptCount val="1"/>
                <c:pt idx="0">
                  <c:v>1</c:v>
                </c:pt>
              </c:numCache>
            </c:numRef>
          </c:val>
          <c:smooth val="0"/>
          <c:extLst>
            <c:ext xmlns:c16="http://schemas.microsoft.com/office/drawing/2014/chart" uri="{C3380CC4-5D6E-409C-BE32-E72D297353CC}">
              <c16:uniqueId val="{00000001-A9E8-46C8-B5F2-A29736280912}"/>
            </c:ext>
          </c:extLst>
        </c:ser>
        <c:ser>
          <c:idx val="2"/>
          <c:order val="2"/>
          <c:tx>
            <c:v>Optimistic</c:v>
          </c:tx>
          <c:spPr>
            <a:ln w="28575" cap="rnd">
              <a:solidFill>
                <a:schemeClr val="accent5"/>
              </a:solidFill>
              <a:round/>
            </a:ln>
            <a:effectLst/>
          </c:spPr>
          <c:marker>
            <c:symbol val="none"/>
          </c:marker>
          <c:val>
            <c:numRef>
              <c:f>'Add Calc. Soil Carbon'!#REF!</c:f>
              <c:numCache>
                <c:formatCode>General</c:formatCode>
                <c:ptCount val="1"/>
                <c:pt idx="0">
                  <c:v>1</c:v>
                </c:pt>
              </c:numCache>
            </c:numRef>
          </c:val>
          <c:smooth val="0"/>
          <c:extLst>
            <c:ext xmlns:c16="http://schemas.microsoft.com/office/drawing/2014/chart" uri="{C3380CC4-5D6E-409C-BE32-E72D297353CC}">
              <c16:uniqueId val="{00000002-A9E8-46C8-B5F2-A29736280912}"/>
            </c:ext>
          </c:extLst>
        </c:ser>
        <c:dLbls>
          <c:showLegendKey val="0"/>
          <c:showVal val="0"/>
          <c:showCatName val="0"/>
          <c:showSerName val="0"/>
          <c:showPercent val="0"/>
          <c:showBubbleSize val="0"/>
        </c:dLbls>
        <c:smooth val="0"/>
        <c:axId val="553599472"/>
        <c:axId val="553599144"/>
      </c:lineChart>
      <c:catAx>
        <c:axId val="553599472"/>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99144"/>
        <c:crosses val="autoZero"/>
        <c:auto val="1"/>
        <c:lblAlgn val="ctr"/>
        <c:lblOffset val="100"/>
        <c:tickLblSkip val="1"/>
        <c:noMultiLvlLbl val="0"/>
      </c:catAx>
      <c:valAx>
        <c:axId val="553599144"/>
        <c:scaling>
          <c:orientation val="minMax"/>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599472"/>
        <c:crosses val="autoZero"/>
        <c:crossBetween val="midCat"/>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Carbon sequestration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Pessimistic</c:v>
          </c:tx>
          <c:spPr>
            <a:ln w="28575" cap="rnd">
              <a:solidFill>
                <a:schemeClr val="accent3"/>
              </a:solidFill>
              <a:round/>
            </a:ln>
            <a:effectLst/>
          </c:spPr>
          <c:marker>
            <c:symbol val="none"/>
          </c:marker>
          <c:val>
            <c:numRef>
              <c:f>'Calc. Soil Carbon'!$C$9:$C$38</c:f>
              <c:numCache>
                <c:formatCode>0.00</c:formatCode>
                <c:ptCount val="30"/>
                <c:pt idx="0">
                  <c:v>0.46623679698061637</c:v>
                </c:pt>
                <c:pt idx="1">
                  <c:v>0.46976443899226017</c:v>
                </c:pt>
                <c:pt idx="2">
                  <c:v>0.47154160542496432</c:v>
                </c:pt>
                <c:pt idx="3">
                  <c:v>0.47154160542495743</c:v>
                </c:pt>
                <c:pt idx="4">
                  <c:v>0.46976443899226716</c:v>
                </c:pt>
                <c:pt idx="5">
                  <c:v>0.46623679698061637</c:v>
                </c:pt>
                <c:pt idx="6">
                  <c:v>0.46101121375344861</c:v>
                </c:pt>
                <c:pt idx="7">
                  <c:v>0.45416441835167104</c:v>
                </c:pt>
                <c:pt idx="8">
                  <c:v>0.44579497212475488</c:v>
                </c:pt>
                <c:pt idx="9">
                  <c:v>0.4360203157833748</c:v>
                </c:pt>
                <c:pt idx="10">
                  <c:v>0.42497337422323084</c:v>
                </c:pt>
                <c:pt idx="11">
                  <c:v>0.41279888176474988</c:v>
                </c:pt>
                <c:pt idx="12">
                  <c:v>0.39964959331422034</c:v>
                </c:pt>
                <c:pt idx="13">
                  <c:v>0.38568253912941386</c:v>
                </c:pt>
                <c:pt idx="14">
                  <c:v>0.37105546401333189</c:v>
                </c:pt>
                <c:pt idx="15">
                  <c:v>0.35592356813376708</c:v>
                </c:pt>
                <c:pt idx="16">
                  <c:v>0.34043663884748521</c:v>
                </c:pt>
                <c:pt idx="17">
                  <c:v>0.32473663346853998</c:v>
                </c:pt>
                <c:pt idx="18">
                  <c:v>0.30895574417451777</c:v>
                </c:pt>
                <c:pt idx="19">
                  <c:v>0.29321495006545867</c:v>
                </c:pt>
                <c:pt idx="20">
                  <c:v>0.27762303911233466</c:v>
                </c:pt>
                <c:pt idx="21">
                  <c:v>0.26227606513101753</c:v>
                </c:pt>
                <c:pt idx="22">
                  <c:v>0.24725719225258308</c:v>
                </c:pt>
                <c:pt idx="23">
                  <c:v>0.23263687146807668</c:v>
                </c:pt>
                <c:pt idx="24">
                  <c:v>0.21847329021944989</c:v>
                </c:pt>
                <c:pt idx="25">
                  <c:v>0.20481303600791589</c:v>
                </c:pt>
                <c:pt idx="26">
                  <c:v>0.19169191781377581</c:v>
                </c:pt>
                <c:pt idx="27">
                  <c:v>0.17913589398108248</c:v>
                </c:pt>
                <c:pt idx="28">
                  <c:v>0.16716206138265755</c:v>
                </c:pt>
                <c:pt idx="29">
                  <c:v>0.15577966750881295</c:v>
                </c:pt>
              </c:numCache>
            </c:numRef>
          </c:val>
          <c:smooth val="0"/>
          <c:extLst>
            <c:ext xmlns:c16="http://schemas.microsoft.com/office/drawing/2014/chart" uri="{C3380CC4-5D6E-409C-BE32-E72D297353CC}">
              <c16:uniqueId val="{00000000-22DA-4A0B-AA1B-A51202231091}"/>
            </c:ext>
          </c:extLst>
        </c:ser>
        <c:ser>
          <c:idx val="2"/>
          <c:order val="1"/>
          <c:tx>
            <c:v>Mean</c:v>
          </c:tx>
          <c:spPr>
            <a:ln w="28575" cap="rnd">
              <a:solidFill>
                <a:schemeClr val="accent1"/>
              </a:solidFill>
              <a:round/>
            </a:ln>
            <a:effectLst/>
          </c:spPr>
          <c:marker>
            <c:symbol val="none"/>
          </c:marker>
          <c:val>
            <c:numRef>
              <c:f>'Add Calc. Soil Carbon'!#REF!</c:f>
              <c:numCache>
                <c:formatCode>General</c:formatCode>
                <c:ptCount val="1"/>
                <c:pt idx="0">
                  <c:v>1</c:v>
                </c:pt>
              </c:numCache>
            </c:numRef>
          </c:val>
          <c:smooth val="0"/>
          <c:extLst>
            <c:ext xmlns:c16="http://schemas.microsoft.com/office/drawing/2014/chart" uri="{C3380CC4-5D6E-409C-BE32-E72D297353CC}">
              <c16:uniqueId val="{00000001-22DA-4A0B-AA1B-A51202231091}"/>
            </c:ext>
          </c:extLst>
        </c:ser>
        <c:ser>
          <c:idx val="1"/>
          <c:order val="2"/>
          <c:tx>
            <c:v>Optimistic</c:v>
          </c:tx>
          <c:spPr>
            <a:ln w="28575" cap="rnd">
              <a:solidFill>
                <a:schemeClr val="accent5"/>
              </a:solidFill>
              <a:round/>
            </a:ln>
            <a:effectLst/>
          </c:spPr>
          <c:marker>
            <c:symbol val="none"/>
          </c:marker>
          <c:val>
            <c:numRef>
              <c:f>'Add Calc. Soil Carbon'!#REF!</c:f>
              <c:numCache>
                <c:formatCode>General</c:formatCode>
                <c:ptCount val="1"/>
                <c:pt idx="0">
                  <c:v>1</c:v>
                </c:pt>
              </c:numCache>
            </c:numRef>
          </c:val>
          <c:smooth val="0"/>
          <c:extLst>
            <c:ext xmlns:c16="http://schemas.microsoft.com/office/drawing/2014/chart" uri="{C3380CC4-5D6E-409C-BE32-E72D297353CC}">
              <c16:uniqueId val="{00000002-22DA-4A0B-AA1B-A51202231091}"/>
            </c:ext>
          </c:extLst>
        </c:ser>
        <c:dLbls>
          <c:showLegendKey val="0"/>
          <c:showVal val="0"/>
          <c:showCatName val="0"/>
          <c:showSerName val="0"/>
          <c:showPercent val="0"/>
          <c:showBubbleSize val="0"/>
        </c:dLbls>
        <c:smooth val="0"/>
        <c:axId val="517497664"/>
        <c:axId val="517500616"/>
      </c:lineChart>
      <c:catAx>
        <c:axId val="517497664"/>
        <c:scaling>
          <c:orientation val="minMax"/>
        </c:scaling>
        <c:delete val="0"/>
        <c:axPos val="b"/>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500616"/>
        <c:crosses val="autoZero"/>
        <c:auto val="1"/>
        <c:lblAlgn val="ctr"/>
        <c:lblOffset val="100"/>
        <c:tickLblSkip val="1"/>
        <c:noMultiLvlLbl val="0"/>
      </c:catAx>
      <c:valAx>
        <c:axId val="517500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Mg/ha/yr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497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Cumulative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Pessimistic</c:v>
          </c:tx>
          <c:spPr>
            <a:ln w="28575" cap="rnd">
              <a:solidFill>
                <a:schemeClr val="accent3"/>
              </a:solidFill>
              <a:round/>
            </a:ln>
            <a:effectLst/>
          </c:spPr>
          <c:marker>
            <c:symbol val="none"/>
          </c:marker>
          <c:cat>
            <c:numRef>
              <c:f>'Calc. Soil Carbon'!$E$8:$E$38</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 Soil Carbon'!$H$8:$H$38</c:f>
              <c:numCache>
                <c:formatCode>#,##0</c:formatCode>
                <c:ptCount val="31"/>
                <c:pt idx="0" formatCode="General">
                  <c:v>0</c:v>
                </c:pt>
                <c:pt idx="1">
                  <c:v>1.3246924076789639</c:v>
                </c:pt>
                <c:pt idx="2">
                  <c:v>2.639361924371852</c:v>
                </c:pt>
                <c:pt idx="3">
                  <c:v>3.9490961176866906</c:v>
                </c:pt>
                <c:pt idx="4">
                  <c:v>5.2588864647528206</c:v>
                </c:pt>
                <c:pt idx="5">
                  <c:v>6.5736687334537205</c:v>
                </c:pt>
                <c:pt idx="6">
                  <c:v>7.8983611411326855</c:v>
                </c:pt>
                <c:pt idx="7">
                  <c:v>9.2379007047451864</c:v>
                </c:pt>
                <c:pt idx="8">
                  <c:v>10.59727812421453</c:v>
                </c:pt>
                <c:pt idx="9">
                  <c:v>11.98157147995629</c:v>
                </c:pt>
                <c:pt idx="10">
                  <c:v>13.395978973244372</c:v>
                </c:pt>
                <c:pt idx="11">
                  <c:v>14.845850892117486</c:v>
                </c:pt>
                <c:pt idx="12">
                  <c:v>16.336720944238849</c:v>
                </c:pt>
                <c:pt idx="13">
                  <c:v>17.874337060307273</c:v>
                </c:pt>
                <c:pt idx="14">
                  <c:v>19.464691736370195</c:v>
                </c:pt>
                <c:pt idx="15">
                  <c:v>21.114051950062581</c:v>
                </c:pt>
                <c:pt idx="16">
                  <c:v>22.828988653949462</c:v>
                </c:pt>
                <c:pt idx="17">
                  <c:v>24.616405818521113</c:v>
                </c:pt>
                <c:pt idx="18">
                  <c:v>26.483568967868493</c:v>
                </c:pt>
                <c:pt idx="19">
                  <c:v>28.438133122676664</c:v>
                </c:pt>
                <c:pt idx="20">
                  <c:v>30.488170038058939</c:v>
                </c:pt>
                <c:pt idx="21">
                  <c:v>32.64219459816136</c:v>
                </c:pt>
                <c:pt idx="22">
                  <c:v>34.909190205728613</c:v>
                </c:pt>
                <c:pt idx="23">
                  <c:v>37.298632983348682</c:v>
                </c:pt>
                <c:pt idx="24">
                  <c:v>39.820514584337346</c:v>
                </c:pt>
                <c:pt idx="25">
                  <c:v>42.485363395680423</c:v>
                </c:pt>
                <c:pt idx="26">
                  <c:v>45.304263903613418</c:v>
                </c:pt>
                <c:pt idx="27">
                  <c:v>48.288873984770191</c:v>
                </c:pt>
                <c:pt idx="28">
                  <c:v>51.451439882810426</c:v>
                </c:pt>
                <c:pt idx="29">
                  <c:v>54.804808632410186</c:v>
                </c:pt>
                <c:pt idx="30">
                  <c:v>58.362437699750679</c:v>
                </c:pt>
              </c:numCache>
            </c:numRef>
          </c:val>
          <c:smooth val="0"/>
          <c:extLst>
            <c:ext xmlns:c16="http://schemas.microsoft.com/office/drawing/2014/chart" uri="{C3380CC4-5D6E-409C-BE32-E72D297353CC}">
              <c16:uniqueId val="{00000000-9C01-49EA-91CB-95ED53B53A76}"/>
            </c:ext>
          </c:extLst>
        </c:ser>
        <c:ser>
          <c:idx val="2"/>
          <c:order val="1"/>
          <c:tx>
            <c:v>Mean</c:v>
          </c:tx>
          <c:spPr>
            <a:ln w="28575" cap="rnd">
              <a:solidFill>
                <a:schemeClr val="accent1"/>
              </a:solidFill>
              <a:round/>
            </a:ln>
            <a:effectLst/>
          </c:spPr>
          <c:marker>
            <c:symbol val="none"/>
          </c:marker>
          <c:cat>
            <c:numRef>
              <c:f>'Calc. Soil Carbon'!$E$8:$E$38</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 Soil Carbon'!$J$8:$J$38</c:f>
              <c:numCache>
                <c:formatCode>0</c:formatCode>
                <c:ptCount val="31"/>
              </c:numCache>
            </c:numRef>
          </c:val>
          <c:smooth val="0"/>
          <c:extLst>
            <c:ext xmlns:c16="http://schemas.microsoft.com/office/drawing/2014/chart" uri="{C3380CC4-5D6E-409C-BE32-E72D297353CC}">
              <c16:uniqueId val="{00000001-9C01-49EA-91CB-95ED53B53A76}"/>
            </c:ext>
          </c:extLst>
        </c:ser>
        <c:ser>
          <c:idx val="1"/>
          <c:order val="2"/>
          <c:tx>
            <c:v>Optimistic</c:v>
          </c:tx>
          <c:spPr>
            <a:ln w="28575" cap="rnd">
              <a:solidFill>
                <a:schemeClr val="accent5"/>
              </a:solidFill>
              <a:round/>
            </a:ln>
            <a:effectLst/>
          </c:spPr>
          <c:marker>
            <c:symbol val="none"/>
          </c:marker>
          <c:cat>
            <c:numRef>
              <c:f>'Calc. Soil Carbon'!$E$8:$E$38</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 Soil Carbon'!$I$8:$I$38</c:f>
              <c:numCache>
                <c:formatCode>0</c:formatCode>
                <c:ptCount val="31"/>
                <c:pt idx="30" formatCode="General">
                  <c:v>0</c:v>
                </c:pt>
              </c:numCache>
            </c:numRef>
          </c:val>
          <c:smooth val="0"/>
          <c:extLst>
            <c:ext xmlns:c16="http://schemas.microsoft.com/office/drawing/2014/chart" uri="{C3380CC4-5D6E-409C-BE32-E72D297353CC}">
              <c16:uniqueId val="{00000002-9C01-49EA-91CB-95ED53B53A76}"/>
            </c:ext>
          </c:extLst>
        </c:ser>
        <c:dLbls>
          <c:showLegendKey val="0"/>
          <c:showVal val="0"/>
          <c:showCatName val="0"/>
          <c:showSerName val="0"/>
          <c:showPercent val="0"/>
          <c:showBubbleSize val="0"/>
        </c:dLbls>
        <c:smooth val="0"/>
        <c:axId val="664735864"/>
        <c:axId val="664732256"/>
      </c:lineChart>
      <c:catAx>
        <c:axId val="664735864"/>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32256"/>
        <c:crosses val="autoZero"/>
        <c:auto val="1"/>
        <c:lblAlgn val="ctr"/>
        <c:lblOffset val="100"/>
        <c:tickLblSkip val="5"/>
        <c:noMultiLvlLbl val="0"/>
      </c:catAx>
      <c:valAx>
        <c:axId val="66473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47358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428433</xdr:colOff>
      <xdr:row>0</xdr:row>
      <xdr:rowOff>53554</xdr:rowOff>
    </xdr:from>
    <xdr:to>
      <xdr:col>8</xdr:col>
      <xdr:colOff>436610</xdr:colOff>
      <xdr:row>8</xdr:row>
      <xdr:rowOff>30602</xdr:rowOff>
    </xdr:to>
    <xdr:graphicFrame macro="">
      <xdr:nvGraphicFramePr>
        <xdr:cNvPr id="2" name="Chart 1">
          <a:extLst>
            <a:ext uri="{FF2B5EF4-FFF2-40B4-BE49-F238E27FC236}">
              <a16:creationId xmlns:a16="http://schemas.microsoft.com/office/drawing/2014/main" id="{6A6F2E29-7C66-412A-9C41-E1C52CDC2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0.46842</cdr:x>
      <cdr:y>0.32854</cdr:y>
    </cdr:from>
    <cdr:to>
      <cdr:x>0.91412</cdr:x>
      <cdr:y>0.48296</cdr:y>
    </cdr:to>
    <cdr:cxnSp macro="">
      <cdr:nvCxnSpPr>
        <cdr:cNvPr id="7" name="Straight Connector 6">
          <a:extLst xmlns:a="http://schemas.openxmlformats.org/drawingml/2006/main">
            <a:ext uri="{FF2B5EF4-FFF2-40B4-BE49-F238E27FC236}">
              <a16:creationId xmlns:a16="http://schemas.microsoft.com/office/drawing/2014/main" id="{DDDB7BAE-3EF8-6CD4-8FCE-4F1F1E1509DB}"/>
            </a:ext>
          </a:extLst>
        </cdr:cNvPr>
        <cdr:cNvCxnSpPr/>
      </cdr:nvCxnSpPr>
      <cdr:spPr>
        <a:xfrm xmlns:a="http://schemas.openxmlformats.org/drawingml/2006/main" flipV="1">
          <a:off x="2619375" y="1161256"/>
          <a:ext cx="2492376" cy="545793"/>
        </a:xfrm>
        <a:prstGeom xmlns:a="http://schemas.openxmlformats.org/drawingml/2006/main" prst="line">
          <a:avLst/>
        </a:prstGeom>
        <a:ln xmlns:a="http://schemas.openxmlformats.org/drawingml/2006/main" w="12700">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0.46842</cdr:x>
      <cdr:y>0.48955</cdr:y>
    </cdr:from>
    <cdr:to>
      <cdr:x>0.91412</cdr:x>
      <cdr:y>0.78217</cdr:y>
    </cdr:to>
    <cdr:cxnSp macro="">
      <cdr:nvCxnSpPr>
        <cdr:cNvPr id="10" name="Straight Connector 9">
          <a:extLst xmlns:a="http://schemas.openxmlformats.org/drawingml/2006/main">
            <a:ext uri="{FF2B5EF4-FFF2-40B4-BE49-F238E27FC236}">
              <a16:creationId xmlns:a16="http://schemas.microsoft.com/office/drawing/2014/main" id="{899FE789-47CD-1D4F-11F6-1A2B28F6263F}"/>
            </a:ext>
          </a:extLst>
        </cdr:cNvPr>
        <cdr:cNvCxnSpPr/>
      </cdr:nvCxnSpPr>
      <cdr:spPr>
        <a:xfrm xmlns:a="http://schemas.openxmlformats.org/drawingml/2006/main">
          <a:off x="951825" y="1640973"/>
          <a:ext cx="905675" cy="980863"/>
        </a:xfrm>
        <a:prstGeom xmlns:a="http://schemas.openxmlformats.org/drawingml/2006/main" prst="line">
          <a:avLst/>
        </a:prstGeom>
        <a:ln xmlns:a="http://schemas.openxmlformats.org/drawingml/2006/main" w="12700">
          <a:solidFill>
            <a:srgbClr val="7030A0"/>
          </a:solidFill>
          <a:prstDash val="dash"/>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0</xdr:col>
      <xdr:colOff>199871</xdr:colOff>
      <xdr:row>39</xdr:row>
      <xdr:rowOff>11616</xdr:rowOff>
    </xdr:from>
    <xdr:to>
      <xdr:col>6</xdr:col>
      <xdr:colOff>271286</xdr:colOff>
      <xdr:row>53</xdr:row>
      <xdr:rowOff>170367</xdr:rowOff>
    </xdr:to>
    <xdr:graphicFrame macro="">
      <xdr:nvGraphicFramePr>
        <xdr:cNvPr id="2" name="Chart 1">
          <a:extLst>
            <a:ext uri="{FF2B5EF4-FFF2-40B4-BE49-F238E27FC236}">
              <a16:creationId xmlns:a16="http://schemas.microsoft.com/office/drawing/2014/main" id="{97422C91-60FE-4CC6-837A-A16115093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181903</xdr:colOff>
      <xdr:row>54</xdr:row>
      <xdr:rowOff>77438</xdr:rowOff>
    </xdr:from>
    <xdr:to>
      <xdr:col>6</xdr:col>
      <xdr:colOff>278075</xdr:colOff>
      <xdr:row>69</xdr:row>
      <xdr:rowOff>58388</xdr:rowOff>
    </xdr:to>
    <xdr:graphicFrame macro="">
      <xdr:nvGraphicFramePr>
        <xdr:cNvPr id="3" name="Chart 2">
          <a:extLst>
            <a:ext uri="{FF2B5EF4-FFF2-40B4-BE49-F238E27FC236}">
              <a16:creationId xmlns:a16="http://schemas.microsoft.com/office/drawing/2014/main" id="{761A6FAC-48FA-48EF-A7D7-85D9A70D8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198896</xdr:colOff>
      <xdr:row>69</xdr:row>
      <xdr:rowOff>165958</xdr:rowOff>
    </xdr:from>
    <xdr:to>
      <xdr:col>6</xdr:col>
      <xdr:colOff>267165</xdr:colOff>
      <xdr:row>84</xdr:row>
      <xdr:rowOff>142308</xdr:rowOff>
    </xdr:to>
    <xdr:graphicFrame macro="">
      <xdr:nvGraphicFramePr>
        <xdr:cNvPr id="4" name="Chart 3">
          <a:extLst>
            <a:ext uri="{FF2B5EF4-FFF2-40B4-BE49-F238E27FC236}">
              <a16:creationId xmlns:a16="http://schemas.microsoft.com/office/drawing/2014/main" id="{CB9402CE-2FF3-4D84-A4EA-F9466BF83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utera%20Hendri\Downloads\stabilisation-wedges-2025-main\effort_calc\Dietary%20change%20(excel).xlsx" TargetMode="External"/><Relationship Id="rId1" Type="http://schemas.openxmlformats.org/officeDocument/2006/relationships/externalLinkPath" Target="stabilisation-wedges-2025-main/effort_calc/Dietary%20change%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AO raw data"/>
      <sheetName val="Mapping FAO to T&amp;C"/>
      <sheetName val="Country Region Cluster Data"/>
      <sheetName val="T&amp;C emisssion"/>
      <sheetName val="Quorn emissions"/>
      <sheetName val="Key Table 2018"/>
      <sheetName val="Country Total Kcal by T&amp;C cat"/>
      <sheetName val="Country Per cap kcal by T&amp;C cat"/>
      <sheetName val="Country Total Emissions T&amp;Ccat"/>
      <sheetName val="Country per cap emissions T&amp;C"/>
      <sheetName val="Country kcal pivot"/>
      <sheetName val="Kcal by country 2018"/>
      <sheetName val="Diet by country"/>
      <sheetName val="For map Kcal percap country"/>
      <sheetName val="For mapEmissions percap country"/>
      <sheetName val="Data chart emissions by country"/>
      <sheetName val=" Region Total KCal T&amp;C"/>
      <sheetName val="Region Kcal alcohol"/>
      <sheetName val="For map of clusters"/>
      <sheetName val="Cluster 4 key metrics"/>
      <sheetName val="Data for circles chart"/>
      <sheetName val="Data chart on cluster emissions"/>
      <sheetName val="Scenarios 2018"/>
      <sheetName val="Scenario Summary 2018"/>
      <sheetName val="2050Pop"/>
      <sheetName val="Key table 2050 unchanged diet"/>
      <sheetName val="2050UnchangedDiet cluster summ"/>
      <sheetName val="FAO BAU food data for 2050"/>
      <sheetName val="2050 BAU Mapping to T &amp; C"/>
      <sheetName val="T&amp;C emissions for 2050 analysis"/>
      <sheetName val="Keytable2050 BAU FAO"/>
      <sheetName val="Cluster 4 metrics BAU 2050"/>
      <sheetName val="Scenarios 2050"/>
      <sheetName val="Scenario summary 2050"/>
      <sheetName val="Population by year 2018 to 20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7">
          <cell r="A7" t="str">
            <v>Afghanistan</v>
          </cell>
          <cell r="C7">
            <v>55.954999999999998</v>
          </cell>
          <cell r="D7" t="str">
            <v>India/South Asia</v>
          </cell>
        </row>
        <row r="8">
          <cell r="A8" t="str">
            <v>Albania</v>
          </cell>
          <cell r="C8">
            <v>2.71</v>
          </cell>
          <cell r="D8" t="str">
            <v>Euro/AU/NZ</v>
          </cell>
        </row>
        <row r="9">
          <cell r="A9" t="str">
            <v>Algeria</v>
          </cell>
          <cell r="C9">
            <v>56.460999999999999</v>
          </cell>
          <cell r="D9" t="str">
            <v>MENA</v>
          </cell>
        </row>
        <row r="10">
          <cell r="A10" t="str">
            <v>Angola</v>
          </cell>
          <cell r="C10">
            <v>65.472999999999999</v>
          </cell>
          <cell r="D10" t="str">
            <v>SSA</v>
          </cell>
        </row>
        <row r="11">
          <cell r="A11" t="str">
            <v>Argentina</v>
          </cell>
          <cell r="C11">
            <v>55.445</v>
          </cell>
          <cell r="D11" t="str">
            <v>LatAm &amp; RSA</v>
          </cell>
        </row>
        <row r="12">
          <cell r="A12" t="str">
            <v>Armenia</v>
          </cell>
          <cell r="C12">
            <v>2.7290000000000001</v>
          </cell>
          <cell r="D12" t="str">
            <v>MENA</v>
          </cell>
        </row>
        <row r="13">
          <cell r="A13" t="str">
            <v>Australia</v>
          </cell>
          <cell r="C13">
            <v>33.496000000000002</v>
          </cell>
          <cell r="D13" t="str">
            <v>Euro/AU/NZ</v>
          </cell>
        </row>
        <row r="14">
          <cell r="A14" t="str">
            <v>Austria</v>
          </cell>
          <cell r="C14">
            <v>8.8460000000000001</v>
          </cell>
          <cell r="D14" t="str">
            <v>Euro/AU/NZ</v>
          </cell>
        </row>
        <row r="15">
          <cell r="A15" t="str">
            <v>Azerbaijan</v>
          </cell>
          <cell r="C15">
            <v>10.962999999999999</v>
          </cell>
          <cell r="D15" t="str">
            <v>MENA</v>
          </cell>
        </row>
        <row r="16">
          <cell r="A16" t="str">
            <v>Bangladesh</v>
          </cell>
          <cell r="C16">
            <v>202.209</v>
          </cell>
          <cell r="D16" t="str">
            <v>India/South Asia</v>
          </cell>
        </row>
        <row r="17">
          <cell r="A17" t="str">
            <v>Belarus</v>
          </cell>
          <cell r="C17">
            <v>8.125</v>
          </cell>
          <cell r="D17" t="str">
            <v>Euro/AU/NZ</v>
          </cell>
        </row>
        <row r="18">
          <cell r="A18" t="str">
            <v>Belgium</v>
          </cell>
          <cell r="C18">
            <v>12.526999999999999</v>
          </cell>
          <cell r="D18" t="str">
            <v>Euro/AU/NZ</v>
          </cell>
        </row>
        <row r="19">
          <cell r="A19" t="str">
            <v>Benin</v>
          </cell>
          <cell r="C19">
            <v>22.548999999999999</v>
          </cell>
          <cell r="D19" t="str">
            <v>SSA</v>
          </cell>
        </row>
        <row r="20">
          <cell r="A20" t="str">
            <v>Bolivia (Plurinational State of)</v>
          </cell>
          <cell r="C20">
            <v>15.962999999999999</v>
          </cell>
          <cell r="D20" t="str">
            <v>LatAm &amp; RSA</v>
          </cell>
        </row>
        <row r="21">
          <cell r="A21" t="str">
            <v>Bosnia and Herzegovina</v>
          </cell>
          <cell r="C21">
            <v>3.069</v>
          </cell>
          <cell r="D21" t="str">
            <v>Euro/AU/NZ</v>
          </cell>
        </row>
        <row r="22">
          <cell r="A22" t="str">
            <v>Botswana</v>
          </cell>
          <cell r="C22">
            <v>3.3889999999999998</v>
          </cell>
          <cell r="D22" t="str">
            <v>SSA</v>
          </cell>
        </row>
        <row r="23">
          <cell r="A23" t="str">
            <v>Brazil</v>
          </cell>
          <cell r="C23">
            <v>238.27</v>
          </cell>
          <cell r="D23" t="str">
            <v>LatAm &amp; RSA</v>
          </cell>
        </row>
        <row r="24">
          <cell r="A24" t="str">
            <v>Bulgaria</v>
          </cell>
          <cell r="C24">
            <v>5.1539999999999999</v>
          </cell>
          <cell r="D24" t="str">
            <v>Euro/AU/NZ</v>
          </cell>
        </row>
        <row r="25">
          <cell r="A25" t="str">
            <v>Burkina Faso</v>
          </cell>
          <cell r="C25">
            <v>42.789000000000001</v>
          </cell>
          <cell r="D25" t="str">
            <v>SSA</v>
          </cell>
        </row>
        <row r="26">
          <cell r="A26" t="str">
            <v>Cambodia</v>
          </cell>
          <cell r="C26">
            <v>22.545000000000002</v>
          </cell>
          <cell r="D26" t="str">
            <v>APAC</v>
          </cell>
        </row>
        <row r="27">
          <cell r="A27" t="str">
            <v>Cameroon</v>
          </cell>
          <cell r="C27">
            <v>48.362000000000002</v>
          </cell>
          <cell r="D27" t="str">
            <v>SSA</v>
          </cell>
        </row>
        <row r="28">
          <cell r="A28" t="str">
            <v>Canada</v>
          </cell>
          <cell r="C28">
            <v>44.136000000000003</v>
          </cell>
          <cell r="D28" t="str">
            <v>NAm</v>
          </cell>
        </row>
        <row r="29">
          <cell r="A29" t="str">
            <v>Central African Republic</v>
          </cell>
          <cell r="C29">
            <v>8.782</v>
          </cell>
          <cell r="D29" t="str">
            <v>SSA</v>
          </cell>
        </row>
        <row r="30">
          <cell r="A30" t="str">
            <v>Chad</v>
          </cell>
          <cell r="C30">
            <v>35.131</v>
          </cell>
          <cell r="D30" t="str">
            <v>SSA</v>
          </cell>
        </row>
        <row r="31">
          <cell r="A31" t="str">
            <v>Chile</v>
          </cell>
          <cell r="C31">
            <v>21.600999999999999</v>
          </cell>
          <cell r="D31" t="str">
            <v>LatAm &amp; RSA</v>
          </cell>
        </row>
        <row r="32">
          <cell r="A32" t="str">
            <v>China, Hong Kong SAR</v>
          </cell>
          <cell r="C32">
            <v>8.1479999999999997</v>
          </cell>
          <cell r="D32" t="str">
            <v>Greater China</v>
          </cell>
        </row>
        <row r="33">
          <cell r="A33" t="str">
            <v>China, mainland</v>
          </cell>
          <cell r="C33">
            <v>1348.056</v>
          </cell>
          <cell r="D33" t="str">
            <v>Greater China</v>
          </cell>
        </row>
        <row r="34">
          <cell r="A34" t="str">
            <v>China, Taiwan Province of</v>
          </cell>
          <cell r="C34">
            <v>20.777999999999999</v>
          </cell>
          <cell r="D34" t="str">
            <v>Greater China</v>
          </cell>
        </row>
        <row r="35">
          <cell r="A35" t="str">
            <v>Colombia</v>
          </cell>
          <cell r="C35">
            <v>54.927</v>
          </cell>
          <cell r="D35" t="str">
            <v>LatAm &amp; RSA</v>
          </cell>
        </row>
        <row r="36">
          <cell r="A36" t="str">
            <v>Costa Rica</v>
          </cell>
          <cell r="C36">
            <v>5.7590000000000003</v>
          </cell>
          <cell r="D36" t="str">
            <v>LatAm &amp; RSA</v>
          </cell>
        </row>
        <row r="37">
          <cell r="A37" t="str">
            <v>Côte d'Ivoire</v>
          </cell>
          <cell r="C37">
            <v>48.796999999999997</v>
          </cell>
          <cell r="D37" t="str">
            <v>SSA</v>
          </cell>
        </row>
        <row r="38">
          <cell r="A38" t="str">
            <v>Croatia</v>
          </cell>
          <cell r="C38">
            <v>3.5539999999999998</v>
          </cell>
          <cell r="D38" t="str">
            <v>Euro/AU/NZ</v>
          </cell>
        </row>
        <row r="39">
          <cell r="A39" t="str">
            <v>Cuba</v>
          </cell>
          <cell r="C39">
            <v>10.339</v>
          </cell>
          <cell r="D39" t="str">
            <v>LatAm &amp; RSA</v>
          </cell>
        </row>
        <row r="40">
          <cell r="A40" t="str">
            <v>Czechia</v>
          </cell>
          <cell r="C40">
            <v>9.9649999999999999</v>
          </cell>
          <cell r="D40" t="str">
            <v>Euro/AU/NZ</v>
          </cell>
        </row>
        <row r="41">
          <cell r="A41" t="str">
            <v>Democratic People's Republic of Korea</v>
          </cell>
          <cell r="C41">
            <v>26.907</v>
          </cell>
          <cell r="D41" t="str">
            <v>APAC</v>
          </cell>
        </row>
        <row r="42">
          <cell r="A42" t="str">
            <v>Denmark</v>
          </cell>
          <cell r="C42">
            <v>6.2990000000000004</v>
          </cell>
          <cell r="D42" t="str">
            <v>Euro/AU/NZ</v>
          </cell>
        </row>
        <row r="43">
          <cell r="A43" t="str">
            <v>Dominican Republic</v>
          </cell>
          <cell r="C43">
            <v>13.238</v>
          </cell>
          <cell r="D43" t="str">
            <v>LatAm &amp; RSA</v>
          </cell>
        </row>
        <row r="44">
          <cell r="A44" t="str">
            <v>Ecuador</v>
          </cell>
          <cell r="C44">
            <v>23.013000000000002</v>
          </cell>
          <cell r="D44" t="str">
            <v>LatAm &amp; RSA</v>
          </cell>
        </row>
        <row r="45">
          <cell r="A45" t="str">
            <v>Egypt</v>
          </cell>
          <cell r="C45">
            <v>151.11099999999999</v>
          </cell>
          <cell r="D45" t="str">
            <v>MENA</v>
          </cell>
        </row>
        <row r="46">
          <cell r="A46" t="str">
            <v>El Salvador</v>
          </cell>
          <cell r="C46">
            <v>6.39</v>
          </cell>
          <cell r="D46" t="str">
            <v>LatAm &amp; RSA</v>
          </cell>
        </row>
        <row r="47">
          <cell r="A47" t="str">
            <v>Estonia</v>
          </cell>
          <cell r="C47">
            <v>1.129</v>
          </cell>
          <cell r="D47" t="str">
            <v>Euro/AU/NZ</v>
          </cell>
        </row>
        <row r="48">
          <cell r="A48" t="str">
            <v>Ethiopia</v>
          </cell>
          <cell r="C48">
            <v>188.45500000000001</v>
          </cell>
          <cell r="D48" t="str">
            <v>SSA</v>
          </cell>
        </row>
        <row r="49">
          <cell r="A49" t="str">
            <v>Finland</v>
          </cell>
          <cell r="C49">
            <v>5.7519999999999998</v>
          </cell>
          <cell r="D49" t="str">
            <v>Euro/AU/NZ</v>
          </cell>
        </row>
        <row r="50">
          <cell r="A50" t="str">
            <v>France</v>
          </cell>
          <cell r="C50">
            <v>71.137</v>
          </cell>
          <cell r="D50" t="str">
            <v>Euro/AU/NZ</v>
          </cell>
        </row>
        <row r="51">
          <cell r="A51" t="str">
            <v>Gabon</v>
          </cell>
          <cell r="C51">
            <v>3.1640000000000001</v>
          </cell>
          <cell r="D51" t="str">
            <v>SSA</v>
          </cell>
        </row>
        <row r="52">
          <cell r="A52" t="str">
            <v>Gambia</v>
          </cell>
          <cell r="C52">
            <v>4.9809999999999999</v>
          </cell>
          <cell r="D52" t="str">
            <v>SSA</v>
          </cell>
        </row>
        <row r="53">
          <cell r="A53" t="str">
            <v>Georgia</v>
          </cell>
          <cell r="C53">
            <v>3.4830000000000001</v>
          </cell>
          <cell r="D53" t="str">
            <v>MENA</v>
          </cell>
        </row>
        <row r="54">
          <cell r="A54" t="str">
            <v>Germany</v>
          </cell>
          <cell r="C54">
            <v>74.513000000000005</v>
          </cell>
          <cell r="D54" t="str">
            <v>Euro/AU/NZ</v>
          </cell>
        </row>
        <row r="55">
          <cell r="A55" t="str">
            <v>Ghana</v>
          </cell>
          <cell r="C55">
            <v>50.070999999999998</v>
          </cell>
          <cell r="D55" t="str">
            <v>SSA</v>
          </cell>
        </row>
        <row r="56">
          <cell r="A56" t="str">
            <v>Greece</v>
          </cell>
          <cell r="C56">
            <v>9.7050000000000001</v>
          </cell>
          <cell r="D56" t="str">
            <v>Euro/AU/NZ</v>
          </cell>
        </row>
        <row r="57">
          <cell r="A57" t="str">
            <v>Guatemala</v>
          </cell>
          <cell r="C57">
            <v>27.754000000000001</v>
          </cell>
          <cell r="D57" t="str">
            <v>LatAm &amp; RSA</v>
          </cell>
        </row>
        <row r="58">
          <cell r="A58" t="str">
            <v>Guinea</v>
          </cell>
          <cell r="C58">
            <v>27.486000000000001</v>
          </cell>
          <cell r="D58" t="str">
            <v>SSA</v>
          </cell>
        </row>
        <row r="59">
          <cell r="A59" t="str">
            <v>Guyana</v>
          </cell>
          <cell r="C59">
            <v>0.80600000000000005</v>
          </cell>
          <cell r="D59" t="str">
            <v>LatAm &amp; RSA</v>
          </cell>
        </row>
        <row r="60">
          <cell r="A60" t="str">
            <v>Haiti</v>
          </cell>
          <cell r="C60">
            <v>14.189</v>
          </cell>
          <cell r="D60" t="str">
            <v>LatAm &amp; RSA</v>
          </cell>
        </row>
        <row r="61">
          <cell r="A61" t="str">
            <v>Honduras</v>
          </cell>
          <cell r="C61">
            <v>11.217000000000001</v>
          </cell>
          <cell r="D61" t="str">
            <v>LatAm &amp; RSA</v>
          </cell>
        </row>
        <row r="62">
          <cell r="A62" t="str">
            <v>Hungary</v>
          </cell>
          <cell r="C62">
            <v>8.3179999999999996</v>
          </cell>
          <cell r="D62" t="str">
            <v>Euro/AU/NZ</v>
          </cell>
        </row>
        <row r="63">
          <cell r="A63" t="str">
            <v>India</v>
          </cell>
          <cell r="C63">
            <v>1705.3330000000001</v>
          </cell>
          <cell r="D63" t="str">
            <v>India/South Asia</v>
          </cell>
        </row>
        <row r="64">
          <cell r="A64" t="str">
            <v>Indonesia</v>
          </cell>
          <cell r="C64">
            <v>322.23700000000002</v>
          </cell>
          <cell r="D64" t="str">
            <v>APAC</v>
          </cell>
        </row>
        <row r="65">
          <cell r="A65" t="str">
            <v>Iran (Islamic Republic of)</v>
          </cell>
          <cell r="C65">
            <v>92.218999999999994</v>
          </cell>
          <cell r="D65" t="str">
            <v>India/South Asia</v>
          </cell>
        </row>
        <row r="66">
          <cell r="A66" t="str">
            <v>Iraq</v>
          </cell>
          <cell r="C66">
            <v>83.652000000000001</v>
          </cell>
          <cell r="D66" t="str">
            <v>MENA</v>
          </cell>
        </row>
        <row r="67">
          <cell r="A67" t="str">
            <v>Ireland</v>
          </cell>
          <cell r="C67">
            <v>5.7889999999999997</v>
          </cell>
          <cell r="D67" t="str">
            <v>Euro/AU/NZ</v>
          </cell>
        </row>
        <row r="68">
          <cell r="A68" t="str">
            <v>Israel</v>
          </cell>
          <cell r="C68">
            <v>12.61</v>
          </cell>
          <cell r="D68" t="str">
            <v>MENA</v>
          </cell>
        </row>
        <row r="69">
          <cell r="A69" t="str">
            <v>Italy</v>
          </cell>
          <cell r="C69">
            <v>56.512999999999998</v>
          </cell>
          <cell r="D69" t="str">
            <v>Euro/AU/NZ</v>
          </cell>
        </row>
        <row r="70">
          <cell r="A70" t="str">
            <v>Jamaica</v>
          </cell>
          <cell r="C70">
            <v>2.71</v>
          </cell>
          <cell r="D70" t="str">
            <v>LatAm &amp; RSA</v>
          </cell>
        </row>
        <row r="71">
          <cell r="A71" t="str">
            <v>Japan</v>
          </cell>
          <cell r="C71">
            <v>107.411</v>
          </cell>
          <cell r="D71" t="str">
            <v>APAC</v>
          </cell>
        </row>
        <row r="72">
          <cell r="A72" t="str">
            <v>Jordan</v>
          </cell>
          <cell r="C72">
            <v>11.717000000000001</v>
          </cell>
          <cell r="D72" t="str">
            <v>MENA</v>
          </cell>
        </row>
        <row r="73">
          <cell r="A73" t="str">
            <v>Kazakhstan</v>
          </cell>
          <cell r="C73">
            <v>22.446999999999999</v>
          </cell>
          <cell r="D73" t="str">
            <v>APAC</v>
          </cell>
        </row>
        <row r="74">
          <cell r="A74" t="str">
            <v>Kenya</v>
          </cell>
          <cell r="C74">
            <v>95.504999999999995</v>
          </cell>
          <cell r="D74" t="str">
            <v>SSA</v>
          </cell>
        </row>
        <row r="75">
          <cell r="A75" t="str">
            <v>Kyrgyzstan</v>
          </cell>
          <cell r="C75">
            <v>8.2479999999999993</v>
          </cell>
          <cell r="D75" t="str">
            <v>APAC</v>
          </cell>
        </row>
        <row r="76">
          <cell r="A76" t="str">
            <v>Lao People's Democratic Republic</v>
          </cell>
          <cell r="C76">
            <v>10.172000000000001</v>
          </cell>
          <cell r="D76" t="str">
            <v>APAC</v>
          </cell>
        </row>
        <row r="77">
          <cell r="A77" t="str">
            <v>Latvia</v>
          </cell>
          <cell r="C77">
            <v>1.593</v>
          </cell>
          <cell r="D77" t="str">
            <v>Euro/AU/NZ</v>
          </cell>
        </row>
        <row r="78">
          <cell r="A78" t="str">
            <v>Lebanon</v>
          </cell>
          <cell r="C78">
            <v>5.61</v>
          </cell>
          <cell r="D78" t="str">
            <v>MENA</v>
          </cell>
        </row>
        <row r="79">
          <cell r="A79" t="str">
            <v>Lesotho</v>
          </cell>
          <cell r="C79">
            <v>2.9870000000000001</v>
          </cell>
          <cell r="D79" t="str">
            <v>SSA</v>
          </cell>
        </row>
        <row r="80">
          <cell r="A80" t="str">
            <v>Liberia</v>
          </cell>
          <cell r="C80">
            <v>9.4359999999999999</v>
          </cell>
          <cell r="D80" t="str">
            <v>SSA</v>
          </cell>
        </row>
        <row r="81">
          <cell r="A81" t="str">
            <v>Lithuania</v>
          </cell>
          <cell r="C81">
            <v>2.375</v>
          </cell>
          <cell r="D81" t="str">
            <v>Euro/AU/NZ</v>
          </cell>
        </row>
        <row r="82">
          <cell r="A82" t="str">
            <v>Madagascar</v>
          </cell>
          <cell r="C82">
            <v>55.293999999999997</v>
          </cell>
          <cell r="D82" t="str">
            <v>SSA</v>
          </cell>
        </row>
        <row r="83">
          <cell r="A83" t="str">
            <v>Malawi</v>
          </cell>
          <cell r="C83">
            <v>43.155000000000001</v>
          </cell>
          <cell r="D83" t="str">
            <v>SSA</v>
          </cell>
        </row>
        <row r="84">
          <cell r="A84" t="str">
            <v>Malaysia</v>
          </cell>
          <cell r="C84">
            <v>40.725000000000001</v>
          </cell>
          <cell r="D84" t="str">
            <v>APAC</v>
          </cell>
        </row>
        <row r="85">
          <cell r="A85" t="str">
            <v>Mali</v>
          </cell>
          <cell r="C85">
            <v>45.404000000000003</v>
          </cell>
          <cell r="D85" t="str">
            <v>SSA</v>
          </cell>
        </row>
        <row r="86">
          <cell r="A86" t="str">
            <v>Mauritania</v>
          </cell>
          <cell r="C86">
            <v>8.0489999999999995</v>
          </cell>
          <cell r="D86" t="str">
            <v>SSA</v>
          </cell>
        </row>
        <row r="87">
          <cell r="A87" t="str">
            <v>Mauritius</v>
          </cell>
          <cell r="C87">
            <v>1.2490000000000001</v>
          </cell>
          <cell r="D87" t="str">
            <v>SSA</v>
          </cell>
        </row>
        <row r="88">
          <cell r="A88" t="str">
            <v>Mexico</v>
          </cell>
          <cell r="C88">
            <v>163.75399999999999</v>
          </cell>
          <cell r="D88" t="str">
            <v>LatAm &amp; RSA</v>
          </cell>
        </row>
        <row r="89">
          <cell r="A89" t="str">
            <v>Mongolia</v>
          </cell>
          <cell r="C89">
            <v>4.0279999999999996</v>
          </cell>
          <cell r="D89" t="str">
            <v>APAC</v>
          </cell>
        </row>
        <row r="90">
          <cell r="A90" t="str">
            <v>Morocco</v>
          </cell>
          <cell r="C90">
            <v>43.695999999999998</v>
          </cell>
          <cell r="D90" t="str">
            <v>MENA</v>
          </cell>
        </row>
        <row r="91">
          <cell r="A91" t="str">
            <v>Mozambique</v>
          </cell>
          <cell r="C91">
            <v>65.543999999999997</v>
          </cell>
          <cell r="D91" t="str">
            <v>SSA</v>
          </cell>
        </row>
        <row r="92">
          <cell r="A92" t="str">
            <v>Myanmar</v>
          </cell>
          <cell r="C92">
            <v>63.575000000000003</v>
          </cell>
          <cell r="D92" t="str">
            <v>APAC</v>
          </cell>
        </row>
        <row r="93">
          <cell r="A93" t="str">
            <v>Namibia</v>
          </cell>
          <cell r="C93">
            <v>4.3220000000000001</v>
          </cell>
          <cell r="D93" t="str">
            <v>SSA</v>
          </cell>
        </row>
        <row r="94">
          <cell r="A94" t="str">
            <v>Nepal</v>
          </cell>
          <cell r="C94">
            <v>36.158999999999999</v>
          </cell>
          <cell r="D94" t="str">
            <v>India/South Asia</v>
          </cell>
        </row>
        <row r="95">
          <cell r="A95" t="str">
            <v>Netherlands</v>
          </cell>
          <cell r="C95">
            <v>17.602</v>
          </cell>
          <cell r="D95" t="str">
            <v>Euro/AU/NZ</v>
          </cell>
        </row>
        <row r="96">
          <cell r="A96" t="str">
            <v>New Zealand</v>
          </cell>
          <cell r="C96">
            <v>5.6070000000000002</v>
          </cell>
          <cell r="D96" t="str">
            <v>Euro/AU/NZ</v>
          </cell>
        </row>
        <row r="97">
          <cell r="A97" t="str">
            <v>Nicaragua</v>
          </cell>
          <cell r="C97">
            <v>7.8630000000000004</v>
          </cell>
          <cell r="D97" t="str">
            <v>LatAm &amp; RSA</v>
          </cell>
        </row>
        <row r="98">
          <cell r="A98" t="str">
            <v>Niger</v>
          </cell>
          <cell r="C98">
            <v>72.238</v>
          </cell>
          <cell r="D98" t="str">
            <v>SSA</v>
          </cell>
        </row>
        <row r="99">
          <cell r="A99" t="str">
            <v>Nigeria</v>
          </cell>
          <cell r="C99">
            <v>398.50799999999998</v>
          </cell>
          <cell r="D99" t="str">
            <v>SSA</v>
          </cell>
        </row>
        <row r="100">
          <cell r="A100" t="str">
            <v>Norway</v>
          </cell>
          <cell r="C100">
            <v>6.6580000000000004</v>
          </cell>
          <cell r="D100" t="str">
            <v>Euro/AU/NZ</v>
          </cell>
        </row>
        <row r="101">
          <cell r="A101" t="str">
            <v>Pakistan</v>
          </cell>
          <cell r="C101">
            <v>309.64</v>
          </cell>
          <cell r="D101" t="str">
            <v>India/South Asia</v>
          </cell>
        </row>
        <row r="102">
          <cell r="A102" t="str">
            <v>Panama</v>
          </cell>
          <cell r="C102">
            <v>5.5990000000000002</v>
          </cell>
          <cell r="D102" t="str">
            <v>LatAm &amp; RSA</v>
          </cell>
        </row>
        <row r="103">
          <cell r="A103" t="str">
            <v>Paraguay</v>
          </cell>
          <cell r="C103">
            <v>8.8949999999999996</v>
          </cell>
          <cell r="D103" t="str">
            <v>LatAm &amp; RSA</v>
          </cell>
        </row>
        <row r="104">
          <cell r="A104" t="str">
            <v>Peru</v>
          </cell>
          <cell r="C104">
            <v>41.899000000000001</v>
          </cell>
          <cell r="D104" t="str">
            <v>LatAm &amp; RSA</v>
          </cell>
        </row>
        <row r="105">
          <cell r="A105" t="str">
            <v>Philippines</v>
          </cell>
          <cell r="C105">
            <v>148.26</v>
          </cell>
          <cell r="D105" t="str">
            <v>APAC</v>
          </cell>
        </row>
        <row r="106">
          <cell r="A106" t="str">
            <v>Poland</v>
          </cell>
          <cell r="C106">
            <v>33.136000000000003</v>
          </cell>
          <cell r="D106" t="str">
            <v>Euro/AU/NZ</v>
          </cell>
        </row>
        <row r="107">
          <cell r="A107" t="str">
            <v>Portugal</v>
          </cell>
          <cell r="C107">
            <v>9.2159999999999993</v>
          </cell>
          <cell r="D107" t="str">
            <v>Euro/AU/NZ</v>
          </cell>
        </row>
        <row r="108">
          <cell r="A108" t="str">
            <v>Republic of Korea</v>
          </cell>
          <cell r="C108">
            <v>50.593000000000004</v>
          </cell>
          <cell r="D108" t="str">
            <v>APAC</v>
          </cell>
        </row>
        <row r="109">
          <cell r="A109" t="str">
            <v>Republic of Moldova</v>
          </cell>
          <cell r="C109">
            <v>3.2429999999999999</v>
          </cell>
          <cell r="D109" t="str">
            <v>Euro/AU/NZ</v>
          </cell>
        </row>
        <row r="110">
          <cell r="A110" t="str">
            <v>Congo</v>
          </cell>
          <cell r="C110">
            <v>10.731999999999999</v>
          </cell>
          <cell r="D110" t="str">
            <v>SSA</v>
          </cell>
        </row>
        <row r="111">
          <cell r="A111" t="str">
            <v>Romania</v>
          </cell>
          <cell r="C111">
            <v>15.207000000000001</v>
          </cell>
          <cell r="D111" t="str">
            <v>Euro/AU/NZ</v>
          </cell>
        </row>
        <row r="112">
          <cell r="A112" t="str">
            <v>Russian Federation</v>
          </cell>
          <cell r="C112">
            <v>128.59899999999999</v>
          </cell>
          <cell r="D112" t="str">
            <v>Euro/AU/NZ</v>
          </cell>
        </row>
        <row r="113">
          <cell r="A113" t="str">
            <v>Rwanda</v>
          </cell>
          <cell r="C113">
            <v>21.187000000000001</v>
          </cell>
          <cell r="D113" t="str">
            <v>SSA</v>
          </cell>
        </row>
        <row r="114">
          <cell r="A114" t="str">
            <v>Saudi Arabia</v>
          </cell>
          <cell r="C114">
            <v>46.058999999999997</v>
          </cell>
          <cell r="D114" t="str">
            <v>MENA</v>
          </cell>
        </row>
        <row r="115">
          <cell r="A115" t="str">
            <v>Senegal</v>
          </cell>
          <cell r="C115">
            <v>36.222999999999999</v>
          </cell>
          <cell r="D115" t="str">
            <v>SSA</v>
          </cell>
        </row>
        <row r="116">
          <cell r="A116" t="str">
            <v>Serbia</v>
          </cell>
          <cell r="C116">
            <v>7.3310000000000004</v>
          </cell>
          <cell r="D116" t="str">
            <v>Euro/AU/NZ</v>
          </cell>
        </row>
        <row r="117">
          <cell r="A117" t="str">
            <v>Sierra Leone</v>
          </cell>
          <cell r="C117">
            <v>11.391999999999999</v>
          </cell>
          <cell r="D117" t="str">
            <v>SSA</v>
          </cell>
        </row>
        <row r="118">
          <cell r="A118" t="str">
            <v>Slovakia</v>
          </cell>
          <cell r="C118">
            <v>4.8920000000000003</v>
          </cell>
          <cell r="D118" t="str">
            <v>Euro/AU/NZ</v>
          </cell>
        </row>
        <row r="119">
          <cell r="A119" t="str">
            <v>South Africa</v>
          </cell>
          <cell r="C119">
            <v>65.540000000000006</v>
          </cell>
          <cell r="D119" t="str">
            <v>LatAm &amp; RSA</v>
          </cell>
        </row>
        <row r="120">
          <cell r="A120" t="str">
            <v>Spain</v>
          </cell>
          <cell r="C120">
            <v>44.84</v>
          </cell>
          <cell r="D120" t="str">
            <v>Euro/AU/NZ</v>
          </cell>
        </row>
        <row r="121">
          <cell r="A121" t="str">
            <v>Sri Lanka</v>
          </cell>
          <cell r="C121">
            <v>20.835999999999999</v>
          </cell>
          <cell r="D121" t="str">
            <v>India/South Asia</v>
          </cell>
        </row>
        <row r="122">
          <cell r="A122" t="str">
            <v>Suriname</v>
          </cell>
          <cell r="C122">
            <v>0.624</v>
          </cell>
          <cell r="D122" t="str">
            <v>LatAm &amp; RSA</v>
          </cell>
        </row>
        <row r="123">
          <cell r="A123" t="str">
            <v>Eswatini</v>
          </cell>
          <cell r="C123">
            <v>1.792</v>
          </cell>
          <cell r="D123" t="str">
            <v>SSA</v>
          </cell>
        </row>
        <row r="124">
          <cell r="A124" t="str">
            <v>Sweden</v>
          </cell>
          <cell r="C124">
            <v>11.881</v>
          </cell>
          <cell r="D124" t="str">
            <v>Euro/AU/NZ</v>
          </cell>
        </row>
        <row r="125">
          <cell r="A125" t="str">
            <v>Tajikistan</v>
          </cell>
          <cell r="C125">
            <v>14.288</v>
          </cell>
          <cell r="D125" t="str">
            <v>APAC</v>
          </cell>
        </row>
        <row r="126">
          <cell r="A126" t="str">
            <v>Thailand</v>
          </cell>
          <cell r="C126">
            <v>62.451999999999998</v>
          </cell>
          <cell r="D126" t="str">
            <v>APAC</v>
          </cell>
        </row>
        <row r="127">
          <cell r="A127" t="str">
            <v>Togo</v>
          </cell>
          <cell r="C127">
            <v>15.680999999999999</v>
          </cell>
          <cell r="D127" t="str">
            <v>SSA</v>
          </cell>
        </row>
        <row r="128">
          <cell r="A128" t="str">
            <v>Trinidad and Tobago</v>
          </cell>
          <cell r="C128">
            <v>1.2909999999999999</v>
          </cell>
          <cell r="D128" t="str">
            <v>LatAm &amp; RSA</v>
          </cell>
        </row>
        <row r="129">
          <cell r="A129" t="str">
            <v>Tunisia</v>
          </cell>
          <cell r="C129">
            <v>13.476000000000001</v>
          </cell>
          <cell r="D129" t="str">
            <v>MENA</v>
          </cell>
        </row>
        <row r="130">
          <cell r="A130" t="str">
            <v>Turkey</v>
          </cell>
          <cell r="C130">
            <v>95.819000000000003</v>
          </cell>
          <cell r="D130" t="str">
            <v>MENA</v>
          </cell>
        </row>
        <row r="131">
          <cell r="A131" t="str">
            <v>Turkmenistan</v>
          </cell>
          <cell r="C131">
            <v>6.5549999999999997</v>
          </cell>
          <cell r="D131" t="str">
            <v>APAC</v>
          </cell>
        </row>
        <row r="132">
          <cell r="A132" t="str">
            <v>Uganda</v>
          </cell>
          <cell r="C132">
            <v>101.873</v>
          </cell>
          <cell r="D132" t="str">
            <v>SSA</v>
          </cell>
        </row>
        <row r="133">
          <cell r="A133" t="str">
            <v>Ukraine</v>
          </cell>
          <cell r="C133">
            <v>35.116999999999997</v>
          </cell>
          <cell r="D133" t="str">
            <v>Euro/AU/NZ</v>
          </cell>
        </row>
        <row r="134">
          <cell r="A134" t="str">
            <v>United Kingdom of Great Britain and Northern Ireland</v>
          </cell>
          <cell r="C134">
            <v>75.361000000000004</v>
          </cell>
          <cell r="D134" t="str">
            <v>Euro/AU/NZ</v>
          </cell>
        </row>
        <row r="135">
          <cell r="A135" t="str">
            <v>United Republic of Tanzania</v>
          </cell>
          <cell r="C135">
            <v>137.136</v>
          </cell>
          <cell r="D135" t="str">
            <v>SSA</v>
          </cell>
        </row>
        <row r="136">
          <cell r="A136" t="str">
            <v>United States of America</v>
          </cell>
          <cell r="C136">
            <v>388.86500000000001</v>
          </cell>
          <cell r="D136" t="str">
            <v>NAm</v>
          </cell>
        </row>
        <row r="137">
          <cell r="A137" t="str">
            <v>Uruguay</v>
          </cell>
          <cell r="C137">
            <v>3.6669999999999998</v>
          </cell>
          <cell r="D137" t="str">
            <v>LatAm &amp; RSA</v>
          </cell>
        </row>
        <row r="138">
          <cell r="A138" t="str">
            <v>Uzbekistan</v>
          </cell>
          <cell r="C138">
            <v>37.125999999999998</v>
          </cell>
          <cell r="D138" t="str">
            <v>APAC</v>
          </cell>
        </row>
        <row r="139">
          <cell r="A139" t="str">
            <v>Venezuela</v>
          </cell>
          <cell r="C139">
            <v>41.561999999999998</v>
          </cell>
          <cell r="D139" t="str">
            <v>LatAm &amp; RSA</v>
          </cell>
        </row>
        <row r="140">
          <cell r="A140" t="str">
            <v>Viet Nam</v>
          </cell>
          <cell r="C140">
            <v>112.783</v>
          </cell>
          <cell r="D140" t="str">
            <v>APAC</v>
          </cell>
        </row>
        <row r="141">
          <cell r="A141" t="str">
            <v>Yemen</v>
          </cell>
          <cell r="C141">
            <v>47.17</v>
          </cell>
          <cell r="D141" t="str">
            <v>MENA</v>
          </cell>
        </row>
        <row r="142">
          <cell r="A142" t="str">
            <v>Zambia</v>
          </cell>
          <cell r="C142">
            <v>42.975000000000001</v>
          </cell>
          <cell r="D142" t="str">
            <v>SSA</v>
          </cell>
        </row>
        <row r="143">
          <cell r="A143" t="str">
            <v>Zimbabwe</v>
          </cell>
          <cell r="C143">
            <v>29.614999999999998</v>
          </cell>
          <cell r="D143" t="str">
            <v>SSA</v>
          </cell>
        </row>
      </sheetData>
      <sheetData sheetId="26"/>
      <sheetData sheetId="27"/>
      <sheetData sheetId="28"/>
      <sheetData sheetId="29">
        <row r="3">
          <cell r="A3" t="str">
            <v>Bananas</v>
          </cell>
          <cell r="B3" t="str">
            <v>Tropical Fruits</v>
          </cell>
        </row>
        <row r="4">
          <cell r="A4" t="str">
            <v>Barley</v>
          </cell>
          <cell r="B4" t="str">
            <v xml:space="preserve">Other cereals </v>
          </cell>
        </row>
        <row r="5">
          <cell r="A5" t="str">
            <v>Beef and veal</v>
          </cell>
          <cell r="B5" t="str">
            <v>Ruminant Meats</v>
          </cell>
        </row>
        <row r="6">
          <cell r="A6" t="str">
            <v>Cassava</v>
          </cell>
          <cell r="B6" t="str">
            <v>Starchy roots</v>
          </cell>
        </row>
        <row r="7">
          <cell r="A7" t="str">
            <v>Citrus fruits</v>
          </cell>
          <cell r="B7" t="str">
            <v>Tropical Fruits</v>
          </cell>
        </row>
        <row r="8">
          <cell r="A8" t="str">
            <v>Cocoa beans</v>
          </cell>
          <cell r="B8" t="str">
            <v>Tropical Fruits</v>
          </cell>
        </row>
        <row r="9">
          <cell r="A9" t="str">
            <v>Coconuts</v>
          </cell>
          <cell r="B9" t="str">
            <v>Tropical Fruits</v>
          </cell>
        </row>
        <row r="10">
          <cell r="A10" t="str">
            <v>Coconuts oil</v>
          </cell>
          <cell r="B10" t="str">
            <v xml:space="preserve">Oil crops </v>
          </cell>
        </row>
        <row r="11">
          <cell r="A11" t="str">
            <v>Coffee, green</v>
          </cell>
          <cell r="B11" t="str">
            <v>Tropical Fruits</v>
          </cell>
        </row>
        <row r="12">
          <cell r="A12" t="str">
            <v>Cottonseed oil</v>
          </cell>
          <cell r="B12" t="str">
            <v xml:space="preserve">Oil crops </v>
          </cell>
        </row>
        <row r="13">
          <cell r="A13" t="str">
            <v>Dried pulses</v>
          </cell>
          <cell r="B13" t="str">
            <v>Legumes</v>
          </cell>
        </row>
        <row r="14">
          <cell r="A14" t="str">
            <v>Fish</v>
          </cell>
          <cell r="B14" t="str">
            <v>Fish</v>
          </cell>
        </row>
        <row r="15">
          <cell r="A15" t="str">
            <v>Grain maize</v>
          </cell>
          <cell r="B15" t="str">
            <v>Maize</v>
          </cell>
        </row>
        <row r="16">
          <cell r="A16" t="str">
            <v>Groundnut oil</v>
          </cell>
          <cell r="B16" t="str">
            <v xml:space="preserve">Oil crops </v>
          </cell>
        </row>
        <row r="17">
          <cell r="A17" t="str">
            <v>Groundnuts</v>
          </cell>
          <cell r="B17" t="str">
            <v>Legumes</v>
          </cell>
        </row>
        <row r="18">
          <cell r="A18" t="str">
            <v>Milled rice</v>
          </cell>
          <cell r="B18" t="str">
            <v>Rice</v>
          </cell>
        </row>
        <row r="19">
          <cell r="A19" t="str">
            <v>Millet</v>
          </cell>
          <cell r="B19" t="str">
            <v xml:space="preserve">Other cereals </v>
          </cell>
        </row>
        <row r="20">
          <cell r="A20" t="str">
            <v>Oilcrops, nes, oil</v>
          </cell>
          <cell r="B20" t="str">
            <v xml:space="preserve">Oil crops </v>
          </cell>
        </row>
        <row r="21">
          <cell r="A21" t="str">
            <v>Olive oil</v>
          </cell>
          <cell r="B21" t="str">
            <v xml:space="preserve">Oil crops </v>
          </cell>
        </row>
        <row r="22">
          <cell r="A22" t="str">
            <v>Olives</v>
          </cell>
          <cell r="B22" t="str">
            <v>Tropical Fruits</v>
          </cell>
        </row>
        <row r="23">
          <cell r="A23" t="str">
            <v>Other cereals</v>
          </cell>
          <cell r="B23" t="str">
            <v xml:space="preserve">Other cereals </v>
          </cell>
        </row>
        <row r="24">
          <cell r="A24" t="str">
            <v>Other crops</v>
          </cell>
          <cell r="B24" t="str">
            <v>Other veg</v>
          </cell>
        </row>
        <row r="25">
          <cell r="A25" t="str">
            <v>Other fruits</v>
          </cell>
          <cell r="B25" t="str">
            <v>Other veg</v>
          </cell>
        </row>
        <row r="26">
          <cell r="A26" t="str">
            <v>Other oilseeds</v>
          </cell>
          <cell r="B26" t="str">
            <v xml:space="preserve">Oil crops </v>
          </cell>
        </row>
        <row r="27">
          <cell r="A27" t="str">
            <v>Other roots and tubers</v>
          </cell>
          <cell r="B27" t="str">
            <v>Starchy roots</v>
          </cell>
        </row>
        <row r="28">
          <cell r="A28" t="str">
            <v>Other vegetables</v>
          </cell>
          <cell r="B28" t="str">
            <v>Other veg</v>
          </cell>
        </row>
        <row r="29">
          <cell r="A29" t="str">
            <v>Palm fruit oil</v>
          </cell>
          <cell r="B29" t="str">
            <v xml:space="preserve">Oil crops </v>
          </cell>
        </row>
        <row r="30">
          <cell r="A30" t="str">
            <v>Palm kernel oil</v>
          </cell>
          <cell r="B30" t="str">
            <v xml:space="preserve">Oil crops </v>
          </cell>
        </row>
        <row r="31">
          <cell r="A31" t="str">
            <v>Palm kernels</v>
          </cell>
          <cell r="B31" t="str">
            <v xml:space="preserve">Oil crops </v>
          </cell>
        </row>
        <row r="32">
          <cell r="A32" t="str">
            <v>Pigmeat</v>
          </cell>
          <cell r="B32" t="str">
            <v>Pork</v>
          </cell>
        </row>
        <row r="33">
          <cell r="A33" t="str">
            <v>Plantains</v>
          </cell>
          <cell r="B33" t="str">
            <v>Tropical Fruits</v>
          </cell>
        </row>
        <row r="34">
          <cell r="A34" t="str">
            <v>Potatoes</v>
          </cell>
          <cell r="B34" t="str">
            <v>Starchy roots</v>
          </cell>
        </row>
        <row r="35">
          <cell r="A35" t="str">
            <v>Poultry meat</v>
          </cell>
          <cell r="B35" t="str">
            <v>Poultry</v>
          </cell>
        </row>
        <row r="36">
          <cell r="A36" t="str">
            <v>Processed sugar</v>
          </cell>
          <cell r="B36" t="str">
            <v>Sugar</v>
          </cell>
        </row>
        <row r="37">
          <cell r="A37" t="str">
            <v>Rapeseed and mustard seed</v>
          </cell>
          <cell r="B37" t="str">
            <v>Other veg</v>
          </cell>
        </row>
        <row r="38">
          <cell r="A38" t="str">
            <v>Rapeseed oil</v>
          </cell>
          <cell r="B38" t="str">
            <v xml:space="preserve">Oil crops </v>
          </cell>
        </row>
        <row r="39">
          <cell r="A39" t="str">
            <v>Raw milk</v>
          </cell>
          <cell r="B39" t="str">
            <v>Dairy</v>
          </cell>
        </row>
        <row r="40">
          <cell r="A40" t="str">
            <v>Sesame seed</v>
          </cell>
          <cell r="B40" t="str">
            <v xml:space="preserve">Oil crops </v>
          </cell>
        </row>
        <row r="41">
          <cell r="A41" t="str">
            <v>Sesame seed oil</v>
          </cell>
          <cell r="B41" t="str">
            <v xml:space="preserve">Oil crops </v>
          </cell>
        </row>
        <row r="42">
          <cell r="A42" t="str">
            <v>Sheep and goat meat</v>
          </cell>
          <cell r="B42" t="str">
            <v>Ruminant Meats</v>
          </cell>
        </row>
        <row r="43">
          <cell r="A43" t="str">
            <v>Sorghum</v>
          </cell>
          <cell r="B43" t="str">
            <v>Other veg</v>
          </cell>
        </row>
        <row r="44">
          <cell r="A44" t="str">
            <v>Soya oil</v>
          </cell>
          <cell r="B44" t="str">
            <v xml:space="preserve">Oil crops </v>
          </cell>
        </row>
        <row r="45">
          <cell r="A45" t="str">
            <v>Soybeans</v>
          </cell>
          <cell r="B45" t="str">
            <v>Legumes</v>
          </cell>
        </row>
        <row r="46">
          <cell r="A46" t="str">
            <v>Sugar beet</v>
          </cell>
          <cell r="B46" t="str">
            <v>Sugar</v>
          </cell>
        </row>
        <row r="47">
          <cell r="A47" t="str">
            <v>Sugar cane</v>
          </cell>
          <cell r="B47" t="str">
            <v>Sugar</v>
          </cell>
        </row>
        <row r="48">
          <cell r="A48" t="str">
            <v>Sunflower seed</v>
          </cell>
          <cell r="B48" t="str">
            <v>Legumes</v>
          </cell>
        </row>
        <row r="49">
          <cell r="A49" t="str">
            <v>Sunflower seed oil</v>
          </cell>
          <cell r="B49" t="str">
            <v xml:space="preserve">Oil crops </v>
          </cell>
        </row>
        <row r="50">
          <cell r="A50" t="str">
            <v>Sweet potato and yams</v>
          </cell>
          <cell r="B50" t="str">
            <v>Starchy roots</v>
          </cell>
        </row>
        <row r="51">
          <cell r="A51" t="str">
            <v>Tea</v>
          </cell>
          <cell r="B51" t="str">
            <v>Tropical Fruits</v>
          </cell>
        </row>
        <row r="52">
          <cell r="A52" t="str">
            <v>Wheat</v>
          </cell>
          <cell r="B52" t="str">
            <v>Wheat</v>
          </cell>
        </row>
      </sheetData>
      <sheetData sheetId="30">
        <row r="3">
          <cell r="B3" t="str">
            <v>Ruminant Meats</v>
          </cell>
          <cell r="C3">
            <v>20.533333333333331</v>
          </cell>
        </row>
        <row r="4">
          <cell r="B4" t="str">
            <v>Pork</v>
          </cell>
          <cell r="C4">
            <v>5.8666666666666671</v>
          </cell>
        </row>
        <row r="5">
          <cell r="B5" t="str">
            <v>Poultry</v>
          </cell>
          <cell r="C5">
            <v>4.7666666666666666</v>
          </cell>
        </row>
        <row r="6">
          <cell r="B6" t="str">
            <v>Other meat</v>
          </cell>
          <cell r="C6">
            <v>8.7999999999999989</v>
          </cell>
        </row>
        <row r="7">
          <cell r="B7" t="str">
            <v>Fish</v>
          </cell>
          <cell r="C7">
            <v>9.5333333333333332</v>
          </cell>
        </row>
        <row r="8">
          <cell r="B8" t="str">
            <v>Dairy</v>
          </cell>
          <cell r="C8">
            <v>1.906666666666667</v>
          </cell>
        </row>
        <row r="9">
          <cell r="B9" t="str">
            <v>Butter</v>
          </cell>
          <cell r="C9">
            <v>1.2100000000000002</v>
          </cell>
        </row>
        <row r="10">
          <cell r="B10" t="str">
            <v>Eggs</v>
          </cell>
          <cell r="C10">
            <v>2.1633333333333331</v>
          </cell>
        </row>
        <row r="11">
          <cell r="B11" t="str">
            <v>Wheat</v>
          </cell>
          <cell r="C11">
            <v>0.21999999999999997</v>
          </cell>
        </row>
        <row r="12">
          <cell r="B12" t="str">
            <v>Rice</v>
          </cell>
          <cell r="C12">
            <v>0.51333333333333331</v>
          </cell>
        </row>
        <row r="13">
          <cell r="B13" t="str">
            <v>Maize</v>
          </cell>
          <cell r="C13">
            <v>0.10999999999999999</v>
          </cell>
        </row>
        <row r="14">
          <cell r="B14" t="str">
            <v xml:space="preserve">Other cereals </v>
          </cell>
          <cell r="C14">
            <v>0.18333333333333335</v>
          </cell>
        </row>
        <row r="15">
          <cell r="B15" t="str">
            <v>Starchy roots</v>
          </cell>
          <cell r="C15">
            <v>0.10999999999999999</v>
          </cell>
        </row>
        <row r="16">
          <cell r="B16" t="str">
            <v>Legumes</v>
          </cell>
          <cell r="C16">
            <v>7.3333333333333334E-2</v>
          </cell>
        </row>
        <row r="17">
          <cell r="B17" t="str">
            <v xml:space="preserve">Oil crops </v>
          </cell>
          <cell r="C17">
            <v>0.18333333333333335</v>
          </cell>
        </row>
        <row r="18">
          <cell r="B18" t="str">
            <v>Vegetables</v>
          </cell>
          <cell r="C18">
            <v>2.4933333333333336</v>
          </cell>
        </row>
        <row r="19">
          <cell r="B19" t="str">
            <v>Temperate Fruits</v>
          </cell>
          <cell r="C19">
            <v>0.3666666666666667</v>
          </cell>
        </row>
        <row r="20">
          <cell r="B20" t="str">
            <v>Tropical Fruits</v>
          </cell>
          <cell r="C20">
            <v>0.51333333333333331</v>
          </cell>
        </row>
        <row r="21">
          <cell r="B21" t="str">
            <v>Sugar</v>
          </cell>
          <cell r="C21">
            <v>7.3333333333333334E-2</v>
          </cell>
        </row>
        <row r="22">
          <cell r="B22" t="str">
            <v>Other veg</v>
          </cell>
          <cell r="C22">
            <v>0.26766666666666666</v>
          </cell>
        </row>
        <row r="23">
          <cell r="B23" t="str">
            <v xml:space="preserve">Miscellanous </v>
          </cell>
          <cell r="C23">
            <v>1.2100000000000002</v>
          </cell>
        </row>
      </sheetData>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5409-E652-4F4A-B1BF-877634207C36}">
  <sheetPr>
    <tabColor theme="9" tint="-0.249977111117893"/>
  </sheetPr>
  <dimension ref="A1:N62"/>
  <sheetViews>
    <sheetView tabSelected="1" zoomScale="79" zoomScaleNormal="100" workbookViewId="0">
      <selection activeCell="A4" sqref="A4"/>
    </sheetView>
  </sheetViews>
  <sheetFormatPr defaultRowHeight="14.5" x14ac:dyDescent="0.35"/>
  <cols>
    <col min="1" max="1" width="20.36328125" customWidth="1"/>
    <col min="2" max="2" width="22.6328125" customWidth="1"/>
    <col min="3" max="3" width="21.08984375" customWidth="1"/>
    <col min="4" max="4" width="18.08984375" customWidth="1"/>
    <col min="5" max="5" width="14.54296875" bestFit="1" customWidth="1"/>
    <col min="6" max="6" width="13.26953125" bestFit="1" customWidth="1"/>
    <col min="7" max="7" width="14.08984375" customWidth="1"/>
    <col min="8" max="8" width="14" customWidth="1"/>
    <col min="9" max="9" width="13.36328125" customWidth="1"/>
    <col min="10" max="10" width="12.26953125" customWidth="1"/>
    <col min="12" max="12" width="9.6328125" bestFit="1" customWidth="1"/>
  </cols>
  <sheetData>
    <row r="1" spans="1:14" x14ac:dyDescent="0.35">
      <c r="A1" s="19" t="s">
        <v>54</v>
      </c>
    </row>
    <row r="3" spans="1:14" x14ac:dyDescent="0.35">
      <c r="A3" s="20" t="s">
        <v>55</v>
      </c>
    </row>
    <row r="4" spans="1:14" x14ac:dyDescent="0.35">
      <c r="A4" s="15" t="s">
        <v>56</v>
      </c>
      <c r="B4" s="15" t="s">
        <v>57</v>
      </c>
    </row>
    <row r="5" spans="1:14" ht="29" x14ac:dyDescent="0.35">
      <c r="A5" s="21" t="s">
        <v>58</v>
      </c>
      <c r="B5" s="22">
        <v>2454</v>
      </c>
    </row>
    <row r="6" spans="1:14" ht="29" x14ac:dyDescent="0.35">
      <c r="A6" s="21" t="s">
        <v>59</v>
      </c>
      <c r="B6" s="22">
        <v>1526</v>
      </c>
    </row>
    <row r="7" spans="1:14" ht="58" x14ac:dyDescent="0.35">
      <c r="A7" s="21" t="s">
        <v>60</v>
      </c>
      <c r="B7" s="22">
        <v>540</v>
      </c>
    </row>
    <row r="9" spans="1:14" x14ac:dyDescent="0.35">
      <c r="A9" s="23" t="s">
        <v>61</v>
      </c>
    </row>
    <row r="10" spans="1:14" s="24" customFormat="1" x14ac:dyDescent="0.35">
      <c r="A10" s="15" t="s">
        <v>53</v>
      </c>
      <c r="B10" s="15">
        <v>2000</v>
      </c>
      <c r="C10" s="15">
        <v>2005</v>
      </c>
      <c r="D10" s="15">
        <v>2010</v>
      </c>
      <c r="E10" s="15">
        <v>2015</v>
      </c>
      <c r="F10" s="15">
        <v>2019</v>
      </c>
      <c r="G10" s="15">
        <v>2025</v>
      </c>
      <c r="H10" s="15">
        <v>2030</v>
      </c>
      <c r="I10" s="15">
        <v>2035</v>
      </c>
      <c r="J10" s="15">
        <v>2040</v>
      </c>
      <c r="K10" s="15">
        <v>2045</v>
      </c>
      <c r="L10" s="15">
        <v>2050</v>
      </c>
    </row>
    <row r="11" spans="1:14" x14ac:dyDescent="0.35">
      <c r="A11" s="21" t="s">
        <v>62</v>
      </c>
      <c r="B11" s="25">
        <v>305.29055999999997</v>
      </c>
      <c r="C11" s="25">
        <v>377.18268999999998</v>
      </c>
      <c r="D11" s="25">
        <v>454.95850000000002</v>
      </c>
      <c r="E11" s="25">
        <v>549.95587</v>
      </c>
      <c r="F11" s="25">
        <v>655.56789000000003</v>
      </c>
      <c r="G11" s="25"/>
      <c r="H11" s="25"/>
      <c r="I11" s="25"/>
      <c r="J11" s="25"/>
      <c r="K11" s="25"/>
      <c r="L11" s="26"/>
      <c r="M11" s="88"/>
      <c r="N11" s="122"/>
    </row>
    <row r="12" spans="1:14" x14ac:dyDescent="0.35">
      <c r="A12" s="21" t="s">
        <v>0</v>
      </c>
      <c r="B12" s="25">
        <v>39.804940000000002</v>
      </c>
      <c r="C12" s="25">
        <v>39.01726</v>
      </c>
      <c r="D12" s="25">
        <v>31.55031</v>
      </c>
      <c r="E12" s="25">
        <v>47.847230000000003</v>
      </c>
      <c r="F12" s="25">
        <v>58.681570000000001</v>
      </c>
      <c r="G12" s="25"/>
      <c r="H12" s="25"/>
      <c r="I12" s="25"/>
      <c r="J12" s="25"/>
      <c r="K12" s="25"/>
      <c r="L12" s="26"/>
      <c r="M12" s="88"/>
      <c r="N12" s="122"/>
    </row>
    <row r="13" spans="1:14" x14ac:dyDescent="0.35">
      <c r="A13" s="21" t="s">
        <v>63</v>
      </c>
      <c r="B13" s="25">
        <v>107.18893</v>
      </c>
      <c r="C13" s="25">
        <v>110.13155999999999</v>
      </c>
      <c r="D13" s="25">
        <v>108.08175999999999</v>
      </c>
      <c r="E13" s="25">
        <v>128.04525999999998</v>
      </c>
      <c r="F13" s="25">
        <v>126.65716</v>
      </c>
      <c r="G13" s="25"/>
      <c r="H13" s="25"/>
      <c r="I13" s="25"/>
      <c r="J13" s="25"/>
      <c r="K13" s="25"/>
      <c r="L13" s="26"/>
      <c r="M13" s="88"/>
      <c r="N13" s="122"/>
    </row>
    <row r="14" spans="1:14" x14ac:dyDescent="0.35">
      <c r="A14" s="21" t="s">
        <v>64</v>
      </c>
      <c r="B14" s="25">
        <v>59.22757</v>
      </c>
      <c r="C14" s="25">
        <v>71.102809999999991</v>
      </c>
      <c r="D14" s="25">
        <v>88.657229999999998</v>
      </c>
      <c r="E14" s="25">
        <v>99.694679999999991</v>
      </c>
      <c r="F14" s="25">
        <v>128.10724999999999</v>
      </c>
      <c r="G14" s="25"/>
      <c r="H14" s="25"/>
      <c r="I14" s="25"/>
      <c r="J14" s="25"/>
      <c r="K14" s="25"/>
      <c r="L14" s="26"/>
      <c r="M14" s="88"/>
      <c r="N14" s="122"/>
    </row>
    <row r="15" spans="1:14" x14ac:dyDescent="0.35">
      <c r="A15" s="21" t="s">
        <v>65</v>
      </c>
      <c r="B15" s="25">
        <v>342.99131</v>
      </c>
      <c r="C15" s="25">
        <v>709.68106999999998</v>
      </c>
      <c r="D15" s="25">
        <v>529.52217000000007</v>
      </c>
      <c r="E15" s="25">
        <v>1730.2758999999999</v>
      </c>
      <c r="F15" s="25">
        <v>818.65399000000002</v>
      </c>
      <c r="G15" s="25"/>
      <c r="H15" s="25"/>
      <c r="I15" s="25"/>
      <c r="J15" s="25"/>
      <c r="K15" s="25"/>
      <c r="L15" s="26"/>
      <c r="M15" s="88"/>
      <c r="N15" s="122"/>
    </row>
    <row r="16" spans="1:14" x14ac:dyDescent="0.35">
      <c r="A16" s="21" t="s">
        <v>66</v>
      </c>
      <c r="B16" s="25">
        <f>SUM(B11:B15)</f>
        <v>854.50330999999994</v>
      </c>
      <c r="C16" s="25">
        <f t="shared" ref="C16:F16" si="0">SUM(C11:C15)</f>
        <v>1307.1153899999999</v>
      </c>
      <c r="D16" s="25">
        <f t="shared" si="0"/>
        <v>1212.7699700000003</v>
      </c>
      <c r="E16" s="25">
        <f t="shared" si="0"/>
        <v>2555.8189399999997</v>
      </c>
      <c r="F16" s="25">
        <f t="shared" si="0"/>
        <v>1787.66786</v>
      </c>
      <c r="G16" s="25"/>
      <c r="H16" s="25"/>
      <c r="I16" s="25"/>
      <c r="J16" s="25"/>
      <c r="K16" s="25"/>
      <c r="L16" s="26"/>
      <c r="M16" s="88"/>
      <c r="N16" s="122"/>
    </row>
    <row r="17" spans="1:13" x14ac:dyDescent="0.35">
      <c r="A17" s="21" t="s">
        <v>67</v>
      </c>
      <c r="B17" s="25"/>
      <c r="C17" s="25"/>
      <c r="D17" s="25"/>
      <c r="E17" s="25"/>
      <c r="F17" s="25"/>
      <c r="G17" s="25"/>
      <c r="H17" s="25"/>
      <c r="I17" s="25"/>
      <c r="J17" s="25"/>
      <c r="K17" s="25"/>
      <c r="L17" s="25">
        <v>2454</v>
      </c>
      <c r="M17" s="88"/>
    </row>
    <row r="18" spans="1:13" x14ac:dyDescent="0.35">
      <c r="A18" s="21" t="s">
        <v>68</v>
      </c>
      <c r="B18" s="25"/>
      <c r="C18" s="25"/>
      <c r="D18" s="25"/>
      <c r="E18" s="25"/>
      <c r="F18" s="25"/>
      <c r="G18" s="25"/>
      <c r="H18" s="25"/>
      <c r="I18" s="25"/>
      <c r="J18" s="25"/>
      <c r="K18" s="25"/>
      <c r="L18" s="25">
        <v>540</v>
      </c>
    </row>
    <row r="19" spans="1:13" x14ac:dyDescent="0.35">
      <c r="B19" s="27"/>
      <c r="C19" s="27"/>
      <c r="D19" s="27"/>
      <c r="E19" s="27"/>
      <c r="F19" s="27"/>
      <c r="G19" s="27"/>
    </row>
    <row r="20" spans="1:13" x14ac:dyDescent="0.35">
      <c r="A20" s="19" t="s">
        <v>69</v>
      </c>
      <c r="H20" s="19"/>
    </row>
    <row r="22" spans="1:13" x14ac:dyDescent="0.35">
      <c r="A22" s="28" t="s">
        <v>70</v>
      </c>
    </row>
    <row r="23" spans="1:13" x14ac:dyDescent="0.35">
      <c r="A23" s="28" t="s">
        <v>71</v>
      </c>
    </row>
    <row r="24" spans="1:13" x14ac:dyDescent="0.35">
      <c r="A24" s="28"/>
    </row>
    <row r="25" spans="1:13" x14ac:dyDescent="0.35">
      <c r="A25" s="29" t="s">
        <v>72</v>
      </c>
    </row>
    <row r="26" spans="1:13" x14ac:dyDescent="0.35">
      <c r="A26" s="227">
        <v>2020</v>
      </c>
      <c r="B26" s="229">
        <v>2050</v>
      </c>
      <c r="C26" s="230"/>
      <c r="D26" s="231"/>
      <c r="E26" s="227" t="s">
        <v>73</v>
      </c>
    </row>
    <row r="27" spans="1:13" x14ac:dyDescent="0.35">
      <c r="A27" s="228"/>
      <c r="B27" s="15" t="s">
        <v>74</v>
      </c>
      <c r="C27" s="15" t="s">
        <v>75</v>
      </c>
      <c r="D27" s="15" t="s">
        <v>76</v>
      </c>
      <c r="E27" s="228"/>
    </row>
    <row r="28" spans="1:13" s="16" customFormat="1" x14ac:dyDescent="0.35">
      <c r="A28" s="25">
        <v>269580000</v>
      </c>
      <c r="B28" s="25">
        <v>328930000</v>
      </c>
      <c r="C28" s="25">
        <v>337990000</v>
      </c>
      <c r="D28" s="25">
        <v>333570000</v>
      </c>
      <c r="E28" s="25">
        <f>AVERAGE(A28:B28)</f>
        <v>299255000</v>
      </c>
      <c r="G28" s="121"/>
    </row>
    <row r="29" spans="1:13" x14ac:dyDescent="0.35">
      <c r="A29" s="29" t="s">
        <v>77</v>
      </c>
    </row>
    <row r="30" spans="1:13" x14ac:dyDescent="0.35">
      <c r="A30" s="227">
        <v>2020</v>
      </c>
      <c r="B30" s="229">
        <v>2050</v>
      </c>
      <c r="C30" s="230"/>
      <c r="D30" s="231"/>
      <c r="E30" s="227" t="s">
        <v>73</v>
      </c>
    </row>
    <row r="31" spans="1:13" x14ac:dyDescent="0.35">
      <c r="A31" s="228"/>
      <c r="B31" s="15" t="s">
        <v>78</v>
      </c>
      <c r="C31" s="15" t="s">
        <v>79</v>
      </c>
      <c r="D31" s="15" t="s">
        <v>80</v>
      </c>
      <c r="E31" s="228"/>
    </row>
    <row r="32" spans="1:13" s="16" customFormat="1" x14ac:dyDescent="0.35">
      <c r="A32" s="25">
        <v>7887000764</v>
      </c>
      <c r="B32" s="25">
        <v>10200000000</v>
      </c>
      <c r="C32" s="25">
        <v>9400000000</v>
      </c>
      <c r="D32" s="25">
        <f>(B32+C32)/2</f>
        <v>9800000000</v>
      </c>
      <c r="E32" s="25">
        <f>AVERAGE(A32,D32)</f>
        <v>8843500382</v>
      </c>
    </row>
    <row r="33" spans="1:10" x14ac:dyDescent="0.35">
      <c r="D33" s="31"/>
      <c r="E33" s="31"/>
    </row>
    <row r="34" spans="1:10" x14ac:dyDescent="0.35">
      <c r="A34" s="32" t="s">
        <v>81</v>
      </c>
      <c r="B34" s="33"/>
      <c r="C34" s="34"/>
      <c r="D34" s="33"/>
      <c r="E34" s="33"/>
    </row>
    <row r="35" spans="1:10" x14ac:dyDescent="0.35">
      <c r="A35" s="32" t="s">
        <v>82</v>
      </c>
      <c r="B35" s="33"/>
      <c r="C35" s="34"/>
      <c r="D35" s="33"/>
      <c r="E35" s="33"/>
    </row>
    <row r="36" spans="1:10" ht="26" x14ac:dyDescent="0.35">
      <c r="A36" s="15" t="s">
        <v>83</v>
      </c>
      <c r="B36" s="15" t="s">
        <v>84</v>
      </c>
      <c r="C36" s="15" t="s">
        <v>85</v>
      </c>
      <c r="D36" s="33"/>
      <c r="E36" s="33"/>
    </row>
    <row r="37" spans="1:10" x14ac:dyDescent="0.35">
      <c r="A37" s="25">
        <v>7275</v>
      </c>
      <c r="B37" s="25">
        <f>49583+34102+28021+7275+6779+6532+6138+5563+5369+5127+4705+4087+3539+3495+3282+3115+3100+2990+2831+2732+2586+2564+2536+2280+2263+2103+2103+2054+1995+1939+1591+1496</f>
        <v>213875</v>
      </c>
      <c r="C37" s="204">
        <f>A37/B37</f>
        <v>3.4015195791934544E-2</v>
      </c>
      <c r="D37" s="33"/>
      <c r="E37" s="33"/>
    </row>
    <row r="38" spans="1:10" x14ac:dyDescent="0.35">
      <c r="A38" s="24"/>
      <c r="B38" s="33"/>
      <c r="C38" s="34"/>
      <c r="D38" s="33"/>
      <c r="E38" s="33"/>
    </row>
    <row r="39" spans="1:10" x14ac:dyDescent="0.35">
      <c r="A39" s="227" t="s">
        <v>86</v>
      </c>
      <c r="B39" s="227" t="s">
        <v>87</v>
      </c>
      <c r="C39" s="229" t="s">
        <v>88</v>
      </c>
      <c r="D39" s="230"/>
      <c r="E39" s="231"/>
    </row>
    <row r="40" spans="1:10" ht="26" x14ac:dyDescent="0.35">
      <c r="A40" s="228"/>
      <c r="B40" s="228"/>
      <c r="C40" s="15" t="s">
        <v>89</v>
      </c>
      <c r="D40" s="15" t="s">
        <v>90</v>
      </c>
      <c r="E40" s="15" t="s">
        <v>91</v>
      </c>
    </row>
    <row r="41" spans="1:10" x14ac:dyDescent="0.35">
      <c r="A41" s="35" t="s">
        <v>92</v>
      </c>
      <c r="B41" s="25">
        <v>30</v>
      </c>
      <c r="C41" s="25">
        <v>2</v>
      </c>
      <c r="D41" s="25">
        <f>C41*1000</f>
        <v>2000</v>
      </c>
      <c r="E41" s="25">
        <f>D41*B41/2</f>
        <v>30000</v>
      </c>
    </row>
    <row r="42" spans="1:10" x14ac:dyDescent="0.35">
      <c r="A42" s="35" t="s">
        <v>93</v>
      </c>
      <c r="B42" s="25">
        <v>30</v>
      </c>
      <c r="C42" s="36">
        <f>C41*(E28/E32)</f>
        <v>6.7677952637193659E-2</v>
      </c>
      <c r="D42" s="25">
        <f>C42*1000</f>
        <v>67.677952637193656</v>
      </c>
      <c r="E42" s="25">
        <f>D42*B42/2</f>
        <v>1015.1692895579048</v>
      </c>
    </row>
    <row r="43" spans="1:10" x14ac:dyDescent="0.35">
      <c r="A43" s="35" t="s">
        <v>94</v>
      </c>
      <c r="B43" s="35">
        <v>30</v>
      </c>
      <c r="C43" s="37">
        <f>C41*C37</f>
        <v>6.8030391583869088E-2</v>
      </c>
      <c r="D43" s="25">
        <f>C43*1000</f>
        <v>68.03039158386909</v>
      </c>
      <c r="E43" s="25">
        <f>D43*B43/2</f>
        <v>1020.4558737580363</v>
      </c>
    </row>
    <row r="45" spans="1:10" x14ac:dyDescent="0.35">
      <c r="A45" s="19" t="s">
        <v>95</v>
      </c>
    </row>
    <row r="46" spans="1:10" x14ac:dyDescent="0.35">
      <c r="A46" s="28" t="s">
        <v>70</v>
      </c>
    </row>
    <row r="47" spans="1:10" x14ac:dyDescent="0.35">
      <c r="A47" s="23" t="s">
        <v>96</v>
      </c>
      <c r="B47" s="27"/>
      <c r="C47" s="27"/>
      <c r="D47" s="27"/>
      <c r="E47" s="27"/>
      <c r="F47" s="27"/>
    </row>
    <row r="48" spans="1:10" s="38" customFormat="1" ht="58" customHeight="1" x14ac:dyDescent="0.35">
      <c r="A48" s="15" t="s">
        <v>97</v>
      </c>
      <c r="B48" s="15" t="s">
        <v>98</v>
      </c>
      <c r="C48" s="15" t="s">
        <v>99</v>
      </c>
      <c r="G48"/>
      <c r="H48"/>
      <c r="I48"/>
      <c r="J48"/>
    </row>
    <row r="49" spans="1:6" x14ac:dyDescent="0.35">
      <c r="A49" s="39">
        <f>B5-B7</f>
        <v>1914</v>
      </c>
      <c r="B49" s="40">
        <f>D42</f>
        <v>67.677952637193656</v>
      </c>
      <c r="C49" s="41">
        <f>A49/B49</f>
        <v>28.280997362029037</v>
      </c>
    </row>
    <row r="50" spans="1:6" x14ac:dyDescent="0.35">
      <c r="B50" s="27"/>
      <c r="C50" s="27"/>
      <c r="D50" s="27"/>
      <c r="E50" s="27"/>
      <c r="F50" s="27"/>
    </row>
    <row r="51" spans="1:6" x14ac:dyDescent="0.35">
      <c r="A51" s="23" t="s">
        <v>100</v>
      </c>
    </row>
    <row r="52" spans="1:6" ht="26" x14ac:dyDescent="0.35">
      <c r="A52" s="15" t="s">
        <v>101</v>
      </c>
      <c r="B52" s="15" t="s">
        <v>102</v>
      </c>
      <c r="C52" s="15" t="s">
        <v>99</v>
      </c>
    </row>
    <row r="53" spans="1:6" x14ac:dyDescent="0.35">
      <c r="A53" s="40">
        <v>28710</v>
      </c>
      <c r="B53" s="40">
        <v>1015.1692895579048</v>
      </c>
      <c r="C53" s="41">
        <f>A53/B53</f>
        <v>28.280997362029041</v>
      </c>
    </row>
    <row r="55" spans="1:6" x14ac:dyDescent="0.35">
      <c r="A55" s="28" t="s">
        <v>103</v>
      </c>
    </row>
    <row r="56" spans="1:6" x14ac:dyDescent="0.35">
      <c r="A56" s="23" t="s">
        <v>96</v>
      </c>
      <c r="B56" s="27"/>
      <c r="C56" s="27"/>
    </row>
    <row r="57" spans="1:6" ht="26" x14ac:dyDescent="0.35">
      <c r="A57" s="15" t="s">
        <v>97</v>
      </c>
      <c r="B57" s="15" t="s">
        <v>98</v>
      </c>
      <c r="C57" s="15" t="s">
        <v>99</v>
      </c>
    </row>
    <row r="58" spans="1:6" x14ac:dyDescent="0.35">
      <c r="A58" s="39">
        <v>1914</v>
      </c>
      <c r="B58" s="40">
        <f>D43</f>
        <v>68.03039158386909</v>
      </c>
      <c r="C58" s="41">
        <f>A58/B58</f>
        <v>28.134484536082471</v>
      </c>
    </row>
    <row r="59" spans="1:6" x14ac:dyDescent="0.35">
      <c r="B59" s="27"/>
      <c r="C59" s="27"/>
    </row>
    <row r="60" spans="1:6" x14ac:dyDescent="0.35">
      <c r="A60" s="23" t="s">
        <v>104</v>
      </c>
    </row>
    <row r="61" spans="1:6" ht="26" x14ac:dyDescent="0.35">
      <c r="A61" s="15" t="s">
        <v>101</v>
      </c>
      <c r="B61" s="15" t="s">
        <v>102</v>
      </c>
      <c r="C61" s="15" t="s">
        <v>99</v>
      </c>
    </row>
    <row r="62" spans="1:6" x14ac:dyDescent="0.35">
      <c r="A62" s="40">
        <v>28710</v>
      </c>
      <c r="B62" s="40">
        <f>E43</f>
        <v>1020.4558737580363</v>
      </c>
      <c r="C62" s="41">
        <f>A62/B62</f>
        <v>28.134484536082471</v>
      </c>
    </row>
  </sheetData>
  <mergeCells count="9">
    <mergeCell ref="A30:A31"/>
    <mergeCell ref="B30:D30"/>
    <mergeCell ref="E30:E31"/>
    <mergeCell ref="A26:A27"/>
    <mergeCell ref="B26:D26"/>
    <mergeCell ref="E26:E27"/>
    <mergeCell ref="A39:A40"/>
    <mergeCell ref="B39:B40"/>
    <mergeCell ref="C39:E3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A174-3325-4867-B47A-019AFA742673}">
  <sheetPr>
    <tabColor theme="0" tint="-0.34998626667073579"/>
  </sheetPr>
  <dimension ref="B2:J53"/>
  <sheetViews>
    <sheetView zoomScale="85" zoomScaleNormal="85" workbookViewId="0">
      <pane ySplit="2" topLeftCell="A3" activePane="bottomLeft" state="frozen"/>
      <selection activeCell="B1" sqref="B1"/>
      <selection pane="bottomLeft" activeCell="B5" sqref="B5:J5"/>
    </sheetView>
  </sheetViews>
  <sheetFormatPr defaultRowHeight="14.5" x14ac:dyDescent="0.35"/>
  <cols>
    <col min="1" max="1" width="3" style="16" customWidth="1"/>
    <col min="2" max="2" width="8" style="16" customWidth="1"/>
    <col min="3" max="3" width="32.7265625" style="16" customWidth="1"/>
    <col min="4" max="4" width="14" style="16" customWidth="1"/>
    <col min="5" max="5" width="11.90625" style="38" customWidth="1"/>
    <col min="6" max="6" width="8" style="16" customWidth="1"/>
    <col min="7" max="7" width="30.08984375" style="16" customWidth="1"/>
    <col min="8" max="8" width="11" style="16" bestFit="1" customWidth="1"/>
    <col min="9" max="9" width="13.1796875" style="16" customWidth="1"/>
    <col min="10" max="10" width="21.26953125" style="16" bestFit="1" customWidth="1"/>
    <col min="11" max="16384" width="8.7265625" style="16"/>
  </cols>
  <sheetData>
    <row r="2" spans="2:10" x14ac:dyDescent="0.35">
      <c r="B2" s="236" t="s">
        <v>191</v>
      </c>
      <c r="C2" s="237"/>
      <c r="D2" s="237"/>
      <c r="E2" s="237"/>
      <c r="F2" s="237"/>
      <c r="G2" s="237"/>
      <c r="H2" s="237"/>
      <c r="I2" s="237"/>
      <c r="J2" s="237"/>
    </row>
    <row r="3" spans="2:10" ht="29" customHeight="1" x14ac:dyDescent="0.35">
      <c r="B3" s="240" t="s">
        <v>214</v>
      </c>
      <c r="C3" s="240"/>
      <c r="D3" s="86">
        <v>67.677952637193656</v>
      </c>
      <c r="E3" s="16"/>
    </row>
    <row r="4" spans="2:10" x14ac:dyDescent="0.35">
      <c r="E4" s="16"/>
    </row>
    <row r="5" spans="2:10" ht="18.5" x14ac:dyDescent="0.35">
      <c r="B5" s="238" t="s">
        <v>190</v>
      </c>
      <c r="C5" s="238"/>
      <c r="D5" s="238"/>
      <c r="E5" s="238"/>
      <c r="F5" s="238"/>
      <c r="G5" s="238"/>
      <c r="H5" s="238"/>
      <c r="I5" s="238"/>
      <c r="J5" s="238"/>
    </row>
    <row r="6" spans="2:10" ht="26" x14ac:dyDescent="0.35">
      <c r="B6" s="1" t="s">
        <v>3</v>
      </c>
      <c r="C6" s="1" t="s">
        <v>4</v>
      </c>
      <c r="D6" s="1" t="s">
        <v>5</v>
      </c>
      <c r="E6" s="1" t="s">
        <v>162</v>
      </c>
      <c r="F6" s="1" t="s">
        <v>163</v>
      </c>
      <c r="G6" s="1" t="s">
        <v>164</v>
      </c>
      <c r="H6" s="1" t="s">
        <v>669</v>
      </c>
      <c r="I6" s="1" t="s">
        <v>5</v>
      </c>
      <c r="J6" s="1" t="s">
        <v>271</v>
      </c>
    </row>
    <row r="7" spans="2:10" ht="26" x14ac:dyDescent="0.35">
      <c r="B7" s="68" t="s">
        <v>8</v>
      </c>
      <c r="C7" s="69" t="s">
        <v>9</v>
      </c>
      <c r="D7" s="70" t="s">
        <v>165</v>
      </c>
      <c r="E7" s="138">
        <f>$D$3/('Power Sector Inputs'!$D$65/1000)</f>
        <v>63.078254499072749</v>
      </c>
      <c r="F7" s="151">
        <f>E7/'Power Sector Inputs'!$D$56</f>
        <v>3.0721774440545656E-2</v>
      </c>
      <c r="G7" s="3" t="s">
        <v>570</v>
      </c>
      <c r="H7" s="71">
        <f>SUM('Power Sector Inputs'!$D$44,'Power Sector Inputs'!$D$46,'Power Sector Inputs'!$D$48)</f>
        <v>1229.92</v>
      </c>
      <c r="I7" s="70" t="s">
        <v>165</v>
      </c>
      <c r="J7" s="138">
        <f>H7/E7</f>
        <v>19.498320138488928</v>
      </c>
    </row>
    <row r="8" spans="2:10" ht="26" x14ac:dyDescent="0.35">
      <c r="B8" s="5" t="s">
        <v>10</v>
      </c>
      <c r="C8" s="18" t="s">
        <v>11</v>
      </c>
      <c r="D8" s="4" t="s">
        <v>165</v>
      </c>
      <c r="E8" s="139">
        <f>$D$3/('Power Sector Inputs'!$D$65/1000)</f>
        <v>63.078254499072749</v>
      </c>
      <c r="F8" s="152">
        <f>E8/'Power Sector Inputs'!$D$56</f>
        <v>3.0721774440545656E-2</v>
      </c>
      <c r="G8" s="4" t="s">
        <v>571</v>
      </c>
      <c r="H8" s="72">
        <f>SUM('Power Sector Inputs'!$D$44,'Power Sector Inputs'!$D$46,'Power Sector Inputs'!$D$48)</f>
        <v>1229.92</v>
      </c>
      <c r="I8" s="4" t="s">
        <v>165</v>
      </c>
      <c r="J8" s="139">
        <f t="shared" ref="J8:J10" si="0">H8/E8</f>
        <v>19.498320138488928</v>
      </c>
    </row>
    <row r="9" spans="2:10" ht="26" x14ac:dyDescent="0.35">
      <c r="B9" s="68" t="s">
        <v>12</v>
      </c>
      <c r="C9" s="215" t="s">
        <v>13</v>
      </c>
      <c r="D9" s="70" t="s">
        <v>165</v>
      </c>
      <c r="E9" s="138">
        <f>$D$3/('Power Sector Inputs'!$D$65/1000)</f>
        <v>63.078254499072749</v>
      </c>
      <c r="F9" s="151">
        <f>E9/'Power Sector Inputs'!$D$56</f>
        <v>3.0721774440545656E-2</v>
      </c>
      <c r="G9" s="3" t="s">
        <v>791</v>
      </c>
      <c r="H9" s="71">
        <f>SUM('Power Sector Inputs'!$D$44,'Power Sector Inputs'!$D$46,'Power Sector Inputs'!$D$48)</f>
        <v>1229.92</v>
      </c>
      <c r="I9" s="70" t="s">
        <v>165</v>
      </c>
      <c r="J9" s="138">
        <f>H9/E9</f>
        <v>19.498320138488928</v>
      </c>
    </row>
    <row r="10" spans="2:10" ht="26" x14ac:dyDescent="0.35">
      <c r="B10" s="5" t="s">
        <v>14</v>
      </c>
      <c r="C10" s="18" t="s">
        <v>166</v>
      </c>
      <c r="D10" s="4" t="s">
        <v>165</v>
      </c>
      <c r="E10" s="139">
        <f>$D$3/('Power Sector Inputs'!$D$65/1000)</f>
        <v>63.078254499072749</v>
      </c>
      <c r="F10" s="153">
        <f>E10/'Power Sector Inputs'!$D$56</f>
        <v>3.0721774440545656E-2</v>
      </c>
      <c r="G10" s="4" t="s">
        <v>572</v>
      </c>
      <c r="H10" s="139">
        <v>289.7</v>
      </c>
      <c r="I10" s="4" t="s">
        <v>165</v>
      </c>
      <c r="J10" s="139">
        <f t="shared" si="0"/>
        <v>4.5927079355732428</v>
      </c>
    </row>
    <row r="11" spans="2:10" ht="26" x14ac:dyDescent="0.35">
      <c r="B11" s="68" t="s">
        <v>16</v>
      </c>
      <c r="C11" s="215" t="s">
        <v>15</v>
      </c>
      <c r="D11" s="216" t="s">
        <v>165</v>
      </c>
      <c r="E11" s="217">
        <f>$D$3/(('Power Sector Inputs'!D60/1000)-('Power Sector Inputs'!D62/1000))</f>
        <v>105.66537850980642</v>
      </c>
      <c r="F11" s="218">
        <f>E11/'Power Sector Inputs'!$D$56</f>
        <v>5.1463502763870433E-2</v>
      </c>
      <c r="G11" s="216" t="s">
        <v>573</v>
      </c>
      <c r="H11" s="219">
        <f>'Power Sector Inputs'!D44</f>
        <v>1001.51</v>
      </c>
      <c r="I11" s="216" t="s">
        <v>165</v>
      </c>
      <c r="J11" s="217">
        <f>H11/E11</f>
        <v>9.478128163872082</v>
      </c>
    </row>
    <row r="12" spans="2:10" ht="26" x14ac:dyDescent="0.35">
      <c r="B12" s="5" t="s">
        <v>18</v>
      </c>
      <c r="C12" s="18" t="s">
        <v>17</v>
      </c>
      <c r="D12" s="4" t="s">
        <v>165</v>
      </c>
      <c r="E12" s="139">
        <f>$D$3/(('Power Sector Inputs'!E60/1000)-('Power Sector Inputs'!E61/1000))</f>
        <v>76.095717002097174</v>
      </c>
      <c r="F12" s="153">
        <f>E12/'Power Sector Inputs'!$D$56</f>
        <v>3.7061828552411677E-2</v>
      </c>
      <c r="G12" s="4" t="s">
        <v>574</v>
      </c>
      <c r="H12" s="72">
        <f>'Power Sector Inputs'!D44</f>
        <v>1001.51</v>
      </c>
      <c r="I12" s="4" t="s">
        <v>165</v>
      </c>
      <c r="J12" s="139">
        <f>H12/E12</f>
        <v>13.161187507733171</v>
      </c>
    </row>
    <row r="13" spans="2:10" ht="33" customHeight="1" x14ac:dyDescent="0.35">
      <c r="B13" s="68" t="s">
        <v>20</v>
      </c>
      <c r="C13" s="215" t="s">
        <v>21</v>
      </c>
      <c r="D13" s="216" t="s">
        <v>165</v>
      </c>
      <c r="E13" s="217">
        <f>$D$3/(('Power Sector Inputs'!D65/1000)-('Power Sector Inputs'!I79))</f>
        <v>42.591587776203113</v>
      </c>
      <c r="F13" s="218">
        <f>E13/'Power Sector Inputs'!$D$56</f>
        <v>2.0743902365663088E-2</v>
      </c>
      <c r="G13" s="216" t="s">
        <v>575</v>
      </c>
      <c r="H13" s="219">
        <v>399.47222222222223</v>
      </c>
      <c r="I13" s="216" t="s">
        <v>165</v>
      </c>
      <c r="J13" s="217">
        <f>H13/E13</f>
        <v>9.379134309837033</v>
      </c>
    </row>
    <row r="14" spans="2:10" ht="40" customHeight="1" x14ac:dyDescent="0.35">
      <c r="B14" s="5" t="s">
        <v>22</v>
      </c>
      <c r="C14" s="18" t="s">
        <v>19</v>
      </c>
      <c r="D14" s="4" t="s">
        <v>165</v>
      </c>
      <c r="E14" s="139">
        <f>$D$3/(('Power Sector Inputs'!E62/1000)-('Power Sector Inputs'!E63/1000))</f>
        <v>190.0708444229285</v>
      </c>
      <c r="F14" s="153">
        <f>E14/'Power Sector Inputs'!$D$56</f>
        <v>9.2572530049497379E-2</v>
      </c>
      <c r="G14" s="4" t="s">
        <v>790</v>
      </c>
      <c r="H14" s="2">
        <f>'Power Sector Inputs'!D46</f>
        <v>205.82000000000016</v>
      </c>
      <c r="I14" s="4" t="s">
        <v>165</v>
      </c>
      <c r="J14" s="139">
        <f>H14/E14</f>
        <v>1.0828593971099958</v>
      </c>
    </row>
    <row r="16" spans="2:10" ht="18.5" x14ac:dyDescent="0.35">
      <c r="B16" s="239" t="s">
        <v>192</v>
      </c>
      <c r="C16" s="239"/>
      <c r="D16" s="239"/>
      <c r="E16" s="239"/>
      <c r="F16" s="239"/>
      <c r="G16" s="239"/>
      <c r="H16" s="239"/>
      <c r="I16" s="239"/>
      <c r="J16" s="239"/>
    </row>
    <row r="17" spans="2:10" ht="26" x14ac:dyDescent="0.35">
      <c r="B17" s="74" t="s">
        <v>3</v>
      </c>
      <c r="C17" s="74" t="s">
        <v>4</v>
      </c>
      <c r="D17" s="74" t="s">
        <v>5</v>
      </c>
      <c r="E17" s="74" t="s">
        <v>162</v>
      </c>
      <c r="F17" s="74" t="s">
        <v>163</v>
      </c>
      <c r="G17" s="74" t="s">
        <v>164</v>
      </c>
      <c r="H17" s="74" t="s">
        <v>669</v>
      </c>
      <c r="I17" s="74" t="s">
        <v>5</v>
      </c>
      <c r="J17" s="74" t="s">
        <v>271</v>
      </c>
    </row>
    <row r="18" spans="2:10" ht="26" x14ac:dyDescent="0.35">
      <c r="B18" s="6" t="s">
        <v>25</v>
      </c>
      <c r="C18" s="42" t="s">
        <v>197</v>
      </c>
      <c r="D18" s="7" t="s">
        <v>196</v>
      </c>
      <c r="E18" s="149">
        <f>$D$3/'Land Use &amp; Food Inputs'!E16</f>
        <v>0.29040996853524609</v>
      </c>
      <c r="F18" s="154">
        <f>-(E18/'Land Use &amp; Food Inputs'!B16)</f>
        <v>-0.59673281205872486</v>
      </c>
      <c r="G18" s="7" t="s">
        <v>576</v>
      </c>
      <c r="H18" s="149">
        <f>'Land Use &amp; Food Inputs'!B16</f>
        <v>0.48666666666666664</v>
      </c>
      <c r="I18" s="7" t="s">
        <v>196</v>
      </c>
      <c r="J18" s="150">
        <f t="shared" ref="J18:J26" si="1">H18/E18</f>
        <v>1.675791878361784</v>
      </c>
    </row>
    <row r="19" spans="2:10" ht="26" x14ac:dyDescent="0.35">
      <c r="B19" s="5" t="s">
        <v>26</v>
      </c>
      <c r="C19" s="18" t="s">
        <v>215</v>
      </c>
      <c r="D19" s="4" t="s">
        <v>23</v>
      </c>
      <c r="E19" s="139">
        <f>($D$3)/('Land Use &amp; Food Inputs'!C24-'Land Use &amp; Food Inputs'!D24)</f>
        <v>7.1844960336723611</v>
      </c>
      <c r="F19" s="152">
        <f>E19/'Land Use &amp; Food Inputs'!B24</f>
        <v>0.60166972201263735</v>
      </c>
      <c r="G19" s="4" t="s">
        <v>577</v>
      </c>
      <c r="H19" s="139">
        <f>'Land Use &amp; Food Inputs'!B24</f>
        <v>11.94093</v>
      </c>
      <c r="I19" s="4" t="s">
        <v>23</v>
      </c>
      <c r="J19" s="139">
        <f t="shared" si="1"/>
        <v>1.66204142142123</v>
      </c>
    </row>
    <row r="20" spans="2:10" ht="26" x14ac:dyDescent="0.35">
      <c r="B20" s="6" t="s">
        <v>27</v>
      </c>
      <c r="C20" s="42" t="s">
        <v>216</v>
      </c>
      <c r="D20" s="7" t="s">
        <v>196</v>
      </c>
      <c r="E20" s="75">
        <f>($D$3)/('Land Use &amp; Food Inputs'!C24*30)</f>
        <v>5.1979994345002806E-2</v>
      </c>
      <c r="F20" s="154">
        <f>-(E20/'Land Use &amp; Food Inputs'!E24)</f>
        <v>-0.2211914652978843</v>
      </c>
      <c r="G20" s="7" t="s">
        <v>578</v>
      </c>
      <c r="H20" s="149">
        <f>'Land Use &amp; Food Inputs'!E24</f>
        <v>0.23499999999999999</v>
      </c>
      <c r="I20" s="7" t="s">
        <v>196</v>
      </c>
      <c r="J20" s="150">
        <f t="shared" si="1"/>
        <v>4.5209700955381527</v>
      </c>
    </row>
    <row r="21" spans="2:10" x14ac:dyDescent="0.35">
      <c r="B21" s="5" t="s">
        <v>28</v>
      </c>
      <c r="C21" s="18" t="s">
        <v>198</v>
      </c>
      <c r="D21" s="4" t="s">
        <v>23</v>
      </c>
      <c r="E21" s="139">
        <f>D3/(('Land Use &amp; Food Inputs'!F20+'Land Use &amp; Food Inputs'!G20)*0.5)</f>
        <v>3.1850396794718576</v>
      </c>
      <c r="F21" s="152">
        <f>E21/'Land Use &amp; Food Inputs'!D8</f>
        <v>5.0300689821096929E-2</v>
      </c>
      <c r="G21" s="4" t="s">
        <v>579</v>
      </c>
      <c r="H21" s="139">
        <f>30107242/1000000</f>
        <v>30.107241999999999</v>
      </c>
      <c r="I21" s="4" t="s">
        <v>23</v>
      </c>
      <c r="J21" s="139">
        <f t="shared" si="1"/>
        <v>9.4527054699024582</v>
      </c>
    </row>
    <row r="22" spans="2:10" ht="26" x14ac:dyDescent="0.35">
      <c r="B22" s="6" t="s">
        <v>29</v>
      </c>
      <c r="C22" s="42" t="s">
        <v>199</v>
      </c>
      <c r="D22" s="7" t="s">
        <v>23</v>
      </c>
      <c r="E22" s="150">
        <f>$D$3/'Land Use &amp; Food Inputs'!F29</f>
        <v>4.3946722491684191</v>
      </c>
      <c r="F22" s="154">
        <f>E22/'Land Use &amp; Food Inputs'!D7</f>
        <v>0.14722520097716646</v>
      </c>
      <c r="G22" s="7" t="s">
        <v>580</v>
      </c>
      <c r="H22" s="150">
        <f>'Land Use &amp; Food Inputs'!D7</f>
        <v>29.85</v>
      </c>
      <c r="I22" s="7" t="s">
        <v>23</v>
      </c>
      <c r="J22" s="150">
        <f t="shared" si="1"/>
        <v>6.792315400914906</v>
      </c>
    </row>
    <row r="23" spans="2:10" ht="27.5" customHeight="1" x14ac:dyDescent="0.35">
      <c r="B23" s="5" t="s">
        <v>30</v>
      </c>
      <c r="C23" s="18" t="s">
        <v>200</v>
      </c>
      <c r="D23" s="4" t="s">
        <v>23</v>
      </c>
      <c r="E23" s="139">
        <f>$D$3/'Land Use &amp; Food Inputs'!F28</f>
        <v>5.1271176240298226</v>
      </c>
      <c r="F23" s="152">
        <f>E23/'Land Use &amp; Food Inputs'!D6</f>
        <v>0.12078194639550163</v>
      </c>
      <c r="G23" s="4" t="s">
        <v>581</v>
      </c>
      <c r="H23" s="139">
        <f>'Land Use &amp; Food Inputs'!D6</f>
        <v>42.449370763085959</v>
      </c>
      <c r="I23" s="4" t="s">
        <v>23</v>
      </c>
      <c r="J23" s="139">
        <f t="shared" si="1"/>
        <v>8.2793830522112177</v>
      </c>
    </row>
    <row r="24" spans="2:10" ht="26" x14ac:dyDescent="0.35">
      <c r="B24" s="6" t="s">
        <v>31</v>
      </c>
      <c r="C24" s="42" t="s">
        <v>202</v>
      </c>
      <c r="D24" s="7" t="s">
        <v>23</v>
      </c>
      <c r="E24" s="150">
        <f>'Calc. Soil Carbon'!H38</f>
        <v>58.362437699750679</v>
      </c>
      <c r="F24" s="154">
        <f>E24/'Land Use &amp; Food Inputs'!D6</f>
        <v>1.3748716800886658</v>
      </c>
      <c r="G24" s="7" t="s">
        <v>635</v>
      </c>
      <c r="H24" s="150">
        <f>'Land Use &amp; Food Inputs'!D6</f>
        <v>42.449370763085959</v>
      </c>
      <c r="I24" s="7" t="s">
        <v>23</v>
      </c>
      <c r="J24" s="149">
        <f t="shared" si="1"/>
        <v>0.72734060529598643</v>
      </c>
    </row>
    <row r="25" spans="2:10" ht="26" x14ac:dyDescent="0.35">
      <c r="B25" s="5" t="s">
        <v>32</v>
      </c>
      <c r="C25" s="18" t="s">
        <v>177</v>
      </c>
      <c r="D25" s="4" t="s">
        <v>23</v>
      </c>
      <c r="E25" s="139">
        <f>'Land Use &amp; Food Inputs'!C12/'Land Use &amp; Food Inputs'!B12*1000</f>
        <v>9.5</v>
      </c>
      <c r="F25" s="152">
        <f>E25/'Land Use &amp; Food Inputs'!D6</f>
        <v>0.22379601462222887</v>
      </c>
      <c r="G25" s="4" t="s">
        <v>582</v>
      </c>
      <c r="H25" s="139">
        <f>'Land Use &amp; Food Inputs'!D6</f>
        <v>42.449370763085959</v>
      </c>
      <c r="I25" s="4" t="s">
        <v>23</v>
      </c>
      <c r="J25" s="139">
        <f t="shared" si="1"/>
        <v>4.4683548171669427</v>
      </c>
    </row>
    <row r="26" spans="2:10" ht="26" x14ac:dyDescent="0.35">
      <c r="B26" s="6" t="s">
        <v>33</v>
      </c>
      <c r="C26" s="42" t="s">
        <v>245</v>
      </c>
      <c r="D26" s="7" t="s">
        <v>263</v>
      </c>
      <c r="E26" s="150">
        <f>D3/'Land Use &amp; Food Inputs'!K38*SUM('Land Use &amp; Food Inputs'!B38:D38)</f>
        <v>65.45941539053878</v>
      </c>
      <c r="F26" s="154">
        <f>-(E26/SUM('Land Use &amp; Food Inputs'!B38:D38))</f>
        <v>-0.59294022890395459</v>
      </c>
      <c r="G26" s="7" t="s">
        <v>583</v>
      </c>
      <c r="H26" s="150">
        <f>SUM('Land Use &amp; Food Inputs'!B38:D38)</f>
        <v>110.398</v>
      </c>
      <c r="I26" s="7" t="s">
        <v>263</v>
      </c>
      <c r="J26" s="150">
        <f t="shared" si="1"/>
        <v>1.6865106316845666</v>
      </c>
    </row>
    <row r="27" spans="2:10" ht="23" customHeight="1" x14ac:dyDescent="0.35">
      <c r="B27" s="5" t="s">
        <v>34</v>
      </c>
      <c r="C27" s="18" t="s">
        <v>201</v>
      </c>
      <c r="D27" s="4" t="s">
        <v>270</v>
      </c>
      <c r="E27" s="139">
        <f>F27*'Land Use &amp; Food Inputs'!C42</f>
        <v>-28.413211027496853</v>
      </c>
      <c r="F27" s="152">
        <f>-(D3/'Land Use &amp; Food Inputs'!E42)</f>
        <v>-0.69447816762319525</v>
      </c>
      <c r="G27" s="4" t="s">
        <v>793</v>
      </c>
      <c r="H27" s="139">
        <f>'Land Use &amp; Food Inputs'!C42</f>
        <v>40.913037086160898</v>
      </c>
      <c r="I27" s="4" t="s">
        <v>270</v>
      </c>
      <c r="J27" s="139">
        <f>-(H27/E27)</f>
        <v>1.4399300750121959</v>
      </c>
    </row>
    <row r="28" spans="2:10" ht="18.5" customHeight="1" x14ac:dyDescent="0.35"/>
    <row r="29" spans="2:10" ht="18.5" x14ac:dyDescent="0.35">
      <c r="B29" s="241" t="s">
        <v>262</v>
      </c>
      <c r="C29" s="242"/>
      <c r="D29" s="242"/>
      <c r="E29" s="242"/>
      <c r="F29" s="242"/>
      <c r="G29" s="242"/>
      <c r="H29" s="242"/>
      <c r="I29" s="242"/>
      <c r="J29" s="242"/>
    </row>
    <row r="30" spans="2:10" ht="26" x14ac:dyDescent="0.35">
      <c r="B30" s="8" t="s">
        <v>3</v>
      </c>
      <c r="C30" s="8" t="s">
        <v>4</v>
      </c>
      <c r="D30" s="8" t="s">
        <v>5</v>
      </c>
      <c r="E30" s="8" t="s">
        <v>162</v>
      </c>
      <c r="F30" s="8" t="s">
        <v>163</v>
      </c>
      <c r="G30" s="8" t="s">
        <v>164</v>
      </c>
      <c r="H30" s="8" t="s">
        <v>669</v>
      </c>
      <c r="I30" s="8" t="s">
        <v>5</v>
      </c>
      <c r="J30" s="8" t="s">
        <v>271</v>
      </c>
    </row>
    <row r="31" spans="2:10" ht="26" x14ac:dyDescent="0.35">
      <c r="B31" s="9" t="s">
        <v>36</v>
      </c>
      <c r="C31" s="44" t="s">
        <v>256</v>
      </c>
      <c r="D31" s="10" t="s">
        <v>306</v>
      </c>
      <c r="E31" s="155">
        <f>D3/'Transport Inputs'!D40</f>
        <v>0.62003848685779517</v>
      </c>
      <c r="F31" s="156">
        <f>-E31/'Transport Inputs'!I55</f>
        <v>-0.12970198117124068</v>
      </c>
      <c r="G31" s="10" t="s">
        <v>584</v>
      </c>
      <c r="H31" s="155">
        <f>'Transport Inputs'!I46</f>
        <v>0.91693634855634309</v>
      </c>
      <c r="I31" s="10" t="s">
        <v>306</v>
      </c>
      <c r="J31" s="104">
        <f>H31/E31</f>
        <v>1.4788377947361855</v>
      </c>
    </row>
    <row r="32" spans="2:10" ht="27.5" customHeight="1" x14ac:dyDescent="0.35">
      <c r="B32" s="5" t="s">
        <v>37</v>
      </c>
      <c r="C32" s="18" t="s">
        <v>257</v>
      </c>
      <c r="D32" s="4" t="s">
        <v>306</v>
      </c>
      <c r="E32" s="148">
        <f>(D3)/('Transport Inputs'!D40-'Transport Inputs'!D41)</f>
        <v>0.62613955097731944</v>
      </c>
      <c r="F32" s="152">
        <f>E32/'Transport Inputs'!I55</f>
        <v>0.13097822469535689</v>
      </c>
      <c r="G32" s="4" t="s">
        <v>585</v>
      </c>
      <c r="H32" s="148">
        <f>'Transport Inputs'!I46</f>
        <v>0.91693634855634309</v>
      </c>
      <c r="I32" s="4" t="s">
        <v>306</v>
      </c>
      <c r="J32" s="139">
        <f>H32/E32</f>
        <v>1.4644280929468982</v>
      </c>
    </row>
    <row r="33" spans="2:10" x14ac:dyDescent="0.35">
      <c r="B33" s="9" t="s">
        <v>38</v>
      </c>
      <c r="C33" s="44" t="s">
        <v>258</v>
      </c>
      <c r="D33" s="10" t="s">
        <v>306</v>
      </c>
      <c r="E33" s="155">
        <f>(D3/(('Power Sector Inputs'!H9-'Transport Inputs'!F64)*('Transport Inputs'!D9*3.6)))*'Transport Inputs'!D32</f>
        <v>-2.0182771028644533</v>
      </c>
      <c r="F33" s="156">
        <f>E33/'Transport Inputs'!I55</f>
        <v>-0.42219079031800344</v>
      </c>
      <c r="G33" s="10" t="s">
        <v>142</v>
      </c>
      <c r="H33" s="10" t="s">
        <v>142</v>
      </c>
      <c r="I33" s="10" t="s">
        <v>142</v>
      </c>
      <c r="J33" s="10" t="s">
        <v>142</v>
      </c>
    </row>
    <row r="34" spans="2:10" ht="26" x14ac:dyDescent="0.35">
      <c r="B34" s="5" t="s">
        <v>39</v>
      </c>
      <c r="C34" s="18" t="s">
        <v>259</v>
      </c>
      <c r="D34" s="4" t="s">
        <v>306</v>
      </c>
      <c r="E34" s="148">
        <f>D3/('Transport Inputs'!D40-'Transport Inputs'!D39)</f>
        <v>0.85234226537742563</v>
      </c>
      <c r="F34" s="152">
        <f>E34/'Transport Inputs'!I55</f>
        <v>0.17829615870408067</v>
      </c>
      <c r="G34" s="4" t="s">
        <v>586</v>
      </c>
      <c r="H34" s="148">
        <f>'Transport Inputs'!I46</f>
        <v>0.91693634855634309</v>
      </c>
      <c r="I34" s="4" t="s">
        <v>306</v>
      </c>
      <c r="J34" s="139">
        <f>H34/E34</f>
        <v>1.0757842075921398</v>
      </c>
    </row>
    <row r="35" spans="2:10" ht="26" x14ac:dyDescent="0.35">
      <c r="B35" s="9" t="s">
        <v>40</v>
      </c>
      <c r="C35" s="44" t="s">
        <v>343</v>
      </c>
      <c r="D35" s="10" t="s">
        <v>337</v>
      </c>
      <c r="E35" s="104">
        <f>D3</f>
        <v>67.677952637193656</v>
      </c>
      <c r="F35" s="156">
        <f>-E35/'Transport Inputs'!H77</f>
        <v>-0.51262321839253255</v>
      </c>
      <c r="G35" s="10" t="s">
        <v>587</v>
      </c>
      <c r="H35" s="104">
        <f>'Transport Inputs'!H77</f>
        <v>132.02280000000002</v>
      </c>
      <c r="I35" s="10" t="s">
        <v>337</v>
      </c>
      <c r="J35" s="104">
        <f>H35/E35</f>
        <v>1.9507505007981651</v>
      </c>
    </row>
    <row r="36" spans="2:10" ht="26" x14ac:dyDescent="0.35">
      <c r="B36" s="5" t="s">
        <v>41</v>
      </c>
      <c r="C36" s="18" t="s">
        <v>260</v>
      </c>
      <c r="D36" s="4" t="s">
        <v>306</v>
      </c>
      <c r="E36" s="148">
        <f>(D3/(((SUM('Power Sector Inputs'!C9:E9)*3.6*1.7)+('Power Sector Inputs'!F9*3.6))*'Transport Inputs'!D70))*'Transport Inputs'!D69</f>
        <v>0.43999372171164353</v>
      </c>
      <c r="F36" s="152">
        <f>-E36/('Transport Inputs'!D68/1000)</f>
        <v>-0.98748576444624292</v>
      </c>
      <c r="G36" s="4" t="s">
        <v>588</v>
      </c>
      <c r="H36" s="148">
        <f>'Transport Inputs'!D68/1000</f>
        <v>0.44556968571428562</v>
      </c>
      <c r="I36" s="4" t="s">
        <v>306</v>
      </c>
      <c r="J36" s="139">
        <f>H36/E36</f>
        <v>1.012672826287045</v>
      </c>
    </row>
    <row r="37" spans="2:10" ht="26" x14ac:dyDescent="0.35">
      <c r="B37" s="9" t="s">
        <v>42</v>
      </c>
      <c r="C37" s="44" t="s">
        <v>261</v>
      </c>
      <c r="D37" s="10" t="s">
        <v>280</v>
      </c>
      <c r="E37" s="104">
        <f>('Transport Inputs'!D9-((D3*1000)/('Transport Inputs'!D8*'Power Sector Inputs'!H9*3.6)))/8.94*100</f>
        <v>3.4913032586118899</v>
      </c>
      <c r="F37" s="156">
        <f>((E37*8.94/100)-'Transport Inputs'!C9)/'Transport Inputs'!C9</f>
        <v>-0.55806287865672288</v>
      </c>
      <c r="G37" s="10" t="s">
        <v>589</v>
      </c>
      <c r="H37" s="104">
        <f>E37</f>
        <v>3.4913032586118899</v>
      </c>
      <c r="I37" s="10" t="s">
        <v>280</v>
      </c>
      <c r="J37" s="10">
        <f>H37/E37</f>
        <v>1</v>
      </c>
    </row>
    <row r="38" spans="2:10" ht="14.5" customHeight="1" x14ac:dyDescent="0.35"/>
    <row r="39" spans="2:10" ht="18.5" x14ac:dyDescent="0.35">
      <c r="B39" s="234" t="s">
        <v>551</v>
      </c>
      <c r="C39" s="235"/>
      <c r="D39" s="235"/>
      <c r="E39" s="235"/>
      <c r="F39" s="235"/>
      <c r="G39" s="235"/>
      <c r="H39" s="235"/>
      <c r="I39" s="235"/>
      <c r="J39" s="235"/>
    </row>
    <row r="40" spans="2:10" ht="26" x14ac:dyDescent="0.35">
      <c r="B40" s="13" t="s">
        <v>3</v>
      </c>
      <c r="C40" s="13" t="s">
        <v>4</v>
      </c>
      <c r="D40" s="13" t="s">
        <v>5</v>
      </c>
      <c r="E40" s="13" t="s">
        <v>162</v>
      </c>
      <c r="F40" s="13" t="s">
        <v>163</v>
      </c>
      <c r="G40" s="13" t="s">
        <v>164</v>
      </c>
      <c r="H40" s="13" t="s">
        <v>669</v>
      </c>
      <c r="I40" s="13" t="s">
        <v>5</v>
      </c>
      <c r="J40" s="13" t="s">
        <v>271</v>
      </c>
    </row>
    <row r="41" spans="2:10" ht="24.5" customHeight="1" x14ac:dyDescent="0.35">
      <c r="B41" s="124" t="s">
        <v>51</v>
      </c>
      <c r="C41" s="123" t="s">
        <v>552</v>
      </c>
      <c r="D41" s="14" t="s">
        <v>569</v>
      </c>
      <c r="E41" s="157">
        <f>'Buildings Inputs'!D15*(1-('Effort &amp; Upper Bound'!D3/'Buildings Inputs'!D19))</f>
        <v>0.68831953316059247</v>
      </c>
      <c r="F41" s="136">
        <f>(E41/'Buildings Inputs'!C15)-1</f>
        <v>-0.63772656149442497</v>
      </c>
      <c r="G41" s="14" t="s">
        <v>590</v>
      </c>
      <c r="H41" s="157">
        <f>E41</f>
        <v>0.68831953316059247</v>
      </c>
      <c r="I41" s="14" t="s">
        <v>569</v>
      </c>
      <c r="J41" s="186">
        <f>H41/E41</f>
        <v>1</v>
      </c>
    </row>
    <row r="42" spans="2:10" ht="26" x14ac:dyDescent="0.35">
      <c r="B42" s="282" t="s">
        <v>52</v>
      </c>
      <c r="C42" s="283" t="s">
        <v>553</v>
      </c>
      <c r="D42" s="284" t="s">
        <v>787</v>
      </c>
      <c r="E42" s="285">
        <f>(D3)/('Buildings Inputs'!H6-'Buildings Inputs'!I6)</f>
        <v>44.217386493858726</v>
      </c>
      <c r="F42" s="153">
        <f>E42/('Buildings Inputs'!J6/1000000*'Buildings Inputs'!K6)</f>
        <v>5.323570204915228</v>
      </c>
      <c r="G42" s="284" t="s">
        <v>634</v>
      </c>
      <c r="H42" s="285">
        <f>'Buildings Inputs'!J6*'Buildings Inputs'!K6/1000000</f>
        <v>8.3059647551999998</v>
      </c>
      <c r="I42" s="284" t="s">
        <v>787</v>
      </c>
      <c r="J42" s="286">
        <f>H42/E42</f>
        <v>0.18784386445710899</v>
      </c>
    </row>
    <row r="44" spans="2:10" ht="18.5" x14ac:dyDescent="0.35">
      <c r="B44" s="232" t="s">
        <v>670</v>
      </c>
      <c r="C44" s="233"/>
      <c r="D44" s="233"/>
      <c r="E44" s="233"/>
      <c r="F44" s="233"/>
      <c r="G44" s="233"/>
      <c r="H44" s="233"/>
      <c r="I44" s="233"/>
      <c r="J44" s="233"/>
    </row>
    <row r="45" spans="2:10" ht="26" x14ac:dyDescent="0.35">
      <c r="B45" s="158" t="s">
        <v>3</v>
      </c>
      <c r="C45" s="158" t="s">
        <v>4</v>
      </c>
      <c r="D45" s="158" t="s">
        <v>5</v>
      </c>
      <c r="E45" s="158" t="s">
        <v>162</v>
      </c>
      <c r="F45" s="158" t="s">
        <v>163</v>
      </c>
      <c r="G45" s="158" t="s">
        <v>164</v>
      </c>
      <c r="H45" s="158" t="s">
        <v>669</v>
      </c>
      <c r="I45" s="158"/>
      <c r="J45" s="158" t="s">
        <v>271</v>
      </c>
    </row>
    <row r="46" spans="2:10" ht="26" x14ac:dyDescent="0.35">
      <c r="B46" s="141" t="s">
        <v>44</v>
      </c>
      <c r="C46" s="140" t="s">
        <v>602</v>
      </c>
      <c r="D46" s="12" t="s">
        <v>270</v>
      </c>
      <c r="E46" s="161">
        <f>(((D3*10^12)/('Industry Inputs'!D24-'Industry Inputs'!E24))/33000)/1000000</f>
        <v>3.3160042884170187</v>
      </c>
      <c r="F46" s="159">
        <f>E46/'Industry Inputs'!E25</f>
        <v>0.58054485507091413</v>
      </c>
      <c r="G46" s="12" t="s">
        <v>603</v>
      </c>
      <c r="H46" s="161">
        <f>'Industry Inputs'!E25</f>
        <v>5.7118830000000003</v>
      </c>
      <c r="I46" s="12" t="s">
        <v>270</v>
      </c>
      <c r="J46" s="161">
        <f>H46/E46</f>
        <v>1.7225197868265474</v>
      </c>
    </row>
    <row r="47" spans="2:10" ht="26" x14ac:dyDescent="0.35">
      <c r="B47" s="5" t="s">
        <v>45</v>
      </c>
      <c r="C47" s="18" t="s">
        <v>614</v>
      </c>
      <c r="D47" s="4" t="s">
        <v>270</v>
      </c>
      <c r="E47" s="139">
        <f>D3/('Industry Inputs'!D35-'Industry Inputs'!D36)</f>
        <v>125.26319316434967</v>
      </c>
      <c r="F47" s="152">
        <f>E47/'Industry Inputs'!D39</f>
        <v>1.1929827920414255</v>
      </c>
      <c r="G47" s="72" t="s">
        <v>618</v>
      </c>
      <c r="H47" s="139">
        <f>'Industry Inputs'!D39</f>
        <v>105</v>
      </c>
      <c r="I47" s="4" t="s">
        <v>270</v>
      </c>
      <c r="J47" s="148">
        <f>H47/E47</f>
        <v>0.83823505810071708</v>
      </c>
    </row>
    <row r="48" spans="2:10" ht="28" customHeight="1" x14ac:dyDescent="0.35">
      <c r="B48" s="141" t="s">
        <v>46</v>
      </c>
      <c r="C48" s="140" t="s">
        <v>615</v>
      </c>
      <c r="D48" s="12" t="s">
        <v>270</v>
      </c>
      <c r="E48" s="161">
        <f>AVERAGE(E49:E50)</f>
        <v>38.468517045739354</v>
      </c>
      <c r="F48" s="173">
        <f>AVERAGE(F49:F50)</f>
        <v>0.87428447831225808</v>
      </c>
      <c r="G48" s="12" t="s">
        <v>619</v>
      </c>
      <c r="H48" s="161">
        <f>'Industry Inputs'!D38</f>
        <v>44</v>
      </c>
      <c r="I48" s="12" t="s">
        <v>270</v>
      </c>
      <c r="J48" s="161">
        <f>H48/E48</f>
        <v>1.143792466647042</v>
      </c>
    </row>
    <row r="49" spans="2:10" ht="20" customHeight="1" x14ac:dyDescent="0.35">
      <c r="B49" s="5"/>
      <c r="C49" s="170" t="s">
        <v>616</v>
      </c>
      <c r="D49" s="4" t="s">
        <v>270</v>
      </c>
      <c r="E49" s="139">
        <f>D3/('Industry Inputs'!D31-'Industry Inputs'!D33)</f>
        <v>33.35399733810177</v>
      </c>
      <c r="F49" s="152">
        <f>E49/'Industry Inputs'!D38</f>
        <v>0.7580453940477675</v>
      </c>
      <c r="G49" s="72" t="s">
        <v>142</v>
      </c>
      <c r="H49" s="72" t="s">
        <v>142</v>
      </c>
      <c r="I49" s="72" t="s">
        <v>142</v>
      </c>
      <c r="J49" s="72" t="s">
        <v>142</v>
      </c>
    </row>
    <row r="50" spans="2:10" x14ac:dyDescent="0.35">
      <c r="B50" s="141"/>
      <c r="C50" s="171" t="s">
        <v>617</v>
      </c>
      <c r="D50" s="12" t="s">
        <v>270</v>
      </c>
      <c r="E50" s="161">
        <f>D3/('Industry Inputs'!D31-'Industry Inputs'!D32)</f>
        <v>43.583036753376938</v>
      </c>
      <c r="F50" s="159">
        <f>E50/'Industry Inputs'!D38</f>
        <v>0.99052356257674856</v>
      </c>
      <c r="G50" s="12" t="s">
        <v>142</v>
      </c>
      <c r="H50" s="12" t="s">
        <v>142</v>
      </c>
      <c r="I50" s="12" t="s">
        <v>142</v>
      </c>
      <c r="J50" s="12" t="s">
        <v>142</v>
      </c>
    </row>
    <row r="51" spans="2:10" ht="26" x14ac:dyDescent="0.35">
      <c r="B51" s="5" t="s">
        <v>47</v>
      </c>
      <c r="C51" s="18" t="s">
        <v>623</v>
      </c>
      <c r="D51" s="4" t="s">
        <v>624</v>
      </c>
      <c r="E51" s="2">
        <f>'Wedge Scale'!E42</f>
        <v>1015.1692895579048</v>
      </c>
      <c r="F51" s="152">
        <f>E51/'Industry Inputs'!D44</f>
        <v>2.0856500175820858</v>
      </c>
      <c r="G51" s="72" t="s">
        <v>633</v>
      </c>
      <c r="H51" s="139">
        <f>'Industry Inputs'!D44</f>
        <v>486.74000000000018</v>
      </c>
      <c r="I51" s="4" t="s">
        <v>624</v>
      </c>
      <c r="J51" s="148">
        <f>H51/E51</f>
        <v>0.47946682883991709</v>
      </c>
    </row>
    <row r="52" spans="2:10" ht="26" x14ac:dyDescent="0.35">
      <c r="B52" s="141" t="s">
        <v>48</v>
      </c>
      <c r="C52" s="140" t="s">
        <v>625</v>
      </c>
      <c r="D52" s="12" t="s">
        <v>624</v>
      </c>
      <c r="E52" s="187">
        <v>1015.1692895579048</v>
      </c>
      <c r="F52" s="173">
        <f>E52/'Industry Inputs'!C51</f>
        <v>0.7540785382570403</v>
      </c>
      <c r="G52" s="12" t="s">
        <v>658</v>
      </c>
      <c r="H52" s="187">
        <f>'Industry Inputs'!C51</f>
        <v>1346.2381410619955</v>
      </c>
      <c r="I52" s="12" t="s">
        <v>624</v>
      </c>
      <c r="J52" s="161">
        <f>H52/E52</f>
        <v>1.3261218152573031</v>
      </c>
    </row>
    <row r="53" spans="2:10" ht="26" x14ac:dyDescent="0.35">
      <c r="B53" s="5" t="s">
        <v>49</v>
      </c>
      <c r="C53" s="18" t="s">
        <v>667</v>
      </c>
      <c r="D53" s="4" t="s">
        <v>668</v>
      </c>
      <c r="E53" s="139">
        <f>(((D3/'Industry Inputs'!C61)*'Industry Inputs'!C57)+(('Effort &amp; Upper Bound'!D3/'Industry Inputs'!C61)*'Industry Inputs'!C56))/1000</f>
        <v>49.393134027925235</v>
      </c>
      <c r="F53" s="152">
        <f>E53/'Power Sector Inputs'!D56</f>
        <v>2.4056542695547575E-2</v>
      </c>
      <c r="G53" s="72" t="s">
        <v>788</v>
      </c>
      <c r="H53" s="139">
        <f>(5*3.34%)*1000</f>
        <v>166.99999999999997</v>
      </c>
      <c r="I53" s="72" t="s">
        <v>337</v>
      </c>
      <c r="J53" s="139">
        <f>H53/D3</f>
        <v>2.4675687353494506</v>
      </c>
    </row>
  </sheetData>
  <mergeCells count="7">
    <mergeCell ref="B44:J44"/>
    <mergeCell ref="B39:J39"/>
    <mergeCell ref="B2:J2"/>
    <mergeCell ref="B5:J5"/>
    <mergeCell ref="B16:J16"/>
    <mergeCell ref="B3:C3"/>
    <mergeCell ref="B29:J29"/>
  </mergeCells>
  <phoneticPr fontId="22" type="noConversion"/>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93FE0-BABB-4394-8234-321B61A8ADA6}">
  <sheetPr>
    <tabColor theme="3" tint="-0.249977111117893"/>
  </sheetPr>
  <dimension ref="B2:L79"/>
  <sheetViews>
    <sheetView zoomScale="81" zoomScaleNormal="85" workbookViewId="0">
      <pane xSplit="1" ySplit="3" topLeftCell="B4" activePane="bottomRight" state="frozen"/>
      <selection pane="topRight"/>
      <selection pane="bottomLeft"/>
      <selection pane="bottomRight" activeCell="B2" sqref="B2:K2"/>
    </sheetView>
  </sheetViews>
  <sheetFormatPr defaultRowHeight="14.5" x14ac:dyDescent="0.35"/>
  <cols>
    <col min="1" max="1" width="3" customWidth="1"/>
    <col min="2" max="2" width="13.08984375" customWidth="1"/>
    <col min="3" max="6" width="16" customWidth="1"/>
    <col min="7" max="7" width="20.6328125" customWidth="1"/>
    <col min="8" max="8" width="16" customWidth="1"/>
    <col min="9" max="9" width="18.7265625" customWidth="1"/>
    <col min="10" max="10" width="16.26953125" customWidth="1"/>
    <col min="11" max="11" width="14.90625" bestFit="1" customWidth="1"/>
    <col min="12" max="12" width="11.1796875" customWidth="1"/>
  </cols>
  <sheetData>
    <row r="2" spans="2:11" ht="14.5" customHeight="1" x14ac:dyDescent="0.35">
      <c r="B2" s="243" t="s">
        <v>189</v>
      </c>
      <c r="C2" s="243"/>
      <c r="D2" s="243"/>
      <c r="E2" s="243"/>
      <c r="F2" s="243"/>
      <c r="G2" s="243"/>
      <c r="H2" s="243"/>
      <c r="I2" s="243"/>
      <c r="J2" s="243"/>
      <c r="K2" s="243"/>
    </row>
    <row r="4" spans="2:11" ht="14.5" customHeight="1" x14ac:dyDescent="0.35">
      <c r="B4" s="253" t="s">
        <v>144</v>
      </c>
      <c r="C4" s="253"/>
      <c r="D4" s="253"/>
      <c r="E4" s="253"/>
      <c r="F4" s="253"/>
      <c r="G4" s="253"/>
      <c r="H4" s="253"/>
    </row>
    <row r="5" spans="2:11" x14ac:dyDescent="0.35">
      <c r="B5" s="249" t="s">
        <v>105</v>
      </c>
      <c r="C5" s="246" t="s">
        <v>157</v>
      </c>
      <c r="D5" s="247"/>
      <c r="E5" s="248"/>
      <c r="F5" s="251" t="s">
        <v>158</v>
      </c>
      <c r="G5" s="254" t="s">
        <v>106</v>
      </c>
      <c r="H5" s="254" t="s">
        <v>159</v>
      </c>
    </row>
    <row r="6" spans="2:11" x14ac:dyDescent="0.35">
      <c r="B6" s="250"/>
      <c r="C6" s="1" t="s">
        <v>137</v>
      </c>
      <c r="D6" s="1" t="s">
        <v>135</v>
      </c>
      <c r="E6" s="1" t="s">
        <v>136</v>
      </c>
      <c r="F6" s="252"/>
      <c r="G6" s="255"/>
      <c r="H6" s="255"/>
    </row>
    <row r="7" spans="2:11" x14ac:dyDescent="0.35">
      <c r="B7" s="47" t="s">
        <v>108</v>
      </c>
      <c r="C7" s="56">
        <f>106476/1000</f>
        <v>106.476</v>
      </c>
      <c r="D7" s="56">
        <f>1*28/1000</f>
        <v>2.8000000000000001E-2</v>
      </c>
      <c r="E7" s="56">
        <f>1.5*265/1000</f>
        <v>0.39750000000000002</v>
      </c>
      <c r="F7" s="57">
        <f>C7*G7</f>
        <v>7.9856999999999996</v>
      </c>
      <c r="G7" s="51">
        <v>7.4999999999999997E-2</v>
      </c>
      <c r="H7" s="56">
        <f>C7+D7+E7+F7</f>
        <v>114.88719999999999</v>
      </c>
    </row>
    <row r="8" spans="2:11" x14ac:dyDescent="0.35">
      <c r="B8" s="49" t="s">
        <v>109</v>
      </c>
      <c r="C8" s="52">
        <f>57.64</f>
        <v>57.64</v>
      </c>
      <c r="D8" s="52">
        <f>3*28/1000</f>
        <v>8.4000000000000005E-2</v>
      </c>
      <c r="E8" s="52">
        <f>0.1*265/1000</f>
        <v>2.6499999999999999E-2</v>
      </c>
      <c r="F8" s="54">
        <f>C8*G8</f>
        <v>14.41</v>
      </c>
      <c r="G8" s="50" t="s">
        <v>110</v>
      </c>
      <c r="H8" s="52">
        <f>C8+D8+E8+F8</f>
        <v>72.160499999999999</v>
      </c>
    </row>
    <row r="9" spans="2:11" x14ac:dyDescent="0.35">
      <c r="B9" s="47" t="s">
        <v>111</v>
      </c>
      <c r="C9" s="56">
        <f>73300/1000</f>
        <v>73.3</v>
      </c>
      <c r="D9" s="56">
        <f>3*28/1000</f>
        <v>8.4000000000000005E-2</v>
      </c>
      <c r="E9" s="56">
        <f>0.6*265/1000</f>
        <v>0.159</v>
      </c>
      <c r="F9" s="53">
        <f>C9*G9</f>
        <v>14.66</v>
      </c>
      <c r="G9" s="48" t="s">
        <v>112</v>
      </c>
      <c r="H9" s="56">
        <f>C9+D9+E9+F9</f>
        <v>88.203000000000003</v>
      </c>
    </row>
    <row r="10" spans="2:11" x14ac:dyDescent="0.35">
      <c r="B10" s="58"/>
      <c r="C10" s="58"/>
      <c r="D10" s="58"/>
      <c r="E10" s="58"/>
      <c r="F10" s="58"/>
      <c r="G10" s="58"/>
      <c r="H10" s="58"/>
    </row>
    <row r="11" spans="2:11" hidden="1" x14ac:dyDescent="0.35">
      <c r="B11" s="244" t="s">
        <v>113</v>
      </c>
      <c r="C11" s="245"/>
      <c r="D11" s="245"/>
      <c r="E11" s="245"/>
      <c r="F11" s="245"/>
      <c r="G11" s="245"/>
      <c r="H11" s="245"/>
      <c r="I11" s="245"/>
      <c r="J11" s="245"/>
      <c r="K11" s="245"/>
    </row>
    <row r="12" spans="2:11" hidden="1" x14ac:dyDescent="0.35">
      <c r="B12" s="257" t="s">
        <v>114</v>
      </c>
      <c r="C12" s="245"/>
      <c r="D12" s="245"/>
      <c r="E12" s="245"/>
      <c r="F12" s="245"/>
      <c r="G12" s="245"/>
      <c r="H12" s="245"/>
      <c r="I12" s="245"/>
      <c r="J12" s="245"/>
      <c r="K12" s="245"/>
    </row>
    <row r="13" spans="2:11" ht="26" hidden="1" x14ac:dyDescent="0.35">
      <c r="B13" s="1" t="s">
        <v>115</v>
      </c>
      <c r="C13" s="1" t="s">
        <v>116</v>
      </c>
      <c r="D13" s="1" t="s">
        <v>117</v>
      </c>
      <c r="E13" s="1" t="s">
        <v>118</v>
      </c>
      <c r="F13" s="1" t="s">
        <v>119</v>
      </c>
      <c r="G13" s="1" t="s">
        <v>120</v>
      </c>
      <c r="H13" s="1" t="s">
        <v>107</v>
      </c>
      <c r="I13" s="1" t="s">
        <v>7</v>
      </c>
    </row>
    <row r="14" spans="2:11" ht="24" hidden="1" x14ac:dyDescent="0.35">
      <c r="B14" s="47" t="s">
        <v>121</v>
      </c>
      <c r="C14" s="48">
        <v>41.4</v>
      </c>
      <c r="D14" s="48">
        <v>38.700000000000003</v>
      </c>
      <c r="E14" s="48">
        <v>43.5</v>
      </c>
      <c r="F14" s="48">
        <v>40.6</v>
      </c>
      <c r="G14" s="48"/>
      <c r="H14" s="48" t="s">
        <v>122</v>
      </c>
      <c r="I14" s="48" t="s">
        <v>2</v>
      </c>
    </row>
    <row r="15" spans="2:11" ht="24" hidden="1" x14ac:dyDescent="0.35">
      <c r="B15" s="49" t="s">
        <v>123</v>
      </c>
      <c r="C15" s="50">
        <v>37.6</v>
      </c>
      <c r="D15" s="50">
        <v>35.1</v>
      </c>
      <c r="E15" s="50">
        <v>39.4</v>
      </c>
      <c r="F15" s="50">
        <v>36.799999999999997</v>
      </c>
      <c r="G15" s="50"/>
      <c r="H15" s="50" t="s">
        <v>122</v>
      </c>
      <c r="I15" s="50" t="s">
        <v>2</v>
      </c>
    </row>
    <row r="16" spans="2:11" ht="24" hidden="1" x14ac:dyDescent="0.35">
      <c r="B16" s="47" t="s">
        <v>124</v>
      </c>
      <c r="C16" s="48">
        <v>34.700000000000003</v>
      </c>
      <c r="D16" s="48">
        <v>32.4</v>
      </c>
      <c r="E16" s="48">
        <v>36.5</v>
      </c>
      <c r="F16" s="48">
        <v>34</v>
      </c>
      <c r="G16" s="48"/>
      <c r="H16" s="48" t="s">
        <v>122</v>
      </c>
      <c r="I16" s="48" t="s">
        <v>2</v>
      </c>
    </row>
    <row r="17" spans="2:11" ht="24" hidden="1" x14ac:dyDescent="0.35">
      <c r="B17" s="49" t="s">
        <v>125</v>
      </c>
      <c r="C17" s="50">
        <v>35.6</v>
      </c>
      <c r="D17" s="50">
        <v>33.299999999999997</v>
      </c>
      <c r="E17" s="50">
        <v>37.4</v>
      </c>
      <c r="F17" s="50">
        <v>34.9</v>
      </c>
      <c r="G17" s="50"/>
      <c r="H17" s="50" t="s">
        <v>122</v>
      </c>
      <c r="I17" s="50" t="s">
        <v>2</v>
      </c>
    </row>
    <row r="18" spans="2:11" ht="24" hidden="1" x14ac:dyDescent="0.35">
      <c r="B18" s="47" t="s">
        <v>126</v>
      </c>
      <c r="C18" s="48">
        <v>40</v>
      </c>
      <c r="D18" s="48">
        <v>37.299999999999997</v>
      </c>
      <c r="E18" s="48">
        <v>42.1</v>
      </c>
      <c r="F18" s="48">
        <v>39.299999999999997</v>
      </c>
      <c r="G18" s="48"/>
      <c r="H18" s="48" t="s">
        <v>122</v>
      </c>
      <c r="I18" s="48" t="s">
        <v>2</v>
      </c>
    </row>
    <row r="19" spans="2:11" ht="24" hidden="1" x14ac:dyDescent="0.35">
      <c r="B19" s="49" t="s">
        <v>127</v>
      </c>
      <c r="C19" s="50">
        <v>32</v>
      </c>
      <c r="D19" s="50">
        <v>29.9</v>
      </c>
      <c r="E19" s="50">
        <v>33.700000000000003</v>
      </c>
      <c r="F19" s="50">
        <v>31.4</v>
      </c>
      <c r="G19" s="50"/>
      <c r="H19" s="50" t="s">
        <v>122</v>
      </c>
      <c r="I19" s="50" t="s">
        <v>2</v>
      </c>
    </row>
    <row r="20" spans="2:11" ht="24" hidden="1" x14ac:dyDescent="0.35">
      <c r="B20" s="47" t="s">
        <v>128</v>
      </c>
      <c r="C20" s="48">
        <v>34</v>
      </c>
      <c r="D20" s="48">
        <v>31.8</v>
      </c>
      <c r="E20" s="48">
        <v>35.799999999999997</v>
      </c>
      <c r="F20" s="48">
        <v>33.4</v>
      </c>
      <c r="G20" s="48"/>
      <c r="H20" s="48" t="s">
        <v>122</v>
      </c>
      <c r="I20" s="48" t="s">
        <v>2</v>
      </c>
    </row>
    <row r="21" spans="2:11" ht="24" hidden="1" x14ac:dyDescent="0.35">
      <c r="B21" s="49" t="s">
        <v>129</v>
      </c>
      <c r="C21" s="50">
        <v>38.200000000000003</v>
      </c>
      <c r="D21" s="50">
        <v>35.6</v>
      </c>
      <c r="E21" s="50">
        <v>42.3</v>
      </c>
      <c r="F21" s="50">
        <v>39.5</v>
      </c>
      <c r="G21" s="50"/>
      <c r="H21" s="50" t="s">
        <v>122</v>
      </c>
      <c r="I21" s="50" t="s">
        <v>2</v>
      </c>
    </row>
    <row r="22" spans="2:11" ht="24" hidden="1" x14ac:dyDescent="0.35">
      <c r="B22" s="47" t="s">
        <v>130</v>
      </c>
      <c r="C22" s="48">
        <v>48.8</v>
      </c>
      <c r="D22" s="48">
        <v>45.6</v>
      </c>
      <c r="E22" s="48">
        <v>54.1</v>
      </c>
      <c r="F22" s="48">
        <v>50.5</v>
      </c>
      <c r="G22" s="48"/>
      <c r="H22" s="48" t="s">
        <v>122</v>
      </c>
      <c r="I22" s="48" t="s">
        <v>2</v>
      </c>
    </row>
    <row r="23" spans="2:11" ht="24" hidden="1" x14ac:dyDescent="0.35">
      <c r="B23" s="49" t="s">
        <v>131</v>
      </c>
      <c r="C23" s="50">
        <v>44.5</v>
      </c>
      <c r="D23" s="50">
        <v>41.5</v>
      </c>
      <c r="E23" s="50">
        <v>49.3</v>
      </c>
      <c r="F23" s="50">
        <v>46</v>
      </c>
      <c r="G23" s="50"/>
      <c r="H23" s="50" t="s">
        <v>122</v>
      </c>
      <c r="I23" s="50" t="s">
        <v>2</v>
      </c>
    </row>
    <row r="24" spans="2:11" ht="32" customHeight="1" x14ac:dyDescent="0.35">
      <c r="B24" s="287" t="s">
        <v>143</v>
      </c>
      <c r="C24" s="287"/>
      <c r="D24" s="287"/>
    </row>
    <row r="25" spans="2:11" hidden="1" x14ac:dyDescent="0.35">
      <c r="B25" s="257" t="s">
        <v>132</v>
      </c>
      <c r="C25" s="245"/>
      <c r="D25" s="245"/>
      <c r="E25" s="245"/>
      <c r="F25" s="245"/>
      <c r="G25" s="245"/>
      <c r="H25" s="245"/>
      <c r="I25" s="245"/>
      <c r="J25" s="245"/>
      <c r="K25" s="245"/>
    </row>
    <row r="26" spans="2:11" ht="26" x14ac:dyDescent="0.35">
      <c r="B26" s="1" t="s">
        <v>138</v>
      </c>
      <c r="C26" s="66" t="s">
        <v>151</v>
      </c>
      <c r="D26" s="66" t="s">
        <v>155</v>
      </c>
    </row>
    <row r="27" spans="2:11" x14ac:dyDescent="0.35">
      <c r="B27" s="47" t="s">
        <v>139</v>
      </c>
      <c r="C27" s="59">
        <v>0.26</v>
      </c>
      <c r="D27" s="59">
        <v>0.35</v>
      </c>
    </row>
    <row r="28" spans="2:11" x14ac:dyDescent="0.35">
      <c r="B28" s="49" t="s">
        <v>141</v>
      </c>
      <c r="C28" s="60" t="s">
        <v>142</v>
      </c>
      <c r="D28" s="60">
        <f>D27-0.12</f>
        <v>0.22999999999999998</v>
      </c>
    </row>
    <row r="29" spans="2:11" x14ac:dyDescent="0.35">
      <c r="B29" s="64" t="s">
        <v>140</v>
      </c>
      <c r="C29" s="65">
        <v>0.39</v>
      </c>
      <c r="D29" s="65">
        <v>0.48</v>
      </c>
    </row>
    <row r="30" spans="2:11" x14ac:dyDescent="0.35">
      <c r="B30" s="49" t="s">
        <v>789</v>
      </c>
      <c r="C30" s="60" t="s">
        <v>142</v>
      </c>
      <c r="D30" s="60">
        <f>D29-0.0875</f>
        <v>0.39249999999999996</v>
      </c>
    </row>
    <row r="31" spans="2:11" x14ac:dyDescent="0.35">
      <c r="B31" s="64" t="s">
        <v>111</v>
      </c>
      <c r="C31" s="65">
        <v>0.28999999999999998</v>
      </c>
      <c r="D31" s="65">
        <v>0.28999999999999998</v>
      </c>
    </row>
    <row r="32" spans="2:11" x14ac:dyDescent="0.35">
      <c r="B32" s="61"/>
      <c r="C32" s="55"/>
      <c r="D32" s="62"/>
      <c r="E32" s="55"/>
      <c r="F32" s="55"/>
    </row>
    <row r="33" spans="2:7" ht="14.5" customHeight="1" x14ac:dyDescent="0.35">
      <c r="B33" s="259" t="s">
        <v>154</v>
      </c>
      <c r="C33" s="259"/>
      <c r="D33" s="259"/>
      <c r="E33" s="259"/>
      <c r="F33" s="55"/>
      <c r="G33" s="55"/>
    </row>
    <row r="34" spans="2:7" ht="26" x14ac:dyDescent="0.35">
      <c r="B34" s="1" t="s">
        <v>133</v>
      </c>
      <c r="C34" s="66" t="s">
        <v>151</v>
      </c>
      <c r="D34" s="1" t="s">
        <v>798</v>
      </c>
      <c r="E34" s="1" t="s">
        <v>799</v>
      </c>
    </row>
    <row r="35" spans="2:7" ht="24" customHeight="1" x14ac:dyDescent="0.35">
      <c r="B35" s="47" t="s">
        <v>139</v>
      </c>
      <c r="C35" s="207">
        <f>C44/C27</f>
        <v>695.69230769230762</v>
      </c>
      <c r="D35" s="207">
        <f>D44/D27</f>
        <v>2861.457142857143</v>
      </c>
      <c r="E35" s="207">
        <f>E44/D27</f>
        <v>500.45714285714286</v>
      </c>
    </row>
    <row r="36" spans="2:7" x14ac:dyDescent="0.35">
      <c r="B36" s="49" t="s">
        <v>141</v>
      </c>
      <c r="C36" s="208" t="s">
        <v>142</v>
      </c>
      <c r="D36" s="209" t="s">
        <v>142</v>
      </c>
      <c r="E36" s="208">
        <f>E45/D28</f>
        <v>2515.4782608695655</v>
      </c>
    </row>
    <row r="37" spans="2:7" x14ac:dyDescent="0.35">
      <c r="B37" s="64" t="s">
        <v>140</v>
      </c>
      <c r="C37" s="207">
        <f>C46/C29</f>
        <v>131.47692307692307</v>
      </c>
      <c r="D37" s="207">
        <f>D46/D29</f>
        <v>428.79166666666703</v>
      </c>
      <c r="E37" s="207">
        <f>E46/D29</f>
        <v>97.653892249995579</v>
      </c>
    </row>
    <row r="38" spans="2:7" x14ac:dyDescent="0.35">
      <c r="B38" s="49" t="s">
        <v>789</v>
      </c>
      <c r="C38" s="208" t="s">
        <v>142</v>
      </c>
      <c r="D38" s="208" t="s">
        <v>142</v>
      </c>
      <c r="E38" s="208">
        <f>E47*D30</f>
        <v>60.769256700100847</v>
      </c>
    </row>
    <row r="39" spans="2:7" x14ac:dyDescent="0.35">
      <c r="B39" s="64" t="s">
        <v>111</v>
      </c>
      <c r="C39" s="207">
        <f>C48/C31</f>
        <v>23.324137931034485</v>
      </c>
      <c r="D39" s="207">
        <f>D48/D31</f>
        <v>77.896551724137652</v>
      </c>
      <c r="E39" s="207">
        <f>E48/D31</f>
        <v>64.03448275862047</v>
      </c>
    </row>
    <row r="40" spans="2:7" x14ac:dyDescent="0.35">
      <c r="B40" s="49" t="s">
        <v>1</v>
      </c>
      <c r="C40" s="208">
        <f>SUM(C35:C39)</f>
        <v>850.49336870026514</v>
      </c>
      <c r="D40" s="208">
        <f t="shared" ref="D40:E40" si="0">SUM(D35:D39)</f>
        <v>3368.1453612479477</v>
      </c>
      <c r="E40" s="208">
        <f t="shared" si="0"/>
        <v>3238.3930354354256</v>
      </c>
    </row>
    <row r="42" spans="2:7" ht="14.5" customHeight="1" x14ac:dyDescent="0.35">
      <c r="B42" s="259" t="s">
        <v>153</v>
      </c>
      <c r="C42" s="259"/>
      <c r="D42" s="259"/>
      <c r="E42" s="259"/>
    </row>
    <row r="43" spans="2:7" ht="26" x14ac:dyDescent="0.35">
      <c r="B43" s="1" t="s">
        <v>133</v>
      </c>
      <c r="C43" s="66" t="s">
        <v>151</v>
      </c>
      <c r="D43" s="1" t="s">
        <v>798</v>
      </c>
      <c r="E43" s="1" t="s">
        <v>799</v>
      </c>
    </row>
    <row r="44" spans="2:7" ht="24" customHeight="1" x14ac:dyDescent="0.35">
      <c r="B44" s="47" t="s">
        <v>139</v>
      </c>
      <c r="C44" s="207">
        <v>180.88</v>
      </c>
      <c r="D44" s="207">
        <v>1001.51</v>
      </c>
      <c r="E44" s="207">
        <v>175.16</v>
      </c>
    </row>
    <row r="45" spans="2:7" x14ac:dyDescent="0.35">
      <c r="B45" s="49" t="s">
        <v>141</v>
      </c>
      <c r="C45" s="209" t="s">
        <v>142</v>
      </c>
      <c r="D45" s="209" t="s">
        <v>142</v>
      </c>
      <c r="E45" s="208">
        <v>578.56000000000006</v>
      </c>
    </row>
    <row r="46" spans="2:7" ht="23" customHeight="1" x14ac:dyDescent="0.35">
      <c r="B46" s="64" t="s">
        <v>140</v>
      </c>
      <c r="C46" s="207">
        <v>51.276000000000003</v>
      </c>
      <c r="D46" s="207">
        <v>205.82000000000016</v>
      </c>
      <c r="E46" s="207">
        <v>46.873868279997879</v>
      </c>
    </row>
    <row r="47" spans="2:7" x14ac:dyDescent="0.35">
      <c r="B47" s="49" t="s">
        <v>789</v>
      </c>
      <c r="C47" s="208" t="s">
        <v>142</v>
      </c>
      <c r="D47" s="208" t="s">
        <v>142</v>
      </c>
      <c r="E47" s="208">
        <v>154.82613172000217</v>
      </c>
    </row>
    <row r="48" spans="2:7" x14ac:dyDescent="0.35">
      <c r="B48" s="64" t="s">
        <v>111</v>
      </c>
      <c r="C48" s="210">
        <v>6.7640000000000002</v>
      </c>
      <c r="D48" s="210">
        <v>22.589999999999918</v>
      </c>
      <c r="E48" s="210">
        <v>18.569999999999936</v>
      </c>
    </row>
    <row r="49" spans="2:12" x14ac:dyDescent="0.35">
      <c r="B49" s="49" t="s">
        <v>145</v>
      </c>
      <c r="C49" s="208" t="s">
        <v>142</v>
      </c>
      <c r="D49" s="209" t="s">
        <v>142</v>
      </c>
      <c r="E49" s="208">
        <v>153.93000000000006</v>
      </c>
    </row>
    <row r="50" spans="2:12" x14ac:dyDescent="0.35">
      <c r="B50" s="64" t="s">
        <v>146</v>
      </c>
      <c r="C50" s="210">
        <v>24.324999999999999</v>
      </c>
      <c r="D50" s="210">
        <v>248.49</v>
      </c>
      <c r="E50" s="210">
        <v>244.15999999999985</v>
      </c>
    </row>
    <row r="51" spans="2:12" x14ac:dyDescent="0.35">
      <c r="B51" s="49" t="s">
        <v>147</v>
      </c>
      <c r="C51" s="208">
        <v>0.47499999999999998</v>
      </c>
      <c r="D51" s="208">
        <v>20.079999999999927</v>
      </c>
      <c r="E51" s="208">
        <v>58.3900000000001</v>
      </c>
    </row>
    <row r="52" spans="2:12" x14ac:dyDescent="0.35">
      <c r="B52" s="64" t="s">
        <v>148</v>
      </c>
      <c r="C52" s="210">
        <v>0.17097000000000001</v>
      </c>
      <c r="D52" s="210">
        <v>143.07999999999993</v>
      </c>
      <c r="E52" s="210">
        <v>199.03999999999996</v>
      </c>
    </row>
    <row r="53" spans="2:12" x14ac:dyDescent="0.35">
      <c r="B53" s="49" t="s">
        <v>149</v>
      </c>
      <c r="C53" s="208">
        <v>11.555</v>
      </c>
      <c r="D53" s="208">
        <v>122.99000000000001</v>
      </c>
      <c r="E53" s="208">
        <v>79.620000000000118</v>
      </c>
    </row>
    <row r="54" spans="2:12" x14ac:dyDescent="0.35">
      <c r="B54" s="64" t="s">
        <v>134</v>
      </c>
      <c r="C54" s="210">
        <v>15.563000000000001</v>
      </c>
      <c r="D54" s="210">
        <v>188.25</v>
      </c>
      <c r="E54" s="210">
        <v>180.4699999999998</v>
      </c>
      <c r="L54" s="89"/>
    </row>
    <row r="55" spans="2:12" ht="36" x14ac:dyDescent="0.35">
      <c r="B55" s="49" t="s">
        <v>150</v>
      </c>
      <c r="C55" s="206">
        <v>0.82099999999999995</v>
      </c>
      <c r="D55" s="208">
        <v>100.40000000000009</v>
      </c>
      <c r="E55" s="208">
        <v>98.190000000000055</v>
      </c>
    </row>
    <row r="56" spans="2:12" x14ac:dyDescent="0.35">
      <c r="B56" s="205" t="s">
        <v>152</v>
      </c>
      <c r="C56" s="210">
        <f>SUM(C44:C55)</f>
        <v>291.82997000000006</v>
      </c>
      <c r="D56" s="210">
        <f>SUM(D44:D55)</f>
        <v>2053.21</v>
      </c>
      <c r="E56" s="210">
        <f>SUM(E44:E55)</f>
        <v>1987.79</v>
      </c>
      <c r="F56" s="78"/>
      <c r="G56" s="78"/>
      <c r="H56" s="78"/>
      <c r="I56" s="78"/>
      <c r="J56" s="55"/>
    </row>
    <row r="57" spans="2:12" ht="14.5" customHeight="1" x14ac:dyDescent="0.35">
      <c r="B57" s="30"/>
    </row>
    <row r="58" spans="2:12" ht="14.5" customHeight="1" x14ac:dyDescent="0.35">
      <c r="B58" s="258" t="s">
        <v>156</v>
      </c>
      <c r="C58" s="258"/>
      <c r="D58" s="258"/>
      <c r="E58" s="258"/>
    </row>
    <row r="59" spans="2:12" ht="24" customHeight="1" x14ac:dyDescent="0.35">
      <c r="B59" s="1" t="s">
        <v>133</v>
      </c>
      <c r="C59" s="66" t="s">
        <v>151</v>
      </c>
      <c r="D59" s="1" t="s">
        <v>798</v>
      </c>
      <c r="E59" s="1" t="s">
        <v>799</v>
      </c>
    </row>
    <row r="60" spans="2:12" ht="14.5" customHeight="1" x14ac:dyDescent="0.35">
      <c r="B60" s="47" t="s">
        <v>139</v>
      </c>
      <c r="C60" s="211">
        <f>H7/C27*3.6</f>
        <v>1590.7458461538461</v>
      </c>
      <c r="D60" s="211">
        <f>$H$7/$D$27*3.6</f>
        <v>1181.6969142857145</v>
      </c>
      <c r="E60" s="211">
        <f>$H$7/$D$27*3.6</f>
        <v>1181.6969142857145</v>
      </c>
    </row>
    <row r="61" spans="2:12" ht="33" customHeight="1" x14ac:dyDescent="0.35">
      <c r="B61" s="49" t="s">
        <v>141</v>
      </c>
      <c r="C61" s="212" t="s">
        <v>142</v>
      </c>
      <c r="D61" s="212" t="s">
        <v>142</v>
      </c>
      <c r="E61" s="212">
        <f>(((SUM(C7:E7)*3.6)*(1-0.9))+(F7*3.6))/(D27-0.12)</f>
        <v>292.31765217391302</v>
      </c>
    </row>
    <row r="62" spans="2:12" x14ac:dyDescent="0.35">
      <c r="B62" s="64" t="s">
        <v>140</v>
      </c>
      <c r="C62" s="211">
        <f>H8/C29*3.6</f>
        <v>666.09692307692296</v>
      </c>
      <c r="D62" s="211">
        <f>$H$8/$D$29*3.6</f>
        <v>541.20375000000001</v>
      </c>
      <c r="E62" s="211">
        <f>$H$8/$D$29*3.6</f>
        <v>541.20375000000001</v>
      </c>
    </row>
    <row r="63" spans="2:12" x14ac:dyDescent="0.35">
      <c r="B63" s="49" t="s">
        <v>789</v>
      </c>
      <c r="C63" s="212" t="s">
        <v>142</v>
      </c>
      <c r="D63" s="212" t="s">
        <v>142</v>
      </c>
      <c r="E63" s="212">
        <f>(((SUM(C8:E8)*3.6)*(1-0.9))+(F8*3.6))/(D29-0.0875)</f>
        <v>185.1367643312102</v>
      </c>
    </row>
    <row r="64" spans="2:12" x14ac:dyDescent="0.35">
      <c r="B64" s="64" t="s">
        <v>111</v>
      </c>
      <c r="C64" s="213">
        <f>H9/C31*3.6</f>
        <v>1094.9337931034484</v>
      </c>
      <c r="D64" s="213">
        <f>$H$9/$D$31*3.6</f>
        <v>1094.9337931034484</v>
      </c>
      <c r="E64" s="213">
        <f>$H$9/$D$31*3.6</f>
        <v>1094.9337931034484</v>
      </c>
    </row>
    <row r="65" spans="2:10" ht="24" x14ac:dyDescent="0.35">
      <c r="B65" s="49" t="s">
        <v>160</v>
      </c>
      <c r="C65" s="212">
        <f>(C60*C44/SUM(C44,C46,C48)+(C62*C46/SUM(C44,C46,C48)+(C64*C48/SUM(C44,C46,C48))))</f>
        <v>1378.26480268103</v>
      </c>
      <c r="D65" s="212">
        <f>(D60*D44/SUM(D44,D46,D48)+(D62*D46/SUM(D44,D46,D48)+(D64*D48/SUM(D44,D46,D48))))</f>
        <v>1072.9205044535358</v>
      </c>
      <c r="E65" s="212">
        <f>(E60*E44/SUM(E44,E46,E48)+(E62*E46/SUM(E44,E46,E48)+(E64*E48/SUM(E44,E46,E48))))</f>
        <v>1050.2211254571268</v>
      </c>
    </row>
    <row r="66" spans="2:10" ht="24" x14ac:dyDescent="0.35">
      <c r="B66" s="106" t="s">
        <v>281</v>
      </c>
      <c r="C66" s="211">
        <f>865.32</f>
        <v>865.32</v>
      </c>
      <c r="D66" s="211">
        <v>502</v>
      </c>
      <c r="E66" s="211">
        <v>14</v>
      </c>
    </row>
    <row r="67" spans="2:10" x14ac:dyDescent="0.35">
      <c r="B67" s="63"/>
    </row>
    <row r="68" spans="2:10" ht="24" customHeight="1" x14ac:dyDescent="0.35">
      <c r="B68" s="258" t="s">
        <v>161</v>
      </c>
      <c r="C68" s="258"/>
      <c r="D68" s="258"/>
      <c r="E68" s="258"/>
    </row>
    <row r="69" spans="2:10" ht="26" x14ac:dyDescent="0.35">
      <c r="B69" s="1" t="s">
        <v>133</v>
      </c>
      <c r="C69" s="66" t="s">
        <v>151</v>
      </c>
      <c r="D69" s="1" t="s">
        <v>798</v>
      </c>
      <c r="E69" s="1" t="s">
        <v>799</v>
      </c>
    </row>
    <row r="70" spans="2:10" ht="14.5" customHeight="1" x14ac:dyDescent="0.35">
      <c r="B70" s="47" t="s">
        <v>139</v>
      </c>
      <c r="C70" s="211">
        <f>C44*C60*10^(-3)</f>
        <v>287.73410865230767</v>
      </c>
      <c r="D70" s="211">
        <f>D44*D60*10^(-3)</f>
        <v>1183.481276626286</v>
      </c>
      <c r="E70" s="211">
        <f>E44*E60*10^(-3)</f>
        <v>206.98603150628574</v>
      </c>
    </row>
    <row r="71" spans="2:10" x14ac:dyDescent="0.35">
      <c r="B71" s="49" t="s">
        <v>141</v>
      </c>
      <c r="C71" s="212" t="s">
        <v>142</v>
      </c>
      <c r="D71" s="212" t="s">
        <v>142</v>
      </c>
      <c r="E71" s="212">
        <f>E45*E61*10^(-3)</f>
        <v>169.12330084173914</v>
      </c>
    </row>
    <row r="72" spans="2:10" ht="14.5" customHeight="1" x14ac:dyDescent="0.35">
      <c r="B72" s="64" t="s">
        <v>140</v>
      </c>
      <c r="C72" s="211">
        <f>C46*C62*10^(-3)</f>
        <v>34.154785827692308</v>
      </c>
      <c r="D72" s="211">
        <f>D46*D62*10^(-3)</f>
        <v>111.39055582500009</v>
      </c>
      <c r="E72" s="211">
        <f>E46*E62*10^(-3)</f>
        <v>25.368313290140904</v>
      </c>
    </row>
    <row r="73" spans="2:10" ht="14.5" customHeight="1" x14ac:dyDescent="0.35">
      <c r="B73" s="49" t="s">
        <v>789</v>
      </c>
      <c r="C73" s="212" t="s">
        <v>142</v>
      </c>
      <c r="D73" s="212" t="s">
        <v>142</v>
      </c>
      <c r="E73" s="212">
        <f>E47*E63*10^(-3)</f>
        <v>28.66400906055895</v>
      </c>
    </row>
    <row r="74" spans="2:10" x14ac:dyDescent="0.35">
      <c r="B74" s="64" t="s">
        <v>111</v>
      </c>
      <c r="C74" s="213">
        <f>C48*C64*10^(-3)</f>
        <v>7.4061321765517256</v>
      </c>
      <c r="D74" s="213">
        <f>D48*D64*10^(-3)</f>
        <v>24.73455438620681</v>
      </c>
      <c r="E74" s="213">
        <f>E48*E64*10^(-3)</f>
        <v>20.332920537930967</v>
      </c>
    </row>
    <row r="75" spans="2:10" x14ac:dyDescent="0.35">
      <c r="B75" s="49" t="s">
        <v>1</v>
      </c>
      <c r="C75" s="212">
        <f>SUM(C70:C74)</f>
        <v>329.29502665655173</v>
      </c>
      <c r="D75" s="212">
        <f>SUM(D70:D74)</f>
        <v>1319.6063868374929</v>
      </c>
      <c r="E75" s="212">
        <f>SUM(E70:E74)</f>
        <v>450.47457523665571</v>
      </c>
      <c r="F75" s="55"/>
      <c r="G75" s="55"/>
      <c r="H75" s="55"/>
      <c r="I75" s="55"/>
      <c r="J75" s="55"/>
    </row>
    <row r="77" spans="2:10" ht="14.5" customHeight="1" x14ac:dyDescent="0.35">
      <c r="B77" s="258" t="s">
        <v>173</v>
      </c>
      <c r="C77" s="258"/>
      <c r="D77" s="258"/>
      <c r="E77" s="258"/>
      <c r="F77" s="258"/>
      <c r="G77" s="258"/>
      <c r="H77" s="258"/>
      <c r="I77" s="258"/>
    </row>
    <row r="78" spans="2:10" ht="43" customHeight="1" x14ac:dyDescent="0.35">
      <c r="B78" s="66" t="s">
        <v>167</v>
      </c>
      <c r="C78" s="1" t="s">
        <v>217</v>
      </c>
      <c r="D78" s="66" t="s">
        <v>171</v>
      </c>
      <c r="E78" s="66" t="s">
        <v>172</v>
      </c>
      <c r="F78" s="66" t="s">
        <v>170</v>
      </c>
      <c r="G78" s="66" t="s">
        <v>169</v>
      </c>
      <c r="H78" s="1" t="s">
        <v>792</v>
      </c>
      <c r="I78" s="66" t="s">
        <v>174</v>
      </c>
    </row>
    <row r="79" spans="2:10" x14ac:dyDescent="0.35">
      <c r="B79" s="67" t="s">
        <v>168</v>
      </c>
      <c r="C79" s="214">
        <v>23.6</v>
      </c>
      <c r="D79" s="53">
        <f>((F79*44/12)/23600*1000)*(3.6*10^9)*10^(-9)</f>
        <v>0.26288135593220341</v>
      </c>
      <c r="E79" s="56">
        <f>0.18*D79</f>
        <v>4.7318644067796609E-2</v>
      </c>
      <c r="F79" s="73">
        <v>0.47</v>
      </c>
      <c r="G79" s="73">
        <v>0.92600000000000005</v>
      </c>
      <c r="H79" s="73">
        <v>0.38</v>
      </c>
      <c r="I79" s="53">
        <f>-(D79*G79/H79)+(E79/H79)</f>
        <v>-0.51607760927743107</v>
      </c>
    </row>
  </sheetData>
  <mergeCells count="16">
    <mergeCell ref="B24:D24"/>
    <mergeCell ref="B77:I77"/>
    <mergeCell ref="B68:E68"/>
    <mergeCell ref="B58:E58"/>
    <mergeCell ref="B42:E42"/>
    <mergeCell ref="B33:E33"/>
    <mergeCell ref="B12:K12"/>
    <mergeCell ref="B25:K25"/>
    <mergeCell ref="B2:K2"/>
    <mergeCell ref="B11:K11"/>
    <mergeCell ref="C5:E5"/>
    <mergeCell ref="B5:B6"/>
    <mergeCell ref="F5:F6"/>
    <mergeCell ref="G5:G6"/>
    <mergeCell ref="H5:H6"/>
    <mergeCell ref="B4:H4"/>
  </mergeCells>
  <pageMargins left="0.75" right="0.75" top="1" bottom="1" header="0.5" footer="0.5"/>
  <ignoredErrors>
    <ignoredError sqref="E38"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499984740745262"/>
  </sheetPr>
  <dimension ref="B2:M42"/>
  <sheetViews>
    <sheetView zoomScale="71" zoomScaleNormal="70" workbookViewId="0">
      <pane ySplit="2" topLeftCell="A3" activePane="bottomLeft" state="frozen"/>
      <selection pane="bottomLeft" activeCell="B2" sqref="B2:M2"/>
    </sheetView>
  </sheetViews>
  <sheetFormatPr defaultRowHeight="14.5" x14ac:dyDescent="0.35"/>
  <cols>
    <col min="1" max="1" width="3" style="16" customWidth="1"/>
    <col min="2" max="2" width="19.453125" style="16" customWidth="1"/>
    <col min="3" max="3" width="22.26953125" style="16" customWidth="1"/>
    <col min="4" max="4" width="22.6328125" style="16" customWidth="1"/>
    <col min="5" max="5" width="18.26953125" style="16" customWidth="1"/>
    <col min="6" max="6" width="19.36328125" style="16" customWidth="1"/>
    <col min="7" max="7" width="23.1796875" style="16" customWidth="1"/>
    <col min="8" max="8" width="27.26953125" style="16" customWidth="1"/>
    <col min="9" max="9" width="28" style="16" customWidth="1"/>
    <col min="10" max="10" width="16" style="16" customWidth="1"/>
    <col min="11" max="11" width="17.08984375" style="16" customWidth="1"/>
    <col min="12" max="12" width="36" style="16" customWidth="1"/>
    <col min="13" max="13" width="14" style="16" customWidth="1"/>
    <col min="14" max="16384" width="8.7265625" style="16"/>
  </cols>
  <sheetData>
    <row r="2" spans="2:13" ht="28" customHeight="1" x14ac:dyDescent="0.35">
      <c r="B2" s="266" t="s">
        <v>24</v>
      </c>
      <c r="C2" s="226"/>
      <c r="D2" s="226"/>
      <c r="E2" s="226"/>
      <c r="F2" s="226"/>
      <c r="G2" s="226"/>
      <c r="H2" s="226"/>
      <c r="I2" s="226"/>
      <c r="J2" s="226"/>
      <c r="K2" s="226"/>
      <c r="L2" s="226"/>
      <c r="M2" s="226"/>
    </row>
    <row r="3" spans="2:13" ht="30" customHeight="1" x14ac:dyDescent="0.35">
      <c r="D3" s="82"/>
      <c r="E3" s="83"/>
      <c r="F3" s="82"/>
      <c r="G3" s="79"/>
      <c r="H3" s="81"/>
      <c r="I3" s="80"/>
      <c r="J3" s="79"/>
      <c r="K3" s="80"/>
      <c r="L3" s="80"/>
      <c r="M3" s="79"/>
    </row>
    <row r="4" spans="2:13" ht="14.5" customHeight="1" x14ac:dyDescent="0.35">
      <c r="B4" s="260" t="s">
        <v>264</v>
      </c>
      <c r="C4" s="260"/>
      <c r="D4" s="260"/>
      <c r="E4" s="79"/>
      <c r="F4" s="79"/>
      <c r="G4" s="79"/>
      <c r="H4" s="74" t="s">
        <v>186</v>
      </c>
      <c r="I4" s="74" t="s">
        <v>183</v>
      </c>
      <c r="J4" s="74" t="s">
        <v>23</v>
      </c>
      <c r="K4" s="80"/>
      <c r="L4" s="80"/>
      <c r="M4" s="79"/>
    </row>
    <row r="5" spans="2:13" ht="30" customHeight="1" x14ac:dyDescent="0.35">
      <c r="B5" s="74" t="s">
        <v>178</v>
      </c>
      <c r="C5" s="74">
        <v>2020</v>
      </c>
      <c r="D5" s="74">
        <v>2050</v>
      </c>
      <c r="E5" s="79"/>
      <c r="H5" s="43" t="s">
        <v>182</v>
      </c>
      <c r="I5" s="84">
        <v>43382320.200000003</v>
      </c>
      <c r="J5" s="220">
        <f>I5/1000000</f>
        <v>43.382320200000002</v>
      </c>
    </row>
    <row r="6" spans="2:13" x14ac:dyDescent="0.35">
      <c r="B6" s="7" t="s">
        <v>179</v>
      </c>
      <c r="C6" s="150">
        <v>43.382320200000002</v>
      </c>
      <c r="D6" s="150">
        <v>42.449370763085959</v>
      </c>
      <c r="H6" s="17" t="s">
        <v>184</v>
      </c>
      <c r="I6" s="223">
        <v>83532930</v>
      </c>
      <c r="J6" s="139">
        <f>I6/1000000</f>
        <v>83.532929999999993</v>
      </c>
    </row>
    <row r="7" spans="2:13" x14ac:dyDescent="0.35">
      <c r="B7" s="4" t="s">
        <v>180</v>
      </c>
      <c r="C7" s="139">
        <v>13.47</v>
      </c>
      <c r="D7" s="139">
        <v>29.85</v>
      </c>
      <c r="H7" s="43" t="s">
        <v>185</v>
      </c>
      <c r="I7" s="222">
        <f>J5/J6</f>
        <v>0.51934393059120521</v>
      </c>
      <c r="J7" s="221">
        <v>0.51934393059120521</v>
      </c>
    </row>
    <row r="8" spans="2:13" x14ac:dyDescent="0.35">
      <c r="B8" s="7" t="s">
        <v>181</v>
      </c>
      <c r="C8" s="150">
        <v>85.32</v>
      </c>
      <c r="D8" s="150">
        <v>63.32</v>
      </c>
      <c r="H8" s="17" t="s">
        <v>187</v>
      </c>
      <c r="I8" s="223">
        <v>81736530</v>
      </c>
      <c r="J8" s="139">
        <f>I8/1000000</f>
        <v>81.736530000000002</v>
      </c>
    </row>
    <row r="9" spans="2:13" x14ac:dyDescent="0.35">
      <c r="B9" s="256"/>
      <c r="C9" s="256"/>
      <c r="D9" s="256"/>
      <c r="E9" s="256"/>
      <c r="F9" s="256"/>
      <c r="H9" s="43" t="s">
        <v>188</v>
      </c>
      <c r="I9" s="84">
        <f>I8*I7</f>
        <v>42449370.763085961</v>
      </c>
      <c r="J9" s="220">
        <f t="shared" ref="H8:J9" si="0">I9/1000000</f>
        <v>42.449370763085959</v>
      </c>
    </row>
    <row r="10" spans="2:13" ht="33" customHeight="1" x14ac:dyDescent="0.35">
      <c r="B10" s="260" t="s">
        <v>225</v>
      </c>
      <c r="C10" s="260"/>
    </row>
    <row r="11" spans="2:13" ht="26" x14ac:dyDescent="0.35">
      <c r="B11" s="74" t="s">
        <v>175</v>
      </c>
      <c r="C11" s="74" t="s">
        <v>176</v>
      </c>
    </row>
    <row r="12" spans="2:13" ht="39.5" customHeight="1" x14ac:dyDescent="0.35">
      <c r="B12" s="150">
        <v>40</v>
      </c>
      <c r="C12" s="75">
        <v>0.38</v>
      </c>
      <c r="D12"/>
      <c r="E12"/>
    </row>
    <row r="13" spans="2:13" x14ac:dyDescent="0.35">
      <c r="G13" s="78"/>
      <c r="H13" s="78"/>
      <c r="I13" s="78"/>
    </row>
    <row r="14" spans="2:13" ht="14.5" customHeight="1" x14ac:dyDescent="0.35">
      <c r="B14" s="260" t="s">
        <v>226</v>
      </c>
      <c r="C14" s="260"/>
      <c r="D14" s="260"/>
      <c r="E14" s="260"/>
      <c r="H14" s="85"/>
      <c r="I14" s="85"/>
    </row>
    <row r="15" spans="2:13" ht="39" x14ac:dyDescent="0.35">
      <c r="B15" s="74" t="s">
        <v>193</v>
      </c>
      <c r="C15" s="74" t="s">
        <v>194</v>
      </c>
      <c r="D15" s="74" t="s">
        <v>195</v>
      </c>
      <c r="E15" s="74" t="s">
        <v>209</v>
      </c>
    </row>
    <row r="16" spans="2:13" x14ac:dyDescent="0.35">
      <c r="B16" s="149">
        <f>14.6/30</f>
        <v>0.48666666666666664</v>
      </c>
      <c r="C16" s="220">
        <v>599232</v>
      </c>
      <c r="D16" s="220">
        <v>139646704</v>
      </c>
      <c r="E16" s="220">
        <f>D16/C16</f>
        <v>233.04280145252591</v>
      </c>
    </row>
    <row r="18" spans="2:7" ht="14.5" customHeight="1" x14ac:dyDescent="0.35">
      <c r="B18" s="260" t="s">
        <v>227</v>
      </c>
      <c r="C18" s="260"/>
      <c r="D18" s="260"/>
      <c r="E18" s="260"/>
      <c r="F18" s="260"/>
      <c r="G18" s="260"/>
    </row>
    <row r="19" spans="2:7" ht="61.5" customHeight="1" x14ac:dyDescent="0.35">
      <c r="B19" s="74" t="s">
        <v>203</v>
      </c>
      <c r="C19" s="74" t="s">
        <v>207</v>
      </c>
      <c r="D19" s="74" t="s">
        <v>204</v>
      </c>
      <c r="E19" s="74" t="s">
        <v>205</v>
      </c>
      <c r="F19" s="74" t="s">
        <v>210</v>
      </c>
      <c r="G19" s="74" t="s">
        <v>211</v>
      </c>
    </row>
    <row r="20" spans="2:7" x14ac:dyDescent="0.35">
      <c r="B20" s="75">
        <v>13</v>
      </c>
      <c r="C20" s="84">
        <v>5</v>
      </c>
      <c r="D20" s="84">
        <v>0.37</v>
      </c>
      <c r="E20" s="75">
        <v>0.47</v>
      </c>
      <c r="F20" s="75">
        <f>B20*(1+$D$20)*$E$20*(44/12)</f>
        <v>30.692566666666668</v>
      </c>
      <c r="G20" s="75">
        <f>C20*(1+$D$20)*$E$20*(44/12)</f>
        <v>11.804833333333333</v>
      </c>
    </row>
    <row r="22" spans="2:7" ht="14.5" customHeight="1" x14ac:dyDescent="0.35">
      <c r="B22" s="260" t="s">
        <v>228</v>
      </c>
      <c r="C22" s="260"/>
      <c r="D22" s="260"/>
      <c r="E22" s="260"/>
    </row>
    <row r="23" spans="2:7" ht="39" x14ac:dyDescent="0.35">
      <c r="B23" s="74" t="s">
        <v>206</v>
      </c>
      <c r="C23" s="74" t="s">
        <v>212</v>
      </c>
      <c r="D23" s="74" t="s">
        <v>213</v>
      </c>
      <c r="E23" s="74" t="s">
        <v>208</v>
      </c>
    </row>
    <row r="24" spans="2:7" x14ac:dyDescent="0.35">
      <c r="B24" s="75">
        <f>20949000/1000000*0.57</f>
        <v>11.94093</v>
      </c>
      <c r="C24" s="84">
        <v>43.4</v>
      </c>
      <c r="D24" s="84">
        <v>33.979999999999997</v>
      </c>
      <c r="E24" s="75">
        <v>0.23499999999999999</v>
      </c>
    </row>
    <row r="26" spans="2:7" ht="14.5" customHeight="1" x14ac:dyDescent="0.35">
      <c r="B26" s="260" t="s">
        <v>229</v>
      </c>
      <c r="C26" s="260"/>
      <c r="D26" s="260"/>
      <c r="E26" s="260"/>
      <c r="F26" s="260"/>
    </row>
    <row r="27" spans="2:7" ht="39" x14ac:dyDescent="0.35">
      <c r="B27" s="74" t="s">
        <v>218</v>
      </c>
      <c r="C27" s="74" t="s">
        <v>219</v>
      </c>
      <c r="D27" s="74" t="s">
        <v>220</v>
      </c>
      <c r="E27" s="74" t="s">
        <v>221</v>
      </c>
      <c r="F27" s="74" t="s">
        <v>224</v>
      </c>
    </row>
    <row r="28" spans="2:7" x14ac:dyDescent="0.35">
      <c r="B28" s="75" t="s">
        <v>222</v>
      </c>
      <c r="C28" s="84">
        <v>8.6999999999999993</v>
      </c>
      <c r="D28" s="84">
        <v>2</v>
      </c>
      <c r="E28" s="75">
        <v>2.5</v>
      </c>
      <c r="F28" s="75">
        <f>SUM(C28:E28)</f>
        <v>13.2</v>
      </c>
    </row>
    <row r="29" spans="2:7" x14ac:dyDescent="0.35">
      <c r="B29" s="72" t="s">
        <v>223</v>
      </c>
      <c r="C29" s="87">
        <v>10.7</v>
      </c>
      <c r="D29" s="87">
        <v>2.9</v>
      </c>
      <c r="E29" s="72">
        <v>1.8</v>
      </c>
      <c r="F29" s="72">
        <f>SUM(C29:E29)</f>
        <v>15.4</v>
      </c>
    </row>
    <row r="31" spans="2:7" ht="14.5" customHeight="1" x14ac:dyDescent="0.35">
      <c r="B31" s="260" t="s">
        <v>243</v>
      </c>
      <c r="C31" s="260"/>
      <c r="D31" s="260"/>
      <c r="E31" s="260"/>
      <c r="F31" s="260"/>
    </row>
    <row r="32" spans="2:7" ht="39" x14ac:dyDescent="0.35">
      <c r="B32" s="74" t="s">
        <v>240</v>
      </c>
      <c r="C32" s="74" t="s">
        <v>233</v>
      </c>
      <c r="D32" s="74" t="s">
        <v>234</v>
      </c>
      <c r="E32" s="74" t="s">
        <v>241</v>
      </c>
      <c r="F32" s="74" t="s">
        <v>242</v>
      </c>
    </row>
    <row r="33" spans="2:11" x14ac:dyDescent="0.35">
      <c r="B33" s="150">
        <v>71</v>
      </c>
      <c r="C33" s="84">
        <v>0.69699999999999995</v>
      </c>
      <c r="D33" s="84">
        <v>11.5</v>
      </c>
      <c r="E33" s="75">
        <v>4</v>
      </c>
      <c r="F33" s="75">
        <v>1.038</v>
      </c>
    </row>
    <row r="35" spans="2:11" ht="14.5" customHeight="1" x14ac:dyDescent="0.35">
      <c r="B35" s="260" t="s">
        <v>248</v>
      </c>
      <c r="C35" s="260"/>
      <c r="D35" s="260"/>
      <c r="E35" s="260"/>
      <c r="F35" s="260"/>
      <c r="G35" s="260"/>
      <c r="H35" s="260"/>
      <c r="I35" s="260"/>
      <c r="J35" s="260"/>
      <c r="K35" s="260"/>
    </row>
    <row r="36" spans="2:11" ht="26" customHeight="1" x14ac:dyDescent="0.35">
      <c r="B36" s="261" t="s">
        <v>249</v>
      </c>
      <c r="C36" s="262"/>
      <c r="D36" s="263"/>
      <c r="E36" s="261" t="s">
        <v>254</v>
      </c>
      <c r="F36" s="262"/>
      <c r="G36" s="263"/>
      <c r="H36" s="261" t="s">
        <v>253</v>
      </c>
      <c r="I36" s="262"/>
      <c r="J36" s="263"/>
      <c r="K36" s="264" t="s">
        <v>255</v>
      </c>
    </row>
    <row r="37" spans="2:11" x14ac:dyDescent="0.35">
      <c r="B37" s="74" t="s">
        <v>250</v>
      </c>
      <c r="C37" s="74" t="s">
        <v>251</v>
      </c>
      <c r="D37" s="74" t="s">
        <v>252</v>
      </c>
      <c r="E37" s="74" t="s">
        <v>250</v>
      </c>
      <c r="F37" s="74" t="s">
        <v>251</v>
      </c>
      <c r="G37" s="74" t="s">
        <v>252</v>
      </c>
      <c r="H37" s="74" t="s">
        <v>250</v>
      </c>
      <c r="I37" s="74" t="s">
        <v>251</v>
      </c>
      <c r="J37" s="74" t="s">
        <v>252</v>
      </c>
      <c r="K37" s="265"/>
    </row>
    <row r="38" spans="2:11" x14ac:dyDescent="0.35">
      <c r="B38" s="75">
        <v>23.692</v>
      </c>
      <c r="C38" s="84">
        <v>46.289000000000001</v>
      </c>
      <c r="D38" s="84">
        <v>40.417000000000002</v>
      </c>
      <c r="E38" s="220">
        <f>B38*'Wedge Scale'!$B$28</f>
        <v>7793009560</v>
      </c>
      <c r="F38" s="220">
        <f>C38*'Wedge Scale'!$B$28</f>
        <v>15225840770</v>
      </c>
      <c r="G38" s="220">
        <f>D38*'Wedge Scale'!$B$28</f>
        <v>13294363810</v>
      </c>
      <c r="H38" s="75">
        <v>20.533333333333331</v>
      </c>
      <c r="I38" s="75">
        <v>5.8666666666666671</v>
      </c>
      <c r="J38" s="75">
        <v>4.7666666666666666</v>
      </c>
      <c r="K38" s="75">
        <f>((E38*H38)+(F38*I38)+(G38*J38))*365/(10^12)</f>
        <v>114.13958665327165</v>
      </c>
    </row>
    <row r="40" spans="2:11" ht="14.5" customHeight="1" x14ac:dyDescent="0.35">
      <c r="B40" s="260" t="s">
        <v>265</v>
      </c>
      <c r="C40" s="260"/>
      <c r="D40" s="260"/>
      <c r="E40" s="260"/>
    </row>
    <row r="41" spans="2:11" ht="39" x14ac:dyDescent="0.35">
      <c r="B41" s="74" t="s">
        <v>267</v>
      </c>
      <c r="C41" s="74" t="s">
        <v>266</v>
      </c>
      <c r="D41" s="74" t="s">
        <v>268</v>
      </c>
      <c r="E41" s="74" t="s">
        <v>269</v>
      </c>
    </row>
    <row r="42" spans="2:11" x14ac:dyDescent="0.35">
      <c r="B42" s="75">
        <f>'Food loss and waste (IDN)'!P53</f>
        <v>37.939785180264558</v>
      </c>
      <c r="C42" s="84">
        <f>'Food loss and waste (IDN)'!P54</f>
        <v>40.913037086160898</v>
      </c>
      <c r="D42" s="84">
        <f>'Emissions (IDN)'!P54</f>
        <v>75.415549980162339</v>
      </c>
      <c r="E42" s="75">
        <f>'Emissions (IDN)'!P55</f>
        <v>97.451519417546109</v>
      </c>
    </row>
  </sheetData>
  <mergeCells count="15">
    <mergeCell ref="B4:D4"/>
    <mergeCell ref="B14:E14"/>
    <mergeCell ref="B10:C10"/>
    <mergeCell ref="B40:E40"/>
    <mergeCell ref="B35:K35"/>
    <mergeCell ref="B31:F31"/>
    <mergeCell ref="B26:F26"/>
    <mergeCell ref="B22:E22"/>
    <mergeCell ref="B18:G18"/>
    <mergeCell ref="K36:K37"/>
    <mergeCell ref="B2:M2"/>
    <mergeCell ref="B9:F9"/>
    <mergeCell ref="B36:D36"/>
    <mergeCell ref="E36:G36"/>
    <mergeCell ref="H36:J3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A411A-E281-45C3-AFEB-7A7FF2DF75B2}">
  <sheetPr>
    <tabColor theme="6" tint="0.39997558519241921"/>
  </sheetPr>
  <dimension ref="A1:V59"/>
  <sheetViews>
    <sheetView zoomScale="74" zoomScaleNormal="82" workbookViewId="0">
      <selection activeCell="A7" sqref="A7"/>
    </sheetView>
  </sheetViews>
  <sheetFormatPr defaultRowHeight="14.5" x14ac:dyDescent="0.35"/>
  <cols>
    <col min="1" max="1" width="11.81640625" customWidth="1"/>
    <col min="2" max="3" width="11.81640625" bestFit="1" customWidth="1"/>
    <col min="4" max="4" width="13.1796875" bestFit="1" customWidth="1"/>
    <col min="5" max="5" width="15.26953125" bestFit="1" customWidth="1"/>
    <col min="6" max="6" width="15.08984375" bestFit="1" customWidth="1"/>
    <col min="7" max="9" width="16.1796875" customWidth="1"/>
    <col min="10" max="10" width="18.81640625" bestFit="1" customWidth="1"/>
    <col min="11" max="11" width="11.1796875" bestFit="1" customWidth="1"/>
    <col min="12" max="12" width="16.54296875" customWidth="1"/>
    <col min="13" max="13" width="11.81640625" bestFit="1" customWidth="1"/>
    <col min="14" max="14" width="12.6328125" bestFit="1" customWidth="1"/>
    <col min="15" max="15" width="8" customWidth="1"/>
    <col min="16" max="17" width="15.36328125" bestFit="1" customWidth="1"/>
    <col min="18" max="18" width="16.453125" bestFit="1" customWidth="1"/>
    <col min="19" max="19" width="7.81640625" customWidth="1"/>
    <col min="20" max="21" width="12.26953125" bestFit="1" customWidth="1"/>
    <col min="22" max="22" width="12.90625" bestFit="1" customWidth="1"/>
    <col min="24" max="24" width="14.08984375" bestFit="1" customWidth="1"/>
    <col min="25" max="25" width="10.81640625" bestFit="1" customWidth="1"/>
    <col min="26" max="26" width="11.453125" bestFit="1" customWidth="1"/>
    <col min="27" max="27" width="10.81640625" bestFit="1" customWidth="1"/>
    <col min="28" max="28" width="11.453125" customWidth="1"/>
    <col min="29" max="29" width="12.453125" customWidth="1"/>
    <col min="30" max="30" width="14.36328125" customWidth="1"/>
    <col min="32" max="32" width="12.6328125" bestFit="1" customWidth="1"/>
  </cols>
  <sheetData>
    <row r="1" spans="1:10" x14ac:dyDescent="0.35">
      <c r="A1" s="19" t="s">
        <v>230</v>
      </c>
    </row>
    <row r="2" spans="1:10" x14ac:dyDescent="0.35">
      <c r="A2" s="20" t="s">
        <v>231</v>
      </c>
    </row>
    <row r="3" spans="1:10" x14ac:dyDescent="0.35">
      <c r="A3" s="20"/>
    </row>
    <row r="4" spans="1:10" ht="29" x14ac:dyDescent="0.35">
      <c r="B4" s="91" t="s">
        <v>232</v>
      </c>
      <c r="C4" s="91" t="s">
        <v>233</v>
      </c>
      <c r="D4" s="91" t="s">
        <v>234</v>
      </c>
      <c r="E4" s="91" t="s">
        <v>235</v>
      </c>
      <c r="F4" s="92" t="s">
        <v>244</v>
      </c>
    </row>
    <row r="5" spans="1:10" x14ac:dyDescent="0.35">
      <c r="B5" s="93">
        <v>0.71</v>
      </c>
      <c r="C5" s="35">
        <v>0.69699999999999995</v>
      </c>
      <c r="D5" s="35">
        <v>11.5</v>
      </c>
      <c r="E5" s="35">
        <v>4</v>
      </c>
      <c r="F5" s="93">
        <f>'Land Use &amp; Food Inputs'!F33</f>
        <v>1.038</v>
      </c>
      <c r="G5" s="88"/>
      <c r="H5" s="88"/>
      <c r="I5" s="88"/>
      <c r="J5" s="88"/>
    </row>
    <row r="6" spans="1:10" x14ac:dyDescent="0.35">
      <c r="G6" s="88"/>
      <c r="H6" s="88"/>
      <c r="I6" s="88"/>
      <c r="J6" s="88"/>
    </row>
    <row r="7" spans="1:10" s="95" customFormat="1" ht="58" x14ac:dyDescent="0.35">
      <c r="A7" s="92" t="s">
        <v>6</v>
      </c>
      <c r="B7" s="92" t="s">
        <v>236</v>
      </c>
      <c r="C7" s="92" t="s">
        <v>237</v>
      </c>
      <c r="D7" s="94"/>
      <c r="E7" s="92" t="s">
        <v>6</v>
      </c>
      <c r="F7" s="92" t="s">
        <v>238</v>
      </c>
      <c r="G7" s="92" t="s">
        <v>246</v>
      </c>
      <c r="H7" s="92" t="s">
        <v>247</v>
      </c>
    </row>
    <row r="8" spans="1:10" x14ac:dyDescent="0.35">
      <c r="A8" s="96">
        <v>1</v>
      </c>
      <c r="B8" s="97">
        <f>$B$5 + ($C$5 / (1 + EXP(-(A8-$E$5) /$D$5)))</f>
        <v>1.0132995233976287</v>
      </c>
      <c r="C8" s="97">
        <f>0.519*(1.038/1.3)</f>
        <v>0.41440153846153849</v>
      </c>
      <c r="D8" s="38"/>
      <c r="E8" s="96">
        <v>2020</v>
      </c>
      <c r="F8" s="97">
        <v>0</v>
      </c>
      <c r="G8" s="96"/>
      <c r="H8" s="96">
        <v>0</v>
      </c>
    </row>
    <row r="9" spans="1:10" x14ac:dyDescent="0.35">
      <c r="A9" s="96">
        <v>2</v>
      </c>
      <c r="B9" s="97">
        <f>$B$5 + ($C$5 / (1 + EXP(-(A9-$E$5) /$D$5)))</f>
        <v>1.0282718033263576</v>
      </c>
      <c r="C9" s="97">
        <f>(B9-B8)*$F$5*30</f>
        <v>0.46623679698061637</v>
      </c>
      <c r="D9" s="38"/>
      <c r="E9" s="96">
        <v>2021</v>
      </c>
      <c r="F9" s="40">
        <f>(68/30)*$A8*1000000/3.67</f>
        <v>617620.34514078102</v>
      </c>
      <c r="G9" s="40">
        <f>$F9/C9</f>
        <v>1324692.4076789638</v>
      </c>
      <c r="H9" s="40">
        <f>SUM(G$8:G9)/1000000</f>
        <v>1.3246924076789639</v>
      </c>
      <c r="I9" s="89"/>
      <c r="J9" s="89"/>
    </row>
    <row r="10" spans="1:10" x14ac:dyDescent="0.35">
      <c r="A10" s="96">
        <v>3</v>
      </c>
      <c r="B10" s="97">
        <f>$B$5 + ($C$5 / (1 + EXP(-(A10-$E$5) /$D$5)))</f>
        <v>1.0433573665566807</v>
      </c>
      <c r="C10" s="97">
        <f>(B10-B9)*$F$5*30</f>
        <v>0.46976443899226017</v>
      </c>
      <c r="D10" s="38"/>
      <c r="E10" s="96">
        <v>2022</v>
      </c>
      <c r="F10" s="40">
        <f>(68/30)*$A9*1000000/3.67</f>
        <v>1235240.690281562</v>
      </c>
      <c r="G10" s="40">
        <f>(($F10-SUMPRODUCT(G$9:G9, C$10:C10))/C$9)</f>
        <v>1314669.5166928882</v>
      </c>
      <c r="H10" s="40">
        <f>SUM(G$8:G10)/1000000</f>
        <v>2.639361924371852</v>
      </c>
      <c r="I10" s="89"/>
      <c r="J10" s="90"/>
    </row>
    <row r="11" spans="1:10" x14ac:dyDescent="0.35">
      <c r="A11" s="96">
        <v>4</v>
      </c>
      <c r="B11" s="97">
        <f t="shared" ref="B11:B38" si="0">$B$5 + ($C$5 / (1 + EXP(-(A11-$E$5) /$D$5)))</f>
        <v>1.0585</v>
      </c>
      <c r="C11" s="97">
        <f>(B11-B10)*$F$5*30</f>
        <v>0.47154160542496432</v>
      </c>
      <c r="D11" s="38"/>
      <c r="E11" s="96">
        <v>2023</v>
      </c>
      <c r="F11" s="40">
        <f>(68/30)*$A10*1000000/3.67</f>
        <v>1852861.0354223433</v>
      </c>
      <c r="G11" s="40">
        <f>(($F11-SUMPRODUCT(G$9:G10, C$10:C11))/C$9)</f>
        <v>1309734.1933148389</v>
      </c>
      <c r="H11" s="40">
        <f>SUM(G$8:G11)/1000000</f>
        <v>3.9490961176866906</v>
      </c>
      <c r="I11" s="89"/>
      <c r="J11" s="89"/>
    </row>
    <row r="12" spans="1:10" x14ac:dyDescent="0.35">
      <c r="A12" s="96">
        <v>5</v>
      </c>
      <c r="B12" s="97">
        <f t="shared" si="0"/>
        <v>1.0736426334433191</v>
      </c>
      <c r="C12" s="97">
        <f t="shared" ref="C12:C38" si="1">(B12-B11)*$F$5*30</f>
        <v>0.47154160542495743</v>
      </c>
      <c r="D12" s="38"/>
      <c r="E12" s="96">
        <v>2024</v>
      </c>
      <c r="F12" s="40">
        <f t="shared" ref="F12:F38" si="2">(68/30)*$A11*1000000/3.67</f>
        <v>2470481.3805631241</v>
      </c>
      <c r="G12" s="40">
        <f>(($F12-SUMPRODUCT(G$9:G11, C$10:C12))/C$9)</f>
        <v>1309790.3470661293</v>
      </c>
      <c r="H12" s="40">
        <f>SUM(G$8:G12)/1000000</f>
        <v>5.2588864647528206</v>
      </c>
      <c r="I12" s="89"/>
      <c r="J12" s="89"/>
    </row>
    <row r="13" spans="1:10" x14ac:dyDescent="0.35">
      <c r="A13" s="96">
        <v>6</v>
      </c>
      <c r="B13" s="97">
        <f t="shared" si="0"/>
        <v>1.0887281966736424</v>
      </c>
      <c r="C13" s="97">
        <f t="shared" si="1"/>
        <v>0.46976443899226716</v>
      </c>
      <c r="D13" s="38"/>
      <c r="E13" s="96">
        <v>2025</v>
      </c>
      <c r="F13" s="40">
        <f t="shared" si="2"/>
        <v>3088101.7257039053</v>
      </c>
      <c r="G13" s="40">
        <f>(($F13-SUMPRODUCT(G$9:G12, C$10:C13))/C$9)</f>
        <v>1314782.2687009007</v>
      </c>
      <c r="H13" s="40">
        <f>SUM(G$8:G13)/1000000</f>
        <v>6.5736687334537205</v>
      </c>
      <c r="I13" s="89"/>
      <c r="J13" s="89"/>
    </row>
    <row r="14" spans="1:10" x14ac:dyDescent="0.35">
      <c r="A14" s="96">
        <v>7</v>
      </c>
      <c r="B14" s="97">
        <f t="shared" si="0"/>
        <v>1.1037004766023712</v>
      </c>
      <c r="C14" s="97">
        <f t="shared" si="1"/>
        <v>0.46623679698061637</v>
      </c>
      <c r="D14" s="38"/>
      <c r="E14" s="96">
        <v>2026</v>
      </c>
      <c r="F14" s="40">
        <f t="shared" si="2"/>
        <v>3705722.0708446866</v>
      </c>
      <c r="G14" s="40">
        <f>(($F14-SUMPRODUCT(G$9:G13, C$10:C14))/C$9)</f>
        <v>1324692.4076789645</v>
      </c>
      <c r="H14" s="40">
        <f>SUM(G$8:G14)/1000000</f>
        <v>7.8983611411326855</v>
      </c>
      <c r="I14" s="89"/>
      <c r="J14" s="89"/>
    </row>
    <row r="15" spans="1:10" x14ac:dyDescent="0.35">
      <c r="A15" s="96">
        <v>8</v>
      </c>
      <c r="B15" s="97">
        <f t="shared" si="0"/>
        <v>1.118504947178911</v>
      </c>
      <c r="C15" s="97">
        <f t="shared" si="1"/>
        <v>0.46101121375344861</v>
      </c>
      <c r="D15" s="38"/>
      <c r="E15" s="96">
        <v>2027</v>
      </c>
      <c r="F15" s="40">
        <f t="shared" si="2"/>
        <v>4323342.4159854678</v>
      </c>
      <c r="G15" s="40">
        <f>(($F15-SUMPRODUCT(G$9:G14, C$10:C15))/C$9)</f>
        <v>1339539.5636125007</v>
      </c>
      <c r="H15" s="40">
        <f>SUM(G$8:G15)/1000000</f>
        <v>9.2379007047451864</v>
      </c>
      <c r="I15" s="89"/>
      <c r="J15" s="89"/>
    </row>
    <row r="16" spans="1:10" x14ac:dyDescent="0.35">
      <c r="A16" s="96">
        <v>9</v>
      </c>
      <c r="B16" s="97">
        <f>$B$5 + ($C$5 / (1 + EXP(-(A16-$E$5) /$D$5)))</f>
        <v>1.1330895463552653</v>
      </c>
      <c r="C16" s="97">
        <f t="shared" si="1"/>
        <v>0.45416441835167104</v>
      </c>
      <c r="D16" s="38"/>
      <c r="E16" s="96">
        <v>2028</v>
      </c>
      <c r="F16" s="40">
        <f t="shared" si="2"/>
        <v>4940962.7611262482</v>
      </c>
      <c r="G16" s="40">
        <f>(($F16-SUMPRODUCT(G$9:G15, C$10:C16))/C$9)</f>
        <v>1359377.4194693444</v>
      </c>
      <c r="H16" s="40">
        <f>SUM(G$8:G16)/1000000</f>
        <v>10.59727812421453</v>
      </c>
      <c r="I16" s="89"/>
      <c r="J16" s="89"/>
    </row>
    <row r="17" spans="1:10" x14ac:dyDescent="0.35">
      <c r="A17" s="96">
        <v>10</v>
      </c>
      <c r="B17" s="97">
        <f t="shared" si="0"/>
        <v>1.1474053771877879</v>
      </c>
      <c r="C17" s="97">
        <f t="shared" si="1"/>
        <v>0.44579497212475488</v>
      </c>
      <c r="D17" s="38"/>
      <c r="E17" s="96">
        <v>2029</v>
      </c>
      <c r="F17" s="40">
        <f t="shared" si="2"/>
        <v>5558583.1062670304</v>
      </c>
      <c r="G17" s="40">
        <f>(($F17-SUMPRODUCT(G$9:G16, C$10:C17))/C$9)</f>
        <v>1384293.3557417605</v>
      </c>
      <c r="H17" s="40">
        <f>SUM(G$8:G17)/1000000</f>
        <v>11.98157147995629</v>
      </c>
      <c r="I17" s="89"/>
      <c r="J17" s="89"/>
    </row>
    <row r="18" spans="1:10" x14ac:dyDescent="0.35">
      <c r="A18" s="96">
        <v>11</v>
      </c>
      <c r="B18" s="97">
        <f t="shared" si="0"/>
        <v>1.161407314110825</v>
      </c>
      <c r="C18" s="97">
        <f t="shared" si="1"/>
        <v>0.4360203157833748</v>
      </c>
      <c r="D18" s="38"/>
      <c r="E18" s="96">
        <v>2030</v>
      </c>
      <c r="F18" s="40">
        <f t="shared" si="2"/>
        <v>6176203.4514078107</v>
      </c>
      <c r="G18" s="40">
        <f>(($F18-SUMPRODUCT(G$9:G17, C$10:C18))/C$9)</f>
        <v>1414407.4932880804</v>
      </c>
      <c r="H18" s="40">
        <f>SUM(G$8:G18)/1000000</f>
        <v>13.395978973244372</v>
      </c>
      <c r="I18" s="89"/>
      <c r="J18" s="89"/>
    </row>
    <row r="19" spans="1:10" x14ac:dyDescent="0.35">
      <c r="A19" s="96">
        <v>12</v>
      </c>
      <c r="B19" s="97">
        <f t="shared" si="0"/>
        <v>1.1750545001809352</v>
      </c>
      <c r="C19" s="97">
        <f t="shared" si="1"/>
        <v>0.42497337422323084</v>
      </c>
      <c r="D19" s="38"/>
      <c r="E19" s="96">
        <v>2031</v>
      </c>
      <c r="F19" s="40">
        <f t="shared" si="2"/>
        <v>6793823.7965485919</v>
      </c>
      <c r="G19" s="40">
        <f>(($F19-SUMPRODUCT(G$9:G18, C$10:C19))/C$9)</f>
        <v>1449871.9188731152</v>
      </c>
      <c r="H19" s="40">
        <f>SUM(G$8:G19)/1000000</f>
        <v>14.845850892117486</v>
      </c>
      <c r="I19" s="89"/>
      <c r="J19" s="89"/>
    </row>
    <row r="20" spans="1:10" x14ac:dyDescent="0.35">
      <c r="A20" s="96">
        <v>13</v>
      </c>
      <c r="B20" s="97">
        <f t="shared" si="0"/>
        <v>1.1883107263133934</v>
      </c>
      <c r="C20" s="97">
        <f t="shared" si="1"/>
        <v>0.41279888176474988</v>
      </c>
      <c r="D20" s="38"/>
      <c r="E20" s="96">
        <v>2032</v>
      </c>
      <c r="F20" s="40">
        <f t="shared" si="2"/>
        <v>7411444.1416893732</v>
      </c>
      <c r="G20" s="40">
        <f>(($F20-SUMPRODUCT(G$9:G19, C$10:C20))/C$9)</f>
        <v>1490870.0521213626</v>
      </c>
      <c r="H20" s="40">
        <f>SUM(G$8:G20)/1000000</f>
        <v>16.336720944238849</v>
      </c>
      <c r="I20" s="89"/>
      <c r="J20" s="89"/>
    </row>
    <row r="21" spans="1:10" x14ac:dyDescent="0.35">
      <c r="A21" s="96">
        <v>14</v>
      </c>
      <c r="B21" s="97">
        <f t="shared" si="0"/>
        <v>1.2011446888475688</v>
      </c>
      <c r="C21" s="97">
        <f t="shared" si="1"/>
        <v>0.39964959331422034</v>
      </c>
      <c r="D21" s="38"/>
      <c r="E21" s="96">
        <v>2033</v>
      </c>
      <c r="F21" s="40">
        <f t="shared" si="2"/>
        <v>8029064.4868301535</v>
      </c>
      <c r="G21" s="40">
        <f>(($F21-SUMPRODUCT(G$9:G20, C$10:C21))/C$9)</f>
        <v>1537616.1160684209</v>
      </c>
      <c r="H21" s="40">
        <f>SUM(G$8:G21)/1000000</f>
        <v>17.874337060307273</v>
      </c>
      <c r="I21" s="89"/>
      <c r="J21" s="89"/>
    </row>
    <row r="22" spans="1:10" x14ac:dyDescent="0.35">
      <c r="A22" s="96">
        <v>15</v>
      </c>
      <c r="B22" s="97">
        <f t="shared" si="0"/>
        <v>1.2135301268414485</v>
      </c>
      <c r="C22" s="97">
        <f t="shared" si="1"/>
        <v>0.38568253912941386</v>
      </c>
      <c r="D22" s="38"/>
      <c r="E22" s="96">
        <v>2034</v>
      </c>
      <c r="F22" s="40">
        <f t="shared" si="2"/>
        <v>8646684.8319709357</v>
      </c>
      <c r="G22" s="40">
        <f>(($F22-SUMPRODUCT(G$9:G21, C$10:C22))/C$9)</f>
        <v>1590354.6760629215</v>
      </c>
      <c r="H22" s="40">
        <f>SUM(G$8:G22)/1000000</f>
        <v>19.464691736370195</v>
      </c>
      <c r="I22" s="89"/>
      <c r="J22" s="89"/>
    </row>
    <row r="23" spans="1:10" x14ac:dyDescent="0.35">
      <c r="A23" s="96">
        <v>16</v>
      </c>
      <c r="B23" s="97">
        <f t="shared" si="0"/>
        <v>1.225445845017856</v>
      </c>
      <c r="C23" s="97">
        <f t="shared" si="1"/>
        <v>0.37105546401333189</v>
      </c>
      <c r="D23" s="38"/>
      <c r="E23" s="96">
        <v>2035</v>
      </c>
      <c r="F23" s="40">
        <f t="shared" si="2"/>
        <v>9264305.1771117169</v>
      </c>
      <c r="G23" s="40">
        <f>(($F23-SUMPRODUCT(G$9:G22, C$10:C23))/C$9)</f>
        <v>1649360.2136923859</v>
      </c>
      <c r="H23" s="40">
        <f>SUM(G$8:G23)/1000000</f>
        <v>21.114051950062581</v>
      </c>
      <c r="I23" s="89"/>
      <c r="J23" s="89"/>
    </row>
    <row r="24" spans="1:10" x14ac:dyDescent="0.35">
      <c r="A24" s="96">
        <v>17</v>
      </c>
      <c r="B24" s="97">
        <f t="shared" si="0"/>
        <v>1.2368756320484844</v>
      </c>
      <c r="C24" s="97">
        <f t="shared" si="1"/>
        <v>0.35592356813376708</v>
      </c>
      <c r="D24" s="38"/>
      <c r="E24" s="96">
        <v>2036</v>
      </c>
      <c r="F24" s="40">
        <f t="shared" si="2"/>
        <v>9881925.5222524963</v>
      </c>
      <c r="G24" s="40">
        <f>(($F24-SUMPRODUCT(G$9:G23, C$10:C24))/C$9)</f>
        <v>1714936.7038868824</v>
      </c>
      <c r="H24" s="40">
        <f>SUM(G$8:G24)/1000000</f>
        <v>22.828988653949462</v>
      </c>
      <c r="I24" s="89"/>
      <c r="J24" s="89"/>
    </row>
    <row r="25" spans="1:10" x14ac:dyDescent="0.35">
      <c r="A25" s="96">
        <v>18</v>
      </c>
      <c r="B25" s="97">
        <f t="shared" si="0"/>
        <v>1.2478080867320902</v>
      </c>
      <c r="C25" s="97">
        <f t="shared" si="1"/>
        <v>0.34043663884748521</v>
      </c>
      <c r="D25" s="38"/>
      <c r="E25" s="96">
        <v>2037</v>
      </c>
      <c r="F25" s="40">
        <f t="shared" si="2"/>
        <v>10499545.867393278</v>
      </c>
      <c r="G25" s="40">
        <f>(($F25-SUMPRODUCT(G$9:G24, C$10:C25))/C$9)</f>
        <v>1787417.1645716501</v>
      </c>
      <c r="H25" s="40">
        <f>SUM(G$8:G25)/1000000</f>
        <v>24.616405818521113</v>
      </c>
      <c r="I25" s="89"/>
      <c r="J25" s="89"/>
    </row>
    <row r="26" spans="1:10" x14ac:dyDescent="0.35">
      <c r="A26" s="96">
        <v>19</v>
      </c>
      <c r="B26" s="97">
        <f t="shared" si="0"/>
        <v>1.2582363665480356</v>
      </c>
      <c r="C26" s="97">
        <f t="shared" si="1"/>
        <v>0.32473663346853998</v>
      </c>
      <c r="D26" s="38"/>
      <c r="E26" s="96">
        <v>2038</v>
      </c>
      <c r="F26" s="40">
        <f t="shared" si="2"/>
        <v>11117166.212534061</v>
      </c>
      <c r="G26" s="40">
        <f>(($F26-SUMPRODUCT(G$9:G25, C$10:C26))/C$9)</f>
        <v>1867163.1493473817</v>
      </c>
      <c r="H26" s="40">
        <f>SUM(G$8:G26)/1000000</f>
        <v>26.483568967868493</v>
      </c>
      <c r="I26" s="89"/>
      <c r="J26" s="89"/>
    </row>
    <row r="27" spans="1:10" x14ac:dyDescent="0.35">
      <c r="A27" s="96">
        <v>20</v>
      </c>
      <c r="B27" s="97">
        <f t="shared" si="0"/>
        <v>1.2681578740680908</v>
      </c>
      <c r="C27" s="97">
        <f t="shared" si="1"/>
        <v>0.30895574417451777</v>
      </c>
      <c r="D27" s="38"/>
      <c r="E27" s="96">
        <v>2039</v>
      </c>
      <c r="F27" s="40">
        <f t="shared" si="2"/>
        <v>11734786.55767484</v>
      </c>
      <c r="G27" s="40">
        <f>(($F27-SUMPRODUCT(G$9:G26, C$10:C27))/C$9)</f>
        <v>1954564.1548081704</v>
      </c>
      <c r="H27" s="40">
        <f>SUM(G$8:G27)/1000000</f>
        <v>28.438133122676664</v>
      </c>
      <c r="I27" s="89"/>
      <c r="J27" s="89"/>
    </row>
    <row r="28" spans="1:10" x14ac:dyDescent="0.35">
      <c r="A28" s="96">
        <v>21</v>
      </c>
      <c r="B28" s="97">
        <f t="shared" si="0"/>
        <v>1.2775738968704498</v>
      </c>
      <c r="C28" s="97">
        <f t="shared" si="1"/>
        <v>0.29321495006545867</v>
      </c>
      <c r="D28" s="38"/>
      <c r="E28" s="96">
        <v>2040</v>
      </c>
      <c r="F28" s="40">
        <f t="shared" si="2"/>
        <v>12352406.902815621</v>
      </c>
      <c r="G28" s="40">
        <f>(($F28-SUMPRODUCT(G$9:G27, C$10:C28))/C$9)</f>
        <v>2050036.9153822758</v>
      </c>
      <c r="H28" s="40">
        <f>SUM(G$8:G28)/1000000</f>
        <v>30.488170038058939</v>
      </c>
      <c r="I28" s="89"/>
      <c r="J28" s="89"/>
    </row>
    <row r="29" spans="1:10" x14ac:dyDescent="0.35">
      <c r="A29" s="96">
        <v>22</v>
      </c>
      <c r="B29" s="97">
        <f t="shared" si="0"/>
        <v>1.2864892160455408</v>
      </c>
      <c r="C29" s="97">
        <f t="shared" si="1"/>
        <v>0.27762303911233466</v>
      </c>
      <c r="D29" s="38"/>
      <c r="E29" s="96">
        <v>2041</v>
      </c>
      <c r="F29" s="40">
        <f t="shared" si="2"/>
        <v>12970027.247956403</v>
      </c>
      <c r="G29" s="40">
        <f>(($F29-SUMPRODUCT(G$9:G28, C$10:C29))/C$9)</f>
        <v>2154024.5601024209</v>
      </c>
      <c r="H29" s="40">
        <f>SUM(G$8:G29)/1000000</f>
        <v>32.64219459816136</v>
      </c>
      <c r="I29" s="89"/>
      <c r="J29" s="89"/>
    </row>
    <row r="30" spans="1:10" x14ac:dyDescent="0.35">
      <c r="A30" s="96">
        <v>23</v>
      </c>
      <c r="B30" s="97">
        <f t="shared" si="0"/>
        <v>1.294911697263621</v>
      </c>
      <c r="C30" s="97">
        <f t="shared" si="1"/>
        <v>0.26227606513101753</v>
      </c>
      <c r="D30" s="38"/>
      <c r="E30" s="96">
        <v>2042</v>
      </c>
      <c r="F30" s="40">
        <f t="shared" si="2"/>
        <v>13587647.593097184</v>
      </c>
      <c r="G30" s="40">
        <f>(($F30-SUMPRODUCT(G$9:G29, C$10:C30))/C$9)</f>
        <v>2266995.6075672517</v>
      </c>
      <c r="H30" s="40">
        <f>SUM(G$8:G30)/1000000</f>
        <v>34.909190205728613</v>
      </c>
      <c r="I30" s="89"/>
      <c r="J30" s="89"/>
    </row>
    <row r="31" spans="1:10" x14ac:dyDescent="0.35">
      <c r="A31" s="96">
        <v>24</v>
      </c>
      <c r="B31" s="97">
        <f t="shared" si="0"/>
        <v>1.3028518768478401</v>
      </c>
      <c r="C31" s="97">
        <f t="shared" si="1"/>
        <v>0.24725719225258308</v>
      </c>
      <c r="D31" s="38"/>
      <c r="E31" s="96">
        <v>2043</v>
      </c>
      <c r="F31" s="40">
        <f t="shared" si="2"/>
        <v>14205267.938237967</v>
      </c>
      <c r="G31" s="40">
        <f>(($F31-SUMPRODUCT(G$9:G30, C$10:C31))/C$9)</f>
        <v>2389442.7776200678</v>
      </c>
      <c r="H31" s="40">
        <f>SUM(G$8:G31)/1000000</f>
        <v>37.298632983348682</v>
      </c>
      <c r="I31" s="89"/>
      <c r="J31" s="89"/>
    </row>
    <row r="32" spans="1:10" x14ac:dyDescent="0.35">
      <c r="A32" s="96">
        <v>25</v>
      </c>
      <c r="B32" s="97">
        <f t="shared" si="0"/>
        <v>1.3103225535166929</v>
      </c>
      <c r="C32" s="97">
        <f t="shared" si="1"/>
        <v>0.23263687146807668</v>
      </c>
      <c r="D32" s="38"/>
      <c r="E32" s="96">
        <v>2044</v>
      </c>
      <c r="F32" s="40">
        <f t="shared" si="2"/>
        <v>14822888.283378746</v>
      </c>
      <c r="G32" s="40">
        <f>(($F32-SUMPRODUCT(G$9:G31, C$10:C32))/C$9)</f>
        <v>2521881.6009886647</v>
      </c>
      <c r="H32" s="40">
        <f>SUM(G$8:G32)/1000000</f>
        <v>39.820514584337346</v>
      </c>
      <c r="I32" s="89"/>
      <c r="J32" s="89"/>
    </row>
    <row r="33" spans="1:22" x14ac:dyDescent="0.35">
      <c r="A33" s="96">
        <v>26</v>
      </c>
      <c r="B33" s="97">
        <f t="shared" si="0"/>
        <v>1.3173383945642025</v>
      </c>
      <c r="C33" s="97">
        <f t="shared" si="1"/>
        <v>0.21847329021944989</v>
      </c>
      <c r="D33" s="38"/>
      <c r="E33" s="96">
        <v>2045</v>
      </c>
      <c r="F33" s="40">
        <f t="shared" si="2"/>
        <v>15440508.628519528</v>
      </c>
      <c r="G33" s="40">
        <f>(($F33-SUMPRODUCT(G$9:G32, C$10:C33))/C$9)</f>
        <v>2664848.8113430743</v>
      </c>
      <c r="H33" s="40">
        <f>SUM(G$8:G33)/1000000</f>
        <v>42.485363395680423</v>
      </c>
      <c r="I33" s="89"/>
      <c r="J33" s="89"/>
    </row>
    <row r="34" spans="1:22" x14ac:dyDescent="0.35">
      <c r="A34" s="96">
        <v>27</v>
      </c>
      <c r="B34" s="97">
        <f t="shared" si="0"/>
        <v>1.3239155633505839</v>
      </c>
      <c r="C34" s="97">
        <f t="shared" si="1"/>
        <v>0.20481303600791589</v>
      </c>
      <c r="D34" s="38"/>
      <c r="E34" s="96">
        <v>2046</v>
      </c>
      <c r="F34" s="40">
        <f t="shared" si="2"/>
        <v>16058128.973660307</v>
      </c>
      <c r="G34" s="40">
        <f>(($F34-SUMPRODUCT(G$9:G33, C$10:C34))/C$9)</f>
        <v>2818900.507933002</v>
      </c>
      <c r="H34" s="40">
        <f>SUM(G$8:G34)/1000000</f>
        <v>45.304263903613418</v>
      </c>
      <c r="I34" s="89"/>
      <c r="J34" s="89"/>
    </row>
    <row r="35" spans="1:22" x14ac:dyDescent="0.35">
      <c r="A35" s="96">
        <v>28</v>
      </c>
      <c r="B35" s="97">
        <f t="shared" si="0"/>
        <v>1.3300713731711933</v>
      </c>
      <c r="C35" s="97">
        <f t="shared" si="1"/>
        <v>0.19169191781377581</v>
      </c>
      <c r="D35" s="38"/>
      <c r="E35" s="96">
        <v>2047</v>
      </c>
      <c r="F35" s="40">
        <f t="shared" si="2"/>
        <v>16675749.318801088</v>
      </c>
      <c r="G35" s="40">
        <f>(($F35-SUMPRODUCT(G$9:G34, C$10:C35))/C$9)</f>
        <v>2984610.0811567754</v>
      </c>
      <c r="H35" s="40">
        <f>SUM(G$8:G35)/1000000</f>
        <v>48.288873984770191</v>
      </c>
      <c r="I35" s="89"/>
      <c r="J35" s="89"/>
    </row>
    <row r="36" spans="1:22" x14ac:dyDescent="0.35">
      <c r="A36" s="96">
        <v>29</v>
      </c>
      <c r="B36" s="97">
        <f t="shared" si="0"/>
        <v>1.3358239709226731</v>
      </c>
      <c r="C36" s="97">
        <f t="shared" si="1"/>
        <v>0.17913589398108248</v>
      </c>
      <c r="D36" s="38"/>
      <c r="E36" s="96">
        <v>2048</v>
      </c>
      <c r="F36" s="40">
        <f t="shared" si="2"/>
        <v>17293369.663941871</v>
      </c>
      <c r="G36" s="40">
        <f>(($F36-SUMPRODUCT(G$9:G35, C$10:C36))/C$9)</f>
        <v>3162565.8980402327</v>
      </c>
      <c r="H36" s="40">
        <f>SUM(G$8:G36)/1000000</f>
        <v>51.451439882810426</v>
      </c>
      <c r="I36" s="89"/>
      <c r="J36" s="89"/>
    </row>
    <row r="37" spans="1:22" x14ac:dyDescent="0.35">
      <c r="A37" s="96">
        <v>30</v>
      </c>
      <c r="B37" s="97">
        <f t="shared" si="0"/>
        <v>1.3411920525341907</v>
      </c>
      <c r="C37" s="97">
        <f t="shared" si="1"/>
        <v>0.16716206138265755</v>
      </c>
      <c r="D37" s="38"/>
      <c r="E37" s="96">
        <v>2049</v>
      </c>
      <c r="F37" s="40">
        <f t="shared" si="2"/>
        <v>17910990.009082653</v>
      </c>
      <c r="G37" s="40">
        <f>(($F37-SUMPRODUCT(G$9:G36, C$10:C37))/C$9)</f>
        <v>3353368.7495997553</v>
      </c>
      <c r="H37" s="40">
        <f>SUM(G$8:G37)/1000000</f>
        <v>54.804808632410186</v>
      </c>
      <c r="I37" s="89"/>
      <c r="J37" s="89"/>
    </row>
    <row r="38" spans="1:22" x14ac:dyDescent="0.35">
      <c r="A38" s="96">
        <v>31</v>
      </c>
      <c r="B38" s="97">
        <f t="shared" si="0"/>
        <v>1.3461946108999201</v>
      </c>
      <c r="C38" s="97">
        <f t="shared" si="1"/>
        <v>0.15577966750881295</v>
      </c>
      <c r="D38" s="38"/>
      <c r="E38" s="96">
        <v>2050</v>
      </c>
      <c r="F38" s="40">
        <f t="shared" si="2"/>
        <v>18528610.354223434</v>
      </c>
      <c r="G38" s="40">
        <f>(($F38-SUMPRODUCT(G$9:G37, C$10:C38))/C$9)</f>
        <v>3557629.0673404965</v>
      </c>
      <c r="H38" s="98">
        <f>SUM(G$8:G38)/1000000</f>
        <v>58.362437699750679</v>
      </c>
      <c r="I38" s="28" t="s">
        <v>239</v>
      </c>
    </row>
    <row r="39" spans="1:22" x14ac:dyDescent="0.35">
      <c r="L39" s="19"/>
      <c r="M39" s="19"/>
      <c r="N39" s="19"/>
      <c r="T39" s="19"/>
      <c r="U39" s="19"/>
      <c r="V39" s="19"/>
    </row>
    <row r="59" spans="1:1" x14ac:dyDescent="0.35">
      <c r="A59" s="19"/>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4A7B6-CC21-4B5B-8221-4F0934CBAB5F}">
  <sheetPr filterMode="1">
    <tabColor theme="6" tint="0.39997558519241921"/>
  </sheetPr>
  <dimension ref="A1:J4620"/>
  <sheetViews>
    <sheetView zoomScale="60" workbookViewId="0">
      <selection activeCell="A3" sqref="A3"/>
    </sheetView>
  </sheetViews>
  <sheetFormatPr defaultColWidth="8.81640625" defaultRowHeight="14.5" x14ac:dyDescent="0.35"/>
  <cols>
    <col min="1" max="1" width="19.1796875" customWidth="1"/>
    <col min="2" max="2" width="17" customWidth="1"/>
    <col min="3" max="3" width="16" customWidth="1"/>
    <col min="4" max="4" width="15" customWidth="1"/>
    <col min="5" max="5" width="17.453125" customWidth="1"/>
    <col min="6" max="6" width="12.453125" customWidth="1"/>
    <col min="7" max="7" width="13.453125" customWidth="1"/>
    <col min="8" max="8" width="17" customWidth="1"/>
    <col min="9" max="9" width="20.1796875" customWidth="1"/>
    <col min="10" max="10" width="17" customWidth="1"/>
  </cols>
  <sheetData>
    <row r="1" spans="1:10" x14ac:dyDescent="0.35">
      <c r="F1" s="125" t="s">
        <v>344</v>
      </c>
    </row>
    <row r="3" spans="1:10" ht="15.5" x14ac:dyDescent="0.35">
      <c r="A3" s="188" t="s">
        <v>345</v>
      </c>
      <c r="B3" s="188" t="s">
        <v>346</v>
      </c>
      <c r="C3" s="188" t="s">
        <v>347</v>
      </c>
      <c r="D3" s="188" t="s">
        <v>348</v>
      </c>
      <c r="E3" s="189" t="s">
        <v>349</v>
      </c>
      <c r="F3" s="189" t="s">
        <v>350</v>
      </c>
      <c r="G3" s="189" t="s">
        <v>351</v>
      </c>
      <c r="H3" s="189" t="s">
        <v>352</v>
      </c>
      <c r="I3" s="189" t="s">
        <v>353</v>
      </c>
      <c r="J3" s="189" t="s">
        <v>354</v>
      </c>
    </row>
    <row r="4" spans="1:10" hidden="1" x14ac:dyDescent="0.35">
      <c r="A4" s="126" t="s">
        <v>355</v>
      </c>
      <c r="B4" t="str">
        <f>_xlfn.XLOOKUP(A4,'[1]2050Pop'!$A$7:$A$143,'[1]2050Pop'!$D$7:$D$143)</f>
        <v>India/South Asia</v>
      </c>
      <c r="C4" s="127">
        <f>1000*_xlfn.XLOOKUP(A4,'[1]2050Pop'!$A$7:$A$143,'[1]2050Pop'!$C$7:$C$143)</f>
        <v>55955</v>
      </c>
      <c r="D4" s="126" t="s">
        <v>356</v>
      </c>
      <c r="E4" s="128">
        <v>3.371</v>
      </c>
      <c r="F4" s="129">
        <f>C4*E4/1000000</f>
        <v>0.18862430499999999</v>
      </c>
      <c r="G4" t="str">
        <f>_xlfn.XLOOKUP(D4,'[1]2050 BAU Mapping to T &amp; C'!$A$3:$A$52,'[1]2050 BAU Mapping to T &amp; C'!$B$3:$B$52)</f>
        <v>Tropical Fruits</v>
      </c>
      <c r="H4" s="129">
        <f>_xlfn.XLOOKUP(G4,'[1]T&amp;C emissions for 2050 analysis'!$B$3:$B$23,'[1]T&amp;C emissions for 2050 analysis'!$C$3:$C$23)</f>
        <v>0.51333333333333331</v>
      </c>
      <c r="I4" s="27">
        <f t="shared" ref="I4:I67" si="0">F4*H4</f>
        <v>9.6827143233333329E-2</v>
      </c>
      <c r="J4" s="129">
        <f t="shared" ref="J4:J67" si="1">E4*H4</f>
        <v>1.7304466666666667</v>
      </c>
    </row>
    <row r="5" spans="1:10" hidden="1" x14ac:dyDescent="0.35">
      <c r="A5" s="126" t="s">
        <v>357</v>
      </c>
      <c r="B5" t="str">
        <f>_xlfn.XLOOKUP(A5,'[1]2050Pop'!$A$7:$A$143,'[1]2050Pop'!$D$7:$D$143)</f>
        <v>Euro/AU/NZ</v>
      </c>
      <c r="C5" s="127">
        <f>1000*_xlfn.XLOOKUP(A5,'[1]2050Pop'!$A$7:$A$143,'[1]2050Pop'!$C$7:$C$143)</f>
        <v>2710</v>
      </c>
      <c r="D5" s="126" t="s">
        <v>356</v>
      </c>
      <c r="E5" s="128">
        <v>9.7110000000000003</v>
      </c>
      <c r="F5" s="129">
        <f t="shared" ref="F5:F68" si="2">C5*E5/1000000</f>
        <v>2.6316810000000003E-2</v>
      </c>
      <c r="G5" t="str">
        <f>_xlfn.XLOOKUP(D5,'[1]2050 BAU Mapping to T &amp; C'!$A$3:$A$52,'[1]2050 BAU Mapping to T &amp; C'!$B$3:$B$52)</f>
        <v>Tropical Fruits</v>
      </c>
      <c r="H5" s="129">
        <f>_xlfn.XLOOKUP(G5,'[1]T&amp;C emissions for 2050 analysis'!$B$3:$B$23,'[1]T&amp;C emissions for 2050 analysis'!$C$3:$C$23)</f>
        <v>0.51333333333333331</v>
      </c>
      <c r="I5" s="27">
        <f t="shared" si="0"/>
        <v>1.3509295800000001E-2</v>
      </c>
      <c r="J5" s="129">
        <f t="shared" si="1"/>
        <v>4.9849800000000002</v>
      </c>
    </row>
    <row r="6" spans="1:10" hidden="1" x14ac:dyDescent="0.35">
      <c r="A6" s="126" t="s">
        <v>358</v>
      </c>
      <c r="B6" t="str">
        <f>_xlfn.XLOOKUP(A6,'[1]2050Pop'!$A$7:$A$143,'[1]2050Pop'!$D$7:$D$143)</f>
        <v>MENA</v>
      </c>
      <c r="C6" s="127">
        <f>1000*_xlfn.XLOOKUP(A6,'[1]2050Pop'!$A$7:$A$143,'[1]2050Pop'!$C$7:$C$143)</f>
        <v>56461</v>
      </c>
      <c r="D6" s="126" t="s">
        <v>356</v>
      </c>
      <c r="E6" s="128">
        <v>9.7520000000000007</v>
      </c>
      <c r="F6" s="129">
        <f t="shared" si="2"/>
        <v>0.55060767200000005</v>
      </c>
      <c r="G6" t="str">
        <f>_xlfn.XLOOKUP(D6,'[1]2050 BAU Mapping to T &amp; C'!$A$3:$A$52,'[1]2050 BAU Mapping to T &amp; C'!$B$3:$B$52)</f>
        <v>Tropical Fruits</v>
      </c>
      <c r="H6" s="129">
        <f>_xlfn.XLOOKUP(G6,'[1]T&amp;C emissions for 2050 analysis'!$B$3:$B$23,'[1]T&amp;C emissions for 2050 analysis'!$C$3:$C$23)</f>
        <v>0.51333333333333331</v>
      </c>
      <c r="I6" s="27">
        <f t="shared" si="0"/>
        <v>0.28264527162666669</v>
      </c>
      <c r="J6" s="129">
        <f t="shared" si="1"/>
        <v>5.0060266666666671</v>
      </c>
    </row>
    <row r="7" spans="1:10" hidden="1" x14ac:dyDescent="0.35">
      <c r="A7" s="126" t="s">
        <v>359</v>
      </c>
      <c r="B7" t="str">
        <f>_xlfn.XLOOKUP(A7,'[1]2050Pop'!$A$7:$A$143,'[1]2050Pop'!$D$7:$D$143)</f>
        <v>SSA</v>
      </c>
      <c r="C7" s="127">
        <f>1000*_xlfn.XLOOKUP(A7,'[1]2050Pop'!$A$7:$A$143,'[1]2050Pop'!$C$7:$C$143)</f>
        <v>65473</v>
      </c>
      <c r="D7" s="126" t="s">
        <v>356</v>
      </c>
      <c r="E7" s="128">
        <v>73.655000000000001</v>
      </c>
      <c r="F7" s="129">
        <f t="shared" si="2"/>
        <v>4.822413815</v>
      </c>
      <c r="G7" t="str">
        <f>_xlfn.XLOOKUP(D7,'[1]2050 BAU Mapping to T &amp; C'!$A$3:$A$52,'[1]2050 BAU Mapping to T &amp; C'!$B$3:$B$52)</f>
        <v>Tropical Fruits</v>
      </c>
      <c r="H7" s="129">
        <f>_xlfn.XLOOKUP(G7,'[1]T&amp;C emissions for 2050 analysis'!$B$3:$B$23,'[1]T&amp;C emissions for 2050 analysis'!$C$3:$C$23)</f>
        <v>0.51333333333333331</v>
      </c>
      <c r="I7" s="27">
        <f t="shared" si="0"/>
        <v>2.4755057583666664</v>
      </c>
      <c r="J7" s="129">
        <f t="shared" si="1"/>
        <v>37.809566666666669</v>
      </c>
    </row>
    <row r="8" spans="1:10" hidden="1" x14ac:dyDescent="0.35">
      <c r="A8" s="126" t="s">
        <v>360</v>
      </c>
      <c r="B8" t="str">
        <f>_xlfn.XLOOKUP(A8,'[1]2050Pop'!$A$7:$A$143,'[1]2050Pop'!$D$7:$D$143)</f>
        <v>LatAm &amp; RSA</v>
      </c>
      <c r="C8" s="127">
        <f>1000*_xlfn.XLOOKUP(A8,'[1]2050Pop'!$A$7:$A$143,'[1]2050Pop'!$C$7:$C$143)</f>
        <v>55445</v>
      </c>
      <c r="D8" s="126" t="s">
        <v>356</v>
      </c>
      <c r="E8" s="128">
        <v>22.831</v>
      </c>
      <c r="F8" s="129">
        <f t="shared" si="2"/>
        <v>1.2658647949999999</v>
      </c>
      <c r="G8" t="str">
        <f>_xlfn.XLOOKUP(D8,'[1]2050 BAU Mapping to T &amp; C'!$A$3:$A$52,'[1]2050 BAU Mapping to T &amp; C'!$B$3:$B$52)</f>
        <v>Tropical Fruits</v>
      </c>
      <c r="H8" s="129">
        <f>_xlfn.XLOOKUP(G8,'[1]T&amp;C emissions for 2050 analysis'!$B$3:$B$23,'[1]T&amp;C emissions for 2050 analysis'!$C$3:$C$23)</f>
        <v>0.51333333333333331</v>
      </c>
      <c r="I8" s="27">
        <f t="shared" si="0"/>
        <v>0.64981059476666658</v>
      </c>
      <c r="J8" s="129">
        <f t="shared" si="1"/>
        <v>11.719913333333333</v>
      </c>
    </row>
    <row r="9" spans="1:10" hidden="1" x14ac:dyDescent="0.35">
      <c r="A9" s="126" t="s">
        <v>361</v>
      </c>
      <c r="B9" t="str">
        <f>_xlfn.XLOOKUP(A9,'[1]2050Pop'!$A$7:$A$143,'[1]2050Pop'!$D$7:$D$143)</f>
        <v>MENA</v>
      </c>
      <c r="C9" s="127">
        <f>1000*_xlfn.XLOOKUP(A9,'[1]2050Pop'!$A$7:$A$143,'[1]2050Pop'!$C$7:$C$143)</f>
        <v>2729</v>
      </c>
      <c r="D9" s="126" t="s">
        <v>356</v>
      </c>
      <c r="E9" s="128">
        <v>5.2249999999999996</v>
      </c>
      <c r="F9" s="129">
        <f t="shared" si="2"/>
        <v>1.4259025E-2</v>
      </c>
      <c r="G9" t="str">
        <f>_xlfn.XLOOKUP(D9,'[1]2050 BAU Mapping to T &amp; C'!$A$3:$A$52,'[1]2050 BAU Mapping to T &amp; C'!$B$3:$B$52)</f>
        <v>Tropical Fruits</v>
      </c>
      <c r="H9" s="129">
        <f>_xlfn.XLOOKUP(G9,'[1]T&amp;C emissions for 2050 analysis'!$B$3:$B$23,'[1]T&amp;C emissions for 2050 analysis'!$C$3:$C$23)</f>
        <v>0.51333333333333331</v>
      </c>
      <c r="I9" s="27">
        <f t="shared" si="0"/>
        <v>7.3196328333333333E-3</v>
      </c>
      <c r="J9" s="129">
        <f t="shared" si="1"/>
        <v>2.6821666666666664</v>
      </c>
    </row>
    <row r="10" spans="1:10" hidden="1" x14ac:dyDescent="0.35">
      <c r="A10" s="126" t="s">
        <v>362</v>
      </c>
      <c r="B10" t="str">
        <f>_xlfn.XLOOKUP(A10,'[1]2050Pop'!$A$7:$A$143,'[1]2050Pop'!$D$7:$D$143)</f>
        <v>Euro/AU/NZ</v>
      </c>
      <c r="C10" s="127">
        <f>1000*_xlfn.XLOOKUP(A10,'[1]2050Pop'!$A$7:$A$143,'[1]2050Pop'!$C$7:$C$143)</f>
        <v>33496</v>
      </c>
      <c r="D10" s="126" t="s">
        <v>356</v>
      </c>
      <c r="E10" s="128">
        <v>20.675999999999998</v>
      </c>
      <c r="F10" s="129">
        <f t="shared" si="2"/>
        <v>0.69256329599999999</v>
      </c>
      <c r="G10" t="str">
        <f>_xlfn.XLOOKUP(D10,'[1]2050 BAU Mapping to T &amp; C'!$A$3:$A$52,'[1]2050 BAU Mapping to T &amp; C'!$B$3:$B$52)</f>
        <v>Tropical Fruits</v>
      </c>
      <c r="H10" s="129">
        <f>_xlfn.XLOOKUP(G10,'[1]T&amp;C emissions for 2050 analysis'!$B$3:$B$23,'[1]T&amp;C emissions for 2050 analysis'!$C$3:$C$23)</f>
        <v>0.51333333333333331</v>
      </c>
      <c r="I10" s="27">
        <f t="shared" si="0"/>
        <v>0.35551582527999998</v>
      </c>
      <c r="J10" s="129">
        <f t="shared" si="1"/>
        <v>10.613679999999999</v>
      </c>
    </row>
    <row r="11" spans="1:10" hidden="1" x14ac:dyDescent="0.35">
      <c r="A11" s="126" t="s">
        <v>363</v>
      </c>
      <c r="B11" t="str">
        <f>_xlfn.XLOOKUP(A11,'[1]2050Pop'!$A$7:$A$143,'[1]2050Pop'!$D$7:$D$143)</f>
        <v>Euro/AU/NZ</v>
      </c>
      <c r="C11" s="127">
        <f>1000*_xlfn.XLOOKUP(A11,'[1]2050Pop'!$A$7:$A$143,'[1]2050Pop'!$C$7:$C$143)</f>
        <v>8846</v>
      </c>
      <c r="D11" s="126" t="s">
        <v>356</v>
      </c>
      <c r="E11" s="128">
        <v>18.402000000000001</v>
      </c>
      <c r="F11" s="129">
        <f t="shared" si="2"/>
        <v>0.16278409199999999</v>
      </c>
      <c r="G11" t="str">
        <f>_xlfn.XLOOKUP(D11,'[1]2050 BAU Mapping to T &amp; C'!$A$3:$A$52,'[1]2050 BAU Mapping to T &amp; C'!$B$3:$B$52)</f>
        <v>Tropical Fruits</v>
      </c>
      <c r="H11" s="129">
        <f>_xlfn.XLOOKUP(G11,'[1]T&amp;C emissions for 2050 analysis'!$B$3:$B$23,'[1]T&amp;C emissions for 2050 analysis'!$C$3:$C$23)</f>
        <v>0.51333333333333331</v>
      </c>
      <c r="I11" s="27">
        <f t="shared" si="0"/>
        <v>8.3562500559999989E-2</v>
      </c>
      <c r="J11" s="129">
        <f t="shared" si="1"/>
        <v>9.4463600000000003</v>
      </c>
    </row>
    <row r="12" spans="1:10" hidden="1" x14ac:dyDescent="0.35">
      <c r="A12" s="126" t="s">
        <v>364</v>
      </c>
      <c r="B12" t="str">
        <f>_xlfn.XLOOKUP(A12,'[1]2050Pop'!$A$7:$A$143,'[1]2050Pop'!$D$7:$D$143)</f>
        <v>MENA</v>
      </c>
      <c r="C12" s="127">
        <f>1000*_xlfn.XLOOKUP(A12,'[1]2050Pop'!$A$7:$A$143,'[1]2050Pop'!$C$7:$C$143)</f>
        <v>10963</v>
      </c>
      <c r="D12" s="126" t="s">
        <v>356</v>
      </c>
      <c r="E12" s="128">
        <v>2.8170000000000002</v>
      </c>
      <c r="F12" s="129">
        <f t="shared" si="2"/>
        <v>3.0882771E-2</v>
      </c>
      <c r="G12" t="str">
        <f>_xlfn.XLOOKUP(D12,'[1]2050 BAU Mapping to T &amp; C'!$A$3:$A$52,'[1]2050 BAU Mapping to T &amp; C'!$B$3:$B$52)</f>
        <v>Tropical Fruits</v>
      </c>
      <c r="H12" s="129">
        <f>_xlfn.XLOOKUP(G12,'[1]T&amp;C emissions for 2050 analysis'!$B$3:$B$23,'[1]T&amp;C emissions for 2050 analysis'!$C$3:$C$23)</f>
        <v>0.51333333333333331</v>
      </c>
      <c r="I12" s="27">
        <f t="shared" si="0"/>
        <v>1.5853155779999999E-2</v>
      </c>
      <c r="J12" s="129">
        <f t="shared" si="1"/>
        <v>1.4460600000000001</v>
      </c>
    </row>
    <row r="13" spans="1:10" hidden="1" x14ac:dyDescent="0.35">
      <c r="A13" s="126" t="s">
        <v>365</v>
      </c>
      <c r="B13" t="str">
        <f>_xlfn.XLOOKUP(A13,'[1]2050Pop'!$A$7:$A$143,'[1]2050Pop'!$D$7:$D$143)</f>
        <v>India/South Asia</v>
      </c>
      <c r="C13" s="127">
        <f>1000*_xlfn.XLOOKUP(A13,'[1]2050Pop'!$A$7:$A$143,'[1]2050Pop'!$C$7:$C$143)</f>
        <v>202209</v>
      </c>
      <c r="D13" s="126" t="s">
        <v>356</v>
      </c>
      <c r="E13" s="128">
        <v>9.4480000000000004</v>
      </c>
      <c r="F13" s="129">
        <f t="shared" si="2"/>
        <v>1.910470632</v>
      </c>
      <c r="G13" t="str">
        <f>_xlfn.XLOOKUP(D13,'[1]2050 BAU Mapping to T &amp; C'!$A$3:$A$52,'[1]2050 BAU Mapping to T &amp; C'!$B$3:$B$52)</f>
        <v>Tropical Fruits</v>
      </c>
      <c r="H13" s="129">
        <f>_xlfn.XLOOKUP(G13,'[1]T&amp;C emissions for 2050 analysis'!$B$3:$B$23,'[1]T&amp;C emissions for 2050 analysis'!$C$3:$C$23)</f>
        <v>0.51333333333333331</v>
      </c>
      <c r="I13" s="27">
        <f t="shared" si="0"/>
        <v>0.98070825775999992</v>
      </c>
      <c r="J13" s="129">
        <f t="shared" si="1"/>
        <v>4.8499733333333337</v>
      </c>
    </row>
    <row r="14" spans="1:10" hidden="1" x14ac:dyDescent="0.35">
      <c r="A14" s="126" t="s">
        <v>366</v>
      </c>
      <c r="B14" t="str">
        <f>_xlfn.XLOOKUP(A14,'[1]2050Pop'!$A$7:$A$143,'[1]2050Pop'!$D$7:$D$143)</f>
        <v>Euro/AU/NZ</v>
      </c>
      <c r="C14" s="127">
        <f>1000*_xlfn.XLOOKUP(A14,'[1]2050Pop'!$A$7:$A$143,'[1]2050Pop'!$C$7:$C$143)</f>
        <v>8125</v>
      </c>
      <c r="D14" s="126" t="s">
        <v>356</v>
      </c>
      <c r="E14" s="128">
        <v>10.936999999999999</v>
      </c>
      <c r="F14" s="129">
        <f t="shared" si="2"/>
        <v>8.8863125000000001E-2</v>
      </c>
      <c r="G14" t="str">
        <f>_xlfn.XLOOKUP(D14,'[1]2050 BAU Mapping to T &amp; C'!$A$3:$A$52,'[1]2050 BAU Mapping to T &amp; C'!$B$3:$B$52)</f>
        <v>Tropical Fruits</v>
      </c>
      <c r="H14" s="129">
        <f>_xlfn.XLOOKUP(G14,'[1]T&amp;C emissions for 2050 analysis'!$B$3:$B$23,'[1]T&amp;C emissions for 2050 analysis'!$C$3:$C$23)</f>
        <v>0.51333333333333331</v>
      </c>
      <c r="I14" s="27">
        <f t="shared" si="0"/>
        <v>4.5616404166666666E-2</v>
      </c>
      <c r="J14" s="129">
        <f t="shared" si="1"/>
        <v>5.614326666666666</v>
      </c>
    </row>
    <row r="15" spans="1:10" hidden="1" x14ac:dyDescent="0.35">
      <c r="A15" s="126" t="s">
        <v>367</v>
      </c>
      <c r="B15" t="str">
        <f>_xlfn.XLOOKUP(A15,'[1]2050Pop'!$A$7:$A$143,'[1]2050Pop'!$D$7:$D$143)</f>
        <v>Euro/AU/NZ</v>
      </c>
      <c r="C15" s="127">
        <f>1000*_xlfn.XLOOKUP(A15,'[1]2050Pop'!$A$7:$A$143,'[1]2050Pop'!$C$7:$C$143)</f>
        <v>12527</v>
      </c>
      <c r="D15" s="126" t="s">
        <v>356</v>
      </c>
      <c r="E15" s="128">
        <v>7.9470000000000001</v>
      </c>
      <c r="F15" s="129">
        <f t="shared" si="2"/>
        <v>9.9552069000000007E-2</v>
      </c>
      <c r="G15" t="str">
        <f>_xlfn.XLOOKUP(D15,'[1]2050 BAU Mapping to T &amp; C'!$A$3:$A$52,'[1]2050 BAU Mapping to T &amp; C'!$B$3:$B$52)</f>
        <v>Tropical Fruits</v>
      </c>
      <c r="H15" s="129">
        <f>_xlfn.XLOOKUP(G15,'[1]T&amp;C emissions for 2050 analysis'!$B$3:$B$23,'[1]T&amp;C emissions for 2050 analysis'!$C$3:$C$23)</f>
        <v>0.51333333333333331</v>
      </c>
      <c r="I15" s="27">
        <f t="shared" si="0"/>
        <v>5.1103395420000003E-2</v>
      </c>
      <c r="J15" s="129">
        <f t="shared" si="1"/>
        <v>4.0794600000000001</v>
      </c>
    </row>
    <row r="16" spans="1:10" hidden="1" x14ac:dyDescent="0.35">
      <c r="A16" s="126" t="s">
        <v>368</v>
      </c>
      <c r="B16" t="str">
        <f>_xlfn.XLOOKUP(A16,'[1]2050Pop'!$A$7:$A$143,'[1]2050Pop'!$D$7:$D$143)</f>
        <v>SSA</v>
      </c>
      <c r="C16" s="127">
        <f>1000*_xlfn.XLOOKUP(A16,'[1]2050Pop'!$A$7:$A$143,'[1]2050Pop'!$C$7:$C$143)</f>
        <v>22549</v>
      </c>
      <c r="D16" s="126" t="s">
        <v>356</v>
      </c>
      <c r="E16" s="130">
        <v>3.41</v>
      </c>
      <c r="F16" s="129">
        <f t="shared" si="2"/>
        <v>7.6892089999999996E-2</v>
      </c>
      <c r="G16" t="str">
        <f>_xlfn.XLOOKUP(D16,'[1]2050 BAU Mapping to T &amp; C'!$A$3:$A$52,'[1]2050 BAU Mapping to T &amp; C'!$B$3:$B$52)</f>
        <v>Tropical Fruits</v>
      </c>
      <c r="H16" s="129">
        <f>_xlfn.XLOOKUP(G16,'[1]T&amp;C emissions for 2050 analysis'!$B$3:$B$23,'[1]T&amp;C emissions for 2050 analysis'!$C$3:$C$23)</f>
        <v>0.51333333333333331</v>
      </c>
      <c r="I16" s="27">
        <f t="shared" si="0"/>
        <v>3.9471272866666664E-2</v>
      </c>
      <c r="J16" s="129">
        <f t="shared" si="1"/>
        <v>1.7504666666666666</v>
      </c>
    </row>
    <row r="17" spans="1:10" hidden="1" x14ac:dyDescent="0.35">
      <c r="A17" s="126" t="s">
        <v>369</v>
      </c>
      <c r="B17" t="str">
        <f>_xlfn.XLOOKUP(A17,'[1]2050Pop'!$A$7:$A$143,'[1]2050Pop'!$D$7:$D$143)</f>
        <v>LatAm &amp; RSA</v>
      </c>
      <c r="C17" s="127">
        <f>1000*_xlfn.XLOOKUP(A17,'[1]2050Pop'!$A$7:$A$143,'[1]2050Pop'!$C$7:$C$143)</f>
        <v>15963</v>
      </c>
      <c r="D17" s="126" t="s">
        <v>356</v>
      </c>
      <c r="E17" s="128">
        <v>4.5860000000000003</v>
      </c>
      <c r="F17" s="129">
        <f t="shared" si="2"/>
        <v>7.3206317999999992E-2</v>
      </c>
      <c r="G17" t="str">
        <f>_xlfn.XLOOKUP(D17,'[1]2050 BAU Mapping to T &amp; C'!$A$3:$A$52,'[1]2050 BAU Mapping to T &amp; C'!$B$3:$B$52)</f>
        <v>Tropical Fruits</v>
      </c>
      <c r="H17" s="129">
        <f>_xlfn.XLOOKUP(G17,'[1]T&amp;C emissions for 2050 analysis'!$B$3:$B$23,'[1]T&amp;C emissions for 2050 analysis'!$C$3:$C$23)</f>
        <v>0.51333333333333331</v>
      </c>
      <c r="I17" s="27">
        <f t="shared" si="0"/>
        <v>3.7579243239999997E-2</v>
      </c>
      <c r="J17" s="129">
        <f t="shared" si="1"/>
        <v>2.3541466666666668</v>
      </c>
    </row>
    <row r="18" spans="1:10" hidden="1" x14ac:dyDescent="0.35">
      <c r="A18" s="126" t="s">
        <v>370</v>
      </c>
      <c r="B18" t="str">
        <f>_xlfn.XLOOKUP(A18,'[1]2050Pop'!$A$7:$A$143,'[1]2050Pop'!$D$7:$D$143)</f>
        <v>Euro/AU/NZ</v>
      </c>
      <c r="C18" s="127">
        <f>1000*_xlfn.XLOOKUP(A18,'[1]2050Pop'!$A$7:$A$143,'[1]2050Pop'!$C$7:$C$143)</f>
        <v>3069</v>
      </c>
      <c r="D18" s="126" t="s">
        <v>356</v>
      </c>
      <c r="E18" s="128">
        <v>12.231999999999999</v>
      </c>
      <c r="F18" s="129">
        <f t="shared" si="2"/>
        <v>3.7540007999999993E-2</v>
      </c>
      <c r="G18" t="str">
        <f>_xlfn.XLOOKUP(D18,'[1]2050 BAU Mapping to T &amp; C'!$A$3:$A$52,'[1]2050 BAU Mapping to T &amp; C'!$B$3:$B$52)</f>
        <v>Tropical Fruits</v>
      </c>
      <c r="H18" s="129">
        <f>_xlfn.XLOOKUP(G18,'[1]T&amp;C emissions for 2050 analysis'!$B$3:$B$23,'[1]T&amp;C emissions for 2050 analysis'!$C$3:$C$23)</f>
        <v>0.51333333333333331</v>
      </c>
      <c r="I18" s="27">
        <f t="shared" si="0"/>
        <v>1.9270537439999996E-2</v>
      </c>
      <c r="J18" s="129">
        <f t="shared" si="1"/>
        <v>6.279093333333333</v>
      </c>
    </row>
    <row r="19" spans="1:10" hidden="1" x14ac:dyDescent="0.35">
      <c r="A19" s="126" t="s">
        <v>371</v>
      </c>
      <c r="B19" t="str">
        <f>_xlfn.XLOOKUP(A19,'[1]2050Pop'!$A$7:$A$143,'[1]2050Pop'!$D$7:$D$143)</f>
        <v>SSA</v>
      </c>
      <c r="C19" s="127">
        <f>1000*_xlfn.XLOOKUP(A19,'[1]2050Pop'!$A$7:$A$143,'[1]2050Pop'!$C$7:$C$143)</f>
        <v>3389</v>
      </c>
      <c r="D19" s="126" t="s">
        <v>356</v>
      </c>
      <c r="E19" s="128">
        <v>2.875</v>
      </c>
      <c r="F19" s="129">
        <f t="shared" si="2"/>
        <v>9.7433750000000003E-3</v>
      </c>
      <c r="G19" t="str">
        <f>_xlfn.XLOOKUP(D19,'[1]2050 BAU Mapping to T &amp; C'!$A$3:$A$52,'[1]2050 BAU Mapping to T &amp; C'!$B$3:$B$52)</f>
        <v>Tropical Fruits</v>
      </c>
      <c r="H19" s="129">
        <f>_xlfn.XLOOKUP(G19,'[1]T&amp;C emissions for 2050 analysis'!$B$3:$B$23,'[1]T&amp;C emissions for 2050 analysis'!$C$3:$C$23)</f>
        <v>0.51333333333333331</v>
      </c>
      <c r="I19" s="27">
        <f t="shared" si="0"/>
        <v>5.0015991666666664E-3</v>
      </c>
      <c r="J19" s="129">
        <f t="shared" si="1"/>
        <v>1.4758333333333333</v>
      </c>
    </row>
    <row r="20" spans="1:10" hidden="1" x14ac:dyDescent="0.35">
      <c r="A20" s="126" t="s">
        <v>372</v>
      </c>
      <c r="B20" t="str">
        <f>_xlfn.XLOOKUP(A20,'[1]2050Pop'!$A$7:$A$143,'[1]2050Pop'!$D$7:$D$143)</f>
        <v>LatAm &amp; RSA</v>
      </c>
      <c r="C20" s="127">
        <f>1000*_xlfn.XLOOKUP(A20,'[1]2050Pop'!$A$7:$A$143,'[1]2050Pop'!$C$7:$C$143)</f>
        <v>238270</v>
      </c>
      <c r="D20" s="126" t="s">
        <v>356</v>
      </c>
      <c r="E20" s="128">
        <v>53.585999999999999</v>
      </c>
      <c r="F20" s="129">
        <f t="shared" si="2"/>
        <v>12.767936219999999</v>
      </c>
      <c r="G20" t="str">
        <f>_xlfn.XLOOKUP(D20,'[1]2050 BAU Mapping to T &amp; C'!$A$3:$A$52,'[1]2050 BAU Mapping to T &amp; C'!$B$3:$B$52)</f>
        <v>Tropical Fruits</v>
      </c>
      <c r="H20" s="129">
        <f>_xlfn.XLOOKUP(G20,'[1]T&amp;C emissions for 2050 analysis'!$B$3:$B$23,'[1]T&amp;C emissions for 2050 analysis'!$C$3:$C$23)</f>
        <v>0.51333333333333331</v>
      </c>
      <c r="I20" s="27">
        <f t="shared" si="0"/>
        <v>6.5542072595999992</v>
      </c>
      <c r="J20" s="129">
        <f t="shared" si="1"/>
        <v>27.507479999999997</v>
      </c>
    </row>
    <row r="21" spans="1:10" hidden="1" x14ac:dyDescent="0.35">
      <c r="A21" s="126" t="s">
        <v>373</v>
      </c>
      <c r="B21" t="str">
        <f>_xlfn.XLOOKUP(A21,'[1]2050Pop'!$A$7:$A$143,'[1]2050Pop'!$D$7:$D$143)</f>
        <v>Euro/AU/NZ</v>
      </c>
      <c r="C21" s="127">
        <f>1000*_xlfn.XLOOKUP(A21,'[1]2050Pop'!$A$7:$A$143,'[1]2050Pop'!$C$7:$C$143)</f>
        <v>5154</v>
      </c>
      <c r="D21" s="126" t="s">
        <v>356</v>
      </c>
      <c r="E21" s="128">
        <v>6.694</v>
      </c>
      <c r="F21" s="129">
        <f t="shared" si="2"/>
        <v>3.4500876E-2</v>
      </c>
      <c r="G21" t="str">
        <f>_xlfn.XLOOKUP(D21,'[1]2050 BAU Mapping to T &amp; C'!$A$3:$A$52,'[1]2050 BAU Mapping to T &amp; C'!$B$3:$B$52)</f>
        <v>Tropical Fruits</v>
      </c>
      <c r="H21" s="129">
        <f>_xlfn.XLOOKUP(G21,'[1]T&amp;C emissions for 2050 analysis'!$B$3:$B$23,'[1]T&amp;C emissions for 2050 analysis'!$C$3:$C$23)</f>
        <v>0.51333333333333331</v>
      </c>
      <c r="I21" s="27">
        <f t="shared" si="0"/>
        <v>1.771044968E-2</v>
      </c>
      <c r="J21" s="129">
        <f t="shared" si="1"/>
        <v>3.4362533333333332</v>
      </c>
    </row>
    <row r="22" spans="1:10" hidden="1" x14ac:dyDescent="0.35">
      <c r="A22" s="126" t="s">
        <v>374</v>
      </c>
      <c r="B22" t="str">
        <f>_xlfn.XLOOKUP(A22,'[1]2050Pop'!$A$7:$A$143,'[1]2050Pop'!$D$7:$D$143)</f>
        <v>APAC</v>
      </c>
      <c r="C22" s="127">
        <f>1000*_xlfn.XLOOKUP(A22,'[1]2050Pop'!$A$7:$A$143,'[1]2050Pop'!$C$7:$C$143)</f>
        <v>22545</v>
      </c>
      <c r="D22" s="126" t="s">
        <v>356</v>
      </c>
      <c r="E22" s="130">
        <v>23.19</v>
      </c>
      <c r="F22" s="129">
        <f t="shared" si="2"/>
        <v>0.52281854999999999</v>
      </c>
      <c r="G22" t="str">
        <f>_xlfn.XLOOKUP(D22,'[1]2050 BAU Mapping to T &amp; C'!$A$3:$A$52,'[1]2050 BAU Mapping to T &amp; C'!$B$3:$B$52)</f>
        <v>Tropical Fruits</v>
      </c>
      <c r="H22" s="129">
        <f>_xlfn.XLOOKUP(G22,'[1]T&amp;C emissions for 2050 analysis'!$B$3:$B$23,'[1]T&amp;C emissions for 2050 analysis'!$C$3:$C$23)</f>
        <v>0.51333333333333331</v>
      </c>
      <c r="I22" s="27">
        <f t="shared" si="0"/>
        <v>0.26838018899999999</v>
      </c>
      <c r="J22" s="129">
        <f t="shared" si="1"/>
        <v>11.904199999999999</v>
      </c>
    </row>
    <row r="23" spans="1:10" hidden="1" x14ac:dyDescent="0.35">
      <c r="A23" s="126" t="s">
        <v>375</v>
      </c>
      <c r="B23" t="str">
        <f>_xlfn.XLOOKUP(A23,'[1]2050Pop'!$A$7:$A$143,'[1]2050Pop'!$D$7:$D$143)</f>
        <v>SSA</v>
      </c>
      <c r="C23" s="127">
        <f>1000*_xlfn.XLOOKUP(A23,'[1]2050Pop'!$A$7:$A$143,'[1]2050Pop'!$C$7:$C$143)</f>
        <v>48362</v>
      </c>
      <c r="D23" s="126" t="s">
        <v>356</v>
      </c>
      <c r="E23" s="128">
        <v>90.402000000000001</v>
      </c>
      <c r="F23" s="129">
        <f t="shared" si="2"/>
        <v>4.372021524</v>
      </c>
      <c r="G23" t="str">
        <f>_xlfn.XLOOKUP(D23,'[1]2050 BAU Mapping to T &amp; C'!$A$3:$A$52,'[1]2050 BAU Mapping to T &amp; C'!$B$3:$B$52)</f>
        <v>Tropical Fruits</v>
      </c>
      <c r="H23" s="129">
        <f>_xlfn.XLOOKUP(G23,'[1]T&amp;C emissions for 2050 analysis'!$B$3:$B$23,'[1]T&amp;C emissions for 2050 analysis'!$C$3:$C$23)</f>
        <v>0.51333333333333331</v>
      </c>
      <c r="I23" s="27">
        <f t="shared" si="0"/>
        <v>2.2443043823199997</v>
      </c>
      <c r="J23" s="129">
        <f t="shared" si="1"/>
        <v>46.406359999999999</v>
      </c>
    </row>
    <row r="24" spans="1:10" hidden="1" x14ac:dyDescent="0.35">
      <c r="A24" s="126" t="s">
        <v>376</v>
      </c>
      <c r="B24" t="str">
        <f>_xlfn.XLOOKUP(A24,'[1]2050Pop'!$A$7:$A$143,'[1]2050Pop'!$D$7:$D$143)</f>
        <v>NAm</v>
      </c>
      <c r="C24" s="127">
        <f>1000*_xlfn.XLOOKUP(A24,'[1]2050Pop'!$A$7:$A$143,'[1]2050Pop'!$C$7:$C$143)</f>
        <v>44136</v>
      </c>
      <c r="D24" s="126" t="s">
        <v>356</v>
      </c>
      <c r="E24" s="128">
        <v>23.611999999999998</v>
      </c>
      <c r="F24" s="129">
        <f t="shared" si="2"/>
        <v>1.042139232</v>
      </c>
      <c r="G24" t="str">
        <f>_xlfn.XLOOKUP(D24,'[1]2050 BAU Mapping to T &amp; C'!$A$3:$A$52,'[1]2050 BAU Mapping to T &amp; C'!$B$3:$B$52)</f>
        <v>Tropical Fruits</v>
      </c>
      <c r="H24" s="129">
        <f>_xlfn.XLOOKUP(G24,'[1]T&amp;C emissions for 2050 analysis'!$B$3:$B$23,'[1]T&amp;C emissions for 2050 analysis'!$C$3:$C$23)</f>
        <v>0.51333333333333331</v>
      </c>
      <c r="I24" s="27">
        <f t="shared" si="0"/>
        <v>0.53496480575999994</v>
      </c>
      <c r="J24" s="129">
        <f t="shared" si="1"/>
        <v>12.120826666666666</v>
      </c>
    </row>
    <row r="25" spans="1:10" hidden="1" x14ac:dyDescent="0.35">
      <c r="A25" s="126" t="s">
        <v>377</v>
      </c>
      <c r="B25" t="str">
        <f>_xlfn.XLOOKUP(A25,'[1]2050Pop'!$A$7:$A$143,'[1]2050Pop'!$D$7:$D$143)</f>
        <v>SSA</v>
      </c>
      <c r="C25" s="127">
        <f>1000*_xlfn.XLOOKUP(A25,'[1]2050Pop'!$A$7:$A$143,'[1]2050Pop'!$C$7:$C$143)</f>
        <v>8782</v>
      </c>
      <c r="D25" s="126" t="s">
        <v>356</v>
      </c>
      <c r="E25" s="128">
        <v>51.128</v>
      </c>
      <c r="F25" s="129">
        <f t="shared" si="2"/>
        <v>0.44900609600000002</v>
      </c>
      <c r="G25" t="str">
        <f>_xlfn.XLOOKUP(D25,'[1]2050 BAU Mapping to T &amp; C'!$A$3:$A$52,'[1]2050 BAU Mapping to T &amp; C'!$B$3:$B$52)</f>
        <v>Tropical Fruits</v>
      </c>
      <c r="H25" s="129">
        <f>_xlfn.XLOOKUP(G25,'[1]T&amp;C emissions for 2050 analysis'!$B$3:$B$23,'[1]T&amp;C emissions for 2050 analysis'!$C$3:$C$23)</f>
        <v>0.51333333333333331</v>
      </c>
      <c r="I25" s="27">
        <f t="shared" si="0"/>
        <v>0.23048979594666666</v>
      </c>
      <c r="J25" s="129">
        <f t="shared" si="1"/>
        <v>26.245706666666667</v>
      </c>
    </row>
    <row r="26" spans="1:10" hidden="1" x14ac:dyDescent="0.35">
      <c r="A26" s="126" t="s">
        <v>378</v>
      </c>
      <c r="B26" t="str">
        <f>_xlfn.XLOOKUP(A26,'[1]2050Pop'!$A$7:$A$143,'[1]2050Pop'!$D$7:$D$143)</f>
        <v>LatAm &amp; RSA</v>
      </c>
      <c r="C26" s="127">
        <f>1000*_xlfn.XLOOKUP(A26,'[1]2050Pop'!$A$7:$A$143,'[1]2050Pop'!$C$7:$C$143)</f>
        <v>21601</v>
      </c>
      <c r="D26" s="126" t="s">
        <v>356</v>
      </c>
      <c r="E26" s="128">
        <v>16.093</v>
      </c>
      <c r="F26" s="129">
        <f t="shared" si="2"/>
        <v>0.34762489299999999</v>
      </c>
      <c r="G26" t="str">
        <f>_xlfn.XLOOKUP(D26,'[1]2050 BAU Mapping to T &amp; C'!$A$3:$A$52,'[1]2050 BAU Mapping to T &amp; C'!$B$3:$B$52)</f>
        <v>Tropical Fruits</v>
      </c>
      <c r="H26" s="129">
        <f>_xlfn.XLOOKUP(G26,'[1]T&amp;C emissions for 2050 analysis'!$B$3:$B$23,'[1]T&amp;C emissions for 2050 analysis'!$C$3:$C$23)</f>
        <v>0.51333333333333331</v>
      </c>
      <c r="I26" s="27">
        <f t="shared" si="0"/>
        <v>0.17844744507333332</v>
      </c>
      <c r="J26" s="129">
        <f t="shared" si="1"/>
        <v>8.2610733333333322</v>
      </c>
    </row>
    <row r="27" spans="1:10" hidden="1" x14ac:dyDescent="0.35">
      <c r="A27" s="126" t="s">
        <v>379</v>
      </c>
      <c r="B27" t="str">
        <f>_xlfn.XLOOKUP(A27,'[1]2050Pop'!$A$7:$A$143,'[1]2050Pop'!$D$7:$D$143)</f>
        <v>Greater China</v>
      </c>
      <c r="C27" s="127">
        <f>1000*_xlfn.XLOOKUP(A27,'[1]2050Pop'!$A$7:$A$143,'[1]2050Pop'!$C$7:$C$143)</f>
        <v>8148</v>
      </c>
      <c r="D27" s="126" t="s">
        <v>356</v>
      </c>
      <c r="E27" s="128">
        <v>12.827999999999999</v>
      </c>
      <c r="F27" s="129">
        <f t="shared" si="2"/>
        <v>0.104522544</v>
      </c>
      <c r="G27" t="str">
        <f>_xlfn.XLOOKUP(D27,'[1]2050 BAU Mapping to T &amp; C'!$A$3:$A$52,'[1]2050 BAU Mapping to T &amp; C'!$B$3:$B$52)</f>
        <v>Tropical Fruits</v>
      </c>
      <c r="H27" s="129">
        <f>_xlfn.XLOOKUP(G27,'[1]T&amp;C emissions for 2050 analysis'!$B$3:$B$23,'[1]T&amp;C emissions for 2050 analysis'!$C$3:$C$23)</f>
        <v>0.51333333333333331</v>
      </c>
      <c r="I27" s="27">
        <f t="shared" si="0"/>
        <v>5.3654905919999996E-2</v>
      </c>
      <c r="J27" s="129">
        <f t="shared" si="1"/>
        <v>6.5850399999999993</v>
      </c>
    </row>
    <row r="28" spans="1:10" hidden="1" x14ac:dyDescent="0.35">
      <c r="A28" s="126" t="s">
        <v>380</v>
      </c>
      <c r="B28" t="str">
        <f>_xlfn.XLOOKUP(A28,'[1]2050Pop'!$A$7:$A$143,'[1]2050Pop'!$D$7:$D$143)</f>
        <v>Greater China</v>
      </c>
      <c r="C28" s="127">
        <f>1000*_xlfn.XLOOKUP(A28,'[1]2050Pop'!$A$7:$A$143,'[1]2050Pop'!$C$7:$C$143)</f>
        <v>1348056</v>
      </c>
      <c r="D28" s="126" t="s">
        <v>356</v>
      </c>
      <c r="E28" s="128">
        <v>14.395</v>
      </c>
      <c r="F28" s="129">
        <f t="shared" si="2"/>
        <v>19.40526612</v>
      </c>
      <c r="G28" t="str">
        <f>_xlfn.XLOOKUP(D28,'[1]2050 BAU Mapping to T &amp; C'!$A$3:$A$52,'[1]2050 BAU Mapping to T &amp; C'!$B$3:$B$52)</f>
        <v>Tropical Fruits</v>
      </c>
      <c r="H28" s="129">
        <f>_xlfn.XLOOKUP(G28,'[1]T&amp;C emissions for 2050 analysis'!$B$3:$B$23,'[1]T&amp;C emissions for 2050 analysis'!$C$3:$C$23)</f>
        <v>0.51333333333333331</v>
      </c>
      <c r="I28" s="27">
        <f t="shared" si="0"/>
        <v>9.9613699415999992</v>
      </c>
      <c r="J28" s="129">
        <f t="shared" si="1"/>
        <v>7.3894333333333329</v>
      </c>
    </row>
    <row r="29" spans="1:10" hidden="1" x14ac:dyDescent="0.35">
      <c r="A29" s="126" t="s">
        <v>381</v>
      </c>
      <c r="B29" t="str">
        <f>_xlfn.XLOOKUP(A29,'[1]2050Pop'!$A$7:$A$143,'[1]2050Pop'!$D$7:$D$143)</f>
        <v>Greater China</v>
      </c>
      <c r="C29" s="127">
        <f>1000*_xlfn.XLOOKUP(A29,'[1]2050Pop'!$A$7:$A$143,'[1]2050Pop'!$C$7:$C$143)</f>
        <v>20778</v>
      </c>
      <c r="D29" s="126" t="s">
        <v>356</v>
      </c>
      <c r="E29" s="128">
        <v>21.285</v>
      </c>
      <c r="F29" s="129">
        <f t="shared" si="2"/>
        <v>0.44225972999999996</v>
      </c>
      <c r="G29" t="str">
        <f>_xlfn.XLOOKUP(D29,'[1]2050 BAU Mapping to T &amp; C'!$A$3:$A$52,'[1]2050 BAU Mapping to T &amp; C'!$B$3:$B$52)</f>
        <v>Tropical Fruits</v>
      </c>
      <c r="H29" s="129">
        <f>_xlfn.XLOOKUP(G29,'[1]T&amp;C emissions for 2050 analysis'!$B$3:$B$23,'[1]T&amp;C emissions for 2050 analysis'!$C$3:$C$23)</f>
        <v>0.51333333333333331</v>
      </c>
      <c r="I29" s="27">
        <f t="shared" si="0"/>
        <v>0.22702666139999997</v>
      </c>
      <c r="J29" s="129">
        <f t="shared" si="1"/>
        <v>10.926299999999999</v>
      </c>
    </row>
    <row r="30" spans="1:10" hidden="1" x14ac:dyDescent="0.35">
      <c r="A30" s="126" t="s">
        <v>382</v>
      </c>
      <c r="B30" t="str">
        <f>_xlfn.XLOOKUP(A30,'[1]2050Pop'!$A$7:$A$143,'[1]2050Pop'!$D$7:$D$143)</f>
        <v>LatAm &amp; RSA</v>
      </c>
      <c r="C30" s="127">
        <f>1000*_xlfn.XLOOKUP(A30,'[1]2050Pop'!$A$7:$A$143,'[1]2050Pop'!$C$7:$C$143)</f>
        <v>54927</v>
      </c>
      <c r="D30" s="126" t="s">
        <v>356</v>
      </c>
      <c r="E30" s="128">
        <v>10.977</v>
      </c>
      <c r="F30" s="129">
        <f t="shared" si="2"/>
        <v>0.60293367900000006</v>
      </c>
      <c r="G30" t="str">
        <f>_xlfn.XLOOKUP(D30,'[1]2050 BAU Mapping to T &amp; C'!$A$3:$A$52,'[1]2050 BAU Mapping to T &amp; C'!$B$3:$B$52)</f>
        <v>Tropical Fruits</v>
      </c>
      <c r="H30" s="129">
        <f>_xlfn.XLOOKUP(G30,'[1]T&amp;C emissions for 2050 analysis'!$B$3:$B$23,'[1]T&amp;C emissions for 2050 analysis'!$C$3:$C$23)</f>
        <v>0.51333333333333331</v>
      </c>
      <c r="I30" s="27">
        <f t="shared" si="0"/>
        <v>0.30950595522000002</v>
      </c>
      <c r="J30" s="129">
        <f t="shared" si="1"/>
        <v>5.6348599999999998</v>
      </c>
    </row>
    <row r="31" spans="1:10" hidden="1" x14ac:dyDescent="0.35">
      <c r="A31" s="126" t="s">
        <v>383</v>
      </c>
      <c r="B31" t="str">
        <f>_xlfn.XLOOKUP(A31,'[1]2050Pop'!$A$7:$A$143,'[1]2050Pop'!$D$7:$D$143)</f>
        <v>LatAm &amp; RSA</v>
      </c>
      <c r="C31" s="127">
        <f>1000*_xlfn.XLOOKUP(A31,'[1]2050Pop'!$A$7:$A$143,'[1]2050Pop'!$C$7:$C$143)</f>
        <v>5759</v>
      </c>
      <c r="D31" s="126" t="s">
        <v>356</v>
      </c>
      <c r="E31" s="128">
        <v>1.046</v>
      </c>
      <c r="F31" s="129">
        <f t="shared" si="2"/>
        <v>6.0239140000000009E-3</v>
      </c>
      <c r="G31" t="str">
        <f>_xlfn.XLOOKUP(D31,'[1]2050 BAU Mapping to T &amp; C'!$A$3:$A$52,'[1]2050 BAU Mapping to T &amp; C'!$B$3:$B$52)</f>
        <v>Tropical Fruits</v>
      </c>
      <c r="H31" s="129">
        <f>_xlfn.XLOOKUP(G31,'[1]T&amp;C emissions for 2050 analysis'!$B$3:$B$23,'[1]T&amp;C emissions for 2050 analysis'!$C$3:$C$23)</f>
        <v>0.51333333333333331</v>
      </c>
      <c r="I31" s="27">
        <f t="shared" si="0"/>
        <v>3.0922758533333335E-3</v>
      </c>
      <c r="J31" s="129">
        <f t="shared" si="1"/>
        <v>0.53694666666666668</v>
      </c>
    </row>
    <row r="32" spans="1:10" hidden="1" x14ac:dyDescent="0.35">
      <c r="A32" s="126" t="s">
        <v>384</v>
      </c>
      <c r="B32" t="str">
        <f>_xlfn.XLOOKUP(A32,'[1]2050Pop'!$A$7:$A$143,'[1]2050Pop'!$D$7:$D$143)</f>
        <v>SSA</v>
      </c>
      <c r="C32" s="127">
        <f>1000*_xlfn.XLOOKUP(A32,'[1]2050Pop'!$A$7:$A$143,'[1]2050Pop'!$C$7:$C$143)</f>
        <v>48797</v>
      </c>
      <c r="D32" s="126" t="s">
        <v>356</v>
      </c>
      <c r="E32" s="128">
        <v>3.2450000000000001</v>
      </c>
      <c r="F32" s="129">
        <f t="shared" si="2"/>
        <v>0.15834626500000001</v>
      </c>
      <c r="G32" t="str">
        <f>_xlfn.XLOOKUP(D32,'[1]2050 BAU Mapping to T &amp; C'!$A$3:$A$52,'[1]2050 BAU Mapping to T &amp; C'!$B$3:$B$52)</f>
        <v>Tropical Fruits</v>
      </c>
      <c r="H32" s="129">
        <f>_xlfn.XLOOKUP(G32,'[1]T&amp;C emissions for 2050 analysis'!$B$3:$B$23,'[1]T&amp;C emissions for 2050 analysis'!$C$3:$C$23)</f>
        <v>0.51333333333333331</v>
      </c>
      <c r="I32" s="27">
        <f t="shared" si="0"/>
        <v>8.1284416033333334E-2</v>
      </c>
      <c r="J32" s="129">
        <f t="shared" si="1"/>
        <v>1.6657666666666666</v>
      </c>
    </row>
    <row r="33" spans="1:10" hidden="1" x14ac:dyDescent="0.35">
      <c r="A33" s="126" t="s">
        <v>385</v>
      </c>
      <c r="B33" t="str">
        <f>_xlfn.XLOOKUP(A33,'[1]2050Pop'!$A$7:$A$143,'[1]2050Pop'!$D$7:$D$143)</f>
        <v>Euro/AU/NZ</v>
      </c>
      <c r="C33" s="127">
        <f>1000*_xlfn.XLOOKUP(A33,'[1]2050Pop'!$A$7:$A$143,'[1]2050Pop'!$C$7:$C$143)</f>
        <v>3554</v>
      </c>
      <c r="D33" s="126" t="s">
        <v>356</v>
      </c>
      <c r="E33" s="128">
        <v>18.558</v>
      </c>
      <c r="F33" s="129">
        <f t="shared" si="2"/>
        <v>6.5955132E-2</v>
      </c>
      <c r="G33" t="str">
        <f>_xlfn.XLOOKUP(D33,'[1]2050 BAU Mapping to T &amp; C'!$A$3:$A$52,'[1]2050 BAU Mapping to T &amp; C'!$B$3:$B$52)</f>
        <v>Tropical Fruits</v>
      </c>
      <c r="H33" s="129">
        <f>_xlfn.XLOOKUP(G33,'[1]T&amp;C emissions for 2050 analysis'!$B$3:$B$23,'[1]T&amp;C emissions for 2050 analysis'!$C$3:$C$23)</f>
        <v>0.51333333333333331</v>
      </c>
      <c r="I33" s="27">
        <f t="shared" si="0"/>
        <v>3.3856967759999995E-2</v>
      </c>
      <c r="J33" s="129">
        <f t="shared" si="1"/>
        <v>9.5264399999999991</v>
      </c>
    </row>
    <row r="34" spans="1:10" hidden="1" x14ac:dyDescent="0.35">
      <c r="A34" s="126" t="s">
        <v>386</v>
      </c>
      <c r="B34" t="str">
        <f>_xlfn.XLOOKUP(A34,'[1]2050Pop'!$A$7:$A$143,'[1]2050Pop'!$D$7:$D$143)</f>
        <v>LatAm &amp; RSA</v>
      </c>
      <c r="C34" s="127">
        <f>1000*_xlfn.XLOOKUP(A34,'[1]2050Pop'!$A$7:$A$143,'[1]2050Pop'!$C$7:$C$143)</f>
        <v>10339</v>
      </c>
      <c r="D34" s="126" t="s">
        <v>356</v>
      </c>
      <c r="E34" s="128">
        <v>27.204000000000001</v>
      </c>
      <c r="F34" s="129">
        <f t="shared" si="2"/>
        <v>0.28126215600000004</v>
      </c>
      <c r="G34" t="str">
        <f>_xlfn.XLOOKUP(D34,'[1]2050 BAU Mapping to T &amp; C'!$A$3:$A$52,'[1]2050 BAU Mapping to T &amp; C'!$B$3:$B$52)</f>
        <v>Tropical Fruits</v>
      </c>
      <c r="H34" s="129">
        <f>_xlfn.XLOOKUP(G34,'[1]T&amp;C emissions for 2050 analysis'!$B$3:$B$23,'[1]T&amp;C emissions for 2050 analysis'!$C$3:$C$23)</f>
        <v>0.51333333333333331</v>
      </c>
      <c r="I34" s="27">
        <f t="shared" si="0"/>
        <v>0.14438124008</v>
      </c>
      <c r="J34" s="129">
        <f t="shared" si="1"/>
        <v>13.96472</v>
      </c>
    </row>
    <row r="35" spans="1:10" hidden="1" x14ac:dyDescent="0.35">
      <c r="A35" s="126" t="s">
        <v>387</v>
      </c>
      <c r="B35" t="str">
        <f>_xlfn.XLOOKUP(A35,'[1]2050Pop'!$A$7:$A$143,'[1]2050Pop'!$D$7:$D$143)</f>
        <v>Euro/AU/NZ</v>
      </c>
      <c r="C35" s="127">
        <f>1000*_xlfn.XLOOKUP(A35,'[1]2050Pop'!$A$7:$A$143,'[1]2050Pop'!$C$7:$C$143)</f>
        <v>9965</v>
      </c>
      <c r="D35" s="126" t="s">
        <v>356</v>
      </c>
      <c r="E35" s="128">
        <v>14.045999999999999</v>
      </c>
      <c r="F35" s="129">
        <f t="shared" si="2"/>
        <v>0.13996839</v>
      </c>
      <c r="G35" t="str">
        <f>_xlfn.XLOOKUP(D35,'[1]2050 BAU Mapping to T &amp; C'!$A$3:$A$52,'[1]2050 BAU Mapping to T &amp; C'!$B$3:$B$52)</f>
        <v>Tropical Fruits</v>
      </c>
      <c r="H35" s="129">
        <f>_xlfn.XLOOKUP(G35,'[1]T&amp;C emissions for 2050 analysis'!$B$3:$B$23,'[1]T&amp;C emissions for 2050 analysis'!$C$3:$C$23)</f>
        <v>0.51333333333333331</v>
      </c>
      <c r="I35" s="27">
        <f t="shared" si="0"/>
        <v>7.185044019999999E-2</v>
      </c>
      <c r="J35" s="129">
        <f t="shared" si="1"/>
        <v>7.2102799999999991</v>
      </c>
    </row>
    <row r="36" spans="1:10" hidden="1" x14ac:dyDescent="0.35">
      <c r="A36" s="126" t="s">
        <v>388</v>
      </c>
      <c r="B36" t="str">
        <f>_xlfn.XLOOKUP(A36,'[1]2050Pop'!$A$7:$A$143,'[1]2050Pop'!$D$7:$D$143)</f>
        <v>Euro/AU/NZ</v>
      </c>
      <c r="C36" s="127">
        <f>1000*_xlfn.XLOOKUP(A36,'[1]2050Pop'!$A$7:$A$143,'[1]2050Pop'!$C$7:$C$143)</f>
        <v>6299</v>
      </c>
      <c r="D36" s="126" t="s">
        <v>356</v>
      </c>
      <c r="E36" s="128">
        <v>20.568999999999999</v>
      </c>
      <c r="F36" s="129">
        <f t="shared" si="2"/>
        <v>0.129564131</v>
      </c>
      <c r="G36" t="str">
        <f>_xlfn.XLOOKUP(D36,'[1]2050 BAU Mapping to T &amp; C'!$A$3:$A$52,'[1]2050 BAU Mapping to T &amp; C'!$B$3:$B$52)</f>
        <v>Tropical Fruits</v>
      </c>
      <c r="H36" s="129">
        <f>_xlfn.XLOOKUP(G36,'[1]T&amp;C emissions for 2050 analysis'!$B$3:$B$23,'[1]T&amp;C emissions for 2050 analysis'!$C$3:$C$23)</f>
        <v>0.51333333333333331</v>
      </c>
      <c r="I36" s="27">
        <f t="shared" si="0"/>
        <v>6.6509587246666668E-2</v>
      </c>
      <c r="J36" s="129">
        <f t="shared" si="1"/>
        <v>10.558753333333332</v>
      </c>
    </row>
    <row r="37" spans="1:10" hidden="1" x14ac:dyDescent="0.35">
      <c r="A37" s="126" t="s">
        <v>389</v>
      </c>
      <c r="B37" t="str">
        <f>_xlfn.XLOOKUP(A37,'[1]2050Pop'!$A$7:$A$143,'[1]2050Pop'!$D$7:$D$143)</f>
        <v>LatAm &amp; RSA</v>
      </c>
      <c r="C37" s="127">
        <f>1000*_xlfn.XLOOKUP(A37,'[1]2050Pop'!$A$7:$A$143,'[1]2050Pop'!$C$7:$C$143)</f>
        <v>13238</v>
      </c>
      <c r="D37" s="126" t="s">
        <v>356</v>
      </c>
      <c r="E37" s="128">
        <v>86.858000000000004</v>
      </c>
      <c r="F37" s="129">
        <f t="shared" si="2"/>
        <v>1.1498262040000002</v>
      </c>
      <c r="G37" t="str">
        <f>_xlfn.XLOOKUP(D37,'[1]2050 BAU Mapping to T &amp; C'!$A$3:$A$52,'[1]2050 BAU Mapping to T &amp; C'!$B$3:$B$52)</f>
        <v>Tropical Fruits</v>
      </c>
      <c r="H37" s="129">
        <f>_xlfn.XLOOKUP(G37,'[1]T&amp;C emissions for 2050 analysis'!$B$3:$B$23,'[1]T&amp;C emissions for 2050 analysis'!$C$3:$C$23)</f>
        <v>0.51333333333333331</v>
      </c>
      <c r="I37" s="27">
        <f t="shared" si="0"/>
        <v>0.59024411805333343</v>
      </c>
      <c r="J37" s="129">
        <f t="shared" si="1"/>
        <v>44.587106666666664</v>
      </c>
    </row>
    <row r="38" spans="1:10" hidden="1" x14ac:dyDescent="0.35">
      <c r="A38" s="126" t="s">
        <v>390</v>
      </c>
      <c r="B38" t="str">
        <f>_xlfn.XLOOKUP(A38,'[1]2050Pop'!$A$7:$A$143,'[1]2050Pop'!$D$7:$D$143)</f>
        <v>LatAm &amp; RSA</v>
      </c>
      <c r="C38" s="127">
        <f>1000*_xlfn.XLOOKUP(A38,'[1]2050Pop'!$A$7:$A$143,'[1]2050Pop'!$C$7:$C$143)</f>
        <v>23013</v>
      </c>
      <c r="D38" s="126" t="s">
        <v>356</v>
      </c>
      <c r="E38" s="128">
        <v>97.173000000000002</v>
      </c>
      <c r="F38" s="129">
        <f t="shared" si="2"/>
        <v>2.236242249</v>
      </c>
      <c r="G38" t="str">
        <f>_xlfn.XLOOKUP(D38,'[1]2050 BAU Mapping to T &amp; C'!$A$3:$A$52,'[1]2050 BAU Mapping to T &amp; C'!$B$3:$B$52)</f>
        <v>Tropical Fruits</v>
      </c>
      <c r="H38" s="129">
        <f>_xlfn.XLOOKUP(G38,'[1]T&amp;C emissions for 2050 analysis'!$B$3:$B$23,'[1]T&amp;C emissions for 2050 analysis'!$C$3:$C$23)</f>
        <v>0.51333333333333331</v>
      </c>
      <c r="I38" s="27">
        <f t="shared" si="0"/>
        <v>1.1479376878200001</v>
      </c>
      <c r="J38" s="129">
        <f t="shared" si="1"/>
        <v>49.88214</v>
      </c>
    </row>
    <row r="39" spans="1:10" hidden="1" x14ac:dyDescent="0.35">
      <c r="A39" s="126" t="s">
        <v>391</v>
      </c>
      <c r="B39" t="str">
        <f>_xlfn.XLOOKUP(A39,'[1]2050Pop'!$A$7:$A$143,'[1]2050Pop'!$D$7:$D$143)</f>
        <v>MENA</v>
      </c>
      <c r="C39" s="127">
        <f>1000*_xlfn.XLOOKUP(A39,'[1]2050Pop'!$A$7:$A$143,'[1]2050Pop'!$C$7:$C$143)</f>
        <v>151111</v>
      </c>
      <c r="D39" s="126" t="s">
        <v>356</v>
      </c>
      <c r="E39" s="128">
        <v>23.782</v>
      </c>
      <c r="F39" s="129">
        <f t="shared" si="2"/>
        <v>3.5937218020000001</v>
      </c>
      <c r="G39" t="str">
        <f>_xlfn.XLOOKUP(D39,'[1]2050 BAU Mapping to T &amp; C'!$A$3:$A$52,'[1]2050 BAU Mapping to T &amp; C'!$B$3:$B$52)</f>
        <v>Tropical Fruits</v>
      </c>
      <c r="H39" s="129">
        <f>_xlfn.XLOOKUP(G39,'[1]T&amp;C emissions for 2050 analysis'!$B$3:$B$23,'[1]T&amp;C emissions for 2050 analysis'!$C$3:$C$23)</f>
        <v>0.51333333333333331</v>
      </c>
      <c r="I39" s="27">
        <f t="shared" si="0"/>
        <v>1.8447771916933333</v>
      </c>
      <c r="J39" s="129">
        <f t="shared" si="1"/>
        <v>12.208093333333332</v>
      </c>
    </row>
    <row r="40" spans="1:10" hidden="1" x14ac:dyDescent="0.35">
      <c r="A40" s="126" t="s">
        <v>392</v>
      </c>
      <c r="B40" t="str">
        <f>_xlfn.XLOOKUP(A40,'[1]2050Pop'!$A$7:$A$143,'[1]2050Pop'!$D$7:$D$143)</f>
        <v>LatAm &amp; RSA</v>
      </c>
      <c r="C40" s="127">
        <f>1000*_xlfn.XLOOKUP(A40,'[1]2050Pop'!$A$7:$A$143,'[1]2050Pop'!$C$7:$C$143)</f>
        <v>6390</v>
      </c>
      <c r="D40" s="126" t="s">
        <v>356</v>
      </c>
      <c r="E40" s="128">
        <v>11.241</v>
      </c>
      <c r="F40" s="129">
        <f t="shared" si="2"/>
        <v>7.1829989999999996E-2</v>
      </c>
      <c r="G40" t="str">
        <f>_xlfn.XLOOKUP(D40,'[1]2050 BAU Mapping to T &amp; C'!$A$3:$A$52,'[1]2050 BAU Mapping to T &amp; C'!$B$3:$B$52)</f>
        <v>Tropical Fruits</v>
      </c>
      <c r="H40" s="129">
        <f>_xlfn.XLOOKUP(G40,'[1]T&amp;C emissions for 2050 analysis'!$B$3:$B$23,'[1]T&amp;C emissions for 2050 analysis'!$C$3:$C$23)</f>
        <v>0.51333333333333331</v>
      </c>
      <c r="I40" s="27">
        <f t="shared" si="0"/>
        <v>3.6872728199999996E-2</v>
      </c>
      <c r="J40" s="129">
        <f t="shared" si="1"/>
        <v>5.7703799999999994</v>
      </c>
    </row>
    <row r="41" spans="1:10" hidden="1" x14ac:dyDescent="0.35">
      <c r="A41" s="126" t="s">
        <v>393</v>
      </c>
      <c r="B41" t="str">
        <f>_xlfn.XLOOKUP(A41,'[1]2050Pop'!$A$7:$A$143,'[1]2050Pop'!$D$7:$D$143)</f>
        <v>Euro/AU/NZ</v>
      </c>
      <c r="C41" s="127">
        <f>1000*_xlfn.XLOOKUP(A41,'[1]2050Pop'!$A$7:$A$143,'[1]2050Pop'!$C$7:$C$143)</f>
        <v>1129</v>
      </c>
      <c r="D41" s="126" t="s">
        <v>356</v>
      </c>
      <c r="E41" s="128">
        <v>15.734999999999999</v>
      </c>
      <c r="F41" s="129">
        <f t="shared" si="2"/>
        <v>1.7764815E-2</v>
      </c>
      <c r="G41" t="str">
        <f>_xlfn.XLOOKUP(D41,'[1]2050 BAU Mapping to T &amp; C'!$A$3:$A$52,'[1]2050 BAU Mapping to T &amp; C'!$B$3:$B$52)</f>
        <v>Tropical Fruits</v>
      </c>
      <c r="H41" s="129">
        <f>_xlfn.XLOOKUP(G41,'[1]T&amp;C emissions for 2050 analysis'!$B$3:$B$23,'[1]T&amp;C emissions for 2050 analysis'!$C$3:$C$23)</f>
        <v>0.51333333333333331</v>
      </c>
      <c r="I41" s="27">
        <f t="shared" si="0"/>
        <v>9.1192716999999989E-3</v>
      </c>
      <c r="J41" s="129">
        <f t="shared" si="1"/>
        <v>8.0772999999999993</v>
      </c>
    </row>
    <row r="42" spans="1:10" hidden="1" x14ac:dyDescent="0.35">
      <c r="A42" s="126" t="s">
        <v>394</v>
      </c>
      <c r="B42" t="str">
        <f>_xlfn.XLOOKUP(A42,'[1]2050Pop'!$A$7:$A$143,'[1]2050Pop'!$D$7:$D$143)</f>
        <v>SSA</v>
      </c>
      <c r="C42" s="127">
        <f>1000*_xlfn.XLOOKUP(A42,'[1]2050Pop'!$A$7:$A$143,'[1]2050Pop'!$C$7:$C$143)</f>
        <v>188455</v>
      </c>
      <c r="D42" s="126" t="s">
        <v>356</v>
      </c>
      <c r="E42" s="128">
        <v>5.9539999999999997</v>
      </c>
      <c r="F42" s="129">
        <f t="shared" si="2"/>
        <v>1.12206107</v>
      </c>
      <c r="G42" t="str">
        <f>_xlfn.XLOOKUP(D42,'[1]2050 BAU Mapping to T &amp; C'!$A$3:$A$52,'[1]2050 BAU Mapping to T &amp; C'!$B$3:$B$52)</f>
        <v>Tropical Fruits</v>
      </c>
      <c r="H42" s="129">
        <f>_xlfn.XLOOKUP(G42,'[1]T&amp;C emissions for 2050 analysis'!$B$3:$B$23,'[1]T&amp;C emissions for 2050 analysis'!$C$3:$C$23)</f>
        <v>0.51333333333333331</v>
      </c>
      <c r="I42" s="27">
        <f t="shared" si="0"/>
        <v>0.57599134926666662</v>
      </c>
      <c r="J42" s="129">
        <f t="shared" si="1"/>
        <v>3.0563866666666666</v>
      </c>
    </row>
    <row r="43" spans="1:10" hidden="1" x14ac:dyDescent="0.35">
      <c r="A43" s="126" t="s">
        <v>395</v>
      </c>
      <c r="B43" t="str">
        <f>_xlfn.XLOOKUP(A43,'[1]2050Pop'!$A$7:$A$143,'[1]2050Pop'!$D$7:$D$143)</f>
        <v>Euro/AU/NZ</v>
      </c>
      <c r="C43" s="127">
        <f>1000*_xlfn.XLOOKUP(A43,'[1]2050Pop'!$A$7:$A$143,'[1]2050Pop'!$C$7:$C$143)</f>
        <v>5752</v>
      </c>
      <c r="D43" s="126" t="s">
        <v>356</v>
      </c>
      <c r="E43" s="128">
        <v>21.263000000000002</v>
      </c>
      <c r="F43" s="129">
        <f t="shared" si="2"/>
        <v>0.12230477600000002</v>
      </c>
      <c r="G43" t="str">
        <f>_xlfn.XLOOKUP(D43,'[1]2050 BAU Mapping to T &amp; C'!$A$3:$A$52,'[1]2050 BAU Mapping to T &amp; C'!$B$3:$B$52)</f>
        <v>Tropical Fruits</v>
      </c>
      <c r="H43" s="129">
        <f>_xlfn.XLOOKUP(G43,'[1]T&amp;C emissions for 2050 analysis'!$B$3:$B$23,'[1]T&amp;C emissions for 2050 analysis'!$C$3:$C$23)</f>
        <v>0.51333333333333331</v>
      </c>
      <c r="I43" s="27">
        <f t="shared" si="0"/>
        <v>6.2783118346666666E-2</v>
      </c>
      <c r="J43" s="129">
        <f t="shared" si="1"/>
        <v>10.915006666666667</v>
      </c>
    </row>
    <row r="44" spans="1:10" hidden="1" x14ac:dyDescent="0.35">
      <c r="A44" s="126" t="s">
        <v>396</v>
      </c>
      <c r="B44" t="str">
        <f>_xlfn.XLOOKUP(A44,'[1]2050Pop'!$A$7:$A$143,'[1]2050Pop'!$D$7:$D$143)</f>
        <v>Euro/AU/NZ</v>
      </c>
      <c r="C44" s="127">
        <f>1000*_xlfn.XLOOKUP(A44,'[1]2050Pop'!$A$7:$A$143,'[1]2050Pop'!$C$7:$C$143)</f>
        <v>71137</v>
      </c>
      <c r="D44" s="126" t="s">
        <v>356</v>
      </c>
      <c r="E44" s="128">
        <v>7.0510000000000002</v>
      </c>
      <c r="F44" s="129">
        <f t="shared" si="2"/>
        <v>0.50158698700000004</v>
      </c>
      <c r="G44" t="str">
        <f>_xlfn.XLOOKUP(D44,'[1]2050 BAU Mapping to T &amp; C'!$A$3:$A$52,'[1]2050 BAU Mapping to T &amp; C'!$B$3:$B$52)</f>
        <v>Tropical Fruits</v>
      </c>
      <c r="H44" s="129">
        <f>_xlfn.XLOOKUP(G44,'[1]T&amp;C emissions for 2050 analysis'!$B$3:$B$23,'[1]T&amp;C emissions for 2050 analysis'!$C$3:$C$23)</f>
        <v>0.51333333333333331</v>
      </c>
      <c r="I44" s="27">
        <f t="shared" si="0"/>
        <v>0.25748131999333335</v>
      </c>
      <c r="J44" s="129">
        <f t="shared" si="1"/>
        <v>3.6195133333333334</v>
      </c>
    </row>
    <row r="45" spans="1:10" hidden="1" x14ac:dyDescent="0.35">
      <c r="A45" s="126" t="s">
        <v>397</v>
      </c>
      <c r="B45" t="str">
        <f>_xlfn.XLOOKUP(A45,'[1]2050Pop'!$A$7:$A$143,'[1]2050Pop'!$D$7:$D$143)</f>
        <v>SSA</v>
      </c>
      <c r="C45" s="127">
        <f>1000*_xlfn.XLOOKUP(A45,'[1]2050Pop'!$A$7:$A$143,'[1]2050Pop'!$C$7:$C$143)</f>
        <v>3164</v>
      </c>
      <c r="D45" s="126" t="s">
        <v>356</v>
      </c>
      <c r="E45" s="128">
        <v>15.332000000000001</v>
      </c>
      <c r="F45" s="129">
        <f t="shared" si="2"/>
        <v>4.8510448000000005E-2</v>
      </c>
      <c r="G45" t="str">
        <f>_xlfn.XLOOKUP(D45,'[1]2050 BAU Mapping to T &amp; C'!$A$3:$A$52,'[1]2050 BAU Mapping to T &amp; C'!$B$3:$B$52)</f>
        <v>Tropical Fruits</v>
      </c>
      <c r="H45" s="129">
        <f>_xlfn.XLOOKUP(G45,'[1]T&amp;C emissions for 2050 analysis'!$B$3:$B$23,'[1]T&amp;C emissions for 2050 analysis'!$C$3:$C$23)</f>
        <v>0.51333333333333331</v>
      </c>
      <c r="I45" s="27">
        <f t="shared" si="0"/>
        <v>2.4902029973333333E-2</v>
      </c>
      <c r="J45" s="129">
        <f t="shared" si="1"/>
        <v>7.8704266666666669</v>
      </c>
    </row>
    <row r="46" spans="1:10" hidden="1" x14ac:dyDescent="0.35">
      <c r="A46" s="126" t="s">
        <v>398</v>
      </c>
      <c r="B46" t="str">
        <f>_xlfn.XLOOKUP(A46,'[1]2050Pop'!$A$7:$A$143,'[1]2050Pop'!$D$7:$D$143)</f>
        <v>MENA</v>
      </c>
      <c r="C46" s="127">
        <f>1000*_xlfn.XLOOKUP(A46,'[1]2050Pop'!$A$7:$A$143,'[1]2050Pop'!$C$7:$C$143)</f>
        <v>3483</v>
      </c>
      <c r="D46" s="126" t="s">
        <v>356</v>
      </c>
      <c r="E46" s="128">
        <v>6.0030000000000001</v>
      </c>
      <c r="F46" s="129">
        <f t="shared" si="2"/>
        <v>2.0908448999999999E-2</v>
      </c>
      <c r="G46" t="str">
        <f>_xlfn.XLOOKUP(D46,'[1]2050 BAU Mapping to T &amp; C'!$A$3:$A$52,'[1]2050 BAU Mapping to T &amp; C'!$B$3:$B$52)</f>
        <v>Tropical Fruits</v>
      </c>
      <c r="H46" s="129">
        <f>_xlfn.XLOOKUP(G46,'[1]T&amp;C emissions for 2050 analysis'!$B$3:$B$23,'[1]T&amp;C emissions for 2050 analysis'!$C$3:$C$23)</f>
        <v>0.51333333333333331</v>
      </c>
      <c r="I46" s="27">
        <f t="shared" si="0"/>
        <v>1.073300382E-2</v>
      </c>
      <c r="J46" s="129">
        <f t="shared" si="1"/>
        <v>3.0815399999999999</v>
      </c>
    </row>
    <row r="47" spans="1:10" hidden="1" x14ac:dyDescent="0.35">
      <c r="A47" s="126" t="s">
        <v>399</v>
      </c>
      <c r="B47" t="str">
        <f>_xlfn.XLOOKUP(A47,'[1]2050Pop'!$A$7:$A$143,'[1]2050Pop'!$D$7:$D$143)</f>
        <v>Euro/AU/NZ</v>
      </c>
      <c r="C47" s="127">
        <f>1000*_xlfn.XLOOKUP(A47,'[1]2050Pop'!$A$7:$A$143,'[1]2050Pop'!$C$7:$C$143)</f>
        <v>74513</v>
      </c>
      <c r="D47" s="126" t="s">
        <v>356</v>
      </c>
      <c r="E47" s="128">
        <v>17.637</v>
      </c>
      <c r="F47" s="129">
        <f t="shared" si="2"/>
        <v>1.3141857809999999</v>
      </c>
      <c r="G47" t="str">
        <f>_xlfn.XLOOKUP(D47,'[1]2050 BAU Mapping to T &amp; C'!$A$3:$A$52,'[1]2050 BAU Mapping to T &amp; C'!$B$3:$B$52)</f>
        <v>Tropical Fruits</v>
      </c>
      <c r="H47" s="129">
        <f>_xlfn.XLOOKUP(G47,'[1]T&amp;C emissions for 2050 analysis'!$B$3:$B$23,'[1]T&amp;C emissions for 2050 analysis'!$C$3:$C$23)</f>
        <v>0.51333333333333331</v>
      </c>
      <c r="I47" s="27">
        <f t="shared" si="0"/>
        <v>0.67461536757999996</v>
      </c>
      <c r="J47" s="129">
        <f t="shared" si="1"/>
        <v>9.0536599999999989</v>
      </c>
    </row>
    <row r="48" spans="1:10" hidden="1" x14ac:dyDescent="0.35">
      <c r="A48" s="126" t="s">
        <v>400</v>
      </c>
      <c r="B48" t="str">
        <f>_xlfn.XLOOKUP(A48,'[1]2050Pop'!$A$7:$A$143,'[1]2050Pop'!$D$7:$D$143)</f>
        <v>SSA</v>
      </c>
      <c r="C48" s="127">
        <f>1000*_xlfn.XLOOKUP(A48,'[1]2050Pop'!$A$7:$A$143,'[1]2050Pop'!$C$7:$C$143)</f>
        <v>50071</v>
      </c>
      <c r="D48" s="126" t="s">
        <v>356</v>
      </c>
      <c r="E48" s="128">
        <v>4.8129999999999997</v>
      </c>
      <c r="F48" s="129">
        <f t="shared" si="2"/>
        <v>0.24099172299999999</v>
      </c>
      <c r="G48" t="str">
        <f>_xlfn.XLOOKUP(D48,'[1]2050 BAU Mapping to T &amp; C'!$A$3:$A$52,'[1]2050 BAU Mapping to T &amp; C'!$B$3:$B$52)</f>
        <v>Tropical Fruits</v>
      </c>
      <c r="H48" s="129">
        <f>_xlfn.XLOOKUP(G48,'[1]T&amp;C emissions for 2050 analysis'!$B$3:$B$23,'[1]T&amp;C emissions for 2050 analysis'!$C$3:$C$23)</f>
        <v>0.51333333333333331</v>
      </c>
      <c r="I48" s="27">
        <f t="shared" si="0"/>
        <v>0.12370908447333333</v>
      </c>
      <c r="J48" s="129">
        <f t="shared" si="1"/>
        <v>2.4706733333333331</v>
      </c>
    </row>
    <row r="49" spans="1:10" hidden="1" x14ac:dyDescent="0.35">
      <c r="A49" s="126" t="s">
        <v>401</v>
      </c>
      <c r="B49" t="str">
        <f>_xlfn.XLOOKUP(A49,'[1]2050Pop'!$A$7:$A$143,'[1]2050Pop'!$D$7:$D$143)</f>
        <v>Euro/AU/NZ</v>
      </c>
      <c r="C49" s="127">
        <f>1000*_xlfn.XLOOKUP(A49,'[1]2050Pop'!$A$7:$A$143,'[1]2050Pop'!$C$7:$C$143)</f>
        <v>9705</v>
      </c>
      <c r="D49" s="126" t="s">
        <v>356</v>
      </c>
      <c r="E49" s="128">
        <v>13.223000000000001</v>
      </c>
      <c r="F49" s="129">
        <f t="shared" si="2"/>
        <v>0.12832921500000002</v>
      </c>
      <c r="G49" t="str">
        <f>_xlfn.XLOOKUP(D49,'[1]2050 BAU Mapping to T &amp; C'!$A$3:$A$52,'[1]2050 BAU Mapping to T &amp; C'!$B$3:$B$52)</f>
        <v>Tropical Fruits</v>
      </c>
      <c r="H49" s="129">
        <f>_xlfn.XLOOKUP(G49,'[1]T&amp;C emissions for 2050 analysis'!$B$3:$B$23,'[1]T&amp;C emissions for 2050 analysis'!$C$3:$C$23)</f>
        <v>0.51333333333333331</v>
      </c>
      <c r="I49" s="27">
        <f t="shared" si="0"/>
        <v>6.5875663700000003E-2</v>
      </c>
      <c r="J49" s="129">
        <f t="shared" si="1"/>
        <v>6.7878066666666665</v>
      </c>
    </row>
    <row r="50" spans="1:10" hidden="1" x14ac:dyDescent="0.35">
      <c r="A50" s="126" t="s">
        <v>402</v>
      </c>
      <c r="B50" t="str">
        <f>_xlfn.XLOOKUP(A50,'[1]2050Pop'!$A$7:$A$143,'[1]2050Pop'!$D$7:$D$143)</f>
        <v>LatAm &amp; RSA</v>
      </c>
      <c r="C50" s="127">
        <f>1000*_xlfn.XLOOKUP(A50,'[1]2050Pop'!$A$7:$A$143,'[1]2050Pop'!$C$7:$C$143)</f>
        <v>27754</v>
      </c>
      <c r="D50" s="126" t="s">
        <v>356</v>
      </c>
      <c r="E50" s="128">
        <v>8.7989999999999995</v>
      </c>
      <c r="F50" s="129">
        <f t="shared" si="2"/>
        <v>0.24420744599999999</v>
      </c>
      <c r="G50" t="str">
        <f>_xlfn.XLOOKUP(D50,'[1]2050 BAU Mapping to T &amp; C'!$A$3:$A$52,'[1]2050 BAU Mapping to T &amp; C'!$B$3:$B$52)</f>
        <v>Tropical Fruits</v>
      </c>
      <c r="H50" s="129">
        <f>_xlfn.XLOOKUP(G50,'[1]T&amp;C emissions for 2050 analysis'!$B$3:$B$23,'[1]T&amp;C emissions for 2050 analysis'!$C$3:$C$23)</f>
        <v>0.51333333333333331</v>
      </c>
      <c r="I50" s="27">
        <f t="shared" si="0"/>
        <v>0.12535982227999998</v>
      </c>
      <c r="J50" s="129">
        <f t="shared" si="1"/>
        <v>4.5168199999999992</v>
      </c>
    </row>
    <row r="51" spans="1:10" hidden="1" x14ac:dyDescent="0.35">
      <c r="A51" s="126" t="s">
        <v>403</v>
      </c>
      <c r="B51" t="str">
        <f>_xlfn.XLOOKUP(A51,'[1]2050Pop'!$A$7:$A$143,'[1]2050Pop'!$D$7:$D$143)</f>
        <v>SSA</v>
      </c>
      <c r="C51" s="127">
        <f>1000*_xlfn.XLOOKUP(A51,'[1]2050Pop'!$A$7:$A$143,'[1]2050Pop'!$C$7:$C$143)</f>
        <v>27486</v>
      </c>
      <c r="D51" s="126" t="s">
        <v>356</v>
      </c>
      <c r="E51" s="128">
        <v>31.923999999999999</v>
      </c>
      <c r="F51" s="129">
        <f t="shared" si="2"/>
        <v>0.87746306399999996</v>
      </c>
      <c r="G51" t="str">
        <f>_xlfn.XLOOKUP(D51,'[1]2050 BAU Mapping to T &amp; C'!$A$3:$A$52,'[1]2050 BAU Mapping to T &amp; C'!$B$3:$B$52)</f>
        <v>Tropical Fruits</v>
      </c>
      <c r="H51" s="129">
        <f>_xlfn.XLOOKUP(G51,'[1]T&amp;C emissions for 2050 analysis'!$B$3:$B$23,'[1]T&amp;C emissions for 2050 analysis'!$C$3:$C$23)</f>
        <v>0.51333333333333331</v>
      </c>
      <c r="I51" s="27">
        <f t="shared" si="0"/>
        <v>0.45043103951999997</v>
      </c>
      <c r="J51" s="129">
        <f t="shared" si="1"/>
        <v>16.387653333333333</v>
      </c>
    </row>
    <row r="52" spans="1:10" hidden="1" x14ac:dyDescent="0.35">
      <c r="A52" s="126" t="s">
        <v>404</v>
      </c>
      <c r="B52" t="str">
        <f>_xlfn.XLOOKUP(A52,'[1]2050Pop'!$A$7:$A$143,'[1]2050Pop'!$D$7:$D$143)</f>
        <v>LatAm &amp; RSA</v>
      </c>
      <c r="C52" s="127">
        <f>1000*_xlfn.XLOOKUP(A52,'[1]2050Pop'!$A$7:$A$143,'[1]2050Pop'!$C$7:$C$143)</f>
        <v>806</v>
      </c>
      <c r="D52" s="126" t="s">
        <v>356</v>
      </c>
      <c r="E52" s="128">
        <v>8.9629999999999992</v>
      </c>
      <c r="F52" s="129">
        <f t="shared" si="2"/>
        <v>7.2241779999999986E-3</v>
      </c>
      <c r="G52" t="str">
        <f>_xlfn.XLOOKUP(D52,'[1]2050 BAU Mapping to T &amp; C'!$A$3:$A$52,'[1]2050 BAU Mapping to T &amp; C'!$B$3:$B$52)</f>
        <v>Tropical Fruits</v>
      </c>
      <c r="H52" s="129">
        <f>_xlfn.XLOOKUP(G52,'[1]T&amp;C emissions for 2050 analysis'!$B$3:$B$23,'[1]T&amp;C emissions for 2050 analysis'!$C$3:$C$23)</f>
        <v>0.51333333333333331</v>
      </c>
      <c r="I52" s="27">
        <f t="shared" si="0"/>
        <v>3.7084113733333326E-3</v>
      </c>
      <c r="J52" s="129">
        <f t="shared" si="1"/>
        <v>4.6010066666666658</v>
      </c>
    </row>
    <row r="53" spans="1:10" hidden="1" x14ac:dyDescent="0.35">
      <c r="A53" s="126" t="s">
        <v>405</v>
      </c>
      <c r="B53" t="str">
        <f>_xlfn.XLOOKUP(A53,'[1]2050Pop'!$A$7:$A$143,'[1]2050Pop'!$D$7:$D$143)</f>
        <v>LatAm &amp; RSA</v>
      </c>
      <c r="C53" s="127">
        <f>1000*_xlfn.XLOOKUP(A53,'[1]2050Pop'!$A$7:$A$143,'[1]2050Pop'!$C$7:$C$143)</f>
        <v>14189</v>
      </c>
      <c r="D53" s="126" t="s">
        <v>356</v>
      </c>
      <c r="E53" s="128">
        <v>46.459000000000003</v>
      </c>
      <c r="F53" s="129">
        <f t="shared" si="2"/>
        <v>0.65920675100000004</v>
      </c>
      <c r="G53" t="str">
        <f>_xlfn.XLOOKUP(D53,'[1]2050 BAU Mapping to T &amp; C'!$A$3:$A$52,'[1]2050 BAU Mapping to T &amp; C'!$B$3:$B$52)</f>
        <v>Tropical Fruits</v>
      </c>
      <c r="H53" s="129">
        <f>_xlfn.XLOOKUP(G53,'[1]T&amp;C emissions for 2050 analysis'!$B$3:$B$23,'[1]T&amp;C emissions for 2050 analysis'!$C$3:$C$23)</f>
        <v>0.51333333333333331</v>
      </c>
      <c r="I53" s="27">
        <f t="shared" si="0"/>
        <v>0.33839279884666668</v>
      </c>
      <c r="J53" s="129">
        <f t="shared" si="1"/>
        <v>23.848953333333334</v>
      </c>
    </row>
    <row r="54" spans="1:10" hidden="1" x14ac:dyDescent="0.35">
      <c r="A54" s="126" t="s">
        <v>406</v>
      </c>
      <c r="B54" t="str">
        <f>_xlfn.XLOOKUP(A54,'[1]2050Pop'!$A$7:$A$143,'[1]2050Pop'!$D$7:$D$143)</f>
        <v>LatAm &amp; RSA</v>
      </c>
      <c r="C54" s="127">
        <f>1000*_xlfn.XLOOKUP(A54,'[1]2050Pop'!$A$7:$A$143,'[1]2050Pop'!$C$7:$C$143)</f>
        <v>11217</v>
      </c>
      <c r="D54" s="126" t="s">
        <v>356</v>
      </c>
      <c r="E54" s="130">
        <v>44.69</v>
      </c>
      <c r="F54" s="129">
        <f t="shared" si="2"/>
        <v>0.50128772999999993</v>
      </c>
      <c r="G54" t="str">
        <f>_xlfn.XLOOKUP(D54,'[1]2050 BAU Mapping to T &amp; C'!$A$3:$A$52,'[1]2050 BAU Mapping to T &amp; C'!$B$3:$B$52)</f>
        <v>Tropical Fruits</v>
      </c>
      <c r="H54" s="129">
        <f>_xlfn.XLOOKUP(G54,'[1]T&amp;C emissions for 2050 analysis'!$B$3:$B$23,'[1]T&amp;C emissions for 2050 analysis'!$C$3:$C$23)</f>
        <v>0.51333333333333331</v>
      </c>
      <c r="I54" s="27">
        <f t="shared" si="0"/>
        <v>0.25732770139999994</v>
      </c>
      <c r="J54" s="129">
        <f t="shared" si="1"/>
        <v>22.940866666666665</v>
      </c>
    </row>
    <row r="55" spans="1:10" hidden="1" x14ac:dyDescent="0.35">
      <c r="A55" s="126" t="s">
        <v>407</v>
      </c>
      <c r="B55" t="str">
        <f>_xlfn.XLOOKUP(A55,'[1]2050Pop'!$A$7:$A$143,'[1]2050Pop'!$D$7:$D$143)</f>
        <v>Euro/AU/NZ</v>
      </c>
      <c r="C55" s="127">
        <f>1000*_xlfn.XLOOKUP(A55,'[1]2050Pop'!$A$7:$A$143,'[1]2050Pop'!$C$7:$C$143)</f>
        <v>8318</v>
      </c>
      <c r="D55" s="126" t="s">
        <v>356</v>
      </c>
      <c r="E55" s="128">
        <v>5.3390000000000004</v>
      </c>
      <c r="F55" s="129">
        <f t="shared" si="2"/>
        <v>4.4409802000000005E-2</v>
      </c>
      <c r="G55" t="str">
        <f>_xlfn.XLOOKUP(D55,'[1]2050 BAU Mapping to T &amp; C'!$A$3:$A$52,'[1]2050 BAU Mapping to T &amp; C'!$B$3:$B$52)</f>
        <v>Tropical Fruits</v>
      </c>
      <c r="H55" s="129">
        <f>_xlfn.XLOOKUP(G55,'[1]T&amp;C emissions for 2050 analysis'!$B$3:$B$23,'[1]T&amp;C emissions for 2050 analysis'!$C$3:$C$23)</f>
        <v>0.51333333333333331</v>
      </c>
      <c r="I55" s="27">
        <f t="shared" si="0"/>
        <v>2.2797031693333334E-2</v>
      </c>
      <c r="J55" s="129">
        <f t="shared" si="1"/>
        <v>2.7406866666666669</v>
      </c>
    </row>
    <row r="56" spans="1:10" hidden="1" x14ac:dyDescent="0.35">
      <c r="A56" s="126" t="s">
        <v>408</v>
      </c>
      <c r="B56" t="str">
        <f>_xlfn.XLOOKUP(A56,'[1]2050Pop'!$A$7:$A$143,'[1]2050Pop'!$D$7:$D$143)</f>
        <v>India/South Asia</v>
      </c>
      <c r="C56" s="127">
        <f>1000*_xlfn.XLOOKUP(A56,'[1]2050Pop'!$A$7:$A$143,'[1]2050Pop'!$C$7:$C$143)</f>
        <v>1705333</v>
      </c>
      <c r="D56" s="126" t="s">
        <v>356</v>
      </c>
      <c r="E56" s="128">
        <v>35.938000000000002</v>
      </c>
      <c r="F56" s="129">
        <f t="shared" si="2"/>
        <v>61.286257354</v>
      </c>
      <c r="G56" t="str">
        <f>_xlfn.XLOOKUP(D56,'[1]2050 BAU Mapping to T &amp; C'!$A$3:$A$52,'[1]2050 BAU Mapping to T &amp; C'!$B$3:$B$52)</f>
        <v>Tropical Fruits</v>
      </c>
      <c r="H56" s="129">
        <f>_xlfn.XLOOKUP(G56,'[1]T&amp;C emissions for 2050 analysis'!$B$3:$B$23,'[1]T&amp;C emissions for 2050 analysis'!$C$3:$C$23)</f>
        <v>0.51333333333333331</v>
      </c>
      <c r="I56" s="27">
        <f t="shared" si="0"/>
        <v>31.460278775053332</v>
      </c>
      <c r="J56" s="129">
        <f t="shared" si="1"/>
        <v>18.448173333333333</v>
      </c>
    </row>
    <row r="57" spans="1:10" hidden="1" x14ac:dyDescent="0.35">
      <c r="A57" s="126" t="s">
        <v>409</v>
      </c>
      <c r="B57" t="str">
        <f>_xlfn.XLOOKUP(A57,'[1]2050Pop'!$A$7:$A$143,'[1]2050Pop'!$D$7:$D$143)</f>
        <v>APAC</v>
      </c>
      <c r="C57" s="127">
        <f>1000*_xlfn.XLOOKUP(A57,'[1]2050Pop'!$A$7:$A$143,'[1]2050Pop'!$C$7:$C$143)</f>
        <v>322237</v>
      </c>
      <c r="D57" s="126" t="s">
        <v>356</v>
      </c>
      <c r="E57" s="128">
        <v>45.917000000000002</v>
      </c>
      <c r="F57" s="129">
        <f>C57*E57/1000000</f>
        <v>14.796156329</v>
      </c>
      <c r="G57" t="str">
        <f>_xlfn.XLOOKUP(D57,'[1]2050 BAU Mapping to T &amp; C'!$A$3:$A$52,'[1]2050 BAU Mapping to T &amp; C'!$B$3:$B$52)</f>
        <v>Tropical Fruits</v>
      </c>
      <c r="H57" s="129">
        <f>_xlfn.XLOOKUP(G57,'[1]T&amp;C emissions for 2050 analysis'!$B$3:$B$23,'[1]T&amp;C emissions for 2050 analysis'!$C$3:$C$23)</f>
        <v>0.51333333333333331</v>
      </c>
      <c r="I57" s="27">
        <f t="shared" si="0"/>
        <v>7.5953602488866663</v>
      </c>
      <c r="J57" s="129">
        <f t="shared" si="1"/>
        <v>23.570726666666665</v>
      </c>
    </row>
    <row r="58" spans="1:10" hidden="1" x14ac:dyDescent="0.35">
      <c r="A58" s="126" t="s">
        <v>410</v>
      </c>
      <c r="B58" t="str">
        <f>_xlfn.XLOOKUP(A58,'[1]2050Pop'!$A$7:$A$143,'[1]2050Pop'!$D$7:$D$143)</f>
        <v>India/South Asia</v>
      </c>
      <c r="C58" s="127">
        <f>1000*_xlfn.XLOOKUP(A58,'[1]2050Pop'!$A$7:$A$143,'[1]2050Pop'!$C$7:$C$143)</f>
        <v>92219</v>
      </c>
      <c r="D58" s="126" t="s">
        <v>356</v>
      </c>
      <c r="E58" s="128">
        <v>15.035</v>
      </c>
      <c r="F58" s="129">
        <f t="shared" si="2"/>
        <v>1.3865126650000001</v>
      </c>
      <c r="G58" t="str">
        <f>_xlfn.XLOOKUP(D58,'[1]2050 BAU Mapping to T &amp; C'!$A$3:$A$52,'[1]2050 BAU Mapping to T &amp; C'!$B$3:$B$52)</f>
        <v>Tropical Fruits</v>
      </c>
      <c r="H58" s="129">
        <f>_xlfn.XLOOKUP(G58,'[1]T&amp;C emissions for 2050 analysis'!$B$3:$B$23,'[1]T&amp;C emissions for 2050 analysis'!$C$3:$C$23)</f>
        <v>0.51333333333333331</v>
      </c>
      <c r="I58" s="27">
        <f t="shared" si="0"/>
        <v>0.71174316803333337</v>
      </c>
      <c r="J58" s="129">
        <f t="shared" si="1"/>
        <v>7.7179666666666664</v>
      </c>
    </row>
    <row r="59" spans="1:10" hidden="1" x14ac:dyDescent="0.35">
      <c r="A59" s="126" t="s">
        <v>411</v>
      </c>
      <c r="B59" t="str">
        <f>_xlfn.XLOOKUP(A59,'[1]2050Pop'!$A$7:$A$143,'[1]2050Pop'!$D$7:$D$143)</f>
        <v>MENA</v>
      </c>
      <c r="C59" s="127">
        <f>1000*_xlfn.XLOOKUP(A59,'[1]2050Pop'!$A$7:$A$143,'[1]2050Pop'!$C$7:$C$143)</f>
        <v>83652</v>
      </c>
      <c r="D59" s="126" t="s">
        <v>356</v>
      </c>
      <c r="E59" s="128">
        <v>3.5569999999999999</v>
      </c>
      <c r="F59" s="129">
        <f t="shared" si="2"/>
        <v>0.29755016400000001</v>
      </c>
      <c r="G59" t="str">
        <f>_xlfn.XLOOKUP(D59,'[1]2050 BAU Mapping to T &amp; C'!$A$3:$A$52,'[1]2050 BAU Mapping to T &amp; C'!$B$3:$B$52)</f>
        <v>Tropical Fruits</v>
      </c>
      <c r="H59" s="129">
        <f>_xlfn.XLOOKUP(G59,'[1]T&amp;C emissions for 2050 analysis'!$B$3:$B$23,'[1]T&amp;C emissions for 2050 analysis'!$C$3:$C$23)</f>
        <v>0.51333333333333331</v>
      </c>
      <c r="I59" s="27">
        <f t="shared" si="0"/>
        <v>0.15274241752000001</v>
      </c>
      <c r="J59" s="129">
        <f t="shared" si="1"/>
        <v>1.8259266666666665</v>
      </c>
    </row>
    <row r="60" spans="1:10" hidden="1" x14ac:dyDescent="0.35">
      <c r="A60" s="126" t="s">
        <v>412</v>
      </c>
      <c r="B60" t="str">
        <f>_xlfn.XLOOKUP(A60,'[1]2050Pop'!$A$7:$A$143,'[1]2050Pop'!$D$7:$D$143)</f>
        <v>Euro/AU/NZ</v>
      </c>
      <c r="C60" s="127">
        <f>1000*_xlfn.XLOOKUP(A60,'[1]2050Pop'!$A$7:$A$143,'[1]2050Pop'!$C$7:$C$143)</f>
        <v>5789</v>
      </c>
      <c r="D60" s="126" t="s">
        <v>356</v>
      </c>
      <c r="E60" s="128">
        <v>15.116</v>
      </c>
      <c r="F60" s="129">
        <f t="shared" si="2"/>
        <v>8.7506524000000002E-2</v>
      </c>
      <c r="G60" t="str">
        <f>_xlfn.XLOOKUP(D60,'[1]2050 BAU Mapping to T &amp; C'!$A$3:$A$52,'[1]2050 BAU Mapping to T &amp; C'!$B$3:$B$52)</f>
        <v>Tropical Fruits</v>
      </c>
      <c r="H60" s="129">
        <f>_xlfn.XLOOKUP(G60,'[1]T&amp;C emissions for 2050 analysis'!$B$3:$B$23,'[1]T&amp;C emissions for 2050 analysis'!$C$3:$C$23)</f>
        <v>0.51333333333333331</v>
      </c>
      <c r="I60" s="27">
        <f t="shared" si="0"/>
        <v>4.4920015653333333E-2</v>
      </c>
      <c r="J60" s="129">
        <f t="shared" si="1"/>
        <v>7.7595466666666661</v>
      </c>
    </row>
    <row r="61" spans="1:10" hidden="1" x14ac:dyDescent="0.35">
      <c r="A61" s="126" t="s">
        <v>413</v>
      </c>
      <c r="B61" t="str">
        <f>_xlfn.XLOOKUP(A61,'[1]2050Pop'!$A$7:$A$143,'[1]2050Pop'!$D$7:$D$143)</f>
        <v>MENA</v>
      </c>
      <c r="C61" s="127">
        <f>1000*_xlfn.XLOOKUP(A61,'[1]2050Pop'!$A$7:$A$143,'[1]2050Pop'!$C$7:$C$143)</f>
        <v>12610</v>
      </c>
      <c r="D61" s="126" t="s">
        <v>356</v>
      </c>
      <c r="E61" s="128">
        <v>27.884</v>
      </c>
      <c r="F61" s="129">
        <f t="shared" si="2"/>
        <v>0.35161724</v>
      </c>
      <c r="G61" t="str">
        <f>_xlfn.XLOOKUP(D61,'[1]2050 BAU Mapping to T &amp; C'!$A$3:$A$52,'[1]2050 BAU Mapping to T &amp; C'!$B$3:$B$52)</f>
        <v>Tropical Fruits</v>
      </c>
      <c r="H61" s="129">
        <f>_xlfn.XLOOKUP(G61,'[1]T&amp;C emissions for 2050 analysis'!$B$3:$B$23,'[1]T&amp;C emissions for 2050 analysis'!$C$3:$C$23)</f>
        <v>0.51333333333333331</v>
      </c>
      <c r="I61" s="27">
        <f t="shared" si="0"/>
        <v>0.18049684986666667</v>
      </c>
      <c r="J61" s="129">
        <f t="shared" si="1"/>
        <v>14.313786666666665</v>
      </c>
    </row>
    <row r="62" spans="1:10" hidden="1" x14ac:dyDescent="0.35">
      <c r="A62" s="126" t="s">
        <v>414</v>
      </c>
      <c r="B62" t="str">
        <f>_xlfn.XLOOKUP(A62,'[1]2050Pop'!$A$7:$A$143,'[1]2050Pop'!$D$7:$D$143)</f>
        <v>Euro/AU/NZ</v>
      </c>
      <c r="C62" s="127">
        <f>1000*_xlfn.XLOOKUP(A62,'[1]2050Pop'!$A$7:$A$143,'[1]2050Pop'!$C$7:$C$143)</f>
        <v>56513</v>
      </c>
      <c r="D62" s="126" t="s">
        <v>356</v>
      </c>
      <c r="E62" s="128">
        <v>15.021000000000001</v>
      </c>
      <c r="F62" s="129">
        <f t="shared" si="2"/>
        <v>0.84888177300000001</v>
      </c>
      <c r="G62" t="str">
        <f>_xlfn.XLOOKUP(D62,'[1]2050 BAU Mapping to T &amp; C'!$A$3:$A$52,'[1]2050 BAU Mapping to T &amp; C'!$B$3:$B$52)</f>
        <v>Tropical Fruits</v>
      </c>
      <c r="H62" s="129">
        <f>_xlfn.XLOOKUP(G62,'[1]T&amp;C emissions for 2050 analysis'!$B$3:$B$23,'[1]T&amp;C emissions for 2050 analysis'!$C$3:$C$23)</f>
        <v>0.51333333333333331</v>
      </c>
      <c r="I62" s="27">
        <f t="shared" si="0"/>
        <v>0.43575931013999997</v>
      </c>
      <c r="J62" s="129">
        <f t="shared" si="1"/>
        <v>7.7107799999999997</v>
      </c>
    </row>
    <row r="63" spans="1:10" hidden="1" x14ac:dyDescent="0.35">
      <c r="A63" s="126" t="s">
        <v>415</v>
      </c>
      <c r="B63" t="str">
        <f>_xlfn.XLOOKUP(A63,'[1]2050Pop'!$A$7:$A$143,'[1]2050Pop'!$D$7:$D$143)</f>
        <v>LatAm &amp; RSA</v>
      </c>
      <c r="C63" s="127">
        <f>1000*_xlfn.XLOOKUP(A63,'[1]2050Pop'!$A$7:$A$143,'[1]2050Pop'!$C$7:$C$143)</f>
        <v>2710</v>
      </c>
      <c r="D63" s="126" t="s">
        <v>356</v>
      </c>
      <c r="E63" s="128">
        <v>29.850999999999999</v>
      </c>
      <c r="F63" s="129">
        <f t="shared" si="2"/>
        <v>8.0896209999999996E-2</v>
      </c>
      <c r="G63" t="str">
        <f>_xlfn.XLOOKUP(D63,'[1]2050 BAU Mapping to T &amp; C'!$A$3:$A$52,'[1]2050 BAU Mapping to T &amp; C'!$B$3:$B$52)</f>
        <v>Tropical Fruits</v>
      </c>
      <c r="H63" s="129">
        <f>_xlfn.XLOOKUP(G63,'[1]T&amp;C emissions for 2050 analysis'!$B$3:$B$23,'[1]T&amp;C emissions for 2050 analysis'!$C$3:$C$23)</f>
        <v>0.51333333333333331</v>
      </c>
      <c r="I63" s="27">
        <f t="shared" si="0"/>
        <v>4.1526721133333326E-2</v>
      </c>
      <c r="J63" s="129">
        <f t="shared" si="1"/>
        <v>15.323513333333333</v>
      </c>
    </row>
    <row r="64" spans="1:10" hidden="1" x14ac:dyDescent="0.35">
      <c r="A64" s="126" t="s">
        <v>416</v>
      </c>
      <c r="B64" t="str">
        <f>_xlfn.XLOOKUP(A64,'[1]2050Pop'!$A$7:$A$143,'[1]2050Pop'!$D$7:$D$143)</f>
        <v>APAC</v>
      </c>
      <c r="C64" s="127">
        <f>1000*_xlfn.XLOOKUP(A64,'[1]2050Pop'!$A$7:$A$143,'[1]2050Pop'!$C$7:$C$143)</f>
        <v>107411</v>
      </c>
      <c r="D64" s="126" t="s">
        <v>356</v>
      </c>
      <c r="E64" s="128">
        <v>11.468</v>
      </c>
      <c r="F64" s="129">
        <f t="shared" si="2"/>
        <v>1.231789348</v>
      </c>
      <c r="G64" t="str">
        <f>_xlfn.XLOOKUP(D64,'[1]2050 BAU Mapping to T &amp; C'!$A$3:$A$52,'[1]2050 BAU Mapping to T &amp; C'!$B$3:$B$52)</f>
        <v>Tropical Fruits</v>
      </c>
      <c r="H64" s="129">
        <f>_xlfn.XLOOKUP(G64,'[1]T&amp;C emissions for 2050 analysis'!$B$3:$B$23,'[1]T&amp;C emissions for 2050 analysis'!$C$3:$C$23)</f>
        <v>0.51333333333333331</v>
      </c>
      <c r="I64" s="27">
        <f t="shared" si="0"/>
        <v>0.63231853197333332</v>
      </c>
      <c r="J64" s="129">
        <f t="shared" si="1"/>
        <v>5.8869066666666665</v>
      </c>
    </row>
    <row r="65" spans="1:10" hidden="1" x14ac:dyDescent="0.35">
      <c r="A65" s="126" t="s">
        <v>417</v>
      </c>
      <c r="B65" t="str">
        <f>_xlfn.XLOOKUP(A65,'[1]2050Pop'!$A$7:$A$143,'[1]2050Pop'!$D$7:$D$143)</f>
        <v>MENA</v>
      </c>
      <c r="C65" s="127">
        <f>1000*_xlfn.XLOOKUP(A65,'[1]2050Pop'!$A$7:$A$143,'[1]2050Pop'!$C$7:$C$143)</f>
        <v>11717</v>
      </c>
      <c r="D65" s="126" t="s">
        <v>356</v>
      </c>
      <c r="E65" s="128">
        <v>16.890999999999998</v>
      </c>
      <c r="F65" s="129">
        <f t="shared" si="2"/>
        <v>0.19791184699999997</v>
      </c>
      <c r="G65" t="str">
        <f>_xlfn.XLOOKUP(D65,'[1]2050 BAU Mapping to T &amp; C'!$A$3:$A$52,'[1]2050 BAU Mapping to T &amp; C'!$B$3:$B$52)</f>
        <v>Tropical Fruits</v>
      </c>
      <c r="H65" s="129">
        <f>_xlfn.XLOOKUP(G65,'[1]T&amp;C emissions for 2050 analysis'!$B$3:$B$23,'[1]T&amp;C emissions for 2050 analysis'!$C$3:$C$23)</f>
        <v>0.51333333333333331</v>
      </c>
      <c r="I65" s="27">
        <f t="shared" si="0"/>
        <v>0.10159474812666665</v>
      </c>
      <c r="J65" s="129">
        <f t="shared" si="1"/>
        <v>8.6707133333333317</v>
      </c>
    </row>
    <row r="66" spans="1:10" hidden="1" x14ac:dyDescent="0.35">
      <c r="A66" s="126" t="s">
        <v>418</v>
      </c>
      <c r="B66" t="str">
        <f>_xlfn.XLOOKUP(A66,'[1]2050Pop'!$A$7:$A$143,'[1]2050Pop'!$D$7:$D$143)</f>
        <v>APAC</v>
      </c>
      <c r="C66" s="127">
        <f>1000*_xlfn.XLOOKUP(A66,'[1]2050Pop'!$A$7:$A$143,'[1]2050Pop'!$C$7:$C$143)</f>
        <v>22447</v>
      </c>
      <c r="D66" s="126" t="s">
        <v>356</v>
      </c>
      <c r="E66" s="128">
        <v>5.0519999999999996</v>
      </c>
      <c r="F66" s="129">
        <f t="shared" si="2"/>
        <v>0.11340224399999999</v>
      </c>
      <c r="G66" t="str">
        <f>_xlfn.XLOOKUP(D66,'[1]2050 BAU Mapping to T &amp; C'!$A$3:$A$52,'[1]2050 BAU Mapping to T &amp; C'!$B$3:$B$52)</f>
        <v>Tropical Fruits</v>
      </c>
      <c r="H66" s="129">
        <f>_xlfn.XLOOKUP(G66,'[1]T&amp;C emissions for 2050 analysis'!$B$3:$B$23,'[1]T&amp;C emissions for 2050 analysis'!$C$3:$C$23)</f>
        <v>0.51333333333333331</v>
      </c>
      <c r="I66" s="27">
        <f t="shared" si="0"/>
        <v>5.8213151919999991E-2</v>
      </c>
      <c r="J66" s="129">
        <f t="shared" si="1"/>
        <v>2.5933599999999997</v>
      </c>
    </row>
    <row r="67" spans="1:10" hidden="1" x14ac:dyDescent="0.35">
      <c r="A67" s="126" t="s">
        <v>419</v>
      </c>
      <c r="B67" t="str">
        <f>_xlfn.XLOOKUP(A67,'[1]2050Pop'!$A$7:$A$143,'[1]2050Pop'!$D$7:$D$143)</f>
        <v>SSA</v>
      </c>
      <c r="C67" s="127">
        <f>1000*_xlfn.XLOOKUP(A67,'[1]2050Pop'!$A$7:$A$143,'[1]2050Pop'!$C$7:$C$143)</f>
        <v>95505</v>
      </c>
      <c r="D67" s="126" t="s">
        <v>356</v>
      </c>
      <c r="E67" s="128">
        <v>50.009</v>
      </c>
      <c r="F67" s="129">
        <f t="shared" si="2"/>
        <v>4.7761095449999997</v>
      </c>
      <c r="G67" t="str">
        <f>_xlfn.XLOOKUP(D67,'[1]2050 BAU Mapping to T &amp; C'!$A$3:$A$52,'[1]2050 BAU Mapping to T &amp; C'!$B$3:$B$52)</f>
        <v>Tropical Fruits</v>
      </c>
      <c r="H67" s="129">
        <f>_xlfn.XLOOKUP(G67,'[1]T&amp;C emissions for 2050 analysis'!$B$3:$B$23,'[1]T&amp;C emissions for 2050 analysis'!$C$3:$C$23)</f>
        <v>0.51333333333333331</v>
      </c>
      <c r="I67" s="27">
        <f t="shared" si="0"/>
        <v>2.4517362330999997</v>
      </c>
      <c r="J67" s="129">
        <f t="shared" si="1"/>
        <v>25.671286666666667</v>
      </c>
    </row>
    <row r="68" spans="1:10" hidden="1" x14ac:dyDescent="0.35">
      <c r="A68" s="126" t="s">
        <v>420</v>
      </c>
      <c r="B68" t="str">
        <f>_xlfn.XLOOKUP(A68,'[1]2050Pop'!$A$7:$A$143,'[1]2050Pop'!$D$7:$D$143)</f>
        <v>APAC</v>
      </c>
      <c r="C68" s="127">
        <f>1000*_xlfn.XLOOKUP(A68,'[1]2050Pop'!$A$7:$A$143,'[1]2050Pop'!$C$7:$C$143)</f>
        <v>8248</v>
      </c>
      <c r="D68" s="126" t="s">
        <v>356</v>
      </c>
      <c r="E68" s="130">
        <v>3.25</v>
      </c>
      <c r="F68" s="129">
        <f t="shared" si="2"/>
        <v>2.6806E-2</v>
      </c>
      <c r="G68" t="str">
        <f>_xlfn.XLOOKUP(D68,'[1]2050 BAU Mapping to T &amp; C'!$A$3:$A$52,'[1]2050 BAU Mapping to T &amp; C'!$B$3:$B$52)</f>
        <v>Tropical Fruits</v>
      </c>
      <c r="H68" s="129">
        <f>_xlfn.XLOOKUP(G68,'[1]T&amp;C emissions for 2050 analysis'!$B$3:$B$23,'[1]T&amp;C emissions for 2050 analysis'!$C$3:$C$23)</f>
        <v>0.51333333333333331</v>
      </c>
      <c r="I68" s="27">
        <f t="shared" ref="I68:I131" si="3">F68*H68</f>
        <v>1.3760413333333332E-2</v>
      </c>
      <c r="J68" s="129">
        <f t="shared" ref="J68:J131" si="4">E68*H68</f>
        <v>1.6683333333333332</v>
      </c>
    </row>
    <row r="69" spans="1:10" hidden="1" x14ac:dyDescent="0.35">
      <c r="A69" s="126" t="s">
        <v>421</v>
      </c>
      <c r="B69" t="str">
        <f>_xlfn.XLOOKUP(A69,'[1]2050Pop'!$A$7:$A$143,'[1]2050Pop'!$D$7:$D$143)</f>
        <v>APAC</v>
      </c>
      <c r="C69" s="127">
        <f>1000*_xlfn.XLOOKUP(A69,'[1]2050Pop'!$A$7:$A$143,'[1]2050Pop'!$C$7:$C$143)</f>
        <v>10172</v>
      </c>
      <c r="D69" s="126" t="s">
        <v>356</v>
      </c>
      <c r="E69" s="128">
        <v>97.141000000000005</v>
      </c>
      <c r="F69" s="129">
        <f t="shared" ref="F69:F132" si="5">C69*E69/1000000</f>
        <v>0.98811825200000014</v>
      </c>
      <c r="G69" t="str">
        <f>_xlfn.XLOOKUP(D69,'[1]2050 BAU Mapping to T &amp; C'!$A$3:$A$52,'[1]2050 BAU Mapping to T &amp; C'!$B$3:$B$52)</f>
        <v>Tropical Fruits</v>
      </c>
      <c r="H69" s="129">
        <f>_xlfn.XLOOKUP(G69,'[1]T&amp;C emissions for 2050 analysis'!$B$3:$B$23,'[1]T&amp;C emissions for 2050 analysis'!$C$3:$C$23)</f>
        <v>0.51333333333333331</v>
      </c>
      <c r="I69" s="27">
        <f t="shared" si="3"/>
        <v>0.50723403602666672</v>
      </c>
      <c r="J69" s="129">
        <f t="shared" si="4"/>
        <v>49.865713333333332</v>
      </c>
    </row>
    <row r="70" spans="1:10" hidden="1" x14ac:dyDescent="0.35">
      <c r="A70" s="126" t="s">
        <v>422</v>
      </c>
      <c r="B70" t="str">
        <f>_xlfn.XLOOKUP(A70,'[1]2050Pop'!$A$7:$A$143,'[1]2050Pop'!$D$7:$D$143)</f>
        <v>Euro/AU/NZ</v>
      </c>
      <c r="C70" s="127">
        <f>1000*_xlfn.XLOOKUP(A70,'[1]2050Pop'!$A$7:$A$143,'[1]2050Pop'!$C$7:$C$143)</f>
        <v>1593</v>
      </c>
      <c r="D70" s="126" t="s">
        <v>356</v>
      </c>
      <c r="E70" s="128">
        <v>11.613</v>
      </c>
      <c r="F70" s="129">
        <f t="shared" si="5"/>
        <v>1.8499508999999997E-2</v>
      </c>
      <c r="G70" t="str">
        <f>_xlfn.XLOOKUP(D70,'[1]2050 BAU Mapping to T &amp; C'!$A$3:$A$52,'[1]2050 BAU Mapping to T &amp; C'!$B$3:$B$52)</f>
        <v>Tropical Fruits</v>
      </c>
      <c r="H70" s="129">
        <f>_xlfn.XLOOKUP(G70,'[1]T&amp;C emissions for 2050 analysis'!$B$3:$B$23,'[1]T&amp;C emissions for 2050 analysis'!$C$3:$C$23)</f>
        <v>0.51333333333333331</v>
      </c>
      <c r="I70" s="27">
        <f t="shared" si="3"/>
        <v>9.4964146199999974E-3</v>
      </c>
      <c r="J70" s="129">
        <f t="shared" si="4"/>
        <v>5.9613399999999999</v>
      </c>
    </row>
    <row r="71" spans="1:10" hidden="1" x14ac:dyDescent="0.35">
      <c r="A71" s="126" t="s">
        <v>423</v>
      </c>
      <c r="B71" t="str">
        <f>_xlfn.XLOOKUP(A71,'[1]2050Pop'!$A$7:$A$143,'[1]2050Pop'!$D$7:$D$143)</f>
        <v>MENA</v>
      </c>
      <c r="C71" s="127">
        <f>1000*_xlfn.XLOOKUP(A71,'[1]2050Pop'!$A$7:$A$143,'[1]2050Pop'!$C$7:$C$143)</f>
        <v>5610</v>
      </c>
      <c r="D71" s="126" t="s">
        <v>356</v>
      </c>
      <c r="E71" s="128">
        <v>26.431000000000001</v>
      </c>
      <c r="F71" s="129">
        <f t="shared" si="5"/>
        <v>0.14827791000000001</v>
      </c>
      <c r="G71" t="str">
        <f>_xlfn.XLOOKUP(D71,'[1]2050 BAU Mapping to T &amp; C'!$A$3:$A$52,'[1]2050 BAU Mapping to T &amp; C'!$B$3:$B$52)</f>
        <v>Tropical Fruits</v>
      </c>
      <c r="H71" s="129">
        <f>_xlfn.XLOOKUP(G71,'[1]T&amp;C emissions for 2050 analysis'!$B$3:$B$23,'[1]T&amp;C emissions for 2050 analysis'!$C$3:$C$23)</f>
        <v>0.51333333333333331</v>
      </c>
      <c r="I71" s="27">
        <f t="shared" si="3"/>
        <v>7.6115993800000004E-2</v>
      </c>
      <c r="J71" s="129">
        <f t="shared" si="4"/>
        <v>13.567913333333333</v>
      </c>
    </row>
    <row r="72" spans="1:10" hidden="1" x14ac:dyDescent="0.35">
      <c r="A72" s="126" t="s">
        <v>424</v>
      </c>
      <c r="B72" t="str">
        <f>_xlfn.XLOOKUP(A72,'[1]2050Pop'!$A$7:$A$143,'[1]2050Pop'!$D$7:$D$143)</f>
        <v>SSA</v>
      </c>
      <c r="C72" s="127">
        <f>1000*_xlfn.XLOOKUP(A72,'[1]2050Pop'!$A$7:$A$143,'[1]2050Pop'!$C$7:$C$143)</f>
        <v>2987</v>
      </c>
      <c r="D72" s="126" t="s">
        <v>356</v>
      </c>
      <c r="E72" s="131">
        <v>2.4</v>
      </c>
      <c r="F72" s="129">
        <f t="shared" si="5"/>
        <v>7.1688000000000003E-3</v>
      </c>
      <c r="G72" t="str">
        <f>_xlfn.XLOOKUP(D72,'[1]2050 BAU Mapping to T &amp; C'!$A$3:$A$52,'[1]2050 BAU Mapping to T &amp; C'!$B$3:$B$52)</f>
        <v>Tropical Fruits</v>
      </c>
      <c r="H72" s="129">
        <f>_xlfn.XLOOKUP(G72,'[1]T&amp;C emissions for 2050 analysis'!$B$3:$B$23,'[1]T&amp;C emissions for 2050 analysis'!$C$3:$C$23)</f>
        <v>0.51333333333333331</v>
      </c>
      <c r="I72" s="27">
        <f t="shared" si="3"/>
        <v>3.6799839999999999E-3</v>
      </c>
      <c r="J72" s="129">
        <f t="shared" si="4"/>
        <v>1.232</v>
      </c>
    </row>
    <row r="73" spans="1:10" hidden="1" x14ac:dyDescent="0.35">
      <c r="A73" s="126" t="s">
        <v>425</v>
      </c>
      <c r="B73" t="str">
        <f>_xlfn.XLOOKUP(A73,'[1]2050Pop'!$A$7:$A$143,'[1]2050Pop'!$D$7:$D$143)</f>
        <v>SSA</v>
      </c>
      <c r="C73" s="127">
        <f>1000*_xlfn.XLOOKUP(A73,'[1]2050Pop'!$A$7:$A$143,'[1]2050Pop'!$C$7:$C$143)</f>
        <v>9436</v>
      </c>
      <c r="D73" s="126" t="s">
        <v>356</v>
      </c>
      <c r="E73" s="128">
        <v>61.058</v>
      </c>
      <c r="F73" s="129">
        <f t="shared" si="5"/>
        <v>0.57614328799999992</v>
      </c>
      <c r="G73" t="str">
        <f>_xlfn.XLOOKUP(D73,'[1]2050 BAU Mapping to T &amp; C'!$A$3:$A$52,'[1]2050 BAU Mapping to T &amp; C'!$B$3:$B$52)</f>
        <v>Tropical Fruits</v>
      </c>
      <c r="H73" s="129">
        <f>_xlfn.XLOOKUP(G73,'[1]T&amp;C emissions for 2050 analysis'!$B$3:$B$23,'[1]T&amp;C emissions for 2050 analysis'!$C$3:$C$23)</f>
        <v>0.51333333333333331</v>
      </c>
      <c r="I73" s="27">
        <f t="shared" si="3"/>
        <v>0.29575355450666663</v>
      </c>
      <c r="J73" s="129">
        <f t="shared" si="4"/>
        <v>31.343106666666664</v>
      </c>
    </row>
    <row r="74" spans="1:10" hidden="1" x14ac:dyDescent="0.35">
      <c r="A74" s="126" t="s">
        <v>426</v>
      </c>
      <c r="B74" t="str">
        <f>_xlfn.XLOOKUP(A74,'[1]2050Pop'!$A$7:$A$143,'[1]2050Pop'!$D$7:$D$143)</f>
        <v>Euro/AU/NZ</v>
      </c>
      <c r="C74" s="127">
        <f>1000*_xlfn.XLOOKUP(A74,'[1]2050Pop'!$A$7:$A$143,'[1]2050Pop'!$C$7:$C$143)</f>
        <v>2375</v>
      </c>
      <c r="D74" s="126" t="s">
        <v>356</v>
      </c>
      <c r="E74" s="128">
        <v>10.234</v>
      </c>
      <c r="F74" s="129">
        <f t="shared" si="5"/>
        <v>2.4305750000000001E-2</v>
      </c>
      <c r="G74" t="str">
        <f>_xlfn.XLOOKUP(D74,'[1]2050 BAU Mapping to T &amp; C'!$A$3:$A$52,'[1]2050 BAU Mapping to T &amp; C'!$B$3:$B$52)</f>
        <v>Tropical Fruits</v>
      </c>
      <c r="H74" s="129">
        <f>_xlfn.XLOOKUP(G74,'[1]T&amp;C emissions for 2050 analysis'!$B$3:$B$23,'[1]T&amp;C emissions for 2050 analysis'!$C$3:$C$23)</f>
        <v>0.51333333333333331</v>
      </c>
      <c r="I74" s="27">
        <f t="shared" si="3"/>
        <v>1.2476951666666666E-2</v>
      </c>
      <c r="J74" s="129">
        <f t="shared" si="4"/>
        <v>5.2534533333333329</v>
      </c>
    </row>
    <row r="75" spans="1:10" hidden="1" x14ac:dyDescent="0.35">
      <c r="A75" s="126" t="s">
        <v>427</v>
      </c>
      <c r="B75" t="str">
        <f>_xlfn.XLOOKUP(A75,'[1]2050Pop'!$A$7:$A$143,'[1]2050Pop'!$D$7:$D$143)</f>
        <v>SSA</v>
      </c>
      <c r="C75" s="127">
        <f>1000*_xlfn.XLOOKUP(A75,'[1]2050Pop'!$A$7:$A$143,'[1]2050Pop'!$C$7:$C$143)</f>
        <v>55294</v>
      </c>
      <c r="D75" s="126" t="s">
        <v>356</v>
      </c>
      <c r="E75" s="128">
        <v>28.963999999999999</v>
      </c>
      <c r="F75" s="129">
        <f t="shared" si="5"/>
        <v>1.6015354159999999</v>
      </c>
      <c r="G75" t="str">
        <f>_xlfn.XLOOKUP(D75,'[1]2050 BAU Mapping to T &amp; C'!$A$3:$A$52,'[1]2050 BAU Mapping to T &amp; C'!$B$3:$B$52)</f>
        <v>Tropical Fruits</v>
      </c>
      <c r="H75" s="129">
        <f>_xlfn.XLOOKUP(G75,'[1]T&amp;C emissions for 2050 analysis'!$B$3:$B$23,'[1]T&amp;C emissions for 2050 analysis'!$C$3:$C$23)</f>
        <v>0.51333333333333331</v>
      </c>
      <c r="I75" s="27">
        <f t="shared" si="3"/>
        <v>0.82212151354666663</v>
      </c>
      <c r="J75" s="129">
        <f t="shared" si="4"/>
        <v>14.868186666666665</v>
      </c>
    </row>
    <row r="76" spans="1:10" hidden="1" x14ac:dyDescent="0.35">
      <c r="A76" s="126" t="s">
        <v>428</v>
      </c>
      <c r="B76" t="str">
        <f>_xlfn.XLOOKUP(A76,'[1]2050Pop'!$A$7:$A$143,'[1]2050Pop'!$D$7:$D$143)</f>
        <v>SSA</v>
      </c>
      <c r="C76" s="127">
        <f>1000*_xlfn.XLOOKUP(A76,'[1]2050Pop'!$A$7:$A$143,'[1]2050Pop'!$C$7:$C$143)</f>
        <v>43155</v>
      </c>
      <c r="D76" s="126" t="s">
        <v>356</v>
      </c>
      <c r="E76" s="128">
        <v>43.427</v>
      </c>
      <c r="F76" s="129">
        <f t="shared" si="5"/>
        <v>1.8740921850000001</v>
      </c>
      <c r="G76" t="str">
        <f>_xlfn.XLOOKUP(D76,'[1]2050 BAU Mapping to T &amp; C'!$A$3:$A$52,'[1]2050 BAU Mapping to T &amp; C'!$B$3:$B$52)</f>
        <v>Tropical Fruits</v>
      </c>
      <c r="H76" s="129">
        <f>_xlfn.XLOOKUP(G76,'[1]T&amp;C emissions for 2050 analysis'!$B$3:$B$23,'[1]T&amp;C emissions for 2050 analysis'!$C$3:$C$23)</f>
        <v>0.51333333333333331</v>
      </c>
      <c r="I76" s="27">
        <f t="shared" si="3"/>
        <v>0.96203398829999998</v>
      </c>
      <c r="J76" s="129">
        <f t="shared" si="4"/>
        <v>22.292526666666664</v>
      </c>
    </row>
    <row r="77" spans="1:10" hidden="1" x14ac:dyDescent="0.35">
      <c r="A77" s="126" t="s">
        <v>429</v>
      </c>
      <c r="B77" t="str">
        <f>_xlfn.XLOOKUP(A77,'[1]2050Pop'!$A$7:$A$143,'[1]2050Pop'!$D$7:$D$143)</f>
        <v>APAC</v>
      </c>
      <c r="C77" s="127">
        <f>1000*_xlfn.XLOOKUP(A77,'[1]2050Pop'!$A$7:$A$143,'[1]2050Pop'!$C$7:$C$143)</f>
        <v>40725</v>
      </c>
      <c r="D77" s="126" t="s">
        <v>356</v>
      </c>
      <c r="E77" s="128">
        <v>14.805999999999999</v>
      </c>
      <c r="F77" s="129">
        <f t="shared" si="5"/>
        <v>0.60297434999999999</v>
      </c>
      <c r="G77" t="str">
        <f>_xlfn.XLOOKUP(D77,'[1]2050 BAU Mapping to T &amp; C'!$A$3:$A$52,'[1]2050 BAU Mapping to T &amp; C'!$B$3:$B$52)</f>
        <v>Tropical Fruits</v>
      </c>
      <c r="H77" s="129">
        <f>_xlfn.XLOOKUP(G77,'[1]T&amp;C emissions for 2050 analysis'!$B$3:$B$23,'[1]T&amp;C emissions for 2050 analysis'!$C$3:$C$23)</f>
        <v>0.51333333333333331</v>
      </c>
      <c r="I77" s="27">
        <f t="shared" si="3"/>
        <v>0.309526833</v>
      </c>
      <c r="J77" s="129">
        <f t="shared" si="4"/>
        <v>7.6004133333333321</v>
      </c>
    </row>
    <row r="78" spans="1:10" hidden="1" x14ac:dyDescent="0.35">
      <c r="A78" s="126" t="s">
        <v>430</v>
      </c>
      <c r="B78" t="str">
        <f>_xlfn.XLOOKUP(A78,'[1]2050Pop'!$A$7:$A$143,'[1]2050Pop'!$D$7:$D$143)</f>
        <v>SSA</v>
      </c>
      <c r="C78" s="127">
        <f>1000*_xlfn.XLOOKUP(A78,'[1]2050Pop'!$A$7:$A$143,'[1]2050Pop'!$C$7:$C$143)</f>
        <v>45404</v>
      </c>
      <c r="D78" s="126" t="s">
        <v>356</v>
      </c>
      <c r="E78" s="128">
        <v>22.507999999999999</v>
      </c>
      <c r="F78" s="129">
        <f t="shared" si="5"/>
        <v>1.021953232</v>
      </c>
      <c r="G78" t="str">
        <f>_xlfn.XLOOKUP(D78,'[1]2050 BAU Mapping to T &amp; C'!$A$3:$A$52,'[1]2050 BAU Mapping to T &amp; C'!$B$3:$B$52)</f>
        <v>Tropical Fruits</v>
      </c>
      <c r="H78" s="129">
        <f>_xlfn.XLOOKUP(G78,'[1]T&amp;C emissions for 2050 analysis'!$B$3:$B$23,'[1]T&amp;C emissions for 2050 analysis'!$C$3:$C$23)</f>
        <v>0.51333333333333331</v>
      </c>
      <c r="I78" s="27">
        <f t="shared" si="3"/>
        <v>0.52460265909333326</v>
      </c>
      <c r="J78" s="129">
        <f t="shared" si="4"/>
        <v>11.554106666666666</v>
      </c>
    </row>
    <row r="79" spans="1:10" hidden="1" x14ac:dyDescent="0.35">
      <c r="A79" s="126" t="s">
        <v>431</v>
      </c>
      <c r="B79" t="str">
        <f>_xlfn.XLOOKUP(A79,'[1]2050Pop'!$A$7:$A$143,'[1]2050Pop'!$D$7:$D$143)</f>
        <v>SSA</v>
      </c>
      <c r="C79" s="127">
        <f>1000*_xlfn.XLOOKUP(A79,'[1]2050Pop'!$A$7:$A$143,'[1]2050Pop'!$C$7:$C$143)</f>
        <v>8048.9999999999991</v>
      </c>
      <c r="D79" s="126" t="s">
        <v>356</v>
      </c>
      <c r="E79" s="128">
        <v>1.619</v>
      </c>
      <c r="F79" s="129">
        <f t="shared" si="5"/>
        <v>1.3031330999999998E-2</v>
      </c>
      <c r="G79" t="str">
        <f>_xlfn.XLOOKUP(D79,'[1]2050 BAU Mapping to T &amp; C'!$A$3:$A$52,'[1]2050 BAU Mapping to T &amp; C'!$B$3:$B$52)</f>
        <v>Tropical Fruits</v>
      </c>
      <c r="H79" s="129">
        <f>_xlfn.XLOOKUP(G79,'[1]T&amp;C emissions for 2050 analysis'!$B$3:$B$23,'[1]T&amp;C emissions for 2050 analysis'!$C$3:$C$23)</f>
        <v>0.51333333333333331</v>
      </c>
      <c r="I79" s="27">
        <f t="shared" si="3"/>
        <v>6.6894165799999987E-3</v>
      </c>
      <c r="J79" s="129">
        <f t="shared" si="4"/>
        <v>0.83108666666666664</v>
      </c>
    </row>
    <row r="80" spans="1:10" hidden="1" x14ac:dyDescent="0.35">
      <c r="A80" s="126" t="s">
        <v>432</v>
      </c>
      <c r="B80" t="str">
        <f>_xlfn.XLOOKUP(A80,'[1]2050Pop'!$A$7:$A$143,'[1]2050Pop'!$D$7:$D$143)</f>
        <v>SSA</v>
      </c>
      <c r="C80" s="127">
        <f>1000*_xlfn.XLOOKUP(A80,'[1]2050Pop'!$A$7:$A$143,'[1]2050Pop'!$C$7:$C$143)</f>
        <v>1249</v>
      </c>
      <c r="D80" s="126" t="s">
        <v>356</v>
      </c>
      <c r="E80" s="128">
        <v>12.968999999999999</v>
      </c>
      <c r="F80" s="129">
        <f t="shared" si="5"/>
        <v>1.6198280999999998E-2</v>
      </c>
      <c r="G80" t="str">
        <f>_xlfn.XLOOKUP(D80,'[1]2050 BAU Mapping to T &amp; C'!$A$3:$A$52,'[1]2050 BAU Mapping to T &amp; C'!$B$3:$B$52)</f>
        <v>Tropical Fruits</v>
      </c>
      <c r="H80" s="129">
        <f>_xlfn.XLOOKUP(G80,'[1]T&amp;C emissions for 2050 analysis'!$B$3:$B$23,'[1]T&amp;C emissions for 2050 analysis'!$C$3:$C$23)</f>
        <v>0.51333333333333331</v>
      </c>
      <c r="I80" s="27">
        <f t="shared" si="3"/>
        <v>8.315117579999998E-3</v>
      </c>
      <c r="J80" s="129">
        <f t="shared" si="4"/>
        <v>6.6574199999999992</v>
      </c>
    </row>
    <row r="81" spans="1:10" hidden="1" x14ac:dyDescent="0.35">
      <c r="A81" s="126" t="s">
        <v>433</v>
      </c>
      <c r="B81" t="str">
        <f>_xlfn.XLOOKUP(A81,'[1]2050Pop'!$A$7:$A$143,'[1]2050Pop'!$D$7:$D$143)</f>
        <v>LatAm &amp; RSA</v>
      </c>
      <c r="C81" s="127">
        <f>1000*_xlfn.XLOOKUP(A81,'[1]2050Pop'!$A$7:$A$143,'[1]2050Pop'!$C$7:$C$143)</f>
        <v>163754</v>
      </c>
      <c r="D81" s="126" t="s">
        <v>356</v>
      </c>
      <c r="E81" s="128">
        <v>25.577000000000002</v>
      </c>
      <c r="F81" s="129">
        <f t="shared" si="5"/>
        <v>4.188336058</v>
      </c>
      <c r="G81" t="str">
        <f>_xlfn.XLOOKUP(D81,'[1]2050 BAU Mapping to T &amp; C'!$A$3:$A$52,'[1]2050 BAU Mapping to T &amp; C'!$B$3:$B$52)</f>
        <v>Tropical Fruits</v>
      </c>
      <c r="H81" s="129">
        <f>_xlfn.XLOOKUP(G81,'[1]T&amp;C emissions for 2050 analysis'!$B$3:$B$23,'[1]T&amp;C emissions for 2050 analysis'!$C$3:$C$23)</f>
        <v>0.51333333333333331</v>
      </c>
      <c r="I81" s="27">
        <f t="shared" si="3"/>
        <v>2.1500125097733331</v>
      </c>
      <c r="J81" s="129">
        <f t="shared" si="4"/>
        <v>13.129526666666667</v>
      </c>
    </row>
    <row r="82" spans="1:10" hidden="1" x14ac:dyDescent="0.35">
      <c r="A82" s="126" t="s">
        <v>434</v>
      </c>
      <c r="B82" t="str">
        <f>_xlfn.XLOOKUP(A82,'[1]2050Pop'!$A$7:$A$143,'[1]2050Pop'!$D$7:$D$143)</f>
        <v>APAC</v>
      </c>
      <c r="C82" s="127">
        <f>1000*_xlfn.XLOOKUP(A82,'[1]2050Pop'!$A$7:$A$143,'[1]2050Pop'!$C$7:$C$143)</f>
        <v>4027.9999999999995</v>
      </c>
      <c r="D82" s="126" t="s">
        <v>356</v>
      </c>
      <c r="E82" s="128">
        <v>2.1040000000000001</v>
      </c>
      <c r="F82" s="129">
        <f t="shared" si="5"/>
        <v>8.4749120000000011E-3</v>
      </c>
      <c r="G82" t="str">
        <f>_xlfn.XLOOKUP(D82,'[1]2050 BAU Mapping to T &amp; C'!$A$3:$A$52,'[1]2050 BAU Mapping to T &amp; C'!$B$3:$B$52)</f>
        <v>Tropical Fruits</v>
      </c>
      <c r="H82" s="129">
        <f>_xlfn.XLOOKUP(G82,'[1]T&amp;C emissions for 2050 analysis'!$B$3:$B$23,'[1]T&amp;C emissions for 2050 analysis'!$C$3:$C$23)</f>
        <v>0.51333333333333331</v>
      </c>
      <c r="I82" s="27">
        <f t="shared" si="3"/>
        <v>4.3504548266666667E-3</v>
      </c>
      <c r="J82" s="129">
        <f t="shared" si="4"/>
        <v>1.0800533333333333</v>
      </c>
    </row>
    <row r="83" spans="1:10" hidden="1" x14ac:dyDescent="0.35">
      <c r="A83" s="126" t="s">
        <v>435</v>
      </c>
      <c r="B83" t="str">
        <f>_xlfn.XLOOKUP(A83,'[1]2050Pop'!$A$7:$A$143,'[1]2050Pop'!$D$7:$D$143)</f>
        <v>MENA</v>
      </c>
      <c r="C83" s="127">
        <f>1000*_xlfn.XLOOKUP(A83,'[1]2050Pop'!$A$7:$A$143,'[1]2050Pop'!$C$7:$C$143)</f>
        <v>43696</v>
      </c>
      <c r="D83" s="126" t="s">
        <v>356</v>
      </c>
      <c r="E83" s="128">
        <v>16.138000000000002</v>
      </c>
      <c r="F83" s="129">
        <f t="shared" si="5"/>
        <v>0.70516604800000005</v>
      </c>
      <c r="G83" t="str">
        <f>_xlfn.XLOOKUP(D83,'[1]2050 BAU Mapping to T &amp; C'!$A$3:$A$52,'[1]2050 BAU Mapping to T &amp; C'!$B$3:$B$52)</f>
        <v>Tropical Fruits</v>
      </c>
      <c r="H83" s="129">
        <f>_xlfn.XLOOKUP(G83,'[1]T&amp;C emissions for 2050 analysis'!$B$3:$B$23,'[1]T&amp;C emissions for 2050 analysis'!$C$3:$C$23)</f>
        <v>0.51333333333333331</v>
      </c>
      <c r="I83" s="27">
        <f t="shared" si="3"/>
        <v>0.36198523797333332</v>
      </c>
      <c r="J83" s="129">
        <f t="shared" si="4"/>
        <v>8.2841733333333334</v>
      </c>
    </row>
    <row r="84" spans="1:10" hidden="1" x14ac:dyDescent="0.35">
      <c r="A84" s="126" t="s">
        <v>436</v>
      </c>
      <c r="B84" t="str">
        <f>_xlfn.XLOOKUP(A84,'[1]2050Pop'!$A$7:$A$143,'[1]2050Pop'!$D$7:$D$143)</f>
        <v>SSA</v>
      </c>
      <c r="C84" s="127">
        <f>1000*_xlfn.XLOOKUP(A84,'[1]2050Pop'!$A$7:$A$143,'[1]2050Pop'!$C$7:$C$143)</f>
        <v>65544</v>
      </c>
      <c r="D84" s="126" t="s">
        <v>356</v>
      </c>
      <c r="E84" s="128">
        <v>27.076000000000001</v>
      </c>
      <c r="F84" s="129">
        <f t="shared" si="5"/>
        <v>1.7746693440000001</v>
      </c>
      <c r="G84" t="str">
        <f>_xlfn.XLOOKUP(D84,'[1]2050 BAU Mapping to T &amp; C'!$A$3:$A$52,'[1]2050 BAU Mapping to T &amp; C'!$B$3:$B$52)</f>
        <v>Tropical Fruits</v>
      </c>
      <c r="H84" s="129">
        <f>_xlfn.XLOOKUP(G84,'[1]T&amp;C emissions for 2050 analysis'!$B$3:$B$23,'[1]T&amp;C emissions for 2050 analysis'!$C$3:$C$23)</f>
        <v>0.51333333333333331</v>
      </c>
      <c r="I84" s="27">
        <f t="shared" si="3"/>
        <v>0.91099692992000003</v>
      </c>
      <c r="J84" s="129">
        <f t="shared" si="4"/>
        <v>13.899013333333333</v>
      </c>
    </row>
    <row r="85" spans="1:10" hidden="1" x14ac:dyDescent="0.35">
      <c r="A85" s="126" t="s">
        <v>437</v>
      </c>
      <c r="B85" t="str">
        <f>_xlfn.XLOOKUP(A85,'[1]2050Pop'!$A$7:$A$143,'[1]2050Pop'!$D$7:$D$143)</f>
        <v>SSA</v>
      </c>
      <c r="C85" s="127">
        <f>1000*_xlfn.XLOOKUP(A85,'[1]2050Pop'!$A$7:$A$143,'[1]2050Pop'!$C$7:$C$143)</f>
        <v>4322</v>
      </c>
      <c r="D85" s="126" t="s">
        <v>356</v>
      </c>
      <c r="E85" s="128">
        <v>2.2160000000000002</v>
      </c>
      <c r="F85" s="129">
        <f t="shared" si="5"/>
        <v>9.5775520000000013E-3</v>
      </c>
      <c r="G85" t="str">
        <f>_xlfn.XLOOKUP(D85,'[1]2050 BAU Mapping to T &amp; C'!$A$3:$A$52,'[1]2050 BAU Mapping to T &amp; C'!$B$3:$B$52)</f>
        <v>Tropical Fruits</v>
      </c>
      <c r="H85" s="129">
        <f>_xlfn.XLOOKUP(G85,'[1]T&amp;C emissions for 2050 analysis'!$B$3:$B$23,'[1]T&amp;C emissions for 2050 analysis'!$C$3:$C$23)</f>
        <v>0.51333333333333331</v>
      </c>
      <c r="I85" s="27">
        <f t="shared" si="3"/>
        <v>4.9164766933333338E-3</v>
      </c>
      <c r="J85" s="129">
        <f t="shared" si="4"/>
        <v>1.1375466666666667</v>
      </c>
    </row>
    <row r="86" spans="1:10" hidden="1" x14ac:dyDescent="0.35">
      <c r="A86" s="126" t="s">
        <v>438</v>
      </c>
      <c r="B86" t="str">
        <f>_xlfn.XLOOKUP(A86,'[1]2050Pop'!$A$7:$A$143,'[1]2050Pop'!$D$7:$D$143)</f>
        <v>India/South Asia</v>
      </c>
      <c r="C86" s="127">
        <f>1000*_xlfn.XLOOKUP(A86,'[1]2050Pop'!$A$7:$A$143,'[1]2050Pop'!$C$7:$C$143)</f>
        <v>36159</v>
      </c>
      <c r="D86" s="126" t="s">
        <v>356</v>
      </c>
      <c r="E86" s="128">
        <v>10.848000000000001</v>
      </c>
      <c r="F86" s="129">
        <f t="shared" si="5"/>
        <v>0.39225283200000005</v>
      </c>
      <c r="G86" t="str">
        <f>_xlfn.XLOOKUP(D86,'[1]2050 BAU Mapping to T &amp; C'!$A$3:$A$52,'[1]2050 BAU Mapping to T &amp; C'!$B$3:$B$52)</f>
        <v>Tropical Fruits</v>
      </c>
      <c r="H86" s="129">
        <f>_xlfn.XLOOKUP(G86,'[1]T&amp;C emissions for 2050 analysis'!$B$3:$B$23,'[1]T&amp;C emissions for 2050 analysis'!$C$3:$C$23)</f>
        <v>0.51333333333333331</v>
      </c>
      <c r="I86" s="27">
        <f t="shared" si="3"/>
        <v>0.20135645376000003</v>
      </c>
      <c r="J86" s="129">
        <f t="shared" si="4"/>
        <v>5.5686400000000003</v>
      </c>
    </row>
    <row r="87" spans="1:10" hidden="1" x14ac:dyDescent="0.35">
      <c r="A87" s="126" t="s">
        <v>439</v>
      </c>
      <c r="B87" t="str">
        <f>_xlfn.XLOOKUP(A87,'[1]2050Pop'!$A$7:$A$143,'[1]2050Pop'!$D$7:$D$143)</f>
        <v>Euro/AU/NZ</v>
      </c>
      <c r="C87" s="127">
        <f>1000*_xlfn.XLOOKUP(A87,'[1]2050Pop'!$A$7:$A$143,'[1]2050Pop'!$C$7:$C$143)</f>
        <v>17602</v>
      </c>
      <c r="D87" s="126" t="s">
        <v>356</v>
      </c>
      <c r="E87" s="128">
        <v>13.791</v>
      </c>
      <c r="F87" s="129">
        <f t="shared" si="5"/>
        <v>0.24274918200000001</v>
      </c>
      <c r="G87" t="str">
        <f>_xlfn.XLOOKUP(D87,'[1]2050 BAU Mapping to T &amp; C'!$A$3:$A$52,'[1]2050 BAU Mapping to T &amp; C'!$B$3:$B$52)</f>
        <v>Tropical Fruits</v>
      </c>
      <c r="H87" s="129">
        <f>_xlfn.XLOOKUP(G87,'[1]T&amp;C emissions for 2050 analysis'!$B$3:$B$23,'[1]T&amp;C emissions for 2050 analysis'!$C$3:$C$23)</f>
        <v>0.51333333333333331</v>
      </c>
      <c r="I87" s="27">
        <f t="shared" si="3"/>
        <v>0.12461124676</v>
      </c>
      <c r="J87" s="129">
        <f t="shared" si="4"/>
        <v>7.0793799999999996</v>
      </c>
    </row>
    <row r="88" spans="1:10" hidden="1" x14ac:dyDescent="0.35">
      <c r="A88" s="126" t="s">
        <v>440</v>
      </c>
      <c r="B88" t="str">
        <f>_xlfn.XLOOKUP(A88,'[1]2050Pop'!$A$7:$A$143,'[1]2050Pop'!$D$7:$D$143)</f>
        <v>Euro/AU/NZ</v>
      </c>
      <c r="C88" s="127">
        <f>1000*_xlfn.XLOOKUP(A88,'[1]2050Pop'!$A$7:$A$143,'[1]2050Pop'!$C$7:$C$143)</f>
        <v>5607</v>
      </c>
      <c r="D88" s="126" t="s">
        <v>356</v>
      </c>
      <c r="E88" s="130">
        <v>20.56</v>
      </c>
      <c r="F88" s="129">
        <f t="shared" si="5"/>
        <v>0.11527991999999999</v>
      </c>
      <c r="G88" t="str">
        <f>_xlfn.XLOOKUP(D88,'[1]2050 BAU Mapping to T &amp; C'!$A$3:$A$52,'[1]2050 BAU Mapping to T &amp; C'!$B$3:$B$52)</f>
        <v>Tropical Fruits</v>
      </c>
      <c r="H88" s="129">
        <f>_xlfn.XLOOKUP(G88,'[1]T&amp;C emissions for 2050 analysis'!$B$3:$B$23,'[1]T&amp;C emissions for 2050 analysis'!$C$3:$C$23)</f>
        <v>0.51333333333333331</v>
      </c>
      <c r="I88" s="27">
        <f t="shared" si="3"/>
        <v>5.9177025599999995E-2</v>
      </c>
      <c r="J88" s="129">
        <f t="shared" si="4"/>
        <v>10.554133333333333</v>
      </c>
    </row>
    <row r="89" spans="1:10" hidden="1" x14ac:dyDescent="0.35">
      <c r="A89" s="126" t="s">
        <v>441</v>
      </c>
      <c r="B89" t="str">
        <f>_xlfn.XLOOKUP(A89,'[1]2050Pop'!$A$7:$A$143,'[1]2050Pop'!$D$7:$D$143)</f>
        <v>LatAm &amp; RSA</v>
      </c>
      <c r="C89" s="127">
        <f>1000*_xlfn.XLOOKUP(A89,'[1]2050Pop'!$A$7:$A$143,'[1]2050Pop'!$C$7:$C$143)</f>
        <v>7863</v>
      </c>
      <c r="D89" s="126" t="s">
        <v>356</v>
      </c>
      <c r="E89" s="128">
        <v>4.3819999999999997</v>
      </c>
      <c r="F89" s="129">
        <f t="shared" si="5"/>
        <v>3.4455665999999996E-2</v>
      </c>
      <c r="G89" t="str">
        <f>_xlfn.XLOOKUP(D89,'[1]2050 BAU Mapping to T &amp; C'!$A$3:$A$52,'[1]2050 BAU Mapping to T &amp; C'!$B$3:$B$52)</f>
        <v>Tropical Fruits</v>
      </c>
      <c r="H89" s="129">
        <f>_xlfn.XLOOKUP(G89,'[1]T&amp;C emissions for 2050 analysis'!$B$3:$B$23,'[1]T&amp;C emissions for 2050 analysis'!$C$3:$C$23)</f>
        <v>0.51333333333333331</v>
      </c>
      <c r="I89" s="27">
        <f t="shared" si="3"/>
        <v>1.7687241879999996E-2</v>
      </c>
      <c r="J89" s="129">
        <f t="shared" si="4"/>
        <v>2.2494266666666665</v>
      </c>
    </row>
    <row r="90" spans="1:10" hidden="1" x14ac:dyDescent="0.35">
      <c r="A90" s="126" t="s">
        <v>442</v>
      </c>
      <c r="B90" t="str">
        <f>_xlfn.XLOOKUP(A90,'[1]2050Pop'!$A$7:$A$143,'[1]2050Pop'!$D$7:$D$143)</f>
        <v>Euro/AU/NZ</v>
      </c>
      <c r="C90" s="127">
        <f>1000*_xlfn.XLOOKUP(A90,'[1]2050Pop'!$A$7:$A$143,'[1]2050Pop'!$C$7:$C$143)</f>
        <v>6658</v>
      </c>
      <c r="D90" s="126" t="s">
        <v>356</v>
      </c>
      <c r="E90" s="128">
        <v>23.821999999999999</v>
      </c>
      <c r="F90" s="129">
        <f t="shared" si="5"/>
        <v>0.15860687599999998</v>
      </c>
      <c r="G90" t="str">
        <f>_xlfn.XLOOKUP(D90,'[1]2050 BAU Mapping to T &amp; C'!$A$3:$A$52,'[1]2050 BAU Mapping to T &amp; C'!$B$3:$B$52)</f>
        <v>Tropical Fruits</v>
      </c>
      <c r="H90" s="129">
        <f>_xlfn.XLOOKUP(G90,'[1]T&amp;C emissions for 2050 analysis'!$B$3:$B$23,'[1]T&amp;C emissions for 2050 analysis'!$C$3:$C$23)</f>
        <v>0.51333333333333331</v>
      </c>
      <c r="I90" s="27">
        <f t="shared" si="3"/>
        <v>8.1418196346666652E-2</v>
      </c>
      <c r="J90" s="129">
        <f t="shared" si="4"/>
        <v>12.228626666666665</v>
      </c>
    </row>
    <row r="91" spans="1:10" hidden="1" x14ac:dyDescent="0.35">
      <c r="A91" s="126" t="s">
        <v>443</v>
      </c>
      <c r="B91" t="str">
        <f>_xlfn.XLOOKUP(A91,'[1]2050Pop'!$A$7:$A$143,'[1]2050Pop'!$D$7:$D$143)</f>
        <v>India/South Asia</v>
      </c>
      <c r="C91" s="127">
        <f>1000*_xlfn.XLOOKUP(A91,'[1]2050Pop'!$A$7:$A$143,'[1]2050Pop'!$C$7:$C$143)</f>
        <v>309640</v>
      </c>
      <c r="D91" s="126" t="s">
        <v>356</v>
      </c>
      <c r="E91" s="128">
        <v>1.103</v>
      </c>
      <c r="F91" s="129">
        <f t="shared" si="5"/>
        <v>0.34153291999999996</v>
      </c>
      <c r="G91" t="str">
        <f>_xlfn.XLOOKUP(D91,'[1]2050 BAU Mapping to T &amp; C'!$A$3:$A$52,'[1]2050 BAU Mapping to T &amp; C'!$B$3:$B$52)</f>
        <v>Tropical Fruits</v>
      </c>
      <c r="H91" s="129">
        <f>_xlfn.XLOOKUP(G91,'[1]T&amp;C emissions for 2050 analysis'!$B$3:$B$23,'[1]T&amp;C emissions for 2050 analysis'!$C$3:$C$23)</f>
        <v>0.51333333333333331</v>
      </c>
      <c r="I91" s="27">
        <f t="shared" si="3"/>
        <v>0.17532023226666663</v>
      </c>
      <c r="J91" s="129">
        <f t="shared" si="4"/>
        <v>0.56620666666666664</v>
      </c>
    </row>
    <row r="92" spans="1:10" hidden="1" x14ac:dyDescent="0.35">
      <c r="A92" s="126" t="s">
        <v>444</v>
      </c>
      <c r="B92" t="str">
        <f>_xlfn.XLOOKUP(A92,'[1]2050Pop'!$A$7:$A$143,'[1]2050Pop'!$D$7:$D$143)</f>
        <v>LatAm &amp; RSA</v>
      </c>
      <c r="C92" s="127">
        <f>1000*_xlfn.XLOOKUP(A92,'[1]2050Pop'!$A$7:$A$143,'[1]2050Pop'!$C$7:$C$143)</f>
        <v>5599</v>
      </c>
      <c r="D92" s="126" t="s">
        <v>356</v>
      </c>
      <c r="E92" s="128">
        <v>11.811999999999999</v>
      </c>
      <c r="F92" s="129">
        <f t="shared" si="5"/>
        <v>6.6135387999999989E-2</v>
      </c>
      <c r="G92" t="str">
        <f>_xlfn.XLOOKUP(D92,'[1]2050 BAU Mapping to T &amp; C'!$A$3:$A$52,'[1]2050 BAU Mapping to T &amp; C'!$B$3:$B$52)</f>
        <v>Tropical Fruits</v>
      </c>
      <c r="H92" s="129">
        <f>_xlfn.XLOOKUP(G92,'[1]T&amp;C emissions for 2050 analysis'!$B$3:$B$23,'[1]T&amp;C emissions for 2050 analysis'!$C$3:$C$23)</f>
        <v>0.51333333333333331</v>
      </c>
      <c r="I92" s="27">
        <f t="shared" si="3"/>
        <v>3.3949499173333328E-2</v>
      </c>
      <c r="J92" s="129">
        <f t="shared" si="4"/>
        <v>6.0634933333333327</v>
      </c>
    </row>
    <row r="93" spans="1:10" hidden="1" x14ac:dyDescent="0.35">
      <c r="A93" s="126" t="s">
        <v>445</v>
      </c>
      <c r="B93" t="str">
        <f>_xlfn.XLOOKUP(A93,'[1]2050Pop'!$A$7:$A$143,'[1]2050Pop'!$D$7:$D$143)</f>
        <v>LatAm &amp; RSA</v>
      </c>
      <c r="C93" s="127">
        <f>1000*_xlfn.XLOOKUP(A93,'[1]2050Pop'!$A$7:$A$143,'[1]2050Pop'!$C$7:$C$143)</f>
        <v>8895</v>
      </c>
      <c r="D93" s="126" t="s">
        <v>356</v>
      </c>
      <c r="E93" s="128">
        <v>6.9370000000000003</v>
      </c>
      <c r="F93" s="129">
        <f t="shared" si="5"/>
        <v>6.1704615000000004E-2</v>
      </c>
      <c r="G93" t="str">
        <f>_xlfn.XLOOKUP(D93,'[1]2050 BAU Mapping to T &amp; C'!$A$3:$A$52,'[1]2050 BAU Mapping to T &amp; C'!$B$3:$B$52)</f>
        <v>Tropical Fruits</v>
      </c>
      <c r="H93" s="129">
        <f>_xlfn.XLOOKUP(G93,'[1]T&amp;C emissions for 2050 analysis'!$B$3:$B$23,'[1]T&amp;C emissions for 2050 analysis'!$C$3:$C$23)</f>
        <v>0.51333333333333331</v>
      </c>
      <c r="I93" s="27">
        <f t="shared" si="3"/>
        <v>3.16750357E-2</v>
      </c>
      <c r="J93" s="129">
        <f t="shared" si="4"/>
        <v>3.5609933333333332</v>
      </c>
    </row>
    <row r="94" spans="1:10" hidden="1" x14ac:dyDescent="0.35">
      <c r="A94" s="126" t="s">
        <v>446</v>
      </c>
      <c r="B94" t="str">
        <f>_xlfn.XLOOKUP(A94,'[1]2050Pop'!$A$7:$A$143,'[1]2050Pop'!$D$7:$D$143)</f>
        <v>LatAm &amp; RSA</v>
      </c>
      <c r="C94" s="127">
        <f>1000*_xlfn.XLOOKUP(A94,'[1]2050Pop'!$A$7:$A$143,'[1]2050Pop'!$C$7:$C$143)</f>
        <v>41899</v>
      </c>
      <c r="D94" s="126" t="s">
        <v>356</v>
      </c>
      <c r="E94" s="128">
        <v>5.2539999999999996</v>
      </c>
      <c r="F94" s="129">
        <f t="shared" si="5"/>
        <v>0.22013734599999998</v>
      </c>
      <c r="G94" t="str">
        <f>_xlfn.XLOOKUP(D94,'[1]2050 BAU Mapping to T &amp; C'!$A$3:$A$52,'[1]2050 BAU Mapping to T &amp; C'!$B$3:$B$52)</f>
        <v>Tropical Fruits</v>
      </c>
      <c r="H94" s="129">
        <f>_xlfn.XLOOKUP(G94,'[1]T&amp;C emissions for 2050 analysis'!$B$3:$B$23,'[1]T&amp;C emissions for 2050 analysis'!$C$3:$C$23)</f>
        <v>0.51333333333333331</v>
      </c>
      <c r="I94" s="27">
        <f t="shared" si="3"/>
        <v>0.11300383761333332</v>
      </c>
      <c r="J94" s="129">
        <f t="shared" si="4"/>
        <v>2.6970533333333329</v>
      </c>
    </row>
    <row r="95" spans="1:10" hidden="1" x14ac:dyDescent="0.35">
      <c r="A95" s="126" t="s">
        <v>447</v>
      </c>
      <c r="B95" t="str">
        <f>_xlfn.XLOOKUP(A95,'[1]2050Pop'!$A$7:$A$143,'[1]2050Pop'!$D$7:$D$143)</f>
        <v>APAC</v>
      </c>
      <c r="C95" s="127">
        <f>1000*_xlfn.XLOOKUP(A95,'[1]2050Pop'!$A$7:$A$143,'[1]2050Pop'!$C$7:$C$143)</f>
        <v>148260</v>
      </c>
      <c r="D95" s="126" t="s">
        <v>356</v>
      </c>
      <c r="E95" s="128">
        <v>98.789000000000001</v>
      </c>
      <c r="F95" s="129">
        <f t="shared" si="5"/>
        <v>14.646457140000001</v>
      </c>
      <c r="G95" t="str">
        <f>_xlfn.XLOOKUP(D95,'[1]2050 BAU Mapping to T &amp; C'!$A$3:$A$52,'[1]2050 BAU Mapping to T &amp; C'!$B$3:$B$52)</f>
        <v>Tropical Fruits</v>
      </c>
      <c r="H95" s="129">
        <f>_xlfn.XLOOKUP(G95,'[1]T&amp;C emissions for 2050 analysis'!$B$3:$B$23,'[1]T&amp;C emissions for 2050 analysis'!$C$3:$C$23)</f>
        <v>0.51333333333333331</v>
      </c>
      <c r="I95" s="27">
        <f t="shared" si="3"/>
        <v>7.5185146651999997</v>
      </c>
      <c r="J95" s="129">
        <f t="shared" si="4"/>
        <v>50.711686666666665</v>
      </c>
    </row>
    <row r="96" spans="1:10" hidden="1" x14ac:dyDescent="0.35">
      <c r="A96" s="126" t="s">
        <v>448</v>
      </c>
      <c r="B96" t="str">
        <f>_xlfn.XLOOKUP(A96,'[1]2050Pop'!$A$7:$A$143,'[1]2050Pop'!$D$7:$D$143)</f>
        <v>Euro/AU/NZ</v>
      </c>
      <c r="C96" s="127">
        <f>1000*_xlfn.XLOOKUP(A96,'[1]2050Pop'!$A$7:$A$143,'[1]2050Pop'!$C$7:$C$143)</f>
        <v>33136</v>
      </c>
      <c r="D96" s="126" t="s">
        <v>356</v>
      </c>
      <c r="E96" s="130">
        <v>2.87</v>
      </c>
      <c r="F96" s="129">
        <f t="shared" si="5"/>
        <v>9.5100320000000002E-2</v>
      </c>
      <c r="G96" t="str">
        <f>_xlfn.XLOOKUP(D96,'[1]2050 BAU Mapping to T &amp; C'!$A$3:$A$52,'[1]2050 BAU Mapping to T &amp; C'!$B$3:$B$52)</f>
        <v>Tropical Fruits</v>
      </c>
      <c r="H96" s="129">
        <f>_xlfn.XLOOKUP(G96,'[1]T&amp;C emissions for 2050 analysis'!$B$3:$B$23,'[1]T&amp;C emissions for 2050 analysis'!$C$3:$C$23)</f>
        <v>0.51333333333333331</v>
      </c>
      <c r="I96" s="27">
        <f t="shared" si="3"/>
        <v>4.8818164266666665E-2</v>
      </c>
      <c r="J96" s="129">
        <f t="shared" si="4"/>
        <v>1.4732666666666667</v>
      </c>
    </row>
    <row r="97" spans="1:10" hidden="1" x14ac:dyDescent="0.35">
      <c r="A97" s="126" t="s">
        <v>449</v>
      </c>
      <c r="B97" t="str">
        <f>_xlfn.XLOOKUP(A97,'[1]2050Pop'!$A$7:$A$143,'[1]2050Pop'!$D$7:$D$143)</f>
        <v>Euro/AU/NZ</v>
      </c>
      <c r="C97" s="127">
        <f>1000*_xlfn.XLOOKUP(A97,'[1]2050Pop'!$A$7:$A$143,'[1]2050Pop'!$C$7:$C$143)</f>
        <v>9216</v>
      </c>
      <c r="D97" s="126" t="s">
        <v>356</v>
      </c>
      <c r="E97" s="128">
        <v>19.114000000000001</v>
      </c>
      <c r="F97" s="129">
        <f t="shared" si="5"/>
        <v>0.17615462400000001</v>
      </c>
      <c r="G97" t="str">
        <f>_xlfn.XLOOKUP(D97,'[1]2050 BAU Mapping to T &amp; C'!$A$3:$A$52,'[1]2050 BAU Mapping to T &amp; C'!$B$3:$B$52)</f>
        <v>Tropical Fruits</v>
      </c>
      <c r="H97" s="129">
        <f>_xlfn.XLOOKUP(G97,'[1]T&amp;C emissions for 2050 analysis'!$B$3:$B$23,'[1]T&amp;C emissions for 2050 analysis'!$C$3:$C$23)</f>
        <v>0.51333333333333331</v>
      </c>
      <c r="I97" s="27">
        <f t="shared" si="3"/>
        <v>9.0426040319999998E-2</v>
      </c>
      <c r="J97" s="129">
        <f t="shared" si="4"/>
        <v>9.8118533333333335</v>
      </c>
    </row>
    <row r="98" spans="1:10" hidden="1" x14ac:dyDescent="0.35">
      <c r="A98" s="126" t="s">
        <v>450</v>
      </c>
      <c r="B98" t="str">
        <f>_xlfn.XLOOKUP(A98,'[1]2050Pop'!$A$7:$A$143,'[1]2050Pop'!$D$7:$D$143)</f>
        <v>APAC</v>
      </c>
      <c r="C98" s="127">
        <f>1000*_xlfn.XLOOKUP(A98,'[1]2050Pop'!$A$7:$A$143,'[1]2050Pop'!$C$7:$C$143)</f>
        <v>50593</v>
      </c>
      <c r="D98" s="126" t="s">
        <v>356</v>
      </c>
      <c r="E98" s="128">
        <v>12.369</v>
      </c>
      <c r="F98" s="129">
        <f t="shared" si="5"/>
        <v>0.62578481699999999</v>
      </c>
      <c r="G98" t="str">
        <f>_xlfn.XLOOKUP(D98,'[1]2050 BAU Mapping to T &amp; C'!$A$3:$A$52,'[1]2050 BAU Mapping to T &amp; C'!$B$3:$B$52)</f>
        <v>Tropical Fruits</v>
      </c>
      <c r="H98" s="129">
        <f>_xlfn.XLOOKUP(G98,'[1]T&amp;C emissions for 2050 analysis'!$B$3:$B$23,'[1]T&amp;C emissions for 2050 analysis'!$C$3:$C$23)</f>
        <v>0.51333333333333331</v>
      </c>
      <c r="I98" s="27">
        <f t="shared" si="3"/>
        <v>0.32123620605999997</v>
      </c>
      <c r="J98" s="129">
        <f t="shared" si="4"/>
        <v>6.3494199999999994</v>
      </c>
    </row>
    <row r="99" spans="1:10" hidden="1" x14ac:dyDescent="0.35">
      <c r="A99" s="126" t="s">
        <v>451</v>
      </c>
      <c r="B99" t="str">
        <f>_xlfn.XLOOKUP(A99,'[1]2050Pop'!$A$7:$A$143,'[1]2050Pop'!$D$7:$D$143)</f>
        <v>Euro/AU/NZ</v>
      </c>
      <c r="C99" s="127">
        <f>1000*_xlfn.XLOOKUP(A99,'[1]2050Pop'!$A$7:$A$143,'[1]2050Pop'!$C$7:$C$143)</f>
        <v>3243</v>
      </c>
      <c r="D99" s="126" t="s">
        <v>356</v>
      </c>
      <c r="E99" s="128">
        <v>5.8159999999999998</v>
      </c>
      <c r="F99" s="129">
        <f t="shared" si="5"/>
        <v>1.8861288E-2</v>
      </c>
      <c r="G99" t="str">
        <f>_xlfn.XLOOKUP(D99,'[1]2050 BAU Mapping to T &amp; C'!$A$3:$A$52,'[1]2050 BAU Mapping to T &amp; C'!$B$3:$B$52)</f>
        <v>Tropical Fruits</v>
      </c>
      <c r="H99" s="129">
        <f>_xlfn.XLOOKUP(G99,'[1]T&amp;C emissions for 2050 analysis'!$B$3:$B$23,'[1]T&amp;C emissions for 2050 analysis'!$C$3:$C$23)</f>
        <v>0.51333333333333331</v>
      </c>
      <c r="I99" s="27">
        <f t="shared" si="3"/>
        <v>9.6821278400000006E-3</v>
      </c>
      <c r="J99" s="129">
        <f t="shared" si="4"/>
        <v>2.9855466666666666</v>
      </c>
    </row>
    <row r="100" spans="1:10" hidden="1" x14ac:dyDescent="0.35">
      <c r="A100" s="126" t="s">
        <v>452</v>
      </c>
      <c r="B100" t="str">
        <f>_xlfn.XLOOKUP(A100,'[1]2050Pop'!$A$7:$A$143,'[1]2050Pop'!$D$7:$D$143)</f>
        <v>SSA</v>
      </c>
      <c r="C100" s="127">
        <f>1000*_xlfn.XLOOKUP(A100,'[1]2050Pop'!$A$7:$A$143,'[1]2050Pop'!$C$7:$C$143)</f>
        <v>10732</v>
      </c>
      <c r="D100" s="126" t="s">
        <v>356</v>
      </c>
      <c r="E100" s="128">
        <v>39.018000000000001</v>
      </c>
      <c r="F100" s="129">
        <f t="shared" si="5"/>
        <v>0.41874117600000005</v>
      </c>
      <c r="G100" t="str">
        <f>_xlfn.XLOOKUP(D100,'[1]2050 BAU Mapping to T &amp; C'!$A$3:$A$52,'[1]2050 BAU Mapping to T &amp; C'!$B$3:$B$52)</f>
        <v>Tropical Fruits</v>
      </c>
      <c r="H100" s="129">
        <f>_xlfn.XLOOKUP(G100,'[1]T&amp;C emissions for 2050 analysis'!$B$3:$B$23,'[1]T&amp;C emissions for 2050 analysis'!$C$3:$C$23)</f>
        <v>0.51333333333333331</v>
      </c>
      <c r="I100" s="27">
        <f t="shared" si="3"/>
        <v>0.21495380368000003</v>
      </c>
      <c r="J100" s="129">
        <f t="shared" si="4"/>
        <v>20.029239999999998</v>
      </c>
    </row>
    <row r="101" spans="1:10" hidden="1" x14ac:dyDescent="0.35">
      <c r="A101" s="126" t="s">
        <v>453</v>
      </c>
      <c r="B101" t="str">
        <f>_xlfn.XLOOKUP(A101,'[1]2050Pop'!$A$7:$A$143,'[1]2050Pop'!$D$7:$D$143)</f>
        <v>Euro/AU/NZ</v>
      </c>
      <c r="C101" s="127">
        <f>1000*_xlfn.XLOOKUP(A101,'[1]2050Pop'!$A$7:$A$143,'[1]2050Pop'!$C$7:$C$143)</f>
        <v>15207</v>
      </c>
      <c r="D101" s="126" t="s">
        <v>356</v>
      </c>
      <c r="E101" s="128">
        <v>3.5049999999999999</v>
      </c>
      <c r="F101" s="129">
        <f t="shared" si="5"/>
        <v>5.3300534999999996E-2</v>
      </c>
      <c r="G101" t="str">
        <f>_xlfn.XLOOKUP(D101,'[1]2050 BAU Mapping to T &amp; C'!$A$3:$A$52,'[1]2050 BAU Mapping to T &amp; C'!$B$3:$B$52)</f>
        <v>Tropical Fruits</v>
      </c>
      <c r="H101" s="129">
        <f>_xlfn.XLOOKUP(G101,'[1]T&amp;C emissions for 2050 analysis'!$B$3:$B$23,'[1]T&amp;C emissions for 2050 analysis'!$C$3:$C$23)</f>
        <v>0.51333333333333331</v>
      </c>
      <c r="I101" s="27">
        <f t="shared" si="3"/>
        <v>2.7360941299999997E-2</v>
      </c>
      <c r="J101" s="129">
        <f t="shared" si="4"/>
        <v>1.7992333333333332</v>
      </c>
    </row>
    <row r="102" spans="1:10" hidden="1" x14ac:dyDescent="0.35">
      <c r="A102" s="126" t="s">
        <v>454</v>
      </c>
      <c r="B102" t="str">
        <f>_xlfn.XLOOKUP(A102,'[1]2050Pop'!$A$7:$A$143,'[1]2050Pop'!$D$7:$D$143)</f>
        <v>Euro/AU/NZ</v>
      </c>
      <c r="C102" s="127">
        <f>1000*_xlfn.XLOOKUP(A102,'[1]2050Pop'!$A$7:$A$143,'[1]2050Pop'!$C$7:$C$143)</f>
        <v>128598.99999999999</v>
      </c>
      <c r="D102" s="126" t="s">
        <v>356</v>
      </c>
      <c r="E102" s="128">
        <v>16.155999999999999</v>
      </c>
      <c r="F102" s="129">
        <f t="shared" si="5"/>
        <v>2.0776454439999998</v>
      </c>
      <c r="G102" t="str">
        <f>_xlfn.XLOOKUP(D102,'[1]2050 BAU Mapping to T &amp; C'!$A$3:$A$52,'[1]2050 BAU Mapping to T &amp; C'!$B$3:$B$52)</f>
        <v>Tropical Fruits</v>
      </c>
      <c r="H102" s="129">
        <f>_xlfn.XLOOKUP(G102,'[1]T&amp;C emissions for 2050 analysis'!$B$3:$B$23,'[1]T&amp;C emissions for 2050 analysis'!$C$3:$C$23)</f>
        <v>0.51333333333333331</v>
      </c>
      <c r="I102" s="27">
        <f t="shared" si="3"/>
        <v>1.0665246612533332</v>
      </c>
      <c r="J102" s="129">
        <f t="shared" si="4"/>
        <v>8.2934133333333317</v>
      </c>
    </row>
    <row r="103" spans="1:10" hidden="1" x14ac:dyDescent="0.35">
      <c r="A103" s="126" t="s">
        <v>455</v>
      </c>
      <c r="B103" t="str">
        <f>_xlfn.XLOOKUP(A103,'[1]2050Pop'!$A$7:$A$143,'[1]2050Pop'!$D$7:$D$143)</f>
        <v>SSA</v>
      </c>
      <c r="C103" s="127">
        <f>1000*_xlfn.XLOOKUP(A103,'[1]2050Pop'!$A$7:$A$143,'[1]2050Pop'!$C$7:$C$143)</f>
        <v>21187</v>
      </c>
      <c r="D103" s="126" t="s">
        <v>356</v>
      </c>
      <c r="E103" s="128">
        <v>567.78300000000002</v>
      </c>
      <c r="F103" s="129">
        <f t="shared" si="5"/>
        <v>12.029618421</v>
      </c>
      <c r="G103" t="str">
        <f>_xlfn.XLOOKUP(D103,'[1]2050 BAU Mapping to T &amp; C'!$A$3:$A$52,'[1]2050 BAU Mapping to T &amp; C'!$B$3:$B$52)</f>
        <v>Tropical Fruits</v>
      </c>
      <c r="H103" s="129">
        <f>_xlfn.XLOOKUP(G103,'[1]T&amp;C emissions for 2050 analysis'!$B$3:$B$23,'[1]T&amp;C emissions for 2050 analysis'!$C$3:$C$23)</f>
        <v>0.51333333333333331</v>
      </c>
      <c r="I103" s="27">
        <f t="shared" si="3"/>
        <v>6.1752041227800003</v>
      </c>
      <c r="J103" s="129">
        <f t="shared" si="4"/>
        <v>291.46193999999997</v>
      </c>
    </row>
    <row r="104" spans="1:10" hidden="1" x14ac:dyDescent="0.35">
      <c r="A104" s="126" t="s">
        <v>456</v>
      </c>
      <c r="B104" t="str">
        <f>_xlfn.XLOOKUP(A104,'[1]2050Pop'!$A$7:$A$143,'[1]2050Pop'!$D$7:$D$143)</f>
        <v>MENA</v>
      </c>
      <c r="C104" s="127">
        <f>1000*_xlfn.XLOOKUP(A104,'[1]2050Pop'!$A$7:$A$143,'[1]2050Pop'!$C$7:$C$143)</f>
        <v>46059</v>
      </c>
      <c r="D104" s="126" t="s">
        <v>356</v>
      </c>
      <c r="E104" s="128">
        <v>13.648</v>
      </c>
      <c r="F104" s="129">
        <f t="shared" si="5"/>
        <v>0.62861323199999997</v>
      </c>
      <c r="G104" t="str">
        <f>_xlfn.XLOOKUP(D104,'[1]2050 BAU Mapping to T &amp; C'!$A$3:$A$52,'[1]2050 BAU Mapping to T &amp; C'!$B$3:$B$52)</f>
        <v>Tropical Fruits</v>
      </c>
      <c r="H104" s="129">
        <f>_xlfn.XLOOKUP(G104,'[1]T&amp;C emissions for 2050 analysis'!$B$3:$B$23,'[1]T&amp;C emissions for 2050 analysis'!$C$3:$C$23)</f>
        <v>0.51333333333333331</v>
      </c>
      <c r="I104" s="27">
        <f t="shared" si="3"/>
        <v>0.32268812575999994</v>
      </c>
      <c r="J104" s="129">
        <f t="shared" si="4"/>
        <v>7.0059733333333325</v>
      </c>
    </row>
    <row r="105" spans="1:10" hidden="1" x14ac:dyDescent="0.35">
      <c r="A105" s="126" t="s">
        <v>457</v>
      </c>
      <c r="B105" t="str">
        <f>_xlfn.XLOOKUP(A105,'[1]2050Pop'!$A$7:$A$143,'[1]2050Pop'!$D$7:$D$143)</f>
        <v>SSA</v>
      </c>
      <c r="C105" s="127">
        <f>1000*_xlfn.XLOOKUP(A105,'[1]2050Pop'!$A$7:$A$143,'[1]2050Pop'!$C$7:$C$143)</f>
        <v>36223</v>
      </c>
      <c r="D105" s="126" t="s">
        <v>356</v>
      </c>
      <c r="E105" s="128">
        <v>5.6619999999999999</v>
      </c>
      <c r="F105" s="129">
        <f t="shared" si="5"/>
        <v>0.205094626</v>
      </c>
      <c r="G105" t="str">
        <f>_xlfn.XLOOKUP(D105,'[1]2050 BAU Mapping to T &amp; C'!$A$3:$A$52,'[1]2050 BAU Mapping to T &amp; C'!$B$3:$B$52)</f>
        <v>Tropical Fruits</v>
      </c>
      <c r="H105" s="129">
        <f>_xlfn.XLOOKUP(G105,'[1]T&amp;C emissions for 2050 analysis'!$B$3:$B$23,'[1]T&amp;C emissions for 2050 analysis'!$C$3:$C$23)</f>
        <v>0.51333333333333331</v>
      </c>
      <c r="I105" s="27">
        <f t="shared" si="3"/>
        <v>0.10528190801333333</v>
      </c>
      <c r="J105" s="129">
        <f t="shared" si="4"/>
        <v>2.9064933333333332</v>
      </c>
    </row>
    <row r="106" spans="1:10" hidden="1" x14ac:dyDescent="0.35">
      <c r="A106" s="126" t="s">
        <v>458</v>
      </c>
      <c r="B106" t="str">
        <f>_xlfn.XLOOKUP(A106,'[1]2050Pop'!$A$7:$A$143,'[1]2050Pop'!$D$7:$D$143)</f>
        <v>Euro/AU/NZ</v>
      </c>
      <c r="C106" s="127">
        <f>1000*_xlfn.XLOOKUP(A106,'[1]2050Pop'!$A$7:$A$143,'[1]2050Pop'!$C$7:$C$143)</f>
        <v>7331</v>
      </c>
      <c r="D106" s="126" t="s">
        <v>356</v>
      </c>
      <c r="E106" s="128">
        <v>8.0039999999999996</v>
      </c>
      <c r="F106" s="129">
        <f t="shared" si="5"/>
        <v>5.8677323999999996E-2</v>
      </c>
      <c r="G106" t="str">
        <f>_xlfn.XLOOKUP(D106,'[1]2050 BAU Mapping to T &amp; C'!$A$3:$A$52,'[1]2050 BAU Mapping to T &amp; C'!$B$3:$B$52)</f>
        <v>Tropical Fruits</v>
      </c>
      <c r="H106" s="129">
        <f>_xlfn.XLOOKUP(G106,'[1]T&amp;C emissions for 2050 analysis'!$B$3:$B$23,'[1]T&amp;C emissions for 2050 analysis'!$C$3:$C$23)</f>
        <v>0.51333333333333331</v>
      </c>
      <c r="I106" s="27">
        <f t="shared" si="3"/>
        <v>3.0121026319999997E-2</v>
      </c>
      <c r="J106" s="129">
        <f t="shared" si="4"/>
        <v>4.1087199999999999</v>
      </c>
    </row>
    <row r="107" spans="1:10" hidden="1" x14ac:dyDescent="0.35">
      <c r="A107" s="126" t="s">
        <v>459</v>
      </c>
      <c r="B107" t="str">
        <f>_xlfn.XLOOKUP(A107,'[1]2050Pop'!$A$7:$A$143,'[1]2050Pop'!$D$7:$D$143)</f>
        <v>Euro/AU/NZ</v>
      </c>
      <c r="C107" s="127">
        <f>1000*_xlfn.XLOOKUP(A107,'[1]2050Pop'!$A$7:$A$143,'[1]2050Pop'!$C$7:$C$143)</f>
        <v>4892</v>
      </c>
      <c r="D107" s="126" t="s">
        <v>356</v>
      </c>
      <c r="E107" s="128">
        <v>12.266</v>
      </c>
      <c r="F107" s="129">
        <f t="shared" si="5"/>
        <v>6.0005271999999998E-2</v>
      </c>
      <c r="G107" t="str">
        <f>_xlfn.XLOOKUP(D107,'[1]2050 BAU Mapping to T &amp; C'!$A$3:$A$52,'[1]2050 BAU Mapping to T &amp; C'!$B$3:$B$52)</f>
        <v>Tropical Fruits</v>
      </c>
      <c r="H107" s="129">
        <f>_xlfn.XLOOKUP(G107,'[1]T&amp;C emissions for 2050 analysis'!$B$3:$B$23,'[1]T&amp;C emissions for 2050 analysis'!$C$3:$C$23)</f>
        <v>0.51333333333333331</v>
      </c>
      <c r="I107" s="27">
        <f t="shared" si="3"/>
        <v>3.0802706293333332E-2</v>
      </c>
      <c r="J107" s="129">
        <f t="shared" si="4"/>
        <v>6.2965466666666661</v>
      </c>
    </row>
    <row r="108" spans="1:10" hidden="1" x14ac:dyDescent="0.35">
      <c r="A108" s="126" t="s">
        <v>460</v>
      </c>
      <c r="B108" t="str">
        <f>_xlfn.XLOOKUP(A108,'[1]2050Pop'!$A$7:$A$143,'[1]2050Pop'!$D$7:$D$143)</f>
        <v>LatAm &amp; RSA</v>
      </c>
      <c r="C108" s="127">
        <f>1000*_xlfn.XLOOKUP(A108,'[1]2050Pop'!$A$7:$A$143,'[1]2050Pop'!$C$7:$C$143)</f>
        <v>65540</v>
      </c>
      <c r="D108" s="126" t="s">
        <v>356</v>
      </c>
      <c r="E108" s="128">
        <v>12.397</v>
      </c>
      <c r="F108" s="129">
        <f t="shared" si="5"/>
        <v>0.81249937999999999</v>
      </c>
      <c r="G108" t="str">
        <f>_xlfn.XLOOKUP(D108,'[1]2050 BAU Mapping to T &amp; C'!$A$3:$A$52,'[1]2050 BAU Mapping to T &amp; C'!$B$3:$B$52)</f>
        <v>Tropical Fruits</v>
      </c>
      <c r="H108" s="129">
        <f>_xlfn.XLOOKUP(G108,'[1]T&amp;C emissions for 2050 analysis'!$B$3:$B$23,'[1]T&amp;C emissions for 2050 analysis'!$C$3:$C$23)</f>
        <v>0.51333333333333331</v>
      </c>
      <c r="I108" s="27">
        <f t="shared" si="3"/>
        <v>0.41708301506666662</v>
      </c>
      <c r="J108" s="129">
        <f t="shared" si="4"/>
        <v>6.3637933333333327</v>
      </c>
    </row>
    <row r="109" spans="1:10" hidden="1" x14ac:dyDescent="0.35">
      <c r="A109" s="126" t="s">
        <v>461</v>
      </c>
      <c r="B109" t="str">
        <f>_xlfn.XLOOKUP(A109,'[1]2050Pop'!$A$7:$A$143,'[1]2050Pop'!$D$7:$D$143)</f>
        <v>Euro/AU/NZ</v>
      </c>
      <c r="C109" s="127">
        <f>1000*_xlfn.XLOOKUP(A109,'[1]2050Pop'!$A$7:$A$143,'[1]2050Pop'!$C$7:$C$143)</f>
        <v>44840</v>
      </c>
      <c r="D109" s="126" t="s">
        <v>356</v>
      </c>
      <c r="E109" s="128">
        <v>10.827999999999999</v>
      </c>
      <c r="F109" s="129">
        <f t="shared" si="5"/>
        <v>0.48552751999999993</v>
      </c>
      <c r="G109" t="str">
        <f>_xlfn.XLOOKUP(D109,'[1]2050 BAU Mapping to T &amp; C'!$A$3:$A$52,'[1]2050 BAU Mapping to T &amp; C'!$B$3:$B$52)</f>
        <v>Tropical Fruits</v>
      </c>
      <c r="H109" s="129">
        <f>_xlfn.XLOOKUP(G109,'[1]T&amp;C emissions for 2050 analysis'!$B$3:$B$23,'[1]T&amp;C emissions for 2050 analysis'!$C$3:$C$23)</f>
        <v>0.51333333333333331</v>
      </c>
      <c r="I109" s="27">
        <f t="shared" si="3"/>
        <v>0.24923746026666663</v>
      </c>
      <c r="J109" s="129">
        <f t="shared" si="4"/>
        <v>5.5583733333333329</v>
      </c>
    </row>
    <row r="110" spans="1:10" hidden="1" x14ac:dyDescent="0.35">
      <c r="A110" s="126" t="s">
        <v>462</v>
      </c>
      <c r="B110" t="str">
        <f>_xlfn.XLOOKUP(A110,'[1]2050Pop'!$A$7:$A$143,'[1]2050Pop'!$D$7:$D$143)</f>
        <v>LatAm &amp; RSA</v>
      </c>
      <c r="C110" s="127">
        <f>1000*_xlfn.XLOOKUP(A110,'[1]2050Pop'!$A$7:$A$143,'[1]2050Pop'!$C$7:$C$143)</f>
        <v>624</v>
      </c>
      <c r="D110" s="126" t="s">
        <v>356</v>
      </c>
      <c r="E110" s="130">
        <v>27.79</v>
      </c>
      <c r="F110" s="129">
        <f t="shared" si="5"/>
        <v>1.7340959999999999E-2</v>
      </c>
      <c r="G110" t="str">
        <f>_xlfn.XLOOKUP(D110,'[1]2050 BAU Mapping to T &amp; C'!$A$3:$A$52,'[1]2050 BAU Mapping to T &amp; C'!$B$3:$B$52)</f>
        <v>Tropical Fruits</v>
      </c>
      <c r="H110" s="129">
        <f>_xlfn.XLOOKUP(G110,'[1]T&amp;C emissions for 2050 analysis'!$B$3:$B$23,'[1]T&amp;C emissions for 2050 analysis'!$C$3:$C$23)</f>
        <v>0.51333333333333331</v>
      </c>
      <c r="I110" s="27">
        <f t="shared" si="3"/>
        <v>8.9016927999999995E-3</v>
      </c>
      <c r="J110" s="129">
        <f t="shared" si="4"/>
        <v>14.265533333333332</v>
      </c>
    </row>
    <row r="111" spans="1:10" hidden="1" x14ac:dyDescent="0.35">
      <c r="A111" s="126" t="s">
        <v>463</v>
      </c>
      <c r="B111" t="str">
        <f>_xlfn.XLOOKUP(A111,'[1]2050Pop'!$A$7:$A$143,'[1]2050Pop'!$D$7:$D$143)</f>
        <v>SSA</v>
      </c>
      <c r="C111" s="127">
        <f>1000*_xlfn.XLOOKUP(A111,'[1]2050Pop'!$A$7:$A$143,'[1]2050Pop'!$C$7:$C$143)</f>
        <v>1792</v>
      </c>
      <c r="D111" s="126" t="s">
        <v>356</v>
      </c>
      <c r="E111" s="128">
        <v>6.383</v>
      </c>
      <c r="F111" s="129">
        <f t="shared" si="5"/>
        <v>1.1438335999999999E-2</v>
      </c>
      <c r="G111" t="str">
        <f>_xlfn.XLOOKUP(D111,'[1]2050 BAU Mapping to T &amp; C'!$A$3:$A$52,'[1]2050 BAU Mapping to T &amp; C'!$B$3:$B$52)</f>
        <v>Tropical Fruits</v>
      </c>
      <c r="H111" s="129">
        <f>_xlfn.XLOOKUP(G111,'[1]T&amp;C emissions for 2050 analysis'!$B$3:$B$23,'[1]T&amp;C emissions for 2050 analysis'!$C$3:$C$23)</f>
        <v>0.51333333333333331</v>
      </c>
      <c r="I111" s="27">
        <f t="shared" si="3"/>
        <v>5.8716791466666652E-3</v>
      </c>
      <c r="J111" s="129">
        <f t="shared" si="4"/>
        <v>3.2766066666666664</v>
      </c>
    </row>
    <row r="112" spans="1:10" hidden="1" x14ac:dyDescent="0.35">
      <c r="A112" s="126" t="s">
        <v>464</v>
      </c>
      <c r="B112" t="str">
        <f>_xlfn.XLOOKUP(A112,'[1]2050Pop'!$A$7:$A$143,'[1]2050Pop'!$D$7:$D$143)</f>
        <v>Euro/AU/NZ</v>
      </c>
      <c r="C112" s="127">
        <f>1000*_xlfn.XLOOKUP(A112,'[1]2050Pop'!$A$7:$A$143,'[1]2050Pop'!$C$7:$C$143)</f>
        <v>11881</v>
      </c>
      <c r="D112" s="126" t="s">
        <v>356</v>
      </c>
      <c r="E112" s="128">
        <v>13.686999999999999</v>
      </c>
      <c r="F112" s="129">
        <f t="shared" si="5"/>
        <v>0.16261524699999999</v>
      </c>
      <c r="G112" t="str">
        <f>_xlfn.XLOOKUP(D112,'[1]2050 BAU Mapping to T &amp; C'!$A$3:$A$52,'[1]2050 BAU Mapping to T &amp; C'!$B$3:$B$52)</f>
        <v>Tropical Fruits</v>
      </c>
      <c r="H112" s="129">
        <f>_xlfn.XLOOKUP(G112,'[1]T&amp;C emissions for 2050 analysis'!$B$3:$B$23,'[1]T&amp;C emissions for 2050 analysis'!$C$3:$C$23)</f>
        <v>0.51333333333333331</v>
      </c>
      <c r="I112" s="27">
        <f t="shared" si="3"/>
        <v>8.3475826793333319E-2</v>
      </c>
      <c r="J112" s="129">
        <f t="shared" si="4"/>
        <v>7.0259933333333331</v>
      </c>
    </row>
    <row r="113" spans="1:10" hidden="1" x14ac:dyDescent="0.35">
      <c r="A113" s="126" t="s">
        <v>465</v>
      </c>
      <c r="B113" t="str">
        <f>_xlfn.XLOOKUP(A113,'[1]2050Pop'!$A$7:$A$143,'[1]2050Pop'!$D$7:$D$143)</f>
        <v>APAC</v>
      </c>
      <c r="C113" s="127">
        <f>1000*_xlfn.XLOOKUP(A113,'[1]2050Pop'!$A$7:$A$143,'[1]2050Pop'!$C$7:$C$143)</f>
        <v>62452</v>
      </c>
      <c r="D113" s="126" t="s">
        <v>356</v>
      </c>
      <c r="E113" s="128">
        <v>29.196000000000002</v>
      </c>
      <c r="F113" s="129">
        <f t="shared" si="5"/>
        <v>1.8233485920000001</v>
      </c>
      <c r="G113" t="str">
        <f>_xlfn.XLOOKUP(D113,'[1]2050 BAU Mapping to T &amp; C'!$A$3:$A$52,'[1]2050 BAU Mapping to T &amp; C'!$B$3:$B$52)</f>
        <v>Tropical Fruits</v>
      </c>
      <c r="H113" s="129">
        <f>_xlfn.XLOOKUP(G113,'[1]T&amp;C emissions for 2050 analysis'!$B$3:$B$23,'[1]T&amp;C emissions for 2050 analysis'!$C$3:$C$23)</f>
        <v>0.51333333333333331</v>
      </c>
      <c r="I113" s="27">
        <f t="shared" si="3"/>
        <v>0.93598561055999996</v>
      </c>
      <c r="J113" s="129">
        <f t="shared" si="4"/>
        <v>14.98728</v>
      </c>
    </row>
    <row r="114" spans="1:10" hidden="1" x14ac:dyDescent="0.35">
      <c r="A114" s="126" t="s">
        <v>466</v>
      </c>
      <c r="B114" t="str">
        <f>_xlfn.XLOOKUP(A114,'[1]2050Pop'!$A$7:$A$143,'[1]2050Pop'!$D$7:$D$143)</f>
        <v>SSA</v>
      </c>
      <c r="C114" s="127">
        <f>1000*_xlfn.XLOOKUP(A114,'[1]2050Pop'!$A$7:$A$143,'[1]2050Pop'!$C$7:$C$143)</f>
        <v>15681</v>
      </c>
      <c r="D114" s="126" t="s">
        <v>356</v>
      </c>
      <c r="E114" s="128">
        <v>5.1760000000000002</v>
      </c>
      <c r="F114" s="129">
        <f t="shared" si="5"/>
        <v>8.1164855999999994E-2</v>
      </c>
      <c r="G114" t="str">
        <f>_xlfn.XLOOKUP(D114,'[1]2050 BAU Mapping to T &amp; C'!$A$3:$A$52,'[1]2050 BAU Mapping to T &amp; C'!$B$3:$B$52)</f>
        <v>Tropical Fruits</v>
      </c>
      <c r="H114" s="129">
        <f>_xlfn.XLOOKUP(G114,'[1]T&amp;C emissions for 2050 analysis'!$B$3:$B$23,'[1]T&amp;C emissions for 2050 analysis'!$C$3:$C$23)</f>
        <v>0.51333333333333331</v>
      </c>
      <c r="I114" s="27">
        <f t="shared" si="3"/>
        <v>4.1664626079999996E-2</v>
      </c>
      <c r="J114" s="129">
        <f t="shared" si="4"/>
        <v>2.6570133333333334</v>
      </c>
    </row>
    <row r="115" spans="1:10" hidden="1" x14ac:dyDescent="0.35">
      <c r="A115" s="126" t="s">
        <v>467</v>
      </c>
      <c r="B115" t="str">
        <f>_xlfn.XLOOKUP(A115,'[1]2050Pop'!$A$7:$A$143,'[1]2050Pop'!$D$7:$D$143)</f>
        <v>LatAm &amp; RSA</v>
      </c>
      <c r="C115" s="127">
        <f>1000*_xlfn.XLOOKUP(A115,'[1]2050Pop'!$A$7:$A$143,'[1]2050Pop'!$C$7:$C$143)</f>
        <v>1291</v>
      </c>
      <c r="D115" s="126" t="s">
        <v>356</v>
      </c>
      <c r="E115" s="128">
        <v>15.167999999999999</v>
      </c>
      <c r="F115" s="129">
        <f t="shared" si="5"/>
        <v>1.9581887999999999E-2</v>
      </c>
      <c r="G115" t="str">
        <f>_xlfn.XLOOKUP(D115,'[1]2050 BAU Mapping to T &amp; C'!$A$3:$A$52,'[1]2050 BAU Mapping to T &amp; C'!$B$3:$B$52)</f>
        <v>Tropical Fruits</v>
      </c>
      <c r="H115" s="129">
        <f>_xlfn.XLOOKUP(G115,'[1]T&amp;C emissions for 2050 analysis'!$B$3:$B$23,'[1]T&amp;C emissions for 2050 analysis'!$C$3:$C$23)</f>
        <v>0.51333333333333331</v>
      </c>
      <c r="I115" s="27">
        <f t="shared" si="3"/>
        <v>1.0052035839999999E-2</v>
      </c>
      <c r="J115" s="129">
        <f t="shared" si="4"/>
        <v>7.7862399999999994</v>
      </c>
    </row>
    <row r="116" spans="1:10" hidden="1" x14ac:dyDescent="0.35">
      <c r="A116" s="126" t="s">
        <v>468</v>
      </c>
      <c r="B116" t="str">
        <f>_xlfn.XLOOKUP(A116,'[1]2050Pop'!$A$7:$A$143,'[1]2050Pop'!$D$7:$D$143)</f>
        <v>MENA</v>
      </c>
      <c r="C116" s="127">
        <f>1000*_xlfn.XLOOKUP(A116,'[1]2050Pop'!$A$7:$A$143,'[1]2050Pop'!$C$7:$C$143)</f>
        <v>13476</v>
      </c>
      <c r="D116" s="126" t="s">
        <v>356</v>
      </c>
      <c r="E116" s="128">
        <v>3.4340000000000002</v>
      </c>
      <c r="F116" s="129">
        <f t="shared" si="5"/>
        <v>4.6276584000000003E-2</v>
      </c>
      <c r="G116" t="str">
        <f>_xlfn.XLOOKUP(D116,'[1]2050 BAU Mapping to T &amp; C'!$A$3:$A$52,'[1]2050 BAU Mapping to T &amp; C'!$B$3:$B$52)</f>
        <v>Tropical Fruits</v>
      </c>
      <c r="H116" s="129">
        <f>_xlfn.XLOOKUP(G116,'[1]T&amp;C emissions for 2050 analysis'!$B$3:$B$23,'[1]T&amp;C emissions for 2050 analysis'!$C$3:$C$23)</f>
        <v>0.51333333333333331</v>
      </c>
      <c r="I116" s="27">
        <f t="shared" si="3"/>
        <v>2.375531312E-2</v>
      </c>
      <c r="J116" s="129">
        <f t="shared" si="4"/>
        <v>1.7627866666666667</v>
      </c>
    </row>
    <row r="117" spans="1:10" hidden="1" x14ac:dyDescent="0.35">
      <c r="A117" s="126" t="s">
        <v>469</v>
      </c>
      <c r="B117" t="str">
        <f>_xlfn.XLOOKUP(A117,'[1]2050Pop'!$A$7:$A$143,'[1]2050Pop'!$D$7:$D$143)</f>
        <v>MENA</v>
      </c>
      <c r="C117" s="127">
        <f>1000*_xlfn.XLOOKUP(A117,'[1]2050Pop'!$A$7:$A$143,'[1]2050Pop'!$C$7:$C$143)</f>
        <v>95819</v>
      </c>
      <c r="D117" s="126" t="s">
        <v>356</v>
      </c>
      <c r="E117" s="128">
        <v>8.3049999999999997</v>
      </c>
      <c r="F117" s="129">
        <f t="shared" si="5"/>
        <v>0.79577679499999987</v>
      </c>
      <c r="G117" t="str">
        <f>_xlfn.XLOOKUP(D117,'[1]2050 BAU Mapping to T &amp; C'!$A$3:$A$52,'[1]2050 BAU Mapping to T &amp; C'!$B$3:$B$52)</f>
        <v>Tropical Fruits</v>
      </c>
      <c r="H117" s="129">
        <f>_xlfn.XLOOKUP(G117,'[1]T&amp;C emissions for 2050 analysis'!$B$3:$B$23,'[1]T&amp;C emissions for 2050 analysis'!$C$3:$C$23)</f>
        <v>0.51333333333333331</v>
      </c>
      <c r="I117" s="27">
        <f t="shared" si="3"/>
        <v>0.40849875476666658</v>
      </c>
      <c r="J117" s="129">
        <f t="shared" si="4"/>
        <v>4.263233333333333</v>
      </c>
    </row>
    <row r="118" spans="1:10" hidden="1" x14ac:dyDescent="0.35">
      <c r="A118" s="126" t="s">
        <v>470</v>
      </c>
      <c r="B118" t="str">
        <f>_xlfn.XLOOKUP(A118,'[1]2050Pop'!$A$7:$A$143,'[1]2050Pop'!$D$7:$D$143)</f>
        <v>SSA</v>
      </c>
      <c r="C118" s="127">
        <f>1000*_xlfn.XLOOKUP(A118,'[1]2050Pop'!$A$7:$A$143,'[1]2050Pop'!$C$7:$C$143)</f>
        <v>101873</v>
      </c>
      <c r="D118" s="126" t="s">
        <v>356</v>
      </c>
      <c r="E118" s="128">
        <v>29.923999999999999</v>
      </c>
      <c r="F118" s="129">
        <f t="shared" si="5"/>
        <v>3.0484476519999997</v>
      </c>
      <c r="G118" t="str">
        <f>_xlfn.XLOOKUP(D118,'[1]2050 BAU Mapping to T &amp; C'!$A$3:$A$52,'[1]2050 BAU Mapping to T &amp; C'!$B$3:$B$52)</f>
        <v>Tropical Fruits</v>
      </c>
      <c r="H118" s="129">
        <f>_xlfn.XLOOKUP(G118,'[1]T&amp;C emissions for 2050 analysis'!$B$3:$B$23,'[1]T&amp;C emissions for 2050 analysis'!$C$3:$C$23)</f>
        <v>0.51333333333333331</v>
      </c>
      <c r="I118" s="27">
        <f t="shared" si="3"/>
        <v>1.564869794693333</v>
      </c>
      <c r="J118" s="129">
        <f t="shared" si="4"/>
        <v>15.360986666666665</v>
      </c>
    </row>
    <row r="119" spans="1:10" hidden="1" x14ac:dyDescent="0.35">
      <c r="A119" s="126" t="s">
        <v>471</v>
      </c>
      <c r="B119" t="str">
        <f>_xlfn.XLOOKUP(A119,'[1]2050Pop'!$A$7:$A$143,'[1]2050Pop'!$D$7:$D$143)</f>
        <v>Euro/AU/NZ</v>
      </c>
      <c r="C119" s="127">
        <f>1000*_xlfn.XLOOKUP(A119,'[1]2050Pop'!$A$7:$A$143,'[1]2050Pop'!$C$7:$C$143)</f>
        <v>35117</v>
      </c>
      <c r="D119" s="126" t="s">
        <v>356</v>
      </c>
      <c r="E119" s="128">
        <v>10.672000000000001</v>
      </c>
      <c r="F119" s="129">
        <f t="shared" si="5"/>
        <v>0.37476862399999999</v>
      </c>
      <c r="G119" t="str">
        <f>_xlfn.XLOOKUP(D119,'[1]2050 BAU Mapping to T &amp; C'!$A$3:$A$52,'[1]2050 BAU Mapping to T &amp; C'!$B$3:$B$52)</f>
        <v>Tropical Fruits</v>
      </c>
      <c r="H119" s="129">
        <f>_xlfn.XLOOKUP(G119,'[1]T&amp;C emissions for 2050 analysis'!$B$3:$B$23,'[1]T&amp;C emissions for 2050 analysis'!$C$3:$C$23)</f>
        <v>0.51333333333333331</v>
      </c>
      <c r="I119" s="27">
        <f t="shared" si="3"/>
        <v>0.19238122698666665</v>
      </c>
      <c r="J119" s="129">
        <f t="shared" si="4"/>
        <v>5.4782933333333332</v>
      </c>
    </row>
    <row r="120" spans="1:10" hidden="1" x14ac:dyDescent="0.35">
      <c r="A120" s="126" t="s">
        <v>472</v>
      </c>
      <c r="B120" t="str">
        <f>_xlfn.XLOOKUP(A120,'[1]2050Pop'!$A$7:$A$143,'[1]2050Pop'!$D$7:$D$143)</f>
        <v>Euro/AU/NZ</v>
      </c>
      <c r="C120" s="127">
        <f>1000*_xlfn.XLOOKUP(A120,'[1]2050Pop'!$A$7:$A$143,'[1]2050Pop'!$C$7:$C$143)</f>
        <v>75361</v>
      </c>
      <c r="D120" s="126" t="s">
        <v>356</v>
      </c>
      <c r="E120" s="128">
        <v>25.416</v>
      </c>
      <c r="F120" s="129">
        <f t="shared" si="5"/>
        <v>1.915375176</v>
      </c>
      <c r="G120" t="str">
        <f>_xlfn.XLOOKUP(D120,'[1]2050 BAU Mapping to T &amp; C'!$A$3:$A$52,'[1]2050 BAU Mapping to T &amp; C'!$B$3:$B$52)</f>
        <v>Tropical Fruits</v>
      </c>
      <c r="H120" s="129">
        <f>_xlfn.XLOOKUP(G120,'[1]T&amp;C emissions for 2050 analysis'!$B$3:$B$23,'[1]T&amp;C emissions for 2050 analysis'!$C$3:$C$23)</f>
        <v>0.51333333333333331</v>
      </c>
      <c r="I120" s="27">
        <f t="shared" si="3"/>
        <v>0.98322592367999995</v>
      </c>
      <c r="J120" s="129">
        <f t="shared" si="4"/>
        <v>13.04688</v>
      </c>
    </row>
    <row r="121" spans="1:10" hidden="1" x14ac:dyDescent="0.35">
      <c r="A121" s="126" t="s">
        <v>473</v>
      </c>
      <c r="B121" t="str">
        <f>_xlfn.XLOOKUP(A121,'[1]2050Pop'!$A$7:$A$143,'[1]2050Pop'!$D$7:$D$143)</f>
        <v>SSA</v>
      </c>
      <c r="C121" s="127">
        <f>1000*_xlfn.XLOOKUP(A121,'[1]2050Pop'!$A$7:$A$143,'[1]2050Pop'!$C$7:$C$143)</f>
        <v>137136</v>
      </c>
      <c r="D121" s="126" t="s">
        <v>356</v>
      </c>
      <c r="E121" s="128">
        <v>83.552000000000007</v>
      </c>
      <c r="F121" s="129">
        <f t="shared" si="5"/>
        <v>11.457987072</v>
      </c>
      <c r="G121" t="str">
        <f>_xlfn.XLOOKUP(D121,'[1]2050 BAU Mapping to T &amp; C'!$A$3:$A$52,'[1]2050 BAU Mapping to T &amp; C'!$B$3:$B$52)</f>
        <v>Tropical Fruits</v>
      </c>
      <c r="H121" s="129">
        <f>_xlfn.XLOOKUP(G121,'[1]T&amp;C emissions for 2050 analysis'!$B$3:$B$23,'[1]T&amp;C emissions for 2050 analysis'!$C$3:$C$23)</f>
        <v>0.51333333333333331</v>
      </c>
      <c r="I121" s="27">
        <f t="shared" si="3"/>
        <v>5.8817666969599998</v>
      </c>
      <c r="J121" s="129">
        <f t="shared" si="4"/>
        <v>42.890026666666671</v>
      </c>
    </row>
    <row r="122" spans="1:10" hidden="1" x14ac:dyDescent="0.35">
      <c r="A122" s="126" t="s">
        <v>474</v>
      </c>
      <c r="B122" t="str">
        <f>_xlfn.XLOOKUP(A122,'[1]2050Pop'!$A$7:$A$143,'[1]2050Pop'!$D$7:$D$143)</f>
        <v>NAm</v>
      </c>
      <c r="C122" s="127">
        <f>1000*_xlfn.XLOOKUP(A122,'[1]2050Pop'!$A$7:$A$143,'[1]2050Pop'!$C$7:$C$143)</f>
        <v>388865</v>
      </c>
      <c r="D122" s="126" t="s">
        <v>356</v>
      </c>
      <c r="E122" s="128">
        <v>18.016999999999999</v>
      </c>
      <c r="F122" s="129">
        <f t="shared" si="5"/>
        <v>7.0061807050000002</v>
      </c>
      <c r="G122" t="str">
        <f>_xlfn.XLOOKUP(D122,'[1]2050 BAU Mapping to T &amp; C'!$A$3:$A$52,'[1]2050 BAU Mapping to T &amp; C'!$B$3:$B$52)</f>
        <v>Tropical Fruits</v>
      </c>
      <c r="H122" s="129">
        <f>_xlfn.XLOOKUP(G122,'[1]T&amp;C emissions for 2050 analysis'!$B$3:$B$23,'[1]T&amp;C emissions for 2050 analysis'!$C$3:$C$23)</f>
        <v>0.51333333333333331</v>
      </c>
      <c r="I122" s="27">
        <f t="shared" si="3"/>
        <v>3.5965060952333334</v>
      </c>
      <c r="J122" s="129">
        <f t="shared" si="4"/>
        <v>9.2487266666666663</v>
      </c>
    </row>
    <row r="123" spans="1:10" hidden="1" x14ac:dyDescent="0.35">
      <c r="A123" s="126" t="s">
        <v>475</v>
      </c>
      <c r="B123" t="str">
        <f>_xlfn.XLOOKUP(A123,'[1]2050Pop'!$A$7:$A$143,'[1]2050Pop'!$D$7:$D$143)</f>
        <v>LatAm &amp; RSA</v>
      </c>
      <c r="C123" s="127">
        <f>1000*_xlfn.XLOOKUP(A123,'[1]2050Pop'!$A$7:$A$143,'[1]2050Pop'!$C$7:$C$143)</f>
        <v>3667</v>
      </c>
      <c r="D123" s="126" t="s">
        <v>356</v>
      </c>
      <c r="E123" s="128">
        <v>21.105</v>
      </c>
      <c r="F123" s="129">
        <f t="shared" si="5"/>
        <v>7.7392034999999998E-2</v>
      </c>
      <c r="G123" t="str">
        <f>_xlfn.XLOOKUP(D123,'[1]2050 BAU Mapping to T &amp; C'!$A$3:$A$52,'[1]2050 BAU Mapping to T &amp; C'!$B$3:$B$52)</f>
        <v>Tropical Fruits</v>
      </c>
      <c r="H123" s="129">
        <f>_xlfn.XLOOKUP(G123,'[1]T&amp;C emissions for 2050 analysis'!$B$3:$B$23,'[1]T&amp;C emissions for 2050 analysis'!$C$3:$C$23)</f>
        <v>0.51333333333333331</v>
      </c>
      <c r="I123" s="27">
        <f t="shared" si="3"/>
        <v>3.9727911299999995E-2</v>
      </c>
      <c r="J123" s="129">
        <f t="shared" si="4"/>
        <v>10.8339</v>
      </c>
    </row>
    <row r="124" spans="1:10" hidden="1" x14ac:dyDescent="0.35">
      <c r="A124" s="126" t="s">
        <v>476</v>
      </c>
      <c r="B124" t="str">
        <f>_xlfn.XLOOKUP(A124,'[1]2050Pop'!$A$7:$A$143,'[1]2050Pop'!$D$7:$D$143)</f>
        <v>LatAm &amp; RSA</v>
      </c>
      <c r="C124" s="127">
        <f>1000*_xlfn.XLOOKUP(A124,'[1]2050Pop'!$A$7:$A$143,'[1]2050Pop'!$C$7:$C$143)</f>
        <v>41562</v>
      </c>
      <c r="D124" s="126" t="s">
        <v>356</v>
      </c>
      <c r="E124" s="128">
        <v>22.577999999999999</v>
      </c>
      <c r="F124" s="129">
        <f t="shared" si="5"/>
        <v>0.93838683600000006</v>
      </c>
      <c r="G124" t="str">
        <f>_xlfn.XLOOKUP(D124,'[1]2050 BAU Mapping to T &amp; C'!$A$3:$A$52,'[1]2050 BAU Mapping to T &amp; C'!$B$3:$B$52)</f>
        <v>Tropical Fruits</v>
      </c>
      <c r="H124" s="129">
        <f>_xlfn.XLOOKUP(G124,'[1]T&amp;C emissions for 2050 analysis'!$B$3:$B$23,'[1]T&amp;C emissions for 2050 analysis'!$C$3:$C$23)</f>
        <v>0.51333333333333331</v>
      </c>
      <c r="I124" s="27">
        <f t="shared" si="3"/>
        <v>0.48170524248000002</v>
      </c>
      <c r="J124" s="129">
        <f t="shared" si="4"/>
        <v>11.590039999999998</v>
      </c>
    </row>
    <row r="125" spans="1:10" hidden="1" x14ac:dyDescent="0.35">
      <c r="A125" s="126" t="s">
        <v>477</v>
      </c>
      <c r="B125" t="str">
        <f>_xlfn.XLOOKUP(A125,'[1]2050Pop'!$A$7:$A$143,'[1]2050Pop'!$D$7:$D$143)</f>
        <v>APAC</v>
      </c>
      <c r="C125" s="127">
        <f>1000*_xlfn.XLOOKUP(A125,'[1]2050Pop'!$A$7:$A$143,'[1]2050Pop'!$C$7:$C$143)</f>
        <v>112783</v>
      </c>
      <c r="D125" s="126" t="s">
        <v>356</v>
      </c>
      <c r="E125" s="128">
        <v>37.021999999999998</v>
      </c>
      <c r="F125" s="129">
        <f t="shared" si="5"/>
        <v>4.175452226</v>
      </c>
      <c r="G125" t="str">
        <f>_xlfn.XLOOKUP(D125,'[1]2050 BAU Mapping to T &amp; C'!$A$3:$A$52,'[1]2050 BAU Mapping to T &amp; C'!$B$3:$B$52)</f>
        <v>Tropical Fruits</v>
      </c>
      <c r="H125" s="129">
        <f>_xlfn.XLOOKUP(G125,'[1]T&amp;C emissions for 2050 analysis'!$B$3:$B$23,'[1]T&amp;C emissions for 2050 analysis'!$C$3:$C$23)</f>
        <v>0.51333333333333331</v>
      </c>
      <c r="I125" s="27">
        <f t="shared" si="3"/>
        <v>2.1433988093466665</v>
      </c>
      <c r="J125" s="129">
        <f t="shared" si="4"/>
        <v>19.004626666666663</v>
      </c>
    </row>
    <row r="126" spans="1:10" hidden="1" x14ac:dyDescent="0.35">
      <c r="A126" s="126" t="s">
        <v>478</v>
      </c>
      <c r="B126" t="str">
        <f>_xlfn.XLOOKUP(A126,'[1]2050Pop'!$A$7:$A$143,'[1]2050Pop'!$D$7:$D$143)</f>
        <v>MENA</v>
      </c>
      <c r="C126" s="127">
        <f>1000*_xlfn.XLOOKUP(A126,'[1]2050Pop'!$A$7:$A$143,'[1]2050Pop'!$C$7:$C$143)</f>
        <v>47170</v>
      </c>
      <c r="D126" s="126" t="s">
        <v>356</v>
      </c>
      <c r="E126" s="128">
        <v>2.9350000000000001</v>
      </c>
      <c r="F126" s="129">
        <f t="shared" si="5"/>
        <v>0.13844395000000001</v>
      </c>
      <c r="G126" t="str">
        <f>_xlfn.XLOOKUP(D126,'[1]2050 BAU Mapping to T &amp; C'!$A$3:$A$52,'[1]2050 BAU Mapping to T &amp; C'!$B$3:$B$52)</f>
        <v>Tropical Fruits</v>
      </c>
      <c r="H126" s="129">
        <f>_xlfn.XLOOKUP(G126,'[1]T&amp;C emissions for 2050 analysis'!$B$3:$B$23,'[1]T&amp;C emissions for 2050 analysis'!$C$3:$C$23)</f>
        <v>0.51333333333333331</v>
      </c>
      <c r="I126" s="27">
        <f t="shared" si="3"/>
        <v>7.106789433333334E-2</v>
      </c>
      <c r="J126" s="129">
        <f t="shared" si="4"/>
        <v>1.5066333333333333</v>
      </c>
    </row>
    <row r="127" spans="1:10" hidden="1" x14ac:dyDescent="0.35">
      <c r="A127" s="126" t="s">
        <v>479</v>
      </c>
      <c r="B127" t="str">
        <f>_xlfn.XLOOKUP(A127,'[1]2050Pop'!$A$7:$A$143,'[1]2050Pop'!$D$7:$D$143)</f>
        <v>SSA</v>
      </c>
      <c r="C127" s="127">
        <f>1000*_xlfn.XLOOKUP(A127,'[1]2050Pop'!$A$7:$A$143,'[1]2050Pop'!$C$7:$C$143)</f>
        <v>29615</v>
      </c>
      <c r="D127" s="126" t="s">
        <v>356</v>
      </c>
      <c r="E127" s="128">
        <v>13.295999999999999</v>
      </c>
      <c r="F127" s="129">
        <f t="shared" si="5"/>
        <v>0.39376104000000001</v>
      </c>
      <c r="G127" t="str">
        <f>_xlfn.XLOOKUP(D127,'[1]2050 BAU Mapping to T &amp; C'!$A$3:$A$52,'[1]2050 BAU Mapping to T &amp; C'!$B$3:$B$52)</f>
        <v>Tropical Fruits</v>
      </c>
      <c r="H127" s="129">
        <f>_xlfn.XLOOKUP(G127,'[1]T&amp;C emissions for 2050 analysis'!$B$3:$B$23,'[1]T&amp;C emissions for 2050 analysis'!$C$3:$C$23)</f>
        <v>0.51333333333333331</v>
      </c>
      <c r="I127" s="27">
        <f t="shared" si="3"/>
        <v>0.2021306672</v>
      </c>
      <c r="J127" s="129">
        <f t="shared" si="4"/>
        <v>6.8252799999999993</v>
      </c>
    </row>
    <row r="128" spans="1:10" hidden="1" x14ac:dyDescent="0.35">
      <c r="A128" s="126" t="s">
        <v>355</v>
      </c>
      <c r="B128" t="str">
        <f>_xlfn.XLOOKUP(A128,'[1]2050Pop'!$A$7:$A$143,'[1]2050Pop'!$D$7:$D$143)</f>
        <v>India/South Asia</v>
      </c>
      <c r="C128" s="127">
        <f>1000*_xlfn.XLOOKUP(A128,'[1]2050Pop'!$A$7:$A$143,'[1]2050Pop'!$C$7:$C$143)</f>
        <v>55955</v>
      </c>
      <c r="D128" s="126" t="s">
        <v>480</v>
      </c>
      <c r="E128" s="130">
        <v>24.96</v>
      </c>
      <c r="F128" s="129">
        <f t="shared" si="5"/>
        <v>1.3966368</v>
      </c>
      <c r="G128" t="str">
        <f>_xlfn.XLOOKUP(D128,'[1]2050 BAU Mapping to T &amp; C'!$A$3:$A$52,'[1]2050 BAU Mapping to T &amp; C'!$B$3:$B$52)</f>
        <v xml:space="preserve">Other cereals </v>
      </c>
      <c r="H128" s="129">
        <f>_xlfn.XLOOKUP(G128,'[1]T&amp;C emissions for 2050 analysis'!$B$3:$B$23,'[1]T&amp;C emissions for 2050 analysis'!$C$3:$C$23)</f>
        <v>0.18333333333333335</v>
      </c>
      <c r="I128" s="27">
        <f t="shared" si="3"/>
        <v>0.25605008000000001</v>
      </c>
      <c r="J128" s="129">
        <f t="shared" si="4"/>
        <v>4.5760000000000005</v>
      </c>
    </row>
    <row r="129" spans="1:10" hidden="1" x14ac:dyDescent="0.35">
      <c r="A129" s="126" t="s">
        <v>357</v>
      </c>
      <c r="B129" t="str">
        <f>_xlfn.XLOOKUP(A129,'[1]2050Pop'!$A$7:$A$143,'[1]2050Pop'!$D$7:$D$143)</f>
        <v>Euro/AU/NZ</v>
      </c>
      <c r="C129" s="127">
        <f>1000*_xlfn.XLOOKUP(A129,'[1]2050Pop'!$A$7:$A$143,'[1]2050Pop'!$C$7:$C$143)</f>
        <v>2710</v>
      </c>
      <c r="D129" s="126" t="s">
        <v>480</v>
      </c>
      <c r="E129" s="128">
        <v>0.94199999999999995</v>
      </c>
      <c r="F129" s="129">
        <f t="shared" si="5"/>
        <v>2.5528199999999999E-3</v>
      </c>
      <c r="G129" t="str">
        <f>_xlfn.XLOOKUP(D129,'[1]2050 BAU Mapping to T &amp; C'!$A$3:$A$52,'[1]2050 BAU Mapping to T &amp; C'!$B$3:$B$52)</f>
        <v xml:space="preserve">Other cereals </v>
      </c>
      <c r="H129" s="129">
        <f>_xlfn.XLOOKUP(G129,'[1]T&amp;C emissions for 2050 analysis'!$B$3:$B$23,'[1]T&amp;C emissions for 2050 analysis'!$C$3:$C$23)</f>
        <v>0.18333333333333335</v>
      </c>
      <c r="I129" s="27">
        <f t="shared" si="3"/>
        <v>4.6801700000000004E-4</v>
      </c>
      <c r="J129" s="129">
        <f t="shared" si="4"/>
        <v>0.17269999999999999</v>
      </c>
    </row>
    <row r="130" spans="1:10" hidden="1" x14ac:dyDescent="0.35">
      <c r="A130" s="126" t="s">
        <v>358</v>
      </c>
      <c r="B130" t="str">
        <f>_xlfn.XLOOKUP(A130,'[1]2050Pop'!$A$7:$A$143,'[1]2050Pop'!$D$7:$D$143)</f>
        <v>MENA</v>
      </c>
      <c r="C130" s="127">
        <f>1000*_xlfn.XLOOKUP(A130,'[1]2050Pop'!$A$7:$A$143,'[1]2050Pop'!$C$7:$C$143)</f>
        <v>56461</v>
      </c>
      <c r="D130" s="126" t="s">
        <v>480</v>
      </c>
      <c r="E130" s="128">
        <v>95.045000000000002</v>
      </c>
      <c r="F130" s="129">
        <f t="shared" si="5"/>
        <v>5.3663357449999998</v>
      </c>
      <c r="G130" t="str">
        <f>_xlfn.XLOOKUP(D130,'[1]2050 BAU Mapping to T &amp; C'!$A$3:$A$52,'[1]2050 BAU Mapping to T &amp; C'!$B$3:$B$52)</f>
        <v xml:space="preserve">Other cereals </v>
      </c>
      <c r="H130" s="129">
        <f>_xlfn.XLOOKUP(G130,'[1]T&amp;C emissions for 2050 analysis'!$B$3:$B$23,'[1]T&amp;C emissions for 2050 analysis'!$C$3:$C$23)</f>
        <v>0.18333333333333335</v>
      </c>
      <c r="I130" s="27">
        <f t="shared" si="3"/>
        <v>0.98382821991666669</v>
      </c>
      <c r="J130" s="129">
        <f t="shared" si="4"/>
        <v>17.424916666666668</v>
      </c>
    </row>
    <row r="131" spans="1:10" hidden="1" x14ac:dyDescent="0.35">
      <c r="A131" s="126" t="s">
        <v>361</v>
      </c>
      <c r="B131" t="str">
        <f>_xlfn.XLOOKUP(A131,'[1]2050Pop'!$A$7:$A$143,'[1]2050Pop'!$D$7:$D$143)</f>
        <v>MENA</v>
      </c>
      <c r="C131" s="127">
        <f>1000*_xlfn.XLOOKUP(A131,'[1]2050Pop'!$A$7:$A$143,'[1]2050Pop'!$C$7:$C$143)</f>
        <v>2729</v>
      </c>
      <c r="D131" s="126" t="s">
        <v>480</v>
      </c>
      <c r="E131" s="128">
        <v>9.7040000000000006</v>
      </c>
      <c r="F131" s="129">
        <f t="shared" si="5"/>
        <v>2.6482215999999999E-2</v>
      </c>
      <c r="G131" t="str">
        <f>_xlfn.XLOOKUP(D131,'[1]2050 BAU Mapping to T &amp; C'!$A$3:$A$52,'[1]2050 BAU Mapping to T &amp; C'!$B$3:$B$52)</f>
        <v xml:space="preserve">Other cereals </v>
      </c>
      <c r="H131" s="129">
        <f>_xlfn.XLOOKUP(G131,'[1]T&amp;C emissions for 2050 analysis'!$B$3:$B$23,'[1]T&amp;C emissions for 2050 analysis'!$C$3:$C$23)</f>
        <v>0.18333333333333335</v>
      </c>
      <c r="I131" s="27">
        <f t="shared" si="3"/>
        <v>4.8550729333333336E-3</v>
      </c>
      <c r="J131" s="129">
        <f t="shared" si="4"/>
        <v>1.779066666666667</v>
      </c>
    </row>
    <row r="132" spans="1:10" hidden="1" x14ac:dyDescent="0.35">
      <c r="A132" s="126" t="s">
        <v>363</v>
      </c>
      <c r="B132" t="str">
        <f>_xlfn.XLOOKUP(A132,'[1]2050Pop'!$A$7:$A$143,'[1]2050Pop'!$D$7:$D$143)</f>
        <v>Euro/AU/NZ</v>
      </c>
      <c r="C132" s="127">
        <f>1000*_xlfn.XLOOKUP(A132,'[1]2050Pop'!$A$7:$A$143,'[1]2050Pop'!$C$7:$C$143)</f>
        <v>8846</v>
      </c>
      <c r="D132" s="126" t="s">
        <v>480</v>
      </c>
      <c r="E132" s="130">
        <v>2.17</v>
      </c>
      <c r="F132" s="129">
        <f t="shared" si="5"/>
        <v>1.9195819999999999E-2</v>
      </c>
      <c r="G132" t="str">
        <f>_xlfn.XLOOKUP(D132,'[1]2050 BAU Mapping to T &amp; C'!$A$3:$A$52,'[1]2050 BAU Mapping to T &amp; C'!$B$3:$B$52)</f>
        <v xml:space="preserve">Other cereals </v>
      </c>
      <c r="H132" s="129">
        <f>_xlfn.XLOOKUP(G132,'[1]T&amp;C emissions for 2050 analysis'!$B$3:$B$23,'[1]T&amp;C emissions for 2050 analysis'!$C$3:$C$23)</f>
        <v>0.18333333333333335</v>
      </c>
      <c r="I132" s="27">
        <f t="shared" ref="I132:I195" si="6">F132*H132</f>
        <v>3.5192336666666668E-3</v>
      </c>
      <c r="J132" s="129">
        <f t="shared" ref="J132:J195" si="7">E132*H132</f>
        <v>0.39783333333333337</v>
      </c>
    </row>
    <row r="133" spans="1:10" hidden="1" x14ac:dyDescent="0.35">
      <c r="A133" s="126" t="s">
        <v>364</v>
      </c>
      <c r="B133" t="str">
        <f>_xlfn.XLOOKUP(A133,'[1]2050Pop'!$A$7:$A$143,'[1]2050Pop'!$D$7:$D$143)</f>
        <v>MENA</v>
      </c>
      <c r="C133" s="127">
        <f>1000*_xlfn.XLOOKUP(A133,'[1]2050Pop'!$A$7:$A$143,'[1]2050Pop'!$C$7:$C$143)</f>
        <v>10963</v>
      </c>
      <c r="D133" s="126" t="s">
        <v>480</v>
      </c>
      <c r="E133" s="130">
        <v>0.93</v>
      </c>
      <c r="F133" s="129">
        <f t="shared" ref="F133:F196" si="8">C133*E133/1000000</f>
        <v>1.0195590000000001E-2</v>
      </c>
      <c r="G133" t="str">
        <f>_xlfn.XLOOKUP(D133,'[1]2050 BAU Mapping to T &amp; C'!$A$3:$A$52,'[1]2050 BAU Mapping to T &amp; C'!$B$3:$B$52)</f>
        <v xml:space="preserve">Other cereals </v>
      </c>
      <c r="H133" s="129">
        <f>_xlfn.XLOOKUP(G133,'[1]T&amp;C emissions for 2050 analysis'!$B$3:$B$23,'[1]T&amp;C emissions for 2050 analysis'!$C$3:$C$23)</f>
        <v>0.18333333333333335</v>
      </c>
      <c r="I133" s="27">
        <f t="shared" si="6"/>
        <v>1.8691915000000003E-3</v>
      </c>
      <c r="J133" s="129">
        <f t="shared" si="7"/>
        <v>0.17050000000000001</v>
      </c>
    </row>
    <row r="134" spans="1:10" hidden="1" x14ac:dyDescent="0.35">
      <c r="A134" s="126" t="s">
        <v>366</v>
      </c>
      <c r="B134" t="str">
        <f>_xlfn.XLOOKUP(A134,'[1]2050Pop'!$A$7:$A$143,'[1]2050Pop'!$D$7:$D$143)</f>
        <v>Euro/AU/NZ</v>
      </c>
      <c r="C134" s="127">
        <f>1000*_xlfn.XLOOKUP(A134,'[1]2050Pop'!$A$7:$A$143,'[1]2050Pop'!$C$7:$C$143)</f>
        <v>8125</v>
      </c>
      <c r="D134" s="126" t="s">
        <v>480</v>
      </c>
      <c r="E134" s="128">
        <v>22.963999999999999</v>
      </c>
      <c r="F134" s="129">
        <f t="shared" si="8"/>
        <v>0.18658250000000001</v>
      </c>
      <c r="G134" t="str">
        <f>_xlfn.XLOOKUP(D134,'[1]2050 BAU Mapping to T &amp; C'!$A$3:$A$52,'[1]2050 BAU Mapping to T &amp; C'!$B$3:$B$52)</f>
        <v xml:space="preserve">Other cereals </v>
      </c>
      <c r="H134" s="129">
        <f>_xlfn.XLOOKUP(G134,'[1]T&amp;C emissions for 2050 analysis'!$B$3:$B$23,'[1]T&amp;C emissions for 2050 analysis'!$C$3:$C$23)</f>
        <v>0.18333333333333335</v>
      </c>
      <c r="I134" s="27">
        <f t="shared" si="6"/>
        <v>3.4206791666666674E-2</v>
      </c>
      <c r="J134" s="129">
        <f t="shared" si="7"/>
        <v>4.2100666666666671</v>
      </c>
    </row>
    <row r="135" spans="1:10" hidden="1" x14ac:dyDescent="0.35">
      <c r="A135" s="126" t="s">
        <v>367</v>
      </c>
      <c r="B135" t="str">
        <f>_xlfn.XLOOKUP(A135,'[1]2050Pop'!$A$7:$A$143,'[1]2050Pop'!$D$7:$D$143)</f>
        <v>Euro/AU/NZ</v>
      </c>
      <c r="C135" s="127">
        <f>1000*_xlfn.XLOOKUP(A135,'[1]2050Pop'!$A$7:$A$143,'[1]2050Pop'!$C$7:$C$143)</f>
        <v>12527</v>
      </c>
      <c r="D135" s="126" t="s">
        <v>480</v>
      </c>
      <c r="E135" s="128">
        <v>1.5660000000000001</v>
      </c>
      <c r="F135" s="129">
        <f t="shared" si="8"/>
        <v>1.9617282E-2</v>
      </c>
      <c r="G135" t="str">
        <f>_xlfn.XLOOKUP(D135,'[1]2050 BAU Mapping to T &amp; C'!$A$3:$A$52,'[1]2050 BAU Mapping to T &amp; C'!$B$3:$B$52)</f>
        <v xml:space="preserve">Other cereals </v>
      </c>
      <c r="H135" s="129">
        <f>_xlfn.XLOOKUP(G135,'[1]T&amp;C emissions for 2050 analysis'!$B$3:$B$23,'[1]T&amp;C emissions for 2050 analysis'!$C$3:$C$23)</f>
        <v>0.18333333333333335</v>
      </c>
      <c r="I135" s="27">
        <f t="shared" si="6"/>
        <v>3.5965017000000005E-3</v>
      </c>
      <c r="J135" s="129">
        <f t="shared" si="7"/>
        <v>0.28710000000000002</v>
      </c>
    </row>
    <row r="136" spans="1:10" hidden="1" x14ac:dyDescent="0.35">
      <c r="A136" s="126" t="s">
        <v>370</v>
      </c>
      <c r="B136" t="str">
        <f>_xlfn.XLOOKUP(A136,'[1]2050Pop'!$A$7:$A$143,'[1]2050Pop'!$D$7:$D$143)</f>
        <v>Euro/AU/NZ</v>
      </c>
      <c r="C136" s="127">
        <f>1000*_xlfn.XLOOKUP(A136,'[1]2050Pop'!$A$7:$A$143,'[1]2050Pop'!$C$7:$C$143)</f>
        <v>3069</v>
      </c>
      <c r="D136" s="126" t="s">
        <v>480</v>
      </c>
      <c r="E136" s="128">
        <v>17.663</v>
      </c>
      <c r="F136" s="129">
        <f t="shared" si="8"/>
        <v>5.4207747000000001E-2</v>
      </c>
      <c r="G136" t="str">
        <f>_xlfn.XLOOKUP(D136,'[1]2050 BAU Mapping to T &amp; C'!$A$3:$A$52,'[1]2050 BAU Mapping to T &amp; C'!$B$3:$B$52)</f>
        <v xml:space="preserve">Other cereals </v>
      </c>
      <c r="H136" s="129">
        <f>_xlfn.XLOOKUP(G136,'[1]T&amp;C emissions for 2050 analysis'!$B$3:$B$23,'[1]T&amp;C emissions for 2050 analysis'!$C$3:$C$23)</f>
        <v>0.18333333333333335</v>
      </c>
      <c r="I136" s="27">
        <f t="shared" si="6"/>
        <v>9.938086950000001E-3</v>
      </c>
      <c r="J136" s="129">
        <f t="shared" si="7"/>
        <v>3.2382166666666672</v>
      </c>
    </row>
    <row r="137" spans="1:10" hidden="1" x14ac:dyDescent="0.35">
      <c r="A137" s="126" t="s">
        <v>371</v>
      </c>
      <c r="B137" t="str">
        <f>_xlfn.XLOOKUP(A137,'[1]2050Pop'!$A$7:$A$143,'[1]2050Pop'!$D$7:$D$143)</f>
        <v>SSA</v>
      </c>
      <c r="C137" s="127">
        <f>1000*_xlfn.XLOOKUP(A137,'[1]2050Pop'!$A$7:$A$143,'[1]2050Pop'!$C$7:$C$143)</f>
        <v>3389</v>
      </c>
      <c r="D137" s="126" t="s">
        <v>480</v>
      </c>
      <c r="E137" s="128">
        <v>12.895</v>
      </c>
      <c r="F137" s="129">
        <f t="shared" si="8"/>
        <v>4.3701154999999998E-2</v>
      </c>
      <c r="G137" t="str">
        <f>_xlfn.XLOOKUP(D137,'[1]2050 BAU Mapping to T &amp; C'!$A$3:$A$52,'[1]2050 BAU Mapping to T &amp; C'!$B$3:$B$52)</f>
        <v xml:space="preserve">Other cereals </v>
      </c>
      <c r="H137" s="129">
        <f>_xlfn.XLOOKUP(G137,'[1]T&amp;C emissions for 2050 analysis'!$B$3:$B$23,'[1]T&amp;C emissions for 2050 analysis'!$C$3:$C$23)</f>
        <v>0.18333333333333335</v>
      </c>
      <c r="I137" s="27">
        <f t="shared" si="6"/>
        <v>8.0118784166666665E-3</v>
      </c>
      <c r="J137" s="129">
        <f t="shared" si="7"/>
        <v>2.3640833333333333</v>
      </c>
    </row>
    <row r="138" spans="1:10" hidden="1" x14ac:dyDescent="0.35">
      <c r="A138" s="126" t="s">
        <v>373</v>
      </c>
      <c r="B138" t="str">
        <f>_xlfn.XLOOKUP(A138,'[1]2050Pop'!$A$7:$A$143,'[1]2050Pop'!$D$7:$D$143)</f>
        <v>Euro/AU/NZ</v>
      </c>
      <c r="C138" s="127">
        <f>1000*_xlfn.XLOOKUP(A138,'[1]2050Pop'!$A$7:$A$143,'[1]2050Pop'!$C$7:$C$143)</f>
        <v>5154</v>
      </c>
      <c r="D138" s="126" t="s">
        <v>480</v>
      </c>
      <c r="E138" s="128">
        <v>4.8529999999999998</v>
      </c>
      <c r="F138" s="129">
        <f t="shared" si="8"/>
        <v>2.5012361999999996E-2</v>
      </c>
      <c r="G138" t="str">
        <f>_xlfn.XLOOKUP(D138,'[1]2050 BAU Mapping to T &amp; C'!$A$3:$A$52,'[1]2050 BAU Mapping to T &amp; C'!$B$3:$B$52)</f>
        <v xml:space="preserve">Other cereals </v>
      </c>
      <c r="H138" s="129">
        <f>_xlfn.XLOOKUP(G138,'[1]T&amp;C emissions for 2050 analysis'!$B$3:$B$23,'[1]T&amp;C emissions for 2050 analysis'!$C$3:$C$23)</f>
        <v>0.18333333333333335</v>
      </c>
      <c r="I138" s="27">
        <f t="shared" si="6"/>
        <v>4.5855996999999999E-3</v>
      </c>
      <c r="J138" s="129">
        <f t="shared" si="7"/>
        <v>0.88971666666666671</v>
      </c>
    </row>
    <row r="139" spans="1:10" hidden="1" x14ac:dyDescent="0.35">
      <c r="A139" s="126" t="s">
        <v>374</v>
      </c>
      <c r="B139" t="str">
        <f>_xlfn.XLOOKUP(A139,'[1]2050Pop'!$A$7:$A$143,'[1]2050Pop'!$D$7:$D$143)</f>
        <v>APAC</v>
      </c>
      <c r="C139" s="127">
        <f>1000*_xlfn.XLOOKUP(A139,'[1]2050Pop'!$A$7:$A$143,'[1]2050Pop'!$C$7:$C$143)</f>
        <v>22545</v>
      </c>
      <c r="D139" s="126" t="s">
        <v>480</v>
      </c>
      <c r="E139" s="128">
        <v>1.2410000000000001</v>
      </c>
      <c r="F139" s="129">
        <f t="shared" si="8"/>
        <v>2.7978345000000002E-2</v>
      </c>
      <c r="G139" t="str">
        <f>_xlfn.XLOOKUP(D139,'[1]2050 BAU Mapping to T &amp; C'!$A$3:$A$52,'[1]2050 BAU Mapping to T &amp; C'!$B$3:$B$52)</f>
        <v xml:space="preserve">Other cereals </v>
      </c>
      <c r="H139" s="129">
        <f>_xlfn.XLOOKUP(G139,'[1]T&amp;C emissions for 2050 analysis'!$B$3:$B$23,'[1]T&amp;C emissions for 2050 analysis'!$C$3:$C$23)</f>
        <v>0.18333333333333335</v>
      </c>
      <c r="I139" s="27">
        <f t="shared" si="6"/>
        <v>5.1293632500000004E-3</v>
      </c>
      <c r="J139" s="129">
        <f t="shared" si="7"/>
        <v>0.2275166666666667</v>
      </c>
    </row>
    <row r="140" spans="1:10" hidden="1" x14ac:dyDescent="0.35">
      <c r="A140" s="126" t="s">
        <v>375</v>
      </c>
      <c r="B140" t="str">
        <f>_xlfn.XLOOKUP(A140,'[1]2050Pop'!$A$7:$A$143,'[1]2050Pop'!$D$7:$D$143)</f>
        <v>SSA</v>
      </c>
      <c r="C140" s="127">
        <f>1000*_xlfn.XLOOKUP(A140,'[1]2050Pop'!$A$7:$A$143,'[1]2050Pop'!$C$7:$C$143)</f>
        <v>48362</v>
      </c>
      <c r="D140" s="126" t="s">
        <v>480</v>
      </c>
      <c r="E140" s="128">
        <v>4.9390000000000001</v>
      </c>
      <c r="F140" s="129">
        <f t="shared" si="8"/>
        <v>0.238859918</v>
      </c>
      <c r="G140" t="str">
        <f>_xlfn.XLOOKUP(D140,'[1]2050 BAU Mapping to T &amp; C'!$A$3:$A$52,'[1]2050 BAU Mapping to T &amp; C'!$B$3:$B$52)</f>
        <v xml:space="preserve">Other cereals </v>
      </c>
      <c r="H140" s="129">
        <f>_xlfn.XLOOKUP(G140,'[1]T&amp;C emissions for 2050 analysis'!$B$3:$B$23,'[1]T&amp;C emissions for 2050 analysis'!$C$3:$C$23)</f>
        <v>0.18333333333333335</v>
      </c>
      <c r="I140" s="27">
        <f t="shared" si="6"/>
        <v>4.3790984966666668E-2</v>
      </c>
      <c r="J140" s="129">
        <f t="shared" si="7"/>
        <v>0.90548333333333342</v>
      </c>
    </row>
    <row r="141" spans="1:10" hidden="1" x14ac:dyDescent="0.35">
      <c r="A141" s="126" t="s">
        <v>376</v>
      </c>
      <c r="B141" t="str">
        <f>_xlfn.XLOOKUP(A141,'[1]2050Pop'!$A$7:$A$143,'[1]2050Pop'!$D$7:$D$143)</f>
        <v>NAm</v>
      </c>
      <c r="C141" s="127">
        <f>1000*_xlfn.XLOOKUP(A141,'[1]2050Pop'!$A$7:$A$143,'[1]2050Pop'!$C$7:$C$143)</f>
        <v>44136</v>
      </c>
      <c r="D141" s="126" t="s">
        <v>480</v>
      </c>
      <c r="E141" s="128">
        <v>1.8740000000000001</v>
      </c>
      <c r="F141" s="129">
        <f t="shared" si="8"/>
        <v>8.2710863999999995E-2</v>
      </c>
      <c r="G141" t="str">
        <f>_xlfn.XLOOKUP(D141,'[1]2050 BAU Mapping to T &amp; C'!$A$3:$A$52,'[1]2050 BAU Mapping to T &amp; C'!$B$3:$B$52)</f>
        <v xml:space="preserve">Other cereals </v>
      </c>
      <c r="H141" s="129">
        <f>_xlfn.XLOOKUP(G141,'[1]T&amp;C emissions for 2050 analysis'!$B$3:$B$23,'[1]T&amp;C emissions for 2050 analysis'!$C$3:$C$23)</f>
        <v>0.18333333333333335</v>
      </c>
      <c r="I141" s="27">
        <f t="shared" si="6"/>
        <v>1.51636584E-2</v>
      </c>
      <c r="J141" s="129">
        <f t="shared" si="7"/>
        <v>0.34356666666666669</v>
      </c>
    </row>
    <row r="142" spans="1:10" hidden="1" x14ac:dyDescent="0.35">
      <c r="A142" s="126" t="s">
        <v>378</v>
      </c>
      <c r="B142" t="str">
        <f>_xlfn.XLOOKUP(A142,'[1]2050Pop'!$A$7:$A$143,'[1]2050Pop'!$D$7:$D$143)</f>
        <v>LatAm &amp; RSA</v>
      </c>
      <c r="C142" s="127">
        <f>1000*_xlfn.XLOOKUP(A142,'[1]2050Pop'!$A$7:$A$143,'[1]2050Pop'!$C$7:$C$143)</f>
        <v>21601</v>
      </c>
      <c r="D142" s="126" t="s">
        <v>480</v>
      </c>
      <c r="E142" s="128">
        <v>6.5880000000000001</v>
      </c>
      <c r="F142" s="129">
        <f t="shared" si="8"/>
        <v>0.14230738800000001</v>
      </c>
      <c r="G142" t="str">
        <f>_xlfn.XLOOKUP(D142,'[1]2050 BAU Mapping to T &amp; C'!$A$3:$A$52,'[1]2050 BAU Mapping to T &amp; C'!$B$3:$B$52)</f>
        <v xml:space="preserve">Other cereals </v>
      </c>
      <c r="H142" s="129">
        <f>_xlfn.XLOOKUP(G142,'[1]T&amp;C emissions for 2050 analysis'!$B$3:$B$23,'[1]T&amp;C emissions for 2050 analysis'!$C$3:$C$23)</f>
        <v>0.18333333333333335</v>
      </c>
      <c r="I142" s="27">
        <f t="shared" si="6"/>
        <v>2.6089687800000004E-2</v>
      </c>
      <c r="J142" s="129">
        <f t="shared" si="7"/>
        <v>1.2078000000000002</v>
      </c>
    </row>
    <row r="143" spans="1:10" hidden="1" x14ac:dyDescent="0.35">
      <c r="A143" s="126" t="s">
        <v>380</v>
      </c>
      <c r="B143" t="str">
        <f>_xlfn.XLOOKUP(A143,'[1]2050Pop'!$A$7:$A$143,'[1]2050Pop'!$D$7:$D$143)</f>
        <v>Greater China</v>
      </c>
      <c r="C143" s="127">
        <f>1000*_xlfn.XLOOKUP(A143,'[1]2050Pop'!$A$7:$A$143,'[1]2050Pop'!$C$7:$C$143)</f>
        <v>1348056</v>
      </c>
      <c r="D143" s="126" t="s">
        <v>480</v>
      </c>
      <c r="E143" s="128">
        <v>1.1259999999999999</v>
      </c>
      <c r="F143" s="129">
        <f t="shared" si="8"/>
        <v>1.5179110559999998</v>
      </c>
      <c r="G143" t="str">
        <f>_xlfn.XLOOKUP(D143,'[1]2050 BAU Mapping to T &amp; C'!$A$3:$A$52,'[1]2050 BAU Mapping to T &amp; C'!$B$3:$B$52)</f>
        <v xml:space="preserve">Other cereals </v>
      </c>
      <c r="H143" s="129">
        <f>_xlfn.XLOOKUP(G143,'[1]T&amp;C emissions for 2050 analysis'!$B$3:$B$23,'[1]T&amp;C emissions for 2050 analysis'!$C$3:$C$23)</f>
        <v>0.18333333333333335</v>
      </c>
      <c r="I143" s="27">
        <f t="shared" si="6"/>
        <v>0.27828369359999999</v>
      </c>
      <c r="J143" s="129">
        <f t="shared" si="7"/>
        <v>0.20643333333333333</v>
      </c>
    </row>
    <row r="144" spans="1:10" hidden="1" x14ac:dyDescent="0.35">
      <c r="A144" s="126" t="s">
        <v>381</v>
      </c>
      <c r="B144" t="str">
        <f>_xlfn.XLOOKUP(A144,'[1]2050Pop'!$A$7:$A$143,'[1]2050Pop'!$D$7:$D$143)</f>
        <v>Greater China</v>
      </c>
      <c r="C144" s="127">
        <f>1000*_xlfn.XLOOKUP(A144,'[1]2050Pop'!$A$7:$A$143,'[1]2050Pop'!$C$7:$C$143)</f>
        <v>20778</v>
      </c>
      <c r="D144" s="126" t="s">
        <v>480</v>
      </c>
      <c r="E144" s="128">
        <v>9.7550000000000008</v>
      </c>
      <c r="F144" s="129">
        <f t="shared" si="8"/>
        <v>0.20268939000000002</v>
      </c>
      <c r="G144" t="str">
        <f>_xlfn.XLOOKUP(D144,'[1]2050 BAU Mapping to T &amp; C'!$A$3:$A$52,'[1]2050 BAU Mapping to T &amp; C'!$B$3:$B$52)</f>
        <v xml:space="preserve">Other cereals </v>
      </c>
      <c r="H144" s="129">
        <f>_xlfn.XLOOKUP(G144,'[1]T&amp;C emissions for 2050 analysis'!$B$3:$B$23,'[1]T&amp;C emissions for 2050 analysis'!$C$3:$C$23)</f>
        <v>0.18333333333333335</v>
      </c>
      <c r="I144" s="27">
        <f t="shared" si="6"/>
        <v>3.7159721500000006E-2</v>
      </c>
      <c r="J144" s="129">
        <f t="shared" si="7"/>
        <v>1.788416666666667</v>
      </c>
    </row>
    <row r="145" spans="1:10" hidden="1" x14ac:dyDescent="0.35">
      <c r="A145" s="126" t="s">
        <v>382</v>
      </c>
      <c r="B145" t="str">
        <f>_xlfn.XLOOKUP(A145,'[1]2050Pop'!$A$7:$A$143,'[1]2050Pop'!$D$7:$D$143)</f>
        <v>LatAm &amp; RSA</v>
      </c>
      <c r="C145" s="127">
        <f>1000*_xlfn.XLOOKUP(A145,'[1]2050Pop'!$A$7:$A$143,'[1]2050Pop'!$C$7:$C$143)</f>
        <v>54927</v>
      </c>
      <c r="D145" s="126" t="s">
        <v>480</v>
      </c>
      <c r="E145" s="128">
        <v>7.8319999999999999</v>
      </c>
      <c r="F145" s="129">
        <f t="shared" si="8"/>
        <v>0.43018826399999999</v>
      </c>
      <c r="G145" t="str">
        <f>_xlfn.XLOOKUP(D145,'[1]2050 BAU Mapping to T &amp; C'!$A$3:$A$52,'[1]2050 BAU Mapping to T &amp; C'!$B$3:$B$52)</f>
        <v xml:space="preserve">Other cereals </v>
      </c>
      <c r="H145" s="129">
        <f>_xlfn.XLOOKUP(G145,'[1]T&amp;C emissions for 2050 analysis'!$B$3:$B$23,'[1]T&amp;C emissions for 2050 analysis'!$C$3:$C$23)</f>
        <v>0.18333333333333335</v>
      </c>
      <c r="I145" s="27">
        <f t="shared" si="6"/>
        <v>7.886784840000001E-2</v>
      </c>
      <c r="J145" s="129">
        <f t="shared" si="7"/>
        <v>1.4358666666666668</v>
      </c>
    </row>
    <row r="146" spans="1:10" hidden="1" x14ac:dyDescent="0.35">
      <c r="A146" s="126" t="s">
        <v>383</v>
      </c>
      <c r="B146" t="str">
        <f>_xlfn.XLOOKUP(A146,'[1]2050Pop'!$A$7:$A$143,'[1]2050Pop'!$D$7:$D$143)</f>
        <v>LatAm &amp; RSA</v>
      </c>
      <c r="C146" s="127">
        <f>1000*_xlfn.XLOOKUP(A146,'[1]2050Pop'!$A$7:$A$143,'[1]2050Pop'!$C$7:$C$143)</f>
        <v>5759</v>
      </c>
      <c r="D146" s="126" t="s">
        <v>480</v>
      </c>
      <c r="E146" s="128">
        <v>22.247</v>
      </c>
      <c r="F146" s="129">
        <f t="shared" si="8"/>
        <v>0.12812047299999998</v>
      </c>
      <c r="G146" t="str">
        <f>_xlfn.XLOOKUP(D146,'[1]2050 BAU Mapping to T &amp; C'!$A$3:$A$52,'[1]2050 BAU Mapping to T &amp; C'!$B$3:$B$52)</f>
        <v xml:space="preserve">Other cereals </v>
      </c>
      <c r="H146" s="129">
        <f>_xlfn.XLOOKUP(G146,'[1]T&amp;C emissions for 2050 analysis'!$B$3:$B$23,'[1]T&amp;C emissions for 2050 analysis'!$C$3:$C$23)</f>
        <v>0.18333333333333335</v>
      </c>
      <c r="I146" s="27">
        <f t="shared" si="6"/>
        <v>2.3488753383333331E-2</v>
      </c>
      <c r="J146" s="129">
        <f t="shared" si="7"/>
        <v>4.078616666666667</v>
      </c>
    </row>
    <row r="147" spans="1:10" hidden="1" x14ac:dyDescent="0.35">
      <c r="A147" s="126" t="s">
        <v>385</v>
      </c>
      <c r="B147" t="str">
        <f>_xlfn.XLOOKUP(A147,'[1]2050Pop'!$A$7:$A$143,'[1]2050Pop'!$D$7:$D$143)</f>
        <v>Euro/AU/NZ</v>
      </c>
      <c r="C147" s="127">
        <f>1000*_xlfn.XLOOKUP(A147,'[1]2050Pop'!$A$7:$A$143,'[1]2050Pop'!$C$7:$C$143)</f>
        <v>3554</v>
      </c>
      <c r="D147" s="126" t="s">
        <v>480</v>
      </c>
      <c r="E147" s="128">
        <v>3.7989999999999999</v>
      </c>
      <c r="F147" s="129">
        <f t="shared" si="8"/>
        <v>1.3501646000000001E-2</v>
      </c>
      <c r="G147" t="str">
        <f>_xlfn.XLOOKUP(D147,'[1]2050 BAU Mapping to T &amp; C'!$A$3:$A$52,'[1]2050 BAU Mapping to T &amp; C'!$B$3:$B$52)</f>
        <v xml:space="preserve">Other cereals </v>
      </c>
      <c r="H147" s="129">
        <f>_xlfn.XLOOKUP(G147,'[1]T&amp;C emissions for 2050 analysis'!$B$3:$B$23,'[1]T&amp;C emissions for 2050 analysis'!$C$3:$C$23)</f>
        <v>0.18333333333333335</v>
      </c>
      <c r="I147" s="27">
        <f t="shared" si="6"/>
        <v>2.4753017666666668E-3</v>
      </c>
      <c r="J147" s="129">
        <f t="shared" si="7"/>
        <v>0.69648333333333334</v>
      </c>
    </row>
    <row r="148" spans="1:10" hidden="1" x14ac:dyDescent="0.35">
      <c r="A148" s="126" t="s">
        <v>387</v>
      </c>
      <c r="B148" t="str">
        <f>_xlfn.XLOOKUP(A148,'[1]2050Pop'!$A$7:$A$143,'[1]2050Pop'!$D$7:$D$143)</f>
        <v>Euro/AU/NZ</v>
      </c>
      <c r="C148" s="127">
        <f>1000*_xlfn.XLOOKUP(A148,'[1]2050Pop'!$A$7:$A$143,'[1]2050Pop'!$C$7:$C$143)</f>
        <v>9965</v>
      </c>
      <c r="D148" s="126" t="s">
        <v>480</v>
      </c>
      <c r="E148" s="128">
        <v>0.90100000000000002</v>
      </c>
      <c r="F148" s="129">
        <f t="shared" si="8"/>
        <v>8.9784649999999997E-3</v>
      </c>
      <c r="G148" t="str">
        <f>_xlfn.XLOOKUP(D148,'[1]2050 BAU Mapping to T &amp; C'!$A$3:$A$52,'[1]2050 BAU Mapping to T &amp; C'!$B$3:$B$52)</f>
        <v xml:space="preserve">Other cereals </v>
      </c>
      <c r="H148" s="129">
        <f>_xlfn.XLOOKUP(G148,'[1]T&amp;C emissions for 2050 analysis'!$B$3:$B$23,'[1]T&amp;C emissions for 2050 analysis'!$C$3:$C$23)</f>
        <v>0.18333333333333335</v>
      </c>
      <c r="I148" s="27">
        <f t="shared" si="6"/>
        <v>1.6460519166666668E-3</v>
      </c>
      <c r="J148" s="129">
        <f t="shared" si="7"/>
        <v>0.16518333333333335</v>
      </c>
    </row>
    <row r="149" spans="1:10" hidden="1" x14ac:dyDescent="0.35">
      <c r="A149" s="126" t="s">
        <v>481</v>
      </c>
      <c r="B149" t="str">
        <f>_xlfn.XLOOKUP(A149,'[1]2050Pop'!$A$7:$A$143,'[1]2050Pop'!$D$7:$D$143)</f>
        <v>APAC</v>
      </c>
      <c r="C149" s="127">
        <f>1000*_xlfn.XLOOKUP(A149,'[1]2050Pop'!$A$7:$A$143,'[1]2050Pop'!$C$7:$C$143)</f>
        <v>26907</v>
      </c>
      <c r="D149" s="126" t="s">
        <v>480</v>
      </c>
      <c r="E149" s="130">
        <v>8.27</v>
      </c>
      <c r="F149" s="129">
        <f t="shared" si="8"/>
        <v>0.22252088999999997</v>
      </c>
      <c r="G149" t="str">
        <f>_xlfn.XLOOKUP(D149,'[1]2050 BAU Mapping to T &amp; C'!$A$3:$A$52,'[1]2050 BAU Mapping to T &amp; C'!$B$3:$B$52)</f>
        <v xml:space="preserve">Other cereals </v>
      </c>
      <c r="H149" s="129">
        <f>_xlfn.XLOOKUP(G149,'[1]T&amp;C emissions for 2050 analysis'!$B$3:$B$23,'[1]T&amp;C emissions for 2050 analysis'!$C$3:$C$23)</f>
        <v>0.18333333333333335</v>
      </c>
      <c r="I149" s="27">
        <f t="shared" si="6"/>
        <v>4.07954965E-2</v>
      </c>
      <c r="J149" s="129">
        <f t="shared" si="7"/>
        <v>1.5161666666666667</v>
      </c>
    </row>
    <row r="150" spans="1:10" hidden="1" x14ac:dyDescent="0.35">
      <c r="A150" s="126" t="s">
        <v>391</v>
      </c>
      <c r="B150" t="str">
        <f>_xlfn.XLOOKUP(A150,'[1]2050Pop'!$A$7:$A$143,'[1]2050Pop'!$D$7:$D$143)</f>
        <v>MENA</v>
      </c>
      <c r="C150" s="127">
        <f>1000*_xlfn.XLOOKUP(A150,'[1]2050Pop'!$A$7:$A$143,'[1]2050Pop'!$C$7:$C$143)</f>
        <v>151111</v>
      </c>
      <c r="D150" s="126" t="s">
        <v>480</v>
      </c>
      <c r="E150" s="128">
        <v>1.623</v>
      </c>
      <c r="F150" s="129">
        <f t="shared" si="8"/>
        <v>0.245253153</v>
      </c>
      <c r="G150" t="str">
        <f>_xlfn.XLOOKUP(D150,'[1]2050 BAU Mapping to T &amp; C'!$A$3:$A$52,'[1]2050 BAU Mapping to T &amp; C'!$B$3:$B$52)</f>
        <v xml:space="preserve">Other cereals </v>
      </c>
      <c r="H150" s="129">
        <f>_xlfn.XLOOKUP(G150,'[1]T&amp;C emissions for 2050 analysis'!$B$3:$B$23,'[1]T&amp;C emissions for 2050 analysis'!$C$3:$C$23)</f>
        <v>0.18333333333333335</v>
      </c>
      <c r="I150" s="27">
        <f t="shared" si="6"/>
        <v>4.4963078050000001E-2</v>
      </c>
      <c r="J150" s="129">
        <f t="shared" si="7"/>
        <v>0.29755000000000004</v>
      </c>
    </row>
    <row r="151" spans="1:10" hidden="1" x14ac:dyDescent="0.35">
      <c r="A151" s="126" t="s">
        <v>393</v>
      </c>
      <c r="B151" t="str">
        <f>_xlfn.XLOOKUP(A151,'[1]2050Pop'!$A$7:$A$143,'[1]2050Pop'!$D$7:$D$143)</f>
        <v>Euro/AU/NZ</v>
      </c>
      <c r="C151" s="127">
        <f>1000*_xlfn.XLOOKUP(A151,'[1]2050Pop'!$A$7:$A$143,'[1]2050Pop'!$C$7:$C$143)</f>
        <v>1129</v>
      </c>
      <c r="D151" s="126" t="s">
        <v>480</v>
      </c>
      <c r="E151" s="128">
        <v>29.324999999999999</v>
      </c>
      <c r="F151" s="129">
        <f t="shared" si="8"/>
        <v>3.3107924999999996E-2</v>
      </c>
      <c r="G151" t="str">
        <f>_xlfn.XLOOKUP(D151,'[1]2050 BAU Mapping to T &amp; C'!$A$3:$A$52,'[1]2050 BAU Mapping to T &amp; C'!$B$3:$B$52)</f>
        <v xml:space="preserve">Other cereals </v>
      </c>
      <c r="H151" s="129">
        <f>_xlfn.XLOOKUP(G151,'[1]T&amp;C emissions for 2050 analysis'!$B$3:$B$23,'[1]T&amp;C emissions for 2050 analysis'!$C$3:$C$23)</f>
        <v>0.18333333333333335</v>
      </c>
      <c r="I151" s="27">
        <f t="shared" si="6"/>
        <v>6.0697862499999996E-3</v>
      </c>
      <c r="J151" s="129">
        <f t="shared" si="7"/>
        <v>5.3762500000000006</v>
      </c>
    </row>
    <row r="152" spans="1:10" hidden="1" x14ac:dyDescent="0.35">
      <c r="A152" s="126" t="s">
        <v>394</v>
      </c>
      <c r="B152" t="str">
        <f>_xlfn.XLOOKUP(A152,'[1]2050Pop'!$A$7:$A$143,'[1]2050Pop'!$D$7:$D$143)</f>
        <v>SSA</v>
      </c>
      <c r="C152" s="127">
        <f>1000*_xlfn.XLOOKUP(A152,'[1]2050Pop'!$A$7:$A$143,'[1]2050Pop'!$C$7:$C$143)</f>
        <v>188455</v>
      </c>
      <c r="D152" s="126" t="s">
        <v>480</v>
      </c>
      <c r="E152" s="128">
        <v>148.76400000000001</v>
      </c>
      <c r="F152" s="129">
        <f t="shared" si="8"/>
        <v>28.035319620000003</v>
      </c>
      <c r="G152" t="str">
        <f>_xlfn.XLOOKUP(D152,'[1]2050 BAU Mapping to T &amp; C'!$A$3:$A$52,'[1]2050 BAU Mapping to T &amp; C'!$B$3:$B$52)</f>
        <v xml:space="preserve">Other cereals </v>
      </c>
      <c r="H152" s="129">
        <f>_xlfn.XLOOKUP(G152,'[1]T&amp;C emissions for 2050 analysis'!$B$3:$B$23,'[1]T&amp;C emissions for 2050 analysis'!$C$3:$C$23)</f>
        <v>0.18333333333333335</v>
      </c>
      <c r="I152" s="27">
        <f t="shared" si="6"/>
        <v>5.1398085970000009</v>
      </c>
      <c r="J152" s="129">
        <f t="shared" si="7"/>
        <v>27.273400000000002</v>
      </c>
    </row>
    <row r="153" spans="1:10" hidden="1" x14ac:dyDescent="0.35">
      <c r="A153" s="126" t="s">
        <v>395</v>
      </c>
      <c r="B153" t="str">
        <f>_xlfn.XLOOKUP(A153,'[1]2050Pop'!$A$7:$A$143,'[1]2050Pop'!$D$7:$D$143)</f>
        <v>Euro/AU/NZ</v>
      </c>
      <c r="C153" s="127">
        <f>1000*_xlfn.XLOOKUP(A153,'[1]2050Pop'!$A$7:$A$143,'[1]2050Pop'!$C$7:$C$143)</f>
        <v>5752</v>
      </c>
      <c r="D153" s="126" t="s">
        <v>480</v>
      </c>
      <c r="E153" s="128">
        <v>32.953000000000003</v>
      </c>
      <c r="F153" s="129">
        <f t="shared" si="8"/>
        <v>0.18954565600000001</v>
      </c>
      <c r="G153" t="str">
        <f>_xlfn.XLOOKUP(D153,'[1]2050 BAU Mapping to T &amp; C'!$A$3:$A$52,'[1]2050 BAU Mapping to T &amp; C'!$B$3:$B$52)</f>
        <v xml:space="preserve">Other cereals </v>
      </c>
      <c r="H153" s="129">
        <f>_xlfn.XLOOKUP(G153,'[1]T&amp;C emissions for 2050 analysis'!$B$3:$B$23,'[1]T&amp;C emissions for 2050 analysis'!$C$3:$C$23)</f>
        <v>0.18333333333333335</v>
      </c>
      <c r="I153" s="27">
        <f t="shared" si="6"/>
        <v>3.4750036933333339E-2</v>
      </c>
      <c r="J153" s="129">
        <f t="shared" si="7"/>
        <v>6.041383333333334</v>
      </c>
    </row>
    <row r="154" spans="1:10" hidden="1" x14ac:dyDescent="0.35">
      <c r="A154" s="126" t="s">
        <v>396</v>
      </c>
      <c r="B154" t="str">
        <f>_xlfn.XLOOKUP(A154,'[1]2050Pop'!$A$7:$A$143,'[1]2050Pop'!$D$7:$D$143)</f>
        <v>Euro/AU/NZ</v>
      </c>
      <c r="C154" s="127">
        <f>1000*_xlfn.XLOOKUP(A154,'[1]2050Pop'!$A$7:$A$143,'[1]2050Pop'!$C$7:$C$143)</f>
        <v>71137</v>
      </c>
      <c r="D154" s="126" t="s">
        <v>480</v>
      </c>
      <c r="E154" s="128">
        <v>4.4329999999999998</v>
      </c>
      <c r="F154" s="129">
        <f t="shared" si="8"/>
        <v>0.31535032099999999</v>
      </c>
      <c r="G154" t="str">
        <f>_xlfn.XLOOKUP(D154,'[1]2050 BAU Mapping to T &amp; C'!$A$3:$A$52,'[1]2050 BAU Mapping to T &amp; C'!$B$3:$B$52)</f>
        <v xml:space="preserve">Other cereals </v>
      </c>
      <c r="H154" s="129">
        <f>_xlfn.XLOOKUP(G154,'[1]T&amp;C emissions for 2050 analysis'!$B$3:$B$23,'[1]T&amp;C emissions for 2050 analysis'!$C$3:$C$23)</f>
        <v>0.18333333333333335</v>
      </c>
      <c r="I154" s="27">
        <f t="shared" si="6"/>
        <v>5.7814225516666672E-2</v>
      </c>
      <c r="J154" s="129">
        <f t="shared" si="7"/>
        <v>0.81271666666666675</v>
      </c>
    </row>
    <row r="155" spans="1:10" hidden="1" x14ac:dyDescent="0.35">
      <c r="A155" s="126" t="s">
        <v>397</v>
      </c>
      <c r="B155" t="str">
        <f>_xlfn.XLOOKUP(A155,'[1]2050Pop'!$A$7:$A$143,'[1]2050Pop'!$D$7:$D$143)</f>
        <v>SSA</v>
      </c>
      <c r="C155" s="127">
        <f>1000*_xlfn.XLOOKUP(A155,'[1]2050Pop'!$A$7:$A$143,'[1]2050Pop'!$C$7:$C$143)</f>
        <v>3164</v>
      </c>
      <c r="D155" s="126" t="s">
        <v>480</v>
      </c>
      <c r="E155" s="128">
        <v>10.952</v>
      </c>
      <c r="F155" s="129">
        <f t="shared" si="8"/>
        <v>3.4652127999999997E-2</v>
      </c>
      <c r="G155" t="str">
        <f>_xlfn.XLOOKUP(D155,'[1]2050 BAU Mapping to T &amp; C'!$A$3:$A$52,'[1]2050 BAU Mapping to T &amp; C'!$B$3:$B$52)</f>
        <v xml:space="preserve">Other cereals </v>
      </c>
      <c r="H155" s="129">
        <f>_xlfn.XLOOKUP(G155,'[1]T&amp;C emissions for 2050 analysis'!$B$3:$B$23,'[1]T&amp;C emissions for 2050 analysis'!$C$3:$C$23)</f>
        <v>0.18333333333333335</v>
      </c>
      <c r="I155" s="27">
        <f t="shared" si="6"/>
        <v>6.352890133333333E-3</v>
      </c>
      <c r="J155" s="129">
        <f t="shared" si="7"/>
        <v>2.0078666666666667</v>
      </c>
    </row>
    <row r="156" spans="1:10" hidden="1" x14ac:dyDescent="0.35">
      <c r="A156" s="126" t="s">
        <v>398</v>
      </c>
      <c r="B156" t="str">
        <f>_xlfn.XLOOKUP(A156,'[1]2050Pop'!$A$7:$A$143,'[1]2050Pop'!$D$7:$D$143)</f>
        <v>MENA</v>
      </c>
      <c r="C156" s="127">
        <f>1000*_xlfn.XLOOKUP(A156,'[1]2050Pop'!$A$7:$A$143,'[1]2050Pop'!$C$7:$C$143)</f>
        <v>3483</v>
      </c>
      <c r="D156" s="126" t="s">
        <v>480</v>
      </c>
      <c r="E156" s="128">
        <v>50.539000000000001</v>
      </c>
      <c r="F156" s="129">
        <f t="shared" si="8"/>
        <v>0.17602733700000001</v>
      </c>
      <c r="G156" t="str">
        <f>_xlfn.XLOOKUP(D156,'[1]2050 BAU Mapping to T &amp; C'!$A$3:$A$52,'[1]2050 BAU Mapping to T &amp; C'!$B$3:$B$52)</f>
        <v xml:space="preserve">Other cereals </v>
      </c>
      <c r="H156" s="129">
        <f>_xlfn.XLOOKUP(G156,'[1]T&amp;C emissions for 2050 analysis'!$B$3:$B$23,'[1]T&amp;C emissions for 2050 analysis'!$C$3:$C$23)</f>
        <v>0.18333333333333335</v>
      </c>
      <c r="I156" s="27">
        <f t="shared" si="6"/>
        <v>3.2271678450000001E-2</v>
      </c>
      <c r="J156" s="129">
        <f t="shared" si="7"/>
        <v>9.265483333333334</v>
      </c>
    </row>
    <row r="157" spans="1:10" hidden="1" x14ac:dyDescent="0.35">
      <c r="A157" s="126" t="s">
        <v>399</v>
      </c>
      <c r="B157" t="str">
        <f>_xlfn.XLOOKUP(A157,'[1]2050Pop'!$A$7:$A$143,'[1]2050Pop'!$D$7:$D$143)</f>
        <v>Euro/AU/NZ</v>
      </c>
      <c r="C157" s="127">
        <f>1000*_xlfn.XLOOKUP(A157,'[1]2050Pop'!$A$7:$A$143,'[1]2050Pop'!$C$7:$C$143)</f>
        <v>74513</v>
      </c>
      <c r="D157" s="126" t="s">
        <v>480</v>
      </c>
      <c r="E157" s="128">
        <v>1.8680000000000001</v>
      </c>
      <c r="F157" s="129">
        <f t="shared" si="8"/>
        <v>0.13919028400000003</v>
      </c>
      <c r="G157" t="str">
        <f>_xlfn.XLOOKUP(D157,'[1]2050 BAU Mapping to T &amp; C'!$A$3:$A$52,'[1]2050 BAU Mapping to T &amp; C'!$B$3:$B$52)</f>
        <v xml:space="preserve">Other cereals </v>
      </c>
      <c r="H157" s="129">
        <f>_xlfn.XLOOKUP(G157,'[1]T&amp;C emissions for 2050 analysis'!$B$3:$B$23,'[1]T&amp;C emissions for 2050 analysis'!$C$3:$C$23)</f>
        <v>0.18333333333333335</v>
      </c>
      <c r="I157" s="27">
        <f t="shared" si="6"/>
        <v>2.5518218733333341E-2</v>
      </c>
      <c r="J157" s="129">
        <f t="shared" si="7"/>
        <v>0.3424666666666667</v>
      </c>
    </row>
    <row r="158" spans="1:10" hidden="1" x14ac:dyDescent="0.35">
      <c r="A158" s="126" t="s">
        <v>400</v>
      </c>
      <c r="B158" t="str">
        <f>_xlfn.XLOOKUP(A158,'[1]2050Pop'!$A$7:$A$143,'[1]2050Pop'!$D$7:$D$143)</f>
        <v>SSA</v>
      </c>
      <c r="C158" s="127">
        <f>1000*_xlfn.XLOOKUP(A158,'[1]2050Pop'!$A$7:$A$143,'[1]2050Pop'!$C$7:$C$143)</f>
        <v>50071</v>
      </c>
      <c r="D158" s="126" t="s">
        <v>480</v>
      </c>
      <c r="E158" s="128">
        <v>1.6120000000000001</v>
      </c>
      <c r="F158" s="129">
        <f t="shared" si="8"/>
        <v>8.0714452000000006E-2</v>
      </c>
      <c r="G158" t="str">
        <f>_xlfn.XLOOKUP(D158,'[1]2050 BAU Mapping to T &amp; C'!$A$3:$A$52,'[1]2050 BAU Mapping to T &amp; C'!$B$3:$B$52)</f>
        <v xml:space="preserve">Other cereals </v>
      </c>
      <c r="H158" s="129">
        <f>_xlfn.XLOOKUP(G158,'[1]T&amp;C emissions for 2050 analysis'!$B$3:$B$23,'[1]T&amp;C emissions for 2050 analysis'!$C$3:$C$23)</f>
        <v>0.18333333333333335</v>
      </c>
      <c r="I158" s="27">
        <f t="shared" si="6"/>
        <v>1.4797649533333335E-2</v>
      </c>
      <c r="J158" s="129">
        <f t="shared" si="7"/>
        <v>0.29553333333333337</v>
      </c>
    </row>
    <row r="159" spans="1:10" hidden="1" x14ac:dyDescent="0.35">
      <c r="A159" s="126" t="s">
        <v>401</v>
      </c>
      <c r="B159" t="str">
        <f>_xlfn.XLOOKUP(A159,'[1]2050Pop'!$A$7:$A$143,'[1]2050Pop'!$D$7:$D$143)</f>
        <v>Euro/AU/NZ</v>
      </c>
      <c r="C159" s="127">
        <f>1000*_xlfn.XLOOKUP(A159,'[1]2050Pop'!$A$7:$A$143,'[1]2050Pop'!$C$7:$C$143)</f>
        <v>9705</v>
      </c>
      <c r="D159" s="126" t="s">
        <v>480</v>
      </c>
      <c r="E159" s="128">
        <v>2.8220000000000001</v>
      </c>
      <c r="F159" s="129">
        <f t="shared" si="8"/>
        <v>2.738751E-2</v>
      </c>
      <c r="G159" t="str">
        <f>_xlfn.XLOOKUP(D159,'[1]2050 BAU Mapping to T &amp; C'!$A$3:$A$52,'[1]2050 BAU Mapping to T &amp; C'!$B$3:$B$52)</f>
        <v xml:space="preserve">Other cereals </v>
      </c>
      <c r="H159" s="129">
        <f>_xlfn.XLOOKUP(G159,'[1]T&amp;C emissions for 2050 analysis'!$B$3:$B$23,'[1]T&amp;C emissions for 2050 analysis'!$C$3:$C$23)</f>
        <v>0.18333333333333335</v>
      </c>
      <c r="I159" s="27">
        <f t="shared" si="6"/>
        <v>5.0210435000000008E-3</v>
      </c>
      <c r="J159" s="129">
        <f t="shared" si="7"/>
        <v>0.51736666666666675</v>
      </c>
    </row>
    <row r="160" spans="1:10" hidden="1" x14ac:dyDescent="0.35">
      <c r="A160" s="126" t="s">
        <v>404</v>
      </c>
      <c r="B160" t="str">
        <f>_xlfn.XLOOKUP(A160,'[1]2050Pop'!$A$7:$A$143,'[1]2050Pop'!$D$7:$D$143)</f>
        <v>LatAm &amp; RSA</v>
      </c>
      <c r="C160" s="127">
        <f>1000*_xlfn.XLOOKUP(A160,'[1]2050Pop'!$A$7:$A$143,'[1]2050Pop'!$C$7:$C$143)</f>
        <v>806</v>
      </c>
      <c r="D160" s="126" t="s">
        <v>480</v>
      </c>
      <c r="E160" s="128">
        <v>0.91800000000000004</v>
      </c>
      <c r="F160" s="129">
        <f t="shared" si="8"/>
        <v>7.3990800000000006E-4</v>
      </c>
      <c r="G160" t="str">
        <f>_xlfn.XLOOKUP(D160,'[1]2050 BAU Mapping to T &amp; C'!$A$3:$A$52,'[1]2050 BAU Mapping to T &amp; C'!$B$3:$B$52)</f>
        <v xml:space="preserve">Other cereals </v>
      </c>
      <c r="H160" s="129">
        <f>_xlfn.XLOOKUP(G160,'[1]T&amp;C emissions for 2050 analysis'!$B$3:$B$23,'[1]T&amp;C emissions for 2050 analysis'!$C$3:$C$23)</f>
        <v>0.18333333333333335</v>
      </c>
      <c r="I160" s="27">
        <f t="shared" si="6"/>
        <v>1.3564980000000003E-4</v>
      </c>
      <c r="J160" s="129">
        <f t="shared" si="7"/>
        <v>0.16830000000000003</v>
      </c>
    </row>
    <row r="161" spans="1:10" hidden="1" x14ac:dyDescent="0.35">
      <c r="A161" s="126" t="s">
        <v>407</v>
      </c>
      <c r="B161" t="str">
        <f>_xlfn.XLOOKUP(A161,'[1]2050Pop'!$A$7:$A$143,'[1]2050Pop'!$D$7:$D$143)</f>
        <v>Euro/AU/NZ</v>
      </c>
      <c r="C161" s="127">
        <f>1000*_xlfn.XLOOKUP(A161,'[1]2050Pop'!$A$7:$A$143,'[1]2050Pop'!$C$7:$C$143)</f>
        <v>8318</v>
      </c>
      <c r="D161" s="126" t="s">
        <v>480</v>
      </c>
      <c r="E161" s="128">
        <v>10.413</v>
      </c>
      <c r="F161" s="129">
        <f t="shared" si="8"/>
        <v>8.6615334000000002E-2</v>
      </c>
      <c r="G161" t="str">
        <f>_xlfn.XLOOKUP(D161,'[1]2050 BAU Mapping to T &amp; C'!$A$3:$A$52,'[1]2050 BAU Mapping to T &amp; C'!$B$3:$B$52)</f>
        <v xml:space="preserve">Other cereals </v>
      </c>
      <c r="H161" s="129">
        <f>_xlfn.XLOOKUP(G161,'[1]T&amp;C emissions for 2050 analysis'!$B$3:$B$23,'[1]T&amp;C emissions for 2050 analysis'!$C$3:$C$23)</f>
        <v>0.18333333333333335</v>
      </c>
      <c r="I161" s="27">
        <f t="shared" si="6"/>
        <v>1.5879477900000001E-2</v>
      </c>
      <c r="J161" s="129">
        <f t="shared" si="7"/>
        <v>1.9090500000000001</v>
      </c>
    </row>
    <row r="162" spans="1:10" hidden="1" x14ac:dyDescent="0.35">
      <c r="A162" s="126" t="s">
        <v>408</v>
      </c>
      <c r="B162" t="str">
        <f>_xlfn.XLOOKUP(A162,'[1]2050Pop'!$A$7:$A$143,'[1]2050Pop'!$D$7:$D$143)</f>
        <v>India/South Asia</v>
      </c>
      <c r="C162" s="127">
        <f>1000*_xlfn.XLOOKUP(A162,'[1]2050Pop'!$A$7:$A$143,'[1]2050Pop'!$C$7:$C$143)</f>
        <v>1705333</v>
      </c>
      <c r="D162" s="126" t="s">
        <v>480</v>
      </c>
      <c r="E162" s="128">
        <v>7.9820000000000002</v>
      </c>
      <c r="F162" s="129">
        <f t="shared" si="8"/>
        <v>13.611968006000001</v>
      </c>
      <c r="G162" t="str">
        <f>_xlfn.XLOOKUP(D162,'[1]2050 BAU Mapping to T &amp; C'!$A$3:$A$52,'[1]2050 BAU Mapping to T &amp; C'!$B$3:$B$52)</f>
        <v xml:space="preserve">Other cereals </v>
      </c>
      <c r="H162" s="129">
        <f>_xlfn.XLOOKUP(G162,'[1]T&amp;C emissions for 2050 analysis'!$B$3:$B$23,'[1]T&amp;C emissions for 2050 analysis'!$C$3:$C$23)</f>
        <v>0.18333333333333335</v>
      </c>
      <c r="I162" s="27">
        <f t="shared" si="6"/>
        <v>2.4955274677666672</v>
      </c>
      <c r="J162" s="129">
        <f t="shared" si="7"/>
        <v>1.4633666666666669</v>
      </c>
    </row>
    <row r="163" spans="1:10" hidden="1" x14ac:dyDescent="0.35">
      <c r="A163" s="126" t="s">
        <v>410</v>
      </c>
      <c r="B163" t="str">
        <f>_xlfn.XLOOKUP(A163,'[1]2050Pop'!$A$7:$A$143,'[1]2050Pop'!$D$7:$D$143)</f>
        <v>India/South Asia</v>
      </c>
      <c r="C163" s="127">
        <f>1000*_xlfn.XLOOKUP(A163,'[1]2050Pop'!$A$7:$A$143,'[1]2050Pop'!$C$7:$C$143)</f>
        <v>92219</v>
      </c>
      <c r="D163" s="126" t="s">
        <v>480</v>
      </c>
      <c r="E163" s="128">
        <v>4.6950000000000003</v>
      </c>
      <c r="F163" s="129">
        <f t="shared" si="8"/>
        <v>0.43296820499999999</v>
      </c>
      <c r="G163" t="str">
        <f>_xlfn.XLOOKUP(D163,'[1]2050 BAU Mapping to T &amp; C'!$A$3:$A$52,'[1]2050 BAU Mapping to T &amp; C'!$B$3:$B$52)</f>
        <v xml:space="preserve">Other cereals </v>
      </c>
      <c r="H163" s="129">
        <f>_xlfn.XLOOKUP(G163,'[1]T&amp;C emissions for 2050 analysis'!$B$3:$B$23,'[1]T&amp;C emissions for 2050 analysis'!$C$3:$C$23)</f>
        <v>0.18333333333333335</v>
      </c>
      <c r="I163" s="27">
        <f t="shared" si="6"/>
        <v>7.9377504250000008E-2</v>
      </c>
      <c r="J163" s="129">
        <f t="shared" si="7"/>
        <v>0.86075000000000013</v>
      </c>
    </row>
    <row r="164" spans="1:10" hidden="1" x14ac:dyDescent="0.35">
      <c r="A164" s="126" t="s">
        <v>411</v>
      </c>
      <c r="B164" t="str">
        <f>_xlfn.XLOOKUP(A164,'[1]2050Pop'!$A$7:$A$143,'[1]2050Pop'!$D$7:$D$143)</f>
        <v>MENA</v>
      </c>
      <c r="C164" s="127">
        <f>1000*_xlfn.XLOOKUP(A164,'[1]2050Pop'!$A$7:$A$143,'[1]2050Pop'!$C$7:$C$143)</f>
        <v>83652</v>
      </c>
      <c r="D164" s="126" t="s">
        <v>480</v>
      </c>
      <c r="E164" s="130">
        <v>41.52</v>
      </c>
      <c r="F164" s="129">
        <f t="shared" si="8"/>
        <v>3.4732310399999999</v>
      </c>
      <c r="G164" t="str">
        <f>_xlfn.XLOOKUP(D164,'[1]2050 BAU Mapping to T &amp; C'!$A$3:$A$52,'[1]2050 BAU Mapping to T &amp; C'!$B$3:$B$52)</f>
        <v xml:space="preserve">Other cereals </v>
      </c>
      <c r="H164" s="129">
        <f>_xlfn.XLOOKUP(G164,'[1]T&amp;C emissions for 2050 analysis'!$B$3:$B$23,'[1]T&amp;C emissions for 2050 analysis'!$C$3:$C$23)</f>
        <v>0.18333333333333335</v>
      </c>
      <c r="I164" s="27">
        <f t="shared" si="6"/>
        <v>0.63675902400000006</v>
      </c>
      <c r="J164" s="129">
        <f t="shared" si="7"/>
        <v>7.612000000000001</v>
      </c>
    </row>
    <row r="165" spans="1:10" hidden="1" x14ac:dyDescent="0.35">
      <c r="A165" s="126" t="s">
        <v>412</v>
      </c>
      <c r="B165" t="str">
        <f>_xlfn.XLOOKUP(A165,'[1]2050Pop'!$A$7:$A$143,'[1]2050Pop'!$D$7:$D$143)</f>
        <v>Euro/AU/NZ</v>
      </c>
      <c r="C165" s="127">
        <f>1000*_xlfn.XLOOKUP(A165,'[1]2050Pop'!$A$7:$A$143,'[1]2050Pop'!$C$7:$C$143)</f>
        <v>5789</v>
      </c>
      <c r="D165" s="126" t="s">
        <v>480</v>
      </c>
      <c r="E165" s="128">
        <v>2.8050000000000002</v>
      </c>
      <c r="F165" s="129">
        <f t="shared" si="8"/>
        <v>1.6238144999999999E-2</v>
      </c>
      <c r="G165" t="str">
        <f>_xlfn.XLOOKUP(D165,'[1]2050 BAU Mapping to T &amp; C'!$A$3:$A$52,'[1]2050 BAU Mapping to T &amp; C'!$B$3:$B$52)</f>
        <v xml:space="preserve">Other cereals </v>
      </c>
      <c r="H165" s="129">
        <f>_xlfn.XLOOKUP(G165,'[1]T&amp;C emissions for 2050 analysis'!$B$3:$B$23,'[1]T&amp;C emissions for 2050 analysis'!$C$3:$C$23)</f>
        <v>0.18333333333333335</v>
      </c>
      <c r="I165" s="27">
        <f t="shared" si="6"/>
        <v>2.9769932500000001E-3</v>
      </c>
      <c r="J165" s="129">
        <f t="shared" si="7"/>
        <v>0.5142500000000001</v>
      </c>
    </row>
    <row r="166" spans="1:10" hidden="1" x14ac:dyDescent="0.35">
      <c r="A166" s="126" t="s">
        <v>413</v>
      </c>
      <c r="B166" t="str">
        <f>_xlfn.XLOOKUP(A166,'[1]2050Pop'!$A$7:$A$143,'[1]2050Pop'!$D$7:$D$143)</f>
        <v>MENA</v>
      </c>
      <c r="C166" s="127">
        <f>1000*_xlfn.XLOOKUP(A166,'[1]2050Pop'!$A$7:$A$143,'[1]2050Pop'!$C$7:$C$143)</f>
        <v>12610</v>
      </c>
      <c r="D166" s="126" t="s">
        <v>480</v>
      </c>
      <c r="E166" s="128">
        <v>3.1509999999999998</v>
      </c>
      <c r="F166" s="129">
        <f t="shared" si="8"/>
        <v>3.9734110000000003E-2</v>
      </c>
      <c r="G166" t="str">
        <f>_xlfn.XLOOKUP(D166,'[1]2050 BAU Mapping to T &amp; C'!$A$3:$A$52,'[1]2050 BAU Mapping to T &amp; C'!$B$3:$B$52)</f>
        <v xml:space="preserve">Other cereals </v>
      </c>
      <c r="H166" s="129">
        <f>_xlfn.XLOOKUP(G166,'[1]T&amp;C emissions for 2050 analysis'!$B$3:$B$23,'[1]T&amp;C emissions for 2050 analysis'!$C$3:$C$23)</f>
        <v>0.18333333333333335</v>
      </c>
      <c r="I166" s="27">
        <f t="shared" si="6"/>
        <v>7.2845868333333346E-3</v>
      </c>
      <c r="J166" s="129">
        <f t="shared" si="7"/>
        <v>0.57768333333333333</v>
      </c>
    </row>
    <row r="167" spans="1:10" hidden="1" x14ac:dyDescent="0.35">
      <c r="A167" s="126" t="s">
        <v>414</v>
      </c>
      <c r="B167" t="str">
        <f>_xlfn.XLOOKUP(A167,'[1]2050Pop'!$A$7:$A$143,'[1]2050Pop'!$D$7:$D$143)</f>
        <v>Euro/AU/NZ</v>
      </c>
      <c r="C167" s="127">
        <f>1000*_xlfn.XLOOKUP(A167,'[1]2050Pop'!$A$7:$A$143,'[1]2050Pop'!$C$7:$C$143)</f>
        <v>56513</v>
      </c>
      <c r="D167" s="126" t="s">
        <v>480</v>
      </c>
      <c r="E167" s="128">
        <v>2.2090000000000001</v>
      </c>
      <c r="F167" s="129">
        <f t="shared" si="8"/>
        <v>0.124837217</v>
      </c>
      <c r="G167" t="str">
        <f>_xlfn.XLOOKUP(D167,'[1]2050 BAU Mapping to T &amp; C'!$A$3:$A$52,'[1]2050 BAU Mapping to T &amp; C'!$B$3:$B$52)</f>
        <v xml:space="preserve">Other cereals </v>
      </c>
      <c r="H167" s="129">
        <f>_xlfn.XLOOKUP(G167,'[1]T&amp;C emissions for 2050 analysis'!$B$3:$B$23,'[1]T&amp;C emissions for 2050 analysis'!$C$3:$C$23)</f>
        <v>0.18333333333333335</v>
      </c>
      <c r="I167" s="27">
        <f t="shared" si="6"/>
        <v>2.288682311666667E-2</v>
      </c>
      <c r="J167" s="129">
        <f t="shared" si="7"/>
        <v>0.40498333333333336</v>
      </c>
    </row>
    <row r="168" spans="1:10" hidden="1" x14ac:dyDescent="0.35">
      <c r="A168" s="126" t="s">
        <v>415</v>
      </c>
      <c r="B168" t="str">
        <f>_xlfn.XLOOKUP(A168,'[1]2050Pop'!$A$7:$A$143,'[1]2050Pop'!$D$7:$D$143)</f>
        <v>LatAm &amp; RSA</v>
      </c>
      <c r="C168" s="127">
        <f>1000*_xlfn.XLOOKUP(A168,'[1]2050Pop'!$A$7:$A$143,'[1]2050Pop'!$C$7:$C$143)</f>
        <v>2710</v>
      </c>
      <c r="D168" s="126" t="s">
        <v>480</v>
      </c>
      <c r="E168" s="128">
        <v>2.3679999999999999</v>
      </c>
      <c r="F168" s="129">
        <f t="shared" si="8"/>
        <v>6.41728E-3</v>
      </c>
      <c r="G168" t="str">
        <f>_xlfn.XLOOKUP(D168,'[1]2050 BAU Mapping to T &amp; C'!$A$3:$A$52,'[1]2050 BAU Mapping to T &amp; C'!$B$3:$B$52)</f>
        <v xml:space="preserve">Other cereals </v>
      </c>
      <c r="H168" s="129">
        <f>_xlfn.XLOOKUP(G168,'[1]T&amp;C emissions for 2050 analysis'!$B$3:$B$23,'[1]T&amp;C emissions for 2050 analysis'!$C$3:$C$23)</f>
        <v>0.18333333333333335</v>
      </c>
      <c r="I168" s="27">
        <f t="shared" si="6"/>
        <v>1.1765013333333335E-3</v>
      </c>
      <c r="J168" s="129">
        <f t="shared" si="7"/>
        <v>0.43413333333333337</v>
      </c>
    </row>
    <row r="169" spans="1:10" hidden="1" x14ac:dyDescent="0.35">
      <c r="A169" s="126" t="s">
        <v>416</v>
      </c>
      <c r="B169" t="str">
        <f>_xlfn.XLOOKUP(A169,'[1]2050Pop'!$A$7:$A$143,'[1]2050Pop'!$D$7:$D$143)</f>
        <v>APAC</v>
      </c>
      <c r="C169" s="127">
        <f>1000*_xlfn.XLOOKUP(A169,'[1]2050Pop'!$A$7:$A$143,'[1]2050Pop'!$C$7:$C$143)</f>
        <v>107411</v>
      </c>
      <c r="D169" s="126" t="s">
        <v>480</v>
      </c>
      <c r="E169" s="128">
        <v>5.1580000000000004</v>
      </c>
      <c r="F169" s="129">
        <f t="shared" si="8"/>
        <v>0.55402593800000011</v>
      </c>
      <c r="G169" t="str">
        <f>_xlfn.XLOOKUP(D169,'[1]2050 BAU Mapping to T &amp; C'!$A$3:$A$52,'[1]2050 BAU Mapping to T &amp; C'!$B$3:$B$52)</f>
        <v xml:space="preserve">Other cereals </v>
      </c>
      <c r="H169" s="129">
        <f>_xlfn.XLOOKUP(G169,'[1]T&amp;C emissions for 2050 analysis'!$B$3:$B$23,'[1]T&amp;C emissions for 2050 analysis'!$C$3:$C$23)</f>
        <v>0.18333333333333335</v>
      </c>
      <c r="I169" s="27">
        <f t="shared" si="6"/>
        <v>0.1015714219666667</v>
      </c>
      <c r="J169" s="129">
        <f t="shared" si="7"/>
        <v>0.94563333333333344</v>
      </c>
    </row>
    <row r="170" spans="1:10" hidden="1" x14ac:dyDescent="0.35">
      <c r="A170" s="126" t="s">
        <v>417</v>
      </c>
      <c r="B170" t="str">
        <f>_xlfn.XLOOKUP(A170,'[1]2050Pop'!$A$7:$A$143,'[1]2050Pop'!$D$7:$D$143)</f>
        <v>MENA</v>
      </c>
      <c r="C170" s="127">
        <f>1000*_xlfn.XLOOKUP(A170,'[1]2050Pop'!$A$7:$A$143,'[1]2050Pop'!$C$7:$C$143)</f>
        <v>11717</v>
      </c>
      <c r="D170" s="126" t="s">
        <v>480</v>
      </c>
      <c r="E170" s="128">
        <v>2.641</v>
      </c>
      <c r="F170" s="129">
        <f t="shared" si="8"/>
        <v>3.0944597000000001E-2</v>
      </c>
      <c r="G170" t="str">
        <f>_xlfn.XLOOKUP(D170,'[1]2050 BAU Mapping to T &amp; C'!$A$3:$A$52,'[1]2050 BAU Mapping to T &amp; C'!$B$3:$B$52)</f>
        <v xml:space="preserve">Other cereals </v>
      </c>
      <c r="H170" s="129">
        <f>_xlfn.XLOOKUP(G170,'[1]T&amp;C emissions for 2050 analysis'!$B$3:$B$23,'[1]T&amp;C emissions for 2050 analysis'!$C$3:$C$23)</f>
        <v>0.18333333333333335</v>
      </c>
      <c r="I170" s="27">
        <f t="shared" si="6"/>
        <v>5.673176116666667E-3</v>
      </c>
      <c r="J170" s="129">
        <f t="shared" si="7"/>
        <v>0.48418333333333335</v>
      </c>
    </row>
    <row r="171" spans="1:10" hidden="1" x14ac:dyDescent="0.35">
      <c r="A171" s="126" t="s">
        <v>418</v>
      </c>
      <c r="B171" t="str">
        <f>_xlfn.XLOOKUP(A171,'[1]2050Pop'!$A$7:$A$143,'[1]2050Pop'!$D$7:$D$143)</f>
        <v>APAC</v>
      </c>
      <c r="C171" s="127">
        <f>1000*_xlfn.XLOOKUP(A171,'[1]2050Pop'!$A$7:$A$143,'[1]2050Pop'!$C$7:$C$143)</f>
        <v>22447</v>
      </c>
      <c r="D171" s="126" t="s">
        <v>480</v>
      </c>
      <c r="E171" s="130">
        <v>41.47</v>
      </c>
      <c r="F171" s="129">
        <f t="shared" si="8"/>
        <v>0.93087708999999996</v>
      </c>
      <c r="G171" t="str">
        <f>_xlfn.XLOOKUP(D171,'[1]2050 BAU Mapping to T &amp; C'!$A$3:$A$52,'[1]2050 BAU Mapping to T &amp; C'!$B$3:$B$52)</f>
        <v xml:space="preserve">Other cereals </v>
      </c>
      <c r="H171" s="129">
        <f>_xlfn.XLOOKUP(G171,'[1]T&amp;C emissions for 2050 analysis'!$B$3:$B$23,'[1]T&amp;C emissions for 2050 analysis'!$C$3:$C$23)</f>
        <v>0.18333333333333335</v>
      </c>
      <c r="I171" s="27">
        <f t="shared" si="6"/>
        <v>0.17066079983333335</v>
      </c>
      <c r="J171" s="129">
        <f t="shared" si="7"/>
        <v>7.6028333333333338</v>
      </c>
    </row>
    <row r="172" spans="1:10" hidden="1" x14ac:dyDescent="0.35">
      <c r="A172" s="126" t="s">
        <v>419</v>
      </c>
      <c r="B172" t="str">
        <f>_xlfn.XLOOKUP(A172,'[1]2050Pop'!$A$7:$A$143,'[1]2050Pop'!$D$7:$D$143)</f>
        <v>SSA</v>
      </c>
      <c r="C172" s="127">
        <f>1000*_xlfn.XLOOKUP(A172,'[1]2050Pop'!$A$7:$A$143,'[1]2050Pop'!$C$7:$C$143)</f>
        <v>95505</v>
      </c>
      <c r="D172" s="126" t="s">
        <v>480</v>
      </c>
      <c r="E172" s="128">
        <v>2.9049999999999998</v>
      </c>
      <c r="F172" s="129">
        <f t="shared" si="8"/>
        <v>0.27744202499999998</v>
      </c>
      <c r="G172" t="str">
        <f>_xlfn.XLOOKUP(D172,'[1]2050 BAU Mapping to T &amp; C'!$A$3:$A$52,'[1]2050 BAU Mapping to T &amp; C'!$B$3:$B$52)</f>
        <v xml:space="preserve">Other cereals </v>
      </c>
      <c r="H172" s="129">
        <f>_xlfn.XLOOKUP(G172,'[1]T&amp;C emissions for 2050 analysis'!$B$3:$B$23,'[1]T&amp;C emissions for 2050 analysis'!$C$3:$C$23)</f>
        <v>0.18333333333333335</v>
      </c>
      <c r="I172" s="27">
        <f t="shared" si="6"/>
        <v>5.0864371249999998E-2</v>
      </c>
      <c r="J172" s="129">
        <f t="shared" si="7"/>
        <v>0.5325833333333333</v>
      </c>
    </row>
    <row r="173" spans="1:10" hidden="1" x14ac:dyDescent="0.35">
      <c r="A173" s="126" t="s">
        <v>420</v>
      </c>
      <c r="B173" t="str">
        <f>_xlfn.XLOOKUP(A173,'[1]2050Pop'!$A$7:$A$143,'[1]2050Pop'!$D$7:$D$143)</f>
        <v>APAC</v>
      </c>
      <c r="C173" s="127">
        <f>1000*_xlfn.XLOOKUP(A173,'[1]2050Pop'!$A$7:$A$143,'[1]2050Pop'!$C$7:$C$143)</f>
        <v>8248</v>
      </c>
      <c r="D173" s="126" t="s">
        <v>480</v>
      </c>
      <c r="E173" s="128">
        <v>7.4530000000000003</v>
      </c>
      <c r="F173" s="129">
        <f t="shared" si="8"/>
        <v>6.1472344000000005E-2</v>
      </c>
      <c r="G173" t="str">
        <f>_xlfn.XLOOKUP(D173,'[1]2050 BAU Mapping to T &amp; C'!$A$3:$A$52,'[1]2050 BAU Mapping to T &amp; C'!$B$3:$B$52)</f>
        <v xml:space="preserve">Other cereals </v>
      </c>
      <c r="H173" s="129">
        <f>_xlfn.XLOOKUP(G173,'[1]T&amp;C emissions for 2050 analysis'!$B$3:$B$23,'[1]T&amp;C emissions for 2050 analysis'!$C$3:$C$23)</f>
        <v>0.18333333333333335</v>
      </c>
      <c r="I173" s="27">
        <f t="shared" si="6"/>
        <v>1.1269929733333335E-2</v>
      </c>
      <c r="J173" s="129">
        <f t="shared" si="7"/>
        <v>1.3663833333333335</v>
      </c>
    </row>
    <row r="174" spans="1:10" hidden="1" x14ac:dyDescent="0.35">
      <c r="A174" s="126" t="s">
        <v>422</v>
      </c>
      <c r="B174" t="str">
        <f>_xlfn.XLOOKUP(A174,'[1]2050Pop'!$A$7:$A$143,'[1]2050Pop'!$D$7:$D$143)</f>
        <v>Euro/AU/NZ</v>
      </c>
      <c r="C174" s="127">
        <f>1000*_xlfn.XLOOKUP(A174,'[1]2050Pop'!$A$7:$A$143,'[1]2050Pop'!$C$7:$C$143)</f>
        <v>1593</v>
      </c>
      <c r="D174" s="126" t="s">
        <v>480</v>
      </c>
      <c r="E174" s="128">
        <v>126.322</v>
      </c>
      <c r="F174" s="129">
        <f t="shared" si="8"/>
        <v>0.20123094599999999</v>
      </c>
      <c r="G174" t="str">
        <f>_xlfn.XLOOKUP(D174,'[1]2050 BAU Mapping to T &amp; C'!$A$3:$A$52,'[1]2050 BAU Mapping to T &amp; C'!$B$3:$B$52)</f>
        <v xml:space="preserve">Other cereals </v>
      </c>
      <c r="H174" s="129">
        <f>_xlfn.XLOOKUP(G174,'[1]T&amp;C emissions for 2050 analysis'!$B$3:$B$23,'[1]T&amp;C emissions for 2050 analysis'!$C$3:$C$23)</f>
        <v>0.18333333333333335</v>
      </c>
      <c r="I174" s="27">
        <f t="shared" si="6"/>
        <v>3.6892340100000004E-2</v>
      </c>
      <c r="J174" s="129">
        <f t="shared" si="7"/>
        <v>23.159033333333337</v>
      </c>
    </row>
    <row r="175" spans="1:10" hidden="1" x14ac:dyDescent="0.35">
      <c r="A175" s="126" t="s">
        <v>423</v>
      </c>
      <c r="B175" t="str">
        <f>_xlfn.XLOOKUP(A175,'[1]2050Pop'!$A$7:$A$143,'[1]2050Pop'!$D$7:$D$143)</f>
        <v>MENA</v>
      </c>
      <c r="C175" s="127">
        <f>1000*_xlfn.XLOOKUP(A175,'[1]2050Pop'!$A$7:$A$143,'[1]2050Pop'!$C$7:$C$143)</f>
        <v>5610</v>
      </c>
      <c r="D175" s="126" t="s">
        <v>480</v>
      </c>
      <c r="E175" s="128">
        <v>8.9960000000000004</v>
      </c>
      <c r="F175" s="129">
        <f t="shared" si="8"/>
        <v>5.0467560000000002E-2</v>
      </c>
      <c r="G175" t="str">
        <f>_xlfn.XLOOKUP(D175,'[1]2050 BAU Mapping to T &amp; C'!$A$3:$A$52,'[1]2050 BAU Mapping to T &amp; C'!$B$3:$B$52)</f>
        <v xml:space="preserve">Other cereals </v>
      </c>
      <c r="H175" s="129">
        <f>_xlfn.XLOOKUP(G175,'[1]T&amp;C emissions for 2050 analysis'!$B$3:$B$23,'[1]T&amp;C emissions for 2050 analysis'!$C$3:$C$23)</f>
        <v>0.18333333333333335</v>
      </c>
      <c r="I175" s="27">
        <f t="shared" si="6"/>
        <v>9.2523860000000013E-3</v>
      </c>
      <c r="J175" s="129">
        <f t="shared" si="7"/>
        <v>1.6492666666666669</v>
      </c>
    </row>
    <row r="176" spans="1:10" hidden="1" x14ac:dyDescent="0.35">
      <c r="A176" s="126" t="s">
        <v>424</v>
      </c>
      <c r="B176" t="str">
        <f>_xlfn.XLOOKUP(A176,'[1]2050Pop'!$A$7:$A$143,'[1]2050Pop'!$D$7:$D$143)</f>
        <v>SSA</v>
      </c>
      <c r="C176" s="127">
        <f>1000*_xlfn.XLOOKUP(A176,'[1]2050Pop'!$A$7:$A$143,'[1]2050Pop'!$C$7:$C$143)</f>
        <v>2987</v>
      </c>
      <c r="D176" s="126" t="s">
        <v>480</v>
      </c>
      <c r="E176" s="128">
        <v>1.7330000000000001</v>
      </c>
      <c r="F176" s="129">
        <f t="shared" si="8"/>
        <v>5.1764710000000002E-3</v>
      </c>
      <c r="G176" t="str">
        <f>_xlfn.XLOOKUP(D176,'[1]2050 BAU Mapping to T &amp; C'!$A$3:$A$52,'[1]2050 BAU Mapping to T &amp; C'!$B$3:$B$52)</f>
        <v xml:space="preserve">Other cereals </v>
      </c>
      <c r="H176" s="129">
        <f>_xlfn.XLOOKUP(G176,'[1]T&amp;C emissions for 2050 analysis'!$B$3:$B$23,'[1]T&amp;C emissions for 2050 analysis'!$C$3:$C$23)</f>
        <v>0.18333333333333335</v>
      </c>
      <c r="I176" s="27">
        <f t="shared" si="6"/>
        <v>9.4901968333333344E-4</v>
      </c>
      <c r="J176" s="129">
        <f t="shared" si="7"/>
        <v>0.3177166666666667</v>
      </c>
    </row>
    <row r="177" spans="1:10" hidden="1" x14ac:dyDescent="0.35">
      <c r="A177" s="126" t="s">
        <v>426</v>
      </c>
      <c r="B177" t="str">
        <f>_xlfn.XLOOKUP(A177,'[1]2050Pop'!$A$7:$A$143,'[1]2050Pop'!$D$7:$D$143)</f>
        <v>Euro/AU/NZ</v>
      </c>
      <c r="C177" s="127">
        <f>1000*_xlfn.XLOOKUP(A177,'[1]2050Pop'!$A$7:$A$143,'[1]2050Pop'!$C$7:$C$143)</f>
        <v>2375</v>
      </c>
      <c r="D177" s="126" t="s">
        <v>480</v>
      </c>
      <c r="E177" s="128">
        <v>50.505000000000003</v>
      </c>
      <c r="F177" s="129">
        <f t="shared" si="8"/>
        <v>0.119949375</v>
      </c>
      <c r="G177" t="str">
        <f>_xlfn.XLOOKUP(D177,'[1]2050 BAU Mapping to T &amp; C'!$A$3:$A$52,'[1]2050 BAU Mapping to T &amp; C'!$B$3:$B$52)</f>
        <v xml:space="preserve">Other cereals </v>
      </c>
      <c r="H177" s="129">
        <f>_xlfn.XLOOKUP(G177,'[1]T&amp;C emissions for 2050 analysis'!$B$3:$B$23,'[1]T&amp;C emissions for 2050 analysis'!$C$3:$C$23)</f>
        <v>0.18333333333333335</v>
      </c>
      <c r="I177" s="27">
        <f t="shared" si="6"/>
        <v>2.1990718750000002E-2</v>
      </c>
      <c r="J177" s="129">
        <f t="shared" si="7"/>
        <v>9.2592500000000015</v>
      </c>
    </row>
    <row r="178" spans="1:10" hidden="1" x14ac:dyDescent="0.35">
      <c r="A178" s="126" t="s">
        <v>430</v>
      </c>
      <c r="B178" t="str">
        <f>_xlfn.XLOOKUP(A178,'[1]2050Pop'!$A$7:$A$143,'[1]2050Pop'!$D$7:$D$143)</f>
        <v>SSA</v>
      </c>
      <c r="C178" s="127">
        <f>1000*_xlfn.XLOOKUP(A178,'[1]2050Pop'!$A$7:$A$143,'[1]2050Pop'!$C$7:$C$143)</f>
        <v>45404</v>
      </c>
      <c r="D178" s="126" t="s">
        <v>480</v>
      </c>
      <c r="E178" s="128">
        <v>3.2240000000000002</v>
      </c>
      <c r="F178" s="129">
        <f t="shared" si="8"/>
        <v>0.146382496</v>
      </c>
      <c r="G178" t="str">
        <f>_xlfn.XLOOKUP(D178,'[1]2050 BAU Mapping to T &amp; C'!$A$3:$A$52,'[1]2050 BAU Mapping to T &amp; C'!$B$3:$B$52)</f>
        <v xml:space="preserve">Other cereals </v>
      </c>
      <c r="H178" s="129">
        <f>_xlfn.XLOOKUP(G178,'[1]T&amp;C emissions for 2050 analysis'!$B$3:$B$23,'[1]T&amp;C emissions for 2050 analysis'!$C$3:$C$23)</f>
        <v>0.18333333333333335</v>
      </c>
      <c r="I178" s="27">
        <f t="shared" si="6"/>
        <v>2.6836790933333337E-2</v>
      </c>
      <c r="J178" s="129">
        <f t="shared" si="7"/>
        <v>0.59106666666666674</v>
      </c>
    </row>
    <row r="179" spans="1:10" hidden="1" x14ac:dyDescent="0.35">
      <c r="A179" s="126" t="s">
        <v>431</v>
      </c>
      <c r="B179" t="str">
        <f>_xlfn.XLOOKUP(A179,'[1]2050Pop'!$A$7:$A$143,'[1]2050Pop'!$D$7:$D$143)</f>
        <v>SSA</v>
      </c>
      <c r="C179" s="127">
        <f>1000*_xlfn.XLOOKUP(A179,'[1]2050Pop'!$A$7:$A$143,'[1]2050Pop'!$C$7:$C$143)</f>
        <v>8048.9999999999991</v>
      </c>
      <c r="D179" s="126" t="s">
        <v>480</v>
      </c>
      <c r="E179" s="128">
        <v>5.1360000000000001</v>
      </c>
      <c r="F179" s="129">
        <f t="shared" si="8"/>
        <v>4.1339663999999998E-2</v>
      </c>
      <c r="G179" t="str">
        <f>_xlfn.XLOOKUP(D179,'[1]2050 BAU Mapping to T &amp; C'!$A$3:$A$52,'[1]2050 BAU Mapping to T &amp; C'!$B$3:$B$52)</f>
        <v xml:space="preserve">Other cereals </v>
      </c>
      <c r="H179" s="129">
        <f>_xlfn.XLOOKUP(G179,'[1]T&amp;C emissions for 2050 analysis'!$B$3:$B$23,'[1]T&amp;C emissions for 2050 analysis'!$C$3:$C$23)</f>
        <v>0.18333333333333335</v>
      </c>
      <c r="I179" s="27">
        <f t="shared" si="6"/>
        <v>7.5789384000000005E-3</v>
      </c>
      <c r="J179" s="129">
        <f t="shared" si="7"/>
        <v>0.9416000000000001</v>
      </c>
    </row>
    <row r="180" spans="1:10" hidden="1" x14ac:dyDescent="0.35">
      <c r="A180" s="126" t="s">
        <v>432</v>
      </c>
      <c r="B180" t="str">
        <f>_xlfn.XLOOKUP(A180,'[1]2050Pop'!$A$7:$A$143,'[1]2050Pop'!$D$7:$D$143)</f>
        <v>SSA</v>
      </c>
      <c r="C180" s="127">
        <f>1000*_xlfn.XLOOKUP(A180,'[1]2050Pop'!$A$7:$A$143,'[1]2050Pop'!$C$7:$C$143)</f>
        <v>1249</v>
      </c>
      <c r="D180" s="126" t="s">
        <v>480</v>
      </c>
      <c r="E180" s="128">
        <v>10.335000000000001</v>
      </c>
      <c r="F180" s="129">
        <f t="shared" si="8"/>
        <v>1.2908415000000001E-2</v>
      </c>
      <c r="G180" t="str">
        <f>_xlfn.XLOOKUP(D180,'[1]2050 BAU Mapping to T &amp; C'!$A$3:$A$52,'[1]2050 BAU Mapping to T &amp; C'!$B$3:$B$52)</f>
        <v xml:space="preserve">Other cereals </v>
      </c>
      <c r="H180" s="129">
        <f>_xlfn.XLOOKUP(G180,'[1]T&amp;C emissions for 2050 analysis'!$B$3:$B$23,'[1]T&amp;C emissions for 2050 analysis'!$C$3:$C$23)</f>
        <v>0.18333333333333335</v>
      </c>
      <c r="I180" s="27">
        <f t="shared" si="6"/>
        <v>2.3665427500000006E-3</v>
      </c>
      <c r="J180" s="129">
        <f t="shared" si="7"/>
        <v>1.8947500000000004</v>
      </c>
    </row>
    <row r="181" spans="1:10" hidden="1" x14ac:dyDescent="0.35">
      <c r="A181" s="126" t="s">
        <v>434</v>
      </c>
      <c r="B181" t="str">
        <f>_xlfn.XLOOKUP(A181,'[1]2050Pop'!$A$7:$A$143,'[1]2050Pop'!$D$7:$D$143)</f>
        <v>APAC</v>
      </c>
      <c r="C181" s="127">
        <f>1000*_xlfn.XLOOKUP(A181,'[1]2050Pop'!$A$7:$A$143,'[1]2050Pop'!$C$7:$C$143)</f>
        <v>4027.9999999999995</v>
      </c>
      <c r="D181" s="126" t="s">
        <v>480</v>
      </c>
      <c r="E181" s="128">
        <v>11.547000000000001</v>
      </c>
      <c r="F181" s="129">
        <f t="shared" si="8"/>
        <v>4.6511315999999997E-2</v>
      </c>
      <c r="G181" t="str">
        <f>_xlfn.XLOOKUP(D181,'[1]2050 BAU Mapping to T &amp; C'!$A$3:$A$52,'[1]2050 BAU Mapping to T &amp; C'!$B$3:$B$52)</f>
        <v xml:space="preserve">Other cereals </v>
      </c>
      <c r="H181" s="129">
        <f>_xlfn.XLOOKUP(G181,'[1]T&amp;C emissions for 2050 analysis'!$B$3:$B$23,'[1]T&amp;C emissions for 2050 analysis'!$C$3:$C$23)</f>
        <v>0.18333333333333335</v>
      </c>
      <c r="I181" s="27">
        <f t="shared" si="6"/>
        <v>8.5270746000000001E-3</v>
      </c>
      <c r="J181" s="129">
        <f t="shared" si="7"/>
        <v>2.1169500000000001</v>
      </c>
    </row>
    <row r="182" spans="1:10" hidden="1" x14ac:dyDescent="0.35">
      <c r="A182" s="126" t="s">
        <v>435</v>
      </c>
      <c r="B182" t="str">
        <f>_xlfn.XLOOKUP(A182,'[1]2050Pop'!$A$7:$A$143,'[1]2050Pop'!$D$7:$D$143)</f>
        <v>MENA</v>
      </c>
      <c r="C182" s="127">
        <f>1000*_xlfn.XLOOKUP(A182,'[1]2050Pop'!$A$7:$A$143,'[1]2050Pop'!$C$7:$C$143)</f>
        <v>43696</v>
      </c>
      <c r="D182" s="126" t="s">
        <v>480</v>
      </c>
      <c r="E182" s="128">
        <v>249.52600000000001</v>
      </c>
      <c r="F182" s="129">
        <f t="shared" si="8"/>
        <v>10.903288096000001</v>
      </c>
      <c r="G182" t="str">
        <f>_xlfn.XLOOKUP(D182,'[1]2050 BAU Mapping to T &amp; C'!$A$3:$A$52,'[1]2050 BAU Mapping to T &amp; C'!$B$3:$B$52)</f>
        <v xml:space="preserve">Other cereals </v>
      </c>
      <c r="H182" s="129">
        <f>_xlfn.XLOOKUP(G182,'[1]T&amp;C emissions for 2050 analysis'!$B$3:$B$23,'[1]T&amp;C emissions for 2050 analysis'!$C$3:$C$23)</f>
        <v>0.18333333333333335</v>
      </c>
      <c r="I182" s="27">
        <f t="shared" si="6"/>
        <v>1.9989361509333337</v>
      </c>
      <c r="J182" s="129">
        <f t="shared" si="7"/>
        <v>45.746433333333336</v>
      </c>
    </row>
    <row r="183" spans="1:10" hidden="1" x14ac:dyDescent="0.35">
      <c r="A183" s="126" t="s">
        <v>438</v>
      </c>
      <c r="B183" t="str">
        <f>_xlfn.XLOOKUP(A183,'[1]2050Pop'!$A$7:$A$143,'[1]2050Pop'!$D$7:$D$143)</f>
        <v>India/South Asia</v>
      </c>
      <c r="C183" s="127">
        <f>1000*_xlfn.XLOOKUP(A183,'[1]2050Pop'!$A$7:$A$143,'[1]2050Pop'!$C$7:$C$143)</f>
        <v>36159</v>
      </c>
      <c r="D183" s="126" t="s">
        <v>480</v>
      </c>
      <c r="E183" s="130">
        <v>13.64</v>
      </c>
      <c r="F183" s="129">
        <f t="shared" si="8"/>
        <v>0.49320876000000002</v>
      </c>
      <c r="G183" t="str">
        <f>_xlfn.XLOOKUP(D183,'[1]2050 BAU Mapping to T &amp; C'!$A$3:$A$52,'[1]2050 BAU Mapping to T &amp; C'!$B$3:$B$52)</f>
        <v xml:space="preserve">Other cereals </v>
      </c>
      <c r="H183" s="129">
        <f>_xlfn.XLOOKUP(G183,'[1]T&amp;C emissions for 2050 analysis'!$B$3:$B$23,'[1]T&amp;C emissions for 2050 analysis'!$C$3:$C$23)</f>
        <v>0.18333333333333335</v>
      </c>
      <c r="I183" s="27">
        <f t="shared" si="6"/>
        <v>9.0421606000000015E-2</v>
      </c>
      <c r="J183" s="129">
        <f t="shared" si="7"/>
        <v>2.500666666666667</v>
      </c>
    </row>
    <row r="184" spans="1:10" hidden="1" x14ac:dyDescent="0.35">
      <c r="A184" s="126" t="s">
        <v>439</v>
      </c>
      <c r="B184" t="str">
        <f>_xlfn.XLOOKUP(A184,'[1]2050Pop'!$A$7:$A$143,'[1]2050Pop'!$D$7:$D$143)</f>
        <v>Euro/AU/NZ</v>
      </c>
      <c r="C184" s="127">
        <f>1000*_xlfn.XLOOKUP(A184,'[1]2050Pop'!$A$7:$A$143,'[1]2050Pop'!$C$7:$C$143)</f>
        <v>17602</v>
      </c>
      <c r="D184" s="126" t="s">
        <v>480</v>
      </c>
      <c r="E184" s="128">
        <v>7.1749999999999998</v>
      </c>
      <c r="F184" s="129">
        <f t="shared" si="8"/>
        <v>0.12629435</v>
      </c>
      <c r="G184" t="str">
        <f>_xlfn.XLOOKUP(D184,'[1]2050 BAU Mapping to T &amp; C'!$A$3:$A$52,'[1]2050 BAU Mapping to T &amp; C'!$B$3:$B$52)</f>
        <v xml:space="preserve">Other cereals </v>
      </c>
      <c r="H184" s="129">
        <f>_xlfn.XLOOKUP(G184,'[1]T&amp;C emissions for 2050 analysis'!$B$3:$B$23,'[1]T&amp;C emissions for 2050 analysis'!$C$3:$C$23)</f>
        <v>0.18333333333333335</v>
      </c>
      <c r="I184" s="27">
        <f t="shared" si="6"/>
        <v>2.3153964166666669E-2</v>
      </c>
      <c r="J184" s="129">
        <f t="shared" si="7"/>
        <v>1.3154166666666667</v>
      </c>
    </row>
    <row r="185" spans="1:10" hidden="1" x14ac:dyDescent="0.35">
      <c r="A185" s="126" t="s">
        <v>440</v>
      </c>
      <c r="B185" t="str">
        <f>_xlfn.XLOOKUP(A185,'[1]2050Pop'!$A$7:$A$143,'[1]2050Pop'!$D$7:$D$143)</f>
        <v>Euro/AU/NZ</v>
      </c>
      <c r="C185" s="127">
        <f>1000*_xlfn.XLOOKUP(A185,'[1]2050Pop'!$A$7:$A$143,'[1]2050Pop'!$C$7:$C$143)</f>
        <v>5607</v>
      </c>
      <c r="D185" s="126" t="s">
        <v>480</v>
      </c>
      <c r="E185" s="128">
        <v>2.173</v>
      </c>
      <c r="F185" s="129">
        <f t="shared" si="8"/>
        <v>1.2184011E-2</v>
      </c>
      <c r="G185" t="str">
        <f>_xlfn.XLOOKUP(D185,'[1]2050 BAU Mapping to T &amp; C'!$A$3:$A$52,'[1]2050 BAU Mapping to T &amp; C'!$B$3:$B$52)</f>
        <v xml:space="preserve">Other cereals </v>
      </c>
      <c r="H185" s="129">
        <f>_xlfn.XLOOKUP(G185,'[1]T&amp;C emissions for 2050 analysis'!$B$3:$B$23,'[1]T&amp;C emissions for 2050 analysis'!$C$3:$C$23)</f>
        <v>0.18333333333333335</v>
      </c>
      <c r="I185" s="27">
        <f t="shared" si="6"/>
        <v>2.2337353500000001E-3</v>
      </c>
      <c r="J185" s="129">
        <f t="shared" si="7"/>
        <v>0.39838333333333337</v>
      </c>
    </row>
    <row r="186" spans="1:10" hidden="1" x14ac:dyDescent="0.35">
      <c r="A186" s="126" t="s">
        <v>482</v>
      </c>
      <c r="B186" t="str">
        <f>_xlfn.XLOOKUP(A186,'[1]2050Pop'!$A$7:$A$143,'[1]2050Pop'!$D$7:$D$143)</f>
        <v>SSA</v>
      </c>
      <c r="C186" s="127">
        <f>1000*_xlfn.XLOOKUP(A186,'[1]2050Pop'!$A$7:$A$143,'[1]2050Pop'!$C$7:$C$143)</f>
        <v>72238</v>
      </c>
      <c r="D186" s="126" t="s">
        <v>480</v>
      </c>
      <c r="E186" s="128">
        <v>3.714</v>
      </c>
      <c r="F186" s="129">
        <f t="shared" si="8"/>
        <v>0.26829193199999996</v>
      </c>
      <c r="G186" t="str">
        <f>_xlfn.XLOOKUP(D186,'[1]2050 BAU Mapping to T &amp; C'!$A$3:$A$52,'[1]2050 BAU Mapping to T &amp; C'!$B$3:$B$52)</f>
        <v xml:space="preserve">Other cereals </v>
      </c>
      <c r="H186" s="129">
        <f>_xlfn.XLOOKUP(G186,'[1]T&amp;C emissions for 2050 analysis'!$B$3:$B$23,'[1]T&amp;C emissions for 2050 analysis'!$C$3:$C$23)</f>
        <v>0.18333333333333335</v>
      </c>
      <c r="I186" s="27">
        <f t="shared" si="6"/>
        <v>4.9186854199999998E-2</v>
      </c>
      <c r="J186" s="129">
        <f t="shared" si="7"/>
        <v>0.68090000000000006</v>
      </c>
    </row>
    <row r="187" spans="1:10" hidden="1" x14ac:dyDescent="0.35">
      <c r="A187" s="126" t="s">
        <v>442</v>
      </c>
      <c r="B187" t="str">
        <f>_xlfn.XLOOKUP(A187,'[1]2050Pop'!$A$7:$A$143,'[1]2050Pop'!$D$7:$D$143)</f>
        <v>Euro/AU/NZ</v>
      </c>
      <c r="C187" s="127">
        <f>1000*_xlfn.XLOOKUP(A187,'[1]2050Pop'!$A$7:$A$143,'[1]2050Pop'!$C$7:$C$143)</f>
        <v>6658</v>
      </c>
      <c r="D187" s="126" t="s">
        <v>480</v>
      </c>
      <c r="E187" s="128">
        <v>45.906999999999996</v>
      </c>
      <c r="F187" s="129">
        <f t="shared" si="8"/>
        <v>0.305648806</v>
      </c>
      <c r="G187" t="str">
        <f>_xlfn.XLOOKUP(D187,'[1]2050 BAU Mapping to T &amp; C'!$A$3:$A$52,'[1]2050 BAU Mapping to T &amp; C'!$B$3:$B$52)</f>
        <v xml:space="preserve">Other cereals </v>
      </c>
      <c r="H187" s="129">
        <f>_xlfn.XLOOKUP(G187,'[1]T&amp;C emissions for 2050 analysis'!$B$3:$B$23,'[1]T&amp;C emissions for 2050 analysis'!$C$3:$C$23)</f>
        <v>0.18333333333333335</v>
      </c>
      <c r="I187" s="27">
        <f t="shared" si="6"/>
        <v>5.6035614433333339E-2</v>
      </c>
      <c r="J187" s="129">
        <f t="shared" si="7"/>
        <v>8.4162833333333342</v>
      </c>
    </row>
    <row r="188" spans="1:10" hidden="1" x14ac:dyDescent="0.35">
      <c r="A188" s="126" t="s">
        <v>443</v>
      </c>
      <c r="B188" t="str">
        <f>_xlfn.XLOOKUP(A188,'[1]2050Pop'!$A$7:$A$143,'[1]2050Pop'!$D$7:$D$143)</f>
        <v>India/South Asia</v>
      </c>
      <c r="C188" s="127">
        <f>1000*_xlfn.XLOOKUP(A188,'[1]2050Pop'!$A$7:$A$143,'[1]2050Pop'!$C$7:$C$143)</f>
        <v>309640</v>
      </c>
      <c r="D188" s="126" t="s">
        <v>480</v>
      </c>
      <c r="E188" s="128">
        <v>1.4159999999999999</v>
      </c>
      <c r="F188" s="129">
        <f t="shared" si="8"/>
        <v>0.43845023999999999</v>
      </c>
      <c r="G188" t="str">
        <f>_xlfn.XLOOKUP(D188,'[1]2050 BAU Mapping to T &amp; C'!$A$3:$A$52,'[1]2050 BAU Mapping to T &amp; C'!$B$3:$B$52)</f>
        <v xml:space="preserve">Other cereals </v>
      </c>
      <c r="H188" s="129">
        <f>_xlfn.XLOOKUP(G188,'[1]T&amp;C emissions for 2050 analysis'!$B$3:$B$23,'[1]T&amp;C emissions for 2050 analysis'!$C$3:$C$23)</f>
        <v>0.18333333333333335</v>
      </c>
      <c r="I188" s="27">
        <f t="shared" si="6"/>
        <v>8.0382544E-2</v>
      </c>
      <c r="J188" s="129">
        <f t="shared" si="7"/>
        <v>0.2596</v>
      </c>
    </row>
    <row r="189" spans="1:10" hidden="1" x14ac:dyDescent="0.35">
      <c r="A189" s="126" t="s">
        <v>445</v>
      </c>
      <c r="B189" t="str">
        <f>_xlfn.XLOOKUP(A189,'[1]2050Pop'!$A$7:$A$143,'[1]2050Pop'!$D$7:$D$143)</f>
        <v>LatAm &amp; RSA</v>
      </c>
      <c r="C189" s="127">
        <f>1000*_xlfn.XLOOKUP(A189,'[1]2050Pop'!$A$7:$A$143,'[1]2050Pop'!$C$7:$C$143)</f>
        <v>8895</v>
      </c>
      <c r="D189" s="126" t="s">
        <v>480</v>
      </c>
      <c r="E189" s="128">
        <v>1.9419999999999999</v>
      </c>
      <c r="F189" s="129">
        <f t="shared" si="8"/>
        <v>1.7274089999999999E-2</v>
      </c>
      <c r="G189" t="str">
        <f>_xlfn.XLOOKUP(D189,'[1]2050 BAU Mapping to T &amp; C'!$A$3:$A$52,'[1]2050 BAU Mapping to T &amp; C'!$B$3:$B$52)</f>
        <v xml:space="preserve">Other cereals </v>
      </c>
      <c r="H189" s="129">
        <f>_xlfn.XLOOKUP(G189,'[1]T&amp;C emissions for 2050 analysis'!$B$3:$B$23,'[1]T&amp;C emissions for 2050 analysis'!$C$3:$C$23)</f>
        <v>0.18333333333333335</v>
      </c>
      <c r="I189" s="27">
        <f t="shared" si="6"/>
        <v>3.1669165000000003E-3</v>
      </c>
      <c r="J189" s="129">
        <f t="shared" si="7"/>
        <v>0.35603333333333337</v>
      </c>
    </row>
    <row r="190" spans="1:10" hidden="1" x14ac:dyDescent="0.35">
      <c r="A190" s="126" t="s">
        <v>446</v>
      </c>
      <c r="B190" t="str">
        <f>_xlfn.XLOOKUP(A190,'[1]2050Pop'!$A$7:$A$143,'[1]2050Pop'!$D$7:$D$143)</f>
        <v>LatAm &amp; RSA</v>
      </c>
      <c r="C190" s="127">
        <f>1000*_xlfn.XLOOKUP(A190,'[1]2050Pop'!$A$7:$A$143,'[1]2050Pop'!$C$7:$C$143)</f>
        <v>41899</v>
      </c>
      <c r="D190" s="126" t="s">
        <v>480</v>
      </c>
      <c r="E190" s="128">
        <v>33.575000000000003</v>
      </c>
      <c r="F190" s="129">
        <f t="shared" si="8"/>
        <v>1.4067589250000001</v>
      </c>
      <c r="G190" t="str">
        <f>_xlfn.XLOOKUP(D190,'[1]2050 BAU Mapping to T &amp; C'!$A$3:$A$52,'[1]2050 BAU Mapping to T &amp; C'!$B$3:$B$52)</f>
        <v xml:space="preserve">Other cereals </v>
      </c>
      <c r="H190" s="129">
        <f>_xlfn.XLOOKUP(G190,'[1]T&amp;C emissions for 2050 analysis'!$B$3:$B$23,'[1]T&amp;C emissions for 2050 analysis'!$C$3:$C$23)</f>
        <v>0.18333333333333335</v>
      </c>
      <c r="I190" s="27">
        <f t="shared" si="6"/>
        <v>0.2579058029166667</v>
      </c>
      <c r="J190" s="129">
        <f t="shared" si="7"/>
        <v>6.1554166666666674</v>
      </c>
    </row>
    <row r="191" spans="1:10" hidden="1" x14ac:dyDescent="0.35">
      <c r="A191" s="126" t="s">
        <v>447</v>
      </c>
      <c r="B191" t="str">
        <f>_xlfn.XLOOKUP(A191,'[1]2050Pop'!$A$7:$A$143,'[1]2050Pop'!$D$7:$D$143)</f>
        <v>APAC</v>
      </c>
      <c r="C191" s="127">
        <f>1000*_xlfn.XLOOKUP(A191,'[1]2050Pop'!$A$7:$A$143,'[1]2050Pop'!$C$7:$C$143)</f>
        <v>148260</v>
      </c>
      <c r="D191" s="126" t="s">
        <v>480</v>
      </c>
      <c r="E191" s="128">
        <v>0.95799999999999996</v>
      </c>
      <c r="F191" s="129">
        <f t="shared" si="8"/>
        <v>0.14203307999999998</v>
      </c>
      <c r="G191" t="str">
        <f>_xlfn.XLOOKUP(D191,'[1]2050 BAU Mapping to T &amp; C'!$A$3:$A$52,'[1]2050 BAU Mapping to T &amp; C'!$B$3:$B$52)</f>
        <v xml:space="preserve">Other cereals </v>
      </c>
      <c r="H191" s="129">
        <f>_xlfn.XLOOKUP(G191,'[1]T&amp;C emissions for 2050 analysis'!$B$3:$B$23,'[1]T&amp;C emissions for 2050 analysis'!$C$3:$C$23)</f>
        <v>0.18333333333333335</v>
      </c>
      <c r="I191" s="27">
        <f t="shared" si="6"/>
        <v>2.6039397999999998E-2</v>
      </c>
      <c r="J191" s="129">
        <f t="shared" si="7"/>
        <v>0.17563333333333334</v>
      </c>
    </row>
    <row r="192" spans="1:10" hidden="1" x14ac:dyDescent="0.35">
      <c r="A192" s="126" t="s">
        <v>448</v>
      </c>
      <c r="B192" t="str">
        <f>_xlfn.XLOOKUP(A192,'[1]2050Pop'!$A$7:$A$143,'[1]2050Pop'!$D$7:$D$143)</f>
        <v>Euro/AU/NZ</v>
      </c>
      <c r="C192" s="127">
        <f>1000*_xlfn.XLOOKUP(A192,'[1]2050Pop'!$A$7:$A$143,'[1]2050Pop'!$C$7:$C$143)</f>
        <v>33136</v>
      </c>
      <c r="D192" s="126" t="s">
        <v>480</v>
      </c>
      <c r="E192" s="128">
        <v>31.646999999999998</v>
      </c>
      <c r="F192" s="129">
        <f t="shared" si="8"/>
        <v>1.0486549919999999</v>
      </c>
      <c r="G192" t="str">
        <f>_xlfn.XLOOKUP(D192,'[1]2050 BAU Mapping to T &amp; C'!$A$3:$A$52,'[1]2050 BAU Mapping to T &amp; C'!$B$3:$B$52)</f>
        <v xml:space="preserve">Other cereals </v>
      </c>
      <c r="H192" s="129">
        <f>_xlfn.XLOOKUP(G192,'[1]T&amp;C emissions for 2050 analysis'!$B$3:$B$23,'[1]T&amp;C emissions for 2050 analysis'!$C$3:$C$23)</f>
        <v>0.18333333333333335</v>
      </c>
      <c r="I192" s="27">
        <f t="shared" si="6"/>
        <v>0.1922534152</v>
      </c>
      <c r="J192" s="129">
        <f t="shared" si="7"/>
        <v>5.8019500000000006</v>
      </c>
    </row>
    <row r="193" spans="1:10" hidden="1" x14ac:dyDescent="0.35">
      <c r="A193" s="126" t="s">
        <v>449</v>
      </c>
      <c r="B193" t="str">
        <f>_xlfn.XLOOKUP(A193,'[1]2050Pop'!$A$7:$A$143,'[1]2050Pop'!$D$7:$D$143)</f>
        <v>Euro/AU/NZ</v>
      </c>
      <c r="C193" s="127">
        <f>1000*_xlfn.XLOOKUP(A193,'[1]2050Pop'!$A$7:$A$143,'[1]2050Pop'!$C$7:$C$143)</f>
        <v>9216</v>
      </c>
      <c r="D193" s="126" t="s">
        <v>480</v>
      </c>
      <c r="E193" s="128">
        <v>8.173</v>
      </c>
      <c r="F193" s="129">
        <f t="shared" si="8"/>
        <v>7.5322368000000001E-2</v>
      </c>
      <c r="G193" t="str">
        <f>_xlfn.XLOOKUP(D193,'[1]2050 BAU Mapping to T &amp; C'!$A$3:$A$52,'[1]2050 BAU Mapping to T &amp; C'!$B$3:$B$52)</f>
        <v xml:space="preserve">Other cereals </v>
      </c>
      <c r="H193" s="129">
        <f>_xlfn.XLOOKUP(G193,'[1]T&amp;C emissions for 2050 analysis'!$B$3:$B$23,'[1]T&amp;C emissions for 2050 analysis'!$C$3:$C$23)</f>
        <v>0.18333333333333335</v>
      </c>
      <c r="I193" s="27">
        <f t="shared" si="6"/>
        <v>1.3809100800000002E-2</v>
      </c>
      <c r="J193" s="129">
        <f t="shared" si="7"/>
        <v>1.4983833333333334</v>
      </c>
    </row>
    <row r="194" spans="1:10" hidden="1" x14ac:dyDescent="0.35">
      <c r="A194" s="126" t="s">
        <v>450</v>
      </c>
      <c r="B194" t="str">
        <f>_xlfn.XLOOKUP(A194,'[1]2050Pop'!$A$7:$A$143,'[1]2050Pop'!$D$7:$D$143)</f>
        <v>APAC</v>
      </c>
      <c r="C194" s="127">
        <f>1000*_xlfn.XLOOKUP(A194,'[1]2050Pop'!$A$7:$A$143,'[1]2050Pop'!$C$7:$C$143)</f>
        <v>50593</v>
      </c>
      <c r="D194" s="126" t="s">
        <v>480</v>
      </c>
      <c r="E194" s="128">
        <v>8.7230000000000008</v>
      </c>
      <c r="F194" s="129">
        <f t="shared" si="8"/>
        <v>0.44132273900000007</v>
      </c>
      <c r="G194" t="str">
        <f>_xlfn.XLOOKUP(D194,'[1]2050 BAU Mapping to T &amp; C'!$A$3:$A$52,'[1]2050 BAU Mapping to T &amp; C'!$B$3:$B$52)</f>
        <v xml:space="preserve">Other cereals </v>
      </c>
      <c r="H194" s="129">
        <f>_xlfn.XLOOKUP(G194,'[1]T&amp;C emissions for 2050 analysis'!$B$3:$B$23,'[1]T&amp;C emissions for 2050 analysis'!$C$3:$C$23)</f>
        <v>0.18333333333333335</v>
      </c>
      <c r="I194" s="27">
        <f t="shared" si="6"/>
        <v>8.0909168816666682E-2</v>
      </c>
      <c r="J194" s="129">
        <f t="shared" si="7"/>
        <v>1.599216666666667</v>
      </c>
    </row>
    <row r="195" spans="1:10" hidden="1" x14ac:dyDescent="0.35">
      <c r="A195" s="126" t="s">
        <v>451</v>
      </c>
      <c r="B195" t="str">
        <f>_xlfn.XLOOKUP(A195,'[1]2050Pop'!$A$7:$A$143,'[1]2050Pop'!$D$7:$D$143)</f>
        <v>Euro/AU/NZ</v>
      </c>
      <c r="C195" s="127">
        <f>1000*_xlfn.XLOOKUP(A195,'[1]2050Pop'!$A$7:$A$143,'[1]2050Pop'!$C$7:$C$143)</f>
        <v>3243</v>
      </c>
      <c r="D195" s="126" t="s">
        <v>480</v>
      </c>
      <c r="E195" s="130">
        <v>21.94</v>
      </c>
      <c r="F195" s="129">
        <f t="shared" si="8"/>
        <v>7.1151419999999993E-2</v>
      </c>
      <c r="G195" t="str">
        <f>_xlfn.XLOOKUP(D195,'[1]2050 BAU Mapping to T &amp; C'!$A$3:$A$52,'[1]2050 BAU Mapping to T &amp; C'!$B$3:$B$52)</f>
        <v xml:space="preserve">Other cereals </v>
      </c>
      <c r="H195" s="129">
        <f>_xlfn.XLOOKUP(G195,'[1]T&amp;C emissions for 2050 analysis'!$B$3:$B$23,'[1]T&amp;C emissions for 2050 analysis'!$C$3:$C$23)</f>
        <v>0.18333333333333335</v>
      </c>
      <c r="I195" s="27">
        <f t="shared" si="6"/>
        <v>1.3044426999999999E-2</v>
      </c>
      <c r="J195" s="129">
        <f t="shared" si="7"/>
        <v>4.022333333333334</v>
      </c>
    </row>
    <row r="196" spans="1:10" hidden="1" x14ac:dyDescent="0.35">
      <c r="A196" s="126" t="s">
        <v>452</v>
      </c>
      <c r="B196" t="str">
        <f>_xlfn.XLOOKUP(A196,'[1]2050Pop'!$A$7:$A$143,'[1]2050Pop'!$D$7:$D$143)</f>
        <v>SSA</v>
      </c>
      <c r="C196" s="127">
        <f>1000*_xlfn.XLOOKUP(A196,'[1]2050Pop'!$A$7:$A$143,'[1]2050Pop'!$C$7:$C$143)</f>
        <v>10732</v>
      </c>
      <c r="D196" s="126" t="s">
        <v>480</v>
      </c>
      <c r="E196" s="128">
        <v>21.495000000000001</v>
      </c>
      <c r="F196" s="129">
        <f t="shared" si="8"/>
        <v>0.23068433999999999</v>
      </c>
      <c r="G196" t="str">
        <f>_xlfn.XLOOKUP(D196,'[1]2050 BAU Mapping to T &amp; C'!$A$3:$A$52,'[1]2050 BAU Mapping to T &amp; C'!$B$3:$B$52)</f>
        <v xml:space="preserve">Other cereals </v>
      </c>
      <c r="H196" s="129">
        <f>_xlfn.XLOOKUP(G196,'[1]T&amp;C emissions for 2050 analysis'!$B$3:$B$23,'[1]T&amp;C emissions for 2050 analysis'!$C$3:$C$23)</f>
        <v>0.18333333333333335</v>
      </c>
      <c r="I196" s="27">
        <f t="shared" ref="I196:I259" si="9">F196*H196</f>
        <v>4.2292128999999998E-2</v>
      </c>
      <c r="J196" s="129">
        <f t="shared" ref="J196:J259" si="10">E196*H196</f>
        <v>3.9407500000000004</v>
      </c>
    </row>
    <row r="197" spans="1:10" hidden="1" x14ac:dyDescent="0.35">
      <c r="A197" s="126" t="s">
        <v>453</v>
      </c>
      <c r="B197" t="str">
        <f>_xlfn.XLOOKUP(A197,'[1]2050Pop'!$A$7:$A$143,'[1]2050Pop'!$D$7:$D$143)</f>
        <v>Euro/AU/NZ</v>
      </c>
      <c r="C197" s="127">
        <f>1000*_xlfn.XLOOKUP(A197,'[1]2050Pop'!$A$7:$A$143,'[1]2050Pop'!$C$7:$C$143)</f>
        <v>15207</v>
      </c>
      <c r="D197" s="126" t="s">
        <v>480</v>
      </c>
      <c r="E197" s="128">
        <v>7.3760000000000003</v>
      </c>
      <c r="F197" s="129">
        <f t="shared" ref="F197:F260" si="11">C197*E197/1000000</f>
        <v>0.11216683200000001</v>
      </c>
      <c r="G197" t="str">
        <f>_xlfn.XLOOKUP(D197,'[1]2050 BAU Mapping to T &amp; C'!$A$3:$A$52,'[1]2050 BAU Mapping to T &amp; C'!$B$3:$B$52)</f>
        <v xml:space="preserve">Other cereals </v>
      </c>
      <c r="H197" s="129">
        <f>_xlfn.XLOOKUP(G197,'[1]T&amp;C emissions for 2050 analysis'!$B$3:$B$23,'[1]T&amp;C emissions for 2050 analysis'!$C$3:$C$23)</f>
        <v>0.18333333333333335</v>
      </c>
      <c r="I197" s="27">
        <f t="shared" si="9"/>
        <v>2.0563919200000003E-2</v>
      </c>
      <c r="J197" s="129">
        <f t="shared" si="10"/>
        <v>1.3522666666666667</v>
      </c>
    </row>
    <row r="198" spans="1:10" hidden="1" x14ac:dyDescent="0.35">
      <c r="A198" s="126" t="s">
        <v>454</v>
      </c>
      <c r="B198" t="str">
        <f>_xlfn.XLOOKUP(A198,'[1]2050Pop'!$A$7:$A$143,'[1]2050Pop'!$D$7:$D$143)</f>
        <v>Euro/AU/NZ</v>
      </c>
      <c r="C198" s="127">
        <f>1000*_xlfn.XLOOKUP(A198,'[1]2050Pop'!$A$7:$A$143,'[1]2050Pop'!$C$7:$C$143)</f>
        <v>128598.99999999999</v>
      </c>
      <c r="D198" s="126" t="s">
        <v>480</v>
      </c>
      <c r="E198" s="128">
        <v>5.4189999999999996</v>
      </c>
      <c r="F198" s="129">
        <f t="shared" si="11"/>
        <v>0.69687798099999987</v>
      </c>
      <c r="G198" t="str">
        <f>_xlfn.XLOOKUP(D198,'[1]2050 BAU Mapping to T &amp; C'!$A$3:$A$52,'[1]2050 BAU Mapping to T &amp; C'!$B$3:$B$52)</f>
        <v xml:space="preserve">Other cereals </v>
      </c>
      <c r="H198" s="129">
        <f>_xlfn.XLOOKUP(G198,'[1]T&amp;C emissions for 2050 analysis'!$B$3:$B$23,'[1]T&amp;C emissions for 2050 analysis'!$C$3:$C$23)</f>
        <v>0.18333333333333335</v>
      </c>
      <c r="I198" s="27">
        <f t="shared" si="9"/>
        <v>0.12776096318333333</v>
      </c>
      <c r="J198" s="129">
        <f t="shared" si="10"/>
        <v>0.99348333333333338</v>
      </c>
    </row>
    <row r="199" spans="1:10" hidden="1" x14ac:dyDescent="0.35">
      <c r="A199" s="126" t="s">
        <v>458</v>
      </c>
      <c r="B199" t="str">
        <f>_xlfn.XLOOKUP(A199,'[1]2050Pop'!$A$7:$A$143,'[1]2050Pop'!$D$7:$D$143)</f>
        <v>Euro/AU/NZ</v>
      </c>
      <c r="C199" s="127">
        <f>1000*_xlfn.XLOOKUP(A199,'[1]2050Pop'!$A$7:$A$143,'[1]2050Pop'!$C$7:$C$143)</f>
        <v>7331</v>
      </c>
      <c r="D199" s="126" t="s">
        <v>480</v>
      </c>
      <c r="E199" s="128">
        <v>6.9640000000000004</v>
      </c>
      <c r="F199" s="129">
        <f t="shared" si="11"/>
        <v>5.1053084000000006E-2</v>
      </c>
      <c r="G199" t="str">
        <f>_xlfn.XLOOKUP(D199,'[1]2050 BAU Mapping to T &amp; C'!$A$3:$A$52,'[1]2050 BAU Mapping to T &amp; C'!$B$3:$B$52)</f>
        <v xml:space="preserve">Other cereals </v>
      </c>
      <c r="H199" s="129">
        <f>_xlfn.XLOOKUP(G199,'[1]T&amp;C emissions for 2050 analysis'!$B$3:$B$23,'[1]T&amp;C emissions for 2050 analysis'!$C$3:$C$23)</f>
        <v>0.18333333333333335</v>
      </c>
      <c r="I199" s="27">
        <f t="shared" si="9"/>
        <v>9.3597320666666678E-3</v>
      </c>
      <c r="J199" s="129">
        <f t="shared" si="10"/>
        <v>1.2767333333333335</v>
      </c>
    </row>
    <row r="200" spans="1:10" hidden="1" x14ac:dyDescent="0.35">
      <c r="A200" s="126" t="s">
        <v>459</v>
      </c>
      <c r="B200" t="str">
        <f>_xlfn.XLOOKUP(A200,'[1]2050Pop'!$A$7:$A$143,'[1]2050Pop'!$D$7:$D$143)</f>
        <v>Euro/AU/NZ</v>
      </c>
      <c r="C200" s="127">
        <f>1000*_xlfn.XLOOKUP(A200,'[1]2050Pop'!$A$7:$A$143,'[1]2050Pop'!$C$7:$C$143)</f>
        <v>4892</v>
      </c>
      <c r="D200" s="126" t="s">
        <v>480</v>
      </c>
      <c r="E200" s="128">
        <v>18.814</v>
      </c>
      <c r="F200" s="129">
        <f t="shared" si="11"/>
        <v>9.2038088000000004E-2</v>
      </c>
      <c r="G200" t="str">
        <f>_xlfn.XLOOKUP(D200,'[1]2050 BAU Mapping to T &amp; C'!$A$3:$A$52,'[1]2050 BAU Mapping to T &amp; C'!$B$3:$B$52)</f>
        <v xml:space="preserve">Other cereals </v>
      </c>
      <c r="H200" s="129">
        <f>_xlfn.XLOOKUP(G200,'[1]T&amp;C emissions for 2050 analysis'!$B$3:$B$23,'[1]T&amp;C emissions for 2050 analysis'!$C$3:$C$23)</f>
        <v>0.18333333333333335</v>
      </c>
      <c r="I200" s="27">
        <f t="shared" si="9"/>
        <v>1.6873649466666668E-2</v>
      </c>
      <c r="J200" s="129">
        <f t="shared" si="10"/>
        <v>3.4492333333333338</v>
      </c>
    </row>
    <row r="201" spans="1:10" hidden="1" x14ac:dyDescent="0.35">
      <c r="A201" s="126" t="s">
        <v>460</v>
      </c>
      <c r="B201" t="str">
        <f>_xlfn.XLOOKUP(A201,'[1]2050Pop'!$A$7:$A$143,'[1]2050Pop'!$D$7:$D$143)</f>
        <v>LatAm &amp; RSA</v>
      </c>
      <c r="C201" s="127">
        <f>1000*_xlfn.XLOOKUP(A201,'[1]2050Pop'!$A$7:$A$143,'[1]2050Pop'!$C$7:$C$143)</f>
        <v>65540</v>
      </c>
      <c r="D201" s="126" t="s">
        <v>480</v>
      </c>
      <c r="E201" s="128">
        <v>1.093</v>
      </c>
      <c r="F201" s="129">
        <f t="shared" si="11"/>
        <v>7.1635219999999999E-2</v>
      </c>
      <c r="G201" t="str">
        <f>_xlfn.XLOOKUP(D201,'[1]2050 BAU Mapping to T &amp; C'!$A$3:$A$52,'[1]2050 BAU Mapping to T &amp; C'!$B$3:$B$52)</f>
        <v xml:space="preserve">Other cereals </v>
      </c>
      <c r="H201" s="129">
        <f>_xlfn.XLOOKUP(G201,'[1]T&amp;C emissions for 2050 analysis'!$B$3:$B$23,'[1]T&amp;C emissions for 2050 analysis'!$C$3:$C$23)</f>
        <v>0.18333333333333335</v>
      </c>
      <c r="I201" s="27">
        <f t="shared" si="9"/>
        <v>1.3133123666666668E-2</v>
      </c>
      <c r="J201" s="129">
        <f t="shared" si="10"/>
        <v>0.20038333333333336</v>
      </c>
    </row>
    <row r="202" spans="1:10" hidden="1" x14ac:dyDescent="0.35">
      <c r="A202" s="126" t="s">
        <v>461</v>
      </c>
      <c r="B202" t="str">
        <f>_xlfn.XLOOKUP(A202,'[1]2050Pop'!$A$7:$A$143,'[1]2050Pop'!$D$7:$D$143)</f>
        <v>Euro/AU/NZ</v>
      </c>
      <c r="C202" s="127">
        <f>1000*_xlfn.XLOOKUP(A202,'[1]2050Pop'!$A$7:$A$143,'[1]2050Pop'!$C$7:$C$143)</f>
        <v>44840</v>
      </c>
      <c r="D202" s="126" t="s">
        <v>480</v>
      </c>
      <c r="E202" s="128">
        <v>1.8680000000000001</v>
      </c>
      <c r="F202" s="129">
        <f t="shared" si="11"/>
        <v>8.3761120000000008E-2</v>
      </c>
      <c r="G202" t="str">
        <f>_xlfn.XLOOKUP(D202,'[1]2050 BAU Mapping to T &amp; C'!$A$3:$A$52,'[1]2050 BAU Mapping to T &amp; C'!$B$3:$B$52)</f>
        <v xml:space="preserve">Other cereals </v>
      </c>
      <c r="H202" s="129">
        <f>_xlfn.XLOOKUP(G202,'[1]T&amp;C emissions for 2050 analysis'!$B$3:$B$23,'[1]T&amp;C emissions for 2050 analysis'!$C$3:$C$23)</f>
        <v>0.18333333333333335</v>
      </c>
      <c r="I202" s="27">
        <f t="shared" si="9"/>
        <v>1.5356205333333336E-2</v>
      </c>
      <c r="J202" s="129">
        <f t="shared" si="10"/>
        <v>0.3424666666666667</v>
      </c>
    </row>
    <row r="203" spans="1:10" hidden="1" x14ac:dyDescent="0.35">
      <c r="A203" s="126" t="s">
        <v>462</v>
      </c>
      <c r="B203" t="str">
        <f>_xlfn.XLOOKUP(A203,'[1]2050Pop'!$A$7:$A$143,'[1]2050Pop'!$D$7:$D$143)</f>
        <v>LatAm &amp; RSA</v>
      </c>
      <c r="C203" s="127">
        <f>1000*_xlfn.XLOOKUP(A203,'[1]2050Pop'!$A$7:$A$143,'[1]2050Pop'!$C$7:$C$143)</f>
        <v>624</v>
      </c>
      <c r="D203" s="126" t="s">
        <v>480</v>
      </c>
      <c r="E203" s="128">
        <v>1.208</v>
      </c>
      <c r="F203" s="129">
        <f t="shared" si="11"/>
        <v>7.5379199999999998E-4</v>
      </c>
      <c r="G203" t="str">
        <f>_xlfn.XLOOKUP(D203,'[1]2050 BAU Mapping to T &amp; C'!$A$3:$A$52,'[1]2050 BAU Mapping to T &amp; C'!$B$3:$B$52)</f>
        <v xml:space="preserve">Other cereals </v>
      </c>
      <c r="H203" s="129">
        <f>_xlfn.XLOOKUP(G203,'[1]T&amp;C emissions for 2050 analysis'!$B$3:$B$23,'[1]T&amp;C emissions for 2050 analysis'!$C$3:$C$23)</f>
        <v>0.18333333333333335</v>
      </c>
      <c r="I203" s="27">
        <f t="shared" si="9"/>
        <v>1.3819520000000001E-4</v>
      </c>
      <c r="J203" s="129">
        <f t="shared" si="10"/>
        <v>0.22146666666666667</v>
      </c>
    </row>
    <row r="204" spans="1:10" hidden="1" x14ac:dyDescent="0.35">
      <c r="A204" s="126" t="s">
        <v>464</v>
      </c>
      <c r="B204" t="str">
        <f>_xlfn.XLOOKUP(A204,'[1]2050Pop'!$A$7:$A$143,'[1]2050Pop'!$D$7:$D$143)</f>
        <v>Euro/AU/NZ</v>
      </c>
      <c r="C204" s="127">
        <f>1000*_xlfn.XLOOKUP(A204,'[1]2050Pop'!$A$7:$A$143,'[1]2050Pop'!$C$7:$C$143)</f>
        <v>11881</v>
      </c>
      <c r="D204" s="126" t="s">
        <v>480</v>
      </c>
      <c r="E204" s="128">
        <v>10.615</v>
      </c>
      <c r="F204" s="129">
        <f t="shared" si="11"/>
        <v>0.12611681499999999</v>
      </c>
      <c r="G204" t="str">
        <f>_xlfn.XLOOKUP(D204,'[1]2050 BAU Mapping to T &amp; C'!$A$3:$A$52,'[1]2050 BAU Mapping to T &amp; C'!$B$3:$B$52)</f>
        <v xml:space="preserve">Other cereals </v>
      </c>
      <c r="H204" s="129">
        <f>_xlfn.XLOOKUP(G204,'[1]T&amp;C emissions for 2050 analysis'!$B$3:$B$23,'[1]T&amp;C emissions for 2050 analysis'!$C$3:$C$23)</f>
        <v>0.18333333333333335</v>
      </c>
      <c r="I204" s="27">
        <f t="shared" si="9"/>
        <v>2.3121416083333336E-2</v>
      </c>
      <c r="J204" s="129">
        <f t="shared" si="10"/>
        <v>1.9460833333333336</v>
      </c>
    </row>
    <row r="205" spans="1:10" hidden="1" x14ac:dyDescent="0.35">
      <c r="A205" s="126" t="s">
        <v>483</v>
      </c>
      <c r="B205" t="str">
        <f>_xlfn.XLOOKUP(A205,'[1]2050Pop'!$A$7:$A$143,'[1]2050Pop'!$D$7:$D$143)</f>
        <v>APAC</v>
      </c>
      <c r="C205" s="127">
        <f>1000*_xlfn.XLOOKUP(A205,'[1]2050Pop'!$A$7:$A$143,'[1]2050Pop'!$C$7:$C$143)</f>
        <v>14288</v>
      </c>
      <c r="D205" s="126" t="s">
        <v>480</v>
      </c>
      <c r="E205" s="128">
        <v>36.527000000000001</v>
      </c>
      <c r="F205" s="129">
        <f t="shared" si="11"/>
        <v>0.52189777599999998</v>
      </c>
      <c r="G205" t="str">
        <f>_xlfn.XLOOKUP(D205,'[1]2050 BAU Mapping to T &amp; C'!$A$3:$A$52,'[1]2050 BAU Mapping to T &amp; C'!$B$3:$B$52)</f>
        <v xml:space="preserve">Other cereals </v>
      </c>
      <c r="H205" s="129">
        <f>_xlfn.XLOOKUP(G205,'[1]T&amp;C emissions for 2050 analysis'!$B$3:$B$23,'[1]T&amp;C emissions for 2050 analysis'!$C$3:$C$23)</f>
        <v>0.18333333333333335</v>
      </c>
      <c r="I205" s="27">
        <f t="shared" si="9"/>
        <v>9.5681258933333332E-2</v>
      </c>
      <c r="J205" s="129">
        <f t="shared" si="10"/>
        <v>6.6966166666666673</v>
      </c>
    </row>
    <row r="206" spans="1:10" hidden="1" x14ac:dyDescent="0.35">
      <c r="A206" s="126" t="s">
        <v>467</v>
      </c>
      <c r="B206" t="str">
        <f>_xlfn.XLOOKUP(A206,'[1]2050Pop'!$A$7:$A$143,'[1]2050Pop'!$D$7:$D$143)</f>
        <v>LatAm &amp; RSA</v>
      </c>
      <c r="C206" s="127">
        <f>1000*_xlfn.XLOOKUP(A206,'[1]2050Pop'!$A$7:$A$143,'[1]2050Pop'!$C$7:$C$143)</f>
        <v>1291</v>
      </c>
      <c r="D206" s="126" t="s">
        <v>480</v>
      </c>
      <c r="E206" s="128">
        <v>0.93400000000000005</v>
      </c>
      <c r="F206" s="129">
        <f t="shared" si="11"/>
        <v>1.205794E-3</v>
      </c>
      <c r="G206" t="str">
        <f>_xlfn.XLOOKUP(D206,'[1]2050 BAU Mapping to T &amp; C'!$A$3:$A$52,'[1]2050 BAU Mapping to T &amp; C'!$B$3:$B$52)</f>
        <v xml:space="preserve">Other cereals </v>
      </c>
      <c r="H206" s="129">
        <f>_xlfn.XLOOKUP(G206,'[1]T&amp;C emissions for 2050 analysis'!$B$3:$B$23,'[1]T&amp;C emissions for 2050 analysis'!$C$3:$C$23)</f>
        <v>0.18333333333333335</v>
      </c>
      <c r="I206" s="27">
        <f t="shared" si="9"/>
        <v>2.2106223333333337E-4</v>
      </c>
      <c r="J206" s="129">
        <f t="shared" si="10"/>
        <v>0.17123333333333335</v>
      </c>
    </row>
    <row r="207" spans="1:10" hidden="1" x14ac:dyDescent="0.35">
      <c r="A207" s="126" t="s">
        <v>468</v>
      </c>
      <c r="B207" t="str">
        <f>_xlfn.XLOOKUP(A207,'[1]2050Pop'!$A$7:$A$143,'[1]2050Pop'!$D$7:$D$143)</f>
        <v>MENA</v>
      </c>
      <c r="C207" s="127">
        <f>1000*_xlfn.XLOOKUP(A207,'[1]2050Pop'!$A$7:$A$143,'[1]2050Pop'!$C$7:$C$143)</f>
        <v>13476</v>
      </c>
      <c r="D207" s="126" t="s">
        <v>480</v>
      </c>
      <c r="E207" s="128">
        <v>39.323999999999998</v>
      </c>
      <c r="F207" s="129">
        <f t="shared" si="11"/>
        <v>0.52993022399999989</v>
      </c>
      <c r="G207" t="str">
        <f>_xlfn.XLOOKUP(D207,'[1]2050 BAU Mapping to T &amp; C'!$A$3:$A$52,'[1]2050 BAU Mapping to T &amp; C'!$B$3:$B$52)</f>
        <v xml:space="preserve">Other cereals </v>
      </c>
      <c r="H207" s="129">
        <f>_xlfn.XLOOKUP(G207,'[1]T&amp;C emissions for 2050 analysis'!$B$3:$B$23,'[1]T&amp;C emissions for 2050 analysis'!$C$3:$C$23)</f>
        <v>0.18333333333333335</v>
      </c>
      <c r="I207" s="27">
        <f t="shared" si="9"/>
        <v>9.7153874399999993E-2</v>
      </c>
      <c r="J207" s="129">
        <f t="shared" si="10"/>
        <v>7.2094000000000005</v>
      </c>
    </row>
    <row r="208" spans="1:10" hidden="1" x14ac:dyDescent="0.35">
      <c r="A208" s="126" t="s">
        <v>484</v>
      </c>
      <c r="B208" t="str">
        <f>_xlfn.XLOOKUP(A208,'[1]2050Pop'!$A$7:$A$143,'[1]2050Pop'!$D$7:$D$143)</f>
        <v>APAC</v>
      </c>
      <c r="C208" s="127">
        <f>1000*_xlfn.XLOOKUP(A208,'[1]2050Pop'!$A$7:$A$143,'[1]2050Pop'!$C$7:$C$143)</f>
        <v>6555</v>
      </c>
      <c r="D208" s="126" t="s">
        <v>480</v>
      </c>
      <c r="E208" s="128">
        <v>13.878</v>
      </c>
      <c r="F208" s="129">
        <f t="shared" si="11"/>
        <v>9.0970289999999995E-2</v>
      </c>
      <c r="G208" t="str">
        <f>_xlfn.XLOOKUP(D208,'[1]2050 BAU Mapping to T &amp; C'!$A$3:$A$52,'[1]2050 BAU Mapping to T &amp; C'!$B$3:$B$52)</f>
        <v xml:space="preserve">Other cereals </v>
      </c>
      <c r="H208" s="129">
        <f>_xlfn.XLOOKUP(G208,'[1]T&amp;C emissions for 2050 analysis'!$B$3:$B$23,'[1]T&amp;C emissions for 2050 analysis'!$C$3:$C$23)</f>
        <v>0.18333333333333335</v>
      </c>
      <c r="I208" s="27">
        <f t="shared" si="9"/>
        <v>1.6677886499999999E-2</v>
      </c>
      <c r="J208" s="129">
        <f t="shared" si="10"/>
        <v>2.5443000000000002</v>
      </c>
    </row>
    <row r="209" spans="1:10" hidden="1" x14ac:dyDescent="0.35">
      <c r="A209" s="126" t="s">
        <v>470</v>
      </c>
      <c r="B209" t="str">
        <f>_xlfn.XLOOKUP(A209,'[1]2050Pop'!$A$7:$A$143,'[1]2050Pop'!$D$7:$D$143)</f>
        <v>SSA</v>
      </c>
      <c r="C209" s="127">
        <f>1000*_xlfn.XLOOKUP(A209,'[1]2050Pop'!$A$7:$A$143,'[1]2050Pop'!$C$7:$C$143)</f>
        <v>101873</v>
      </c>
      <c r="D209" s="126" t="s">
        <v>480</v>
      </c>
      <c r="E209" s="128">
        <v>1.7909999999999999</v>
      </c>
      <c r="F209" s="129">
        <f t="shared" si="11"/>
        <v>0.182454543</v>
      </c>
      <c r="G209" t="str">
        <f>_xlfn.XLOOKUP(D209,'[1]2050 BAU Mapping to T &amp; C'!$A$3:$A$52,'[1]2050 BAU Mapping to T &amp; C'!$B$3:$B$52)</f>
        <v xml:space="preserve">Other cereals </v>
      </c>
      <c r="H209" s="129">
        <f>_xlfn.XLOOKUP(G209,'[1]T&amp;C emissions for 2050 analysis'!$B$3:$B$23,'[1]T&amp;C emissions for 2050 analysis'!$C$3:$C$23)</f>
        <v>0.18333333333333335</v>
      </c>
      <c r="I209" s="27">
        <f t="shared" si="9"/>
        <v>3.3449999550000005E-2</v>
      </c>
      <c r="J209" s="129">
        <f t="shared" si="10"/>
        <v>0.32835000000000003</v>
      </c>
    </row>
    <row r="210" spans="1:10" hidden="1" x14ac:dyDescent="0.35">
      <c r="A210" s="126" t="s">
        <v>471</v>
      </c>
      <c r="B210" t="str">
        <f>_xlfn.XLOOKUP(A210,'[1]2050Pop'!$A$7:$A$143,'[1]2050Pop'!$D$7:$D$143)</f>
        <v>Euro/AU/NZ</v>
      </c>
      <c r="C210" s="127">
        <f>1000*_xlfn.XLOOKUP(A210,'[1]2050Pop'!$A$7:$A$143,'[1]2050Pop'!$C$7:$C$143)</f>
        <v>35117</v>
      </c>
      <c r="D210" s="126" t="s">
        <v>480</v>
      </c>
      <c r="E210" s="130">
        <v>16.88</v>
      </c>
      <c r="F210" s="129">
        <f t="shared" si="11"/>
        <v>0.59277495999999996</v>
      </c>
      <c r="G210" t="str">
        <f>_xlfn.XLOOKUP(D210,'[1]2050 BAU Mapping to T &amp; C'!$A$3:$A$52,'[1]2050 BAU Mapping to T &amp; C'!$B$3:$B$52)</f>
        <v xml:space="preserve">Other cereals </v>
      </c>
      <c r="H210" s="129">
        <f>_xlfn.XLOOKUP(G210,'[1]T&amp;C emissions for 2050 analysis'!$B$3:$B$23,'[1]T&amp;C emissions for 2050 analysis'!$C$3:$C$23)</f>
        <v>0.18333333333333335</v>
      </c>
      <c r="I210" s="27">
        <f t="shared" si="9"/>
        <v>0.10867540933333333</v>
      </c>
      <c r="J210" s="129">
        <f t="shared" si="10"/>
        <v>3.0946666666666669</v>
      </c>
    </row>
    <row r="211" spans="1:10" hidden="1" x14ac:dyDescent="0.35">
      <c r="A211" s="126" t="s">
        <v>472</v>
      </c>
      <c r="B211" t="str">
        <f>_xlfn.XLOOKUP(A211,'[1]2050Pop'!$A$7:$A$143,'[1]2050Pop'!$D$7:$D$143)</f>
        <v>Euro/AU/NZ</v>
      </c>
      <c r="C211" s="127">
        <f>1000*_xlfn.XLOOKUP(A211,'[1]2050Pop'!$A$7:$A$143,'[1]2050Pop'!$C$7:$C$143)</f>
        <v>75361</v>
      </c>
      <c r="D211" s="126" t="s">
        <v>480</v>
      </c>
      <c r="E211" s="128">
        <v>4.6769999999999996</v>
      </c>
      <c r="F211" s="129">
        <f t="shared" si="11"/>
        <v>0.35246339700000001</v>
      </c>
      <c r="G211" t="str">
        <f>_xlfn.XLOOKUP(D211,'[1]2050 BAU Mapping to T &amp; C'!$A$3:$A$52,'[1]2050 BAU Mapping to T &amp; C'!$B$3:$B$52)</f>
        <v xml:space="preserve">Other cereals </v>
      </c>
      <c r="H211" s="129">
        <f>_xlfn.XLOOKUP(G211,'[1]T&amp;C emissions for 2050 analysis'!$B$3:$B$23,'[1]T&amp;C emissions for 2050 analysis'!$C$3:$C$23)</f>
        <v>0.18333333333333335</v>
      </c>
      <c r="I211" s="27">
        <f t="shared" si="9"/>
        <v>6.4618289450000005E-2</v>
      </c>
      <c r="J211" s="129">
        <f t="shared" si="10"/>
        <v>0.85745000000000005</v>
      </c>
    </row>
    <row r="212" spans="1:10" hidden="1" x14ac:dyDescent="0.35">
      <c r="A212" s="126" t="s">
        <v>474</v>
      </c>
      <c r="B212" t="str">
        <f>_xlfn.XLOOKUP(A212,'[1]2050Pop'!$A$7:$A$143,'[1]2050Pop'!$D$7:$D$143)</f>
        <v>NAm</v>
      </c>
      <c r="C212" s="127">
        <f>1000*_xlfn.XLOOKUP(A212,'[1]2050Pop'!$A$7:$A$143,'[1]2050Pop'!$C$7:$C$143)</f>
        <v>388865</v>
      </c>
      <c r="D212" s="126" t="s">
        <v>480</v>
      </c>
      <c r="E212" s="128">
        <v>4.835</v>
      </c>
      <c r="F212" s="129">
        <f t="shared" si="11"/>
        <v>1.880162275</v>
      </c>
      <c r="G212" t="str">
        <f>_xlfn.XLOOKUP(D212,'[1]2050 BAU Mapping to T &amp; C'!$A$3:$A$52,'[1]2050 BAU Mapping to T &amp; C'!$B$3:$B$52)</f>
        <v xml:space="preserve">Other cereals </v>
      </c>
      <c r="H212" s="129">
        <f>_xlfn.XLOOKUP(G212,'[1]T&amp;C emissions for 2050 analysis'!$B$3:$B$23,'[1]T&amp;C emissions for 2050 analysis'!$C$3:$C$23)</f>
        <v>0.18333333333333335</v>
      </c>
      <c r="I212" s="27">
        <f t="shared" si="9"/>
        <v>0.34469641708333337</v>
      </c>
      <c r="J212" s="129">
        <f t="shared" si="10"/>
        <v>0.88641666666666674</v>
      </c>
    </row>
    <row r="213" spans="1:10" hidden="1" x14ac:dyDescent="0.35">
      <c r="A213" s="126" t="s">
        <v>475</v>
      </c>
      <c r="B213" t="str">
        <f>_xlfn.XLOOKUP(A213,'[1]2050Pop'!$A$7:$A$143,'[1]2050Pop'!$D$7:$D$143)</f>
        <v>LatAm &amp; RSA</v>
      </c>
      <c r="C213" s="127">
        <f>1000*_xlfn.XLOOKUP(A213,'[1]2050Pop'!$A$7:$A$143,'[1]2050Pop'!$C$7:$C$143)</f>
        <v>3667</v>
      </c>
      <c r="D213" s="126" t="s">
        <v>480</v>
      </c>
      <c r="E213" s="128">
        <v>5.5019999999999998</v>
      </c>
      <c r="F213" s="129">
        <f t="shared" si="11"/>
        <v>2.0175834E-2</v>
      </c>
      <c r="G213" t="str">
        <f>_xlfn.XLOOKUP(D213,'[1]2050 BAU Mapping to T &amp; C'!$A$3:$A$52,'[1]2050 BAU Mapping to T &amp; C'!$B$3:$B$52)</f>
        <v xml:space="preserve">Other cereals </v>
      </c>
      <c r="H213" s="129">
        <f>_xlfn.XLOOKUP(G213,'[1]T&amp;C emissions for 2050 analysis'!$B$3:$B$23,'[1]T&amp;C emissions for 2050 analysis'!$C$3:$C$23)</f>
        <v>0.18333333333333335</v>
      </c>
      <c r="I213" s="27">
        <f t="shared" si="9"/>
        <v>3.6989029000000003E-3</v>
      </c>
      <c r="J213" s="129">
        <f t="shared" si="10"/>
        <v>1.0087000000000002</v>
      </c>
    </row>
    <row r="214" spans="1:10" hidden="1" x14ac:dyDescent="0.35">
      <c r="A214" s="126" t="s">
        <v>485</v>
      </c>
      <c r="B214" t="str">
        <f>_xlfn.XLOOKUP(A214,'[1]2050Pop'!$A$7:$A$143,'[1]2050Pop'!$D$7:$D$143)</f>
        <v>APAC</v>
      </c>
      <c r="C214" s="127">
        <f>1000*_xlfn.XLOOKUP(A214,'[1]2050Pop'!$A$7:$A$143,'[1]2050Pop'!$C$7:$C$143)</f>
        <v>37126</v>
      </c>
      <c r="D214" s="126" t="s">
        <v>480</v>
      </c>
      <c r="E214" s="128">
        <v>15.571999999999999</v>
      </c>
      <c r="F214" s="129">
        <f t="shared" si="11"/>
        <v>0.57812607199999988</v>
      </c>
      <c r="G214" t="str">
        <f>_xlfn.XLOOKUP(D214,'[1]2050 BAU Mapping to T &amp; C'!$A$3:$A$52,'[1]2050 BAU Mapping to T &amp; C'!$B$3:$B$52)</f>
        <v xml:space="preserve">Other cereals </v>
      </c>
      <c r="H214" s="129">
        <f>_xlfn.XLOOKUP(G214,'[1]T&amp;C emissions for 2050 analysis'!$B$3:$B$23,'[1]T&amp;C emissions for 2050 analysis'!$C$3:$C$23)</f>
        <v>0.18333333333333335</v>
      </c>
      <c r="I214" s="27">
        <f t="shared" si="9"/>
        <v>0.10598977986666665</v>
      </c>
      <c r="J214" s="129">
        <f t="shared" si="10"/>
        <v>2.8548666666666667</v>
      </c>
    </row>
    <row r="215" spans="1:10" hidden="1" x14ac:dyDescent="0.35">
      <c r="A215" s="126" t="s">
        <v>479</v>
      </c>
      <c r="B215" t="str">
        <f>_xlfn.XLOOKUP(A215,'[1]2050Pop'!$A$7:$A$143,'[1]2050Pop'!$D$7:$D$143)</f>
        <v>SSA</v>
      </c>
      <c r="C215" s="127">
        <f>1000*_xlfn.XLOOKUP(A215,'[1]2050Pop'!$A$7:$A$143,'[1]2050Pop'!$C$7:$C$143)</f>
        <v>29615</v>
      </c>
      <c r="D215" s="126" t="s">
        <v>480</v>
      </c>
      <c r="E215" s="128">
        <v>2.5539999999999998</v>
      </c>
      <c r="F215" s="129">
        <f t="shared" si="11"/>
        <v>7.5636709999999996E-2</v>
      </c>
      <c r="G215" t="str">
        <f>_xlfn.XLOOKUP(D215,'[1]2050 BAU Mapping to T &amp; C'!$A$3:$A$52,'[1]2050 BAU Mapping to T &amp; C'!$B$3:$B$52)</f>
        <v xml:space="preserve">Other cereals </v>
      </c>
      <c r="H215" s="129">
        <f>_xlfn.XLOOKUP(G215,'[1]T&amp;C emissions for 2050 analysis'!$B$3:$B$23,'[1]T&amp;C emissions for 2050 analysis'!$C$3:$C$23)</f>
        <v>0.18333333333333335</v>
      </c>
      <c r="I215" s="27">
        <f t="shared" si="9"/>
        <v>1.3866730166666667E-2</v>
      </c>
      <c r="J215" s="129">
        <f t="shared" si="10"/>
        <v>0.46823333333333333</v>
      </c>
    </row>
    <row r="216" spans="1:10" hidden="1" x14ac:dyDescent="0.35">
      <c r="A216" s="126" t="s">
        <v>355</v>
      </c>
      <c r="B216" t="str">
        <f>_xlfn.XLOOKUP(A216,'[1]2050Pop'!$A$7:$A$143,'[1]2050Pop'!$D$7:$D$143)</f>
        <v>India/South Asia</v>
      </c>
      <c r="C216" s="127">
        <f>1000*_xlfn.XLOOKUP(A216,'[1]2050Pop'!$A$7:$A$143,'[1]2050Pop'!$C$7:$C$143)</f>
        <v>55955</v>
      </c>
      <c r="D216" s="126" t="s">
        <v>486</v>
      </c>
      <c r="E216" s="128">
        <v>34.351999999999997</v>
      </c>
      <c r="F216" s="129">
        <f t="shared" si="11"/>
        <v>1.92216616</v>
      </c>
      <c r="G216" t="str">
        <f>_xlfn.XLOOKUP(D216,'[1]2050 BAU Mapping to T &amp; C'!$A$3:$A$52,'[1]2050 BAU Mapping to T &amp; C'!$B$3:$B$52)</f>
        <v>Ruminant Meats</v>
      </c>
      <c r="H216" s="129">
        <f>_xlfn.XLOOKUP(G216,'[1]T&amp;C emissions for 2050 analysis'!$B$3:$B$23,'[1]T&amp;C emissions for 2050 analysis'!$C$3:$C$23)</f>
        <v>20.533333333333331</v>
      </c>
      <c r="I216" s="27">
        <f t="shared" si="9"/>
        <v>39.468478485333328</v>
      </c>
      <c r="J216" s="129">
        <f t="shared" si="10"/>
        <v>705.36106666666649</v>
      </c>
    </row>
    <row r="217" spans="1:10" hidden="1" x14ac:dyDescent="0.35">
      <c r="A217" s="126" t="s">
        <v>357</v>
      </c>
      <c r="B217" t="str">
        <f>_xlfn.XLOOKUP(A217,'[1]2050Pop'!$A$7:$A$143,'[1]2050Pop'!$D$7:$D$143)</f>
        <v>Euro/AU/NZ</v>
      </c>
      <c r="C217" s="127">
        <f>1000*_xlfn.XLOOKUP(A217,'[1]2050Pop'!$A$7:$A$143,'[1]2050Pop'!$C$7:$C$143)</f>
        <v>2710</v>
      </c>
      <c r="D217" s="126" t="s">
        <v>486</v>
      </c>
      <c r="E217" s="128">
        <v>110.762</v>
      </c>
      <c r="F217" s="129">
        <f t="shared" si="11"/>
        <v>0.30016502</v>
      </c>
      <c r="G217" t="str">
        <f>_xlfn.XLOOKUP(D217,'[1]2050 BAU Mapping to T &amp; C'!$A$3:$A$52,'[1]2050 BAU Mapping to T &amp; C'!$B$3:$B$52)</f>
        <v>Ruminant Meats</v>
      </c>
      <c r="H217" s="129">
        <f>_xlfn.XLOOKUP(G217,'[1]T&amp;C emissions for 2050 analysis'!$B$3:$B$23,'[1]T&amp;C emissions for 2050 analysis'!$C$3:$C$23)</f>
        <v>20.533333333333331</v>
      </c>
      <c r="I217" s="27">
        <f t="shared" si="9"/>
        <v>6.1633884106666663</v>
      </c>
      <c r="J217" s="129">
        <f t="shared" si="10"/>
        <v>2274.3130666666666</v>
      </c>
    </row>
    <row r="218" spans="1:10" hidden="1" x14ac:dyDescent="0.35">
      <c r="A218" s="126" t="s">
        <v>358</v>
      </c>
      <c r="B218" t="str">
        <f>_xlfn.XLOOKUP(A218,'[1]2050Pop'!$A$7:$A$143,'[1]2050Pop'!$D$7:$D$143)</f>
        <v>MENA</v>
      </c>
      <c r="C218" s="127">
        <f>1000*_xlfn.XLOOKUP(A218,'[1]2050Pop'!$A$7:$A$143,'[1]2050Pop'!$C$7:$C$143)</f>
        <v>56461</v>
      </c>
      <c r="D218" s="126" t="s">
        <v>486</v>
      </c>
      <c r="E218" s="128">
        <v>26.677</v>
      </c>
      <c r="F218" s="129">
        <f t="shared" si="11"/>
        <v>1.5062100970000001</v>
      </c>
      <c r="G218" t="str">
        <f>_xlfn.XLOOKUP(D218,'[1]2050 BAU Mapping to T &amp; C'!$A$3:$A$52,'[1]2050 BAU Mapping to T &amp; C'!$B$3:$B$52)</f>
        <v>Ruminant Meats</v>
      </c>
      <c r="H218" s="129">
        <f>_xlfn.XLOOKUP(G218,'[1]T&amp;C emissions for 2050 analysis'!$B$3:$B$23,'[1]T&amp;C emissions for 2050 analysis'!$C$3:$C$23)</f>
        <v>20.533333333333331</v>
      </c>
      <c r="I218" s="27">
        <f t="shared" si="9"/>
        <v>30.927513991733331</v>
      </c>
      <c r="J218" s="129">
        <f t="shared" si="10"/>
        <v>547.76773333333324</v>
      </c>
    </row>
    <row r="219" spans="1:10" hidden="1" x14ac:dyDescent="0.35">
      <c r="A219" s="126" t="s">
        <v>359</v>
      </c>
      <c r="B219" t="str">
        <f>_xlfn.XLOOKUP(A219,'[1]2050Pop'!$A$7:$A$143,'[1]2050Pop'!$D$7:$D$143)</f>
        <v>SSA</v>
      </c>
      <c r="C219" s="127">
        <f>1000*_xlfn.XLOOKUP(A219,'[1]2050Pop'!$A$7:$A$143,'[1]2050Pop'!$C$7:$C$143)</f>
        <v>65473</v>
      </c>
      <c r="D219" s="126" t="s">
        <v>486</v>
      </c>
      <c r="E219" s="130">
        <v>29.37</v>
      </c>
      <c r="F219" s="129">
        <f t="shared" si="11"/>
        <v>1.9229420100000001</v>
      </c>
      <c r="G219" t="str">
        <f>_xlfn.XLOOKUP(D219,'[1]2050 BAU Mapping to T &amp; C'!$A$3:$A$52,'[1]2050 BAU Mapping to T &amp; C'!$B$3:$B$52)</f>
        <v>Ruminant Meats</v>
      </c>
      <c r="H219" s="129">
        <f>_xlfn.XLOOKUP(G219,'[1]T&amp;C emissions for 2050 analysis'!$B$3:$B$23,'[1]T&amp;C emissions for 2050 analysis'!$C$3:$C$23)</f>
        <v>20.533333333333331</v>
      </c>
      <c r="I219" s="27">
        <f t="shared" si="9"/>
        <v>39.484409272000001</v>
      </c>
      <c r="J219" s="129">
        <f t="shared" si="10"/>
        <v>603.06399999999996</v>
      </c>
    </row>
    <row r="220" spans="1:10" hidden="1" x14ac:dyDescent="0.35">
      <c r="A220" s="126" t="s">
        <v>360</v>
      </c>
      <c r="B220" t="str">
        <f>_xlfn.XLOOKUP(A220,'[1]2050Pop'!$A$7:$A$143,'[1]2050Pop'!$D$7:$D$143)</f>
        <v>LatAm &amp; RSA</v>
      </c>
      <c r="C220" s="127">
        <f>1000*_xlfn.XLOOKUP(A220,'[1]2050Pop'!$A$7:$A$143,'[1]2050Pop'!$C$7:$C$143)</f>
        <v>55445</v>
      </c>
      <c r="D220" s="126" t="s">
        <v>486</v>
      </c>
      <c r="E220" s="128">
        <v>368.29700000000003</v>
      </c>
      <c r="F220" s="129">
        <f t="shared" si="11"/>
        <v>20.420227165000004</v>
      </c>
      <c r="G220" t="str">
        <f>_xlfn.XLOOKUP(D220,'[1]2050 BAU Mapping to T &amp; C'!$A$3:$A$52,'[1]2050 BAU Mapping to T &amp; C'!$B$3:$B$52)</f>
        <v>Ruminant Meats</v>
      </c>
      <c r="H220" s="129">
        <f>_xlfn.XLOOKUP(G220,'[1]T&amp;C emissions for 2050 analysis'!$B$3:$B$23,'[1]T&amp;C emissions for 2050 analysis'!$C$3:$C$23)</f>
        <v>20.533333333333331</v>
      </c>
      <c r="I220" s="27">
        <f t="shared" si="9"/>
        <v>419.29533112133339</v>
      </c>
      <c r="J220" s="129">
        <f t="shared" si="10"/>
        <v>7562.3650666666663</v>
      </c>
    </row>
    <row r="221" spans="1:10" hidden="1" x14ac:dyDescent="0.35">
      <c r="A221" s="126" t="s">
        <v>361</v>
      </c>
      <c r="B221" t="str">
        <f>_xlfn.XLOOKUP(A221,'[1]2050Pop'!$A$7:$A$143,'[1]2050Pop'!$D$7:$D$143)</f>
        <v>MENA</v>
      </c>
      <c r="C221" s="127">
        <f>1000*_xlfn.XLOOKUP(A221,'[1]2050Pop'!$A$7:$A$143,'[1]2050Pop'!$C$7:$C$143)</f>
        <v>2729</v>
      </c>
      <c r="D221" s="126" t="s">
        <v>486</v>
      </c>
      <c r="E221" s="128">
        <v>135.81700000000001</v>
      </c>
      <c r="F221" s="129">
        <f t="shared" si="11"/>
        <v>0.37064459299999997</v>
      </c>
      <c r="G221" t="str">
        <f>_xlfn.XLOOKUP(D221,'[1]2050 BAU Mapping to T &amp; C'!$A$3:$A$52,'[1]2050 BAU Mapping to T &amp; C'!$B$3:$B$52)</f>
        <v>Ruminant Meats</v>
      </c>
      <c r="H221" s="129">
        <f>_xlfn.XLOOKUP(G221,'[1]T&amp;C emissions for 2050 analysis'!$B$3:$B$23,'[1]T&amp;C emissions for 2050 analysis'!$C$3:$C$23)</f>
        <v>20.533333333333331</v>
      </c>
      <c r="I221" s="27">
        <f t="shared" si="9"/>
        <v>7.6105689762666655</v>
      </c>
      <c r="J221" s="129">
        <f t="shared" si="10"/>
        <v>2788.7757333333334</v>
      </c>
    </row>
    <row r="222" spans="1:10" hidden="1" x14ac:dyDescent="0.35">
      <c r="A222" s="126" t="s">
        <v>362</v>
      </c>
      <c r="B222" t="str">
        <f>_xlfn.XLOOKUP(A222,'[1]2050Pop'!$A$7:$A$143,'[1]2050Pop'!$D$7:$D$143)</f>
        <v>Euro/AU/NZ</v>
      </c>
      <c r="C222" s="127">
        <f>1000*_xlfn.XLOOKUP(A222,'[1]2050Pop'!$A$7:$A$143,'[1]2050Pop'!$C$7:$C$143)</f>
        <v>33496</v>
      </c>
      <c r="D222" s="126" t="s">
        <v>486</v>
      </c>
      <c r="E222" s="130">
        <v>126.59</v>
      </c>
      <c r="F222" s="129">
        <f t="shared" si="11"/>
        <v>4.2402586399999995</v>
      </c>
      <c r="G222" t="str">
        <f>_xlfn.XLOOKUP(D222,'[1]2050 BAU Mapping to T &amp; C'!$A$3:$A$52,'[1]2050 BAU Mapping to T &amp; C'!$B$3:$B$52)</f>
        <v>Ruminant Meats</v>
      </c>
      <c r="H222" s="129">
        <f>_xlfn.XLOOKUP(G222,'[1]T&amp;C emissions for 2050 analysis'!$B$3:$B$23,'[1]T&amp;C emissions for 2050 analysis'!$C$3:$C$23)</f>
        <v>20.533333333333331</v>
      </c>
      <c r="I222" s="27">
        <f t="shared" si="9"/>
        <v>87.066644074666655</v>
      </c>
      <c r="J222" s="129">
        <f t="shared" si="10"/>
        <v>2599.3146666666667</v>
      </c>
    </row>
    <row r="223" spans="1:10" hidden="1" x14ac:dyDescent="0.35">
      <c r="A223" s="126" t="s">
        <v>363</v>
      </c>
      <c r="B223" t="str">
        <f>_xlfn.XLOOKUP(A223,'[1]2050Pop'!$A$7:$A$143,'[1]2050Pop'!$D$7:$D$143)</f>
        <v>Euro/AU/NZ</v>
      </c>
      <c r="C223" s="127">
        <f>1000*_xlfn.XLOOKUP(A223,'[1]2050Pop'!$A$7:$A$143,'[1]2050Pop'!$C$7:$C$143)</f>
        <v>8846</v>
      </c>
      <c r="D223" s="126" t="s">
        <v>486</v>
      </c>
      <c r="E223" s="128">
        <v>58.783000000000001</v>
      </c>
      <c r="F223" s="129">
        <f t="shared" si="11"/>
        <v>0.51999441800000001</v>
      </c>
      <c r="G223" t="str">
        <f>_xlfn.XLOOKUP(D223,'[1]2050 BAU Mapping to T &amp; C'!$A$3:$A$52,'[1]2050 BAU Mapping to T &amp; C'!$B$3:$B$52)</f>
        <v>Ruminant Meats</v>
      </c>
      <c r="H223" s="129">
        <f>_xlfn.XLOOKUP(G223,'[1]T&amp;C emissions for 2050 analysis'!$B$3:$B$23,'[1]T&amp;C emissions for 2050 analysis'!$C$3:$C$23)</f>
        <v>20.533333333333331</v>
      </c>
      <c r="I223" s="27">
        <f t="shared" si="9"/>
        <v>10.677218716266665</v>
      </c>
      <c r="J223" s="129">
        <f t="shared" si="10"/>
        <v>1207.0109333333332</v>
      </c>
    </row>
    <row r="224" spans="1:10" hidden="1" x14ac:dyDescent="0.35">
      <c r="A224" s="126" t="s">
        <v>364</v>
      </c>
      <c r="B224" t="str">
        <f>_xlfn.XLOOKUP(A224,'[1]2050Pop'!$A$7:$A$143,'[1]2050Pop'!$D$7:$D$143)</f>
        <v>MENA</v>
      </c>
      <c r="C224" s="127">
        <f>1000*_xlfn.XLOOKUP(A224,'[1]2050Pop'!$A$7:$A$143,'[1]2050Pop'!$C$7:$C$143)</f>
        <v>10963</v>
      </c>
      <c r="D224" s="126" t="s">
        <v>486</v>
      </c>
      <c r="E224" s="128">
        <v>75.774000000000001</v>
      </c>
      <c r="F224" s="129">
        <f t="shared" si="11"/>
        <v>0.83071036199999992</v>
      </c>
      <c r="G224" t="str">
        <f>_xlfn.XLOOKUP(D224,'[1]2050 BAU Mapping to T &amp; C'!$A$3:$A$52,'[1]2050 BAU Mapping to T &amp; C'!$B$3:$B$52)</f>
        <v>Ruminant Meats</v>
      </c>
      <c r="H224" s="129">
        <f>_xlfn.XLOOKUP(G224,'[1]T&amp;C emissions for 2050 analysis'!$B$3:$B$23,'[1]T&amp;C emissions for 2050 analysis'!$C$3:$C$23)</f>
        <v>20.533333333333331</v>
      </c>
      <c r="I224" s="27">
        <f t="shared" si="9"/>
        <v>17.057252766399998</v>
      </c>
      <c r="J224" s="129">
        <f t="shared" si="10"/>
        <v>1555.8927999999999</v>
      </c>
    </row>
    <row r="225" spans="1:10" hidden="1" x14ac:dyDescent="0.35">
      <c r="A225" s="126" t="s">
        <v>365</v>
      </c>
      <c r="B225" t="str">
        <f>_xlfn.XLOOKUP(A225,'[1]2050Pop'!$A$7:$A$143,'[1]2050Pop'!$D$7:$D$143)</f>
        <v>India/South Asia</v>
      </c>
      <c r="C225" s="127">
        <f>1000*_xlfn.XLOOKUP(A225,'[1]2050Pop'!$A$7:$A$143,'[1]2050Pop'!$C$7:$C$143)</f>
        <v>202209</v>
      </c>
      <c r="D225" s="126" t="s">
        <v>486</v>
      </c>
      <c r="E225" s="128">
        <v>8.9250000000000007</v>
      </c>
      <c r="F225" s="129">
        <f t="shared" si="11"/>
        <v>1.8047153250000001</v>
      </c>
      <c r="G225" t="str">
        <f>_xlfn.XLOOKUP(D225,'[1]2050 BAU Mapping to T &amp; C'!$A$3:$A$52,'[1]2050 BAU Mapping to T &amp; C'!$B$3:$B$52)</f>
        <v>Ruminant Meats</v>
      </c>
      <c r="H225" s="129">
        <f>_xlfn.XLOOKUP(G225,'[1]T&amp;C emissions for 2050 analysis'!$B$3:$B$23,'[1]T&amp;C emissions for 2050 analysis'!$C$3:$C$23)</f>
        <v>20.533333333333331</v>
      </c>
      <c r="I225" s="27">
        <f t="shared" si="9"/>
        <v>37.056821339999999</v>
      </c>
      <c r="J225" s="129">
        <f t="shared" si="10"/>
        <v>183.26</v>
      </c>
    </row>
    <row r="226" spans="1:10" hidden="1" x14ac:dyDescent="0.35">
      <c r="A226" s="126" t="s">
        <v>366</v>
      </c>
      <c r="B226" t="str">
        <f>_xlfn.XLOOKUP(A226,'[1]2050Pop'!$A$7:$A$143,'[1]2050Pop'!$D$7:$D$143)</f>
        <v>Euro/AU/NZ</v>
      </c>
      <c r="C226" s="127">
        <f>1000*_xlfn.XLOOKUP(A226,'[1]2050Pop'!$A$7:$A$143,'[1]2050Pop'!$C$7:$C$143)</f>
        <v>8125</v>
      </c>
      <c r="D226" s="126" t="s">
        <v>486</v>
      </c>
      <c r="E226" s="128">
        <v>132.07400000000001</v>
      </c>
      <c r="F226" s="129">
        <f t="shared" si="11"/>
        <v>1.0731012499999999</v>
      </c>
      <c r="G226" t="str">
        <f>_xlfn.XLOOKUP(D226,'[1]2050 BAU Mapping to T &amp; C'!$A$3:$A$52,'[1]2050 BAU Mapping to T &amp; C'!$B$3:$B$52)</f>
        <v>Ruminant Meats</v>
      </c>
      <c r="H226" s="129">
        <f>_xlfn.XLOOKUP(G226,'[1]T&amp;C emissions for 2050 analysis'!$B$3:$B$23,'[1]T&amp;C emissions for 2050 analysis'!$C$3:$C$23)</f>
        <v>20.533333333333331</v>
      </c>
      <c r="I226" s="27">
        <f t="shared" si="9"/>
        <v>22.034345666666663</v>
      </c>
      <c r="J226" s="129">
        <f t="shared" si="10"/>
        <v>2711.9194666666667</v>
      </c>
    </row>
    <row r="227" spans="1:10" hidden="1" x14ac:dyDescent="0.35">
      <c r="A227" s="126" t="s">
        <v>367</v>
      </c>
      <c r="B227" t="str">
        <f>_xlfn.XLOOKUP(A227,'[1]2050Pop'!$A$7:$A$143,'[1]2050Pop'!$D$7:$D$143)</f>
        <v>Euro/AU/NZ</v>
      </c>
      <c r="C227" s="127">
        <f>1000*_xlfn.XLOOKUP(A227,'[1]2050Pop'!$A$7:$A$143,'[1]2050Pop'!$C$7:$C$143)</f>
        <v>12527</v>
      </c>
      <c r="D227" s="126" t="s">
        <v>486</v>
      </c>
      <c r="E227" s="128">
        <v>50.235999999999997</v>
      </c>
      <c r="F227" s="129">
        <f t="shared" si="11"/>
        <v>0.62930637199999995</v>
      </c>
      <c r="G227" t="str">
        <f>_xlfn.XLOOKUP(D227,'[1]2050 BAU Mapping to T &amp; C'!$A$3:$A$52,'[1]2050 BAU Mapping to T &amp; C'!$B$3:$B$52)</f>
        <v>Ruminant Meats</v>
      </c>
      <c r="H227" s="129">
        <f>_xlfn.XLOOKUP(G227,'[1]T&amp;C emissions for 2050 analysis'!$B$3:$B$23,'[1]T&amp;C emissions for 2050 analysis'!$C$3:$C$23)</f>
        <v>20.533333333333331</v>
      </c>
      <c r="I227" s="27">
        <f t="shared" si="9"/>
        <v>12.921757505066664</v>
      </c>
      <c r="J227" s="129">
        <f t="shared" si="10"/>
        <v>1031.5125333333331</v>
      </c>
    </row>
    <row r="228" spans="1:10" hidden="1" x14ac:dyDescent="0.35">
      <c r="A228" s="126" t="s">
        <v>368</v>
      </c>
      <c r="B228" t="str">
        <f>_xlfn.XLOOKUP(A228,'[1]2050Pop'!$A$7:$A$143,'[1]2050Pop'!$D$7:$D$143)</f>
        <v>SSA</v>
      </c>
      <c r="C228" s="127">
        <f>1000*_xlfn.XLOOKUP(A228,'[1]2050Pop'!$A$7:$A$143,'[1]2050Pop'!$C$7:$C$143)</f>
        <v>22549</v>
      </c>
      <c r="D228" s="126" t="s">
        <v>486</v>
      </c>
      <c r="E228" s="128">
        <v>25.231999999999999</v>
      </c>
      <c r="F228" s="129">
        <f t="shared" si="11"/>
        <v>0.56895636800000005</v>
      </c>
      <c r="G228" t="str">
        <f>_xlfn.XLOOKUP(D228,'[1]2050 BAU Mapping to T &amp; C'!$A$3:$A$52,'[1]2050 BAU Mapping to T &amp; C'!$B$3:$B$52)</f>
        <v>Ruminant Meats</v>
      </c>
      <c r="H228" s="129">
        <f>_xlfn.XLOOKUP(G228,'[1]T&amp;C emissions for 2050 analysis'!$B$3:$B$23,'[1]T&amp;C emissions for 2050 analysis'!$C$3:$C$23)</f>
        <v>20.533333333333331</v>
      </c>
      <c r="I228" s="27">
        <f t="shared" si="9"/>
        <v>11.682570756266667</v>
      </c>
      <c r="J228" s="129">
        <f t="shared" si="10"/>
        <v>518.09706666666659</v>
      </c>
    </row>
    <row r="229" spans="1:10" hidden="1" x14ac:dyDescent="0.35">
      <c r="A229" s="126" t="s">
        <v>369</v>
      </c>
      <c r="B229" t="str">
        <f>_xlfn.XLOOKUP(A229,'[1]2050Pop'!$A$7:$A$143,'[1]2050Pop'!$D$7:$D$143)</f>
        <v>LatAm &amp; RSA</v>
      </c>
      <c r="C229" s="127">
        <f>1000*_xlfn.XLOOKUP(A229,'[1]2050Pop'!$A$7:$A$143,'[1]2050Pop'!$C$7:$C$143)</f>
        <v>15963</v>
      </c>
      <c r="D229" s="126" t="s">
        <v>486</v>
      </c>
      <c r="E229" s="128">
        <v>115.10899999999999</v>
      </c>
      <c r="F229" s="129">
        <f t="shared" si="11"/>
        <v>1.837484967</v>
      </c>
      <c r="G229" t="str">
        <f>_xlfn.XLOOKUP(D229,'[1]2050 BAU Mapping to T &amp; C'!$A$3:$A$52,'[1]2050 BAU Mapping to T &amp; C'!$B$3:$B$52)</f>
        <v>Ruminant Meats</v>
      </c>
      <c r="H229" s="129">
        <f>_xlfn.XLOOKUP(G229,'[1]T&amp;C emissions for 2050 analysis'!$B$3:$B$23,'[1]T&amp;C emissions for 2050 analysis'!$C$3:$C$23)</f>
        <v>20.533333333333331</v>
      </c>
      <c r="I229" s="27">
        <f t="shared" si="9"/>
        <v>37.729691322399994</v>
      </c>
      <c r="J229" s="129">
        <f t="shared" si="10"/>
        <v>2363.5714666666663</v>
      </c>
    </row>
    <row r="230" spans="1:10" hidden="1" x14ac:dyDescent="0.35">
      <c r="A230" s="126" t="s">
        <v>370</v>
      </c>
      <c r="B230" t="str">
        <f>_xlfn.XLOOKUP(A230,'[1]2050Pop'!$A$7:$A$143,'[1]2050Pop'!$D$7:$D$143)</f>
        <v>Euro/AU/NZ</v>
      </c>
      <c r="C230" s="127">
        <f>1000*_xlfn.XLOOKUP(A230,'[1]2050Pop'!$A$7:$A$143,'[1]2050Pop'!$C$7:$C$143)</f>
        <v>3069</v>
      </c>
      <c r="D230" s="126" t="s">
        <v>486</v>
      </c>
      <c r="E230" s="130">
        <v>64.78</v>
      </c>
      <c r="F230" s="129">
        <f t="shared" si="11"/>
        <v>0.19880982</v>
      </c>
      <c r="G230" t="str">
        <f>_xlfn.XLOOKUP(D230,'[1]2050 BAU Mapping to T &amp; C'!$A$3:$A$52,'[1]2050 BAU Mapping to T &amp; C'!$B$3:$B$52)</f>
        <v>Ruminant Meats</v>
      </c>
      <c r="H230" s="129">
        <f>_xlfn.XLOOKUP(G230,'[1]T&amp;C emissions for 2050 analysis'!$B$3:$B$23,'[1]T&amp;C emissions for 2050 analysis'!$C$3:$C$23)</f>
        <v>20.533333333333331</v>
      </c>
      <c r="I230" s="27">
        <f t="shared" si="9"/>
        <v>4.082228304</v>
      </c>
      <c r="J230" s="129">
        <f t="shared" si="10"/>
        <v>1330.1493333333333</v>
      </c>
    </row>
    <row r="231" spans="1:10" hidden="1" x14ac:dyDescent="0.35">
      <c r="A231" s="126" t="s">
        <v>371</v>
      </c>
      <c r="B231" t="str">
        <f>_xlfn.XLOOKUP(A231,'[1]2050Pop'!$A$7:$A$143,'[1]2050Pop'!$D$7:$D$143)</f>
        <v>SSA</v>
      </c>
      <c r="C231" s="127">
        <f>1000*_xlfn.XLOOKUP(A231,'[1]2050Pop'!$A$7:$A$143,'[1]2050Pop'!$C$7:$C$143)</f>
        <v>3389</v>
      </c>
      <c r="D231" s="126" t="s">
        <v>486</v>
      </c>
      <c r="E231" s="128">
        <v>46.267000000000003</v>
      </c>
      <c r="F231" s="129">
        <f t="shared" si="11"/>
        <v>0.15679886300000001</v>
      </c>
      <c r="G231" t="str">
        <f>_xlfn.XLOOKUP(D231,'[1]2050 BAU Mapping to T &amp; C'!$A$3:$A$52,'[1]2050 BAU Mapping to T &amp; C'!$B$3:$B$52)</f>
        <v>Ruminant Meats</v>
      </c>
      <c r="H231" s="129">
        <f>_xlfn.XLOOKUP(G231,'[1]T&amp;C emissions for 2050 analysis'!$B$3:$B$23,'[1]T&amp;C emissions for 2050 analysis'!$C$3:$C$23)</f>
        <v>20.533333333333331</v>
      </c>
      <c r="I231" s="27">
        <f t="shared" si="9"/>
        <v>3.2196033202666667</v>
      </c>
      <c r="J231" s="129">
        <f t="shared" si="10"/>
        <v>950.01573333333329</v>
      </c>
    </row>
    <row r="232" spans="1:10" hidden="1" x14ac:dyDescent="0.35">
      <c r="A232" s="126" t="s">
        <v>372</v>
      </c>
      <c r="B232" t="str">
        <f>_xlfn.XLOOKUP(A232,'[1]2050Pop'!$A$7:$A$143,'[1]2050Pop'!$D$7:$D$143)</f>
        <v>LatAm &amp; RSA</v>
      </c>
      <c r="C232" s="127">
        <f>1000*_xlfn.XLOOKUP(A232,'[1]2050Pop'!$A$7:$A$143,'[1]2050Pop'!$C$7:$C$143)</f>
        <v>238270</v>
      </c>
      <c r="D232" s="126" t="s">
        <v>486</v>
      </c>
      <c r="E232" s="128">
        <v>175.34899999999999</v>
      </c>
      <c r="F232" s="129">
        <f t="shared" si="11"/>
        <v>41.780406229999997</v>
      </c>
      <c r="G232" t="str">
        <f>_xlfn.XLOOKUP(D232,'[1]2050 BAU Mapping to T &amp; C'!$A$3:$A$52,'[1]2050 BAU Mapping to T &amp; C'!$B$3:$B$52)</f>
        <v>Ruminant Meats</v>
      </c>
      <c r="H232" s="129">
        <f>_xlfn.XLOOKUP(G232,'[1]T&amp;C emissions for 2050 analysis'!$B$3:$B$23,'[1]T&amp;C emissions for 2050 analysis'!$C$3:$C$23)</f>
        <v>20.533333333333331</v>
      </c>
      <c r="I232" s="27">
        <f t="shared" si="9"/>
        <v>857.89100792266652</v>
      </c>
      <c r="J232" s="129">
        <f t="shared" si="10"/>
        <v>3600.4994666666662</v>
      </c>
    </row>
    <row r="233" spans="1:10" hidden="1" x14ac:dyDescent="0.35">
      <c r="A233" s="126" t="s">
        <v>373</v>
      </c>
      <c r="B233" t="str">
        <f>_xlfn.XLOOKUP(A233,'[1]2050Pop'!$A$7:$A$143,'[1]2050Pop'!$D$7:$D$143)</f>
        <v>Euro/AU/NZ</v>
      </c>
      <c r="C233" s="127">
        <f>1000*_xlfn.XLOOKUP(A233,'[1]2050Pop'!$A$7:$A$143,'[1]2050Pop'!$C$7:$C$143)</f>
        <v>5154</v>
      </c>
      <c r="D233" s="126" t="s">
        <v>486</v>
      </c>
      <c r="E233" s="130">
        <v>14.48</v>
      </c>
      <c r="F233" s="129">
        <f t="shared" si="11"/>
        <v>7.4629920000000002E-2</v>
      </c>
      <c r="G233" t="str">
        <f>_xlfn.XLOOKUP(D233,'[1]2050 BAU Mapping to T &amp; C'!$A$3:$A$52,'[1]2050 BAU Mapping to T &amp; C'!$B$3:$B$52)</f>
        <v>Ruminant Meats</v>
      </c>
      <c r="H233" s="129">
        <f>_xlfn.XLOOKUP(G233,'[1]T&amp;C emissions for 2050 analysis'!$B$3:$B$23,'[1]T&amp;C emissions for 2050 analysis'!$C$3:$C$23)</f>
        <v>20.533333333333331</v>
      </c>
      <c r="I233" s="27">
        <f t="shared" si="9"/>
        <v>1.5324010239999999</v>
      </c>
      <c r="J233" s="129">
        <f t="shared" si="10"/>
        <v>297.32266666666663</v>
      </c>
    </row>
    <row r="234" spans="1:10" hidden="1" x14ac:dyDescent="0.35">
      <c r="A234" s="126" t="s">
        <v>487</v>
      </c>
      <c r="B234" t="str">
        <f>_xlfn.XLOOKUP(A234,'[1]2050Pop'!$A$7:$A$143,'[1]2050Pop'!$D$7:$D$143)</f>
        <v>SSA</v>
      </c>
      <c r="C234" s="127">
        <f>1000*_xlfn.XLOOKUP(A234,'[1]2050Pop'!$A$7:$A$143,'[1]2050Pop'!$C$7:$C$143)</f>
        <v>42789</v>
      </c>
      <c r="D234" s="126" t="s">
        <v>486</v>
      </c>
      <c r="E234" s="128">
        <v>62.884</v>
      </c>
      <c r="F234" s="129">
        <f t="shared" si="11"/>
        <v>2.6907434759999997</v>
      </c>
      <c r="G234" t="str">
        <f>_xlfn.XLOOKUP(D234,'[1]2050 BAU Mapping to T &amp; C'!$A$3:$A$52,'[1]2050 BAU Mapping to T &amp; C'!$B$3:$B$52)</f>
        <v>Ruminant Meats</v>
      </c>
      <c r="H234" s="129">
        <f>_xlfn.XLOOKUP(G234,'[1]T&amp;C emissions for 2050 analysis'!$B$3:$B$23,'[1]T&amp;C emissions for 2050 analysis'!$C$3:$C$23)</f>
        <v>20.533333333333331</v>
      </c>
      <c r="I234" s="27">
        <f t="shared" si="9"/>
        <v>55.249932707199989</v>
      </c>
      <c r="J234" s="129">
        <f t="shared" si="10"/>
        <v>1291.2181333333333</v>
      </c>
    </row>
    <row r="235" spans="1:10" hidden="1" x14ac:dyDescent="0.35">
      <c r="A235" s="126" t="s">
        <v>374</v>
      </c>
      <c r="B235" t="str">
        <f>_xlfn.XLOOKUP(A235,'[1]2050Pop'!$A$7:$A$143,'[1]2050Pop'!$D$7:$D$143)</f>
        <v>APAC</v>
      </c>
      <c r="C235" s="127">
        <f>1000*_xlfn.XLOOKUP(A235,'[1]2050Pop'!$A$7:$A$143,'[1]2050Pop'!$C$7:$C$143)</f>
        <v>22545</v>
      </c>
      <c r="D235" s="126" t="s">
        <v>486</v>
      </c>
      <c r="E235" s="128">
        <v>35.783000000000001</v>
      </c>
      <c r="F235" s="129">
        <f t="shared" si="11"/>
        <v>0.80672773499999995</v>
      </c>
      <c r="G235" t="str">
        <f>_xlfn.XLOOKUP(D235,'[1]2050 BAU Mapping to T &amp; C'!$A$3:$A$52,'[1]2050 BAU Mapping to T &amp; C'!$B$3:$B$52)</f>
        <v>Ruminant Meats</v>
      </c>
      <c r="H235" s="129">
        <f>_xlfn.XLOOKUP(G235,'[1]T&amp;C emissions for 2050 analysis'!$B$3:$B$23,'[1]T&amp;C emissions for 2050 analysis'!$C$3:$C$23)</f>
        <v>20.533333333333331</v>
      </c>
      <c r="I235" s="27">
        <f t="shared" si="9"/>
        <v>16.564809491999998</v>
      </c>
      <c r="J235" s="129">
        <f t="shared" si="10"/>
        <v>734.74426666666659</v>
      </c>
    </row>
    <row r="236" spans="1:10" hidden="1" x14ac:dyDescent="0.35">
      <c r="A236" s="126" t="s">
        <v>375</v>
      </c>
      <c r="B236" t="str">
        <f>_xlfn.XLOOKUP(A236,'[1]2050Pop'!$A$7:$A$143,'[1]2050Pop'!$D$7:$D$143)</f>
        <v>SSA</v>
      </c>
      <c r="C236" s="127">
        <f>1000*_xlfn.XLOOKUP(A236,'[1]2050Pop'!$A$7:$A$143,'[1]2050Pop'!$C$7:$C$143)</f>
        <v>48362</v>
      </c>
      <c r="D236" s="126" t="s">
        <v>486</v>
      </c>
      <c r="E236" s="128">
        <v>38.398000000000003</v>
      </c>
      <c r="F236" s="129">
        <f t="shared" si="11"/>
        <v>1.8570040760000002</v>
      </c>
      <c r="G236" t="str">
        <f>_xlfn.XLOOKUP(D236,'[1]2050 BAU Mapping to T &amp; C'!$A$3:$A$52,'[1]2050 BAU Mapping to T &amp; C'!$B$3:$B$52)</f>
        <v>Ruminant Meats</v>
      </c>
      <c r="H236" s="129">
        <f>_xlfn.XLOOKUP(G236,'[1]T&amp;C emissions for 2050 analysis'!$B$3:$B$23,'[1]T&amp;C emissions for 2050 analysis'!$C$3:$C$23)</f>
        <v>20.533333333333331</v>
      </c>
      <c r="I236" s="27">
        <f t="shared" si="9"/>
        <v>38.130483693866665</v>
      </c>
      <c r="J236" s="129">
        <f t="shared" si="10"/>
        <v>788.43893333333335</v>
      </c>
    </row>
    <row r="237" spans="1:10" hidden="1" x14ac:dyDescent="0.35">
      <c r="A237" s="126" t="s">
        <v>376</v>
      </c>
      <c r="B237" t="str">
        <f>_xlfn.XLOOKUP(A237,'[1]2050Pop'!$A$7:$A$143,'[1]2050Pop'!$D$7:$D$143)</f>
        <v>NAm</v>
      </c>
      <c r="C237" s="127">
        <f>1000*_xlfn.XLOOKUP(A237,'[1]2050Pop'!$A$7:$A$143,'[1]2050Pop'!$C$7:$C$143)</f>
        <v>44136</v>
      </c>
      <c r="D237" s="126" t="s">
        <v>486</v>
      </c>
      <c r="E237" s="128">
        <v>100.164</v>
      </c>
      <c r="F237" s="129">
        <f t="shared" si="11"/>
        <v>4.4208383040000001</v>
      </c>
      <c r="G237" t="str">
        <f>_xlfn.XLOOKUP(D237,'[1]2050 BAU Mapping to T &amp; C'!$A$3:$A$52,'[1]2050 BAU Mapping to T &amp; C'!$B$3:$B$52)</f>
        <v>Ruminant Meats</v>
      </c>
      <c r="H237" s="129">
        <f>_xlfn.XLOOKUP(G237,'[1]T&amp;C emissions for 2050 analysis'!$B$3:$B$23,'[1]T&amp;C emissions for 2050 analysis'!$C$3:$C$23)</f>
        <v>20.533333333333331</v>
      </c>
      <c r="I237" s="27">
        <f t="shared" si="9"/>
        <v>90.7745465088</v>
      </c>
      <c r="J237" s="129">
        <f t="shared" si="10"/>
        <v>2056.7007999999996</v>
      </c>
    </row>
    <row r="238" spans="1:10" hidden="1" x14ac:dyDescent="0.35">
      <c r="A238" s="126" t="s">
        <v>377</v>
      </c>
      <c r="B238" t="str">
        <f>_xlfn.XLOOKUP(A238,'[1]2050Pop'!$A$7:$A$143,'[1]2050Pop'!$D$7:$D$143)</f>
        <v>SSA</v>
      </c>
      <c r="C238" s="127">
        <f>1000*_xlfn.XLOOKUP(A238,'[1]2050Pop'!$A$7:$A$143,'[1]2050Pop'!$C$7:$C$143)</f>
        <v>8782</v>
      </c>
      <c r="D238" s="126" t="s">
        <v>486</v>
      </c>
      <c r="E238" s="128">
        <v>144.672</v>
      </c>
      <c r="F238" s="129">
        <f t="shared" si="11"/>
        <v>1.2705095040000001</v>
      </c>
      <c r="G238" t="str">
        <f>_xlfn.XLOOKUP(D238,'[1]2050 BAU Mapping to T &amp; C'!$A$3:$A$52,'[1]2050 BAU Mapping to T &amp; C'!$B$3:$B$52)</f>
        <v>Ruminant Meats</v>
      </c>
      <c r="H238" s="129">
        <f>_xlfn.XLOOKUP(G238,'[1]T&amp;C emissions for 2050 analysis'!$B$3:$B$23,'[1]T&amp;C emissions for 2050 analysis'!$C$3:$C$23)</f>
        <v>20.533333333333331</v>
      </c>
      <c r="I238" s="27">
        <f t="shared" si="9"/>
        <v>26.087795148799998</v>
      </c>
      <c r="J238" s="129">
        <f t="shared" si="10"/>
        <v>2970.5983999999999</v>
      </c>
    </row>
    <row r="239" spans="1:10" hidden="1" x14ac:dyDescent="0.35">
      <c r="A239" s="126" t="s">
        <v>488</v>
      </c>
      <c r="B239" t="str">
        <f>_xlfn.XLOOKUP(A239,'[1]2050Pop'!$A$7:$A$143,'[1]2050Pop'!$D$7:$D$143)</f>
        <v>SSA</v>
      </c>
      <c r="C239" s="127">
        <f>1000*_xlfn.XLOOKUP(A239,'[1]2050Pop'!$A$7:$A$143,'[1]2050Pop'!$C$7:$C$143)</f>
        <v>35131</v>
      </c>
      <c r="D239" s="126" t="s">
        <v>486</v>
      </c>
      <c r="E239" s="130">
        <v>57.13</v>
      </c>
      <c r="F239" s="129">
        <f t="shared" si="11"/>
        <v>2.0070340300000002</v>
      </c>
      <c r="G239" t="str">
        <f>_xlfn.XLOOKUP(D239,'[1]2050 BAU Mapping to T &amp; C'!$A$3:$A$52,'[1]2050 BAU Mapping to T &amp; C'!$B$3:$B$52)</f>
        <v>Ruminant Meats</v>
      </c>
      <c r="H239" s="129">
        <f>_xlfn.XLOOKUP(G239,'[1]T&amp;C emissions for 2050 analysis'!$B$3:$B$23,'[1]T&amp;C emissions for 2050 analysis'!$C$3:$C$23)</f>
        <v>20.533333333333331</v>
      </c>
      <c r="I239" s="27">
        <f t="shared" si="9"/>
        <v>41.211098749333331</v>
      </c>
      <c r="J239" s="129">
        <f t="shared" si="10"/>
        <v>1173.0693333333334</v>
      </c>
    </row>
    <row r="240" spans="1:10" hidden="1" x14ac:dyDescent="0.35">
      <c r="A240" s="126" t="s">
        <v>378</v>
      </c>
      <c r="B240" t="str">
        <f>_xlfn.XLOOKUP(A240,'[1]2050Pop'!$A$7:$A$143,'[1]2050Pop'!$D$7:$D$143)</f>
        <v>LatAm &amp; RSA</v>
      </c>
      <c r="C240" s="127">
        <f>1000*_xlfn.XLOOKUP(A240,'[1]2050Pop'!$A$7:$A$143,'[1]2050Pop'!$C$7:$C$143)</f>
        <v>21601</v>
      </c>
      <c r="D240" s="126" t="s">
        <v>486</v>
      </c>
      <c r="E240" s="128">
        <v>122.303</v>
      </c>
      <c r="F240" s="129">
        <f t="shared" si="11"/>
        <v>2.641867103</v>
      </c>
      <c r="G240" t="str">
        <f>_xlfn.XLOOKUP(D240,'[1]2050 BAU Mapping to T &amp; C'!$A$3:$A$52,'[1]2050 BAU Mapping to T &amp; C'!$B$3:$B$52)</f>
        <v>Ruminant Meats</v>
      </c>
      <c r="H240" s="129">
        <f>_xlfn.XLOOKUP(G240,'[1]T&amp;C emissions for 2050 analysis'!$B$3:$B$23,'[1]T&amp;C emissions for 2050 analysis'!$C$3:$C$23)</f>
        <v>20.533333333333331</v>
      </c>
      <c r="I240" s="27">
        <f t="shared" si="9"/>
        <v>54.246337848266663</v>
      </c>
      <c r="J240" s="129">
        <f t="shared" si="10"/>
        <v>2511.2882666666665</v>
      </c>
    </row>
    <row r="241" spans="1:10" hidden="1" x14ac:dyDescent="0.35">
      <c r="A241" s="126" t="s">
        <v>379</v>
      </c>
      <c r="B241" t="str">
        <f>_xlfn.XLOOKUP(A241,'[1]2050Pop'!$A$7:$A$143,'[1]2050Pop'!$D$7:$D$143)</f>
        <v>Greater China</v>
      </c>
      <c r="C241" s="127">
        <f>1000*_xlfn.XLOOKUP(A241,'[1]2050Pop'!$A$7:$A$143,'[1]2050Pop'!$C$7:$C$143)</f>
        <v>8148</v>
      </c>
      <c r="D241" s="126" t="s">
        <v>486</v>
      </c>
      <c r="E241" s="128">
        <v>107.08499999999999</v>
      </c>
      <c r="F241" s="129">
        <f t="shared" si="11"/>
        <v>0.87252858</v>
      </c>
      <c r="G241" t="str">
        <f>_xlfn.XLOOKUP(D241,'[1]2050 BAU Mapping to T &amp; C'!$A$3:$A$52,'[1]2050 BAU Mapping to T &amp; C'!$B$3:$B$52)</f>
        <v>Ruminant Meats</v>
      </c>
      <c r="H241" s="129">
        <f>_xlfn.XLOOKUP(G241,'[1]T&amp;C emissions for 2050 analysis'!$B$3:$B$23,'[1]T&amp;C emissions for 2050 analysis'!$C$3:$C$23)</f>
        <v>20.533333333333331</v>
      </c>
      <c r="I241" s="27">
        <f t="shared" si="9"/>
        <v>17.915920175999997</v>
      </c>
      <c r="J241" s="129">
        <f t="shared" si="10"/>
        <v>2198.8119999999994</v>
      </c>
    </row>
    <row r="242" spans="1:10" hidden="1" x14ac:dyDescent="0.35">
      <c r="A242" s="126" t="s">
        <v>380</v>
      </c>
      <c r="B242" t="str">
        <f>_xlfn.XLOOKUP(A242,'[1]2050Pop'!$A$7:$A$143,'[1]2050Pop'!$D$7:$D$143)</f>
        <v>Greater China</v>
      </c>
      <c r="C242" s="127">
        <f>1000*_xlfn.XLOOKUP(A242,'[1]2050Pop'!$A$7:$A$143,'[1]2050Pop'!$C$7:$C$143)</f>
        <v>1348056</v>
      </c>
      <c r="D242" s="126" t="s">
        <v>486</v>
      </c>
      <c r="E242" s="128">
        <v>36.182000000000002</v>
      </c>
      <c r="F242" s="129">
        <f t="shared" si="11"/>
        <v>48.775362192000003</v>
      </c>
      <c r="G242" t="str">
        <f>_xlfn.XLOOKUP(D242,'[1]2050 BAU Mapping to T &amp; C'!$A$3:$A$52,'[1]2050 BAU Mapping to T &amp; C'!$B$3:$B$52)</f>
        <v>Ruminant Meats</v>
      </c>
      <c r="H242" s="129">
        <f>_xlfn.XLOOKUP(G242,'[1]T&amp;C emissions for 2050 analysis'!$B$3:$B$23,'[1]T&amp;C emissions for 2050 analysis'!$C$3:$C$23)</f>
        <v>20.533333333333331</v>
      </c>
      <c r="I242" s="27">
        <f t="shared" si="9"/>
        <v>1001.5207703423999</v>
      </c>
      <c r="J242" s="129">
        <f t="shared" si="10"/>
        <v>742.93706666666662</v>
      </c>
    </row>
    <row r="243" spans="1:10" hidden="1" x14ac:dyDescent="0.35">
      <c r="A243" s="126" t="s">
        <v>381</v>
      </c>
      <c r="B243" t="str">
        <f>_xlfn.XLOOKUP(A243,'[1]2050Pop'!$A$7:$A$143,'[1]2050Pop'!$D$7:$D$143)</f>
        <v>Greater China</v>
      </c>
      <c r="C243" s="127">
        <f>1000*_xlfn.XLOOKUP(A243,'[1]2050Pop'!$A$7:$A$143,'[1]2050Pop'!$C$7:$C$143)</f>
        <v>20778</v>
      </c>
      <c r="D243" s="126" t="s">
        <v>486</v>
      </c>
      <c r="E243" s="128">
        <v>20.867999999999999</v>
      </c>
      <c r="F243" s="129">
        <f t="shared" si="11"/>
        <v>0.43359530399999996</v>
      </c>
      <c r="G243" t="str">
        <f>_xlfn.XLOOKUP(D243,'[1]2050 BAU Mapping to T &amp; C'!$A$3:$A$52,'[1]2050 BAU Mapping to T &amp; C'!$B$3:$B$52)</f>
        <v>Ruminant Meats</v>
      </c>
      <c r="H243" s="129">
        <f>_xlfn.XLOOKUP(G243,'[1]T&amp;C emissions for 2050 analysis'!$B$3:$B$23,'[1]T&amp;C emissions for 2050 analysis'!$C$3:$C$23)</f>
        <v>20.533333333333331</v>
      </c>
      <c r="I243" s="27">
        <f t="shared" si="9"/>
        <v>8.903156908799998</v>
      </c>
      <c r="J243" s="129">
        <f t="shared" si="10"/>
        <v>428.48959999999994</v>
      </c>
    </row>
    <row r="244" spans="1:10" hidden="1" x14ac:dyDescent="0.35">
      <c r="A244" s="126" t="s">
        <v>382</v>
      </c>
      <c r="B244" t="str">
        <f>_xlfn.XLOOKUP(A244,'[1]2050Pop'!$A$7:$A$143,'[1]2050Pop'!$D$7:$D$143)</f>
        <v>LatAm &amp; RSA</v>
      </c>
      <c r="C244" s="127">
        <f>1000*_xlfn.XLOOKUP(A244,'[1]2050Pop'!$A$7:$A$143,'[1]2050Pop'!$C$7:$C$143)</f>
        <v>54927</v>
      </c>
      <c r="D244" s="126" t="s">
        <v>486</v>
      </c>
      <c r="E244" s="128">
        <v>113.673</v>
      </c>
      <c r="F244" s="129">
        <f t="shared" si="11"/>
        <v>6.2437168710000002</v>
      </c>
      <c r="G244" t="str">
        <f>_xlfn.XLOOKUP(D244,'[1]2050 BAU Mapping to T &amp; C'!$A$3:$A$52,'[1]2050 BAU Mapping to T &amp; C'!$B$3:$B$52)</f>
        <v>Ruminant Meats</v>
      </c>
      <c r="H244" s="129">
        <f>_xlfn.XLOOKUP(G244,'[1]T&amp;C emissions for 2050 analysis'!$B$3:$B$23,'[1]T&amp;C emissions for 2050 analysis'!$C$3:$C$23)</f>
        <v>20.533333333333331</v>
      </c>
      <c r="I244" s="27">
        <f t="shared" si="9"/>
        <v>128.20431975119999</v>
      </c>
      <c r="J244" s="129">
        <f t="shared" si="10"/>
        <v>2334.0855999999999</v>
      </c>
    </row>
    <row r="245" spans="1:10" hidden="1" x14ac:dyDescent="0.35">
      <c r="A245" s="126" t="s">
        <v>383</v>
      </c>
      <c r="B245" t="str">
        <f>_xlfn.XLOOKUP(A245,'[1]2050Pop'!$A$7:$A$143,'[1]2050Pop'!$D$7:$D$143)</f>
        <v>LatAm &amp; RSA</v>
      </c>
      <c r="C245" s="127">
        <f>1000*_xlfn.XLOOKUP(A245,'[1]2050Pop'!$A$7:$A$143,'[1]2050Pop'!$C$7:$C$143)</f>
        <v>5759</v>
      </c>
      <c r="D245" s="126" t="s">
        <v>486</v>
      </c>
      <c r="E245" s="130">
        <v>62.01</v>
      </c>
      <c r="F245" s="129">
        <f t="shared" si="11"/>
        <v>0.35711558999999998</v>
      </c>
      <c r="G245" t="str">
        <f>_xlfn.XLOOKUP(D245,'[1]2050 BAU Mapping to T &amp; C'!$A$3:$A$52,'[1]2050 BAU Mapping to T &amp; C'!$B$3:$B$52)</f>
        <v>Ruminant Meats</v>
      </c>
      <c r="H245" s="129">
        <f>_xlfn.XLOOKUP(G245,'[1]T&amp;C emissions for 2050 analysis'!$B$3:$B$23,'[1]T&amp;C emissions for 2050 analysis'!$C$3:$C$23)</f>
        <v>20.533333333333331</v>
      </c>
      <c r="I245" s="27">
        <f t="shared" si="9"/>
        <v>7.3327734479999993</v>
      </c>
      <c r="J245" s="129">
        <f t="shared" si="10"/>
        <v>1273.2719999999999</v>
      </c>
    </row>
    <row r="246" spans="1:10" hidden="1" x14ac:dyDescent="0.35">
      <c r="A246" s="126" t="s">
        <v>384</v>
      </c>
      <c r="B246" t="str">
        <f>_xlfn.XLOOKUP(A246,'[1]2050Pop'!$A$7:$A$143,'[1]2050Pop'!$D$7:$D$143)</f>
        <v>SSA</v>
      </c>
      <c r="C246" s="127">
        <f>1000*_xlfn.XLOOKUP(A246,'[1]2050Pop'!$A$7:$A$143,'[1]2050Pop'!$C$7:$C$143)</f>
        <v>48797</v>
      </c>
      <c r="D246" s="126" t="s">
        <v>486</v>
      </c>
      <c r="E246" s="128">
        <v>21.082999999999998</v>
      </c>
      <c r="F246" s="129">
        <f t="shared" si="11"/>
        <v>1.028787151</v>
      </c>
      <c r="G246" t="str">
        <f>_xlfn.XLOOKUP(D246,'[1]2050 BAU Mapping to T &amp; C'!$A$3:$A$52,'[1]2050 BAU Mapping to T &amp; C'!$B$3:$B$52)</f>
        <v>Ruminant Meats</v>
      </c>
      <c r="H246" s="129">
        <f>_xlfn.XLOOKUP(G246,'[1]T&amp;C emissions for 2050 analysis'!$B$3:$B$23,'[1]T&amp;C emissions for 2050 analysis'!$C$3:$C$23)</f>
        <v>20.533333333333331</v>
      </c>
      <c r="I246" s="27">
        <f t="shared" si="9"/>
        <v>21.124429500533331</v>
      </c>
      <c r="J246" s="129">
        <f t="shared" si="10"/>
        <v>432.90426666666662</v>
      </c>
    </row>
    <row r="247" spans="1:10" hidden="1" x14ac:dyDescent="0.35">
      <c r="A247" s="126" t="s">
        <v>385</v>
      </c>
      <c r="B247" t="str">
        <f>_xlfn.XLOOKUP(A247,'[1]2050Pop'!$A$7:$A$143,'[1]2050Pop'!$D$7:$D$143)</f>
        <v>Euro/AU/NZ</v>
      </c>
      <c r="C247" s="127">
        <f>1000*_xlfn.XLOOKUP(A247,'[1]2050Pop'!$A$7:$A$143,'[1]2050Pop'!$C$7:$C$143)</f>
        <v>3554</v>
      </c>
      <c r="D247" s="126" t="s">
        <v>486</v>
      </c>
      <c r="E247" s="128">
        <v>74.903999999999996</v>
      </c>
      <c r="F247" s="129">
        <f t="shared" si="11"/>
        <v>0.26620881600000001</v>
      </c>
      <c r="G247" t="str">
        <f>_xlfn.XLOOKUP(D247,'[1]2050 BAU Mapping to T &amp; C'!$A$3:$A$52,'[1]2050 BAU Mapping to T &amp; C'!$B$3:$B$52)</f>
        <v>Ruminant Meats</v>
      </c>
      <c r="H247" s="129">
        <f>_xlfn.XLOOKUP(G247,'[1]T&amp;C emissions for 2050 analysis'!$B$3:$B$23,'[1]T&amp;C emissions for 2050 analysis'!$C$3:$C$23)</f>
        <v>20.533333333333331</v>
      </c>
      <c r="I247" s="27">
        <f t="shared" si="9"/>
        <v>5.4661543551999996</v>
      </c>
      <c r="J247" s="129">
        <f t="shared" si="10"/>
        <v>1538.0287999999998</v>
      </c>
    </row>
    <row r="248" spans="1:10" hidden="1" x14ac:dyDescent="0.35">
      <c r="A248" s="126" t="s">
        <v>386</v>
      </c>
      <c r="B248" t="str">
        <f>_xlfn.XLOOKUP(A248,'[1]2050Pop'!$A$7:$A$143,'[1]2050Pop'!$D$7:$D$143)</f>
        <v>LatAm &amp; RSA</v>
      </c>
      <c r="C248" s="127">
        <f>1000*_xlfn.XLOOKUP(A248,'[1]2050Pop'!$A$7:$A$143,'[1]2050Pop'!$C$7:$C$143)</f>
        <v>10339</v>
      </c>
      <c r="D248" s="126" t="s">
        <v>486</v>
      </c>
      <c r="E248" s="128">
        <v>43.106000000000002</v>
      </c>
      <c r="F248" s="129">
        <f t="shared" si="11"/>
        <v>0.44567293400000002</v>
      </c>
      <c r="G248" t="str">
        <f>_xlfn.XLOOKUP(D248,'[1]2050 BAU Mapping to T &amp; C'!$A$3:$A$52,'[1]2050 BAU Mapping to T &amp; C'!$B$3:$B$52)</f>
        <v>Ruminant Meats</v>
      </c>
      <c r="H248" s="129">
        <f>_xlfn.XLOOKUP(G248,'[1]T&amp;C emissions for 2050 analysis'!$B$3:$B$23,'[1]T&amp;C emissions for 2050 analysis'!$C$3:$C$23)</f>
        <v>20.533333333333331</v>
      </c>
      <c r="I248" s="27">
        <f t="shared" si="9"/>
        <v>9.1511509114666669</v>
      </c>
      <c r="J248" s="129">
        <f t="shared" si="10"/>
        <v>885.10986666666656</v>
      </c>
    </row>
    <row r="249" spans="1:10" hidden="1" x14ac:dyDescent="0.35">
      <c r="A249" s="126" t="s">
        <v>387</v>
      </c>
      <c r="B249" t="str">
        <f>_xlfn.XLOOKUP(A249,'[1]2050Pop'!$A$7:$A$143,'[1]2050Pop'!$D$7:$D$143)</f>
        <v>Euro/AU/NZ</v>
      </c>
      <c r="C249" s="127">
        <f>1000*_xlfn.XLOOKUP(A249,'[1]2050Pop'!$A$7:$A$143,'[1]2050Pop'!$C$7:$C$143)</f>
        <v>9965</v>
      </c>
      <c r="D249" s="126" t="s">
        <v>486</v>
      </c>
      <c r="E249" s="128">
        <v>28.286000000000001</v>
      </c>
      <c r="F249" s="129">
        <f t="shared" si="11"/>
        <v>0.28186999000000001</v>
      </c>
      <c r="G249" t="str">
        <f>_xlfn.XLOOKUP(D249,'[1]2050 BAU Mapping to T &amp; C'!$A$3:$A$52,'[1]2050 BAU Mapping to T &amp; C'!$B$3:$B$52)</f>
        <v>Ruminant Meats</v>
      </c>
      <c r="H249" s="129">
        <f>_xlfn.XLOOKUP(G249,'[1]T&amp;C emissions for 2050 analysis'!$B$3:$B$23,'[1]T&amp;C emissions for 2050 analysis'!$C$3:$C$23)</f>
        <v>20.533333333333331</v>
      </c>
      <c r="I249" s="27">
        <f t="shared" si="9"/>
        <v>5.7877304613333331</v>
      </c>
      <c r="J249" s="129">
        <f t="shared" si="10"/>
        <v>580.80586666666659</v>
      </c>
    </row>
    <row r="250" spans="1:10" hidden="1" x14ac:dyDescent="0.35">
      <c r="A250" s="126" t="s">
        <v>481</v>
      </c>
      <c r="B250" t="str">
        <f>_xlfn.XLOOKUP(A250,'[1]2050Pop'!$A$7:$A$143,'[1]2050Pop'!$D$7:$D$143)</f>
        <v>APAC</v>
      </c>
      <c r="C250" s="127">
        <f>1000*_xlfn.XLOOKUP(A250,'[1]2050Pop'!$A$7:$A$143,'[1]2050Pop'!$C$7:$C$143)</f>
        <v>26907</v>
      </c>
      <c r="D250" s="126" t="s">
        <v>486</v>
      </c>
      <c r="E250" s="130">
        <v>7.86</v>
      </c>
      <c r="F250" s="129">
        <f t="shared" si="11"/>
        <v>0.21148902000000003</v>
      </c>
      <c r="G250" t="str">
        <f>_xlfn.XLOOKUP(D250,'[1]2050 BAU Mapping to T &amp; C'!$A$3:$A$52,'[1]2050 BAU Mapping to T &amp; C'!$B$3:$B$52)</f>
        <v>Ruminant Meats</v>
      </c>
      <c r="H250" s="129">
        <f>_xlfn.XLOOKUP(G250,'[1]T&amp;C emissions for 2050 analysis'!$B$3:$B$23,'[1]T&amp;C emissions for 2050 analysis'!$C$3:$C$23)</f>
        <v>20.533333333333331</v>
      </c>
      <c r="I250" s="27">
        <f t="shared" si="9"/>
        <v>4.3425745440000005</v>
      </c>
      <c r="J250" s="129">
        <f t="shared" si="10"/>
        <v>161.392</v>
      </c>
    </row>
    <row r="251" spans="1:10" hidden="1" x14ac:dyDescent="0.35">
      <c r="A251" s="126" t="s">
        <v>388</v>
      </c>
      <c r="B251" t="str">
        <f>_xlfn.XLOOKUP(A251,'[1]2050Pop'!$A$7:$A$143,'[1]2050Pop'!$D$7:$D$143)</f>
        <v>Euro/AU/NZ</v>
      </c>
      <c r="C251" s="127">
        <f>1000*_xlfn.XLOOKUP(A251,'[1]2050Pop'!$A$7:$A$143,'[1]2050Pop'!$C$7:$C$143)</f>
        <v>6299</v>
      </c>
      <c r="D251" s="126" t="s">
        <v>486</v>
      </c>
      <c r="E251" s="128">
        <v>87.777000000000001</v>
      </c>
      <c r="F251" s="129">
        <f t="shared" si="11"/>
        <v>0.55290732300000001</v>
      </c>
      <c r="G251" t="str">
        <f>_xlfn.XLOOKUP(D251,'[1]2050 BAU Mapping to T &amp; C'!$A$3:$A$52,'[1]2050 BAU Mapping to T &amp; C'!$B$3:$B$52)</f>
        <v>Ruminant Meats</v>
      </c>
      <c r="H251" s="129">
        <f>_xlfn.XLOOKUP(G251,'[1]T&amp;C emissions for 2050 analysis'!$B$3:$B$23,'[1]T&amp;C emissions for 2050 analysis'!$C$3:$C$23)</f>
        <v>20.533333333333331</v>
      </c>
      <c r="I251" s="27">
        <f t="shared" si="9"/>
        <v>11.353030365599999</v>
      </c>
      <c r="J251" s="129">
        <f t="shared" si="10"/>
        <v>1802.3543999999999</v>
      </c>
    </row>
    <row r="252" spans="1:10" hidden="1" x14ac:dyDescent="0.35">
      <c r="A252" s="126" t="s">
        <v>389</v>
      </c>
      <c r="B252" t="str">
        <f>_xlfn.XLOOKUP(A252,'[1]2050Pop'!$A$7:$A$143,'[1]2050Pop'!$D$7:$D$143)</f>
        <v>LatAm &amp; RSA</v>
      </c>
      <c r="C252" s="127">
        <f>1000*_xlfn.XLOOKUP(A252,'[1]2050Pop'!$A$7:$A$143,'[1]2050Pop'!$C$7:$C$143)</f>
        <v>13238</v>
      </c>
      <c r="D252" s="126" t="s">
        <v>486</v>
      </c>
      <c r="E252" s="128">
        <v>66.730999999999995</v>
      </c>
      <c r="F252" s="129">
        <f t="shared" si="11"/>
        <v>0.88338497799999993</v>
      </c>
      <c r="G252" t="str">
        <f>_xlfn.XLOOKUP(D252,'[1]2050 BAU Mapping to T &amp; C'!$A$3:$A$52,'[1]2050 BAU Mapping to T &amp; C'!$B$3:$B$52)</f>
        <v>Ruminant Meats</v>
      </c>
      <c r="H252" s="129">
        <f>_xlfn.XLOOKUP(G252,'[1]T&amp;C emissions for 2050 analysis'!$B$3:$B$23,'[1]T&amp;C emissions for 2050 analysis'!$C$3:$C$23)</f>
        <v>20.533333333333331</v>
      </c>
      <c r="I252" s="27">
        <f t="shared" si="9"/>
        <v>18.13883821493333</v>
      </c>
      <c r="J252" s="129">
        <f t="shared" si="10"/>
        <v>1370.2098666666664</v>
      </c>
    </row>
    <row r="253" spans="1:10" hidden="1" x14ac:dyDescent="0.35">
      <c r="A253" s="126" t="s">
        <v>390</v>
      </c>
      <c r="B253" t="str">
        <f>_xlfn.XLOOKUP(A253,'[1]2050Pop'!$A$7:$A$143,'[1]2050Pop'!$D$7:$D$143)</f>
        <v>LatAm &amp; RSA</v>
      </c>
      <c r="C253" s="127">
        <f>1000*_xlfn.XLOOKUP(A253,'[1]2050Pop'!$A$7:$A$143,'[1]2050Pop'!$C$7:$C$143)</f>
        <v>23013</v>
      </c>
      <c r="D253" s="126" t="s">
        <v>486</v>
      </c>
      <c r="E253" s="128">
        <v>117.312</v>
      </c>
      <c r="F253" s="129">
        <f t="shared" si="11"/>
        <v>2.6997010559999999</v>
      </c>
      <c r="G253" t="str">
        <f>_xlfn.XLOOKUP(D253,'[1]2050 BAU Mapping to T &amp; C'!$A$3:$A$52,'[1]2050 BAU Mapping to T &amp; C'!$B$3:$B$52)</f>
        <v>Ruminant Meats</v>
      </c>
      <c r="H253" s="129">
        <f>_xlfn.XLOOKUP(G253,'[1]T&amp;C emissions for 2050 analysis'!$B$3:$B$23,'[1]T&amp;C emissions for 2050 analysis'!$C$3:$C$23)</f>
        <v>20.533333333333331</v>
      </c>
      <c r="I253" s="27">
        <f t="shared" si="9"/>
        <v>55.433861683199993</v>
      </c>
      <c r="J253" s="129">
        <f t="shared" si="10"/>
        <v>2408.8063999999999</v>
      </c>
    </row>
    <row r="254" spans="1:10" hidden="1" x14ac:dyDescent="0.35">
      <c r="A254" s="126" t="s">
        <v>391</v>
      </c>
      <c r="B254" t="str">
        <f>_xlfn.XLOOKUP(A254,'[1]2050Pop'!$A$7:$A$143,'[1]2050Pop'!$D$7:$D$143)</f>
        <v>MENA</v>
      </c>
      <c r="C254" s="127">
        <f>1000*_xlfn.XLOOKUP(A254,'[1]2050Pop'!$A$7:$A$143,'[1]2050Pop'!$C$7:$C$143)</f>
        <v>151111</v>
      </c>
      <c r="D254" s="126" t="s">
        <v>486</v>
      </c>
      <c r="E254" s="128">
        <v>76.721000000000004</v>
      </c>
      <c r="F254" s="129">
        <f t="shared" si="11"/>
        <v>11.593387031000001</v>
      </c>
      <c r="G254" t="str">
        <f>_xlfn.XLOOKUP(D254,'[1]2050 BAU Mapping to T &amp; C'!$A$3:$A$52,'[1]2050 BAU Mapping to T &amp; C'!$B$3:$B$52)</f>
        <v>Ruminant Meats</v>
      </c>
      <c r="H254" s="129">
        <f>_xlfn.XLOOKUP(G254,'[1]T&amp;C emissions for 2050 analysis'!$B$3:$B$23,'[1]T&amp;C emissions for 2050 analysis'!$C$3:$C$23)</f>
        <v>20.533333333333331</v>
      </c>
      <c r="I254" s="27">
        <f t="shared" si="9"/>
        <v>238.05088036986666</v>
      </c>
      <c r="J254" s="129">
        <f t="shared" si="10"/>
        <v>1575.3378666666665</v>
      </c>
    </row>
    <row r="255" spans="1:10" hidden="1" x14ac:dyDescent="0.35">
      <c r="A255" s="126" t="s">
        <v>392</v>
      </c>
      <c r="B255" t="str">
        <f>_xlfn.XLOOKUP(A255,'[1]2050Pop'!$A$7:$A$143,'[1]2050Pop'!$D$7:$D$143)</f>
        <v>LatAm &amp; RSA</v>
      </c>
      <c r="C255" s="127">
        <f>1000*_xlfn.XLOOKUP(A255,'[1]2050Pop'!$A$7:$A$143,'[1]2050Pop'!$C$7:$C$143)</f>
        <v>6390</v>
      </c>
      <c r="D255" s="126" t="s">
        <v>486</v>
      </c>
      <c r="E255" s="128">
        <v>30.643999999999998</v>
      </c>
      <c r="F255" s="129">
        <f t="shared" si="11"/>
        <v>0.19581516000000002</v>
      </c>
      <c r="G255" t="str">
        <f>_xlfn.XLOOKUP(D255,'[1]2050 BAU Mapping to T &amp; C'!$A$3:$A$52,'[1]2050 BAU Mapping to T &amp; C'!$B$3:$B$52)</f>
        <v>Ruminant Meats</v>
      </c>
      <c r="H255" s="129">
        <f>_xlfn.XLOOKUP(G255,'[1]T&amp;C emissions for 2050 analysis'!$B$3:$B$23,'[1]T&amp;C emissions for 2050 analysis'!$C$3:$C$23)</f>
        <v>20.533333333333331</v>
      </c>
      <c r="I255" s="27">
        <f t="shared" si="9"/>
        <v>4.0207379520000002</v>
      </c>
      <c r="J255" s="129">
        <f t="shared" si="10"/>
        <v>629.22346666666658</v>
      </c>
    </row>
    <row r="256" spans="1:10" hidden="1" x14ac:dyDescent="0.35">
      <c r="A256" s="126" t="s">
        <v>393</v>
      </c>
      <c r="B256" t="str">
        <f>_xlfn.XLOOKUP(A256,'[1]2050Pop'!$A$7:$A$143,'[1]2050Pop'!$D$7:$D$143)</f>
        <v>Euro/AU/NZ</v>
      </c>
      <c r="C256" s="127">
        <f>1000*_xlfn.XLOOKUP(A256,'[1]2050Pop'!$A$7:$A$143,'[1]2050Pop'!$C$7:$C$143)</f>
        <v>1129</v>
      </c>
      <c r="D256" s="126" t="s">
        <v>486</v>
      </c>
      <c r="E256" s="128">
        <v>54.957000000000001</v>
      </c>
      <c r="F256" s="129">
        <f t="shared" si="11"/>
        <v>6.2046453000000001E-2</v>
      </c>
      <c r="G256" t="str">
        <f>_xlfn.XLOOKUP(D256,'[1]2050 BAU Mapping to T &amp; C'!$A$3:$A$52,'[1]2050 BAU Mapping to T &amp; C'!$B$3:$B$52)</f>
        <v>Ruminant Meats</v>
      </c>
      <c r="H256" s="129">
        <f>_xlfn.XLOOKUP(G256,'[1]T&amp;C emissions for 2050 analysis'!$B$3:$B$23,'[1]T&amp;C emissions for 2050 analysis'!$C$3:$C$23)</f>
        <v>20.533333333333331</v>
      </c>
      <c r="I256" s="27">
        <f t="shared" si="9"/>
        <v>1.2740205015999999</v>
      </c>
      <c r="J256" s="129">
        <f t="shared" si="10"/>
        <v>1128.4503999999999</v>
      </c>
    </row>
    <row r="257" spans="1:10" hidden="1" x14ac:dyDescent="0.35">
      <c r="A257" s="126" t="s">
        <v>394</v>
      </c>
      <c r="B257" t="str">
        <f>_xlfn.XLOOKUP(A257,'[1]2050Pop'!$A$7:$A$143,'[1]2050Pop'!$D$7:$D$143)</f>
        <v>SSA</v>
      </c>
      <c r="C257" s="127">
        <f>1000*_xlfn.XLOOKUP(A257,'[1]2050Pop'!$A$7:$A$143,'[1]2050Pop'!$C$7:$C$143)</f>
        <v>188455</v>
      </c>
      <c r="D257" s="126" t="s">
        <v>486</v>
      </c>
      <c r="E257" s="128">
        <v>42.518000000000001</v>
      </c>
      <c r="F257" s="129">
        <f t="shared" si="11"/>
        <v>8.0127296900000005</v>
      </c>
      <c r="G257" t="str">
        <f>_xlfn.XLOOKUP(D257,'[1]2050 BAU Mapping to T &amp; C'!$A$3:$A$52,'[1]2050 BAU Mapping to T &amp; C'!$B$3:$B$52)</f>
        <v>Ruminant Meats</v>
      </c>
      <c r="H257" s="129">
        <f>_xlfn.XLOOKUP(G257,'[1]T&amp;C emissions for 2050 analysis'!$B$3:$B$23,'[1]T&amp;C emissions for 2050 analysis'!$C$3:$C$23)</f>
        <v>20.533333333333331</v>
      </c>
      <c r="I257" s="27">
        <f t="shared" si="9"/>
        <v>164.52804963466667</v>
      </c>
      <c r="J257" s="129">
        <f t="shared" si="10"/>
        <v>873.03626666666662</v>
      </c>
    </row>
    <row r="258" spans="1:10" hidden="1" x14ac:dyDescent="0.35">
      <c r="A258" s="126" t="s">
        <v>395</v>
      </c>
      <c r="B258" t="str">
        <f>_xlfn.XLOOKUP(A258,'[1]2050Pop'!$A$7:$A$143,'[1]2050Pop'!$D$7:$D$143)</f>
        <v>Euro/AU/NZ</v>
      </c>
      <c r="C258" s="127">
        <f>1000*_xlfn.XLOOKUP(A258,'[1]2050Pop'!$A$7:$A$143,'[1]2050Pop'!$C$7:$C$143)</f>
        <v>5752</v>
      </c>
      <c r="D258" s="126" t="s">
        <v>486</v>
      </c>
      <c r="E258" s="130">
        <v>101.48</v>
      </c>
      <c r="F258" s="129">
        <f t="shared" si="11"/>
        <v>0.58371296000000006</v>
      </c>
      <c r="G258" t="str">
        <f>_xlfn.XLOOKUP(D258,'[1]2050 BAU Mapping to T &amp; C'!$A$3:$A$52,'[1]2050 BAU Mapping to T &amp; C'!$B$3:$B$52)</f>
        <v>Ruminant Meats</v>
      </c>
      <c r="H258" s="129">
        <f>_xlfn.XLOOKUP(G258,'[1]T&amp;C emissions for 2050 analysis'!$B$3:$B$23,'[1]T&amp;C emissions for 2050 analysis'!$C$3:$C$23)</f>
        <v>20.533333333333331</v>
      </c>
      <c r="I258" s="27">
        <f t="shared" si="9"/>
        <v>11.985572778666667</v>
      </c>
      <c r="J258" s="129">
        <f t="shared" si="10"/>
        <v>2083.7226666666666</v>
      </c>
    </row>
    <row r="259" spans="1:10" hidden="1" x14ac:dyDescent="0.35">
      <c r="A259" s="126" t="s">
        <v>396</v>
      </c>
      <c r="B259" t="str">
        <f>_xlfn.XLOOKUP(A259,'[1]2050Pop'!$A$7:$A$143,'[1]2050Pop'!$D$7:$D$143)</f>
        <v>Euro/AU/NZ</v>
      </c>
      <c r="C259" s="127">
        <f>1000*_xlfn.XLOOKUP(A259,'[1]2050Pop'!$A$7:$A$143,'[1]2050Pop'!$C$7:$C$143)</f>
        <v>71137</v>
      </c>
      <c r="D259" s="126" t="s">
        <v>486</v>
      </c>
      <c r="E259" s="128">
        <v>87.102999999999994</v>
      </c>
      <c r="F259" s="129">
        <f t="shared" si="11"/>
        <v>6.1962461109999998</v>
      </c>
      <c r="G259" t="str">
        <f>_xlfn.XLOOKUP(D259,'[1]2050 BAU Mapping to T &amp; C'!$A$3:$A$52,'[1]2050 BAU Mapping to T &amp; C'!$B$3:$B$52)</f>
        <v>Ruminant Meats</v>
      </c>
      <c r="H259" s="129">
        <f>_xlfn.XLOOKUP(G259,'[1]T&amp;C emissions for 2050 analysis'!$B$3:$B$23,'[1]T&amp;C emissions for 2050 analysis'!$C$3:$C$23)</f>
        <v>20.533333333333331</v>
      </c>
      <c r="I259" s="27">
        <f t="shared" si="9"/>
        <v>127.22958681253331</v>
      </c>
      <c r="J259" s="129">
        <f t="shared" si="10"/>
        <v>1788.5149333333331</v>
      </c>
    </row>
    <row r="260" spans="1:10" hidden="1" x14ac:dyDescent="0.35">
      <c r="A260" s="126" t="s">
        <v>397</v>
      </c>
      <c r="B260" t="str">
        <f>_xlfn.XLOOKUP(A260,'[1]2050Pop'!$A$7:$A$143,'[1]2050Pop'!$D$7:$D$143)</f>
        <v>SSA</v>
      </c>
      <c r="C260" s="127">
        <f>1000*_xlfn.XLOOKUP(A260,'[1]2050Pop'!$A$7:$A$143,'[1]2050Pop'!$C$7:$C$143)</f>
        <v>3164</v>
      </c>
      <c r="D260" s="126" t="s">
        <v>486</v>
      </c>
      <c r="E260" s="128">
        <v>24.962</v>
      </c>
      <c r="F260" s="129">
        <f t="shared" si="11"/>
        <v>7.8979767999999992E-2</v>
      </c>
      <c r="G260" t="str">
        <f>_xlfn.XLOOKUP(D260,'[1]2050 BAU Mapping to T &amp; C'!$A$3:$A$52,'[1]2050 BAU Mapping to T &amp; C'!$B$3:$B$52)</f>
        <v>Ruminant Meats</v>
      </c>
      <c r="H260" s="129">
        <f>_xlfn.XLOOKUP(G260,'[1]T&amp;C emissions for 2050 analysis'!$B$3:$B$23,'[1]T&amp;C emissions for 2050 analysis'!$C$3:$C$23)</f>
        <v>20.533333333333331</v>
      </c>
      <c r="I260" s="27">
        <f t="shared" ref="I260:I323" si="12">F260*H260</f>
        <v>1.6217179029333331</v>
      </c>
      <c r="J260" s="129">
        <f t="shared" ref="J260:J323" si="13">E260*H260</f>
        <v>512.55306666666661</v>
      </c>
    </row>
    <row r="261" spans="1:10" hidden="1" x14ac:dyDescent="0.35">
      <c r="A261" s="126" t="s">
        <v>489</v>
      </c>
      <c r="B261" t="str">
        <f>_xlfn.XLOOKUP(A261,'[1]2050Pop'!$A$7:$A$143,'[1]2050Pop'!$D$7:$D$143)</f>
        <v>SSA</v>
      </c>
      <c r="C261" s="127">
        <f>1000*_xlfn.XLOOKUP(A261,'[1]2050Pop'!$A$7:$A$143,'[1]2050Pop'!$C$7:$C$143)</f>
        <v>4981</v>
      </c>
      <c r="D261" s="126" t="s">
        <v>486</v>
      </c>
      <c r="E261" s="131">
        <v>23.2</v>
      </c>
      <c r="F261" s="129">
        <f t="shared" ref="F261:F324" si="14">C261*E261/1000000</f>
        <v>0.1155592</v>
      </c>
      <c r="G261" t="str">
        <f>_xlfn.XLOOKUP(D261,'[1]2050 BAU Mapping to T &amp; C'!$A$3:$A$52,'[1]2050 BAU Mapping to T &amp; C'!$B$3:$B$52)</f>
        <v>Ruminant Meats</v>
      </c>
      <c r="H261" s="129">
        <f>_xlfn.XLOOKUP(G261,'[1]T&amp;C emissions for 2050 analysis'!$B$3:$B$23,'[1]T&amp;C emissions for 2050 analysis'!$C$3:$C$23)</f>
        <v>20.533333333333331</v>
      </c>
      <c r="I261" s="27">
        <f t="shared" si="12"/>
        <v>2.3728155733333329</v>
      </c>
      <c r="J261" s="129">
        <f t="shared" si="13"/>
        <v>476.37333333333328</v>
      </c>
    </row>
    <row r="262" spans="1:10" hidden="1" x14ac:dyDescent="0.35">
      <c r="A262" s="126" t="s">
        <v>398</v>
      </c>
      <c r="B262" t="str">
        <f>_xlfn.XLOOKUP(A262,'[1]2050Pop'!$A$7:$A$143,'[1]2050Pop'!$D$7:$D$143)</f>
        <v>MENA</v>
      </c>
      <c r="C262" s="127">
        <f>1000*_xlfn.XLOOKUP(A262,'[1]2050Pop'!$A$7:$A$143,'[1]2050Pop'!$C$7:$C$143)</f>
        <v>3483</v>
      </c>
      <c r="D262" s="126" t="s">
        <v>486</v>
      </c>
      <c r="E262" s="128">
        <v>42.893000000000001</v>
      </c>
      <c r="F262" s="129">
        <f t="shared" si="14"/>
        <v>0.149396319</v>
      </c>
      <c r="G262" t="str">
        <f>_xlfn.XLOOKUP(D262,'[1]2050 BAU Mapping to T &amp; C'!$A$3:$A$52,'[1]2050 BAU Mapping to T &amp; C'!$B$3:$B$52)</f>
        <v>Ruminant Meats</v>
      </c>
      <c r="H262" s="129">
        <f>_xlfn.XLOOKUP(G262,'[1]T&amp;C emissions for 2050 analysis'!$B$3:$B$23,'[1]T&amp;C emissions for 2050 analysis'!$C$3:$C$23)</f>
        <v>20.533333333333331</v>
      </c>
      <c r="I262" s="27">
        <f t="shared" si="12"/>
        <v>3.0676044167999996</v>
      </c>
      <c r="J262" s="129">
        <f t="shared" si="13"/>
        <v>880.73626666666655</v>
      </c>
    </row>
    <row r="263" spans="1:10" hidden="1" x14ac:dyDescent="0.35">
      <c r="A263" s="126" t="s">
        <v>399</v>
      </c>
      <c r="B263" t="str">
        <f>_xlfn.XLOOKUP(A263,'[1]2050Pop'!$A$7:$A$143,'[1]2050Pop'!$D$7:$D$143)</f>
        <v>Euro/AU/NZ</v>
      </c>
      <c r="C263" s="127">
        <f>1000*_xlfn.XLOOKUP(A263,'[1]2050Pop'!$A$7:$A$143,'[1]2050Pop'!$C$7:$C$143)</f>
        <v>74513</v>
      </c>
      <c r="D263" s="126" t="s">
        <v>486</v>
      </c>
      <c r="E263" s="131">
        <v>40.700000000000003</v>
      </c>
      <c r="F263" s="129">
        <f t="shared" si="14"/>
        <v>3.0326791000000002</v>
      </c>
      <c r="G263" t="str">
        <f>_xlfn.XLOOKUP(D263,'[1]2050 BAU Mapping to T &amp; C'!$A$3:$A$52,'[1]2050 BAU Mapping to T &amp; C'!$B$3:$B$52)</f>
        <v>Ruminant Meats</v>
      </c>
      <c r="H263" s="129">
        <f>_xlfn.XLOOKUP(G263,'[1]T&amp;C emissions for 2050 analysis'!$B$3:$B$23,'[1]T&amp;C emissions for 2050 analysis'!$C$3:$C$23)</f>
        <v>20.533333333333331</v>
      </c>
      <c r="I263" s="27">
        <f t="shared" si="12"/>
        <v>62.27101085333333</v>
      </c>
      <c r="J263" s="129">
        <f t="shared" si="13"/>
        <v>835.70666666666659</v>
      </c>
    </row>
    <row r="264" spans="1:10" hidden="1" x14ac:dyDescent="0.35">
      <c r="A264" s="126" t="s">
        <v>400</v>
      </c>
      <c r="B264" t="str">
        <f>_xlfn.XLOOKUP(A264,'[1]2050Pop'!$A$7:$A$143,'[1]2050Pop'!$D$7:$D$143)</f>
        <v>SSA</v>
      </c>
      <c r="C264" s="127">
        <f>1000*_xlfn.XLOOKUP(A264,'[1]2050Pop'!$A$7:$A$143,'[1]2050Pop'!$C$7:$C$143)</f>
        <v>50071</v>
      </c>
      <c r="D264" s="126" t="s">
        <v>486</v>
      </c>
      <c r="E264" s="128">
        <v>9.2080000000000002</v>
      </c>
      <c r="F264" s="129">
        <f t="shared" si="14"/>
        <v>0.46105376799999997</v>
      </c>
      <c r="G264" t="str">
        <f>_xlfn.XLOOKUP(D264,'[1]2050 BAU Mapping to T &amp; C'!$A$3:$A$52,'[1]2050 BAU Mapping to T &amp; C'!$B$3:$B$52)</f>
        <v>Ruminant Meats</v>
      </c>
      <c r="H264" s="129">
        <f>_xlfn.XLOOKUP(G264,'[1]T&amp;C emissions for 2050 analysis'!$B$3:$B$23,'[1]T&amp;C emissions for 2050 analysis'!$C$3:$C$23)</f>
        <v>20.533333333333331</v>
      </c>
      <c r="I264" s="27">
        <f t="shared" si="12"/>
        <v>9.4669707029333328</v>
      </c>
      <c r="J264" s="129">
        <f t="shared" si="13"/>
        <v>189.07093333333333</v>
      </c>
    </row>
    <row r="265" spans="1:10" hidden="1" x14ac:dyDescent="0.35">
      <c r="A265" s="126" t="s">
        <v>401</v>
      </c>
      <c r="B265" t="str">
        <f>_xlfn.XLOOKUP(A265,'[1]2050Pop'!$A$7:$A$143,'[1]2050Pop'!$D$7:$D$143)</f>
        <v>Euro/AU/NZ</v>
      </c>
      <c r="C265" s="127">
        <f>1000*_xlfn.XLOOKUP(A265,'[1]2050Pop'!$A$7:$A$143,'[1]2050Pop'!$C$7:$C$143)</f>
        <v>9705</v>
      </c>
      <c r="D265" s="126" t="s">
        <v>486</v>
      </c>
      <c r="E265" s="130">
        <v>55.08</v>
      </c>
      <c r="F265" s="129">
        <f t="shared" si="14"/>
        <v>0.53455140000000001</v>
      </c>
      <c r="G265" t="str">
        <f>_xlfn.XLOOKUP(D265,'[1]2050 BAU Mapping to T &amp; C'!$A$3:$A$52,'[1]2050 BAU Mapping to T &amp; C'!$B$3:$B$52)</f>
        <v>Ruminant Meats</v>
      </c>
      <c r="H265" s="129">
        <f>_xlfn.XLOOKUP(G265,'[1]T&amp;C emissions for 2050 analysis'!$B$3:$B$23,'[1]T&amp;C emissions for 2050 analysis'!$C$3:$C$23)</f>
        <v>20.533333333333331</v>
      </c>
      <c r="I265" s="27">
        <f t="shared" si="12"/>
        <v>10.97612208</v>
      </c>
      <c r="J265" s="129">
        <f t="shared" si="13"/>
        <v>1130.9759999999999</v>
      </c>
    </row>
    <row r="266" spans="1:10" hidden="1" x14ac:dyDescent="0.35">
      <c r="A266" s="126" t="s">
        <v>402</v>
      </c>
      <c r="B266" t="str">
        <f>_xlfn.XLOOKUP(A266,'[1]2050Pop'!$A$7:$A$143,'[1]2050Pop'!$D$7:$D$143)</f>
        <v>LatAm &amp; RSA</v>
      </c>
      <c r="C266" s="127">
        <f>1000*_xlfn.XLOOKUP(A266,'[1]2050Pop'!$A$7:$A$143,'[1]2050Pop'!$C$7:$C$143)</f>
        <v>27754</v>
      </c>
      <c r="D266" s="126" t="s">
        <v>486</v>
      </c>
      <c r="E266" s="128">
        <v>25.466000000000001</v>
      </c>
      <c r="F266" s="129">
        <f t="shared" si="14"/>
        <v>0.70678336400000008</v>
      </c>
      <c r="G266" t="str">
        <f>_xlfn.XLOOKUP(D266,'[1]2050 BAU Mapping to T &amp; C'!$A$3:$A$52,'[1]2050 BAU Mapping to T &amp; C'!$B$3:$B$52)</f>
        <v>Ruminant Meats</v>
      </c>
      <c r="H266" s="129">
        <f>_xlfn.XLOOKUP(G266,'[1]T&amp;C emissions for 2050 analysis'!$B$3:$B$23,'[1]T&amp;C emissions for 2050 analysis'!$C$3:$C$23)</f>
        <v>20.533333333333331</v>
      </c>
      <c r="I266" s="27">
        <f t="shared" si="12"/>
        <v>14.512618407466666</v>
      </c>
      <c r="J266" s="129">
        <f t="shared" si="13"/>
        <v>522.90186666666659</v>
      </c>
    </row>
    <row r="267" spans="1:10" hidden="1" x14ac:dyDescent="0.35">
      <c r="A267" s="126" t="s">
        <v>403</v>
      </c>
      <c r="B267" t="str">
        <f>_xlfn.XLOOKUP(A267,'[1]2050Pop'!$A$7:$A$143,'[1]2050Pop'!$D$7:$D$143)</f>
        <v>SSA</v>
      </c>
      <c r="C267" s="127">
        <f>1000*_xlfn.XLOOKUP(A267,'[1]2050Pop'!$A$7:$A$143,'[1]2050Pop'!$C$7:$C$143)</f>
        <v>27486</v>
      </c>
      <c r="D267" s="126" t="s">
        <v>486</v>
      </c>
      <c r="E267" s="128">
        <v>57.587000000000003</v>
      </c>
      <c r="F267" s="129">
        <f t="shared" si="14"/>
        <v>1.5828362820000001</v>
      </c>
      <c r="G267" t="str">
        <f>_xlfn.XLOOKUP(D267,'[1]2050 BAU Mapping to T &amp; C'!$A$3:$A$52,'[1]2050 BAU Mapping to T &amp; C'!$B$3:$B$52)</f>
        <v>Ruminant Meats</v>
      </c>
      <c r="H267" s="129">
        <f>_xlfn.XLOOKUP(G267,'[1]T&amp;C emissions for 2050 analysis'!$B$3:$B$23,'[1]T&amp;C emissions for 2050 analysis'!$C$3:$C$23)</f>
        <v>20.533333333333331</v>
      </c>
      <c r="I267" s="27">
        <f t="shared" si="12"/>
        <v>32.500904990400002</v>
      </c>
      <c r="J267" s="129">
        <f t="shared" si="13"/>
        <v>1182.4530666666667</v>
      </c>
    </row>
    <row r="268" spans="1:10" hidden="1" x14ac:dyDescent="0.35">
      <c r="A268" s="126" t="s">
        <v>404</v>
      </c>
      <c r="B268" t="str">
        <f>_xlfn.XLOOKUP(A268,'[1]2050Pop'!$A$7:$A$143,'[1]2050Pop'!$D$7:$D$143)</f>
        <v>LatAm &amp; RSA</v>
      </c>
      <c r="C268" s="127">
        <f>1000*_xlfn.XLOOKUP(A268,'[1]2050Pop'!$A$7:$A$143,'[1]2050Pop'!$C$7:$C$143)</f>
        <v>806</v>
      </c>
      <c r="D268" s="126" t="s">
        <v>486</v>
      </c>
      <c r="E268" s="128">
        <v>22.268999999999998</v>
      </c>
      <c r="F268" s="129">
        <f t="shared" si="14"/>
        <v>1.7948813999999997E-2</v>
      </c>
      <c r="G268" t="str">
        <f>_xlfn.XLOOKUP(D268,'[1]2050 BAU Mapping to T &amp; C'!$A$3:$A$52,'[1]2050 BAU Mapping to T &amp; C'!$B$3:$B$52)</f>
        <v>Ruminant Meats</v>
      </c>
      <c r="H268" s="129">
        <f>_xlfn.XLOOKUP(G268,'[1]T&amp;C emissions for 2050 analysis'!$B$3:$B$23,'[1]T&amp;C emissions for 2050 analysis'!$C$3:$C$23)</f>
        <v>20.533333333333331</v>
      </c>
      <c r="I268" s="27">
        <f t="shared" si="12"/>
        <v>0.36854898079999993</v>
      </c>
      <c r="J268" s="129">
        <f t="shared" si="13"/>
        <v>457.25679999999994</v>
      </c>
    </row>
    <row r="269" spans="1:10" hidden="1" x14ac:dyDescent="0.35">
      <c r="A269" s="126" t="s">
        <v>405</v>
      </c>
      <c r="B269" t="str">
        <f>_xlfn.XLOOKUP(A269,'[1]2050Pop'!$A$7:$A$143,'[1]2050Pop'!$D$7:$D$143)</f>
        <v>LatAm &amp; RSA</v>
      </c>
      <c r="C269" s="127">
        <f>1000*_xlfn.XLOOKUP(A269,'[1]2050Pop'!$A$7:$A$143,'[1]2050Pop'!$C$7:$C$143)</f>
        <v>14189</v>
      </c>
      <c r="D269" s="126" t="s">
        <v>486</v>
      </c>
      <c r="E269" s="130">
        <v>38.340000000000003</v>
      </c>
      <c r="F269" s="129">
        <f t="shared" si="14"/>
        <v>0.54400625999999996</v>
      </c>
      <c r="G269" t="str">
        <f>_xlfn.XLOOKUP(D269,'[1]2050 BAU Mapping to T &amp; C'!$A$3:$A$52,'[1]2050 BAU Mapping to T &amp; C'!$B$3:$B$52)</f>
        <v>Ruminant Meats</v>
      </c>
      <c r="H269" s="129">
        <f>_xlfn.XLOOKUP(G269,'[1]T&amp;C emissions for 2050 analysis'!$B$3:$B$23,'[1]T&amp;C emissions for 2050 analysis'!$C$3:$C$23)</f>
        <v>20.533333333333331</v>
      </c>
      <c r="I269" s="27">
        <f t="shared" si="12"/>
        <v>11.170261871999998</v>
      </c>
      <c r="J269" s="129">
        <f t="shared" si="13"/>
        <v>787.24800000000005</v>
      </c>
    </row>
    <row r="270" spans="1:10" hidden="1" x14ac:dyDescent="0.35">
      <c r="A270" s="126" t="s">
        <v>406</v>
      </c>
      <c r="B270" t="str">
        <f>_xlfn.XLOOKUP(A270,'[1]2050Pop'!$A$7:$A$143,'[1]2050Pop'!$D$7:$D$143)</f>
        <v>LatAm &amp; RSA</v>
      </c>
      <c r="C270" s="127">
        <f>1000*_xlfn.XLOOKUP(A270,'[1]2050Pop'!$A$7:$A$143,'[1]2050Pop'!$C$7:$C$143)</f>
        <v>11217</v>
      </c>
      <c r="D270" s="126" t="s">
        <v>486</v>
      </c>
      <c r="E270" s="128">
        <v>33.534999999999997</v>
      </c>
      <c r="F270" s="129">
        <f t="shared" si="14"/>
        <v>0.37616209499999997</v>
      </c>
      <c r="G270" t="str">
        <f>_xlfn.XLOOKUP(D270,'[1]2050 BAU Mapping to T &amp; C'!$A$3:$A$52,'[1]2050 BAU Mapping to T &amp; C'!$B$3:$B$52)</f>
        <v>Ruminant Meats</v>
      </c>
      <c r="H270" s="129">
        <f>_xlfn.XLOOKUP(G270,'[1]T&amp;C emissions for 2050 analysis'!$B$3:$B$23,'[1]T&amp;C emissions for 2050 analysis'!$C$3:$C$23)</f>
        <v>20.533333333333331</v>
      </c>
      <c r="I270" s="27">
        <f t="shared" si="12"/>
        <v>7.7238616839999992</v>
      </c>
      <c r="J270" s="129">
        <f t="shared" si="13"/>
        <v>688.58533333333321</v>
      </c>
    </row>
    <row r="271" spans="1:10" hidden="1" x14ac:dyDescent="0.35">
      <c r="A271" s="126" t="s">
        <v>407</v>
      </c>
      <c r="B271" t="str">
        <f>_xlfn.XLOOKUP(A271,'[1]2050Pop'!$A$7:$A$143,'[1]2050Pop'!$D$7:$D$143)</f>
        <v>Euro/AU/NZ</v>
      </c>
      <c r="C271" s="127">
        <f>1000*_xlfn.XLOOKUP(A271,'[1]2050Pop'!$A$7:$A$143,'[1]2050Pop'!$C$7:$C$143)</f>
        <v>8318</v>
      </c>
      <c r="D271" s="126" t="s">
        <v>486</v>
      </c>
      <c r="E271" s="128">
        <v>15.526999999999999</v>
      </c>
      <c r="F271" s="129">
        <f t="shared" si="14"/>
        <v>0.12915358599999999</v>
      </c>
      <c r="G271" t="str">
        <f>_xlfn.XLOOKUP(D271,'[1]2050 BAU Mapping to T &amp; C'!$A$3:$A$52,'[1]2050 BAU Mapping to T &amp; C'!$B$3:$B$52)</f>
        <v>Ruminant Meats</v>
      </c>
      <c r="H271" s="129">
        <f>_xlfn.XLOOKUP(G271,'[1]T&amp;C emissions for 2050 analysis'!$B$3:$B$23,'[1]T&amp;C emissions for 2050 analysis'!$C$3:$C$23)</f>
        <v>20.533333333333331</v>
      </c>
      <c r="I271" s="27">
        <f t="shared" si="12"/>
        <v>2.6519536325333326</v>
      </c>
      <c r="J271" s="129">
        <f t="shared" si="13"/>
        <v>318.82106666666664</v>
      </c>
    </row>
    <row r="272" spans="1:10" hidden="1" x14ac:dyDescent="0.35">
      <c r="A272" s="126" t="s">
        <v>408</v>
      </c>
      <c r="B272" t="str">
        <f>_xlfn.XLOOKUP(A272,'[1]2050Pop'!$A$7:$A$143,'[1]2050Pop'!$D$7:$D$143)</f>
        <v>India/South Asia</v>
      </c>
      <c r="C272" s="127">
        <f>1000*_xlfn.XLOOKUP(A272,'[1]2050Pop'!$A$7:$A$143,'[1]2050Pop'!$C$7:$C$143)</f>
        <v>1705333</v>
      </c>
      <c r="D272" s="126" t="s">
        <v>486</v>
      </c>
      <c r="E272" s="128">
        <v>5.2830000000000004</v>
      </c>
      <c r="F272" s="129">
        <f t="shared" si="14"/>
        <v>9.0092742389999998</v>
      </c>
      <c r="G272" t="str">
        <f>_xlfn.XLOOKUP(D272,'[1]2050 BAU Mapping to T &amp; C'!$A$3:$A$52,'[1]2050 BAU Mapping to T &amp; C'!$B$3:$B$52)</f>
        <v>Ruminant Meats</v>
      </c>
      <c r="H272" s="129">
        <f>_xlfn.XLOOKUP(G272,'[1]T&amp;C emissions for 2050 analysis'!$B$3:$B$23,'[1]T&amp;C emissions for 2050 analysis'!$C$3:$C$23)</f>
        <v>20.533333333333331</v>
      </c>
      <c r="I272" s="27">
        <f t="shared" si="12"/>
        <v>184.99043104079999</v>
      </c>
      <c r="J272" s="129">
        <f t="shared" si="13"/>
        <v>108.4776</v>
      </c>
    </row>
    <row r="273" spans="1:10" x14ac:dyDescent="0.35">
      <c r="A273" s="126" t="s">
        <v>409</v>
      </c>
      <c r="B273" t="str">
        <f>_xlfn.XLOOKUP(A273,'[1]2050Pop'!$A$7:$A$143,'[1]2050Pop'!$D$7:$D$143)</f>
        <v>APAC</v>
      </c>
      <c r="C273" s="127">
        <f>1000*_xlfn.XLOOKUP(A273,'[1]2050Pop'!$A$7:$A$143,'[1]2050Pop'!$C$7:$C$143)</f>
        <v>322237</v>
      </c>
      <c r="D273" s="126" t="s">
        <v>486</v>
      </c>
      <c r="E273" s="128">
        <v>20.905000000000001</v>
      </c>
      <c r="F273" s="129">
        <f>C273*E273/1000000</f>
        <v>6.7363644850000002</v>
      </c>
      <c r="G273" t="str">
        <f>_xlfn.XLOOKUP(D273,'[1]2050 BAU Mapping to T &amp; C'!$A$3:$A$52,'[1]2050 BAU Mapping to T &amp; C'!$B$3:$B$52)</f>
        <v>Ruminant Meats</v>
      </c>
      <c r="H273" s="129">
        <f>_xlfn.XLOOKUP(G273,'[1]T&amp;C emissions for 2050 analysis'!$B$3:$B$23,'[1]T&amp;C emissions for 2050 analysis'!$C$3:$C$23)</f>
        <v>20.533333333333331</v>
      </c>
      <c r="I273" s="27">
        <f>F273*H273</f>
        <v>138.32001742533333</v>
      </c>
      <c r="J273" s="129">
        <f>E273*H273</f>
        <v>429.24933333333331</v>
      </c>
    </row>
    <row r="274" spans="1:10" hidden="1" x14ac:dyDescent="0.35">
      <c r="A274" s="126" t="s">
        <v>410</v>
      </c>
      <c r="B274" t="str">
        <f>_xlfn.XLOOKUP(A274,'[1]2050Pop'!$A$7:$A$143,'[1]2050Pop'!$D$7:$D$143)</f>
        <v>India/South Asia</v>
      </c>
      <c r="C274" s="127">
        <f>1000*_xlfn.XLOOKUP(A274,'[1]2050Pop'!$A$7:$A$143,'[1]2050Pop'!$C$7:$C$143)</f>
        <v>92219</v>
      </c>
      <c r="D274" s="126" t="s">
        <v>486</v>
      </c>
      <c r="E274" s="128">
        <v>29.071000000000002</v>
      </c>
      <c r="F274" s="129">
        <f t="shared" si="14"/>
        <v>2.6808985490000001</v>
      </c>
      <c r="G274" t="str">
        <f>_xlfn.XLOOKUP(D274,'[1]2050 BAU Mapping to T &amp; C'!$A$3:$A$52,'[1]2050 BAU Mapping to T &amp; C'!$B$3:$B$52)</f>
        <v>Ruminant Meats</v>
      </c>
      <c r="H274" s="129">
        <f>_xlfn.XLOOKUP(G274,'[1]T&amp;C emissions for 2050 analysis'!$B$3:$B$23,'[1]T&amp;C emissions for 2050 analysis'!$C$3:$C$23)</f>
        <v>20.533333333333331</v>
      </c>
      <c r="I274" s="27">
        <f t="shared" si="12"/>
        <v>55.047783539466664</v>
      </c>
      <c r="J274" s="129">
        <f t="shared" si="13"/>
        <v>596.92453333333333</v>
      </c>
    </row>
    <row r="275" spans="1:10" hidden="1" x14ac:dyDescent="0.35">
      <c r="A275" s="126" t="s">
        <v>411</v>
      </c>
      <c r="B275" t="str">
        <f>_xlfn.XLOOKUP(A275,'[1]2050Pop'!$A$7:$A$143,'[1]2050Pop'!$D$7:$D$143)</f>
        <v>MENA</v>
      </c>
      <c r="C275" s="127">
        <f>1000*_xlfn.XLOOKUP(A275,'[1]2050Pop'!$A$7:$A$143,'[1]2050Pop'!$C$7:$C$143)</f>
        <v>83652</v>
      </c>
      <c r="D275" s="126" t="s">
        <v>486</v>
      </c>
      <c r="E275" s="128">
        <v>19.425000000000001</v>
      </c>
      <c r="F275" s="129">
        <f t="shared" si="14"/>
        <v>1.6249401000000001</v>
      </c>
      <c r="G275" t="str">
        <f>_xlfn.XLOOKUP(D275,'[1]2050 BAU Mapping to T &amp; C'!$A$3:$A$52,'[1]2050 BAU Mapping to T &amp; C'!$B$3:$B$52)</f>
        <v>Ruminant Meats</v>
      </c>
      <c r="H275" s="129">
        <f>_xlfn.XLOOKUP(G275,'[1]T&amp;C emissions for 2050 analysis'!$B$3:$B$23,'[1]T&amp;C emissions for 2050 analysis'!$C$3:$C$23)</f>
        <v>20.533333333333331</v>
      </c>
      <c r="I275" s="27">
        <f t="shared" si="12"/>
        <v>33.365436719999998</v>
      </c>
      <c r="J275" s="129">
        <f t="shared" si="13"/>
        <v>398.85999999999996</v>
      </c>
    </row>
    <row r="276" spans="1:10" hidden="1" x14ac:dyDescent="0.35">
      <c r="A276" s="126" t="s">
        <v>412</v>
      </c>
      <c r="B276" t="str">
        <f>_xlfn.XLOOKUP(A276,'[1]2050Pop'!$A$7:$A$143,'[1]2050Pop'!$D$7:$D$143)</f>
        <v>Euro/AU/NZ</v>
      </c>
      <c r="C276" s="127">
        <f>1000*_xlfn.XLOOKUP(A276,'[1]2050Pop'!$A$7:$A$143,'[1]2050Pop'!$C$7:$C$143)</f>
        <v>5789</v>
      </c>
      <c r="D276" s="126" t="s">
        <v>486</v>
      </c>
      <c r="E276" s="130">
        <v>123.14</v>
      </c>
      <c r="F276" s="129">
        <f t="shared" si="14"/>
        <v>0.71285745999999994</v>
      </c>
      <c r="G276" t="str">
        <f>_xlfn.XLOOKUP(D276,'[1]2050 BAU Mapping to T &amp; C'!$A$3:$A$52,'[1]2050 BAU Mapping to T &amp; C'!$B$3:$B$52)</f>
        <v>Ruminant Meats</v>
      </c>
      <c r="H276" s="129">
        <f>_xlfn.XLOOKUP(G276,'[1]T&amp;C emissions for 2050 analysis'!$B$3:$B$23,'[1]T&amp;C emissions for 2050 analysis'!$C$3:$C$23)</f>
        <v>20.533333333333331</v>
      </c>
      <c r="I276" s="27">
        <f t="shared" si="12"/>
        <v>14.637339845333331</v>
      </c>
      <c r="J276" s="129">
        <f t="shared" si="13"/>
        <v>2528.4746666666665</v>
      </c>
    </row>
    <row r="277" spans="1:10" hidden="1" x14ac:dyDescent="0.35">
      <c r="A277" s="126" t="s">
        <v>413</v>
      </c>
      <c r="B277" t="str">
        <f>_xlfn.XLOOKUP(A277,'[1]2050Pop'!$A$7:$A$143,'[1]2050Pop'!$D$7:$D$143)</f>
        <v>MENA</v>
      </c>
      <c r="C277" s="127">
        <f>1000*_xlfn.XLOOKUP(A277,'[1]2050Pop'!$A$7:$A$143,'[1]2050Pop'!$C$7:$C$143)</f>
        <v>12610</v>
      </c>
      <c r="D277" s="126" t="s">
        <v>486</v>
      </c>
      <c r="E277" s="128">
        <v>151.95699999999999</v>
      </c>
      <c r="F277" s="129">
        <f t="shared" si="14"/>
        <v>1.91617777</v>
      </c>
      <c r="G277" t="str">
        <f>_xlfn.XLOOKUP(D277,'[1]2050 BAU Mapping to T &amp; C'!$A$3:$A$52,'[1]2050 BAU Mapping to T &amp; C'!$B$3:$B$52)</f>
        <v>Ruminant Meats</v>
      </c>
      <c r="H277" s="129">
        <f>_xlfn.XLOOKUP(G277,'[1]T&amp;C emissions for 2050 analysis'!$B$3:$B$23,'[1]T&amp;C emissions for 2050 analysis'!$C$3:$C$23)</f>
        <v>20.533333333333331</v>
      </c>
      <c r="I277" s="27">
        <f t="shared" si="12"/>
        <v>39.345516877333331</v>
      </c>
      <c r="J277" s="129">
        <f t="shared" si="13"/>
        <v>3120.1837333333328</v>
      </c>
    </row>
    <row r="278" spans="1:10" hidden="1" x14ac:dyDescent="0.35">
      <c r="A278" s="126" t="s">
        <v>414</v>
      </c>
      <c r="B278" t="str">
        <f>_xlfn.XLOOKUP(A278,'[1]2050Pop'!$A$7:$A$143,'[1]2050Pop'!$D$7:$D$143)</f>
        <v>Euro/AU/NZ</v>
      </c>
      <c r="C278" s="127">
        <f>1000*_xlfn.XLOOKUP(A278,'[1]2050Pop'!$A$7:$A$143,'[1]2050Pop'!$C$7:$C$143)</f>
        <v>56513</v>
      </c>
      <c r="D278" s="126" t="s">
        <v>486</v>
      </c>
      <c r="E278" s="128">
        <v>117.398</v>
      </c>
      <c r="F278" s="129">
        <f t="shared" si="14"/>
        <v>6.6345131739999994</v>
      </c>
      <c r="G278" t="str">
        <f>_xlfn.XLOOKUP(D278,'[1]2050 BAU Mapping to T &amp; C'!$A$3:$A$52,'[1]2050 BAU Mapping to T &amp; C'!$B$3:$B$52)</f>
        <v>Ruminant Meats</v>
      </c>
      <c r="H278" s="129">
        <f>_xlfn.XLOOKUP(G278,'[1]T&amp;C emissions for 2050 analysis'!$B$3:$B$23,'[1]T&amp;C emissions for 2050 analysis'!$C$3:$C$23)</f>
        <v>20.533333333333331</v>
      </c>
      <c r="I278" s="27">
        <f t="shared" si="12"/>
        <v>136.22867050613331</v>
      </c>
      <c r="J278" s="129">
        <f t="shared" si="13"/>
        <v>2410.5722666666666</v>
      </c>
    </row>
    <row r="279" spans="1:10" hidden="1" x14ac:dyDescent="0.35">
      <c r="A279" s="126" t="s">
        <v>415</v>
      </c>
      <c r="B279" t="str">
        <f>_xlfn.XLOOKUP(A279,'[1]2050Pop'!$A$7:$A$143,'[1]2050Pop'!$D$7:$D$143)</f>
        <v>LatAm &amp; RSA</v>
      </c>
      <c r="C279" s="127">
        <f>1000*_xlfn.XLOOKUP(A279,'[1]2050Pop'!$A$7:$A$143,'[1]2050Pop'!$C$7:$C$143)</f>
        <v>2710</v>
      </c>
      <c r="D279" s="126" t="s">
        <v>486</v>
      </c>
      <c r="E279" s="128">
        <v>29.114999999999998</v>
      </c>
      <c r="F279" s="129">
        <f t="shared" si="14"/>
        <v>7.890164999999999E-2</v>
      </c>
      <c r="G279" t="str">
        <f>_xlfn.XLOOKUP(D279,'[1]2050 BAU Mapping to T &amp; C'!$A$3:$A$52,'[1]2050 BAU Mapping to T &amp; C'!$B$3:$B$52)</f>
        <v>Ruminant Meats</v>
      </c>
      <c r="H279" s="129">
        <f>_xlfn.XLOOKUP(G279,'[1]T&amp;C emissions for 2050 analysis'!$B$3:$B$23,'[1]T&amp;C emissions for 2050 analysis'!$C$3:$C$23)</f>
        <v>20.533333333333331</v>
      </c>
      <c r="I279" s="27">
        <f t="shared" si="12"/>
        <v>1.6201138799999997</v>
      </c>
      <c r="J279" s="129">
        <f t="shared" si="13"/>
        <v>597.82799999999986</v>
      </c>
    </row>
    <row r="280" spans="1:10" hidden="1" x14ac:dyDescent="0.35">
      <c r="A280" s="126" t="s">
        <v>416</v>
      </c>
      <c r="B280" t="str">
        <f>_xlfn.XLOOKUP(A280,'[1]2050Pop'!$A$7:$A$143,'[1]2050Pop'!$D$7:$D$143)</f>
        <v>APAC</v>
      </c>
      <c r="C280" s="127">
        <f>1000*_xlfn.XLOOKUP(A280,'[1]2050Pop'!$A$7:$A$143,'[1]2050Pop'!$C$7:$C$143)</f>
        <v>107411</v>
      </c>
      <c r="D280" s="126" t="s">
        <v>486</v>
      </c>
      <c r="E280" s="128">
        <v>35.215000000000003</v>
      </c>
      <c r="F280" s="129">
        <f t="shared" si="14"/>
        <v>3.7824783650000002</v>
      </c>
      <c r="G280" t="str">
        <f>_xlfn.XLOOKUP(D280,'[1]2050 BAU Mapping to T &amp; C'!$A$3:$A$52,'[1]2050 BAU Mapping to T &amp; C'!$B$3:$B$52)</f>
        <v>Ruminant Meats</v>
      </c>
      <c r="H280" s="129">
        <f>_xlfn.XLOOKUP(G280,'[1]T&amp;C emissions for 2050 analysis'!$B$3:$B$23,'[1]T&amp;C emissions for 2050 analysis'!$C$3:$C$23)</f>
        <v>20.533333333333331</v>
      </c>
      <c r="I280" s="27">
        <f t="shared" si="12"/>
        <v>77.666889094666658</v>
      </c>
      <c r="J280" s="129">
        <f t="shared" si="13"/>
        <v>723.0813333333333</v>
      </c>
    </row>
    <row r="281" spans="1:10" hidden="1" x14ac:dyDescent="0.35">
      <c r="A281" s="126" t="s">
        <v>417</v>
      </c>
      <c r="B281" t="str">
        <f>_xlfn.XLOOKUP(A281,'[1]2050Pop'!$A$7:$A$143,'[1]2050Pop'!$D$7:$D$143)</f>
        <v>MENA</v>
      </c>
      <c r="C281" s="127">
        <f>1000*_xlfn.XLOOKUP(A281,'[1]2050Pop'!$A$7:$A$143,'[1]2050Pop'!$C$7:$C$143)</f>
        <v>11717</v>
      </c>
      <c r="D281" s="126" t="s">
        <v>486</v>
      </c>
      <c r="E281" s="128">
        <v>34.320999999999998</v>
      </c>
      <c r="F281" s="129">
        <f t="shared" si="14"/>
        <v>0.40213915699999997</v>
      </c>
      <c r="G281" t="str">
        <f>_xlfn.XLOOKUP(D281,'[1]2050 BAU Mapping to T &amp; C'!$A$3:$A$52,'[1]2050 BAU Mapping to T &amp; C'!$B$3:$B$52)</f>
        <v>Ruminant Meats</v>
      </c>
      <c r="H281" s="129">
        <f>_xlfn.XLOOKUP(G281,'[1]T&amp;C emissions for 2050 analysis'!$B$3:$B$23,'[1]T&amp;C emissions for 2050 analysis'!$C$3:$C$23)</f>
        <v>20.533333333333331</v>
      </c>
      <c r="I281" s="27">
        <f t="shared" si="12"/>
        <v>8.2572573570666652</v>
      </c>
      <c r="J281" s="129">
        <f t="shared" si="13"/>
        <v>704.72453333333317</v>
      </c>
    </row>
    <row r="282" spans="1:10" hidden="1" x14ac:dyDescent="0.35">
      <c r="A282" s="126" t="s">
        <v>418</v>
      </c>
      <c r="B282" t="str">
        <f>_xlfn.XLOOKUP(A282,'[1]2050Pop'!$A$7:$A$143,'[1]2050Pop'!$D$7:$D$143)</f>
        <v>APAC</v>
      </c>
      <c r="C282" s="127">
        <f>1000*_xlfn.XLOOKUP(A282,'[1]2050Pop'!$A$7:$A$143,'[1]2050Pop'!$C$7:$C$143)</f>
        <v>22447</v>
      </c>
      <c r="D282" s="126" t="s">
        <v>486</v>
      </c>
      <c r="E282" s="128">
        <v>168.48400000000001</v>
      </c>
      <c r="F282" s="129">
        <f t="shared" si="14"/>
        <v>3.7819603480000001</v>
      </c>
      <c r="G282" t="str">
        <f>_xlfn.XLOOKUP(D282,'[1]2050 BAU Mapping to T &amp; C'!$A$3:$A$52,'[1]2050 BAU Mapping to T &amp; C'!$B$3:$B$52)</f>
        <v>Ruminant Meats</v>
      </c>
      <c r="H282" s="129">
        <f>_xlfn.XLOOKUP(G282,'[1]T&amp;C emissions for 2050 analysis'!$B$3:$B$23,'[1]T&amp;C emissions for 2050 analysis'!$C$3:$C$23)</f>
        <v>20.533333333333331</v>
      </c>
      <c r="I282" s="27">
        <f t="shared" si="12"/>
        <v>77.656252478933325</v>
      </c>
      <c r="J282" s="129">
        <f t="shared" si="13"/>
        <v>3459.538133333333</v>
      </c>
    </row>
    <row r="283" spans="1:10" hidden="1" x14ac:dyDescent="0.35">
      <c r="A283" s="126" t="s">
        <v>419</v>
      </c>
      <c r="B283" t="str">
        <f>_xlfn.XLOOKUP(A283,'[1]2050Pop'!$A$7:$A$143,'[1]2050Pop'!$D$7:$D$143)</f>
        <v>SSA</v>
      </c>
      <c r="C283" s="127">
        <f>1000*_xlfn.XLOOKUP(A283,'[1]2050Pop'!$A$7:$A$143,'[1]2050Pop'!$C$7:$C$143)</f>
        <v>95505</v>
      </c>
      <c r="D283" s="126" t="s">
        <v>486</v>
      </c>
      <c r="E283" s="128">
        <v>87.381</v>
      </c>
      <c r="F283" s="129">
        <f t="shared" si="14"/>
        <v>8.345322405000001</v>
      </c>
      <c r="G283" t="str">
        <f>_xlfn.XLOOKUP(D283,'[1]2050 BAU Mapping to T &amp; C'!$A$3:$A$52,'[1]2050 BAU Mapping to T &amp; C'!$B$3:$B$52)</f>
        <v>Ruminant Meats</v>
      </c>
      <c r="H283" s="129">
        <f>_xlfn.XLOOKUP(G283,'[1]T&amp;C emissions for 2050 analysis'!$B$3:$B$23,'[1]T&amp;C emissions for 2050 analysis'!$C$3:$C$23)</f>
        <v>20.533333333333331</v>
      </c>
      <c r="I283" s="27">
        <f t="shared" si="12"/>
        <v>171.357286716</v>
      </c>
      <c r="J283" s="129">
        <f t="shared" si="13"/>
        <v>1794.2231999999999</v>
      </c>
    </row>
    <row r="284" spans="1:10" hidden="1" x14ac:dyDescent="0.35">
      <c r="A284" s="126" t="s">
        <v>420</v>
      </c>
      <c r="B284" t="str">
        <f>_xlfn.XLOOKUP(A284,'[1]2050Pop'!$A$7:$A$143,'[1]2050Pop'!$D$7:$D$143)</f>
        <v>APAC</v>
      </c>
      <c r="C284" s="127">
        <f>1000*_xlfn.XLOOKUP(A284,'[1]2050Pop'!$A$7:$A$143,'[1]2050Pop'!$C$7:$C$143)</f>
        <v>8248</v>
      </c>
      <c r="D284" s="126" t="s">
        <v>486</v>
      </c>
      <c r="E284" s="128">
        <v>123.069</v>
      </c>
      <c r="F284" s="129">
        <f t="shared" si="14"/>
        <v>1.0150731120000001</v>
      </c>
      <c r="G284" t="str">
        <f>_xlfn.XLOOKUP(D284,'[1]2050 BAU Mapping to T &amp; C'!$A$3:$A$52,'[1]2050 BAU Mapping to T &amp; C'!$B$3:$B$52)</f>
        <v>Ruminant Meats</v>
      </c>
      <c r="H284" s="129">
        <f>_xlfn.XLOOKUP(G284,'[1]T&amp;C emissions for 2050 analysis'!$B$3:$B$23,'[1]T&amp;C emissions for 2050 analysis'!$C$3:$C$23)</f>
        <v>20.533333333333331</v>
      </c>
      <c r="I284" s="27">
        <f t="shared" si="12"/>
        <v>20.842834566400001</v>
      </c>
      <c r="J284" s="129">
        <f t="shared" si="13"/>
        <v>2527.0167999999999</v>
      </c>
    </row>
    <row r="285" spans="1:10" hidden="1" x14ac:dyDescent="0.35">
      <c r="A285" s="126" t="s">
        <v>421</v>
      </c>
      <c r="B285" t="str">
        <f>_xlfn.XLOOKUP(A285,'[1]2050Pop'!$A$7:$A$143,'[1]2050Pop'!$D$7:$D$143)</f>
        <v>APAC</v>
      </c>
      <c r="C285" s="127">
        <f>1000*_xlfn.XLOOKUP(A285,'[1]2050Pop'!$A$7:$A$143,'[1]2050Pop'!$C$7:$C$143)</f>
        <v>10172</v>
      </c>
      <c r="D285" s="126" t="s">
        <v>486</v>
      </c>
      <c r="E285" s="128">
        <v>46.904000000000003</v>
      </c>
      <c r="F285" s="129">
        <f t="shared" si="14"/>
        <v>0.47710748800000002</v>
      </c>
      <c r="G285" t="str">
        <f>_xlfn.XLOOKUP(D285,'[1]2050 BAU Mapping to T &amp; C'!$A$3:$A$52,'[1]2050 BAU Mapping to T &amp; C'!$B$3:$B$52)</f>
        <v>Ruminant Meats</v>
      </c>
      <c r="H285" s="129">
        <f>_xlfn.XLOOKUP(G285,'[1]T&amp;C emissions for 2050 analysis'!$B$3:$B$23,'[1]T&amp;C emissions for 2050 analysis'!$C$3:$C$23)</f>
        <v>20.533333333333331</v>
      </c>
      <c r="I285" s="27">
        <f t="shared" si="12"/>
        <v>9.7966070869333333</v>
      </c>
      <c r="J285" s="129">
        <f t="shared" si="13"/>
        <v>963.09546666666665</v>
      </c>
    </row>
    <row r="286" spans="1:10" hidden="1" x14ac:dyDescent="0.35">
      <c r="A286" s="126" t="s">
        <v>422</v>
      </c>
      <c r="B286" t="str">
        <f>_xlfn.XLOOKUP(A286,'[1]2050Pop'!$A$7:$A$143,'[1]2050Pop'!$D$7:$D$143)</f>
        <v>Euro/AU/NZ</v>
      </c>
      <c r="C286" s="127">
        <f>1000*_xlfn.XLOOKUP(A286,'[1]2050Pop'!$A$7:$A$143,'[1]2050Pop'!$C$7:$C$143)</f>
        <v>1593</v>
      </c>
      <c r="D286" s="126" t="s">
        <v>486</v>
      </c>
      <c r="E286" s="130">
        <v>31.34</v>
      </c>
      <c r="F286" s="129">
        <f t="shared" si="14"/>
        <v>4.9924620000000003E-2</v>
      </c>
      <c r="G286" t="str">
        <f>_xlfn.XLOOKUP(D286,'[1]2050 BAU Mapping to T &amp; C'!$A$3:$A$52,'[1]2050 BAU Mapping to T &amp; C'!$B$3:$B$52)</f>
        <v>Ruminant Meats</v>
      </c>
      <c r="H286" s="129">
        <f>_xlfn.XLOOKUP(G286,'[1]T&amp;C emissions for 2050 analysis'!$B$3:$B$23,'[1]T&amp;C emissions for 2050 analysis'!$C$3:$C$23)</f>
        <v>20.533333333333331</v>
      </c>
      <c r="I286" s="27">
        <f t="shared" si="12"/>
        <v>1.025118864</v>
      </c>
      <c r="J286" s="129">
        <f t="shared" si="13"/>
        <v>643.51466666666659</v>
      </c>
    </row>
    <row r="287" spans="1:10" hidden="1" x14ac:dyDescent="0.35">
      <c r="A287" s="126" t="s">
        <v>423</v>
      </c>
      <c r="B287" t="str">
        <f>_xlfn.XLOOKUP(A287,'[1]2050Pop'!$A$7:$A$143,'[1]2050Pop'!$D$7:$D$143)</f>
        <v>MENA</v>
      </c>
      <c r="C287" s="127">
        <f>1000*_xlfn.XLOOKUP(A287,'[1]2050Pop'!$A$7:$A$143,'[1]2050Pop'!$C$7:$C$143)</f>
        <v>5610</v>
      </c>
      <c r="D287" s="126" t="s">
        <v>486</v>
      </c>
      <c r="E287" s="128">
        <v>106.488</v>
      </c>
      <c r="F287" s="129">
        <f t="shared" si="14"/>
        <v>0.59739768000000004</v>
      </c>
      <c r="G287" t="str">
        <f>_xlfn.XLOOKUP(D287,'[1]2050 BAU Mapping to T &amp; C'!$A$3:$A$52,'[1]2050 BAU Mapping to T &amp; C'!$B$3:$B$52)</f>
        <v>Ruminant Meats</v>
      </c>
      <c r="H287" s="129">
        <f>_xlfn.XLOOKUP(G287,'[1]T&amp;C emissions for 2050 analysis'!$B$3:$B$23,'[1]T&amp;C emissions for 2050 analysis'!$C$3:$C$23)</f>
        <v>20.533333333333331</v>
      </c>
      <c r="I287" s="27">
        <f t="shared" si="12"/>
        <v>12.266565695999999</v>
      </c>
      <c r="J287" s="129">
        <f t="shared" si="13"/>
        <v>2186.5535999999997</v>
      </c>
    </row>
    <row r="288" spans="1:10" hidden="1" x14ac:dyDescent="0.35">
      <c r="A288" s="126" t="s">
        <v>424</v>
      </c>
      <c r="B288" t="str">
        <f>_xlfn.XLOOKUP(A288,'[1]2050Pop'!$A$7:$A$143,'[1]2050Pop'!$D$7:$D$143)</f>
        <v>SSA</v>
      </c>
      <c r="C288" s="127">
        <f>1000*_xlfn.XLOOKUP(A288,'[1]2050Pop'!$A$7:$A$143,'[1]2050Pop'!$C$7:$C$143)</f>
        <v>2987</v>
      </c>
      <c r="D288" s="126" t="s">
        <v>486</v>
      </c>
      <c r="E288" s="128">
        <v>48.156999999999996</v>
      </c>
      <c r="F288" s="129">
        <f t="shared" si="14"/>
        <v>0.14384495899999999</v>
      </c>
      <c r="G288" t="str">
        <f>_xlfn.XLOOKUP(D288,'[1]2050 BAU Mapping to T &amp; C'!$A$3:$A$52,'[1]2050 BAU Mapping to T &amp; C'!$B$3:$B$52)</f>
        <v>Ruminant Meats</v>
      </c>
      <c r="H288" s="129">
        <f>_xlfn.XLOOKUP(G288,'[1]T&amp;C emissions for 2050 analysis'!$B$3:$B$23,'[1]T&amp;C emissions for 2050 analysis'!$C$3:$C$23)</f>
        <v>20.533333333333331</v>
      </c>
      <c r="I288" s="27">
        <f t="shared" si="12"/>
        <v>2.9536164914666663</v>
      </c>
      <c r="J288" s="129">
        <f t="shared" si="13"/>
        <v>988.82373333333317</v>
      </c>
    </row>
    <row r="289" spans="1:10" hidden="1" x14ac:dyDescent="0.35">
      <c r="A289" s="126" t="s">
        <v>425</v>
      </c>
      <c r="B289" t="str">
        <f>_xlfn.XLOOKUP(A289,'[1]2050Pop'!$A$7:$A$143,'[1]2050Pop'!$D$7:$D$143)</f>
        <v>SSA</v>
      </c>
      <c r="C289" s="127">
        <f>1000*_xlfn.XLOOKUP(A289,'[1]2050Pop'!$A$7:$A$143,'[1]2050Pop'!$C$7:$C$143)</f>
        <v>9436</v>
      </c>
      <c r="D289" s="126" t="s">
        <v>486</v>
      </c>
      <c r="E289" s="128">
        <v>4.9359999999999999</v>
      </c>
      <c r="F289" s="129">
        <f t="shared" si="14"/>
        <v>4.6576095999999997E-2</v>
      </c>
      <c r="G289" t="str">
        <f>_xlfn.XLOOKUP(D289,'[1]2050 BAU Mapping to T &amp; C'!$A$3:$A$52,'[1]2050 BAU Mapping to T &amp; C'!$B$3:$B$52)</f>
        <v>Ruminant Meats</v>
      </c>
      <c r="H289" s="129">
        <f>_xlfn.XLOOKUP(G289,'[1]T&amp;C emissions for 2050 analysis'!$B$3:$B$23,'[1]T&amp;C emissions for 2050 analysis'!$C$3:$C$23)</f>
        <v>20.533333333333331</v>
      </c>
      <c r="I289" s="27">
        <f t="shared" si="12"/>
        <v>0.95636250453333316</v>
      </c>
      <c r="J289" s="129">
        <f t="shared" si="13"/>
        <v>101.35253333333333</v>
      </c>
    </row>
    <row r="290" spans="1:10" hidden="1" x14ac:dyDescent="0.35">
      <c r="A290" s="126" t="s">
        <v>426</v>
      </c>
      <c r="B290" t="str">
        <f>_xlfn.XLOOKUP(A290,'[1]2050Pop'!$A$7:$A$143,'[1]2050Pop'!$D$7:$D$143)</f>
        <v>Euro/AU/NZ</v>
      </c>
      <c r="C290" s="127">
        <f>1000*_xlfn.XLOOKUP(A290,'[1]2050Pop'!$A$7:$A$143,'[1]2050Pop'!$C$7:$C$143)</f>
        <v>2375</v>
      </c>
      <c r="D290" s="126" t="s">
        <v>486</v>
      </c>
      <c r="E290" s="128">
        <v>18.672000000000001</v>
      </c>
      <c r="F290" s="129">
        <f t="shared" si="14"/>
        <v>4.4345999999999997E-2</v>
      </c>
      <c r="G290" t="str">
        <f>_xlfn.XLOOKUP(D290,'[1]2050 BAU Mapping to T &amp; C'!$A$3:$A$52,'[1]2050 BAU Mapping to T &amp; C'!$B$3:$B$52)</f>
        <v>Ruminant Meats</v>
      </c>
      <c r="H290" s="129">
        <f>_xlfn.XLOOKUP(G290,'[1]T&amp;C emissions for 2050 analysis'!$B$3:$B$23,'[1]T&amp;C emissions for 2050 analysis'!$C$3:$C$23)</f>
        <v>20.533333333333331</v>
      </c>
      <c r="I290" s="27">
        <f t="shared" si="12"/>
        <v>0.9105711999999998</v>
      </c>
      <c r="J290" s="129">
        <f t="shared" si="13"/>
        <v>383.39839999999998</v>
      </c>
    </row>
    <row r="291" spans="1:10" hidden="1" x14ac:dyDescent="0.35">
      <c r="A291" s="126" t="s">
        <v>427</v>
      </c>
      <c r="B291" t="str">
        <f>_xlfn.XLOOKUP(A291,'[1]2050Pop'!$A$7:$A$143,'[1]2050Pop'!$D$7:$D$143)</f>
        <v>SSA</v>
      </c>
      <c r="C291" s="127">
        <f>1000*_xlfn.XLOOKUP(A291,'[1]2050Pop'!$A$7:$A$143,'[1]2050Pop'!$C$7:$C$143)</f>
        <v>55294</v>
      </c>
      <c r="D291" s="126" t="s">
        <v>486</v>
      </c>
      <c r="E291" s="128">
        <v>66.494</v>
      </c>
      <c r="F291" s="129">
        <f t="shared" si="14"/>
        <v>3.6767192359999998</v>
      </c>
      <c r="G291" t="str">
        <f>_xlfn.XLOOKUP(D291,'[1]2050 BAU Mapping to T &amp; C'!$A$3:$A$52,'[1]2050 BAU Mapping to T &amp; C'!$B$3:$B$52)</f>
        <v>Ruminant Meats</v>
      </c>
      <c r="H291" s="129">
        <f>_xlfn.XLOOKUP(G291,'[1]T&amp;C emissions for 2050 analysis'!$B$3:$B$23,'[1]T&amp;C emissions for 2050 analysis'!$C$3:$C$23)</f>
        <v>20.533333333333331</v>
      </c>
      <c r="I291" s="27">
        <f t="shared" si="12"/>
        <v>75.495301645866661</v>
      </c>
      <c r="J291" s="129">
        <f t="shared" si="13"/>
        <v>1365.3434666666665</v>
      </c>
    </row>
    <row r="292" spans="1:10" hidden="1" x14ac:dyDescent="0.35">
      <c r="A292" s="126" t="s">
        <v>428</v>
      </c>
      <c r="B292" t="str">
        <f>_xlfn.XLOOKUP(A292,'[1]2050Pop'!$A$7:$A$143,'[1]2050Pop'!$D$7:$D$143)</f>
        <v>SSA</v>
      </c>
      <c r="C292" s="127">
        <f>1000*_xlfn.XLOOKUP(A292,'[1]2050Pop'!$A$7:$A$143,'[1]2050Pop'!$C$7:$C$143)</f>
        <v>43155</v>
      </c>
      <c r="D292" s="126" t="s">
        <v>486</v>
      </c>
      <c r="E292" s="128">
        <v>21.388999999999999</v>
      </c>
      <c r="F292" s="129">
        <f t="shared" si="14"/>
        <v>0.9230422949999999</v>
      </c>
      <c r="G292" t="str">
        <f>_xlfn.XLOOKUP(D292,'[1]2050 BAU Mapping to T &amp; C'!$A$3:$A$52,'[1]2050 BAU Mapping to T &amp; C'!$B$3:$B$52)</f>
        <v>Ruminant Meats</v>
      </c>
      <c r="H292" s="129">
        <f>_xlfn.XLOOKUP(G292,'[1]T&amp;C emissions for 2050 analysis'!$B$3:$B$23,'[1]T&amp;C emissions for 2050 analysis'!$C$3:$C$23)</f>
        <v>20.533333333333331</v>
      </c>
      <c r="I292" s="27">
        <f t="shared" si="12"/>
        <v>18.953135123999996</v>
      </c>
      <c r="J292" s="129">
        <f t="shared" si="13"/>
        <v>439.18746666666664</v>
      </c>
    </row>
    <row r="293" spans="1:10" hidden="1" x14ac:dyDescent="0.35">
      <c r="A293" s="126" t="s">
        <v>429</v>
      </c>
      <c r="B293" t="str">
        <f>_xlfn.XLOOKUP(A293,'[1]2050Pop'!$A$7:$A$143,'[1]2050Pop'!$D$7:$D$143)</f>
        <v>APAC</v>
      </c>
      <c r="C293" s="127">
        <f>1000*_xlfn.XLOOKUP(A293,'[1]2050Pop'!$A$7:$A$143,'[1]2050Pop'!$C$7:$C$143)</f>
        <v>40725</v>
      </c>
      <c r="D293" s="126" t="s">
        <v>486</v>
      </c>
      <c r="E293" s="128">
        <v>30.117000000000001</v>
      </c>
      <c r="F293" s="129">
        <f t="shared" si="14"/>
        <v>1.226514825</v>
      </c>
      <c r="G293" t="str">
        <f>_xlfn.XLOOKUP(D293,'[1]2050 BAU Mapping to T &amp; C'!$A$3:$A$52,'[1]2050 BAU Mapping to T &amp; C'!$B$3:$B$52)</f>
        <v>Ruminant Meats</v>
      </c>
      <c r="H293" s="129">
        <f>_xlfn.XLOOKUP(G293,'[1]T&amp;C emissions for 2050 analysis'!$B$3:$B$23,'[1]T&amp;C emissions for 2050 analysis'!$C$3:$C$23)</f>
        <v>20.533333333333331</v>
      </c>
      <c r="I293" s="27">
        <f t="shared" si="12"/>
        <v>25.184437739999996</v>
      </c>
      <c r="J293" s="129">
        <f t="shared" si="13"/>
        <v>618.40239999999994</v>
      </c>
    </row>
    <row r="294" spans="1:10" hidden="1" x14ac:dyDescent="0.35">
      <c r="A294" s="126" t="s">
        <v>430</v>
      </c>
      <c r="B294" t="str">
        <f>_xlfn.XLOOKUP(A294,'[1]2050Pop'!$A$7:$A$143,'[1]2050Pop'!$D$7:$D$143)</f>
        <v>SSA</v>
      </c>
      <c r="C294" s="127">
        <f>1000*_xlfn.XLOOKUP(A294,'[1]2050Pop'!$A$7:$A$143,'[1]2050Pop'!$C$7:$C$143)</f>
        <v>45404</v>
      </c>
      <c r="D294" s="126" t="s">
        <v>486</v>
      </c>
      <c r="E294" s="128">
        <v>59.572000000000003</v>
      </c>
      <c r="F294" s="129">
        <f t="shared" si="14"/>
        <v>2.7048070879999999</v>
      </c>
      <c r="G294" t="str">
        <f>_xlfn.XLOOKUP(D294,'[1]2050 BAU Mapping to T &amp; C'!$A$3:$A$52,'[1]2050 BAU Mapping to T &amp; C'!$B$3:$B$52)</f>
        <v>Ruminant Meats</v>
      </c>
      <c r="H294" s="129">
        <f>_xlfn.XLOOKUP(G294,'[1]T&amp;C emissions for 2050 analysis'!$B$3:$B$23,'[1]T&amp;C emissions for 2050 analysis'!$C$3:$C$23)</f>
        <v>20.533333333333331</v>
      </c>
      <c r="I294" s="27">
        <f t="shared" si="12"/>
        <v>55.538705540266662</v>
      </c>
      <c r="J294" s="129">
        <f t="shared" si="13"/>
        <v>1223.2117333333333</v>
      </c>
    </row>
    <row r="295" spans="1:10" hidden="1" x14ac:dyDescent="0.35">
      <c r="A295" s="126" t="s">
        <v>431</v>
      </c>
      <c r="B295" t="str">
        <f>_xlfn.XLOOKUP(A295,'[1]2050Pop'!$A$7:$A$143,'[1]2050Pop'!$D$7:$D$143)</f>
        <v>SSA</v>
      </c>
      <c r="C295" s="127">
        <f>1000*_xlfn.XLOOKUP(A295,'[1]2050Pop'!$A$7:$A$143,'[1]2050Pop'!$C$7:$C$143)</f>
        <v>8048.9999999999991</v>
      </c>
      <c r="D295" s="126" t="s">
        <v>486</v>
      </c>
      <c r="E295" s="128">
        <v>55.313000000000002</v>
      </c>
      <c r="F295" s="129">
        <f t="shared" si="14"/>
        <v>0.44521433699999996</v>
      </c>
      <c r="G295" t="str">
        <f>_xlfn.XLOOKUP(D295,'[1]2050 BAU Mapping to T &amp; C'!$A$3:$A$52,'[1]2050 BAU Mapping to T &amp; C'!$B$3:$B$52)</f>
        <v>Ruminant Meats</v>
      </c>
      <c r="H295" s="129">
        <f>_xlfn.XLOOKUP(G295,'[1]T&amp;C emissions for 2050 analysis'!$B$3:$B$23,'[1]T&amp;C emissions for 2050 analysis'!$C$3:$C$23)</f>
        <v>20.533333333333331</v>
      </c>
      <c r="I295" s="27">
        <f t="shared" si="12"/>
        <v>9.1417343863999978</v>
      </c>
      <c r="J295" s="129">
        <f t="shared" si="13"/>
        <v>1135.7602666666667</v>
      </c>
    </row>
    <row r="296" spans="1:10" hidden="1" x14ac:dyDescent="0.35">
      <c r="A296" s="126" t="s">
        <v>432</v>
      </c>
      <c r="B296" t="str">
        <f>_xlfn.XLOOKUP(A296,'[1]2050Pop'!$A$7:$A$143,'[1]2050Pop'!$D$7:$D$143)</f>
        <v>SSA</v>
      </c>
      <c r="C296" s="127">
        <f>1000*_xlfn.XLOOKUP(A296,'[1]2050Pop'!$A$7:$A$143,'[1]2050Pop'!$C$7:$C$143)</f>
        <v>1249</v>
      </c>
      <c r="D296" s="126" t="s">
        <v>486</v>
      </c>
      <c r="E296" s="128">
        <v>34.988</v>
      </c>
      <c r="F296" s="129">
        <f t="shared" si="14"/>
        <v>4.3700012000000003E-2</v>
      </c>
      <c r="G296" t="str">
        <f>_xlfn.XLOOKUP(D296,'[1]2050 BAU Mapping to T &amp; C'!$A$3:$A$52,'[1]2050 BAU Mapping to T &amp; C'!$B$3:$B$52)</f>
        <v>Ruminant Meats</v>
      </c>
      <c r="H296" s="129">
        <f>_xlfn.XLOOKUP(G296,'[1]T&amp;C emissions for 2050 analysis'!$B$3:$B$23,'[1]T&amp;C emissions for 2050 analysis'!$C$3:$C$23)</f>
        <v>20.533333333333331</v>
      </c>
      <c r="I296" s="27">
        <f t="shared" si="12"/>
        <v>0.89730691306666666</v>
      </c>
      <c r="J296" s="129">
        <f t="shared" si="13"/>
        <v>718.42026666666663</v>
      </c>
    </row>
    <row r="297" spans="1:10" hidden="1" x14ac:dyDescent="0.35">
      <c r="A297" s="126" t="s">
        <v>433</v>
      </c>
      <c r="B297" t="str">
        <f>_xlfn.XLOOKUP(A297,'[1]2050Pop'!$A$7:$A$143,'[1]2050Pop'!$D$7:$D$143)</f>
        <v>LatAm &amp; RSA</v>
      </c>
      <c r="C297" s="127">
        <f>1000*_xlfn.XLOOKUP(A297,'[1]2050Pop'!$A$7:$A$143,'[1]2050Pop'!$C$7:$C$143)</f>
        <v>163754</v>
      </c>
      <c r="D297" s="126" t="s">
        <v>486</v>
      </c>
      <c r="E297" s="128">
        <v>57.531999999999996</v>
      </c>
      <c r="F297" s="129">
        <f t="shared" si="14"/>
        <v>9.4210951279999993</v>
      </c>
      <c r="G297" t="str">
        <f>_xlfn.XLOOKUP(D297,'[1]2050 BAU Mapping to T &amp; C'!$A$3:$A$52,'[1]2050 BAU Mapping to T &amp; C'!$B$3:$B$52)</f>
        <v>Ruminant Meats</v>
      </c>
      <c r="H297" s="129">
        <f>_xlfn.XLOOKUP(G297,'[1]T&amp;C emissions for 2050 analysis'!$B$3:$B$23,'[1]T&amp;C emissions for 2050 analysis'!$C$3:$C$23)</f>
        <v>20.533333333333331</v>
      </c>
      <c r="I297" s="27">
        <f t="shared" si="12"/>
        <v>193.44648662826663</v>
      </c>
      <c r="J297" s="129">
        <f t="shared" si="13"/>
        <v>1181.3237333333332</v>
      </c>
    </row>
    <row r="298" spans="1:10" hidden="1" x14ac:dyDescent="0.35">
      <c r="A298" s="126" t="s">
        <v>434</v>
      </c>
      <c r="B298" t="str">
        <f>_xlfn.XLOOKUP(A298,'[1]2050Pop'!$A$7:$A$143,'[1]2050Pop'!$D$7:$D$143)</f>
        <v>APAC</v>
      </c>
      <c r="C298" s="127">
        <f>1000*_xlfn.XLOOKUP(A298,'[1]2050Pop'!$A$7:$A$143,'[1]2050Pop'!$C$7:$C$143)</f>
        <v>4027.9999999999995</v>
      </c>
      <c r="D298" s="126" t="s">
        <v>486</v>
      </c>
      <c r="E298" s="128">
        <v>139.63900000000001</v>
      </c>
      <c r="F298" s="129">
        <f t="shared" si="14"/>
        <v>0.56246589199999997</v>
      </c>
      <c r="G298" t="str">
        <f>_xlfn.XLOOKUP(D298,'[1]2050 BAU Mapping to T &amp; C'!$A$3:$A$52,'[1]2050 BAU Mapping to T &amp; C'!$B$3:$B$52)</f>
        <v>Ruminant Meats</v>
      </c>
      <c r="H298" s="129">
        <f>_xlfn.XLOOKUP(G298,'[1]T&amp;C emissions for 2050 analysis'!$B$3:$B$23,'[1]T&amp;C emissions for 2050 analysis'!$C$3:$C$23)</f>
        <v>20.533333333333331</v>
      </c>
      <c r="I298" s="27">
        <f t="shared" si="12"/>
        <v>11.549299649066665</v>
      </c>
      <c r="J298" s="129">
        <f t="shared" si="13"/>
        <v>2867.2541333333334</v>
      </c>
    </row>
    <row r="299" spans="1:10" hidden="1" x14ac:dyDescent="0.35">
      <c r="A299" s="126" t="s">
        <v>435</v>
      </c>
      <c r="B299" t="str">
        <f>_xlfn.XLOOKUP(A299,'[1]2050Pop'!$A$7:$A$143,'[1]2050Pop'!$D$7:$D$143)</f>
        <v>MENA</v>
      </c>
      <c r="C299" s="127">
        <f>1000*_xlfn.XLOOKUP(A299,'[1]2050Pop'!$A$7:$A$143,'[1]2050Pop'!$C$7:$C$143)</f>
        <v>43696</v>
      </c>
      <c r="D299" s="126" t="s">
        <v>486</v>
      </c>
      <c r="E299" s="128">
        <v>46.512</v>
      </c>
      <c r="F299" s="129">
        <f t="shared" si="14"/>
        <v>2.0323883519999999</v>
      </c>
      <c r="G299" t="str">
        <f>_xlfn.XLOOKUP(D299,'[1]2050 BAU Mapping to T &amp; C'!$A$3:$A$52,'[1]2050 BAU Mapping to T &amp; C'!$B$3:$B$52)</f>
        <v>Ruminant Meats</v>
      </c>
      <c r="H299" s="129">
        <f>_xlfn.XLOOKUP(G299,'[1]T&amp;C emissions for 2050 analysis'!$B$3:$B$23,'[1]T&amp;C emissions for 2050 analysis'!$C$3:$C$23)</f>
        <v>20.533333333333331</v>
      </c>
      <c r="I299" s="27">
        <f t="shared" si="12"/>
        <v>41.731707494399991</v>
      </c>
      <c r="J299" s="129">
        <f t="shared" si="13"/>
        <v>955.04639999999995</v>
      </c>
    </row>
    <row r="300" spans="1:10" hidden="1" x14ac:dyDescent="0.35">
      <c r="A300" s="126" t="s">
        <v>436</v>
      </c>
      <c r="B300" t="str">
        <f>_xlfn.XLOOKUP(A300,'[1]2050Pop'!$A$7:$A$143,'[1]2050Pop'!$D$7:$D$143)</f>
        <v>SSA</v>
      </c>
      <c r="C300" s="127">
        <f>1000*_xlfn.XLOOKUP(A300,'[1]2050Pop'!$A$7:$A$143,'[1]2050Pop'!$C$7:$C$143)</f>
        <v>65544</v>
      </c>
      <c r="D300" s="126" t="s">
        <v>486</v>
      </c>
      <c r="E300" s="128">
        <v>8.609</v>
      </c>
      <c r="F300" s="129">
        <f t="shared" si="14"/>
        <v>0.56426829599999995</v>
      </c>
      <c r="G300" t="str">
        <f>_xlfn.XLOOKUP(D300,'[1]2050 BAU Mapping to T &amp; C'!$A$3:$A$52,'[1]2050 BAU Mapping to T &amp; C'!$B$3:$B$52)</f>
        <v>Ruminant Meats</v>
      </c>
      <c r="H300" s="129">
        <f>_xlfn.XLOOKUP(G300,'[1]T&amp;C emissions for 2050 analysis'!$B$3:$B$23,'[1]T&amp;C emissions for 2050 analysis'!$C$3:$C$23)</f>
        <v>20.533333333333331</v>
      </c>
      <c r="I300" s="27">
        <f t="shared" si="12"/>
        <v>11.586309011199997</v>
      </c>
      <c r="J300" s="129">
        <f t="shared" si="13"/>
        <v>176.77146666666664</v>
      </c>
    </row>
    <row r="301" spans="1:10" hidden="1" x14ac:dyDescent="0.35">
      <c r="A301" s="126" t="s">
        <v>490</v>
      </c>
      <c r="B301" t="str">
        <f>_xlfn.XLOOKUP(A301,'[1]2050Pop'!$A$7:$A$143,'[1]2050Pop'!$D$7:$D$143)</f>
        <v>APAC</v>
      </c>
      <c r="C301" s="127">
        <f>1000*_xlfn.XLOOKUP(A301,'[1]2050Pop'!$A$7:$A$143,'[1]2050Pop'!$C$7:$C$143)</f>
        <v>63575</v>
      </c>
      <c r="D301" s="126" t="s">
        <v>486</v>
      </c>
      <c r="E301" s="128">
        <v>39.837000000000003</v>
      </c>
      <c r="F301" s="129">
        <f t="shared" si="14"/>
        <v>2.5326372750000004</v>
      </c>
      <c r="G301" t="str">
        <f>_xlfn.XLOOKUP(D301,'[1]2050 BAU Mapping to T &amp; C'!$A$3:$A$52,'[1]2050 BAU Mapping to T &amp; C'!$B$3:$B$52)</f>
        <v>Ruminant Meats</v>
      </c>
      <c r="H301" s="129">
        <f>_xlfn.XLOOKUP(G301,'[1]T&amp;C emissions for 2050 analysis'!$B$3:$B$23,'[1]T&amp;C emissions for 2050 analysis'!$C$3:$C$23)</f>
        <v>20.533333333333331</v>
      </c>
      <c r="I301" s="27">
        <f t="shared" si="12"/>
        <v>52.003485380000001</v>
      </c>
      <c r="J301" s="129">
        <f t="shared" si="13"/>
        <v>817.9864</v>
      </c>
    </row>
    <row r="302" spans="1:10" hidden="1" x14ac:dyDescent="0.35">
      <c r="A302" s="126" t="s">
        <v>437</v>
      </c>
      <c r="B302" t="str">
        <f>_xlfn.XLOOKUP(A302,'[1]2050Pop'!$A$7:$A$143,'[1]2050Pop'!$D$7:$D$143)</f>
        <v>SSA</v>
      </c>
      <c r="C302" s="127">
        <f>1000*_xlfn.XLOOKUP(A302,'[1]2050Pop'!$A$7:$A$143,'[1]2050Pop'!$C$7:$C$143)</f>
        <v>4322</v>
      </c>
      <c r="D302" s="126" t="s">
        <v>486</v>
      </c>
      <c r="E302" s="128">
        <v>38.146999999999998</v>
      </c>
      <c r="F302" s="129">
        <f t="shared" si="14"/>
        <v>0.16487133400000001</v>
      </c>
      <c r="G302" t="str">
        <f>_xlfn.XLOOKUP(D302,'[1]2050 BAU Mapping to T &amp; C'!$A$3:$A$52,'[1]2050 BAU Mapping to T &amp; C'!$B$3:$B$52)</f>
        <v>Ruminant Meats</v>
      </c>
      <c r="H302" s="129">
        <f>_xlfn.XLOOKUP(G302,'[1]T&amp;C emissions for 2050 analysis'!$B$3:$B$23,'[1]T&amp;C emissions for 2050 analysis'!$C$3:$C$23)</f>
        <v>20.533333333333331</v>
      </c>
      <c r="I302" s="27">
        <f t="shared" si="12"/>
        <v>3.3853580581333333</v>
      </c>
      <c r="J302" s="129">
        <f t="shared" si="13"/>
        <v>783.28506666666658</v>
      </c>
    </row>
    <row r="303" spans="1:10" hidden="1" x14ac:dyDescent="0.35">
      <c r="A303" s="126" t="s">
        <v>438</v>
      </c>
      <c r="B303" t="str">
        <f>_xlfn.XLOOKUP(A303,'[1]2050Pop'!$A$7:$A$143,'[1]2050Pop'!$D$7:$D$143)</f>
        <v>India/South Asia</v>
      </c>
      <c r="C303" s="127">
        <f>1000*_xlfn.XLOOKUP(A303,'[1]2050Pop'!$A$7:$A$143,'[1]2050Pop'!$C$7:$C$143)</f>
        <v>36159</v>
      </c>
      <c r="D303" s="126" t="s">
        <v>486</v>
      </c>
      <c r="E303" s="128">
        <v>31.262</v>
      </c>
      <c r="F303" s="129">
        <f t="shared" si="14"/>
        <v>1.1304026579999999</v>
      </c>
      <c r="G303" t="str">
        <f>_xlfn.XLOOKUP(D303,'[1]2050 BAU Mapping to T &amp; C'!$A$3:$A$52,'[1]2050 BAU Mapping to T &amp; C'!$B$3:$B$52)</f>
        <v>Ruminant Meats</v>
      </c>
      <c r="H303" s="129">
        <f>_xlfn.XLOOKUP(G303,'[1]T&amp;C emissions for 2050 analysis'!$B$3:$B$23,'[1]T&amp;C emissions for 2050 analysis'!$C$3:$C$23)</f>
        <v>20.533333333333331</v>
      </c>
      <c r="I303" s="27">
        <f t="shared" si="12"/>
        <v>23.210934577599996</v>
      </c>
      <c r="J303" s="129">
        <f t="shared" si="13"/>
        <v>641.91306666666662</v>
      </c>
    </row>
    <row r="304" spans="1:10" hidden="1" x14ac:dyDescent="0.35">
      <c r="A304" s="126" t="s">
        <v>439</v>
      </c>
      <c r="B304" t="str">
        <f>_xlfn.XLOOKUP(A304,'[1]2050Pop'!$A$7:$A$143,'[1]2050Pop'!$D$7:$D$143)</f>
        <v>Euro/AU/NZ</v>
      </c>
      <c r="C304" s="127">
        <f>1000*_xlfn.XLOOKUP(A304,'[1]2050Pop'!$A$7:$A$143,'[1]2050Pop'!$C$7:$C$143)</f>
        <v>17602</v>
      </c>
      <c r="D304" s="126" t="s">
        <v>486</v>
      </c>
      <c r="E304" s="128">
        <v>100.374</v>
      </c>
      <c r="F304" s="129">
        <f t="shared" si="14"/>
        <v>1.7667831479999998</v>
      </c>
      <c r="G304" t="str">
        <f>_xlfn.XLOOKUP(D304,'[1]2050 BAU Mapping to T &amp; C'!$A$3:$A$52,'[1]2050 BAU Mapping to T &amp; C'!$B$3:$B$52)</f>
        <v>Ruminant Meats</v>
      </c>
      <c r="H304" s="129">
        <f>_xlfn.XLOOKUP(G304,'[1]T&amp;C emissions for 2050 analysis'!$B$3:$B$23,'[1]T&amp;C emissions for 2050 analysis'!$C$3:$C$23)</f>
        <v>20.533333333333331</v>
      </c>
      <c r="I304" s="27">
        <f t="shared" si="12"/>
        <v>36.277947305599994</v>
      </c>
      <c r="J304" s="129">
        <f t="shared" si="13"/>
        <v>2061.0127999999995</v>
      </c>
    </row>
    <row r="305" spans="1:10" hidden="1" x14ac:dyDescent="0.35">
      <c r="A305" s="126" t="s">
        <v>440</v>
      </c>
      <c r="B305" t="str">
        <f>_xlfn.XLOOKUP(A305,'[1]2050Pop'!$A$7:$A$143,'[1]2050Pop'!$D$7:$D$143)</f>
        <v>Euro/AU/NZ</v>
      </c>
      <c r="C305" s="127">
        <f>1000*_xlfn.XLOOKUP(A305,'[1]2050Pop'!$A$7:$A$143,'[1]2050Pop'!$C$7:$C$143)</f>
        <v>5607</v>
      </c>
      <c r="D305" s="126" t="s">
        <v>486</v>
      </c>
      <c r="E305" s="128">
        <v>93.539000000000001</v>
      </c>
      <c r="F305" s="129">
        <f t="shared" si="14"/>
        <v>0.52447317299999996</v>
      </c>
      <c r="G305" t="str">
        <f>_xlfn.XLOOKUP(D305,'[1]2050 BAU Mapping to T &amp; C'!$A$3:$A$52,'[1]2050 BAU Mapping to T &amp; C'!$B$3:$B$52)</f>
        <v>Ruminant Meats</v>
      </c>
      <c r="H305" s="129">
        <f>_xlfn.XLOOKUP(G305,'[1]T&amp;C emissions for 2050 analysis'!$B$3:$B$23,'[1]T&amp;C emissions for 2050 analysis'!$C$3:$C$23)</f>
        <v>20.533333333333331</v>
      </c>
      <c r="I305" s="27">
        <f t="shared" si="12"/>
        <v>10.769182485599998</v>
      </c>
      <c r="J305" s="129">
        <f t="shared" si="13"/>
        <v>1920.6674666666665</v>
      </c>
    </row>
    <row r="306" spans="1:10" hidden="1" x14ac:dyDescent="0.35">
      <c r="A306" s="126" t="s">
        <v>441</v>
      </c>
      <c r="B306" t="str">
        <f>_xlfn.XLOOKUP(A306,'[1]2050Pop'!$A$7:$A$143,'[1]2050Pop'!$D$7:$D$143)</f>
        <v>LatAm &amp; RSA</v>
      </c>
      <c r="C306" s="127">
        <f>1000*_xlfn.XLOOKUP(A306,'[1]2050Pop'!$A$7:$A$143,'[1]2050Pop'!$C$7:$C$143)</f>
        <v>7863</v>
      </c>
      <c r="D306" s="126" t="s">
        <v>486</v>
      </c>
      <c r="E306" s="128">
        <v>13.096</v>
      </c>
      <c r="F306" s="129">
        <f t="shared" si="14"/>
        <v>0.10297384799999999</v>
      </c>
      <c r="G306" t="str">
        <f>_xlfn.XLOOKUP(D306,'[1]2050 BAU Mapping to T &amp; C'!$A$3:$A$52,'[1]2050 BAU Mapping to T &amp; C'!$B$3:$B$52)</f>
        <v>Ruminant Meats</v>
      </c>
      <c r="H306" s="129">
        <f>_xlfn.XLOOKUP(G306,'[1]T&amp;C emissions for 2050 analysis'!$B$3:$B$23,'[1]T&amp;C emissions for 2050 analysis'!$C$3:$C$23)</f>
        <v>20.533333333333331</v>
      </c>
      <c r="I306" s="27">
        <f t="shared" si="12"/>
        <v>2.1143963455999994</v>
      </c>
      <c r="J306" s="129">
        <f t="shared" si="13"/>
        <v>268.90453333333329</v>
      </c>
    </row>
    <row r="307" spans="1:10" hidden="1" x14ac:dyDescent="0.35">
      <c r="A307" s="126" t="s">
        <v>482</v>
      </c>
      <c r="B307" t="str">
        <f>_xlfn.XLOOKUP(A307,'[1]2050Pop'!$A$7:$A$143,'[1]2050Pop'!$D$7:$D$143)</f>
        <v>SSA</v>
      </c>
      <c r="C307" s="127">
        <f>1000*_xlfn.XLOOKUP(A307,'[1]2050Pop'!$A$7:$A$143,'[1]2050Pop'!$C$7:$C$143)</f>
        <v>72238</v>
      </c>
      <c r="D307" s="126" t="s">
        <v>486</v>
      </c>
      <c r="E307" s="128">
        <v>73.298000000000002</v>
      </c>
      <c r="F307" s="129">
        <f t="shared" si="14"/>
        <v>5.2949009240000002</v>
      </c>
      <c r="G307" t="str">
        <f>_xlfn.XLOOKUP(D307,'[1]2050 BAU Mapping to T &amp; C'!$A$3:$A$52,'[1]2050 BAU Mapping to T &amp; C'!$B$3:$B$52)</f>
        <v>Ruminant Meats</v>
      </c>
      <c r="H307" s="129">
        <f>_xlfn.XLOOKUP(G307,'[1]T&amp;C emissions for 2050 analysis'!$B$3:$B$23,'[1]T&amp;C emissions for 2050 analysis'!$C$3:$C$23)</f>
        <v>20.533333333333331</v>
      </c>
      <c r="I307" s="27">
        <f t="shared" si="12"/>
        <v>108.72196563946666</v>
      </c>
      <c r="J307" s="129">
        <f t="shared" si="13"/>
        <v>1505.0522666666666</v>
      </c>
    </row>
    <row r="308" spans="1:10" hidden="1" x14ac:dyDescent="0.35">
      <c r="A308" s="126" t="s">
        <v>491</v>
      </c>
      <c r="B308" t="str">
        <f>_xlfn.XLOOKUP(A308,'[1]2050Pop'!$A$7:$A$143,'[1]2050Pop'!$D$7:$D$143)</f>
        <v>SSA</v>
      </c>
      <c r="C308" s="127">
        <f>1000*_xlfn.XLOOKUP(A308,'[1]2050Pop'!$A$7:$A$143,'[1]2050Pop'!$C$7:$C$143)</f>
        <v>398508</v>
      </c>
      <c r="D308" s="126" t="s">
        <v>486</v>
      </c>
      <c r="E308" s="128">
        <v>18.001000000000001</v>
      </c>
      <c r="F308" s="129">
        <f t="shared" si="14"/>
        <v>7.1735425080000006</v>
      </c>
      <c r="G308" t="str">
        <f>_xlfn.XLOOKUP(D308,'[1]2050 BAU Mapping to T &amp; C'!$A$3:$A$52,'[1]2050 BAU Mapping to T &amp; C'!$B$3:$B$52)</f>
        <v>Ruminant Meats</v>
      </c>
      <c r="H308" s="129">
        <f>_xlfn.XLOOKUP(G308,'[1]T&amp;C emissions for 2050 analysis'!$B$3:$B$23,'[1]T&amp;C emissions for 2050 analysis'!$C$3:$C$23)</f>
        <v>20.533333333333331</v>
      </c>
      <c r="I308" s="27">
        <f t="shared" si="12"/>
        <v>147.29673949759999</v>
      </c>
      <c r="J308" s="129">
        <f t="shared" si="13"/>
        <v>369.6205333333333</v>
      </c>
    </row>
    <row r="309" spans="1:10" hidden="1" x14ac:dyDescent="0.35">
      <c r="A309" s="126" t="s">
        <v>442</v>
      </c>
      <c r="B309" t="str">
        <f>_xlfn.XLOOKUP(A309,'[1]2050Pop'!$A$7:$A$143,'[1]2050Pop'!$D$7:$D$143)</f>
        <v>Euro/AU/NZ</v>
      </c>
      <c r="C309" s="127">
        <f>1000*_xlfn.XLOOKUP(A309,'[1]2050Pop'!$A$7:$A$143,'[1]2050Pop'!$C$7:$C$143)</f>
        <v>6658</v>
      </c>
      <c r="D309" s="126" t="s">
        <v>486</v>
      </c>
      <c r="E309" s="128">
        <v>62.829000000000001</v>
      </c>
      <c r="F309" s="129">
        <f t="shared" si="14"/>
        <v>0.41831548200000002</v>
      </c>
      <c r="G309" t="str">
        <f>_xlfn.XLOOKUP(D309,'[1]2050 BAU Mapping to T &amp; C'!$A$3:$A$52,'[1]2050 BAU Mapping to T &amp; C'!$B$3:$B$52)</f>
        <v>Ruminant Meats</v>
      </c>
      <c r="H309" s="129">
        <f>_xlfn.XLOOKUP(G309,'[1]T&amp;C emissions for 2050 analysis'!$B$3:$B$23,'[1]T&amp;C emissions for 2050 analysis'!$C$3:$C$23)</f>
        <v>20.533333333333331</v>
      </c>
      <c r="I309" s="27">
        <f t="shared" si="12"/>
        <v>8.5894112303999997</v>
      </c>
      <c r="J309" s="129">
        <f t="shared" si="13"/>
        <v>1290.0888</v>
      </c>
    </row>
    <row r="310" spans="1:10" hidden="1" x14ac:dyDescent="0.35">
      <c r="A310" s="126" t="s">
        <v>443</v>
      </c>
      <c r="B310" t="str">
        <f>_xlfn.XLOOKUP(A310,'[1]2050Pop'!$A$7:$A$143,'[1]2050Pop'!$D$7:$D$143)</f>
        <v>India/South Asia</v>
      </c>
      <c r="C310" s="127">
        <f>1000*_xlfn.XLOOKUP(A310,'[1]2050Pop'!$A$7:$A$143,'[1]2050Pop'!$C$7:$C$143)</f>
        <v>309640</v>
      </c>
      <c r="D310" s="126" t="s">
        <v>486</v>
      </c>
      <c r="E310" s="128">
        <v>48.712000000000003</v>
      </c>
      <c r="F310" s="129">
        <f t="shared" si="14"/>
        <v>15.083183680000001</v>
      </c>
      <c r="G310" t="str">
        <f>_xlfn.XLOOKUP(D310,'[1]2050 BAU Mapping to T &amp; C'!$A$3:$A$52,'[1]2050 BAU Mapping to T &amp; C'!$B$3:$B$52)</f>
        <v>Ruminant Meats</v>
      </c>
      <c r="H310" s="129">
        <f>_xlfn.XLOOKUP(G310,'[1]T&amp;C emissions for 2050 analysis'!$B$3:$B$23,'[1]T&amp;C emissions for 2050 analysis'!$C$3:$C$23)</f>
        <v>20.533333333333331</v>
      </c>
      <c r="I310" s="27">
        <f t="shared" si="12"/>
        <v>309.70803822933334</v>
      </c>
      <c r="J310" s="129">
        <f t="shared" si="13"/>
        <v>1000.2197333333334</v>
      </c>
    </row>
    <row r="311" spans="1:10" hidden="1" x14ac:dyDescent="0.35">
      <c r="A311" s="126" t="s">
        <v>444</v>
      </c>
      <c r="B311" t="str">
        <f>_xlfn.XLOOKUP(A311,'[1]2050Pop'!$A$7:$A$143,'[1]2050Pop'!$D$7:$D$143)</f>
        <v>LatAm &amp; RSA</v>
      </c>
      <c r="C311" s="127">
        <f>1000*_xlfn.XLOOKUP(A311,'[1]2050Pop'!$A$7:$A$143,'[1]2050Pop'!$C$7:$C$143)</f>
        <v>5599</v>
      </c>
      <c r="D311" s="126" t="s">
        <v>486</v>
      </c>
      <c r="E311" s="128">
        <v>78.962999999999994</v>
      </c>
      <c r="F311" s="129">
        <f t="shared" si="14"/>
        <v>0.44211383699999995</v>
      </c>
      <c r="G311" t="str">
        <f>_xlfn.XLOOKUP(D311,'[1]2050 BAU Mapping to T &amp; C'!$A$3:$A$52,'[1]2050 BAU Mapping to T &amp; C'!$B$3:$B$52)</f>
        <v>Ruminant Meats</v>
      </c>
      <c r="H311" s="129">
        <f>_xlfn.XLOOKUP(G311,'[1]T&amp;C emissions for 2050 analysis'!$B$3:$B$23,'[1]T&amp;C emissions for 2050 analysis'!$C$3:$C$23)</f>
        <v>20.533333333333331</v>
      </c>
      <c r="I311" s="27">
        <f t="shared" si="12"/>
        <v>9.0780707863999979</v>
      </c>
      <c r="J311" s="129">
        <f t="shared" si="13"/>
        <v>1621.3735999999997</v>
      </c>
    </row>
    <row r="312" spans="1:10" hidden="1" x14ac:dyDescent="0.35">
      <c r="A312" s="126" t="s">
        <v>445</v>
      </c>
      <c r="B312" t="str">
        <f>_xlfn.XLOOKUP(A312,'[1]2050Pop'!$A$7:$A$143,'[1]2050Pop'!$D$7:$D$143)</f>
        <v>LatAm &amp; RSA</v>
      </c>
      <c r="C312" s="127">
        <f>1000*_xlfn.XLOOKUP(A312,'[1]2050Pop'!$A$7:$A$143,'[1]2050Pop'!$C$7:$C$143)</f>
        <v>8895</v>
      </c>
      <c r="D312" s="126" t="s">
        <v>486</v>
      </c>
      <c r="E312" s="128">
        <v>74.819000000000003</v>
      </c>
      <c r="F312" s="129">
        <f t="shared" si="14"/>
        <v>0.66551500500000005</v>
      </c>
      <c r="G312" t="str">
        <f>_xlfn.XLOOKUP(D312,'[1]2050 BAU Mapping to T &amp; C'!$A$3:$A$52,'[1]2050 BAU Mapping to T &amp; C'!$B$3:$B$52)</f>
        <v>Ruminant Meats</v>
      </c>
      <c r="H312" s="129">
        <f>_xlfn.XLOOKUP(G312,'[1]T&amp;C emissions for 2050 analysis'!$B$3:$B$23,'[1]T&amp;C emissions for 2050 analysis'!$C$3:$C$23)</f>
        <v>20.533333333333331</v>
      </c>
      <c r="I312" s="27">
        <f t="shared" si="12"/>
        <v>13.665241436000001</v>
      </c>
      <c r="J312" s="129">
        <f t="shared" si="13"/>
        <v>1536.2834666666665</v>
      </c>
    </row>
    <row r="313" spans="1:10" hidden="1" x14ac:dyDescent="0.35">
      <c r="A313" s="126" t="s">
        <v>446</v>
      </c>
      <c r="B313" t="str">
        <f>_xlfn.XLOOKUP(A313,'[1]2050Pop'!$A$7:$A$143,'[1]2050Pop'!$D$7:$D$143)</f>
        <v>LatAm &amp; RSA</v>
      </c>
      <c r="C313" s="127">
        <f>1000*_xlfn.XLOOKUP(A313,'[1]2050Pop'!$A$7:$A$143,'[1]2050Pop'!$C$7:$C$143)</f>
        <v>41899</v>
      </c>
      <c r="D313" s="126" t="s">
        <v>486</v>
      </c>
      <c r="E313" s="128">
        <v>19.442</v>
      </c>
      <c r="F313" s="129">
        <f t="shared" si="14"/>
        <v>0.81460035799999997</v>
      </c>
      <c r="G313" t="str">
        <f>_xlfn.XLOOKUP(D313,'[1]2050 BAU Mapping to T &amp; C'!$A$3:$A$52,'[1]2050 BAU Mapping to T &amp; C'!$B$3:$B$52)</f>
        <v>Ruminant Meats</v>
      </c>
      <c r="H313" s="129">
        <f>_xlfn.XLOOKUP(G313,'[1]T&amp;C emissions for 2050 analysis'!$B$3:$B$23,'[1]T&amp;C emissions for 2050 analysis'!$C$3:$C$23)</f>
        <v>20.533333333333331</v>
      </c>
      <c r="I313" s="27">
        <f t="shared" si="12"/>
        <v>16.726460684266666</v>
      </c>
      <c r="J313" s="129">
        <f t="shared" si="13"/>
        <v>399.20906666666662</v>
      </c>
    </row>
    <row r="314" spans="1:10" hidden="1" x14ac:dyDescent="0.35">
      <c r="A314" s="126" t="s">
        <v>447</v>
      </c>
      <c r="B314" t="str">
        <f>_xlfn.XLOOKUP(A314,'[1]2050Pop'!$A$7:$A$143,'[1]2050Pop'!$D$7:$D$143)</f>
        <v>APAC</v>
      </c>
      <c r="C314" s="127">
        <f>1000*_xlfn.XLOOKUP(A314,'[1]2050Pop'!$A$7:$A$143,'[1]2050Pop'!$C$7:$C$143)</f>
        <v>148260</v>
      </c>
      <c r="D314" s="126" t="s">
        <v>486</v>
      </c>
      <c r="E314" s="128">
        <v>20.739000000000001</v>
      </c>
      <c r="F314" s="129">
        <f t="shared" si="14"/>
        <v>3.0747641400000001</v>
      </c>
      <c r="G314" t="str">
        <f>_xlfn.XLOOKUP(D314,'[1]2050 BAU Mapping to T &amp; C'!$A$3:$A$52,'[1]2050 BAU Mapping to T &amp; C'!$B$3:$B$52)</f>
        <v>Ruminant Meats</v>
      </c>
      <c r="H314" s="129">
        <f>_xlfn.XLOOKUP(G314,'[1]T&amp;C emissions for 2050 analysis'!$B$3:$B$23,'[1]T&amp;C emissions for 2050 analysis'!$C$3:$C$23)</f>
        <v>20.533333333333331</v>
      </c>
      <c r="I314" s="27">
        <f t="shared" si="12"/>
        <v>63.135157007999993</v>
      </c>
      <c r="J314" s="129">
        <f t="shared" si="13"/>
        <v>425.8408</v>
      </c>
    </row>
    <row r="315" spans="1:10" hidden="1" x14ac:dyDescent="0.35">
      <c r="A315" s="126" t="s">
        <v>448</v>
      </c>
      <c r="B315" t="str">
        <f>_xlfn.XLOOKUP(A315,'[1]2050Pop'!$A$7:$A$143,'[1]2050Pop'!$D$7:$D$143)</f>
        <v>Euro/AU/NZ</v>
      </c>
      <c r="C315" s="127">
        <f>1000*_xlfn.XLOOKUP(A315,'[1]2050Pop'!$A$7:$A$143,'[1]2050Pop'!$C$7:$C$143)</f>
        <v>33136</v>
      </c>
      <c r="D315" s="126" t="s">
        <v>486</v>
      </c>
      <c r="E315" s="130">
        <v>9.26</v>
      </c>
      <c r="F315" s="129">
        <f t="shared" si="14"/>
        <v>0.30683936000000001</v>
      </c>
      <c r="G315" t="str">
        <f>_xlfn.XLOOKUP(D315,'[1]2050 BAU Mapping to T &amp; C'!$A$3:$A$52,'[1]2050 BAU Mapping to T &amp; C'!$B$3:$B$52)</f>
        <v>Ruminant Meats</v>
      </c>
      <c r="H315" s="129">
        <f>_xlfn.XLOOKUP(G315,'[1]T&amp;C emissions for 2050 analysis'!$B$3:$B$23,'[1]T&amp;C emissions for 2050 analysis'!$C$3:$C$23)</f>
        <v>20.533333333333331</v>
      </c>
      <c r="I315" s="27">
        <f t="shared" si="12"/>
        <v>6.3004348586666659</v>
      </c>
      <c r="J315" s="129">
        <f t="shared" si="13"/>
        <v>190.13866666666664</v>
      </c>
    </row>
    <row r="316" spans="1:10" hidden="1" x14ac:dyDescent="0.35">
      <c r="A316" s="126" t="s">
        <v>449</v>
      </c>
      <c r="B316" t="str">
        <f>_xlfn.XLOOKUP(A316,'[1]2050Pop'!$A$7:$A$143,'[1]2050Pop'!$D$7:$D$143)</f>
        <v>Euro/AU/NZ</v>
      </c>
      <c r="C316" s="127">
        <f>1000*_xlfn.XLOOKUP(A316,'[1]2050Pop'!$A$7:$A$143,'[1]2050Pop'!$C$7:$C$143)</f>
        <v>9216</v>
      </c>
      <c r="D316" s="126" t="s">
        <v>486</v>
      </c>
      <c r="E316" s="128">
        <v>94.125</v>
      </c>
      <c r="F316" s="129">
        <f t="shared" si="14"/>
        <v>0.867456</v>
      </c>
      <c r="G316" t="str">
        <f>_xlfn.XLOOKUP(D316,'[1]2050 BAU Mapping to T &amp; C'!$A$3:$A$52,'[1]2050 BAU Mapping to T &amp; C'!$B$3:$B$52)</f>
        <v>Ruminant Meats</v>
      </c>
      <c r="H316" s="129">
        <f>_xlfn.XLOOKUP(G316,'[1]T&amp;C emissions for 2050 analysis'!$B$3:$B$23,'[1]T&amp;C emissions for 2050 analysis'!$C$3:$C$23)</f>
        <v>20.533333333333331</v>
      </c>
      <c r="I316" s="27">
        <f t="shared" si="12"/>
        <v>17.811763199999998</v>
      </c>
      <c r="J316" s="129">
        <f t="shared" si="13"/>
        <v>1932.6999999999998</v>
      </c>
    </row>
    <row r="317" spans="1:10" hidden="1" x14ac:dyDescent="0.35">
      <c r="A317" s="126" t="s">
        <v>450</v>
      </c>
      <c r="B317" t="str">
        <f>_xlfn.XLOOKUP(A317,'[1]2050Pop'!$A$7:$A$143,'[1]2050Pop'!$D$7:$D$143)</f>
        <v>APAC</v>
      </c>
      <c r="C317" s="127">
        <f>1000*_xlfn.XLOOKUP(A317,'[1]2050Pop'!$A$7:$A$143,'[1]2050Pop'!$C$7:$C$143)</f>
        <v>50593</v>
      </c>
      <c r="D317" s="126" t="s">
        <v>486</v>
      </c>
      <c r="E317" s="128">
        <v>90.626999999999995</v>
      </c>
      <c r="F317" s="129">
        <f t="shared" si="14"/>
        <v>4.5850918109999999</v>
      </c>
      <c r="G317" t="str">
        <f>_xlfn.XLOOKUP(D317,'[1]2050 BAU Mapping to T &amp; C'!$A$3:$A$52,'[1]2050 BAU Mapping to T &amp; C'!$B$3:$B$52)</f>
        <v>Ruminant Meats</v>
      </c>
      <c r="H317" s="129">
        <f>_xlfn.XLOOKUP(G317,'[1]T&amp;C emissions for 2050 analysis'!$B$3:$B$23,'[1]T&amp;C emissions for 2050 analysis'!$C$3:$C$23)</f>
        <v>20.533333333333331</v>
      </c>
      <c r="I317" s="27">
        <f t="shared" si="12"/>
        <v>94.147218519199981</v>
      </c>
      <c r="J317" s="129">
        <f t="shared" si="13"/>
        <v>1860.8743999999997</v>
      </c>
    </row>
    <row r="318" spans="1:10" hidden="1" x14ac:dyDescent="0.35">
      <c r="A318" s="126" t="s">
        <v>451</v>
      </c>
      <c r="B318" t="str">
        <f>_xlfn.XLOOKUP(A318,'[1]2050Pop'!$A$7:$A$143,'[1]2050Pop'!$D$7:$D$143)</f>
        <v>Euro/AU/NZ</v>
      </c>
      <c r="C318" s="127">
        <f>1000*_xlfn.XLOOKUP(A318,'[1]2050Pop'!$A$7:$A$143,'[1]2050Pop'!$C$7:$C$143)</f>
        <v>3243</v>
      </c>
      <c r="D318" s="126" t="s">
        <v>486</v>
      </c>
      <c r="E318" s="128">
        <v>12.492000000000001</v>
      </c>
      <c r="F318" s="129">
        <f t="shared" si="14"/>
        <v>4.0511556000000004E-2</v>
      </c>
      <c r="G318" t="str">
        <f>_xlfn.XLOOKUP(D318,'[1]2050 BAU Mapping to T &amp; C'!$A$3:$A$52,'[1]2050 BAU Mapping to T &amp; C'!$B$3:$B$52)</f>
        <v>Ruminant Meats</v>
      </c>
      <c r="H318" s="129">
        <f>_xlfn.XLOOKUP(G318,'[1]T&amp;C emissions for 2050 analysis'!$B$3:$B$23,'[1]T&amp;C emissions for 2050 analysis'!$C$3:$C$23)</f>
        <v>20.533333333333331</v>
      </c>
      <c r="I318" s="27">
        <f t="shared" si="12"/>
        <v>0.83183728320000005</v>
      </c>
      <c r="J318" s="129">
        <f t="shared" si="13"/>
        <v>256.50240000000002</v>
      </c>
    </row>
    <row r="319" spans="1:10" hidden="1" x14ac:dyDescent="0.35">
      <c r="A319" s="126" t="s">
        <v>452</v>
      </c>
      <c r="B319" t="str">
        <f>_xlfn.XLOOKUP(A319,'[1]2050Pop'!$A$7:$A$143,'[1]2050Pop'!$D$7:$D$143)</f>
        <v>SSA</v>
      </c>
      <c r="C319" s="127">
        <f>1000*_xlfn.XLOOKUP(A319,'[1]2050Pop'!$A$7:$A$143,'[1]2050Pop'!$C$7:$C$143)</f>
        <v>10732</v>
      </c>
      <c r="D319" s="126" t="s">
        <v>486</v>
      </c>
      <c r="E319" s="128">
        <v>25.204999999999998</v>
      </c>
      <c r="F319" s="129">
        <f t="shared" si="14"/>
        <v>0.27050005999999999</v>
      </c>
      <c r="G319" t="str">
        <f>_xlfn.XLOOKUP(D319,'[1]2050 BAU Mapping to T &amp; C'!$A$3:$A$52,'[1]2050 BAU Mapping to T &amp; C'!$B$3:$B$52)</f>
        <v>Ruminant Meats</v>
      </c>
      <c r="H319" s="129">
        <f>_xlfn.XLOOKUP(G319,'[1]T&amp;C emissions for 2050 analysis'!$B$3:$B$23,'[1]T&amp;C emissions for 2050 analysis'!$C$3:$C$23)</f>
        <v>20.533333333333331</v>
      </c>
      <c r="I319" s="27">
        <f t="shared" si="12"/>
        <v>5.5542678986666658</v>
      </c>
      <c r="J319" s="129">
        <f t="shared" si="13"/>
        <v>517.54266666666661</v>
      </c>
    </row>
    <row r="320" spans="1:10" hidden="1" x14ac:dyDescent="0.35">
      <c r="A320" s="126" t="s">
        <v>453</v>
      </c>
      <c r="B320" t="str">
        <f>_xlfn.XLOOKUP(A320,'[1]2050Pop'!$A$7:$A$143,'[1]2050Pop'!$D$7:$D$143)</f>
        <v>Euro/AU/NZ</v>
      </c>
      <c r="C320" s="127">
        <f>1000*_xlfn.XLOOKUP(A320,'[1]2050Pop'!$A$7:$A$143,'[1]2050Pop'!$C$7:$C$143)</f>
        <v>15207</v>
      </c>
      <c r="D320" s="126" t="s">
        <v>486</v>
      </c>
      <c r="E320" s="128">
        <v>26.187999999999999</v>
      </c>
      <c r="F320" s="129">
        <f t="shared" si="14"/>
        <v>0.39824091599999994</v>
      </c>
      <c r="G320" t="str">
        <f>_xlfn.XLOOKUP(D320,'[1]2050 BAU Mapping to T &amp; C'!$A$3:$A$52,'[1]2050 BAU Mapping to T &amp; C'!$B$3:$B$52)</f>
        <v>Ruminant Meats</v>
      </c>
      <c r="H320" s="129">
        <f>_xlfn.XLOOKUP(G320,'[1]T&amp;C emissions for 2050 analysis'!$B$3:$B$23,'[1]T&amp;C emissions for 2050 analysis'!$C$3:$C$23)</f>
        <v>20.533333333333331</v>
      </c>
      <c r="I320" s="27">
        <f t="shared" si="12"/>
        <v>8.1772134751999985</v>
      </c>
      <c r="J320" s="129">
        <f t="shared" si="13"/>
        <v>537.72693333333325</v>
      </c>
    </row>
    <row r="321" spans="1:10" hidden="1" x14ac:dyDescent="0.35">
      <c r="A321" s="126" t="s">
        <v>454</v>
      </c>
      <c r="B321" t="str">
        <f>_xlfn.XLOOKUP(A321,'[1]2050Pop'!$A$7:$A$143,'[1]2050Pop'!$D$7:$D$143)</f>
        <v>Euro/AU/NZ</v>
      </c>
      <c r="C321" s="127">
        <f>1000*_xlfn.XLOOKUP(A321,'[1]2050Pop'!$A$7:$A$143,'[1]2050Pop'!$C$7:$C$143)</f>
        <v>128598.99999999999</v>
      </c>
      <c r="D321" s="126" t="s">
        <v>486</v>
      </c>
      <c r="E321" s="128">
        <v>105.377</v>
      </c>
      <c r="F321" s="129">
        <f t="shared" si="14"/>
        <v>13.551376822999996</v>
      </c>
      <c r="G321" t="str">
        <f>_xlfn.XLOOKUP(D321,'[1]2050 BAU Mapping to T &amp; C'!$A$3:$A$52,'[1]2050 BAU Mapping to T &amp; C'!$B$3:$B$52)</f>
        <v>Ruminant Meats</v>
      </c>
      <c r="H321" s="129">
        <f>_xlfn.XLOOKUP(G321,'[1]T&amp;C emissions for 2050 analysis'!$B$3:$B$23,'[1]T&amp;C emissions for 2050 analysis'!$C$3:$C$23)</f>
        <v>20.533333333333331</v>
      </c>
      <c r="I321" s="27">
        <f t="shared" si="12"/>
        <v>278.25493743226656</v>
      </c>
      <c r="J321" s="129">
        <f t="shared" si="13"/>
        <v>2163.7410666666665</v>
      </c>
    </row>
    <row r="322" spans="1:10" hidden="1" x14ac:dyDescent="0.35">
      <c r="A322" s="126" t="s">
        <v>455</v>
      </c>
      <c r="B322" t="str">
        <f>_xlfn.XLOOKUP(A322,'[1]2050Pop'!$A$7:$A$143,'[1]2050Pop'!$D$7:$D$143)</f>
        <v>SSA</v>
      </c>
      <c r="C322" s="127">
        <f>1000*_xlfn.XLOOKUP(A322,'[1]2050Pop'!$A$7:$A$143,'[1]2050Pop'!$C$7:$C$143)</f>
        <v>21187</v>
      </c>
      <c r="D322" s="126" t="s">
        <v>486</v>
      </c>
      <c r="E322" s="128">
        <v>22.745000000000001</v>
      </c>
      <c r="F322" s="129">
        <f t="shared" si="14"/>
        <v>0.48189831500000002</v>
      </c>
      <c r="G322" t="str">
        <f>_xlfn.XLOOKUP(D322,'[1]2050 BAU Mapping to T &amp; C'!$A$3:$A$52,'[1]2050 BAU Mapping to T &amp; C'!$B$3:$B$52)</f>
        <v>Ruminant Meats</v>
      </c>
      <c r="H322" s="129">
        <f>_xlfn.XLOOKUP(G322,'[1]T&amp;C emissions for 2050 analysis'!$B$3:$B$23,'[1]T&amp;C emissions for 2050 analysis'!$C$3:$C$23)</f>
        <v>20.533333333333331</v>
      </c>
      <c r="I322" s="27">
        <f t="shared" si="12"/>
        <v>9.8949787346666653</v>
      </c>
      <c r="J322" s="129">
        <f t="shared" si="13"/>
        <v>467.03066666666666</v>
      </c>
    </row>
    <row r="323" spans="1:10" hidden="1" x14ac:dyDescent="0.35">
      <c r="A323" s="126" t="s">
        <v>456</v>
      </c>
      <c r="B323" t="str">
        <f>_xlfn.XLOOKUP(A323,'[1]2050Pop'!$A$7:$A$143,'[1]2050Pop'!$D$7:$D$143)</f>
        <v>MENA</v>
      </c>
      <c r="C323" s="127">
        <f>1000*_xlfn.XLOOKUP(A323,'[1]2050Pop'!$A$7:$A$143,'[1]2050Pop'!$C$7:$C$143)</f>
        <v>46059</v>
      </c>
      <c r="D323" s="126" t="s">
        <v>486</v>
      </c>
      <c r="E323" s="128">
        <v>37.438000000000002</v>
      </c>
      <c r="F323" s="129">
        <f t="shared" si="14"/>
        <v>1.7243568420000002</v>
      </c>
      <c r="G323" t="str">
        <f>_xlfn.XLOOKUP(D323,'[1]2050 BAU Mapping to T &amp; C'!$A$3:$A$52,'[1]2050 BAU Mapping to T &amp; C'!$B$3:$B$52)</f>
        <v>Ruminant Meats</v>
      </c>
      <c r="H323" s="129">
        <f>_xlfn.XLOOKUP(G323,'[1]T&amp;C emissions for 2050 analysis'!$B$3:$B$23,'[1]T&amp;C emissions for 2050 analysis'!$C$3:$C$23)</f>
        <v>20.533333333333331</v>
      </c>
      <c r="I323" s="27">
        <f t="shared" si="12"/>
        <v>35.406793822399997</v>
      </c>
      <c r="J323" s="129">
        <f t="shared" si="13"/>
        <v>768.72693333333336</v>
      </c>
    </row>
    <row r="324" spans="1:10" hidden="1" x14ac:dyDescent="0.35">
      <c r="A324" s="126" t="s">
        <v>457</v>
      </c>
      <c r="B324" t="str">
        <f>_xlfn.XLOOKUP(A324,'[1]2050Pop'!$A$7:$A$143,'[1]2050Pop'!$D$7:$D$143)</f>
        <v>SSA</v>
      </c>
      <c r="C324" s="127">
        <f>1000*_xlfn.XLOOKUP(A324,'[1]2050Pop'!$A$7:$A$143,'[1]2050Pop'!$C$7:$C$143)</f>
        <v>36223</v>
      </c>
      <c r="D324" s="126" t="s">
        <v>486</v>
      </c>
      <c r="E324" s="128">
        <v>48.728000000000002</v>
      </c>
      <c r="F324" s="129">
        <f t="shared" si="14"/>
        <v>1.7650743440000001</v>
      </c>
      <c r="G324" t="str">
        <f>_xlfn.XLOOKUP(D324,'[1]2050 BAU Mapping to T &amp; C'!$A$3:$A$52,'[1]2050 BAU Mapping to T &amp; C'!$B$3:$B$52)</f>
        <v>Ruminant Meats</v>
      </c>
      <c r="H324" s="129">
        <f>_xlfn.XLOOKUP(G324,'[1]T&amp;C emissions for 2050 analysis'!$B$3:$B$23,'[1]T&amp;C emissions for 2050 analysis'!$C$3:$C$23)</f>
        <v>20.533333333333331</v>
      </c>
      <c r="I324" s="27">
        <f t="shared" ref="I324:I387" si="15">F324*H324</f>
        <v>36.242859863466663</v>
      </c>
      <c r="J324" s="129">
        <f t="shared" ref="J324:J387" si="16">E324*H324</f>
        <v>1000.5482666666666</v>
      </c>
    </row>
    <row r="325" spans="1:10" hidden="1" x14ac:dyDescent="0.35">
      <c r="A325" s="126" t="s">
        <v>458</v>
      </c>
      <c r="B325" t="str">
        <f>_xlfn.XLOOKUP(A325,'[1]2050Pop'!$A$7:$A$143,'[1]2050Pop'!$D$7:$D$143)</f>
        <v>Euro/AU/NZ</v>
      </c>
      <c r="C325" s="127">
        <f>1000*_xlfn.XLOOKUP(A325,'[1]2050Pop'!$A$7:$A$143,'[1]2050Pop'!$C$7:$C$143)</f>
        <v>7331</v>
      </c>
      <c r="D325" s="126" t="s">
        <v>486</v>
      </c>
      <c r="E325" s="128">
        <v>51.264000000000003</v>
      </c>
      <c r="F325" s="129">
        <f t="shared" ref="F325:F388" si="17">C325*E325/1000000</f>
        <v>0.375816384</v>
      </c>
      <c r="G325" t="str">
        <f>_xlfn.XLOOKUP(D325,'[1]2050 BAU Mapping to T &amp; C'!$A$3:$A$52,'[1]2050 BAU Mapping to T &amp; C'!$B$3:$B$52)</f>
        <v>Ruminant Meats</v>
      </c>
      <c r="H325" s="129">
        <f>_xlfn.XLOOKUP(G325,'[1]T&amp;C emissions for 2050 analysis'!$B$3:$B$23,'[1]T&amp;C emissions for 2050 analysis'!$C$3:$C$23)</f>
        <v>20.533333333333331</v>
      </c>
      <c r="I325" s="27">
        <f t="shared" si="15"/>
        <v>7.7167630847999993</v>
      </c>
      <c r="J325" s="129">
        <f t="shared" si="16"/>
        <v>1052.6207999999999</v>
      </c>
    </row>
    <row r="326" spans="1:10" hidden="1" x14ac:dyDescent="0.35">
      <c r="A326" s="126" t="s">
        <v>492</v>
      </c>
      <c r="B326" t="str">
        <f>_xlfn.XLOOKUP(A326,'[1]2050Pop'!$A$7:$A$143,'[1]2050Pop'!$D$7:$D$143)</f>
        <v>SSA</v>
      </c>
      <c r="C326" s="127">
        <f>1000*_xlfn.XLOOKUP(A326,'[1]2050Pop'!$A$7:$A$143,'[1]2050Pop'!$C$7:$C$143)</f>
        <v>11392</v>
      </c>
      <c r="D326" s="126" t="s">
        <v>486</v>
      </c>
      <c r="E326" s="128">
        <v>19.274999999999999</v>
      </c>
      <c r="F326" s="129">
        <f t="shared" si="17"/>
        <v>0.21958079999999999</v>
      </c>
      <c r="G326" t="str">
        <f>_xlfn.XLOOKUP(D326,'[1]2050 BAU Mapping to T &amp; C'!$A$3:$A$52,'[1]2050 BAU Mapping to T &amp; C'!$B$3:$B$52)</f>
        <v>Ruminant Meats</v>
      </c>
      <c r="H326" s="129">
        <f>_xlfn.XLOOKUP(G326,'[1]T&amp;C emissions for 2050 analysis'!$B$3:$B$23,'[1]T&amp;C emissions for 2050 analysis'!$C$3:$C$23)</f>
        <v>20.533333333333331</v>
      </c>
      <c r="I326" s="27">
        <f t="shared" si="15"/>
        <v>4.508725759999999</v>
      </c>
      <c r="J326" s="129">
        <f t="shared" si="16"/>
        <v>395.77999999999992</v>
      </c>
    </row>
    <row r="327" spans="1:10" hidden="1" x14ac:dyDescent="0.35">
      <c r="A327" s="126" t="s">
        <v>459</v>
      </c>
      <c r="B327" t="str">
        <f>_xlfn.XLOOKUP(A327,'[1]2050Pop'!$A$7:$A$143,'[1]2050Pop'!$D$7:$D$143)</f>
        <v>Euro/AU/NZ</v>
      </c>
      <c r="C327" s="127">
        <f>1000*_xlfn.XLOOKUP(A327,'[1]2050Pop'!$A$7:$A$143,'[1]2050Pop'!$C$7:$C$143)</f>
        <v>4892</v>
      </c>
      <c r="D327" s="126" t="s">
        <v>486</v>
      </c>
      <c r="E327" s="128">
        <v>14.831</v>
      </c>
      <c r="F327" s="129">
        <f t="shared" si="17"/>
        <v>7.2553251999999999E-2</v>
      </c>
      <c r="G327" t="str">
        <f>_xlfn.XLOOKUP(D327,'[1]2050 BAU Mapping to T &amp; C'!$A$3:$A$52,'[1]2050 BAU Mapping to T &amp; C'!$B$3:$B$52)</f>
        <v>Ruminant Meats</v>
      </c>
      <c r="H327" s="129">
        <f>_xlfn.XLOOKUP(G327,'[1]T&amp;C emissions for 2050 analysis'!$B$3:$B$23,'[1]T&amp;C emissions for 2050 analysis'!$C$3:$C$23)</f>
        <v>20.533333333333331</v>
      </c>
      <c r="I327" s="27">
        <f t="shared" si="15"/>
        <v>1.4897601077333331</v>
      </c>
      <c r="J327" s="129">
        <f t="shared" si="16"/>
        <v>304.52986666666663</v>
      </c>
    </row>
    <row r="328" spans="1:10" hidden="1" x14ac:dyDescent="0.35">
      <c r="A328" s="126" t="s">
        <v>460</v>
      </c>
      <c r="B328" t="str">
        <f>_xlfn.XLOOKUP(A328,'[1]2050Pop'!$A$7:$A$143,'[1]2050Pop'!$D$7:$D$143)</f>
        <v>LatAm &amp; RSA</v>
      </c>
      <c r="C328" s="127">
        <f>1000*_xlfn.XLOOKUP(A328,'[1]2050Pop'!$A$7:$A$143,'[1]2050Pop'!$C$7:$C$143)</f>
        <v>65540</v>
      </c>
      <c r="D328" s="126" t="s">
        <v>486</v>
      </c>
      <c r="E328" s="128">
        <v>125.929</v>
      </c>
      <c r="F328" s="129">
        <f t="shared" si="17"/>
        <v>8.2533866600000003</v>
      </c>
      <c r="G328" t="str">
        <f>_xlfn.XLOOKUP(D328,'[1]2050 BAU Mapping to T &amp; C'!$A$3:$A$52,'[1]2050 BAU Mapping to T &amp; C'!$B$3:$B$52)</f>
        <v>Ruminant Meats</v>
      </c>
      <c r="H328" s="129">
        <f>_xlfn.XLOOKUP(G328,'[1]T&amp;C emissions for 2050 analysis'!$B$3:$B$23,'[1]T&amp;C emissions for 2050 analysis'!$C$3:$C$23)</f>
        <v>20.533333333333331</v>
      </c>
      <c r="I328" s="27">
        <f t="shared" si="15"/>
        <v>169.46953941866667</v>
      </c>
      <c r="J328" s="129">
        <f t="shared" si="16"/>
        <v>2585.7421333333332</v>
      </c>
    </row>
    <row r="329" spans="1:10" hidden="1" x14ac:dyDescent="0.35">
      <c r="A329" s="126" t="s">
        <v>461</v>
      </c>
      <c r="B329" t="str">
        <f>_xlfn.XLOOKUP(A329,'[1]2050Pop'!$A$7:$A$143,'[1]2050Pop'!$D$7:$D$143)</f>
        <v>Euro/AU/NZ</v>
      </c>
      <c r="C329" s="127">
        <f>1000*_xlfn.XLOOKUP(A329,'[1]2050Pop'!$A$7:$A$143,'[1]2050Pop'!$C$7:$C$143)</f>
        <v>44840</v>
      </c>
      <c r="D329" s="126" t="s">
        <v>486</v>
      </c>
      <c r="E329" s="128">
        <v>44.082999999999998</v>
      </c>
      <c r="F329" s="129">
        <f t="shared" si="17"/>
        <v>1.97668172</v>
      </c>
      <c r="G329" t="str">
        <f>_xlfn.XLOOKUP(D329,'[1]2050 BAU Mapping to T &amp; C'!$A$3:$A$52,'[1]2050 BAU Mapping to T &amp; C'!$B$3:$B$52)</f>
        <v>Ruminant Meats</v>
      </c>
      <c r="H329" s="129">
        <f>_xlfn.XLOOKUP(G329,'[1]T&amp;C emissions for 2050 analysis'!$B$3:$B$23,'[1]T&amp;C emissions for 2050 analysis'!$C$3:$C$23)</f>
        <v>20.533333333333331</v>
      </c>
      <c r="I329" s="27">
        <f t="shared" si="15"/>
        <v>40.58786465066666</v>
      </c>
      <c r="J329" s="129">
        <f t="shared" si="16"/>
        <v>905.17093333333321</v>
      </c>
    </row>
    <row r="330" spans="1:10" hidden="1" x14ac:dyDescent="0.35">
      <c r="A330" s="126" t="s">
        <v>493</v>
      </c>
      <c r="B330" t="str">
        <f>_xlfn.XLOOKUP(A330,'[1]2050Pop'!$A$7:$A$143,'[1]2050Pop'!$D$7:$D$143)</f>
        <v>India/South Asia</v>
      </c>
      <c r="C330" s="127">
        <f>1000*_xlfn.XLOOKUP(A330,'[1]2050Pop'!$A$7:$A$143,'[1]2050Pop'!$C$7:$C$143)</f>
        <v>20836</v>
      </c>
      <c r="D330" s="126" t="s">
        <v>486</v>
      </c>
      <c r="E330" s="128">
        <v>9.5739999999999998</v>
      </c>
      <c r="F330" s="129">
        <f t="shared" si="17"/>
        <v>0.19948386400000001</v>
      </c>
      <c r="G330" t="str">
        <f>_xlfn.XLOOKUP(D330,'[1]2050 BAU Mapping to T &amp; C'!$A$3:$A$52,'[1]2050 BAU Mapping to T &amp; C'!$B$3:$B$52)</f>
        <v>Ruminant Meats</v>
      </c>
      <c r="H330" s="129">
        <f>_xlfn.XLOOKUP(G330,'[1]T&amp;C emissions for 2050 analysis'!$B$3:$B$23,'[1]T&amp;C emissions for 2050 analysis'!$C$3:$C$23)</f>
        <v>20.533333333333331</v>
      </c>
      <c r="I330" s="27">
        <f t="shared" si="15"/>
        <v>4.096068674133333</v>
      </c>
      <c r="J330" s="129">
        <f t="shared" si="16"/>
        <v>196.58613333333332</v>
      </c>
    </row>
    <row r="331" spans="1:10" hidden="1" x14ac:dyDescent="0.35">
      <c r="A331" s="126" t="s">
        <v>462</v>
      </c>
      <c r="B331" t="str">
        <f>_xlfn.XLOOKUP(A331,'[1]2050Pop'!$A$7:$A$143,'[1]2050Pop'!$D$7:$D$143)</f>
        <v>LatAm &amp; RSA</v>
      </c>
      <c r="C331" s="127">
        <f>1000*_xlfn.XLOOKUP(A331,'[1]2050Pop'!$A$7:$A$143,'[1]2050Pop'!$C$7:$C$143)</f>
        <v>624</v>
      </c>
      <c r="D331" s="126" t="s">
        <v>486</v>
      </c>
      <c r="E331" s="128">
        <v>45.378999999999998</v>
      </c>
      <c r="F331" s="129">
        <f t="shared" si="17"/>
        <v>2.8316496E-2</v>
      </c>
      <c r="G331" t="str">
        <f>_xlfn.XLOOKUP(D331,'[1]2050 BAU Mapping to T &amp; C'!$A$3:$A$52,'[1]2050 BAU Mapping to T &amp; C'!$B$3:$B$52)</f>
        <v>Ruminant Meats</v>
      </c>
      <c r="H331" s="129">
        <f>_xlfn.XLOOKUP(G331,'[1]T&amp;C emissions for 2050 analysis'!$B$3:$B$23,'[1]T&amp;C emissions for 2050 analysis'!$C$3:$C$23)</f>
        <v>20.533333333333331</v>
      </c>
      <c r="I331" s="27">
        <f t="shared" si="15"/>
        <v>0.58143205119999997</v>
      </c>
      <c r="J331" s="129">
        <f t="shared" si="16"/>
        <v>931.78213333333315</v>
      </c>
    </row>
    <row r="332" spans="1:10" hidden="1" x14ac:dyDescent="0.35">
      <c r="A332" s="126" t="s">
        <v>463</v>
      </c>
      <c r="B332" t="str">
        <f>_xlfn.XLOOKUP(A332,'[1]2050Pop'!$A$7:$A$143,'[1]2050Pop'!$D$7:$D$143)</f>
        <v>SSA</v>
      </c>
      <c r="C332" s="127">
        <f>1000*_xlfn.XLOOKUP(A332,'[1]2050Pop'!$A$7:$A$143,'[1]2050Pop'!$C$7:$C$143)</f>
        <v>1792</v>
      </c>
      <c r="D332" s="126" t="s">
        <v>486</v>
      </c>
      <c r="E332" s="128">
        <v>88.697000000000003</v>
      </c>
      <c r="F332" s="129">
        <f t="shared" si="17"/>
        <v>0.15894502400000002</v>
      </c>
      <c r="G332" t="str">
        <f>_xlfn.XLOOKUP(D332,'[1]2050 BAU Mapping to T &amp; C'!$A$3:$A$52,'[1]2050 BAU Mapping to T &amp; C'!$B$3:$B$52)</f>
        <v>Ruminant Meats</v>
      </c>
      <c r="H332" s="129">
        <f>_xlfn.XLOOKUP(G332,'[1]T&amp;C emissions for 2050 analysis'!$B$3:$B$23,'[1]T&amp;C emissions for 2050 analysis'!$C$3:$C$23)</f>
        <v>20.533333333333331</v>
      </c>
      <c r="I332" s="27">
        <f t="shared" si="15"/>
        <v>3.2636711594666665</v>
      </c>
      <c r="J332" s="129">
        <f t="shared" si="16"/>
        <v>1821.2450666666666</v>
      </c>
    </row>
    <row r="333" spans="1:10" hidden="1" x14ac:dyDescent="0.35">
      <c r="A333" s="126" t="s">
        <v>464</v>
      </c>
      <c r="B333" t="str">
        <f>_xlfn.XLOOKUP(A333,'[1]2050Pop'!$A$7:$A$143,'[1]2050Pop'!$D$7:$D$143)</f>
        <v>Euro/AU/NZ</v>
      </c>
      <c r="C333" s="127">
        <f>1000*_xlfn.XLOOKUP(A333,'[1]2050Pop'!$A$7:$A$143,'[1]2050Pop'!$C$7:$C$143)</f>
        <v>11881</v>
      </c>
      <c r="D333" s="126" t="s">
        <v>486</v>
      </c>
      <c r="E333" s="131">
        <v>85.8</v>
      </c>
      <c r="F333" s="129">
        <f t="shared" si="17"/>
        <v>1.0193897999999999</v>
      </c>
      <c r="G333" t="str">
        <f>_xlfn.XLOOKUP(D333,'[1]2050 BAU Mapping to T &amp; C'!$A$3:$A$52,'[1]2050 BAU Mapping to T &amp; C'!$B$3:$B$52)</f>
        <v>Ruminant Meats</v>
      </c>
      <c r="H333" s="129">
        <f>_xlfn.XLOOKUP(G333,'[1]T&amp;C emissions for 2050 analysis'!$B$3:$B$23,'[1]T&amp;C emissions for 2050 analysis'!$C$3:$C$23)</f>
        <v>20.533333333333331</v>
      </c>
      <c r="I333" s="27">
        <f t="shared" si="15"/>
        <v>20.931470559999998</v>
      </c>
      <c r="J333" s="129">
        <f t="shared" si="16"/>
        <v>1761.7599999999998</v>
      </c>
    </row>
    <row r="334" spans="1:10" hidden="1" x14ac:dyDescent="0.35">
      <c r="A334" s="126" t="s">
        <v>483</v>
      </c>
      <c r="B334" t="str">
        <f>_xlfn.XLOOKUP(A334,'[1]2050Pop'!$A$7:$A$143,'[1]2050Pop'!$D$7:$D$143)</f>
        <v>APAC</v>
      </c>
      <c r="C334" s="127">
        <f>1000*_xlfn.XLOOKUP(A334,'[1]2050Pop'!$A$7:$A$143,'[1]2050Pop'!$C$7:$C$143)</f>
        <v>14288</v>
      </c>
      <c r="D334" s="126" t="s">
        <v>486</v>
      </c>
      <c r="E334" s="128">
        <v>34.832999999999998</v>
      </c>
      <c r="F334" s="129">
        <f t="shared" si="17"/>
        <v>0.49769390399999996</v>
      </c>
      <c r="G334" t="str">
        <f>_xlfn.XLOOKUP(D334,'[1]2050 BAU Mapping to T &amp; C'!$A$3:$A$52,'[1]2050 BAU Mapping to T &amp; C'!$B$3:$B$52)</f>
        <v>Ruminant Meats</v>
      </c>
      <c r="H334" s="129">
        <f>_xlfn.XLOOKUP(G334,'[1]T&amp;C emissions for 2050 analysis'!$B$3:$B$23,'[1]T&amp;C emissions for 2050 analysis'!$C$3:$C$23)</f>
        <v>20.533333333333331</v>
      </c>
      <c r="I334" s="27">
        <f t="shared" si="15"/>
        <v>10.219314828799998</v>
      </c>
      <c r="J334" s="129">
        <f t="shared" si="16"/>
        <v>715.23759999999993</v>
      </c>
    </row>
    <row r="335" spans="1:10" hidden="1" x14ac:dyDescent="0.35">
      <c r="A335" s="126" t="s">
        <v>465</v>
      </c>
      <c r="B335" t="str">
        <f>_xlfn.XLOOKUP(A335,'[1]2050Pop'!$A$7:$A$143,'[1]2050Pop'!$D$7:$D$143)</f>
        <v>APAC</v>
      </c>
      <c r="C335" s="127">
        <f>1000*_xlfn.XLOOKUP(A335,'[1]2050Pop'!$A$7:$A$143,'[1]2050Pop'!$C$7:$C$143)</f>
        <v>62452</v>
      </c>
      <c r="D335" s="126" t="s">
        <v>486</v>
      </c>
      <c r="E335" s="128">
        <v>14.048</v>
      </c>
      <c r="F335" s="129">
        <f t="shared" si="17"/>
        <v>0.87732569599999999</v>
      </c>
      <c r="G335" t="str">
        <f>_xlfn.XLOOKUP(D335,'[1]2050 BAU Mapping to T &amp; C'!$A$3:$A$52,'[1]2050 BAU Mapping to T &amp; C'!$B$3:$B$52)</f>
        <v>Ruminant Meats</v>
      </c>
      <c r="H335" s="129">
        <f>_xlfn.XLOOKUP(G335,'[1]T&amp;C emissions for 2050 analysis'!$B$3:$B$23,'[1]T&amp;C emissions for 2050 analysis'!$C$3:$C$23)</f>
        <v>20.533333333333331</v>
      </c>
      <c r="I335" s="27">
        <f t="shared" si="15"/>
        <v>18.014420957866665</v>
      </c>
      <c r="J335" s="129">
        <f t="shared" si="16"/>
        <v>288.45226666666662</v>
      </c>
    </row>
    <row r="336" spans="1:10" hidden="1" x14ac:dyDescent="0.35">
      <c r="A336" s="126" t="s">
        <v>466</v>
      </c>
      <c r="B336" t="str">
        <f>_xlfn.XLOOKUP(A336,'[1]2050Pop'!$A$7:$A$143,'[1]2050Pop'!$D$7:$D$143)</f>
        <v>SSA</v>
      </c>
      <c r="C336" s="127">
        <f>1000*_xlfn.XLOOKUP(A336,'[1]2050Pop'!$A$7:$A$143,'[1]2050Pop'!$C$7:$C$143)</f>
        <v>15681</v>
      </c>
      <c r="D336" s="126" t="s">
        <v>486</v>
      </c>
      <c r="E336" s="128">
        <v>13.417</v>
      </c>
      <c r="F336" s="129">
        <f t="shared" si="17"/>
        <v>0.21039197699999998</v>
      </c>
      <c r="G336" t="str">
        <f>_xlfn.XLOOKUP(D336,'[1]2050 BAU Mapping to T &amp; C'!$A$3:$A$52,'[1]2050 BAU Mapping to T &amp; C'!$B$3:$B$52)</f>
        <v>Ruminant Meats</v>
      </c>
      <c r="H336" s="129">
        <f>_xlfn.XLOOKUP(G336,'[1]T&amp;C emissions for 2050 analysis'!$B$3:$B$23,'[1]T&amp;C emissions for 2050 analysis'!$C$3:$C$23)</f>
        <v>20.533333333333331</v>
      </c>
      <c r="I336" s="27">
        <f t="shared" si="15"/>
        <v>4.3200485943999993</v>
      </c>
      <c r="J336" s="129">
        <f t="shared" si="16"/>
        <v>275.49573333333331</v>
      </c>
    </row>
    <row r="337" spans="1:10" hidden="1" x14ac:dyDescent="0.35">
      <c r="A337" s="126" t="s">
        <v>467</v>
      </c>
      <c r="B337" t="str">
        <f>_xlfn.XLOOKUP(A337,'[1]2050Pop'!$A$7:$A$143,'[1]2050Pop'!$D$7:$D$143)</f>
        <v>LatAm &amp; RSA</v>
      </c>
      <c r="C337" s="127">
        <f>1000*_xlfn.XLOOKUP(A337,'[1]2050Pop'!$A$7:$A$143,'[1]2050Pop'!$C$7:$C$143)</f>
        <v>1291</v>
      </c>
      <c r="D337" s="126" t="s">
        <v>486</v>
      </c>
      <c r="E337" s="128">
        <v>25.745000000000001</v>
      </c>
      <c r="F337" s="129">
        <f t="shared" si="17"/>
        <v>3.3236795E-2</v>
      </c>
      <c r="G337" t="str">
        <f>_xlfn.XLOOKUP(D337,'[1]2050 BAU Mapping to T &amp; C'!$A$3:$A$52,'[1]2050 BAU Mapping to T &amp; C'!$B$3:$B$52)</f>
        <v>Ruminant Meats</v>
      </c>
      <c r="H337" s="129">
        <f>_xlfn.XLOOKUP(G337,'[1]T&amp;C emissions for 2050 analysis'!$B$3:$B$23,'[1]T&amp;C emissions for 2050 analysis'!$C$3:$C$23)</f>
        <v>20.533333333333331</v>
      </c>
      <c r="I337" s="27">
        <f t="shared" si="15"/>
        <v>0.68246219066666658</v>
      </c>
      <c r="J337" s="129">
        <f t="shared" si="16"/>
        <v>528.63066666666668</v>
      </c>
    </row>
    <row r="338" spans="1:10" hidden="1" x14ac:dyDescent="0.35">
      <c r="A338" s="126" t="s">
        <v>468</v>
      </c>
      <c r="B338" t="str">
        <f>_xlfn.XLOOKUP(A338,'[1]2050Pop'!$A$7:$A$143,'[1]2050Pop'!$D$7:$D$143)</f>
        <v>MENA</v>
      </c>
      <c r="C338" s="127">
        <f>1000*_xlfn.XLOOKUP(A338,'[1]2050Pop'!$A$7:$A$143,'[1]2050Pop'!$C$7:$C$143)</f>
        <v>13476</v>
      </c>
      <c r="D338" s="126" t="s">
        <v>486</v>
      </c>
      <c r="E338" s="128">
        <v>35.561999999999998</v>
      </c>
      <c r="F338" s="129">
        <f t="shared" si="17"/>
        <v>0.47923351199999997</v>
      </c>
      <c r="G338" t="str">
        <f>_xlfn.XLOOKUP(D338,'[1]2050 BAU Mapping to T &amp; C'!$A$3:$A$52,'[1]2050 BAU Mapping to T &amp; C'!$B$3:$B$52)</f>
        <v>Ruminant Meats</v>
      </c>
      <c r="H338" s="129">
        <f>_xlfn.XLOOKUP(G338,'[1]T&amp;C emissions for 2050 analysis'!$B$3:$B$23,'[1]T&amp;C emissions for 2050 analysis'!$C$3:$C$23)</f>
        <v>20.533333333333331</v>
      </c>
      <c r="I338" s="27">
        <f t="shared" si="15"/>
        <v>9.8402614463999978</v>
      </c>
      <c r="J338" s="129">
        <f t="shared" si="16"/>
        <v>730.20639999999992</v>
      </c>
    </row>
    <row r="339" spans="1:10" hidden="1" x14ac:dyDescent="0.35">
      <c r="A339" s="126" t="s">
        <v>469</v>
      </c>
      <c r="B339" t="str">
        <f>_xlfn.XLOOKUP(A339,'[1]2050Pop'!$A$7:$A$143,'[1]2050Pop'!$D$7:$D$143)</f>
        <v>MENA</v>
      </c>
      <c r="C339" s="127">
        <f>1000*_xlfn.XLOOKUP(A339,'[1]2050Pop'!$A$7:$A$143,'[1]2050Pop'!$C$7:$C$143)</f>
        <v>95819</v>
      </c>
      <c r="D339" s="126" t="s">
        <v>486</v>
      </c>
      <c r="E339" s="128">
        <v>40.871000000000002</v>
      </c>
      <c r="F339" s="129">
        <f t="shared" si="17"/>
        <v>3.9162183490000002</v>
      </c>
      <c r="G339" t="str">
        <f>_xlfn.XLOOKUP(D339,'[1]2050 BAU Mapping to T &amp; C'!$A$3:$A$52,'[1]2050 BAU Mapping to T &amp; C'!$B$3:$B$52)</f>
        <v>Ruminant Meats</v>
      </c>
      <c r="H339" s="129">
        <f>_xlfn.XLOOKUP(G339,'[1]T&amp;C emissions for 2050 analysis'!$B$3:$B$23,'[1]T&amp;C emissions for 2050 analysis'!$C$3:$C$23)</f>
        <v>20.533333333333331</v>
      </c>
      <c r="I339" s="27">
        <f t="shared" si="15"/>
        <v>80.413016766133325</v>
      </c>
      <c r="J339" s="129">
        <f t="shared" si="16"/>
        <v>839.21786666666662</v>
      </c>
    </row>
    <row r="340" spans="1:10" hidden="1" x14ac:dyDescent="0.35">
      <c r="A340" s="126" t="s">
        <v>484</v>
      </c>
      <c r="B340" t="str">
        <f>_xlfn.XLOOKUP(A340,'[1]2050Pop'!$A$7:$A$143,'[1]2050Pop'!$D$7:$D$143)</f>
        <v>APAC</v>
      </c>
      <c r="C340" s="127">
        <f>1000*_xlfn.XLOOKUP(A340,'[1]2050Pop'!$A$7:$A$143,'[1]2050Pop'!$C$7:$C$143)</f>
        <v>6555</v>
      </c>
      <c r="D340" s="126" t="s">
        <v>486</v>
      </c>
      <c r="E340" s="128">
        <v>215.173</v>
      </c>
      <c r="F340" s="129">
        <f t="shared" si="17"/>
        <v>1.4104590149999998</v>
      </c>
      <c r="G340" t="str">
        <f>_xlfn.XLOOKUP(D340,'[1]2050 BAU Mapping to T &amp; C'!$A$3:$A$52,'[1]2050 BAU Mapping to T &amp; C'!$B$3:$B$52)</f>
        <v>Ruminant Meats</v>
      </c>
      <c r="H340" s="129">
        <f>_xlfn.XLOOKUP(G340,'[1]T&amp;C emissions for 2050 analysis'!$B$3:$B$23,'[1]T&amp;C emissions for 2050 analysis'!$C$3:$C$23)</f>
        <v>20.533333333333331</v>
      </c>
      <c r="I340" s="27">
        <f t="shared" si="15"/>
        <v>28.961425107999993</v>
      </c>
      <c r="J340" s="129">
        <f t="shared" si="16"/>
        <v>4418.2189333333326</v>
      </c>
    </row>
    <row r="341" spans="1:10" hidden="1" x14ac:dyDescent="0.35">
      <c r="A341" s="126" t="s">
        <v>470</v>
      </c>
      <c r="B341" t="str">
        <f>_xlfn.XLOOKUP(A341,'[1]2050Pop'!$A$7:$A$143,'[1]2050Pop'!$D$7:$D$143)</f>
        <v>SSA</v>
      </c>
      <c r="C341" s="127">
        <f>1000*_xlfn.XLOOKUP(A341,'[1]2050Pop'!$A$7:$A$143,'[1]2050Pop'!$C$7:$C$143)</f>
        <v>101873</v>
      </c>
      <c r="D341" s="126" t="s">
        <v>486</v>
      </c>
      <c r="E341" s="130">
        <v>47.19</v>
      </c>
      <c r="F341" s="129">
        <f t="shared" si="17"/>
        <v>4.8073868700000002</v>
      </c>
      <c r="G341" t="str">
        <f>_xlfn.XLOOKUP(D341,'[1]2050 BAU Mapping to T &amp; C'!$A$3:$A$52,'[1]2050 BAU Mapping to T &amp; C'!$B$3:$B$52)</f>
        <v>Ruminant Meats</v>
      </c>
      <c r="H341" s="129">
        <f>_xlfn.XLOOKUP(G341,'[1]T&amp;C emissions for 2050 analysis'!$B$3:$B$23,'[1]T&amp;C emissions for 2050 analysis'!$C$3:$C$23)</f>
        <v>20.533333333333331</v>
      </c>
      <c r="I341" s="27">
        <f t="shared" si="15"/>
        <v>98.711677064</v>
      </c>
      <c r="J341" s="129">
        <f t="shared" si="16"/>
        <v>968.96799999999985</v>
      </c>
    </row>
    <row r="342" spans="1:10" hidden="1" x14ac:dyDescent="0.35">
      <c r="A342" s="126" t="s">
        <v>471</v>
      </c>
      <c r="B342" t="str">
        <f>_xlfn.XLOOKUP(A342,'[1]2050Pop'!$A$7:$A$143,'[1]2050Pop'!$D$7:$D$143)</f>
        <v>Euro/AU/NZ</v>
      </c>
      <c r="C342" s="127">
        <f>1000*_xlfn.XLOOKUP(A342,'[1]2050Pop'!$A$7:$A$143,'[1]2050Pop'!$C$7:$C$143)</f>
        <v>35117</v>
      </c>
      <c r="D342" s="126" t="s">
        <v>486</v>
      </c>
      <c r="E342" s="128">
        <v>63.124000000000002</v>
      </c>
      <c r="F342" s="129">
        <f t="shared" si="17"/>
        <v>2.2167255080000001</v>
      </c>
      <c r="G342" t="str">
        <f>_xlfn.XLOOKUP(D342,'[1]2050 BAU Mapping to T &amp; C'!$A$3:$A$52,'[1]2050 BAU Mapping to T &amp; C'!$B$3:$B$52)</f>
        <v>Ruminant Meats</v>
      </c>
      <c r="H342" s="129">
        <f>_xlfn.XLOOKUP(G342,'[1]T&amp;C emissions for 2050 analysis'!$B$3:$B$23,'[1]T&amp;C emissions for 2050 analysis'!$C$3:$C$23)</f>
        <v>20.533333333333331</v>
      </c>
      <c r="I342" s="27">
        <f t="shared" si="15"/>
        <v>45.516763764266663</v>
      </c>
      <c r="J342" s="129">
        <f t="shared" si="16"/>
        <v>1296.1461333333332</v>
      </c>
    </row>
    <row r="343" spans="1:10" hidden="1" x14ac:dyDescent="0.35">
      <c r="A343" s="126" t="s">
        <v>472</v>
      </c>
      <c r="B343" t="str">
        <f>_xlfn.XLOOKUP(A343,'[1]2050Pop'!$A$7:$A$143,'[1]2050Pop'!$D$7:$D$143)</f>
        <v>Euro/AU/NZ</v>
      </c>
      <c r="C343" s="127">
        <f>1000*_xlfn.XLOOKUP(A343,'[1]2050Pop'!$A$7:$A$143,'[1]2050Pop'!$C$7:$C$143)</f>
        <v>75361</v>
      </c>
      <c r="D343" s="126" t="s">
        <v>486</v>
      </c>
      <c r="E343" s="128">
        <v>58.375999999999998</v>
      </c>
      <c r="F343" s="129">
        <f t="shared" si="17"/>
        <v>4.3992737359999996</v>
      </c>
      <c r="G343" t="str">
        <f>_xlfn.XLOOKUP(D343,'[1]2050 BAU Mapping to T &amp; C'!$A$3:$A$52,'[1]2050 BAU Mapping to T &amp; C'!$B$3:$B$52)</f>
        <v>Ruminant Meats</v>
      </c>
      <c r="H343" s="129">
        <f>_xlfn.XLOOKUP(G343,'[1]T&amp;C emissions for 2050 analysis'!$B$3:$B$23,'[1]T&amp;C emissions for 2050 analysis'!$C$3:$C$23)</f>
        <v>20.533333333333331</v>
      </c>
      <c r="I343" s="27">
        <f t="shared" si="15"/>
        <v>90.331754045866646</v>
      </c>
      <c r="J343" s="129">
        <f t="shared" si="16"/>
        <v>1198.6538666666665</v>
      </c>
    </row>
    <row r="344" spans="1:10" hidden="1" x14ac:dyDescent="0.35">
      <c r="A344" s="126" t="s">
        <v>473</v>
      </c>
      <c r="B344" t="str">
        <f>_xlfn.XLOOKUP(A344,'[1]2050Pop'!$A$7:$A$143,'[1]2050Pop'!$D$7:$D$143)</f>
        <v>SSA</v>
      </c>
      <c r="C344" s="127">
        <f>1000*_xlfn.XLOOKUP(A344,'[1]2050Pop'!$A$7:$A$143,'[1]2050Pop'!$C$7:$C$143)</f>
        <v>137136</v>
      </c>
      <c r="D344" s="126" t="s">
        <v>486</v>
      </c>
      <c r="E344" s="128">
        <v>54.445999999999998</v>
      </c>
      <c r="F344" s="129">
        <f t="shared" si="17"/>
        <v>7.4665066559999991</v>
      </c>
      <c r="G344" t="str">
        <f>_xlfn.XLOOKUP(D344,'[1]2050 BAU Mapping to T &amp; C'!$A$3:$A$52,'[1]2050 BAU Mapping to T &amp; C'!$B$3:$B$52)</f>
        <v>Ruminant Meats</v>
      </c>
      <c r="H344" s="129">
        <f>_xlfn.XLOOKUP(G344,'[1]T&amp;C emissions for 2050 analysis'!$B$3:$B$23,'[1]T&amp;C emissions for 2050 analysis'!$C$3:$C$23)</f>
        <v>20.533333333333331</v>
      </c>
      <c r="I344" s="27">
        <f t="shared" si="15"/>
        <v>153.31227000319996</v>
      </c>
      <c r="J344" s="129">
        <f t="shared" si="16"/>
        <v>1117.9578666666666</v>
      </c>
    </row>
    <row r="345" spans="1:10" hidden="1" x14ac:dyDescent="0.35">
      <c r="A345" s="126" t="s">
        <v>474</v>
      </c>
      <c r="B345" t="str">
        <f>_xlfn.XLOOKUP(A345,'[1]2050Pop'!$A$7:$A$143,'[1]2050Pop'!$D$7:$D$143)</f>
        <v>NAm</v>
      </c>
      <c r="C345" s="127">
        <f>1000*_xlfn.XLOOKUP(A345,'[1]2050Pop'!$A$7:$A$143,'[1]2050Pop'!$C$7:$C$143)</f>
        <v>388865</v>
      </c>
      <c r="D345" s="126" t="s">
        <v>486</v>
      </c>
      <c r="E345" s="128">
        <v>105.836</v>
      </c>
      <c r="F345" s="129">
        <f t="shared" si="17"/>
        <v>41.155916140000002</v>
      </c>
      <c r="G345" t="str">
        <f>_xlfn.XLOOKUP(D345,'[1]2050 BAU Mapping to T &amp; C'!$A$3:$A$52,'[1]2050 BAU Mapping to T &amp; C'!$B$3:$B$52)</f>
        <v>Ruminant Meats</v>
      </c>
      <c r="H345" s="129">
        <f>_xlfn.XLOOKUP(G345,'[1]T&amp;C emissions for 2050 analysis'!$B$3:$B$23,'[1]T&amp;C emissions for 2050 analysis'!$C$3:$C$23)</f>
        <v>20.533333333333331</v>
      </c>
      <c r="I345" s="27">
        <f t="shared" si="15"/>
        <v>845.0681447413333</v>
      </c>
      <c r="J345" s="129">
        <f t="shared" si="16"/>
        <v>2173.1658666666663</v>
      </c>
    </row>
    <row r="346" spans="1:10" hidden="1" x14ac:dyDescent="0.35">
      <c r="A346" s="126" t="s">
        <v>475</v>
      </c>
      <c r="B346" t="str">
        <f>_xlfn.XLOOKUP(A346,'[1]2050Pop'!$A$7:$A$143,'[1]2050Pop'!$D$7:$D$143)</f>
        <v>LatAm &amp; RSA</v>
      </c>
      <c r="C346" s="127">
        <f>1000*_xlfn.XLOOKUP(A346,'[1]2050Pop'!$A$7:$A$143,'[1]2050Pop'!$C$7:$C$143)</f>
        <v>3667</v>
      </c>
      <c r="D346" s="126" t="s">
        <v>486</v>
      </c>
      <c r="E346" s="128">
        <v>139.39699999999999</v>
      </c>
      <c r="F346" s="129">
        <f t="shared" si="17"/>
        <v>0.5111687989999999</v>
      </c>
      <c r="G346" t="str">
        <f>_xlfn.XLOOKUP(D346,'[1]2050 BAU Mapping to T &amp; C'!$A$3:$A$52,'[1]2050 BAU Mapping to T &amp; C'!$B$3:$B$52)</f>
        <v>Ruminant Meats</v>
      </c>
      <c r="H346" s="129">
        <f>_xlfn.XLOOKUP(G346,'[1]T&amp;C emissions for 2050 analysis'!$B$3:$B$23,'[1]T&amp;C emissions for 2050 analysis'!$C$3:$C$23)</f>
        <v>20.533333333333331</v>
      </c>
      <c r="I346" s="27">
        <f t="shared" si="15"/>
        <v>10.495999339466664</v>
      </c>
      <c r="J346" s="129">
        <f t="shared" si="16"/>
        <v>2862.2850666666664</v>
      </c>
    </row>
    <row r="347" spans="1:10" hidden="1" x14ac:dyDescent="0.35">
      <c r="A347" s="126" t="s">
        <v>485</v>
      </c>
      <c r="B347" t="str">
        <f>_xlfn.XLOOKUP(A347,'[1]2050Pop'!$A$7:$A$143,'[1]2050Pop'!$D$7:$D$143)</f>
        <v>APAC</v>
      </c>
      <c r="C347" s="127">
        <f>1000*_xlfn.XLOOKUP(A347,'[1]2050Pop'!$A$7:$A$143,'[1]2050Pop'!$C$7:$C$143)</f>
        <v>37126</v>
      </c>
      <c r="D347" s="126" t="s">
        <v>486</v>
      </c>
      <c r="E347" s="128">
        <v>222.02699999999999</v>
      </c>
      <c r="F347" s="129">
        <f t="shared" si="17"/>
        <v>8.2429744019999998</v>
      </c>
      <c r="G347" t="str">
        <f>_xlfn.XLOOKUP(D347,'[1]2050 BAU Mapping to T &amp; C'!$A$3:$A$52,'[1]2050 BAU Mapping to T &amp; C'!$B$3:$B$52)</f>
        <v>Ruminant Meats</v>
      </c>
      <c r="H347" s="129">
        <f>_xlfn.XLOOKUP(G347,'[1]T&amp;C emissions for 2050 analysis'!$B$3:$B$23,'[1]T&amp;C emissions for 2050 analysis'!$C$3:$C$23)</f>
        <v>20.533333333333331</v>
      </c>
      <c r="I347" s="27">
        <f t="shared" si="15"/>
        <v>169.25574105439998</v>
      </c>
      <c r="J347" s="129">
        <f t="shared" si="16"/>
        <v>4558.9543999999996</v>
      </c>
    </row>
    <row r="348" spans="1:10" hidden="1" x14ac:dyDescent="0.35">
      <c r="A348" s="126" t="s">
        <v>476</v>
      </c>
      <c r="B348" t="str">
        <f>_xlfn.XLOOKUP(A348,'[1]2050Pop'!$A$7:$A$143,'[1]2050Pop'!$D$7:$D$143)</f>
        <v>LatAm &amp; RSA</v>
      </c>
      <c r="C348" s="127">
        <f>1000*_xlfn.XLOOKUP(A348,'[1]2050Pop'!$A$7:$A$143,'[1]2050Pop'!$C$7:$C$143)</f>
        <v>41562</v>
      </c>
      <c r="D348" s="126" t="s">
        <v>486</v>
      </c>
      <c r="E348" s="128">
        <v>82.075000000000003</v>
      </c>
      <c r="F348" s="129">
        <f t="shared" si="17"/>
        <v>3.4112011500000001</v>
      </c>
      <c r="G348" t="str">
        <f>_xlfn.XLOOKUP(D348,'[1]2050 BAU Mapping to T &amp; C'!$A$3:$A$52,'[1]2050 BAU Mapping to T &amp; C'!$B$3:$B$52)</f>
        <v>Ruminant Meats</v>
      </c>
      <c r="H348" s="129">
        <f>_xlfn.XLOOKUP(G348,'[1]T&amp;C emissions for 2050 analysis'!$B$3:$B$23,'[1]T&amp;C emissions for 2050 analysis'!$C$3:$C$23)</f>
        <v>20.533333333333331</v>
      </c>
      <c r="I348" s="27">
        <f t="shared" si="15"/>
        <v>70.043330279999992</v>
      </c>
      <c r="J348" s="129">
        <f t="shared" si="16"/>
        <v>1685.2733333333333</v>
      </c>
    </row>
    <row r="349" spans="1:10" hidden="1" x14ac:dyDescent="0.35">
      <c r="A349" s="126" t="s">
        <v>477</v>
      </c>
      <c r="B349" t="str">
        <f>_xlfn.XLOOKUP(A349,'[1]2050Pop'!$A$7:$A$143,'[1]2050Pop'!$D$7:$D$143)</f>
        <v>APAC</v>
      </c>
      <c r="C349" s="127">
        <f>1000*_xlfn.XLOOKUP(A349,'[1]2050Pop'!$A$7:$A$143,'[1]2050Pop'!$C$7:$C$143)</f>
        <v>112783</v>
      </c>
      <c r="D349" s="126" t="s">
        <v>486</v>
      </c>
      <c r="E349" s="128">
        <v>38.241999999999997</v>
      </c>
      <c r="F349" s="129">
        <f t="shared" si="17"/>
        <v>4.3130474859999994</v>
      </c>
      <c r="G349" t="str">
        <f>_xlfn.XLOOKUP(D349,'[1]2050 BAU Mapping to T &amp; C'!$A$3:$A$52,'[1]2050 BAU Mapping to T &amp; C'!$B$3:$B$52)</f>
        <v>Ruminant Meats</v>
      </c>
      <c r="H349" s="129">
        <f>_xlfn.XLOOKUP(G349,'[1]T&amp;C emissions for 2050 analysis'!$B$3:$B$23,'[1]T&amp;C emissions for 2050 analysis'!$C$3:$C$23)</f>
        <v>20.533333333333331</v>
      </c>
      <c r="I349" s="27">
        <f t="shared" si="15"/>
        <v>88.561241712533317</v>
      </c>
      <c r="J349" s="129">
        <f t="shared" si="16"/>
        <v>785.2357333333332</v>
      </c>
    </row>
    <row r="350" spans="1:10" hidden="1" x14ac:dyDescent="0.35">
      <c r="A350" s="126" t="s">
        <v>478</v>
      </c>
      <c r="B350" t="str">
        <f>_xlfn.XLOOKUP(A350,'[1]2050Pop'!$A$7:$A$143,'[1]2050Pop'!$D$7:$D$143)</f>
        <v>MENA</v>
      </c>
      <c r="C350" s="127">
        <f>1000*_xlfn.XLOOKUP(A350,'[1]2050Pop'!$A$7:$A$143,'[1]2050Pop'!$C$7:$C$143)</f>
        <v>47170</v>
      </c>
      <c r="D350" s="126" t="s">
        <v>486</v>
      </c>
      <c r="E350" s="128">
        <v>44.515000000000001</v>
      </c>
      <c r="F350" s="129">
        <f t="shared" si="17"/>
        <v>2.09977255</v>
      </c>
      <c r="G350" t="str">
        <f>_xlfn.XLOOKUP(D350,'[1]2050 BAU Mapping to T &amp; C'!$A$3:$A$52,'[1]2050 BAU Mapping to T &amp; C'!$B$3:$B$52)</f>
        <v>Ruminant Meats</v>
      </c>
      <c r="H350" s="129">
        <f>_xlfn.XLOOKUP(G350,'[1]T&amp;C emissions for 2050 analysis'!$B$3:$B$23,'[1]T&amp;C emissions for 2050 analysis'!$C$3:$C$23)</f>
        <v>20.533333333333331</v>
      </c>
      <c r="I350" s="27">
        <f t="shared" si="15"/>
        <v>43.115329693333329</v>
      </c>
      <c r="J350" s="129">
        <f t="shared" si="16"/>
        <v>914.04133333333323</v>
      </c>
    </row>
    <row r="351" spans="1:10" hidden="1" x14ac:dyDescent="0.35">
      <c r="A351" s="126" t="s">
        <v>494</v>
      </c>
      <c r="B351" t="str">
        <f>_xlfn.XLOOKUP(A351,'[1]2050Pop'!$A$7:$A$143,'[1]2050Pop'!$D$7:$D$143)</f>
        <v>SSA</v>
      </c>
      <c r="C351" s="127">
        <f>1000*_xlfn.XLOOKUP(A351,'[1]2050Pop'!$A$7:$A$143,'[1]2050Pop'!$C$7:$C$143)</f>
        <v>42975</v>
      </c>
      <c r="D351" s="126" t="s">
        <v>486</v>
      </c>
      <c r="E351" s="128">
        <v>43.524999999999999</v>
      </c>
      <c r="F351" s="129">
        <f t="shared" si="17"/>
        <v>1.8704868750000001</v>
      </c>
      <c r="G351" t="str">
        <f>_xlfn.XLOOKUP(D351,'[1]2050 BAU Mapping to T &amp; C'!$A$3:$A$52,'[1]2050 BAU Mapping to T &amp; C'!$B$3:$B$52)</f>
        <v>Ruminant Meats</v>
      </c>
      <c r="H351" s="129">
        <f>_xlfn.XLOOKUP(G351,'[1]T&amp;C emissions for 2050 analysis'!$B$3:$B$23,'[1]T&amp;C emissions for 2050 analysis'!$C$3:$C$23)</f>
        <v>20.533333333333331</v>
      </c>
      <c r="I351" s="27">
        <f t="shared" si="15"/>
        <v>38.4073305</v>
      </c>
      <c r="J351" s="129">
        <f t="shared" si="16"/>
        <v>893.71333333333325</v>
      </c>
    </row>
    <row r="352" spans="1:10" hidden="1" x14ac:dyDescent="0.35">
      <c r="A352" s="126" t="s">
        <v>479</v>
      </c>
      <c r="B352" t="str">
        <f>_xlfn.XLOOKUP(A352,'[1]2050Pop'!$A$7:$A$143,'[1]2050Pop'!$D$7:$D$143)</f>
        <v>SSA</v>
      </c>
      <c r="C352" s="127">
        <f>1000*_xlfn.XLOOKUP(A352,'[1]2050Pop'!$A$7:$A$143,'[1]2050Pop'!$C$7:$C$143)</f>
        <v>29615</v>
      </c>
      <c r="D352" s="126" t="s">
        <v>486</v>
      </c>
      <c r="E352" s="128">
        <v>65.552999999999997</v>
      </c>
      <c r="F352" s="129">
        <f t="shared" si="17"/>
        <v>1.9413520950000001</v>
      </c>
      <c r="G352" t="str">
        <f>_xlfn.XLOOKUP(D352,'[1]2050 BAU Mapping to T &amp; C'!$A$3:$A$52,'[1]2050 BAU Mapping to T &amp; C'!$B$3:$B$52)</f>
        <v>Ruminant Meats</v>
      </c>
      <c r="H352" s="129">
        <f>_xlfn.XLOOKUP(G352,'[1]T&amp;C emissions for 2050 analysis'!$B$3:$B$23,'[1]T&amp;C emissions for 2050 analysis'!$C$3:$C$23)</f>
        <v>20.533333333333331</v>
      </c>
      <c r="I352" s="27">
        <f t="shared" si="15"/>
        <v>39.862429683999999</v>
      </c>
      <c r="J352" s="129">
        <f t="shared" si="16"/>
        <v>1346.0215999999998</v>
      </c>
    </row>
    <row r="353" spans="1:10" hidden="1" x14ac:dyDescent="0.35">
      <c r="A353" s="126" t="s">
        <v>359</v>
      </c>
      <c r="B353" t="str">
        <f>_xlfn.XLOOKUP(A353,'[1]2050Pop'!$A$7:$A$143,'[1]2050Pop'!$D$7:$D$143)</f>
        <v>SSA</v>
      </c>
      <c r="C353" s="127">
        <f>1000*_xlfn.XLOOKUP(A353,'[1]2050Pop'!$A$7:$A$143,'[1]2050Pop'!$C$7:$C$143)</f>
        <v>65473</v>
      </c>
      <c r="D353" s="126" t="s">
        <v>495</v>
      </c>
      <c r="E353" s="128">
        <v>405.21800000000002</v>
      </c>
      <c r="F353" s="129">
        <f t="shared" si="17"/>
        <v>26.530838114000002</v>
      </c>
      <c r="G353" t="str">
        <f>_xlfn.XLOOKUP(D353,'[1]2050 BAU Mapping to T &amp; C'!$A$3:$A$52,'[1]2050 BAU Mapping to T &amp; C'!$B$3:$B$52)</f>
        <v>Starchy roots</v>
      </c>
      <c r="H353" s="129">
        <f>_xlfn.XLOOKUP(G353,'[1]T&amp;C emissions for 2050 analysis'!$B$3:$B$23,'[1]T&amp;C emissions for 2050 analysis'!$C$3:$C$23)</f>
        <v>0.10999999999999999</v>
      </c>
      <c r="I353" s="27">
        <f t="shared" si="15"/>
        <v>2.9183921925399998</v>
      </c>
      <c r="J353" s="129">
        <f t="shared" si="16"/>
        <v>44.573979999999999</v>
      </c>
    </row>
    <row r="354" spans="1:10" hidden="1" x14ac:dyDescent="0.35">
      <c r="A354" s="126" t="s">
        <v>360</v>
      </c>
      <c r="B354" t="str">
        <f>_xlfn.XLOOKUP(A354,'[1]2050Pop'!$A$7:$A$143,'[1]2050Pop'!$D$7:$D$143)</f>
        <v>LatAm &amp; RSA</v>
      </c>
      <c r="C354" s="127">
        <f>1000*_xlfn.XLOOKUP(A354,'[1]2050Pop'!$A$7:$A$143,'[1]2050Pop'!$C$7:$C$143)</f>
        <v>55445</v>
      </c>
      <c r="D354" s="126" t="s">
        <v>495</v>
      </c>
      <c r="E354" s="128">
        <v>2.5379999999999998</v>
      </c>
      <c r="F354" s="129">
        <f t="shared" si="17"/>
        <v>0.14071941000000002</v>
      </c>
      <c r="G354" t="str">
        <f>_xlfn.XLOOKUP(D354,'[1]2050 BAU Mapping to T &amp; C'!$A$3:$A$52,'[1]2050 BAU Mapping to T &amp; C'!$B$3:$B$52)</f>
        <v>Starchy roots</v>
      </c>
      <c r="H354" s="129">
        <f>_xlfn.XLOOKUP(G354,'[1]T&amp;C emissions for 2050 analysis'!$B$3:$B$23,'[1]T&amp;C emissions for 2050 analysis'!$C$3:$C$23)</f>
        <v>0.10999999999999999</v>
      </c>
      <c r="I354" s="27">
        <f t="shared" si="15"/>
        <v>1.5479135099999999E-2</v>
      </c>
      <c r="J354" s="129">
        <f t="shared" si="16"/>
        <v>0.27917999999999993</v>
      </c>
    </row>
    <row r="355" spans="1:10" hidden="1" x14ac:dyDescent="0.35">
      <c r="A355" s="126" t="s">
        <v>368</v>
      </c>
      <c r="B355" t="str">
        <f>_xlfn.XLOOKUP(A355,'[1]2050Pop'!$A$7:$A$143,'[1]2050Pop'!$D$7:$D$143)</f>
        <v>SSA</v>
      </c>
      <c r="C355" s="127">
        <f>1000*_xlfn.XLOOKUP(A355,'[1]2050Pop'!$A$7:$A$143,'[1]2050Pop'!$C$7:$C$143)</f>
        <v>22549</v>
      </c>
      <c r="D355" s="126" t="s">
        <v>495</v>
      </c>
      <c r="E355" s="130">
        <v>312.69</v>
      </c>
      <c r="F355" s="129">
        <f t="shared" si="17"/>
        <v>7.0508468099999995</v>
      </c>
      <c r="G355" t="str">
        <f>_xlfn.XLOOKUP(D355,'[1]2050 BAU Mapping to T &amp; C'!$A$3:$A$52,'[1]2050 BAU Mapping to T &amp; C'!$B$3:$B$52)</f>
        <v>Starchy roots</v>
      </c>
      <c r="H355" s="129">
        <f>_xlfn.XLOOKUP(G355,'[1]T&amp;C emissions for 2050 analysis'!$B$3:$B$23,'[1]T&amp;C emissions for 2050 analysis'!$C$3:$C$23)</f>
        <v>0.10999999999999999</v>
      </c>
      <c r="I355" s="27">
        <f t="shared" si="15"/>
        <v>0.77559314909999988</v>
      </c>
      <c r="J355" s="129">
        <f t="shared" si="16"/>
        <v>34.395899999999997</v>
      </c>
    </row>
    <row r="356" spans="1:10" hidden="1" x14ac:dyDescent="0.35">
      <c r="A356" s="126" t="s">
        <v>369</v>
      </c>
      <c r="B356" t="str">
        <f>_xlfn.XLOOKUP(A356,'[1]2050Pop'!$A$7:$A$143,'[1]2050Pop'!$D$7:$D$143)</f>
        <v>LatAm &amp; RSA</v>
      </c>
      <c r="C356" s="127">
        <f>1000*_xlfn.XLOOKUP(A356,'[1]2050Pop'!$A$7:$A$143,'[1]2050Pop'!$C$7:$C$143)</f>
        <v>15963</v>
      </c>
      <c r="D356" s="126" t="s">
        <v>495</v>
      </c>
      <c r="E356" s="128">
        <v>23.353000000000002</v>
      </c>
      <c r="F356" s="129">
        <f t="shared" si="17"/>
        <v>0.37278393900000001</v>
      </c>
      <c r="G356" t="str">
        <f>_xlfn.XLOOKUP(D356,'[1]2050 BAU Mapping to T &amp; C'!$A$3:$A$52,'[1]2050 BAU Mapping to T &amp; C'!$B$3:$B$52)</f>
        <v>Starchy roots</v>
      </c>
      <c r="H356" s="129">
        <f>_xlfn.XLOOKUP(G356,'[1]T&amp;C emissions for 2050 analysis'!$B$3:$B$23,'[1]T&amp;C emissions for 2050 analysis'!$C$3:$C$23)</f>
        <v>0.10999999999999999</v>
      </c>
      <c r="I356" s="27">
        <f t="shared" si="15"/>
        <v>4.1006233289999999E-2</v>
      </c>
      <c r="J356" s="129">
        <f t="shared" si="16"/>
        <v>2.5688299999999997</v>
      </c>
    </row>
    <row r="357" spans="1:10" hidden="1" x14ac:dyDescent="0.35">
      <c r="A357" s="126" t="s">
        <v>372</v>
      </c>
      <c r="B357" t="str">
        <f>_xlfn.XLOOKUP(A357,'[1]2050Pop'!$A$7:$A$143,'[1]2050Pop'!$D$7:$D$143)</f>
        <v>LatAm &amp; RSA</v>
      </c>
      <c r="C357" s="127">
        <f>1000*_xlfn.XLOOKUP(A357,'[1]2050Pop'!$A$7:$A$143,'[1]2050Pop'!$C$7:$C$143)</f>
        <v>238270</v>
      </c>
      <c r="D357" s="126" t="s">
        <v>495</v>
      </c>
      <c r="E357" s="128">
        <v>71.275999999999996</v>
      </c>
      <c r="F357" s="129">
        <f t="shared" si="17"/>
        <v>16.982932519999999</v>
      </c>
      <c r="G357" t="str">
        <f>_xlfn.XLOOKUP(D357,'[1]2050 BAU Mapping to T &amp; C'!$A$3:$A$52,'[1]2050 BAU Mapping to T &amp; C'!$B$3:$B$52)</f>
        <v>Starchy roots</v>
      </c>
      <c r="H357" s="129">
        <f>_xlfn.XLOOKUP(G357,'[1]T&amp;C emissions for 2050 analysis'!$B$3:$B$23,'[1]T&amp;C emissions for 2050 analysis'!$C$3:$C$23)</f>
        <v>0.10999999999999999</v>
      </c>
      <c r="I357" s="27">
        <f t="shared" si="15"/>
        <v>1.8681225771999996</v>
      </c>
      <c r="J357" s="129">
        <f t="shared" si="16"/>
        <v>7.8403599999999987</v>
      </c>
    </row>
    <row r="358" spans="1:10" hidden="1" x14ac:dyDescent="0.35">
      <c r="A358" s="126" t="s">
        <v>487</v>
      </c>
      <c r="B358" t="str">
        <f>_xlfn.XLOOKUP(A358,'[1]2050Pop'!$A$7:$A$143,'[1]2050Pop'!$D$7:$D$143)</f>
        <v>SSA</v>
      </c>
      <c r="C358" s="127">
        <f>1000*_xlfn.XLOOKUP(A358,'[1]2050Pop'!$A$7:$A$143,'[1]2050Pop'!$C$7:$C$143)</f>
        <v>42789</v>
      </c>
      <c r="D358" s="126" t="s">
        <v>495</v>
      </c>
      <c r="E358" s="128">
        <v>1.4890000000000001</v>
      </c>
      <c r="F358" s="129">
        <f t="shared" si="17"/>
        <v>6.3712821000000003E-2</v>
      </c>
      <c r="G358" t="str">
        <f>_xlfn.XLOOKUP(D358,'[1]2050 BAU Mapping to T &amp; C'!$A$3:$A$52,'[1]2050 BAU Mapping to T &amp; C'!$B$3:$B$52)</f>
        <v>Starchy roots</v>
      </c>
      <c r="H358" s="129">
        <f>_xlfn.XLOOKUP(G358,'[1]T&amp;C emissions for 2050 analysis'!$B$3:$B$23,'[1]T&amp;C emissions for 2050 analysis'!$C$3:$C$23)</f>
        <v>0.10999999999999999</v>
      </c>
      <c r="I358" s="27">
        <f t="shared" si="15"/>
        <v>7.0084103099999993E-3</v>
      </c>
      <c r="J358" s="129">
        <f t="shared" si="16"/>
        <v>0.16378999999999999</v>
      </c>
    </row>
    <row r="359" spans="1:10" hidden="1" x14ac:dyDescent="0.35">
      <c r="A359" s="126" t="s">
        <v>374</v>
      </c>
      <c r="B359" t="str">
        <f>_xlfn.XLOOKUP(A359,'[1]2050Pop'!$A$7:$A$143,'[1]2050Pop'!$D$7:$D$143)</f>
        <v>APAC</v>
      </c>
      <c r="C359" s="127">
        <f>1000*_xlfn.XLOOKUP(A359,'[1]2050Pop'!$A$7:$A$143,'[1]2050Pop'!$C$7:$C$143)</f>
        <v>22545</v>
      </c>
      <c r="D359" s="126" t="s">
        <v>495</v>
      </c>
      <c r="E359" s="128">
        <v>73.563999999999993</v>
      </c>
      <c r="F359" s="129">
        <f t="shared" si="17"/>
        <v>1.65850038</v>
      </c>
      <c r="G359" t="str">
        <f>_xlfn.XLOOKUP(D359,'[1]2050 BAU Mapping to T &amp; C'!$A$3:$A$52,'[1]2050 BAU Mapping to T &amp; C'!$B$3:$B$52)</f>
        <v>Starchy roots</v>
      </c>
      <c r="H359" s="129">
        <f>_xlfn.XLOOKUP(G359,'[1]T&amp;C emissions for 2050 analysis'!$B$3:$B$23,'[1]T&amp;C emissions for 2050 analysis'!$C$3:$C$23)</f>
        <v>0.10999999999999999</v>
      </c>
      <c r="I359" s="27">
        <f t="shared" si="15"/>
        <v>0.18243504179999998</v>
      </c>
      <c r="J359" s="129">
        <f t="shared" si="16"/>
        <v>8.092039999999999</v>
      </c>
    </row>
    <row r="360" spans="1:10" hidden="1" x14ac:dyDescent="0.35">
      <c r="A360" s="126" t="s">
        <v>375</v>
      </c>
      <c r="B360" t="str">
        <f>_xlfn.XLOOKUP(A360,'[1]2050Pop'!$A$7:$A$143,'[1]2050Pop'!$D$7:$D$143)</f>
        <v>SSA</v>
      </c>
      <c r="C360" s="127">
        <f>1000*_xlfn.XLOOKUP(A360,'[1]2050Pop'!$A$7:$A$143,'[1]2050Pop'!$C$7:$C$143)</f>
        <v>48362</v>
      </c>
      <c r="D360" s="126" t="s">
        <v>495</v>
      </c>
      <c r="E360" s="128">
        <v>281.31400000000002</v>
      </c>
      <c r="F360" s="129">
        <f t="shared" si="17"/>
        <v>13.604907668000001</v>
      </c>
      <c r="G360" t="str">
        <f>_xlfn.XLOOKUP(D360,'[1]2050 BAU Mapping to T &amp; C'!$A$3:$A$52,'[1]2050 BAU Mapping to T &amp; C'!$B$3:$B$52)</f>
        <v>Starchy roots</v>
      </c>
      <c r="H360" s="129">
        <f>_xlfn.XLOOKUP(G360,'[1]T&amp;C emissions for 2050 analysis'!$B$3:$B$23,'[1]T&amp;C emissions for 2050 analysis'!$C$3:$C$23)</f>
        <v>0.10999999999999999</v>
      </c>
      <c r="I360" s="27">
        <f t="shared" si="15"/>
        <v>1.4965398434799999</v>
      </c>
      <c r="J360" s="129">
        <f t="shared" si="16"/>
        <v>30.94454</v>
      </c>
    </row>
    <row r="361" spans="1:10" hidden="1" x14ac:dyDescent="0.35">
      <c r="A361" s="126" t="s">
        <v>376</v>
      </c>
      <c r="B361" t="str">
        <f>_xlfn.XLOOKUP(A361,'[1]2050Pop'!$A$7:$A$143,'[1]2050Pop'!$D$7:$D$143)</f>
        <v>NAm</v>
      </c>
      <c r="C361" s="127">
        <f>1000*_xlfn.XLOOKUP(A361,'[1]2050Pop'!$A$7:$A$143,'[1]2050Pop'!$C$7:$C$143)</f>
        <v>44136</v>
      </c>
      <c r="D361" s="126" t="s">
        <v>495</v>
      </c>
      <c r="E361" s="130">
        <v>0.42</v>
      </c>
      <c r="F361" s="129">
        <f t="shared" si="17"/>
        <v>1.8537120000000001E-2</v>
      </c>
      <c r="G361" t="str">
        <f>_xlfn.XLOOKUP(D361,'[1]2050 BAU Mapping to T &amp; C'!$A$3:$A$52,'[1]2050 BAU Mapping to T &amp; C'!$B$3:$B$52)</f>
        <v>Starchy roots</v>
      </c>
      <c r="H361" s="129">
        <f>_xlfn.XLOOKUP(G361,'[1]T&amp;C emissions for 2050 analysis'!$B$3:$B$23,'[1]T&amp;C emissions for 2050 analysis'!$C$3:$C$23)</f>
        <v>0.10999999999999999</v>
      </c>
      <c r="I361" s="27">
        <f t="shared" si="15"/>
        <v>2.0390831999999998E-3</v>
      </c>
      <c r="J361" s="129">
        <f t="shared" si="16"/>
        <v>4.6199999999999991E-2</v>
      </c>
    </row>
    <row r="362" spans="1:10" hidden="1" x14ac:dyDescent="0.35">
      <c r="A362" s="126" t="s">
        <v>377</v>
      </c>
      <c r="B362" t="str">
        <f>_xlfn.XLOOKUP(A362,'[1]2050Pop'!$A$7:$A$143,'[1]2050Pop'!$D$7:$D$143)</f>
        <v>SSA</v>
      </c>
      <c r="C362" s="127">
        <f>1000*_xlfn.XLOOKUP(A362,'[1]2050Pop'!$A$7:$A$143,'[1]2050Pop'!$C$7:$C$143)</f>
        <v>8782</v>
      </c>
      <c r="D362" s="126" t="s">
        <v>495</v>
      </c>
      <c r="E362" s="128">
        <v>341.14299999999997</v>
      </c>
      <c r="F362" s="129">
        <f t="shared" si="17"/>
        <v>2.9959178259999999</v>
      </c>
      <c r="G362" t="str">
        <f>_xlfn.XLOOKUP(D362,'[1]2050 BAU Mapping to T &amp; C'!$A$3:$A$52,'[1]2050 BAU Mapping to T &amp; C'!$B$3:$B$52)</f>
        <v>Starchy roots</v>
      </c>
      <c r="H362" s="129">
        <f>_xlfn.XLOOKUP(G362,'[1]T&amp;C emissions for 2050 analysis'!$B$3:$B$23,'[1]T&amp;C emissions for 2050 analysis'!$C$3:$C$23)</f>
        <v>0.10999999999999999</v>
      </c>
      <c r="I362" s="27">
        <f t="shared" si="15"/>
        <v>0.32955096085999996</v>
      </c>
      <c r="J362" s="129">
        <f t="shared" si="16"/>
        <v>37.525729999999996</v>
      </c>
    </row>
    <row r="363" spans="1:10" hidden="1" x14ac:dyDescent="0.35">
      <c r="A363" s="126" t="s">
        <v>488</v>
      </c>
      <c r="B363" t="str">
        <f>_xlfn.XLOOKUP(A363,'[1]2050Pop'!$A$7:$A$143,'[1]2050Pop'!$D$7:$D$143)</f>
        <v>SSA</v>
      </c>
      <c r="C363" s="127">
        <f>1000*_xlfn.XLOOKUP(A363,'[1]2050Pop'!$A$7:$A$143,'[1]2050Pop'!$C$7:$C$143)</f>
        <v>35131</v>
      </c>
      <c r="D363" s="126" t="s">
        <v>495</v>
      </c>
      <c r="E363" s="128">
        <v>49.965000000000003</v>
      </c>
      <c r="F363" s="129">
        <f t="shared" si="17"/>
        <v>1.7553204150000001</v>
      </c>
      <c r="G363" t="str">
        <f>_xlfn.XLOOKUP(D363,'[1]2050 BAU Mapping to T &amp; C'!$A$3:$A$52,'[1]2050 BAU Mapping to T &amp; C'!$B$3:$B$52)</f>
        <v>Starchy roots</v>
      </c>
      <c r="H363" s="129">
        <f>_xlfn.XLOOKUP(G363,'[1]T&amp;C emissions for 2050 analysis'!$B$3:$B$23,'[1]T&amp;C emissions for 2050 analysis'!$C$3:$C$23)</f>
        <v>0.10999999999999999</v>
      </c>
      <c r="I363" s="27">
        <f t="shared" si="15"/>
        <v>0.19308524564999999</v>
      </c>
      <c r="J363" s="129">
        <f t="shared" si="16"/>
        <v>5.4961500000000001</v>
      </c>
    </row>
    <row r="364" spans="1:10" hidden="1" x14ac:dyDescent="0.35">
      <c r="A364" s="126" t="s">
        <v>379</v>
      </c>
      <c r="B364" t="str">
        <f>_xlfn.XLOOKUP(A364,'[1]2050Pop'!$A$7:$A$143,'[1]2050Pop'!$D$7:$D$143)</f>
        <v>Greater China</v>
      </c>
      <c r="C364" s="127">
        <f>1000*_xlfn.XLOOKUP(A364,'[1]2050Pop'!$A$7:$A$143,'[1]2050Pop'!$C$7:$C$143)</f>
        <v>8148</v>
      </c>
      <c r="D364" s="126" t="s">
        <v>495</v>
      </c>
      <c r="E364" s="128">
        <v>1.1879999999999999</v>
      </c>
      <c r="F364" s="129">
        <f t="shared" si="17"/>
        <v>9.6798239999999983E-3</v>
      </c>
      <c r="G364" t="str">
        <f>_xlfn.XLOOKUP(D364,'[1]2050 BAU Mapping to T &amp; C'!$A$3:$A$52,'[1]2050 BAU Mapping to T &amp; C'!$B$3:$B$52)</f>
        <v>Starchy roots</v>
      </c>
      <c r="H364" s="129">
        <f>_xlfn.XLOOKUP(G364,'[1]T&amp;C emissions for 2050 analysis'!$B$3:$B$23,'[1]T&amp;C emissions for 2050 analysis'!$C$3:$C$23)</f>
        <v>0.10999999999999999</v>
      </c>
      <c r="I364" s="27">
        <f t="shared" si="15"/>
        <v>1.0647806399999996E-3</v>
      </c>
      <c r="J364" s="129">
        <f t="shared" si="16"/>
        <v>0.13067999999999999</v>
      </c>
    </row>
    <row r="365" spans="1:10" hidden="1" x14ac:dyDescent="0.35">
      <c r="A365" s="126" t="s">
        <v>380</v>
      </c>
      <c r="B365" t="str">
        <f>_xlfn.XLOOKUP(A365,'[1]2050Pop'!$A$7:$A$143,'[1]2050Pop'!$D$7:$D$143)</f>
        <v>Greater China</v>
      </c>
      <c r="C365" s="127">
        <f>1000*_xlfn.XLOOKUP(A365,'[1]2050Pop'!$A$7:$A$143,'[1]2050Pop'!$C$7:$C$143)</f>
        <v>1348056</v>
      </c>
      <c r="D365" s="126" t="s">
        <v>495</v>
      </c>
      <c r="E365" s="128">
        <v>3.359</v>
      </c>
      <c r="F365" s="129">
        <f t="shared" si="17"/>
        <v>4.5281201040000001</v>
      </c>
      <c r="G365" t="str">
        <f>_xlfn.XLOOKUP(D365,'[1]2050 BAU Mapping to T &amp; C'!$A$3:$A$52,'[1]2050 BAU Mapping to T &amp; C'!$B$3:$B$52)</f>
        <v>Starchy roots</v>
      </c>
      <c r="H365" s="129">
        <f>_xlfn.XLOOKUP(G365,'[1]T&amp;C emissions for 2050 analysis'!$B$3:$B$23,'[1]T&amp;C emissions for 2050 analysis'!$C$3:$C$23)</f>
        <v>0.10999999999999999</v>
      </c>
      <c r="I365" s="27">
        <f t="shared" si="15"/>
        <v>0.49809321143999996</v>
      </c>
      <c r="J365" s="129">
        <f t="shared" si="16"/>
        <v>0.36948999999999993</v>
      </c>
    </row>
    <row r="366" spans="1:10" hidden="1" x14ac:dyDescent="0.35">
      <c r="A366" s="126" t="s">
        <v>382</v>
      </c>
      <c r="B366" t="str">
        <f>_xlfn.XLOOKUP(A366,'[1]2050Pop'!$A$7:$A$143,'[1]2050Pop'!$D$7:$D$143)</f>
        <v>LatAm &amp; RSA</v>
      </c>
      <c r="C366" s="127">
        <f>1000*_xlfn.XLOOKUP(A366,'[1]2050Pop'!$A$7:$A$143,'[1]2050Pop'!$C$7:$C$143)</f>
        <v>54927</v>
      </c>
      <c r="D366" s="126" t="s">
        <v>495</v>
      </c>
      <c r="E366" s="128">
        <v>64.656000000000006</v>
      </c>
      <c r="F366" s="129">
        <f t="shared" si="17"/>
        <v>3.5513601120000002</v>
      </c>
      <c r="G366" t="str">
        <f>_xlfn.XLOOKUP(D366,'[1]2050 BAU Mapping to T &amp; C'!$A$3:$A$52,'[1]2050 BAU Mapping to T &amp; C'!$B$3:$B$52)</f>
        <v>Starchy roots</v>
      </c>
      <c r="H366" s="129">
        <f>_xlfn.XLOOKUP(G366,'[1]T&amp;C emissions for 2050 analysis'!$B$3:$B$23,'[1]T&amp;C emissions for 2050 analysis'!$C$3:$C$23)</f>
        <v>0.10999999999999999</v>
      </c>
      <c r="I366" s="27">
        <f t="shared" si="15"/>
        <v>0.39064961232000001</v>
      </c>
      <c r="J366" s="129">
        <f t="shared" si="16"/>
        <v>7.1121599999999994</v>
      </c>
    </row>
    <row r="367" spans="1:10" hidden="1" x14ac:dyDescent="0.35">
      <c r="A367" s="126" t="s">
        <v>383</v>
      </c>
      <c r="B367" t="str">
        <f>_xlfn.XLOOKUP(A367,'[1]2050Pop'!$A$7:$A$143,'[1]2050Pop'!$D$7:$D$143)</f>
        <v>LatAm &amp; RSA</v>
      </c>
      <c r="C367" s="127">
        <f>1000*_xlfn.XLOOKUP(A367,'[1]2050Pop'!$A$7:$A$143,'[1]2050Pop'!$C$7:$C$143)</f>
        <v>5759</v>
      </c>
      <c r="D367" s="126" t="s">
        <v>495</v>
      </c>
      <c r="E367" s="130">
        <v>8.7200000000000006</v>
      </c>
      <c r="F367" s="129">
        <f t="shared" si="17"/>
        <v>5.0218480000000003E-2</v>
      </c>
      <c r="G367" t="str">
        <f>_xlfn.XLOOKUP(D367,'[1]2050 BAU Mapping to T &amp; C'!$A$3:$A$52,'[1]2050 BAU Mapping to T &amp; C'!$B$3:$B$52)</f>
        <v>Starchy roots</v>
      </c>
      <c r="H367" s="129">
        <f>_xlfn.XLOOKUP(G367,'[1]T&amp;C emissions for 2050 analysis'!$B$3:$B$23,'[1]T&amp;C emissions for 2050 analysis'!$C$3:$C$23)</f>
        <v>0.10999999999999999</v>
      </c>
      <c r="I367" s="27">
        <f t="shared" si="15"/>
        <v>5.5240327999999993E-3</v>
      </c>
      <c r="J367" s="129">
        <f t="shared" si="16"/>
        <v>0.95919999999999994</v>
      </c>
    </row>
    <row r="368" spans="1:10" hidden="1" x14ac:dyDescent="0.35">
      <c r="A368" s="126" t="s">
        <v>384</v>
      </c>
      <c r="B368" t="str">
        <f>_xlfn.XLOOKUP(A368,'[1]2050Pop'!$A$7:$A$143,'[1]2050Pop'!$D$7:$D$143)</f>
        <v>SSA</v>
      </c>
      <c r="C368" s="127">
        <f>1000*_xlfn.XLOOKUP(A368,'[1]2050Pop'!$A$7:$A$143,'[1]2050Pop'!$C$7:$C$143)</f>
        <v>48797</v>
      </c>
      <c r="D368" s="126" t="s">
        <v>495</v>
      </c>
      <c r="E368" s="128">
        <v>317.36599999999999</v>
      </c>
      <c r="F368" s="129">
        <f t="shared" si="17"/>
        <v>15.486508702</v>
      </c>
      <c r="G368" t="str">
        <f>_xlfn.XLOOKUP(D368,'[1]2050 BAU Mapping to T &amp; C'!$A$3:$A$52,'[1]2050 BAU Mapping to T &amp; C'!$B$3:$B$52)</f>
        <v>Starchy roots</v>
      </c>
      <c r="H368" s="129">
        <f>_xlfn.XLOOKUP(G368,'[1]T&amp;C emissions for 2050 analysis'!$B$3:$B$23,'[1]T&amp;C emissions for 2050 analysis'!$C$3:$C$23)</f>
        <v>0.10999999999999999</v>
      </c>
      <c r="I368" s="27">
        <f t="shared" si="15"/>
        <v>1.7035159572199998</v>
      </c>
      <c r="J368" s="129">
        <f t="shared" si="16"/>
        <v>34.910259999999994</v>
      </c>
    </row>
    <row r="369" spans="1:10" hidden="1" x14ac:dyDescent="0.35">
      <c r="A369" s="126" t="s">
        <v>386</v>
      </c>
      <c r="B369" t="str">
        <f>_xlfn.XLOOKUP(A369,'[1]2050Pop'!$A$7:$A$143,'[1]2050Pop'!$D$7:$D$143)</f>
        <v>LatAm &amp; RSA</v>
      </c>
      <c r="C369" s="127">
        <f>1000*_xlfn.XLOOKUP(A369,'[1]2050Pop'!$A$7:$A$143,'[1]2050Pop'!$C$7:$C$143)</f>
        <v>10339</v>
      </c>
      <c r="D369" s="126" t="s">
        <v>495</v>
      </c>
      <c r="E369" s="128">
        <v>60.317</v>
      </c>
      <c r="F369" s="129">
        <f t="shared" si="17"/>
        <v>0.62361746299999998</v>
      </c>
      <c r="G369" t="str">
        <f>_xlfn.XLOOKUP(D369,'[1]2050 BAU Mapping to T &amp; C'!$A$3:$A$52,'[1]2050 BAU Mapping to T &amp; C'!$B$3:$B$52)</f>
        <v>Starchy roots</v>
      </c>
      <c r="H369" s="129">
        <f>_xlfn.XLOOKUP(G369,'[1]T&amp;C emissions for 2050 analysis'!$B$3:$B$23,'[1]T&amp;C emissions for 2050 analysis'!$C$3:$C$23)</f>
        <v>0.10999999999999999</v>
      </c>
      <c r="I369" s="27">
        <f t="shared" si="15"/>
        <v>6.8597920929999986E-2</v>
      </c>
      <c r="J369" s="129">
        <f t="shared" si="16"/>
        <v>6.6348699999999994</v>
      </c>
    </row>
    <row r="370" spans="1:10" hidden="1" x14ac:dyDescent="0.35">
      <c r="A370" s="126" t="s">
        <v>389</v>
      </c>
      <c r="B370" t="str">
        <f>_xlfn.XLOOKUP(A370,'[1]2050Pop'!$A$7:$A$143,'[1]2050Pop'!$D$7:$D$143)</f>
        <v>LatAm &amp; RSA</v>
      </c>
      <c r="C370" s="127">
        <f>1000*_xlfn.XLOOKUP(A370,'[1]2050Pop'!$A$7:$A$143,'[1]2050Pop'!$C$7:$C$143)</f>
        <v>13238</v>
      </c>
      <c r="D370" s="126" t="s">
        <v>495</v>
      </c>
      <c r="E370" s="128">
        <v>35.991</v>
      </c>
      <c r="F370" s="129">
        <f t="shared" si="17"/>
        <v>0.47644885800000003</v>
      </c>
      <c r="G370" t="str">
        <f>_xlfn.XLOOKUP(D370,'[1]2050 BAU Mapping to T &amp; C'!$A$3:$A$52,'[1]2050 BAU Mapping to T &amp; C'!$B$3:$B$52)</f>
        <v>Starchy roots</v>
      </c>
      <c r="H370" s="129">
        <f>_xlfn.XLOOKUP(G370,'[1]T&amp;C emissions for 2050 analysis'!$B$3:$B$23,'[1]T&amp;C emissions for 2050 analysis'!$C$3:$C$23)</f>
        <v>0.10999999999999999</v>
      </c>
      <c r="I370" s="27">
        <f t="shared" si="15"/>
        <v>5.2409374379999998E-2</v>
      </c>
      <c r="J370" s="129">
        <f t="shared" si="16"/>
        <v>3.9590099999999997</v>
      </c>
    </row>
    <row r="371" spans="1:10" hidden="1" x14ac:dyDescent="0.35">
      <c r="A371" s="126" t="s">
        <v>390</v>
      </c>
      <c r="B371" t="str">
        <f>_xlfn.XLOOKUP(A371,'[1]2050Pop'!$A$7:$A$143,'[1]2050Pop'!$D$7:$D$143)</f>
        <v>LatAm &amp; RSA</v>
      </c>
      <c r="C371" s="127">
        <f>1000*_xlfn.XLOOKUP(A371,'[1]2050Pop'!$A$7:$A$143,'[1]2050Pop'!$C$7:$C$143)</f>
        <v>23013</v>
      </c>
      <c r="D371" s="126" t="s">
        <v>495</v>
      </c>
      <c r="E371" s="128">
        <v>5.2279999999999998</v>
      </c>
      <c r="F371" s="129">
        <f t="shared" si="17"/>
        <v>0.12031196399999999</v>
      </c>
      <c r="G371" t="str">
        <f>_xlfn.XLOOKUP(D371,'[1]2050 BAU Mapping to T &amp; C'!$A$3:$A$52,'[1]2050 BAU Mapping to T &amp; C'!$B$3:$B$52)</f>
        <v>Starchy roots</v>
      </c>
      <c r="H371" s="129">
        <f>_xlfn.XLOOKUP(G371,'[1]T&amp;C emissions for 2050 analysis'!$B$3:$B$23,'[1]T&amp;C emissions for 2050 analysis'!$C$3:$C$23)</f>
        <v>0.10999999999999999</v>
      </c>
      <c r="I371" s="27">
        <f t="shared" si="15"/>
        <v>1.3234316039999998E-2</v>
      </c>
      <c r="J371" s="129">
        <f t="shared" si="16"/>
        <v>0.57507999999999992</v>
      </c>
    </row>
    <row r="372" spans="1:10" hidden="1" x14ac:dyDescent="0.35">
      <c r="A372" s="126" t="s">
        <v>392</v>
      </c>
      <c r="B372" t="str">
        <f>_xlfn.XLOOKUP(A372,'[1]2050Pop'!$A$7:$A$143,'[1]2050Pop'!$D$7:$D$143)</f>
        <v>LatAm &amp; RSA</v>
      </c>
      <c r="C372" s="127">
        <f>1000*_xlfn.XLOOKUP(A372,'[1]2050Pop'!$A$7:$A$143,'[1]2050Pop'!$C$7:$C$143)</f>
        <v>6390</v>
      </c>
      <c r="D372" s="126" t="s">
        <v>495</v>
      </c>
      <c r="E372" s="128">
        <v>9.6170000000000009</v>
      </c>
      <c r="F372" s="129">
        <f t="shared" si="17"/>
        <v>6.1452630000000008E-2</v>
      </c>
      <c r="G372" t="str">
        <f>_xlfn.XLOOKUP(D372,'[1]2050 BAU Mapping to T &amp; C'!$A$3:$A$52,'[1]2050 BAU Mapping to T &amp; C'!$B$3:$B$52)</f>
        <v>Starchy roots</v>
      </c>
      <c r="H372" s="129">
        <f>_xlfn.XLOOKUP(G372,'[1]T&amp;C emissions for 2050 analysis'!$B$3:$B$23,'[1]T&amp;C emissions for 2050 analysis'!$C$3:$C$23)</f>
        <v>0.10999999999999999</v>
      </c>
      <c r="I372" s="27">
        <f t="shared" si="15"/>
        <v>6.7597893000000001E-3</v>
      </c>
      <c r="J372" s="129">
        <f t="shared" si="16"/>
        <v>1.0578699999999999</v>
      </c>
    </row>
    <row r="373" spans="1:10" hidden="1" x14ac:dyDescent="0.35">
      <c r="A373" s="126" t="s">
        <v>397</v>
      </c>
      <c r="B373" t="str">
        <f>_xlfn.XLOOKUP(A373,'[1]2050Pop'!$A$7:$A$143,'[1]2050Pop'!$D$7:$D$143)</f>
        <v>SSA</v>
      </c>
      <c r="C373" s="127">
        <f>1000*_xlfn.XLOOKUP(A373,'[1]2050Pop'!$A$7:$A$143,'[1]2050Pop'!$C$7:$C$143)</f>
        <v>3164</v>
      </c>
      <c r="D373" s="126" t="s">
        <v>495</v>
      </c>
      <c r="E373" s="128">
        <v>174.51400000000001</v>
      </c>
      <c r="F373" s="129">
        <f t="shared" si="17"/>
        <v>0.55216229600000011</v>
      </c>
      <c r="G373" t="str">
        <f>_xlfn.XLOOKUP(D373,'[1]2050 BAU Mapping to T &amp; C'!$A$3:$A$52,'[1]2050 BAU Mapping to T &amp; C'!$B$3:$B$52)</f>
        <v>Starchy roots</v>
      </c>
      <c r="H373" s="129">
        <f>_xlfn.XLOOKUP(G373,'[1]T&amp;C emissions for 2050 analysis'!$B$3:$B$23,'[1]T&amp;C emissions for 2050 analysis'!$C$3:$C$23)</f>
        <v>0.10999999999999999</v>
      </c>
      <c r="I373" s="27">
        <f t="shared" si="15"/>
        <v>6.0737852560000007E-2</v>
      </c>
      <c r="J373" s="129">
        <f t="shared" si="16"/>
        <v>19.196539999999999</v>
      </c>
    </row>
    <row r="374" spans="1:10" hidden="1" x14ac:dyDescent="0.35">
      <c r="A374" s="126" t="s">
        <v>489</v>
      </c>
      <c r="B374" t="str">
        <f>_xlfn.XLOOKUP(A374,'[1]2050Pop'!$A$7:$A$143,'[1]2050Pop'!$D$7:$D$143)</f>
        <v>SSA</v>
      </c>
      <c r="C374" s="127">
        <f>1000*_xlfn.XLOOKUP(A374,'[1]2050Pop'!$A$7:$A$143,'[1]2050Pop'!$C$7:$C$143)</f>
        <v>4981</v>
      </c>
      <c r="D374" s="126" t="s">
        <v>495</v>
      </c>
      <c r="E374" s="128">
        <v>14.831</v>
      </c>
      <c r="F374" s="129">
        <f t="shared" si="17"/>
        <v>7.3873210999999994E-2</v>
      </c>
      <c r="G374" t="str">
        <f>_xlfn.XLOOKUP(D374,'[1]2050 BAU Mapping to T &amp; C'!$A$3:$A$52,'[1]2050 BAU Mapping to T &amp; C'!$B$3:$B$52)</f>
        <v>Starchy roots</v>
      </c>
      <c r="H374" s="129">
        <f>_xlfn.XLOOKUP(G374,'[1]T&amp;C emissions for 2050 analysis'!$B$3:$B$23,'[1]T&amp;C emissions for 2050 analysis'!$C$3:$C$23)</f>
        <v>0.10999999999999999</v>
      </c>
      <c r="I374" s="27">
        <f t="shared" si="15"/>
        <v>8.1260532099999977E-3</v>
      </c>
      <c r="J374" s="129">
        <f t="shared" si="16"/>
        <v>1.6314099999999998</v>
      </c>
    </row>
    <row r="375" spans="1:10" hidden="1" x14ac:dyDescent="0.35">
      <c r="A375" s="126" t="s">
        <v>400</v>
      </c>
      <c r="B375" t="str">
        <f>_xlfn.XLOOKUP(A375,'[1]2050Pop'!$A$7:$A$143,'[1]2050Pop'!$D$7:$D$143)</f>
        <v>SSA</v>
      </c>
      <c r="C375" s="127">
        <f>1000*_xlfn.XLOOKUP(A375,'[1]2050Pop'!$A$7:$A$143,'[1]2050Pop'!$C$7:$C$143)</f>
        <v>50071</v>
      </c>
      <c r="D375" s="126" t="s">
        <v>495</v>
      </c>
      <c r="E375" s="128">
        <v>711.85599999999999</v>
      </c>
      <c r="F375" s="129">
        <f t="shared" si="17"/>
        <v>35.643341776</v>
      </c>
      <c r="G375" t="str">
        <f>_xlfn.XLOOKUP(D375,'[1]2050 BAU Mapping to T &amp; C'!$A$3:$A$52,'[1]2050 BAU Mapping to T &amp; C'!$B$3:$B$52)</f>
        <v>Starchy roots</v>
      </c>
      <c r="H375" s="129">
        <f>_xlfn.XLOOKUP(G375,'[1]T&amp;C emissions for 2050 analysis'!$B$3:$B$23,'[1]T&amp;C emissions for 2050 analysis'!$C$3:$C$23)</f>
        <v>0.10999999999999999</v>
      </c>
      <c r="I375" s="27">
        <f t="shared" si="15"/>
        <v>3.9207675953599996</v>
      </c>
      <c r="J375" s="129">
        <f t="shared" si="16"/>
        <v>78.304159999999996</v>
      </c>
    </row>
    <row r="376" spans="1:10" hidden="1" x14ac:dyDescent="0.35">
      <c r="A376" s="126" t="s">
        <v>402</v>
      </c>
      <c r="B376" t="str">
        <f>_xlfn.XLOOKUP(A376,'[1]2050Pop'!$A$7:$A$143,'[1]2050Pop'!$D$7:$D$143)</f>
        <v>LatAm &amp; RSA</v>
      </c>
      <c r="C376" s="127">
        <f>1000*_xlfn.XLOOKUP(A376,'[1]2050Pop'!$A$7:$A$143,'[1]2050Pop'!$C$7:$C$143)</f>
        <v>27754</v>
      </c>
      <c r="D376" s="126" t="s">
        <v>495</v>
      </c>
      <c r="E376" s="128">
        <v>1.627</v>
      </c>
      <c r="F376" s="129">
        <f t="shared" si="17"/>
        <v>4.5155758000000004E-2</v>
      </c>
      <c r="G376" t="str">
        <f>_xlfn.XLOOKUP(D376,'[1]2050 BAU Mapping to T &amp; C'!$A$3:$A$52,'[1]2050 BAU Mapping to T &amp; C'!$B$3:$B$52)</f>
        <v>Starchy roots</v>
      </c>
      <c r="H376" s="129">
        <f>_xlfn.XLOOKUP(G376,'[1]T&amp;C emissions for 2050 analysis'!$B$3:$B$23,'[1]T&amp;C emissions for 2050 analysis'!$C$3:$C$23)</f>
        <v>0.10999999999999999</v>
      </c>
      <c r="I376" s="27">
        <f t="shared" si="15"/>
        <v>4.9671333799999997E-3</v>
      </c>
      <c r="J376" s="129">
        <f t="shared" si="16"/>
        <v>0.17896999999999999</v>
      </c>
    </row>
    <row r="377" spans="1:10" hidden="1" x14ac:dyDescent="0.35">
      <c r="A377" s="126" t="s">
        <v>403</v>
      </c>
      <c r="B377" t="str">
        <f>_xlfn.XLOOKUP(A377,'[1]2050Pop'!$A$7:$A$143,'[1]2050Pop'!$D$7:$D$143)</f>
        <v>SSA</v>
      </c>
      <c r="C377" s="127">
        <f>1000*_xlfn.XLOOKUP(A377,'[1]2050Pop'!$A$7:$A$143,'[1]2050Pop'!$C$7:$C$143)</f>
        <v>27486</v>
      </c>
      <c r="D377" s="126" t="s">
        <v>495</v>
      </c>
      <c r="E377" s="128">
        <v>279.714</v>
      </c>
      <c r="F377" s="129">
        <f t="shared" si="17"/>
        <v>7.6882190039999996</v>
      </c>
      <c r="G377" t="str">
        <f>_xlfn.XLOOKUP(D377,'[1]2050 BAU Mapping to T &amp; C'!$A$3:$A$52,'[1]2050 BAU Mapping to T &amp; C'!$B$3:$B$52)</f>
        <v>Starchy roots</v>
      </c>
      <c r="H377" s="129">
        <f>_xlfn.XLOOKUP(G377,'[1]T&amp;C emissions for 2050 analysis'!$B$3:$B$23,'[1]T&amp;C emissions for 2050 analysis'!$C$3:$C$23)</f>
        <v>0.10999999999999999</v>
      </c>
      <c r="I377" s="27">
        <f t="shared" si="15"/>
        <v>0.84570409043999983</v>
      </c>
      <c r="J377" s="129">
        <f t="shared" si="16"/>
        <v>30.768539999999994</v>
      </c>
    </row>
    <row r="378" spans="1:10" hidden="1" x14ac:dyDescent="0.35">
      <c r="A378" s="126" t="s">
        <v>404</v>
      </c>
      <c r="B378" t="str">
        <f>_xlfn.XLOOKUP(A378,'[1]2050Pop'!$A$7:$A$143,'[1]2050Pop'!$D$7:$D$143)</f>
        <v>LatAm &amp; RSA</v>
      </c>
      <c r="C378" s="127">
        <f>1000*_xlfn.XLOOKUP(A378,'[1]2050Pop'!$A$7:$A$143,'[1]2050Pop'!$C$7:$C$143)</f>
        <v>806</v>
      </c>
      <c r="D378" s="126" t="s">
        <v>495</v>
      </c>
      <c r="E378" s="128">
        <v>8.9740000000000002</v>
      </c>
      <c r="F378" s="129">
        <f t="shared" si="17"/>
        <v>7.2330440000000001E-3</v>
      </c>
      <c r="G378" t="str">
        <f>_xlfn.XLOOKUP(D378,'[1]2050 BAU Mapping to T &amp; C'!$A$3:$A$52,'[1]2050 BAU Mapping to T &amp; C'!$B$3:$B$52)</f>
        <v>Starchy roots</v>
      </c>
      <c r="H378" s="129">
        <f>_xlfn.XLOOKUP(G378,'[1]T&amp;C emissions for 2050 analysis'!$B$3:$B$23,'[1]T&amp;C emissions for 2050 analysis'!$C$3:$C$23)</f>
        <v>0.10999999999999999</v>
      </c>
      <c r="I378" s="27">
        <f t="shared" si="15"/>
        <v>7.9563483999999993E-4</v>
      </c>
      <c r="J378" s="129">
        <f t="shared" si="16"/>
        <v>0.98713999999999991</v>
      </c>
    </row>
    <row r="379" spans="1:10" hidden="1" x14ac:dyDescent="0.35">
      <c r="A379" s="126" t="s">
        <v>405</v>
      </c>
      <c r="B379" t="str">
        <f>_xlfn.XLOOKUP(A379,'[1]2050Pop'!$A$7:$A$143,'[1]2050Pop'!$D$7:$D$143)</f>
        <v>LatAm &amp; RSA</v>
      </c>
      <c r="C379" s="127">
        <f>1000*_xlfn.XLOOKUP(A379,'[1]2050Pop'!$A$7:$A$143,'[1]2050Pop'!$C$7:$C$143)</f>
        <v>14189</v>
      </c>
      <c r="D379" s="126" t="s">
        <v>495</v>
      </c>
      <c r="E379" s="128">
        <v>59.101999999999997</v>
      </c>
      <c r="F379" s="129">
        <f t="shared" si="17"/>
        <v>0.83859827799999997</v>
      </c>
      <c r="G379" t="str">
        <f>_xlfn.XLOOKUP(D379,'[1]2050 BAU Mapping to T &amp; C'!$A$3:$A$52,'[1]2050 BAU Mapping to T &amp; C'!$B$3:$B$52)</f>
        <v>Starchy roots</v>
      </c>
      <c r="H379" s="129">
        <f>_xlfn.XLOOKUP(G379,'[1]T&amp;C emissions for 2050 analysis'!$B$3:$B$23,'[1]T&amp;C emissions for 2050 analysis'!$C$3:$C$23)</f>
        <v>0.10999999999999999</v>
      </c>
      <c r="I379" s="27">
        <f t="shared" si="15"/>
        <v>9.224581057999999E-2</v>
      </c>
      <c r="J379" s="129">
        <f t="shared" si="16"/>
        <v>6.5012199999999991</v>
      </c>
    </row>
    <row r="380" spans="1:10" hidden="1" x14ac:dyDescent="0.35">
      <c r="A380" s="126" t="s">
        <v>406</v>
      </c>
      <c r="B380" t="str">
        <f>_xlfn.XLOOKUP(A380,'[1]2050Pop'!$A$7:$A$143,'[1]2050Pop'!$D$7:$D$143)</f>
        <v>LatAm &amp; RSA</v>
      </c>
      <c r="C380" s="127">
        <f>1000*_xlfn.XLOOKUP(A380,'[1]2050Pop'!$A$7:$A$143,'[1]2050Pop'!$C$7:$C$143)</f>
        <v>11217</v>
      </c>
      <c r="D380" s="126" t="s">
        <v>495</v>
      </c>
      <c r="E380" s="128">
        <v>4.7670000000000003</v>
      </c>
      <c r="F380" s="129">
        <f t="shared" si="17"/>
        <v>5.3471439000000003E-2</v>
      </c>
      <c r="G380" t="str">
        <f>_xlfn.XLOOKUP(D380,'[1]2050 BAU Mapping to T &amp; C'!$A$3:$A$52,'[1]2050 BAU Mapping to T &amp; C'!$B$3:$B$52)</f>
        <v>Starchy roots</v>
      </c>
      <c r="H380" s="129">
        <f>_xlfn.XLOOKUP(G380,'[1]T&amp;C emissions for 2050 analysis'!$B$3:$B$23,'[1]T&amp;C emissions for 2050 analysis'!$C$3:$C$23)</f>
        <v>0.10999999999999999</v>
      </c>
      <c r="I380" s="27">
        <f t="shared" si="15"/>
        <v>5.8818582899999999E-3</v>
      </c>
      <c r="J380" s="129">
        <f t="shared" si="16"/>
        <v>0.52437</v>
      </c>
    </row>
    <row r="381" spans="1:10" hidden="1" x14ac:dyDescent="0.35">
      <c r="A381" s="126" t="s">
        <v>408</v>
      </c>
      <c r="B381" t="str">
        <f>_xlfn.XLOOKUP(A381,'[1]2050Pop'!$A$7:$A$143,'[1]2050Pop'!$D$7:$D$143)</f>
        <v>India/South Asia</v>
      </c>
      <c r="C381" s="127">
        <f>1000*_xlfn.XLOOKUP(A381,'[1]2050Pop'!$A$7:$A$143,'[1]2050Pop'!$C$7:$C$143)</f>
        <v>1705333</v>
      </c>
      <c r="D381" s="126" t="s">
        <v>495</v>
      </c>
      <c r="E381" s="128">
        <v>7.399</v>
      </c>
      <c r="F381" s="129">
        <f t="shared" si="17"/>
        <v>12.617758867000001</v>
      </c>
      <c r="G381" t="str">
        <f>_xlfn.XLOOKUP(D381,'[1]2050 BAU Mapping to T &amp; C'!$A$3:$A$52,'[1]2050 BAU Mapping to T &amp; C'!$B$3:$B$52)</f>
        <v>Starchy roots</v>
      </c>
      <c r="H381" s="129">
        <f>_xlfn.XLOOKUP(G381,'[1]T&amp;C emissions for 2050 analysis'!$B$3:$B$23,'[1]T&amp;C emissions for 2050 analysis'!$C$3:$C$23)</f>
        <v>0.10999999999999999</v>
      </c>
      <c r="I381" s="27">
        <f t="shared" si="15"/>
        <v>1.38795347537</v>
      </c>
      <c r="J381" s="129">
        <f t="shared" si="16"/>
        <v>0.81388999999999989</v>
      </c>
    </row>
    <row r="382" spans="1:10" hidden="1" x14ac:dyDescent="0.35">
      <c r="A382" s="126" t="s">
        <v>409</v>
      </c>
      <c r="B382" t="str">
        <f>_xlfn.XLOOKUP(A382,'[1]2050Pop'!$A$7:$A$143,'[1]2050Pop'!$D$7:$D$143)</f>
        <v>APAC</v>
      </c>
      <c r="C382" s="127">
        <f>1000*_xlfn.XLOOKUP(A382,'[1]2050Pop'!$A$7:$A$143,'[1]2050Pop'!$C$7:$C$143)</f>
        <v>322237</v>
      </c>
      <c r="D382" s="126" t="s">
        <v>495</v>
      </c>
      <c r="E382" s="128">
        <v>135.88499999999999</v>
      </c>
      <c r="F382" s="129">
        <f t="shared" si="17"/>
        <v>43.787174744999994</v>
      </c>
      <c r="G382" t="str">
        <f>_xlfn.XLOOKUP(D382,'[1]2050 BAU Mapping to T &amp; C'!$A$3:$A$52,'[1]2050 BAU Mapping to T &amp; C'!$B$3:$B$52)</f>
        <v>Starchy roots</v>
      </c>
      <c r="H382" s="129">
        <f>_xlfn.XLOOKUP(G382,'[1]T&amp;C emissions for 2050 analysis'!$B$3:$B$23,'[1]T&amp;C emissions for 2050 analysis'!$C$3:$C$23)</f>
        <v>0.10999999999999999</v>
      </c>
      <c r="I382" s="27">
        <f t="shared" si="15"/>
        <v>4.8165892219499984</v>
      </c>
      <c r="J382" s="129">
        <f t="shared" si="16"/>
        <v>14.947349999999997</v>
      </c>
    </row>
    <row r="383" spans="1:10" hidden="1" x14ac:dyDescent="0.35">
      <c r="A383" s="126" t="s">
        <v>415</v>
      </c>
      <c r="B383" t="str">
        <f>_xlfn.XLOOKUP(A383,'[1]2050Pop'!$A$7:$A$143,'[1]2050Pop'!$D$7:$D$143)</f>
        <v>LatAm &amp; RSA</v>
      </c>
      <c r="C383" s="127">
        <f>1000*_xlfn.XLOOKUP(A383,'[1]2050Pop'!$A$7:$A$143,'[1]2050Pop'!$C$7:$C$143)</f>
        <v>2710</v>
      </c>
      <c r="D383" s="126" t="s">
        <v>495</v>
      </c>
      <c r="E383" s="128">
        <v>5.375</v>
      </c>
      <c r="F383" s="129">
        <f t="shared" si="17"/>
        <v>1.4566249999999999E-2</v>
      </c>
      <c r="G383" t="str">
        <f>_xlfn.XLOOKUP(D383,'[1]2050 BAU Mapping to T &amp; C'!$A$3:$A$52,'[1]2050 BAU Mapping to T &amp; C'!$B$3:$B$52)</f>
        <v>Starchy roots</v>
      </c>
      <c r="H383" s="129">
        <f>_xlfn.XLOOKUP(G383,'[1]T&amp;C emissions for 2050 analysis'!$B$3:$B$23,'[1]T&amp;C emissions for 2050 analysis'!$C$3:$C$23)</f>
        <v>0.10999999999999999</v>
      </c>
      <c r="I383" s="27">
        <f t="shared" si="15"/>
        <v>1.6022874999999997E-3</v>
      </c>
      <c r="J383" s="129">
        <f t="shared" si="16"/>
        <v>0.59124999999999994</v>
      </c>
    </row>
    <row r="384" spans="1:10" hidden="1" x14ac:dyDescent="0.35">
      <c r="A384" s="126" t="s">
        <v>419</v>
      </c>
      <c r="B384" t="str">
        <f>_xlfn.XLOOKUP(A384,'[1]2050Pop'!$A$7:$A$143,'[1]2050Pop'!$D$7:$D$143)</f>
        <v>SSA</v>
      </c>
      <c r="C384" s="127">
        <f>1000*_xlfn.XLOOKUP(A384,'[1]2050Pop'!$A$7:$A$143,'[1]2050Pop'!$C$7:$C$143)</f>
        <v>95505</v>
      </c>
      <c r="D384" s="126" t="s">
        <v>495</v>
      </c>
      <c r="E384" s="128">
        <v>35.683999999999997</v>
      </c>
      <c r="F384" s="129">
        <f t="shared" si="17"/>
        <v>3.40800042</v>
      </c>
      <c r="G384" t="str">
        <f>_xlfn.XLOOKUP(D384,'[1]2050 BAU Mapping to T &amp; C'!$A$3:$A$52,'[1]2050 BAU Mapping to T &amp; C'!$B$3:$B$52)</f>
        <v>Starchy roots</v>
      </c>
      <c r="H384" s="129">
        <f>_xlfn.XLOOKUP(G384,'[1]T&amp;C emissions for 2050 analysis'!$B$3:$B$23,'[1]T&amp;C emissions for 2050 analysis'!$C$3:$C$23)</f>
        <v>0.10999999999999999</v>
      </c>
      <c r="I384" s="27">
        <f t="shared" si="15"/>
        <v>0.37488004619999998</v>
      </c>
      <c r="J384" s="129">
        <f t="shared" si="16"/>
        <v>3.9252399999999992</v>
      </c>
    </row>
    <row r="385" spans="1:10" hidden="1" x14ac:dyDescent="0.35">
      <c r="A385" s="126" t="s">
        <v>421</v>
      </c>
      <c r="B385" t="str">
        <f>_xlfn.XLOOKUP(A385,'[1]2050Pop'!$A$7:$A$143,'[1]2050Pop'!$D$7:$D$143)</f>
        <v>APAC</v>
      </c>
      <c r="C385" s="127">
        <f>1000*_xlfn.XLOOKUP(A385,'[1]2050Pop'!$A$7:$A$143,'[1]2050Pop'!$C$7:$C$143)</f>
        <v>10172</v>
      </c>
      <c r="D385" s="126" t="s">
        <v>495</v>
      </c>
      <c r="E385" s="128">
        <v>71.972999999999999</v>
      </c>
      <c r="F385" s="129">
        <f t="shared" si="17"/>
        <v>0.73210935600000004</v>
      </c>
      <c r="G385" t="str">
        <f>_xlfn.XLOOKUP(D385,'[1]2050 BAU Mapping to T &amp; C'!$A$3:$A$52,'[1]2050 BAU Mapping to T &amp; C'!$B$3:$B$52)</f>
        <v>Starchy roots</v>
      </c>
      <c r="H385" s="129">
        <f>_xlfn.XLOOKUP(G385,'[1]T&amp;C emissions for 2050 analysis'!$B$3:$B$23,'[1]T&amp;C emissions for 2050 analysis'!$C$3:$C$23)</f>
        <v>0.10999999999999999</v>
      </c>
      <c r="I385" s="27">
        <f t="shared" si="15"/>
        <v>8.053202915999999E-2</v>
      </c>
      <c r="J385" s="129">
        <f t="shared" si="16"/>
        <v>7.9170299999999987</v>
      </c>
    </row>
    <row r="386" spans="1:10" hidden="1" x14ac:dyDescent="0.35">
      <c r="A386" s="126" t="s">
        <v>425</v>
      </c>
      <c r="B386" t="str">
        <f>_xlfn.XLOOKUP(A386,'[1]2050Pop'!$A$7:$A$143,'[1]2050Pop'!$D$7:$D$143)</f>
        <v>SSA</v>
      </c>
      <c r="C386" s="127">
        <f>1000*_xlfn.XLOOKUP(A386,'[1]2050Pop'!$A$7:$A$143,'[1]2050Pop'!$C$7:$C$143)</f>
        <v>9436</v>
      </c>
      <c r="D386" s="126" t="s">
        <v>495</v>
      </c>
      <c r="E386" s="128">
        <v>393.54700000000003</v>
      </c>
      <c r="F386" s="129">
        <f t="shared" si="17"/>
        <v>3.713509492</v>
      </c>
      <c r="G386" t="str">
        <f>_xlfn.XLOOKUP(D386,'[1]2050 BAU Mapping to T &amp; C'!$A$3:$A$52,'[1]2050 BAU Mapping to T &amp; C'!$B$3:$B$52)</f>
        <v>Starchy roots</v>
      </c>
      <c r="H386" s="129">
        <f>_xlfn.XLOOKUP(G386,'[1]T&amp;C emissions for 2050 analysis'!$B$3:$B$23,'[1]T&amp;C emissions for 2050 analysis'!$C$3:$C$23)</f>
        <v>0.10999999999999999</v>
      </c>
      <c r="I386" s="27">
        <f t="shared" si="15"/>
        <v>0.40848604411999995</v>
      </c>
      <c r="J386" s="129">
        <f t="shared" si="16"/>
        <v>43.290169999999996</v>
      </c>
    </row>
    <row r="387" spans="1:10" hidden="1" x14ac:dyDescent="0.35">
      <c r="A387" s="126" t="s">
        <v>427</v>
      </c>
      <c r="B387" t="str">
        <f>_xlfn.XLOOKUP(A387,'[1]2050Pop'!$A$7:$A$143,'[1]2050Pop'!$D$7:$D$143)</f>
        <v>SSA</v>
      </c>
      <c r="C387" s="127">
        <f>1000*_xlfn.XLOOKUP(A387,'[1]2050Pop'!$A$7:$A$143,'[1]2050Pop'!$C$7:$C$143)</f>
        <v>55294</v>
      </c>
      <c r="D387" s="126" t="s">
        <v>495</v>
      </c>
      <c r="E387" s="128">
        <v>308.21899999999999</v>
      </c>
      <c r="F387" s="129">
        <f t="shared" si="17"/>
        <v>17.042661385999999</v>
      </c>
      <c r="G387" t="str">
        <f>_xlfn.XLOOKUP(D387,'[1]2050 BAU Mapping to T &amp; C'!$A$3:$A$52,'[1]2050 BAU Mapping to T &amp; C'!$B$3:$B$52)</f>
        <v>Starchy roots</v>
      </c>
      <c r="H387" s="129">
        <f>_xlfn.XLOOKUP(G387,'[1]T&amp;C emissions for 2050 analysis'!$B$3:$B$23,'[1]T&amp;C emissions for 2050 analysis'!$C$3:$C$23)</f>
        <v>0.10999999999999999</v>
      </c>
      <c r="I387" s="27">
        <f t="shared" si="15"/>
        <v>1.8746927524599997</v>
      </c>
      <c r="J387" s="129">
        <f t="shared" si="16"/>
        <v>33.904089999999997</v>
      </c>
    </row>
    <row r="388" spans="1:10" hidden="1" x14ac:dyDescent="0.35">
      <c r="A388" s="126" t="s">
        <v>428</v>
      </c>
      <c r="B388" t="str">
        <f>_xlfn.XLOOKUP(A388,'[1]2050Pop'!$A$7:$A$143,'[1]2050Pop'!$D$7:$D$143)</f>
        <v>SSA</v>
      </c>
      <c r="C388" s="127">
        <f>1000*_xlfn.XLOOKUP(A388,'[1]2050Pop'!$A$7:$A$143,'[1]2050Pop'!$C$7:$C$143)</f>
        <v>43155</v>
      </c>
      <c r="D388" s="126" t="s">
        <v>495</v>
      </c>
      <c r="E388" s="128">
        <v>98.078000000000003</v>
      </c>
      <c r="F388" s="129">
        <f t="shared" si="17"/>
        <v>4.2325560900000001</v>
      </c>
      <c r="G388" t="str">
        <f>_xlfn.XLOOKUP(D388,'[1]2050 BAU Mapping to T &amp; C'!$A$3:$A$52,'[1]2050 BAU Mapping to T &amp; C'!$B$3:$B$52)</f>
        <v>Starchy roots</v>
      </c>
      <c r="H388" s="129">
        <f>_xlfn.XLOOKUP(G388,'[1]T&amp;C emissions for 2050 analysis'!$B$3:$B$23,'[1]T&amp;C emissions for 2050 analysis'!$C$3:$C$23)</f>
        <v>0.10999999999999999</v>
      </c>
      <c r="I388" s="27">
        <f t="shared" ref="I388:I451" si="18">F388*H388</f>
        <v>0.46558116989999998</v>
      </c>
      <c r="J388" s="129">
        <f t="shared" ref="J388:J451" si="19">E388*H388</f>
        <v>10.78858</v>
      </c>
    </row>
    <row r="389" spans="1:10" hidden="1" x14ac:dyDescent="0.35">
      <c r="A389" s="126" t="s">
        <v>429</v>
      </c>
      <c r="B389" t="str">
        <f>_xlfn.XLOOKUP(A389,'[1]2050Pop'!$A$7:$A$143,'[1]2050Pop'!$D$7:$D$143)</f>
        <v>APAC</v>
      </c>
      <c r="C389" s="127">
        <f>1000*_xlfn.XLOOKUP(A389,'[1]2050Pop'!$A$7:$A$143,'[1]2050Pop'!$C$7:$C$143)</f>
        <v>40725</v>
      </c>
      <c r="D389" s="126" t="s">
        <v>495</v>
      </c>
      <c r="E389" s="128">
        <v>3.0249999999999999</v>
      </c>
      <c r="F389" s="129">
        <f t="shared" ref="F389:F452" si="20">C389*E389/1000000</f>
        <v>0.123193125</v>
      </c>
      <c r="G389" t="str">
        <f>_xlfn.XLOOKUP(D389,'[1]2050 BAU Mapping to T &amp; C'!$A$3:$A$52,'[1]2050 BAU Mapping to T &amp; C'!$B$3:$B$52)</f>
        <v>Starchy roots</v>
      </c>
      <c r="H389" s="129">
        <f>_xlfn.XLOOKUP(G389,'[1]T&amp;C emissions for 2050 analysis'!$B$3:$B$23,'[1]T&amp;C emissions for 2050 analysis'!$C$3:$C$23)</f>
        <v>0.10999999999999999</v>
      </c>
      <c r="I389" s="27">
        <f t="shared" si="18"/>
        <v>1.3551243749999999E-2</v>
      </c>
      <c r="J389" s="129">
        <f t="shared" si="19"/>
        <v>0.33274999999999993</v>
      </c>
    </row>
    <row r="390" spans="1:10" hidden="1" x14ac:dyDescent="0.35">
      <c r="A390" s="126" t="s">
        <v>430</v>
      </c>
      <c r="B390" t="str">
        <f>_xlfn.XLOOKUP(A390,'[1]2050Pop'!$A$7:$A$143,'[1]2050Pop'!$D$7:$D$143)</f>
        <v>SSA</v>
      </c>
      <c r="C390" s="127">
        <f>1000*_xlfn.XLOOKUP(A390,'[1]2050Pop'!$A$7:$A$143,'[1]2050Pop'!$C$7:$C$143)</f>
        <v>45404</v>
      </c>
      <c r="D390" s="126" t="s">
        <v>495</v>
      </c>
      <c r="E390" s="128">
        <v>3.4470000000000001</v>
      </c>
      <c r="F390" s="129">
        <f t="shared" si="20"/>
        <v>0.15650758799999998</v>
      </c>
      <c r="G390" t="str">
        <f>_xlfn.XLOOKUP(D390,'[1]2050 BAU Mapping to T &amp; C'!$A$3:$A$52,'[1]2050 BAU Mapping to T &amp; C'!$B$3:$B$52)</f>
        <v>Starchy roots</v>
      </c>
      <c r="H390" s="129">
        <f>_xlfn.XLOOKUP(G390,'[1]T&amp;C emissions for 2050 analysis'!$B$3:$B$23,'[1]T&amp;C emissions for 2050 analysis'!$C$3:$C$23)</f>
        <v>0.10999999999999999</v>
      </c>
      <c r="I390" s="27">
        <f t="shared" si="18"/>
        <v>1.7215834679999997E-2</v>
      </c>
      <c r="J390" s="129">
        <f t="shared" si="19"/>
        <v>0.37916999999999995</v>
      </c>
    </row>
    <row r="391" spans="1:10" hidden="1" x14ac:dyDescent="0.35">
      <c r="A391" s="126" t="s">
        <v>432</v>
      </c>
      <c r="B391" t="str">
        <f>_xlfn.XLOOKUP(A391,'[1]2050Pop'!$A$7:$A$143,'[1]2050Pop'!$D$7:$D$143)</f>
        <v>SSA</v>
      </c>
      <c r="C391" s="127">
        <f>1000*_xlfn.XLOOKUP(A391,'[1]2050Pop'!$A$7:$A$143,'[1]2050Pop'!$C$7:$C$143)</f>
        <v>1249</v>
      </c>
      <c r="D391" s="126" t="s">
        <v>495</v>
      </c>
      <c r="E391" s="128">
        <v>0.47099999999999997</v>
      </c>
      <c r="F391" s="129">
        <f t="shared" si="20"/>
        <v>5.8827900000000004E-4</v>
      </c>
      <c r="G391" t="str">
        <f>_xlfn.XLOOKUP(D391,'[1]2050 BAU Mapping to T &amp; C'!$A$3:$A$52,'[1]2050 BAU Mapping to T &amp; C'!$B$3:$B$52)</f>
        <v>Starchy roots</v>
      </c>
      <c r="H391" s="129">
        <f>_xlfn.XLOOKUP(G391,'[1]T&amp;C emissions for 2050 analysis'!$B$3:$B$23,'[1]T&amp;C emissions for 2050 analysis'!$C$3:$C$23)</f>
        <v>0.10999999999999999</v>
      </c>
      <c r="I391" s="27">
        <f t="shared" si="18"/>
        <v>6.4710690000000003E-5</v>
      </c>
      <c r="J391" s="129">
        <f t="shared" si="19"/>
        <v>5.1809999999999988E-2</v>
      </c>
    </row>
    <row r="392" spans="1:10" hidden="1" x14ac:dyDescent="0.35">
      <c r="A392" s="126" t="s">
        <v>434</v>
      </c>
      <c r="B392" t="str">
        <f>_xlfn.XLOOKUP(A392,'[1]2050Pop'!$A$7:$A$143,'[1]2050Pop'!$D$7:$D$143)</f>
        <v>APAC</v>
      </c>
      <c r="C392" s="127">
        <f>1000*_xlfn.XLOOKUP(A392,'[1]2050Pop'!$A$7:$A$143,'[1]2050Pop'!$C$7:$C$143)</f>
        <v>4027.9999999999995</v>
      </c>
      <c r="D392" s="126" t="s">
        <v>495</v>
      </c>
      <c r="E392" s="128">
        <v>2.2480000000000002</v>
      </c>
      <c r="F392" s="129">
        <f t="shared" si="20"/>
        <v>9.0549439999999988E-3</v>
      </c>
      <c r="G392" t="str">
        <f>_xlfn.XLOOKUP(D392,'[1]2050 BAU Mapping to T &amp; C'!$A$3:$A$52,'[1]2050 BAU Mapping to T &amp; C'!$B$3:$B$52)</f>
        <v>Starchy roots</v>
      </c>
      <c r="H392" s="129">
        <f>_xlfn.XLOOKUP(G392,'[1]T&amp;C emissions for 2050 analysis'!$B$3:$B$23,'[1]T&amp;C emissions for 2050 analysis'!$C$3:$C$23)</f>
        <v>0.10999999999999999</v>
      </c>
      <c r="I392" s="27">
        <f t="shared" si="18"/>
        <v>9.9604383999999974E-4</v>
      </c>
      <c r="J392" s="129">
        <f t="shared" si="19"/>
        <v>0.24728</v>
      </c>
    </row>
    <row r="393" spans="1:10" hidden="1" x14ac:dyDescent="0.35">
      <c r="A393" s="126" t="s">
        <v>436</v>
      </c>
      <c r="B393" t="str">
        <f>_xlfn.XLOOKUP(A393,'[1]2050Pop'!$A$7:$A$143,'[1]2050Pop'!$D$7:$D$143)</f>
        <v>SSA</v>
      </c>
      <c r="C393" s="127">
        <f>1000*_xlfn.XLOOKUP(A393,'[1]2050Pop'!$A$7:$A$143,'[1]2050Pop'!$C$7:$C$143)</f>
        <v>65544</v>
      </c>
      <c r="D393" s="126" t="s">
        <v>495</v>
      </c>
      <c r="E393" s="128">
        <v>619.17200000000003</v>
      </c>
      <c r="F393" s="129">
        <f t="shared" si="20"/>
        <v>40.583009568000001</v>
      </c>
      <c r="G393" t="str">
        <f>_xlfn.XLOOKUP(D393,'[1]2050 BAU Mapping to T &amp; C'!$A$3:$A$52,'[1]2050 BAU Mapping to T &amp; C'!$B$3:$B$52)</f>
        <v>Starchy roots</v>
      </c>
      <c r="H393" s="129">
        <f>_xlfn.XLOOKUP(G393,'[1]T&amp;C emissions for 2050 analysis'!$B$3:$B$23,'[1]T&amp;C emissions for 2050 analysis'!$C$3:$C$23)</f>
        <v>0.10999999999999999</v>
      </c>
      <c r="I393" s="27">
        <f t="shared" si="18"/>
        <v>4.46413105248</v>
      </c>
      <c r="J393" s="129">
        <f t="shared" si="19"/>
        <v>68.108919999999998</v>
      </c>
    </row>
    <row r="394" spans="1:10" hidden="1" x14ac:dyDescent="0.35">
      <c r="A394" s="126" t="s">
        <v>490</v>
      </c>
      <c r="B394" t="str">
        <f>_xlfn.XLOOKUP(A394,'[1]2050Pop'!$A$7:$A$143,'[1]2050Pop'!$D$7:$D$143)</f>
        <v>APAC</v>
      </c>
      <c r="C394" s="127">
        <f>1000*_xlfn.XLOOKUP(A394,'[1]2050Pop'!$A$7:$A$143,'[1]2050Pop'!$C$7:$C$143)</f>
        <v>63575</v>
      </c>
      <c r="D394" s="126" t="s">
        <v>495</v>
      </c>
      <c r="E394" s="128">
        <v>25.529</v>
      </c>
      <c r="F394" s="129">
        <f t="shared" si="20"/>
        <v>1.623006175</v>
      </c>
      <c r="G394" t="str">
        <f>_xlfn.XLOOKUP(D394,'[1]2050 BAU Mapping to T &amp; C'!$A$3:$A$52,'[1]2050 BAU Mapping to T &amp; C'!$B$3:$B$52)</f>
        <v>Starchy roots</v>
      </c>
      <c r="H394" s="129">
        <f>_xlfn.XLOOKUP(G394,'[1]T&amp;C emissions for 2050 analysis'!$B$3:$B$23,'[1]T&amp;C emissions for 2050 analysis'!$C$3:$C$23)</f>
        <v>0.10999999999999999</v>
      </c>
      <c r="I394" s="27">
        <f t="shared" si="18"/>
        <v>0.17853067924999999</v>
      </c>
      <c r="J394" s="129">
        <f t="shared" si="19"/>
        <v>2.8081899999999997</v>
      </c>
    </row>
    <row r="395" spans="1:10" hidden="1" x14ac:dyDescent="0.35">
      <c r="A395" s="126" t="s">
        <v>440</v>
      </c>
      <c r="B395" t="str">
        <f>_xlfn.XLOOKUP(A395,'[1]2050Pop'!$A$7:$A$143,'[1]2050Pop'!$D$7:$D$143)</f>
        <v>Euro/AU/NZ</v>
      </c>
      <c r="C395" s="127">
        <f>1000*_xlfn.XLOOKUP(A395,'[1]2050Pop'!$A$7:$A$143,'[1]2050Pop'!$C$7:$C$143)</f>
        <v>5607</v>
      </c>
      <c r="D395" s="126" t="s">
        <v>495</v>
      </c>
      <c r="E395" s="128">
        <v>0.77800000000000002</v>
      </c>
      <c r="F395" s="129">
        <f t="shared" si="20"/>
        <v>4.3622460000000002E-3</v>
      </c>
      <c r="G395" t="str">
        <f>_xlfn.XLOOKUP(D395,'[1]2050 BAU Mapping to T &amp; C'!$A$3:$A$52,'[1]2050 BAU Mapping to T &amp; C'!$B$3:$B$52)</f>
        <v>Starchy roots</v>
      </c>
      <c r="H395" s="129">
        <f>_xlfn.XLOOKUP(G395,'[1]T&amp;C emissions for 2050 analysis'!$B$3:$B$23,'[1]T&amp;C emissions for 2050 analysis'!$C$3:$C$23)</f>
        <v>0.10999999999999999</v>
      </c>
      <c r="I395" s="27">
        <f t="shared" si="18"/>
        <v>4.7984705999999997E-4</v>
      </c>
      <c r="J395" s="129">
        <f t="shared" si="19"/>
        <v>8.5579999999999989E-2</v>
      </c>
    </row>
    <row r="396" spans="1:10" hidden="1" x14ac:dyDescent="0.35">
      <c r="A396" s="126" t="s">
        <v>441</v>
      </c>
      <c r="B396" t="str">
        <f>_xlfn.XLOOKUP(A396,'[1]2050Pop'!$A$7:$A$143,'[1]2050Pop'!$D$7:$D$143)</f>
        <v>LatAm &amp; RSA</v>
      </c>
      <c r="C396" s="127">
        <f>1000*_xlfn.XLOOKUP(A396,'[1]2050Pop'!$A$7:$A$143,'[1]2050Pop'!$C$7:$C$143)</f>
        <v>7863</v>
      </c>
      <c r="D396" s="126" t="s">
        <v>495</v>
      </c>
      <c r="E396" s="128">
        <v>19.928999999999998</v>
      </c>
      <c r="F396" s="129">
        <f t="shared" si="20"/>
        <v>0.15670172699999999</v>
      </c>
      <c r="G396" t="str">
        <f>_xlfn.XLOOKUP(D396,'[1]2050 BAU Mapping to T &amp; C'!$A$3:$A$52,'[1]2050 BAU Mapping to T &amp; C'!$B$3:$B$52)</f>
        <v>Starchy roots</v>
      </c>
      <c r="H396" s="129">
        <f>_xlfn.XLOOKUP(G396,'[1]T&amp;C emissions for 2050 analysis'!$B$3:$B$23,'[1]T&amp;C emissions for 2050 analysis'!$C$3:$C$23)</f>
        <v>0.10999999999999999</v>
      </c>
      <c r="I396" s="27">
        <f t="shared" si="18"/>
        <v>1.7237189969999997E-2</v>
      </c>
      <c r="J396" s="129">
        <f t="shared" si="19"/>
        <v>2.1921899999999996</v>
      </c>
    </row>
    <row r="397" spans="1:10" hidden="1" x14ac:dyDescent="0.35">
      <c r="A397" s="126" t="s">
        <v>482</v>
      </c>
      <c r="B397" t="str">
        <f>_xlfn.XLOOKUP(A397,'[1]2050Pop'!$A$7:$A$143,'[1]2050Pop'!$D$7:$D$143)</f>
        <v>SSA</v>
      </c>
      <c r="C397" s="127">
        <f>1000*_xlfn.XLOOKUP(A397,'[1]2050Pop'!$A$7:$A$143,'[1]2050Pop'!$C$7:$C$143)</f>
        <v>72238</v>
      </c>
      <c r="D397" s="126" t="s">
        <v>495</v>
      </c>
      <c r="E397" s="130">
        <v>16.75</v>
      </c>
      <c r="F397" s="129">
        <f t="shared" si="20"/>
        <v>1.2099865000000001</v>
      </c>
      <c r="G397" t="str">
        <f>_xlfn.XLOOKUP(D397,'[1]2050 BAU Mapping to T &amp; C'!$A$3:$A$52,'[1]2050 BAU Mapping to T &amp; C'!$B$3:$B$52)</f>
        <v>Starchy roots</v>
      </c>
      <c r="H397" s="129">
        <f>_xlfn.XLOOKUP(G397,'[1]T&amp;C emissions for 2050 analysis'!$B$3:$B$23,'[1]T&amp;C emissions for 2050 analysis'!$C$3:$C$23)</f>
        <v>0.10999999999999999</v>
      </c>
      <c r="I397" s="27">
        <f t="shared" si="18"/>
        <v>0.133098515</v>
      </c>
      <c r="J397" s="129">
        <f t="shared" si="19"/>
        <v>1.8424999999999998</v>
      </c>
    </row>
    <row r="398" spans="1:10" hidden="1" x14ac:dyDescent="0.35">
      <c r="A398" s="126" t="s">
        <v>491</v>
      </c>
      <c r="B398" t="str">
        <f>_xlfn.XLOOKUP(A398,'[1]2050Pop'!$A$7:$A$143,'[1]2050Pop'!$D$7:$D$143)</f>
        <v>SSA</v>
      </c>
      <c r="C398" s="127">
        <f>1000*_xlfn.XLOOKUP(A398,'[1]2050Pop'!$A$7:$A$143,'[1]2050Pop'!$C$7:$C$143)</f>
        <v>398508</v>
      </c>
      <c r="D398" s="126" t="s">
        <v>495</v>
      </c>
      <c r="E398" s="128">
        <v>265.20100000000002</v>
      </c>
      <c r="F398" s="129">
        <f t="shared" si="20"/>
        <v>105.68472010800001</v>
      </c>
      <c r="G398" t="str">
        <f>_xlfn.XLOOKUP(D398,'[1]2050 BAU Mapping to T &amp; C'!$A$3:$A$52,'[1]2050 BAU Mapping to T &amp; C'!$B$3:$B$52)</f>
        <v>Starchy roots</v>
      </c>
      <c r="H398" s="129">
        <f>_xlfn.XLOOKUP(G398,'[1]T&amp;C emissions for 2050 analysis'!$B$3:$B$23,'[1]T&amp;C emissions for 2050 analysis'!$C$3:$C$23)</f>
        <v>0.10999999999999999</v>
      </c>
      <c r="I398" s="27">
        <f t="shared" si="18"/>
        <v>11.625319211879999</v>
      </c>
      <c r="J398" s="129">
        <f t="shared" si="19"/>
        <v>29.17211</v>
      </c>
    </row>
    <row r="399" spans="1:10" hidden="1" x14ac:dyDescent="0.35">
      <c r="A399" s="126" t="s">
        <v>444</v>
      </c>
      <c r="B399" t="str">
        <f>_xlfn.XLOOKUP(A399,'[1]2050Pop'!$A$7:$A$143,'[1]2050Pop'!$D$7:$D$143)</f>
        <v>LatAm &amp; RSA</v>
      </c>
      <c r="C399" s="127">
        <f>1000*_xlfn.XLOOKUP(A399,'[1]2050Pop'!$A$7:$A$143,'[1]2050Pop'!$C$7:$C$143)</f>
        <v>5599</v>
      </c>
      <c r="D399" s="126" t="s">
        <v>495</v>
      </c>
      <c r="E399" s="128">
        <v>7.8559999999999999</v>
      </c>
      <c r="F399" s="129">
        <f t="shared" si="20"/>
        <v>4.3985744E-2</v>
      </c>
      <c r="G399" t="str">
        <f>_xlfn.XLOOKUP(D399,'[1]2050 BAU Mapping to T &amp; C'!$A$3:$A$52,'[1]2050 BAU Mapping to T &amp; C'!$B$3:$B$52)</f>
        <v>Starchy roots</v>
      </c>
      <c r="H399" s="129">
        <f>_xlfn.XLOOKUP(G399,'[1]T&amp;C emissions for 2050 analysis'!$B$3:$B$23,'[1]T&amp;C emissions for 2050 analysis'!$C$3:$C$23)</f>
        <v>0.10999999999999999</v>
      </c>
      <c r="I399" s="27">
        <f t="shared" si="18"/>
        <v>4.8384318399999991E-3</v>
      </c>
      <c r="J399" s="129">
        <f t="shared" si="19"/>
        <v>0.86415999999999993</v>
      </c>
    </row>
    <row r="400" spans="1:10" hidden="1" x14ac:dyDescent="0.35">
      <c r="A400" s="126" t="s">
        <v>445</v>
      </c>
      <c r="B400" t="str">
        <f>_xlfn.XLOOKUP(A400,'[1]2050Pop'!$A$7:$A$143,'[1]2050Pop'!$D$7:$D$143)</f>
        <v>LatAm &amp; RSA</v>
      </c>
      <c r="C400" s="127">
        <f>1000*_xlfn.XLOOKUP(A400,'[1]2050Pop'!$A$7:$A$143,'[1]2050Pop'!$C$7:$C$143)</f>
        <v>8895</v>
      </c>
      <c r="D400" s="126" t="s">
        <v>495</v>
      </c>
      <c r="E400" s="128">
        <v>312.75299999999999</v>
      </c>
      <c r="F400" s="129">
        <f t="shared" si="20"/>
        <v>2.7819379350000002</v>
      </c>
      <c r="G400" t="str">
        <f>_xlfn.XLOOKUP(D400,'[1]2050 BAU Mapping to T &amp; C'!$A$3:$A$52,'[1]2050 BAU Mapping to T &amp; C'!$B$3:$B$52)</f>
        <v>Starchy roots</v>
      </c>
      <c r="H400" s="129">
        <f>_xlfn.XLOOKUP(G400,'[1]T&amp;C emissions for 2050 analysis'!$B$3:$B$23,'[1]T&amp;C emissions for 2050 analysis'!$C$3:$C$23)</f>
        <v>0.10999999999999999</v>
      </c>
      <c r="I400" s="27">
        <f t="shared" si="18"/>
        <v>0.30601317284999996</v>
      </c>
      <c r="J400" s="129">
        <f t="shared" si="19"/>
        <v>34.402829999999994</v>
      </c>
    </row>
    <row r="401" spans="1:10" hidden="1" x14ac:dyDescent="0.35">
      <c r="A401" s="126" t="s">
        <v>446</v>
      </c>
      <c r="B401" t="str">
        <f>_xlfn.XLOOKUP(A401,'[1]2050Pop'!$A$7:$A$143,'[1]2050Pop'!$D$7:$D$143)</f>
        <v>LatAm &amp; RSA</v>
      </c>
      <c r="C401" s="127">
        <f>1000*_xlfn.XLOOKUP(A401,'[1]2050Pop'!$A$7:$A$143,'[1]2050Pop'!$C$7:$C$143)</f>
        <v>41899</v>
      </c>
      <c r="D401" s="126" t="s">
        <v>495</v>
      </c>
      <c r="E401" s="128">
        <v>79.828000000000003</v>
      </c>
      <c r="F401" s="129">
        <f t="shared" si="20"/>
        <v>3.3447133720000002</v>
      </c>
      <c r="G401" t="str">
        <f>_xlfn.XLOOKUP(D401,'[1]2050 BAU Mapping to T &amp; C'!$A$3:$A$52,'[1]2050 BAU Mapping to T &amp; C'!$B$3:$B$52)</f>
        <v>Starchy roots</v>
      </c>
      <c r="H401" s="129">
        <f>_xlfn.XLOOKUP(G401,'[1]T&amp;C emissions for 2050 analysis'!$B$3:$B$23,'[1]T&amp;C emissions for 2050 analysis'!$C$3:$C$23)</f>
        <v>0.10999999999999999</v>
      </c>
      <c r="I401" s="27">
        <f t="shared" si="18"/>
        <v>0.36791847091999996</v>
      </c>
      <c r="J401" s="129">
        <f t="shared" si="19"/>
        <v>8.7810799999999993</v>
      </c>
    </row>
    <row r="402" spans="1:10" hidden="1" x14ac:dyDescent="0.35">
      <c r="A402" s="126" t="s">
        <v>447</v>
      </c>
      <c r="B402" t="str">
        <f>_xlfn.XLOOKUP(A402,'[1]2050Pop'!$A$7:$A$143,'[1]2050Pop'!$D$7:$D$143)</f>
        <v>APAC</v>
      </c>
      <c r="C402" s="127">
        <f>1000*_xlfn.XLOOKUP(A402,'[1]2050Pop'!$A$7:$A$143,'[1]2050Pop'!$C$7:$C$143)</f>
        <v>148260</v>
      </c>
      <c r="D402" s="126" t="s">
        <v>495</v>
      </c>
      <c r="E402" s="128">
        <v>60.287999999999997</v>
      </c>
      <c r="F402" s="129">
        <f t="shared" si="20"/>
        <v>8.9382988799999996</v>
      </c>
      <c r="G402" t="str">
        <f>_xlfn.XLOOKUP(D402,'[1]2050 BAU Mapping to T &amp; C'!$A$3:$A$52,'[1]2050 BAU Mapping to T &amp; C'!$B$3:$B$52)</f>
        <v>Starchy roots</v>
      </c>
      <c r="H402" s="129">
        <f>_xlfn.XLOOKUP(G402,'[1]T&amp;C emissions for 2050 analysis'!$B$3:$B$23,'[1]T&amp;C emissions for 2050 analysis'!$C$3:$C$23)</f>
        <v>0.10999999999999999</v>
      </c>
      <c r="I402" s="27">
        <f t="shared" si="18"/>
        <v>0.9832128767999998</v>
      </c>
      <c r="J402" s="129">
        <f t="shared" si="19"/>
        <v>6.6316799999999985</v>
      </c>
    </row>
    <row r="403" spans="1:10" hidden="1" x14ac:dyDescent="0.35">
      <c r="A403" s="126" t="s">
        <v>452</v>
      </c>
      <c r="B403" t="str">
        <f>_xlfn.XLOOKUP(A403,'[1]2050Pop'!$A$7:$A$143,'[1]2050Pop'!$D$7:$D$143)</f>
        <v>SSA</v>
      </c>
      <c r="C403" s="127">
        <f>1000*_xlfn.XLOOKUP(A403,'[1]2050Pop'!$A$7:$A$143,'[1]2050Pop'!$C$7:$C$143)</f>
        <v>10732</v>
      </c>
      <c r="D403" s="126" t="s">
        <v>495</v>
      </c>
      <c r="E403" s="128">
        <v>729.35500000000002</v>
      </c>
      <c r="F403" s="129">
        <f t="shared" si="20"/>
        <v>7.8274378600000007</v>
      </c>
      <c r="G403" t="str">
        <f>_xlfn.XLOOKUP(D403,'[1]2050 BAU Mapping to T &amp; C'!$A$3:$A$52,'[1]2050 BAU Mapping to T &amp; C'!$B$3:$B$52)</f>
        <v>Starchy roots</v>
      </c>
      <c r="H403" s="129">
        <f>_xlfn.XLOOKUP(G403,'[1]T&amp;C emissions for 2050 analysis'!$B$3:$B$23,'[1]T&amp;C emissions for 2050 analysis'!$C$3:$C$23)</f>
        <v>0.10999999999999999</v>
      </c>
      <c r="I403" s="27">
        <f t="shared" si="18"/>
        <v>0.86101816460000002</v>
      </c>
      <c r="J403" s="129">
        <f t="shared" si="19"/>
        <v>80.229049999999987</v>
      </c>
    </row>
    <row r="404" spans="1:10" hidden="1" x14ac:dyDescent="0.35">
      <c r="A404" s="126" t="s">
        <v>455</v>
      </c>
      <c r="B404" t="str">
        <f>_xlfn.XLOOKUP(A404,'[1]2050Pop'!$A$7:$A$143,'[1]2050Pop'!$D$7:$D$143)</f>
        <v>SSA</v>
      </c>
      <c r="C404" s="127">
        <f>1000*_xlfn.XLOOKUP(A404,'[1]2050Pop'!$A$7:$A$143,'[1]2050Pop'!$C$7:$C$143)</f>
        <v>21187</v>
      </c>
      <c r="D404" s="126" t="s">
        <v>495</v>
      </c>
      <c r="E404" s="128">
        <v>203.434</v>
      </c>
      <c r="F404" s="129">
        <f t="shared" si="20"/>
        <v>4.3101561579999998</v>
      </c>
      <c r="G404" t="str">
        <f>_xlfn.XLOOKUP(D404,'[1]2050 BAU Mapping to T &amp; C'!$A$3:$A$52,'[1]2050 BAU Mapping to T &amp; C'!$B$3:$B$52)</f>
        <v>Starchy roots</v>
      </c>
      <c r="H404" s="129">
        <f>_xlfn.XLOOKUP(G404,'[1]T&amp;C emissions for 2050 analysis'!$B$3:$B$23,'[1]T&amp;C emissions for 2050 analysis'!$C$3:$C$23)</f>
        <v>0.10999999999999999</v>
      </c>
      <c r="I404" s="27">
        <f t="shared" si="18"/>
        <v>0.47411717737999992</v>
      </c>
      <c r="J404" s="129">
        <f t="shared" si="19"/>
        <v>22.377739999999996</v>
      </c>
    </row>
    <row r="405" spans="1:10" hidden="1" x14ac:dyDescent="0.35">
      <c r="A405" s="126" t="s">
        <v>457</v>
      </c>
      <c r="B405" t="str">
        <f>_xlfn.XLOOKUP(A405,'[1]2050Pop'!$A$7:$A$143,'[1]2050Pop'!$D$7:$D$143)</f>
        <v>SSA</v>
      </c>
      <c r="C405" s="127">
        <f>1000*_xlfn.XLOOKUP(A405,'[1]2050Pop'!$A$7:$A$143,'[1]2050Pop'!$C$7:$C$143)</f>
        <v>36223</v>
      </c>
      <c r="D405" s="126" t="s">
        <v>495</v>
      </c>
      <c r="E405" s="130">
        <v>21.88</v>
      </c>
      <c r="F405" s="129">
        <f t="shared" si="20"/>
        <v>0.79255924</v>
      </c>
      <c r="G405" t="str">
        <f>_xlfn.XLOOKUP(D405,'[1]2050 BAU Mapping to T &amp; C'!$A$3:$A$52,'[1]2050 BAU Mapping to T &amp; C'!$B$3:$B$52)</f>
        <v>Starchy roots</v>
      </c>
      <c r="H405" s="129">
        <f>_xlfn.XLOOKUP(G405,'[1]T&amp;C emissions for 2050 analysis'!$B$3:$B$23,'[1]T&amp;C emissions for 2050 analysis'!$C$3:$C$23)</f>
        <v>0.10999999999999999</v>
      </c>
      <c r="I405" s="27">
        <f t="shared" si="18"/>
        <v>8.7181516399999992E-2</v>
      </c>
      <c r="J405" s="129">
        <f t="shared" si="19"/>
        <v>2.4067999999999996</v>
      </c>
    </row>
    <row r="406" spans="1:10" hidden="1" x14ac:dyDescent="0.35">
      <c r="A406" s="126" t="s">
        <v>492</v>
      </c>
      <c r="B406" t="str">
        <f>_xlfn.XLOOKUP(A406,'[1]2050Pop'!$A$7:$A$143,'[1]2050Pop'!$D$7:$D$143)</f>
        <v>SSA</v>
      </c>
      <c r="C406" s="127">
        <f>1000*_xlfn.XLOOKUP(A406,'[1]2050Pop'!$A$7:$A$143,'[1]2050Pop'!$C$7:$C$143)</f>
        <v>11392</v>
      </c>
      <c r="D406" s="126" t="s">
        <v>495</v>
      </c>
      <c r="E406" s="128">
        <v>304.27600000000001</v>
      </c>
      <c r="F406" s="129">
        <f t="shared" si="20"/>
        <v>3.4663121920000002</v>
      </c>
      <c r="G406" t="str">
        <f>_xlfn.XLOOKUP(D406,'[1]2050 BAU Mapping to T &amp; C'!$A$3:$A$52,'[1]2050 BAU Mapping to T &amp; C'!$B$3:$B$52)</f>
        <v>Starchy roots</v>
      </c>
      <c r="H406" s="129">
        <f>_xlfn.XLOOKUP(G406,'[1]T&amp;C emissions for 2050 analysis'!$B$3:$B$23,'[1]T&amp;C emissions for 2050 analysis'!$C$3:$C$23)</f>
        <v>0.10999999999999999</v>
      </c>
      <c r="I406" s="27">
        <f t="shared" si="18"/>
        <v>0.38129434111999999</v>
      </c>
      <c r="J406" s="129">
        <f t="shared" si="19"/>
        <v>33.470359999999999</v>
      </c>
    </row>
    <row r="407" spans="1:10" hidden="1" x14ac:dyDescent="0.35">
      <c r="A407" s="126" t="s">
        <v>493</v>
      </c>
      <c r="B407" t="str">
        <f>_xlfn.XLOOKUP(A407,'[1]2050Pop'!$A$7:$A$143,'[1]2050Pop'!$D$7:$D$143)</f>
        <v>India/South Asia</v>
      </c>
      <c r="C407" s="127">
        <f>1000*_xlfn.XLOOKUP(A407,'[1]2050Pop'!$A$7:$A$143,'[1]2050Pop'!$C$7:$C$143)</f>
        <v>20836</v>
      </c>
      <c r="D407" s="126" t="s">
        <v>495</v>
      </c>
      <c r="E407" s="128">
        <v>33.106000000000002</v>
      </c>
      <c r="F407" s="129">
        <f t="shared" si="20"/>
        <v>0.68979661600000008</v>
      </c>
      <c r="G407" t="str">
        <f>_xlfn.XLOOKUP(D407,'[1]2050 BAU Mapping to T &amp; C'!$A$3:$A$52,'[1]2050 BAU Mapping to T &amp; C'!$B$3:$B$52)</f>
        <v>Starchy roots</v>
      </c>
      <c r="H407" s="129">
        <f>_xlfn.XLOOKUP(G407,'[1]T&amp;C emissions for 2050 analysis'!$B$3:$B$23,'[1]T&amp;C emissions for 2050 analysis'!$C$3:$C$23)</f>
        <v>0.10999999999999999</v>
      </c>
      <c r="I407" s="27">
        <f t="shared" si="18"/>
        <v>7.5877627759999997E-2</v>
      </c>
      <c r="J407" s="129">
        <f t="shared" si="19"/>
        <v>3.6416599999999999</v>
      </c>
    </row>
    <row r="408" spans="1:10" hidden="1" x14ac:dyDescent="0.35">
      <c r="A408" s="126" t="s">
        <v>462</v>
      </c>
      <c r="B408" t="str">
        <f>_xlfn.XLOOKUP(A408,'[1]2050Pop'!$A$7:$A$143,'[1]2050Pop'!$D$7:$D$143)</f>
        <v>LatAm &amp; RSA</v>
      </c>
      <c r="C408" s="127">
        <f>1000*_xlfn.XLOOKUP(A408,'[1]2050Pop'!$A$7:$A$143,'[1]2050Pop'!$C$7:$C$143)</f>
        <v>624</v>
      </c>
      <c r="D408" s="126" t="s">
        <v>495</v>
      </c>
      <c r="E408" s="128">
        <v>12.592000000000001</v>
      </c>
      <c r="F408" s="129">
        <f t="shared" si="20"/>
        <v>7.8574079999999998E-3</v>
      </c>
      <c r="G408" t="str">
        <f>_xlfn.XLOOKUP(D408,'[1]2050 BAU Mapping to T &amp; C'!$A$3:$A$52,'[1]2050 BAU Mapping to T &amp; C'!$B$3:$B$52)</f>
        <v>Starchy roots</v>
      </c>
      <c r="H408" s="129">
        <f>_xlfn.XLOOKUP(G408,'[1]T&amp;C emissions for 2050 analysis'!$B$3:$B$23,'[1]T&amp;C emissions for 2050 analysis'!$C$3:$C$23)</f>
        <v>0.10999999999999999</v>
      </c>
      <c r="I408" s="27">
        <f t="shared" si="18"/>
        <v>8.6431487999999988E-4</v>
      </c>
      <c r="J408" s="129">
        <f t="shared" si="19"/>
        <v>1.3851199999999999</v>
      </c>
    </row>
    <row r="409" spans="1:10" hidden="1" x14ac:dyDescent="0.35">
      <c r="A409" s="126" t="s">
        <v>465</v>
      </c>
      <c r="B409" t="str">
        <f>_xlfn.XLOOKUP(A409,'[1]2050Pop'!$A$7:$A$143,'[1]2050Pop'!$D$7:$D$143)</f>
        <v>APAC</v>
      </c>
      <c r="C409" s="127">
        <f>1000*_xlfn.XLOOKUP(A409,'[1]2050Pop'!$A$7:$A$143,'[1]2050Pop'!$C$7:$C$143)</f>
        <v>62452</v>
      </c>
      <c r="D409" s="126" t="s">
        <v>495</v>
      </c>
      <c r="E409" s="128">
        <v>33.716999999999999</v>
      </c>
      <c r="F409" s="129">
        <f t="shared" si="20"/>
        <v>2.1056940839999996</v>
      </c>
      <c r="G409" t="str">
        <f>_xlfn.XLOOKUP(D409,'[1]2050 BAU Mapping to T &amp; C'!$A$3:$A$52,'[1]2050 BAU Mapping to T &amp; C'!$B$3:$B$52)</f>
        <v>Starchy roots</v>
      </c>
      <c r="H409" s="129">
        <f>_xlfn.XLOOKUP(G409,'[1]T&amp;C emissions for 2050 analysis'!$B$3:$B$23,'[1]T&amp;C emissions for 2050 analysis'!$C$3:$C$23)</f>
        <v>0.10999999999999999</v>
      </c>
      <c r="I409" s="27">
        <f t="shared" si="18"/>
        <v>0.23162634923999992</v>
      </c>
      <c r="J409" s="129">
        <f t="shared" si="19"/>
        <v>3.7088699999999992</v>
      </c>
    </row>
    <row r="410" spans="1:10" hidden="1" x14ac:dyDescent="0.35">
      <c r="A410" s="126" t="s">
        <v>466</v>
      </c>
      <c r="B410" t="str">
        <f>_xlfn.XLOOKUP(A410,'[1]2050Pop'!$A$7:$A$143,'[1]2050Pop'!$D$7:$D$143)</f>
        <v>SSA</v>
      </c>
      <c r="C410" s="127">
        <f>1000*_xlfn.XLOOKUP(A410,'[1]2050Pop'!$A$7:$A$143,'[1]2050Pop'!$C$7:$C$143)</f>
        <v>15681</v>
      </c>
      <c r="D410" s="126" t="s">
        <v>495</v>
      </c>
      <c r="E410" s="130">
        <v>354.73</v>
      </c>
      <c r="F410" s="129">
        <f t="shared" si="20"/>
        <v>5.5625211299999995</v>
      </c>
      <c r="G410" t="str">
        <f>_xlfn.XLOOKUP(D410,'[1]2050 BAU Mapping to T &amp; C'!$A$3:$A$52,'[1]2050 BAU Mapping to T &amp; C'!$B$3:$B$52)</f>
        <v>Starchy roots</v>
      </c>
      <c r="H410" s="129">
        <f>_xlfn.XLOOKUP(G410,'[1]T&amp;C emissions for 2050 analysis'!$B$3:$B$23,'[1]T&amp;C emissions for 2050 analysis'!$C$3:$C$23)</f>
        <v>0.10999999999999999</v>
      </c>
      <c r="I410" s="27">
        <f t="shared" si="18"/>
        <v>0.61187732429999986</v>
      </c>
      <c r="J410" s="129">
        <f t="shared" si="19"/>
        <v>39.020299999999999</v>
      </c>
    </row>
    <row r="411" spans="1:10" hidden="1" x14ac:dyDescent="0.35">
      <c r="A411" s="126" t="s">
        <v>467</v>
      </c>
      <c r="B411" t="str">
        <f>_xlfn.XLOOKUP(A411,'[1]2050Pop'!$A$7:$A$143,'[1]2050Pop'!$D$7:$D$143)</f>
        <v>LatAm &amp; RSA</v>
      </c>
      <c r="C411" s="127">
        <f>1000*_xlfn.XLOOKUP(A411,'[1]2050Pop'!$A$7:$A$143,'[1]2050Pop'!$C$7:$C$143)</f>
        <v>1291</v>
      </c>
      <c r="D411" s="126" t="s">
        <v>495</v>
      </c>
      <c r="E411" s="128">
        <v>2.4350000000000001</v>
      </c>
      <c r="F411" s="129">
        <f t="shared" si="20"/>
        <v>3.143585E-3</v>
      </c>
      <c r="G411" t="str">
        <f>_xlfn.XLOOKUP(D411,'[1]2050 BAU Mapping to T &amp; C'!$A$3:$A$52,'[1]2050 BAU Mapping to T &amp; C'!$B$3:$B$52)</f>
        <v>Starchy roots</v>
      </c>
      <c r="H411" s="129">
        <f>_xlfn.XLOOKUP(G411,'[1]T&amp;C emissions for 2050 analysis'!$B$3:$B$23,'[1]T&amp;C emissions for 2050 analysis'!$C$3:$C$23)</f>
        <v>0.10999999999999999</v>
      </c>
      <c r="I411" s="27">
        <f t="shared" si="18"/>
        <v>3.4579434999999997E-4</v>
      </c>
      <c r="J411" s="129">
        <f t="shared" si="19"/>
        <v>0.26784999999999998</v>
      </c>
    </row>
    <row r="412" spans="1:10" hidden="1" x14ac:dyDescent="0.35">
      <c r="A412" s="126" t="s">
        <v>470</v>
      </c>
      <c r="B412" t="str">
        <f>_xlfn.XLOOKUP(A412,'[1]2050Pop'!$A$7:$A$143,'[1]2050Pop'!$D$7:$D$143)</f>
        <v>SSA</v>
      </c>
      <c r="C412" s="127">
        <f>1000*_xlfn.XLOOKUP(A412,'[1]2050Pop'!$A$7:$A$143,'[1]2050Pop'!$C$7:$C$143)</f>
        <v>101873</v>
      </c>
      <c r="D412" s="126" t="s">
        <v>495</v>
      </c>
      <c r="E412" s="128">
        <v>203.31899999999999</v>
      </c>
      <c r="F412" s="129">
        <f t="shared" si="20"/>
        <v>20.712716486999998</v>
      </c>
      <c r="G412" t="str">
        <f>_xlfn.XLOOKUP(D412,'[1]2050 BAU Mapping to T &amp; C'!$A$3:$A$52,'[1]2050 BAU Mapping to T &amp; C'!$B$3:$B$52)</f>
        <v>Starchy roots</v>
      </c>
      <c r="H412" s="129">
        <f>_xlfn.XLOOKUP(G412,'[1]T&amp;C emissions for 2050 analysis'!$B$3:$B$23,'[1]T&amp;C emissions for 2050 analysis'!$C$3:$C$23)</f>
        <v>0.10999999999999999</v>
      </c>
      <c r="I412" s="27">
        <f t="shared" si="18"/>
        <v>2.2783988135699995</v>
      </c>
      <c r="J412" s="129">
        <f t="shared" si="19"/>
        <v>22.365089999999995</v>
      </c>
    </row>
    <row r="413" spans="1:10" hidden="1" x14ac:dyDescent="0.35">
      <c r="A413" s="126" t="s">
        <v>473</v>
      </c>
      <c r="B413" t="str">
        <f>_xlfn.XLOOKUP(A413,'[1]2050Pop'!$A$7:$A$143,'[1]2050Pop'!$D$7:$D$143)</f>
        <v>SSA</v>
      </c>
      <c r="C413" s="127">
        <f>1000*_xlfn.XLOOKUP(A413,'[1]2050Pop'!$A$7:$A$143,'[1]2050Pop'!$C$7:$C$143)</f>
        <v>137136</v>
      </c>
      <c r="D413" s="126" t="s">
        <v>495</v>
      </c>
      <c r="E413" s="128">
        <v>142.13300000000001</v>
      </c>
      <c r="F413" s="129">
        <f t="shared" si="20"/>
        <v>19.491551087999998</v>
      </c>
      <c r="G413" t="str">
        <f>_xlfn.XLOOKUP(D413,'[1]2050 BAU Mapping to T &amp; C'!$A$3:$A$52,'[1]2050 BAU Mapping to T &amp; C'!$B$3:$B$52)</f>
        <v>Starchy roots</v>
      </c>
      <c r="H413" s="129">
        <f>_xlfn.XLOOKUP(G413,'[1]T&amp;C emissions for 2050 analysis'!$B$3:$B$23,'[1]T&amp;C emissions for 2050 analysis'!$C$3:$C$23)</f>
        <v>0.10999999999999999</v>
      </c>
      <c r="I413" s="27">
        <f t="shared" si="18"/>
        <v>2.1440706196799995</v>
      </c>
      <c r="J413" s="129">
        <f t="shared" si="19"/>
        <v>15.63463</v>
      </c>
    </row>
    <row r="414" spans="1:10" hidden="1" x14ac:dyDescent="0.35">
      <c r="A414" s="126" t="s">
        <v>475</v>
      </c>
      <c r="B414" t="str">
        <f>_xlfn.XLOOKUP(A414,'[1]2050Pop'!$A$7:$A$143,'[1]2050Pop'!$D$7:$D$143)</f>
        <v>LatAm &amp; RSA</v>
      </c>
      <c r="C414" s="127">
        <f>1000*_xlfn.XLOOKUP(A414,'[1]2050Pop'!$A$7:$A$143,'[1]2050Pop'!$C$7:$C$143)</f>
        <v>3667</v>
      </c>
      <c r="D414" s="126" t="s">
        <v>495</v>
      </c>
      <c r="E414" s="128">
        <v>0.57299999999999995</v>
      </c>
      <c r="F414" s="129">
        <f t="shared" si="20"/>
        <v>2.1011909999999996E-3</v>
      </c>
      <c r="G414" t="str">
        <f>_xlfn.XLOOKUP(D414,'[1]2050 BAU Mapping to T &amp; C'!$A$3:$A$52,'[1]2050 BAU Mapping to T &amp; C'!$B$3:$B$52)</f>
        <v>Starchy roots</v>
      </c>
      <c r="H414" s="129">
        <f>_xlfn.XLOOKUP(G414,'[1]T&amp;C emissions for 2050 analysis'!$B$3:$B$23,'[1]T&amp;C emissions for 2050 analysis'!$C$3:$C$23)</f>
        <v>0.10999999999999999</v>
      </c>
      <c r="I414" s="27">
        <f t="shared" si="18"/>
        <v>2.3113100999999994E-4</v>
      </c>
      <c r="J414" s="129">
        <f t="shared" si="19"/>
        <v>6.3029999999999989E-2</v>
      </c>
    </row>
    <row r="415" spans="1:10" hidden="1" x14ac:dyDescent="0.35">
      <c r="A415" s="126" t="s">
        <v>476</v>
      </c>
      <c r="B415" t="str">
        <f>_xlfn.XLOOKUP(A415,'[1]2050Pop'!$A$7:$A$143,'[1]2050Pop'!$D$7:$D$143)</f>
        <v>LatAm &amp; RSA</v>
      </c>
      <c r="C415" s="127">
        <f>1000*_xlfn.XLOOKUP(A415,'[1]2050Pop'!$A$7:$A$143,'[1]2050Pop'!$C$7:$C$143)</f>
        <v>41562</v>
      </c>
      <c r="D415" s="126" t="s">
        <v>495</v>
      </c>
      <c r="E415" s="128">
        <v>18.657</v>
      </c>
      <c r="F415" s="129">
        <f t="shared" si="20"/>
        <v>0.7754222340000001</v>
      </c>
      <c r="G415" t="str">
        <f>_xlfn.XLOOKUP(D415,'[1]2050 BAU Mapping to T &amp; C'!$A$3:$A$52,'[1]2050 BAU Mapping to T &amp; C'!$B$3:$B$52)</f>
        <v>Starchy roots</v>
      </c>
      <c r="H415" s="129">
        <f>_xlfn.XLOOKUP(G415,'[1]T&amp;C emissions for 2050 analysis'!$B$3:$B$23,'[1]T&amp;C emissions for 2050 analysis'!$C$3:$C$23)</f>
        <v>0.10999999999999999</v>
      </c>
      <c r="I415" s="27">
        <f t="shared" si="18"/>
        <v>8.5296445740000004E-2</v>
      </c>
      <c r="J415" s="129">
        <f t="shared" si="19"/>
        <v>2.0522699999999996</v>
      </c>
    </row>
    <row r="416" spans="1:10" hidden="1" x14ac:dyDescent="0.35">
      <c r="A416" s="126" t="s">
        <v>477</v>
      </c>
      <c r="B416" t="str">
        <f>_xlfn.XLOOKUP(A416,'[1]2050Pop'!$A$7:$A$143,'[1]2050Pop'!$D$7:$D$143)</f>
        <v>APAC</v>
      </c>
      <c r="C416" s="127">
        <f>1000*_xlfn.XLOOKUP(A416,'[1]2050Pop'!$A$7:$A$143,'[1]2050Pop'!$C$7:$C$143)</f>
        <v>112783</v>
      </c>
      <c r="D416" s="126" t="s">
        <v>495</v>
      </c>
      <c r="E416" s="128">
        <v>19.074000000000002</v>
      </c>
      <c r="F416" s="129">
        <f t="shared" si="20"/>
        <v>2.1512229420000004</v>
      </c>
      <c r="G416" t="str">
        <f>_xlfn.XLOOKUP(D416,'[1]2050 BAU Mapping to T &amp; C'!$A$3:$A$52,'[1]2050 BAU Mapping to T &amp; C'!$B$3:$B$52)</f>
        <v>Starchy roots</v>
      </c>
      <c r="H416" s="129">
        <f>_xlfn.XLOOKUP(G416,'[1]T&amp;C emissions for 2050 analysis'!$B$3:$B$23,'[1]T&amp;C emissions for 2050 analysis'!$C$3:$C$23)</f>
        <v>0.10999999999999999</v>
      </c>
      <c r="I416" s="27">
        <f t="shared" si="18"/>
        <v>0.23663452362000001</v>
      </c>
      <c r="J416" s="129">
        <f t="shared" si="19"/>
        <v>2.0981399999999999</v>
      </c>
    </row>
    <row r="417" spans="1:10" hidden="1" x14ac:dyDescent="0.35">
      <c r="A417" s="126" t="s">
        <v>494</v>
      </c>
      <c r="B417" t="str">
        <f>_xlfn.XLOOKUP(A417,'[1]2050Pop'!$A$7:$A$143,'[1]2050Pop'!$D$7:$D$143)</f>
        <v>SSA</v>
      </c>
      <c r="C417" s="127">
        <f>1000*_xlfn.XLOOKUP(A417,'[1]2050Pop'!$A$7:$A$143,'[1]2050Pop'!$C$7:$C$143)</f>
        <v>42975</v>
      </c>
      <c r="D417" s="126" t="s">
        <v>495</v>
      </c>
      <c r="E417" s="128">
        <v>221.376</v>
      </c>
      <c r="F417" s="129">
        <f t="shared" si="20"/>
        <v>9.5136336000000004</v>
      </c>
      <c r="G417" t="str">
        <f>_xlfn.XLOOKUP(D417,'[1]2050 BAU Mapping to T &amp; C'!$A$3:$A$52,'[1]2050 BAU Mapping to T &amp; C'!$B$3:$B$52)</f>
        <v>Starchy roots</v>
      </c>
      <c r="H417" s="129">
        <f>_xlfn.XLOOKUP(G417,'[1]T&amp;C emissions for 2050 analysis'!$B$3:$B$23,'[1]T&amp;C emissions for 2050 analysis'!$C$3:$C$23)</f>
        <v>0.10999999999999999</v>
      </c>
      <c r="I417" s="27">
        <f t="shared" si="18"/>
        <v>1.0464996959999999</v>
      </c>
      <c r="J417" s="129">
        <f t="shared" si="19"/>
        <v>24.351359999999996</v>
      </c>
    </row>
    <row r="418" spans="1:10" hidden="1" x14ac:dyDescent="0.35">
      <c r="A418" s="126" t="s">
        <v>479</v>
      </c>
      <c r="B418" t="str">
        <f>_xlfn.XLOOKUP(A418,'[1]2050Pop'!$A$7:$A$143,'[1]2050Pop'!$D$7:$D$143)</f>
        <v>SSA</v>
      </c>
      <c r="C418" s="127">
        <f>1000*_xlfn.XLOOKUP(A418,'[1]2050Pop'!$A$7:$A$143,'[1]2050Pop'!$C$7:$C$143)</f>
        <v>29615</v>
      </c>
      <c r="D418" s="126" t="s">
        <v>495</v>
      </c>
      <c r="E418" s="128">
        <v>44.368000000000002</v>
      </c>
      <c r="F418" s="129">
        <f t="shared" si="20"/>
        <v>1.31395832</v>
      </c>
      <c r="G418" t="str">
        <f>_xlfn.XLOOKUP(D418,'[1]2050 BAU Mapping to T &amp; C'!$A$3:$A$52,'[1]2050 BAU Mapping to T &amp; C'!$B$3:$B$52)</f>
        <v>Starchy roots</v>
      </c>
      <c r="H418" s="129">
        <f>_xlfn.XLOOKUP(G418,'[1]T&amp;C emissions for 2050 analysis'!$B$3:$B$23,'[1]T&amp;C emissions for 2050 analysis'!$C$3:$C$23)</f>
        <v>0.10999999999999999</v>
      </c>
      <c r="I418" s="27">
        <f t="shared" si="18"/>
        <v>0.14453541519999999</v>
      </c>
      <c r="J418" s="129">
        <f t="shared" si="19"/>
        <v>4.8804799999999995</v>
      </c>
    </row>
    <row r="419" spans="1:10" hidden="1" x14ac:dyDescent="0.35">
      <c r="A419" s="126" t="s">
        <v>355</v>
      </c>
      <c r="B419" t="str">
        <f>_xlfn.XLOOKUP(A419,'[1]2050Pop'!$A$7:$A$143,'[1]2050Pop'!$D$7:$D$143)</f>
        <v>India/South Asia</v>
      </c>
      <c r="C419" s="127">
        <f>1000*_xlfn.XLOOKUP(A419,'[1]2050Pop'!$A$7:$A$143,'[1]2050Pop'!$C$7:$C$143)</f>
        <v>55955</v>
      </c>
      <c r="D419" s="126" t="s">
        <v>496</v>
      </c>
      <c r="E419" s="130">
        <v>5.54</v>
      </c>
      <c r="F419" s="129">
        <f t="shared" si="20"/>
        <v>0.30999070000000001</v>
      </c>
      <c r="G419" t="str">
        <f>_xlfn.XLOOKUP(D419,'[1]2050 BAU Mapping to T &amp; C'!$A$3:$A$52,'[1]2050 BAU Mapping to T &amp; C'!$B$3:$B$52)</f>
        <v>Tropical Fruits</v>
      </c>
      <c r="H419" s="129">
        <f>_xlfn.XLOOKUP(G419,'[1]T&amp;C emissions for 2050 analysis'!$B$3:$B$23,'[1]T&amp;C emissions for 2050 analysis'!$C$3:$C$23)</f>
        <v>0.51333333333333331</v>
      </c>
      <c r="I419" s="27">
        <f t="shared" si="18"/>
        <v>0.15912855933333334</v>
      </c>
      <c r="J419" s="129">
        <f t="shared" si="19"/>
        <v>2.8438666666666665</v>
      </c>
    </row>
    <row r="420" spans="1:10" hidden="1" x14ac:dyDescent="0.35">
      <c r="A420" s="126" t="s">
        <v>357</v>
      </c>
      <c r="B420" t="str">
        <f>_xlfn.XLOOKUP(A420,'[1]2050Pop'!$A$7:$A$143,'[1]2050Pop'!$D$7:$D$143)</f>
        <v>Euro/AU/NZ</v>
      </c>
      <c r="C420" s="127">
        <f>1000*_xlfn.XLOOKUP(A420,'[1]2050Pop'!$A$7:$A$143,'[1]2050Pop'!$C$7:$C$143)</f>
        <v>2710</v>
      </c>
      <c r="D420" s="126" t="s">
        <v>496</v>
      </c>
      <c r="E420" s="128">
        <v>15.021000000000001</v>
      </c>
      <c r="F420" s="129">
        <f t="shared" si="20"/>
        <v>4.0706910000000006E-2</v>
      </c>
      <c r="G420" t="str">
        <f>_xlfn.XLOOKUP(D420,'[1]2050 BAU Mapping to T &amp; C'!$A$3:$A$52,'[1]2050 BAU Mapping to T &amp; C'!$B$3:$B$52)</f>
        <v>Tropical Fruits</v>
      </c>
      <c r="H420" s="129">
        <f>_xlfn.XLOOKUP(G420,'[1]T&amp;C emissions for 2050 analysis'!$B$3:$B$23,'[1]T&amp;C emissions for 2050 analysis'!$C$3:$C$23)</f>
        <v>0.51333333333333331</v>
      </c>
      <c r="I420" s="27">
        <f t="shared" si="18"/>
        <v>2.0896213800000001E-2</v>
      </c>
      <c r="J420" s="129">
        <f t="shared" si="19"/>
        <v>7.7107799999999997</v>
      </c>
    </row>
    <row r="421" spans="1:10" hidden="1" x14ac:dyDescent="0.35">
      <c r="A421" s="126" t="s">
        <v>358</v>
      </c>
      <c r="B421" t="str">
        <f>_xlfn.XLOOKUP(A421,'[1]2050Pop'!$A$7:$A$143,'[1]2050Pop'!$D$7:$D$143)</f>
        <v>MENA</v>
      </c>
      <c r="C421" s="127">
        <f>1000*_xlfn.XLOOKUP(A421,'[1]2050Pop'!$A$7:$A$143,'[1]2050Pop'!$C$7:$C$143)</f>
        <v>56461</v>
      </c>
      <c r="D421" s="126" t="s">
        <v>496</v>
      </c>
      <c r="E421" s="128">
        <v>25.579000000000001</v>
      </c>
      <c r="F421" s="129">
        <f t="shared" si="20"/>
        <v>1.4442159189999999</v>
      </c>
      <c r="G421" t="str">
        <f>_xlfn.XLOOKUP(D421,'[1]2050 BAU Mapping to T &amp; C'!$A$3:$A$52,'[1]2050 BAU Mapping to T &amp; C'!$B$3:$B$52)</f>
        <v>Tropical Fruits</v>
      </c>
      <c r="H421" s="129">
        <f>_xlfn.XLOOKUP(G421,'[1]T&amp;C emissions for 2050 analysis'!$B$3:$B$23,'[1]T&amp;C emissions for 2050 analysis'!$C$3:$C$23)</f>
        <v>0.51333333333333331</v>
      </c>
      <c r="I421" s="27">
        <f t="shared" si="18"/>
        <v>0.74136417175333325</v>
      </c>
      <c r="J421" s="129">
        <f t="shared" si="19"/>
        <v>13.130553333333333</v>
      </c>
    </row>
    <row r="422" spans="1:10" hidden="1" x14ac:dyDescent="0.35">
      <c r="A422" s="126" t="s">
        <v>359</v>
      </c>
      <c r="B422" t="str">
        <f>_xlfn.XLOOKUP(A422,'[1]2050Pop'!$A$7:$A$143,'[1]2050Pop'!$D$7:$D$143)</f>
        <v>SSA</v>
      </c>
      <c r="C422" s="127">
        <f>1000*_xlfn.XLOOKUP(A422,'[1]2050Pop'!$A$7:$A$143,'[1]2050Pop'!$C$7:$C$143)</f>
        <v>65473</v>
      </c>
      <c r="D422" s="126" t="s">
        <v>496</v>
      </c>
      <c r="E422" s="128">
        <v>8.2390000000000008</v>
      </c>
      <c r="F422" s="129">
        <f t="shared" si="20"/>
        <v>0.53943204700000003</v>
      </c>
      <c r="G422" t="str">
        <f>_xlfn.XLOOKUP(D422,'[1]2050 BAU Mapping to T &amp; C'!$A$3:$A$52,'[1]2050 BAU Mapping to T &amp; C'!$B$3:$B$52)</f>
        <v>Tropical Fruits</v>
      </c>
      <c r="H422" s="129">
        <f>_xlfn.XLOOKUP(G422,'[1]T&amp;C emissions for 2050 analysis'!$B$3:$B$23,'[1]T&amp;C emissions for 2050 analysis'!$C$3:$C$23)</f>
        <v>0.51333333333333331</v>
      </c>
      <c r="I422" s="27">
        <f t="shared" si="18"/>
        <v>0.27690845079333332</v>
      </c>
      <c r="J422" s="129">
        <f t="shared" si="19"/>
        <v>4.229353333333334</v>
      </c>
    </row>
    <row r="423" spans="1:10" hidden="1" x14ac:dyDescent="0.35">
      <c r="A423" s="126" t="s">
        <v>360</v>
      </c>
      <c r="B423" t="str">
        <f>_xlfn.XLOOKUP(A423,'[1]2050Pop'!$A$7:$A$143,'[1]2050Pop'!$D$7:$D$143)</f>
        <v>LatAm &amp; RSA</v>
      </c>
      <c r="C423" s="127">
        <f>1000*_xlfn.XLOOKUP(A423,'[1]2050Pop'!$A$7:$A$143,'[1]2050Pop'!$C$7:$C$143)</f>
        <v>55445</v>
      </c>
      <c r="D423" s="126" t="s">
        <v>496</v>
      </c>
      <c r="E423" s="128">
        <v>27.088000000000001</v>
      </c>
      <c r="F423" s="129">
        <f t="shared" si="20"/>
        <v>1.5018941600000002</v>
      </c>
      <c r="G423" t="str">
        <f>_xlfn.XLOOKUP(D423,'[1]2050 BAU Mapping to T &amp; C'!$A$3:$A$52,'[1]2050 BAU Mapping to T &amp; C'!$B$3:$B$52)</f>
        <v>Tropical Fruits</v>
      </c>
      <c r="H423" s="129">
        <f>_xlfn.XLOOKUP(G423,'[1]T&amp;C emissions for 2050 analysis'!$B$3:$B$23,'[1]T&amp;C emissions for 2050 analysis'!$C$3:$C$23)</f>
        <v>0.51333333333333331</v>
      </c>
      <c r="I423" s="27">
        <f t="shared" si="18"/>
        <v>0.77097233546666677</v>
      </c>
      <c r="J423" s="129">
        <f t="shared" si="19"/>
        <v>13.905173333333334</v>
      </c>
    </row>
    <row r="424" spans="1:10" hidden="1" x14ac:dyDescent="0.35">
      <c r="A424" s="126" t="s">
        <v>361</v>
      </c>
      <c r="B424" t="str">
        <f>_xlfn.XLOOKUP(A424,'[1]2050Pop'!$A$7:$A$143,'[1]2050Pop'!$D$7:$D$143)</f>
        <v>MENA</v>
      </c>
      <c r="C424" s="127">
        <f>1000*_xlfn.XLOOKUP(A424,'[1]2050Pop'!$A$7:$A$143,'[1]2050Pop'!$C$7:$C$143)</f>
        <v>2729</v>
      </c>
      <c r="D424" s="126" t="s">
        <v>496</v>
      </c>
      <c r="E424" s="128">
        <v>4.3369999999999997</v>
      </c>
      <c r="F424" s="129">
        <f t="shared" si="20"/>
        <v>1.1835673E-2</v>
      </c>
      <c r="G424" t="str">
        <f>_xlfn.XLOOKUP(D424,'[1]2050 BAU Mapping to T &amp; C'!$A$3:$A$52,'[1]2050 BAU Mapping to T &amp; C'!$B$3:$B$52)</f>
        <v>Tropical Fruits</v>
      </c>
      <c r="H424" s="129">
        <f>_xlfn.XLOOKUP(G424,'[1]T&amp;C emissions for 2050 analysis'!$B$3:$B$23,'[1]T&amp;C emissions for 2050 analysis'!$C$3:$C$23)</f>
        <v>0.51333333333333331</v>
      </c>
      <c r="I424" s="27">
        <f t="shared" si="18"/>
        <v>6.0756454733333328E-3</v>
      </c>
      <c r="J424" s="129">
        <f t="shared" si="19"/>
        <v>2.2263266666666666</v>
      </c>
    </row>
    <row r="425" spans="1:10" hidden="1" x14ac:dyDescent="0.35">
      <c r="A425" s="126" t="s">
        <v>362</v>
      </c>
      <c r="B425" t="str">
        <f>_xlfn.XLOOKUP(A425,'[1]2050Pop'!$A$7:$A$143,'[1]2050Pop'!$D$7:$D$143)</f>
        <v>Euro/AU/NZ</v>
      </c>
      <c r="C425" s="127">
        <f>1000*_xlfn.XLOOKUP(A425,'[1]2050Pop'!$A$7:$A$143,'[1]2050Pop'!$C$7:$C$143)</f>
        <v>33496</v>
      </c>
      <c r="D425" s="126" t="s">
        <v>496</v>
      </c>
      <c r="E425" s="128">
        <v>14.092000000000001</v>
      </c>
      <c r="F425" s="129">
        <f t="shared" si="20"/>
        <v>0.47202563200000003</v>
      </c>
      <c r="G425" t="str">
        <f>_xlfn.XLOOKUP(D425,'[1]2050 BAU Mapping to T &amp; C'!$A$3:$A$52,'[1]2050 BAU Mapping to T &amp; C'!$B$3:$B$52)</f>
        <v>Tropical Fruits</v>
      </c>
      <c r="H425" s="129">
        <f>_xlfn.XLOOKUP(G425,'[1]T&amp;C emissions for 2050 analysis'!$B$3:$B$23,'[1]T&amp;C emissions for 2050 analysis'!$C$3:$C$23)</f>
        <v>0.51333333333333331</v>
      </c>
      <c r="I425" s="27">
        <f t="shared" si="18"/>
        <v>0.24230649109333333</v>
      </c>
      <c r="J425" s="129">
        <f t="shared" si="19"/>
        <v>7.2338933333333335</v>
      </c>
    </row>
    <row r="426" spans="1:10" hidden="1" x14ac:dyDescent="0.35">
      <c r="A426" s="126" t="s">
        <v>363</v>
      </c>
      <c r="B426" t="str">
        <f>_xlfn.XLOOKUP(A426,'[1]2050Pop'!$A$7:$A$143,'[1]2050Pop'!$D$7:$D$143)</f>
        <v>Euro/AU/NZ</v>
      </c>
      <c r="C426" s="127">
        <f>1000*_xlfn.XLOOKUP(A426,'[1]2050Pop'!$A$7:$A$143,'[1]2050Pop'!$C$7:$C$143)</f>
        <v>8846</v>
      </c>
      <c r="D426" s="126" t="s">
        <v>496</v>
      </c>
      <c r="E426" s="128">
        <v>15.348000000000001</v>
      </c>
      <c r="F426" s="129">
        <f t="shared" si="20"/>
        <v>0.13576840800000001</v>
      </c>
      <c r="G426" t="str">
        <f>_xlfn.XLOOKUP(D426,'[1]2050 BAU Mapping to T &amp; C'!$A$3:$A$52,'[1]2050 BAU Mapping to T &amp; C'!$B$3:$B$52)</f>
        <v>Tropical Fruits</v>
      </c>
      <c r="H426" s="129">
        <f>_xlfn.XLOOKUP(G426,'[1]T&amp;C emissions for 2050 analysis'!$B$3:$B$23,'[1]T&amp;C emissions for 2050 analysis'!$C$3:$C$23)</f>
        <v>0.51333333333333331</v>
      </c>
      <c r="I426" s="27">
        <f t="shared" si="18"/>
        <v>6.969444944E-2</v>
      </c>
      <c r="J426" s="129">
        <f t="shared" si="19"/>
        <v>7.8786399999999999</v>
      </c>
    </row>
    <row r="427" spans="1:10" hidden="1" x14ac:dyDescent="0.35">
      <c r="A427" s="126" t="s">
        <v>364</v>
      </c>
      <c r="B427" t="str">
        <f>_xlfn.XLOOKUP(A427,'[1]2050Pop'!$A$7:$A$143,'[1]2050Pop'!$D$7:$D$143)</f>
        <v>MENA</v>
      </c>
      <c r="C427" s="127">
        <f>1000*_xlfn.XLOOKUP(A427,'[1]2050Pop'!$A$7:$A$143,'[1]2050Pop'!$C$7:$C$143)</f>
        <v>10963</v>
      </c>
      <c r="D427" s="126" t="s">
        <v>496</v>
      </c>
      <c r="E427" s="128">
        <v>2.976</v>
      </c>
      <c r="F427" s="129">
        <f t="shared" si="20"/>
        <v>3.2625887999999999E-2</v>
      </c>
      <c r="G427" t="str">
        <f>_xlfn.XLOOKUP(D427,'[1]2050 BAU Mapping to T &amp; C'!$A$3:$A$52,'[1]2050 BAU Mapping to T &amp; C'!$B$3:$B$52)</f>
        <v>Tropical Fruits</v>
      </c>
      <c r="H427" s="129">
        <f>_xlfn.XLOOKUP(G427,'[1]T&amp;C emissions for 2050 analysis'!$B$3:$B$23,'[1]T&amp;C emissions for 2050 analysis'!$C$3:$C$23)</f>
        <v>0.51333333333333331</v>
      </c>
      <c r="I427" s="27">
        <f t="shared" si="18"/>
        <v>1.6747955839999999E-2</v>
      </c>
      <c r="J427" s="129">
        <f t="shared" si="19"/>
        <v>1.5276799999999999</v>
      </c>
    </row>
    <row r="428" spans="1:10" hidden="1" x14ac:dyDescent="0.35">
      <c r="A428" s="126" t="s">
        <v>365</v>
      </c>
      <c r="B428" t="str">
        <f>_xlfn.XLOOKUP(A428,'[1]2050Pop'!$A$7:$A$143,'[1]2050Pop'!$D$7:$D$143)</f>
        <v>India/South Asia</v>
      </c>
      <c r="C428" s="127">
        <f>1000*_xlfn.XLOOKUP(A428,'[1]2050Pop'!$A$7:$A$143,'[1]2050Pop'!$C$7:$C$143)</f>
        <v>202209</v>
      </c>
      <c r="D428" s="126" t="s">
        <v>496</v>
      </c>
      <c r="E428" s="128">
        <v>1.302</v>
      </c>
      <c r="F428" s="129">
        <f t="shared" si="20"/>
        <v>0.263276118</v>
      </c>
      <c r="G428" t="str">
        <f>_xlfn.XLOOKUP(D428,'[1]2050 BAU Mapping to T &amp; C'!$A$3:$A$52,'[1]2050 BAU Mapping to T &amp; C'!$B$3:$B$52)</f>
        <v>Tropical Fruits</v>
      </c>
      <c r="H428" s="129">
        <f>_xlfn.XLOOKUP(G428,'[1]T&amp;C emissions for 2050 analysis'!$B$3:$B$23,'[1]T&amp;C emissions for 2050 analysis'!$C$3:$C$23)</f>
        <v>0.51333333333333331</v>
      </c>
      <c r="I428" s="27">
        <f t="shared" si="18"/>
        <v>0.13514840723999999</v>
      </c>
      <c r="J428" s="129">
        <f t="shared" si="19"/>
        <v>0.66835999999999995</v>
      </c>
    </row>
    <row r="429" spans="1:10" hidden="1" x14ac:dyDescent="0.35">
      <c r="A429" s="126" t="s">
        <v>366</v>
      </c>
      <c r="B429" t="str">
        <f>_xlfn.XLOOKUP(A429,'[1]2050Pop'!$A$7:$A$143,'[1]2050Pop'!$D$7:$D$143)</f>
        <v>Euro/AU/NZ</v>
      </c>
      <c r="C429" s="127">
        <f>1000*_xlfn.XLOOKUP(A429,'[1]2050Pop'!$A$7:$A$143,'[1]2050Pop'!$C$7:$C$143)</f>
        <v>8125</v>
      </c>
      <c r="D429" s="126" t="s">
        <v>496</v>
      </c>
      <c r="E429" s="128">
        <v>8.8580000000000005</v>
      </c>
      <c r="F429" s="129">
        <f t="shared" si="20"/>
        <v>7.1971250000000001E-2</v>
      </c>
      <c r="G429" t="str">
        <f>_xlfn.XLOOKUP(D429,'[1]2050 BAU Mapping to T &amp; C'!$A$3:$A$52,'[1]2050 BAU Mapping to T &amp; C'!$B$3:$B$52)</f>
        <v>Tropical Fruits</v>
      </c>
      <c r="H429" s="129">
        <f>_xlfn.XLOOKUP(G429,'[1]T&amp;C emissions for 2050 analysis'!$B$3:$B$23,'[1]T&amp;C emissions for 2050 analysis'!$C$3:$C$23)</f>
        <v>0.51333333333333331</v>
      </c>
      <c r="I429" s="27">
        <f t="shared" si="18"/>
        <v>3.6945241666666663E-2</v>
      </c>
      <c r="J429" s="129">
        <f t="shared" si="19"/>
        <v>4.5471066666666671</v>
      </c>
    </row>
    <row r="430" spans="1:10" hidden="1" x14ac:dyDescent="0.35">
      <c r="A430" s="126" t="s">
        <v>367</v>
      </c>
      <c r="B430" t="str">
        <f>_xlfn.XLOOKUP(A430,'[1]2050Pop'!$A$7:$A$143,'[1]2050Pop'!$D$7:$D$143)</f>
        <v>Euro/AU/NZ</v>
      </c>
      <c r="C430" s="127">
        <f>1000*_xlfn.XLOOKUP(A430,'[1]2050Pop'!$A$7:$A$143,'[1]2050Pop'!$C$7:$C$143)</f>
        <v>12527</v>
      </c>
      <c r="D430" s="126" t="s">
        <v>496</v>
      </c>
      <c r="E430" s="128">
        <v>8.3949999999999996</v>
      </c>
      <c r="F430" s="129">
        <f t="shared" si="20"/>
        <v>0.10516416499999999</v>
      </c>
      <c r="G430" t="str">
        <f>_xlfn.XLOOKUP(D430,'[1]2050 BAU Mapping to T &amp; C'!$A$3:$A$52,'[1]2050 BAU Mapping to T &amp; C'!$B$3:$B$52)</f>
        <v>Tropical Fruits</v>
      </c>
      <c r="H430" s="129">
        <f>_xlfn.XLOOKUP(G430,'[1]T&amp;C emissions for 2050 analysis'!$B$3:$B$23,'[1]T&amp;C emissions for 2050 analysis'!$C$3:$C$23)</f>
        <v>0.51333333333333331</v>
      </c>
      <c r="I430" s="27">
        <f t="shared" si="18"/>
        <v>5.3984271366666656E-2</v>
      </c>
      <c r="J430" s="129">
        <f t="shared" si="19"/>
        <v>4.3094333333333328</v>
      </c>
    </row>
    <row r="431" spans="1:10" hidden="1" x14ac:dyDescent="0.35">
      <c r="A431" s="126" t="s">
        <v>368</v>
      </c>
      <c r="B431" t="str">
        <f>_xlfn.XLOOKUP(A431,'[1]2050Pop'!$A$7:$A$143,'[1]2050Pop'!$D$7:$D$143)</f>
        <v>SSA</v>
      </c>
      <c r="C431" s="127">
        <f>1000*_xlfn.XLOOKUP(A431,'[1]2050Pop'!$A$7:$A$143,'[1]2050Pop'!$C$7:$C$143)</f>
        <v>22549</v>
      </c>
      <c r="D431" s="126" t="s">
        <v>496</v>
      </c>
      <c r="E431" s="128">
        <v>1.2010000000000001</v>
      </c>
      <c r="F431" s="129">
        <f t="shared" si="20"/>
        <v>2.7081349000000001E-2</v>
      </c>
      <c r="G431" t="str">
        <f>_xlfn.XLOOKUP(D431,'[1]2050 BAU Mapping to T &amp; C'!$A$3:$A$52,'[1]2050 BAU Mapping to T &amp; C'!$B$3:$B$52)</f>
        <v>Tropical Fruits</v>
      </c>
      <c r="H431" s="129">
        <f>_xlfn.XLOOKUP(G431,'[1]T&amp;C emissions for 2050 analysis'!$B$3:$B$23,'[1]T&amp;C emissions for 2050 analysis'!$C$3:$C$23)</f>
        <v>0.51333333333333331</v>
      </c>
      <c r="I431" s="27">
        <f t="shared" si="18"/>
        <v>1.3901759153333334E-2</v>
      </c>
      <c r="J431" s="129">
        <f t="shared" si="19"/>
        <v>0.61651333333333336</v>
      </c>
    </row>
    <row r="432" spans="1:10" hidden="1" x14ac:dyDescent="0.35">
      <c r="A432" s="126" t="s">
        <v>369</v>
      </c>
      <c r="B432" t="str">
        <f>_xlfn.XLOOKUP(A432,'[1]2050Pop'!$A$7:$A$143,'[1]2050Pop'!$D$7:$D$143)</f>
        <v>LatAm &amp; RSA</v>
      </c>
      <c r="C432" s="127">
        <f>1000*_xlfn.XLOOKUP(A432,'[1]2050Pop'!$A$7:$A$143,'[1]2050Pop'!$C$7:$C$143)</f>
        <v>15963</v>
      </c>
      <c r="D432" s="126" t="s">
        <v>496</v>
      </c>
      <c r="E432" s="128">
        <v>23.817</v>
      </c>
      <c r="F432" s="129">
        <f t="shared" si="20"/>
        <v>0.38019077099999998</v>
      </c>
      <c r="G432" t="str">
        <f>_xlfn.XLOOKUP(D432,'[1]2050 BAU Mapping to T &amp; C'!$A$3:$A$52,'[1]2050 BAU Mapping to T &amp; C'!$B$3:$B$52)</f>
        <v>Tropical Fruits</v>
      </c>
      <c r="H432" s="129">
        <f>_xlfn.XLOOKUP(G432,'[1]T&amp;C emissions for 2050 analysis'!$B$3:$B$23,'[1]T&amp;C emissions for 2050 analysis'!$C$3:$C$23)</f>
        <v>0.51333333333333331</v>
      </c>
      <c r="I432" s="27">
        <f t="shared" si="18"/>
        <v>0.19516459577999998</v>
      </c>
      <c r="J432" s="129">
        <f t="shared" si="19"/>
        <v>12.22606</v>
      </c>
    </row>
    <row r="433" spans="1:10" hidden="1" x14ac:dyDescent="0.35">
      <c r="A433" s="126" t="s">
        <v>370</v>
      </c>
      <c r="B433" t="str">
        <f>_xlfn.XLOOKUP(A433,'[1]2050Pop'!$A$7:$A$143,'[1]2050Pop'!$D$7:$D$143)</f>
        <v>Euro/AU/NZ</v>
      </c>
      <c r="C433" s="127">
        <f>1000*_xlfn.XLOOKUP(A433,'[1]2050Pop'!$A$7:$A$143,'[1]2050Pop'!$C$7:$C$143)</f>
        <v>3069</v>
      </c>
      <c r="D433" s="126" t="s">
        <v>496</v>
      </c>
      <c r="E433" s="128">
        <v>11.305999999999999</v>
      </c>
      <c r="F433" s="129">
        <f t="shared" si="20"/>
        <v>3.4698113999999995E-2</v>
      </c>
      <c r="G433" t="str">
        <f>_xlfn.XLOOKUP(D433,'[1]2050 BAU Mapping to T &amp; C'!$A$3:$A$52,'[1]2050 BAU Mapping to T &amp; C'!$B$3:$B$52)</f>
        <v>Tropical Fruits</v>
      </c>
      <c r="H433" s="129">
        <f>_xlfn.XLOOKUP(G433,'[1]T&amp;C emissions for 2050 analysis'!$B$3:$B$23,'[1]T&amp;C emissions for 2050 analysis'!$C$3:$C$23)</f>
        <v>0.51333333333333331</v>
      </c>
      <c r="I433" s="27">
        <f t="shared" si="18"/>
        <v>1.7811698519999995E-2</v>
      </c>
      <c r="J433" s="129">
        <f t="shared" si="19"/>
        <v>5.8037466666666662</v>
      </c>
    </row>
    <row r="434" spans="1:10" hidden="1" x14ac:dyDescent="0.35">
      <c r="A434" s="126" t="s">
        <v>371</v>
      </c>
      <c r="B434" t="str">
        <f>_xlfn.XLOOKUP(A434,'[1]2050Pop'!$A$7:$A$143,'[1]2050Pop'!$D$7:$D$143)</f>
        <v>SSA</v>
      </c>
      <c r="C434" s="127">
        <f>1000*_xlfn.XLOOKUP(A434,'[1]2050Pop'!$A$7:$A$143,'[1]2050Pop'!$C$7:$C$143)</f>
        <v>3389</v>
      </c>
      <c r="D434" s="126" t="s">
        <v>496</v>
      </c>
      <c r="E434" s="128">
        <v>7.2130000000000001</v>
      </c>
      <c r="F434" s="129">
        <f t="shared" si="20"/>
        <v>2.4444857E-2</v>
      </c>
      <c r="G434" t="str">
        <f>_xlfn.XLOOKUP(D434,'[1]2050 BAU Mapping to T &amp; C'!$A$3:$A$52,'[1]2050 BAU Mapping to T &amp; C'!$B$3:$B$52)</f>
        <v>Tropical Fruits</v>
      </c>
      <c r="H434" s="129">
        <f>_xlfn.XLOOKUP(G434,'[1]T&amp;C emissions for 2050 analysis'!$B$3:$B$23,'[1]T&amp;C emissions for 2050 analysis'!$C$3:$C$23)</f>
        <v>0.51333333333333331</v>
      </c>
      <c r="I434" s="27">
        <f t="shared" si="18"/>
        <v>1.2548359926666666E-2</v>
      </c>
      <c r="J434" s="129">
        <f t="shared" si="19"/>
        <v>3.7026733333333333</v>
      </c>
    </row>
    <row r="435" spans="1:10" hidden="1" x14ac:dyDescent="0.35">
      <c r="A435" s="126" t="s">
        <v>372</v>
      </c>
      <c r="B435" t="str">
        <f>_xlfn.XLOOKUP(A435,'[1]2050Pop'!$A$7:$A$143,'[1]2050Pop'!$D$7:$D$143)</f>
        <v>LatAm &amp; RSA</v>
      </c>
      <c r="C435" s="127">
        <f>1000*_xlfn.XLOOKUP(A435,'[1]2050Pop'!$A$7:$A$143,'[1]2050Pop'!$C$7:$C$143)</f>
        <v>238270</v>
      </c>
      <c r="D435" s="126" t="s">
        <v>496</v>
      </c>
      <c r="E435" s="128">
        <v>31.245000000000001</v>
      </c>
      <c r="F435" s="129">
        <f t="shared" si="20"/>
        <v>7.4447461500000003</v>
      </c>
      <c r="G435" t="str">
        <f>_xlfn.XLOOKUP(D435,'[1]2050 BAU Mapping to T &amp; C'!$A$3:$A$52,'[1]2050 BAU Mapping to T &amp; C'!$B$3:$B$52)</f>
        <v>Tropical Fruits</v>
      </c>
      <c r="H435" s="129">
        <f>_xlfn.XLOOKUP(G435,'[1]T&amp;C emissions for 2050 analysis'!$B$3:$B$23,'[1]T&amp;C emissions for 2050 analysis'!$C$3:$C$23)</f>
        <v>0.51333333333333331</v>
      </c>
      <c r="I435" s="27">
        <f t="shared" si="18"/>
        <v>3.821636357</v>
      </c>
      <c r="J435" s="129">
        <f t="shared" si="19"/>
        <v>16.039100000000001</v>
      </c>
    </row>
    <row r="436" spans="1:10" hidden="1" x14ac:dyDescent="0.35">
      <c r="A436" s="126" t="s">
        <v>373</v>
      </c>
      <c r="B436" t="str">
        <f>_xlfn.XLOOKUP(A436,'[1]2050Pop'!$A$7:$A$143,'[1]2050Pop'!$D$7:$D$143)</f>
        <v>Euro/AU/NZ</v>
      </c>
      <c r="C436" s="127">
        <f>1000*_xlfn.XLOOKUP(A436,'[1]2050Pop'!$A$7:$A$143,'[1]2050Pop'!$C$7:$C$143)</f>
        <v>5154</v>
      </c>
      <c r="D436" s="126" t="s">
        <v>496</v>
      </c>
      <c r="E436" s="128">
        <v>8.6430000000000007</v>
      </c>
      <c r="F436" s="129">
        <f t="shared" si="20"/>
        <v>4.4546022000000005E-2</v>
      </c>
      <c r="G436" t="str">
        <f>_xlfn.XLOOKUP(D436,'[1]2050 BAU Mapping to T &amp; C'!$A$3:$A$52,'[1]2050 BAU Mapping to T &amp; C'!$B$3:$B$52)</f>
        <v>Tropical Fruits</v>
      </c>
      <c r="H436" s="129">
        <f>_xlfn.XLOOKUP(G436,'[1]T&amp;C emissions for 2050 analysis'!$B$3:$B$23,'[1]T&amp;C emissions for 2050 analysis'!$C$3:$C$23)</f>
        <v>0.51333333333333331</v>
      </c>
      <c r="I436" s="27">
        <f t="shared" si="18"/>
        <v>2.286695796E-2</v>
      </c>
      <c r="J436" s="129">
        <f t="shared" si="19"/>
        <v>4.4367400000000004</v>
      </c>
    </row>
    <row r="437" spans="1:10" hidden="1" x14ac:dyDescent="0.35">
      <c r="A437" s="126" t="s">
        <v>374</v>
      </c>
      <c r="B437" t="str">
        <f>_xlfn.XLOOKUP(A437,'[1]2050Pop'!$A$7:$A$143,'[1]2050Pop'!$D$7:$D$143)</f>
        <v>APAC</v>
      </c>
      <c r="C437" s="127">
        <f>1000*_xlfn.XLOOKUP(A437,'[1]2050Pop'!$A$7:$A$143,'[1]2050Pop'!$C$7:$C$143)</f>
        <v>22545</v>
      </c>
      <c r="D437" s="126" t="s">
        <v>496</v>
      </c>
      <c r="E437" s="131">
        <v>3.5</v>
      </c>
      <c r="F437" s="129">
        <f t="shared" si="20"/>
        <v>7.8907500000000005E-2</v>
      </c>
      <c r="G437" t="str">
        <f>_xlfn.XLOOKUP(D437,'[1]2050 BAU Mapping to T &amp; C'!$A$3:$A$52,'[1]2050 BAU Mapping to T &amp; C'!$B$3:$B$52)</f>
        <v>Tropical Fruits</v>
      </c>
      <c r="H437" s="129">
        <f>_xlfn.XLOOKUP(G437,'[1]T&amp;C emissions for 2050 analysis'!$B$3:$B$23,'[1]T&amp;C emissions for 2050 analysis'!$C$3:$C$23)</f>
        <v>0.51333333333333331</v>
      </c>
      <c r="I437" s="27">
        <f t="shared" si="18"/>
        <v>4.0505850000000003E-2</v>
      </c>
      <c r="J437" s="129">
        <f t="shared" si="19"/>
        <v>1.7966666666666666</v>
      </c>
    </row>
    <row r="438" spans="1:10" hidden="1" x14ac:dyDescent="0.35">
      <c r="A438" s="126" t="s">
        <v>376</v>
      </c>
      <c r="B438" t="str">
        <f>_xlfn.XLOOKUP(A438,'[1]2050Pop'!$A$7:$A$143,'[1]2050Pop'!$D$7:$D$143)</f>
        <v>NAm</v>
      </c>
      <c r="C438" s="127">
        <f>1000*_xlfn.XLOOKUP(A438,'[1]2050Pop'!$A$7:$A$143,'[1]2050Pop'!$C$7:$C$143)</f>
        <v>44136</v>
      </c>
      <c r="D438" s="126" t="s">
        <v>496</v>
      </c>
      <c r="E438" s="128">
        <v>21.527000000000001</v>
      </c>
      <c r="F438" s="129">
        <f t="shared" si="20"/>
        <v>0.95011567200000002</v>
      </c>
      <c r="G438" t="str">
        <f>_xlfn.XLOOKUP(D438,'[1]2050 BAU Mapping to T &amp; C'!$A$3:$A$52,'[1]2050 BAU Mapping to T &amp; C'!$B$3:$B$52)</f>
        <v>Tropical Fruits</v>
      </c>
      <c r="H438" s="129">
        <f>_xlfn.XLOOKUP(G438,'[1]T&amp;C emissions for 2050 analysis'!$B$3:$B$23,'[1]T&amp;C emissions for 2050 analysis'!$C$3:$C$23)</f>
        <v>0.51333333333333331</v>
      </c>
      <c r="I438" s="27">
        <f t="shared" si="18"/>
        <v>0.48772604495999999</v>
      </c>
      <c r="J438" s="129">
        <f t="shared" si="19"/>
        <v>11.050526666666666</v>
      </c>
    </row>
    <row r="439" spans="1:10" hidden="1" x14ac:dyDescent="0.35">
      <c r="A439" s="126" t="s">
        <v>377</v>
      </c>
      <c r="B439" t="str">
        <f>_xlfn.XLOOKUP(A439,'[1]2050Pop'!$A$7:$A$143,'[1]2050Pop'!$D$7:$D$143)</f>
        <v>SSA</v>
      </c>
      <c r="C439" s="127">
        <f>1000*_xlfn.XLOOKUP(A439,'[1]2050Pop'!$A$7:$A$143,'[1]2050Pop'!$C$7:$C$143)</f>
        <v>8782</v>
      </c>
      <c r="D439" s="126" t="s">
        <v>496</v>
      </c>
      <c r="E439" s="128">
        <v>6.5339999999999998</v>
      </c>
      <c r="F439" s="129">
        <f t="shared" si="20"/>
        <v>5.7381587999999997E-2</v>
      </c>
      <c r="G439" t="str">
        <f>_xlfn.XLOOKUP(D439,'[1]2050 BAU Mapping to T &amp; C'!$A$3:$A$52,'[1]2050 BAU Mapping to T &amp; C'!$B$3:$B$52)</f>
        <v>Tropical Fruits</v>
      </c>
      <c r="H439" s="129">
        <f>_xlfn.XLOOKUP(G439,'[1]T&amp;C emissions for 2050 analysis'!$B$3:$B$23,'[1]T&amp;C emissions for 2050 analysis'!$C$3:$C$23)</f>
        <v>0.51333333333333331</v>
      </c>
      <c r="I439" s="27">
        <f t="shared" si="18"/>
        <v>2.9455881839999996E-2</v>
      </c>
      <c r="J439" s="129">
        <f t="shared" si="19"/>
        <v>3.3541199999999995</v>
      </c>
    </row>
    <row r="440" spans="1:10" hidden="1" x14ac:dyDescent="0.35">
      <c r="A440" s="126" t="s">
        <v>378</v>
      </c>
      <c r="B440" t="str">
        <f>_xlfn.XLOOKUP(A440,'[1]2050Pop'!$A$7:$A$143,'[1]2050Pop'!$D$7:$D$143)</f>
        <v>LatAm &amp; RSA</v>
      </c>
      <c r="C440" s="127">
        <f>1000*_xlfn.XLOOKUP(A440,'[1]2050Pop'!$A$7:$A$143,'[1]2050Pop'!$C$7:$C$143)</f>
        <v>21601</v>
      </c>
      <c r="D440" s="126" t="s">
        <v>496</v>
      </c>
      <c r="E440" s="128">
        <v>6.4219999999999997</v>
      </c>
      <c r="F440" s="129">
        <f t="shared" si="20"/>
        <v>0.13872162200000002</v>
      </c>
      <c r="G440" t="str">
        <f>_xlfn.XLOOKUP(D440,'[1]2050 BAU Mapping to T &amp; C'!$A$3:$A$52,'[1]2050 BAU Mapping to T &amp; C'!$B$3:$B$52)</f>
        <v>Tropical Fruits</v>
      </c>
      <c r="H440" s="129">
        <f>_xlfn.XLOOKUP(G440,'[1]T&amp;C emissions for 2050 analysis'!$B$3:$B$23,'[1]T&amp;C emissions for 2050 analysis'!$C$3:$C$23)</f>
        <v>0.51333333333333331</v>
      </c>
      <c r="I440" s="27">
        <f t="shared" si="18"/>
        <v>7.1210432626666667E-2</v>
      </c>
      <c r="J440" s="129">
        <f t="shared" si="19"/>
        <v>3.2966266666666662</v>
      </c>
    </row>
    <row r="441" spans="1:10" hidden="1" x14ac:dyDescent="0.35">
      <c r="A441" s="126" t="s">
        <v>379</v>
      </c>
      <c r="B441" t="str">
        <f>_xlfn.XLOOKUP(A441,'[1]2050Pop'!$A$7:$A$143,'[1]2050Pop'!$D$7:$D$143)</f>
        <v>Greater China</v>
      </c>
      <c r="C441" s="127">
        <f>1000*_xlfn.XLOOKUP(A441,'[1]2050Pop'!$A$7:$A$143,'[1]2050Pop'!$C$7:$C$143)</f>
        <v>8148</v>
      </c>
      <c r="D441" s="126" t="s">
        <v>496</v>
      </c>
      <c r="E441" s="128">
        <v>15.334</v>
      </c>
      <c r="F441" s="129">
        <f t="shared" si="20"/>
        <v>0.12494143200000001</v>
      </c>
      <c r="G441" t="str">
        <f>_xlfn.XLOOKUP(D441,'[1]2050 BAU Mapping to T &amp; C'!$A$3:$A$52,'[1]2050 BAU Mapping to T &amp; C'!$B$3:$B$52)</f>
        <v>Tropical Fruits</v>
      </c>
      <c r="H441" s="129">
        <f>_xlfn.XLOOKUP(G441,'[1]T&amp;C emissions for 2050 analysis'!$B$3:$B$23,'[1]T&amp;C emissions for 2050 analysis'!$C$3:$C$23)</f>
        <v>0.51333333333333331</v>
      </c>
      <c r="I441" s="27">
        <f t="shared" si="18"/>
        <v>6.4136601759999995E-2</v>
      </c>
      <c r="J441" s="129">
        <f t="shared" si="19"/>
        <v>7.8714533333333332</v>
      </c>
    </row>
    <row r="442" spans="1:10" hidden="1" x14ac:dyDescent="0.35">
      <c r="A442" s="126" t="s">
        <v>380</v>
      </c>
      <c r="B442" t="str">
        <f>_xlfn.XLOOKUP(A442,'[1]2050Pop'!$A$7:$A$143,'[1]2050Pop'!$D$7:$D$143)</f>
        <v>Greater China</v>
      </c>
      <c r="C442" s="127">
        <f>1000*_xlfn.XLOOKUP(A442,'[1]2050Pop'!$A$7:$A$143,'[1]2050Pop'!$C$7:$C$143)</f>
        <v>1348056</v>
      </c>
      <c r="D442" s="126" t="s">
        <v>496</v>
      </c>
      <c r="E442" s="128">
        <v>20.698</v>
      </c>
      <c r="F442" s="129">
        <f t="shared" si="20"/>
        <v>27.902063087999998</v>
      </c>
      <c r="G442" t="str">
        <f>_xlfn.XLOOKUP(D442,'[1]2050 BAU Mapping to T &amp; C'!$A$3:$A$52,'[1]2050 BAU Mapping to T &amp; C'!$B$3:$B$52)</f>
        <v>Tropical Fruits</v>
      </c>
      <c r="H442" s="129">
        <f>_xlfn.XLOOKUP(G442,'[1]T&amp;C emissions for 2050 analysis'!$B$3:$B$23,'[1]T&amp;C emissions for 2050 analysis'!$C$3:$C$23)</f>
        <v>0.51333333333333331</v>
      </c>
      <c r="I442" s="27">
        <f t="shared" si="18"/>
        <v>14.323059051839998</v>
      </c>
      <c r="J442" s="129">
        <f t="shared" si="19"/>
        <v>10.624973333333333</v>
      </c>
    </row>
    <row r="443" spans="1:10" hidden="1" x14ac:dyDescent="0.35">
      <c r="A443" s="126" t="s">
        <v>381</v>
      </c>
      <c r="B443" t="str">
        <f>_xlfn.XLOOKUP(A443,'[1]2050Pop'!$A$7:$A$143,'[1]2050Pop'!$D$7:$D$143)</f>
        <v>Greater China</v>
      </c>
      <c r="C443" s="127">
        <f>1000*_xlfn.XLOOKUP(A443,'[1]2050Pop'!$A$7:$A$143,'[1]2050Pop'!$C$7:$C$143)</f>
        <v>20778</v>
      </c>
      <c r="D443" s="126" t="s">
        <v>496</v>
      </c>
      <c r="E443" s="128">
        <v>18.738</v>
      </c>
      <c r="F443" s="129">
        <f t="shared" si="20"/>
        <v>0.38933816399999999</v>
      </c>
      <c r="G443" t="str">
        <f>_xlfn.XLOOKUP(D443,'[1]2050 BAU Mapping to T &amp; C'!$A$3:$A$52,'[1]2050 BAU Mapping to T &amp; C'!$B$3:$B$52)</f>
        <v>Tropical Fruits</v>
      </c>
      <c r="H443" s="129">
        <f>_xlfn.XLOOKUP(G443,'[1]T&amp;C emissions for 2050 analysis'!$B$3:$B$23,'[1]T&amp;C emissions for 2050 analysis'!$C$3:$C$23)</f>
        <v>0.51333333333333331</v>
      </c>
      <c r="I443" s="27">
        <f t="shared" si="18"/>
        <v>0.19986025751999997</v>
      </c>
      <c r="J443" s="129">
        <f t="shared" si="19"/>
        <v>9.6188399999999987</v>
      </c>
    </row>
    <row r="444" spans="1:10" hidden="1" x14ac:dyDescent="0.35">
      <c r="A444" s="126" t="s">
        <v>382</v>
      </c>
      <c r="B444" t="str">
        <f>_xlfn.XLOOKUP(A444,'[1]2050Pop'!$A$7:$A$143,'[1]2050Pop'!$D$7:$D$143)</f>
        <v>LatAm &amp; RSA</v>
      </c>
      <c r="C444" s="127">
        <f>1000*_xlfn.XLOOKUP(A444,'[1]2050Pop'!$A$7:$A$143,'[1]2050Pop'!$C$7:$C$143)</f>
        <v>54927</v>
      </c>
      <c r="D444" s="126" t="s">
        <v>496</v>
      </c>
      <c r="E444" s="128">
        <v>18.702999999999999</v>
      </c>
      <c r="F444" s="129">
        <f t="shared" si="20"/>
        <v>1.0272996809999999</v>
      </c>
      <c r="G444" t="str">
        <f>_xlfn.XLOOKUP(D444,'[1]2050 BAU Mapping to T &amp; C'!$A$3:$A$52,'[1]2050 BAU Mapping to T &amp; C'!$B$3:$B$52)</f>
        <v>Tropical Fruits</v>
      </c>
      <c r="H444" s="129">
        <f>_xlfn.XLOOKUP(G444,'[1]T&amp;C emissions for 2050 analysis'!$B$3:$B$23,'[1]T&amp;C emissions for 2050 analysis'!$C$3:$C$23)</f>
        <v>0.51333333333333331</v>
      </c>
      <c r="I444" s="27">
        <f t="shared" si="18"/>
        <v>0.52734716957999994</v>
      </c>
      <c r="J444" s="129">
        <f t="shared" si="19"/>
        <v>9.6008733333333325</v>
      </c>
    </row>
    <row r="445" spans="1:10" hidden="1" x14ac:dyDescent="0.35">
      <c r="A445" s="126" t="s">
        <v>383</v>
      </c>
      <c r="B445" t="str">
        <f>_xlfn.XLOOKUP(A445,'[1]2050Pop'!$A$7:$A$143,'[1]2050Pop'!$D$7:$D$143)</f>
        <v>LatAm &amp; RSA</v>
      </c>
      <c r="C445" s="127">
        <f>1000*_xlfn.XLOOKUP(A445,'[1]2050Pop'!$A$7:$A$143,'[1]2050Pop'!$C$7:$C$143)</f>
        <v>5759</v>
      </c>
      <c r="D445" s="126" t="s">
        <v>496</v>
      </c>
      <c r="E445" s="128">
        <v>19.152000000000001</v>
      </c>
      <c r="F445" s="129">
        <f t="shared" si="20"/>
        <v>0.11029636800000001</v>
      </c>
      <c r="G445" t="str">
        <f>_xlfn.XLOOKUP(D445,'[1]2050 BAU Mapping to T &amp; C'!$A$3:$A$52,'[1]2050 BAU Mapping to T &amp; C'!$B$3:$B$52)</f>
        <v>Tropical Fruits</v>
      </c>
      <c r="H445" s="129">
        <f>_xlfn.XLOOKUP(G445,'[1]T&amp;C emissions for 2050 analysis'!$B$3:$B$23,'[1]T&amp;C emissions for 2050 analysis'!$C$3:$C$23)</f>
        <v>0.51333333333333331</v>
      </c>
      <c r="I445" s="27">
        <f t="shared" si="18"/>
        <v>5.6618802240000002E-2</v>
      </c>
      <c r="J445" s="129">
        <f t="shared" si="19"/>
        <v>9.8313600000000001</v>
      </c>
    </row>
    <row r="446" spans="1:10" hidden="1" x14ac:dyDescent="0.35">
      <c r="A446" s="126" t="s">
        <v>384</v>
      </c>
      <c r="B446" t="str">
        <f>_xlfn.XLOOKUP(A446,'[1]2050Pop'!$A$7:$A$143,'[1]2050Pop'!$D$7:$D$143)</f>
        <v>SSA</v>
      </c>
      <c r="C446" s="127">
        <f>1000*_xlfn.XLOOKUP(A446,'[1]2050Pop'!$A$7:$A$143,'[1]2050Pop'!$C$7:$C$143)</f>
        <v>48797</v>
      </c>
      <c r="D446" s="126" t="s">
        <v>496</v>
      </c>
      <c r="E446" s="131">
        <v>3.2</v>
      </c>
      <c r="F446" s="129">
        <f t="shared" si="20"/>
        <v>0.15615039999999999</v>
      </c>
      <c r="G446" t="str">
        <f>_xlfn.XLOOKUP(D446,'[1]2050 BAU Mapping to T &amp; C'!$A$3:$A$52,'[1]2050 BAU Mapping to T &amp; C'!$B$3:$B$52)</f>
        <v>Tropical Fruits</v>
      </c>
      <c r="H446" s="129">
        <f>_xlfn.XLOOKUP(G446,'[1]T&amp;C emissions for 2050 analysis'!$B$3:$B$23,'[1]T&amp;C emissions for 2050 analysis'!$C$3:$C$23)</f>
        <v>0.51333333333333331</v>
      </c>
      <c r="I446" s="27">
        <f t="shared" si="18"/>
        <v>8.0157205333333328E-2</v>
      </c>
      <c r="J446" s="129">
        <f t="shared" si="19"/>
        <v>1.6426666666666667</v>
      </c>
    </row>
    <row r="447" spans="1:10" hidden="1" x14ac:dyDescent="0.35">
      <c r="A447" s="126" t="s">
        <v>385</v>
      </c>
      <c r="B447" t="str">
        <f>_xlfn.XLOOKUP(A447,'[1]2050Pop'!$A$7:$A$143,'[1]2050Pop'!$D$7:$D$143)</f>
        <v>Euro/AU/NZ</v>
      </c>
      <c r="C447" s="127">
        <f>1000*_xlfn.XLOOKUP(A447,'[1]2050Pop'!$A$7:$A$143,'[1]2050Pop'!$C$7:$C$143)</f>
        <v>3554</v>
      </c>
      <c r="D447" s="126" t="s">
        <v>496</v>
      </c>
      <c r="E447" s="128">
        <v>13.188000000000001</v>
      </c>
      <c r="F447" s="129">
        <f t="shared" si="20"/>
        <v>4.6870152000000005E-2</v>
      </c>
      <c r="G447" t="str">
        <f>_xlfn.XLOOKUP(D447,'[1]2050 BAU Mapping to T &amp; C'!$A$3:$A$52,'[1]2050 BAU Mapping to T &amp; C'!$B$3:$B$52)</f>
        <v>Tropical Fruits</v>
      </c>
      <c r="H447" s="129">
        <f>_xlfn.XLOOKUP(G447,'[1]T&amp;C emissions for 2050 analysis'!$B$3:$B$23,'[1]T&amp;C emissions for 2050 analysis'!$C$3:$C$23)</f>
        <v>0.51333333333333331</v>
      </c>
      <c r="I447" s="27">
        <f t="shared" si="18"/>
        <v>2.4060011360000001E-2</v>
      </c>
      <c r="J447" s="129">
        <f t="shared" si="19"/>
        <v>6.7698400000000003</v>
      </c>
    </row>
    <row r="448" spans="1:10" hidden="1" x14ac:dyDescent="0.35">
      <c r="A448" s="126" t="s">
        <v>386</v>
      </c>
      <c r="B448" t="str">
        <f>_xlfn.XLOOKUP(A448,'[1]2050Pop'!$A$7:$A$143,'[1]2050Pop'!$D$7:$D$143)</f>
        <v>LatAm &amp; RSA</v>
      </c>
      <c r="C448" s="127">
        <f>1000*_xlfn.XLOOKUP(A448,'[1]2050Pop'!$A$7:$A$143,'[1]2050Pop'!$C$7:$C$143)</f>
        <v>10339</v>
      </c>
      <c r="D448" s="126" t="s">
        <v>496</v>
      </c>
      <c r="E448" s="128">
        <v>9.9480000000000004</v>
      </c>
      <c r="F448" s="129">
        <f t="shared" si="20"/>
        <v>0.102852372</v>
      </c>
      <c r="G448" t="str">
        <f>_xlfn.XLOOKUP(D448,'[1]2050 BAU Mapping to T &amp; C'!$A$3:$A$52,'[1]2050 BAU Mapping to T &amp; C'!$B$3:$B$52)</f>
        <v>Tropical Fruits</v>
      </c>
      <c r="H448" s="129">
        <f>_xlfn.XLOOKUP(G448,'[1]T&amp;C emissions for 2050 analysis'!$B$3:$B$23,'[1]T&amp;C emissions for 2050 analysis'!$C$3:$C$23)</f>
        <v>0.51333333333333331</v>
      </c>
      <c r="I448" s="27">
        <f t="shared" si="18"/>
        <v>5.2797550959999995E-2</v>
      </c>
      <c r="J448" s="129">
        <f t="shared" si="19"/>
        <v>5.1066399999999996</v>
      </c>
    </row>
    <row r="449" spans="1:10" hidden="1" x14ac:dyDescent="0.35">
      <c r="A449" s="126" t="s">
        <v>387</v>
      </c>
      <c r="B449" t="str">
        <f>_xlfn.XLOOKUP(A449,'[1]2050Pop'!$A$7:$A$143,'[1]2050Pop'!$D$7:$D$143)</f>
        <v>Euro/AU/NZ</v>
      </c>
      <c r="C449" s="127">
        <f>1000*_xlfn.XLOOKUP(A449,'[1]2050Pop'!$A$7:$A$143,'[1]2050Pop'!$C$7:$C$143)</f>
        <v>9965</v>
      </c>
      <c r="D449" s="126" t="s">
        <v>496</v>
      </c>
      <c r="E449" s="128">
        <v>14.458</v>
      </c>
      <c r="F449" s="129">
        <f t="shared" si="20"/>
        <v>0.14407397</v>
      </c>
      <c r="G449" t="str">
        <f>_xlfn.XLOOKUP(D449,'[1]2050 BAU Mapping to T &amp; C'!$A$3:$A$52,'[1]2050 BAU Mapping to T &amp; C'!$B$3:$B$52)</f>
        <v>Tropical Fruits</v>
      </c>
      <c r="H449" s="129">
        <f>_xlfn.XLOOKUP(G449,'[1]T&amp;C emissions for 2050 analysis'!$B$3:$B$23,'[1]T&amp;C emissions for 2050 analysis'!$C$3:$C$23)</f>
        <v>0.51333333333333331</v>
      </c>
      <c r="I449" s="27">
        <f t="shared" si="18"/>
        <v>7.3957971266666658E-2</v>
      </c>
      <c r="J449" s="129">
        <f t="shared" si="19"/>
        <v>7.4217733333333333</v>
      </c>
    </row>
    <row r="450" spans="1:10" hidden="1" x14ac:dyDescent="0.35">
      <c r="A450" s="126" t="s">
        <v>388</v>
      </c>
      <c r="B450" t="str">
        <f>_xlfn.XLOOKUP(A450,'[1]2050Pop'!$A$7:$A$143,'[1]2050Pop'!$D$7:$D$143)</f>
        <v>Euro/AU/NZ</v>
      </c>
      <c r="C450" s="127">
        <f>1000*_xlfn.XLOOKUP(A450,'[1]2050Pop'!$A$7:$A$143,'[1]2050Pop'!$C$7:$C$143)</f>
        <v>6299</v>
      </c>
      <c r="D450" s="126" t="s">
        <v>496</v>
      </c>
      <c r="E450" s="128">
        <v>22.068999999999999</v>
      </c>
      <c r="F450" s="129">
        <f t="shared" si="20"/>
        <v>0.139012631</v>
      </c>
      <c r="G450" t="str">
        <f>_xlfn.XLOOKUP(D450,'[1]2050 BAU Mapping to T &amp; C'!$A$3:$A$52,'[1]2050 BAU Mapping to T &amp; C'!$B$3:$B$52)</f>
        <v>Tropical Fruits</v>
      </c>
      <c r="H450" s="129">
        <f>_xlfn.XLOOKUP(G450,'[1]T&amp;C emissions for 2050 analysis'!$B$3:$B$23,'[1]T&amp;C emissions for 2050 analysis'!$C$3:$C$23)</f>
        <v>0.51333333333333331</v>
      </c>
      <c r="I450" s="27">
        <f t="shared" si="18"/>
        <v>7.1359817246666665E-2</v>
      </c>
      <c r="J450" s="129">
        <f t="shared" si="19"/>
        <v>11.328753333333331</v>
      </c>
    </row>
    <row r="451" spans="1:10" hidden="1" x14ac:dyDescent="0.35">
      <c r="A451" s="126" t="s">
        <v>389</v>
      </c>
      <c r="B451" t="str">
        <f>_xlfn.XLOOKUP(A451,'[1]2050Pop'!$A$7:$A$143,'[1]2050Pop'!$D$7:$D$143)</f>
        <v>LatAm &amp; RSA</v>
      </c>
      <c r="C451" s="127">
        <f>1000*_xlfn.XLOOKUP(A451,'[1]2050Pop'!$A$7:$A$143,'[1]2050Pop'!$C$7:$C$143)</f>
        <v>13238</v>
      </c>
      <c r="D451" s="126" t="s">
        <v>496</v>
      </c>
      <c r="E451" s="128">
        <v>14.849</v>
      </c>
      <c r="F451" s="129">
        <f t="shared" si="20"/>
        <v>0.19657106200000002</v>
      </c>
      <c r="G451" t="str">
        <f>_xlfn.XLOOKUP(D451,'[1]2050 BAU Mapping to T &amp; C'!$A$3:$A$52,'[1]2050 BAU Mapping to T &amp; C'!$B$3:$B$52)</f>
        <v>Tropical Fruits</v>
      </c>
      <c r="H451" s="129">
        <f>_xlfn.XLOOKUP(G451,'[1]T&amp;C emissions for 2050 analysis'!$B$3:$B$23,'[1]T&amp;C emissions for 2050 analysis'!$C$3:$C$23)</f>
        <v>0.51333333333333331</v>
      </c>
      <c r="I451" s="27">
        <f t="shared" si="18"/>
        <v>0.10090647849333334</v>
      </c>
      <c r="J451" s="129">
        <f t="shared" si="19"/>
        <v>7.6224866666666662</v>
      </c>
    </row>
    <row r="452" spans="1:10" hidden="1" x14ac:dyDescent="0.35">
      <c r="A452" s="126" t="s">
        <v>390</v>
      </c>
      <c r="B452" t="str">
        <f>_xlfn.XLOOKUP(A452,'[1]2050Pop'!$A$7:$A$143,'[1]2050Pop'!$D$7:$D$143)</f>
        <v>LatAm &amp; RSA</v>
      </c>
      <c r="C452" s="127">
        <f>1000*_xlfn.XLOOKUP(A452,'[1]2050Pop'!$A$7:$A$143,'[1]2050Pop'!$C$7:$C$143)</f>
        <v>23013</v>
      </c>
      <c r="D452" s="126" t="s">
        <v>496</v>
      </c>
      <c r="E452" s="128">
        <v>4.6479999999999997</v>
      </c>
      <c r="F452" s="129">
        <f t="shared" si="20"/>
        <v>0.106964424</v>
      </c>
      <c r="G452" t="str">
        <f>_xlfn.XLOOKUP(D452,'[1]2050 BAU Mapping to T &amp; C'!$A$3:$A$52,'[1]2050 BAU Mapping to T &amp; C'!$B$3:$B$52)</f>
        <v>Tropical Fruits</v>
      </c>
      <c r="H452" s="129">
        <f>_xlfn.XLOOKUP(G452,'[1]T&amp;C emissions for 2050 analysis'!$B$3:$B$23,'[1]T&amp;C emissions for 2050 analysis'!$C$3:$C$23)</f>
        <v>0.51333333333333331</v>
      </c>
      <c r="I452" s="27">
        <f t="shared" ref="I452:I515" si="21">F452*H452</f>
        <v>5.490840432E-2</v>
      </c>
      <c r="J452" s="129">
        <f t="shared" ref="J452:J515" si="22">E452*H452</f>
        <v>2.3859733333333328</v>
      </c>
    </row>
    <row r="453" spans="1:10" hidden="1" x14ac:dyDescent="0.35">
      <c r="A453" s="126" t="s">
        <v>391</v>
      </c>
      <c r="B453" t="str">
        <f>_xlfn.XLOOKUP(A453,'[1]2050Pop'!$A$7:$A$143,'[1]2050Pop'!$D$7:$D$143)</f>
        <v>MENA</v>
      </c>
      <c r="C453" s="127">
        <f>1000*_xlfn.XLOOKUP(A453,'[1]2050Pop'!$A$7:$A$143,'[1]2050Pop'!$C$7:$C$143)</f>
        <v>151111</v>
      </c>
      <c r="D453" s="126" t="s">
        <v>496</v>
      </c>
      <c r="E453" s="128">
        <v>31.606000000000002</v>
      </c>
      <c r="F453" s="129">
        <f t="shared" ref="F453:F516" si="23">C453*E453/1000000</f>
        <v>4.7760142659999998</v>
      </c>
      <c r="G453" t="str">
        <f>_xlfn.XLOOKUP(D453,'[1]2050 BAU Mapping to T &amp; C'!$A$3:$A$52,'[1]2050 BAU Mapping to T &amp; C'!$B$3:$B$52)</f>
        <v>Tropical Fruits</v>
      </c>
      <c r="H453" s="129">
        <f>_xlfn.XLOOKUP(G453,'[1]T&amp;C emissions for 2050 analysis'!$B$3:$B$23,'[1]T&amp;C emissions for 2050 analysis'!$C$3:$C$23)</f>
        <v>0.51333333333333331</v>
      </c>
      <c r="I453" s="27">
        <f t="shared" si="21"/>
        <v>2.4516873232133332</v>
      </c>
      <c r="J453" s="129">
        <f t="shared" si="22"/>
        <v>16.224413333333334</v>
      </c>
    </row>
    <row r="454" spans="1:10" hidden="1" x14ac:dyDescent="0.35">
      <c r="A454" s="126" t="s">
        <v>392</v>
      </c>
      <c r="B454" t="str">
        <f>_xlfn.XLOOKUP(A454,'[1]2050Pop'!$A$7:$A$143,'[1]2050Pop'!$D$7:$D$143)</f>
        <v>LatAm &amp; RSA</v>
      </c>
      <c r="C454" s="127">
        <f>1000*_xlfn.XLOOKUP(A454,'[1]2050Pop'!$A$7:$A$143,'[1]2050Pop'!$C$7:$C$143)</f>
        <v>6390</v>
      </c>
      <c r="D454" s="126" t="s">
        <v>496</v>
      </c>
      <c r="E454" s="128">
        <v>13.359</v>
      </c>
      <c r="F454" s="129">
        <f t="shared" si="23"/>
        <v>8.536400999999999E-2</v>
      </c>
      <c r="G454" t="str">
        <f>_xlfn.XLOOKUP(D454,'[1]2050 BAU Mapping to T &amp; C'!$A$3:$A$52,'[1]2050 BAU Mapping to T &amp; C'!$B$3:$B$52)</f>
        <v>Tropical Fruits</v>
      </c>
      <c r="H454" s="129">
        <f>_xlfn.XLOOKUP(G454,'[1]T&amp;C emissions for 2050 analysis'!$B$3:$B$23,'[1]T&amp;C emissions for 2050 analysis'!$C$3:$C$23)</f>
        <v>0.51333333333333331</v>
      </c>
      <c r="I454" s="27">
        <f t="shared" si="21"/>
        <v>4.3820191799999991E-2</v>
      </c>
      <c r="J454" s="129">
        <f t="shared" si="22"/>
        <v>6.8576199999999998</v>
      </c>
    </row>
    <row r="455" spans="1:10" hidden="1" x14ac:dyDescent="0.35">
      <c r="A455" s="126" t="s">
        <v>393</v>
      </c>
      <c r="B455" t="str">
        <f>_xlfn.XLOOKUP(A455,'[1]2050Pop'!$A$7:$A$143,'[1]2050Pop'!$D$7:$D$143)</f>
        <v>Euro/AU/NZ</v>
      </c>
      <c r="C455" s="127">
        <f>1000*_xlfn.XLOOKUP(A455,'[1]2050Pop'!$A$7:$A$143,'[1]2050Pop'!$C$7:$C$143)</f>
        <v>1129</v>
      </c>
      <c r="D455" s="126" t="s">
        <v>496</v>
      </c>
      <c r="E455" s="128">
        <v>15.831</v>
      </c>
      <c r="F455" s="129">
        <f t="shared" si="23"/>
        <v>1.7873198999999999E-2</v>
      </c>
      <c r="G455" t="str">
        <f>_xlfn.XLOOKUP(D455,'[1]2050 BAU Mapping to T &amp; C'!$A$3:$A$52,'[1]2050 BAU Mapping to T &amp; C'!$B$3:$B$52)</f>
        <v>Tropical Fruits</v>
      </c>
      <c r="H455" s="129">
        <f>_xlfn.XLOOKUP(G455,'[1]T&amp;C emissions for 2050 analysis'!$B$3:$B$23,'[1]T&amp;C emissions for 2050 analysis'!$C$3:$C$23)</f>
        <v>0.51333333333333331</v>
      </c>
      <c r="I455" s="27">
        <f t="shared" si="21"/>
        <v>9.1749088199999992E-3</v>
      </c>
      <c r="J455" s="129">
        <f t="shared" si="22"/>
        <v>8.1265799999999988</v>
      </c>
    </row>
    <row r="456" spans="1:10" hidden="1" x14ac:dyDescent="0.35">
      <c r="A456" s="126" t="s">
        <v>394</v>
      </c>
      <c r="B456" t="str">
        <f>_xlfn.XLOOKUP(A456,'[1]2050Pop'!$A$7:$A$143,'[1]2050Pop'!$D$7:$D$143)</f>
        <v>SSA</v>
      </c>
      <c r="C456" s="127">
        <f>1000*_xlfn.XLOOKUP(A456,'[1]2050Pop'!$A$7:$A$143,'[1]2050Pop'!$C$7:$C$143)</f>
        <v>188455</v>
      </c>
      <c r="D456" s="126" t="s">
        <v>496</v>
      </c>
      <c r="E456" s="128">
        <v>1.258</v>
      </c>
      <c r="F456" s="129">
        <f t="shared" si="23"/>
        <v>0.23707639000000003</v>
      </c>
      <c r="G456" t="str">
        <f>_xlfn.XLOOKUP(D456,'[1]2050 BAU Mapping to T &amp; C'!$A$3:$A$52,'[1]2050 BAU Mapping to T &amp; C'!$B$3:$B$52)</f>
        <v>Tropical Fruits</v>
      </c>
      <c r="H456" s="129">
        <f>_xlfn.XLOOKUP(G456,'[1]T&amp;C emissions for 2050 analysis'!$B$3:$B$23,'[1]T&amp;C emissions for 2050 analysis'!$C$3:$C$23)</f>
        <v>0.51333333333333331</v>
      </c>
      <c r="I456" s="27">
        <f t="shared" si="21"/>
        <v>0.12169921353333334</v>
      </c>
      <c r="J456" s="129">
        <f t="shared" si="22"/>
        <v>0.64577333333333331</v>
      </c>
    </row>
    <row r="457" spans="1:10" hidden="1" x14ac:dyDescent="0.35">
      <c r="A457" s="126" t="s">
        <v>395</v>
      </c>
      <c r="B457" t="str">
        <f>_xlfn.XLOOKUP(A457,'[1]2050Pop'!$A$7:$A$143,'[1]2050Pop'!$D$7:$D$143)</f>
        <v>Euro/AU/NZ</v>
      </c>
      <c r="C457" s="127">
        <f>1000*_xlfn.XLOOKUP(A457,'[1]2050Pop'!$A$7:$A$143,'[1]2050Pop'!$C$7:$C$143)</f>
        <v>5752</v>
      </c>
      <c r="D457" s="126" t="s">
        <v>496</v>
      </c>
      <c r="E457" s="128">
        <v>18.718</v>
      </c>
      <c r="F457" s="129">
        <f t="shared" si="23"/>
        <v>0.107665936</v>
      </c>
      <c r="G457" t="str">
        <f>_xlfn.XLOOKUP(D457,'[1]2050 BAU Mapping to T &amp; C'!$A$3:$A$52,'[1]2050 BAU Mapping to T &amp; C'!$B$3:$B$52)</f>
        <v>Tropical Fruits</v>
      </c>
      <c r="H457" s="129">
        <f>_xlfn.XLOOKUP(G457,'[1]T&amp;C emissions for 2050 analysis'!$B$3:$B$23,'[1]T&amp;C emissions for 2050 analysis'!$C$3:$C$23)</f>
        <v>0.51333333333333331</v>
      </c>
      <c r="I457" s="27">
        <f t="shared" si="21"/>
        <v>5.526851381333333E-2</v>
      </c>
      <c r="J457" s="129">
        <f t="shared" si="22"/>
        <v>9.6085733333333323</v>
      </c>
    </row>
    <row r="458" spans="1:10" hidden="1" x14ac:dyDescent="0.35">
      <c r="A458" s="126" t="s">
        <v>396</v>
      </c>
      <c r="B458" t="str">
        <f>_xlfn.XLOOKUP(A458,'[1]2050Pop'!$A$7:$A$143,'[1]2050Pop'!$D$7:$D$143)</f>
        <v>Euro/AU/NZ</v>
      </c>
      <c r="C458" s="127">
        <f>1000*_xlfn.XLOOKUP(A458,'[1]2050Pop'!$A$7:$A$143,'[1]2050Pop'!$C$7:$C$143)</f>
        <v>71137</v>
      </c>
      <c r="D458" s="126" t="s">
        <v>496</v>
      </c>
      <c r="E458" s="128">
        <v>28.779</v>
      </c>
      <c r="F458" s="129">
        <f t="shared" si="23"/>
        <v>2.047251723</v>
      </c>
      <c r="G458" t="str">
        <f>_xlfn.XLOOKUP(D458,'[1]2050 BAU Mapping to T &amp; C'!$A$3:$A$52,'[1]2050 BAU Mapping to T &amp; C'!$B$3:$B$52)</f>
        <v>Tropical Fruits</v>
      </c>
      <c r="H458" s="129">
        <f>_xlfn.XLOOKUP(G458,'[1]T&amp;C emissions for 2050 analysis'!$B$3:$B$23,'[1]T&amp;C emissions for 2050 analysis'!$C$3:$C$23)</f>
        <v>0.51333333333333331</v>
      </c>
      <c r="I458" s="27">
        <f t="shared" si="21"/>
        <v>1.05092255114</v>
      </c>
      <c r="J458" s="129">
        <f t="shared" si="22"/>
        <v>14.773219999999998</v>
      </c>
    </row>
    <row r="459" spans="1:10" hidden="1" x14ac:dyDescent="0.35">
      <c r="A459" s="126" t="s">
        <v>397</v>
      </c>
      <c r="B459" t="str">
        <f>_xlfn.XLOOKUP(A459,'[1]2050Pop'!$A$7:$A$143,'[1]2050Pop'!$D$7:$D$143)</f>
        <v>SSA</v>
      </c>
      <c r="C459" s="127">
        <f>1000*_xlfn.XLOOKUP(A459,'[1]2050Pop'!$A$7:$A$143,'[1]2050Pop'!$C$7:$C$143)</f>
        <v>3164</v>
      </c>
      <c r="D459" s="126" t="s">
        <v>496</v>
      </c>
      <c r="E459" s="128">
        <v>3.8730000000000002</v>
      </c>
      <c r="F459" s="129">
        <f t="shared" si="23"/>
        <v>1.2254172000000001E-2</v>
      </c>
      <c r="G459" t="str">
        <f>_xlfn.XLOOKUP(D459,'[1]2050 BAU Mapping to T &amp; C'!$A$3:$A$52,'[1]2050 BAU Mapping to T &amp; C'!$B$3:$B$52)</f>
        <v>Tropical Fruits</v>
      </c>
      <c r="H459" s="129">
        <f>_xlfn.XLOOKUP(G459,'[1]T&amp;C emissions for 2050 analysis'!$B$3:$B$23,'[1]T&amp;C emissions for 2050 analysis'!$C$3:$C$23)</f>
        <v>0.51333333333333331</v>
      </c>
      <c r="I459" s="27">
        <f t="shared" si="21"/>
        <v>6.2904749600000004E-3</v>
      </c>
      <c r="J459" s="129">
        <f t="shared" si="22"/>
        <v>1.98814</v>
      </c>
    </row>
    <row r="460" spans="1:10" hidden="1" x14ac:dyDescent="0.35">
      <c r="A460" s="126" t="s">
        <v>489</v>
      </c>
      <c r="B460" t="str">
        <f>_xlfn.XLOOKUP(A460,'[1]2050Pop'!$A$7:$A$143,'[1]2050Pop'!$D$7:$D$143)</f>
        <v>SSA</v>
      </c>
      <c r="C460" s="127">
        <f>1000*_xlfn.XLOOKUP(A460,'[1]2050Pop'!$A$7:$A$143,'[1]2050Pop'!$C$7:$C$143)</f>
        <v>4981</v>
      </c>
      <c r="D460" s="126" t="s">
        <v>496</v>
      </c>
      <c r="E460" s="128">
        <v>1.2150000000000001</v>
      </c>
      <c r="F460" s="129">
        <f t="shared" si="23"/>
        <v>6.0519149999999997E-3</v>
      </c>
      <c r="G460" t="str">
        <f>_xlfn.XLOOKUP(D460,'[1]2050 BAU Mapping to T &amp; C'!$A$3:$A$52,'[1]2050 BAU Mapping to T &amp; C'!$B$3:$B$52)</f>
        <v>Tropical Fruits</v>
      </c>
      <c r="H460" s="129">
        <f>_xlfn.XLOOKUP(G460,'[1]T&amp;C emissions for 2050 analysis'!$B$3:$B$23,'[1]T&amp;C emissions for 2050 analysis'!$C$3:$C$23)</f>
        <v>0.51333333333333331</v>
      </c>
      <c r="I460" s="27">
        <f t="shared" si="21"/>
        <v>3.1066496999999998E-3</v>
      </c>
      <c r="J460" s="129">
        <f t="shared" si="22"/>
        <v>0.62370000000000003</v>
      </c>
    </row>
    <row r="461" spans="1:10" hidden="1" x14ac:dyDescent="0.35">
      <c r="A461" s="126" t="s">
        <v>398</v>
      </c>
      <c r="B461" t="str">
        <f>_xlfn.XLOOKUP(A461,'[1]2050Pop'!$A$7:$A$143,'[1]2050Pop'!$D$7:$D$143)</f>
        <v>MENA</v>
      </c>
      <c r="C461" s="127">
        <f>1000*_xlfn.XLOOKUP(A461,'[1]2050Pop'!$A$7:$A$143,'[1]2050Pop'!$C$7:$C$143)</f>
        <v>3483</v>
      </c>
      <c r="D461" s="126" t="s">
        <v>496</v>
      </c>
      <c r="E461" s="128">
        <v>18.178000000000001</v>
      </c>
      <c r="F461" s="129">
        <f t="shared" si="23"/>
        <v>6.3313973999999995E-2</v>
      </c>
      <c r="G461" t="str">
        <f>_xlfn.XLOOKUP(D461,'[1]2050 BAU Mapping to T &amp; C'!$A$3:$A$52,'[1]2050 BAU Mapping to T &amp; C'!$B$3:$B$52)</f>
        <v>Tropical Fruits</v>
      </c>
      <c r="H461" s="129">
        <f>_xlfn.XLOOKUP(G461,'[1]T&amp;C emissions for 2050 analysis'!$B$3:$B$23,'[1]T&amp;C emissions for 2050 analysis'!$C$3:$C$23)</f>
        <v>0.51333333333333331</v>
      </c>
      <c r="I461" s="27">
        <f t="shared" si="21"/>
        <v>3.2501173319999993E-2</v>
      </c>
      <c r="J461" s="129">
        <f t="shared" si="22"/>
        <v>9.3313733333333335</v>
      </c>
    </row>
    <row r="462" spans="1:10" hidden="1" x14ac:dyDescent="0.35">
      <c r="A462" s="126" t="s">
        <v>399</v>
      </c>
      <c r="B462" t="str">
        <f>_xlfn.XLOOKUP(A462,'[1]2050Pop'!$A$7:$A$143,'[1]2050Pop'!$D$7:$D$143)</f>
        <v>Euro/AU/NZ</v>
      </c>
      <c r="C462" s="127">
        <f>1000*_xlfn.XLOOKUP(A462,'[1]2050Pop'!$A$7:$A$143,'[1]2050Pop'!$C$7:$C$143)</f>
        <v>74513</v>
      </c>
      <c r="D462" s="126" t="s">
        <v>496</v>
      </c>
      <c r="E462" s="128">
        <v>16.260999999999999</v>
      </c>
      <c r="F462" s="129">
        <f t="shared" si="23"/>
        <v>1.2116558929999999</v>
      </c>
      <c r="G462" t="str">
        <f>_xlfn.XLOOKUP(D462,'[1]2050 BAU Mapping to T &amp; C'!$A$3:$A$52,'[1]2050 BAU Mapping to T &amp; C'!$B$3:$B$52)</f>
        <v>Tropical Fruits</v>
      </c>
      <c r="H462" s="129">
        <f>_xlfn.XLOOKUP(G462,'[1]T&amp;C emissions for 2050 analysis'!$B$3:$B$23,'[1]T&amp;C emissions for 2050 analysis'!$C$3:$C$23)</f>
        <v>0.51333333333333331</v>
      </c>
      <c r="I462" s="27">
        <f t="shared" si="21"/>
        <v>0.62198335840666652</v>
      </c>
      <c r="J462" s="129">
        <f t="shared" si="22"/>
        <v>8.3473133333333323</v>
      </c>
    </row>
    <row r="463" spans="1:10" hidden="1" x14ac:dyDescent="0.35">
      <c r="A463" s="126" t="s">
        <v>400</v>
      </c>
      <c r="B463" t="str">
        <f>_xlfn.XLOOKUP(A463,'[1]2050Pop'!$A$7:$A$143,'[1]2050Pop'!$D$7:$D$143)</f>
        <v>SSA</v>
      </c>
      <c r="C463" s="127">
        <f>1000*_xlfn.XLOOKUP(A463,'[1]2050Pop'!$A$7:$A$143,'[1]2050Pop'!$C$7:$C$143)</f>
        <v>50071</v>
      </c>
      <c r="D463" s="126" t="s">
        <v>496</v>
      </c>
      <c r="E463" s="128">
        <v>23.725999999999999</v>
      </c>
      <c r="F463" s="129">
        <f t="shared" si="23"/>
        <v>1.1879845459999998</v>
      </c>
      <c r="G463" t="str">
        <f>_xlfn.XLOOKUP(D463,'[1]2050 BAU Mapping to T &amp; C'!$A$3:$A$52,'[1]2050 BAU Mapping to T &amp; C'!$B$3:$B$52)</f>
        <v>Tropical Fruits</v>
      </c>
      <c r="H463" s="129">
        <f>_xlfn.XLOOKUP(G463,'[1]T&amp;C emissions for 2050 analysis'!$B$3:$B$23,'[1]T&amp;C emissions for 2050 analysis'!$C$3:$C$23)</f>
        <v>0.51333333333333331</v>
      </c>
      <c r="I463" s="27">
        <f t="shared" si="21"/>
        <v>0.60983206694666658</v>
      </c>
      <c r="J463" s="129">
        <f t="shared" si="22"/>
        <v>12.179346666666666</v>
      </c>
    </row>
    <row r="464" spans="1:10" hidden="1" x14ac:dyDescent="0.35">
      <c r="A464" s="126" t="s">
        <v>401</v>
      </c>
      <c r="B464" t="str">
        <f>_xlfn.XLOOKUP(A464,'[1]2050Pop'!$A$7:$A$143,'[1]2050Pop'!$D$7:$D$143)</f>
        <v>Euro/AU/NZ</v>
      </c>
      <c r="C464" s="127">
        <f>1000*_xlfn.XLOOKUP(A464,'[1]2050Pop'!$A$7:$A$143,'[1]2050Pop'!$C$7:$C$143)</f>
        <v>9705</v>
      </c>
      <c r="D464" s="126" t="s">
        <v>496</v>
      </c>
      <c r="E464" s="128">
        <v>36.533000000000001</v>
      </c>
      <c r="F464" s="129">
        <f t="shared" si="23"/>
        <v>0.35455276499999999</v>
      </c>
      <c r="G464" t="str">
        <f>_xlfn.XLOOKUP(D464,'[1]2050 BAU Mapping to T &amp; C'!$A$3:$A$52,'[1]2050 BAU Mapping to T &amp; C'!$B$3:$B$52)</f>
        <v>Tropical Fruits</v>
      </c>
      <c r="H464" s="129">
        <f>_xlfn.XLOOKUP(G464,'[1]T&amp;C emissions for 2050 analysis'!$B$3:$B$23,'[1]T&amp;C emissions for 2050 analysis'!$C$3:$C$23)</f>
        <v>0.51333333333333331</v>
      </c>
      <c r="I464" s="27">
        <f t="shared" si="21"/>
        <v>0.18200375269999999</v>
      </c>
      <c r="J464" s="129">
        <f t="shared" si="22"/>
        <v>18.753606666666666</v>
      </c>
    </row>
    <row r="465" spans="1:10" hidden="1" x14ac:dyDescent="0.35">
      <c r="A465" s="126" t="s">
        <v>402</v>
      </c>
      <c r="B465" t="str">
        <f>_xlfn.XLOOKUP(A465,'[1]2050Pop'!$A$7:$A$143,'[1]2050Pop'!$D$7:$D$143)</f>
        <v>LatAm &amp; RSA</v>
      </c>
      <c r="C465" s="127">
        <f>1000*_xlfn.XLOOKUP(A465,'[1]2050Pop'!$A$7:$A$143,'[1]2050Pop'!$C$7:$C$143)</f>
        <v>27754</v>
      </c>
      <c r="D465" s="126" t="s">
        <v>496</v>
      </c>
      <c r="E465" s="128">
        <v>18.219000000000001</v>
      </c>
      <c r="F465" s="129">
        <f t="shared" si="23"/>
        <v>0.50565012600000003</v>
      </c>
      <c r="G465" t="str">
        <f>_xlfn.XLOOKUP(D465,'[1]2050 BAU Mapping to T &amp; C'!$A$3:$A$52,'[1]2050 BAU Mapping to T &amp; C'!$B$3:$B$52)</f>
        <v>Tropical Fruits</v>
      </c>
      <c r="H465" s="129">
        <f>_xlfn.XLOOKUP(G465,'[1]T&amp;C emissions for 2050 analysis'!$B$3:$B$23,'[1]T&amp;C emissions for 2050 analysis'!$C$3:$C$23)</f>
        <v>0.51333333333333331</v>
      </c>
      <c r="I465" s="27">
        <f t="shared" si="21"/>
        <v>0.25956706468000001</v>
      </c>
      <c r="J465" s="129">
        <f t="shared" si="22"/>
        <v>9.3524200000000004</v>
      </c>
    </row>
    <row r="466" spans="1:10" hidden="1" x14ac:dyDescent="0.35">
      <c r="A466" s="126" t="s">
        <v>403</v>
      </c>
      <c r="B466" t="str">
        <f>_xlfn.XLOOKUP(A466,'[1]2050Pop'!$A$7:$A$143,'[1]2050Pop'!$D$7:$D$143)</f>
        <v>SSA</v>
      </c>
      <c r="C466" s="127">
        <f>1000*_xlfn.XLOOKUP(A466,'[1]2050Pop'!$A$7:$A$143,'[1]2050Pop'!$C$7:$C$143)</f>
        <v>27486</v>
      </c>
      <c r="D466" s="126" t="s">
        <v>496</v>
      </c>
      <c r="E466" s="131">
        <v>19</v>
      </c>
      <c r="F466" s="129">
        <f t="shared" si="23"/>
        <v>0.52223399999999998</v>
      </c>
      <c r="G466" t="str">
        <f>_xlfn.XLOOKUP(D466,'[1]2050 BAU Mapping to T &amp; C'!$A$3:$A$52,'[1]2050 BAU Mapping to T &amp; C'!$B$3:$B$52)</f>
        <v>Tropical Fruits</v>
      </c>
      <c r="H466" s="129">
        <f>_xlfn.XLOOKUP(G466,'[1]T&amp;C emissions for 2050 analysis'!$B$3:$B$23,'[1]T&amp;C emissions for 2050 analysis'!$C$3:$C$23)</f>
        <v>0.51333333333333331</v>
      </c>
      <c r="I466" s="27">
        <f t="shared" si="21"/>
        <v>0.26808011999999998</v>
      </c>
      <c r="J466" s="129">
        <f t="shared" si="22"/>
        <v>9.7533333333333321</v>
      </c>
    </row>
    <row r="467" spans="1:10" hidden="1" x14ac:dyDescent="0.35">
      <c r="A467" s="126" t="s">
        <v>404</v>
      </c>
      <c r="B467" t="str">
        <f>_xlfn.XLOOKUP(A467,'[1]2050Pop'!$A$7:$A$143,'[1]2050Pop'!$D$7:$D$143)</f>
        <v>LatAm &amp; RSA</v>
      </c>
      <c r="C467" s="127">
        <f>1000*_xlfn.XLOOKUP(A467,'[1]2050Pop'!$A$7:$A$143,'[1]2050Pop'!$C$7:$C$143)</f>
        <v>806</v>
      </c>
      <c r="D467" s="126" t="s">
        <v>496</v>
      </c>
      <c r="E467" s="128">
        <v>5.9180000000000001</v>
      </c>
      <c r="F467" s="129">
        <f t="shared" si="23"/>
        <v>4.7699080000000007E-3</v>
      </c>
      <c r="G467" t="str">
        <f>_xlfn.XLOOKUP(D467,'[1]2050 BAU Mapping to T &amp; C'!$A$3:$A$52,'[1]2050 BAU Mapping to T &amp; C'!$B$3:$B$52)</f>
        <v>Tropical Fruits</v>
      </c>
      <c r="H467" s="129">
        <f>_xlfn.XLOOKUP(G467,'[1]T&amp;C emissions for 2050 analysis'!$B$3:$B$23,'[1]T&amp;C emissions for 2050 analysis'!$C$3:$C$23)</f>
        <v>0.51333333333333331</v>
      </c>
      <c r="I467" s="27">
        <f t="shared" si="21"/>
        <v>2.4485527733333337E-3</v>
      </c>
      <c r="J467" s="129">
        <f t="shared" si="22"/>
        <v>3.0379066666666668</v>
      </c>
    </row>
    <row r="468" spans="1:10" hidden="1" x14ac:dyDescent="0.35">
      <c r="A468" s="126" t="s">
        <v>405</v>
      </c>
      <c r="B468" t="str">
        <f>_xlfn.XLOOKUP(A468,'[1]2050Pop'!$A$7:$A$143,'[1]2050Pop'!$D$7:$D$143)</f>
        <v>LatAm &amp; RSA</v>
      </c>
      <c r="C468" s="127">
        <f>1000*_xlfn.XLOOKUP(A468,'[1]2050Pop'!$A$7:$A$143,'[1]2050Pop'!$C$7:$C$143)</f>
        <v>14189</v>
      </c>
      <c r="D468" s="126" t="s">
        <v>496</v>
      </c>
      <c r="E468" s="128">
        <v>5.609</v>
      </c>
      <c r="F468" s="129">
        <f t="shared" si="23"/>
        <v>7.9586100999999992E-2</v>
      </c>
      <c r="G468" t="str">
        <f>_xlfn.XLOOKUP(D468,'[1]2050 BAU Mapping to T &amp; C'!$A$3:$A$52,'[1]2050 BAU Mapping to T &amp; C'!$B$3:$B$52)</f>
        <v>Tropical Fruits</v>
      </c>
      <c r="H468" s="129">
        <f>_xlfn.XLOOKUP(G468,'[1]T&amp;C emissions for 2050 analysis'!$B$3:$B$23,'[1]T&amp;C emissions for 2050 analysis'!$C$3:$C$23)</f>
        <v>0.51333333333333331</v>
      </c>
      <c r="I468" s="27">
        <f t="shared" si="21"/>
        <v>4.0854198513333329E-2</v>
      </c>
      <c r="J468" s="129">
        <f t="shared" si="22"/>
        <v>2.8792866666666663</v>
      </c>
    </row>
    <row r="469" spans="1:10" hidden="1" x14ac:dyDescent="0.35">
      <c r="A469" s="126" t="s">
        <v>406</v>
      </c>
      <c r="B469" t="str">
        <f>_xlfn.XLOOKUP(A469,'[1]2050Pop'!$A$7:$A$143,'[1]2050Pop'!$D$7:$D$143)</f>
        <v>LatAm &amp; RSA</v>
      </c>
      <c r="C469" s="127">
        <f>1000*_xlfn.XLOOKUP(A469,'[1]2050Pop'!$A$7:$A$143,'[1]2050Pop'!$C$7:$C$143)</f>
        <v>11217</v>
      </c>
      <c r="D469" s="126" t="s">
        <v>496</v>
      </c>
      <c r="E469" s="128">
        <v>19.277999999999999</v>
      </c>
      <c r="F469" s="129">
        <f t="shared" si="23"/>
        <v>0.21624132599999998</v>
      </c>
      <c r="G469" t="str">
        <f>_xlfn.XLOOKUP(D469,'[1]2050 BAU Mapping to T &amp; C'!$A$3:$A$52,'[1]2050 BAU Mapping to T &amp; C'!$B$3:$B$52)</f>
        <v>Tropical Fruits</v>
      </c>
      <c r="H469" s="129">
        <f>_xlfn.XLOOKUP(G469,'[1]T&amp;C emissions for 2050 analysis'!$B$3:$B$23,'[1]T&amp;C emissions for 2050 analysis'!$C$3:$C$23)</f>
        <v>0.51333333333333331</v>
      </c>
      <c r="I469" s="27">
        <f t="shared" si="21"/>
        <v>0.11100388067999999</v>
      </c>
      <c r="J469" s="129">
        <f t="shared" si="22"/>
        <v>9.8960399999999993</v>
      </c>
    </row>
    <row r="470" spans="1:10" hidden="1" x14ac:dyDescent="0.35">
      <c r="A470" s="126" t="s">
        <v>407</v>
      </c>
      <c r="B470" t="str">
        <f>_xlfn.XLOOKUP(A470,'[1]2050Pop'!$A$7:$A$143,'[1]2050Pop'!$D$7:$D$143)</f>
        <v>Euro/AU/NZ</v>
      </c>
      <c r="C470" s="127">
        <f>1000*_xlfn.XLOOKUP(A470,'[1]2050Pop'!$A$7:$A$143,'[1]2050Pop'!$C$7:$C$143)</f>
        <v>8318</v>
      </c>
      <c r="D470" s="126" t="s">
        <v>496</v>
      </c>
      <c r="E470" s="128">
        <v>7.5209999999999999</v>
      </c>
      <c r="F470" s="129">
        <f t="shared" si="23"/>
        <v>6.2559677999999994E-2</v>
      </c>
      <c r="G470" t="str">
        <f>_xlfn.XLOOKUP(D470,'[1]2050 BAU Mapping to T &amp; C'!$A$3:$A$52,'[1]2050 BAU Mapping to T &amp; C'!$B$3:$B$52)</f>
        <v>Tropical Fruits</v>
      </c>
      <c r="H470" s="129">
        <f>_xlfn.XLOOKUP(G470,'[1]T&amp;C emissions for 2050 analysis'!$B$3:$B$23,'[1]T&amp;C emissions for 2050 analysis'!$C$3:$C$23)</f>
        <v>0.51333333333333331</v>
      </c>
      <c r="I470" s="27">
        <f t="shared" si="21"/>
        <v>3.2113968039999996E-2</v>
      </c>
      <c r="J470" s="129">
        <f t="shared" si="22"/>
        <v>3.8607799999999997</v>
      </c>
    </row>
    <row r="471" spans="1:10" hidden="1" x14ac:dyDescent="0.35">
      <c r="A471" s="126" t="s">
        <v>408</v>
      </c>
      <c r="B471" t="str">
        <f>_xlfn.XLOOKUP(A471,'[1]2050Pop'!$A$7:$A$143,'[1]2050Pop'!$D$7:$D$143)</f>
        <v>India/South Asia</v>
      </c>
      <c r="C471" s="127">
        <f>1000*_xlfn.XLOOKUP(A471,'[1]2050Pop'!$A$7:$A$143,'[1]2050Pop'!$C$7:$C$143)</f>
        <v>1705333</v>
      </c>
      <c r="D471" s="126" t="s">
        <v>496</v>
      </c>
      <c r="E471" s="128">
        <v>4.1269999999999998</v>
      </c>
      <c r="F471" s="129">
        <f t="shared" si="23"/>
        <v>7.0379092909999992</v>
      </c>
      <c r="G471" t="str">
        <f>_xlfn.XLOOKUP(D471,'[1]2050 BAU Mapping to T &amp; C'!$A$3:$A$52,'[1]2050 BAU Mapping to T &amp; C'!$B$3:$B$52)</f>
        <v>Tropical Fruits</v>
      </c>
      <c r="H471" s="129">
        <f>_xlfn.XLOOKUP(G471,'[1]T&amp;C emissions for 2050 analysis'!$B$3:$B$23,'[1]T&amp;C emissions for 2050 analysis'!$C$3:$C$23)</f>
        <v>0.51333333333333331</v>
      </c>
      <c r="I471" s="27">
        <f t="shared" si="21"/>
        <v>3.6127934360466663</v>
      </c>
      <c r="J471" s="129">
        <f t="shared" si="22"/>
        <v>2.1185266666666664</v>
      </c>
    </row>
    <row r="472" spans="1:10" hidden="1" x14ac:dyDescent="0.35">
      <c r="A472" s="126" t="s">
        <v>409</v>
      </c>
      <c r="B472" t="str">
        <f>_xlfn.XLOOKUP(A472,'[1]2050Pop'!$A$7:$A$143,'[1]2050Pop'!$D$7:$D$143)</f>
        <v>APAC</v>
      </c>
      <c r="C472" s="127">
        <f>1000*_xlfn.XLOOKUP(A472,'[1]2050Pop'!$A$7:$A$143,'[1]2050Pop'!$C$7:$C$143)</f>
        <v>322237</v>
      </c>
      <c r="D472" s="126" t="s">
        <v>496</v>
      </c>
      <c r="E472" s="128">
        <v>6.1180000000000003</v>
      </c>
      <c r="F472" s="129">
        <f t="shared" si="23"/>
        <v>1.9714459660000001</v>
      </c>
      <c r="G472" t="str">
        <f>_xlfn.XLOOKUP(D472,'[1]2050 BAU Mapping to T &amp; C'!$A$3:$A$52,'[1]2050 BAU Mapping to T &amp; C'!$B$3:$B$52)</f>
        <v>Tropical Fruits</v>
      </c>
      <c r="H472" s="129">
        <f>_xlfn.XLOOKUP(G472,'[1]T&amp;C emissions for 2050 analysis'!$B$3:$B$23,'[1]T&amp;C emissions for 2050 analysis'!$C$3:$C$23)</f>
        <v>0.51333333333333331</v>
      </c>
      <c r="I472" s="27">
        <f t="shared" si="21"/>
        <v>1.0120089292133334</v>
      </c>
      <c r="J472" s="129">
        <f t="shared" si="22"/>
        <v>3.1405733333333332</v>
      </c>
    </row>
    <row r="473" spans="1:10" hidden="1" x14ac:dyDescent="0.35">
      <c r="A473" s="126" t="s">
        <v>410</v>
      </c>
      <c r="B473" t="str">
        <f>_xlfn.XLOOKUP(A473,'[1]2050Pop'!$A$7:$A$143,'[1]2050Pop'!$D$7:$D$143)</f>
        <v>India/South Asia</v>
      </c>
      <c r="C473" s="127">
        <f>1000*_xlfn.XLOOKUP(A473,'[1]2050Pop'!$A$7:$A$143,'[1]2050Pop'!$C$7:$C$143)</f>
        <v>92219</v>
      </c>
      <c r="D473" s="126" t="s">
        <v>496</v>
      </c>
      <c r="E473" s="128">
        <v>24.748000000000001</v>
      </c>
      <c r="F473" s="129">
        <f t="shared" si="23"/>
        <v>2.2822358119999997</v>
      </c>
      <c r="G473" t="str">
        <f>_xlfn.XLOOKUP(D473,'[1]2050 BAU Mapping to T &amp; C'!$A$3:$A$52,'[1]2050 BAU Mapping to T &amp; C'!$B$3:$B$52)</f>
        <v>Tropical Fruits</v>
      </c>
      <c r="H473" s="129">
        <f>_xlfn.XLOOKUP(G473,'[1]T&amp;C emissions for 2050 analysis'!$B$3:$B$23,'[1]T&amp;C emissions for 2050 analysis'!$C$3:$C$23)</f>
        <v>0.51333333333333331</v>
      </c>
      <c r="I473" s="27">
        <f t="shared" si="21"/>
        <v>1.1715477168266664</v>
      </c>
      <c r="J473" s="129">
        <f t="shared" si="22"/>
        <v>12.703973333333334</v>
      </c>
    </row>
    <row r="474" spans="1:10" hidden="1" x14ac:dyDescent="0.35">
      <c r="A474" s="126" t="s">
        <v>411</v>
      </c>
      <c r="B474" t="str">
        <f>_xlfn.XLOOKUP(A474,'[1]2050Pop'!$A$7:$A$143,'[1]2050Pop'!$D$7:$D$143)</f>
        <v>MENA</v>
      </c>
      <c r="C474" s="127">
        <f>1000*_xlfn.XLOOKUP(A474,'[1]2050Pop'!$A$7:$A$143,'[1]2050Pop'!$C$7:$C$143)</f>
        <v>83652</v>
      </c>
      <c r="D474" s="126" t="s">
        <v>496</v>
      </c>
      <c r="E474" s="130">
        <v>8.35</v>
      </c>
      <c r="F474" s="129">
        <f t="shared" si="23"/>
        <v>0.69849419999999995</v>
      </c>
      <c r="G474" t="str">
        <f>_xlfn.XLOOKUP(D474,'[1]2050 BAU Mapping to T &amp; C'!$A$3:$A$52,'[1]2050 BAU Mapping to T &amp; C'!$B$3:$B$52)</f>
        <v>Tropical Fruits</v>
      </c>
      <c r="H474" s="129">
        <f>_xlfn.XLOOKUP(G474,'[1]T&amp;C emissions for 2050 analysis'!$B$3:$B$23,'[1]T&amp;C emissions for 2050 analysis'!$C$3:$C$23)</f>
        <v>0.51333333333333331</v>
      </c>
      <c r="I474" s="27">
        <f t="shared" si="21"/>
        <v>0.35856035599999997</v>
      </c>
      <c r="J474" s="129">
        <f t="shared" si="22"/>
        <v>4.2863333333333333</v>
      </c>
    </row>
    <row r="475" spans="1:10" hidden="1" x14ac:dyDescent="0.35">
      <c r="A475" s="126" t="s">
        <v>412</v>
      </c>
      <c r="B475" t="str">
        <f>_xlfn.XLOOKUP(A475,'[1]2050Pop'!$A$7:$A$143,'[1]2050Pop'!$D$7:$D$143)</f>
        <v>Euro/AU/NZ</v>
      </c>
      <c r="C475" s="127">
        <f>1000*_xlfn.XLOOKUP(A475,'[1]2050Pop'!$A$7:$A$143,'[1]2050Pop'!$C$7:$C$143)</f>
        <v>5789</v>
      </c>
      <c r="D475" s="126" t="s">
        <v>496</v>
      </c>
      <c r="E475" s="128">
        <v>50.624000000000002</v>
      </c>
      <c r="F475" s="129">
        <f t="shared" si="23"/>
        <v>0.29306233600000003</v>
      </c>
      <c r="G475" t="str">
        <f>_xlfn.XLOOKUP(D475,'[1]2050 BAU Mapping to T &amp; C'!$A$3:$A$52,'[1]2050 BAU Mapping to T &amp; C'!$B$3:$B$52)</f>
        <v>Tropical Fruits</v>
      </c>
      <c r="H475" s="129">
        <f>_xlfn.XLOOKUP(G475,'[1]T&amp;C emissions for 2050 analysis'!$B$3:$B$23,'[1]T&amp;C emissions for 2050 analysis'!$C$3:$C$23)</f>
        <v>0.51333333333333331</v>
      </c>
      <c r="I475" s="27">
        <f t="shared" si="21"/>
        <v>0.15043866581333334</v>
      </c>
      <c r="J475" s="129">
        <f t="shared" si="22"/>
        <v>25.986986666666667</v>
      </c>
    </row>
    <row r="476" spans="1:10" hidden="1" x14ac:dyDescent="0.35">
      <c r="A476" s="126" t="s">
        <v>413</v>
      </c>
      <c r="B476" t="str">
        <f>_xlfn.XLOOKUP(A476,'[1]2050Pop'!$A$7:$A$143,'[1]2050Pop'!$D$7:$D$143)</f>
        <v>MENA</v>
      </c>
      <c r="C476" s="127">
        <f>1000*_xlfn.XLOOKUP(A476,'[1]2050Pop'!$A$7:$A$143,'[1]2050Pop'!$C$7:$C$143)</f>
        <v>12610</v>
      </c>
      <c r="D476" s="126" t="s">
        <v>496</v>
      </c>
      <c r="E476" s="128">
        <v>16.728000000000002</v>
      </c>
      <c r="F476" s="129">
        <f t="shared" si="23"/>
        <v>0.21094008000000003</v>
      </c>
      <c r="G476" t="str">
        <f>_xlfn.XLOOKUP(D476,'[1]2050 BAU Mapping to T &amp; C'!$A$3:$A$52,'[1]2050 BAU Mapping to T &amp; C'!$B$3:$B$52)</f>
        <v>Tropical Fruits</v>
      </c>
      <c r="H476" s="129">
        <f>_xlfn.XLOOKUP(G476,'[1]T&amp;C emissions for 2050 analysis'!$B$3:$B$23,'[1]T&amp;C emissions for 2050 analysis'!$C$3:$C$23)</f>
        <v>0.51333333333333331</v>
      </c>
      <c r="I476" s="27">
        <f t="shared" si="21"/>
        <v>0.10828257440000001</v>
      </c>
      <c r="J476" s="129">
        <f t="shared" si="22"/>
        <v>8.58704</v>
      </c>
    </row>
    <row r="477" spans="1:10" hidden="1" x14ac:dyDescent="0.35">
      <c r="A477" s="126" t="s">
        <v>414</v>
      </c>
      <c r="B477" t="str">
        <f>_xlfn.XLOOKUP(A477,'[1]2050Pop'!$A$7:$A$143,'[1]2050Pop'!$D$7:$D$143)</f>
        <v>Euro/AU/NZ</v>
      </c>
      <c r="C477" s="127">
        <f>1000*_xlfn.XLOOKUP(A477,'[1]2050Pop'!$A$7:$A$143,'[1]2050Pop'!$C$7:$C$143)</f>
        <v>56513</v>
      </c>
      <c r="D477" s="126" t="s">
        <v>496</v>
      </c>
      <c r="E477" s="128">
        <v>44.905000000000001</v>
      </c>
      <c r="F477" s="129">
        <f t="shared" si="23"/>
        <v>2.5377162650000002</v>
      </c>
      <c r="G477" t="str">
        <f>_xlfn.XLOOKUP(D477,'[1]2050 BAU Mapping to T &amp; C'!$A$3:$A$52,'[1]2050 BAU Mapping to T &amp; C'!$B$3:$B$52)</f>
        <v>Tropical Fruits</v>
      </c>
      <c r="H477" s="129">
        <f>_xlfn.XLOOKUP(G477,'[1]T&amp;C emissions for 2050 analysis'!$B$3:$B$23,'[1]T&amp;C emissions for 2050 analysis'!$C$3:$C$23)</f>
        <v>0.51333333333333331</v>
      </c>
      <c r="I477" s="27">
        <f t="shared" si="21"/>
        <v>1.3026943493666667</v>
      </c>
      <c r="J477" s="129">
        <f t="shared" si="22"/>
        <v>23.051233333333332</v>
      </c>
    </row>
    <row r="478" spans="1:10" hidden="1" x14ac:dyDescent="0.35">
      <c r="A478" s="126" t="s">
        <v>415</v>
      </c>
      <c r="B478" t="str">
        <f>_xlfn.XLOOKUP(A478,'[1]2050Pop'!$A$7:$A$143,'[1]2050Pop'!$D$7:$D$143)</f>
        <v>LatAm &amp; RSA</v>
      </c>
      <c r="C478" s="127">
        <f>1000*_xlfn.XLOOKUP(A478,'[1]2050Pop'!$A$7:$A$143,'[1]2050Pop'!$C$7:$C$143)</f>
        <v>2710</v>
      </c>
      <c r="D478" s="126" t="s">
        <v>496</v>
      </c>
      <c r="E478" s="128">
        <v>42.872</v>
      </c>
      <c r="F478" s="129">
        <f t="shared" si="23"/>
        <v>0.11618312</v>
      </c>
      <c r="G478" t="str">
        <f>_xlfn.XLOOKUP(D478,'[1]2050 BAU Mapping to T &amp; C'!$A$3:$A$52,'[1]2050 BAU Mapping to T &amp; C'!$B$3:$B$52)</f>
        <v>Tropical Fruits</v>
      </c>
      <c r="H478" s="129">
        <f>_xlfn.XLOOKUP(G478,'[1]T&amp;C emissions for 2050 analysis'!$B$3:$B$23,'[1]T&amp;C emissions for 2050 analysis'!$C$3:$C$23)</f>
        <v>0.51333333333333331</v>
      </c>
      <c r="I478" s="27">
        <f t="shared" si="21"/>
        <v>5.9640668266666662E-2</v>
      </c>
      <c r="J478" s="129">
        <f t="shared" si="22"/>
        <v>22.007626666666667</v>
      </c>
    </row>
    <row r="479" spans="1:10" hidden="1" x14ac:dyDescent="0.35">
      <c r="A479" s="126" t="s">
        <v>416</v>
      </c>
      <c r="B479" t="str">
        <f>_xlfn.XLOOKUP(A479,'[1]2050Pop'!$A$7:$A$143,'[1]2050Pop'!$D$7:$D$143)</f>
        <v>APAC</v>
      </c>
      <c r="C479" s="127">
        <f>1000*_xlfn.XLOOKUP(A479,'[1]2050Pop'!$A$7:$A$143,'[1]2050Pop'!$C$7:$C$143)</f>
        <v>107411</v>
      </c>
      <c r="D479" s="126" t="s">
        <v>496</v>
      </c>
      <c r="E479" s="128">
        <v>9.3450000000000006</v>
      </c>
      <c r="F479" s="129">
        <f t="shared" si="23"/>
        <v>1.003755795</v>
      </c>
      <c r="G479" t="str">
        <f>_xlfn.XLOOKUP(D479,'[1]2050 BAU Mapping to T &amp; C'!$A$3:$A$52,'[1]2050 BAU Mapping to T &amp; C'!$B$3:$B$52)</f>
        <v>Tropical Fruits</v>
      </c>
      <c r="H479" s="129">
        <f>_xlfn.XLOOKUP(G479,'[1]T&amp;C emissions for 2050 analysis'!$B$3:$B$23,'[1]T&amp;C emissions for 2050 analysis'!$C$3:$C$23)</f>
        <v>0.51333333333333331</v>
      </c>
      <c r="I479" s="27">
        <f t="shared" si="21"/>
        <v>0.51526130809999993</v>
      </c>
      <c r="J479" s="129">
        <f t="shared" si="22"/>
        <v>4.7971000000000004</v>
      </c>
    </row>
    <row r="480" spans="1:10" hidden="1" x14ac:dyDescent="0.35">
      <c r="A480" s="126" t="s">
        <v>417</v>
      </c>
      <c r="B480" t="str">
        <f>_xlfn.XLOOKUP(A480,'[1]2050Pop'!$A$7:$A$143,'[1]2050Pop'!$D$7:$D$143)</f>
        <v>MENA</v>
      </c>
      <c r="C480" s="127">
        <f>1000*_xlfn.XLOOKUP(A480,'[1]2050Pop'!$A$7:$A$143,'[1]2050Pop'!$C$7:$C$143)</f>
        <v>11717</v>
      </c>
      <c r="D480" s="126" t="s">
        <v>496</v>
      </c>
      <c r="E480" s="128">
        <v>14.194000000000001</v>
      </c>
      <c r="F480" s="129">
        <f t="shared" si="23"/>
        <v>0.16631109799999999</v>
      </c>
      <c r="G480" t="str">
        <f>_xlfn.XLOOKUP(D480,'[1]2050 BAU Mapping to T &amp; C'!$A$3:$A$52,'[1]2050 BAU Mapping to T &amp; C'!$B$3:$B$52)</f>
        <v>Tropical Fruits</v>
      </c>
      <c r="H480" s="129">
        <f>_xlfn.XLOOKUP(G480,'[1]T&amp;C emissions for 2050 analysis'!$B$3:$B$23,'[1]T&amp;C emissions for 2050 analysis'!$C$3:$C$23)</f>
        <v>0.51333333333333331</v>
      </c>
      <c r="I480" s="27">
        <f t="shared" si="21"/>
        <v>8.5373030306666653E-2</v>
      </c>
      <c r="J480" s="129">
        <f t="shared" si="22"/>
        <v>7.2862533333333337</v>
      </c>
    </row>
    <row r="481" spans="1:10" hidden="1" x14ac:dyDescent="0.35">
      <c r="A481" s="126" t="s">
        <v>418</v>
      </c>
      <c r="B481" t="str">
        <f>_xlfn.XLOOKUP(A481,'[1]2050Pop'!$A$7:$A$143,'[1]2050Pop'!$D$7:$D$143)</f>
        <v>APAC</v>
      </c>
      <c r="C481" s="127">
        <f>1000*_xlfn.XLOOKUP(A481,'[1]2050Pop'!$A$7:$A$143,'[1]2050Pop'!$C$7:$C$143)</f>
        <v>22447</v>
      </c>
      <c r="D481" s="126" t="s">
        <v>496</v>
      </c>
      <c r="E481" s="128">
        <v>6.1580000000000004</v>
      </c>
      <c r="F481" s="129">
        <f t="shared" si="23"/>
        <v>0.13822862600000002</v>
      </c>
      <c r="G481" t="str">
        <f>_xlfn.XLOOKUP(D481,'[1]2050 BAU Mapping to T &amp; C'!$A$3:$A$52,'[1]2050 BAU Mapping to T &amp; C'!$B$3:$B$52)</f>
        <v>Tropical Fruits</v>
      </c>
      <c r="H481" s="129">
        <f>_xlfn.XLOOKUP(G481,'[1]T&amp;C emissions for 2050 analysis'!$B$3:$B$23,'[1]T&amp;C emissions for 2050 analysis'!$C$3:$C$23)</f>
        <v>0.51333333333333331</v>
      </c>
      <c r="I481" s="27">
        <f t="shared" si="21"/>
        <v>7.0957361346666678E-2</v>
      </c>
      <c r="J481" s="129">
        <f t="shared" si="22"/>
        <v>3.1611066666666665</v>
      </c>
    </row>
    <row r="482" spans="1:10" hidden="1" x14ac:dyDescent="0.35">
      <c r="A482" s="126" t="s">
        <v>419</v>
      </c>
      <c r="B482" t="str">
        <f>_xlfn.XLOOKUP(A482,'[1]2050Pop'!$A$7:$A$143,'[1]2050Pop'!$D$7:$D$143)</f>
        <v>SSA</v>
      </c>
      <c r="C482" s="127">
        <f>1000*_xlfn.XLOOKUP(A482,'[1]2050Pop'!$A$7:$A$143,'[1]2050Pop'!$C$7:$C$143)</f>
        <v>95505</v>
      </c>
      <c r="D482" s="126" t="s">
        <v>496</v>
      </c>
      <c r="E482" s="128">
        <v>4.9139999999999997</v>
      </c>
      <c r="F482" s="129">
        <f t="shared" si="23"/>
        <v>0.46931156999999996</v>
      </c>
      <c r="G482" t="str">
        <f>_xlfn.XLOOKUP(D482,'[1]2050 BAU Mapping to T &amp; C'!$A$3:$A$52,'[1]2050 BAU Mapping to T &amp; C'!$B$3:$B$52)</f>
        <v>Tropical Fruits</v>
      </c>
      <c r="H482" s="129">
        <f>_xlfn.XLOOKUP(G482,'[1]T&amp;C emissions for 2050 analysis'!$B$3:$B$23,'[1]T&amp;C emissions for 2050 analysis'!$C$3:$C$23)</f>
        <v>0.51333333333333331</v>
      </c>
      <c r="I482" s="27">
        <f t="shared" si="21"/>
        <v>0.24091327259999998</v>
      </c>
      <c r="J482" s="129">
        <f t="shared" si="22"/>
        <v>2.5225199999999997</v>
      </c>
    </row>
    <row r="483" spans="1:10" hidden="1" x14ac:dyDescent="0.35">
      <c r="A483" s="126" t="s">
        <v>420</v>
      </c>
      <c r="B483" t="str">
        <f>_xlfn.XLOOKUP(A483,'[1]2050Pop'!$A$7:$A$143,'[1]2050Pop'!$D$7:$D$143)</f>
        <v>APAC</v>
      </c>
      <c r="C483" s="127">
        <f>1000*_xlfn.XLOOKUP(A483,'[1]2050Pop'!$A$7:$A$143,'[1]2050Pop'!$C$7:$C$143)</f>
        <v>8248</v>
      </c>
      <c r="D483" s="126" t="s">
        <v>496</v>
      </c>
      <c r="E483" s="128">
        <v>2.5750000000000002</v>
      </c>
      <c r="F483" s="129">
        <f t="shared" si="23"/>
        <v>2.1238600000000003E-2</v>
      </c>
      <c r="G483" t="str">
        <f>_xlfn.XLOOKUP(D483,'[1]2050 BAU Mapping to T &amp; C'!$A$3:$A$52,'[1]2050 BAU Mapping to T &amp; C'!$B$3:$B$52)</f>
        <v>Tropical Fruits</v>
      </c>
      <c r="H483" s="129">
        <f>_xlfn.XLOOKUP(G483,'[1]T&amp;C emissions for 2050 analysis'!$B$3:$B$23,'[1]T&amp;C emissions for 2050 analysis'!$C$3:$C$23)</f>
        <v>0.51333333333333331</v>
      </c>
      <c r="I483" s="27">
        <f t="shared" si="21"/>
        <v>1.0902481333333335E-2</v>
      </c>
      <c r="J483" s="129">
        <f t="shared" si="22"/>
        <v>1.3218333333333334</v>
      </c>
    </row>
    <row r="484" spans="1:10" hidden="1" x14ac:dyDescent="0.35">
      <c r="A484" s="126" t="s">
        <v>421</v>
      </c>
      <c r="B484" t="str">
        <f>_xlfn.XLOOKUP(A484,'[1]2050Pop'!$A$7:$A$143,'[1]2050Pop'!$D$7:$D$143)</f>
        <v>APAC</v>
      </c>
      <c r="C484" s="127">
        <f>1000*_xlfn.XLOOKUP(A484,'[1]2050Pop'!$A$7:$A$143,'[1]2050Pop'!$C$7:$C$143)</f>
        <v>10172</v>
      </c>
      <c r="D484" s="126" t="s">
        <v>496</v>
      </c>
      <c r="E484" s="128">
        <v>13.255000000000001</v>
      </c>
      <c r="F484" s="129">
        <f t="shared" si="23"/>
        <v>0.13482986000000002</v>
      </c>
      <c r="G484" t="str">
        <f>_xlfn.XLOOKUP(D484,'[1]2050 BAU Mapping to T &amp; C'!$A$3:$A$52,'[1]2050 BAU Mapping to T &amp; C'!$B$3:$B$52)</f>
        <v>Tropical Fruits</v>
      </c>
      <c r="H484" s="129">
        <f>_xlfn.XLOOKUP(G484,'[1]T&amp;C emissions for 2050 analysis'!$B$3:$B$23,'[1]T&amp;C emissions for 2050 analysis'!$C$3:$C$23)</f>
        <v>0.51333333333333331</v>
      </c>
      <c r="I484" s="27">
        <f t="shared" si="21"/>
        <v>6.9212661466666672E-2</v>
      </c>
      <c r="J484" s="129">
        <f t="shared" si="22"/>
        <v>6.8042333333333334</v>
      </c>
    </row>
    <row r="485" spans="1:10" hidden="1" x14ac:dyDescent="0.35">
      <c r="A485" s="126" t="s">
        <v>422</v>
      </c>
      <c r="B485" t="str">
        <f>_xlfn.XLOOKUP(A485,'[1]2050Pop'!$A$7:$A$143,'[1]2050Pop'!$D$7:$D$143)</f>
        <v>Euro/AU/NZ</v>
      </c>
      <c r="C485" s="127">
        <f>1000*_xlfn.XLOOKUP(A485,'[1]2050Pop'!$A$7:$A$143,'[1]2050Pop'!$C$7:$C$143)</f>
        <v>1593</v>
      </c>
      <c r="D485" s="126" t="s">
        <v>496</v>
      </c>
      <c r="E485" s="128">
        <v>11.118</v>
      </c>
      <c r="F485" s="129">
        <f t="shared" si="23"/>
        <v>1.7710974000000001E-2</v>
      </c>
      <c r="G485" t="str">
        <f>_xlfn.XLOOKUP(D485,'[1]2050 BAU Mapping to T &amp; C'!$A$3:$A$52,'[1]2050 BAU Mapping to T &amp; C'!$B$3:$B$52)</f>
        <v>Tropical Fruits</v>
      </c>
      <c r="H485" s="129">
        <f>_xlfn.XLOOKUP(G485,'[1]T&amp;C emissions for 2050 analysis'!$B$3:$B$23,'[1]T&amp;C emissions for 2050 analysis'!$C$3:$C$23)</f>
        <v>0.51333333333333331</v>
      </c>
      <c r="I485" s="27">
        <f t="shared" si="21"/>
        <v>9.0916333200000005E-3</v>
      </c>
      <c r="J485" s="129">
        <f t="shared" si="22"/>
        <v>5.7072399999999996</v>
      </c>
    </row>
    <row r="486" spans="1:10" hidden="1" x14ac:dyDescent="0.35">
      <c r="A486" s="126" t="s">
        <v>423</v>
      </c>
      <c r="B486" t="str">
        <f>_xlfn.XLOOKUP(A486,'[1]2050Pop'!$A$7:$A$143,'[1]2050Pop'!$D$7:$D$143)</f>
        <v>MENA</v>
      </c>
      <c r="C486" s="127">
        <f>1000*_xlfn.XLOOKUP(A486,'[1]2050Pop'!$A$7:$A$143,'[1]2050Pop'!$C$7:$C$143)</f>
        <v>5610</v>
      </c>
      <c r="D486" s="126" t="s">
        <v>496</v>
      </c>
      <c r="E486" s="128">
        <v>17.977</v>
      </c>
      <c r="F486" s="129">
        <f t="shared" si="23"/>
        <v>0.10085097</v>
      </c>
      <c r="G486" t="str">
        <f>_xlfn.XLOOKUP(D486,'[1]2050 BAU Mapping to T &amp; C'!$A$3:$A$52,'[1]2050 BAU Mapping to T &amp; C'!$B$3:$B$52)</f>
        <v>Tropical Fruits</v>
      </c>
      <c r="H486" s="129">
        <f>_xlfn.XLOOKUP(G486,'[1]T&amp;C emissions for 2050 analysis'!$B$3:$B$23,'[1]T&amp;C emissions for 2050 analysis'!$C$3:$C$23)</f>
        <v>0.51333333333333331</v>
      </c>
      <c r="I486" s="27">
        <f t="shared" si="21"/>
        <v>5.1770164599999995E-2</v>
      </c>
      <c r="J486" s="129">
        <f t="shared" si="22"/>
        <v>9.2281933333333335</v>
      </c>
    </row>
    <row r="487" spans="1:10" hidden="1" x14ac:dyDescent="0.35">
      <c r="A487" s="126" t="s">
        <v>424</v>
      </c>
      <c r="B487" t="str">
        <f>_xlfn.XLOOKUP(A487,'[1]2050Pop'!$A$7:$A$143,'[1]2050Pop'!$D$7:$D$143)</f>
        <v>SSA</v>
      </c>
      <c r="C487" s="127">
        <f>1000*_xlfn.XLOOKUP(A487,'[1]2050Pop'!$A$7:$A$143,'[1]2050Pop'!$C$7:$C$143)</f>
        <v>2987</v>
      </c>
      <c r="D487" s="126" t="s">
        <v>496</v>
      </c>
      <c r="E487" s="130">
        <v>1.69</v>
      </c>
      <c r="F487" s="129">
        <f t="shared" si="23"/>
        <v>5.0480299999999994E-3</v>
      </c>
      <c r="G487" t="str">
        <f>_xlfn.XLOOKUP(D487,'[1]2050 BAU Mapping to T &amp; C'!$A$3:$A$52,'[1]2050 BAU Mapping to T &amp; C'!$B$3:$B$52)</f>
        <v>Tropical Fruits</v>
      </c>
      <c r="H487" s="129">
        <f>_xlfn.XLOOKUP(G487,'[1]T&amp;C emissions for 2050 analysis'!$B$3:$B$23,'[1]T&amp;C emissions for 2050 analysis'!$C$3:$C$23)</f>
        <v>0.51333333333333331</v>
      </c>
      <c r="I487" s="27">
        <f t="shared" si="21"/>
        <v>2.5913220666666662E-3</v>
      </c>
      <c r="J487" s="129">
        <f t="shared" si="22"/>
        <v>0.86753333333333327</v>
      </c>
    </row>
    <row r="488" spans="1:10" hidden="1" x14ac:dyDescent="0.35">
      <c r="A488" s="126" t="s">
        <v>425</v>
      </c>
      <c r="B488" t="str">
        <f>_xlfn.XLOOKUP(A488,'[1]2050Pop'!$A$7:$A$143,'[1]2050Pop'!$D$7:$D$143)</f>
        <v>SSA</v>
      </c>
      <c r="C488" s="127">
        <f>1000*_xlfn.XLOOKUP(A488,'[1]2050Pop'!$A$7:$A$143,'[1]2050Pop'!$C$7:$C$143)</f>
        <v>9436</v>
      </c>
      <c r="D488" s="126" t="s">
        <v>496</v>
      </c>
      <c r="E488" s="128">
        <v>2.2869999999999999</v>
      </c>
      <c r="F488" s="129">
        <f t="shared" si="23"/>
        <v>2.1580131999999998E-2</v>
      </c>
      <c r="G488" t="str">
        <f>_xlfn.XLOOKUP(D488,'[1]2050 BAU Mapping to T &amp; C'!$A$3:$A$52,'[1]2050 BAU Mapping to T &amp; C'!$B$3:$B$52)</f>
        <v>Tropical Fruits</v>
      </c>
      <c r="H488" s="129">
        <f>_xlfn.XLOOKUP(G488,'[1]T&amp;C emissions for 2050 analysis'!$B$3:$B$23,'[1]T&amp;C emissions for 2050 analysis'!$C$3:$C$23)</f>
        <v>0.51333333333333331</v>
      </c>
      <c r="I488" s="27">
        <f t="shared" si="21"/>
        <v>1.1077801093333332E-2</v>
      </c>
      <c r="J488" s="129">
        <f t="shared" si="22"/>
        <v>1.1739933333333332</v>
      </c>
    </row>
    <row r="489" spans="1:10" hidden="1" x14ac:dyDescent="0.35">
      <c r="A489" s="126" t="s">
        <v>426</v>
      </c>
      <c r="B489" t="str">
        <f>_xlfn.XLOOKUP(A489,'[1]2050Pop'!$A$7:$A$143,'[1]2050Pop'!$D$7:$D$143)</f>
        <v>Euro/AU/NZ</v>
      </c>
      <c r="C489" s="127">
        <f>1000*_xlfn.XLOOKUP(A489,'[1]2050Pop'!$A$7:$A$143,'[1]2050Pop'!$C$7:$C$143)</f>
        <v>2375</v>
      </c>
      <c r="D489" s="126" t="s">
        <v>496</v>
      </c>
      <c r="E489" s="128">
        <v>11.487</v>
      </c>
      <c r="F489" s="129">
        <f t="shared" si="23"/>
        <v>2.7281625E-2</v>
      </c>
      <c r="G489" t="str">
        <f>_xlfn.XLOOKUP(D489,'[1]2050 BAU Mapping to T &amp; C'!$A$3:$A$52,'[1]2050 BAU Mapping to T &amp; C'!$B$3:$B$52)</f>
        <v>Tropical Fruits</v>
      </c>
      <c r="H489" s="129">
        <f>_xlfn.XLOOKUP(G489,'[1]T&amp;C emissions for 2050 analysis'!$B$3:$B$23,'[1]T&amp;C emissions for 2050 analysis'!$C$3:$C$23)</f>
        <v>0.51333333333333331</v>
      </c>
      <c r="I489" s="27">
        <f t="shared" si="21"/>
        <v>1.4004567499999999E-2</v>
      </c>
      <c r="J489" s="129">
        <f t="shared" si="22"/>
        <v>5.8966599999999998</v>
      </c>
    </row>
    <row r="490" spans="1:10" hidden="1" x14ac:dyDescent="0.35">
      <c r="A490" s="126" t="s">
        <v>427</v>
      </c>
      <c r="B490" t="str">
        <f>_xlfn.XLOOKUP(A490,'[1]2050Pop'!$A$7:$A$143,'[1]2050Pop'!$D$7:$D$143)</f>
        <v>SSA</v>
      </c>
      <c r="C490" s="127">
        <f>1000*_xlfn.XLOOKUP(A490,'[1]2050Pop'!$A$7:$A$143,'[1]2050Pop'!$C$7:$C$143)</f>
        <v>55294</v>
      </c>
      <c r="D490" s="126" t="s">
        <v>496</v>
      </c>
      <c r="E490" s="128">
        <v>3.879</v>
      </c>
      <c r="F490" s="129">
        <f t="shared" si="23"/>
        <v>0.21448542600000001</v>
      </c>
      <c r="G490" t="str">
        <f>_xlfn.XLOOKUP(D490,'[1]2050 BAU Mapping to T &amp; C'!$A$3:$A$52,'[1]2050 BAU Mapping to T &amp; C'!$B$3:$B$52)</f>
        <v>Tropical Fruits</v>
      </c>
      <c r="H490" s="129">
        <f>_xlfn.XLOOKUP(G490,'[1]T&amp;C emissions for 2050 analysis'!$B$3:$B$23,'[1]T&amp;C emissions for 2050 analysis'!$C$3:$C$23)</f>
        <v>0.51333333333333331</v>
      </c>
      <c r="I490" s="27">
        <f t="shared" si="21"/>
        <v>0.11010251868</v>
      </c>
      <c r="J490" s="129">
        <f t="shared" si="22"/>
        <v>1.99122</v>
      </c>
    </row>
    <row r="491" spans="1:10" hidden="1" x14ac:dyDescent="0.35">
      <c r="A491" s="126" t="s">
        <v>429</v>
      </c>
      <c r="B491" t="str">
        <f>_xlfn.XLOOKUP(A491,'[1]2050Pop'!$A$7:$A$143,'[1]2050Pop'!$D$7:$D$143)</f>
        <v>APAC</v>
      </c>
      <c r="C491" s="127">
        <f>1000*_xlfn.XLOOKUP(A491,'[1]2050Pop'!$A$7:$A$143,'[1]2050Pop'!$C$7:$C$143)</f>
        <v>40725</v>
      </c>
      <c r="D491" s="126" t="s">
        <v>496</v>
      </c>
      <c r="E491" s="128">
        <v>4.9589999999999996</v>
      </c>
      <c r="F491" s="129">
        <f t="shared" si="23"/>
        <v>0.20195527499999999</v>
      </c>
      <c r="G491" t="str">
        <f>_xlfn.XLOOKUP(D491,'[1]2050 BAU Mapping to T &amp; C'!$A$3:$A$52,'[1]2050 BAU Mapping to T &amp; C'!$B$3:$B$52)</f>
        <v>Tropical Fruits</v>
      </c>
      <c r="H491" s="129">
        <f>_xlfn.XLOOKUP(G491,'[1]T&amp;C emissions for 2050 analysis'!$B$3:$B$23,'[1]T&amp;C emissions for 2050 analysis'!$C$3:$C$23)</f>
        <v>0.51333333333333331</v>
      </c>
      <c r="I491" s="27">
        <f t="shared" si="21"/>
        <v>0.1036703745</v>
      </c>
      <c r="J491" s="129">
        <f t="shared" si="22"/>
        <v>2.5456199999999995</v>
      </c>
    </row>
    <row r="492" spans="1:10" hidden="1" x14ac:dyDescent="0.35">
      <c r="A492" s="126" t="s">
        <v>430</v>
      </c>
      <c r="B492" t="str">
        <f>_xlfn.XLOOKUP(A492,'[1]2050Pop'!$A$7:$A$143,'[1]2050Pop'!$D$7:$D$143)</f>
        <v>SSA</v>
      </c>
      <c r="C492" s="127">
        <f>1000*_xlfn.XLOOKUP(A492,'[1]2050Pop'!$A$7:$A$143,'[1]2050Pop'!$C$7:$C$143)</f>
        <v>45404</v>
      </c>
      <c r="D492" s="126" t="s">
        <v>496</v>
      </c>
      <c r="E492" s="128">
        <v>2.4180000000000001</v>
      </c>
      <c r="F492" s="129">
        <f t="shared" si="23"/>
        <v>0.10978687200000001</v>
      </c>
      <c r="G492" t="str">
        <f>_xlfn.XLOOKUP(D492,'[1]2050 BAU Mapping to T &amp; C'!$A$3:$A$52,'[1]2050 BAU Mapping to T &amp; C'!$B$3:$B$52)</f>
        <v>Tropical Fruits</v>
      </c>
      <c r="H492" s="129">
        <f>_xlfn.XLOOKUP(G492,'[1]T&amp;C emissions for 2050 analysis'!$B$3:$B$23,'[1]T&amp;C emissions for 2050 analysis'!$C$3:$C$23)</f>
        <v>0.51333333333333331</v>
      </c>
      <c r="I492" s="27">
        <f t="shared" si="21"/>
        <v>5.6357260960000002E-2</v>
      </c>
      <c r="J492" s="129">
        <f t="shared" si="22"/>
        <v>1.2412400000000001</v>
      </c>
    </row>
    <row r="493" spans="1:10" hidden="1" x14ac:dyDescent="0.35">
      <c r="A493" s="126" t="s">
        <v>431</v>
      </c>
      <c r="B493" t="str">
        <f>_xlfn.XLOOKUP(A493,'[1]2050Pop'!$A$7:$A$143,'[1]2050Pop'!$D$7:$D$143)</f>
        <v>SSA</v>
      </c>
      <c r="C493" s="127">
        <f>1000*_xlfn.XLOOKUP(A493,'[1]2050Pop'!$A$7:$A$143,'[1]2050Pop'!$C$7:$C$143)</f>
        <v>8048.9999999999991</v>
      </c>
      <c r="D493" s="126" t="s">
        <v>496</v>
      </c>
      <c r="E493" s="128">
        <v>1.2829999999999999</v>
      </c>
      <c r="F493" s="129">
        <f t="shared" si="23"/>
        <v>1.0326866999999998E-2</v>
      </c>
      <c r="G493" t="str">
        <f>_xlfn.XLOOKUP(D493,'[1]2050 BAU Mapping to T &amp; C'!$A$3:$A$52,'[1]2050 BAU Mapping to T &amp; C'!$B$3:$B$52)</f>
        <v>Tropical Fruits</v>
      </c>
      <c r="H493" s="129">
        <f>_xlfn.XLOOKUP(G493,'[1]T&amp;C emissions for 2050 analysis'!$B$3:$B$23,'[1]T&amp;C emissions for 2050 analysis'!$C$3:$C$23)</f>
        <v>0.51333333333333331</v>
      </c>
      <c r="I493" s="27">
        <f t="shared" si="21"/>
        <v>5.3011250599999992E-3</v>
      </c>
      <c r="J493" s="129">
        <f t="shared" si="22"/>
        <v>0.65860666666666656</v>
      </c>
    </row>
    <row r="494" spans="1:10" hidden="1" x14ac:dyDescent="0.35">
      <c r="A494" s="126" t="s">
        <v>432</v>
      </c>
      <c r="B494" t="str">
        <f>_xlfn.XLOOKUP(A494,'[1]2050Pop'!$A$7:$A$143,'[1]2050Pop'!$D$7:$D$143)</f>
        <v>SSA</v>
      </c>
      <c r="C494" s="127">
        <f>1000*_xlfn.XLOOKUP(A494,'[1]2050Pop'!$A$7:$A$143,'[1]2050Pop'!$C$7:$C$143)</f>
        <v>1249</v>
      </c>
      <c r="D494" s="126" t="s">
        <v>496</v>
      </c>
      <c r="E494" s="128">
        <v>9.0030000000000001</v>
      </c>
      <c r="F494" s="129">
        <f t="shared" si="23"/>
        <v>1.1244746999999999E-2</v>
      </c>
      <c r="G494" t="str">
        <f>_xlfn.XLOOKUP(D494,'[1]2050 BAU Mapping to T &amp; C'!$A$3:$A$52,'[1]2050 BAU Mapping to T &amp; C'!$B$3:$B$52)</f>
        <v>Tropical Fruits</v>
      </c>
      <c r="H494" s="129">
        <f>_xlfn.XLOOKUP(G494,'[1]T&amp;C emissions for 2050 analysis'!$B$3:$B$23,'[1]T&amp;C emissions for 2050 analysis'!$C$3:$C$23)</f>
        <v>0.51333333333333331</v>
      </c>
      <c r="I494" s="27">
        <f t="shared" si="21"/>
        <v>5.7723034599999994E-3</v>
      </c>
      <c r="J494" s="129">
        <f t="shared" si="22"/>
        <v>4.6215399999999995</v>
      </c>
    </row>
    <row r="495" spans="1:10" hidden="1" x14ac:dyDescent="0.35">
      <c r="A495" s="126" t="s">
        <v>433</v>
      </c>
      <c r="B495" t="str">
        <f>_xlfn.XLOOKUP(A495,'[1]2050Pop'!$A$7:$A$143,'[1]2050Pop'!$D$7:$D$143)</f>
        <v>LatAm &amp; RSA</v>
      </c>
      <c r="C495" s="127">
        <f>1000*_xlfn.XLOOKUP(A495,'[1]2050Pop'!$A$7:$A$143,'[1]2050Pop'!$C$7:$C$143)</f>
        <v>163754</v>
      </c>
      <c r="D495" s="126" t="s">
        <v>496</v>
      </c>
      <c r="E495" s="128">
        <v>34.421999999999997</v>
      </c>
      <c r="F495" s="129">
        <f t="shared" si="23"/>
        <v>5.6367401879999992</v>
      </c>
      <c r="G495" t="str">
        <f>_xlfn.XLOOKUP(D495,'[1]2050 BAU Mapping to T &amp; C'!$A$3:$A$52,'[1]2050 BAU Mapping to T &amp; C'!$B$3:$B$52)</f>
        <v>Tropical Fruits</v>
      </c>
      <c r="H495" s="129">
        <f>_xlfn.XLOOKUP(G495,'[1]T&amp;C emissions for 2050 analysis'!$B$3:$B$23,'[1]T&amp;C emissions for 2050 analysis'!$C$3:$C$23)</f>
        <v>0.51333333333333331</v>
      </c>
      <c r="I495" s="27">
        <f t="shared" si="21"/>
        <v>2.8935266298399993</v>
      </c>
      <c r="J495" s="129">
        <f t="shared" si="22"/>
        <v>17.669959999999996</v>
      </c>
    </row>
    <row r="496" spans="1:10" hidden="1" x14ac:dyDescent="0.35">
      <c r="A496" s="126" t="s">
        <v>434</v>
      </c>
      <c r="B496" t="str">
        <f>_xlfn.XLOOKUP(A496,'[1]2050Pop'!$A$7:$A$143,'[1]2050Pop'!$D$7:$D$143)</f>
        <v>APAC</v>
      </c>
      <c r="C496" s="127">
        <f>1000*_xlfn.XLOOKUP(A496,'[1]2050Pop'!$A$7:$A$143,'[1]2050Pop'!$C$7:$C$143)</f>
        <v>4027.9999999999995</v>
      </c>
      <c r="D496" s="126" t="s">
        <v>496</v>
      </c>
      <c r="E496" s="128">
        <v>10.225</v>
      </c>
      <c r="F496" s="129">
        <f t="shared" si="23"/>
        <v>4.1186299999999995E-2</v>
      </c>
      <c r="G496" t="str">
        <f>_xlfn.XLOOKUP(D496,'[1]2050 BAU Mapping to T &amp; C'!$A$3:$A$52,'[1]2050 BAU Mapping to T &amp; C'!$B$3:$B$52)</f>
        <v>Tropical Fruits</v>
      </c>
      <c r="H496" s="129">
        <f>_xlfn.XLOOKUP(G496,'[1]T&amp;C emissions for 2050 analysis'!$B$3:$B$23,'[1]T&amp;C emissions for 2050 analysis'!$C$3:$C$23)</f>
        <v>0.51333333333333331</v>
      </c>
      <c r="I496" s="27">
        <f t="shared" si="21"/>
        <v>2.1142300666666662E-2</v>
      </c>
      <c r="J496" s="129">
        <f t="shared" si="22"/>
        <v>5.2488333333333328</v>
      </c>
    </row>
    <row r="497" spans="1:10" hidden="1" x14ac:dyDescent="0.35">
      <c r="A497" s="126" t="s">
        <v>435</v>
      </c>
      <c r="B497" t="str">
        <f>_xlfn.XLOOKUP(A497,'[1]2050Pop'!$A$7:$A$143,'[1]2050Pop'!$D$7:$D$143)</f>
        <v>MENA</v>
      </c>
      <c r="C497" s="127">
        <f>1000*_xlfn.XLOOKUP(A497,'[1]2050Pop'!$A$7:$A$143,'[1]2050Pop'!$C$7:$C$143)</f>
        <v>43696</v>
      </c>
      <c r="D497" s="126" t="s">
        <v>496</v>
      </c>
      <c r="E497" s="128">
        <v>34.908000000000001</v>
      </c>
      <c r="F497" s="129">
        <f t="shared" si="23"/>
        <v>1.5253399680000002</v>
      </c>
      <c r="G497" t="str">
        <f>_xlfn.XLOOKUP(D497,'[1]2050 BAU Mapping to T &amp; C'!$A$3:$A$52,'[1]2050 BAU Mapping to T &amp; C'!$B$3:$B$52)</f>
        <v>Tropical Fruits</v>
      </c>
      <c r="H497" s="129">
        <f>_xlfn.XLOOKUP(G497,'[1]T&amp;C emissions for 2050 analysis'!$B$3:$B$23,'[1]T&amp;C emissions for 2050 analysis'!$C$3:$C$23)</f>
        <v>0.51333333333333331</v>
      </c>
      <c r="I497" s="27">
        <f t="shared" si="21"/>
        <v>0.78300785024000008</v>
      </c>
      <c r="J497" s="129">
        <f t="shared" si="22"/>
        <v>17.919439999999998</v>
      </c>
    </row>
    <row r="498" spans="1:10" hidden="1" x14ac:dyDescent="0.35">
      <c r="A498" s="126" t="s">
        <v>436</v>
      </c>
      <c r="B498" t="str">
        <f>_xlfn.XLOOKUP(A498,'[1]2050Pop'!$A$7:$A$143,'[1]2050Pop'!$D$7:$D$143)</f>
        <v>SSA</v>
      </c>
      <c r="C498" s="127">
        <f>1000*_xlfn.XLOOKUP(A498,'[1]2050Pop'!$A$7:$A$143,'[1]2050Pop'!$C$7:$C$143)</f>
        <v>65544</v>
      </c>
      <c r="D498" s="126" t="s">
        <v>496</v>
      </c>
      <c r="E498" s="130">
        <v>1.76</v>
      </c>
      <c r="F498" s="129">
        <f t="shared" si="23"/>
        <v>0.11535744000000001</v>
      </c>
      <c r="G498" t="str">
        <f>_xlfn.XLOOKUP(D498,'[1]2050 BAU Mapping to T &amp; C'!$A$3:$A$52,'[1]2050 BAU Mapping to T &amp; C'!$B$3:$B$52)</f>
        <v>Tropical Fruits</v>
      </c>
      <c r="H498" s="129">
        <f>_xlfn.XLOOKUP(G498,'[1]T&amp;C emissions for 2050 analysis'!$B$3:$B$23,'[1]T&amp;C emissions for 2050 analysis'!$C$3:$C$23)</f>
        <v>0.51333333333333331</v>
      </c>
      <c r="I498" s="27">
        <f t="shared" si="21"/>
        <v>5.92168192E-2</v>
      </c>
      <c r="J498" s="129">
        <f t="shared" si="22"/>
        <v>0.90346666666666664</v>
      </c>
    </row>
    <row r="499" spans="1:10" hidden="1" x14ac:dyDescent="0.35">
      <c r="A499" s="126" t="s">
        <v>437</v>
      </c>
      <c r="B499" t="str">
        <f>_xlfn.XLOOKUP(A499,'[1]2050Pop'!$A$7:$A$143,'[1]2050Pop'!$D$7:$D$143)</f>
        <v>SSA</v>
      </c>
      <c r="C499" s="127">
        <f>1000*_xlfn.XLOOKUP(A499,'[1]2050Pop'!$A$7:$A$143,'[1]2050Pop'!$C$7:$C$143)</f>
        <v>4322</v>
      </c>
      <c r="D499" s="126" t="s">
        <v>496</v>
      </c>
      <c r="E499" s="128">
        <v>4.6829999999999998</v>
      </c>
      <c r="F499" s="129">
        <f t="shared" si="23"/>
        <v>2.0239925999999998E-2</v>
      </c>
      <c r="G499" t="str">
        <f>_xlfn.XLOOKUP(D499,'[1]2050 BAU Mapping to T &amp; C'!$A$3:$A$52,'[1]2050 BAU Mapping to T &amp; C'!$B$3:$B$52)</f>
        <v>Tropical Fruits</v>
      </c>
      <c r="H499" s="129">
        <f>_xlfn.XLOOKUP(G499,'[1]T&amp;C emissions for 2050 analysis'!$B$3:$B$23,'[1]T&amp;C emissions for 2050 analysis'!$C$3:$C$23)</f>
        <v>0.51333333333333331</v>
      </c>
      <c r="I499" s="27">
        <f t="shared" si="21"/>
        <v>1.0389828679999999E-2</v>
      </c>
      <c r="J499" s="129">
        <f t="shared" si="22"/>
        <v>2.40394</v>
      </c>
    </row>
    <row r="500" spans="1:10" hidden="1" x14ac:dyDescent="0.35">
      <c r="A500" s="126" t="s">
        <v>438</v>
      </c>
      <c r="B500" t="str">
        <f>_xlfn.XLOOKUP(A500,'[1]2050Pop'!$A$7:$A$143,'[1]2050Pop'!$D$7:$D$143)</f>
        <v>India/South Asia</v>
      </c>
      <c r="C500" s="127">
        <f>1000*_xlfn.XLOOKUP(A500,'[1]2050Pop'!$A$7:$A$143,'[1]2050Pop'!$C$7:$C$143)</f>
        <v>36159</v>
      </c>
      <c r="D500" s="126" t="s">
        <v>496</v>
      </c>
      <c r="E500" s="128">
        <v>6.548</v>
      </c>
      <c r="F500" s="129">
        <f t="shared" si="23"/>
        <v>0.23676913200000002</v>
      </c>
      <c r="G500" t="str">
        <f>_xlfn.XLOOKUP(D500,'[1]2050 BAU Mapping to T &amp; C'!$A$3:$A$52,'[1]2050 BAU Mapping to T &amp; C'!$B$3:$B$52)</f>
        <v>Tropical Fruits</v>
      </c>
      <c r="H500" s="129">
        <f>_xlfn.XLOOKUP(G500,'[1]T&amp;C emissions for 2050 analysis'!$B$3:$B$23,'[1]T&amp;C emissions for 2050 analysis'!$C$3:$C$23)</f>
        <v>0.51333333333333331</v>
      </c>
      <c r="I500" s="27">
        <f t="shared" si="21"/>
        <v>0.12154148776000001</v>
      </c>
      <c r="J500" s="129">
        <f t="shared" si="22"/>
        <v>3.3613066666666667</v>
      </c>
    </row>
    <row r="501" spans="1:10" hidden="1" x14ac:dyDescent="0.35">
      <c r="A501" s="126" t="s">
        <v>439</v>
      </c>
      <c r="B501" t="str">
        <f>_xlfn.XLOOKUP(A501,'[1]2050Pop'!$A$7:$A$143,'[1]2050Pop'!$D$7:$D$143)</f>
        <v>Euro/AU/NZ</v>
      </c>
      <c r="C501" s="127">
        <f>1000*_xlfn.XLOOKUP(A501,'[1]2050Pop'!$A$7:$A$143,'[1]2050Pop'!$C$7:$C$143)</f>
        <v>17602</v>
      </c>
      <c r="D501" s="126" t="s">
        <v>496</v>
      </c>
      <c r="E501" s="128">
        <v>51.524000000000001</v>
      </c>
      <c r="F501" s="129">
        <f t="shared" si="23"/>
        <v>0.90692544799999997</v>
      </c>
      <c r="G501" t="str">
        <f>_xlfn.XLOOKUP(D501,'[1]2050 BAU Mapping to T &amp; C'!$A$3:$A$52,'[1]2050 BAU Mapping to T &amp; C'!$B$3:$B$52)</f>
        <v>Tropical Fruits</v>
      </c>
      <c r="H501" s="129">
        <f>_xlfn.XLOOKUP(G501,'[1]T&amp;C emissions for 2050 analysis'!$B$3:$B$23,'[1]T&amp;C emissions for 2050 analysis'!$C$3:$C$23)</f>
        <v>0.51333333333333331</v>
      </c>
      <c r="I501" s="27">
        <f t="shared" si="21"/>
        <v>0.46555506330666663</v>
      </c>
      <c r="J501" s="129">
        <f t="shared" si="22"/>
        <v>26.448986666666666</v>
      </c>
    </row>
    <row r="502" spans="1:10" hidden="1" x14ac:dyDescent="0.35">
      <c r="A502" s="126" t="s">
        <v>440</v>
      </c>
      <c r="B502" t="str">
        <f>_xlfn.XLOOKUP(A502,'[1]2050Pop'!$A$7:$A$143,'[1]2050Pop'!$D$7:$D$143)</f>
        <v>Euro/AU/NZ</v>
      </c>
      <c r="C502" s="127">
        <f>1000*_xlfn.XLOOKUP(A502,'[1]2050Pop'!$A$7:$A$143,'[1]2050Pop'!$C$7:$C$143)</f>
        <v>5607</v>
      </c>
      <c r="D502" s="126" t="s">
        <v>496</v>
      </c>
      <c r="E502" s="130">
        <v>9.9700000000000006</v>
      </c>
      <c r="F502" s="129">
        <f t="shared" si="23"/>
        <v>5.590179E-2</v>
      </c>
      <c r="G502" t="str">
        <f>_xlfn.XLOOKUP(D502,'[1]2050 BAU Mapping to T &amp; C'!$A$3:$A$52,'[1]2050 BAU Mapping to T &amp; C'!$B$3:$B$52)</f>
        <v>Tropical Fruits</v>
      </c>
      <c r="H502" s="129">
        <f>_xlfn.XLOOKUP(G502,'[1]T&amp;C emissions for 2050 analysis'!$B$3:$B$23,'[1]T&amp;C emissions for 2050 analysis'!$C$3:$C$23)</f>
        <v>0.51333333333333331</v>
      </c>
      <c r="I502" s="27">
        <f t="shared" si="21"/>
        <v>2.8696252199999998E-2</v>
      </c>
      <c r="J502" s="129">
        <f t="shared" si="22"/>
        <v>5.1179333333333332</v>
      </c>
    </row>
    <row r="503" spans="1:10" hidden="1" x14ac:dyDescent="0.35">
      <c r="A503" s="126" t="s">
        <v>441</v>
      </c>
      <c r="B503" t="str">
        <f>_xlfn.XLOOKUP(A503,'[1]2050Pop'!$A$7:$A$143,'[1]2050Pop'!$D$7:$D$143)</f>
        <v>LatAm &amp; RSA</v>
      </c>
      <c r="C503" s="127">
        <f>1000*_xlfn.XLOOKUP(A503,'[1]2050Pop'!$A$7:$A$143,'[1]2050Pop'!$C$7:$C$143)</f>
        <v>7863</v>
      </c>
      <c r="D503" s="126" t="s">
        <v>496</v>
      </c>
      <c r="E503" s="128">
        <v>5.4710000000000001</v>
      </c>
      <c r="F503" s="129">
        <f t="shared" si="23"/>
        <v>4.3018473000000002E-2</v>
      </c>
      <c r="G503" t="str">
        <f>_xlfn.XLOOKUP(D503,'[1]2050 BAU Mapping to T &amp; C'!$A$3:$A$52,'[1]2050 BAU Mapping to T &amp; C'!$B$3:$B$52)</f>
        <v>Tropical Fruits</v>
      </c>
      <c r="H503" s="129">
        <f>_xlfn.XLOOKUP(G503,'[1]T&amp;C emissions for 2050 analysis'!$B$3:$B$23,'[1]T&amp;C emissions for 2050 analysis'!$C$3:$C$23)</f>
        <v>0.51333333333333331</v>
      </c>
      <c r="I503" s="27">
        <f t="shared" si="21"/>
        <v>2.2082816139999999E-2</v>
      </c>
      <c r="J503" s="129">
        <f t="shared" si="22"/>
        <v>2.8084466666666668</v>
      </c>
    </row>
    <row r="504" spans="1:10" hidden="1" x14ac:dyDescent="0.35">
      <c r="A504" s="126" t="s">
        <v>491</v>
      </c>
      <c r="B504" t="str">
        <f>_xlfn.XLOOKUP(A504,'[1]2050Pop'!$A$7:$A$143,'[1]2050Pop'!$D$7:$D$143)</f>
        <v>SSA</v>
      </c>
      <c r="C504" s="127">
        <f>1000*_xlfn.XLOOKUP(A504,'[1]2050Pop'!$A$7:$A$143,'[1]2050Pop'!$C$7:$C$143)</f>
        <v>398508</v>
      </c>
      <c r="D504" s="126" t="s">
        <v>496</v>
      </c>
      <c r="E504" s="128">
        <v>16.815999999999999</v>
      </c>
      <c r="F504" s="129">
        <f t="shared" si="23"/>
        <v>6.7013105279999996</v>
      </c>
      <c r="G504" t="str">
        <f>_xlfn.XLOOKUP(D504,'[1]2050 BAU Mapping to T &amp; C'!$A$3:$A$52,'[1]2050 BAU Mapping to T &amp; C'!$B$3:$B$52)</f>
        <v>Tropical Fruits</v>
      </c>
      <c r="H504" s="129">
        <f>_xlfn.XLOOKUP(G504,'[1]T&amp;C emissions for 2050 analysis'!$B$3:$B$23,'[1]T&amp;C emissions for 2050 analysis'!$C$3:$C$23)</f>
        <v>0.51333333333333331</v>
      </c>
      <c r="I504" s="27">
        <f t="shared" si="21"/>
        <v>3.4400060710399996</v>
      </c>
      <c r="J504" s="129">
        <f t="shared" si="22"/>
        <v>8.6322133333333326</v>
      </c>
    </row>
    <row r="505" spans="1:10" hidden="1" x14ac:dyDescent="0.35">
      <c r="A505" s="126" t="s">
        <v>442</v>
      </c>
      <c r="B505" t="str">
        <f>_xlfn.XLOOKUP(A505,'[1]2050Pop'!$A$7:$A$143,'[1]2050Pop'!$D$7:$D$143)</f>
        <v>Euro/AU/NZ</v>
      </c>
      <c r="C505" s="127">
        <f>1000*_xlfn.XLOOKUP(A505,'[1]2050Pop'!$A$7:$A$143,'[1]2050Pop'!$C$7:$C$143)</f>
        <v>6658</v>
      </c>
      <c r="D505" s="126" t="s">
        <v>496</v>
      </c>
      <c r="E505" s="128">
        <v>26.507000000000001</v>
      </c>
      <c r="F505" s="129">
        <f t="shared" si="23"/>
        <v>0.17648360599999999</v>
      </c>
      <c r="G505" t="str">
        <f>_xlfn.XLOOKUP(D505,'[1]2050 BAU Mapping to T &amp; C'!$A$3:$A$52,'[1]2050 BAU Mapping to T &amp; C'!$B$3:$B$52)</f>
        <v>Tropical Fruits</v>
      </c>
      <c r="H505" s="129">
        <f>_xlfn.XLOOKUP(G505,'[1]T&amp;C emissions for 2050 analysis'!$B$3:$B$23,'[1]T&amp;C emissions for 2050 analysis'!$C$3:$C$23)</f>
        <v>0.51333333333333331</v>
      </c>
      <c r="I505" s="27">
        <f t="shared" si="21"/>
        <v>9.0594917746666656E-2</v>
      </c>
      <c r="J505" s="129">
        <f t="shared" si="22"/>
        <v>13.606926666666666</v>
      </c>
    </row>
    <row r="506" spans="1:10" hidden="1" x14ac:dyDescent="0.35">
      <c r="A506" s="126" t="s">
        <v>443</v>
      </c>
      <c r="B506" t="str">
        <f>_xlfn.XLOOKUP(A506,'[1]2050Pop'!$A$7:$A$143,'[1]2050Pop'!$D$7:$D$143)</f>
        <v>India/South Asia</v>
      </c>
      <c r="C506" s="127">
        <f>1000*_xlfn.XLOOKUP(A506,'[1]2050Pop'!$A$7:$A$143,'[1]2050Pop'!$C$7:$C$143)</f>
        <v>309640</v>
      </c>
      <c r="D506" s="126" t="s">
        <v>496</v>
      </c>
      <c r="E506" s="128">
        <v>8.1590000000000007</v>
      </c>
      <c r="F506" s="129">
        <f t="shared" si="23"/>
        <v>2.5263527600000004</v>
      </c>
      <c r="G506" t="str">
        <f>_xlfn.XLOOKUP(D506,'[1]2050 BAU Mapping to T &amp; C'!$A$3:$A$52,'[1]2050 BAU Mapping to T &amp; C'!$B$3:$B$52)</f>
        <v>Tropical Fruits</v>
      </c>
      <c r="H506" s="129">
        <f>_xlfn.XLOOKUP(G506,'[1]T&amp;C emissions for 2050 analysis'!$B$3:$B$23,'[1]T&amp;C emissions for 2050 analysis'!$C$3:$C$23)</f>
        <v>0.51333333333333331</v>
      </c>
      <c r="I506" s="27">
        <f t="shared" si="21"/>
        <v>1.2968610834666667</v>
      </c>
      <c r="J506" s="129">
        <f t="shared" si="22"/>
        <v>4.1882866666666665</v>
      </c>
    </row>
    <row r="507" spans="1:10" hidden="1" x14ac:dyDescent="0.35">
      <c r="A507" s="126" t="s">
        <v>444</v>
      </c>
      <c r="B507" t="str">
        <f>_xlfn.XLOOKUP(A507,'[1]2050Pop'!$A$7:$A$143,'[1]2050Pop'!$D$7:$D$143)</f>
        <v>LatAm &amp; RSA</v>
      </c>
      <c r="C507" s="127">
        <f>1000*_xlfn.XLOOKUP(A507,'[1]2050Pop'!$A$7:$A$143,'[1]2050Pop'!$C$7:$C$143)</f>
        <v>5599</v>
      </c>
      <c r="D507" s="126" t="s">
        <v>496</v>
      </c>
      <c r="E507" s="128">
        <v>10.869</v>
      </c>
      <c r="F507" s="129">
        <f t="shared" si="23"/>
        <v>6.0855530999999997E-2</v>
      </c>
      <c r="G507" t="str">
        <f>_xlfn.XLOOKUP(D507,'[1]2050 BAU Mapping to T &amp; C'!$A$3:$A$52,'[1]2050 BAU Mapping to T &amp; C'!$B$3:$B$52)</f>
        <v>Tropical Fruits</v>
      </c>
      <c r="H507" s="129">
        <f>_xlfn.XLOOKUP(G507,'[1]T&amp;C emissions for 2050 analysis'!$B$3:$B$23,'[1]T&amp;C emissions for 2050 analysis'!$C$3:$C$23)</f>
        <v>0.51333333333333331</v>
      </c>
      <c r="I507" s="27">
        <f t="shared" si="21"/>
        <v>3.1239172579999998E-2</v>
      </c>
      <c r="J507" s="129">
        <f t="shared" si="22"/>
        <v>5.5794199999999998</v>
      </c>
    </row>
    <row r="508" spans="1:10" hidden="1" x14ac:dyDescent="0.35">
      <c r="A508" s="126" t="s">
        <v>445</v>
      </c>
      <c r="B508" t="str">
        <f>_xlfn.XLOOKUP(A508,'[1]2050Pop'!$A$7:$A$143,'[1]2050Pop'!$D$7:$D$143)</f>
        <v>LatAm &amp; RSA</v>
      </c>
      <c r="C508" s="127">
        <f>1000*_xlfn.XLOOKUP(A508,'[1]2050Pop'!$A$7:$A$143,'[1]2050Pop'!$C$7:$C$143)</f>
        <v>8895</v>
      </c>
      <c r="D508" s="126" t="s">
        <v>496</v>
      </c>
      <c r="E508" s="128">
        <v>40.715000000000003</v>
      </c>
      <c r="F508" s="129">
        <f t="shared" si="23"/>
        <v>0.36215992500000005</v>
      </c>
      <c r="G508" t="str">
        <f>_xlfn.XLOOKUP(D508,'[1]2050 BAU Mapping to T &amp; C'!$A$3:$A$52,'[1]2050 BAU Mapping to T &amp; C'!$B$3:$B$52)</f>
        <v>Tropical Fruits</v>
      </c>
      <c r="H508" s="129">
        <f>_xlfn.XLOOKUP(G508,'[1]T&amp;C emissions for 2050 analysis'!$B$3:$B$23,'[1]T&amp;C emissions for 2050 analysis'!$C$3:$C$23)</f>
        <v>0.51333333333333331</v>
      </c>
      <c r="I508" s="27">
        <f t="shared" si="21"/>
        <v>0.18590876150000002</v>
      </c>
      <c r="J508" s="129">
        <f t="shared" si="22"/>
        <v>20.900366666666667</v>
      </c>
    </row>
    <row r="509" spans="1:10" hidden="1" x14ac:dyDescent="0.35">
      <c r="A509" s="126" t="s">
        <v>446</v>
      </c>
      <c r="B509" t="str">
        <f>_xlfn.XLOOKUP(A509,'[1]2050Pop'!$A$7:$A$143,'[1]2050Pop'!$D$7:$D$143)</f>
        <v>LatAm &amp; RSA</v>
      </c>
      <c r="C509" s="127">
        <f>1000*_xlfn.XLOOKUP(A509,'[1]2050Pop'!$A$7:$A$143,'[1]2050Pop'!$C$7:$C$143)</f>
        <v>41899</v>
      </c>
      <c r="D509" s="126" t="s">
        <v>496</v>
      </c>
      <c r="E509" s="128">
        <v>26.561</v>
      </c>
      <c r="F509" s="129">
        <f t="shared" si="23"/>
        <v>1.112879339</v>
      </c>
      <c r="G509" t="str">
        <f>_xlfn.XLOOKUP(D509,'[1]2050 BAU Mapping to T &amp; C'!$A$3:$A$52,'[1]2050 BAU Mapping to T &amp; C'!$B$3:$B$52)</f>
        <v>Tropical Fruits</v>
      </c>
      <c r="H509" s="129">
        <f>_xlfn.XLOOKUP(G509,'[1]T&amp;C emissions for 2050 analysis'!$B$3:$B$23,'[1]T&amp;C emissions for 2050 analysis'!$C$3:$C$23)</f>
        <v>0.51333333333333331</v>
      </c>
      <c r="I509" s="27">
        <f t="shared" si="21"/>
        <v>0.57127806068666664</v>
      </c>
      <c r="J509" s="129">
        <f t="shared" si="22"/>
        <v>13.634646666666667</v>
      </c>
    </row>
    <row r="510" spans="1:10" hidden="1" x14ac:dyDescent="0.35">
      <c r="A510" s="126" t="s">
        <v>447</v>
      </c>
      <c r="B510" t="str">
        <f>_xlfn.XLOOKUP(A510,'[1]2050Pop'!$A$7:$A$143,'[1]2050Pop'!$D$7:$D$143)</f>
        <v>APAC</v>
      </c>
      <c r="C510" s="127">
        <f>1000*_xlfn.XLOOKUP(A510,'[1]2050Pop'!$A$7:$A$143,'[1]2050Pop'!$C$7:$C$143)</f>
        <v>148260</v>
      </c>
      <c r="D510" s="126" t="s">
        <v>496</v>
      </c>
      <c r="E510" s="128">
        <v>2.3540000000000001</v>
      </c>
      <c r="F510" s="129">
        <f t="shared" si="23"/>
        <v>0.34900404000000002</v>
      </c>
      <c r="G510" t="str">
        <f>_xlfn.XLOOKUP(D510,'[1]2050 BAU Mapping to T &amp; C'!$A$3:$A$52,'[1]2050 BAU Mapping to T &amp; C'!$B$3:$B$52)</f>
        <v>Tropical Fruits</v>
      </c>
      <c r="H510" s="129">
        <f>_xlfn.XLOOKUP(G510,'[1]T&amp;C emissions for 2050 analysis'!$B$3:$B$23,'[1]T&amp;C emissions for 2050 analysis'!$C$3:$C$23)</f>
        <v>0.51333333333333331</v>
      </c>
      <c r="I510" s="27">
        <f t="shared" si="21"/>
        <v>0.17915540720000001</v>
      </c>
      <c r="J510" s="129">
        <f t="shared" si="22"/>
        <v>1.2083866666666667</v>
      </c>
    </row>
    <row r="511" spans="1:10" hidden="1" x14ac:dyDescent="0.35">
      <c r="A511" s="126" t="s">
        <v>448</v>
      </c>
      <c r="B511" t="str">
        <f>_xlfn.XLOOKUP(A511,'[1]2050Pop'!$A$7:$A$143,'[1]2050Pop'!$D$7:$D$143)</f>
        <v>Euro/AU/NZ</v>
      </c>
      <c r="C511" s="127">
        <f>1000*_xlfn.XLOOKUP(A511,'[1]2050Pop'!$A$7:$A$143,'[1]2050Pop'!$C$7:$C$143)</f>
        <v>33136</v>
      </c>
      <c r="D511" s="126" t="s">
        <v>496</v>
      </c>
      <c r="E511" s="128">
        <v>8.7579999999999991</v>
      </c>
      <c r="F511" s="129">
        <f t="shared" si="23"/>
        <v>0.290205088</v>
      </c>
      <c r="G511" t="str">
        <f>_xlfn.XLOOKUP(D511,'[1]2050 BAU Mapping to T &amp; C'!$A$3:$A$52,'[1]2050 BAU Mapping to T &amp; C'!$B$3:$B$52)</f>
        <v>Tropical Fruits</v>
      </c>
      <c r="H511" s="129">
        <f>_xlfn.XLOOKUP(G511,'[1]T&amp;C emissions for 2050 analysis'!$B$3:$B$23,'[1]T&amp;C emissions for 2050 analysis'!$C$3:$C$23)</f>
        <v>0.51333333333333331</v>
      </c>
      <c r="I511" s="27">
        <f t="shared" si="21"/>
        <v>0.14897194517333331</v>
      </c>
      <c r="J511" s="129">
        <f t="shared" si="22"/>
        <v>4.4957733333333323</v>
      </c>
    </row>
    <row r="512" spans="1:10" hidden="1" x14ac:dyDescent="0.35">
      <c r="A512" s="126" t="s">
        <v>449</v>
      </c>
      <c r="B512" t="str">
        <f>_xlfn.XLOOKUP(A512,'[1]2050Pop'!$A$7:$A$143,'[1]2050Pop'!$D$7:$D$143)</f>
        <v>Euro/AU/NZ</v>
      </c>
      <c r="C512" s="127">
        <f>1000*_xlfn.XLOOKUP(A512,'[1]2050Pop'!$A$7:$A$143,'[1]2050Pop'!$C$7:$C$143)</f>
        <v>9216</v>
      </c>
      <c r="D512" s="126" t="s">
        <v>496</v>
      </c>
      <c r="E512" s="128">
        <v>24.565999999999999</v>
      </c>
      <c r="F512" s="129">
        <f t="shared" si="23"/>
        <v>0.22640025599999999</v>
      </c>
      <c r="G512" t="str">
        <f>_xlfn.XLOOKUP(D512,'[1]2050 BAU Mapping to T &amp; C'!$A$3:$A$52,'[1]2050 BAU Mapping to T &amp; C'!$B$3:$B$52)</f>
        <v>Tropical Fruits</v>
      </c>
      <c r="H512" s="129">
        <f>_xlfn.XLOOKUP(G512,'[1]T&amp;C emissions for 2050 analysis'!$B$3:$B$23,'[1]T&amp;C emissions for 2050 analysis'!$C$3:$C$23)</f>
        <v>0.51333333333333331</v>
      </c>
      <c r="I512" s="27">
        <f t="shared" si="21"/>
        <v>0.11621879807999999</v>
      </c>
      <c r="J512" s="129">
        <f t="shared" si="22"/>
        <v>12.610546666666666</v>
      </c>
    </row>
    <row r="513" spans="1:10" hidden="1" x14ac:dyDescent="0.35">
      <c r="A513" s="126" t="s">
        <v>450</v>
      </c>
      <c r="B513" t="str">
        <f>_xlfn.XLOOKUP(A513,'[1]2050Pop'!$A$7:$A$143,'[1]2050Pop'!$D$7:$D$143)</f>
        <v>APAC</v>
      </c>
      <c r="C513" s="127">
        <f>1000*_xlfn.XLOOKUP(A513,'[1]2050Pop'!$A$7:$A$143,'[1]2050Pop'!$C$7:$C$143)</f>
        <v>50593</v>
      </c>
      <c r="D513" s="126" t="s">
        <v>496</v>
      </c>
      <c r="E513" s="128">
        <v>18.062000000000001</v>
      </c>
      <c r="F513" s="129">
        <f t="shared" si="23"/>
        <v>0.91381076600000011</v>
      </c>
      <c r="G513" t="str">
        <f>_xlfn.XLOOKUP(D513,'[1]2050 BAU Mapping to T &amp; C'!$A$3:$A$52,'[1]2050 BAU Mapping to T &amp; C'!$B$3:$B$52)</f>
        <v>Tropical Fruits</v>
      </c>
      <c r="H513" s="129">
        <f>_xlfn.XLOOKUP(G513,'[1]T&amp;C emissions for 2050 analysis'!$B$3:$B$23,'[1]T&amp;C emissions for 2050 analysis'!$C$3:$C$23)</f>
        <v>0.51333333333333331</v>
      </c>
      <c r="I513" s="27">
        <f t="shared" si="21"/>
        <v>0.46908952654666669</v>
      </c>
      <c r="J513" s="129">
        <f t="shared" si="22"/>
        <v>9.2718266666666675</v>
      </c>
    </row>
    <row r="514" spans="1:10" hidden="1" x14ac:dyDescent="0.35">
      <c r="A514" s="126" t="s">
        <v>451</v>
      </c>
      <c r="B514" t="str">
        <f>_xlfn.XLOOKUP(A514,'[1]2050Pop'!$A$7:$A$143,'[1]2050Pop'!$D$7:$D$143)</f>
        <v>Euro/AU/NZ</v>
      </c>
      <c r="C514" s="127">
        <f>1000*_xlfn.XLOOKUP(A514,'[1]2050Pop'!$A$7:$A$143,'[1]2050Pop'!$C$7:$C$143)</f>
        <v>3243</v>
      </c>
      <c r="D514" s="126" t="s">
        <v>496</v>
      </c>
      <c r="E514" s="130">
        <v>3.95</v>
      </c>
      <c r="F514" s="129">
        <f t="shared" si="23"/>
        <v>1.2809850000000001E-2</v>
      </c>
      <c r="G514" t="str">
        <f>_xlfn.XLOOKUP(D514,'[1]2050 BAU Mapping to T &amp; C'!$A$3:$A$52,'[1]2050 BAU Mapping to T &amp; C'!$B$3:$B$52)</f>
        <v>Tropical Fruits</v>
      </c>
      <c r="H514" s="129">
        <f>_xlfn.XLOOKUP(G514,'[1]T&amp;C emissions for 2050 analysis'!$B$3:$B$23,'[1]T&amp;C emissions for 2050 analysis'!$C$3:$C$23)</f>
        <v>0.51333333333333331</v>
      </c>
      <c r="I514" s="27">
        <f t="shared" si="21"/>
        <v>6.5757230000000003E-3</v>
      </c>
      <c r="J514" s="129">
        <f t="shared" si="22"/>
        <v>2.0276666666666667</v>
      </c>
    </row>
    <row r="515" spans="1:10" hidden="1" x14ac:dyDescent="0.35">
      <c r="A515" s="126" t="s">
        <v>452</v>
      </c>
      <c r="B515" t="str">
        <f>_xlfn.XLOOKUP(A515,'[1]2050Pop'!$A$7:$A$143,'[1]2050Pop'!$D$7:$D$143)</f>
        <v>SSA</v>
      </c>
      <c r="C515" s="127">
        <f>1000*_xlfn.XLOOKUP(A515,'[1]2050Pop'!$A$7:$A$143,'[1]2050Pop'!$C$7:$C$143)</f>
        <v>10732</v>
      </c>
      <c r="D515" s="126" t="s">
        <v>496</v>
      </c>
      <c r="E515" s="130">
        <v>4.58</v>
      </c>
      <c r="F515" s="129">
        <f t="shared" si="23"/>
        <v>4.9152559999999998E-2</v>
      </c>
      <c r="G515" t="str">
        <f>_xlfn.XLOOKUP(D515,'[1]2050 BAU Mapping to T &amp; C'!$A$3:$A$52,'[1]2050 BAU Mapping to T &amp; C'!$B$3:$B$52)</f>
        <v>Tropical Fruits</v>
      </c>
      <c r="H515" s="129">
        <f>_xlfn.XLOOKUP(G515,'[1]T&amp;C emissions for 2050 analysis'!$B$3:$B$23,'[1]T&amp;C emissions for 2050 analysis'!$C$3:$C$23)</f>
        <v>0.51333333333333331</v>
      </c>
      <c r="I515" s="27">
        <f t="shared" si="21"/>
        <v>2.5231647466666663E-2</v>
      </c>
      <c r="J515" s="129">
        <f t="shared" si="22"/>
        <v>2.3510666666666666</v>
      </c>
    </row>
    <row r="516" spans="1:10" hidden="1" x14ac:dyDescent="0.35">
      <c r="A516" s="126" t="s">
        <v>453</v>
      </c>
      <c r="B516" t="str">
        <f>_xlfn.XLOOKUP(A516,'[1]2050Pop'!$A$7:$A$143,'[1]2050Pop'!$D$7:$D$143)</f>
        <v>Euro/AU/NZ</v>
      </c>
      <c r="C516" s="127">
        <f>1000*_xlfn.XLOOKUP(A516,'[1]2050Pop'!$A$7:$A$143,'[1]2050Pop'!$C$7:$C$143)</f>
        <v>15207</v>
      </c>
      <c r="D516" s="126" t="s">
        <v>496</v>
      </c>
      <c r="E516" s="128">
        <v>8.1470000000000002</v>
      </c>
      <c r="F516" s="129">
        <f t="shared" si="23"/>
        <v>0.123891429</v>
      </c>
      <c r="G516" t="str">
        <f>_xlfn.XLOOKUP(D516,'[1]2050 BAU Mapping to T &amp; C'!$A$3:$A$52,'[1]2050 BAU Mapping to T &amp; C'!$B$3:$B$52)</f>
        <v>Tropical Fruits</v>
      </c>
      <c r="H516" s="129">
        <f>_xlfn.XLOOKUP(G516,'[1]T&amp;C emissions for 2050 analysis'!$B$3:$B$23,'[1]T&amp;C emissions for 2050 analysis'!$C$3:$C$23)</f>
        <v>0.51333333333333331</v>
      </c>
      <c r="I516" s="27">
        <f t="shared" ref="I516:I579" si="24">F516*H516</f>
        <v>6.3597600219999995E-2</v>
      </c>
      <c r="J516" s="129">
        <f t="shared" ref="J516:J579" si="25">E516*H516</f>
        <v>4.182126666666667</v>
      </c>
    </row>
    <row r="517" spans="1:10" hidden="1" x14ac:dyDescent="0.35">
      <c r="A517" s="126" t="s">
        <v>454</v>
      </c>
      <c r="B517" t="str">
        <f>_xlfn.XLOOKUP(A517,'[1]2050Pop'!$A$7:$A$143,'[1]2050Pop'!$D$7:$D$143)</f>
        <v>Euro/AU/NZ</v>
      </c>
      <c r="C517" s="127">
        <f>1000*_xlfn.XLOOKUP(A517,'[1]2050Pop'!$A$7:$A$143,'[1]2050Pop'!$C$7:$C$143)</f>
        <v>128598.99999999999</v>
      </c>
      <c r="D517" s="126" t="s">
        <v>496</v>
      </c>
      <c r="E517" s="128">
        <v>13.188000000000001</v>
      </c>
      <c r="F517" s="129">
        <f t="shared" ref="F517:F580" si="26">C517*E517/1000000</f>
        <v>1.6959636119999999</v>
      </c>
      <c r="G517" t="str">
        <f>_xlfn.XLOOKUP(D517,'[1]2050 BAU Mapping to T &amp; C'!$A$3:$A$52,'[1]2050 BAU Mapping to T &amp; C'!$B$3:$B$52)</f>
        <v>Tropical Fruits</v>
      </c>
      <c r="H517" s="129">
        <f>_xlfn.XLOOKUP(G517,'[1]T&amp;C emissions for 2050 analysis'!$B$3:$B$23,'[1]T&amp;C emissions for 2050 analysis'!$C$3:$C$23)</f>
        <v>0.51333333333333331</v>
      </c>
      <c r="I517" s="27">
        <f t="shared" si="24"/>
        <v>0.87059465415999993</v>
      </c>
      <c r="J517" s="129">
        <f t="shared" si="25"/>
        <v>6.7698400000000003</v>
      </c>
    </row>
    <row r="518" spans="1:10" hidden="1" x14ac:dyDescent="0.35">
      <c r="A518" s="126" t="s">
        <v>455</v>
      </c>
      <c r="B518" t="str">
        <f>_xlfn.XLOOKUP(A518,'[1]2050Pop'!$A$7:$A$143,'[1]2050Pop'!$D$7:$D$143)</f>
        <v>SSA</v>
      </c>
      <c r="C518" s="127">
        <f>1000*_xlfn.XLOOKUP(A518,'[1]2050Pop'!$A$7:$A$143,'[1]2050Pop'!$C$7:$C$143)</f>
        <v>21187</v>
      </c>
      <c r="D518" s="126" t="s">
        <v>496</v>
      </c>
      <c r="E518" s="128">
        <v>1.3140000000000001</v>
      </c>
      <c r="F518" s="129">
        <f t="shared" si="26"/>
        <v>2.7839717999999999E-2</v>
      </c>
      <c r="G518" t="str">
        <f>_xlfn.XLOOKUP(D518,'[1]2050 BAU Mapping to T &amp; C'!$A$3:$A$52,'[1]2050 BAU Mapping to T &amp; C'!$B$3:$B$52)</f>
        <v>Tropical Fruits</v>
      </c>
      <c r="H518" s="129">
        <f>_xlfn.XLOOKUP(G518,'[1]T&amp;C emissions for 2050 analysis'!$B$3:$B$23,'[1]T&amp;C emissions for 2050 analysis'!$C$3:$C$23)</f>
        <v>0.51333333333333331</v>
      </c>
      <c r="I518" s="27">
        <f t="shared" si="24"/>
        <v>1.4291055239999999E-2</v>
      </c>
      <c r="J518" s="129">
        <f t="shared" si="25"/>
        <v>0.67452000000000001</v>
      </c>
    </row>
    <row r="519" spans="1:10" hidden="1" x14ac:dyDescent="0.35">
      <c r="A519" s="126" t="s">
        <v>456</v>
      </c>
      <c r="B519" t="str">
        <f>_xlfn.XLOOKUP(A519,'[1]2050Pop'!$A$7:$A$143,'[1]2050Pop'!$D$7:$D$143)</f>
        <v>MENA</v>
      </c>
      <c r="C519" s="127">
        <f>1000*_xlfn.XLOOKUP(A519,'[1]2050Pop'!$A$7:$A$143,'[1]2050Pop'!$C$7:$C$143)</f>
        <v>46059</v>
      </c>
      <c r="D519" s="126" t="s">
        <v>496</v>
      </c>
      <c r="E519" s="128">
        <v>11.090999999999999</v>
      </c>
      <c r="F519" s="129">
        <f t="shared" si="26"/>
        <v>0.51084036899999996</v>
      </c>
      <c r="G519" t="str">
        <f>_xlfn.XLOOKUP(D519,'[1]2050 BAU Mapping to T &amp; C'!$A$3:$A$52,'[1]2050 BAU Mapping to T &amp; C'!$B$3:$B$52)</f>
        <v>Tropical Fruits</v>
      </c>
      <c r="H519" s="129">
        <f>_xlfn.XLOOKUP(G519,'[1]T&amp;C emissions for 2050 analysis'!$B$3:$B$23,'[1]T&amp;C emissions for 2050 analysis'!$C$3:$C$23)</f>
        <v>0.51333333333333331</v>
      </c>
      <c r="I519" s="27">
        <f t="shared" si="24"/>
        <v>0.26223138941999996</v>
      </c>
      <c r="J519" s="129">
        <f t="shared" si="25"/>
        <v>5.6933799999999994</v>
      </c>
    </row>
    <row r="520" spans="1:10" hidden="1" x14ac:dyDescent="0.35">
      <c r="A520" s="126" t="s">
        <v>457</v>
      </c>
      <c r="B520" t="str">
        <f>_xlfn.XLOOKUP(A520,'[1]2050Pop'!$A$7:$A$143,'[1]2050Pop'!$D$7:$D$143)</f>
        <v>SSA</v>
      </c>
      <c r="C520" s="127">
        <f>1000*_xlfn.XLOOKUP(A520,'[1]2050Pop'!$A$7:$A$143,'[1]2050Pop'!$C$7:$C$143)</f>
        <v>36223</v>
      </c>
      <c r="D520" s="126" t="s">
        <v>496</v>
      </c>
      <c r="E520" s="128">
        <v>4.3860000000000001</v>
      </c>
      <c r="F520" s="129">
        <f t="shared" si="26"/>
        <v>0.158874078</v>
      </c>
      <c r="G520" t="str">
        <f>_xlfn.XLOOKUP(D520,'[1]2050 BAU Mapping to T &amp; C'!$A$3:$A$52,'[1]2050 BAU Mapping to T &amp; C'!$B$3:$B$52)</f>
        <v>Tropical Fruits</v>
      </c>
      <c r="H520" s="129">
        <f>_xlfn.XLOOKUP(G520,'[1]T&amp;C emissions for 2050 analysis'!$B$3:$B$23,'[1]T&amp;C emissions for 2050 analysis'!$C$3:$C$23)</f>
        <v>0.51333333333333331</v>
      </c>
      <c r="I520" s="27">
        <f t="shared" si="24"/>
        <v>8.1555360039999997E-2</v>
      </c>
      <c r="J520" s="129">
        <f t="shared" si="25"/>
        <v>2.2514799999999999</v>
      </c>
    </row>
    <row r="521" spans="1:10" hidden="1" x14ac:dyDescent="0.35">
      <c r="A521" s="126" t="s">
        <v>458</v>
      </c>
      <c r="B521" t="str">
        <f>_xlfn.XLOOKUP(A521,'[1]2050Pop'!$A$7:$A$143,'[1]2050Pop'!$D$7:$D$143)</f>
        <v>Euro/AU/NZ</v>
      </c>
      <c r="C521" s="127">
        <f>1000*_xlfn.XLOOKUP(A521,'[1]2050Pop'!$A$7:$A$143,'[1]2050Pop'!$C$7:$C$143)</f>
        <v>7331</v>
      </c>
      <c r="D521" s="126" t="s">
        <v>496</v>
      </c>
      <c r="E521" s="128">
        <v>9.1910000000000007</v>
      </c>
      <c r="F521" s="129">
        <f t="shared" si="26"/>
        <v>6.7379221000000003E-2</v>
      </c>
      <c r="G521" t="str">
        <f>_xlfn.XLOOKUP(D521,'[1]2050 BAU Mapping to T &amp; C'!$A$3:$A$52,'[1]2050 BAU Mapping to T &amp; C'!$B$3:$B$52)</f>
        <v>Tropical Fruits</v>
      </c>
      <c r="H521" s="129">
        <f>_xlfn.XLOOKUP(G521,'[1]T&amp;C emissions for 2050 analysis'!$B$3:$B$23,'[1]T&amp;C emissions for 2050 analysis'!$C$3:$C$23)</f>
        <v>0.51333333333333331</v>
      </c>
      <c r="I521" s="27">
        <f t="shared" si="24"/>
        <v>3.4588000113333336E-2</v>
      </c>
      <c r="J521" s="129">
        <f t="shared" si="25"/>
        <v>4.7180466666666669</v>
      </c>
    </row>
    <row r="522" spans="1:10" hidden="1" x14ac:dyDescent="0.35">
      <c r="A522" s="126" t="s">
        <v>492</v>
      </c>
      <c r="B522" t="str">
        <f>_xlfn.XLOOKUP(A522,'[1]2050Pop'!$A$7:$A$143,'[1]2050Pop'!$D$7:$D$143)</f>
        <v>SSA</v>
      </c>
      <c r="C522" s="127">
        <f>1000*_xlfn.XLOOKUP(A522,'[1]2050Pop'!$A$7:$A$143,'[1]2050Pop'!$C$7:$C$143)</f>
        <v>11392</v>
      </c>
      <c r="D522" s="126" t="s">
        <v>496</v>
      </c>
      <c r="E522" s="128">
        <v>14.007999999999999</v>
      </c>
      <c r="F522" s="129">
        <f t="shared" si="26"/>
        <v>0.15957913600000001</v>
      </c>
      <c r="G522" t="str">
        <f>_xlfn.XLOOKUP(D522,'[1]2050 BAU Mapping to T &amp; C'!$A$3:$A$52,'[1]2050 BAU Mapping to T &amp; C'!$B$3:$B$52)</f>
        <v>Tropical Fruits</v>
      </c>
      <c r="H522" s="129">
        <f>_xlfn.XLOOKUP(G522,'[1]T&amp;C emissions for 2050 analysis'!$B$3:$B$23,'[1]T&amp;C emissions for 2050 analysis'!$C$3:$C$23)</f>
        <v>0.51333333333333331</v>
      </c>
      <c r="I522" s="27">
        <f t="shared" si="24"/>
        <v>8.1917289813333335E-2</v>
      </c>
      <c r="J522" s="129">
        <f t="shared" si="25"/>
        <v>7.1907733333333326</v>
      </c>
    </row>
    <row r="523" spans="1:10" hidden="1" x14ac:dyDescent="0.35">
      <c r="A523" s="126" t="s">
        <v>459</v>
      </c>
      <c r="B523" t="str">
        <f>_xlfn.XLOOKUP(A523,'[1]2050Pop'!$A$7:$A$143,'[1]2050Pop'!$D$7:$D$143)</f>
        <v>Euro/AU/NZ</v>
      </c>
      <c r="C523" s="127">
        <f>1000*_xlfn.XLOOKUP(A523,'[1]2050Pop'!$A$7:$A$143,'[1]2050Pop'!$C$7:$C$143)</f>
        <v>4892</v>
      </c>
      <c r="D523" s="126" t="s">
        <v>496</v>
      </c>
      <c r="E523" s="128">
        <v>11.815</v>
      </c>
      <c r="F523" s="129">
        <f t="shared" si="26"/>
        <v>5.7798979999999993E-2</v>
      </c>
      <c r="G523" t="str">
        <f>_xlfn.XLOOKUP(D523,'[1]2050 BAU Mapping to T &amp; C'!$A$3:$A$52,'[1]2050 BAU Mapping to T &amp; C'!$B$3:$B$52)</f>
        <v>Tropical Fruits</v>
      </c>
      <c r="H523" s="129">
        <f>_xlfn.XLOOKUP(G523,'[1]T&amp;C emissions for 2050 analysis'!$B$3:$B$23,'[1]T&amp;C emissions for 2050 analysis'!$C$3:$C$23)</f>
        <v>0.51333333333333331</v>
      </c>
      <c r="I523" s="27">
        <f t="shared" si="24"/>
        <v>2.9670143066666661E-2</v>
      </c>
      <c r="J523" s="129">
        <f t="shared" si="25"/>
        <v>6.0650333333333331</v>
      </c>
    </row>
    <row r="524" spans="1:10" hidden="1" x14ac:dyDescent="0.35">
      <c r="A524" s="126" t="s">
        <v>460</v>
      </c>
      <c r="B524" t="str">
        <f>_xlfn.XLOOKUP(A524,'[1]2050Pop'!$A$7:$A$143,'[1]2050Pop'!$D$7:$D$143)</f>
        <v>LatAm &amp; RSA</v>
      </c>
      <c r="C524" s="127">
        <f>1000*_xlfn.XLOOKUP(A524,'[1]2050Pop'!$A$7:$A$143,'[1]2050Pop'!$C$7:$C$143)</f>
        <v>65540</v>
      </c>
      <c r="D524" s="126" t="s">
        <v>496</v>
      </c>
      <c r="E524" s="128">
        <v>8.859</v>
      </c>
      <c r="F524" s="129">
        <f t="shared" si="26"/>
        <v>0.58061885999999996</v>
      </c>
      <c r="G524" t="str">
        <f>_xlfn.XLOOKUP(D524,'[1]2050 BAU Mapping to T &amp; C'!$A$3:$A$52,'[1]2050 BAU Mapping to T &amp; C'!$B$3:$B$52)</f>
        <v>Tropical Fruits</v>
      </c>
      <c r="H524" s="129">
        <f>_xlfn.XLOOKUP(G524,'[1]T&amp;C emissions for 2050 analysis'!$B$3:$B$23,'[1]T&amp;C emissions for 2050 analysis'!$C$3:$C$23)</f>
        <v>0.51333333333333331</v>
      </c>
      <c r="I524" s="27">
        <f t="shared" si="24"/>
        <v>0.29805101479999996</v>
      </c>
      <c r="J524" s="129">
        <f t="shared" si="25"/>
        <v>4.5476199999999993</v>
      </c>
    </row>
    <row r="525" spans="1:10" hidden="1" x14ac:dyDescent="0.35">
      <c r="A525" s="126" t="s">
        <v>461</v>
      </c>
      <c r="B525" t="str">
        <f>_xlfn.XLOOKUP(A525,'[1]2050Pop'!$A$7:$A$143,'[1]2050Pop'!$D$7:$D$143)</f>
        <v>Euro/AU/NZ</v>
      </c>
      <c r="C525" s="127">
        <f>1000*_xlfn.XLOOKUP(A525,'[1]2050Pop'!$A$7:$A$143,'[1]2050Pop'!$C$7:$C$143)</f>
        <v>44840</v>
      </c>
      <c r="D525" s="126" t="s">
        <v>496</v>
      </c>
      <c r="E525" s="128">
        <v>23.213999999999999</v>
      </c>
      <c r="F525" s="129">
        <f t="shared" si="26"/>
        <v>1.0409157599999999</v>
      </c>
      <c r="G525" t="str">
        <f>_xlfn.XLOOKUP(D525,'[1]2050 BAU Mapping to T &amp; C'!$A$3:$A$52,'[1]2050 BAU Mapping to T &amp; C'!$B$3:$B$52)</f>
        <v>Tropical Fruits</v>
      </c>
      <c r="H525" s="129">
        <f>_xlfn.XLOOKUP(G525,'[1]T&amp;C emissions for 2050 analysis'!$B$3:$B$23,'[1]T&amp;C emissions for 2050 analysis'!$C$3:$C$23)</f>
        <v>0.51333333333333331</v>
      </c>
      <c r="I525" s="27">
        <f t="shared" si="24"/>
        <v>0.53433675679999992</v>
      </c>
      <c r="J525" s="129">
        <f t="shared" si="25"/>
        <v>11.916519999999998</v>
      </c>
    </row>
    <row r="526" spans="1:10" hidden="1" x14ac:dyDescent="0.35">
      <c r="A526" s="126" t="s">
        <v>493</v>
      </c>
      <c r="B526" t="str">
        <f>_xlfn.XLOOKUP(A526,'[1]2050Pop'!$A$7:$A$143,'[1]2050Pop'!$D$7:$D$143)</f>
        <v>India/South Asia</v>
      </c>
      <c r="C526" s="127">
        <f>1000*_xlfn.XLOOKUP(A526,'[1]2050Pop'!$A$7:$A$143,'[1]2050Pop'!$C$7:$C$143)</f>
        <v>20836</v>
      </c>
      <c r="D526" s="126" t="s">
        <v>496</v>
      </c>
      <c r="E526" s="128">
        <v>1.2410000000000001</v>
      </c>
      <c r="F526" s="129">
        <f t="shared" si="26"/>
        <v>2.5857476000000001E-2</v>
      </c>
      <c r="G526" t="str">
        <f>_xlfn.XLOOKUP(D526,'[1]2050 BAU Mapping to T &amp; C'!$A$3:$A$52,'[1]2050 BAU Mapping to T &amp; C'!$B$3:$B$52)</f>
        <v>Tropical Fruits</v>
      </c>
      <c r="H526" s="129">
        <f>_xlfn.XLOOKUP(G526,'[1]T&amp;C emissions for 2050 analysis'!$B$3:$B$23,'[1]T&amp;C emissions for 2050 analysis'!$C$3:$C$23)</f>
        <v>0.51333333333333331</v>
      </c>
      <c r="I526" s="27">
        <f t="shared" si="24"/>
        <v>1.3273504346666666E-2</v>
      </c>
      <c r="J526" s="129">
        <f t="shared" si="25"/>
        <v>0.63704666666666665</v>
      </c>
    </row>
    <row r="527" spans="1:10" hidden="1" x14ac:dyDescent="0.35">
      <c r="A527" s="126" t="s">
        <v>462</v>
      </c>
      <c r="B527" t="str">
        <f>_xlfn.XLOOKUP(A527,'[1]2050Pop'!$A$7:$A$143,'[1]2050Pop'!$D$7:$D$143)</f>
        <v>LatAm &amp; RSA</v>
      </c>
      <c r="C527" s="127">
        <f>1000*_xlfn.XLOOKUP(A527,'[1]2050Pop'!$A$7:$A$143,'[1]2050Pop'!$C$7:$C$143)</f>
        <v>624</v>
      </c>
      <c r="D527" s="126" t="s">
        <v>496</v>
      </c>
      <c r="E527" s="128">
        <v>30.581</v>
      </c>
      <c r="F527" s="129">
        <f t="shared" si="26"/>
        <v>1.9082543999999996E-2</v>
      </c>
      <c r="G527" t="str">
        <f>_xlfn.XLOOKUP(D527,'[1]2050 BAU Mapping to T &amp; C'!$A$3:$A$52,'[1]2050 BAU Mapping to T &amp; C'!$B$3:$B$52)</f>
        <v>Tropical Fruits</v>
      </c>
      <c r="H527" s="129">
        <f>_xlfn.XLOOKUP(G527,'[1]T&amp;C emissions for 2050 analysis'!$B$3:$B$23,'[1]T&amp;C emissions for 2050 analysis'!$C$3:$C$23)</f>
        <v>0.51333333333333331</v>
      </c>
      <c r="I527" s="27">
        <f t="shared" si="24"/>
        <v>9.7957059199999981E-3</v>
      </c>
      <c r="J527" s="129">
        <f t="shared" si="25"/>
        <v>15.698246666666666</v>
      </c>
    </row>
    <row r="528" spans="1:10" hidden="1" x14ac:dyDescent="0.35">
      <c r="A528" s="126" t="s">
        <v>463</v>
      </c>
      <c r="B528" t="str">
        <f>_xlfn.XLOOKUP(A528,'[1]2050Pop'!$A$7:$A$143,'[1]2050Pop'!$D$7:$D$143)</f>
        <v>SSA</v>
      </c>
      <c r="C528" s="127">
        <f>1000*_xlfn.XLOOKUP(A528,'[1]2050Pop'!$A$7:$A$143,'[1]2050Pop'!$C$7:$C$143)</f>
        <v>1792</v>
      </c>
      <c r="D528" s="126" t="s">
        <v>496</v>
      </c>
      <c r="E528" s="130">
        <v>32.590000000000003</v>
      </c>
      <c r="F528" s="129">
        <f t="shared" si="26"/>
        <v>5.8401280000000007E-2</v>
      </c>
      <c r="G528" t="str">
        <f>_xlfn.XLOOKUP(D528,'[1]2050 BAU Mapping to T &amp; C'!$A$3:$A$52,'[1]2050 BAU Mapping to T &amp; C'!$B$3:$B$52)</f>
        <v>Tropical Fruits</v>
      </c>
      <c r="H528" s="129">
        <f>_xlfn.XLOOKUP(G528,'[1]T&amp;C emissions for 2050 analysis'!$B$3:$B$23,'[1]T&amp;C emissions for 2050 analysis'!$C$3:$C$23)</f>
        <v>0.51333333333333331</v>
      </c>
      <c r="I528" s="27">
        <f t="shared" si="24"/>
        <v>2.9979323733333334E-2</v>
      </c>
      <c r="J528" s="129">
        <f t="shared" si="25"/>
        <v>16.729533333333336</v>
      </c>
    </row>
    <row r="529" spans="1:10" hidden="1" x14ac:dyDescent="0.35">
      <c r="A529" s="126" t="s">
        <v>464</v>
      </c>
      <c r="B529" t="str">
        <f>_xlfn.XLOOKUP(A529,'[1]2050Pop'!$A$7:$A$143,'[1]2050Pop'!$D$7:$D$143)</f>
        <v>Euro/AU/NZ</v>
      </c>
      <c r="C529" s="127">
        <f>1000*_xlfn.XLOOKUP(A529,'[1]2050Pop'!$A$7:$A$143,'[1]2050Pop'!$C$7:$C$143)</f>
        <v>11881</v>
      </c>
      <c r="D529" s="126" t="s">
        <v>496</v>
      </c>
      <c r="E529" s="128">
        <v>31.811</v>
      </c>
      <c r="F529" s="129">
        <f t="shared" si="26"/>
        <v>0.377946491</v>
      </c>
      <c r="G529" t="str">
        <f>_xlfn.XLOOKUP(D529,'[1]2050 BAU Mapping to T &amp; C'!$A$3:$A$52,'[1]2050 BAU Mapping to T &amp; C'!$B$3:$B$52)</f>
        <v>Tropical Fruits</v>
      </c>
      <c r="H529" s="129">
        <f>_xlfn.XLOOKUP(G529,'[1]T&amp;C emissions for 2050 analysis'!$B$3:$B$23,'[1]T&amp;C emissions for 2050 analysis'!$C$3:$C$23)</f>
        <v>0.51333333333333331</v>
      </c>
      <c r="I529" s="27">
        <f t="shared" si="24"/>
        <v>0.19401253204666666</v>
      </c>
      <c r="J529" s="129">
        <f t="shared" si="25"/>
        <v>16.329646666666665</v>
      </c>
    </row>
    <row r="530" spans="1:10" hidden="1" x14ac:dyDescent="0.35">
      <c r="A530" s="126" t="s">
        <v>465</v>
      </c>
      <c r="B530" t="str">
        <f>_xlfn.XLOOKUP(A530,'[1]2050Pop'!$A$7:$A$143,'[1]2050Pop'!$D$7:$D$143)</f>
        <v>APAC</v>
      </c>
      <c r="C530" s="127">
        <f>1000*_xlfn.XLOOKUP(A530,'[1]2050Pop'!$A$7:$A$143,'[1]2050Pop'!$C$7:$C$143)</f>
        <v>62452</v>
      </c>
      <c r="D530" s="126" t="s">
        <v>496</v>
      </c>
      <c r="E530" s="128">
        <v>15.015000000000001</v>
      </c>
      <c r="F530" s="129">
        <f t="shared" si="26"/>
        <v>0.93771678000000003</v>
      </c>
      <c r="G530" t="str">
        <f>_xlfn.XLOOKUP(D530,'[1]2050 BAU Mapping to T &amp; C'!$A$3:$A$52,'[1]2050 BAU Mapping to T &amp; C'!$B$3:$B$52)</f>
        <v>Tropical Fruits</v>
      </c>
      <c r="H530" s="129">
        <f>_xlfn.XLOOKUP(G530,'[1]T&amp;C emissions for 2050 analysis'!$B$3:$B$23,'[1]T&amp;C emissions for 2050 analysis'!$C$3:$C$23)</f>
        <v>0.51333333333333331</v>
      </c>
      <c r="I530" s="27">
        <f t="shared" si="24"/>
        <v>0.48136128039999998</v>
      </c>
      <c r="J530" s="129">
        <f t="shared" si="25"/>
        <v>7.7077</v>
      </c>
    </row>
    <row r="531" spans="1:10" hidden="1" x14ac:dyDescent="0.35">
      <c r="A531" s="126" t="s">
        <v>466</v>
      </c>
      <c r="B531" t="str">
        <f>_xlfn.XLOOKUP(A531,'[1]2050Pop'!$A$7:$A$143,'[1]2050Pop'!$D$7:$D$143)</f>
        <v>SSA</v>
      </c>
      <c r="C531" s="127">
        <f>1000*_xlfn.XLOOKUP(A531,'[1]2050Pop'!$A$7:$A$143,'[1]2050Pop'!$C$7:$C$143)</f>
        <v>15681</v>
      </c>
      <c r="D531" s="126" t="s">
        <v>496</v>
      </c>
      <c r="E531" s="128">
        <v>2.524</v>
      </c>
      <c r="F531" s="129">
        <f t="shared" si="26"/>
        <v>3.9578843999999995E-2</v>
      </c>
      <c r="G531" t="str">
        <f>_xlfn.XLOOKUP(D531,'[1]2050 BAU Mapping to T &amp; C'!$A$3:$A$52,'[1]2050 BAU Mapping to T &amp; C'!$B$3:$B$52)</f>
        <v>Tropical Fruits</v>
      </c>
      <c r="H531" s="129">
        <f>_xlfn.XLOOKUP(G531,'[1]T&amp;C emissions for 2050 analysis'!$B$3:$B$23,'[1]T&amp;C emissions for 2050 analysis'!$C$3:$C$23)</f>
        <v>0.51333333333333331</v>
      </c>
      <c r="I531" s="27">
        <f t="shared" si="24"/>
        <v>2.0317139919999998E-2</v>
      </c>
      <c r="J531" s="129">
        <f t="shared" si="25"/>
        <v>1.2956533333333333</v>
      </c>
    </row>
    <row r="532" spans="1:10" hidden="1" x14ac:dyDescent="0.35">
      <c r="A532" s="126" t="s">
        <v>467</v>
      </c>
      <c r="B532" t="str">
        <f>_xlfn.XLOOKUP(A532,'[1]2050Pop'!$A$7:$A$143,'[1]2050Pop'!$D$7:$D$143)</f>
        <v>LatAm &amp; RSA</v>
      </c>
      <c r="C532" s="127">
        <f>1000*_xlfn.XLOOKUP(A532,'[1]2050Pop'!$A$7:$A$143,'[1]2050Pop'!$C$7:$C$143)</f>
        <v>1291</v>
      </c>
      <c r="D532" s="126" t="s">
        <v>496</v>
      </c>
      <c r="E532" s="128">
        <v>17.844999999999999</v>
      </c>
      <c r="F532" s="129">
        <f t="shared" si="26"/>
        <v>2.3037894999999996E-2</v>
      </c>
      <c r="G532" t="str">
        <f>_xlfn.XLOOKUP(D532,'[1]2050 BAU Mapping to T &amp; C'!$A$3:$A$52,'[1]2050 BAU Mapping to T &amp; C'!$B$3:$B$52)</f>
        <v>Tropical Fruits</v>
      </c>
      <c r="H532" s="129">
        <f>_xlfn.XLOOKUP(G532,'[1]T&amp;C emissions for 2050 analysis'!$B$3:$B$23,'[1]T&amp;C emissions for 2050 analysis'!$C$3:$C$23)</f>
        <v>0.51333333333333331</v>
      </c>
      <c r="I532" s="27">
        <f t="shared" si="24"/>
        <v>1.1826119433333331E-2</v>
      </c>
      <c r="J532" s="129">
        <f t="shared" si="25"/>
        <v>9.1604333333333319</v>
      </c>
    </row>
    <row r="533" spans="1:10" hidden="1" x14ac:dyDescent="0.35">
      <c r="A533" s="126" t="s">
        <v>468</v>
      </c>
      <c r="B533" t="str">
        <f>_xlfn.XLOOKUP(A533,'[1]2050Pop'!$A$7:$A$143,'[1]2050Pop'!$D$7:$D$143)</f>
        <v>MENA</v>
      </c>
      <c r="C533" s="127">
        <f>1000*_xlfn.XLOOKUP(A533,'[1]2050Pop'!$A$7:$A$143,'[1]2050Pop'!$C$7:$C$143)</f>
        <v>13476</v>
      </c>
      <c r="D533" s="126" t="s">
        <v>496</v>
      </c>
      <c r="E533" s="128">
        <v>30.632999999999999</v>
      </c>
      <c r="F533" s="129">
        <f t="shared" si="26"/>
        <v>0.41281030799999996</v>
      </c>
      <c r="G533" t="str">
        <f>_xlfn.XLOOKUP(D533,'[1]2050 BAU Mapping to T &amp; C'!$A$3:$A$52,'[1]2050 BAU Mapping to T &amp; C'!$B$3:$B$52)</f>
        <v>Tropical Fruits</v>
      </c>
      <c r="H533" s="129">
        <f>_xlfn.XLOOKUP(G533,'[1]T&amp;C emissions for 2050 analysis'!$B$3:$B$23,'[1]T&amp;C emissions for 2050 analysis'!$C$3:$C$23)</f>
        <v>0.51333333333333331</v>
      </c>
      <c r="I533" s="27">
        <f t="shared" si="24"/>
        <v>0.21190929143999998</v>
      </c>
      <c r="J533" s="129">
        <f t="shared" si="25"/>
        <v>15.724939999999998</v>
      </c>
    </row>
    <row r="534" spans="1:10" hidden="1" x14ac:dyDescent="0.35">
      <c r="A534" s="126" t="s">
        <v>469</v>
      </c>
      <c r="B534" t="str">
        <f>_xlfn.XLOOKUP(A534,'[1]2050Pop'!$A$7:$A$143,'[1]2050Pop'!$D$7:$D$143)</f>
        <v>MENA</v>
      </c>
      <c r="C534" s="127">
        <f>1000*_xlfn.XLOOKUP(A534,'[1]2050Pop'!$A$7:$A$143,'[1]2050Pop'!$C$7:$C$143)</f>
        <v>95819</v>
      </c>
      <c r="D534" s="126" t="s">
        <v>496</v>
      </c>
      <c r="E534" s="128">
        <v>18.559000000000001</v>
      </c>
      <c r="F534" s="129">
        <f t="shared" si="26"/>
        <v>1.7783048210000001</v>
      </c>
      <c r="G534" t="str">
        <f>_xlfn.XLOOKUP(D534,'[1]2050 BAU Mapping to T &amp; C'!$A$3:$A$52,'[1]2050 BAU Mapping to T &amp; C'!$B$3:$B$52)</f>
        <v>Tropical Fruits</v>
      </c>
      <c r="H534" s="129">
        <f>_xlfn.XLOOKUP(G534,'[1]T&amp;C emissions for 2050 analysis'!$B$3:$B$23,'[1]T&amp;C emissions for 2050 analysis'!$C$3:$C$23)</f>
        <v>0.51333333333333331</v>
      </c>
      <c r="I534" s="27">
        <f t="shared" si="24"/>
        <v>0.91286314144666669</v>
      </c>
      <c r="J534" s="129">
        <f t="shared" si="25"/>
        <v>9.5269533333333332</v>
      </c>
    </row>
    <row r="535" spans="1:10" hidden="1" x14ac:dyDescent="0.35">
      <c r="A535" s="126" t="s">
        <v>471</v>
      </c>
      <c r="B535" t="str">
        <f>_xlfn.XLOOKUP(A535,'[1]2050Pop'!$A$7:$A$143,'[1]2050Pop'!$D$7:$D$143)</f>
        <v>Euro/AU/NZ</v>
      </c>
      <c r="C535" s="127">
        <f>1000*_xlfn.XLOOKUP(A535,'[1]2050Pop'!$A$7:$A$143,'[1]2050Pop'!$C$7:$C$143)</f>
        <v>35117</v>
      </c>
      <c r="D535" s="126" t="s">
        <v>496</v>
      </c>
      <c r="E535" s="128">
        <v>9.2609999999999992</v>
      </c>
      <c r="F535" s="129">
        <f t="shared" si="26"/>
        <v>0.32521853699999997</v>
      </c>
      <c r="G535" t="str">
        <f>_xlfn.XLOOKUP(D535,'[1]2050 BAU Mapping to T &amp; C'!$A$3:$A$52,'[1]2050 BAU Mapping to T &amp; C'!$B$3:$B$52)</f>
        <v>Tropical Fruits</v>
      </c>
      <c r="H535" s="129">
        <f>_xlfn.XLOOKUP(G535,'[1]T&amp;C emissions for 2050 analysis'!$B$3:$B$23,'[1]T&amp;C emissions for 2050 analysis'!$C$3:$C$23)</f>
        <v>0.51333333333333331</v>
      </c>
      <c r="I535" s="27">
        <f t="shared" si="24"/>
        <v>0.16694551565999999</v>
      </c>
      <c r="J535" s="129">
        <f t="shared" si="25"/>
        <v>4.7539799999999994</v>
      </c>
    </row>
    <row r="536" spans="1:10" hidden="1" x14ac:dyDescent="0.35">
      <c r="A536" s="126" t="s">
        <v>472</v>
      </c>
      <c r="B536" t="str">
        <f>_xlfn.XLOOKUP(A536,'[1]2050Pop'!$A$7:$A$143,'[1]2050Pop'!$D$7:$D$143)</f>
        <v>Euro/AU/NZ</v>
      </c>
      <c r="C536" s="127">
        <f>1000*_xlfn.XLOOKUP(A536,'[1]2050Pop'!$A$7:$A$143,'[1]2050Pop'!$C$7:$C$143)</f>
        <v>75361</v>
      </c>
      <c r="D536" s="126" t="s">
        <v>496</v>
      </c>
      <c r="E536" s="128">
        <v>30.588000000000001</v>
      </c>
      <c r="F536" s="129">
        <f t="shared" si="26"/>
        <v>2.305142268</v>
      </c>
      <c r="G536" t="str">
        <f>_xlfn.XLOOKUP(D536,'[1]2050 BAU Mapping to T &amp; C'!$A$3:$A$52,'[1]2050 BAU Mapping to T &amp; C'!$B$3:$B$52)</f>
        <v>Tropical Fruits</v>
      </c>
      <c r="H536" s="129">
        <f>_xlfn.XLOOKUP(G536,'[1]T&amp;C emissions for 2050 analysis'!$B$3:$B$23,'[1]T&amp;C emissions for 2050 analysis'!$C$3:$C$23)</f>
        <v>0.51333333333333331</v>
      </c>
      <c r="I536" s="27">
        <f t="shared" si="24"/>
        <v>1.1833063642399999</v>
      </c>
      <c r="J536" s="129">
        <f t="shared" si="25"/>
        <v>15.701839999999999</v>
      </c>
    </row>
    <row r="537" spans="1:10" hidden="1" x14ac:dyDescent="0.35">
      <c r="A537" s="126" t="s">
        <v>473</v>
      </c>
      <c r="B537" t="str">
        <f>_xlfn.XLOOKUP(A537,'[1]2050Pop'!$A$7:$A$143,'[1]2050Pop'!$D$7:$D$143)</f>
        <v>SSA</v>
      </c>
      <c r="C537" s="127">
        <f>1000*_xlfn.XLOOKUP(A537,'[1]2050Pop'!$A$7:$A$143,'[1]2050Pop'!$C$7:$C$143)</f>
        <v>137136</v>
      </c>
      <c r="D537" s="126" t="s">
        <v>496</v>
      </c>
      <c r="E537" s="128">
        <v>8.3019999999999996</v>
      </c>
      <c r="F537" s="129">
        <f t="shared" si="26"/>
        <v>1.138503072</v>
      </c>
      <c r="G537" t="str">
        <f>_xlfn.XLOOKUP(D537,'[1]2050 BAU Mapping to T &amp; C'!$A$3:$A$52,'[1]2050 BAU Mapping to T &amp; C'!$B$3:$B$52)</f>
        <v>Tropical Fruits</v>
      </c>
      <c r="H537" s="129">
        <f>_xlfn.XLOOKUP(G537,'[1]T&amp;C emissions for 2050 analysis'!$B$3:$B$23,'[1]T&amp;C emissions for 2050 analysis'!$C$3:$C$23)</f>
        <v>0.51333333333333331</v>
      </c>
      <c r="I537" s="27">
        <f t="shared" si="24"/>
        <v>0.58443157695999992</v>
      </c>
      <c r="J537" s="129">
        <f t="shared" si="25"/>
        <v>4.2616933333333327</v>
      </c>
    </row>
    <row r="538" spans="1:10" hidden="1" x14ac:dyDescent="0.35">
      <c r="A538" s="126" t="s">
        <v>474</v>
      </c>
      <c r="B538" t="str">
        <f>_xlfn.XLOOKUP(A538,'[1]2050Pop'!$A$7:$A$143,'[1]2050Pop'!$D$7:$D$143)</f>
        <v>NAm</v>
      </c>
      <c r="C538" s="127">
        <f>1000*_xlfn.XLOOKUP(A538,'[1]2050Pop'!$A$7:$A$143,'[1]2050Pop'!$C$7:$C$143)</f>
        <v>388865</v>
      </c>
      <c r="D538" s="126" t="s">
        <v>496</v>
      </c>
      <c r="E538" s="130">
        <v>26.51</v>
      </c>
      <c r="F538" s="129">
        <f t="shared" si="26"/>
        <v>10.30881115</v>
      </c>
      <c r="G538" t="str">
        <f>_xlfn.XLOOKUP(D538,'[1]2050 BAU Mapping to T &amp; C'!$A$3:$A$52,'[1]2050 BAU Mapping to T &amp; C'!$B$3:$B$52)</f>
        <v>Tropical Fruits</v>
      </c>
      <c r="H538" s="129">
        <f>_xlfn.XLOOKUP(G538,'[1]T&amp;C emissions for 2050 analysis'!$B$3:$B$23,'[1]T&amp;C emissions for 2050 analysis'!$C$3:$C$23)</f>
        <v>0.51333333333333331</v>
      </c>
      <c r="I538" s="27">
        <f t="shared" si="24"/>
        <v>5.2918563903333329</v>
      </c>
      <c r="J538" s="129">
        <f t="shared" si="25"/>
        <v>13.608466666666667</v>
      </c>
    </row>
    <row r="539" spans="1:10" hidden="1" x14ac:dyDescent="0.35">
      <c r="A539" s="126" t="s">
        <v>475</v>
      </c>
      <c r="B539" t="str">
        <f>_xlfn.XLOOKUP(A539,'[1]2050Pop'!$A$7:$A$143,'[1]2050Pop'!$D$7:$D$143)</f>
        <v>LatAm &amp; RSA</v>
      </c>
      <c r="C539" s="127">
        <f>1000*_xlfn.XLOOKUP(A539,'[1]2050Pop'!$A$7:$A$143,'[1]2050Pop'!$C$7:$C$143)</f>
        <v>3667</v>
      </c>
      <c r="D539" s="126" t="s">
        <v>496</v>
      </c>
      <c r="E539" s="128">
        <v>31.292000000000002</v>
      </c>
      <c r="F539" s="129">
        <f t="shared" si="26"/>
        <v>0.11474776400000002</v>
      </c>
      <c r="G539" t="str">
        <f>_xlfn.XLOOKUP(D539,'[1]2050 BAU Mapping to T &amp; C'!$A$3:$A$52,'[1]2050 BAU Mapping to T &amp; C'!$B$3:$B$52)</f>
        <v>Tropical Fruits</v>
      </c>
      <c r="H539" s="129">
        <f>_xlfn.XLOOKUP(G539,'[1]T&amp;C emissions for 2050 analysis'!$B$3:$B$23,'[1]T&amp;C emissions for 2050 analysis'!$C$3:$C$23)</f>
        <v>0.51333333333333331</v>
      </c>
      <c r="I539" s="27">
        <f t="shared" si="24"/>
        <v>5.8903852186666675E-2</v>
      </c>
      <c r="J539" s="129">
        <f t="shared" si="25"/>
        <v>16.063226666666665</v>
      </c>
    </row>
    <row r="540" spans="1:10" hidden="1" x14ac:dyDescent="0.35">
      <c r="A540" s="126" t="s">
        <v>476</v>
      </c>
      <c r="B540" t="str">
        <f>_xlfn.XLOOKUP(A540,'[1]2050Pop'!$A$7:$A$143,'[1]2050Pop'!$D$7:$D$143)</f>
        <v>LatAm &amp; RSA</v>
      </c>
      <c r="C540" s="127">
        <f>1000*_xlfn.XLOOKUP(A540,'[1]2050Pop'!$A$7:$A$143,'[1]2050Pop'!$C$7:$C$143)</f>
        <v>41562</v>
      </c>
      <c r="D540" s="126" t="s">
        <v>496</v>
      </c>
      <c r="E540" s="130">
        <v>15.25</v>
      </c>
      <c r="F540" s="129">
        <f t="shared" si="26"/>
        <v>0.63382050000000001</v>
      </c>
      <c r="G540" t="str">
        <f>_xlfn.XLOOKUP(D540,'[1]2050 BAU Mapping to T &amp; C'!$A$3:$A$52,'[1]2050 BAU Mapping to T &amp; C'!$B$3:$B$52)</f>
        <v>Tropical Fruits</v>
      </c>
      <c r="H540" s="129">
        <f>_xlfn.XLOOKUP(G540,'[1]T&amp;C emissions for 2050 analysis'!$B$3:$B$23,'[1]T&amp;C emissions for 2050 analysis'!$C$3:$C$23)</f>
        <v>0.51333333333333331</v>
      </c>
      <c r="I540" s="27">
        <f t="shared" si="24"/>
        <v>0.32536118999999997</v>
      </c>
      <c r="J540" s="129">
        <f t="shared" si="25"/>
        <v>7.8283333333333331</v>
      </c>
    </row>
    <row r="541" spans="1:10" hidden="1" x14ac:dyDescent="0.35">
      <c r="A541" s="126" t="s">
        <v>477</v>
      </c>
      <c r="B541" t="str">
        <f>_xlfn.XLOOKUP(A541,'[1]2050Pop'!$A$7:$A$143,'[1]2050Pop'!$D$7:$D$143)</f>
        <v>APAC</v>
      </c>
      <c r="C541" s="127">
        <f>1000*_xlfn.XLOOKUP(A541,'[1]2050Pop'!$A$7:$A$143,'[1]2050Pop'!$C$7:$C$143)</f>
        <v>112783</v>
      </c>
      <c r="D541" s="126" t="s">
        <v>496</v>
      </c>
      <c r="E541" s="128">
        <v>7.7359999999999998</v>
      </c>
      <c r="F541" s="129">
        <f t="shared" si="26"/>
        <v>0.87248928799999992</v>
      </c>
      <c r="G541" t="str">
        <f>_xlfn.XLOOKUP(D541,'[1]2050 BAU Mapping to T &amp; C'!$A$3:$A$52,'[1]2050 BAU Mapping to T &amp; C'!$B$3:$B$52)</f>
        <v>Tropical Fruits</v>
      </c>
      <c r="H541" s="129">
        <f>_xlfn.XLOOKUP(G541,'[1]T&amp;C emissions for 2050 analysis'!$B$3:$B$23,'[1]T&amp;C emissions for 2050 analysis'!$C$3:$C$23)</f>
        <v>0.51333333333333331</v>
      </c>
      <c r="I541" s="27">
        <f t="shared" si="24"/>
        <v>0.44787783450666663</v>
      </c>
      <c r="J541" s="129">
        <f t="shared" si="25"/>
        <v>3.9711466666666664</v>
      </c>
    </row>
    <row r="542" spans="1:10" hidden="1" x14ac:dyDescent="0.35">
      <c r="A542" s="126" t="s">
        <v>478</v>
      </c>
      <c r="B542" t="str">
        <f>_xlfn.XLOOKUP(A542,'[1]2050Pop'!$A$7:$A$143,'[1]2050Pop'!$D$7:$D$143)</f>
        <v>MENA</v>
      </c>
      <c r="C542" s="127">
        <f>1000*_xlfn.XLOOKUP(A542,'[1]2050Pop'!$A$7:$A$143,'[1]2050Pop'!$C$7:$C$143)</f>
        <v>47170</v>
      </c>
      <c r="D542" s="126" t="s">
        <v>496</v>
      </c>
      <c r="E542" s="128">
        <v>6.202</v>
      </c>
      <c r="F542" s="129">
        <f t="shared" si="26"/>
        <v>0.29254834000000002</v>
      </c>
      <c r="G542" t="str">
        <f>_xlfn.XLOOKUP(D542,'[1]2050 BAU Mapping to T &amp; C'!$A$3:$A$52,'[1]2050 BAU Mapping to T &amp; C'!$B$3:$B$52)</f>
        <v>Tropical Fruits</v>
      </c>
      <c r="H542" s="129">
        <f>_xlfn.XLOOKUP(G542,'[1]T&amp;C emissions for 2050 analysis'!$B$3:$B$23,'[1]T&amp;C emissions for 2050 analysis'!$C$3:$C$23)</f>
        <v>0.51333333333333331</v>
      </c>
      <c r="I542" s="27">
        <f t="shared" si="24"/>
        <v>0.15017481453333334</v>
      </c>
      <c r="J542" s="129">
        <f t="shared" si="25"/>
        <v>3.1836933333333333</v>
      </c>
    </row>
    <row r="543" spans="1:10" hidden="1" x14ac:dyDescent="0.35">
      <c r="A543" s="126" t="s">
        <v>494</v>
      </c>
      <c r="B543" t="str">
        <f>_xlfn.XLOOKUP(A543,'[1]2050Pop'!$A$7:$A$143,'[1]2050Pop'!$D$7:$D$143)</f>
        <v>SSA</v>
      </c>
      <c r="C543" s="127">
        <f>1000*_xlfn.XLOOKUP(A543,'[1]2050Pop'!$A$7:$A$143,'[1]2050Pop'!$C$7:$C$143)</f>
        <v>42975</v>
      </c>
      <c r="D543" s="126" t="s">
        <v>496</v>
      </c>
      <c r="E543" s="128">
        <v>1.258</v>
      </c>
      <c r="F543" s="129">
        <f t="shared" si="26"/>
        <v>5.4062550000000001E-2</v>
      </c>
      <c r="G543" t="str">
        <f>_xlfn.XLOOKUP(D543,'[1]2050 BAU Mapping to T &amp; C'!$A$3:$A$52,'[1]2050 BAU Mapping to T &amp; C'!$B$3:$B$52)</f>
        <v>Tropical Fruits</v>
      </c>
      <c r="H543" s="129">
        <f>_xlfn.XLOOKUP(G543,'[1]T&amp;C emissions for 2050 analysis'!$B$3:$B$23,'[1]T&amp;C emissions for 2050 analysis'!$C$3:$C$23)</f>
        <v>0.51333333333333331</v>
      </c>
      <c r="I543" s="27">
        <f t="shared" si="24"/>
        <v>2.7752109E-2</v>
      </c>
      <c r="J543" s="129">
        <f t="shared" si="25"/>
        <v>0.64577333333333331</v>
      </c>
    </row>
    <row r="544" spans="1:10" hidden="1" x14ac:dyDescent="0.35">
      <c r="A544" s="126" t="s">
        <v>479</v>
      </c>
      <c r="B544" t="str">
        <f>_xlfn.XLOOKUP(A544,'[1]2050Pop'!$A$7:$A$143,'[1]2050Pop'!$D$7:$D$143)</f>
        <v>SSA</v>
      </c>
      <c r="C544" s="127">
        <f>1000*_xlfn.XLOOKUP(A544,'[1]2050Pop'!$A$7:$A$143,'[1]2050Pop'!$C$7:$C$143)</f>
        <v>29615</v>
      </c>
      <c r="D544" s="126" t="s">
        <v>496</v>
      </c>
      <c r="E544" s="128">
        <v>7.2489999999999997</v>
      </c>
      <c r="F544" s="129">
        <f t="shared" si="26"/>
        <v>0.21467913499999999</v>
      </c>
      <c r="G544" t="str">
        <f>_xlfn.XLOOKUP(D544,'[1]2050 BAU Mapping to T &amp; C'!$A$3:$A$52,'[1]2050 BAU Mapping to T &amp; C'!$B$3:$B$52)</f>
        <v>Tropical Fruits</v>
      </c>
      <c r="H544" s="129">
        <f>_xlfn.XLOOKUP(G544,'[1]T&amp;C emissions for 2050 analysis'!$B$3:$B$23,'[1]T&amp;C emissions for 2050 analysis'!$C$3:$C$23)</f>
        <v>0.51333333333333331</v>
      </c>
      <c r="I544" s="27">
        <f t="shared" si="24"/>
        <v>0.11020195596666665</v>
      </c>
      <c r="J544" s="129">
        <f t="shared" si="25"/>
        <v>3.7211533333333331</v>
      </c>
    </row>
    <row r="545" spans="1:10" hidden="1" x14ac:dyDescent="0.35">
      <c r="A545" s="126" t="s">
        <v>355</v>
      </c>
      <c r="B545" t="str">
        <f>_xlfn.XLOOKUP(A545,'[1]2050Pop'!$A$7:$A$143,'[1]2050Pop'!$D$7:$D$143)</f>
        <v>India/South Asia</v>
      </c>
      <c r="C545" s="127">
        <f>1000*_xlfn.XLOOKUP(A545,'[1]2050Pop'!$A$7:$A$143,'[1]2050Pop'!$C$7:$C$143)</f>
        <v>55955</v>
      </c>
      <c r="D545" s="126" t="s">
        <v>497</v>
      </c>
      <c r="E545" s="128">
        <v>0.88100000000000001</v>
      </c>
      <c r="F545" s="129">
        <f t="shared" si="26"/>
        <v>4.9296355E-2</v>
      </c>
      <c r="G545" t="str">
        <f>_xlfn.XLOOKUP(D545,'[1]2050 BAU Mapping to T &amp; C'!$A$3:$A$52,'[1]2050 BAU Mapping to T &amp; C'!$B$3:$B$52)</f>
        <v>Tropical Fruits</v>
      </c>
      <c r="H545" s="129">
        <f>_xlfn.XLOOKUP(G545,'[1]T&amp;C emissions for 2050 analysis'!$B$3:$B$23,'[1]T&amp;C emissions for 2050 analysis'!$C$3:$C$23)</f>
        <v>0.51333333333333331</v>
      </c>
      <c r="I545" s="27">
        <f t="shared" si="24"/>
        <v>2.5305462233333333E-2</v>
      </c>
      <c r="J545" s="129">
        <f t="shared" si="25"/>
        <v>0.45224666666666663</v>
      </c>
    </row>
    <row r="546" spans="1:10" hidden="1" x14ac:dyDescent="0.35">
      <c r="A546" s="126" t="s">
        <v>357</v>
      </c>
      <c r="B546" t="str">
        <f>_xlfn.XLOOKUP(A546,'[1]2050Pop'!$A$7:$A$143,'[1]2050Pop'!$D$7:$D$143)</f>
        <v>Euro/AU/NZ</v>
      </c>
      <c r="C546" s="127">
        <f>1000*_xlfn.XLOOKUP(A546,'[1]2050Pop'!$A$7:$A$143,'[1]2050Pop'!$C$7:$C$143)</f>
        <v>2710</v>
      </c>
      <c r="D546" s="126" t="s">
        <v>497</v>
      </c>
      <c r="E546" s="128">
        <v>9.3140000000000001</v>
      </c>
      <c r="F546" s="129">
        <f t="shared" si="26"/>
        <v>2.524094E-2</v>
      </c>
      <c r="G546" t="str">
        <f>_xlfn.XLOOKUP(D546,'[1]2050 BAU Mapping to T &amp; C'!$A$3:$A$52,'[1]2050 BAU Mapping to T &amp; C'!$B$3:$B$52)</f>
        <v>Tropical Fruits</v>
      </c>
      <c r="H546" s="129">
        <f>_xlfn.XLOOKUP(G546,'[1]T&amp;C emissions for 2050 analysis'!$B$3:$B$23,'[1]T&amp;C emissions for 2050 analysis'!$C$3:$C$23)</f>
        <v>0.51333333333333331</v>
      </c>
      <c r="I546" s="27">
        <f t="shared" si="24"/>
        <v>1.2957015866666666E-2</v>
      </c>
      <c r="J546" s="129">
        <f t="shared" si="25"/>
        <v>4.7811866666666667</v>
      </c>
    </row>
    <row r="547" spans="1:10" hidden="1" x14ac:dyDescent="0.35">
      <c r="A547" s="126" t="s">
        <v>358</v>
      </c>
      <c r="B547" t="str">
        <f>_xlfn.XLOOKUP(A547,'[1]2050Pop'!$A$7:$A$143,'[1]2050Pop'!$D$7:$D$143)</f>
        <v>MENA</v>
      </c>
      <c r="C547" s="127">
        <f>1000*_xlfn.XLOOKUP(A547,'[1]2050Pop'!$A$7:$A$143,'[1]2050Pop'!$C$7:$C$143)</f>
        <v>56461</v>
      </c>
      <c r="D547" s="126" t="s">
        <v>497</v>
      </c>
      <c r="E547" s="128">
        <v>7.8719999999999999</v>
      </c>
      <c r="F547" s="129">
        <f t="shared" si="26"/>
        <v>0.44446099199999994</v>
      </c>
      <c r="G547" t="str">
        <f>_xlfn.XLOOKUP(D547,'[1]2050 BAU Mapping to T &amp; C'!$A$3:$A$52,'[1]2050 BAU Mapping to T &amp; C'!$B$3:$B$52)</f>
        <v>Tropical Fruits</v>
      </c>
      <c r="H547" s="129">
        <f>_xlfn.XLOOKUP(G547,'[1]T&amp;C emissions for 2050 analysis'!$B$3:$B$23,'[1]T&amp;C emissions for 2050 analysis'!$C$3:$C$23)</f>
        <v>0.51333333333333331</v>
      </c>
      <c r="I547" s="27">
        <f t="shared" si="24"/>
        <v>0.22815664255999996</v>
      </c>
      <c r="J547" s="129">
        <f t="shared" si="25"/>
        <v>4.0409600000000001</v>
      </c>
    </row>
    <row r="548" spans="1:10" hidden="1" x14ac:dyDescent="0.35">
      <c r="A548" s="126" t="s">
        <v>359</v>
      </c>
      <c r="B548" t="str">
        <f>_xlfn.XLOOKUP(A548,'[1]2050Pop'!$A$7:$A$143,'[1]2050Pop'!$D$7:$D$143)</f>
        <v>SSA</v>
      </c>
      <c r="C548" s="127">
        <f>1000*_xlfn.XLOOKUP(A548,'[1]2050Pop'!$A$7:$A$143,'[1]2050Pop'!$C$7:$C$143)</f>
        <v>65473</v>
      </c>
      <c r="D548" s="126" t="s">
        <v>497</v>
      </c>
      <c r="E548" s="130">
        <v>2.2200000000000002</v>
      </c>
      <c r="F548" s="129">
        <f t="shared" si="26"/>
        <v>0.14535006000000003</v>
      </c>
      <c r="G548" t="str">
        <f>_xlfn.XLOOKUP(D548,'[1]2050 BAU Mapping to T &amp; C'!$A$3:$A$52,'[1]2050 BAU Mapping to T &amp; C'!$B$3:$B$52)</f>
        <v>Tropical Fruits</v>
      </c>
      <c r="H548" s="129">
        <f>_xlfn.XLOOKUP(G548,'[1]T&amp;C emissions for 2050 analysis'!$B$3:$B$23,'[1]T&amp;C emissions for 2050 analysis'!$C$3:$C$23)</f>
        <v>0.51333333333333331</v>
      </c>
      <c r="I548" s="27">
        <f t="shared" si="24"/>
        <v>7.4613030800000008E-2</v>
      </c>
      <c r="J548" s="129">
        <f t="shared" si="25"/>
        <v>1.1395999999999999</v>
      </c>
    </row>
    <row r="549" spans="1:10" hidden="1" x14ac:dyDescent="0.35">
      <c r="A549" s="126" t="s">
        <v>360</v>
      </c>
      <c r="B549" t="str">
        <f>_xlfn.XLOOKUP(A549,'[1]2050Pop'!$A$7:$A$143,'[1]2050Pop'!$D$7:$D$143)</f>
        <v>LatAm &amp; RSA</v>
      </c>
      <c r="C549" s="127">
        <f>1000*_xlfn.XLOOKUP(A549,'[1]2050Pop'!$A$7:$A$143,'[1]2050Pop'!$C$7:$C$143)</f>
        <v>55445</v>
      </c>
      <c r="D549" s="126" t="s">
        <v>497</v>
      </c>
      <c r="E549" s="128">
        <v>3.3959999999999999</v>
      </c>
      <c r="F549" s="129">
        <f t="shared" si="26"/>
        <v>0.18829122000000001</v>
      </c>
      <c r="G549" t="str">
        <f>_xlfn.XLOOKUP(D549,'[1]2050 BAU Mapping to T &amp; C'!$A$3:$A$52,'[1]2050 BAU Mapping to T &amp; C'!$B$3:$B$52)</f>
        <v>Tropical Fruits</v>
      </c>
      <c r="H549" s="129">
        <f>_xlfn.XLOOKUP(G549,'[1]T&amp;C emissions for 2050 analysis'!$B$3:$B$23,'[1]T&amp;C emissions for 2050 analysis'!$C$3:$C$23)</f>
        <v>0.51333333333333331</v>
      </c>
      <c r="I549" s="27">
        <f t="shared" si="24"/>
        <v>9.66561596E-2</v>
      </c>
      <c r="J549" s="129">
        <f t="shared" si="25"/>
        <v>1.7432799999999999</v>
      </c>
    </row>
    <row r="550" spans="1:10" hidden="1" x14ac:dyDescent="0.35">
      <c r="A550" s="126" t="s">
        <v>361</v>
      </c>
      <c r="B550" t="str">
        <f>_xlfn.XLOOKUP(A550,'[1]2050Pop'!$A$7:$A$143,'[1]2050Pop'!$D$7:$D$143)</f>
        <v>MENA</v>
      </c>
      <c r="C550" s="127">
        <f>1000*_xlfn.XLOOKUP(A550,'[1]2050Pop'!$A$7:$A$143,'[1]2050Pop'!$C$7:$C$143)</f>
        <v>2729</v>
      </c>
      <c r="D550" s="126" t="s">
        <v>497</v>
      </c>
      <c r="E550" s="128">
        <v>31.652000000000001</v>
      </c>
      <c r="F550" s="129">
        <f t="shared" si="26"/>
        <v>8.6378308000000001E-2</v>
      </c>
      <c r="G550" t="str">
        <f>_xlfn.XLOOKUP(D550,'[1]2050 BAU Mapping to T &amp; C'!$A$3:$A$52,'[1]2050 BAU Mapping to T &amp; C'!$B$3:$B$52)</f>
        <v>Tropical Fruits</v>
      </c>
      <c r="H550" s="129">
        <f>_xlfn.XLOOKUP(G550,'[1]T&amp;C emissions for 2050 analysis'!$B$3:$B$23,'[1]T&amp;C emissions for 2050 analysis'!$C$3:$C$23)</f>
        <v>0.51333333333333331</v>
      </c>
      <c r="I550" s="27">
        <f t="shared" si="24"/>
        <v>4.4340864773333329E-2</v>
      </c>
      <c r="J550" s="129">
        <f t="shared" si="25"/>
        <v>16.248026666666668</v>
      </c>
    </row>
    <row r="551" spans="1:10" hidden="1" x14ac:dyDescent="0.35">
      <c r="A551" s="126" t="s">
        <v>362</v>
      </c>
      <c r="B551" t="str">
        <f>_xlfn.XLOOKUP(A551,'[1]2050Pop'!$A$7:$A$143,'[1]2050Pop'!$D$7:$D$143)</f>
        <v>Euro/AU/NZ</v>
      </c>
      <c r="C551" s="127">
        <f>1000*_xlfn.XLOOKUP(A551,'[1]2050Pop'!$A$7:$A$143,'[1]2050Pop'!$C$7:$C$143)</f>
        <v>33496</v>
      </c>
      <c r="D551" s="126" t="s">
        <v>497</v>
      </c>
      <c r="E551" s="130">
        <v>14.16</v>
      </c>
      <c r="F551" s="129">
        <f t="shared" si="26"/>
        <v>0.47430336000000001</v>
      </c>
      <c r="G551" t="str">
        <f>_xlfn.XLOOKUP(D551,'[1]2050 BAU Mapping to T &amp; C'!$A$3:$A$52,'[1]2050 BAU Mapping to T &amp; C'!$B$3:$B$52)</f>
        <v>Tropical Fruits</v>
      </c>
      <c r="H551" s="129">
        <f>_xlfn.XLOOKUP(G551,'[1]T&amp;C emissions for 2050 analysis'!$B$3:$B$23,'[1]T&amp;C emissions for 2050 analysis'!$C$3:$C$23)</f>
        <v>0.51333333333333331</v>
      </c>
      <c r="I551" s="27">
        <f t="shared" si="24"/>
        <v>0.24347572479999999</v>
      </c>
      <c r="J551" s="129">
        <f t="shared" si="25"/>
        <v>7.2687999999999997</v>
      </c>
    </row>
    <row r="552" spans="1:10" hidden="1" x14ac:dyDescent="0.35">
      <c r="A552" s="126" t="s">
        <v>363</v>
      </c>
      <c r="B552" t="str">
        <f>_xlfn.XLOOKUP(A552,'[1]2050Pop'!$A$7:$A$143,'[1]2050Pop'!$D$7:$D$143)</f>
        <v>Euro/AU/NZ</v>
      </c>
      <c r="C552" s="127">
        <f>1000*_xlfn.XLOOKUP(A552,'[1]2050Pop'!$A$7:$A$143,'[1]2050Pop'!$C$7:$C$143)</f>
        <v>8846</v>
      </c>
      <c r="D552" s="126" t="s">
        <v>497</v>
      </c>
      <c r="E552" s="130">
        <v>7.39</v>
      </c>
      <c r="F552" s="129">
        <f t="shared" si="26"/>
        <v>6.537193999999999E-2</v>
      </c>
      <c r="G552" t="str">
        <f>_xlfn.XLOOKUP(D552,'[1]2050 BAU Mapping to T &amp; C'!$A$3:$A$52,'[1]2050 BAU Mapping to T &amp; C'!$B$3:$B$52)</f>
        <v>Tropical Fruits</v>
      </c>
      <c r="H552" s="129">
        <f>_xlfn.XLOOKUP(G552,'[1]T&amp;C emissions for 2050 analysis'!$B$3:$B$23,'[1]T&amp;C emissions for 2050 analysis'!$C$3:$C$23)</f>
        <v>0.51333333333333331</v>
      </c>
      <c r="I552" s="27">
        <f t="shared" si="24"/>
        <v>3.3557595866666658E-2</v>
      </c>
      <c r="J552" s="129">
        <f t="shared" si="25"/>
        <v>3.793533333333333</v>
      </c>
    </row>
    <row r="553" spans="1:10" hidden="1" x14ac:dyDescent="0.35">
      <c r="A553" s="126" t="s">
        <v>364</v>
      </c>
      <c r="B553" t="str">
        <f>_xlfn.XLOOKUP(A553,'[1]2050Pop'!$A$7:$A$143,'[1]2050Pop'!$D$7:$D$143)</f>
        <v>MENA</v>
      </c>
      <c r="C553" s="127">
        <f>1000*_xlfn.XLOOKUP(A553,'[1]2050Pop'!$A$7:$A$143,'[1]2050Pop'!$C$7:$C$143)</f>
        <v>10963</v>
      </c>
      <c r="D553" s="126" t="s">
        <v>497</v>
      </c>
      <c r="E553" s="130">
        <v>17.579999999999998</v>
      </c>
      <c r="F553" s="129">
        <f t="shared" si="26"/>
        <v>0.19272953999999998</v>
      </c>
      <c r="G553" t="str">
        <f>_xlfn.XLOOKUP(D553,'[1]2050 BAU Mapping to T &amp; C'!$A$3:$A$52,'[1]2050 BAU Mapping to T &amp; C'!$B$3:$B$52)</f>
        <v>Tropical Fruits</v>
      </c>
      <c r="H553" s="129">
        <f>_xlfn.XLOOKUP(G553,'[1]T&amp;C emissions for 2050 analysis'!$B$3:$B$23,'[1]T&amp;C emissions for 2050 analysis'!$C$3:$C$23)</f>
        <v>0.51333333333333331</v>
      </c>
      <c r="I553" s="27">
        <f t="shared" si="24"/>
        <v>9.8934497199999985E-2</v>
      </c>
      <c r="J553" s="129">
        <f t="shared" si="25"/>
        <v>9.0243999999999982</v>
      </c>
    </row>
    <row r="554" spans="1:10" hidden="1" x14ac:dyDescent="0.35">
      <c r="A554" s="126" t="s">
        <v>366</v>
      </c>
      <c r="B554" t="str">
        <f>_xlfn.XLOOKUP(A554,'[1]2050Pop'!$A$7:$A$143,'[1]2050Pop'!$D$7:$D$143)</f>
        <v>Euro/AU/NZ</v>
      </c>
      <c r="C554" s="127">
        <f>1000*_xlfn.XLOOKUP(A554,'[1]2050Pop'!$A$7:$A$143,'[1]2050Pop'!$C$7:$C$143)</f>
        <v>8125</v>
      </c>
      <c r="D554" s="126" t="s">
        <v>497</v>
      </c>
      <c r="E554" s="128">
        <v>19.922000000000001</v>
      </c>
      <c r="F554" s="129">
        <f t="shared" si="26"/>
        <v>0.16186624999999999</v>
      </c>
      <c r="G554" t="str">
        <f>_xlfn.XLOOKUP(D554,'[1]2050 BAU Mapping to T &amp; C'!$A$3:$A$52,'[1]2050 BAU Mapping to T &amp; C'!$B$3:$B$52)</f>
        <v>Tropical Fruits</v>
      </c>
      <c r="H554" s="129">
        <f>_xlfn.XLOOKUP(G554,'[1]T&amp;C emissions for 2050 analysis'!$B$3:$B$23,'[1]T&amp;C emissions for 2050 analysis'!$C$3:$C$23)</f>
        <v>0.51333333333333331</v>
      </c>
      <c r="I554" s="27">
        <f t="shared" si="24"/>
        <v>8.3091341666666652E-2</v>
      </c>
      <c r="J554" s="129">
        <f t="shared" si="25"/>
        <v>10.226626666666666</v>
      </c>
    </row>
    <row r="555" spans="1:10" hidden="1" x14ac:dyDescent="0.35">
      <c r="A555" s="126" t="s">
        <v>367</v>
      </c>
      <c r="B555" t="str">
        <f>_xlfn.XLOOKUP(A555,'[1]2050Pop'!$A$7:$A$143,'[1]2050Pop'!$D$7:$D$143)</f>
        <v>Euro/AU/NZ</v>
      </c>
      <c r="C555" s="127">
        <f>1000*_xlfn.XLOOKUP(A555,'[1]2050Pop'!$A$7:$A$143,'[1]2050Pop'!$C$7:$C$143)</f>
        <v>12527</v>
      </c>
      <c r="D555" s="126" t="s">
        <v>497</v>
      </c>
      <c r="E555" s="128">
        <v>2.2970000000000002</v>
      </c>
      <c r="F555" s="129">
        <f t="shared" si="26"/>
        <v>2.8774519000000002E-2</v>
      </c>
      <c r="G555" t="str">
        <f>_xlfn.XLOOKUP(D555,'[1]2050 BAU Mapping to T &amp; C'!$A$3:$A$52,'[1]2050 BAU Mapping to T &amp; C'!$B$3:$B$52)</f>
        <v>Tropical Fruits</v>
      </c>
      <c r="H555" s="129">
        <f>_xlfn.XLOOKUP(G555,'[1]T&amp;C emissions for 2050 analysis'!$B$3:$B$23,'[1]T&amp;C emissions for 2050 analysis'!$C$3:$C$23)</f>
        <v>0.51333333333333331</v>
      </c>
      <c r="I555" s="27">
        <f t="shared" si="24"/>
        <v>1.4770919753333334E-2</v>
      </c>
      <c r="J555" s="129">
        <f t="shared" si="25"/>
        <v>1.1791266666666667</v>
      </c>
    </row>
    <row r="556" spans="1:10" hidden="1" x14ac:dyDescent="0.35">
      <c r="A556" s="126" t="s">
        <v>368</v>
      </c>
      <c r="B556" t="str">
        <f>_xlfn.XLOOKUP(A556,'[1]2050Pop'!$A$7:$A$143,'[1]2050Pop'!$D$7:$D$143)</f>
        <v>SSA</v>
      </c>
      <c r="C556" s="127">
        <f>1000*_xlfn.XLOOKUP(A556,'[1]2050Pop'!$A$7:$A$143,'[1]2050Pop'!$C$7:$C$143)</f>
        <v>22549</v>
      </c>
      <c r="D556" s="126" t="s">
        <v>497</v>
      </c>
      <c r="E556" s="130">
        <v>1.23</v>
      </c>
      <c r="F556" s="129">
        <f t="shared" si="26"/>
        <v>2.7735269999999999E-2</v>
      </c>
      <c r="G556" t="str">
        <f>_xlfn.XLOOKUP(D556,'[1]2050 BAU Mapping to T &amp; C'!$A$3:$A$52,'[1]2050 BAU Mapping to T &amp; C'!$B$3:$B$52)</f>
        <v>Tropical Fruits</v>
      </c>
      <c r="H556" s="129">
        <f>_xlfn.XLOOKUP(G556,'[1]T&amp;C emissions for 2050 analysis'!$B$3:$B$23,'[1]T&amp;C emissions for 2050 analysis'!$C$3:$C$23)</f>
        <v>0.51333333333333331</v>
      </c>
      <c r="I556" s="27">
        <f t="shared" si="24"/>
        <v>1.4237438599999999E-2</v>
      </c>
      <c r="J556" s="129">
        <f t="shared" si="25"/>
        <v>0.63139999999999996</v>
      </c>
    </row>
    <row r="557" spans="1:10" hidden="1" x14ac:dyDescent="0.35">
      <c r="A557" s="126" t="s">
        <v>369</v>
      </c>
      <c r="B557" t="str">
        <f>_xlfn.XLOOKUP(A557,'[1]2050Pop'!$A$7:$A$143,'[1]2050Pop'!$D$7:$D$143)</f>
        <v>LatAm &amp; RSA</v>
      </c>
      <c r="C557" s="127">
        <f>1000*_xlfn.XLOOKUP(A557,'[1]2050Pop'!$A$7:$A$143,'[1]2050Pop'!$C$7:$C$143)</f>
        <v>15963</v>
      </c>
      <c r="D557" s="126" t="s">
        <v>497</v>
      </c>
      <c r="E557" s="128">
        <v>8.625</v>
      </c>
      <c r="F557" s="129">
        <f t="shared" si="26"/>
        <v>0.13768087500000001</v>
      </c>
      <c r="G557" t="str">
        <f>_xlfn.XLOOKUP(D557,'[1]2050 BAU Mapping to T &amp; C'!$A$3:$A$52,'[1]2050 BAU Mapping to T &amp; C'!$B$3:$B$52)</f>
        <v>Tropical Fruits</v>
      </c>
      <c r="H557" s="129">
        <f>_xlfn.XLOOKUP(G557,'[1]T&amp;C emissions for 2050 analysis'!$B$3:$B$23,'[1]T&amp;C emissions for 2050 analysis'!$C$3:$C$23)</f>
        <v>0.51333333333333331</v>
      </c>
      <c r="I557" s="27">
        <f t="shared" si="24"/>
        <v>7.0676182500000004E-2</v>
      </c>
      <c r="J557" s="129">
        <f t="shared" si="25"/>
        <v>4.4275000000000002</v>
      </c>
    </row>
    <row r="558" spans="1:10" hidden="1" x14ac:dyDescent="0.35">
      <c r="A558" s="126" t="s">
        <v>370</v>
      </c>
      <c r="B558" t="str">
        <f>_xlfn.XLOOKUP(A558,'[1]2050Pop'!$A$7:$A$143,'[1]2050Pop'!$D$7:$D$143)</f>
        <v>Euro/AU/NZ</v>
      </c>
      <c r="C558" s="127">
        <f>1000*_xlfn.XLOOKUP(A558,'[1]2050Pop'!$A$7:$A$143,'[1]2050Pop'!$C$7:$C$143)</f>
        <v>3069</v>
      </c>
      <c r="D558" s="126" t="s">
        <v>497</v>
      </c>
      <c r="E558" s="128">
        <v>37.688000000000002</v>
      </c>
      <c r="F558" s="129">
        <f t="shared" si="26"/>
        <v>0.115664472</v>
      </c>
      <c r="G558" t="str">
        <f>_xlfn.XLOOKUP(D558,'[1]2050 BAU Mapping to T &amp; C'!$A$3:$A$52,'[1]2050 BAU Mapping to T &amp; C'!$B$3:$B$52)</f>
        <v>Tropical Fruits</v>
      </c>
      <c r="H558" s="129">
        <f>_xlfn.XLOOKUP(G558,'[1]T&amp;C emissions for 2050 analysis'!$B$3:$B$23,'[1]T&amp;C emissions for 2050 analysis'!$C$3:$C$23)</f>
        <v>0.51333333333333331</v>
      </c>
      <c r="I558" s="27">
        <f t="shared" si="24"/>
        <v>5.9374428959999996E-2</v>
      </c>
      <c r="J558" s="129">
        <f t="shared" si="25"/>
        <v>19.346506666666667</v>
      </c>
    </row>
    <row r="559" spans="1:10" hidden="1" x14ac:dyDescent="0.35">
      <c r="A559" s="126" t="s">
        <v>371</v>
      </c>
      <c r="B559" t="str">
        <f>_xlfn.XLOOKUP(A559,'[1]2050Pop'!$A$7:$A$143,'[1]2050Pop'!$D$7:$D$143)</f>
        <v>SSA</v>
      </c>
      <c r="C559" s="127">
        <f>1000*_xlfn.XLOOKUP(A559,'[1]2050Pop'!$A$7:$A$143,'[1]2050Pop'!$C$7:$C$143)</f>
        <v>3389</v>
      </c>
      <c r="D559" s="126" t="s">
        <v>497</v>
      </c>
      <c r="E559" s="128">
        <v>8.5340000000000007</v>
      </c>
      <c r="F559" s="129">
        <f t="shared" si="26"/>
        <v>2.8921726000000002E-2</v>
      </c>
      <c r="G559" t="str">
        <f>_xlfn.XLOOKUP(D559,'[1]2050 BAU Mapping to T &amp; C'!$A$3:$A$52,'[1]2050 BAU Mapping to T &amp; C'!$B$3:$B$52)</f>
        <v>Tropical Fruits</v>
      </c>
      <c r="H559" s="129">
        <f>_xlfn.XLOOKUP(G559,'[1]T&amp;C emissions for 2050 analysis'!$B$3:$B$23,'[1]T&amp;C emissions for 2050 analysis'!$C$3:$C$23)</f>
        <v>0.51333333333333331</v>
      </c>
      <c r="I559" s="27">
        <f t="shared" si="24"/>
        <v>1.4846486013333333E-2</v>
      </c>
      <c r="J559" s="129">
        <f t="shared" si="25"/>
        <v>4.3807866666666664</v>
      </c>
    </row>
    <row r="560" spans="1:10" hidden="1" x14ac:dyDescent="0.35">
      <c r="A560" s="126" t="s">
        <v>372</v>
      </c>
      <c r="B560" t="str">
        <f>_xlfn.XLOOKUP(A560,'[1]2050Pop'!$A$7:$A$143,'[1]2050Pop'!$D$7:$D$143)</f>
        <v>LatAm &amp; RSA</v>
      </c>
      <c r="C560" s="127">
        <f>1000*_xlfn.XLOOKUP(A560,'[1]2050Pop'!$A$7:$A$143,'[1]2050Pop'!$C$7:$C$143)</f>
        <v>238270</v>
      </c>
      <c r="D560" s="126" t="s">
        <v>497</v>
      </c>
      <c r="E560" s="128">
        <v>2.6720000000000002</v>
      </c>
      <c r="F560" s="129">
        <f t="shared" si="26"/>
        <v>0.63665744000000002</v>
      </c>
      <c r="G560" t="str">
        <f>_xlfn.XLOOKUP(D560,'[1]2050 BAU Mapping to T &amp; C'!$A$3:$A$52,'[1]2050 BAU Mapping to T &amp; C'!$B$3:$B$52)</f>
        <v>Tropical Fruits</v>
      </c>
      <c r="H560" s="129">
        <f>_xlfn.XLOOKUP(G560,'[1]T&amp;C emissions for 2050 analysis'!$B$3:$B$23,'[1]T&amp;C emissions for 2050 analysis'!$C$3:$C$23)</f>
        <v>0.51333333333333331</v>
      </c>
      <c r="I560" s="27">
        <f t="shared" si="24"/>
        <v>0.32681748586666665</v>
      </c>
      <c r="J560" s="129">
        <f t="shared" si="25"/>
        <v>1.3716266666666668</v>
      </c>
    </row>
    <row r="561" spans="1:10" hidden="1" x14ac:dyDescent="0.35">
      <c r="A561" s="126" t="s">
        <v>373</v>
      </c>
      <c r="B561" t="str">
        <f>_xlfn.XLOOKUP(A561,'[1]2050Pop'!$A$7:$A$143,'[1]2050Pop'!$D$7:$D$143)</f>
        <v>Euro/AU/NZ</v>
      </c>
      <c r="C561" s="127">
        <f>1000*_xlfn.XLOOKUP(A561,'[1]2050Pop'!$A$7:$A$143,'[1]2050Pop'!$C$7:$C$143)</f>
        <v>5154</v>
      </c>
      <c r="D561" s="126" t="s">
        <v>497</v>
      </c>
      <c r="E561" s="128">
        <v>8.5960000000000001</v>
      </c>
      <c r="F561" s="129">
        <f t="shared" si="26"/>
        <v>4.4303783999999999E-2</v>
      </c>
      <c r="G561" t="str">
        <f>_xlfn.XLOOKUP(D561,'[1]2050 BAU Mapping to T &amp; C'!$A$3:$A$52,'[1]2050 BAU Mapping to T &amp; C'!$B$3:$B$52)</f>
        <v>Tropical Fruits</v>
      </c>
      <c r="H561" s="129">
        <f>_xlfn.XLOOKUP(G561,'[1]T&amp;C emissions for 2050 analysis'!$B$3:$B$23,'[1]T&amp;C emissions for 2050 analysis'!$C$3:$C$23)</f>
        <v>0.51333333333333331</v>
      </c>
      <c r="I561" s="27">
        <f t="shared" si="24"/>
        <v>2.274260912E-2</v>
      </c>
      <c r="J561" s="129">
        <f t="shared" si="25"/>
        <v>4.4126133333333328</v>
      </c>
    </row>
    <row r="562" spans="1:10" hidden="1" x14ac:dyDescent="0.35">
      <c r="A562" s="126" t="s">
        <v>375</v>
      </c>
      <c r="B562" t="str">
        <f>_xlfn.XLOOKUP(A562,'[1]2050Pop'!$A$7:$A$143,'[1]2050Pop'!$D$7:$D$143)</f>
        <v>SSA</v>
      </c>
      <c r="C562" s="127">
        <f>1000*_xlfn.XLOOKUP(A562,'[1]2050Pop'!$A$7:$A$143,'[1]2050Pop'!$C$7:$C$143)</f>
        <v>48362</v>
      </c>
      <c r="D562" s="126" t="s">
        <v>497</v>
      </c>
      <c r="E562" s="128">
        <v>4.0890000000000004</v>
      </c>
      <c r="F562" s="129">
        <f t="shared" si="26"/>
        <v>0.19775221800000004</v>
      </c>
      <c r="G562" t="str">
        <f>_xlfn.XLOOKUP(D562,'[1]2050 BAU Mapping to T &amp; C'!$A$3:$A$52,'[1]2050 BAU Mapping to T &amp; C'!$B$3:$B$52)</f>
        <v>Tropical Fruits</v>
      </c>
      <c r="H562" s="129">
        <f>_xlfn.XLOOKUP(G562,'[1]T&amp;C emissions for 2050 analysis'!$B$3:$B$23,'[1]T&amp;C emissions for 2050 analysis'!$C$3:$C$23)</f>
        <v>0.51333333333333331</v>
      </c>
      <c r="I562" s="27">
        <f t="shared" si="24"/>
        <v>0.10151280524000002</v>
      </c>
      <c r="J562" s="129">
        <f t="shared" si="25"/>
        <v>2.0990200000000003</v>
      </c>
    </row>
    <row r="563" spans="1:10" hidden="1" x14ac:dyDescent="0.35">
      <c r="A563" s="126" t="s">
        <v>376</v>
      </c>
      <c r="B563" t="str">
        <f>_xlfn.XLOOKUP(A563,'[1]2050Pop'!$A$7:$A$143,'[1]2050Pop'!$D$7:$D$143)</f>
        <v>NAm</v>
      </c>
      <c r="C563" s="127">
        <f>1000*_xlfn.XLOOKUP(A563,'[1]2050Pop'!$A$7:$A$143,'[1]2050Pop'!$C$7:$C$143)</f>
        <v>44136</v>
      </c>
      <c r="D563" s="126" t="s">
        <v>497</v>
      </c>
      <c r="E563" s="128">
        <v>5.6470000000000002</v>
      </c>
      <c r="F563" s="129">
        <f t="shared" si="26"/>
        <v>0.24923599199999999</v>
      </c>
      <c r="G563" t="str">
        <f>_xlfn.XLOOKUP(D563,'[1]2050 BAU Mapping to T &amp; C'!$A$3:$A$52,'[1]2050 BAU Mapping to T &amp; C'!$B$3:$B$52)</f>
        <v>Tropical Fruits</v>
      </c>
      <c r="H563" s="129">
        <f>_xlfn.XLOOKUP(G563,'[1]T&amp;C emissions for 2050 analysis'!$B$3:$B$23,'[1]T&amp;C emissions for 2050 analysis'!$C$3:$C$23)</f>
        <v>0.51333333333333331</v>
      </c>
      <c r="I563" s="27">
        <f t="shared" si="24"/>
        <v>0.12794114256</v>
      </c>
      <c r="J563" s="129">
        <f t="shared" si="25"/>
        <v>2.8987933333333333</v>
      </c>
    </row>
    <row r="564" spans="1:10" hidden="1" x14ac:dyDescent="0.35">
      <c r="A564" s="126" t="s">
        <v>378</v>
      </c>
      <c r="B564" t="str">
        <f>_xlfn.XLOOKUP(A564,'[1]2050Pop'!$A$7:$A$143,'[1]2050Pop'!$D$7:$D$143)</f>
        <v>LatAm &amp; RSA</v>
      </c>
      <c r="C564" s="127">
        <f>1000*_xlfn.XLOOKUP(A564,'[1]2050Pop'!$A$7:$A$143,'[1]2050Pop'!$C$7:$C$143)</f>
        <v>21601</v>
      </c>
      <c r="D564" s="126" t="s">
        <v>497</v>
      </c>
      <c r="E564" s="128">
        <v>5.6829999999999998</v>
      </c>
      <c r="F564" s="129">
        <f t="shared" si="26"/>
        <v>0.12275848299999999</v>
      </c>
      <c r="G564" t="str">
        <f>_xlfn.XLOOKUP(D564,'[1]2050 BAU Mapping to T &amp; C'!$A$3:$A$52,'[1]2050 BAU Mapping to T &amp; C'!$B$3:$B$52)</f>
        <v>Tropical Fruits</v>
      </c>
      <c r="H564" s="129">
        <f>_xlfn.XLOOKUP(G564,'[1]T&amp;C emissions for 2050 analysis'!$B$3:$B$23,'[1]T&amp;C emissions for 2050 analysis'!$C$3:$C$23)</f>
        <v>0.51333333333333331</v>
      </c>
      <c r="I564" s="27">
        <f t="shared" si="24"/>
        <v>6.301602127333332E-2</v>
      </c>
      <c r="J564" s="129">
        <f t="shared" si="25"/>
        <v>2.9172733333333332</v>
      </c>
    </row>
    <row r="565" spans="1:10" hidden="1" x14ac:dyDescent="0.35">
      <c r="A565" s="126" t="s">
        <v>379</v>
      </c>
      <c r="B565" t="str">
        <f>_xlfn.XLOOKUP(A565,'[1]2050Pop'!$A$7:$A$143,'[1]2050Pop'!$D$7:$D$143)</f>
        <v>Greater China</v>
      </c>
      <c r="C565" s="127">
        <f>1000*_xlfn.XLOOKUP(A565,'[1]2050Pop'!$A$7:$A$143,'[1]2050Pop'!$C$7:$C$143)</f>
        <v>8148</v>
      </c>
      <c r="D565" s="126" t="s">
        <v>497</v>
      </c>
      <c r="E565" s="128">
        <v>22.504000000000001</v>
      </c>
      <c r="F565" s="129">
        <f t="shared" si="26"/>
        <v>0.18336259199999999</v>
      </c>
      <c r="G565" t="str">
        <f>_xlfn.XLOOKUP(D565,'[1]2050 BAU Mapping to T &amp; C'!$A$3:$A$52,'[1]2050 BAU Mapping to T &amp; C'!$B$3:$B$52)</f>
        <v>Tropical Fruits</v>
      </c>
      <c r="H565" s="129">
        <f>_xlfn.XLOOKUP(G565,'[1]T&amp;C emissions for 2050 analysis'!$B$3:$B$23,'[1]T&amp;C emissions for 2050 analysis'!$C$3:$C$23)</f>
        <v>0.51333333333333331</v>
      </c>
      <c r="I565" s="27">
        <f t="shared" si="24"/>
        <v>9.4126130559999993E-2</v>
      </c>
      <c r="J565" s="129">
        <f t="shared" si="25"/>
        <v>11.552053333333333</v>
      </c>
    </row>
    <row r="566" spans="1:10" hidden="1" x14ac:dyDescent="0.35">
      <c r="A566" s="126" t="s">
        <v>381</v>
      </c>
      <c r="B566" t="str">
        <f>_xlfn.XLOOKUP(A566,'[1]2050Pop'!$A$7:$A$143,'[1]2050Pop'!$D$7:$D$143)</f>
        <v>Greater China</v>
      </c>
      <c r="C566" s="127">
        <f>1000*_xlfn.XLOOKUP(A566,'[1]2050Pop'!$A$7:$A$143,'[1]2050Pop'!$C$7:$C$143)</f>
        <v>20778</v>
      </c>
      <c r="D566" s="126" t="s">
        <v>497</v>
      </c>
      <c r="E566" s="128">
        <v>11.093</v>
      </c>
      <c r="F566" s="129">
        <f t="shared" si="26"/>
        <v>0.23049035399999998</v>
      </c>
      <c r="G566" t="str">
        <f>_xlfn.XLOOKUP(D566,'[1]2050 BAU Mapping to T &amp; C'!$A$3:$A$52,'[1]2050 BAU Mapping to T &amp; C'!$B$3:$B$52)</f>
        <v>Tropical Fruits</v>
      </c>
      <c r="H566" s="129">
        <f>_xlfn.XLOOKUP(G566,'[1]T&amp;C emissions for 2050 analysis'!$B$3:$B$23,'[1]T&amp;C emissions for 2050 analysis'!$C$3:$C$23)</f>
        <v>0.51333333333333331</v>
      </c>
      <c r="I566" s="27">
        <f t="shared" si="24"/>
        <v>0.11831838171999999</v>
      </c>
      <c r="J566" s="129">
        <f t="shared" si="25"/>
        <v>5.6944066666666666</v>
      </c>
    </row>
    <row r="567" spans="1:10" hidden="1" x14ac:dyDescent="0.35">
      <c r="A567" s="126" t="s">
        <v>382</v>
      </c>
      <c r="B567" t="str">
        <f>_xlfn.XLOOKUP(A567,'[1]2050Pop'!$A$7:$A$143,'[1]2050Pop'!$D$7:$D$143)</f>
        <v>LatAm &amp; RSA</v>
      </c>
      <c r="C567" s="127">
        <f>1000*_xlfn.XLOOKUP(A567,'[1]2050Pop'!$A$7:$A$143,'[1]2050Pop'!$C$7:$C$143)</f>
        <v>54927</v>
      </c>
      <c r="D567" s="126" t="s">
        <v>497</v>
      </c>
      <c r="E567" s="128">
        <v>3.9940000000000002</v>
      </c>
      <c r="F567" s="129">
        <f t="shared" si="26"/>
        <v>0.21937843800000004</v>
      </c>
      <c r="G567" t="str">
        <f>_xlfn.XLOOKUP(D567,'[1]2050 BAU Mapping to T &amp; C'!$A$3:$A$52,'[1]2050 BAU Mapping to T &amp; C'!$B$3:$B$52)</f>
        <v>Tropical Fruits</v>
      </c>
      <c r="H567" s="129">
        <f>_xlfn.XLOOKUP(G567,'[1]T&amp;C emissions for 2050 analysis'!$B$3:$B$23,'[1]T&amp;C emissions for 2050 analysis'!$C$3:$C$23)</f>
        <v>0.51333333333333331</v>
      </c>
      <c r="I567" s="27">
        <f t="shared" si="24"/>
        <v>0.11261426484000002</v>
      </c>
      <c r="J567" s="129">
        <f t="shared" si="25"/>
        <v>2.0502533333333335</v>
      </c>
    </row>
    <row r="568" spans="1:10" hidden="1" x14ac:dyDescent="0.35">
      <c r="A568" s="126" t="s">
        <v>383</v>
      </c>
      <c r="B568" t="str">
        <f>_xlfn.XLOOKUP(A568,'[1]2050Pop'!$A$7:$A$143,'[1]2050Pop'!$D$7:$D$143)</f>
        <v>LatAm &amp; RSA</v>
      </c>
      <c r="C568" s="127">
        <f>1000*_xlfn.XLOOKUP(A568,'[1]2050Pop'!$A$7:$A$143,'[1]2050Pop'!$C$7:$C$143)</f>
        <v>5759</v>
      </c>
      <c r="D568" s="126" t="s">
        <v>497</v>
      </c>
      <c r="E568" s="128">
        <v>7.2240000000000002</v>
      </c>
      <c r="F568" s="129">
        <f t="shared" si="26"/>
        <v>4.1603016000000007E-2</v>
      </c>
      <c r="G568" t="str">
        <f>_xlfn.XLOOKUP(D568,'[1]2050 BAU Mapping to T &amp; C'!$A$3:$A$52,'[1]2050 BAU Mapping to T &amp; C'!$B$3:$B$52)</f>
        <v>Tropical Fruits</v>
      </c>
      <c r="H568" s="129">
        <f>_xlfn.XLOOKUP(G568,'[1]T&amp;C emissions for 2050 analysis'!$B$3:$B$23,'[1]T&amp;C emissions for 2050 analysis'!$C$3:$C$23)</f>
        <v>0.51333333333333331</v>
      </c>
      <c r="I568" s="27">
        <f t="shared" si="24"/>
        <v>2.1356214880000002E-2</v>
      </c>
      <c r="J568" s="129">
        <f t="shared" si="25"/>
        <v>3.7083200000000001</v>
      </c>
    </row>
    <row r="569" spans="1:10" hidden="1" x14ac:dyDescent="0.35">
      <c r="A569" s="126" t="s">
        <v>384</v>
      </c>
      <c r="B569" t="str">
        <f>_xlfn.XLOOKUP(A569,'[1]2050Pop'!$A$7:$A$143,'[1]2050Pop'!$D$7:$D$143)</f>
        <v>SSA</v>
      </c>
      <c r="C569" s="127">
        <f>1000*_xlfn.XLOOKUP(A569,'[1]2050Pop'!$A$7:$A$143,'[1]2050Pop'!$C$7:$C$143)</f>
        <v>48797</v>
      </c>
      <c r="D569" s="126" t="s">
        <v>497</v>
      </c>
      <c r="E569" s="128">
        <v>37.023000000000003</v>
      </c>
      <c r="F569" s="129">
        <f t="shared" si="26"/>
        <v>1.8066113310000003</v>
      </c>
      <c r="G569" t="str">
        <f>_xlfn.XLOOKUP(D569,'[1]2050 BAU Mapping to T &amp; C'!$A$3:$A$52,'[1]2050 BAU Mapping to T &amp; C'!$B$3:$B$52)</f>
        <v>Tropical Fruits</v>
      </c>
      <c r="H569" s="129">
        <f>_xlfn.XLOOKUP(G569,'[1]T&amp;C emissions for 2050 analysis'!$B$3:$B$23,'[1]T&amp;C emissions for 2050 analysis'!$C$3:$C$23)</f>
        <v>0.51333333333333331</v>
      </c>
      <c r="I569" s="27">
        <f t="shared" si="24"/>
        <v>0.92739381658000009</v>
      </c>
      <c r="J569" s="129">
        <f t="shared" si="25"/>
        <v>19.005140000000001</v>
      </c>
    </row>
    <row r="570" spans="1:10" hidden="1" x14ac:dyDescent="0.35">
      <c r="A570" s="126" t="s">
        <v>385</v>
      </c>
      <c r="B570" t="str">
        <f>_xlfn.XLOOKUP(A570,'[1]2050Pop'!$A$7:$A$143,'[1]2050Pop'!$D$7:$D$143)</f>
        <v>Euro/AU/NZ</v>
      </c>
      <c r="C570" s="127">
        <f>1000*_xlfn.XLOOKUP(A570,'[1]2050Pop'!$A$7:$A$143,'[1]2050Pop'!$C$7:$C$143)</f>
        <v>3554</v>
      </c>
      <c r="D570" s="126" t="s">
        <v>497</v>
      </c>
      <c r="E570" s="128">
        <v>49.832999999999998</v>
      </c>
      <c r="F570" s="129">
        <f t="shared" si="26"/>
        <v>0.17710648199999998</v>
      </c>
      <c r="G570" t="str">
        <f>_xlfn.XLOOKUP(D570,'[1]2050 BAU Mapping to T &amp; C'!$A$3:$A$52,'[1]2050 BAU Mapping to T &amp; C'!$B$3:$B$52)</f>
        <v>Tropical Fruits</v>
      </c>
      <c r="H570" s="129">
        <f>_xlfn.XLOOKUP(G570,'[1]T&amp;C emissions for 2050 analysis'!$B$3:$B$23,'[1]T&amp;C emissions for 2050 analysis'!$C$3:$C$23)</f>
        <v>0.51333333333333331</v>
      </c>
      <c r="I570" s="27">
        <f t="shared" si="24"/>
        <v>9.0914660759999988E-2</v>
      </c>
      <c r="J570" s="129">
        <f t="shared" si="25"/>
        <v>25.580939999999998</v>
      </c>
    </row>
    <row r="571" spans="1:10" hidden="1" x14ac:dyDescent="0.35">
      <c r="A571" s="126" t="s">
        <v>386</v>
      </c>
      <c r="B571" t="str">
        <f>_xlfn.XLOOKUP(A571,'[1]2050Pop'!$A$7:$A$143,'[1]2050Pop'!$D$7:$D$143)</f>
        <v>LatAm &amp; RSA</v>
      </c>
      <c r="C571" s="127">
        <f>1000*_xlfn.XLOOKUP(A571,'[1]2050Pop'!$A$7:$A$143,'[1]2050Pop'!$C$7:$C$143)</f>
        <v>10339</v>
      </c>
      <c r="D571" s="126" t="s">
        <v>497</v>
      </c>
      <c r="E571" s="128">
        <v>1.8320000000000001</v>
      </c>
      <c r="F571" s="129">
        <f t="shared" si="26"/>
        <v>1.8941048000000002E-2</v>
      </c>
      <c r="G571" t="str">
        <f>_xlfn.XLOOKUP(D571,'[1]2050 BAU Mapping to T &amp; C'!$A$3:$A$52,'[1]2050 BAU Mapping to T &amp; C'!$B$3:$B$52)</f>
        <v>Tropical Fruits</v>
      </c>
      <c r="H571" s="129">
        <f>_xlfn.XLOOKUP(G571,'[1]T&amp;C emissions for 2050 analysis'!$B$3:$B$23,'[1]T&amp;C emissions for 2050 analysis'!$C$3:$C$23)</f>
        <v>0.51333333333333331</v>
      </c>
      <c r="I571" s="27">
        <f t="shared" si="24"/>
        <v>9.7230713066666676E-3</v>
      </c>
      <c r="J571" s="129">
        <f t="shared" si="25"/>
        <v>0.94042666666666663</v>
      </c>
    </row>
    <row r="572" spans="1:10" hidden="1" x14ac:dyDescent="0.35">
      <c r="A572" s="126" t="s">
        <v>387</v>
      </c>
      <c r="B572" t="str">
        <f>_xlfn.XLOOKUP(A572,'[1]2050Pop'!$A$7:$A$143,'[1]2050Pop'!$D$7:$D$143)</f>
        <v>Euro/AU/NZ</v>
      </c>
      <c r="C572" s="127">
        <f>1000*_xlfn.XLOOKUP(A572,'[1]2050Pop'!$A$7:$A$143,'[1]2050Pop'!$C$7:$C$143)</f>
        <v>9965</v>
      </c>
      <c r="D572" s="126" t="s">
        <v>497</v>
      </c>
      <c r="E572" s="128">
        <v>24.084</v>
      </c>
      <c r="F572" s="129">
        <f t="shared" si="26"/>
        <v>0.23999705999999998</v>
      </c>
      <c r="G572" t="str">
        <f>_xlfn.XLOOKUP(D572,'[1]2050 BAU Mapping to T &amp; C'!$A$3:$A$52,'[1]2050 BAU Mapping to T &amp; C'!$B$3:$B$52)</f>
        <v>Tropical Fruits</v>
      </c>
      <c r="H572" s="129">
        <f>_xlfn.XLOOKUP(G572,'[1]T&amp;C emissions for 2050 analysis'!$B$3:$B$23,'[1]T&amp;C emissions for 2050 analysis'!$C$3:$C$23)</f>
        <v>0.51333333333333331</v>
      </c>
      <c r="I572" s="27">
        <f t="shared" si="24"/>
        <v>0.12319849079999999</v>
      </c>
      <c r="J572" s="129">
        <f t="shared" si="25"/>
        <v>12.363119999999999</v>
      </c>
    </row>
    <row r="573" spans="1:10" hidden="1" x14ac:dyDescent="0.35">
      <c r="A573" s="126" t="s">
        <v>388</v>
      </c>
      <c r="B573" t="str">
        <f>_xlfn.XLOOKUP(A573,'[1]2050Pop'!$A$7:$A$143,'[1]2050Pop'!$D$7:$D$143)</f>
        <v>Euro/AU/NZ</v>
      </c>
      <c r="C573" s="127">
        <f>1000*_xlfn.XLOOKUP(A573,'[1]2050Pop'!$A$7:$A$143,'[1]2050Pop'!$C$7:$C$143)</f>
        <v>6299</v>
      </c>
      <c r="D573" s="126" t="s">
        <v>497</v>
      </c>
      <c r="E573" s="128">
        <v>38.667000000000002</v>
      </c>
      <c r="F573" s="129">
        <f t="shared" si="26"/>
        <v>0.24356343300000002</v>
      </c>
      <c r="G573" t="str">
        <f>_xlfn.XLOOKUP(D573,'[1]2050 BAU Mapping to T &amp; C'!$A$3:$A$52,'[1]2050 BAU Mapping to T &amp; C'!$B$3:$B$52)</f>
        <v>Tropical Fruits</v>
      </c>
      <c r="H573" s="129">
        <f>_xlfn.XLOOKUP(G573,'[1]T&amp;C emissions for 2050 analysis'!$B$3:$B$23,'[1]T&amp;C emissions for 2050 analysis'!$C$3:$C$23)</f>
        <v>0.51333333333333331</v>
      </c>
      <c r="I573" s="27">
        <f t="shared" si="24"/>
        <v>0.12502922894000001</v>
      </c>
      <c r="J573" s="129">
        <f t="shared" si="25"/>
        <v>19.849060000000001</v>
      </c>
    </row>
    <row r="574" spans="1:10" hidden="1" x14ac:dyDescent="0.35">
      <c r="A574" s="126" t="s">
        <v>389</v>
      </c>
      <c r="B574" t="str">
        <f>_xlfn.XLOOKUP(A574,'[1]2050Pop'!$A$7:$A$143,'[1]2050Pop'!$D$7:$D$143)</f>
        <v>LatAm &amp; RSA</v>
      </c>
      <c r="C574" s="127">
        <f>1000*_xlfn.XLOOKUP(A574,'[1]2050Pop'!$A$7:$A$143,'[1]2050Pop'!$C$7:$C$143)</f>
        <v>13238</v>
      </c>
      <c r="D574" s="126" t="s">
        <v>497</v>
      </c>
      <c r="E574" s="128">
        <v>4.8239999999999998</v>
      </c>
      <c r="F574" s="129">
        <f t="shared" si="26"/>
        <v>6.3860111999999997E-2</v>
      </c>
      <c r="G574" t="str">
        <f>_xlfn.XLOOKUP(D574,'[1]2050 BAU Mapping to T &amp; C'!$A$3:$A$52,'[1]2050 BAU Mapping to T &amp; C'!$B$3:$B$52)</f>
        <v>Tropical Fruits</v>
      </c>
      <c r="H574" s="129">
        <f>_xlfn.XLOOKUP(G574,'[1]T&amp;C emissions for 2050 analysis'!$B$3:$B$23,'[1]T&amp;C emissions for 2050 analysis'!$C$3:$C$23)</f>
        <v>0.51333333333333331</v>
      </c>
      <c r="I574" s="27">
        <f t="shared" si="24"/>
        <v>3.2781524159999999E-2</v>
      </c>
      <c r="J574" s="129">
        <f t="shared" si="25"/>
        <v>2.4763199999999999</v>
      </c>
    </row>
    <row r="575" spans="1:10" hidden="1" x14ac:dyDescent="0.35">
      <c r="A575" s="126" t="s">
        <v>390</v>
      </c>
      <c r="B575" t="str">
        <f>_xlfn.XLOOKUP(A575,'[1]2050Pop'!$A$7:$A$143,'[1]2050Pop'!$D$7:$D$143)</f>
        <v>LatAm &amp; RSA</v>
      </c>
      <c r="C575" s="127">
        <f>1000*_xlfn.XLOOKUP(A575,'[1]2050Pop'!$A$7:$A$143,'[1]2050Pop'!$C$7:$C$143)</f>
        <v>23013</v>
      </c>
      <c r="D575" s="126" t="s">
        <v>497</v>
      </c>
      <c r="E575" s="128">
        <v>3.4319999999999999</v>
      </c>
      <c r="F575" s="129">
        <f t="shared" si="26"/>
        <v>7.898061599999999E-2</v>
      </c>
      <c r="G575" t="str">
        <f>_xlfn.XLOOKUP(D575,'[1]2050 BAU Mapping to T &amp; C'!$A$3:$A$52,'[1]2050 BAU Mapping to T &amp; C'!$B$3:$B$52)</f>
        <v>Tropical Fruits</v>
      </c>
      <c r="H575" s="129">
        <f>_xlfn.XLOOKUP(G575,'[1]T&amp;C emissions for 2050 analysis'!$B$3:$B$23,'[1]T&amp;C emissions for 2050 analysis'!$C$3:$C$23)</f>
        <v>0.51333333333333331</v>
      </c>
      <c r="I575" s="27">
        <f t="shared" si="24"/>
        <v>4.0543382879999992E-2</v>
      </c>
      <c r="J575" s="129">
        <f t="shared" si="25"/>
        <v>1.76176</v>
      </c>
    </row>
    <row r="576" spans="1:10" hidden="1" x14ac:dyDescent="0.35">
      <c r="A576" s="126" t="s">
        <v>391</v>
      </c>
      <c r="B576" t="str">
        <f>_xlfn.XLOOKUP(A576,'[1]2050Pop'!$A$7:$A$143,'[1]2050Pop'!$D$7:$D$143)</f>
        <v>MENA</v>
      </c>
      <c r="C576" s="127">
        <f>1000*_xlfn.XLOOKUP(A576,'[1]2050Pop'!$A$7:$A$143,'[1]2050Pop'!$C$7:$C$143)</f>
        <v>151111</v>
      </c>
      <c r="D576" s="126" t="s">
        <v>497</v>
      </c>
      <c r="E576" s="128">
        <v>0.91300000000000003</v>
      </c>
      <c r="F576" s="129">
        <f t="shared" si="26"/>
        <v>0.13796434299999999</v>
      </c>
      <c r="G576" t="str">
        <f>_xlfn.XLOOKUP(D576,'[1]2050 BAU Mapping to T &amp; C'!$A$3:$A$52,'[1]2050 BAU Mapping to T &amp; C'!$B$3:$B$52)</f>
        <v>Tropical Fruits</v>
      </c>
      <c r="H576" s="129">
        <f>_xlfn.XLOOKUP(G576,'[1]T&amp;C emissions for 2050 analysis'!$B$3:$B$23,'[1]T&amp;C emissions for 2050 analysis'!$C$3:$C$23)</f>
        <v>0.51333333333333331</v>
      </c>
      <c r="I576" s="27">
        <f t="shared" si="24"/>
        <v>7.0821696073333329E-2</v>
      </c>
      <c r="J576" s="129">
        <f t="shared" si="25"/>
        <v>0.46867333333333333</v>
      </c>
    </row>
    <row r="577" spans="1:10" hidden="1" x14ac:dyDescent="0.35">
      <c r="A577" s="126" t="s">
        <v>392</v>
      </c>
      <c r="B577" t="str">
        <f>_xlfn.XLOOKUP(A577,'[1]2050Pop'!$A$7:$A$143,'[1]2050Pop'!$D$7:$D$143)</f>
        <v>LatAm &amp; RSA</v>
      </c>
      <c r="C577" s="127">
        <f>1000*_xlfn.XLOOKUP(A577,'[1]2050Pop'!$A$7:$A$143,'[1]2050Pop'!$C$7:$C$143)</f>
        <v>6390</v>
      </c>
      <c r="D577" s="126" t="s">
        <v>497</v>
      </c>
      <c r="E577" s="128">
        <v>3.4980000000000002</v>
      </c>
      <c r="F577" s="129">
        <f t="shared" si="26"/>
        <v>2.2352220000000003E-2</v>
      </c>
      <c r="G577" t="str">
        <f>_xlfn.XLOOKUP(D577,'[1]2050 BAU Mapping to T &amp; C'!$A$3:$A$52,'[1]2050 BAU Mapping to T &amp; C'!$B$3:$B$52)</f>
        <v>Tropical Fruits</v>
      </c>
      <c r="H577" s="129">
        <f>_xlfn.XLOOKUP(G577,'[1]T&amp;C emissions for 2050 analysis'!$B$3:$B$23,'[1]T&amp;C emissions for 2050 analysis'!$C$3:$C$23)</f>
        <v>0.51333333333333331</v>
      </c>
      <c r="I577" s="27">
        <f t="shared" si="24"/>
        <v>1.1474139600000001E-2</v>
      </c>
      <c r="J577" s="129">
        <f t="shared" si="25"/>
        <v>1.7956400000000001</v>
      </c>
    </row>
    <row r="578" spans="1:10" hidden="1" x14ac:dyDescent="0.35">
      <c r="A578" s="126" t="s">
        <v>393</v>
      </c>
      <c r="B578" t="str">
        <f>_xlfn.XLOOKUP(A578,'[1]2050Pop'!$A$7:$A$143,'[1]2050Pop'!$D$7:$D$143)</f>
        <v>Euro/AU/NZ</v>
      </c>
      <c r="C578" s="127">
        <f>1000*_xlfn.XLOOKUP(A578,'[1]2050Pop'!$A$7:$A$143,'[1]2050Pop'!$C$7:$C$143)</f>
        <v>1129</v>
      </c>
      <c r="D578" s="126" t="s">
        <v>497</v>
      </c>
      <c r="E578" s="128">
        <v>63.216000000000001</v>
      </c>
      <c r="F578" s="129">
        <f t="shared" si="26"/>
        <v>7.1370864000000006E-2</v>
      </c>
      <c r="G578" t="str">
        <f>_xlfn.XLOOKUP(D578,'[1]2050 BAU Mapping to T &amp; C'!$A$3:$A$52,'[1]2050 BAU Mapping to T &amp; C'!$B$3:$B$52)</f>
        <v>Tropical Fruits</v>
      </c>
      <c r="H578" s="129">
        <f>_xlfn.XLOOKUP(G578,'[1]T&amp;C emissions for 2050 analysis'!$B$3:$B$23,'[1]T&amp;C emissions for 2050 analysis'!$C$3:$C$23)</f>
        <v>0.51333333333333331</v>
      </c>
      <c r="I578" s="27">
        <f t="shared" si="24"/>
        <v>3.6637043520000002E-2</v>
      </c>
      <c r="J578" s="129">
        <f t="shared" si="25"/>
        <v>32.450879999999998</v>
      </c>
    </row>
    <row r="579" spans="1:10" hidden="1" x14ac:dyDescent="0.35">
      <c r="A579" s="126" t="s">
        <v>395</v>
      </c>
      <c r="B579" t="str">
        <f>_xlfn.XLOOKUP(A579,'[1]2050Pop'!$A$7:$A$143,'[1]2050Pop'!$D$7:$D$143)</f>
        <v>Euro/AU/NZ</v>
      </c>
      <c r="C579" s="127">
        <f>1000*_xlfn.XLOOKUP(A579,'[1]2050Pop'!$A$7:$A$143,'[1]2050Pop'!$C$7:$C$143)</f>
        <v>5752</v>
      </c>
      <c r="D579" s="126" t="s">
        <v>497</v>
      </c>
      <c r="E579" s="128">
        <v>18.879000000000001</v>
      </c>
      <c r="F579" s="129">
        <f t="shared" si="26"/>
        <v>0.108592008</v>
      </c>
      <c r="G579" t="str">
        <f>_xlfn.XLOOKUP(D579,'[1]2050 BAU Mapping to T &amp; C'!$A$3:$A$52,'[1]2050 BAU Mapping to T &amp; C'!$B$3:$B$52)</f>
        <v>Tropical Fruits</v>
      </c>
      <c r="H579" s="129">
        <f>_xlfn.XLOOKUP(G579,'[1]T&amp;C emissions for 2050 analysis'!$B$3:$B$23,'[1]T&amp;C emissions for 2050 analysis'!$C$3:$C$23)</f>
        <v>0.51333333333333331</v>
      </c>
      <c r="I579" s="27">
        <f t="shared" si="24"/>
        <v>5.5743897440000002E-2</v>
      </c>
      <c r="J579" s="129">
        <f t="shared" si="25"/>
        <v>9.6912199999999995</v>
      </c>
    </row>
    <row r="580" spans="1:10" hidden="1" x14ac:dyDescent="0.35">
      <c r="A580" s="126" t="s">
        <v>396</v>
      </c>
      <c r="B580" t="str">
        <f>_xlfn.XLOOKUP(A580,'[1]2050Pop'!$A$7:$A$143,'[1]2050Pop'!$D$7:$D$143)</f>
        <v>Euro/AU/NZ</v>
      </c>
      <c r="C580" s="127">
        <f>1000*_xlfn.XLOOKUP(A580,'[1]2050Pop'!$A$7:$A$143,'[1]2050Pop'!$C$7:$C$143)</f>
        <v>71137</v>
      </c>
      <c r="D580" s="126" t="s">
        <v>497</v>
      </c>
      <c r="E580" s="128">
        <v>18.881</v>
      </c>
      <c r="F580" s="129">
        <f t="shared" si="26"/>
        <v>1.343137697</v>
      </c>
      <c r="G580" t="str">
        <f>_xlfn.XLOOKUP(D580,'[1]2050 BAU Mapping to T &amp; C'!$A$3:$A$52,'[1]2050 BAU Mapping to T &amp; C'!$B$3:$B$52)</f>
        <v>Tropical Fruits</v>
      </c>
      <c r="H580" s="129">
        <f>_xlfn.XLOOKUP(G580,'[1]T&amp;C emissions for 2050 analysis'!$B$3:$B$23,'[1]T&amp;C emissions for 2050 analysis'!$C$3:$C$23)</f>
        <v>0.51333333333333331</v>
      </c>
      <c r="I580" s="27">
        <f t="shared" ref="I580:I643" si="27">F580*H580</f>
        <v>0.68947735112666664</v>
      </c>
      <c r="J580" s="129">
        <f t="shared" ref="J580:J643" si="28">E580*H580</f>
        <v>9.6922466666666658</v>
      </c>
    </row>
    <row r="581" spans="1:10" hidden="1" x14ac:dyDescent="0.35">
      <c r="A581" s="126" t="s">
        <v>397</v>
      </c>
      <c r="B581" t="str">
        <f>_xlfn.XLOOKUP(A581,'[1]2050Pop'!$A$7:$A$143,'[1]2050Pop'!$D$7:$D$143)</f>
        <v>SSA</v>
      </c>
      <c r="C581" s="127">
        <f>1000*_xlfn.XLOOKUP(A581,'[1]2050Pop'!$A$7:$A$143,'[1]2050Pop'!$C$7:$C$143)</f>
        <v>3164</v>
      </c>
      <c r="D581" s="126" t="s">
        <v>497</v>
      </c>
      <c r="E581" s="130">
        <v>7.74</v>
      </c>
      <c r="F581" s="129">
        <f t="shared" ref="F581:F644" si="29">C581*E581/1000000</f>
        <v>2.4489360000000002E-2</v>
      </c>
      <c r="G581" t="str">
        <f>_xlfn.XLOOKUP(D581,'[1]2050 BAU Mapping to T &amp; C'!$A$3:$A$52,'[1]2050 BAU Mapping to T &amp; C'!$B$3:$B$52)</f>
        <v>Tropical Fruits</v>
      </c>
      <c r="H581" s="129">
        <f>_xlfn.XLOOKUP(G581,'[1]T&amp;C emissions for 2050 analysis'!$B$3:$B$23,'[1]T&amp;C emissions for 2050 analysis'!$C$3:$C$23)</f>
        <v>0.51333333333333331</v>
      </c>
      <c r="I581" s="27">
        <f t="shared" si="27"/>
        <v>1.2571204800000001E-2</v>
      </c>
      <c r="J581" s="129">
        <f t="shared" si="28"/>
        <v>3.9731999999999998</v>
      </c>
    </row>
    <row r="582" spans="1:10" hidden="1" x14ac:dyDescent="0.35">
      <c r="A582" s="126" t="s">
        <v>489</v>
      </c>
      <c r="B582" t="str">
        <f>_xlfn.XLOOKUP(A582,'[1]2050Pop'!$A$7:$A$143,'[1]2050Pop'!$D$7:$D$143)</f>
        <v>SSA</v>
      </c>
      <c r="C582" s="127">
        <f>1000*_xlfn.XLOOKUP(A582,'[1]2050Pop'!$A$7:$A$143,'[1]2050Pop'!$C$7:$C$143)</f>
        <v>4981</v>
      </c>
      <c r="D582" s="126" t="s">
        <v>497</v>
      </c>
      <c r="E582" s="128">
        <v>1.9970000000000001</v>
      </c>
      <c r="F582" s="129">
        <f t="shared" si="29"/>
        <v>9.9470570000000005E-3</v>
      </c>
      <c r="G582" t="str">
        <f>_xlfn.XLOOKUP(D582,'[1]2050 BAU Mapping to T &amp; C'!$A$3:$A$52,'[1]2050 BAU Mapping to T &amp; C'!$B$3:$B$52)</f>
        <v>Tropical Fruits</v>
      </c>
      <c r="H582" s="129">
        <f>_xlfn.XLOOKUP(G582,'[1]T&amp;C emissions for 2050 analysis'!$B$3:$B$23,'[1]T&amp;C emissions for 2050 analysis'!$C$3:$C$23)</f>
        <v>0.51333333333333331</v>
      </c>
      <c r="I582" s="27">
        <f t="shared" si="27"/>
        <v>5.1061559266666664E-3</v>
      </c>
      <c r="J582" s="129">
        <f t="shared" si="28"/>
        <v>1.0251266666666667</v>
      </c>
    </row>
    <row r="583" spans="1:10" hidden="1" x14ac:dyDescent="0.35">
      <c r="A583" s="126" t="s">
        <v>398</v>
      </c>
      <c r="B583" t="str">
        <f>_xlfn.XLOOKUP(A583,'[1]2050Pop'!$A$7:$A$143,'[1]2050Pop'!$D$7:$D$143)</f>
        <v>MENA</v>
      </c>
      <c r="C583" s="127">
        <f>1000*_xlfn.XLOOKUP(A583,'[1]2050Pop'!$A$7:$A$143,'[1]2050Pop'!$C$7:$C$143)</f>
        <v>3483</v>
      </c>
      <c r="D583" s="126" t="s">
        <v>497</v>
      </c>
      <c r="E583" s="128">
        <v>33.488999999999997</v>
      </c>
      <c r="F583" s="129">
        <f t="shared" si="29"/>
        <v>0.11664218699999999</v>
      </c>
      <c r="G583" t="str">
        <f>_xlfn.XLOOKUP(D583,'[1]2050 BAU Mapping to T &amp; C'!$A$3:$A$52,'[1]2050 BAU Mapping to T &amp; C'!$B$3:$B$52)</f>
        <v>Tropical Fruits</v>
      </c>
      <c r="H583" s="129">
        <f>_xlfn.XLOOKUP(G583,'[1]T&amp;C emissions for 2050 analysis'!$B$3:$B$23,'[1]T&amp;C emissions for 2050 analysis'!$C$3:$C$23)</f>
        <v>0.51333333333333331</v>
      </c>
      <c r="I583" s="27">
        <f t="shared" si="27"/>
        <v>5.9876322659999995E-2</v>
      </c>
      <c r="J583" s="129">
        <f t="shared" si="28"/>
        <v>17.191019999999998</v>
      </c>
    </row>
    <row r="584" spans="1:10" hidden="1" x14ac:dyDescent="0.35">
      <c r="A584" s="126" t="s">
        <v>399</v>
      </c>
      <c r="B584" t="str">
        <f>_xlfn.XLOOKUP(A584,'[1]2050Pop'!$A$7:$A$143,'[1]2050Pop'!$D$7:$D$143)</f>
        <v>Euro/AU/NZ</v>
      </c>
      <c r="C584" s="127">
        <f>1000*_xlfn.XLOOKUP(A584,'[1]2050Pop'!$A$7:$A$143,'[1]2050Pop'!$C$7:$C$143)</f>
        <v>74513</v>
      </c>
      <c r="D584" s="126" t="s">
        <v>497</v>
      </c>
      <c r="E584" s="128">
        <v>19.417999999999999</v>
      </c>
      <c r="F584" s="129">
        <f t="shared" si="29"/>
        <v>1.4468934339999999</v>
      </c>
      <c r="G584" t="str">
        <f>_xlfn.XLOOKUP(D584,'[1]2050 BAU Mapping to T &amp; C'!$A$3:$A$52,'[1]2050 BAU Mapping to T &amp; C'!$B$3:$B$52)</f>
        <v>Tropical Fruits</v>
      </c>
      <c r="H584" s="129">
        <f>_xlfn.XLOOKUP(G584,'[1]T&amp;C emissions for 2050 analysis'!$B$3:$B$23,'[1]T&amp;C emissions for 2050 analysis'!$C$3:$C$23)</f>
        <v>0.51333333333333331</v>
      </c>
      <c r="I584" s="27">
        <f t="shared" si="27"/>
        <v>0.74273862945333324</v>
      </c>
      <c r="J584" s="129">
        <f t="shared" si="28"/>
        <v>9.967906666666666</v>
      </c>
    </row>
    <row r="585" spans="1:10" hidden="1" x14ac:dyDescent="0.35">
      <c r="A585" s="126" t="s">
        <v>400</v>
      </c>
      <c r="B585" t="str">
        <f>_xlfn.XLOOKUP(A585,'[1]2050Pop'!$A$7:$A$143,'[1]2050Pop'!$D$7:$D$143)</f>
        <v>SSA</v>
      </c>
      <c r="C585" s="127">
        <f>1000*_xlfn.XLOOKUP(A585,'[1]2050Pop'!$A$7:$A$143,'[1]2050Pop'!$C$7:$C$143)</f>
        <v>50071</v>
      </c>
      <c r="D585" s="126" t="s">
        <v>497</v>
      </c>
      <c r="E585" s="131">
        <v>18.8</v>
      </c>
      <c r="F585" s="129">
        <f t="shared" si="29"/>
        <v>0.94133480000000003</v>
      </c>
      <c r="G585" t="str">
        <f>_xlfn.XLOOKUP(D585,'[1]2050 BAU Mapping to T &amp; C'!$A$3:$A$52,'[1]2050 BAU Mapping to T &amp; C'!$B$3:$B$52)</f>
        <v>Tropical Fruits</v>
      </c>
      <c r="H585" s="129">
        <f>_xlfn.XLOOKUP(G585,'[1]T&amp;C emissions for 2050 analysis'!$B$3:$B$23,'[1]T&amp;C emissions for 2050 analysis'!$C$3:$C$23)</f>
        <v>0.51333333333333331</v>
      </c>
      <c r="I585" s="27">
        <f t="shared" si="27"/>
        <v>0.48321853066666665</v>
      </c>
      <c r="J585" s="129">
        <f t="shared" si="28"/>
        <v>9.6506666666666661</v>
      </c>
    </row>
    <row r="586" spans="1:10" hidden="1" x14ac:dyDescent="0.35">
      <c r="A586" s="126" t="s">
        <v>401</v>
      </c>
      <c r="B586" t="str">
        <f>_xlfn.XLOOKUP(A586,'[1]2050Pop'!$A$7:$A$143,'[1]2050Pop'!$D$7:$D$143)</f>
        <v>Euro/AU/NZ</v>
      </c>
      <c r="C586" s="127">
        <f>1000*_xlfn.XLOOKUP(A586,'[1]2050Pop'!$A$7:$A$143,'[1]2050Pop'!$C$7:$C$143)</f>
        <v>9705</v>
      </c>
      <c r="D586" s="126" t="s">
        <v>497</v>
      </c>
      <c r="E586" s="128">
        <v>22.376000000000001</v>
      </c>
      <c r="F586" s="129">
        <f t="shared" si="29"/>
        <v>0.21715908</v>
      </c>
      <c r="G586" t="str">
        <f>_xlfn.XLOOKUP(D586,'[1]2050 BAU Mapping to T &amp; C'!$A$3:$A$52,'[1]2050 BAU Mapping to T &amp; C'!$B$3:$B$52)</f>
        <v>Tropical Fruits</v>
      </c>
      <c r="H586" s="129">
        <f>_xlfn.XLOOKUP(G586,'[1]T&amp;C emissions for 2050 analysis'!$B$3:$B$23,'[1]T&amp;C emissions for 2050 analysis'!$C$3:$C$23)</f>
        <v>0.51333333333333331</v>
      </c>
      <c r="I586" s="27">
        <f t="shared" si="27"/>
        <v>0.1114749944</v>
      </c>
      <c r="J586" s="129">
        <f t="shared" si="28"/>
        <v>11.486346666666666</v>
      </c>
    </row>
    <row r="587" spans="1:10" hidden="1" x14ac:dyDescent="0.35">
      <c r="A587" s="126" t="s">
        <v>402</v>
      </c>
      <c r="B587" t="str">
        <f>_xlfn.XLOOKUP(A587,'[1]2050Pop'!$A$7:$A$143,'[1]2050Pop'!$D$7:$D$143)</f>
        <v>LatAm &amp; RSA</v>
      </c>
      <c r="C587" s="127">
        <f>1000*_xlfn.XLOOKUP(A587,'[1]2050Pop'!$A$7:$A$143,'[1]2050Pop'!$C$7:$C$143)</f>
        <v>27754</v>
      </c>
      <c r="D587" s="126" t="s">
        <v>497</v>
      </c>
      <c r="E587" s="128">
        <v>3.4870000000000001</v>
      </c>
      <c r="F587" s="129">
        <f t="shared" si="29"/>
        <v>9.677819800000001E-2</v>
      </c>
      <c r="G587" t="str">
        <f>_xlfn.XLOOKUP(D587,'[1]2050 BAU Mapping to T &amp; C'!$A$3:$A$52,'[1]2050 BAU Mapping to T &amp; C'!$B$3:$B$52)</f>
        <v>Tropical Fruits</v>
      </c>
      <c r="H587" s="129">
        <f>_xlfn.XLOOKUP(G587,'[1]T&amp;C emissions for 2050 analysis'!$B$3:$B$23,'[1]T&amp;C emissions for 2050 analysis'!$C$3:$C$23)</f>
        <v>0.51333333333333331</v>
      </c>
      <c r="I587" s="27">
        <f t="shared" si="27"/>
        <v>4.9679474973333339E-2</v>
      </c>
      <c r="J587" s="129">
        <f t="shared" si="28"/>
        <v>1.7899933333333333</v>
      </c>
    </row>
    <row r="588" spans="1:10" hidden="1" x14ac:dyDescent="0.35">
      <c r="A588" s="126" t="s">
        <v>403</v>
      </c>
      <c r="B588" t="str">
        <f>_xlfn.XLOOKUP(A588,'[1]2050Pop'!$A$7:$A$143,'[1]2050Pop'!$D$7:$D$143)</f>
        <v>SSA</v>
      </c>
      <c r="C588" s="127">
        <f>1000*_xlfn.XLOOKUP(A588,'[1]2050Pop'!$A$7:$A$143,'[1]2050Pop'!$C$7:$C$143)</f>
        <v>27486</v>
      </c>
      <c r="D588" s="126" t="s">
        <v>497</v>
      </c>
      <c r="E588" s="128">
        <v>2.931</v>
      </c>
      <c r="F588" s="129">
        <f t="shared" si="29"/>
        <v>8.0561465999999998E-2</v>
      </c>
      <c r="G588" t="str">
        <f>_xlfn.XLOOKUP(D588,'[1]2050 BAU Mapping to T &amp; C'!$A$3:$A$52,'[1]2050 BAU Mapping to T &amp; C'!$B$3:$B$52)</f>
        <v>Tropical Fruits</v>
      </c>
      <c r="H588" s="129">
        <f>_xlfn.XLOOKUP(G588,'[1]T&amp;C emissions for 2050 analysis'!$B$3:$B$23,'[1]T&amp;C emissions for 2050 analysis'!$C$3:$C$23)</f>
        <v>0.51333333333333331</v>
      </c>
      <c r="I588" s="27">
        <f t="shared" si="27"/>
        <v>4.1354885879999997E-2</v>
      </c>
      <c r="J588" s="129">
        <f t="shared" si="28"/>
        <v>1.50458</v>
      </c>
    </row>
    <row r="589" spans="1:10" hidden="1" x14ac:dyDescent="0.35">
      <c r="A589" s="126" t="s">
        <v>404</v>
      </c>
      <c r="B589" t="str">
        <f>_xlfn.XLOOKUP(A589,'[1]2050Pop'!$A$7:$A$143,'[1]2050Pop'!$D$7:$D$143)</f>
        <v>LatAm &amp; RSA</v>
      </c>
      <c r="C589" s="127">
        <f>1000*_xlfn.XLOOKUP(A589,'[1]2050Pop'!$A$7:$A$143,'[1]2050Pop'!$C$7:$C$143)</f>
        <v>806</v>
      </c>
      <c r="D589" s="126" t="s">
        <v>497</v>
      </c>
      <c r="E589" s="128">
        <v>13.558</v>
      </c>
      <c r="F589" s="129">
        <f t="shared" si="29"/>
        <v>1.0927747999999999E-2</v>
      </c>
      <c r="G589" t="str">
        <f>_xlfn.XLOOKUP(D589,'[1]2050 BAU Mapping to T &amp; C'!$A$3:$A$52,'[1]2050 BAU Mapping to T &amp; C'!$B$3:$B$52)</f>
        <v>Tropical Fruits</v>
      </c>
      <c r="H589" s="129">
        <f>_xlfn.XLOOKUP(G589,'[1]T&amp;C emissions for 2050 analysis'!$B$3:$B$23,'[1]T&amp;C emissions for 2050 analysis'!$C$3:$C$23)</f>
        <v>0.51333333333333331</v>
      </c>
      <c r="I589" s="27">
        <f t="shared" si="27"/>
        <v>5.6095773066666662E-3</v>
      </c>
      <c r="J589" s="129">
        <f t="shared" si="28"/>
        <v>6.9597733333333327</v>
      </c>
    </row>
    <row r="590" spans="1:10" hidden="1" x14ac:dyDescent="0.35">
      <c r="A590" s="126" t="s">
        <v>405</v>
      </c>
      <c r="B590" t="str">
        <f>_xlfn.XLOOKUP(A590,'[1]2050Pop'!$A$7:$A$143,'[1]2050Pop'!$D$7:$D$143)</f>
        <v>LatAm &amp; RSA</v>
      </c>
      <c r="C590" s="127">
        <f>1000*_xlfn.XLOOKUP(A590,'[1]2050Pop'!$A$7:$A$143,'[1]2050Pop'!$C$7:$C$143)</f>
        <v>14189</v>
      </c>
      <c r="D590" s="126" t="s">
        <v>497</v>
      </c>
      <c r="E590" s="128">
        <v>0.88800000000000001</v>
      </c>
      <c r="F590" s="129">
        <f t="shared" si="29"/>
        <v>1.2599832E-2</v>
      </c>
      <c r="G590" t="str">
        <f>_xlfn.XLOOKUP(D590,'[1]2050 BAU Mapping to T &amp; C'!$A$3:$A$52,'[1]2050 BAU Mapping to T &amp; C'!$B$3:$B$52)</f>
        <v>Tropical Fruits</v>
      </c>
      <c r="H590" s="129">
        <f>_xlfn.XLOOKUP(G590,'[1]T&amp;C emissions for 2050 analysis'!$B$3:$B$23,'[1]T&amp;C emissions for 2050 analysis'!$C$3:$C$23)</f>
        <v>0.51333333333333331</v>
      </c>
      <c r="I590" s="27">
        <f t="shared" si="27"/>
        <v>6.46791376E-3</v>
      </c>
      <c r="J590" s="129">
        <f t="shared" si="28"/>
        <v>0.45583999999999997</v>
      </c>
    </row>
    <row r="591" spans="1:10" hidden="1" x14ac:dyDescent="0.35">
      <c r="A591" s="126" t="s">
        <v>406</v>
      </c>
      <c r="B591" t="str">
        <f>_xlfn.XLOOKUP(A591,'[1]2050Pop'!$A$7:$A$143,'[1]2050Pop'!$D$7:$D$143)</f>
        <v>LatAm &amp; RSA</v>
      </c>
      <c r="C591" s="127">
        <f>1000*_xlfn.XLOOKUP(A591,'[1]2050Pop'!$A$7:$A$143,'[1]2050Pop'!$C$7:$C$143)</f>
        <v>11217</v>
      </c>
      <c r="D591" s="126" t="s">
        <v>497</v>
      </c>
      <c r="E591" s="128">
        <v>5.476</v>
      </c>
      <c r="F591" s="129">
        <f t="shared" si="29"/>
        <v>6.1424291999999998E-2</v>
      </c>
      <c r="G591" t="str">
        <f>_xlfn.XLOOKUP(D591,'[1]2050 BAU Mapping to T &amp; C'!$A$3:$A$52,'[1]2050 BAU Mapping to T &amp; C'!$B$3:$B$52)</f>
        <v>Tropical Fruits</v>
      </c>
      <c r="H591" s="129">
        <f>_xlfn.XLOOKUP(G591,'[1]T&amp;C emissions for 2050 analysis'!$B$3:$B$23,'[1]T&amp;C emissions for 2050 analysis'!$C$3:$C$23)</f>
        <v>0.51333333333333331</v>
      </c>
      <c r="I591" s="27">
        <f t="shared" si="27"/>
        <v>3.1531136559999999E-2</v>
      </c>
      <c r="J591" s="129">
        <f t="shared" si="28"/>
        <v>2.8110133333333334</v>
      </c>
    </row>
    <row r="592" spans="1:10" hidden="1" x14ac:dyDescent="0.35">
      <c r="A592" s="126" t="s">
        <v>407</v>
      </c>
      <c r="B592" t="str">
        <f>_xlfn.XLOOKUP(A592,'[1]2050Pop'!$A$7:$A$143,'[1]2050Pop'!$D$7:$D$143)</f>
        <v>Euro/AU/NZ</v>
      </c>
      <c r="C592" s="127">
        <f>1000*_xlfn.XLOOKUP(A592,'[1]2050Pop'!$A$7:$A$143,'[1]2050Pop'!$C$7:$C$143)</f>
        <v>8318</v>
      </c>
      <c r="D592" s="126" t="s">
        <v>497</v>
      </c>
      <c r="E592" s="128">
        <v>21.329000000000001</v>
      </c>
      <c r="F592" s="129">
        <f t="shared" si="29"/>
        <v>0.17741462199999999</v>
      </c>
      <c r="G592" t="str">
        <f>_xlfn.XLOOKUP(D592,'[1]2050 BAU Mapping to T &amp; C'!$A$3:$A$52,'[1]2050 BAU Mapping to T &amp; C'!$B$3:$B$52)</f>
        <v>Tropical Fruits</v>
      </c>
      <c r="H592" s="129">
        <f>_xlfn.XLOOKUP(G592,'[1]T&amp;C emissions for 2050 analysis'!$B$3:$B$23,'[1]T&amp;C emissions for 2050 analysis'!$C$3:$C$23)</f>
        <v>0.51333333333333331</v>
      </c>
      <c r="I592" s="27">
        <f t="shared" si="27"/>
        <v>9.1072839293333332E-2</v>
      </c>
      <c r="J592" s="129">
        <f t="shared" si="28"/>
        <v>10.948886666666667</v>
      </c>
    </row>
    <row r="593" spans="1:10" hidden="1" x14ac:dyDescent="0.35">
      <c r="A593" s="126" t="s">
        <v>409</v>
      </c>
      <c r="B593" t="str">
        <f>_xlfn.XLOOKUP(A593,'[1]2050Pop'!$A$7:$A$143,'[1]2050Pop'!$D$7:$D$143)</f>
        <v>APAC</v>
      </c>
      <c r="C593" s="127">
        <f>1000*_xlfn.XLOOKUP(A593,'[1]2050Pop'!$A$7:$A$143,'[1]2050Pop'!$C$7:$C$143)</f>
        <v>322237</v>
      </c>
      <c r="D593" s="126" t="s">
        <v>497</v>
      </c>
      <c r="E593" s="128">
        <v>4.3120000000000003</v>
      </c>
      <c r="F593" s="129">
        <f t="shared" si="29"/>
        <v>1.389485944</v>
      </c>
      <c r="G593" t="str">
        <f>_xlfn.XLOOKUP(D593,'[1]2050 BAU Mapping to T &amp; C'!$A$3:$A$52,'[1]2050 BAU Mapping to T &amp; C'!$B$3:$B$52)</f>
        <v>Tropical Fruits</v>
      </c>
      <c r="H593" s="129">
        <f>_xlfn.XLOOKUP(G593,'[1]T&amp;C emissions for 2050 analysis'!$B$3:$B$23,'[1]T&amp;C emissions for 2050 analysis'!$C$3:$C$23)</f>
        <v>0.51333333333333331</v>
      </c>
      <c r="I593" s="27">
        <f t="shared" si="27"/>
        <v>0.7132694512533333</v>
      </c>
      <c r="J593" s="129">
        <f t="shared" si="28"/>
        <v>2.2134933333333335</v>
      </c>
    </row>
    <row r="594" spans="1:10" hidden="1" x14ac:dyDescent="0.35">
      <c r="A594" s="126" t="s">
        <v>410</v>
      </c>
      <c r="B594" t="str">
        <f>_xlfn.XLOOKUP(A594,'[1]2050Pop'!$A$7:$A$143,'[1]2050Pop'!$D$7:$D$143)</f>
        <v>India/South Asia</v>
      </c>
      <c r="C594" s="127">
        <f>1000*_xlfn.XLOOKUP(A594,'[1]2050Pop'!$A$7:$A$143,'[1]2050Pop'!$C$7:$C$143)</f>
        <v>92219</v>
      </c>
      <c r="D594" s="126" t="s">
        <v>497</v>
      </c>
      <c r="E594" s="130">
        <v>1.69</v>
      </c>
      <c r="F594" s="129">
        <f t="shared" si="29"/>
        <v>0.15585010999999999</v>
      </c>
      <c r="G594" t="str">
        <f>_xlfn.XLOOKUP(D594,'[1]2050 BAU Mapping to T &amp; C'!$A$3:$A$52,'[1]2050 BAU Mapping to T &amp; C'!$B$3:$B$52)</f>
        <v>Tropical Fruits</v>
      </c>
      <c r="H594" s="129">
        <f>_xlfn.XLOOKUP(G594,'[1]T&amp;C emissions for 2050 analysis'!$B$3:$B$23,'[1]T&amp;C emissions for 2050 analysis'!$C$3:$C$23)</f>
        <v>0.51333333333333331</v>
      </c>
      <c r="I594" s="27">
        <f t="shared" si="27"/>
        <v>8.0003056466666653E-2</v>
      </c>
      <c r="J594" s="129">
        <f t="shared" si="28"/>
        <v>0.86753333333333327</v>
      </c>
    </row>
    <row r="595" spans="1:10" hidden="1" x14ac:dyDescent="0.35">
      <c r="A595" s="126" t="s">
        <v>411</v>
      </c>
      <c r="B595" t="str">
        <f>_xlfn.XLOOKUP(A595,'[1]2050Pop'!$A$7:$A$143,'[1]2050Pop'!$D$7:$D$143)</f>
        <v>MENA</v>
      </c>
      <c r="C595" s="127">
        <f>1000*_xlfn.XLOOKUP(A595,'[1]2050Pop'!$A$7:$A$143,'[1]2050Pop'!$C$7:$C$143)</f>
        <v>83652</v>
      </c>
      <c r="D595" s="126" t="s">
        <v>497</v>
      </c>
      <c r="E595" s="128">
        <v>10.776999999999999</v>
      </c>
      <c r="F595" s="129">
        <f t="shared" si="29"/>
        <v>0.90151760399999992</v>
      </c>
      <c r="G595" t="str">
        <f>_xlfn.XLOOKUP(D595,'[1]2050 BAU Mapping to T &amp; C'!$A$3:$A$52,'[1]2050 BAU Mapping to T &amp; C'!$B$3:$B$52)</f>
        <v>Tropical Fruits</v>
      </c>
      <c r="H595" s="129">
        <f>_xlfn.XLOOKUP(G595,'[1]T&amp;C emissions for 2050 analysis'!$B$3:$B$23,'[1]T&amp;C emissions for 2050 analysis'!$C$3:$C$23)</f>
        <v>0.51333333333333331</v>
      </c>
      <c r="I595" s="27">
        <f t="shared" si="27"/>
        <v>0.46277903671999993</v>
      </c>
      <c r="J595" s="129">
        <f t="shared" si="28"/>
        <v>5.5321933333333329</v>
      </c>
    </row>
    <row r="596" spans="1:10" hidden="1" x14ac:dyDescent="0.35">
      <c r="A596" s="126" t="s">
        <v>412</v>
      </c>
      <c r="B596" t="str">
        <f>_xlfn.XLOOKUP(A596,'[1]2050Pop'!$A$7:$A$143,'[1]2050Pop'!$D$7:$D$143)</f>
        <v>Euro/AU/NZ</v>
      </c>
      <c r="C596" s="127">
        <f>1000*_xlfn.XLOOKUP(A596,'[1]2050Pop'!$A$7:$A$143,'[1]2050Pop'!$C$7:$C$143)</f>
        <v>5789</v>
      </c>
      <c r="D596" s="126" t="s">
        <v>497</v>
      </c>
      <c r="E596" s="128">
        <v>25.222999999999999</v>
      </c>
      <c r="F596" s="129">
        <f t="shared" si="29"/>
        <v>0.14601594699999998</v>
      </c>
      <c r="G596" t="str">
        <f>_xlfn.XLOOKUP(D596,'[1]2050 BAU Mapping to T &amp; C'!$A$3:$A$52,'[1]2050 BAU Mapping to T &amp; C'!$B$3:$B$52)</f>
        <v>Tropical Fruits</v>
      </c>
      <c r="H596" s="129">
        <f>_xlfn.XLOOKUP(G596,'[1]T&amp;C emissions for 2050 analysis'!$B$3:$B$23,'[1]T&amp;C emissions for 2050 analysis'!$C$3:$C$23)</f>
        <v>0.51333333333333331</v>
      </c>
      <c r="I596" s="27">
        <f t="shared" si="27"/>
        <v>7.4954852793333318E-2</v>
      </c>
      <c r="J596" s="129">
        <f t="shared" si="28"/>
        <v>12.947806666666665</v>
      </c>
    </row>
    <row r="597" spans="1:10" hidden="1" x14ac:dyDescent="0.35">
      <c r="A597" s="126" t="s">
        <v>413</v>
      </c>
      <c r="B597" t="str">
        <f>_xlfn.XLOOKUP(A597,'[1]2050Pop'!$A$7:$A$143,'[1]2050Pop'!$D$7:$D$143)</f>
        <v>MENA</v>
      </c>
      <c r="C597" s="127">
        <f>1000*_xlfn.XLOOKUP(A597,'[1]2050Pop'!$A$7:$A$143,'[1]2050Pop'!$C$7:$C$143)</f>
        <v>12610</v>
      </c>
      <c r="D597" s="126" t="s">
        <v>497</v>
      </c>
      <c r="E597" s="128">
        <v>23.651</v>
      </c>
      <c r="F597" s="129">
        <f t="shared" si="29"/>
        <v>0.29823910999999997</v>
      </c>
      <c r="G597" t="str">
        <f>_xlfn.XLOOKUP(D597,'[1]2050 BAU Mapping to T &amp; C'!$A$3:$A$52,'[1]2050 BAU Mapping to T &amp; C'!$B$3:$B$52)</f>
        <v>Tropical Fruits</v>
      </c>
      <c r="H597" s="129">
        <f>_xlfn.XLOOKUP(G597,'[1]T&amp;C emissions for 2050 analysis'!$B$3:$B$23,'[1]T&amp;C emissions for 2050 analysis'!$C$3:$C$23)</f>
        <v>0.51333333333333331</v>
      </c>
      <c r="I597" s="27">
        <f t="shared" si="27"/>
        <v>0.15309607646666665</v>
      </c>
      <c r="J597" s="129">
        <f t="shared" si="28"/>
        <v>12.140846666666667</v>
      </c>
    </row>
    <row r="598" spans="1:10" hidden="1" x14ac:dyDescent="0.35">
      <c r="A598" s="126" t="s">
        <v>414</v>
      </c>
      <c r="B598" t="str">
        <f>_xlfn.XLOOKUP(A598,'[1]2050Pop'!$A$7:$A$143,'[1]2050Pop'!$D$7:$D$143)</f>
        <v>Euro/AU/NZ</v>
      </c>
      <c r="C598" s="127">
        <f>1000*_xlfn.XLOOKUP(A598,'[1]2050Pop'!$A$7:$A$143,'[1]2050Pop'!$C$7:$C$143)</f>
        <v>56513</v>
      </c>
      <c r="D598" s="126" t="s">
        <v>497</v>
      </c>
      <c r="E598" s="128">
        <v>3.3420000000000001</v>
      </c>
      <c r="F598" s="129">
        <f t="shared" si="29"/>
        <v>0.18886644599999999</v>
      </c>
      <c r="G598" t="str">
        <f>_xlfn.XLOOKUP(D598,'[1]2050 BAU Mapping to T &amp; C'!$A$3:$A$52,'[1]2050 BAU Mapping to T &amp; C'!$B$3:$B$52)</f>
        <v>Tropical Fruits</v>
      </c>
      <c r="H598" s="129">
        <f>_xlfn.XLOOKUP(G598,'[1]T&amp;C emissions for 2050 analysis'!$B$3:$B$23,'[1]T&amp;C emissions for 2050 analysis'!$C$3:$C$23)</f>
        <v>0.51333333333333331</v>
      </c>
      <c r="I598" s="27">
        <f t="shared" si="27"/>
        <v>9.6951442279999994E-2</v>
      </c>
      <c r="J598" s="129">
        <f t="shared" si="28"/>
        <v>1.71556</v>
      </c>
    </row>
    <row r="599" spans="1:10" hidden="1" x14ac:dyDescent="0.35">
      <c r="A599" s="126" t="s">
        <v>415</v>
      </c>
      <c r="B599" t="str">
        <f>_xlfn.XLOOKUP(A599,'[1]2050Pop'!$A$7:$A$143,'[1]2050Pop'!$D$7:$D$143)</f>
        <v>LatAm &amp; RSA</v>
      </c>
      <c r="C599" s="127">
        <f>1000*_xlfn.XLOOKUP(A599,'[1]2050Pop'!$A$7:$A$143,'[1]2050Pop'!$C$7:$C$143)</f>
        <v>2710</v>
      </c>
      <c r="D599" s="126" t="s">
        <v>497</v>
      </c>
      <c r="E599" s="128">
        <v>5.5019999999999998</v>
      </c>
      <c r="F599" s="129">
        <f t="shared" si="29"/>
        <v>1.4910420000000001E-2</v>
      </c>
      <c r="G599" t="str">
        <f>_xlfn.XLOOKUP(D599,'[1]2050 BAU Mapping to T &amp; C'!$A$3:$A$52,'[1]2050 BAU Mapping to T &amp; C'!$B$3:$B$52)</f>
        <v>Tropical Fruits</v>
      </c>
      <c r="H599" s="129">
        <f>_xlfn.XLOOKUP(G599,'[1]T&amp;C emissions for 2050 analysis'!$B$3:$B$23,'[1]T&amp;C emissions for 2050 analysis'!$C$3:$C$23)</f>
        <v>0.51333333333333331</v>
      </c>
      <c r="I599" s="27">
        <f t="shared" si="27"/>
        <v>7.6540156000000003E-3</v>
      </c>
      <c r="J599" s="129">
        <f t="shared" si="28"/>
        <v>2.8243599999999995</v>
      </c>
    </row>
    <row r="600" spans="1:10" hidden="1" x14ac:dyDescent="0.35">
      <c r="A600" s="126" t="s">
        <v>416</v>
      </c>
      <c r="B600" t="str">
        <f>_xlfn.XLOOKUP(A600,'[1]2050Pop'!$A$7:$A$143,'[1]2050Pop'!$D$7:$D$143)</f>
        <v>APAC</v>
      </c>
      <c r="C600" s="127">
        <f>1000*_xlfn.XLOOKUP(A600,'[1]2050Pop'!$A$7:$A$143,'[1]2050Pop'!$C$7:$C$143)</f>
        <v>107411</v>
      </c>
      <c r="D600" s="126" t="s">
        <v>497</v>
      </c>
      <c r="E600" s="128">
        <v>12.616</v>
      </c>
      <c r="F600" s="129">
        <f t="shared" si="29"/>
        <v>1.3550971759999999</v>
      </c>
      <c r="G600" t="str">
        <f>_xlfn.XLOOKUP(D600,'[1]2050 BAU Mapping to T &amp; C'!$A$3:$A$52,'[1]2050 BAU Mapping to T &amp; C'!$B$3:$B$52)</f>
        <v>Tropical Fruits</v>
      </c>
      <c r="H600" s="129">
        <f>_xlfn.XLOOKUP(G600,'[1]T&amp;C emissions for 2050 analysis'!$B$3:$B$23,'[1]T&amp;C emissions for 2050 analysis'!$C$3:$C$23)</f>
        <v>0.51333333333333331</v>
      </c>
      <c r="I600" s="27">
        <f t="shared" si="27"/>
        <v>0.69561655034666658</v>
      </c>
      <c r="J600" s="129">
        <f t="shared" si="28"/>
        <v>6.4762133333333329</v>
      </c>
    </row>
    <row r="601" spans="1:10" hidden="1" x14ac:dyDescent="0.35">
      <c r="A601" s="126" t="s">
        <v>417</v>
      </c>
      <c r="B601" t="str">
        <f>_xlfn.XLOOKUP(A601,'[1]2050Pop'!$A$7:$A$143,'[1]2050Pop'!$D$7:$D$143)</f>
        <v>MENA</v>
      </c>
      <c r="C601" s="127">
        <f>1000*_xlfn.XLOOKUP(A601,'[1]2050Pop'!$A$7:$A$143,'[1]2050Pop'!$C$7:$C$143)</f>
        <v>11717</v>
      </c>
      <c r="D601" s="126" t="s">
        <v>497</v>
      </c>
      <c r="E601" s="128">
        <v>12.789</v>
      </c>
      <c r="F601" s="129">
        <f t="shared" si="29"/>
        <v>0.14984871299999999</v>
      </c>
      <c r="G601" t="str">
        <f>_xlfn.XLOOKUP(D601,'[1]2050 BAU Mapping to T &amp; C'!$A$3:$A$52,'[1]2050 BAU Mapping to T &amp; C'!$B$3:$B$52)</f>
        <v>Tropical Fruits</v>
      </c>
      <c r="H601" s="129">
        <f>_xlfn.XLOOKUP(G601,'[1]T&amp;C emissions for 2050 analysis'!$B$3:$B$23,'[1]T&amp;C emissions for 2050 analysis'!$C$3:$C$23)</f>
        <v>0.51333333333333331</v>
      </c>
      <c r="I601" s="27">
        <f t="shared" si="27"/>
        <v>7.6922339339999993E-2</v>
      </c>
      <c r="J601" s="129">
        <f t="shared" si="28"/>
        <v>6.5650199999999996</v>
      </c>
    </row>
    <row r="602" spans="1:10" hidden="1" x14ac:dyDescent="0.35">
      <c r="A602" s="126" t="s">
        <v>418</v>
      </c>
      <c r="B602" t="str">
        <f>_xlfn.XLOOKUP(A602,'[1]2050Pop'!$A$7:$A$143,'[1]2050Pop'!$D$7:$D$143)</f>
        <v>APAC</v>
      </c>
      <c r="C602" s="127">
        <f>1000*_xlfn.XLOOKUP(A602,'[1]2050Pop'!$A$7:$A$143,'[1]2050Pop'!$C$7:$C$143)</f>
        <v>22447</v>
      </c>
      <c r="D602" s="126" t="s">
        <v>497</v>
      </c>
      <c r="E602" s="128">
        <v>32.414999999999999</v>
      </c>
      <c r="F602" s="129">
        <f t="shared" si="29"/>
        <v>0.72761950500000006</v>
      </c>
      <c r="G602" t="str">
        <f>_xlfn.XLOOKUP(D602,'[1]2050 BAU Mapping to T &amp; C'!$A$3:$A$52,'[1]2050 BAU Mapping to T &amp; C'!$B$3:$B$52)</f>
        <v>Tropical Fruits</v>
      </c>
      <c r="H602" s="129">
        <f>_xlfn.XLOOKUP(G602,'[1]T&amp;C emissions for 2050 analysis'!$B$3:$B$23,'[1]T&amp;C emissions for 2050 analysis'!$C$3:$C$23)</f>
        <v>0.51333333333333331</v>
      </c>
      <c r="I602" s="27">
        <f t="shared" si="27"/>
        <v>0.37351134590000001</v>
      </c>
      <c r="J602" s="129">
        <f t="shared" si="28"/>
        <v>16.639699999999998</v>
      </c>
    </row>
    <row r="603" spans="1:10" hidden="1" x14ac:dyDescent="0.35">
      <c r="A603" s="126" t="s">
        <v>420</v>
      </c>
      <c r="B603" t="str">
        <f>_xlfn.XLOOKUP(A603,'[1]2050Pop'!$A$7:$A$143,'[1]2050Pop'!$D$7:$D$143)</f>
        <v>APAC</v>
      </c>
      <c r="C603" s="127">
        <f>1000*_xlfn.XLOOKUP(A603,'[1]2050Pop'!$A$7:$A$143,'[1]2050Pop'!$C$7:$C$143)</f>
        <v>8248</v>
      </c>
      <c r="D603" s="126" t="s">
        <v>497</v>
      </c>
      <c r="E603" s="130">
        <v>29.88</v>
      </c>
      <c r="F603" s="129">
        <f t="shared" si="29"/>
        <v>0.24645023999999999</v>
      </c>
      <c r="G603" t="str">
        <f>_xlfn.XLOOKUP(D603,'[1]2050 BAU Mapping to T &amp; C'!$A$3:$A$52,'[1]2050 BAU Mapping to T &amp; C'!$B$3:$B$52)</f>
        <v>Tropical Fruits</v>
      </c>
      <c r="H603" s="129">
        <f>_xlfn.XLOOKUP(G603,'[1]T&amp;C emissions for 2050 analysis'!$B$3:$B$23,'[1]T&amp;C emissions for 2050 analysis'!$C$3:$C$23)</f>
        <v>0.51333333333333331</v>
      </c>
      <c r="I603" s="27">
        <f t="shared" si="27"/>
        <v>0.12651112319999999</v>
      </c>
      <c r="J603" s="129">
        <f t="shared" si="28"/>
        <v>15.338399999999998</v>
      </c>
    </row>
    <row r="604" spans="1:10" hidden="1" x14ac:dyDescent="0.35">
      <c r="A604" s="126" t="s">
        <v>421</v>
      </c>
      <c r="B604" t="str">
        <f>_xlfn.XLOOKUP(A604,'[1]2050Pop'!$A$7:$A$143,'[1]2050Pop'!$D$7:$D$143)</f>
        <v>APAC</v>
      </c>
      <c r="C604" s="127">
        <f>1000*_xlfn.XLOOKUP(A604,'[1]2050Pop'!$A$7:$A$143,'[1]2050Pop'!$C$7:$C$143)</f>
        <v>10172</v>
      </c>
      <c r="D604" s="126" t="s">
        <v>497</v>
      </c>
      <c r="E604" s="128">
        <v>0.91900000000000004</v>
      </c>
      <c r="F604" s="129">
        <f t="shared" si="29"/>
        <v>9.348068000000001E-3</v>
      </c>
      <c r="G604" t="str">
        <f>_xlfn.XLOOKUP(D604,'[1]2050 BAU Mapping to T &amp; C'!$A$3:$A$52,'[1]2050 BAU Mapping to T &amp; C'!$B$3:$B$52)</f>
        <v>Tropical Fruits</v>
      </c>
      <c r="H604" s="129">
        <f>_xlfn.XLOOKUP(G604,'[1]T&amp;C emissions for 2050 analysis'!$B$3:$B$23,'[1]T&amp;C emissions for 2050 analysis'!$C$3:$C$23)</f>
        <v>0.51333333333333331</v>
      </c>
      <c r="I604" s="27">
        <f t="shared" si="27"/>
        <v>4.7986749066666673E-3</v>
      </c>
      <c r="J604" s="129">
        <f t="shared" si="28"/>
        <v>0.47175333333333336</v>
      </c>
    </row>
    <row r="605" spans="1:10" hidden="1" x14ac:dyDescent="0.35">
      <c r="A605" s="126" t="s">
        <v>422</v>
      </c>
      <c r="B605" t="str">
        <f>_xlfn.XLOOKUP(A605,'[1]2050Pop'!$A$7:$A$143,'[1]2050Pop'!$D$7:$D$143)</f>
        <v>Euro/AU/NZ</v>
      </c>
      <c r="C605" s="127">
        <f>1000*_xlfn.XLOOKUP(A605,'[1]2050Pop'!$A$7:$A$143,'[1]2050Pop'!$C$7:$C$143)</f>
        <v>1593</v>
      </c>
      <c r="D605" s="126" t="s">
        <v>497</v>
      </c>
      <c r="E605" s="128">
        <v>39.923000000000002</v>
      </c>
      <c r="F605" s="129">
        <f t="shared" si="29"/>
        <v>6.3597339000000003E-2</v>
      </c>
      <c r="G605" t="str">
        <f>_xlfn.XLOOKUP(D605,'[1]2050 BAU Mapping to T &amp; C'!$A$3:$A$52,'[1]2050 BAU Mapping to T &amp; C'!$B$3:$B$52)</f>
        <v>Tropical Fruits</v>
      </c>
      <c r="H605" s="129">
        <f>_xlfn.XLOOKUP(G605,'[1]T&amp;C emissions for 2050 analysis'!$B$3:$B$23,'[1]T&amp;C emissions for 2050 analysis'!$C$3:$C$23)</f>
        <v>0.51333333333333331</v>
      </c>
      <c r="I605" s="27">
        <f t="shared" si="27"/>
        <v>3.2646634020000002E-2</v>
      </c>
      <c r="J605" s="129">
        <f t="shared" si="28"/>
        <v>20.493806666666668</v>
      </c>
    </row>
    <row r="606" spans="1:10" hidden="1" x14ac:dyDescent="0.35">
      <c r="A606" s="126" t="s">
        <v>423</v>
      </c>
      <c r="B606" t="str">
        <f>_xlfn.XLOOKUP(A606,'[1]2050Pop'!$A$7:$A$143,'[1]2050Pop'!$D$7:$D$143)</f>
        <v>MENA</v>
      </c>
      <c r="C606" s="127">
        <f>1000*_xlfn.XLOOKUP(A606,'[1]2050Pop'!$A$7:$A$143,'[1]2050Pop'!$C$7:$C$143)</f>
        <v>5610</v>
      </c>
      <c r="D606" s="126" t="s">
        <v>497</v>
      </c>
      <c r="E606" s="128">
        <v>16.125</v>
      </c>
      <c r="F606" s="129">
        <f t="shared" si="29"/>
        <v>9.0461250000000007E-2</v>
      </c>
      <c r="G606" t="str">
        <f>_xlfn.XLOOKUP(D606,'[1]2050 BAU Mapping to T &amp; C'!$A$3:$A$52,'[1]2050 BAU Mapping to T &amp; C'!$B$3:$B$52)</f>
        <v>Tropical Fruits</v>
      </c>
      <c r="H606" s="129">
        <f>_xlfn.XLOOKUP(G606,'[1]T&amp;C emissions for 2050 analysis'!$B$3:$B$23,'[1]T&amp;C emissions for 2050 analysis'!$C$3:$C$23)</f>
        <v>0.51333333333333331</v>
      </c>
      <c r="I606" s="27">
        <f t="shared" si="27"/>
        <v>4.6436775E-2</v>
      </c>
      <c r="J606" s="129">
        <f t="shared" si="28"/>
        <v>8.2774999999999999</v>
      </c>
    </row>
    <row r="607" spans="1:10" hidden="1" x14ac:dyDescent="0.35">
      <c r="A607" s="126" t="s">
        <v>424</v>
      </c>
      <c r="B607" t="str">
        <f>_xlfn.XLOOKUP(A607,'[1]2050Pop'!$A$7:$A$143,'[1]2050Pop'!$D$7:$D$143)</f>
        <v>SSA</v>
      </c>
      <c r="C607" s="127">
        <f>1000*_xlfn.XLOOKUP(A607,'[1]2050Pop'!$A$7:$A$143,'[1]2050Pop'!$C$7:$C$143)</f>
        <v>2987</v>
      </c>
      <c r="D607" s="126" t="s">
        <v>497</v>
      </c>
      <c r="E607" s="128">
        <v>1.758</v>
      </c>
      <c r="F607" s="129">
        <f t="shared" si="29"/>
        <v>5.2511459999999999E-3</v>
      </c>
      <c r="G607" t="str">
        <f>_xlfn.XLOOKUP(D607,'[1]2050 BAU Mapping to T &amp; C'!$A$3:$A$52,'[1]2050 BAU Mapping to T &amp; C'!$B$3:$B$52)</f>
        <v>Tropical Fruits</v>
      </c>
      <c r="H607" s="129">
        <f>_xlfn.XLOOKUP(G607,'[1]T&amp;C emissions for 2050 analysis'!$B$3:$B$23,'[1]T&amp;C emissions for 2050 analysis'!$C$3:$C$23)</f>
        <v>0.51333333333333331</v>
      </c>
      <c r="I607" s="27">
        <f t="shared" si="27"/>
        <v>2.6955882799999998E-3</v>
      </c>
      <c r="J607" s="129">
        <f t="shared" si="28"/>
        <v>0.90243999999999991</v>
      </c>
    </row>
    <row r="608" spans="1:10" hidden="1" x14ac:dyDescent="0.35">
      <c r="A608" s="126" t="s">
        <v>425</v>
      </c>
      <c r="B608" t="str">
        <f>_xlfn.XLOOKUP(A608,'[1]2050Pop'!$A$7:$A$143,'[1]2050Pop'!$D$7:$D$143)</f>
        <v>SSA</v>
      </c>
      <c r="C608" s="127">
        <f>1000*_xlfn.XLOOKUP(A608,'[1]2050Pop'!$A$7:$A$143,'[1]2050Pop'!$C$7:$C$143)</f>
        <v>9436</v>
      </c>
      <c r="D608" s="126" t="s">
        <v>497</v>
      </c>
      <c r="E608" s="128">
        <v>3.968</v>
      </c>
      <c r="F608" s="129">
        <f t="shared" si="29"/>
        <v>3.7442048000000006E-2</v>
      </c>
      <c r="G608" t="str">
        <f>_xlfn.XLOOKUP(D608,'[1]2050 BAU Mapping to T &amp; C'!$A$3:$A$52,'[1]2050 BAU Mapping to T &amp; C'!$B$3:$B$52)</f>
        <v>Tropical Fruits</v>
      </c>
      <c r="H608" s="129">
        <f>_xlfn.XLOOKUP(G608,'[1]T&amp;C emissions for 2050 analysis'!$B$3:$B$23,'[1]T&amp;C emissions for 2050 analysis'!$C$3:$C$23)</f>
        <v>0.51333333333333331</v>
      </c>
      <c r="I608" s="27">
        <f t="shared" si="27"/>
        <v>1.9220251306666668E-2</v>
      </c>
      <c r="J608" s="129">
        <f t="shared" si="28"/>
        <v>2.0369066666666664</v>
      </c>
    </row>
    <row r="609" spans="1:10" hidden="1" x14ac:dyDescent="0.35">
      <c r="A609" s="126" t="s">
        <v>426</v>
      </c>
      <c r="B609" t="str">
        <f>_xlfn.XLOOKUP(A609,'[1]2050Pop'!$A$7:$A$143,'[1]2050Pop'!$D$7:$D$143)</f>
        <v>Euro/AU/NZ</v>
      </c>
      <c r="C609" s="127">
        <f>1000*_xlfn.XLOOKUP(A609,'[1]2050Pop'!$A$7:$A$143,'[1]2050Pop'!$C$7:$C$143)</f>
        <v>2375</v>
      </c>
      <c r="D609" s="126" t="s">
        <v>497</v>
      </c>
      <c r="E609" s="128">
        <v>2.0449999999999999</v>
      </c>
      <c r="F609" s="129">
        <f t="shared" si="29"/>
        <v>4.8568750000000001E-3</v>
      </c>
      <c r="G609" t="str">
        <f>_xlfn.XLOOKUP(D609,'[1]2050 BAU Mapping to T &amp; C'!$A$3:$A$52,'[1]2050 BAU Mapping to T &amp; C'!$B$3:$B$52)</f>
        <v>Tropical Fruits</v>
      </c>
      <c r="H609" s="129">
        <f>_xlfn.XLOOKUP(G609,'[1]T&amp;C emissions for 2050 analysis'!$B$3:$B$23,'[1]T&amp;C emissions for 2050 analysis'!$C$3:$C$23)</f>
        <v>0.51333333333333331</v>
      </c>
      <c r="I609" s="27">
        <f t="shared" si="27"/>
        <v>2.4931958333333335E-3</v>
      </c>
      <c r="J609" s="129">
        <f t="shared" si="28"/>
        <v>1.0497666666666665</v>
      </c>
    </row>
    <row r="610" spans="1:10" hidden="1" x14ac:dyDescent="0.35">
      <c r="A610" s="126" t="s">
        <v>427</v>
      </c>
      <c r="B610" t="str">
        <f>_xlfn.XLOOKUP(A610,'[1]2050Pop'!$A$7:$A$143,'[1]2050Pop'!$D$7:$D$143)</f>
        <v>SSA</v>
      </c>
      <c r="C610" s="127">
        <f>1000*_xlfn.XLOOKUP(A610,'[1]2050Pop'!$A$7:$A$143,'[1]2050Pop'!$C$7:$C$143)</f>
        <v>55294</v>
      </c>
      <c r="D610" s="126" t="s">
        <v>497</v>
      </c>
      <c r="E610" s="128">
        <v>1.3029999999999999</v>
      </c>
      <c r="F610" s="129">
        <f t="shared" si="29"/>
        <v>7.2048081999999999E-2</v>
      </c>
      <c r="G610" t="str">
        <f>_xlfn.XLOOKUP(D610,'[1]2050 BAU Mapping to T &amp; C'!$A$3:$A$52,'[1]2050 BAU Mapping to T &amp; C'!$B$3:$B$52)</f>
        <v>Tropical Fruits</v>
      </c>
      <c r="H610" s="129">
        <f>_xlfn.XLOOKUP(G610,'[1]T&amp;C emissions for 2050 analysis'!$B$3:$B$23,'[1]T&amp;C emissions for 2050 analysis'!$C$3:$C$23)</f>
        <v>0.51333333333333331</v>
      </c>
      <c r="I610" s="27">
        <f t="shared" si="27"/>
        <v>3.6984682093333332E-2</v>
      </c>
      <c r="J610" s="129">
        <f t="shared" si="28"/>
        <v>0.66887333333333332</v>
      </c>
    </row>
    <row r="611" spans="1:10" hidden="1" x14ac:dyDescent="0.35">
      <c r="A611" s="126" t="s">
        <v>429</v>
      </c>
      <c r="B611" t="str">
        <f>_xlfn.XLOOKUP(A611,'[1]2050Pop'!$A$7:$A$143,'[1]2050Pop'!$D$7:$D$143)</f>
        <v>APAC</v>
      </c>
      <c r="C611" s="127">
        <f>1000*_xlfn.XLOOKUP(A611,'[1]2050Pop'!$A$7:$A$143,'[1]2050Pop'!$C$7:$C$143)</f>
        <v>40725</v>
      </c>
      <c r="D611" s="126" t="s">
        <v>497</v>
      </c>
      <c r="E611" s="128">
        <v>1.8779999999999999</v>
      </c>
      <c r="F611" s="129">
        <f t="shared" si="29"/>
        <v>7.6481549999999981E-2</v>
      </c>
      <c r="G611" t="str">
        <f>_xlfn.XLOOKUP(D611,'[1]2050 BAU Mapping to T &amp; C'!$A$3:$A$52,'[1]2050 BAU Mapping to T &amp; C'!$B$3:$B$52)</f>
        <v>Tropical Fruits</v>
      </c>
      <c r="H611" s="129">
        <f>_xlfn.XLOOKUP(G611,'[1]T&amp;C emissions for 2050 analysis'!$B$3:$B$23,'[1]T&amp;C emissions for 2050 analysis'!$C$3:$C$23)</f>
        <v>0.51333333333333331</v>
      </c>
      <c r="I611" s="27">
        <f t="shared" si="27"/>
        <v>3.9260528999999988E-2</v>
      </c>
      <c r="J611" s="129">
        <f t="shared" si="28"/>
        <v>0.9640399999999999</v>
      </c>
    </row>
    <row r="612" spans="1:10" hidden="1" x14ac:dyDescent="0.35">
      <c r="A612" s="126" t="s">
        <v>430</v>
      </c>
      <c r="B612" t="str">
        <f>_xlfn.XLOOKUP(A612,'[1]2050Pop'!$A$7:$A$143,'[1]2050Pop'!$D$7:$D$143)</f>
        <v>SSA</v>
      </c>
      <c r="C612" s="127">
        <f>1000*_xlfn.XLOOKUP(A612,'[1]2050Pop'!$A$7:$A$143,'[1]2050Pop'!$C$7:$C$143)</f>
        <v>45404</v>
      </c>
      <c r="D612" s="126" t="s">
        <v>497</v>
      </c>
      <c r="E612" s="128">
        <v>0.85399999999999998</v>
      </c>
      <c r="F612" s="129">
        <f t="shared" si="29"/>
        <v>3.8775015999999995E-2</v>
      </c>
      <c r="G612" t="str">
        <f>_xlfn.XLOOKUP(D612,'[1]2050 BAU Mapping to T &amp; C'!$A$3:$A$52,'[1]2050 BAU Mapping to T &amp; C'!$B$3:$B$52)</f>
        <v>Tropical Fruits</v>
      </c>
      <c r="H612" s="129">
        <f>_xlfn.XLOOKUP(G612,'[1]T&amp;C emissions for 2050 analysis'!$B$3:$B$23,'[1]T&amp;C emissions for 2050 analysis'!$C$3:$C$23)</f>
        <v>0.51333333333333331</v>
      </c>
      <c r="I612" s="27">
        <f t="shared" si="27"/>
        <v>1.9904508213333331E-2</v>
      </c>
      <c r="J612" s="129">
        <f t="shared" si="28"/>
        <v>0.43838666666666665</v>
      </c>
    </row>
    <row r="613" spans="1:10" hidden="1" x14ac:dyDescent="0.35">
      <c r="A613" s="126" t="s">
        <v>431</v>
      </c>
      <c r="B613" t="str">
        <f>_xlfn.XLOOKUP(A613,'[1]2050Pop'!$A$7:$A$143,'[1]2050Pop'!$D$7:$D$143)</f>
        <v>SSA</v>
      </c>
      <c r="C613" s="127">
        <f>1000*_xlfn.XLOOKUP(A613,'[1]2050Pop'!$A$7:$A$143,'[1]2050Pop'!$C$7:$C$143)</f>
        <v>8048.9999999999991</v>
      </c>
      <c r="D613" s="126" t="s">
        <v>497</v>
      </c>
      <c r="E613" s="128">
        <v>2.2810000000000001</v>
      </c>
      <c r="F613" s="129">
        <f t="shared" si="29"/>
        <v>1.8359769000000001E-2</v>
      </c>
      <c r="G613" t="str">
        <f>_xlfn.XLOOKUP(D613,'[1]2050 BAU Mapping to T &amp; C'!$A$3:$A$52,'[1]2050 BAU Mapping to T &amp; C'!$B$3:$B$52)</f>
        <v>Tropical Fruits</v>
      </c>
      <c r="H613" s="129">
        <f>_xlfn.XLOOKUP(G613,'[1]T&amp;C emissions for 2050 analysis'!$B$3:$B$23,'[1]T&amp;C emissions for 2050 analysis'!$C$3:$C$23)</f>
        <v>0.51333333333333331</v>
      </c>
      <c r="I613" s="27">
        <f t="shared" si="27"/>
        <v>9.4246814200000008E-3</v>
      </c>
      <c r="J613" s="129">
        <f t="shared" si="28"/>
        <v>1.1709133333333333</v>
      </c>
    </row>
    <row r="614" spans="1:10" hidden="1" x14ac:dyDescent="0.35">
      <c r="A614" s="126" t="s">
        <v>432</v>
      </c>
      <c r="B614" t="str">
        <f>_xlfn.XLOOKUP(A614,'[1]2050Pop'!$A$7:$A$143,'[1]2050Pop'!$D$7:$D$143)</f>
        <v>SSA</v>
      </c>
      <c r="C614" s="127">
        <f>1000*_xlfn.XLOOKUP(A614,'[1]2050Pop'!$A$7:$A$143,'[1]2050Pop'!$C$7:$C$143)</f>
        <v>1249</v>
      </c>
      <c r="D614" s="126" t="s">
        <v>497</v>
      </c>
      <c r="E614" s="128">
        <v>14.872999999999999</v>
      </c>
      <c r="F614" s="129">
        <f t="shared" si="29"/>
        <v>1.8576377000000002E-2</v>
      </c>
      <c r="G614" t="str">
        <f>_xlfn.XLOOKUP(D614,'[1]2050 BAU Mapping to T &amp; C'!$A$3:$A$52,'[1]2050 BAU Mapping to T &amp; C'!$B$3:$B$52)</f>
        <v>Tropical Fruits</v>
      </c>
      <c r="H614" s="129">
        <f>_xlfn.XLOOKUP(G614,'[1]T&amp;C emissions for 2050 analysis'!$B$3:$B$23,'[1]T&amp;C emissions for 2050 analysis'!$C$3:$C$23)</f>
        <v>0.51333333333333331</v>
      </c>
      <c r="I614" s="27">
        <f t="shared" si="27"/>
        <v>9.5358735266666671E-3</v>
      </c>
      <c r="J614" s="129">
        <f t="shared" si="28"/>
        <v>7.6348066666666661</v>
      </c>
    </row>
    <row r="615" spans="1:10" hidden="1" x14ac:dyDescent="0.35">
      <c r="A615" s="126" t="s">
        <v>433</v>
      </c>
      <c r="B615" t="str">
        <f>_xlfn.XLOOKUP(A615,'[1]2050Pop'!$A$7:$A$143,'[1]2050Pop'!$D$7:$D$143)</f>
        <v>LatAm &amp; RSA</v>
      </c>
      <c r="C615" s="127">
        <f>1000*_xlfn.XLOOKUP(A615,'[1]2050Pop'!$A$7:$A$143,'[1]2050Pop'!$C$7:$C$143)</f>
        <v>163754</v>
      </c>
      <c r="D615" s="126" t="s">
        <v>497</v>
      </c>
      <c r="E615" s="128">
        <v>0.79300000000000004</v>
      </c>
      <c r="F615" s="129">
        <f t="shared" si="29"/>
        <v>0.12985692200000001</v>
      </c>
      <c r="G615" t="str">
        <f>_xlfn.XLOOKUP(D615,'[1]2050 BAU Mapping to T &amp; C'!$A$3:$A$52,'[1]2050 BAU Mapping to T &amp; C'!$B$3:$B$52)</f>
        <v>Tropical Fruits</v>
      </c>
      <c r="H615" s="129">
        <f>_xlfn.XLOOKUP(G615,'[1]T&amp;C emissions for 2050 analysis'!$B$3:$B$23,'[1]T&amp;C emissions for 2050 analysis'!$C$3:$C$23)</f>
        <v>0.51333333333333331</v>
      </c>
      <c r="I615" s="27">
        <f t="shared" si="27"/>
        <v>6.6659886626666665E-2</v>
      </c>
      <c r="J615" s="129">
        <f t="shared" si="28"/>
        <v>0.40707333333333334</v>
      </c>
    </row>
    <row r="616" spans="1:10" hidden="1" x14ac:dyDescent="0.35">
      <c r="A616" s="126" t="s">
        <v>434</v>
      </c>
      <c r="B616" t="str">
        <f>_xlfn.XLOOKUP(A616,'[1]2050Pop'!$A$7:$A$143,'[1]2050Pop'!$D$7:$D$143)</f>
        <v>APAC</v>
      </c>
      <c r="C616" s="127">
        <f>1000*_xlfn.XLOOKUP(A616,'[1]2050Pop'!$A$7:$A$143,'[1]2050Pop'!$C$7:$C$143)</f>
        <v>4027.9999999999995</v>
      </c>
      <c r="D616" s="126" t="s">
        <v>497</v>
      </c>
      <c r="E616" s="128">
        <v>27.550999999999998</v>
      </c>
      <c r="F616" s="129">
        <f t="shared" si="29"/>
        <v>0.11097542799999999</v>
      </c>
      <c r="G616" t="str">
        <f>_xlfn.XLOOKUP(D616,'[1]2050 BAU Mapping to T &amp; C'!$A$3:$A$52,'[1]2050 BAU Mapping to T &amp; C'!$B$3:$B$52)</f>
        <v>Tropical Fruits</v>
      </c>
      <c r="H616" s="129">
        <f>_xlfn.XLOOKUP(G616,'[1]T&amp;C emissions for 2050 analysis'!$B$3:$B$23,'[1]T&amp;C emissions for 2050 analysis'!$C$3:$C$23)</f>
        <v>0.51333333333333331</v>
      </c>
      <c r="I616" s="27">
        <f t="shared" si="27"/>
        <v>5.6967386373333324E-2</v>
      </c>
      <c r="J616" s="129">
        <f t="shared" si="28"/>
        <v>14.142846666666665</v>
      </c>
    </row>
    <row r="617" spans="1:10" hidden="1" x14ac:dyDescent="0.35">
      <c r="A617" s="126" t="s">
        <v>435</v>
      </c>
      <c r="B617" t="str">
        <f>_xlfn.XLOOKUP(A617,'[1]2050Pop'!$A$7:$A$143,'[1]2050Pop'!$D$7:$D$143)</f>
        <v>MENA</v>
      </c>
      <c r="C617" s="127">
        <f>1000*_xlfn.XLOOKUP(A617,'[1]2050Pop'!$A$7:$A$143,'[1]2050Pop'!$C$7:$C$143)</f>
        <v>43696</v>
      </c>
      <c r="D617" s="126" t="s">
        <v>497</v>
      </c>
      <c r="E617" s="130">
        <v>2.5499999999999998</v>
      </c>
      <c r="F617" s="129">
        <f t="shared" si="29"/>
        <v>0.11142479999999999</v>
      </c>
      <c r="G617" t="str">
        <f>_xlfn.XLOOKUP(D617,'[1]2050 BAU Mapping to T &amp; C'!$A$3:$A$52,'[1]2050 BAU Mapping to T &amp; C'!$B$3:$B$52)</f>
        <v>Tropical Fruits</v>
      </c>
      <c r="H617" s="129">
        <f>_xlfn.XLOOKUP(G617,'[1]T&amp;C emissions for 2050 analysis'!$B$3:$B$23,'[1]T&amp;C emissions for 2050 analysis'!$C$3:$C$23)</f>
        <v>0.51333333333333331</v>
      </c>
      <c r="I617" s="27">
        <f t="shared" si="27"/>
        <v>5.7198063999999993E-2</v>
      </c>
      <c r="J617" s="129">
        <f t="shared" si="28"/>
        <v>1.3089999999999999</v>
      </c>
    </row>
    <row r="618" spans="1:10" hidden="1" x14ac:dyDescent="0.35">
      <c r="A618" s="126" t="s">
        <v>436</v>
      </c>
      <c r="B618" t="str">
        <f>_xlfn.XLOOKUP(A618,'[1]2050Pop'!$A$7:$A$143,'[1]2050Pop'!$D$7:$D$143)</f>
        <v>SSA</v>
      </c>
      <c r="C618" s="127">
        <f>1000*_xlfn.XLOOKUP(A618,'[1]2050Pop'!$A$7:$A$143,'[1]2050Pop'!$C$7:$C$143)</f>
        <v>65544</v>
      </c>
      <c r="D618" s="126" t="s">
        <v>497</v>
      </c>
      <c r="E618" s="128">
        <v>0.91600000000000004</v>
      </c>
      <c r="F618" s="129">
        <f t="shared" si="29"/>
        <v>6.0038304000000001E-2</v>
      </c>
      <c r="G618" t="str">
        <f>_xlfn.XLOOKUP(D618,'[1]2050 BAU Mapping to T &amp; C'!$A$3:$A$52,'[1]2050 BAU Mapping to T &amp; C'!$B$3:$B$52)</f>
        <v>Tropical Fruits</v>
      </c>
      <c r="H618" s="129">
        <f>_xlfn.XLOOKUP(G618,'[1]T&amp;C emissions for 2050 analysis'!$B$3:$B$23,'[1]T&amp;C emissions for 2050 analysis'!$C$3:$C$23)</f>
        <v>0.51333333333333331</v>
      </c>
      <c r="I618" s="27">
        <f t="shared" si="27"/>
        <v>3.0819662719999998E-2</v>
      </c>
      <c r="J618" s="129">
        <f t="shared" si="28"/>
        <v>0.47021333333333332</v>
      </c>
    </row>
    <row r="619" spans="1:10" hidden="1" x14ac:dyDescent="0.35">
      <c r="A619" s="126" t="s">
        <v>437</v>
      </c>
      <c r="B619" t="str">
        <f>_xlfn.XLOOKUP(A619,'[1]2050Pop'!$A$7:$A$143,'[1]2050Pop'!$D$7:$D$143)</f>
        <v>SSA</v>
      </c>
      <c r="C619" s="127">
        <f>1000*_xlfn.XLOOKUP(A619,'[1]2050Pop'!$A$7:$A$143,'[1]2050Pop'!$C$7:$C$143)</f>
        <v>4322</v>
      </c>
      <c r="D619" s="126" t="s">
        <v>497</v>
      </c>
      <c r="E619" s="128">
        <v>2.7839999999999998</v>
      </c>
      <c r="F619" s="129">
        <f t="shared" si="29"/>
        <v>1.2032447999999998E-2</v>
      </c>
      <c r="G619" t="str">
        <f>_xlfn.XLOOKUP(D619,'[1]2050 BAU Mapping to T &amp; C'!$A$3:$A$52,'[1]2050 BAU Mapping to T &amp; C'!$B$3:$B$52)</f>
        <v>Tropical Fruits</v>
      </c>
      <c r="H619" s="129">
        <f>_xlfn.XLOOKUP(G619,'[1]T&amp;C emissions for 2050 analysis'!$B$3:$B$23,'[1]T&amp;C emissions for 2050 analysis'!$C$3:$C$23)</f>
        <v>0.51333333333333331</v>
      </c>
      <c r="I619" s="27">
        <f t="shared" si="27"/>
        <v>6.1766566399999983E-3</v>
      </c>
      <c r="J619" s="129">
        <f t="shared" si="28"/>
        <v>1.4291199999999997</v>
      </c>
    </row>
    <row r="620" spans="1:10" hidden="1" x14ac:dyDescent="0.35">
      <c r="A620" s="126" t="s">
        <v>438</v>
      </c>
      <c r="B620" t="str">
        <f>_xlfn.XLOOKUP(A620,'[1]2050Pop'!$A$7:$A$143,'[1]2050Pop'!$D$7:$D$143)</f>
        <v>India/South Asia</v>
      </c>
      <c r="C620" s="127">
        <f>1000*_xlfn.XLOOKUP(A620,'[1]2050Pop'!$A$7:$A$143,'[1]2050Pop'!$C$7:$C$143)</f>
        <v>36159</v>
      </c>
      <c r="D620" s="126" t="s">
        <v>497</v>
      </c>
      <c r="E620" s="128">
        <v>0.75600000000000001</v>
      </c>
      <c r="F620" s="129">
        <f t="shared" si="29"/>
        <v>2.7336204000000003E-2</v>
      </c>
      <c r="G620" t="str">
        <f>_xlfn.XLOOKUP(D620,'[1]2050 BAU Mapping to T &amp; C'!$A$3:$A$52,'[1]2050 BAU Mapping to T &amp; C'!$B$3:$B$52)</f>
        <v>Tropical Fruits</v>
      </c>
      <c r="H620" s="129">
        <f>_xlfn.XLOOKUP(G620,'[1]T&amp;C emissions for 2050 analysis'!$B$3:$B$23,'[1]T&amp;C emissions for 2050 analysis'!$C$3:$C$23)</f>
        <v>0.51333333333333331</v>
      </c>
      <c r="I620" s="27">
        <f t="shared" si="27"/>
        <v>1.4032584720000001E-2</v>
      </c>
      <c r="J620" s="129">
        <f t="shared" si="28"/>
        <v>0.38807999999999998</v>
      </c>
    </row>
    <row r="621" spans="1:10" hidden="1" x14ac:dyDescent="0.35">
      <c r="A621" s="126" t="s">
        <v>439</v>
      </c>
      <c r="B621" t="str">
        <f>_xlfn.XLOOKUP(A621,'[1]2050Pop'!$A$7:$A$143,'[1]2050Pop'!$D$7:$D$143)</f>
        <v>Euro/AU/NZ</v>
      </c>
      <c r="C621" s="127">
        <f>1000*_xlfn.XLOOKUP(A621,'[1]2050Pop'!$A$7:$A$143,'[1]2050Pop'!$C$7:$C$143)</f>
        <v>17602</v>
      </c>
      <c r="D621" s="126" t="s">
        <v>497</v>
      </c>
      <c r="E621" s="128">
        <v>1.2869999999999999</v>
      </c>
      <c r="F621" s="129">
        <f t="shared" si="29"/>
        <v>2.2653773999999998E-2</v>
      </c>
      <c r="G621" t="str">
        <f>_xlfn.XLOOKUP(D621,'[1]2050 BAU Mapping to T &amp; C'!$A$3:$A$52,'[1]2050 BAU Mapping to T &amp; C'!$B$3:$B$52)</f>
        <v>Tropical Fruits</v>
      </c>
      <c r="H621" s="129">
        <f>_xlfn.XLOOKUP(G621,'[1]T&amp;C emissions for 2050 analysis'!$B$3:$B$23,'[1]T&amp;C emissions for 2050 analysis'!$C$3:$C$23)</f>
        <v>0.51333333333333331</v>
      </c>
      <c r="I621" s="27">
        <f t="shared" si="27"/>
        <v>1.1628937319999998E-2</v>
      </c>
      <c r="J621" s="129">
        <f t="shared" si="28"/>
        <v>0.66065999999999991</v>
      </c>
    </row>
    <row r="622" spans="1:10" hidden="1" x14ac:dyDescent="0.35">
      <c r="A622" s="126" t="s">
        <v>440</v>
      </c>
      <c r="B622" t="str">
        <f>_xlfn.XLOOKUP(A622,'[1]2050Pop'!$A$7:$A$143,'[1]2050Pop'!$D$7:$D$143)</f>
        <v>Euro/AU/NZ</v>
      </c>
      <c r="C622" s="127">
        <f>1000*_xlfn.XLOOKUP(A622,'[1]2050Pop'!$A$7:$A$143,'[1]2050Pop'!$C$7:$C$143)</f>
        <v>5607</v>
      </c>
      <c r="D622" s="126" t="s">
        <v>497</v>
      </c>
      <c r="E622" s="128">
        <v>2.0339999999999998</v>
      </c>
      <c r="F622" s="129">
        <f t="shared" si="29"/>
        <v>1.1404637999999998E-2</v>
      </c>
      <c r="G622" t="str">
        <f>_xlfn.XLOOKUP(D622,'[1]2050 BAU Mapping to T &amp; C'!$A$3:$A$52,'[1]2050 BAU Mapping to T &amp; C'!$B$3:$B$52)</f>
        <v>Tropical Fruits</v>
      </c>
      <c r="H622" s="129">
        <f>_xlfn.XLOOKUP(G622,'[1]T&amp;C emissions for 2050 analysis'!$B$3:$B$23,'[1]T&amp;C emissions for 2050 analysis'!$C$3:$C$23)</f>
        <v>0.51333333333333331</v>
      </c>
      <c r="I622" s="27">
        <f t="shared" si="27"/>
        <v>5.8543808399999986E-3</v>
      </c>
      <c r="J622" s="129">
        <f t="shared" si="28"/>
        <v>1.0441199999999999</v>
      </c>
    </row>
    <row r="623" spans="1:10" hidden="1" x14ac:dyDescent="0.35">
      <c r="A623" s="126" t="s">
        <v>441</v>
      </c>
      <c r="B623" t="str">
        <f>_xlfn.XLOOKUP(A623,'[1]2050Pop'!$A$7:$A$143,'[1]2050Pop'!$D$7:$D$143)</f>
        <v>LatAm &amp; RSA</v>
      </c>
      <c r="C623" s="127">
        <f>1000*_xlfn.XLOOKUP(A623,'[1]2050Pop'!$A$7:$A$143,'[1]2050Pop'!$C$7:$C$143)</f>
        <v>7863</v>
      </c>
      <c r="D623" s="126" t="s">
        <v>497</v>
      </c>
      <c r="E623" s="128">
        <v>4.649</v>
      </c>
      <c r="F623" s="129">
        <f t="shared" si="29"/>
        <v>3.6555087E-2</v>
      </c>
      <c r="G623" t="str">
        <f>_xlfn.XLOOKUP(D623,'[1]2050 BAU Mapping to T &amp; C'!$A$3:$A$52,'[1]2050 BAU Mapping to T &amp; C'!$B$3:$B$52)</f>
        <v>Tropical Fruits</v>
      </c>
      <c r="H623" s="129">
        <f>_xlfn.XLOOKUP(G623,'[1]T&amp;C emissions for 2050 analysis'!$B$3:$B$23,'[1]T&amp;C emissions for 2050 analysis'!$C$3:$C$23)</f>
        <v>0.51333333333333331</v>
      </c>
      <c r="I623" s="27">
        <f t="shared" si="27"/>
        <v>1.8764944659999998E-2</v>
      </c>
      <c r="J623" s="129">
        <f t="shared" si="28"/>
        <v>2.3864866666666664</v>
      </c>
    </row>
    <row r="624" spans="1:10" hidden="1" x14ac:dyDescent="0.35">
      <c r="A624" s="126" t="s">
        <v>442</v>
      </c>
      <c r="B624" t="str">
        <f>_xlfn.XLOOKUP(A624,'[1]2050Pop'!$A$7:$A$143,'[1]2050Pop'!$D$7:$D$143)</f>
        <v>Euro/AU/NZ</v>
      </c>
      <c r="C624" s="127">
        <f>1000*_xlfn.XLOOKUP(A624,'[1]2050Pop'!$A$7:$A$143,'[1]2050Pop'!$C$7:$C$143)</f>
        <v>6658</v>
      </c>
      <c r="D624" s="126" t="s">
        <v>497</v>
      </c>
      <c r="E624" s="128">
        <v>41.859000000000002</v>
      </c>
      <c r="F624" s="129">
        <f t="shared" si="29"/>
        <v>0.27869722200000002</v>
      </c>
      <c r="G624" t="str">
        <f>_xlfn.XLOOKUP(D624,'[1]2050 BAU Mapping to T &amp; C'!$A$3:$A$52,'[1]2050 BAU Mapping to T &amp; C'!$B$3:$B$52)</f>
        <v>Tropical Fruits</v>
      </c>
      <c r="H624" s="129">
        <f>_xlfn.XLOOKUP(G624,'[1]T&amp;C emissions for 2050 analysis'!$B$3:$B$23,'[1]T&amp;C emissions for 2050 analysis'!$C$3:$C$23)</f>
        <v>0.51333333333333331</v>
      </c>
      <c r="I624" s="27">
        <f t="shared" si="27"/>
        <v>0.14306457396</v>
      </c>
      <c r="J624" s="129">
        <f t="shared" si="28"/>
        <v>21.48762</v>
      </c>
    </row>
    <row r="625" spans="1:10" hidden="1" x14ac:dyDescent="0.35">
      <c r="A625" s="126" t="s">
        <v>444</v>
      </c>
      <c r="B625" t="str">
        <f>_xlfn.XLOOKUP(A625,'[1]2050Pop'!$A$7:$A$143,'[1]2050Pop'!$D$7:$D$143)</f>
        <v>LatAm &amp; RSA</v>
      </c>
      <c r="C625" s="127">
        <f>1000*_xlfn.XLOOKUP(A625,'[1]2050Pop'!$A$7:$A$143,'[1]2050Pop'!$C$7:$C$143)</f>
        <v>5599</v>
      </c>
      <c r="D625" s="126" t="s">
        <v>497</v>
      </c>
      <c r="E625" s="128">
        <v>12.372</v>
      </c>
      <c r="F625" s="129">
        <f t="shared" si="29"/>
        <v>6.9270827999999993E-2</v>
      </c>
      <c r="G625" t="str">
        <f>_xlfn.XLOOKUP(D625,'[1]2050 BAU Mapping to T &amp; C'!$A$3:$A$52,'[1]2050 BAU Mapping to T &amp; C'!$B$3:$B$52)</f>
        <v>Tropical Fruits</v>
      </c>
      <c r="H625" s="129">
        <f>_xlfn.XLOOKUP(G625,'[1]T&amp;C emissions for 2050 analysis'!$B$3:$B$23,'[1]T&amp;C emissions for 2050 analysis'!$C$3:$C$23)</f>
        <v>0.51333333333333331</v>
      </c>
      <c r="I625" s="27">
        <f t="shared" si="27"/>
        <v>3.5559025039999997E-2</v>
      </c>
      <c r="J625" s="129">
        <f t="shared" si="28"/>
        <v>6.3509599999999997</v>
      </c>
    </row>
    <row r="626" spans="1:10" hidden="1" x14ac:dyDescent="0.35">
      <c r="A626" s="126" t="s">
        <v>445</v>
      </c>
      <c r="B626" t="str">
        <f>_xlfn.XLOOKUP(A626,'[1]2050Pop'!$A$7:$A$143,'[1]2050Pop'!$D$7:$D$143)</f>
        <v>LatAm &amp; RSA</v>
      </c>
      <c r="C626" s="127">
        <f>1000*_xlfn.XLOOKUP(A626,'[1]2050Pop'!$A$7:$A$143,'[1]2050Pop'!$C$7:$C$143)</f>
        <v>8895</v>
      </c>
      <c r="D626" s="126" t="s">
        <v>497</v>
      </c>
      <c r="E626" s="128">
        <v>9.4939999999999998</v>
      </c>
      <c r="F626" s="129">
        <f t="shared" si="29"/>
        <v>8.4449130000000011E-2</v>
      </c>
      <c r="G626" t="str">
        <f>_xlfn.XLOOKUP(D626,'[1]2050 BAU Mapping to T &amp; C'!$A$3:$A$52,'[1]2050 BAU Mapping to T &amp; C'!$B$3:$B$52)</f>
        <v>Tropical Fruits</v>
      </c>
      <c r="H626" s="129">
        <f>_xlfn.XLOOKUP(G626,'[1]T&amp;C emissions for 2050 analysis'!$B$3:$B$23,'[1]T&amp;C emissions for 2050 analysis'!$C$3:$C$23)</f>
        <v>0.51333333333333331</v>
      </c>
      <c r="I626" s="27">
        <f t="shared" si="27"/>
        <v>4.3350553400000005E-2</v>
      </c>
      <c r="J626" s="129">
        <f t="shared" si="28"/>
        <v>4.8735866666666663</v>
      </c>
    </row>
    <row r="627" spans="1:10" hidden="1" x14ac:dyDescent="0.35">
      <c r="A627" s="126" t="s">
        <v>446</v>
      </c>
      <c r="B627" t="str">
        <f>_xlfn.XLOOKUP(A627,'[1]2050Pop'!$A$7:$A$143,'[1]2050Pop'!$D$7:$D$143)</f>
        <v>LatAm &amp; RSA</v>
      </c>
      <c r="C627" s="127">
        <f>1000*_xlfn.XLOOKUP(A627,'[1]2050Pop'!$A$7:$A$143,'[1]2050Pop'!$C$7:$C$143)</f>
        <v>41899</v>
      </c>
      <c r="D627" s="126" t="s">
        <v>497</v>
      </c>
      <c r="E627" s="128">
        <v>4.0750000000000002</v>
      </c>
      <c r="F627" s="129">
        <f t="shared" si="29"/>
        <v>0.17073842500000003</v>
      </c>
      <c r="G627" t="str">
        <f>_xlfn.XLOOKUP(D627,'[1]2050 BAU Mapping to T &amp; C'!$A$3:$A$52,'[1]2050 BAU Mapping to T &amp; C'!$B$3:$B$52)</f>
        <v>Tropical Fruits</v>
      </c>
      <c r="H627" s="129">
        <f>_xlfn.XLOOKUP(G627,'[1]T&amp;C emissions for 2050 analysis'!$B$3:$B$23,'[1]T&amp;C emissions for 2050 analysis'!$C$3:$C$23)</f>
        <v>0.51333333333333331</v>
      </c>
      <c r="I627" s="27">
        <f t="shared" si="27"/>
        <v>8.7645724833333341E-2</v>
      </c>
      <c r="J627" s="129">
        <f t="shared" si="28"/>
        <v>2.0918333333333332</v>
      </c>
    </row>
    <row r="628" spans="1:10" hidden="1" x14ac:dyDescent="0.35">
      <c r="A628" s="126" t="s">
        <v>447</v>
      </c>
      <c r="B628" t="str">
        <f>_xlfn.XLOOKUP(A628,'[1]2050Pop'!$A$7:$A$143,'[1]2050Pop'!$D$7:$D$143)</f>
        <v>APAC</v>
      </c>
      <c r="C628" s="127">
        <f>1000*_xlfn.XLOOKUP(A628,'[1]2050Pop'!$A$7:$A$143,'[1]2050Pop'!$C$7:$C$143)</f>
        <v>148260</v>
      </c>
      <c r="D628" s="126" t="s">
        <v>497</v>
      </c>
      <c r="E628" s="128">
        <v>1.879</v>
      </c>
      <c r="F628" s="129">
        <f t="shared" si="29"/>
        <v>0.27858053999999999</v>
      </c>
      <c r="G628" t="str">
        <f>_xlfn.XLOOKUP(D628,'[1]2050 BAU Mapping to T &amp; C'!$A$3:$A$52,'[1]2050 BAU Mapping to T &amp; C'!$B$3:$B$52)</f>
        <v>Tropical Fruits</v>
      </c>
      <c r="H628" s="129">
        <f>_xlfn.XLOOKUP(G628,'[1]T&amp;C emissions for 2050 analysis'!$B$3:$B$23,'[1]T&amp;C emissions for 2050 analysis'!$C$3:$C$23)</f>
        <v>0.51333333333333331</v>
      </c>
      <c r="I628" s="27">
        <f t="shared" si="27"/>
        <v>0.14300467719999999</v>
      </c>
      <c r="J628" s="129">
        <f t="shared" si="28"/>
        <v>0.96455333333333326</v>
      </c>
    </row>
    <row r="629" spans="1:10" hidden="1" x14ac:dyDescent="0.35">
      <c r="A629" s="126" t="s">
        <v>448</v>
      </c>
      <c r="B629" t="str">
        <f>_xlfn.XLOOKUP(A629,'[1]2050Pop'!$A$7:$A$143,'[1]2050Pop'!$D$7:$D$143)</f>
        <v>Euro/AU/NZ</v>
      </c>
      <c r="C629" s="127">
        <f>1000*_xlfn.XLOOKUP(A629,'[1]2050Pop'!$A$7:$A$143,'[1]2050Pop'!$C$7:$C$143)</f>
        <v>33136</v>
      </c>
      <c r="D629" s="126" t="s">
        <v>497</v>
      </c>
      <c r="E629" s="128">
        <v>1.5109999999999999</v>
      </c>
      <c r="F629" s="129">
        <f t="shared" si="29"/>
        <v>5.0068495999999997E-2</v>
      </c>
      <c r="G629" t="str">
        <f>_xlfn.XLOOKUP(D629,'[1]2050 BAU Mapping to T &amp; C'!$A$3:$A$52,'[1]2050 BAU Mapping to T &amp; C'!$B$3:$B$52)</f>
        <v>Tropical Fruits</v>
      </c>
      <c r="H629" s="129">
        <f>_xlfn.XLOOKUP(G629,'[1]T&amp;C emissions for 2050 analysis'!$B$3:$B$23,'[1]T&amp;C emissions for 2050 analysis'!$C$3:$C$23)</f>
        <v>0.51333333333333331</v>
      </c>
      <c r="I629" s="27">
        <f t="shared" si="27"/>
        <v>2.5701827946666665E-2</v>
      </c>
      <c r="J629" s="129">
        <f t="shared" si="28"/>
        <v>0.7756466666666666</v>
      </c>
    </row>
    <row r="630" spans="1:10" hidden="1" x14ac:dyDescent="0.35">
      <c r="A630" s="126" t="s">
        <v>449</v>
      </c>
      <c r="B630" t="str">
        <f>_xlfn.XLOOKUP(A630,'[1]2050Pop'!$A$7:$A$143,'[1]2050Pop'!$D$7:$D$143)</f>
        <v>Euro/AU/NZ</v>
      </c>
      <c r="C630" s="127">
        <f>1000*_xlfn.XLOOKUP(A630,'[1]2050Pop'!$A$7:$A$143,'[1]2050Pop'!$C$7:$C$143)</f>
        <v>9216</v>
      </c>
      <c r="D630" s="126" t="s">
        <v>497</v>
      </c>
      <c r="E630" s="128">
        <v>31.972000000000001</v>
      </c>
      <c r="F630" s="129">
        <f t="shared" si="29"/>
        <v>0.294653952</v>
      </c>
      <c r="G630" t="str">
        <f>_xlfn.XLOOKUP(D630,'[1]2050 BAU Mapping to T &amp; C'!$A$3:$A$52,'[1]2050 BAU Mapping to T &amp; C'!$B$3:$B$52)</f>
        <v>Tropical Fruits</v>
      </c>
      <c r="H630" s="129">
        <f>_xlfn.XLOOKUP(G630,'[1]T&amp;C emissions for 2050 analysis'!$B$3:$B$23,'[1]T&amp;C emissions for 2050 analysis'!$C$3:$C$23)</f>
        <v>0.51333333333333331</v>
      </c>
      <c r="I630" s="27">
        <f t="shared" si="27"/>
        <v>0.15125569536</v>
      </c>
      <c r="J630" s="129">
        <f t="shared" si="28"/>
        <v>16.412293333333334</v>
      </c>
    </row>
    <row r="631" spans="1:10" hidden="1" x14ac:dyDescent="0.35">
      <c r="A631" s="126" t="s">
        <v>450</v>
      </c>
      <c r="B631" t="str">
        <f>_xlfn.XLOOKUP(A631,'[1]2050Pop'!$A$7:$A$143,'[1]2050Pop'!$D$7:$D$143)</f>
        <v>APAC</v>
      </c>
      <c r="C631" s="127">
        <f>1000*_xlfn.XLOOKUP(A631,'[1]2050Pop'!$A$7:$A$143,'[1]2050Pop'!$C$7:$C$143)</f>
        <v>50593</v>
      </c>
      <c r="D631" s="126" t="s">
        <v>497</v>
      </c>
      <c r="E631" s="128">
        <v>3.4580000000000002</v>
      </c>
      <c r="F631" s="129">
        <f t="shared" si="29"/>
        <v>0.17495059400000001</v>
      </c>
      <c r="G631" t="str">
        <f>_xlfn.XLOOKUP(D631,'[1]2050 BAU Mapping to T &amp; C'!$A$3:$A$52,'[1]2050 BAU Mapping to T &amp; C'!$B$3:$B$52)</f>
        <v>Tropical Fruits</v>
      </c>
      <c r="H631" s="129">
        <f>_xlfn.XLOOKUP(G631,'[1]T&amp;C emissions for 2050 analysis'!$B$3:$B$23,'[1]T&amp;C emissions for 2050 analysis'!$C$3:$C$23)</f>
        <v>0.51333333333333331</v>
      </c>
      <c r="I631" s="27">
        <f t="shared" si="27"/>
        <v>8.9807971586666674E-2</v>
      </c>
      <c r="J631" s="129">
        <f t="shared" si="28"/>
        <v>1.7751066666666666</v>
      </c>
    </row>
    <row r="632" spans="1:10" hidden="1" x14ac:dyDescent="0.35">
      <c r="A632" s="126" t="s">
        <v>451</v>
      </c>
      <c r="B632" t="str">
        <f>_xlfn.XLOOKUP(A632,'[1]2050Pop'!$A$7:$A$143,'[1]2050Pop'!$D$7:$D$143)</f>
        <v>Euro/AU/NZ</v>
      </c>
      <c r="C632" s="127">
        <f>1000*_xlfn.XLOOKUP(A632,'[1]2050Pop'!$A$7:$A$143,'[1]2050Pop'!$C$7:$C$143)</f>
        <v>3243</v>
      </c>
      <c r="D632" s="126" t="s">
        <v>497</v>
      </c>
      <c r="E632" s="128">
        <v>16.434999999999999</v>
      </c>
      <c r="F632" s="129">
        <f t="shared" si="29"/>
        <v>5.3298704999999995E-2</v>
      </c>
      <c r="G632" t="str">
        <f>_xlfn.XLOOKUP(D632,'[1]2050 BAU Mapping to T &amp; C'!$A$3:$A$52,'[1]2050 BAU Mapping to T &amp; C'!$B$3:$B$52)</f>
        <v>Tropical Fruits</v>
      </c>
      <c r="H632" s="129">
        <f>_xlfn.XLOOKUP(G632,'[1]T&amp;C emissions for 2050 analysis'!$B$3:$B$23,'[1]T&amp;C emissions for 2050 analysis'!$C$3:$C$23)</f>
        <v>0.51333333333333331</v>
      </c>
      <c r="I632" s="27">
        <f t="shared" si="27"/>
        <v>2.7360001899999997E-2</v>
      </c>
      <c r="J632" s="129">
        <f t="shared" si="28"/>
        <v>8.436633333333333</v>
      </c>
    </row>
    <row r="633" spans="1:10" hidden="1" x14ac:dyDescent="0.35">
      <c r="A633" s="126" t="s">
        <v>452</v>
      </c>
      <c r="B633" t="str">
        <f>_xlfn.XLOOKUP(A633,'[1]2050Pop'!$A$7:$A$143,'[1]2050Pop'!$D$7:$D$143)</f>
        <v>SSA</v>
      </c>
      <c r="C633" s="127">
        <f>1000*_xlfn.XLOOKUP(A633,'[1]2050Pop'!$A$7:$A$143,'[1]2050Pop'!$C$7:$C$143)</f>
        <v>10732</v>
      </c>
      <c r="D633" s="126" t="s">
        <v>497</v>
      </c>
      <c r="E633" s="128">
        <v>2.274</v>
      </c>
      <c r="F633" s="129">
        <f t="shared" si="29"/>
        <v>2.4404567999999998E-2</v>
      </c>
      <c r="G633" t="str">
        <f>_xlfn.XLOOKUP(D633,'[1]2050 BAU Mapping to T &amp; C'!$A$3:$A$52,'[1]2050 BAU Mapping to T &amp; C'!$B$3:$B$52)</f>
        <v>Tropical Fruits</v>
      </c>
      <c r="H633" s="129">
        <f>_xlfn.XLOOKUP(G633,'[1]T&amp;C emissions for 2050 analysis'!$B$3:$B$23,'[1]T&amp;C emissions for 2050 analysis'!$C$3:$C$23)</f>
        <v>0.51333333333333331</v>
      </c>
      <c r="I633" s="27">
        <f t="shared" si="27"/>
        <v>1.2527678239999998E-2</v>
      </c>
      <c r="J633" s="129">
        <f t="shared" si="28"/>
        <v>1.1673199999999999</v>
      </c>
    </row>
    <row r="634" spans="1:10" hidden="1" x14ac:dyDescent="0.35">
      <c r="A634" s="126" t="s">
        <v>453</v>
      </c>
      <c r="B634" t="str">
        <f>_xlfn.XLOOKUP(A634,'[1]2050Pop'!$A$7:$A$143,'[1]2050Pop'!$D$7:$D$143)</f>
        <v>Euro/AU/NZ</v>
      </c>
      <c r="C634" s="127">
        <f>1000*_xlfn.XLOOKUP(A634,'[1]2050Pop'!$A$7:$A$143,'[1]2050Pop'!$C$7:$C$143)</f>
        <v>15207</v>
      </c>
      <c r="D634" s="126" t="s">
        <v>497</v>
      </c>
      <c r="E634" s="128">
        <v>15.154999999999999</v>
      </c>
      <c r="F634" s="129">
        <f t="shared" si="29"/>
        <v>0.23046208499999998</v>
      </c>
      <c r="G634" t="str">
        <f>_xlfn.XLOOKUP(D634,'[1]2050 BAU Mapping to T &amp; C'!$A$3:$A$52,'[1]2050 BAU Mapping to T &amp; C'!$B$3:$B$52)</f>
        <v>Tropical Fruits</v>
      </c>
      <c r="H634" s="129">
        <f>_xlfn.XLOOKUP(G634,'[1]T&amp;C emissions for 2050 analysis'!$B$3:$B$23,'[1]T&amp;C emissions for 2050 analysis'!$C$3:$C$23)</f>
        <v>0.51333333333333331</v>
      </c>
      <c r="I634" s="27">
        <f t="shared" si="27"/>
        <v>0.11830387029999999</v>
      </c>
      <c r="J634" s="129">
        <f t="shared" si="28"/>
        <v>7.7795666666666659</v>
      </c>
    </row>
    <row r="635" spans="1:10" hidden="1" x14ac:dyDescent="0.35">
      <c r="A635" s="126" t="s">
        <v>454</v>
      </c>
      <c r="B635" t="str">
        <f>_xlfn.XLOOKUP(A635,'[1]2050Pop'!$A$7:$A$143,'[1]2050Pop'!$D$7:$D$143)</f>
        <v>Euro/AU/NZ</v>
      </c>
      <c r="C635" s="127">
        <f>1000*_xlfn.XLOOKUP(A635,'[1]2050Pop'!$A$7:$A$143,'[1]2050Pop'!$C$7:$C$143)</f>
        <v>128598.99999999999</v>
      </c>
      <c r="D635" s="126" t="s">
        <v>497</v>
      </c>
      <c r="E635" s="128">
        <v>11.145</v>
      </c>
      <c r="F635" s="129">
        <f t="shared" si="29"/>
        <v>1.4332358549999997</v>
      </c>
      <c r="G635" t="str">
        <f>_xlfn.XLOOKUP(D635,'[1]2050 BAU Mapping to T &amp; C'!$A$3:$A$52,'[1]2050 BAU Mapping to T &amp; C'!$B$3:$B$52)</f>
        <v>Tropical Fruits</v>
      </c>
      <c r="H635" s="129">
        <f>_xlfn.XLOOKUP(G635,'[1]T&amp;C emissions for 2050 analysis'!$B$3:$B$23,'[1]T&amp;C emissions for 2050 analysis'!$C$3:$C$23)</f>
        <v>0.51333333333333331</v>
      </c>
      <c r="I635" s="27">
        <f t="shared" si="27"/>
        <v>0.73572773889999987</v>
      </c>
      <c r="J635" s="129">
        <f t="shared" si="28"/>
        <v>5.7210999999999999</v>
      </c>
    </row>
    <row r="636" spans="1:10" hidden="1" x14ac:dyDescent="0.35">
      <c r="A636" s="126" t="s">
        <v>456</v>
      </c>
      <c r="B636" t="str">
        <f>_xlfn.XLOOKUP(A636,'[1]2050Pop'!$A$7:$A$143,'[1]2050Pop'!$D$7:$D$143)</f>
        <v>MENA</v>
      </c>
      <c r="C636" s="127">
        <f>1000*_xlfn.XLOOKUP(A636,'[1]2050Pop'!$A$7:$A$143,'[1]2050Pop'!$C$7:$C$143)</f>
        <v>46059</v>
      </c>
      <c r="D636" s="126" t="s">
        <v>497</v>
      </c>
      <c r="E636" s="128">
        <v>24.922000000000001</v>
      </c>
      <c r="F636" s="129">
        <f t="shared" si="29"/>
        <v>1.1478823980000001</v>
      </c>
      <c r="G636" t="str">
        <f>_xlfn.XLOOKUP(D636,'[1]2050 BAU Mapping to T &amp; C'!$A$3:$A$52,'[1]2050 BAU Mapping to T &amp; C'!$B$3:$B$52)</f>
        <v>Tropical Fruits</v>
      </c>
      <c r="H636" s="129">
        <f>_xlfn.XLOOKUP(G636,'[1]T&amp;C emissions for 2050 analysis'!$B$3:$B$23,'[1]T&amp;C emissions for 2050 analysis'!$C$3:$C$23)</f>
        <v>0.51333333333333331</v>
      </c>
      <c r="I636" s="27">
        <f t="shared" si="27"/>
        <v>0.58924629764000003</v>
      </c>
      <c r="J636" s="129">
        <f t="shared" si="28"/>
        <v>12.793293333333333</v>
      </c>
    </row>
    <row r="637" spans="1:10" hidden="1" x14ac:dyDescent="0.35">
      <c r="A637" s="126" t="s">
        <v>457</v>
      </c>
      <c r="B637" t="str">
        <f>_xlfn.XLOOKUP(A637,'[1]2050Pop'!$A$7:$A$143,'[1]2050Pop'!$D$7:$D$143)</f>
        <v>SSA</v>
      </c>
      <c r="C637" s="127">
        <f>1000*_xlfn.XLOOKUP(A637,'[1]2050Pop'!$A$7:$A$143,'[1]2050Pop'!$C$7:$C$143)</f>
        <v>36223</v>
      </c>
      <c r="D637" s="126" t="s">
        <v>497</v>
      </c>
      <c r="E637" s="128">
        <v>2.1110000000000002</v>
      </c>
      <c r="F637" s="129">
        <f t="shared" si="29"/>
        <v>7.6466753000000012E-2</v>
      </c>
      <c r="G637" t="str">
        <f>_xlfn.XLOOKUP(D637,'[1]2050 BAU Mapping to T &amp; C'!$A$3:$A$52,'[1]2050 BAU Mapping to T &amp; C'!$B$3:$B$52)</f>
        <v>Tropical Fruits</v>
      </c>
      <c r="H637" s="129">
        <f>_xlfn.XLOOKUP(G637,'[1]T&amp;C emissions for 2050 analysis'!$B$3:$B$23,'[1]T&amp;C emissions for 2050 analysis'!$C$3:$C$23)</f>
        <v>0.51333333333333331</v>
      </c>
      <c r="I637" s="27">
        <f t="shared" si="27"/>
        <v>3.9252933206666674E-2</v>
      </c>
      <c r="J637" s="129">
        <f t="shared" si="28"/>
        <v>1.0836466666666666</v>
      </c>
    </row>
    <row r="638" spans="1:10" hidden="1" x14ac:dyDescent="0.35">
      <c r="A638" s="126" t="s">
        <v>458</v>
      </c>
      <c r="B638" t="str">
        <f>_xlfn.XLOOKUP(A638,'[1]2050Pop'!$A$7:$A$143,'[1]2050Pop'!$D$7:$D$143)</f>
        <v>Euro/AU/NZ</v>
      </c>
      <c r="C638" s="127">
        <f>1000*_xlfn.XLOOKUP(A638,'[1]2050Pop'!$A$7:$A$143,'[1]2050Pop'!$C$7:$C$143)</f>
        <v>7331</v>
      </c>
      <c r="D638" s="126" t="s">
        <v>497</v>
      </c>
      <c r="E638" s="128">
        <v>19.736999999999998</v>
      </c>
      <c r="F638" s="129">
        <f t="shared" si="29"/>
        <v>0.14469194699999999</v>
      </c>
      <c r="G638" t="str">
        <f>_xlfn.XLOOKUP(D638,'[1]2050 BAU Mapping to T &amp; C'!$A$3:$A$52,'[1]2050 BAU Mapping to T &amp; C'!$B$3:$B$52)</f>
        <v>Tropical Fruits</v>
      </c>
      <c r="H638" s="129">
        <f>_xlfn.XLOOKUP(G638,'[1]T&amp;C emissions for 2050 analysis'!$B$3:$B$23,'[1]T&amp;C emissions for 2050 analysis'!$C$3:$C$23)</f>
        <v>0.51333333333333331</v>
      </c>
      <c r="I638" s="27">
        <f t="shared" si="27"/>
        <v>7.4275199459999997E-2</v>
      </c>
      <c r="J638" s="129">
        <f t="shared" si="28"/>
        <v>10.131659999999998</v>
      </c>
    </row>
    <row r="639" spans="1:10" hidden="1" x14ac:dyDescent="0.35">
      <c r="A639" s="126" t="s">
        <v>492</v>
      </c>
      <c r="B639" t="str">
        <f>_xlfn.XLOOKUP(A639,'[1]2050Pop'!$A$7:$A$143,'[1]2050Pop'!$D$7:$D$143)</f>
        <v>SSA</v>
      </c>
      <c r="C639" s="127">
        <f>1000*_xlfn.XLOOKUP(A639,'[1]2050Pop'!$A$7:$A$143,'[1]2050Pop'!$C$7:$C$143)</f>
        <v>11392</v>
      </c>
      <c r="D639" s="126" t="s">
        <v>497</v>
      </c>
      <c r="E639" s="128">
        <v>3.6150000000000002</v>
      </c>
      <c r="F639" s="129">
        <f t="shared" si="29"/>
        <v>4.1182080000000003E-2</v>
      </c>
      <c r="G639" t="str">
        <f>_xlfn.XLOOKUP(D639,'[1]2050 BAU Mapping to T &amp; C'!$A$3:$A$52,'[1]2050 BAU Mapping to T &amp; C'!$B$3:$B$52)</f>
        <v>Tropical Fruits</v>
      </c>
      <c r="H639" s="129">
        <f>_xlfn.XLOOKUP(G639,'[1]T&amp;C emissions for 2050 analysis'!$B$3:$B$23,'[1]T&amp;C emissions for 2050 analysis'!$C$3:$C$23)</f>
        <v>0.51333333333333331</v>
      </c>
      <c r="I639" s="27">
        <f t="shared" si="27"/>
        <v>2.11401344E-2</v>
      </c>
      <c r="J639" s="129">
        <f t="shared" si="28"/>
        <v>1.8557000000000001</v>
      </c>
    </row>
    <row r="640" spans="1:10" hidden="1" x14ac:dyDescent="0.35">
      <c r="A640" s="126" t="s">
        <v>459</v>
      </c>
      <c r="B640" t="str">
        <f>_xlfn.XLOOKUP(A640,'[1]2050Pop'!$A$7:$A$143,'[1]2050Pop'!$D$7:$D$143)</f>
        <v>Euro/AU/NZ</v>
      </c>
      <c r="C640" s="127">
        <f>1000*_xlfn.XLOOKUP(A640,'[1]2050Pop'!$A$7:$A$143,'[1]2050Pop'!$C$7:$C$143)</f>
        <v>4892</v>
      </c>
      <c r="D640" s="126" t="s">
        <v>497</v>
      </c>
      <c r="E640" s="128">
        <v>20.747</v>
      </c>
      <c r="F640" s="129">
        <f t="shared" si="29"/>
        <v>0.101494324</v>
      </c>
      <c r="G640" t="str">
        <f>_xlfn.XLOOKUP(D640,'[1]2050 BAU Mapping to T &amp; C'!$A$3:$A$52,'[1]2050 BAU Mapping to T &amp; C'!$B$3:$B$52)</f>
        <v>Tropical Fruits</v>
      </c>
      <c r="H640" s="129">
        <f>_xlfn.XLOOKUP(G640,'[1]T&amp;C emissions for 2050 analysis'!$B$3:$B$23,'[1]T&amp;C emissions for 2050 analysis'!$C$3:$C$23)</f>
        <v>0.51333333333333331</v>
      </c>
      <c r="I640" s="27">
        <f t="shared" si="27"/>
        <v>5.2100419653333327E-2</v>
      </c>
      <c r="J640" s="129">
        <f t="shared" si="28"/>
        <v>10.650126666666667</v>
      </c>
    </row>
    <row r="641" spans="1:10" hidden="1" x14ac:dyDescent="0.35">
      <c r="A641" s="126" t="s">
        <v>460</v>
      </c>
      <c r="B641" t="str">
        <f>_xlfn.XLOOKUP(A641,'[1]2050Pop'!$A$7:$A$143,'[1]2050Pop'!$D$7:$D$143)</f>
        <v>LatAm &amp; RSA</v>
      </c>
      <c r="C641" s="127">
        <f>1000*_xlfn.XLOOKUP(A641,'[1]2050Pop'!$A$7:$A$143,'[1]2050Pop'!$C$7:$C$143)</f>
        <v>65540</v>
      </c>
      <c r="D641" s="126" t="s">
        <v>497</v>
      </c>
      <c r="E641" s="128">
        <v>4.1790000000000003</v>
      </c>
      <c r="F641" s="129">
        <f t="shared" si="29"/>
        <v>0.27389166000000004</v>
      </c>
      <c r="G641" t="str">
        <f>_xlfn.XLOOKUP(D641,'[1]2050 BAU Mapping to T &amp; C'!$A$3:$A$52,'[1]2050 BAU Mapping to T &amp; C'!$B$3:$B$52)</f>
        <v>Tropical Fruits</v>
      </c>
      <c r="H641" s="129">
        <f>_xlfn.XLOOKUP(G641,'[1]T&amp;C emissions for 2050 analysis'!$B$3:$B$23,'[1]T&amp;C emissions for 2050 analysis'!$C$3:$C$23)</f>
        <v>0.51333333333333331</v>
      </c>
      <c r="I641" s="27">
        <f t="shared" si="27"/>
        <v>0.14059771880000002</v>
      </c>
      <c r="J641" s="129">
        <f t="shared" si="28"/>
        <v>2.1452200000000001</v>
      </c>
    </row>
    <row r="642" spans="1:10" hidden="1" x14ac:dyDescent="0.35">
      <c r="A642" s="126" t="s">
        <v>461</v>
      </c>
      <c r="B642" t="str">
        <f>_xlfn.XLOOKUP(A642,'[1]2050Pop'!$A$7:$A$143,'[1]2050Pop'!$D$7:$D$143)</f>
        <v>Euro/AU/NZ</v>
      </c>
      <c r="C642" s="127">
        <f>1000*_xlfn.XLOOKUP(A642,'[1]2050Pop'!$A$7:$A$143,'[1]2050Pop'!$C$7:$C$143)</f>
        <v>44840</v>
      </c>
      <c r="D642" s="126" t="s">
        <v>497</v>
      </c>
      <c r="E642" s="128">
        <v>15.693</v>
      </c>
      <c r="F642" s="129">
        <f t="shared" si="29"/>
        <v>0.70367411999999996</v>
      </c>
      <c r="G642" t="str">
        <f>_xlfn.XLOOKUP(D642,'[1]2050 BAU Mapping to T &amp; C'!$A$3:$A$52,'[1]2050 BAU Mapping to T &amp; C'!$B$3:$B$52)</f>
        <v>Tropical Fruits</v>
      </c>
      <c r="H642" s="129">
        <f>_xlfn.XLOOKUP(G642,'[1]T&amp;C emissions for 2050 analysis'!$B$3:$B$23,'[1]T&amp;C emissions for 2050 analysis'!$C$3:$C$23)</f>
        <v>0.51333333333333331</v>
      </c>
      <c r="I642" s="27">
        <f t="shared" si="27"/>
        <v>0.36121938159999994</v>
      </c>
      <c r="J642" s="129">
        <f t="shared" si="28"/>
        <v>8.0557400000000001</v>
      </c>
    </row>
    <row r="643" spans="1:10" hidden="1" x14ac:dyDescent="0.35">
      <c r="A643" s="126" t="s">
        <v>493</v>
      </c>
      <c r="B643" t="str">
        <f>_xlfn.XLOOKUP(A643,'[1]2050Pop'!$A$7:$A$143,'[1]2050Pop'!$D$7:$D$143)</f>
        <v>India/South Asia</v>
      </c>
      <c r="C643" s="127">
        <f>1000*_xlfn.XLOOKUP(A643,'[1]2050Pop'!$A$7:$A$143,'[1]2050Pop'!$C$7:$C$143)</f>
        <v>20836</v>
      </c>
      <c r="D643" s="126" t="s">
        <v>497</v>
      </c>
      <c r="E643" s="128">
        <v>1.7909999999999999</v>
      </c>
      <c r="F643" s="129">
        <f t="shared" si="29"/>
        <v>3.7317275999999996E-2</v>
      </c>
      <c r="G643" t="str">
        <f>_xlfn.XLOOKUP(D643,'[1]2050 BAU Mapping to T &amp; C'!$A$3:$A$52,'[1]2050 BAU Mapping to T &amp; C'!$B$3:$B$52)</f>
        <v>Tropical Fruits</v>
      </c>
      <c r="H643" s="129">
        <f>_xlfn.XLOOKUP(G643,'[1]T&amp;C emissions for 2050 analysis'!$B$3:$B$23,'[1]T&amp;C emissions for 2050 analysis'!$C$3:$C$23)</f>
        <v>0.51333333333333331</v>
      </c>
      <c r="I643" s="27">
        <f t="shared" si="27"/>
        <v>1.9156201679999998E-2</v>
      </c>
      <c r="J643" s="129">
        <f t="shared" si="28"/>
        <v>0.91937999999999986</v>
      </c>
    </row>
    <row r="644" spans="1:10" hidden="1" x14ac:dyDescent="0.35">
      <c r="A644" s="126" t="s">
        <v>462</v>
      </c>
      <c r="B644" t="str">
        <f>_xlfn.XLOOKUP(A644,'[1]2050Pop'!$A$7:$A$143,'[1]2050Pop'!$D$7:$D$143)</f>
        <v>LatAm &amp; RSA</v>
      </c>
      <c r="C644" s="127">
        <f>1000*_xlfn.XLOOKUP(A644,'[1]2050Pop'!$A$7:$A$143,'[1]2050Pop'!$C$7:$C$143)</f>
        <v>624</v>
      </c>
      <c r="D644" s="126" t="s">
        <v>497</v>
      </c>
      <c r="E644" s="128">
        <v>14.395</v>
      </c>
      <c r="F644" s="129">
        <f t="shared" si="29"/>
        <v>8.9824799999999993E-3</v>
      </c>
      <c r="G644" t="str">
        <f>_xlfn.XLOOKUP(D644,'[1]2050 BAU Mapping to T &amp; C'!$A$3:$A$52,'[1]2050 BAU Mapping to T &amp; C'!$B$3:$B$52)</f>
        <v>Tropical Fruits</v>
      </c>
      <c r="H644" s="129">
        <f>_xlfn.XLOOKUP(G644,'[1]T&amp;C emissions for 2050 analysis'!$B$3:$B$23,'[1]T&amp;C emissions for 2050 analysis'!$C$3:$C$23)</f>
        <v>0.51333333333333331</v>
      </c>
      <c r="I644" s="27">
        <f t="shared" ref="I644:I707" si="30">F644*H644</f>
        <v>4.6110063999999992E-3</v>
      </c>
      <c r="J644" s="129">
        <f t="shared" ref="J644:J707" si="31">E644*H644</f>
        <v>7.3894333333333329</v>
      </c>
    </row>
    <row r="645" spans="1:10" hidden="1" x14ac:dyDescent="0.35">
      <c r="A645" s="126" t="s">
        <v>463</v>
      </c>
      <c r="B645" t="str">
        <f>_xlfn.XLOOKUP(A645,'[1]2050Pop'!$A$7:$A$143,'[1]2050Pop'!$D$7:$D$143)</f>
        <v>SSA</v>
      </c>
      <c r="C645" s="127">
        <f>1000*_xlfn.XLOOKUP(A645,'[1]2050Pop'!$A$7:$A$143,'[1]2050Pop'!$C$7:$C$143)</f>
        <v>1792</v>
      </c>
      <c r="D645" s="126" t="s">
        <v>497</v>
      </c>
      <c r="E645" s="128">
        <v>3.1389999999999998</v>
      </c>
      <c r="F645" s="129">
        <f t="shared" ref="F645:F708" si="32">C645*E645/1000000</f>
        <v>5.6250879999999994E-3</v>
      </c>
      <c r="G645" t="str">
        <f>_xlfn.XLOOKUP(D645,'[1]2050 BAU Mapping to T &amp; C'!$A$3:$A$52,'[1]2050 BAU Mapping to T &amp; C'!$B$3:$B$52)</f>
        <v>Tropical Fruits</v>
      </c>
      <c r="H645" s="129">
        <f>_xlfn.XLOOKUP(G645,'[1]T&amp;C emissions for 2050 analysis'!$B$3:$B$23,'[1]T&amp;C emissions for 2050 analysis'!$C$3:$C$23)</f>
        <v>0.51333333333333331</v>
      </c>
      <c r="I645" s="27">
        <f t="shared" si="30"/>
        <v>2.887545173333333E-3</v>
      </c>
      <c r="J645" s="129">
        <f t="shared" si="31"/>
        <v>1.6113533333333332</v>
      </c>
    </row>
    <row r="646" spans="1:10" hidden="1" x14ac:dyDescent="0.35">
      <c r="A646" s="126" t="s">
        <v>464</v>
      </c>
      <c r="B646" t="str">
        <f>_xlfn.XLOOKUP(A646,'[1]2050Pop'!$A$7:$A$143,'[1]2050Pop'!$D$7:$D$143)</f>
        <v>Euro/AU/NZ</v>
      </c>
      <c r="C646" s="127">
        <f>1000*_xlfn.XLOOKUP(A646,'[1]2050Pop'!$A$7:$A$143,'[1]2050Pop'!$C$7:$C$143)</f>
        <v>11881</v>
      </c>
      <c r="D646" s="126" t="s">
        <v>497</v>
      </c>
      <c r="E646" s="128">
        <v>9.7279999999999998</v>
      </c>
      <c r="F646" s="129">
        <f t="shared" si="32"/>
        <v>0.115578368</v>
      </c>
      <c r="G646" t="str">
        <f>_xlfn.XLOOKUP(D646,'[1]2050 BAU Mapping to T &amp; C'!$A$3:$A$52,'[1]2050 BAU Mapping to T &amp; C'!$B$3:$B$52)</f>
        <v>Tropical Fruits</v>
      </c>
      <c r="H646" s="129">
        <f>_xlfn.XLOOKUP(G646,'[1]T&amp;C emissions for 2050 analysis'!$B$3:$B$23,'[1]T&amp;C emissions for 2050 analysis'!$C$3:$C$23)</f>
        <v>0.51333333333333331</v>
      </c>
      <c r="I646" s="27">
        <f t="shared" si="30"/>
        <v>5.9330228906666664E-2</v>
      </c>
      <c r="J646" s="129">
        <f t="shared" si="31"/>
        <v>4.9937066666666663</v>
      </c>
    </row>
    <row r="647" spans="1:10" hidden="1" x14ac:dyDescent="0.35">
      <c r="A647" s="126" t="s">
        <v>483</v>
      </c>
      <c r="B647" t="str">
        <f>_xlfn.XLOOKUP(A647,'[1]2050Pop'!$A$7:$A$143,'[1]2050Pop'!$D$7:$D$143)</f>
        <v>APAC</v>
      </c>
      <c r="C647" s="127">
        <f>1000*_xlfn.XLOOKUP(A647,'[1]2050Pop'!$A$7:$A$143,'[1]2050Pop'!$C$7:$C$143)</f>
        <v>14288</v>
      </c>
      <c r="D647" s="126" t="s">
        <v>497</v>
      </c>
      <c r="E647" s="128">
        <v>23.465</v>
      </c>
      <c r="F647" s="129">
        <f t="shared" si="32"/>
        <v>0.33526792</v>
      </c>
      <c r="G647" t="str">
        <f>_xlfn.XLOOKUP(D647,'[1]2050 BAU Mapping to T &amp; C'!$A$3:$A$52,'[1]2050 BAU Mapping to T &amp; C'!$B$3:$B$52)</f>
        <v>Tropical Fruits</v>
      </c>
      <c r="H647" s="129">
        <f>_xlfn.XLOOKUP(G647,'[1]T&amp;C emissions for 2050 analysis'!$B$3:$B$23,'[1]T&amp;C emissions for 2050 analysis'!$C$3:$C$23)</f>
        <v>0.51333333333333331</v>
      </c>
      <c r="I647" s="27">
        <f t="shared" si="30"/>
        <v>0.17210419893333331</v>
      </c>
      <c r="J647" s="129">
        <f t="shared" si="31"/>
        <v>12.045366666666666</v>
      </c>
    </row>
    <row r="648" spans="1:10" hidden="1" x14ac:dyDescent="0.35">
      <c r="A648" s="126" t="s">
        <v>465</v>
      </c>
      <c r="B648" t="str">
        <f>_xlfn.XLOOKUP(A648,'[1]2050Pop'!$A$7:$A$143,'[1]2050Pop'!$D$7:$D$143)</f>
        <v>APAC</v>
      </c>
      <c r="C648" s="127">
        <f>1000*_xlfn.XLOOKUP(A648,'[1]2050Pop'!$A$7:$A$143,'[1]2050Pop'!$C$7:$C$143)</f>
        <v>62452</v>
      </c>
      <c r="D648" s="126" t="s">
        <v>497</v>
      </c>
      <c r="E648" s="128">
        <v>2.1440000000000001</v>
      </c>
      <c r="F648" s="129">
        <f t="shared" si="32"/>
        <v>0.13389708800000003</v>
      </c>
      <c r="G648" t="str">
        <f>_xlfn.XLOOKUP(D648,'[1]2050 BAU Mapping to T &amp; C'!$A$3:$A$52,'[1]2050 BAU Mapping to T &amp; C'!$B$3:$B$52)</f>
        <v>Tropical Fruits</v>
      </c>
      <c r="H648" s="129">
        <f>_xlfn.XLOOKUP(G648,'[1]T&amp;C emissions for 2050 analysis'!$B$3:$B$23,'[1]T&amp;C emissions for 2050 analysis'!$C$3:$C$23)</f>
        <v>0.51333333333333331</v>
      </c>
      <c r="I648" s="27">
        <f t="shared" si="30"/>
        <v>6.8733838506666672E-2</v>
      </c>
      <c r="J648" s="129">
        <f t="shared" si="31"/>
        <v>1.1005866666666666</v>
      </c>
    </row>
    <row r="649" spans="1:10" hidden="1" x14ac:dyDescent="0.35">
      <c r="A649" s="126" t="s">
        <v>466</v>
      </c>
      <c r="B649" t="str">
        <f>_xlfn.XLOOKUP(A649,'[1]2050Pop'!$A$7:$A$143,'[1]2050Pop'!$D$7:$D$143)</f>
        <v>SSA</v>
      </c>
      <c r="C649" s="127">
        <f>1000*_xlfn.XLOOKUP(A649,'[1]2050Pop'!$A$7:$A$143,'[1]2050Pop'!$C$7:$C$143)</f>
        <v>15681</v>
      </c>
      <c r="D649" s="126" t="s">
        <v>497</v>
      </c>
      <c r="E649" s="130">
        <v>2.1800000000000002</v>
      </c>
      <c r="F649" s="129">
        <f t="shared" si="32"/>
        <v>3.4184579999999999E-2</v>
      </c>
      <c r="G649" t="str">
        <f>_xlfn.XLOOKUP(D649,'[1]2050 BAU Mapping to T &amp; C'!$A$3:$A$52,'[1]2050 BAU Mapping to T &amp; C'!$B$3:$B$52)</f>
        <v>Tropical Fruits</v>
      </c>
      <c r="H649" s="129">
        <f>_xlfn.XLOOKUP(G649,'[1]T&amp;C emissions for 2050 analysis'!$B$3:$B$23,'[1]T&amp;C emissions for 2050 analysis'!$C$3:$C$23)</f>
        <v>0.51333333333333331</v>
      </c>
      <c r="I649" s="27">
        <f t="shared" si="30"/>
        <v>1.75480844E-2</v>
      </c>
      <c r="J649" s="129">
        <f t="shared" si="31"/>
        <v>1.1190666666666667</v>
      </c>
    </row>
    <row r="650" spans="1:10" hidden="1" x14ac:dyDescent="0.35">
      <c r="A650" s="126" t="s">
        <v>467</v>
      </c>
      <c r="B650" t="str">
        <f>_xlfn.XLOOKUP(A650,'[1]2050Pop'!$A$7:$A$143,'[1]2050Pop'!$D$7:$D$143)</f>
        <v>LatAm &amp; RSA</v>
      </c>
      <c r="C650" s="127">
        <f>1000*_xlfn.XLOOKUP(A650,'[1]2050Pop'!$A$7:$A$143,'[1]2050Pop'!$C$7:$C$143)</f>
        <v>1291</v>
      </c>
      <c r="D650" s="126" t="s">
        <v>497</v>
      </c>
      <c r="E650" s="130">
        <v>7.65</v>
      </c>
      <c r="F650" s="129">
        <f t="shared" si="32"/>
        <v>9.8761500000000002E-3</v>
      </c>
      <c r="G650" t="str">
        <f>_xlfn.XLOOKUP(D650,'[1]2050 BAU Mapping to T &amp; C'!$A$3:$A$52,'[1]2050 BAU Mapping to T &amp; C'!$B$3:$B$52)</f>
        <v>Tropical Fruits</v>
      </c>
      <c r="H650" s="129">
        <f>_xlfn.XLOOKUP(G650,'[1]T&amp;C emissions for 2050 analysis'!$B$3:$B$23,'[1]T&amp;C emissions for 2050 analysis'!$C$3:$C$23)</f>
        <v>0.51333333333333331</v>
      </c>
      <c r="I650" s="27">
        <f t="shared" si="30"/>
        <v>5.0697570000000003E-3</v>
      </c>
      <c r="J650" s="129">
        <f t="shared" si="31"/>
        <v>3.927</v>
      </c>
    </row>
    <row r="651" spans="1:10" hidden="1" x14ac:dyDescent="0.35">
      <c r="A651" s="126" t="s">
        <v>468</v>
      </c>
      <c r="B651" t="str">
        <f>_xlfn.XLOOKUP(A651,'[1]2050Pop'!$A$7:$A$143,'[1]2050Pop'!$D$7:$D$143)</f>
        <v>MENA</v>
      </c>
      <c r="C651" s="127">
        <f>1000*_xlfn.XLOOKUP(A651,'[1]2050Pop'!$A$7:$A$143,'[1]2050Pop'!$C$7:$C$143)</f>
        <v>13476</v>
      </c>
      <c r="D651" s="126" t="s">
        <v>497</v>
      </c>
      <c r="E651" s="128">
        <v>1.9730000000000001</v>
      </c>
      <c r="F651" s="129">
        <f t="shared" si="32"/>
        <v>2.6588148000000002E-2</v>
      </c>
      <c r="G651" t="str">
        <f>_xlfn.XLOOKUP(D651,'[1]2050 BAU Mapping to T &amp; C'!$A$3:$A$52,'[1]2050 BAU Mapping to T &amp; C'!$B$3:$B$52)</f>
        <v>Tropical Fruits</v>
      </c>
      <c r="H651" s="129">
        <f>_xlfn.XLOOKUP(G651,'[1]T&amp;C emissions for 2050 analysis'!$B$3:$B$23,'[1]T&amp;C emissions for 2050 analysis'!$C$3:$C$23)</f>
        <v>0.51333333333333331</v>
      </c>
      <c r="I651" s="27">
        <f t="shared" si="30"/>
        <v>1.364858264E-2</v>
      </c>
      <c r="J651" s="129">
        <f t="shared" si="31"/>
        <v>1.0128066666666666</v>
      </c>
    </row>
    <row r="652" spans="1:10" hidden="1" x14ac:dyDescent="0.35">
      <c r="A652" s="126" t="s">
        <v>469</v>
      </c>
      <c r="B652" t="str">
        <f>_xlfn.XLOOKUP(A652,'[1]2050Pop'!$A$7:$A$143,'[1]2050Pop'!$D$7:$D$143)</f>
        <v>MENA</v>
      </c>
      <c r="C652" s="127">
        <f>1000*_xlfn.XLOOKUP(A652,'[1]2050Pop'!$A$7:$A$143,'[1]2050Pop'!$C$7:$C$143)</f>
        <v>95819</v>
      </c>
      <c r="D652" s="126" t="s">
        <v>497</v>
      </c>
      <c r="E652" s="130">
        <v>1.06</v>
      </c>
      <c r="F652" s="129">
        <f t="shared" si="32"/>
        <v>0.10156814</v>
      </c>
      <c r="G652" t="str">
        <f>_xlfn.XLOOKUP(D652,'[1]2050 BAU Mapping to T &amp; C'!$A$3:$A$52,'[1]2050 BAU Mapping to T &amp; C'!$B$3:$B$52)</f>
        <v>Tropical Fruits</v>
      </c>
      <c r="H652" s="129">
        <f>_xlfn.XLOOKUP(G652,'[1]T&amp;C emissions for 2050 analysis'!$B$3:$B$23,'[1]T&amp;C emissions for 2050 analysis'!$C$3:$C$23)</f>
        <v>0.51333333333333331</v>
      </c>
      <c r="I652" s="27">
        <f t="shared" si="30"/>
        <v>5.2138311866666662E-2</v>
      </c>
      <c r="J652" s="129">
        <f t="shared" si="31"/>
        <v>0.54413333333333336</v>
      </c>
    </row>
    <row r="653" spans="1:10" hidden="1" x14ac:dyDescent="0.35">
      <c r="A653" s="126" t="s">
        <v>484</v>
      </c>
      <c r="B653" t="str">
        <f>_xlfn.XLOOKUP(A653,'[1]2050Pop'!$A$7:$A$143,'[1]2050Pop'!$D$7:$D$143)</f>
        <v>APAC</v>
      </c>
      <c r="C653" s="127">
        <f>1000*_xlfn.XLOOKUP(A653,'[1]2050Pop'!$A$7:$A$143,'[1]2050Pop'!$C$7:$C$143)</f>
        <v>6555</v>
      </c>
      <c r="D653" s="126" t="s">
        <v>497</v>
      </c>
      <c r="E653" s="128">
        <v>30.731000000000002</v>
      </c>
      <c r="F653" s="129">
        <f t="shared" si="32"/>
        <v>0.20144170500000003</v>
      </c>
      <c r="G653" t="str">
        <f>_xlfn.XLOOKUP(D653,'[1]2050 BAU Mapping to T &amp; C'!$A$3:$A$52,'[1]2050 BAU Mapping to T &amp; C'!$B$3:$B$52)</f>
        <v>Tropical Fruits</v>
      </c>
      <c r="H653" s="129">
        <f>_xlfn.XLOOKUP(G653,'[1]T&amp;C emissions for 2050 analysis'!$B$3:$B$23,'[1]T&amp;C emissions for 2050 analysis'!$C$3:$C$23)</f>
        <v>0.51333333333333331</v>
      </c>
      <c r="I653" s="27">
        <f t="shared" si="30"/>
        <v>0.10340674190000002</v>
      </c>
      <c r="J653" s="129">
        <f t="shared" si="31"/>
        <v>15.775246666666666</v>
      </c>
    </row>
    <row r="654" spans="1:10" hidden="1" x14ac:dyDescent="0.35">
      <c r="A654" s="126" t="s">
        <v>471</v>
      </c>
      <c r="B654" t="str">
        <f>_xlfn.XLOOKUP(A654,'[1]2050Pop'!$A$7:$A$143,'[1]2050Pop'!$D$7:$D$143)</f>
        <v>Euro/AU/NZ</v>
      </c>
      <c r="C654" s="127">
        <f>1000*_xlfn.XLOOKUP(A654,'[1]2050Pop'!$A$7:$A$143,'[1]2050Pop'!$C$7:$C$143)</f>
        <v>35117</v>
      </c>
      <c r="D654" s="126" t="s">
        <v>497</v>
      </c>
      <c r="E654" s="128">
        <v>3.7719999999999998</v>
      </c>
      <c r="F654" s="129">
        <f t="shared" si="32"/>
        <v>0.13246132399999999</v>
      </c>
      <c r="G654" t="str">
        <f>_xlfn.XLOOKUP(D654,'[1]2050 BAU Mapping to T &amp; C'!$A$3:$A$52,'[1]2050 BAU Mapping to T &amp; C'!$B$3:$B$52)</f>
        <v>Tropical Fruits</v>
      </c>
      <c r="H654" s="129">
        <f>_xlfn.XLOOKUP(G654,'[1]T&amp;C emissions for 2050 analysis'!$B$3:$B$23,'[1]T&amp;C emissions for 2050 analysis'!$C$3:$C$23)</f>
        <v>0.51333333333333331</v>
      </c>
      <c r="I654" s="27">
        <f t="shared" si="30"/>
        <v>6.7996812986666655E-2</v>
      </c>
      <c r="J654" s="129">
        <f t="shared" si="31"/>
        <v>1.9362933333333332</v>
      </c>
    </row>
    <row r="655" spans="1:10" hidden="1" x14ac:dyDescent="0.35">
      <c r="A655" s="126" t="s">
        <v>472</v>
      </c>
      <c r="B655" t="str">
        <f>_xlfn.XLOOKUP(A655,'[1]2050Pop'!$A$7:$A$143,'[1]2050Pop'!$D$7:$D$143)</f>
        <v>Euro/AU/NZ</v>
      </c>
      <c r="C655" s="127">
        <f>1000*_xlfn.XLOOKUP(A655,'[1]2050Pop'!$A$7:$A$143,'[1]2050Pop'!$C$7:$C$143)</f>
        <v>75361</v>
      </c>
      <c r="D655" s="126" t="s">
        <v>497</v>
      </c>
      <c r="E655" s="128">
        <v>31.128</v>
      </c>
      <c r="F655" s="129">
        <f t="shared" si="32"/>
        <v>2.3458372080000003</v>
      </c>
      <c r="G655" t="str">
        <f>_xlfn.XLOOKUP(D655,'[1]2050 BAU Mapping to T &amp; C'!$A$3:$A$52,'[1]2050 BAU Mapping to T &amp; C'!$B$3:$B$52)</f>
        <v>Tropical Fruits</v>
      </c>
      <c r="H655" s="129">
        <f>_xlfn.XLOOKUP(G655,'[1]T&amp;C emissions for 2050 analysis'!$B$3:$B$23,'[1]T&amp;C emissions for 2050 analysis'!$C$3:$C$23)</f>
        <v>0.51333333333333331</v>
      </c>
      <c r="I655" s="27">
        <f t="shared" si="30"/>
        <v>1.2041964334400002</v>
      </c>
      <c r="J655" s="129">
        <f t="shared" si="31"/>
        <v>15.979039999999999</v>
      </c>
    </row>
    <row r="656" spans="1:10" hidden="1" x14ac:dyDescent="0.35">
      <c r="A656" s="126" t="s">
        <v>473</v>
      </c>
      <c r="B656" t="str">
        <f>_xlfn.XLOOKUP(A656,'[1]2050Pop'!$A$7:$A$143,'[1]2050Pop'!$D$7:$D$143)</f>
        <v>SSA</v>
      </c>
      <c r="C656" s="127">
        <f>1000*_xlfn.XLOOKUP(A656,'[1]2050Pop'!$A$7:$A$143,'[1]2050Pop'!$C$7:$C$143)</f>
        <v>137136</v>
      </c>
      <c r="D656" s="126" t="s">
        <v>497</v>
      </c>
      <c r="E656" s="128">
        <v>0.875</v>
      </c>
      <c r="F656" s="129">
        <f t="shared" si="32"/>
        <v>0.119994</v>
      </c>
      <c r="G656" t="str">
        <f>_xlfn.XLOOKUP(D656,'[1]2050 BAU Mapping to T &amp; C'!$A$3:$A$52,'[1]2050 BAU Mapping to T &amp; C'!$B$3:$B$52)</f>
        <v>Tropical Fruits</v>
      </c>
      <c r="H656" s="129">
        <f>_xlfn.XLOOKUP(G656,'[1]T&amp;C emissions for 2050 analysis'!$B$3:$B$23,'[1]T&amp;C emissions for 2050 analysis'!$C$3:$C$23)</f>
        <v>0.51333333333333331</v>
      </c>
      <c r="I656" s="27">
        <f t="shared" si="30"/>
        <v>6.1596919999999999E-2</v>
      </c>
      <c r="J656" s="129">
        <f t="shared" si="31"/>
        <v>0.44916666666666666</v>
      </c>
    </row>
    <row r="657" spans="1:10" hidden="1" x14ac:dyDescent="0.35">
      <c r="A657" s="126" t="s">
        <v>474</v>
      </c>
      <c r="B657" t="str">
        <f>_xlfn.XLOOKUP(A657,'[1]2050Pop'!$A$7:$A$143,'[1]2050Pop'!$D$7:$D$143)</f>
        <v>NAm</v>
      </c>
      <c r="C657" s="127">
        <f>1000*_xlfn.XLOOKUP(A657,'[1]2050Pop'!$A$7:$A$143,'[1]2050Pop'!$C$7:$C$143)</f>
        <v>388865</v>
      </c>
      <c r="D657" s="126" t="s">
        <v>497</v>
      </c>
      <c r="E657" s="128">
        <v>12.129</v>
      </c>
      <c r="F657" s="129">
        <f t="shared" si="32"/>
        <v>4.7165435850000001</v>
      </c>
      <c r="G657" t="str">
        <f>_xlfn.XLOOKUP(D657,'[1]2050 BAU Mapping to T &amp; C'!$A$3:$A$52,'[1]2050 BAU Mapping to T &amp; C'!$B$3:$B$52)</f>
        <v>Tropical Fruits</v>
      </c>
      <c r="H657" s="129">
        <f>_xlfn.XLOOKUP(G657,'[1]T&amp;C emissions for 2050 analysis'!$B$3:$B$23,'[1]T&amp;C emissions for 2050 analysis'!$C$3:$C$23)</f>
        <v>0.51333333333333331</v>
      </c>
      <c r="I657" s="27">
        <f t="shared" si="30"/>
        <v>2.4211590403000001</v>
      </c>
      <c r="J657" s="129">
        <f t="shared" si="31"/>
        <v>6.2262199999999996</v>
      </c>
    </row>
    <row r="658" spans="1:10" hidden="1" x14ac:dyDescent="0.35">
      <c r="A658" s="126" t="s">
        <v>475</v>
      </c>
      <c r="B658" t="str">
        <f>_xlfn.XLOOKUP(A658,'[1]2050Pop'!$A$7:$A$143,'[1]2050Pop'!$D$7:$D$143)</f>
        <v>LatAm &amp; RSA</v>
      </c>
      <c r="C658" s="127">
        <f>1000*_xlfn.XLOOKUP(A658,'[1]2050Pop'!$A$7:$A$143,'[1]2050Pop'!$C$7:$C$143)</f>
        <v>3667</v>
      </c>
      <c r="D658" s="126" t="s">
        <v>497</v>
      </c>
      <c r="E658" s="128">
        <v>9.3930000000000007</v>
      </c>
      <c r="F658" s="129">
        <f t="shared" si="32"/>
        <v>3.4444131000000003E-2</v>
      </c>
      <c r="G658" t="str">
        <f>_xlfn.XLOOKUP(D658,'[1]2050 BAU Mapping to T &amp; C'!$A$3:$A$52,'[1]2050 BAU Mapping to T &amp; C'!$B$3:$B$52)</f>
        <v>Tropical Fruits</v>
      </c>
      <c r="H658" s="129">
        <f>_xlfn.XLOOKUP(G658,'[1]T&amp;C emissions for 2050 analysis'!$B$3:$B$23,'[1]T&amp;C emissions for 2050 analysis'!$C$3:$C$23)</f>
        <v>0.51333333333333331</v>
      </c>
      <c r="I658" s="27">
        <f t="shared" si="30"/>
        <v>1.768132058E-2</v>
      </c>
      <c r="J658" s="129">
        <f t="shared" si="31"/>
        <v>4.8217400000000001</v>
      </c>
    </row>
    <row r="659" spans="1:10" hidden="1" x14ac:dyDescent="0.35">
      <c r="A659" s="126" t="s">
        <v>485</v>
      </c>
      <c r="B659" t="str">
        <f>_xlfn.XLOOKUP(A659,'[1]2050Pop'!$A$7:$A$143,'[1]2050Pop'!$D$7:$D$143)</f>
        <v>APAC</v>
      </c>
      <c r="C659" s="127">
        <f>1000*_xlfn.XLOOKUP(A659,'[1]2050Pop'!$A$7:$A$143,'[1]2050Pop'!$C$7:$C$143)</f>
        <v>37126</v>
      </c>
      <c r="D659" s="126" t="s">
        <v>497</v>
      </c>
      <c r="E659" s="128">
        <v>2.7789999999999999</v>
      </c>
      <c r="F659" s="129">
        <f t="shared" si="32"/>
        <v>0.10317315399999999</v>
      </c>
      <c r="G659" t="str">
        <f>_xlfn.XLOOKUP(D659,'[1]2050 BAU Mapping to T &amp; C'!$A$3:$A$52,'[1]2050 BAU Mapping to T &amp; C'!$B$3:$B$52)</f>
        <v>Tropical Fruits</v>
      </c>
      <c r="H659" s="129">
        <f>_xlfn.XLOOKUP(G659,'[1]T&amp;C emissions for 2050 analysis'!$B$3:$B$23,'[1]T&amp;C emissions for 2050 analysis'!$C$3:$C$23)</f>
        <v>0.51333333333333331</v>
      </c>
      <c r="I659" s="27">
        <f t="shared" si="30"/>
        <v>5.2962219053333322E-2</v>
      </c>
      <c r="J659" s="129">
        <f t="shared" si="31"/>
        <v>1.4265533333333331</v>
      </c>
    </row>
    <row r="660" spans="1:10" hidden="1" x14ac:dyDescent="0.35">
      <c r="A660" s="126" t="s">
        <v>476</v>
      </c>
      <c r="B660" t="str">
        <f>_xlfn.XLOOKUP(A660,'[1]2050Pop'!$A$7:$A$143,'[1]2050Pop'!$D$7:$D$143)</f>
        <v>LatAm &amp; RSA</v>
      </c>
      <c r="C660" s="127">
        <f>1000*_xlfn.XLOOKUP(A660,'[1]2050Pop'!$A$7:$A$143,'[1]2050Pop'!$C$7:$C$143)</f>
        <v>41562</v>
      </c>
      <c r="D660" s="126" t="s">
        <v>497</v>
      </c>
      <c r="E660" s="128">
        <v>4.681</v>
      </c>
      <c r="F660" s="129">
        <f t="shared" si="32"/>
        <v>0.19455172200000001</v>
      </c>
      <c r="G660" t="str">
        <f>_xlfn.XLOOKUP(D660,'[1]2050 BAU Mapping to T &amp; C'!$A$3:$A$52,'[1]2050 BAU Mapping to T &amp; C'!$B$3:$B$52)</f>
        <v>Tropical Fruits</v>
      </c>
      <c r="H660" s="129">
        <f>_xlfn.XLOOKUP(G660,'[1]T&amp;C emissions for 2050 analysis'!$B$3:$B$23,'[1]T&amp;C emissions for 2050 analysis'!$C$3:$C$23)</f>
        <v>0.51333333333333331</v>
      </c>
      <c r="I660" s="27">
        <f t="shared" si="30"/>
        <v>9.9869883960000003E-2</v>
      </c>
      <c r="J660" s="129">
        <f t="shared" si="31"/>
        <v>2.4029133333333332</v>
      </c>
    </row>
    <row r="661" spans="1:10" hidden="1" x14ac:dyDescent="0.35">
      <c r="A661" s="126" t="s">
        <v>477</v>
      </c>
      <c r="B661" t="str">
        <f>_xlfn.XLOOKUP(A661,'[1]2050Pop'!$A$7:$A$143,'[1]2050Pop'!$D$7:$D$143)</f>
        <v>APAC</v>
      </c>
      <c r="C661" s="127">
        <f>1000*_xlfn.XLOOKUP(A661,'[1]2050Pop'!$A$7:$A$143,'[1]2050Pop'!$C$7:$C$143)</f>
        <v>112783</v>
      </c>
      <c r="D661" s="126" t="s">
        <v>497</v>
      </c>
      <c r="E661" s="128">
        <v>0.80100000000000005</v>
      </c>
      <c r="F661" s="129">
        <f t="shared" si="32"/>
        <v>9.0339183000000003E-2</v>
      </c>
      <c r="G661" t="str">
        <f>_xlfn.XLOOKUP(D661,'[1]2050 BAU Mapping to T &amp; C'!$A$3:$A$52,'[1]2050 BAU Mapping to T &amp; C'!$B$3:$B$52)</f>
        <v>Tropical Fruits</v>
      </c>
      <c r="H661" s="129">
        <f>_xlfn.XLOOKUP(G661,'[1]T&amp;C emissions for 2050 analysis'!$B$3:$B$23,'[1]T&amp;C emissions for 2050 analysis'!$C$3:$C$23)</f>
        <v>0.51333333333333331</v>
      </c>
      <c r="I661" s="27">
        <f t="shared" si="30"/>
        <v>4.6374113939999996E-2</v>
      </c>
      <c r="J661" s="129">
        <f t="shared" si="31"/>
        <v>0.41117999999999999</v>
      </c>
    </row>
    <row r="662" spans="1:10" hidden="1" x14ac:dyDescent="0.35">
      <c r="A662" s="126" t="s">
        <v>478</v>
      </c>
      <c r="B662" t="str">
        <f>_xlfn.XLOOKUP(A662,'[1]2050Pop'!$A$7:$A$143,'[1]2050Pop'!$D$7:$D$143)</f>
        <v>MENA</v>
      </c>
      <c r="C662" s="127">
        <f>1000*_xlfn.XLOOKUP(A662,'[1]2050Pop'!$A$7:$A$143,'[1]2050Pop'!$C$7:$C$143)</f>
        <v>47170</v>
      </c>
      <c r="D662" s="126" t="s">
        <v>497</v>
      </c>
      <c r="E662" s="128">
        <v>3.4220000000000002</v>
      </c>
      <c r="F662" s="129">
        <f t="shared" si="32"/>
        <v>0.16141574000000003</v>
      </c>
      <c r="G662" t="str">
        <f>_xlfn.XLOOKUP(D662,'[1]2050 BAU Mapping to T &amp; C'!$A$3:$A$52,'[1]2050 BAU Mapping to T &amp; C'!$B$3:$B$52)</f>
        <v>Tropical Fruits</v>
      </c>
      <c r="H662" s="129">
        <f>_xlfn.XLOOKUP(G662,'[1]T&amp;C emissions for 2050 analysis'!$B$3:$B$23,'[1]T&amp;C emissions for 2050 analysis'!$C$3:$C$23)</f>
        <v>0.51333333333333331</v>
      </c>
      <c r="I662" s="27">
        <f t="shared" si="30"/>
        <v>8.2860079866666672E-2</v>
      </c>
      <c r="J662" s="129">
        <f t="shared" si="31"/>
        <v>1.7566266666666666</v>
      </c>
    </row>
    <row r="663" spans="1:10" hidden="1" x14ac:dyDescent="0.35">
      <c r="A663" s="126" t="s">
        <v>494</v>
      </c>
      <c r="B663" t="str">
        <f>_xlfn.XLOOKUP(A663,'[1]2050Pop'!$A$7:$A$143,'[1]2050Pop'!$D$7:$D$143)</f>
        <v>SSA</v>
      </c>
      <c r="C663" s="127">
        <f>1000*_xlfn.XLOOKUP(A663,'[1]2050Pop'!$A$7:$A$143,'[1]2050Pop'!$C$7:$C$143)</f>
        <v>42975</v>
      </c>
      <c r="D663" s="126" t="s">
        <v>497</v>
      </c>
      <c r="E663" s="128">
        <v>0.871</v>
      </c>
      <c r="F663" s="129">
        <f t="shared" si="32"/>
        <v>3.7431224999999999E-2</v>
      </c>
      <c r="G663" t="str">
        <f>_xlfn.XLOOKUP(D663,'[1]2050 BAU Mapping to T &amp; C'!$A$3:$A$52,'[1]2050 BAU Mapping to T &amp; C'!$B$3:$B$52)</f>
        <v>Tropical Fruits</v>
      </c>
      <c r="H663" s="129">
        <f>_xlfn.XLOOKUP(G663,'[1]T&amp;C emissions for 2050 analysis'!$B$3:$B$23,'[1]T&amp;C emissions for 2050 analysis'!$C$3:$C$23)</f>
        <v>0.51333333333333331</v>
      </c>
      <c r="I663" s="27">
        <f t="shared" si="30"/>
        <v>1.9214695499999997E-2</v>
      </c>
      <c r="J663" s="129">
        <f t="shared" si="31"/>
        <v>0.44711333333333331</v>
      </c>
    </row>
    <row r="664" spans="1:10" hidden="1" x14ac:dyDescent="0.35">
      <c r="A664" s="126" t="s">
        <v>479</v>
      </c>
      <c r="B664" t="str">
        <f>_xlfn.XLOOKUP(A664,'[1]2050Pop'!$A$7:$A$143,'[1]2050Pop'!$D$7:$D$143)</f>
        <v>SSA</v>
      </c>
      <c r="C664" s="127">
        <f>1000*_xlfn.XLOOKUP(A664,'[1]2050Pop'!$A$7:$A$143,'[1]2050Pop'!$C$7:$C$143)</f>
        <v>29615</v>
      </c>
      <c r="D664" s="126" t="s">
        <v>497</v>
      </c>
      <c r="E664" s="128">
        <v>0.88300000000000001</v>
      </c>
      <c r="F664" s="129">
        <f t="shared" si="32"/>
        <v>2.6150045E-2</v>
      </c>
      <c r="G664" t="str">
        <f>_xlfn.XLOOKUP(D664,'[1]2050 BAU Mapping to T &amp; C'!$A$3:$A$52,'[1]2050 BAU Mapping to T &amp; C'!$B$3:$B$52)</f>
        <v>Tropical Fruits</v>
      </c>
      <c r="H664" s="129">
        <f>_xlfn.XLOOKUP(G664,'[1]T&amp;C emissions for 2050 analysis'!$B$3:$B$23,'[1]T&amp;C emissions for 2050 analysis'!$C$3:$C$23)</f>
        <v>0.51333333333333331</v>
      </c>
      <c r="I664" s="27">
        <f t="shared" si="30"/>
        <v>1.3423689766666667E-2</v>
      </c>
      <c r="J664" s="129">
        <f t="shared" si="31"/>
        <v>0.45327333333333331</v>
      </c>
    </row>
    <row r="665" spans="1:10" hidden="1" x14ac:dyDescent="0.35">
      <c r="A665" s="126" t="s">
        <v>358</v>
      </c>
      <c r="B665" t="str">
        <f>_xlfn.XLOOKUP(A665,'[1]2050Pop'!$A$7:$A$143,'[1]2050Pop'!$D$7:$D$143)</f>
        <v>MENA</v>
      </c>
      <c r="C665" s="127">
        <f>1000*_xlfn.XLOOKUP(A665,'[1]2050Pop'!$A$7:$A$143,'[1]2050Pop'!$C$7:$C$143)</f>
        <v>56461</v>
      </c>
      <c r="D665" s="126" t="s">
        <v>498</v>
      </c>
      <c r="E665" s="128">
        <v>0.86599999999999999</v>
      </c>
      <c r="F665" s="129">
        <f t="shared" si="32"/>
        <v>4.8895226E-2</v>
      </c>
      <c r="G665" t="str">
        <f>_xlfn.XLOOKUP(D665,'[1]2050 BAU Mapping to T &amp; C'!$A$3:$A$52,'[1]2050 BAU Mapping to T &amp; C'!$B$3:$B$52)</f>
        <v>Tropical Fruits</v>
      </c>
      <c r="H665" s="129">
        <f>_xlfn.XLOOKUP(G665,'[1]T&amp;C emissions for 2050 analysis'!$B$3:$B$23,'[1]T&amp;C emissions for 2050 analysis'!$C$3:$C$23)</f>
        <v>0.51333333333333331</v>
      </c>
      <c r="I665" s="27">
        <f t="shared" si="30"/>
        <v>2.5099549346666666E-2</v>
      </c>
      <c r="J665" s="129">
        <f t="shared" si="31"/>
        <v>0.44454666666666665</v>
      </c>
    </row>
    <row r="666" spans="1:10" hidden="1" x14ac:dyDescent="0.35">
      <c r="A666" s="126" t="s">
        <v>359</v>
      </c>
      <c r="B666" t="str">
        <f>_xlfn.XLOOKUP(A666,'[1]2050Pop'!$A$7:$A$143,'[1]2050Pop'!$D$7:$D$143)</f>
        <v>SSA</v>
      </c>
      <c r="C666" s="127">
        <f>1000*_xlfn.XLOOKUP(A666,'[1]2050Pop'!$A$7:$A$143,'[1]2050Pop'!$C$7:$C$143)</f>
        <v>65473</v>
      </c>
      <c r="D666" s="126" t="s">
        <v>498</v>
      </c>
      <c r="E666" s="128">
        <v>0.69399999999999995</v>
      </c>
      <c r="F666" s="129">
        <f t="shared" si="32"/>
        <v>4.5438261999999993E-2</v>
      </c>
      <c r="G666" t="str">
        <f>_xlfn.XLOOKUP(D666,'[1]2050 BAU Mapping to T &amp; C'!$A$3:$A$52,'[1]2050 BAU Mapping to T &amp; C'!$B$3:$B$52)</f>
        <v>Tropical Fruits</v>
      </c>
      <c r="H666" s="129">
        <f>_xlfn.XLOOKUP(G666,'[1]T&amp;C emissions for 2050 analysis'!$B$3:$B$23,'[1]T&amp;C emissions for 2050 analysis'!$C$3:$C$23)</f>
        <v>0.51333333333333331</v>
      </c>
      <c r="I666" s="27">
        <f t="shared" si="30"/>
        <v>2.3324974493333327E-2</v>
      </c>
      <c r="J666" s="129">
        <f t="shared" si="31"/>
        <v>0.35625333333333331</v>
      </c>
    </row>
    <row r="667" spans="1:10" hidden="1" x14ac:dyDescent="0.35">
      <c r="A667" s="126" t="s">
        <v>360</v>
      </c>
      <c r="B667" t="str">
        <f>_xlfn.XLOOKUP(A667,'[1]2050Pop'!$A$7:$A$143,'[1]2050Pop'!$D$7:$D$143)</f>
        <v>LatAm &amp; RSA</v>
      </c>
      <c r="C667" s="127">
        <f>1000*_xlfn.XLOOKUP(A667,'[1]2050Pop'!$A$7:$A$143,'[1]2050Pop'!$C$7:$C$143)</f>
        <v>55445</v>
      </c>
      <c r="D667" s="126" t="s">
        <v>498</v>
      </c>
      <c r="E667" s="128">
        <v>1.153</v>
      </c>
      <c r="F667" s="129">
        <f t="shared" si="32"/>
        <v>6.3928084999999996E-2</v>
      </c>
      <c r="G667" t="str">
        <f>_xlfn.XLOOKUP(D667,'[1]2050 BAU Mapping to T &amp; C'!$A$3:$A$52,'[1]2050 BAU Mapping to T &amp; C'!$B$3:$B$52)</f>
        <v>Tropical Fruits</v>
      </c>
      <c r="H667" s="129">
        <f>_xlfn.XLOOKUP(G667,'[1]T&amp;C emissions for 2050 analysis'!$B$3:$B$23,'[1]T&amp;C emissions for 2050 analysis'!$C$3:$C$23)</f>
        <v>0.51333333333333331</v>
      </c>
      <c r="I667" s="27">
        <f t="shared" si="30"/>
        <v>3.2816416966666664E-2</v>
      </c>
      <c r="J667" s="129">
        <f t="shared" si="31"/>
        <v>0.59187333333333336</v>
      </c>
    </row>
    <row r="668" spans="1:10" hidden="1" x14ac:dyDescent="0.35">
      <c r="A668" s="126" t="s">
        <v>361</v>
      </c>
      <c r="B668" t="str">
        <f>_xlfn.XLOOKUP(A668,'[1]2050Pop'!$A$7:$A$143,'[1]2050Pop'!$D$7:$D$143)</f>
        <v>MENA</v>
      </c>
      <c r="C668" s="127">
        <f>1000*_xlfn.XLOOKUP(A668,'[1]2050Pop'!$A$7:$A$143,'[1]2050Pop'!$C$7:$C$143)</f>
        <v>2729</v>
      </c>
      <c r="D668" s="126" t="s">
        <v>498</v>
      </c>
      <c r="E668" s="128">
        <v>1.018</v>
      </c>
      <c r="F668" s="129">
        <f t="shared" si="32"/>
        <v>2.7781220000000001E-3</v>
      </c>
      <c r="G668" t="str">
        <f>_xlfn.XLOOKUP(D668,'[1]2050 BAU Mapping to T &amp; C'!$A$3:$A$52,'[1]2050 BAU Mapping to T &amp; C'!$B$3:$B$52)</f>
        <v>Tropical Fruits</v>
      </c>
      <c r="H668" s="129">
        <f>_xlfn.XLOOKUP(G668,'[1]T&amp;C emissions for 2050 analysis'!$B$3:$B$23,'[1]T&amp;C emissions for 2050 analysis'!$C$3:$C$23)</f>
        <v>0.51333333333333331</v>
      </c>
      <c r="I668" s="27">
        <f t="shared" si="30"/>
        <v>1.4261026266666665E-3</v>
      </c>
      <c r="J668" s="129">
        <f t="shared" si="31"/>
        <v>0.52257333333333333</v>
      </c>
    </row>
    <row r="669" spans="1:10" hidden="1" x14ac:dyDescent="0.35">
      <c r="A669" s="126" t="s">
        <v>362</v>
      </c>
      <c r="B669" t="str">
        <f>_xlfn.XLOOKUP(A669,'[1]2050Pop'!$A$7:$A$143,'[1]2050Pop'!$D$7:$D$143)</f>
        <v>Euro/AU/NZ</v>
      </c>
      <c r="C669" s="127">
        <f>1000*_xlfn.XLOOKUP(A669,'[1]2050Pop'!$A$7:$A$143,'[1]2050Pop'!$C$7:$C$143)</f>
        <v>33496</v>
      </c>
      <c r="D669" s="126" t="s">
        <v>498</v>
      </c>
      <c r="E669" s="128">
        <v>7.4969999999999999</v>
      </c>
      <c r="F669" s="129">
        <f t="shared" si="32"/>
        <v>0.25111951199999999</v>
      </c>
      <c r="G669" t="str">
        <f>_xlfn.XLOOKUP(D669,'[1]2050 BAU Mapping to T &amp; C'!$A$3:$A$52,'[1]2050 BAU Mapping to T &amp; C'!$B$3:$B$52)</f>
        <v>Tropical Fruits</v>
      </c>
      <c r="H669" s="129">
        <f>_xlfn.XLOOKUP(G669,'[1]T&amp;C emissions for 2050 analysis'!$B$3:$B$23,'[1]T&amp;C emissions for 2050 analysis'!$C$3:$C$23)</f>
        <v>0.51333333333333331</v>
      </c>
      <c r="I669" s="27">
        <f t="shared" si="30"/>
        <v>0.12890801616</v>
      </c>
      <c r="J669" s="129">
        <f t="shared" si="31"/>
        <v>3.8484599999999998</v>
      </c>
    </row>
    <row r="670" spans="1:10" hidden="1" x14ac:dyDescent="0.35">
      <c r="A670" s="126" t="s">
        <v>363</v>
      </c>
      <c r="B670" t="str">
        <f>_xlfn.XLOOKUP(A670,'[1]2050Pop'!$A$7:$A$143,'[1]2050Pop'!$D$7:$D$143)</f>
        <v>Euro/AU/NZ</v>
      </c>
      <c r="C670" s="127">
        <f>1000*_xlfn.XLOOKUP(A670,'[1]2050Pop'!$A$7:$A$143,'[1]2050Pop'!$C$7:$C$143)</f>
        <v>8846</v>
      </c>
      <c r="D670" s="126" t="s">
        <v>498</v>
      </c>
      <c r="E670" s="128">
        <v>2.4039999999999999</v>
      </c>
      <c r="F670" s="129">
        <f t="shared" si="32"/>
        <v>2.1265783999999999E-2</v>
      </c>
      <c r="G670" t="str">
        <f>_xlfn.XLOOKUP(D670,'[1]2050 BAU Mapping to T &amp; C'!$A$3:$A$52,'[1]2050 BAU Mapping to T &amp; C'!$B$3:$B$52)</f>
        <v>Tropical Fruits</v>
      </c>
      <c r="H670" s="129">
        <f>_xlfn.XLOOKUP(G670,'[1]T&amp;C emissions for 2050 analysis'!$B$3:$B$23,'[1]T&amp;C emissions for 2050 analysis'!$C$3:$C$23)</f>
        <v>0.51333333333333331</v>
      </c>
      <c r="I670" s="27">
        <f t="shared" si="30"/>
        <v>1.0916435786666666E-2</v>
      </c>
      <c r="J670" s="129">
        <f t="shared" si="31"/>
        <v>1.2340533333333332</v>
      </c>
    </row>
    <row r="671" spans="1:10" hidden="1" x14ac:dyDescent="0.35">
      <c r="A671" s="126" t="s">
        <v>366</v>
      </c>
      <c r="B671" t="str">
        <f>_xlfn.XLOOKUP(A671,'[1]2050Pop'!$A$7:$A$143,'[1]2050Pop'!$D$7:$D$143)</f>
        <v>Euro/AU/NZ</v>
      </c>
      <c r="C671" s="127">
        <f>1000*_xlfn.XLOOKUP(A671,'[1]2050Pop'!$A$7:$A$143,'[1]2050Pop'!$C$7:$C$143)</f>
        <v>8125</v>
      </c>
      <c r="D671" s="126" t="s">
        <v>498</v>
      </c>
      <c r="E671" s="131">
        <v>0.9</v>
      </c>
      <c r="F671" s="129">
        <f t="shared" si="32"/>
        <v>7.3125000000000004E-3</v>
      </c>
      <c r="G671" t="str">
        <f>_xlfn.XLOOKUP(D671,'[1]2050 BAU Mapping to T &amp; C'!$A$3:$A$52,'[1]2050 BAU Mapping to T &amp; C'!$B$3:$B$52)</f>
        <v>Tropical Fruits</v>
      </c>
      <c r="H671" s="129">
        <f>_xlfn.XLOOKUP(G671,'[1]T&amp;C emissions for 2050 analysis'!$B$3:$B$23,'[1]T&amp;C emissions for 2050 analysis'!$C$3:$C$23)</f>
        <v>0.51333333333333331</v>
      </c>
      <c r="I671" s="27">
        <f t="shared" si="30"/>
        <v>3.7537500000000001E-3</v>
      </c>
      <c r="J671" s="129">
        <f t="shared" si="31"/>
        <v>0.46199999999999997</v>
      </c>
    </row>
    <row r="672" spans="1:10" hidden="1" x14ac:dyDescent="0.35">
      <c r="A672" s="126" t="s">
        <v>367</v>
      </c>
      <c r="B672" t="str">
        <f>_xlfn.XLOOKUP(A672,'[1]2050Pop'!$A$7:$A$143,'[1]2050Pop'!$D$7:$D$143)</f>
        <v>Euro/AU/NZ</v>
      </c>
      <c r="C672" s="127">
        <f>1000*_xlfn.XLOOKUP(A672,'[1]2050Pop'!$A$7:$A$143,'[1]2050Pop'!$C$7:$C$143)</f>
        <v>12527</v>
      </c>
      <c r="D672" s="126" t="s">
        <v>498</v>
      </c>
      <c r="E672" s="128">
        <v>7.8689999999999998</v>
      </c>
      <c r="F672" s="129">
        <f t="shared" si="32"/>
        <v>9.8574963000000002E-2</v>
      </c>
      <c r="G672" t="str">
        <f>_xlfn.XLOOKUP(D672,'[1]2050 BAU Mapping to T &amp; C'!$A$3:$A$52,'[1]2050 BAU Mapping to T &amp; C'!$B$3:$B$52)</f>
        <v>Tropical Fruits</v>
      </c>
      <c r="H672" s="129">
        <f>_xlfn.XLOOKUP(G672,'[1]T&amp;C emissions for 2050 analysis'!$B$3:$B$23,'[1]T&amp;C emissions for 2050 analysis'!$C$3:$C$23)</f>
        <v>0.51333333333333331</v>
      </c>
      <c r="I672" s="27">
        <f t="shared" si="30"/>
        <v>5.0601814339999995E-2</v>
      </c>
      <c r="J672" s="129">
        <f t="shared" si="31"/>
        <v>4.0394199999999998</v>
      </c>
    </row>
    <row r="673" spans="1:10" hidden="1" x14ac:dyDescent="0.35">
      <c r="A673" s="126" t="s">
        <v>368</v>
      </c>
      <c r="B673" t="str">
        <f>_xlfn.XLOOKUP(A673,'[1]2050Pop'!$A$7:$A$143,'[1]2050Pop'!$D$7:$D$143)</f>
        <v>SSA</v>
      </c>
      <c r="C673" s="127">
        <f>1000*_xlfn.XLOOKUP(A673,'[1]2050Pop'!$A$7:$A$143,'[1]2050Pop'!$C$7:$C$143)</f>
        <v>22549</v>
      </c>
      <c r="D673" s="126" t="s">
        <v>498</v>
      </c>
      <c r="E673" s="128">
        <v>0.93100000000000005</v>
      </c>
      <c r="F673" s="129">
        <f t="shared" si="32"/>
        <v>2.0993119000000001E-2</v>
      </c>
      <c r="G673" t="str">
        <f>_xlfn.XLOOKUP(D673,'[1]2050 BAU Mapping to T &amp; C'!$A$3:$A$52,'[1]2050 BAU Mapping to T &amp; C'!$B$3:$B$52)</f>
        <v>Tropical Fruits</v>
      </c>
      <c r="H673" s="129">
        <f>_xlfn.XLOOKUP(G673,'[1]T&amp;C emissions for 2050 analysis'!$B$3:$B$23,'[1]T&amp;C emissions for 2050 analysis'!$C$3:$C$23)</f>
        <v>0.51333333333333331</v>
      </c>
      <c r="I673" s="27">
        <f t="shared" si="30"/>
        <v>1.0776467753333333E-2</v>
      </c>
      <c r="J673" s="129">
        <f t="shared" si="31"/>
        <v>0.47791333333333336</v>
      </c>
    </row>
    <row r="674" spans="1:10" hidden="1" x14ac:dyDescent="0.35">
      <c r="A674" s="126" t="s">
        <v>369</v>
      </c>
      <c r="B674" t="str">
        <f>_xlfn.XLOOKUP(A674,'[1]2050Pop'!$A$7:$A$143,'[1]2050Pop'!$D$7:$D$143)</f>
        <v>LatAm &amp; RSA</v>
      </c>
      <c r="C674" s="127">
        <f>1000*_xlfn.XLOOKUP(A674,'[1]2050Pop'!$A$7:$A$143,'[1]2050Pop'!$C$7:$C$143)</f>
        <v>15963</v>
      </c>
      <c r="D674" s="126" t="s">
        <v>498</v>
      </c>
      <c r="E674" s="128">
        <v>0.91800000000000004</v>
      </c>
      <c r="F674" s="129">
        <f t="shared" si="32"/>
        <v>1.4654034000000002E-2</v>
      </c>
      <c r="G674" t="str">
        <f>_xlfn.XLOOKUP(D674,'[1]2050 BAU Mapping to T &amp; C'!$A$3:$A$52,'[1]2050 BAU Mapping to T &amp; C'!$B$3:$B$52)</f>
        <v>Tropical Fruits</v>
      </c>
      <c r="H674" s="129">
        <f>_xlfn.XLOOKUP(G674,'[1]T&amp;C emissions for 2050 analysis'!$B$3:$B$23,'[1]T&amp;C emissions for 2050 analysis'!$C$3:$C$23)</f>
        <v>0.51333333333333331</v>
      </c>
      <c r="I674" s="27">
        <f t="shared" si="30"/>
        <v>7.5224041200000003E-3</v>
      </c>
      <c r="J674" s="129">
        <f t="shared" si="31"/>
        <v>0.47123999999999999</v>
      </c>
    </row>
    <row r="675" spans="1:10" hidden="1" x14ac:dyDescent="0.35">
      <c r="A675" s="126" t="s">
        <v>372</v>
      </c>
      <c r="B675" t="str">
        <f>_xlfn.XLOOKUP(A675,'[1]2050Pop'!$A$7:$A$143,'[1]2050Pop'!$D$7:$D$143)</f>
        <v>LatAm &amp; RSA</v>
      </c>
      <c r="C675" s="127">
        <f>1000*_xlfn.XLOOKUP(A675,'[1]2050Pop'!$A$7:$A$143,'[1]2050Pop'!$C$7:$C$143)</f>
        <v>238270</v>
      </c>
      <c r="D675" s="126" t="s">
        <v>498</v>
      </c>
      <c r="E675" s="128">
        <v>44.776000000000003</v>
      </c>
      <c r="F675" s="129">
        <f t="shared" si="32"/>
        <v>10.668777520000001</v>
      </c>
      <c r="G675" t="str">
        <f>_xlfn.XLOOKUP(D675,'[1]2050 BAU Mapping to T &amp; C'!$A$3:$A$52,'[1]2050 BAU Mapping to T &amp; C'!$B$3:$B$52)</f>
        <v>Tropical Fruits</v>
      </c>
      <c r="H675" s="129">
        <f>_xlfn.XLOOKUP(G675,'[1]T&amp;C emissions for 2050 analysis'!$B$3:$B$23,'[1]T&amp;C emissions for 2050 analysis'!$C$3:$C$23)</f>
        <v>0.51333333333333331</v>
      </c>
      <c r="I675" s="27">
        <f t="shared" si="30"/>
        <v>5.4766391269333337</v>
      </c>
      <c r="J675" s="129">
        <f t="shared" si="31"/>
        <v>22.985013333333335</v>
      </c>
    </row>
    <row r="676" spans="1:10" hidden="1" x14ac:dyDescent="0.35">
      <c r="A676" s="126" t="s">
        <v>373</v>
      </c>
      <c r="B676" t="str">
        <f>_xlfn.XLOOKUP(A676,'[1]2050Pop'!$A$7:$A$143,'[1]2050Pop'!$D$7:$D$143)</f>
        <v>Euro/AU/NZ</v>
      </c>
      <c r="C676" s="127">
        <f>1000*_xlfn.XLOOKUP(A676,'[1]2050Pop'!$A$7:$A$143,'[1]2050Pop'!$C$7:$C$143)</f>
        <v>5154</v>
      </c>
      <c r="D676" s="126" t="s">
        <v>498</v>
      </c>
      <c r="E676" s="128">
        <v>1.073</v>
      </c>
      <c r="F676" s="129">
        <f t="shared" si="32"/>
        <v>5.5302420000000003E-3</v>
      </c>
      <c r="G676" t="str">
        <f>_xlfn.XLOOKUP(D676,'[1]2050 BAU Mapping to T &amp; C'!$A$3:$A$52,'[1]2050 BAU Mapping to T &amp; C'!$B$3:$B$52)</f>
        <v>Tropical Fruits</v>
      </c>
      <c r="H676" s="129">
        <f>_xlfn.XLOOKUP(G676,'[1]T&amp;C emissions for 2050 analysis'!$B$3:$B$23,'[1]T&amp;C emissions for 2050 analysis'!$C$3:$C$23)</f>
        <v>0.51333333333333331</v>
      </c>
      <c r="I676" s="27">
        <f t="shared" si="30"/>
        <v>2.8388575600000001E-3</v>
      </c>
      <c r="J676" s="129">
        <f t="shared" si="31"/>
        <v>0.55080666666666667</v>
      </c>
    </row>
    <row r="677" spans="1:10" hidden="1" x14ac:dyDescent="0.35">
      <c r="A677" s="126" t="s">
        <v>374</v>
      </c>
      <c r="B677" t="str">
        <f>_xlfn.XLOOKUP(A677,'[1]2050Pop'!$A$7:$A$143,'[1]2050Pop'!$D$7:$D$143)</f>
        <v>APAC</v>
      </c>
      <c r="C677" s="127">
        <f>1000*_xlfn.XLOOKUP(A677,'[1]2050Pop'!$A$7:$A$143,'[1]2050Pop'!$C$7:$C$143)</f>
        <v>22545</v>
      </c>
      <c r="D677" s="126" t="s">
        <v>498</v>
      </c>
      <c r="E677" s="128">
        <v>3.7930000000000001</v>
      </c>
      <c r="F677" s="129">
        <f t="shared" si="32"/>
        <v>8.5513184999999992E-2</v>
      </c>
      <c r="G677" t="str">
        <f>_xlfn.XLOOKUP(D677,'[1]2050 BAU Mapping to T &amp; C'!$A$3:$A$52,'[1]2050 BAU Mapping to T &amp; C'!$B$3:$B$52)</f>
        <v>Tropical Fruits</v>
      </c>
      <c r="H677" s="129">
        <f>_xlfn.XLOOKUP(G677,'[1]T&amp;C emissions for 2050 analysis'!$B$3:$B$23,'[1]T&amp;C emissions for 2050 analysis'!$C$3:$C$23)</f>
        <v>0.51333333333333331</v>
      </c>
      <c r="I677" s="27">
        <f t="shared" si="30"/>
        <v>4.3896768299999993E-2</v>
      </c>
      <c r="J677" s="129">
        <f t="shared" si="31"/>
        <v>1.9470733333333332</v>
      </c>
    </row>
    <row r="678" spans="1:10" hidden="1" x14ac:dyDescent="0.35">
      <c r="A678" s="126" t="s">
        <v>376</v>
      </c>
      <c r="B678" t="str">
        <f>_xlfn.XLOOKUP(A678,'[1]2050Pop'!$A$7:$A$143,'[1]2050Pop'!$D$7:$D$143)</f>
        <v>NAm</v>
      </c>
      <c r="C678" s="127">
        <f>1000*_xlfn.XLOOKUP(A678,'[1]2050Pop'!$A$7:$A$143,'[1]2050Pop'!$C$7:$C$143)</f>
        <v>44136</v>
      </c>
      <c r="D678" s="126" t="s">
        <v>498</v>
      </c>
      <c r="E678" s="128">
        <v>4.1779999999999999</v>
      </c>
      <c r="F678" s="129">
        <f t="shared" si="32"/>
        <v>0.18440020799999998</v>
      </c>
      <c r="G678" t="str">
        <f>_xlfn.XLOOKUP(D678,'[1]2050 BAU Mapping to T &amp; C'!$A$3:$A$52,'[1]2050 BAU Mapping to T &amp; C'!$B$3:$B$52)</f>
        <v>Tropical Fruits</v>
      </c>
      <c r="H678" s="129">
        <f>_xlfn.XLOOKUP(G678,'[1]T&amp;C emissions for 2050 analysis'!$B$3:$B$23,'[1]T&amp;C emissions for 2050 analysis'!$C$3:$C$23)</f>
        <v>0.51333333333333331</v>
      </c>
      <c r="I678" s="27">
        <f t="shared" si="30"/>
        <v>9.4658773439999983E-2</v>
      </c>
      <c r="J678" s="129">
        <f t="shared" si="31"/>
        <v>2.1447066666666665</v>
      </c>
    </row>
    <row r="679" spans="1:10" hidden="1" x14ac:dyDescent="0.35">
      <c r="A679" s="126" t="s">
        <v>378</v>
      </c>
      <c r="B679" t="str">
        <f>_xlfn.XLOOKUP(A679,'[1]2050Pop'!$A$7:$A$143,'[1]2050Pop'!$D$7:$D$143)</f>
        <v>LatAm &amp; RSA</v>
      </c>
      <c r="C679" s="127">
        <f>1000*_xlfn.XLOOKUP(A679,'[1]2050Pop'!$A$7:$A$143,'[1]2050Pop'!$C$7:$C$143)</f>
        <v>21601</v>
      </c>
      <c r="D679" s="126" t="s">
        <v>498</v>
      </c>
      <c r="E679" s="128">
        <v>1.8120000000000001</v>
      </c>
      <c r="F679" s="129">
        <f t="shared" si="32"/>
        <v>3.9141012000000003E-2</v>
      </c>
      <c r="G679" t="str">
        <f>_xlfn.XLOOKUP(D679,'[1]2050 BAU Mapping to T &amp; C'!$A$3:$A$52,'[1]2050 BAU Mapping to T &amp; C'!$B$3:$B$52)</f>
        <v>Tropical Fruits</v>
      </c>
      <c r="H679" s="129">
        <f>_xlfn.XLOOKUP(G679,'[1]T&amp;C emissions for 2050 analysis'!$B$3:$B$23,'[1]T&amp;C emissions for 2050 analysis'!$C$3:$C$23)</f>
        <v>0.51333333333333331</v>
      </c>
      <c r="I679" s="27">
        <f t="shared" si="30"/>
        <v>2.009238616E-2</v>
      </c>
      <c r="J679" s="129">
        <f t="shared" si="31"/>
        <v>0.93015999999999999</v>
      </c>
    </row>
    <row r="680" spans="1:10" hidden="1" x14ac:dyDescent="0.35">
      <c r="A680" s="126" t="s">
        <v>379</v>
      </c>
      <c r="B680" t="str">
        <f>_xlfn.XLOOKUP(A680,'[1]2050Pop'!$A$7:$A$143,'[1]2050Pop'!$D$7:$D$143)</f>
        <v>Greater China</v>
      </c>
      <c r="C680" s="127">
        <f>1000*_xlfn.XLOOKUP(A680,'[1]2050Pop'!$A$7:$A$143,'[1]2050Pop'!$C$7:$C$143)</f>
        <v>8148</v>
      </c>
      <c r="D680" s="126" t="s">
        <v>498</v>
      </c>
      <c r="E680" s="128">
        <v>3.2959999999999998</v>
      </c>
      <c r="F680" s="129">
        <f t="shared" si="32"/>
        <v>2.6855807999999998E-2</v>
      </c>
      <c r="G680" t="str">
        <f>_xlfn.XLOOKUP(D680,'[1]2050 BAU Mapping to T &amp; C'!$A$3:$A$52,'[1]2050 BAU Mapping to T &amp; C'!$B$3:$B$52)</f>
        <v>Tropical Fruits</v>
      </c>
      <c r="H680" s="129">
        <f>_xlfn.XLOOKUP(G680,'[1]T&amp;C emissions for 2050 analysis'!$B$3:$B$23,'[1]T&amp;C emissions for 2050 analysis'!$C$3:$C$23)</f>
        <v>0.51333333333333331</v>
      </c>
      <c r="I680" s="27">
        <f t="shared" si="30"/>
        <v>1.3785981439999999E-2</v>
      </c>
      <c r="J680" s="129">
        <f t="shared" si="31"/>
        <v>1.6919466666666665</v>
      </c>
    </row>
    <row r="681" spans="1:10" hidden="1" x14ac:dyDescent="0.35">
      <c r="A681" s="126" t="s">
        <v>380</v>
      </c>
      <c r="B681" t="str">
        <f>_xlfn.XLOOKUP(A681,'[1]2050Pop'!$A$7:$A$143,'[1]2050Pop'!$D$7:$D$143)</f>
        <v>Greater China</v>
      </c>
      <c r="C681" s="127">
        <f>1000*_xlfn.XLOOKUP(A681,'[1]2050Pop'!$A$7:$A$143,'[1]2050Pop'!$C$7:$C$143)</f>
        <v>1348056</v>
      </c>
      <c r="D681" s="126" t="s">
        <v>498</v>
      </c>
      <c r="E681" s="128">
        <v>0.94799999999999995</v>
      </c>
      <c r="F681" s="129">
        <f t="shared" si="32"/>
        <v>1.277957088</v>
      </c>
      <c r="G681" t="str">
        <f>_xlfn.XLOOKUP(D681,'[1]2050 BAU Mapping to T &amp; C'!$A$3:$A$52,'[1]2050 BAU Mapping to T &amp; C'!$B$3:$B$52)</f>
        <v>Tropical Fruits</v>
      </c>
      <c r="H681" s="129">
        <f>_xlfn.XLOOKUP(G681,'[1]T&amp;C emissions for 2050 analysis'!$B$3:$B$23,'[1]T&amp;C emissions for 2050 analysis'!$C$3:$C$23)</f>
        <v>0.51333333333333331</v>
      </c>
      <c r="I681" s="27">
        <f t="shared" si="30"/>
        <v>0.65601797183999999</v>
      </c>
      <c r="J681" s="129">
        <f t="shared" si="31"/>
        <v>0.48663999999999996</v>
      </c>
    </row>
    <row r="682" spans="1:10" hidden="1" x14ac:dyDescent="0.35">
      <c r="A682" s="126" t="s">
        <v>381</v>
      </c>
      <c r="B682" t="str">
        <f>_xlfn.XLOOKUP(A682,'[1]2050Pop'!$A$7:$A$143,'[1]2050Pop'!$D$7:$D$143)</f>
        <v>Greater China</v>
      </c>
      <c r="C682" s="127">
        <f>1000*_xlfn.XLOOKUP(A682,'[1]2050Pop'!$A$7:$A$143,'[1]2050Pop'!$C$7:$C$143)</f>
        <v>20778</v>
      </c>
      <c r="D682" s="126" t="s">
        <v>498</v>
      </c>
      <c r="E682" s="128">
        <v>6.6760000000000002</v>
      </c>
      <c r="F682" s="129">
        <f t="shared" si="32"/>
        <v>0.13871392800000001</v>
      </c>
      <c r="G682" t="str">
        <f>_xlfn.XLOOKUP(D682,'[1]2050 BAU Mapping to T &amp; C'!$A$3:$A$52,'[1]2050 BAU Mapping to T &amp; C'!$B$3:$B$52)</f>
        <v>Tropical Fruits</v>
      </c>
      <c r="H682" s="129">
        <f>_xlfn.XLOOKUP(G682,'[1]T&amp;C emissions for 2050 analysis'!$B$3:$B$23,'[1]T&amp;C emissions for 2050 analysis'!$C$3:$C$23)</f>
        <v>0.51333333333333331</v>
      </c>
      <c r="I682" s="27">
        <f t="shared" si="30"/>
        <v>7.1206483040000004E-2</v>
      </c>
      <c r="J682" s="129">
        <f t="shared" si="31"/>
        <v>3.4270133333333335</v>
      </c>
    </row>
    <row r="683" spans="1:10" hidden="1" x14ac:dyDescent="0.35">
      <c r="A683" s="126" t="s">
        <v>382</v>
      </c>
      <c r="B683" t="str">
        <f>_xlfn.XLOOKUP(A683,'[1]2050Pop'!$A$7:$A$143,'[1]2050Pop'!$D$7:$D$143)</f>
        <v>LatAm &amp; RSA</v>
      </c>
      <c r="C683" s="127">
        <f>1000*_xlfn.XLOOKUP(A683,'[1]2050Pop'!$A$7:$A$143,'[1]2050Pop'!$C$7:$C$143)</f>
        <v>54927</v>
      </c>
      <c r="D683" s="126" t="s">
        <v>498</v>
      </c>
      <c r="E683" s="128">
        <v>7.3220000000000001</v>
      </c>
      <c r="F683" s="129">
        <f t="shared" si="32"/>
        <v>0.40217549400000002</v>
      </c>
      <c r="G683" t="str">
        <f>_xlfn.XLOOKUP(D683,'[1]2050 BAU Mapping to T &amp; C'!$A$3:$A$52,'[1]2050 BAU Mapping to T &amp; C'!$B$3:$B$52)</f>
        <v>Tropical Fruits</v>
      </c>
      <c r="H683" s="129">
        <f>_xlfn.XLOOKUP(G683,'[1]T&amp;C emissions for 2050 analysis'!$B$3:$B$23,'[1]T&amp;C emissions for 2050 analysis'!$C$3:$C$23)</f>
        <v>0.51333333333333331</v>
      </c>
      <c r="I683" s="27">
        <f t="shared" si="30"/>
        <v>0.20645008692</v>
      </c>
      <c r="J683" s="129">
        <f t="shared" si="31"/>
        <v>3.7586266666666663</v>
      </c>
    </row>
    <row r="684" spans="1:10" hidden="1" x14ac:dyDescent="0.35">
      <c r="A684" s="126" t="s">
        <v>383</v>
      </c>
      <c r="B684" t="str">
        <f>_xlfn.XLOOKUP(A684,'[1]2050Pop'!$A$7:$A$143,'[1]2050Pop'!$D$7:$D$143)</f>
        <v>LatAm &amp; RSA</v>
      </c>
      <c r="C684" s="127">
        <f>1000*_xlfn.XLOOKUP(A684,'[1]2050Pop'!$A$7:$A$143,'[1]2050Pop'!$C$7:$C$143)</f>
        <v>5759</v>
      </c>
      <c r="D684" s="126" t="s">
        <v>498</v>
      </c>
      <c r="E684" s="128">
        <v>6.4809999999999999</v>
      </c>
      <c r="F684" s="129">
        <f t="shared" si="32"/>
        <v>3.7324078999999996E-2</v>
      </c>
      <c r="G684" t="str">
        <f>_xlfn.XLOOKUP(D684,'[1]2050 BAU Mapping to T &amp; C'!$A$3:$A$52,'[1]2050 BAU Mapping to T &amp; C'!$B$3:$B$52)</f>
        <v>Tropical Fruits</v>
      </c>
      <c r="H684" s="129">
        <f>_xlfn.XLOOKUP(G684,'[1]T&amp;C emissions for 2050 analysis'!$B$3:$B$23,'[1]T&amp;C emissions for 2050 analysis'!$C$3:$C$23)</f>
        <v>0.51333333333333331</v>
      </c>
      <c r="I684" s="27">
        <f t="shared" si="30"/>
        <v>1.9159693886666662E-2</v>
      </c>
      <c r="J684" s="129">
        <f t="shared" si="31"/>
        <v>3.3269133333333332</v>
      </c>
    </row>
    <row r="685" spans="1:10" hidden="1" x14ac:dyDescent="0.35">
      <c r="A685" s="126" t="s">
        <v>384</v>
      </c>
      <c r="B685" t="str">
        <f>_xlfn.XLOOKUP(A685,'[1]2050Pop'!$A$7:$A$143,'[1]2050Pop'!$D$7:$D$143)</f>
        <v>SSA</v>
      </c>
      <c r="C685" s="127">
        <f>1000*_xlfn.XLOOKUP(A685,'[1]2050Pop'!$A$7:$A$143,'[1]2050Pop'!$C$7:$C$143)</f>
        <v>48797</v>
      </c>
      <c r="D685" s="126" t="s">
        <v>498</v>
      </c>
      <c r="E685" s="128">
        <v>6.8550000000000004</v>
      </c>
      <c r="F685" s="129">
        <f t="shared" si="32"/>
        <v>0.33450343500000002</v>
      </c>
      <c r="G685" t="str">
        <f>_xlfn.XLOOKUP(D685,'[1]2050 BAU Mapping to T &amp; C'!$A$3:$A$52,'[1]2050 BAU Mapping to T &amp; C'!$B$3:$B$52)</f>
        <v>Tropical Fruits</v>
      </c>
      <c r="H685" s="129">
        <f>_xlfn.XLOOKUP(G685,'[1]T&amp;C emissions for 2050 analysis'!$B$3:$B$23,'[1]T&amp;C emissions for 2050 analysis'!$C$3:$C$23)</f>
        <v>0.51333333333333331</v>
      </c>
      <c r="I685" s="27">
        <f t="shared" si="30"/>
        <v>0.17171176329999999</v>
      </c>
      <c r="J685" s="129">
        <f t="shared" si="31"/>
        <v>3.5188999999999999</v>
      </c>
    </row>
    <row r="686" spans="1:10" hidden="1" x14ac:dyDescent="0.35">
      <c r="A686" s="126" t="s">
        <v>385</v>
      </c>
      <c r="B686" t="str">
        <f>_xlfn.XLOOKUP(A686,'[1]2050Pop'!$A$7:$A$143,'[1]2050Pop'!$D$7:$D$143)</f>
        <v>Euro/AU/NZ</v>
      </c>
      <c r="C686" s="127">
        <f>1000*_xlfn.XLOOKUP(A686,'[1]2050Pop'!$A$7:$A$143,'[1]2050Pop'!$C$7:$C$143)</f>
        <v>3554</v>
      </c>
      <c r="D686" s="126" t="s">
        <v>498</v>
      </c>
      <c r="E686" s="128">
        <v>0.89200000000000002</v>
      </c>
      <c r="F686" s="129">
        <f t="shared" si="32"/>
        <v>3.1701680000000001E-3</v>
      </c>
      <c r="G686" t="str">
        <f>_xlfn.XLOOKUP(D686,'[1]2050 BAU Mapping to T &amp; C'!$A$3:$A$52,'[1]2050 BAU Mapping to T &amp; C'!$B$3:$B$52)</f>
        <v>Tropical Fruits</v>
      </c>
      <c r="H686" s="129">
        <f>_xlfn.XLOOKUP(G686,'[1]T&amp;C emissions for 2050 analysis'!$B$3:$B$23,'[1]T&amp;C emissions for 2050 analysis'!$C$3:$C$23)</f>
        <v>0.51333333333333331</v>
      </c>
      <c r="I686" s="27">
        <f t="shared" si="30"/>
        <v>1.6273529066666668E-3</v>
      </c>
      <c r="J686" s="129">
        <f t="shared" si="31"/>
        <v>0.45789333333333332</v>
      </c>
    </row>
    <row r="687" spans="1:10" hidden="1" x14ac:dyDescent="0.35">
      <c r="A687" s="126" t="s">
        <v>386</v>
      </c>
      <c r="B687" t="str">
        <f>_xlfn.XLOOKUP(A687,'[1]2050Pop'!$A$7:$A$143,'[1]2050Pop'!$D$7:$D$143)</f>
        <v>LatAm &amp; RSA</v>
      </c>
      <c r="C687" s="127">
        <f>1000*_xlfn.XLOOKUP(A687,'[1]2050Pop'!$A$7:$A$143,'[1]2050Pop'!$C$7:$C$143)</f>
        <v>10339</v>
      </c>
      <c r="D687" s="126" t="s">
        <v>498</v>
      </c>
      <c r="E687" s="128">
        <v>17.606999999999999</v>
      </c>
      <c r="F687" s="129">
        <f t="shared" si="32"/>
        <v>0.18203877299999999</v>
      </c>
      <c r="G687" t="str">
        <f>_xlfn.XLOOKUP(D687,'[1]2050 BAU Mapping to T &amp; C'!$A$3:$A$52,'[1]2050 BAU Mapping to T &amp; C'!$B$3:$B$52)</f>
        <v>Tropical Fruits</v>
      </c>
      <c r="H687" s="129">
        <f>_xlfn.XLOOKUP(G687,'[1]T&amp;C emissions for 2050 analysis'!$B$3:$B$23,'[1]T&amp;C emissions for 2050 analysis'!$C$3:$C$23)</f>
        <v>0.51333333333333331</v>
      </c>
      <c r="I687" s="27">
        <f t="shared" si="30"/>
        <v>9.344657013999999E-2</v>
      </c>
      <c r="J687" s="129">
        <f t="shared" si="31"/>
        <v>9.0382599999999993</v>
      </c>
    </row>
    <row r="688" spans="1:10" hidden="1" x14ac:dyDescent="0.35">
      <c r="A688" s="126" t="s">
        <v>387</v>
      </c>
      <c r="B688" t="str">
        <f>_xlfn.XLOOKUP(A688,'[1]2050Pop'!$A$7:$A$143,'[1]2050Pop'!$D$7:$D$143)</f>
        <v>Euro/AU/NZ</v>
      </c>
      <c r="C688" s="127">
        <f>1000*_xlfn.XLOOKUP(A688,'[1]2050Pop'!$A$7:$A$143,'[1]2050Pop'!$C$7:$C$143)</f>
        <v>9965</v>
      </c>
      <c r="D688" s="126" t="s">
        <v>498</v>
      </c>
      <c r="E688" s="128">
        <v>2.879</v>
      </c>
      <c r="F688" s="129">
        <f t="shared" si="32"/>
        <v>2.8689235E-2</v>
      </c>
      <c r="G688" t="str">
        <f>_xlfn.XLOOKUP(D688,'[1]2050 BAU Mapping to T &amp; C'!$A$3:$A$52,'[1]2050 BAU Mapping to T &amp; C'!$B$3:$B$52)</f>
        <v>Tropical Fruits</v>
      </c>
      <c r="H688" s="129">
        <f>_xlfn.XLOOKUP(G688,'[1]T&amp;C emissions for 2050 analysis'!$B$3:$B$23,'[1]T&amp;C emissions for 2050 analysis'!$C$3:$C$23)</f>
        <v>0.51333333333333331</v>
      </c>
      <c r="I688" s="27">
        <f t="shared" si="30"/>
        <v>1.4727140633333333E-2</v>
      </c>
      <c r="J688" s="129">
        <f t="shared" si="31"/>
        <v>1.4778866666666666</v>
      </c>
    </row>
    <row r="689" spans="1:10" hidden="1" x14ac:dyDescent="0.35">
      <c r="A689" s="126" t="s">
        <v>388</v>
      </c>
      <c r="B689" t="str">
        <f>_xlfn.XLOOKUP(A689,'[1]2050Pop'!$A$7:$A$143,'[1]2050Pop'!$D$7:$D$143)</f>
        <v>Euro/AU/NZ</v>
      </c>
      <c r="C689" s="127">
        <f>1000*_xlfn.XLOOKUP(A689,'[1]2050Pop'!$A$7:$A$143,'[1]2050Pop'!$C$7:$C$143)</f>
        <v>6299</v>
      </c>
      <c r="D689" s="126" t="s">
        <v>498</v>
      </c>
      <c r="E689" s="128">
        <v>5.4249999999999998</v>
      </c>
      <c r="F689" s="129">
        <f t="shared" si="32"/>
        <v>3.4172074999999996E-2</v>
      </c>
      <c r="G689" t="str">
        <f>_xlfn.XLOOKUP(D689,'[1]2050 BAU Mapping to T &amp; C'!$A$3:$A$52,'[1]2050 BAU Mapping to T &amp; C'!$B$3:$B$52)</f>
        <v>Tropical Fruits</v>
      </c>
      <c r="H689" s="129">
        <f>_xlfn.XLOOKUP(G689,'[1]T&amp;C emissions for 2050 analysis'!$B$3:$B$23,'[1]T&amp;C emissions for 2050 analysis'!$C$3:$C$23)</f>
        <v>0.51333333333333331</v>
      </c>
      <c r="I689" s="27">
        <f t="shared" si="30"/>
        <v>1.7541665166666665E-2</v>
      </c>
      <c r="J689" s="129">
        <f t="shared" si="31"/>
        <v>2.7848333333333333</v>
      </c>
    </row>
    <row r="690" spans="1:10" hidden="1" x14ac:dyDescent="0.35">
      <c r="A690" s="126" t="s">
        <v>389</v>
      </c>
      <c r="B690" t="str">
        <f>_xlfn.XLOOKUP(A690,'[1]2050Pop'!$A$7:$A$143,'[1]2050Pop'!$D$7:$D$143)</f>
        <v>LatAm &amp; RSA</v>
      </c>
      <c r="C690" s="127">
        <f>1000*_xlfn.XLOOKUP(A690,'[1]2050Pop'!$A$7:$A$143,'[1]2050Pop'!$C$7:$C$143)</f>
        <v>13238</v>
      </c>
      <c r="D690" s="126" t="s">
        <v>498</v>
      </c>
      <c r="E690" s="128">
        <v>36.426000000000002</v>
      </c>
      <c r="F690" s="129">
        <f t="shared" si="32"/>
        <v>0.48220738800000001</v>
      </c>
      <c r="G690" t="str">
        <f>_xlfn.XLOOKUP(D690,'[1]2050 BAU Mapping to T &amp; C'!$A$3:$A$52,'[1]2050 BAU Mapping to T &amp; C'!$B$3:$B$52)</f>
        <v>Tropical Fruits</v>
      </c>
      <c r="H690" s="129">
        <f>_xlfn.XLOOKUP(G690,'[1]T&amp;C emissions for 2050 analysis'!$B$3:$B$23,'[1]T&amp;C emissions for 2050 analysis'!$C$3:$C$23)</f>
        <v>0.51333333333333331</v>
      </c>
      <c r="I690" s="27">
        <f t="shared" si="30"/>
        <v>0.24753312584000001</v>
      </c>
      <c r="J690" s="129">
        <f t="shared" si="31"/>
        <v>18.69868</v>
      </c>
    </row>
    <row r="691" spans="1:10" hidden="1" x14ac:dyDescent="0.35">
      <c r="A691" s="126" t="s">
        <v>390</v>
      </c>
      <c r="B691" t="str">
        <f>_xlfn.XLOOKUP(A691,'[1]2050Pop'!$A$7:$A$143,'[1]2050Pop'!$D$7:$D$143)</f>
        <v>LatAm &amp; RSA</v>
      </c>
      <c r="C691" s="127">
        <f>1000*_xlfn.XLOOKUP(A691,'[1]2050Pop'!$A$7:$A$143,'[1]2050Pop'!$C$7:$C$143)</f>
        <v>23013</v>
      </c>
      <c r="D691" s="126" t="s">
        <v>498</v>
      </c>
      <c r="E691" s="128">
        <v>0.89700000000000002</v>
      </c>
      <c r="F691" s="129">
        <f t="shared" si="32"/>
        <v>2.0642661E-2</v>
      </c>
      <c r="G691" t="str">
        <f>_xlfn.XLOOKUP(D691,'[1]2050 BAU Mapping to T &amp; C'!$A$3:$A$52,'[1]2050 BAU Mapping to T &amp; C'!$B$3:$B$52)</f>
        <v>Tropical Fruits</v>
      </c>
      <c r="H691" s="129">
        <f>_xlfn.XLOOKUP(G691,'[1]T&amp;C emissions for 2050 analysis'!$B$3:$B$23,'[1]T&amp;C emissions for 2050 analysis'!$C$3:$C$23)</f>
        <v>0.51333333333333331</v>
      </c>
      <c r="I691" s="27">
        <f t="shared" si="30"/>
        <v>1.059656598E-2</v>
      </c>
      <c r="J691" s="129">
        <f t="shared" si="31"/>
        <v>0.46045999999999998</v>
      </c>
    </row>
    <row r="692" spans="1:10" hidden="1" x14ac:dyDescent="0.35">
      <c r="A692" s="126" t="s">
        <v>391</v>
      </c>
      <c r="B692" t="str">
        <f>_xlfn.XLOOKUP(A692,'[1]2050Pop'!$A$7:$A$143,'[1]2050Pop'!$D$7:$D$143)</f>
        <v>MENA</v>
      </c>
      <c r="C692" s="127">
        <f>1000*_xlfn.XLOOKUP(A692,'[1]2050Pop'!$A$7:$A$143,'[1]2050Pop'!$C$7:$C$143)</f>
        <v>151111</v>
      </c>
      <c r="D692" s="126" t="s">
        <v>498</v>
      </c>
      <c r="E692" s="128">
        <v>1.3759999999999999</v>
      </c>
      <c r="F692" s="129">
        <f t="shared" si="32"/>
        <v>0.20792873599999998</v>
      </c>
      <c r="G692" t="str">
        <f>_xlfn.XLOOKUP(D692,'[1]2050 BAU Mapping to T &amp; C'!$A$3:$A$52,'[1]2050 BAU Mapping to T &amp; C'!$B$3:$B$52)</f>
        <v>Tropical Fruits</v>
      </c>
      <c r="H692" s="129">
        <f>_xlfn.XLOOKUP(G692,'[1]T&amp;C emissions for 2050 analysis'!$B$3:$B$23,'[1]T&amp;C emissions for 2050 analysis'!$C$3:$C$23)</f>
        <v>0.51333333333333331</v>
      </c>
      <c r="I692" s="27">
        <f t="shared" si="30"/>
        <v>0.10673675114666664</v>
      </c>
      <c r="J692" s="129">
        <f t="shared" si="31"/>
        <v>0.70634666666666657</v>
      </c>
    </row>
    <row r="693" spans="1:10" hidden="1" x14ac:dyDescent="0.35">
      <c r="A693" s="126" t="s">
        <v>392</v>
      </c>
      <c r="B693" t="str">
        <f>_xlfn.XLOOKUP(A693,'[1]2050Pop'!$A$7:$A$143,'[1]2050Pop'!$D$7:$D$143)</f>
        <v>LatAm &amp; RSA</v>
      </c>
      <c r="C693" s="127">
        <f>1000*_xlfn.XLOOKUP(A693,'[1]2050Pop'!$A$7:$A$143,'[1]2050Pop'!$C$7:$C$143)</f>
        <v>6390</v>
      </c>
      <c r="D693" s="126" t="s">
        <v>498</v>
      </c>
      <c r="E693" s="128">
        <v>25.004000000000001</v>
      </c>
      <c r="F693" s="129">
        <f t="shared" si="32"/>
        <v>0.15977556000000001</v>
      </c>
      <c r="G693" t="str">
        <f>_xlfn.XLOOKUP(D693,'[1]2050 BAU Mapping to T &amp; C'!$A$3:$A$52,'[1]2050 BAU Mapping to T &amp; C'!$B$3:$B$52)</f>
        <v>Tropical Fruits</v>
      </c>
      <c r="H693" s="129">
        <f>_xlfn.XLOOKUP(G693,'[1]T&amp;C emissions for 2050 analysis'!$B$3:$B$23,'[1]T&amp;C emissions for 2050 analysis'!$C$3:$C$23)</f>
        <v>0.51333333333333331</v>
      </c>
      <c r="I693" s="27">
        <f t="shared" si="30"/>
        <v>8.2018120799999997E-2</v>
      </c>
      <c r="J693" s="129">
        <f t="shared" si="31"/>
        <v>12.835386666666666</v>
      </c>
    </row>
    <row r="694" spans="1:10" hidden="1" x14ac:dyDescent="0.35">
      <c r="A694" s="126" t="s">
        <v>396</v>
      </c>
      <c r="B694" t="str">
        <f>_xlfn.XLOOKUP(A694,'[1]2050Pop'!$A$7:$A$143,'[1]2050Pop'!$D$7:$D$143)</f>
        <v>Euro/AU/NZ</v>
      </c>
      <c r="C694" s="127">
        <f>1000*_xlfn.XLOOKUP(A694,'[1]2050Pop'!$A$7:$A$143,'[1]2050Pop'!$C$7:$C$143)</f>
        <v>71137</v>
      </c>
      <c r="D694" s="126" t="s">
        <v>498</v>
      </c>
      <c r="E694" s="128">
        <v>1.681</v>
      </c>
      <c r="F694" s="129">
        <f t="shared" si="32"/>
        <v>0.119581297</v>
      </c>
      <c r="G694" t="str">
        <f>_xlfn.XLOOKUP(D694,'[1]2050 BAU Mapping to T &amp; C'!$A$3:$A$52,'[1]2050 BAU Mapping to T &amp; C'!$B$3:$B$52)</f>
        <v>Tropical Fruits</v>
      </c>
      <c r="H694" s="129">
        <f>_xlfn.XLOOKUP(G694,'[1]T&amp;C emissions for 2050 analysis'!$B$3:$B$23,'[1]T&amp;C emissions for 2050 analysis'!$C$3:$C$23)</f>
        <v>0.51333333333333331</v>
      </c>
      <c r="I694" s="27">
        <f t="shared" si="30"/>
        <v>6.1385065793333332E-2</v>
      </c>
      <c r="J694" s="129">
        <f t="shared" si="31"/>
        <v>0.86291333333333331</v>
      </c>
    </row>
    <row r="695" spans="1:10" hidden="1" x14ac:dyDescent="0.35">
      <c r="A695" s="126" t="s">
        <v>399</v>
      </c>
      <c r="B695" t="str">
        <f>_xlfn.XLOOKUP(A695,'[1]2050Pop'!$A$7:$A$143,'[1]2050Pop'!$D$7:$D$143)</f>
        <v>Euro/AU/NZ</v>
      </c>
      <c r="C695" s="127">
        <f>1000*_xlfn.XLOOKUP(A695,'[1]2050Pop'!$A$7:$A$143,'[1]2050Pop'!$C$7:$C$143)</f>
        <v>74513</v>
      </c>
      <c r="D695" s="126" t="s">
        <v>498</v>
      </c>
      <c r="E695" s="128">
        <v>2.1989999999999998</v>
      </c>
      <c r="F695" s="129">
        <f t="shared" si="32"/>
        <v>0.16385408700000001</v>
      </c>
      <c r="G695" t="str">
        <f>_xlfn.XLOOKUP(D695,'[1]2050 BAU Mapping to T &amp; C'!$A$3:$A$52,'[1]2050 BAU Mapping to T &amp; C'!$B$3:$B$52)</f>
        <v>Tropical Fruits</v>
      </c>
      <c r="H695" s="129">
        <f>_xlfn.XLOOKUP(G695,'[1]T&amp;C emissions for 2050 analysis'!$B$3:$B$23,'[1]T&amp;C emissions for 2050 analysis'!$C$3:$C$23)</f>
        <v>0.51333333333333331</v>
      </c>
      <c r="I695" s="27">
        <f t="shared" si="30"/>
        <v>8.4111764660000005E-2</v>
      </c>
      <c r="J695" s="129">
        <f t="shared" si="31"/>
        <v>1.1288199999999999</v>
      </c>
    </row>
    <row r="696" spans="1:10" hidden="1" x14ac:dyDescent="0.35">
      <c r="A696" s="126" t="s">
        <v>400</v>
      </c>
      <c r="B696" t="str">
        <f>_xlfn.XLOOKUP(A696,'[1]2050Pop'!$A$7:$A$143,'[1]2050Pop'!$D$7:$D$143)</f>
        <v>SSA</v>
      </c>
      <c r="C696" s="127">
        <f>1000*_xlfn.XLOOKUP(A696,'[1]2050Pop'!$A$7:$A$143,'[1]2050Pop'!$C$7:$C$143)</f>
        <v>50071</v>
      </c>
      <c r="D696" s="126" t="s">
        <v>498</v>
      </c>
      <c r="E696" s="128">
        <v>32.494</v>
      </c>
      <c r="F696" s="129">
        <f t="shared" si="32"/>
        <v>1.627007074</v>
      </c>
      <c r="G696" t="str">
        <f>_xlfn.XLOOKUP(D696,'[1]2050 BAU Mapping to T &amp; C'!$A$3:$A$52,'[1]2050 BAU Mapping to T &amp; C'!$B$3:$B$52)</f>
        <v>Tropical Fruits</v>
      </c>
      <c r="H696" s="129">
        <f>_xlfn.XLOOKUP(G696,'[1]T&amp;C emissions for 2050 analysis'!$B$3:$B$23,'[1]T&amp;C emissions for 2050 analysis'!$C$3:$C$23)</f>
        <v>0.51333333333333331</v>
      </c>
      <c r="I696" s="27">
        <f t="shared" si="30"/>
        <v>0.83519696465333326</v>
      </c>
      <c r="J696" s="129">
        <f t="shared" si="31"/>
        <v>16.680253333333333</v>
      </c>
    </row>
    <row r="697" spans="1:10" hidden="1" x14ac:dyDescent="0.35">
      <c r="A697" s="126" t="s">
        <v>401</v>
      </c>
      <c r="B697" t="str">
        <f>_xlfn.XLOOKUP(A697,'[1]2050Pop'!$A$7:$A$143,'[1]2050Pop'!$D$7:$D$143)</f>
        <v>Euro/AU/NZ</v>
      </c>
      <c r="C697" s="127">
        <f>1000*_xlfn.XLOOKUP(A697,'[1]2050Pop'!$A$7:$A$143,'[1]2050Pop'!$C$7:$C$143)</f>
        <v>9705</v>
      </c>
      <c r="D697" s="126" t="s">
        <v>498</v>
      </c>
      <c r="E697" s="128">
        <v>0.85899999999999999</v>
      </c>
      <c r="F697" s="129">
        <f t="shared" si="32"/>
        <v>8.3365949999999987E-3</v>
      </c>
      <c r="G697" t="str">
        <f>_xlfn.XLOOKUP(D697,'[1]2050 BAU Mapping to T &amp; C'!$A$3:$A$52,'[1]2050 BAU Mapping to T &amp; C'!$B$3:$B$52)</f>
        <v>Tropical Fruits</v>
      </c>
      <c r="H697" s="129">
        <f>_xlfn.XLOOKUP(G697,'[1]T&amp;C emissions for 2050 analysis'!$B$3:$B$23,'[1]T&amp;C emissions for 2050 analysis'!$C$3:$C$23)</f>
        <v>0.51333333333333331</v>
      </c>
      <c r="I697" s="27">
        <f t="shared" si="30"/>
        <v>4.2794520999999992E-3</v>
      </c>
      <c r="J697" s="129">
        <f t="shared" si="31"/>
        <v>0.44095333333333331</v>
      </c>
    </row>
    <row r="698" spans="1:10" hidden="1" x14ac:dyDescent="0.35">
      <c r="A698" s="126" t="s">
        <v>402</v>
      </c>
      <c r="B698" t="str">
        <f>_xlfn.XLOOKUP(A698,'[1]2050Pop'!$A$7:$A$143,'[1]2050Pop'!$D$7:$D$143)</f>
        <v>LatAm &amp; RSA</v>
      </c>
      <c r="C698" s="127">
        <f>1000*_xlfn.XLOOKUP(A698,'[1]2050Pop'!$A$7:$A$143,'[1]2050Pop'!$C$7:$C$143)</f>
        <v>27754</v>
      </c>
      <c r="D698" s="126" t="s">
        <v>498</v>
      </c>
      <c r="E698" s="128">
        <v>4.6239999999999997</v>
      </c>
      <c r="F698" s="129">
        <f t="shared" si="32"/>
        <v>0.12833449599999999</v>
      </c>
      <c r="G698" t="str">
        <f>_xlfn.XLOOKUP(D698,'[1]2050 BAU Mapping to T &amp; C'!$A$3:$A$52,'[1]2050 BAU Mapping to T &amp; C'!$B$3:$B$52)</f>
        <v>Tropical Fruits</v>
      </c>
      <c r="H698" s="129">
        <f>_xlfn.XLOOKUP(G698,'[1]T&amp;C emissions for 2050 analysis'!$B$3:$B$23,'[1]T&amp;C emissions for 2050 analysis'!$C$3:$C$23)</f>
        <v>0.51333333333333331</v>
      </c>
      <c r="I698" s="27">
        <f t="shared" si="30"/>
        <v>6.5878374613333332E-2</v>
      </c>
      <c r="J698" s="129">
        <f t="shared" si="31"/>
        <v>2.3736533333333329</v>
      </c>
    </row>
    <row r="699" spans="1:10" hidden="1" x14ac:dyDescent="0.35">
      <c r="A699" s="126" t="s">
        <v>403</v>
      </c>
      <c r="B699" t="str">
        <f>_xlfn.XLOOKUP(A699,'[1]2050Pop'!$A$7:$A$143,'[1]2050Pop'!$D$7:$D$143)</f>
        <v>SSA</v>
      </c>
      <c r="C699" s="127">
        <f>1000*_xlfn.XLOOKUP(A699,'[1]2050Pop'!$A$7:$A$143,'[1]2050Pop'!$C$7:$C$143)</f>
        <v>27486</v>
      </c>
      <c r="D699" s="126" t="s">
        <v>498</v>
      </c>
      <c r="E699" s="128">
        <v>12.199</v>
      </c>
      <c r="F699" s="129">
        <f t="shared" si="32"/>
        <v>0.33530171399999997</v>
      </c>
      <c r="G699" t="str">
        <f>_xlfn.XLOOKUP(D699,'[1]2050 BAU Mapping to T &amp; C'!$A$3:$A$52,'[1]2050 BAU Mapping to T &amp; C'!$B$3:$B$52)</f>
        <v>Tropical Fruits</v>
      </c>
      <c r="H699" s="129">
        <f>_xlfn.XLOOKUP(G699,'[1]T&amp;C emissions for 2050 analysis'!$B$3:$B$23,'[1]T&amp;C emissions for 2050 analysis'!$C$3:$C$23)</f>
        <v>0.51333333333333331</v>
      </c>
      <c r="I699" s="27">
        <f t="shared" si="30"/>
        <v>0.17212154651999997</v>
      </c>
      <c r="J699" s="129">
        <f t="shared" si="31"/>
        <v>6.262153333333333</v>
      </c>
    </row>
    <row r="700" spans="1:10" hidden="1" x14ac:dyDescent="0.35">
      <c r="A700" s="126" t="s">
        <v>404</v>
      </c>
      <c r="B700" t="str">
        <f>_xlfn.XLOOKUP(A700,'[1]2050Pop'!$A$7:$A$143,'[1]2050Pop'!$D$7:$D$143)</f>
        <v>LatAm &amp; RSA</v>
      </c>
      <c r="C700" s="127">
        <f>1000*_xlfn.XLOOKUP(A700,'[1]2050Pop'!$A$7:$A$143,'[1]2050Pop'!$C$7:$C$143)</f>
        <v>806</v>
      </c>
      <c r="D700" s="126" t="s">
        <v>498</v>
      </c>
      <c r="E700" s="128">
        <v>112.709</v>
      </c>
      <c r="F700" s="129">
        <f t="shared" si="32"/>
        <v>9.0843454000000004E-2</v>
      </c>
      <c r="G700" t="str">
        <f>_xlfn.XLOOKUP(D700,'[1]2050 BAU Mapping to T &amp; C'!$A$3:$A$52,'[1]2050 BAU Mapping to T &amp; C'!$B$3:$B$52)</f>
        <v>Tropical Fruits</v>
      </c>
      <c r="H700" s="129">
        <f>_xlfn.XLOOKUP(G700,'[1]T&amp;C emissions for 2050 analysis'!$B$3:$B$23,'[1]T&amp;C emissions for 2050 analysis'!$C$3:$C$23)</f>
        <v>0.51333333333333331</v>
      </c>
      <c r="I700" s="27">
        <f t="shared" si="30"/>
        <v>4.6632973053333332E-2</v>
      </c>
      <c r="J700" s="129">
        <f t="shared" si="31"/>
        <v>57.857286666666667</v>
      </c>
    </row>
    <row r="701" spans="1:10" hidden="1" x14ac:dyDescent="0.35">
      <c r="A701" s="126" t="s">
        <v>405</v>
      </c>
      <c r="B701" t="str">
        <f>_xlfn.XLOOKUP(A701,'[1]2050Pop'!$A$7:$A$143,'[1]2050Pop'!$D$7:$D$143)</f>
        <v>LatAm &amp; RSA</v>
      </c>
      <c r="C701" s="127">
        <f>1000*_xlfn.XLOOKUP(A701,'[1]2050Pop'!$A$7:$A$143,'[1]2050Pop'!$C$7:$C$143)</f>
        <v>14189</v>
      </c>
      <c r="D701" s="126" t="s">
        <v>498</v>
      </c>
      <c r="E701" s="128">
        <v>8.3480000000000008</v>
      </c>
      <c r="F701" s="129">
        <f t="shared" si="32"/>
        <v>0.11844977200000001</v>
      </c>
      <c r="G701" t="str">
        <f>_xlfn.XLOOKUP(D701,'[1]2050 BAU Mapping to T &amp; C'!$A$3:$A$52,'[1]2050 BAU Mapping to T &amp; C'!$B$3:$B$52)</f>
        <v>Tropical Fruits</v>
      </c>
      <c r="H701" s="129">
        <f>_xlfn.XLOOKUP(G701,'[1]T&amp;C emissions for 2050 analysis'!$B$3:$B$23,'[1]T&amp;C emissions for 2050 analysis'!$C$3:$C$23)</f>
        <v>0.51333333333333331</v>
      </c>
      <c r="I701" s="27">
        <f t="shared" si="30"/>
        <v>6.0804216293333338E-2</v>
      </c>
      <c r="J701" s="129">
        <f t="shared" si="31"/>
        <v>4.285306666666667</v>
      </c>
    </row>
    <row r="702" spans="1:10" hidden="1" x14ac:dyDescent="0.35">
      <c r="A702" s="126" t="s">
        <v>406</v>
      </c>
      <c r="B702" t="str">
        <f>_xlfn.XLOOKUP(A702,'[1]2050Pop'!$A$7:$A$143,'[1]2050Pop'!$D$7:$D$143)</f>
        <v>LatAm &amp; RSA</v>
      </c>
      <c r="C702" s="127">
        <f>1000*_xlfn.XLOOKUP(A702,'[1]2050Pop'!$A$7:$A$143,'[1]2050Pop'!$C$7:$C$143)</f>
        <v>11217</v>
      </c>
      <c r="D702" s="126" t="s">
        <v>498</v>
      </c>
      <c r="E702" s="128">
        <v>4.5739999999999998</v>
      </c>
      <c r="F702" s="129">
        <f t="shared" si="32"/>
        <v>5.1306557999999995E-2</v>
      </c>
      <c r="G702" t="str">
        <f>_xlfn.XLOOKUP(D702,'[1]2050 BAU Mapping to T &amp; C'!$A$3:$A$52,'[1]2050 BAU Mapping to T &amp; C'!$B$3:$B$52)</f>
        <v>Tropical Fruits</v>
      </c>
      <c r="H702" s="129">
        <f>_xlfn.XLOOKUP(G702,'[1]T&amp;C emissions for 2050 analysis'!$B$3:$B$23,'[1]T&amp;C emissions for 2050 analysis'!$C$3:$C$23)</f>
        <v>0.51333333333333331</v>
      </c>
      <c r="I702" s="27">
        <f t="shared" si="30"/>
        <v>2.6337366439999996E-2</v>
      </c>
      <c r="J702" s="129">
        <f t="shared" si="31"/>
        <v>2.3479866666666664</v>
      </c>
    </row>
    <row r="703" spans="1:10" hidden="1" x14ac:dyDescent="0.35">
      <c r="A703" s="126" t="s">
        <v>407</v>
      </c>
      <c r="B703" t="str">
        <f>_xlfn.XLOOKUP(A703,'[1]2050Pop'!$A$7:$A$143,'[1]2050Pop'!$D$7:$D$143)</f>
        <v>Euro/AU/NZ</v>
      </c>
      <c r="C703" s="127">
        <f>1000*_xlfn.XLOOKUP(A703,'[1]2050Pop'!$A$7:$A$143,'[1]2050Pop'!$C$7:$C$143)</f>
        <v>8318</v>
      </c>
      <c r="D703" s="126" t="s">
        <v>498</v>
      </c>
      <c r="E703" s="128">
        <v>1.8759999999999999</v>
      </c>
      <c r="F703" s="129">
        <f t="shared" si="32"/>
        <v>1.5604567999999999E-2</v>
      </c>
      <c r="G703" t="str">
        <f>_xlfn.XLOOKUP(D703,'[1]2050 BAU Mapping to T &amp; C'!$A$3:$A$52,'[1]2050 BAU Mapping to T &amp; C'!$B$3:$B$52)</f>
        <v>Tropical Fruits</v>
      </c>
      <c r="H703" s="129">
        <f>_xlfn.XLOOKUP(G703,'[1]T&amp;C emissions for 2050 analysis'!$B$3:$B$23,'[1]T&amp;C emissions for 2050 analysis'!$C$3:$C$23)</f>
        <v>0.51333333333333331</v>
      </c>
      <c r="I703" s="27">
        <f t="shared" si="30"/>
        <v>8.0103449066666662E-3</v>
      </c>
      <c r="J703" s="129">
        <f t="shared" si="31"/>
        <v>0.96301333333333328</v>
      </c>
    </row>
    <row r="704" spans="1:10" hidden="1" x14ac:dyDescent="0.35">
      <c r="A704" s="126" t="s">
        <v>408</v>
      </c>
      <c r="B704" t="str">
        <f>_xlfn.XLOOKUP(A704,'[1]2050Pop'!$A$7:$A$143,'[1]2050Pop'!$D$7:$D$143)</f>
        <v>India/South Asia</v>
      </c>
      <c r="C704" s="127">
        <f>1000*_xlfn.XLOOKUP(A704,'[1]2050Pop'!$A$7:$A$143,'[1]2050Pop'!$C$7:$C$143)</f>
        <v>1705333</v>
      </c>
      <c r="D704" s="126" t="s">
        <v>498</v>
      </c>
      <c r="E704" s="128">
        <v>23.068999999999999</v>
      </c>
      <c r="F704" s="129">
        <f t="shared" si="32"/>
        <v>39.340326976999997</v>
      </c>
      <c r="G704" t="str">
        <f>_xlfn.XLOOKUP(D704,'[1]2050 BAU Mapping to T &amp; C'!$A$3:$A$52,'[1]2050 BAU Mapping to T &amp; C'!$B$3:$B$52)</f>
        <v>Tropical Fruits</v>
      </c>
      <c r="H704" s="129">
        <f>_xlfn.XLOOKUP(G704,'[1]T&amp;C emissions for 2050 analysis'!$B$3:$B$23,'[1]T&amp;C emissions for 2050 analysis'!$C$3:$C$23)</f>
        <v>0.51333333333333331</v>
      </c>
      <c r="I704" s="27">
        <f t="shared" si="30"/>
        <v>20.194701181526664</v>
      </c>
      <c r="J704" s="129">
        <f t="shared" si="31"/>
        <v>11.842086666666665</v>
      </c>
    </row>
    <row r="705" spans="1:10" hidden="1" x14ac:dyDescent="0.35">
      <c r="A705" s="126" t="s">
        <v>409</v>
      </c>
      <c r="B705" t="str">
        <f>_xlfn.XLOOKUP(A705,'[1]2050Pop'!$A$7:$A$143,'[1]2050Pop'!$D$7:$D$143)</f>
        <v>APAC</v>
      </c>
      <c r="C705" s="127">
        <f>1000*_xlfn.XLOOKUP(A705,'[1]2050Pop'!$A$7:$A$143,'[1]2050Pop'!$C$7:$C$143)</f>
        <v>322237</v>
      </c>
      <c r="D705" s="126" t="s">
        <v>498</v>
      </c>
      <c r="E705" s="128">
        <v>62.963999999999999</v>
      </c>
      <c r="F705" s="129">
        <f t="shared" si="32"/>
        <v>20.289330467999999</v>
      </c>
      <c r="G705" t="str">
        <f>_xlfn.XLOOKUP(D705,'[1]2050 BAU Mapping to T &amp; C'!$A$3:$A$52,'[1]2050 BAU Mapping to T &amp; C'!$B$3:$B$52)</f>
        <v>Tropical Fruits</v>
      </c>
      <c r="H705" s="129">
        <f>_xlfn.XLOOKUP(G705,'[1]T&amp;C emissions for 2050 analysis'!$B$3:$B$23,'[1]T&amp;C emissions for 2050 analysis'!$C$3:$C$23)</f>
        <v>0.51333333333333331</v>
      </c>
      <c r="I705" s="27">
        <f t="shared" si="30"/>
        <v>10.415189640239999</v>
      </c>
      <c r="J705" s="129">
        <f t="shared" si="31"/>
        <v>32.32152</v>
      </c>
    </row>
    <row r="706" spans="1:10" hidden="1" x14ac:dyDescent="0.35">
      <c r="A706" s="126" t="s">
        <v>410</v>
      </c>
      <c r="B706" t="str">
        <f>_xlfn.XLOOKUP(A706,'[1]2050Pop'!$A$7:$A$143,'[1]2050Pop'!$D$7:$D$143)</f>
        <v>India/South Asia</v>
      </c>
      <c r="C706" s="127">
        <f>1000*_xlfn.XLOOKUP(A706,'[1]2050Pop'!$A$7:$A$143,'[1]2050Pop'!$C$7:$C$143)</f>
        <v>92219</v>
      </c>
      <c r="D706" s="126" t="s">
        <v>498</v>
      </c>
      <c r="E706" s="128">
        <v>1.1870000000000001</v>
      </c>
      <c r="F706" s="129">
        <f t="shared" si="32"/>
        <v>0.109463953</v>
      </c>
      <c r="G706" t="str">
        <f>_xlfn.XLOOKUP(D706,'[1]2050 BAU Mapping to T &amp; C'!$A$3:$A$52,'[1]2050 BAU Mapping to T &amp; C'!$B$3:$B$52)</f>
        <v>Tropical Fruits</v>
      </c>
      <c r="H706" s="129">
        <f>_xlfn.XLOOKUP(G706,'[1]T&amp;C emissions for 2050 analysis'!$B$3:$B$23,'[1]T&amp;C emissions for 2050 analysis'!$C$3:$C$23)</f>
        <v>0.51333333333333331</v>
      </c>
      <c r="I706" s="27">
        <f t="shared" si="30"/>
        <v>5.619149587333333E-2</v>
      </c>
      <c r="J706" s="129">
        <f t="shared" si="31"/>
        <v>0.60932666666666668</v>
      </c>
    </row>
    <row r="707" spans="1:10" hidden="1" x14ac:dyDescent="0.35">
      <c r="A707" s="126" t="s">
        <v>412</v>
      </c>
      <c r="B707" t="str">
        <f>_xlfn.XLOOKUP(A707,'[1]2050Pop'!$A$7:$A$143,'[1]2050Pop'!$D$7:$D$143)</f>
        <v>Euro/AU/NZ</v>
      </c>
      <c r="C707" s="127">
        <f>1000*_xlfn.XLOOKUP(A707,'[1]2050Pop'!$A$7:$A$143,'[1]2050Pop'!$C$7:$C$143)</f>
        <v>5789</v>
      </c>
      <c r="D707" s="126" t="s">
        <v>498</v>
      </c>
      <c r="E707" s="128">
        <v>1.7090000000000001</v>
      </c>
      <c r="F707" s="129">
        <f t="shared" si="32"/>
        <v>9.8934009999999996E-3</v>
      </c>
      <c r="G707" t="str">
        <f>_xlfn.XLOOKUP(D707,'[1]2050 BAU Mapping to T &amp; C'!$A$3:$A$52,'[1]2050 BAU Mapping to T &amp; C'!$B$3:$B$52)</f>
        <v>Tropical Fruits</v>
      </c>
      <c r="H707" s="129">
        <f>_xlfn.XLOOKUP(G707,'[1]T&amp;C emissions for 2050 analysis'!$B$3:$B$23,'[1]T&amp;C emissions for 2050 analysis'!$C$3:$C$23)</f>
        <v>0.51333333333333331</v>
      </c>
      <c r="I707" s="27">
        <f t="shared" si="30"/>
        <v>5.078612513333333E-3</v>
      </c>
      <c r="J707" s="129">
        <f t="shared" si="31"/>
        <v>0.87728666666666666</v>
      </c>
    </row>
    <row r="708" spans="1:10" hidden="1" x14ac:dyDescent="0.35">
      <c r="A708" s="126" t="s">
        <v>413</v>
      </c>
      <c r="B708" t="str">
        <f>_xlfn.XLOOKUP(A708,'[1]2050Pop'!$A$7:$A$143,'[1]2050Pop'!$D$7:$D$143)</f>
        <v>MENA</v>
      </c>
      <c r="C708" s="127">
        <f>1000*_xlfn.XLOOKUP(A708,'[1]2050Pop'!$A$7:$A$143,'[1]2050Pop'!$C$7:$C$143)</f>
        <v>12610</v>
      </c>
      <c r="D708" s="126" t="s">
        <v>498</v>
      </c>
      <c r="E708" s="128">
        <v>3.1040000000000001</v>
      </c>
      <c r="F708" s="129">
        <f t="shared" si="32"/>
        <v>3.914144E-2</v>
      </c>
      <c r="G708" t="str">
        <f>_xlfn.XLOOKUP(D708,'[1]2050 BAU Mapping to T &amp; C'!$A$3:$A$52,'[1]2050 BAU Mapping to T &amp; C'!$B$3:$B$52)</f>
        <v>Tropical Fruits</v>
      </c>
      <c r="H708" s="129">
        <f>_xlfn.XLOOKUP(G708,'[1]T&amp;C emissions for 2050 analysis'!$B$3:$B$23,'[1]T&amp;C emissions for 2050 analysis'!$C$3:$C$23)</f>
        <v>0.51333333333333331</v>
      </c>
      <c r="I708" s="27">
        <f t="shared" ref="I708:I771" si="33">F708*H708</f>
        <v>2.0092605866666665E-2</v>
      </c>
      <c r="J708" s="129">
        <f t="shared" ref="J708:J771" si="34">E708*H708</f>
        <v>1.5933866666666667</v>
      </c>
    </row>
    <row r="709" spans="1:10" hidden="1" x14ac:dyDescent="0.35">
      <c r="A709" s="126" t="s">
        <v>414</v>
      </c>
      <c r="B709" t="str">
        <f>_xlfn.XLOOKUP(A709,'[1]2050Pop'!$A$7:$A$143,'[1]2050Pop'!$D$7:$D$143)</f>
        <v>Euro/AU/NZ</v>
      </c>
      <c r="C709" s="127">
        <f>1000*_xlfn.XLOOKUP(A709,'[1]2050Pop'!$A$7:$A$143,'[1]2050Pop'!$C$7:$C$143)</f>
        <v>56513</v>
      </c>
      <c r="D709" s="126" t="s">
        <v>498</v>
      </c>
      <c r="E709" s="128">
        <v>0.84499999999999997</v>
      </c>
      <c r="F709" s="129">
        <f t="shared" ref="F709:F772" si="35">C709*E709/1000000</f>
        <v>4.7753484999999998E-2</v>
      </c>
      <c r="G709" t="str">
        <f>_xlfn.XLOOKUP(D709,'[1]2050 BAU Mapping to T &amp; C'!$A$3:$A$52,'[1]2050 BAU Mapping to T &amp; C'!$B$3:$B$52)</f>
        <v>Tropical Fruits</v>
      </c>
      <c r="H709" s="129">
        <f>_xlfn.XLOOKUP(G709,'[1]T&amp;C emissions for 2050 analysis'!$B$3:$B$23,'[1]T&amp;C emissions for 2050 analysis'!$C$3:$C$23)</f>
        <v>0.51333333333333331</v>
      </c>
      <c r="I709" s="27">
        <f t="shared" si="33"/>
        <v>2.451345563333333E-2</v>
      </c>
      <c r="J709" s="129">
        <f t="shared" si="34"/>
        <v>0.43376666666666663</v>
      </c>
    </row>
    <row r="710" spans="1:10" hidden="1" x14ac:dyDescent="0.35">
      <c r="A710" s="126" t="s">
        <v>415</v>
      </c>
      <c r="B710" t="str">
        <f>_xlfn.XLOOKUP(A710,'[1]2050Pop'!$A$7:$A$143,'[1]2050Pop'!$D$7:$D$143)</f>
        <v>LatAm &amp; RSA</v>
      </c>
      <c r="C710" s="127">
        <f>1000*_xlfn.XLOOKUP(A710,'[1]2050Pop'!$A$7:$A$143,'[1]2050Pop'!$C$7:$C$143)</f>
        <v>2710</v>
      </c>
      <c r="D710" s="126" t="s">
        <v>498</v>
      </c>
      <c r="E710" s="128">
        <v>42.673999999999999</v>
      </c>
      <c r="F710" s="129">
        <f t="shared" si="35"/>
        <v>0.11564653999999999</v>
      </c>
      <c r="G710" t="str">
        <f>_xlfn.XLOOKUP(D710,'[1]2050 BAU Mapping to T &amp; C'!$A$3:$A$52,'[1]2050 BAU Mapping to T &amp; C'!$B$3:$B$52)</f>
        <v>Tropical Fruits</v>
      </c>
      <c r="H710" s="129">
        <f>_xlfn.XLOOKUP(G710,'[1]T&amp;C emissions for 2050 analysis'!$B$3:$B$23,'[1]T&amp;C emissions for 2050 analysis'!$C$3:$C$23)</f>
        <v>0.51333333333333331</v>
      </c>
      <c r="I710" s="27">
        <f t="shared" si="33"/>
        <v>5.9365223866666657E-2</v>
      </c>
      <c r="J710" s="129">
        <f t="shared" si="34"/>
        <v>21.905986666666664</v>
      </c>
    </row>
    <row r="711" spans="1:10" hidden="1" x14ac:dyDescent="0.35">
      <c r="A711" s="126" t="s">
        <v>417</v>
      </c>
      <c r="B711" t="str">
        <f>_xlfn.XLOOKUP(A711,'[1]2050Pop'!$A$7:$A$143,'[1]2050Pop'!$D$7:$D$143)</f>
        <v>MENA</v>
      </c>
      <c r="C711" s="127">
        <f>1000*_xlfn.XLOOKUP(A711,'[1]2050Pop'!$A$7:$A$143,'[1]2050Pop'!$C$7:$C$143)</f>
        <v>11717</v>
      </c>
      <c r="D711" s="126" t="s">
        <v>498</v>
      </c>
      <c r="E711" s="128">
        <v>3.9980000000000002</v>
      </c>
      <c r="F711" s="129">
        <f t="shared" si="35"/>
        <v>4.6844566000000004E-2</v>
      </c>
      <c r="G711" t="str">
        <f>_xlfn.XLOOKUP(D711,'[1]2050 BAU Mapping to T &amp; C'!$A$3:$A$52,'[1]2050 BAU Mapping to T &amp; C'!$B$3:$B$52)</f>
        <v>Tropical Fruits</v>
      </c>
      <c r="H711" s="129">
        <f>_xlfn.XLOOKUP(G711,'[1]T&amp;C emissions for 2050 analysis'!$B$3:$B$23,'[1]T&amp;C emissions for 2050 analysis'!$C$3:$C$23)</f>
        <v>0.51333333333333331</v>
      </c>
      <c r="I711" s="27">
        <f t="shared" si="33"/>
        <v>2.4046877213333335E-2</v>
      </c>
      <c r="J711" s="129">
        <f t="shared" si="34"/>
        <v>2.0523066666666665</v>
      </c>
    </row>
    <row r="712" spans="1:10" hidden="1" x14ac:dyDescent="0.35">
      <c r="A712" s="126" t="s">
        <v>419</v>
      </c>
      <c r="B712" t="str">
        <f>_xlfn.XLOOKUP(A712,'[1]2050Pop'!$A$7:$A$143,'[1]2050Pop'!$D$7:$D$143)</f>
        <v>SSA</v>
      </c>
      <c r="C712" s="127">
        <f>1000*_xlfn.XLOOKUP(A712,'[1]2050Pop'!$A$7:$A$143,'[1]2050Pop'!$C$7:$C$143)</f>
        <v>95505</v>
      </c>
      <c r="D712" s="126" t="s">
        <v>498</v>
      </c>
      <c r="E712" s="128">
        <v>7.819</v>
      </c>
      <c r="F712" s="129">
        <f t="shared" si="35"/>
        <v>0.74675359499999994</v>
      </c>
      <c r="G712" t="str">
        <f>_xlfn.XLOOKUP(D712,'[1]2050 BAU Mapping to T &amp; C'!$A$3:$A$52,'[1]2050 BAU Mapping to T &amp; C'!$B$3:$B$52)</f>
        <v>Tropical Fruits</v>
      </c>
      <c r="H712" s="129">
        <f>_xlfn.XLOOKUP(G712,'[1]T&amp;C emissions for 2050 analysis'!$B$3:$B$23,'[1]T&amp;C emissions for 2050 analysis'!$C$3:$C$23)</f>
        <v>0.51333333333333331</v>
      </c>
      <c r="I712" s="27">
        <f t="shared" si="33"/>
        <v>0.38333351209999994</v>
      </c>
      <c r="J712" s="129">
        <f t="shared" si="34"/>
        <v>4.0137533333333328</v>
      </c>
    </row>
    <row r="713" spans="1:10" hidden="1" x14ac:dyDescent="0.35">
      <c r="A713" s="126" t="s">
        <v>422</v>
      </c>
      <c r="B713" t="str">
        <f>_xlfn.XLOOKUP(A713,'[1]2050Pop'!$A$7:$A$143,'[1]2050Pop'!$D$7:$D$143)</f>
        <v>Euro/AU/NZ</v>
      </c>
      <c r="C713" s="127">
        <f>1000*_xlfn.XLOOKUP(A713,'[1]2050Pop'!$A$7:$A$143,'[1]2050Pop'!$C$7:$C$143)</f>
        <v>1593</v>
      </c>
      <c r="D713" s="126" t="s">
        <v>498</v>
      </c>
      <c r="E713" s="128">
        <v>0.95599999999999996</v>
      </c>
      <c r="F713" s="129">
        <f t="shared" si="35"/>
        <v>1.5229079999999999E-3</v>
      </c>
      <c r="G713" t="str">
        <f>_xlfn.XLOOKUP(D713,'[1]2050 BAU Mapping to T &amp; C'!$A$3:$A$52,'[1]2050 BAU Mapping to T &amp; C'!$B$3:$B$52)</f>
        <v>Tropical Fruits</v>
      </c>
      <c r="H713" s="129">
        <f>_xlfn.XLOOKUP(G713,'[1]T&amp;C emissions for 2050 analysis'!$B$3:$B$23,'[1]T&amp;C emissions for 2050 analysis'!$C$3:$C$23)</f>
        <v>0.51333333333333331</v>
      </c>
      <c r="I713" s="27">
        <f t="shared" si="33"/>
        <v>7.817594399999999E-4</v>
      </c>
      <c r="J713" s="129">
        <f t="shared" si="34"/>
        <v>0.49074666666666661</v>
      </c>
    </row>
    <row r="714" spans="1:10" hidden="1" x14ac:dyDescent="0.35">
      <c r="A714" s="126" t="s">
        <v>423</v>
      </c>
      <c r="B714" t="str">
        <f>_xlfn.XLOOKUP(A714,'[1]2050Pop'!$A$7:$A$143,'[1]2050Pop'!$D$7:$D$143)</f>
        <v>MENA</v>
      </c>
      <c r="C714" s="127">
        <f>1000*_xlfn.XLOOKUP(A714,'[1]2050Pop'!$A$7:$A$143,'[1]2050Pop'!$C$7:$C$143)</f>
        <v>5610</v>
      </c>
      <c r="D714" s="126" t="s">
        <v>498</v>
      </c>
      <c r="E714" s="128">
        <v>3.1819999999999999</v>
      </c>
      <c r="F714" s="129">
        <f t="shared" si="35"/>
        <v>1.7851020000000002E-2</v>
      </c>
      <c r="G714" t="str">
        <f>_xlfn.XLOOKUP(D714,'[1]2050 BAU Mapping to T &amp; C'!$A$3:$A$52,'[1]2050 BAU Mapping to T &amp; C'!$B$3:$B$52)</f>
        <v>Tropical Fruits</v>
      </c>
      <c r="H714" s="129">
        <f>_xlfn.XLOOKUP(G714,'[1]T&amp;C emissions for 2050 analysis'!$B$3:$B$23,'[1]T&amp;C emissions for 2050 analysis'!$C$3:$C$23)</f>
        <v>0.51333333333333331</v>
      </c>
      <c r="I714" s="27">
        <f t="shared" si="33"/>
        <v>9.1635236000000009E-3</v>
      </c>
      <c r="J714" s="129">
        <f t="shared" si="34"/>
        <v>1.6334266666666666</v>
      </c>
    </row>
    <row r="715" spans="1:10" hidden="1" x14ac:dyDescent="0.35">
      <c r="A715" s="126" t="s">
        <v>425</v>
      </c>
      <c r="B715" t="str">
        <f>_xlfn.XLOOKUP(A715,'[1]2050Pop'!$A$7:$A$143,'[1]2050Pop'!$D$7:$D$143)</f>
        <v>SSA</v>
      </c>
      <c r="C715" s="127">
        <f>1000*_xlfn.XLOOKUP(A715,'[1]2050Pop'!$A$7:$A$143,'[1]2050Pop'!$C$7:$C$143)</f>
        <v>9436</v>
      </c>
      <c r="D715" s="126" t="s">
        <v>498</v>
      </c>
      <c r="E715" s="128">
        <v>4.2220000000000004</v>
      </c>
      <c r="F715" s="129">
        <f t="shared" si="35"/>
        <v>3.9838791999999998E-2</v>
      </c>
      <c r="G715" t="str">
        <f>_xlfn.XLOOKUP(D715,'[1]2050 BAU Mapping to T &amp; C'!$A$3:$A$52,'[1]2050 BAU Mapping to T &amp; C'!$B$3:$B$52)</f>
        <v>Tropical Fruits</v>
      </c>
      <c r="H715" s="129">
        <f>_xlfn.XLOOKUP(G715,'[1]T&amp;C emissions for 2050 analysis'!$B$3:$B$23,'[1]T&amp;C emissions for 2050 analysis'!$C$3:$C$23)</f>
        <v>0.51333333333333331</v>
      </c>
      <c r="I715" s="27">
        <f t="shared" si="33"/>
        <v>2.0450579893333331E-2</v>
      </c>
      <c r="J715" s="129">
        <f t="shared" si="34"/>
        <v>2.1672933333333333</v>
      </c>
    </row>
    <row r="716" spans="1:10" hidden="1" x14ac:dyDescent="0.35">
      <c r="A716" s="126" t="s">
        <v>426</v>
      </c>
      <c r="B716" t="str">
        <f>_xlfn.XLOOKUP(A716,'[1]2050Pop'!$A$7:$A$143,'[1]2050Pop'!$D$7:$D$143)</f>
        <v>Euro/AU/NZ</v>
      </c>
      <c r="C716" s="127">
        <f>1000*_xlfn.XLOOKUP(A716,'[1]2050Pop'!$A$7:$A$143,'[1]2050Pop'!$C$7:$C$143)</f>
        <v>2375</v>
      </c>
      <c r="D716" s="126" t="s">
        <v>498</v>
      </c>
      <c r="E716" s="128">
        <v>1.1319999999999999</v>
      </c>
      <c r="F716" s="129">
        <f t="shared" si="35"/>
        <v>2.6884999999999995E-3</v>
      </c>
      <c r="G716" t="str">
        <f>_xlfn.XLOOKUP(D716,'[1]2050 BAU Mapping to T &amp; C'!$A$3:$A$52,'[1]2050 BAU Mapping to T &amp; C'!$B$3:$B$52)</f>
        <v>Tropical Fruits</v>
      </c>
      <c r="H716" s="129">
        <f>_xlfn.XLOOKUP(G716,'[1]T&amp;C emissions for 2050 analysis'!$B$3:$B$23,'[1]T&amp;C emissions for 2050 analysis'!$C$3:$C$23)</f>
        <v>0.51333333333333331</v>
      </c>
      <c r="I716" s="27">
        <f t="shared" si="33"/>
        <v>1.3800966666666662E-3</v>
      </c>
      <c r="J716" s="129">
        <f t="shared" si="34"/>
        <v>0.58109333333333324</v>
      </c>
    </row>
    <row r="717" spans="1:10" hidden="1" x14ac:dyDescent="0.35">
      <c r="A717" s="126" t="s">
        <v>427</v>
      </c>
      <c r="B717" t="str">
        <f>_xlfn.XLOOKUP(A717,'[1]2050Pop'!$A$7:$A$143,'[1]2050Pop'!$D$7:$D$143)</f>
        <v>SSA</v>
      </c>
      <c r="C717" s="127">
        <f>1000*_xlfn.XLOOKUP(A717,'[1]2050Pop'!$A$7:$A$143,'[1]2050Pop'!$C$7:$C$143)</f>
        <v>55294</v>
      </c>
      <c r="D717" s="126" t="s">
        <v>498</v>
      </c>
      <c r="E717" s="128">
        <v>6.2220000000000004</v>
      </c>
      <c r="F717" s="129">
        <f t="shared" si="35"/>
        <v>0.34403926800000006</v>
      </c>
      <c r="G717" t="str">
        <f>_xlfn.XLOOKUP(D717,'[1]2050 BAU Mapping to T &amp; C'!$A$3:$A$52,'[1]2050 BAU Mapping to T &amp; C'!$B$3:$B$52)</f>
        <v>Tropical Fruits</v>
      </c>
      <c r="H717" s="129">
        <f>_xlfn.XLOOKUP(G717,'[1]T&amp;C emissions for 2050 analysis'!$B$3:$B$23,'[1]T&amp;C emissions for 2050 analysis'!$C$3:$C$23)</f>
        <v>0.51333333333333331</v>
      </c>
      <c r="I717" s="27">
        <f t="shared" si="33"/>
        <v>0.17660682424000002</v>
      </c>
      <c r="J717" s="129">
        <f t="shared" si="34"/>
        <v>3.1939600000000001</v>
      </c>
    </row>
    <row r="718" spans="1:10" hidden="1" x14ac:dyDescent="0.35">
      <c r="A718" s="126" t="s">
        <v>429</v>
      </c>
      <c r="B718" t="str">
        <f>_xlfn.XLOOKUP(A718,'[1]2050Pop'!$A$7:$A$143,'[1]2050Pop'!$D$7:$D$143)</f>
        <v>APAC</v>
      </c>
      <c r="C718" s="127">
        <f>1000*_xlfn.XLOOKUP(A718,'[1]2050Pop'!$A$7:$A$143,'[1]2050Pop'!$C$7:$C$143)</f>
        <v>40725</v>
      </c>
      <c r="D718" s="126" t="s">
        <v>498</v>
      </c>
      <c r="E718" s="128">
        <v>30.047999999999998</v>
      </c>
      <c r="F718" s="129">
        <f t="shared" si="35"/>
        <v>1.2237047999999997</v>
      </c>
      <c r="G718" t="str">
        <f>_xlfn.XLOOKUP(D718,'[1]2050 BAU Mapping to T &amp; C'!$A$3:$A$52,'[1]2050 BAU Mapping to T &amp; C'!$B$3:$B$52)</f>
        <v>Tropical Fruits</v>
      </c>
      <c r="H718" s="129">
        <f>_xlfn.XLOOKUP(G718,'[1]T&amp;C emissions for 2050 analysis'!$B$3:$B$23,'[1]T&amp;C emissions for 2050 analysis'!$C$3:$C$23)</f>
        <v>0.51333333333333331</v>
      </c>
      <c r="I718" s="27">
        <f t="shared" si="33"/>
        <v>0.62816846399999982</v>
      </c>
      <c r="J718" s="129">
        <f t="shared" si="34"/>
        <v>15.424639999999998</v>
      </c>
    </row>
    <row r="719" spans="1:10" hidden="1" x14ac:dyDescent="0.35">
      <c r="A719" s="126" t="s">
        <v>432</v>
      </c>
      <c r="B719" t="str">
        <f>_xlfn.XLOOKUP(A719,'[1]2050Pop'!$A$7:$A$143,'[1]2050Pop'!$D$7:$D$143)</f>
        <v>SSA</v>
      </c>
      <c r="C719" s="127">
        <f>1000*_xlfn.XLOOKUP(A719,'[1]2050Pop'!$A$7:$A$143,'[1]2050Pop'!$C$7:$C$143)</f>
        <v>1249</v>
      </c>
      <c r="D719" s="126" t="s">
        <v>498</v>
      </c>
      <c r="E719" s="128">
        <v>11.632999999999999</v>
      </c>
      <c r="F719" s="129">
        <f t="shared" si="35"/>
        <v>1.4529616999999998E-2</v>
      </c>
      <c r="G719" t="str">
        <f>_xlfn.XLOOKUP(D719,'[1]2050 BAU Mapping to T &amp; C'!$A$3:$A$52,'[1]2050 BAU Mapping to T &amp; C'!$B$3:$B$52)</f>
        <v>Tropical Fruits</v>
      </c>
      <c r="H719" s="129">
        <f>_xlfn.XLOOKUP(G719,'[1]T&amp;C emissions for 2050 analysis'!$B$3:$B$23,'[1]T&amp;C emissions for 2050 analysis'!$C$3:$C$23)</f>
        <v>0.51333333333333331</v>
      </c>
      <c r="I719" s="27">
        <f t="shared" si="33"/>
        <v>7.4585367266666652E-3</v>
      </c>
      <c r="J719" s="129">
        <f t="shared" si="34"/>
        <v>5.9716066666666663</v>
      </c>
    </row>
    <row r="720" spans="1:10" hidden="1" x14ac:dyDescent="0.35">
      <c r="A720" s="126" t="s">
        <v>433</v>
      </c>
      <c r="B720" t="str">
        <f>_xlfn.XLOOKUP(A720,'[1]2050Pop'!$A$7:$A$143,'[1]2050Pop'!$D$7:$D$143)</f>
        <v>LatAm &amp; RSA</v>
      </c>
      <c r="C720" s="127">
        <f>1000*_xlfn.XLOOKUP(A720,'[1]2050Pop'!$A$7:$A$143,'[1]2050Pop'!$C$7:$C$143)</f>
        <v>163754</v>
      </c>
      <c r="D720" s="126" t="s">
        <v>498</v>
      </c>
      <c r="E720" s="128">
        <v>0.873</v>
      </c>
      <c r="F720" s="129">
        <f t="shared" si="35"/>
        <v>0.14295724200000001</v>
      </c>
      <c r="G720" t="str">
        <f>_xlfn.XLOOKUP(D720,'[1]2050 BAU Mapping to T &amp; C'!$A$3:$A$52,'[1]2050 BAU Mapping to T &amp; C'!$B$3:$B$52)</f>
        <v>Tropical Fruits</v>
      </c>
      <c r="H720" s="129">
        <f>_xlfn.XLOOKUP(G720,'[1]T&amp;C emissions for 2050 analysis'!$B$3:$B$23,'[1]T&amp;C emissions for 2050 analysis'!$C$3:$C$23)</f>
        <v>0.51333333333333331</v>
      </c>
      <c r="I720" s="27">
        <f t="shared" si="33"/>
        <v>7.3384717560000007E-2</v>
      </c>
      <c r="J720" s="129">
        <f t="shared" si="34"/>
        <v>0.44813999999999998</v>
      </c>
    </row>
    <row r="721" spans="1:10" hidden="1" x14ac:dyDescent="0.35">
      <c r="A721" s="126" t="s">
        <v>436</v>
      </c>
      <c r="B721" t="str">
        <f>_xlfn.XLOOKUP(A721,'[1]2050Pop'!$A$7:$A$143,'[1]2050Pop'!$D$7:$D$143)</f>
        <v>SSA</v>
      </c>
      <c r="C721" s="127">
        <f>1000*_xlfn.XLOOKUP(A721,'[1]2050Pop'!$A$7:$A$143,'[1]2050Pop'!$C$7:$C$143)</f>
        <v>65544</v>
      </c>
      <c r="D721" s="126" t="s">
        <v>498</v>
      </c>
      <c r="E721" s="130">
        <v>1.95</v>
      </c>
      <c r="F721" s="129">
        <f t="shared" si="35"/>
        <v>0.1278108</v>
      </c>
      <c r="G721" t="str">
        <f>_xlfn.XLOOKUP(D721,'[1]2050 BAU Mapping to T &amp; C'!$A$3:$A$52,'[1]2050 BAU Mapping to T &amp; C'!$B$3:$B$52)</f>
        <v>Tropical Fruits</v>
      </c>
      <c r="H721" s="129">
        <f>_xlfn.XLOOKUP(G721,'[1]T&amp;C emissions for 2050 analysis'!$B$3:$B$23,'[1]T&amp;C emissions for 2050 analysis'!$C$3:$C$23)</f>
        <v>0.51333333333333331</v>
      </c>
      <c r="I721" s="27">
        <f t="shared" si="33"/>
        <v>6.5609543999999992E-2</v>
      </c>
      <c r="J721" s="129">
        <f t="shared" si="34"/>
        <v>1.0009999999999999</v>
      </c>
    </row>
    <row r="722" spans="1:10" hidden="1" x14ac:dyDescent="0.35">
      <c r="A722" s="126" t="s">
        <v>490</v>
      </c>
      <c r="B722" t="str">
        <f>_xlfn.XLOOKUP(A722,'[1]2050Pop'!$A$7:$A$143,'[1]2050Pop'!$D$7:$D$143)</f>
        <v>APAC</v>
      </c>
      <c r="C722" s="127">
        <f>1000*_xlfn.XLOOKUP(A722,'[1]2050Pop'!$A$7:$A$143,'[1]2050Pop'!$C$7:$C$143)</f>
        <v>63575</v>
      </c>
      <c r="D722" s="126" t="s">
        <v>498</v>
      </c>
      <c r="E722" s="128">
        <v>31.061</v>
      </c>
      <c r="F722" s="129">
        <f t="shared" si="35"/>
        <v>1.9747030749999999</v>
      </c>
      <c r="G722" t="str">
        <f>_xlfn.XLOOKUP(D722,'[1]2050 BAU Mapping to T &amp; C'!$A$3:$A$52,'[1]2050 BAU Mapping to T &amp; C'!$B$3:$B$52)</f>
        <v>Tropical Fruits</v>
      </c>
      <c r="H722" s="129">
        <f>_xlfn.XLOOKUP(G722,'[1]T&amp;C emissions for 2050 analysis'!$B$3:$B$23,'[1]T&amp;C emissions for 2050 analysis'!$C$3:$C$23)</f>
        <v>0.51333333333333331</v>
      </c>
      <c r="I722" s="27">
        <f t="shared" si="33"/>
        <v>1.0136809118333332</v>
      </c>
      <c r="J722" s="129">
        <f t="shared" si="34"/>
        <v>15.944646666666666</v>
      </c>
    </row>
    <row r="723" spans="1:10" hidden="1" x14ac:dyDescent="0.35">
      <c r="A723" s="126" t="s">
        <v>437</v>
      </c>
      <c r="B723" t="str">
        <f>_xlfn.XLOOKUP(A723,'[1]2050Pop'!$A$7:$A$143,'[1]2050Pop'!$D$7:$D$143)</f>
        <v>SSA</v>
      </c>
      <c r="C723" s="127">
        <f>1000*_xlfn.XLOOKUP(A723,'[1]2050Pop'!$A$7:$A$143,'[1]2050Pop'!$C$7:$C$143)</f>
        <v>4322</v>
      </c>
      <c r="D723" s="126" t="s">
        <v>498</v>
      </c>
      <c r="E723" s="128">
        <v>2.2989999999999999</v>
      </c>
      <c r="F723" s="129">
        <f t="shared" si="35"/>
        <v>9.9362779999999998E-3</v>
      </c>
      <c r="G723" t="str">
        <f>_xlfn.XLOOKUP(D723,'[1]2050 BAU Mapping to T &amp; C'!$A$3:$A$52,'[1]2050 BAU Mapping to T &amp; C'!$B$3:$B$52)</f>
        <v>Tropical Fruits</v>
      </c>
      <c r="H723" s="129">
        <f>_xlfn.XLOOKUP(G723,'[1]T&amp;C emissions for 2050 analysis'!$B$3:$B$23,'[1]T&amp;C emissions for 2050 analysis'!$C$3:$C$23)</f>
        <v>0.51333333333333331</v>
      </c>
      <c r="I723" s="27">
        <f t="shared" si="33"/>
        <v>5.1006227066666661E-3</v>
      </c>
      <c r="J723" s="129">
        <f t="shared" si="34"/>
        <v>1.1801533333333332</v>
      </c>
    </row>
    <row r="724" spans="1:10" hidden="1" x14ac:dyDescent="0.35">
      <c r="A724" s="126" t="s">
        <v>438</v>
      </c>
      <c r="B724" t="str">
        <f>_xlfn.XLOOKUP(A724,'[1]2050Pop'!$A$7:$A$143,'[1]2050Pop'!$D$7:$D$143)</f>
        <v>India/South Asia</v>
      </c>
      <c r="C724" s="127">
        <f>1000*_xlfn.XLOOKUP(A724,'[1]2050Pop'!$A$7:$A$143,'[1]2050Pop'!$C$7:$C$143)</f>
        <v>36159</v>
      </c>
      <c r="D724" s="126" t="s">
        <v>498</v>
      </c>
      <c r="E724" s="128">
        <v>2.1579999999999999</v>
      </c>
      <c r="F724" s="129">
        <f t="shared" si="35"/>
        <v>7.8031122000000008E-2</v>
      </c>
      <c r="G724" t="str">
        <f>_xlfn.XLOOKUP(D724,'[1]2050 BAU Mapping to T &amp; C'!$A$3:$A$52,'[1]2050 BAU Mapping to T &amp; C'!$B$3:$B$52)</f>
        <v>Tropical Fruits</v>
      </c>
      <c r="H724" s="129">
        <f>_xlfn.XLOOKUP(G724,'[1]T&amp;C emissions for 2050 analysis'!$B$3:$B$23,'[1]T&amp;C emissions for 2050 analysis'!$C$3:$C$23)</f>
        <v>0.51333333333333331</v>
      </c>
      <c r="I724" s="27">
        <f t="shared" si="33"/>
        <v>4.0055975960000004E-2</v>
      </c>
      <c r="J724" s="129">
        <f t="shared" si="34"/>
        <v>1.1077733333333333</v>
      </c>
    </row>
    <row r="725" spans="1:10" hidden="1" x14ac:dyDescent="0.35">
      <c r="A725" s="126" t="s">
        <v>439</v>
      </c>
      <c r="B725" t="str">
        <f>_xlfn.XLOOKUP(A725,'[1]2050Pop'!$A$7:$A$143,'[1]2050Pop'!$D$7:$D$143)</f>
        <v>Euro/AU/NZ</v>
      </c>
      <c r="C725" s="127">
        <f>1000*_xlfn.XLOOKUP(A725,'[1]2050Pop'!$A$7:$A$143,'[1]2050Pop'!$C$7:$C$143)</f>
        <v>17602</v>
      </c>
      <c r="D725" s="126" t="s">
        <v>498</v>
      </c>
      <c r="E725" s="128">
        <v>4.5519999999999996</v>
      </c>
      <c r="F725" s="129">
        <f t="shared" si="35"/>
        <v>8.0124303999999993E-2</v>
      </c>
      <c r="G725" t="str">
        <f>_xlfn.XLOOKUP(D725,'[1]2050 BAU Mapping to T &amp; C'!$A$3:$A$52,'[1]2050 BAU Mapping to T &amp; C'!$B$3:$B$52)</f>
        <v>Tropical Fruits</v>
      </c>
      <c r="H725" s="129">
        <f>_xlfn.XLOOKUP(G725,'[1]T&amp;C emissions for 2050 analysis'!$B$3:$B$23,'[1]T&amp;C emissions for 2050 analysis'!$C$3:$C$23)</f>
        <v>0.51333333333333331</v>
      </c>
      <c r="I725" s="27">
        <f t="shared" si="33"/>
        <v>4.113047605333333E-2</v>
      </c>
      <c r="J725" s="129">
        <f t="shared" si="34"/>
        <v>2.3366933333333328</v>
      </c>
    </row>
    <row r="726" spans="1:10" hidden="1" x14ac:dyDescent="0.35">
      <c r="A726" s="126" t="s">
        <v>440</v>
      </c>
      <c r="B726" t="str">
        <f>_xlfn.XLOOKUP(A726,'[1]2050Pop'!$A$7:$A$143,'[1]2050Pop'!$D$7:$D$143)</f>
        <v>Euro/AU/NZ</v>
      </c>
      <c r="C726" s="127">
        <f>1000*_xlfn.XLOOKUP(A726,'[1]2050Pop'!$A$7:$A$143,'[1]2050Pop'!$C$7:$C$143)</f>
        <v>5607</v>
      </c>
      <c r="D726" s="126" t="s">
        <v>498</v>
      </c>
      <c r="E726" s="128">
        <v>6.9809999999999999</v>
      </c>
      <c r="F726" s="129">
        <f t="shared" si="35"/>
        <v>3.9142467E-2</v>
      </c>
      <c r="G726" t="str">
        <f>_xlfn.XLOOKUP(D726,'[1]2050 BAU Mapping to T &amp; C'!$A$3:$A$52,'[1]2050 BAU Mapping to T &amp; C'!$B$3:$B$52)</f>
        <v>Tropical Fruits</v>
      </c>
      <c r="H726" s="129">
        <f>_xlfn.XLOOKUP(G726,'[1]T&amp;C emissions for 2050 analysis'!$B$3:$B$23,'[1]T&amp;C emissions for 2050 analysis'!$C$3:$C$23)</f>
        <v>0.51333333333333331</v>
      </c>
      <c r="I726" s="27">
        <f t="shared" si="33"/>
        <v>2.0093133060000001E-2</v>
      </c>
      <c r="J726" s="129">
        <f t="shared" si="34"/>
        <v>3.5835799999999995</v>
      </c>
    </row>
    <row r="727" spans="1:10" hidden="1" x14ac:dyDescent="0.35">
      <c r="A727" s="126" t="s">
        <v>441</v>
      </c>
      <c r="B727" t="str">
        <f>_xlfn.XLOOKUP(A727,'[1]2050Pop'!$A$7:$A$143,'[1]2050Pop'!$D$7:$D$143)</f>
        <v>LatAm &amp; RSA</v>
      </c>
      <c r="C727" s="127">
        <f>1000*_xlfn.XLOOKUP(A727,'[1]2050Pop'!$A$7:$A$143,'[1]2050Pop'!$C$7:$C$143)</f>
        <v>7863</v>
      </c>
      <c r="D727" s="126" t="s">
        <v>498</v>
      </c>
      <c r="E727" s="128">
        <v>2.8370000000000002</v>
      </c>
      <c r="F727" s="129">
        <f t="shared" si="35"/>
        <v>2.2307331000000003E-2</v>
      </c>
      <c r="G727" t="str">
        <f>_xlfn.XLOOKUP(D727,'[1]2050 BAU Mapping to T &amp; C'!$A$3:$A$52,'[1]2050 BAU Mapping to T &amp; C'!$B$3:$B$52)</f>
        <v>Tropical Fruits</v>
      </c>
      <c r="H727" s="129">
        <f>_xlfn.XLOOKUP(G727,'[1]T&amp;C emissions for 2050 analysis'!$B$3:$B$23,'[1]T&amp;C emissions for 2050 analysis'!$C$3:$C$23)</f>
        <v>0.51333333333333331</v>
      </c>
      <c r="I727" s="27">
        <f t="shared" si="33"/>
        <v>1.145109658E-2</v>
      </c>
      <c r="J727" s="129">
        <f t="shared" si="34"/>
        <v>1.4563266666666668</v>
      </c>
    </row>
    <row r="728" spans="1:10" hidden="1" x14ac:dyDescent="0.35">
      <c r="A728" s="126" t="s">
        <v>482</v>
      </c>
      <c r="B728" t="str">
        <f>_xlfn.XLOOKUP(A728,'[1]2050Pop'!$A$7:$A$143,'[1]2050Pop'!$D$7:$D$143)</f>
        <v>SSA</v>
      </c>
      <c r="C728" s="127">
        <f>1000*_xlfn.XLOOKUP(A728,'[1]2050Pop'!$A$7:$A$143,'[1]2050Pop'!$C$7:$C$143)</f>
        <v>72238</v>
      </c>
      <c r="D728" s="126" t="s">
        <v>498</v>
      </c>
      <c r="E728" s="128">
        <v>4.5289999999999999</v>
      </c>
      <c r="F728" s="129">
        <f t="shared" si="35"/>
        <v>0.32716590200000001</v>
      </c>
      <c r="G728" t="str">
        <f>_xlfn.XLOOKUP(D728,'[1]2050 BAU Mapping to T &amp; C'!$A$3:$A$52,'[1]2050 BAU Mapping to T &amp; C'!$B$3:$B$52)</f>
        <v>Tropical Fruits</v>
      </c>
      <c r="H728" s="129">
        <f>_xlfn.XLOOKUP(G728,'[1]T&amp;C emissions for 2050 analysis'!$B$3:$B$23,'[1]T&amp;C emissions for 2050 analysis'!$C$3:$C$23)</f>
        <v>0.51333333333333331</v>
      </c>
      <c r="I728" s="27">
        <f t="shared" si="33"/>
        <v>0.16794516302666665</v>
      </c>
      <c r="J728" s="129">
        <f t="shared" si="34"/>
        <v>2.3248866666666665</v>
      </c>
    </row>
    <row r="729" spans="1:10" hidden="1" x14ac:dyDescent="0.35">
      <c r="A729" s="126" t="s">
        <v>491</v>
      </c>
      <c r="B729" t="str">
        <f>_xlfn.XLOOKUP(A729,'[1]2050Pop'!$A$7:$A$143,'[1]2050Pop'!$D$7:$D$143)</f>
        <v>SSA</v>
      </c>
      <c r="C729" s="127">
        <f>1000*_xlfn.XLOOKUP(A729,'[1]2050Pop'!$A$7:$A$143,'[1]2050Pop'!$C$7:$C$143)</f>
        <v>398508</v>
      </c>
      <c r="D729" s="126" t="s">
        <v>498</v>
      </c>
      <c r="E729" s="128">
        <v>2.7309999999999999</v>
      </c>
      <c r="F729" s="129">
        <f t="shared" si="35"/>
        <v>1.0883253479999999</v>
      </c>
      <c r="G729" t="str">
        <f>_xlfn.XLOOKUP(D729,'[1]2050 BAU Mapping to T &amp; C'!$A$3:$A$52,'[1]2050 BAU Mapping to T &amp; C'!$B$3:$B$52)</f>
        <v>Tropical Fruits</v>
      </c>
      <c r="H729" s="129">
        <f>_xlfn.XLOOKUP(G729,'[1]T&amp;C emissions for 2050 analysis'!$B$3:$B$23,'[1]T&amp;C emissions for 2050 analysis'!$C$3:$C$23)</f>
        <v>0.51333333333333331</v>
      </c>
      <c r="I729" s="27">
        <f t="shared" si="33"/>
        <v>0.55867367863999995</v>
      </c>
      <c r="J729" s="129">
        <f t="shared" si="34"/>
        <v>1.4019133333333331</v>
      </c>
    </row>
    <row r="730" spans="1:10" hidden="1" x14ac:dyDescent="0.35">
      <c r="A730" s="126" t="s">
        <v>442</v>
      </c>
      <c r="B730" t="str">
        <f>_xlfn.XLOOKUP(A730,'[1]2050Pop'!$A$7:$A$143,'[1]2050Pop'!$D$7:$D$143)</f>
        <v>Euro/AU/NZ</v>
      </c>
      <c r="C730" s="127">
        <f>1000*_xlfn.XLOOKUP(A730,'[1]2050Pop'!$A$7:$A$143,'[1]2050Pop'!$C$7:$C$143)</f>
        <v>6658</v>
      </c>
      <c r="D730" s="126" t="s">
        <v>498</v>
      </c>
      <c r="E730" s="128">
        <v>1.6160000000000001</v>
      </c>
      <c r="F730" s="129">
        <f t="shared" si="35"/>
        <v>1.0759328000000002E-2</v>
      </c>
      <c r="G730" t="str">
        <f>_xlfn.XLOOKUP(D730,'[1]2050 BAU Mapping to T &amp; C'!$A$3:$A$52,'[1]2050 BAU Mapping to T &amp; C'!$B$3:$B$52)</f>
        <v>Tropical Fruits</v>
      </c>
      <c r="H730" s="129">
        <f>_xlfn.XLOOKUP(G730,'[1]T&amp;C emissions for 2050 analysis'!$B$3:$B$23,'[1]T&amp;C emissions for 2050 analysis'!$C$3:$C$23)</f>
        <v>0.51333333333333331</v>
      </c>
      <c r="I730" s="27">
        <f t="shared" si="33"/>
        <v>5.5231217066666677E-3</v>
      </c>
      <c r="J730" s="129">
        <f t="shared" si="34"/>
        <v>0.82954666666666665</v>
      </c>
    </row>
    <row r="731" spans="1:10" hidden="1" x14ac:dyDescent="0.35">
      <c r="A731" s="126" t="s">
        <v>443</v>
      </c>
      <c r="B731" t="str">
        <f>_xlfn.XLOOKUP(A731,'[1]2050Pop'!$A$7:$A$143,'[1]2050Pop'!$D$7:$D$143)</f>
        <v>India/South Asia</v>
      </c>
      <c r="C731" s="127">
        <f>1000*_xlfn.XLOOKUP(A731,'[1]2050Pop'!$A$7:$A$143,'[1]2050Pop'!$C$7:$C$143)</f>
        <v>309640</v>
      </c>
      <c r="D731" s="126" t="s">
        <v>498</v>
      </c>
      <c r="E731" s="128">
        <v>0.90300000000000002</v>
      </c>
      <c r="F731" s="129">
        <f t="shared" si="35"/>
        <v>0.27960491999999998</v>
      </c>
      <c r="G731" t="str">
        <f>_xlfn.XLOOKUP(D731,'[1]2050 BAU Mapping to T &amp; C'!$A$3:$A$52,'[1]2050 BAU Mapping to T &amp; C'!$B$3:$B$52)</f>
        <v>Tropical Fruits</v>
      </c>
      <c r="H731" s="129">
        <f>_xlfn.XLOOKUP(G731,'[1]T&amp;C emissions for 2050 analysis'!$B$3:$B$23,'[1]T&amp;C emissions for 2050 analysis'!$C$3:$C$23)</f>
        <v>0.51333333333333331</v>
      </c>
      <c r="I731" s="27">
        <f t="shared" si="33"/>
        <v>0.14353052559999999</v>
      </c>
      <c r="J731" s="129">
        <f t="shared" si="34"/>
        <v>0.46354000000000001</v>
      </c>
    </row>
    <row r="732" spans="1:10" hidden="1" x14ac:dyDescent="0.35">
      <c r="A732" s="126" t="s">
        <v>444</v>
      </c>
      <c r="B732" t="str">
        <f>_xlfn.XLOOKUP(A732,'[1]2050Pop'!$A$7:$A$143,'[1]2050Pop'!$D$7:$D$143)</f>
        <v>LatAm &amp; RSA</v>
      </c>
      <c r="C732" s="127">
        <f>1000*_xlfn.XLOOKUP(A732,'[1]2050Pop'!$A$7:$A$143,'[1]2050Pop'!$C$7:$C$143)</f>
        <v>5599</v>
      </c>
      <c r="D732" s="126" t="s">
        <v>498</v>
      </c>
      <c r="E732" s="128">
        <v>8.5440000000000005</v>
      </c>
      <c r="F732" s="129">
        <f t="shared" si="35"/>
        <v>4.7837855999999998E-2</v>
      </c>
      <c r="G732" t="str">
        <f>_xlfn.XLOOKUP(D732,'[1]2050 BAU Mapping to T &amp; C'!$A$3:$A$52,'[1]2050 BAU Mapping to T &amp; C'!$B$3:$B$52)</f>
        <v>Tropical Fruits</v>
      </c>
      <c r="H732" s="129">
        <f>_xlfn.XLOOKUP(G732,'[1]T&amp;C emissions for 2050 analysis'!$B$3:$B$23,'[1]T&amp;C emissions for 2050 analysis'!$C$3:$C$23)</f>
        <v>0.51333333333333331</v>
      </c>
      <c r="I732" s="27">
        <f t="shared" si="33"/>
        <v>2.4556766079999997E-2</v>
      </c>
      <c r="J732" s="129">
        <f t="shared" si="34"/>
        <v>4.3859199999999996</v>
      </c>
    </row>
    <row r="733" spans="1:10" hidden="1" x14ac:dyDescent="0.35">
      <c r="A733" s="126" t="s">
        <v>445</v>
      </c>
      <c r="B733" t="str">
        <f>_xlfn.XLOOKUP(A733,'[1]2050Pop'!$A$7:$A$143,'[1]2050Pop'!$D$7:$D$143)</f>
        <v>LatAm &amp; RSA</v>
      </c>
      <c r="C733" s="127">
        <f>1000*_xlfn.XLOOKUP(A733,'[1]2050Pop'!$A$7:$A$143,'[1]2050Pop'!$C$7:$C$143)</f>
        <v>8895</v>
      </c>
      <c r="D733" s="126" t="s">
        <v>498</v>
      </c>
      <c r="E733" s="130">
        <v>1.46</v>
      </c>
      <c r="F733" s="129">
        <f t="shared" si="35"/>
        <v>1.2986699999999999E-2</v>
      </c>
      <c r="G733" t="str">
        <f>_xlfn.XLOOKUP(D733,'[1]2050 BAU Mapping to T &amp; C'!$A$3:$A$52,'[1]2050 BAU Mapping to T &amp; C'!$B$3:$B$52)</f>
        <v>Tropical Fruits</v>
      </c>
      <c r="H733" s="129">
        <f>_xlfn.XLOOKUP(G733,'[1]T&amp;C emissions for 2050 analysis'!$B$3:$B$23,'[1]T&amp;C emissions for 2050 analysis'!$C$3:$C$23)</f>
        <v>0.51333333333333331</v>
      </c>
      <c r="I733" s="27">
        <f t="shared" si="33"/>
        <v>6.6665059999999991E-3</v>
      </c>
      <c r="J733" s="129">
        <f t="shared" si="34"/>
        <v>0.74946666666666661</v>
      </c>
    </row>
    <row r="734" spans="1:10" hidden="1" x14ac:dyDescent="0.35">
      <c r="A734" s="126" t="s">
        <v>446</v>
      </c>
      <c r="B734" t="str">
        <f>_xlfn.XLOOKUP(A734,'[1]2050Pop'!$A$7:$A$143,'[1]2050Pop'!$D$7:$D$143)</f>
        <v>LatAm &amp; RSA</v>
      </c>
      <c r="C734" s="127">
        <f>1000*_xlfn.XLOOKUP(A734,'[1]2050Pop'!$A$7:$A$143,'[1]2050Pop'!$C$7:$C$143)</f>
        <v>41899</v>
      </c>
      <c r="D734" s="126" t="s">
        <v>498</v>
      </c>
      <c r="E734" s="128">
        <v>8.0169999999999995</v>
      </c>
      <c r="F734" s="129">
        <f t="shared" si="35"/>
        <v>0.33590428299999997</v>
      </c>
      <c r="G734" t="str">
        <f>_xlfn.XLOOKUP(D734,'[1]2050 BAU Mapping to T &amp; C'!$A$3:$A$52,'[1]2050 BAU Mapping to T &amp; C'!$B$3:$B$52)</f>
        <v>Tropical Fruits</v>
      </c>
      <c r="H734" s="129">
        <f>_xlfn.XLOOKUP(G734,'[1]T&amp;C emissions for 2050 analysis'!$B$3:$B$23,'[1]T&amp;C emissions for 2050 analysis'!$C$3:$C$23)</f>
        <v>0.51333333333333331</v>
      </c>
      <c r="I734" s="27">
        <f t="shared" si="33"/>
        <v>0.17243086527333332</v>
      </c>
      <c r="J734" s="129">
        <f t="shared" si="34"/>
        <v>4.1153933333333326</v>
      </c>
    </row>
    <row r="735" spans="1:10" hidden="1" x14ac:dyDescent="0.35">
      <c r="A735" s="126" t="s">
        <v>447</v>
      </c>
      <c r="B735" t="str">
        <f>_xlfn.XLOOKUP(A735,'[1]2050Pop'!$A$7:$A$143,'[1]2050Pop'!$D$7:$D$143)</f>
        <v>APAC</v>
      </c>
      <c r="C735" s="127">
        <f>1000*_xlfn.XLOOKUP(A735,'[1]2050Pop'!$A$7:$A$143,'[1]2050Pop'!$C$7:$C$143)</f>
        <v>148260</v>
      </c>
      <c r="D735" s="126" t="s">
        <v>498</v>
      </c>
      <c r="E735" s="128">
        <v>15.528</v>
      </c>
      <c r="F735" s="129">
        <f t="shared" si="35"/>
        <v>2.3021812800000001</v>
      </c>
      <c r="G735" t="str">
        <f>_xlfn.XLOOKUP(D735,'[1]2050 BAU Mapping to T &amp; C'!$A$3:$A$52,'[1]2050 BAU Mapping to T &amp; C'!$B$3:$B$52)</f>
        <v>Tropical Fruits</v>
      </c>
      <c r="H735" s="129">
        <f>_xlfn.XLOOKUP(G735,'[1]T&amp;C emissions for 2050 analysis'!$B$3:$B$23,'[1]T&amp;C emissions for 2050 analysis'!$C$3:$C$23)</f>
        <v>0.51333333333333331</v>
      </c>
      <c r="I735" s="27">
        <f t="shared" si="33"/>
        <v>1.1817863903999999</v>
      </c>
      <c r="J735" s="129">
        <f t="shared" si="34"/>
        <v>7.9710399999999995</v>
      </c>
    </row>
    <row r="736" spans="1:10" hidden="1" x14ac:dyDescent="0.35">
      <c r="A736" s="126" t="s">
        <v>448</v>
      </c>
      <c r="B736" t="str">
        <f>_xlfn.XLOOKUP(A736,'[1]2050Pop'!$A$7:$A$143,'[1]2050Pop'!$D$7:$D$143)</f>
        <v>Euro/AU/NZ</v>
      </c>
      <c r="C736" s="127">
        <f>1000*_xlfn.XLOOKUP(A736,'[1]2050Pop'!$A$7:$A$143,'[1]2050Pop'!$C$7:$C$143)</f>
        <v>33136</v>
      </c>
      <c r="D736" s="126" t="s">
        <v>498</v>
      </c>
      <c r="E736" s="128">
        <v>3.0129999999999999</v>
      </c>
      <c r="F736" s="129">
        <f t="shared" si="35"/>
        <v>9.9838767999999994E-2</v>
      </c>
      <c r="G736" t="str">
        <f>_xlfn.XLOOKUP(D736,'[1]2050 BAU Mapping to T &amp; C'!$A$3:$A$52,'[1]2050 BAU Mapping to T &amp; C'!$B$3:$B$52)</f>
        <v>Tropical Fruits</v>
      </c>
      <c r="H736" s="129">
        <f>_xlfn.XLOOKUP(G736,'[1]T&amp;C emissions for 2050 analysis'!$B$3:$B$23,'[1]T&amp;C emissions for 2050 analysis'!$C$3:$C$23)</f>
        <v>0.51333333333333331</v>
      </c>
      <c r="I736" s="27">
        <f t="shared" si="33"/>
        <v>5.1250567573333329E-2</v>
      </c>
      <c r="J736" s="129">
        <f t="shared" si="34"/>
        <v>1.5466733333333331</v>
      </c>
    </row>
    <row r="737" spans="1:10" hidden="1" x14ac:dyDescent="0.35">
      <c r="A737" s="126" t="s">
        <v>449</v>
      </c>
      <c r="B737" t="str">
        <f>_xlfn.XLOOKUP(A737,'[1]2050Pop'!$A$7:$A$143,'[1]2050Pop'!$D$7:$D$143)</f>
        <v>Euro/AU/NZ</v>
      </c>
      <c r="C737" s="127">
        <f>1000*_xlfn.XLOOKUP(A737,'[1]2050Pop'!$A$7:$A$143,'[1]2050Pop'!$C$7:$C$143)</f>
        <v>9216</v>
      </c>
      <c r="D737" s="126" t="s">
        <v>498</v>
      </c>
      <c r="E737" s="128">
        <v>2.9359999999999999</v>
      </c>
      <c r="F737" s="129">
        <f t="shared" si="35"/>
        <v>2.7058176E-2</v>
      </c>
      <c r="G737" t="str">
        <f>_xlfn.XLOOKUP(D737,'[1]2050 BAU Mapping to T &amp; C'!$A$3:$A$52,'[1]2050 BAU Mapping to T &amp; C'!$B$3:$B$52)</f>
        <v>Tropical Fruits</v>
      </c>
      <c r="H737" s="129">
        <f>_xlfn.XLOOKUP(G737,'[1]T&amp;C emissions for 2050 analysis'!$B$3:$B$23,'[1]T&amp;C emissions for 2050 analysis'!$C$3:$C$23)</f>
        <v>0.51333333333333331</v>
      </c>
      <c r="I737" s="27">
        <f t="shared" si="33"/>
        <v>1.388986368E-2</v>
      </c>
      <c r="J737" s="129">
        <f t="shared" si="34"/>
        <v>1.5071466666666666</v>
      </c>
    </row>
    <row r="738" spans="1:10" hidden="1" x14ac:dyDescent="0.35">
      <c r="A738" s="126" t="s">
        <v>450</v>
      </c>
      <c r="B738" t="str">
        <f>_xlfn.XLOOKUP(A738,'[1]2050Pop'!$A$7:$A$143,'[1]2050Pop'!$D$7:$D$143)</f>
        <v>APAC</v>
      </c>
      <c r="C738" s="127">
        <f>1000*_xlfn.XLOOKUP(A738,'[1]2050Pop'!$A$7:$A$143,'[1]2050Pop'!$C$7:$C$143)</f>
        <v>50593</v>
      </c>
      <c r="D738" s="126" t="s">
        <v>498</v>
      </c>
      <c r="E738" s="128">
        <v>0.86499999999999999</v>
      </c>
      <c r="F738" s="129">
        <f t="shared" si="35"/>
        <v>4.3762944999999998E-2</v>
      </c>
      <c r="G738" t="str">
        <f>_xlfn.XLOOKUP(D738,'[1]2050 BAU Mapping to T &amp; C'!$A$3:$A$52,'[1]2050 BAU Mapping to T &amp; C'!$B$3:$B$52)</f>
        <v>Tropical Fruits</v>
      </c>
      <c r="H738" s="129">
        <f>_xlfn.XLOOKUP(G738,'[1]T&amp;C emissions for 2050 analysis'!$B$3:$B$23,'[1]T&amp;C emissions for 2050 analysis'!$C$3:$C$23)</f>
        <v>0.51333333333333331</v>
      </c>
      <c r="I738" s="27">
        <f t="shared" si="33"/>
        <v>2.2464978433333331E-2</v>
      </c>
      <c r="J738" s="129">
        <f t="shared" si="34"/>
        <v>0.44403333333333328</v>
      </c>
    </row>
    <row r="739" spans="1:10" hidden="1" x14ac:dyDescent="0.35">
      <c r="A739" s="126" t="s">
        <v>451</v>
      </c>
      <c r="B739" t="str">
        <f>_xlfn.XLOOKUP(A739,'[1]2050Pop'!$A$7:$A$143,'[1]2050Pop'!$D$7:$D$143)</f>
        <v>Euro/AU/NZ</v>
      </c>
      <c r="C739" s="127">
        <f>1000*_xlfn.XLOOKUP(A739,'[1]2050Pop'!$A$7:$A$143,'[1]2050Pop'!$C$7:$C$143)</f>
        <v>3243</v>
      </c>
      <c r="D739" s="126" t="s">
        <v>498</v>
      </c>
      <c r="E739" s="128">
        <v>1.0049999999999999</v>
      </c>
      <c r="F739" s="129">
        <f t="shared" si="35"/>
        <v>3.2592149999999998E-3</v>
      </c>
      <c r="G739" t="str">
        <f>_xlfn.XLOOKUP(D739,'[1]2050 BAU Mapping to T &amp; C'!$A$3:$A$52,'[1]2050 BAU Mapping to T &amp; C'!$B$3:$B$52)</f>
        <v>Tropical Fruits</v>
      </c>
      <c r="H739" s="129">
        <f>_xlfn.XLOOKUP(G739,'[1]T&amp;C emissions for 2050 analysis'!$B$3:$B$23,'[1]T&amp;C emissions for 2050 analysis'!$C$3:$C$23)</f>
        <v>0.51333333333333331</v>
      </c>
      <c r="I739" s="27">
        <f t="shared" si="33"/>
        <v>1.6730636999999998E-3</v>
      </c>
      <c r="J739" s="129">
        <f t="shared" si="34"/>
        <v>0.51589999999999991</v>
      </c>
    </row>
    <row r="740" spans="1:10" hidden="1" x14ac:dyDescent="0.35">
      <c r="A740" s="126" t="s">
        <v>452</v>
      </c>
      <c r="B740" t="str">
        <f>_xlfn.XLOOKUP(A740,'[1]2050Pop'!$A$7:$A$143,'[1]2050Pop'!$D$7:$D$143)</f>
        <v>SSA</v>
      </c>
      <c r="C740" s="127">
        <f>1000*_xlfn.XLOOKUP(A740,'[1]2050Pop'!$A$7:$A$143,'[1]2050Pop'!$C$7:$C$143)</f>
        <v>10732</v>
      </c>
      <c r="D740" s="126" t="s">
        <v>498</v>
      </c>
      <c r="E740" s="128">
        <v>4.0339999999999998</v>
      </c>
      <c r="F740" s="129">
        <f t="shared" si="35"/>
        <v>4.3292888000000002E-2</v>
      </c>
      <c r="G740" t="str">
        <f>_xlfn.XLOOKUP(D740,'[1]2050 BAU Mapping to T &amp; C'!$A$3:$A$52,'[1]2050 BAU Mapping to T &amp; C'!$B$3:$B$52)</f>
        <v>Tropical Fruits</v>
      </c>
      <c r="H740" s="129">
        <f>_xlfn.XLOOKUP(G740,'[1]T&amp;C emissions for 2050 analysis'!$B$3:$B$23,'[1]T&amp;C emissions for 2050 analysis'!$C$3:$C$23)</f>
        <v>0.51333333333333331</v>
      </c>
      <c r="I740" s="27">
        <f t="shared" si="33"/>
        <v>2.2223682506666665E-2</v>
      </c>
      <c r="J740" s="129">
        <f t="shared" si="34"/>
        <v>2.0707866666666663</v>
      </c>
    </row>
    <row r="741" spans="1:10" hidden="1" x14ac:dyDescent="0.35">
      <c r="A741" s="126" t="s">
        <v>453</v>
      </c>
      <c r="B741" t="str">
        <f>_xlfn.XLOOKUP(A741,'[1]2050Pop'!$A$7:$A$143,'[1]2050Pop'!$D$7:$D$143)</f>
        <v>Euro/AU/NZ</v>
      </c>
      <c r="C741" s="127">
        <f>1000*_xlfn.XLOOKUP(A741,'[1]2050Pop'!$A$7:$A$143,'[1]2050Pop'!$C$7:$C$143)</f>
        <v>15207</v>
      </c>
      <c r="D741" s="126" t="s">
        <v>498</v>
      </c>
      <c r="E741" s="128">
        <v>0.90200000000000002</v>
      </c>
      <c r="F741" s="129">
        <f t="shared" si="35"/>
        <v>1.3716714E-2</v>
      </c>
      <c r="G741" t="str">
        <f>_xlfn.XLOOKUP(D741,'[1]2050 BAU Mapping to T &amp; C'!$A$3:$A$52,'[1]2050 BAU Mapping to T &amp; C'!$B$3:$B$52)</f>
        <v>Tropical Fruits</v>
      </c>
      <c r="H741" s="129">
        <f>_xlfn.XLOOKUP(G741,'[1]T&amp;C emissions for 2050 analysis'!$B$3:$B$23,'[1]T&amp;C emissions for 2050 analysis'!$C$3:$C$23)</f>
        <v>0.51333333333333331</v>
      </c>
      <c r="I741" s="27">
        <f t="shared" si="33"/>
        <v>7.0412465199999998E-3</v>
      </c>
      <c r="J741" s="129">
        <f t="shared" si="34"/>
        <v>0.46302666666666664</v>
      </c>
    </row>
    <row r="742" spans="1:10" hidden="1" x14ac:dyDescent="0.35">
      <c r="A742" s="126" t="s">
        <v>454</v>
      </c>
      <c r="B742" t="str">
        <f>_xlfn.XLOOKUP(A742,'[1]2050Pop'!$A$7:$A$143,'[1]2050Pop'!$D$7:$D$143)</f>
        <v>Euro/AU/NZ</v>
      </c>
      <c r="C742" s="127">
        <f>1000*_xlfn.XLOOKUP(A742,'[1]2050Pop'!$A$7:$A$143,'[1]2050Pop'!$C$7:$C$143)</f>
        <v>128598.99999999999</v>
      </c>
      <c r="D742" s="126" t="s">
        <v>498</v>
      </c>
      <c r="E742" s="128">
        <v>1.575</v>
      </c>
      <c r="F742" s="129">
        <f t="shared" si="35"/>
        <v>0.20254342499999997</v>
      </c>
      <c r="G742" t="str">
        <f>_xlfn.XLOOKUP(D742,'[1]2050 BAU Mapping to T &amp; C'!$A$3:$A$52,'[1]2050 BAU Mapping to T &amp; C'!$B$3:$B$52)</f>
        <v>Tropical Fruits</v>
      </c>
      <c r="H742" s="129">
        <f>_xlfn.XLOOKUP(G742,'[1]T&amp;C emissions for 2050 analysis'!$B$3:$B$23,'[1]T&amp;C emissions for 2050 analysis'!$C$3:$C$23)</f>
        <v>0.51333333333333331</v>
      </c>
      <c r="I742" s="27">
        <f t="shared" si="33"/>
        <v>0.10397229149999998</v>
      </c>
      <c r="J742" s="129">
        <f t="shared" si="34"/>
        <v>0.80849999999999989</v>
      </c>
    </row>
    <row r="743" spans="1:10" hidden="1" x14ac:dyDescent="0.35">
      <c r="A743" s="126" t="s">
        <v>456</v>
      </c>
      <c r="B743" t="str">
        <f>_xlfn.XLOOKUP(A743,'[1]2050Pop'!$A$7:$A$143,'[1]2050Pop'!$D$7:$D$143)</f>
        <v>MENA</v>
      </c>
      <c r="C743" s="127">
        <f>1000*_xlfn.XLOOKUP(A743,'[1]2050Pop'!$A$7:$A$143,'[1]2050Pop'!$C$7:$C$143)</f>
        <v>46059</v>
      </c>
      <c r="D743" s="126" t="s">
        <v>498</v>
      </c>
      <c r="E743" s="128">
        <v>3.3580000000000001</v>
      </c>
      <c r="F743" s="129">
        <f t="shared" si="35"/>
        <v>0.15466612199999999</v>
      </c>
      <c r="G743" t="str">
        <f>_xlfn.XLOOKUP(D743,'[1]2050 BAU Mapping to T &amp; C'!$A$3:$A$52,'[1]2050 BAU Mapping to T &amp; C'!$B$3:$B$52)</f>
        <v>Tropical Fruits</v>
      </c>
      <c r="H743" s="129">
        <f>_xlfn.XLOOKUP(G743,'[1]T&amp;C emissions for 2050 analysis'!$B$3:$B$23,'[1]T&amp;C emissions for 2050 analysis'!$C$3:$C$23)</f>
        <v>0.51333333333333331</v>
      </c>
      <c r="I743" s="27">
        <f t="shared" si="33"/>
        <v>7.9395275959999997E-2</v>
      </c>
      <c r="J743" s="129">
        <f t="shared" si="34"/>
        <v>1.7237733333333334</v>
      </c>
    </row>
    <row r="744" spans="1:10" hidden="1" x14ac:dyDescent="0.35">
      <c r="A744" s="126" t="s">
        <v>457</v>
      </c>
      <c r="B744" t="str">
        <f>_xlfn.XLOOKUP(A744,'[1]2050Pop'!$A$7:$A$143,'[1]2050Pop'!$D$7:$D$143)</f>
        <v>SSA</v>
      </c>
      <c r="C744" s="127">
        <f>1000*_xlfn.XLOOKUP(A744,'[1]2050Pop'!$A$7:$A$143,'[1]2050Pop'!$C$7:$C$143)</f>
        <v>36223</v>
      </c>
      <c r="D744" s="126" t="s">
        <v>498</v>
      </c>
      <c r="E744" s="128">
        <v>5.7270000000000003</v>
      </c>
      <c r="F744" s="129">
        <f t="shared" si="35"/>
        <v>0.20744912100000001</v>
      </c>
      <c r="G744" t="str">
        <f>_xlfn.XLOOKUP(D744,'[1]2050 BAU Mapping to T &amp; C'!$A$3:$A$52,'[1]2050 BAU Mapping to T &amp; C'!$B$3:$B$52)</f>
        <v>Tropical Fruits</v>
      </c>
      <c r="H744" s="129">
        <f>_xlfn.XLOOKUP(G744,'[1]T&amp;C emissions for 2050 analysis'!$B$3:$B$23,'[1]T&amp;C emissions for 2050 analysis'!$C$3:$C$23)</f>
        <v>0.51333333333333331</v>
      </c>
      <c r="I744" s="27">
        <f t="shared" si="33"/>
        <v>0.10649054878</v>
      </c>
      <c r="J744" s="129">
        <f t="shared" si="34"/>
        <v>2.9398599999999999</v>
      </c>
    </row>
    <row r="745" spans="1:10" hidden="1" x14ac:dyDescent="0.35">
      <c r="A745" s="126" t="s">
        <v>458</v>
      </c>
      <c r="B745" t="str">
        <f>_xlfn.XLOOKUP(A745,'[1]2050Pop'!$A$7:$A$143,'[1]2050Pop'!$D$7:$D$143)</f>
        <v>Euro/AU/NZ</v>
      </c>
      <c r="C745" s="127">
        <f>1000*_xlfn.XLOOKUP(A745,'[1]2050Pop'!$A$7:$A$143,'[1]2050Pop'!$C$7:$C$143)</f>
        <v>7331</v>
      </c>
      <c r="D745" s="126" t="s">
        <v>498</v>
      </c>
      <c r="E745" s="128">
        <v>1.1619999999999999</v>
      </c>
      <c r="F745" s="129">
        <f t="shared" si="35"/>
        <v>8.518622E-3</v>
      </c>
      <c r="G745" t="str">
        <f>_xlfn.XLOOKUP(D745,'[1]2050 BAU Mapping to T &amp; C'!$A$3:$A$52,'[1]2050 BAU Mapping to T &amp; C'!$B$3:$B$52)</f>
        <v>Tropical Fruits</v>
      </c>
      <c r="H745" s="129">
        <f>_xlfn.XLOOKUP(G745,'[1]T&amp;C emissions for 2050 analysis'!$B$3:$B$23,'[1]T&amp;C emissions for 2050 analysis'!$C$3:$C$23)</f>
        <v>0.51333333333333331</v>
      </c>
      <c r="I745" s="27">
        <f t="shared" si="33"/>
        <v>4.3728926266666662E-3</v>
      </c>
      <c r="J745" s="129">
        <f t="shared" si="34"/>
        <v>0.59649333333333321</v>
      </c>
    </row>
    <row r="746" spans="1:10" hidden="1" x14ac:dyDescent="0.35">
      <c r="A746" s="126" t="s">
        <v>492</v>
      </c>
      <c r="B746" t="str">
        <f>_xlfn.XLOOKUP(A746,'[1]2050Pop'!$A$7:$A$143,'[1]2050Pop'!$D$7:$D$143)</f>
        <v>SSA</v>
      </c>
      <c r="C746" s="127">
        <f>1000*_xlfn.XLOOKUP(A746,'[1]2050Pop'!$A$7:$A$143,'[1]2050Pop'!$C$7:$C$143)</f>
        <v>11392</v>
      </c>
      <c r="D746" s="126" t="s">
        <v>498</v>
      </c>
      <c r="E746" s="128">
        <v>1.9510000000000001</v>
      </c>
      <c r="F746" s="129">
        <f t="shared" si="35"/>
        <v>2.2225792000000001E-2</v>
      </c>
      <c r="G746" t="str">
        <f>_xlfn.XLOOKUP(D746,'[1]2050 BAU Mapping to T &amp; C'!$A$3:$A$52,'[1]2050 BAU Mapping to T &amp; C'!$B$3:$B$52)</f>
        <v>Tropical Fruits</v>
      </c>
      <c r="H746" s="129">
        <f>_xlfn.XLOOKUP(G746,'[1]T&amp;C emissions for 2050 analysis'!$B$3:$B$23,'[1]T&amp;C emissions for 2050 analysis'!$C$3:$C$23)</f>
        <v>0.51333333333333331</v>
      </c>
      <c r="I746" s="27">
        <f t="shared" si="33"/>
        <v>1.1409239893333334E-2</v>
      </c>
      <c r="J746" s="129">
        <f t="shared" si="34"/>
        <v>1.0015133333333333</v>
      </c>
    </row>
    <row r="747" spans="1:10" hidden="1" x14ac:dyDescent="0.35">
      <c r="A747" s="126" t="s">
        <v>459</v>
      </c>
      <c r="B747" t="str">
        <f>_xlfn.XLOOKUP(A747,'[1]2050Pop'!$A$7:$A$143,'[1]2050Pop'!$D$7:$D$143)</f>
        <v>Euro/AU/NZ</v>
      </c>
      <c r="C747" s="127">
        <f>1000*_xlfn.XLOOKUP(A747,'[1]2050Pop'!$A$7:$A$143,'[1]2050Pop'!$C$7:$C$143)</f>
        <v>4892</v>
      </c>
      <c r="D747" s="126" t="s">
        <v>498</v>
      </c>
      <c r="E747" s="128">
        <v>2.0059999999999998</v>
      </c>
      <c r="F747" s="129">
        <f t="shared" si="35"/>
        <v>9.8133519999999991E-3</v>
      </c>
      <c r="G747" t="str">
        <f>_xlfn.XLOOKUP(D747,'[1]2050 BAU Mapping to T &amp; C'!$A$3:$A$52,'[1]2050 BAU Mapping to T &amp; C'!$B$3:$B$52)</f>
        <v>Tropical Fruits</v>
      </c>
      <c r="H747" s="129">
        <f>_xlfn.XLOOKUP(G747,'[1]T&amp;C emissions for 2050 analysis'!$B$3:$B$23,'[1]T&amp;C emissions for 2050 analysis'!$C$3:$C$23)</f>
        <v>0.51333333333333331</v>
      </c>
      <c r="I747" s="27">
        <f t="shared" si="33"/>
        <v>5.0375206933333328E-3</v>
      </c>
      <c r="J747" s="129">
        <f t="shared" si="34"/>
        <v>1.0297466666666666</v>
      </c>
    </row>
    <row r="748" spans="1:10" hidden="1" x14ac:dyDescent="0.35">
      <c r="A748" s="126" t="s">
        <v>460</v>
      </c>
      <c r="B748" t="str">
        <f>_xlfn.XLOOKUP(A748,'[1]2050Pop'!$A$7:$A$143,'[1]2050Pop'!$D$7:$D$143)</f>
        <v>LatAm &amp; RSA</v>
      </c>
      <c r="C748" s="127">
        <f>1000*_xlfn.XLOOKUP(A748,'[1]2050Pop'!$A$7:$A$143,'[1]2050Pop'!$C$7:$C$143)</f>
        <v>65540</v>
      </c>
      <c r="D748" s="126" t="s">
        <v>498</v>
      </c>
      <c r="E748" s="128">
        <v>1.8240000000000001</v>
      </c>
      <c r="F748" s="129">
        <f t="shared" si="35"/>
        <v>0.11954496000000001</v>
      </c>
      <c r="G748" t="str">
        <f>_xlfn.XLOOKUP(D748,'[1]2050 BAU Mapping to T &amp; C'!$A$3:$A$52,'[1]2050 BAU Mapping to T &amp; C'!$B$3:$B$52)</f>
        <v>Tropical Fruits</v>
      </c>
      <c r="H748" s="129">
        <f>_xlfn.XLOOKUP(G748,'[1]T&amp;C emissions for 2050 analysis'!$B$3:$B$23,'[1]T&amp;C emissions for 2050 analysis'!$C$3:$C$23)</f>
        <v>0.51333333333333331</v>
      </c>
      <c r="I748" s="27">
        <f t="shared" si="33"/>
        <v>6.1366412799999999E-2</v>
      </c>
      <c r="J748" s="129">
        <f t="shared" si="34"/>
        <v>0.93632000000000004</v>
      </c>
    </row>
    <row r="749" spans="1:10" hidden="1" x14ac:dyDescent="0.35">
      <c r="A749" s="126" t="s">
        <v>461</v>
      </c>
      <c r="B749" t="str">
        <f>_xlfn.XLOOKUP(A749,'[1]2050Pop'!$A$7:$A$143,'[1]2050Pop'!$D$7:$D$143)</f>
        <v>Euro/AU/NZ</v>
      </c>
      <c r="C749" s="127">
        <f>1000*_xlfn.XLOOKUP(A749,'[1]2050Pop'!$A$7:$A$143,'[1]2050Pop'!$C$7:$C$143)</f>
        <v>44840</v>
      </c>
      <c r="D749" s="126" t="s">
        <v>498</v>
      </c>
      <c r="E749" s="128">
        <v>1.325</v>
      </c>
      <c r="F749" s="129">
        <f t="shared" si="35"/>
        <v>5.9413000000000001E-2</v>
      </c>
      <c r="G749" t="str">
        <f>_xlfn.XLOOKUP(D749,'[1]2050 BAU Mapping to T &amp; C'!$A$3:$A$52,'[1]2050 BAU Mapping to T &amp; C'!$B$3:$B$52)</f>
        <v>Tropical Fruits</v>
      </c>
      <c r="H749" s="129">
        <f>_xlfn.XLOOKUP(G749,'[1]T&amp;C emissions for 2050 analysis'!$B$3:$B$23,'[1]T&amp;C emissions for 2050 analysis'!$C$3:$C$23)</f>
        <v>0.51333333333333331</v>
      </c>
      <c r="I749" s="27">
        <f t="shared" si="33"/>
        <v>3.0498673333333334E-2</v>
      </c>
      <c r="J749" s="129">
        <f t="shared" si="34"/>
        <v>0.68016666666666659</v>
      </c>
    </row>
    <row r="750" spans="1:10" hidden="1" x14ac:dyDescent="0.35">
      <c r="A750" s="126" t="s">
        <v>493</v>
      </c>
      <c r="B750" t="str">
        <f>_xlfn.XLOOKUP(A750,'[1]2050Pop'!$A$7:$A$143,'[1]2050Pop'!$D$7:$D$143)</f>
        <v>India/South Asia</v>
      </c>
      <c r="C750" s="127">
        <f>1000*_xlfn.XLOOKUP(A750,'[1]2050Pop'!$A$7:$A$143,'[1]2050Pop'!$C$7:$C$143)</f>
        <v>20836</v>
      </c>
      <c r="D750" s="126" t="s">
        <v>498</v>
      </c>
      <c r="E750" s="128">
        <v>322.84399999999999</v>
      </c>
      <c r="F750" s="129">
        <f t="shared" si="35"/>
        <v>6.7267775839999997</v>
      </c>
      <c r="G750" t="str">
        <f>_xlfn.XLOOKUP(D750,'[1]2050 BAU Mapping to T &amp; C'!$A$3:$A$52,'[1]2050 BAU Mapping to T &amp; C'!$B$3:$B$52)</f>
        <v>Tropical Fruits</v>
      </c>
      <c r="H750" s="129">
        <f>_xlfn.XLOOKUP(G750,'[1]T&amp;C emissions for 2050 analysis'!$B$3:$B$23,'[1]T&amp;C emissions for 2050 analysis'!$C$3:$C$23)</f>
        <v>0.51333333333333331</v>
      </c>
      <c r="I750" s="27">
        <f t="shared" si="33"/>
        <v>3.4530791597866664</v>
      </c>
      <c r="J750" s="129">
        <f t="shared" si="34"/>
        <v>165.72658666666666</v>
      </c>
    </row>
    <row r="751" spans="1:10" hidden="1" x14ac:dyDescent="0.35">
      <c r="A751" s="126" t="s">
        <v>462</v>
      </c>
      <c r="B751" t="str">
        <f>_xlfn.XLOOKUP(A751,'[1]2050Pop'!$A$7:$A$143,'[1]2050Pop'!$D$7:$D$143)</f>
        <v>LatAm &amp; RSA</v>
      </c>
      <c r="C751" s="127">
        <f>1000*_xlfn.XLOOKUP(A751,'[1]2050Pop'!$A$7:$A$143,'[1]2050Pop'!$C$7:$C$143)</f>
        <v>624</v>
      </c>
      <c r="D751" s="126" t="s">
        <v>498</v>
      </c>
      <c r="E751" s="128">
        <v>8.1750000000000007</v>
      </c>
      <c r="F751" s="129">
        <f t="shared" si="35"/>
        <v>5.101200000000001E-3</v>
      </c>
      <c r="G751" t="str">
        <f>_xlfn.XLOOKUP(D751,'[1]2050 BAU Mapping to T &amp; C'!$A$3:$A$52,'[1]2050 BAU Mapping to T &amp; C'!$B$3:$B$52)</f>
        <v>Tropical Fruits</v>
      </c>
      <c r="H751" s="129">
        <f>_xlfn.XLOOKUP(G751,'[1]T&amp;C emissions for 2050 analysis'!$B$3:$B$23,'[1]T&amp;C emissions for 2050 analysis'!$C$3:$C$23)</f>
        <v>0.51333333333333331</v>
      </c>
      <c r="I751" s="27">
        <f t="shared" si="33"/>
        <v>2.6186160000000003E-3</v>
      </c>
      <c r="J751" s="129">
        <f t="shared" si="34"/>
        <v>4.1965000000000003</v>
      </c>
    </row>
    <row r="752" spans="1:10" hidden="1" x14ac:dyDescent="0.35">
      <c r="A752" s="126" t="s">
        <v>464</v>
      </c>
      <c r="B752" t="str">
        <f>_xlfn.XLOOKUP(A752,'[1]2050Pop'!$A$7:$A$143,'[1]2050Pop'!$D$7:$D$143)</f>
        <v>Euro/AU/NZ</v>
      </c>
      <c r="C752" s="127">
        <f>1000*_xlfn.XLOOKUP(A752,'[1]2050Pop'!$A$7:$A$143,'[1]2050Pop'!$C$7:$C$143)</f>
        <v>11881</v>
      </c>
      <c r="D752" s="126" t="s">
        <v>498</v>
      </c>
      <c r="E752" s="128">
        <v>2.012</v>
      </c>
      <c r="F752" s="129">
        <f t="shared" si="35"/>
        <v>2.3904571999999999E-2</v>
      </c>
      <c r="G752" t="str">
        <f>_xlfn.XLOOKUP(D752,'[1]2050 BAU Mapping to T &amp; C'!$A$3:$A$52,'[1]2050 BAU Mapping to T &amp; C'!$B$3:$B$52)</f>
        <v>Tropical Fruits</v>
      </c>
      <c r="H752" s="129">
        <f>_xlfn.XLOOKUP(G752,'[1]T&amp;C emissions for 2050 analysis'!$B$3:$B$23,'[1]T&amp;C emissions for 2050 analysis'!$C$3:$C$23)</f>
        <v>0.51333333333333331</v>
      </c>
      <c r="I752" s="27">
        <f t="shared" si="33"/>
        <v>1.2271013626666665E-2</v>
      </c>
      <c r="J752" s="129">
        <f t="shared" si="34"/>
        <v>1.0328266666666666</v>
      </c>
    </row>
    <row r="753" spans="1:10" hidden="1" x14ac:dyDescent="0.35">
      <c r="A753" s="126" t="s">
        <v>465</v>
      </c>
      <c r="B753" t="str">
        <f>_xlfn.XLOOKUP(A753,'[1]2050Pop'!$A$7:$A$143,'[1]2050Pop'!$D$7:$D$143)</f>
        <v>APAC</v>
      </c>
      <c r="C753" s="127">
        <f>1000*_xlfn.XLOOKUP(A753,'[1]2050Pop'!$A$7:$A$143,'[1]2050Pop'!$C$7:$C$143)</f>
        <v>62452</v>
      </c>
      <c r="D753" s="126" t="s">
        <v>498</v>
      </c>
      <c r="E753" s="130">
        <v>50.72</v>
      </c>
      <c r="F753" s="129">
        <f t="shared" si="35"/>
        <v>3.1675654399999997</v>
      </c>
      <c r="G753" t="str">
        <f>_xlfn.XLOOKUP(D753,'[1]2050 BAU Mapping to T &amp; C'!$A$3:$A$52,'[1]2050 BAU Mapping to T &amp; C'!$B$3:$B$52)</f>
        <v>Tropical Fruits</v>
      </c>
      <c r="H753" s="129">
        <f>_xlfn.XLOOKUP(G753,'[1]T&amp;C emissions for 2050 analysis'!$B$3:$B$23,'[1]T&amp;C emissions for 2050 analysis'!$C$3:$C$23)</f>
        <v>0.51333333333333331</v>
      </c>
      <c r="I753" s="27">
        <f t="shared" si="33"/>
        <v>1.6260169258666664</v>
      </c>
      <c r="J753" s="129">
        <f t="shared" si="34"/>
        <v>26.036266666666666</v>
      </c>
    </row>
    <row r="754" spans="1:10" hidden="1" x14ac:dyDescent="0.35">
      <c r="A754" s="126" t="s">
        <v>466</v>
      </c>
      <c r="B754" t="str">
        <f>_xlfn.XLOOKUP(A754,'[1]2050Pop'!$A$7:$A$143,'[1]2050Pop'!$D$7:$D$143)</f>
        <v>SSA</v>
      </c>
      <c r="C754" s="127">
        <f>1000*_xlfn.XLOOKUP(A754,'[1]2050Pop'!$A$7:$A$143,'[1]2050Pop'!$C$7:$C$143)</f>
        <v>15681</v>
      </c>
      <c r="D754" s="126" t="s">
        <v>498</v>
      </c>
      <c r="E754" s="130">
        <v>1.58</v>
      </c>
      <c r="F754" s="129">
        <f t="shared" si="35"/>
        <v>2.477598E-2</v>
      </c>
      <c r="G754" t="str">
        <f>_xlfn.XLOOKUP(D754,'[1]2050 BAU Mapping to T &amp; C'!$A$3:$A$52,'[1]2050 BAU Mapping to T &amp; C'!$B$3:$B$52)</f>
        <v>Tropical Fruits</v>
      </c>
      <c r="H754" s="129">
        <f>_xlfn.XLOOKUP(G754,'[1]T&amp;C emissions for 2050 analysis'!$B$3:$B$23,'[1]T&amp;C emissions for 2050 analysis'!$C$3:$C$23)</f>
        <v>0.51333333333333331</v>
      </c>
      <c r="I754" s="27">
        <f t="shared" si="33"/>
        <v>1.2718336399999999E-2</v>
      </c>
      <c r="J754" s="129">
        <f t="shared" si="34"/>
        <v>0.81106666666666671</v>
      </c>
    </row>
    <row r="755" spans="1:10" hidden="1" x14ac:dyDescent="0.35">
      <c r="A755" s="126" t="s">
        <v>467</v>
      </c>
      <c r="B755" t="str">
        <f>_xlfn.XLOOKUP(A755,'[1]2050Pop'!$A$7:$A$143,'[1]2050Pop'!$D$7:$D$143)</f>
        <v>LatAm &amp; RSA</v>
      </c>
      <c r="C755" s="127">
        <f>1000*_xlfn.XLOOKUP(A755,'[1]2050Pop'!$A$7:$A$143,'[1]2050Pop'!$C$7:$C$143)</f>
        <v>1291</v>
      </c>
      <c r="D755" s="126" t="s">
        <v>498</v>
      </c>
      <c r="E755" s="128">
        <v>27.538</v>
      </c>
      <c r="F755" s="129">
        <f t="shared" si="35"/>
        <v>3.5551557999999997E-2</v>
      </c>
      <c r="G755" t="str">
        <f>_xlfn.XLOOKUP(D755,'[1]2050 BAU Mapping to T &amp; C'!$A$3:$A$52,'[1]2050 BAU Mapping to T &amp; C'!$B$3:$B$52)</f>
        <v>Tropical Fruits</v>
      </c>
      <c r="H755" s="129">
        <f>_xlfn.XLOOKUP(G755,'[1]T&amp;C emissions for 2050 analysis'!$B$3:$B$23,'[1]T&amp;C emissions for 2050 analysis'!$C$3:$C$23)</f>
        <v>0.51333333333333331</v>
      </c>
      <c r="I755" s="27">
        <f t="shared" si="33"/>
        <v>1.8249799773333332E-2</v>
      </c>
      <c r="J755" s="129">
        <f t="shared" si="34"/>
        <v>14.136173333333332</v>
      </c>
    </row>
    <row r="756" spans="1:10" hidden="1" x14ac:dyDescent="0.35">
      <c r="A756" s="126" t="s">
        <v>469</v>
      </c>
      <c r="B756" t="str">
        <f>_xlfn.XLOOKUP(A756,'[1]2050Pop'!$A$7:$A$143,'[1]2050Pop'!$D$7:$D$143)</f>
        <v>MENA</v>
      </c>
      <c r="C756" s="127">
        <f>1000*_xlfn.XLOOKUP(A756,'[1]2050Pop'!$A$7:$A$143,'[1]2050Pop'!$C$7:$C$143)</f>
        <v>95819</v>
      </c>
      <c r="D756" s="126" t="s">
        <v>498</v>
      </c>
      <c r="E756" s="128">
        <v>2.4529999999999998</v>
      </c>
      <c r="F756" s="129">
        <f t="shared" si="35"/>
        <v>0.23504400699999997</v>
      </c>
      <c r="G756" t="str">
        <f>_xlfn.XLOOKUP(D756,'[1]2050 BAU Mapping to T &amp; C'!$A$3:$A$52,'[1]2050 BAU Mapping to T &amp; C'!$B$3:$B$52)</f>
        <v>Tropical Fruits</v>
      </c>
      <c r="H756" s="129">
        <f>_xlfn.XLOOKUP(G756,'[1]T&amp;C emissions for 2050 analysis'!$B$3:$B$23,'[1]T&amp;C emissions for 2050 analysis'!$C$3:$C$23)</f>
        <v>0.51333333333333331</v>
      </c>
      <c r="I756" s="27">
        <f t="shared" si="33"/>
        <v>0.12065592359333331</v>
      </c>
      <c r="J756" s="129">
        <f t="shared" si="34"/>
        <v>1.2592066666666666</v>
      </c>
    </row>
    <row r="757" spans="1:10" hidden="1" x14ac:dyDescent="0.35">
      <c r="A757" s="126" t="s">
        <v>471</v>
      </c>
      <c r="B757" t="str">
        <f>_xlfn.XLOOKUP(A757,'[1]2050Pop'!$A$7:$A$143,'[1]2050Pop'!$D$7:$D$143)</f>
        <v>Euro/AU/NZ</v>
      </c>
      <c r="C757" s="127">
        <f>1000*_xlfn.XLOOKUP(A757,'[1]2050Pop'!$A$7:$A$143,'[1]2050Pop'!$C$7:$C$143)</f>
        <v>35117</v>
      </c>
      <c r="D757" s="126" t="s">
        <v>498</v>
      </c>
      <c r="E757" s="128">
        <v>0.95899999999999996</v>
      </c>
      <c r="F757" s="129">
        <f t="shared" si="35"/>
        <v>3.3677203000000003E-2</v>
      </c>
      <c r="G757" t="str">
        <f>_xlfn.XLOOKUP(D757,'[1]2050 BAU Mapping to T &amp; C'!$A$3:$A$52,'[1]2050 BAU Mapping to T &amp; C'!$B$3:$B$52)</f>
        <v>Tropical Fruits</v>
      </c>
      <c r="H757" s="129">
        <f>_xlfn.XLOOKUP(G757,'[1]T&amp;C emissions for 2050 analysis'!$B$3:$B$23,'[1]T&amp;C emissions for 2050 analysis'!$C$3:$C$23)</f>
        <v>0.51333333333333331</v>
      </c>
      <c r="I757" s="27">
        <f t="shared" si="33"/>
        <v>1.7287630873333334E-2</v>
      </c>
      <c r="J757" s="129">
        <f t="shared" si="34"/>
        <v>0.49228666666666665</v>
      </c>
    </row>
    <row r="758" spans="1:10" hidden="1" x14ac:dyDescent="0.35">
      <c r="A758" s="126" t="s">
        <v>472</v>
      </c>
      <c r="B758" t="str">
        <f>_xlfn.XLOOKUP(A758,'[1]2050Pop'!$A$7:$A$143,'[1]2050Pop'!$D$7:$D$143)</f>
        <v>Euro/AU/NZ</v>
      </c>
      <c r="C758" s="127">
        <f>1000*_xlfn.XLOOKUP(A758,'[1]2050Pop'!$A$7:$A$143,'[1]2050Pop'!$C$7:$C$143)</f>
        <v>75361</v>
      </c>
      <c r="D758" s="126" t="s">
        <v>498</v>
      </c>
      <c r="E758" s="128">
        <v>3.8860000000000001</v>
      </c>
      <c r="F758" s="129">
        <f t="shared" si="35"/>
        <v>0.292852846</v>
      </c>
      <c r="G758" t="str">
        <f>_xlfn.XLOOKUP(D758,'[1]2050 BAU Mapping to T &amp; C'!$A$3:$A$52,'[1]2050 BAU Mapping to T &amp; C'!$B$3:$B$52)</f>
        <v>Tropical Fruits</v>
      </c>
      <c r="H758" s="129">
        <f>_xlfn.XLOOKUP(G758,'[1]T&amp;C emissions for 2050 analysis'!$B$3:$B$23,'[1]T&amp;C emissions for 2050 analysis'!$C$3:$C$23)</f>
        <v>0.51333333333333331</v>
      </c>
      <c r="I758" s="27">
        <f t="shared" si="33"/>
        <v>0.15033112761333334</v>
      </c>
      <c r="J758" s="129">
        <f t="shared" si="34"/>
        <v>1.9948133333333333</v>
      </c>
    </row>
    <row r="759" spans="1:10" hidden="1" x14ac:dyDescent="0.35">
      <c r="A759" s="126" t="s">
        <v>473</v>
      </c>
      <c r="B759" t="str">
        <f>_xlfn.XLOOKUP(A759,'[1]2050Pop'!$A$7:$A$143,'[1]2050Pop'!$D$7:$D$143)</f>
        <v>SSA</v>
      </c>
      <c r="C759" s="127">
        <f>1000*_xlfn.XLOOKUP(A759,'[1]2050Pop'!$A$7:$A$143,'[1]2050Pop'!$C$7:$C$143)</f>
        <v>137136</v>
      </c>
      <c r="D759" s="126" t="s">
        <v>498</v>
      </c>
      <c r="E759" s="128">
        <v>28.527000000000001</v>
      </c>
      <c r="F759" s="129">
        <f t="shared" si="35"/>
        <v>3.9120786720000003</v>
      </c>
      <c r="G759" t="str">
        <f>_xlfn.XLOOKUP(D759,'[1]2050 BAU Mapping to T &amp; C'!$A$3:$A$52,'[1]2050 BAU Mapping to T &amp; C'!$B$3:$B$52)</f>
        <v>Tropical Fruits</v>
      </c>
      <c r="H759" s="129">
        <f>_xlfn.XLOOKUP(G759,'[1]T&amp;C emissions for 2050 analysis'!$B$3:$B$23,'[1]T&amp;C emissions for 2050 analysis'!$C$3:$C$23)</f>
        <v>0.51333333333333331</v>
      </c>
      <c r="I759" s="27">
        <f t="shared" si="33"/>
        <v>2.0082003849599999</v>
      </c>
      <c r="J759" s="129">
        <f t="shared" si="34"/>
        <v>14.64386</v>
      </c>
    </row>
    <row r="760" spans="1:10" hidden="1" x14ac:dyDescent="0.35">
      <c r="A760" s="126" t="s">
        <v>474</v>
      </c>
      <c r="B760" t="str">
        <f>_xlfn.XLOOKUP(A760,'[1]2050Pop'!$A$7:$A$143,'[1]2050Pop'!$D$7:$D$143)</f>
        <v>NAm</v>
      </c>
      <c r="C760" s="127">
        <f>1000*_xlfn.XLOOKUP(A760,'[1]2050Pop'!$A$7:$A$143,'[1]2050Pop'!$C$7:$C$143)</f>
        <v>388865</v>
      </c>
      <c r="D760" s="126" t="s">
        <v>498</v>
      </c>
      <c r="E760" s="128">
        <v>2.5259999999999998</v>
      </c>
      <c r="F760" s="129">
        <f t="shared" si="35"/>
        <v>0.9822729899999999</v>
      </c>
      <c r="G760" t="str">
        <f>_xlfn.XLOOKUP(D760,'[1]2050 BAU Mapping to T &amp; C'!$A$3:$A$52,'[1]2050 BAU Mapping to T &amp; C'!$B$3:$B$52)</f>
        <v>Tropical Fruits</v>
      </c>
      <c r="H760" s="129">
        <f>_xlfn.XLOOKUP(G760,'[1]T&amp;C emissions for 2050 analysis'!$B$3:$B$23,'[1]T&amp;C emissions for 2050 analysis'!$C$3:$C$23)</f>
        <v>0.51333333333333331</v>
      </c>
      <c r="I760" s="27">
        <f t="shared" si="33"/>
        <v>0.50423346819999992</v>
      </c>
      <c r="J760" s="129">
        <f t="shared" si="34"/>
        <v>1.2966799999999998</v>
      </c>
    </row>
    <row r="761" spans="1:10" hidden="1" x14ac:dyDescent="0.35">
      <c r="A761" s="126" t="s">
        <v>475</v>
      </c>
      <c r="B761" t="str">
        <f>_xlfn.XLOOKUP(A761,'[1]2050Pop'!$A$7:$A$143,'[1]2050Pop'!$D$7:$D$143)</f>
        <v>LatAm &amp; RSA</v>
      </c>
      <c r="C761" s="127">
        <f>1000*_xlfn.XLOOKUP(A761,'[1]2050Pop'!$A$7:$A$143,'[1]2050Pop'!$C$7:$C$143)</f>
        <v>3667</v>
      </c>
      <c r="D761" s="126" t="s">
        <v>498</v>
      </c>
      <c r="E761" s="128">
        <v>12.385999999999999</v>
      </c>
      <c r="F761" s="129">
        <f t="shared" si="35"/>
        <v>4.5419462000000001E-2</v>
      </c>
      <c r="G761" t="str">
        <f>_xlfn.XLOOKUP(D761,'[1]2050 BAU Mapping to T &amp; C'!$A$3:$A$52,'[1]2050 BAU Mapping to T &amp; C'!$B$3:$B$52)</f>
        <v>Tropical Fruits</v>
      </c>
      <c r="H761" s="129">
        <f>_xlfn.XLOOKUP(G761,'[1]T&amp;C emissions for 2050 analysis'!$B$3:$B$23,'[1]T&amp;C emissions for 2050 analysis'!$C$3:$C$23)</f>
        <v>0.51333333333333331</v>
      </c>
      <c r="I761" s="27">
        <f t="shared" si="33"/>
        <v>2.3315323826666665E-2</v>
      </c>
      <c r="J761" s="129">
        <f t="shared" si="34"/>
        <v>6.3581466666666664</v>
      </c>
    </row>
    <row r="762" spans="1:10" hidden="1" x14ac:dyDescent="0.35">
      <c r="A762" s="126" t="s">
        <v>476</v>
      </c>
      <c r="B762" t="str">
        <f>_xlfn.XLOOKUP(A762,'[1]2050Pop'!$A$7:$A$143,'[1]2050Pop'!$D$7:$D$143)</f>
        <v>LatAm &amp; RSA</v>
      </c>
      <c r="C762" s="127">
        <f>1000*_xlfn.XLOOKUP(A762,'[1]2050Pop'!$A$7:$A$143,'[1]2050Pop'!$C$7:$C$143)</f>
        <v>41562</v>
      </c>
      <c r="D762" s="126" t="s">
        <v>498</v>
      </c>
      <c r="E762" s="128">
        <v>0.88600000000000001</v>
      </c>
      <c r="F762" s="129">
        <f t="shared" si="35"/>
        <v>3.6823932000000004E-2</v>
      </c>
      <c r="G762" t="str">
        <f>_xlfn.XLOOKUP(D762,'[1]2050 BAU Mapping to T &amp; C'!$A$3:$A$52,'[1]2050 BAU Mapping to T &amp; C'!$B$3:$B$52)</f>
        <v>Tropical Fruits</v>
      </c>
      <c r="H762" s="129">
        <f>_xlfn.XLOOKUP(G762,'[1]T&amp;C emissions for 2050 analysis'!$B$3:$B$23,'[1]T&amp;C emissions for 2050 analysis'!$C$3:$C$23)</f>
        <v>0.51333333333333331</v>
      </c>
      <c r="I762" s="27">
        <f t="shared" si="33"/>
        <v>1.8902951760000002E-2</v>
      </c>
      <c r="J762" s="129">
        <f t="shared" si="34"/>
        <v>0.45481333333333329</v>
      </c>
    </row>
    <row r="763" spans="1:10" hidden="1" x14ac:dyDescent="0.35">
      <c r="A763" s="126" t="s">
        <v>477</v>
      </c>
      <c r="B763" t="str">
        <f>_xlfn.XLOOKUP(A763,'[1]2050Pop'!$A$7:$A$143,'[1]2050Pop'!$D$7:$D$143)</f>
        <v>APAC</v>
      </c>
      <c r="C763" s="127">
        <f>1000*_xlfn.XLOOKUP(A763,'[1]2050Pop'!$A$7:$A$143,'[1]2050Pop'!$C$7:$C$143)</f>
        <v>112783</v>
      </c>
      <c r="D763" s="126" t="s">
        <v>498</v>
      </c>
      <c r="E763" s="128">
        <v>15.254</v>
      </c>
      <c r="F763" s="129">
        <f t="shared" si="35"/>
        <v>1.7203918819999999</v>
      </c>
      <c r="G763" t="str">
        <f>_xlfn.XLOOKUP(D763,'[1]2050 BAU Mapping to T &amp; C'!$A$3:$A$52,'[1]2050 BAU Mapping to T &amp; C'!$B$3:$B$52)</f>
        <v>Tropical Fruits</v>
      </c>
      <c r="H763" s="129">
        <f>_xlfn.XLOOKUP(G763,'[1]T&amp;C emissions for 2050 analysis'!$B$3:$B$23,'[1]T&amp;C emissions for 2050 analysis'!$C$3:$C$23)</f>
        <v>0.51333333333333331</v>
      </c>
      <c r="I763" s="27">
        <f t="shared" si="33"/>
        <v>0.88313449942666655</v>
      </c>
      <c r="J763" s="129">
        <f t="shared" si="34"/>
        <v>7.8303866666666657</v>
      </c>
    </row>
    <row r="764" spans="1:10" hidden="1" x14ac:dyDescent="0.35">
      <c r="A764" s="126" t="s">
        <v>478</v>
      </c>
      <c r="B764" t="str">
        <f>_xlfn.XLOOKUP(A764,'[1]2050Pop'!$A$7:$A$143,'[1]2050Pop'!$D$7:$D$143)</f>
        <v>MENA</v>
      </c>
      <c r="C764" s="127">
        <f>1000*_xlfn.XLOOKUP(A764,'[1]2050Pop'!$A$7:$A$143,'[1]2050Pop'!$C$7:$C$143)</f>
        <v>47170</v>
      </c>
      <c r="D764" s="126" t="s">
        <v>498</v>
      </c>
      <c r="E764" s="128">
        <v>0.89600000000000002</v>
      </c>
      <c r="F764" s="129">
        <f t="shared" si="35"/>
        <v>4.2264320000000001E-2</v>
      </c>
      <c r="G764" t="str">
        <f>_xlfn.XLOOKUP(D764,'[1]2050 BAU Mapping to T &amp; C'!$A$3:$A$52,'[1]2050 BAU Mapping to T &amp; C'!$B$3:$B$52)</f>
        <v>Tropical Fruits</v>
      </c>
      <c r="H764" s="129">
        <f>_xlfn.XLOOKUP(G764,'[1]T&amp;C emissions for 2050 analysis'!$B$3:$B$23,'[1]T&amp;C emissions for 2050 analysis'!$C$3:$C$23)</f>
        <v>0.51333333333333331</v>
      </c>
      <c r="I764" s="27">
        <f t="shared" si="33"/>
        <v>2.1695684266666668E-2</v>
      </c>
      <c r="J764" s="129">
        <f t="shared" si="34"/>
        <v>0.45994666666666667</v>
      </c>
    </row>
    <row r="765" spans="1:10" hidden="1" x14ac:dyDescent="0.35">
      <c r="A765" s="126" t="s">
        <v>358</v>
      </c>
      <c r="B765" t="str">
        <f>_xlfn.XLOOKUP(A765,'[1]2050Pop'!$A$7:$A$143,'[1]2050Pop'!$D$7:$D$143)</f>
        <v>MENA</v>
      </c>
      <c r="C765" s="127">
        <f>1000*_xlfn.XLOOKUP(A765,'[1]2050Pop'!$A$7:$A$143,'[1]2050Pop'!$C$7:$C$143)</f>
        <v>56461</v>
      </c>
      <c r="D765" s="126" t="s">
        <v>499</v>
      </c>
      <c r="E765" s="128">
        <v>0.626</v>
      </c>
      <c r="F765" s="129">
        <f t="shared" si="35"/>
        <v>3.5344586000000004E-2</v>
      </c>
      <c r="G765" t="str">
        <f>_xlfn.XLOOKUP(D765,'[1]2050 BAU Mapping to T &amp; C'!$A$3:$A$52,'[1]2050 BAU Mapping to T &amp; C'!$B$3:$B$52)</f>
        <v xml:space="preserve">Oil crops </v>
      </c>
      <c r="H765" s="129">
        <f>_xlfn.XLOOKUP(G765,'[1]T&amp;C emissions for 2050 analysis'!$B$3:$B$23,'[1]T&amp;C emissions for 2050 analysis'!$C$3:$C$23)</f>
        <v>0.18333333333333335</v>
      </c>
      <c r="I765" s="27">
        <f t="shared" si="33"/>
        <v>6.4798407666666683E-3</v>
      </c>
      <c r="J765" s="129">
        <f t="shared" si="34"/>
        <v>0.11476666666666667</v>
      </c>
    </row>
    <row r="766" spans="1:10" hidden="1" x14ac:dyDescent="0.35">
      <c r="A766" s="126" t="s">
        <v>360</v>
      </c>
      <c r="B766" t="str">
        <f>_xlfn.XLOOKUP(A766,'[1]2050Pop'!$A$7:$A$143,'[1]2050Pop'!$D$7:$D$143)</f>
        <v>LatAm &amp; RSA</v>
      </c>
      <c r="C766" s="127">
        <f>1000*_xlfn.XLOOKUP(A766,'[1]2050Pop'!$A$7:$A$143,'[1]2050Pop'!$C$7:$C$143)</f>
        <v>55445</v>
      </c>
      <c r="D766" s="126" t="s">
        <v>499</v>
      </c>
      <c r="E766" s="128">
        <v>1.1579999999999999</v>
      </c>
      <c r="F766" s="129">
        <f t="shared" si="35"/>
        <v>6.4205310000000002E-2</v>
      </c>
      <c r="G766" t="str">
        <f>_xlfn.XLOOKUP(D766,'[1]2050 BAU Mapping to T &amp; C'!$A$3:$A$52,'[1]2050 BAU Mapping to T &amp; C'!$B$3:$B$52)</f>
        <v xml:space="preserve">Oil crops </v>
      </c>
      <c r="H766" s="129">
        <f>_xlfn.XLOOKUP(G766,'[1]T&amp;C emissions for 2050 analysis'!$B$3:$B$23,'[1]T&amp;C emissions for 2050 analysis'!$C$3:$C$23)</f>
        <v>0.18333333333333335</v>
      </c>
      <c r="I766" s="27">
        <f t="shared" si="33"/>
        <v>1.1770973500000002E-2</v>
      </c>
      <c r="J766" s="129">
        <f t="shared" si="34"/>
        <v>0.21229999999999999</v>
      </c>
    </row>
    <row r="767" spans="1:10" hidden="1" x14ac:dyDescent="0.35">
      <c r="A767" s="126" t="s">
        <v>361</v>
      </c>
      <c r="B767" t="str">
        <f>_xlfn.XLOOKUP(A767,'[1]2050Pop'!$A$7:$A$143,'[1]2050Pop'!$D$7:$D$143)</f>
        <v>MENA</v>
      </c>
      <c r="C767" s="127">
        <f>1000*_xlfn.XLOOKUP(A767,'[1]2050Pop'!$A$7:$A$143,'[1]2050Pop'!$C$7:$C$143)</f>
        <v>2729</v>
      </c>
      <c r="D767" s="126" t="s">
        <v>499</v>
      </c>
      <c r="E767" s="128">
        <v>3.8079999999999998</v>
      </c>
      <c r="F767" s="129">
        <f t="shared" si="35"/>
        <v>1.0392031999999999E-2</v>
      </c>
      <c r="G767" t="str">
        <f>_xlfn.XLOOKUP(D767,'[1]2050 BAU Mapping to T &amp; C'!$A$3:$A$52,'[1]2050 BAU Mapping to T &amp; C'!$B$3:$B$52)</f>
        <v xml:space="preserve">Oil crops </v>
      </c>
      <c r="H767" s="129">
        <f>_xlfn.XLOOKUP(G767,'[1]T&amp;C emissions for 2050 analysis'!$B$3:$B$23,'[1]T&amp;C emissions for 2050 analysis'!$C$3:$C$23)</f>
        <v>0.18333333333333335</v>
      </c>
      <c r="I767" s="27">
        <f t="shared" si="33"/>
        <v>1.9052058666666667E-3</v>
      </c>
      <c r="J767" s="129">
        <f t="shared" si="34"/>
        <v>0.69813333333333338</v>
      </c>
    </row>
    <row r="768" spans="1:10" hidden="1" x14ac:dyDescent="0.35">
      <c r="A768" s="126" t="s">
        <v>362</v>
      </c>
      <c r="B768" t="str">
        <f>_xlfn.XLOOKUP(A768,'[1]2050Pop'!$A$7:$A$143,'[1]2050Pop'!$D$7:$D$143)</f>
        <v>Euro/AU/NZ</v>
      </c>
      <c r="C768" s="127">
        <f>1000*_xlfn.XLOOKUP(A768,'[1]2050Pop'!$A$7:$A$143,'[1]2050Pop'!$C$7:$C$143)</f>
        <v>33496</v>
      </c>
      <c r="D768" s="126" t="s">
        <v>499</v>
      </c>
      <c r="E768" s="128">
        <v>9.6660000000000004</v>
      </c>
      <c r="F768" s="129">
        <f t="shared" si="35"/>
        <v>0.32377233599999999</v>
      </c>
      <c r="G768" t="str">
        <f>_xlfn.XLOOKUP(D768,'[1]2050 BAU Mapping to T &amp; C'!$A$3:$A$52,'[1]2050 BAU Mapping to T &amp; C'!$B$3:$B$52)</f>
        <v xml:space="preserve">Oil crops </v>
      </c>
      <c r="H768" s="129">
        <f>_xlfn.XLOOKUP(G768,'[1]T&amp;C emissions for 2050 analysis'!$B$3:$B$23,'[1]T&amp;C emissions for 2050 analysis'!$C$3:$C$23)</f>
        <v>0.18333333333333335</v>
      </c>
      <c r="I768" s="27">
        <f t="shared" si="33"/>
        <v>5.9358261600000004E-2</v>
      </c>
      <c r="J768" s="129">
        <f t="shared" si="34"/>
        <v>1.7721000000000002</v>
      </c>
    </row>
    <row r="769" spans="1:10" hidden="1" x14ac:dyDescent="0.35">
      <c r="A769" s="126" t="s">
        <v>363</v>
      </c>
      <c r="B769" t="str">
        <f>_xlfn.XLOOKUP(A769,'[1]2050Pop'!$A$7:$A$143,'[1]2050Pop'!$D$7:$D$143)</f>
        <v>Euro/AU/NZ</v>
      </c>
      <c r="C769" s="127">
        <f>1000*_xlfn.XLOOKUP(A769,'[1]2050Pop'!$A$7:$A$143,'[1]2050Pop'!$C$7:$C$143)</f>
        <v>8846</v>
      </c>
      <c r="D769" s="126" t="s">
        <v>499</v>
      </c>
      <c r="E769" s="128">
        <v>16.466000000000001</v>
      </c>
      <c r="F769" s="129">
        <f t="shared" si="35"/>
        <v>0.145658236</v>
      </c>
      <c r="G769" t="str">
        <f>_xlfn.XLOOKUP(D769,'[1]2050 BAU Mapping to T &amp; C'!$A$3:$A$52,'[1]2050 BAU Mapping to T &amp; C'!$B$3:$B$52)</f>
        <v xml:space="preserve">Oil crops </v>
      </c>
      <c r="H769" s="129">
        <f>_xlfn.XLOOKUP(G769,'[1]T&amp;C emissions for 2050 analysis'!$B$3:$B$23,'[1]T&amp;C emissions for 2050 analysis'!$C$3:$C$23)</f>
        <v>0.18333333333333335</v>
      </c>
      <c r="I769" s="27">
        <f t="shared" si="33"/>
        <v>2.6704009933333335E-2</v>
      </c>
      <c r="J769" s="129">
        <f t="shared" si="34"/>
        <v>3.018766666666667</v>
      </c>
    </row>
    <row r="770" spans="1:10" hidden="1" x14ac:dyDescent="0.35">
      <c r="A770" s="126" t="s">
        <v>365</v>
      </c>
      <c r="B770" t="str">
        <f>_xlfn.XLOOKUP(A770,'[1]2050Pop'!$A$7:$A$143,'[1]2050Pop'!$D$7:$D$143)</f>
        <v>India/South Asia</v>
      </c>
      <c r="C770" s="127">
        <f>1000*_xlfn.XLOOKUP(A770,'[1]2050Pop'!$A$7:$A$143,'[1]2050Pop'!$C$7:$C$143)</f>
        <v>202209</v>
      </c>
      <c r="D770" s="126" t="s">
        <v>499</v>
      </c>
      <c r="E770" s="128">
        <v>2.851</v>
      </c>
      <c r="F770" s="129">
        <f t="shared" si="35"/>
        <v>0.57649785899999995</v>
      </c>
      <c r="G770" t="str">
        <f>_xlfn.XLOOKUP(D770,'[1]2050 BAU Mapping to T &amp; C'!$A$3:$A$52,'[1]2050 BAU Mapping to T &amp; C'!$B$3:$B$52)</f>
        <v xml:space="preserve">Oil crops </v>
      </c>
      <c r="H770" s="129">
        <f>_xlfn.XLOOKUP(G770,'[1]T&amp;C emissions for 2050 analysis'!$B$3:$B$23,'[1]T&amp;C emissions for 2050 analysis'!$C$3:$C$23)</f>
        <v>0.18333333333333335</v>
      </c>
      <c r="I770" s="27">
        <f t="shared" si="33"/>
        <v>0.10569127415</v>
      </c>
      <c r="J770" s="129">
        <f t="shared" si="34"/>
        <v>0.52268333333333339</v>
      </c>
    </row>
    <row r="771" spans="1:10" hidden="1" x14ac:dyDescent="0.35">
      <c r="A771" s="126" t="s">
        <v>366</v>
      </c>
      <c r="B771" t="str">
        <f>_xlfn.XLOOKUP(A771,'[1]2050Pop'!$A$7:$A$143,'[1]2050Pop'!$D$7:$D$143)</f>
        <v>Euro/AU/NZ</v>
      </c>
      <c r="C771" s="127">
        <f>1000*_xlfn.XLOOKUP(A771,'[1]2050Pop'!$A$7:$A$143,'[1]2050Pop'!$C$7:$C$143)</f>
        <v>8125</v>
      </c>
      <c r="D771" s="126" t="s">
        <v>499</v>
      </c>
      <c r="E771" s="128">
        <v>2.1560000000000001</v>
      </c>
      <c r="F771" s="129">
        <f t="shared" si="35"/>
        <v>1.7517499999999998E-2</v>
      </c>
      <c r="G771" t="str">
        <f>_xlfn.XLOOKUP(D771,'[1]2050 BAU Mapping to T &amp; C'!$A$3:$A$52,'[1]2050 BAU Mapping to T &amp; C'!$B$3:$B$52)</f>
        <v xml:space="preserve">Oil crops </v>
      </c>
      <c r="H771" s="129">
        <f>_xlfn.XLOOKUP(G771,'[1]T&amp;C emissions for 2050 analysis'!$B$3:$B$23,'[1]T&amp;C emissions for 2050 analysis'!$C$3:$C$23)</f>
        <v>0.18333333333333335</v>
      </c>
      <c r="I771" s="27">
        <f t="shared" si="33"/>
        <v>3.2115416666666668E-3</v>
      </c>
      <c r="J771" s="129">
        <f t="shared" si="34"/>
        <v>0.39526666666666671</v>
      </c>
    </row>
    <row r="772" spans="1:10" hidden="1" x14ac:dyDescent="0.35">
      <c r="A772" s="126" t="s">
        <v>367</v>
      </c>
      <c r="B772" t="str">
        <f>_xlfn.XLOOKUP(A772,'[1]2050Pop'!$A$7:$A$143,'[1]2050Pop'!$D$7:$D$143)</f>
        <v>Euro/AU/NZ</v>
      </c>
      <c r="C772" s="127">
        <f>1000*_xlfn.XLOOKUP(A772,'[1]2050Pop'!$A$7:$A$143,'[1]2050Pop'!$C$7:$C$143)</f>
        <v>12527</v>
      </c>
      <c r="D772" s="126" t="s">
        <v>499</v>
      </c>
      <c r="E772" s="128">
        <v>16.254000000000001</v>
      </c>
      <c r="F772" s="129">
        <f t="shared" si="35"/>
        <v>0.20361385800000001</v>
      </c>
      <c r="G772" t="str">
        <f>_xlfn.XLOOKUP(D772,'[1]2050 BAU Mapping to T &amp; C'!$A$3:$A$52,'[1]2050 BAU Mapping to T &amp; C'!$B$3:$B$52)</f>
        <v xml:space="preserve">Oil crops </v>
      </c>
      <c r="H772" s="129">
        <f>_xlfn.XLOOKUP(G772,'[1]T&amp;C emissions for 2050 analysis'!$B$3:$B$23,'[1]T&amp;C emissions for 2050 analysis'!$C$3:$C$23)</f>
        <v>0.18333333333333335</v>
      </c>
      <c r="I772" s="27">
        <f t="shared" ref="I772:I835" si="36">F772*H772</f>
        <v>3.7329207300000007E-2</v>
      </c>
      <c r="J772" s="129">
        <f t="shared" ref="J772:J835" si="37">E772*H772</f>
        <v>2.9799000000000007</v>
      </c>
    </row>
    <row r="773" spans="1:10" hidden="1" x14ac:dyDescent="0.35">
      <c r="A773" s="126" t="s">
        <v>368</v>
      </c>
      <c r="B773" t="str">
        <f>_xlfn.XLOOKUP(A773,'[1]2050Pop'!$A$7:$A$143,'[1]2050Pop'!$D$7:$D$143)</f>
        <v>SSA</v>
      </c>
      <c r="C773" s="127">
        <f>1000*_xlfn.XLOOKUP(A773,'[1]2050Pop'!$A$7:$A$143,'[1]2050Pop'!$C$7:$C$143)</f>
        <v>22549</v>
      </c>
      <c r="D773" s="126" t="s">
        <v>499</v>
      </c>
      <c r="E773" s="128">
        <v>4.0910000000000002</v>
      </c>
      <c r="F773" s="129">
        <f t="shared" ref="F773:F836" si="38">C773*E773/1000000</f>
        <v>9.2247959000000004E-2</v>
      </c>
      <c r="G773" t="str">
        <f>_xlfn.XLOOKUP(D773,'[1]2050 BAU Mapping to T &amp; C'!$A$3:$A$52,'[1]2050 BAU Mapping to T &amp; C'!$B$3:$B$52)</f>
        <v xml:space="preserve">Oil crops </v>
      </c>
      <c r="H773" s="129">
        <f>_xlfn.XLOOKUP(G773,'[1]T&amp;C emissions for 2050 analysis'!$B$3:$B$23,'[1]T&amp;C emissions for 2050 analysis'!$C$3:$C$23)</f>
        <v>0.18333333333333335</v>
      </c>
      <c r="I773" s="27">
        <f t="shared" si="36"/>
        <v>1.6912125816666668E-2</v>
      </c>
      <c r="J773" s="129">
        <f t="shared" si="37"/>
        <v>0.75001666666666678</v>
      </c>
    </row>
    <row r="774" spans="1:10" hidden="1" x14ac:dyDescent="0.35">
      <c r="A774" s="126" t="s">
        <v>487</v>
      </c>
      <c r="B774" t="str">
        <f>_xlfn.XLOOKUP(A774,'[1]2050Pop'!$A$7:$A$143,'[1]2050Pop'!$D$7:$D$143)</f>
        <v>SSA</v>
      </c>
      <c r="C774" s="127">
        <f>1000*_xlfn.XLOOKUP(A774,'[1]2050Pop'!$A$7:$A$143,'[1]2050Pop'!$C$7:$C$143)</f>
        <v>42789</v>
      </c>
      <c r="D774" s="126" t="s">
        <v>499</v>
      </c>
      <c r="E774" s="128">
        <v>4.0119999999999996</v>
      </c>
      <c r="F774" s="129">
        <f t="shared" si="38"/>
        <v>0.17166946799999999</v>
      </c>
      <c r="G774" t="str">
        <f>_xlfn.XLOOKUP(D774,'[1]2050 BAU Mapping to T &amp; C'!$A$3:$A$52,'[1]2050 BAU Mapping to T &amp; C'!$B$3:$B$52)</f>
        <v xml:space="preserve">Oil crops </v>
      </c>
      <c r="H774" s="129">
        <f>_xlfn.XLOOKUP(G774,'[1]T&amp;C emissions for 2050 analysis'!$B$3:$B$23,'[1]T&amp;C emissions for 2050 analysis'!$C$3:$C$23)</f>
        <v>0.18333333333333335</v>
      </c>
      <c r="I774" s="27">
        <f t="shared" si="36"/>
        <v>3.1472735799999998E-2</v>
      </c>
      <c r="J774" s="129">
        <f t="shared" si="37"/>
        <v>0.73553333333333326</v>
      </c>
    </row>
    <row r="775" spans="1:10" hidden="1" x14ac:dyDescent="0.35">
      <c r="A775" s="126" t="s">
        <v>374</v>
      </c>
      <c r="B775" t="str">
        <f>_xlfn.XLOOKUP(A775,'[1]2050Pop'!$A$7:$A$143,'[1]2050Pop'!$D$7:$D$143)</f>
        <v>APAC</v>
      </c>
      <c r="C775" s="127">
        <f>1000*_xlfn.XLOOKUP(A775,'[1]2050Pop'!$A$7:$A$143,'[1]2050Pop'!$C$7:$C$143)</f>
        <v>22545</v>
      </c>
      <c r="D775" s="126" t="s">
        <v>499</v>
      </c>
      <c r="E775" s="128">
        <v>15.608000000000001</v>
      </c>
      <c r="F775" s="129">
        <f t="shared" si="38"/>
        <v>0.35188236000000001</v>
      </c>
      <c r="G775" t="str">
        <f>_xlfn.XLOOKUP(D775,'[1]2050 BAU Mapping to T &amp; C'!$A$3:$A$52,'[1]2050 BAU Mapping to T &amp; C'!$B$3:$B$52)</f>
        <v xml:space="preserve">Oil crops </v>
      </c>
      <c r="H775" s="129">
        <f>_xlfn.XLOOKUP(G775,'[1]T&amp;C emissions for 2050 analysis'!$B$3:$B$23,'[1]T&amp;C emissions for 2050 analysis'!$C$3:$C$23)</f>
        <v>0.18333333333333335</v>
      </c>
      <c r="I775" s="27">
        <f t="shared" si="36"/>
        <v>6.4511766000000012E-2</v>
      </c>
      <c r="J775" s="129">
        <f t="shared" si="37"/>
        <v>2.8614666666666668</v>
      </c>
    </row>
    <row r="776" spans="1:10" hidden="1" x14ac:dyDescent="0.35">
      <c r="A776" s="126" t="s">
        <v>375</v>
      </c>
      <c r="B776" t="str">
        <f>_xlfn.XLOOKUP(A776,'[1]2050Pop'!$A$7:$A$143,'[1]2050Pop'!$D$7:$D$143)</f>
        <v>SSA</v>
      </c>
      <c r="C776" s="127">
        <f>1000*_xlfn.XLOOKUP(A776,'[1]2050Pop'!$A$7:$A$143,'[1]2050Pop'!$C$7:$C$143)</f>
        <v>48362</v>
      </c>
      <c r="D776" s="126" t="s">
        <v>499</v>
      </c>
      <c r="E776" s="130">
        <v>0.99</v>
      </c>
      <c r="F776" s="129">
        <f t="shared" si="38"/>
        <v>4.7878379999999998E-2</v>
      </c>
      <c r="G776" t="str">
        <f>_xlfn.XLOOKUP(D776,'[1]2050 BAU Mapping to T &amp; C'!$A$3:$A$52,'[1]2050 BAU Mapping to T &amp; C'!$B$3:$B$52)</f>
        <v xml:space="preserve">Oil crops </v>
      </c>
      <c r="H776" s="129">
        <f>_xlfn.XLOOKUP(G776,'[1]T&amp;C emissions for 2050 analysis'!$B$3:$B$23,'[1]T&amp;C emissions for 2050 analysis'!$C$3:$C$23)</f>
        <v>0.18333333333333335</v>
      </c>
      <c r="I776" s="27">
        <f t="shared" si="36"/>
        <v>8.7777029999999995E-3</v>
      </c>
      <c r="J776" s="129">
        <f t="shared" si="37"/>
        <v>0.18150000000000002</v>
      </c>
    </row>
    <row r="777" spans="1:10" hidden="1" x14ac:dyDescent="0.35">
      <c r="A777" s="126" t="s">
        <v>376</v>
      </c>
      <c r="B777" t="str">
        <f>_xlfn.XLOOKUP(A777,'[1]2050Pop'!$A$7:$A$143,'[1]2050Pop'!$D$7:$D$143)</f>
        <v>NAm</v>
      </c>
      <c r="C777" s="127">
        <f>1000*_xlfn.XLOOKUP(A777,'[1]2050Pop'!$A$7:$A$143,'[1]2050Pop'!$C$7:$C$143)</f>
        <v>44136</v>
      </c>
      <c r="D777" s="126" t="s">
        <v>499</v>
      </c>
      <c r="E777" s="128">
        <v>2.6859999999999999</v>
      </c>
      <c r="F777" s="129">
        <f t="shared" si="38"/>
        <v>0.118549296</v>
      </c>
      <c r="G777" t="str">
        <f>_xlfn.XLOOKUP(D777,'[1]2050 BAU Mapping to T &amp; C'!$A$3:$A$52,'[1]2050 BAU Mapping to T &amp; C'!$B$3:$B$52)</f>
        <v xml:space="preserve">Oil crops </v>
      </c>
      <c r="H777" s="129">
        <f>_xlfn.XLOOKUP(G777,'[1]T&amp;C emissions for 2050 analysis'!$B$3:$B$23,'[1]T&amp;C emissions for 2050 analysis'!$C$3:$C$23)</f>
        <v>0.18333333333333335</v>
      </c>
      <c r="I777" s="27">
        <f t="shared" si="36"/>
        <v>2.1734037600000002E-2</v>
      </c>
      <c r="J777" s="129">
        <f t="shared" si="37"/>
        <v>0.49243333333333339</v>
      </c>
    </row>
    <row r="778" spans="1:10" hidden="1" x14ac:dyDescent="0.35">
      <c r="A778" s="126" t="s">
        <v>379</v>
      </c>
      <c r="B778" t="str">
        <f>_xlfn.XLOOKUP(A778,'[1]2050Pop'!$A$7:$A$143,'[1]2050Pop'!$D$7:$D$143)</f>
        <v>Greater China</v>
      </c>
      <c r="C778" s="127">
        <f>1000*_xlfn.XLOOKUP(A778,'[1]2050Pop'!$A$7:$A$143,'[1]2050Pop'!$C$7:$C$143)</f>
        <v>8148</v>
      </c>
      <c r="D778" s="126" t="s">
        <v>499</v>
      </c>
      <c r="E778" s="128">
        <v>2.3690000000000002</v>
      </c>
      <c r="F778" s="129">
        <f t="shared" si="38"/>
        <v>1.9302612E-2</v>
      </c>
      <c r="G778" t="str">
        <f>_xlfn.XLOOKUP(D778,'[1]2050 BAU Mapping to T &amp; C'!$A$3:$A$52,'[1]2050 BAU Mapping to T &amp; C'!$B$3:$B$52)</f>
        <v xml:space="preserve">Oil crops </v>
      </c>
      <c r="H778" s="129">
        <f>_xlfn.XLOOKUP(G778,'[1]T&amp;C emissions for 2050 analysis'!$B$3:$B$23,'[1]T&amp;C emissions for 2050 analysis'!$C$3:$C$23)</f>
        <v>0.18333333333333335</v>
      </c>
      <c r="I778" s="27">
        <f t="shared" si="36"/>
        <v>3.5388122000000002E-3</v>
      </c>
      <c r="J778" s="129">
        <f t="shared" si="37"/>
        <v>0.43431666666666674</v>
      </c>
    </row>
    <row r="779" spans="1:10" hidden="1" x14ac:dyDescent="0.35">
      <c r="A779" s="126" t="s">
        <v>380</v>
      </c>
      <c r="B779" t="str">
        <f>_xlfn.XLOOKUP(A779,'[1]2050Pop'!$A$7:$A$143,'[1]2050Pop'!$D$7:$D$143)</f>
        <v>Greater China</v>
      </c>
      <c r="C779" s="127">
        <f>1000*_xlfn.XLOOKUP(A779,'[1]2050Pop'!$A$7:$A$143,'[1]2050Pop'!$C$7:$C$143)</f>
        <v>1348056</v>
      </c>
      <c r="D779" s="126" t="s">
        <v>499</v>
      </c>
      <c r="E779" s="128">
        <v>2.2450000000000001</v>
      </c>
      <c r="F779" s="129">
        <f t="shared" si="38"/>
        <v>3.0263857200000004</v>
      </c>
      <c r="G779" t="str">
        <f>_xlfn.XLOOKUP(D779,'[1]2050 BAU Mapping to T &amp; C'!$A$3:$A$52,'[1]2050 BAU Mapping to T &amp; C'!$B$3:$B$52)</f>
        <v xml:space="preserve">Oil crops </v>
      </c>
      <c r="H779" s="129">
        <f>_xlfn.XLOOKUP(G779,'[1]T&amp;C emissions for 2050 analysis'!$B$3:$B$23,'[1]T&amp;C emissions for 2050 analysis'!$C$3:$C$23)</f>
        <v>0.18333333333333335</v>
      </c>
      <c r="I779" s="27">
        <f t="shared" si="36"/>
        <v>0.5548373820000001</v>
      </c>
      <c r="J779" s="129">
        <f t="shared" si="37"/>
        <v>0.41158333333333341</v>
      </c>
    </row>
    <row r="780" spans="1:10" hidden="1" x14ac:dyDescent="0.35">
      <c r="A780" s="126" t="s">
        <v>381</v>
      </c>
      <c r="B780" t="str">
        <f>_xlfn.XLOOKUP(A780,'[1]2050Pop'!$A$7:$A$143,'[1]2050Pop'!$D$7:$D$143)</f>
        <v>Greater China</v>
      </c>
      <c r="C780" s="127">
        <f>1000*_xlfn.XLOOKUP(A780,'[1]2050Pop'!$A$7:$A$143,'[1]2050Pop'!$C$7:$C$143)</f>
        <v>20778</v>
      </c>
      <c r="D780" s="126" t="s">
        <v>499</v>
      </c>
      <c r="E780" s="128">
        <v>4.3849999999999998</v>
      </c>
      <c r="F780" s="129">
        <f t="shared" si="38"/>
        <v>9.1111529999999996E-2</v>
      </c>
      <c r="G780" t="str">
        <f>_xlfn.XLOOKUP(D780,'[1]2050 BAU Mapping to T &amp; C'!$A$3:$A$52,'[1]2050 BAU Mapping to T &amp; C'!$B$3:$B$52)</f>
        <v xml:space="preserve">Oil crops </v>
      </c>
      <c r="H780" s="129">
        <f>_xlfn.XLOOKUP(G780,'[1]T&amp;C emissions for 2050 analysis'!$B$3:$B$23,'[1]T&amp;C emissions for 2050 analysis'!$C$3:$C$23)</f>
        <v>0.18333333333333335</v>
      </c>
      <c r="I780" s="27">
        <f t="shared" si="36"/>
        <v>1.6703780500000001E-2</v>
      </c>
      <c r="J780" s="129">
        <f t="shared" si="37"/>
        <v>0.80391666666666672</v>
      </c>
    </row>
    <row r="781" spans="1:10" hidden="1" x14ac:dyDescent="0.35">
      <c r="A781" s="126" t="s">
        <v>384</v>
      </c>
      <c r="B781" t="str">
        <f>_xlfn.XLOOKUP(A781,'[1]2050Pop'!$A$7:$A$143,'[1]2050Pop'!$D$7:$D$143)</f>
        <v>SSA</v>
      </c>
      <c r="C781" s="127">
        <f>1000*_xlfn.XLOOKUP(A781,'[1]2050Pop'!$A$7:$A$143,'[1]2050Pop'!$C$7:$C$143)</f>
        <v>48797</v>
      </c>
      <c r="D781" s="126" t="s">
        <v>499</v>
      </c>
      <c r="E781" s="128">
        <v>28.747</v>
      </c>
      <c r="F781" s="129">
        <f t="shared" si="38"/>
        <v>1.402767359</v>
      </c>
      <c r="G781" t="str">
        <f>_xlfn.XLOOKUP(D781,'[1]2050 BAU Mapping to T &amp; C'!$A$3:$A$52,'[1]2050 BAU Mapping to T &amp; C'!$B$3:$B$52)</f>
        <v xml:space="preserve">Oil crops </v>
      </c>
      <c r="H781" s="129">
        <f>_xlfn.XLOOKUP(G781,'[1]T&amp;C emissions for 2050 analysis'!$B$3:$B$23,'[1]T&amp;C emissions for 2050 analysis'!$C$3:$C$23)</f>
        <v>0.18333333333333335</v>
      </c>
      <c r="I781" s="27">
        <f t="shared" si="36"/>
        <v>0.25717401581666671</v>
      </c>
      <c r="J781" s="129">
        <f t="shared" si="37"/>
        <v>5.2702833333333334</v>
      </c>
    </row>
    <row r="782" spans="1:10" hidden="1" x14ac:dyDescent="0.35">
      <c r="A782" s="126" t="s">
        <v>389</v>
      </c>
      <c r="B782" t="str">
        <f>_xlfn.XLOOKUP(A782,'[1]2050Pop'!$A$7:$A$143,'[1]2050Pop'!$D$7:$D$143)</f>
        <v>LatAm &amp; RSA</v>
      </c>
      <c r="C782" s="127">
        <f>1000*_xlfn.XLOOKUP(A782,'[1]2050Pop'!$A$7:$A$143,'[1]2050Pop'!$C$7:$C$143)</f>
        <v>13238</v>
      </c>
      <c r="D782" s="126" t="s">
        <v>499</v>
      </c>
      <c r="E782" s="128">
        <v>14.603999999999999</v>
      </c>
      <c r="F782" s="129">
        <f t="shared" si="38"/>
        <v>0.19332775199999999</v>
      </c>
      <c r="G782" t="str">
        <f>_xlfn.XLOOKUP(D782,'[1]2050 BAU Mapping to T &amp; C'!$A$3:$A$52,'[1]2050 BAU Mapping to T &amp; C'!$B$3:$B$52)</f>
        <v xml:space="preserve">Oil crops </v>
      </c>
      <c r="H782" s="129">
        <f>_xlfn.XLOOKUP(G782,'[1]T&amp;C emissions for 2050 analysis'!$B$3:$B$23,'[1]T&amp;C emissions for 2050 analysis'!$C$3:$C$23)</f>
        <v>0.18333333333333335</v>
      </c>
      <c r="I782" s="27">
        <f t="shared" si="36"/>
        <v>3.5443421199999998E-2</v>
      </c>
      <c r="J782" s="129">
        <f t="shared" si="37"/>
        <v>2.6774</v>
      </c>
    </row>
    <row r="783" spans="1:10" hidden="1" x14ac:dyDescent="0.35">
      <c r="A783" s="126" t="s">
        <v>390</v>
      </c>
      <c r="B783" t="str">
        <f>_xlfn.XLOOKUP(A783,'[1]2050Pop'!$A$7:$A$143,'[1]2050Pop'!$D$7:$D$143)</f>
        <v>LatAm &amp; RSA</v>
      </c>
      <c r="C783" s="127">
        <f>1000*_xlfn.XLOOKUP(A783,'[1]2050Pop'!$A$7:$A$143,'[1]2050Pop'!$C$7:$C$143)</f>
        <v>23013</v>
      </c>
      <c r="D783" s="126" t="s">
        <v>499</v>
      </c>
      <c r="E783" s="130">
        <v>2.58</v>
      </c>
      <c r="F783" s="129">
        <f t="shared" si="38"/>
        <v>5.9373540000000002E-2</v>
      </c>
      <c r="G783" t="str">
        <f>_xlfn.XLOOKUP(D783,'[1]2050 BAU Mapping to T &amp; C'!$A$3:$A$52,'[1]2050 BAU Mapping to T &amp; C'!$B$3:$B$52)</f>
        <v xml:space="preserve">Oil crops </v>
      </c>
      <c r="H783" s="129">
        <f>_xlfn.XLOOKUP(G783,'[1]T&amp;C emissions for 2050 analysis'!$B$3:$B$23,'[1]T&amp;C emissions for 2050 analysis'!$C$3:$C$23)</f>
        <v>0.18333333333333335</v>
      </c>
      <c r="I783" s="27">
        <f t="shared" si="36"/>
        <v>1.0885149000000002E-2</v>
      </c>
      <c r="J783" s="129">
        <f t="shared" si="37"/>
        <v>0.47300000000000003</v>
      </c>
    </row>
    <row r="784" spans="1:10" hidden="1" x14ac:dyDescent="0.35">
      <c r="A784" s="126" t="s">
        <v>391</v>
      </c>
      <c r="B784" t="str">
        <f>_xlfn.XLOOKUP(A784,'[1]2050Pop'!$A$7:$A$143,'[1]2050Pop'!$D$7:$D$143)</f>
        <v>MENA</v>
      </c>
      <c r="C784" s="127">
        <f>1000*_xlfn.XLOOKUP(A784,'[1]2050Pop'!$A$7:$A$143,'[1]2050Pop'!$C$7:$C$143)</f>
        <v>151111</v>
      </c>
      <c r="D784" s="126" t="s">
        <v>499</v>
      </c>
      <c r="E784" s="128">
        <v>0.876</v>
      </c>
      <c r="F784" s="129">
        <f t="shared" si="38"/>
        <v>0.13237323600000001</v>
      </c>
      <c r="G784" t="str">
        <f>_xlfn.XLOOKUP(D784,'[1]2050 BAU Mapping to T &amp; C'!$A$3:$A$52,'[1]2050 BAU Mapping to T &amp; C'!$B$3:$B$52)</f>
        <v xml:space="preserve">Oil crops </v>
      </c>
      <c r="H784" s="129">
        <f>_xlfn.XLOOKUP(G784,'[1]T&amp;C emissions for 2050 analysis'!$B$3:$B$23,'[1]T&amp;C emissions for 2050 analysis'!$C$3:$C$23)</f>
        <v>0.18333333333333335</v>
      </c>
      <c r="I784" s="27">
        <f t="shared" si="36"/>
        <v>2.4268426600000004E-2</v>
      </c>
      <c r="J784" s="129">
        <f t="shared" si="37"/>
        <v>0.16060000000000002</v>
      </c>
    </row>
    <row r="785" spans="1:10" hidden="1" x14ac:dyDescent="0.35">
      <c r="A785" s="126" t="s">
        <v>392</v>
      </c>
      <c r="B785" t="str">
        <f>_xlfn.XLOOKUP(A785,'[1]2050Pop'!$A$7:$A$143,'[1]2050Pop'!$D$7:$D$143)</f>
        <v>LatAm &amp; RSA</v>
      </c>
      <c r="C785" s="127">
        <f>1000*_xlfn.XLOOKUP(A785,'[1]2050Pop'!$A$7:$A$143,'[1]2050Pop'!$C$7:$C$143)</f>
        <v>6390</v>
      </c>
      <c r="D785" s="126" t="s">
        <v>499</v>
      </c>
      <c r="E785" s="128">
        <v>2.5739999999999998</v>
      </c>
      <c r="F785" s="129">
        <f t="shared" si="38"/>
        <v>1.6447860000000002E-2</v>
      </c>
      <c r="G785" t="str">
        <f>_xlfn.XLOOKUP(D785,'[1]2050 BAU Mapping to T &amp; C'!$A$3:$A$52,'[1]2050 BAU Mapping to T &amp; C'!$B$3:$B$52)</f>
        <v xml:space="preserve">Oil crops </v>
      </c>
      <c r="H785" s="129">
        <f>_xlfn.XLOOKUP(G785,'[1]T&amp;C emissions for 2050 analysis'!$B$3:$B$23,'[1]T&amp;C emissions for 2050 analysis'!$C$3:$C$23)</f>
        <v>0.18333333333333335</v>
      </c>
      <c r="I785" s="27">
        <f t="shared" si="36"/>
        <v>3.0154410000000006E-3</v>
      </c>
      <c r="J785" s="129">
        <f t="shared" si="37"/>
        <v>0.47189999999999999</v>
      </c>
    </row>
    <row r="786" spans="1:10" hidden="1" x14ac:dyDescent="0.35">
      <c r="A786" s="126" t="s">
        <v>393</v>
      </c>
      <c r="B786" t="str">
        <f>_xlfn.XLOOKUP(A786,'[1]2050Pop'!$A$7:$A$143,'[1]2050Pop'!$D$7:$D$143)</f>
        <v>Euro/AU/NZ</v>
      </c>
      <c r="C786" s="127">
        <f>1000*_xlfn.XLOOKUP(A786,'[1]2050Pop'!$A$7:$A$143,'[1]2050Pop'!$C$7:$C$143)</f>
        <v>1129</v>
      </c>
      <c r="D786" s="126" t="s">
        <v>499</v>
      </c>
      <c r="E786" s="128">
        <v>2.8479999999999999</v>
      </c>
      <c r="F786" s="129">
        <f t="shared" si="38"/>
        <v>3.2153919999999996E-3</v>
      </c>
      <c r="G786" t="str">
        <f>_xlfn.XLOOKUP(D786,'[1]2050 BAU Mapping to T &amp; C'!$A$3:$A$52,'[1]2050 BAU Mapping to T &amp; C'!$B$3:$B$52)</f>
        <v xml:space="preserve">Oil crops </v>
      </c>
      <c r="H786" s="129">
        <f>_xlfn.XLOOKUP(G786,'[1]T&amp;C emissions for 2050 analysis'!$B$3:$B$23,'[1]T&amp;C emissions for 2050 analysis'!$C$3:$C$23)</f>
        <v>0.18333333333333335</v>
      </c>
      <c r="I786" s="27">
        <f t="shared" si="36"/>
        <v>5.8948853333333333E-4</v>
      </c>
      <c r="J786" s="129">
        <f t="shared" si="37"/>
        <v>0.52213333333333334</v>
      </c>
    </row>
    <row r="787" spans="1:10" hidden="1" x14ac:dyDescent="0.35">
      <c r="A787" s="126" t="s">
        <v>396</v>
      </c>
      <c r="B787" t="str">
        <f>_xlfn.XLOOKUP(A787,'[1]2050Pop'!$A$7:$A$143,'[1]2050Pop'!$D$7:$D$143)</f>
        <v>Euro/AU/NZ</v>
      </c>
      <c r="C787" s="127">
        <f>1000*_xlfn.XLOOKUP(A787,'[1]2050Pop'!$A$7:$A$143,'[1]2050Pop'!$C$7:$C$143)</f>
        <v>71137</v>
      </c>
      <c r="D787" s="126" t="s">
        <v>499</v>
      </c>
      <c r="E787" s="128">
        <v>23.074999999999999</v>
      </c>
      <c r="F787" s="129">
        <f t="shared" si="38"/>
        <v>1.6414862749999999</v>
      </c>
      <c r="G787" t="str">
        <f>_xlfn.XLOOKUP(D787,'[1]2050 BAU Mapping to T &amp; C'!$A$3:$A$52,'[1]2050 BAU Mapping to T &amp; C'!$B$3:$B$52)</f>
        <v xml:space="preserve">Oil crops </v>
      </c>
      <c r="H787" s="129">
        <f>_xlfn.XLOOKUP(G787,'[1]T&amp;C emissions for 2050 analysis'!$B$3:$B$23,'[1]T&amp;C emissions for 2050 analysis'!$C$3:$C$23)</f>
        <v>0.18333333333333335</v>
      </c>
      <c r="I787" s="27">
        <f t="shared" si="36"/>
        <v>0.30093915041666669</v>
      </c>
      <c r="J787" s="129">
        <f t="shared" si="37"/>
        <v>4.2304166666666667</v>
      </c>
    </row>
    <row r="788" spans="1:10" hidden="1" x14ac:dyDescent="0.35">
      <c r="A788" s="126" t="s">
        <v>397</v>
      </c>
      <c r="B788" t="str">
        <f>_xlfn.XLOOKUP(A788,'[1]2050Pop'!$A$7:$A$143,'[1]2050Pop'!$D$7:$D$143)</f>
        <v>SSA</v>
      </c>
      <c r="C788" s="127">
        <f>1000*_xlfn.XLOOKUP(A788,'[1]2050Pop'!$A$7:$A$143,'[1]2050Pop'!$C$7:$C$143)</f>
        <v>3164</v>
      </c>
      <c r="D788" s="126" t="s">
        <v>499</v>
      </c>
      <c r="E788" s="128">
        <v>3.1160000000000001</v>
      </c>
      <c r="F788" s="129">
        <f t="shared" si="38"/>
        <v>9.8590239999999992E-3</v>
      </c>
      <c r="G788" t="str">
        <f>_xlfn.XLOOKUP(D788,'[1]2050 BAU Mapping to T &amp; C'!$A$3:$A$52,'[1]2050 BAU Mapping to T &amp; C'!$B$3:$B$52)</f>
        <v xml:space="preserve">Oil crops </v>
      </c>
      <c r="H788" s="129">
        <f>_xlfn.XLOOKUP(G788,'[1]T&amp;C emissions for 2050 analysis'!$B$3:$B$23,'[1]T&amp;C emissions for 2050 analysis'!$C$3:$C$23)</f>
        <v>0.18333333333333335</v>
      </c>
      <c r="I788" s="27">
        <f t="shared" si="36"/>
        <v>1.8074877333333333E-3</v>
      </c>
      <c r="J788" s="129">
        <f t="shared" si="37"/>
        <v>0.5712666666666667</v>
      </c>
    </row>
    <row r="789" spans="1:10" hidden="1" x14ac:dyDescent="0.35">
      <c r="A789" s="126" t="s">
        <v>398</v>
      </c>
      <c r="B789" t="str">
        <f>_xlfn.XLOOKUP(A789,'[1]2050Pop'!$A$7:$A$143,'[1]2050Pop'!$D$7:$D$143)</f>
        <v>MENA</v>
      </c>
      <c r="C789" s="127">
        <f>1000*_xlfn.XLOOKUP(A789,'[1]2050Pop'!$A$7:$A$143,'[1]2050Pop'!$C$7:$C$143)</f>
        <v>3483</v>
      </c>
      <c r="D789" s="126" t="s">
        <v>499</v>
      </c>
      <c r="E789" s="128">
        <v>0.92600000000000005</v>
      </c>
      <c r="F789" s="129">
        <f t="shared" si="38"/>
        <v>3.2252580000000004E-3</v>
      </c>
      <c r="G789" t="str">
        <f>_xlfn.XLOOKUP(D789,'[1]2050 BAU Mapping to T &amp; C'!$A$3:$A$52,'[1]2050 BAU Mapping to T &amp; C'!$B$3:$B$52)</f>
        <v xml:space="preserve">Oil crops </v>
      </c>
      <c r="H789" s="129">
        <f>_xlfn.XLOOKUP(G789,'[1]T&amp;C emissions for 2050 analysis'!$B$3:$B$23,'[1]T&amp;C emissions for 2050 analysis'!$C$3:$C$23)</f>
        <v>0.18333333333333335</v>
      </c>
      <c r="I789" s="27">
        <f t="shared" si="36"/>
        <v>5.9129730000000017E-4</v>
      </c>
      <c r="J789" s="129">
        <f t="shared" si="37"/>
        <v>0.16976666666666668</v>
      </c>
    </row>
    <row r="790" spans="1:10" hidden="1" x14ac:dyDescent="0.35">
      <c r="A790" s="126" t="s">
        <v>399</v>
      </c>
      <c r="B790" t="str">
        <f>_xlfn.XLOOKUP(A790,'[1]2050Pop'!$A$7:$A$143,'[1]2050Pop'!$D$7:$D$143)</f>
        <v>Euro/AU/NZ</v>
      </c>
      <c r="C790" s="127">
        <f>1000*_xlfn.XLOOKUP(A790,'[1]2050Pop'!$A$7:$A$143,'[1]2050Pop'!$C$7:$C$143)</f>
        <v>74513</v>
      </c>
      <c r="D790" s="126" t="s">
        <v>499</v>
      </c>
      <c r="E790" s="128">
        <v>0.61399999999999999</v>
      </c>
      <c r="F790" s="129">
        <f t="shared" si="38"/>
        <v>4.5750981999999996E-2</v>
      </c>
      <c r="G790" t="str">
        <f>_xlfn.XLOOKUP(D790,'[1]2050 BAU Mapping to T &amp; C'!$A$3:$A$52,'[1]2050 BAU Mapping to T &amp; C'!$B$3:$B$52)</f>
        <v xml:space="preserve">Oil crops </v>
      </c>
      <c r="H790" s="129">
        <f>_xlfn.XLOOKUP(G790,'[1]T&amp;C emissions for 2050 analysis'!$B$3:$B$23,'[1]T&amp;C emissions for 2050 analysis'!$C$3:$C$23)</f>
        <v>0.18333333333333335</v>
      </c>
      <c r="I790" s="27">
        <f t="shared" si="36"/>
        <v>8.3876800333333324E-3</v>
      </c>
      <c r="J790" s="129">
        <f t="shared" si="37"/>
        <v>0.11256666666666668</v>
      </c>
    </row>
    <row r="791" spans="1:10" hidden="1" x14ac:dyDescent="0.35">
      <c r="A791" s="126" t="s">
        <v>400</v>
      </c>
      <c r="B791" t="str">
        <f>_xlfn.XLOOKUP(A791,'[1]2050Pop'!$A$7:$A$143,'[1]2050Pop'!$D$7:$D$143)</f>
        <v>SSA</v>
      </c>
      <c r="C791" s="127">
        <f>1000*_xlfn.XLOOKUP(A791,'[1]2050Pop'!$A$7:$A$143,'[1]2050Pop'!$C$7:$C$143)</f>
        <v>50071</v>
      </c>
      <c r="D791" s="126" t="s">
        <v>499</v>
      </c>
      <c r="E791" s="130">
        <v>7.53</v>
      </c>
      <c r="F791" s="129">
        <f t="shared" si="38"/>
        <v>0.37703462999999998</v>
      </c>
      <c r="G791" t="str">
        <f>_xlfn.XLOOKUP(D791,'[1]2050 BAU Mapping to T &amp; C'!$A$3:$A$52,'[1]2050 BAU Mapping to T &amp; C'!$B$3:$B$52)</f>
        <v xml:space="preserve">Oil crops </v>
      </c>
      <c r="H791" s="129">
        <f>_xlfn.XLOOKUP(G791,'[1]T&amp;C emissions for 2050 analysis'!$B$3:$B$23,'[1]T&amp;C emissions for 2050 analysis'!$C$3:$C$23)</f>
        <v>0.18333333333333335</v>
      </c>
      <c r="I791" s="27">
        <f t="shared" si="36"/>
        <v>6.9123015499999996E-2</v>
      </c>
      <c r="J791" s="129">
        <f t="shared" si="37"/>
        <v>1.3805000000000001</v>
      </c>
    </row>
    <row r="792" spans="1:10" hidden="1" x14ac:dyDescent="0.35">
      <c r="A792" s="126" t="s">
        <v>403</v>
      </c>
      <c r="B792" t="str">
        <f>_xlfn.XLOOKUP(A792,'[1]2050Pop'!$A$7:$A$143,'[1]2050Pop'!$D$7:$D$143)</f>
        <v>SSA</v>
      </c>
      <c r="C792" s="127">
        <f>1000*_xlfn.XLOOKUP(A792,'[1]2050Pop'!$A$7:$A$143,'[1]2050Pop'!$C$7:$C$143)</f>
        <v>27486</v>
      </c>
      <c r="D792" s="126" t="s">
        <v>499</v>
      </c>
      <c r="E792" s="128">
        <v>2.7549999999999999</v>
      </c>
      <c r="F792" s="129">
        <f t="shared" si="38"/>
        <v>7.5723929999999995E-2</v>
      </c>
      <c r="G792" t="str">
        <f>_xlfn.XLOOKUP(D792,'[1]2050 BAU Mapping to T &amp; C'!$A$3:$A$52,'[1]2050 BAU Mapping to T &amp; C'!$B$3:$B$52)</f>
        <v xml:space="preserve">Oil crops </v>
      </c>
      <c r="H792" s="129">
        <f>_xlfn.XLOOKUP(G792,'[1]T&amp;C emissions for 2050 analysis'!$B$3:$B$23,'[1]T&amp;C emissions for 2050 analysis'!$C$3:$C$23)</f>
        <v>0.18333333333333335</v>
      </c>
      <c r="I792" s="27">
        <f t="shared" si="36"/>
        <v>1.3882720500000001E-2</v>
      </c>
      <c r="J792" s="129">
        <f t="shared" si="37"/>
        <v>0.50508333333333333</v>
      </c>
    </row>
    <row r="793" spans="1:10" hidden="1" x14ac:dyDescent="0.35">
      <c r="A793" s="126" t="s">
        <v>404</v>
      </c>
      <c r="B793" t="str">
        <f>_xlfn.XLOOKUP(A793,'[1]2050Pop'!$A$7:$A$143,'[1]2050Pop'!$D$7:$D$143)</f>
        <v>LatAm &amp; RSA</v>
      </c>
      <c r="C793" s="127">
        <f>1000*_xlfn.XLOOKUP(A793,'[1]2050Pop'!$A$7:$A$143,'[1]2050Pop'!$C$7:$C$143)</f>
        <v>806</v>
      </c>
      <c r="D793" s="126" t="s">
        <v>499</v>
      </c>
      <c r="E793" s="128">
        <v>92.575000000000003</v>
      </c>
      <c r="F793" s="129">
        <f t="shared" si="38"/>
        <v>7.461545E-2</v>
      </c>
      <c r="G793" t="str">
        <f>_xlfn.XLOOKUP(D793,'[1]2050 BAU Mapping to T &amp; C'!$A$3:$A$52,'[1]2050 BAU Mapping to T &amp; C'!$B$3:$B$52)</f>
        <v xml:space="preserve">Oil crops </v>
      </c>
      <c r="H793" s="129">
        <f>_xlfn.XLOOKUP(G793,'[1]T&amp;C emissions for 2050 analysis'!$B$3:$B$23,'[1]T&amp;C emissions for 2050 analysis'!$C$3:$C$23)</f>
        <v>0.18333333333333335</v>
      </c>
      <c r="I793" s="27">
        <f t="shared" si="36"/>
        <v>1.3679499166666668E-2</v>
      </c>
      <c r="J793" s="129">
        <f t="shared" si="37"/>
        <v>16.972083333333334</v>
      </c>
    </row>
    <row r="794" spans="1:10" hidden="1" x14ac:dyDescent="0.35">
      <c r="A794" s="126" t="s">
        <v>406</v>
      </c>
      <c r="B794" t="str">
        <f>_xlfn.XLOOKUP(A794,'[1]2050Pop'!$A$7:$A$143,'[1]2050Pop'!$D$7:$D$143)</f>
        <v>LatAm &amp; RSA</v>
      </c>
      <c r="C794" s="127">
        <f>1000*_xlfn.XLOOKUP(A794,'[1]2050Pop'!$A$7:$A$143,'[1]2050Pop'!$C$7:$C$143)</f>
        <v>11217</v>
      </c>
      <c r="D794" s="126" t="s">
        <v>499</v>
      </c>
      <c r="E794" s="130">
        <v>2.0099999999999998</v>
      </c>
      <c r="F794" s="129">
        <f t="shared" si="38"/>
        <v>2.2546169999999997E-2</v>
      </c>
      <c r="G794" t="str">
        <f>_xlfn.XLOOKUP(D794,'[1]2050 BAU Mapping to T &amp; C'!$A$3:$A$52,'[1]2050 BAU Mapping to T &amp; C'!$B$3:$B$52)</f>
        <v xml:space="preserve">Oil crops </v>
      </c>
      <c r="H794" s="129">
        <f>_xlfn.XLOOKUP(G794,'[1]T&amp;C emissions for 2050 analysis'!$B$3:$B$23,'[1]T&amp;C emissions for 2050 analysis'!$C$3:$C$23)</f>
        <v>0.18333333333333335</v>
      </c>
      <c r="I794" s="27">
        <f t="shared" si="36"/>
        <v>4.1334644999999996E-3</v>
      </c>
      <c r="J794" s="129">
        <f t="shared" si="37"/>
        <v>0.36849999999999999</v>
      </c>
    </row>
    <row r="795" spans="1:10" hidden="1" x14ac:dyDescent="0.35">
      <c r="A795" s="126" t="s">
        <v>408</v>
      </c>
      <c r="B795" t="str">
        <f>_xlfn.XLOOKUP(A795,'[1]2050Pop'!$A$7:$A$143,'[1]2050Pop'!$D$7:$D$143)</f>
        <v>India/South Asia</v>
      </c>
      <c r="C795" s="127">
        <f>1000*_xlfn.XLOOKUP(A795,'[1]2050Pop'!$A$7:$A$143,'[1]2050Pop'!$C$7:$C$143)</f>
        <v>1705333</v>
      </c>
      <c r="D795" s="126" t="s">
        <v>499</v>
      </c>
      <c r="E795" s="128">
        <v>4.7130000000000001</v>
      </c>
      <c r="F795" s="129">
        <f t="shared" si="38"/>
        <v>8.0372344289999997</v>
      </c>
      <c r="G795" t="str">
        <f>_xlfn.XLOOKUP(D795,'[1]2050 BAU Mapping to T &amp; C'!$A$3:$A$52,'[1]2050 BAU Mapping to T &amp; C'!$B$3:$B$52)</f>
        <v xml:space="preserve">Oil crops </v>
      </c>
      <c r="H795" s="129">
        <f>_xlfn.XLOOKUP(G795,'[1]T&amp;C emissions for 2050 analysis'!$B$3:$B$23,'[1]T&amp;C emissions for 2050 analysis'!$C$3:$C$23)</f>
        <v>0.18333333333333335</v>
      </c>
      <c r="I795" s="27">
        <f t="shared" si="36"/>
        <v>1.4734929786500002</v>
      </c>
      <c r="J795" s="129">
        <f t="shared" si="37"/>
        <v>0.8640500000000001</v>
      </c>
    </row>
    <row r="796" spans="1:10" hidden="1" x14ac:dyDescent="0.35">
      <c r="A796" s="126" t="s">
        <v>409</v>
      </c>
      <c r="B796" t="str">
        <f>_xlfn.XLOOKUP(A796,'[1]2050Pop'!$A$7:$A$143,'[1]2050Pop'!$D$7:$D$143)</f>
        <v>APAC</v>
      </c>
      <c r="C796" s="127">
        <f>1000*_xlfn.XLOOKUP(A796,'[1]2050Pop'!$A$7:$A$143,'[1]2050Pop'!$C$7:$C$143)</f>
        <v>322237</v>
      </c>
      <c r="D796" s="126" t="s">
        <v>499</v>
      </c>
      <c r="E796" s="128">
        <v>20.995000000000001</v>
      </c>
      <c r="F796" s="129">
        <f t="shared" si="38"/>
        <v>6.765365815</v>
      </c>
      <c r="G796" t="str">
        <f>_xlfn.XLOOKUP(D796,'[1]2050 BAU Mapping to T &amp; C'!$A$3:$A$52,'[1]2050 BAU Mapping to T &amp; C'!$B$3:$B$52)</f>
        <v xml:space="preserve">Oil crops </v>
      </c>
      <c r="H796" s="129">
        <f>_xlfn.XLOOKUP(G796,'[1]T&amp;C emissions for 2050 analysis'!$B$3:$B$23,'[1]T&amp;C emissions for 2050 analysis'!$C$3:$C$23)</f>
        <v>0.18333333333333335</v>
      </c>
      <c r="I796" s="27">
        <f t="shared" si="36"/>
        <v>1.2403170660833334</v>
      </c>
      <c r="J796" s="129">
        <f t="shared" si="37"/>
        <v>3.8490833333333336</v>
      </c>
    </row>
    <row r="797" spans="1:10" hidden="1" x14ac:dyDescent="0.35">
      <c r="A797" s="126" t="s">
        <v>410</v>
      </c>
      <c r="B797" t="str">
        <f>_xlfn.XLOOKUP(A797,'[1]2050Pop'!$A$7:$A$143,'[1]2050Pop'!$D$7:$D$143)</f>
        <v>India/South Asia</v>
      </c>
      <c r="C797" s="127">
        <f>1000*_xlfn.XLOOKUP(A797,'[1]2050Pop'!$A$7:$A$143,'[1]2050Pop'!$C$7:$C$143)</f>
        <v>92219</v>
      </c>
      <c r="D797" s="126" t="s">
        <v>499</v>
      </c>
      <c r="E797" s="128">
        <v>1.4990000000000001</v>
      </c>
      <c r="F797" s="129">
        <f t="shared" si="38"/>
        <v>0.13823628100000002</v>
      </c>
      <c r="G797" t="str">
        <f>_xlfn.XLOOKUP(D797,'[1]2050 BAU Mapping to T &amp; C'!$A$3:$A$52,'[1]2050 BAU Mapping to T &amp; C'!$B$3:$B$52)</f>
        <v xml:space="preserve">Oil crops </v>
      </c>
      <c r="H797" s="129">
        <f>_xlfn.XLOOKUP(G797,'[1]T&amp;C emissions for 2050 analysis'!$B$3:$B$23,'[1]T&amp;C emissions for 2050 analysis'!$C$3:$C$23)</f>
        <v>0.18333333333333335</v>
      </c>
      <c r="I797" s="27">
        <f t="shared" si="36"/>
        <v>2.5343318183333338E-2</v>
      </c>
      <c r="J797" s="129">
        <f t="shared" si="37"/>
        <v>0.27481666666666671</v>
      </c>
    </row>
    <row r="798" spans="1:10" hidden="1" x14ac:dyDescent="0.35">
      <c r="A798" s="126" t="s">
        <v>412</v>
      </c>
      <c r="B798" t="str">
        <f>_xlfn.XLOOKUP(A798,'[1]2050Pop'!$A$7:$A$143,'[1]2050Pop'!$D$7:$D$143)</f>
        <v>Euro/AU/NZ</v>
      </c>
      <c r="C798" s="127">
        <f>1000*_xlfn.XLOOKUP(A798,'[1]2050Pop'!$A$7:$A$143,'[1]2050Pop'!$C$7:$C$143)</f>
        <v>5789</v>
      </c>
      <c r="D798" s="126" t="s">
        <v>499</v>
      </c>
      <c r="E798" s="130">
        <v>41.73</v>
      </c>
      <c r="F798" s="129">
        <f t="shared" si="38"/>
        <v>0.24157496999999997</v>
      </c>
      <c r="G798" t="str">
        <f>_xlfn.XLOOKUP(D798,'[1]2050 BAU Mapping to T &amp; C'!$A$3:$A$52,'[1]2050 BAU Mapping to T &amp; C'!$B$3:$B$52)</f>
        <v xml:space="preserve">Oil crops </v>
      </c>
      <c r="H798" s="129">
        <f>_xlfn.XLOOKUP(G798,'[1]T&amp;C emissions for 2050 analysis'!$B$3:$B$23,'[1]T&amp;C emissions for 2050 analysis'!$C$3:$C$23)</f>
        <v>0.18333333333333335</v>
      </c>
      <c r="I798" s="27">
        <f t="shared" si="36"/>
        <v>4.4288744499999998E-2</v>
      </c>
      <c r="J798" s="129">
        <f t="shared" si="37"/>
        <v>7.6505000000000001</v>
      </c>
    </row>
    <row r="799" spans="1:10" hidden="1" x14ac:dyDescent="0.35">
      <c r="A799" s="126" t="s">
        <v>413</v>
      </c>
      <c r="B799" t="str">
        <f>_xlfn.XLOOKUP(A799,'[1]2050Pop'!$A$7:$A$143,'[1]2050Pop'!$D$7:$D$143)</f>
        <v>MENA</v>
      </c>
      <c r="C799" s="127">
        <f>1000*_xlfn.XLOOKUP(A799,'[1]2050Pop'!$A$7:$A$143,'[1]2050Pop'!$C$7:$C$143)</f>
        <v>12610</v>
      </c>
      <c r="D799" s="126" t="s">
        <v>499</v>
      </c>
      <c r="E799" s="128">
        <v>2.4630000000000001</v>
      </c>
      <c r="F799" s="129">
        <f t="shared" si="38"/>
        <v>3.1058430000000001E-2</v>
      </c>
      <c r="G799" t="str">
        <f>_xlfn.XLOOKUP(D799,'[1]2050 BAU Mapping to T &amp; C'!$A$3:$A$52,'[1]2050 BAU Mapping to T &amp; C'!$B$3:$B$52)</f>
        <v xml:space="preserve">Oil crops </v>
      </c>
      <c r="H799" s="129">
        <f>_xlfn.XLOOKUP(G799,'[1]T&amp;C emissions for 2050 analysis'!$B$3:$B$23,'[1]T&amp;C emissions for 2050 analysis'!$C$3:$C$23)</f>
        <v>0.18333333333333335</v>
      </c>
      <c r="I799" s="27">
        <f t="shared" si="36"/>
        <v>5.6940455000000006E-3</v>
      </c>
      <c r="J799" s="129">
        <f t="shared" si="37"/>
        <v>0.45155000000000006</v>
      </c>
    </row>
    <row r="800" spans="1:10" hidden="1" x14ac:dyDescent="0.35">
      <c r="A800" s="126" t="s">
        <v>414</v>
      </c>
      <c r="B800" t="str">
        <f>_xlfn.XLOOKUP(A800,'[1]2050Pop'!$A$7:$A$143,'[1]2050Pop'!$D$7:$D$143)</f>
        <v>Euro/AU/NZ</v>
      </c>
      <c r="C800" s="127">
        <f>1000*_xlfn.XLOOKUP(A800,'[1]2050Pop'!$A$7:$A$143,'[1]2050Pop'!$C$7:$C$143)</f>
        <v>56513</v>
      </c>
      <c r="D800" s="126" t="s">
        <v>499</v>
      </c>
      <c r="E800" s="130">
        <v>6.77</v>
      </c>
      <c r="F800" s="129">
        <f t="shared" si="38"/>
        <v>0.38259300999999996</v>
      </c>
      <c r="G800" t="str">
        <f>_xlfn.XLOOKUP(D800,'[1]2050 BAU Mapping to T &amp; C'!$A$3:$A$52,'[1]2050 BAU Mapping to T &amp; C'!$B$3:$B$52)</f>
        <v xml:space="preserve">Oil crops </v>
      </c>
      <c r="H800" s="129">
        <f>_xlfn.XLOOKUP(G800,'[1]T&amp;C emissions for 2050 analysis'!$B$3:$B$23,'[1]T&amp;C emissions for 2050 analysis'!$C$3:$C$23)</f>
        <v>0.18333333333333335</v>
      </c>
      <c r="I800" s="27">
        <f t="shared" si="36"/>
        <v>7.014205183333333E-2</v>
      </c>
      <c r="J800" s="129">
        <f t="shared" si="37"/>
        <v>1.2411666666666668</v>
      </c>
    </row>
    <row r="801" spans="1:10" hidden="1" x14ac:dyDescent="0.35">
      <c r="A801" s="126" t="s">
        <v>415</v>
      </c>
      <c r="B801" t="str">
        <f>_xlfn.XLOOKUP(A801,'[1]2050Pop'!$A$7:$A$143,'[1]2050Pop'!$D$7:$D$143)</f>
        <v>LatAm &amp; RSA</v>
      </c>
      <c r="C801" s="127">
        <f>1000*_xlfn.XLOOKUP(A801,'[1]2050Pop'!$A$7:$A$143,'[1]2050Pop'!$C$7:$C$143)</f>
        <v>2710</v>
      </c>
      <c r="D801" s="126" t="s">
        <v>499</v>
      </c>
      <c r="E801" s="128">
        <v>80.108000000000004</v>
      </c>
      <c r="F801" s="129">
        <f t="shared" si="38"/>
        <v>0.21709268000000001</v>
      </c>
      <c r="G801" t="str">
        <f>_xlfn.XLOOKUP(D801,'[1]2050 BAU Mapping to T &amp; C'!$A$3:$A$52,'[1]2050 BAU Mapping to T &amp; C'!$B$3:$B$52)</f>
        <v xml:space="preserve">Oil crops </v>
      </c>
      <c r="H801" s="129">
        <f>_xlfn.XLOOKUP(G801,'[1]T&amp;C emissions for 2050 analysis'!$B$3:$B$23,'[1]T&amp;C emissions for 2050 analysis'!$C$3:$C$23)</f>
        <v>0.18333333333333335</v>
      </c>
      <c r="I801" s="27">
        <f t="shared" si="36"/>
        <v>3.9800324666666671E-2</v>
      </c>
      <c r="J801" s="129">
        <f t="shared" si="37"/>
        <v>14.686466666666668</v>
      </c>
    </row>
    <row r="802" spans="1:10" hidden="1" x14ac:dyDescent="0.35">
      <c r="A802" s="126" t="s">
        <v>416</v>
      </c>
      <c r="B802" t="str">
        <f>_xlfn.XLOOKUP(A802,'[1]2050Pop'!$A$7:$A$143,'[1]2050Pop'!$D$7:$D$143)</f>
        <v>APAC</v>
      </c>
      <c r="C802" s="127">
        <f>1000*_xlfn.XLOOKUP(A802,'[1]2050Pop'!$A$7:$A$143,'[1]2050Pop'!$C$7:$C$143)</f>
        <v>107411</v>
      </c>
      <c r="D802" s="126" t="s">
        <v>499</v>
      </c>
      <c r="E802" s="128">
        <v>3.903</v>
      </c>
      <c r="F802" s="129">
        <f t="shared" si="38"/>
        <v>0.41922513300000003</v>
      </c>
      <c r="G802" t="str">
        <f>_xlfn.XLOOKUP(D802,'[1]2050 BAU Mapping to T &amp; C'!$A$3:$A$52,'[1]2050 BAU Mapping to T &amp; C'!$B$3:$B$52)</f>
        <v xml:space="preserve">Oil crops </v>
      </c>
      <c r="H802" s="129">
        <f>_xlfn.XLOOKUP(G802,'[1]T&amp;C emissions for 2050 analysis'!$B$3:$B$23,'[1]T&amp;C emissions for 2050 analysis'!$C$3:$C$23)</f>
        <v>0.18333333333333335</v>
      </c>
      <c r="I802" s="27">
        <f t="shared" si="36"/>
        <v>7.6857941050000017E-2</v>
      </c>
      <c r="J802" s="129">
        <f t="shared" si="37"/>
        <v>0.71555000000000002</v>
      </c>
    </row>
    <row r="803" spans="1:10" hidden="1" x14ac:dyDescent="0.35">
      <c r="A803" s="126" t="s">
        <v>417</v>
      </c>
      <c r="B803" t="str">
        <f>_xlfn.XLOOKUP(A803,'[1]2050Pop'!$A$7:$A$143,'[1]2050Pop'!$D$7:$D$143)</f>
        <v>MENA</v>
      </c>
      <c r="C803" s="127">
        <f>1000*_xlfn.XLOOKUP(A803,'[1]2050Pop'!$A$7:$A$143,'[1]2050Pop'!$C$7:$C$143)</f>
        <v>11717</v>
      </c>
      <c r="D803" s="126" t="s">
        <v>499</v>
      </c>
      <c r="E803" s="128">
        <v>1.544</v>
      </c>
      <c r="F803" s="129">
        <f t="shared" si="38"/>
        <v>1.8091047999999998E-2</v>
      </c>
      <c r="G803" t="str">
        <f>_xlfn.XLOOKUP(D803,'[1]2050 BAU Mapping to T &amp; C'!$A$3:$A$52,'[1]2050 BAU Mapping to T &amp; C'!$B$3:$B$52)</f>
        <v xml:space="preserve">Oil crops </v>
      </c>
      <c r="H803" s="129">
        <f>_xlfn.XLOOKUP(G803,'[1]T&amp;C emissions for 2050 analysis'!$B$3:$B$23,'[1]T&amp;C emissions for 2050 analysis'!$C$3:$C$23)</f>
        <v>0.18333333333333335</v>
      </c>
      <c r="I803" s="27">
        <f t="shared" si="36"/>
        <v>3.3166921333333335E-3</v>
      </c>
      <c r="J803" s="129">
        <f t="shared" si="37"/>
        <v>0.28306666666666669</v>
      </c>
    </row>
    <row r="804" spans="1:10" hidden="1" x14ac:dyDescent="0.35">
      <c r="A804" s="126" t="s">
        <v>419</v>
      </c>
      <c r="B804" t="str">
        <f>_xlfn.XLOOKUP(A804,'[1]2050Pop'!$A$7:$A$143,'[1]2050Pop'!$D$7:$D$143)</f>
        <v>SSA</v>
      </c>
      <c r="C804" s="127">
        <f>1000*_xlfn.XLOOKUP(A804,'[1]2050Pop'!$A$7:$A$143,'[1]2050Pop'!$C$7:$C$143)</f>
        <v>95505</v>
      </c>
      <c r="D804" s="126" t="s">
        <v>499</v>
      </c>
      <c r="E804" s="131">
        <v>2</v>
      </c>
      <c r="F804" s="129">
        <f t="shared" si="38"/>
        <v>0.19101000000000001</v>
      </c>
      <c r="G804" t="str">
        <f>_xlfn.XLOOKUP(D804,'[1]2050 BAU Mapping to T &amp; C'!$A$3:$A$52,'[1]2050 BAU Mapping to T &amp; C'!$B$3:$B$52)</f>
        <v xml:space="preserve">Oil crops </v>
      </c>
      <c r="H804" s="129">
        <f>_xlfn.XLOOKUP(G804,'[1]T&amp;C emissions for 2050 analysis'!$B$3:$B$23,'[1]T&amp;C emissions for 2050 analysis'!$C$3:$C$23)</f>
        <v>0.18333333333333335</v>
      </c>
      <c r="I804" s="27">
        <f t="shared" si="36"/>
        <v>3.5018500000000008E-2</v>
      </c>
      <c r="J804" s="129">
        <f t="shared" si="37"/>
        <v>0.3666666666666667</v>
      </c>
    </row>
    <row r="805" spans="1:10" hidden="1" x14ac:dyDescent="0.35">
      <c r="A805" s="126" t="s">
        <v>420</v>
      </c>
      <c r="B805" t="str">
        <f>_xlfn.XLOOKUP(A805,'[1]2050Pop'!$A$7:$A$143,'[1]2050Pop'!$D$7:$D$143)</f>
        <v>APAC</v>
      </c>
      <c r="C805" s="127">
        <f>1000*_xlfn.XLOOKUP(A805,'[1]2050Pop'!$A$7:$A$143,'[1]2050Pop'!$C$7:$C$143)</f>
        <v>8248</v>
      </c>
      <c r="D805" s="126" t="s">
        <v>499</v>
      </c>
      <c r="E805" s="128">
        <v>1.534</v>
      </c>
      <c r="F805" s="129">
        <f t="shared" si="38"/>
        <v>1.2652432E-2</v>
      </c>
      <c r="G805" t="str">
        <f>_xlfn.XLOOKUP(D805,'[1]2050 BAU Mapping to T &amp; C'!$A$3:$A$52,'[1]2050 BAU Mapping to T &amp; C'!$B$3:$B$52)</f>
        <v xml:space="preserve">Oil crops </v>
      </c>
      <c r="H805" s="129">
        <f>_xlfn.XLOOKUP(G805,'[1]T&amp;C emissions for 2050 analysis'!$B$3:$B$23,'[1]T&amp;C emissions for 2050 analysis'!$C$3:$C$23)</f>
        <v>0.18333333333333335</v>
      </c>
      <c r="I805" s="27">
        <f t="shared" si="36"/>
        <v>2.3196125333333336E-3</v>
      </c>
      <c r="J805" s="129">
        <f t="shared" si="37"/>
        <v>0.28123333333333334</v>
      </c>
    </row>
    <row r="806" spans="1:10" hidden="1" x14ac:dyDescent="0.35">
      <c r="A806" s="126" t="s">
        <v>426</v>
      </c>
      <c r="B806" t="str">
        <f>_xlfn.XLOOKUP(A806,'[1]2050Pop'!$A$7:$A$143,'[1]2050Pop'!$D$7:$D$143)</f>
        <v>Euro/AU/NZ</v>
      </c>
      <c r="C806" s="127">
        <f>1000*_xlfn.XLOOKUP(A806,'[1]2050Pop'!$A$7:$A$143,'[1]2050Pop'!$C$7:$C$143)</f>
        <v>2375</v>
      </c>
      <c r="D806" s="126" t="s">
        <v>499</v>
      </c>
      <c r="E806" s="128">
        <v>1.867</v>
      </c>
      <c r="F806" s="129">
        <f t="shared" si="38"/>
        <v>4.4341249999999997E-3</v>
      </c>
      <c r="G806" t="str">
        <f>_xlfn.XLOOKUP(D806,'[1]2050 BAU Mapping to T &amp; C'!$A$3:$A$52,'[1]2050 BAU Mapping to T &amp; C'!$B$3:$B$52)</f>
        <v xml:space="preserve">Oil crops </v>
      </c>
      <c r="H806" s="129">
        <f>_xlfn.XLOOKUP(G806,'[1]T&amp;C emissions for 2050 analysis'!$B$3:$B$23,'[1]T&amp;C emissions for 2050 analysis'!$C$3:$C$23)</f>
        <v>0.18333333333333335</v>
      </c>
      <c r="I806" s="27">
        <f t="shared" si="36"/>
        <v>8.1292291666666672E-4</v>
      </c>
      <c r="J806" s="129">
        <f t="shared" si="37"/>
        <v>0.34228333333333338</v>
      </c>
    </row>
    <row r="807" spans="1:10" hidden="1" x14ac:dyDescent="0.35">
      <c r="A807" s="126" t="s">
        <v>427</v>
      </c>
      <c r="B807" t="str">
        <f>_xlfn.XLOOKUP(A807,'[1]2050Pop'!$A$7:$A$143,'[1]2050Pop'!$D$7:$D$143)</f>
        <v>SSA</v>
      </c>
      <c r="C807" s="127">
        <f>1000*_xlfn.XLOOKUP(A807,'[1]2050Pop'!$A$7:$A$143,'[1]2050Pop'!$C$7:$C$143)</f>
        <v>55294</v>
      </c>
      <c r="D807" s="126" t="s">
        <v>499</v>
      </c>
      <c r="E807" s="128">
        <v>8.7050000000000001</v>
      </c>
      <c r="F807" s="129">
        <f t="shared" si="38"/>
        <v>0.48133427000000001</v>
      </c>
      <c r="G807" t="str">
        <f>_xlfn.XLOOKUP(D807,'[1]2050 BAU Mapping to T &amp; C'!$A$3:$A$52,'[1]2050 BAU Mapping to T &amp; C'!$B$3:$B$52)</f>
        <v xml:space="preserve">Oil crops </v>
      </c>
      <c r="H807" s="129">
        <f>_xlfn.XLOOKUP(G807,'[1]T&amp;C emissions for 2050 analysis'!$B$3:$B$23,'[1]T&amp;C emissions for 2050 analysis'!$C$3:$C$23)</f>
        <v>0.18333333333333335</v>
      </c>
      <c r="I807" s="27">
        <f t="shared" si="36"/>
        <v>8.8244616166666678E-2</v>
      </c>
      <c r="J807" s="129">
        <f t="shared" si="37"/>
        <v>1.5959166666666669</v>
      </c>
    </row>
    <row r="808" spans="1:10" hidden="1" x14ac:dyDescent="0.35">
      <c r="A808" s="126" t="s">
        <v>428</v>
      </c>
      <c r="B808" t="str">
        <f>_xlfn.XLOOKUP(A808,'[1]2050Pop'!$A$7:$A$143,'[1]2050Pop'!$D$7:$D$143)</f>
        <v>SSA</v>
      </c>
      <c r="C808" s="127">
        <f>1000*_xlfn.XLOOKUP(A808,'[1]2050Pop'!$A$7:$A$143,'[1]2050Pop'!$C$7:$C$143)</f>
        <v>43155</v>
      </c>
      <c r="D808" s="126" t="s">
        <v>499</v>
      </c>
      <c r="E808" s="128">
        <v>0.751</v>
      </c>
      <c r="F808" s="129">
        <f t="shared" si="38"/>
        <v>3.2409405000000002E-2</v>
      </c>
      <c r="G808" t="str">
        <f>_xlfn.XLOOKUP(D808,'[1]2050 BAU Mapping to T &amp; C'!$A$3:$A$52,'[1]2050 BAU Mapping to T &amp; C'!$B$3:$B$52)</f>
        <v xml:space="preserve">Oil crops </v>
      </c>
      <c r="H808" s="129">
        <f>_xlfn.XLOOKUP(G808,'[1]T&amp;C emissions for 2050 analysis'!$B$3:$B$23,'[1]T&amp;C emissions for 2050 analysis'!$C$3:$C$23)</f>
        <v>0.18333333333333335</v>
      </c>
      <c r="I808" s="27">
        <f t="shared" si="36"/>
        <v>5.9417242500000005E-3</v>
      </c>
      <c r="J808" s="129">
        <f t="shared" si="37"/>
        <v>0.13768333333333335</v>
      </c>
    </row>
    <row r="809" spans="1:10" hidden="1" x14ac:dyDescent="0.35">
      <c r="A809" s="126" t="s">
        <v>429</v>
      </c>
      <c r="B809" t="str">
        <f>_xlfn.XLOOKUP(A809,'[1]2050Pop'!$A$7:$A$143,'[1]2050Pop'!$D$7:$D$143)</f>
        <v>APAC</v>
      </c>
      <c r="C809" s="127">
        <f>1000*_xlfn.XLOOKUP(A809,'[1]2050Pop'!$A$7:$A$143,'[1]2050Pop'!$C$7:$C$143)</f>
        <v>40725</v>
      </c>
      <c r="D809" s="126" t="s">
        <v>499</v>
      </c>
      <c r="E809" s="128">
        <v>24.585000000000001</v>
      </c>
      <c r="F809" s="129">
        <f t="shared" si="38"/>
        <v>1.001224125</v>
      </c>
      <c r="G809" t="str">
        <f>_xlfn.XLOOKUP(D809,'[1]2050 BAU Mapping to T &amp; C'!$A$3:$A$52,'[1]2050 BAU Mapping to T &amp; C'!$B$3:$B$52)</f>
        <v xml:space="preserve">Oil crops </v>
      </c>
      <c r="H809" s="129">
        <f>_xlfn.XLOOKUP(G809,'[1]T&amp;C emissions for 2050 analysis'!$B$3:$B$23,'[1]T&amp;C emissions for 2050 analysis'!$C$3:$C$23)</f>
        <v>0.18333333333333335</v>
      </c>
      <c r="I809" s="27">
        <f t="shared" si="36"/>
        <v>0.18355775625000001</v>
      </c>
      <c r="J809" s="129">
        <f t="shared" si="37"/>
        <v>4.5072500000000009</v>
      </c>
    </row>
    <row r="810" spans="1:10" hidden="1" x14ac:dyDescent="0.35">
      <c r="A810" s="126" t="s">
        <v>431</v>
      </c>
      <c r="B810" t="str">
        <f>_xlfn.XLOOKUP(A810,'[1]2050Pop'!$A$7:$A$143,'[1]2050Pop'!$D$7:$D$143)</f>
        <v>SSA</v>
      </c>
      <c r="C810" s="127">
        <f>1000*_xlfn.XLOOKUP(A810,'[1]2050Pop'!$A$7:$A$143,'[1]2050Pop'!$C$7:$C$143)</f>
        <v>8048.9999999999991</v>
      </c>
      <c r="D810" s="126" t="s">
        <v>499</v>
      </c>
      <c r="E810" s="128">
        <v>1.5609999999999999</v>
      </c>
      <c r="F810" s="129">
        <f t="shared" si="38"/>
        <v>1.2564488999999998E-2</v>
      </c>
      <c r="G810" t="str">
        <f>_xlfn.XLOOKUP(D810,'[1]2050 BAU Mapping to T &amp; C'!$A$3:$A$52,'[1]2050 BAU Mapping to T &amp; C'!$B$3:$B$52)</f>
        <v xml:space="preserve">Oil crops </v>
      </c>
      <c r="H810" s="129">
        <f>_xlfn.XLOOKUP(G810,'[1]T&amp;C emissions for 2050 analysis'!$B$3:$B$23,'[1]T&amp;C emissions for 2050 analysis'!$C$3:$C$23)</f>
        <v>0.18333333333333335</v>
      </c>
      <c r="I810" s="27">
        <f t="shared" si="36"/>
        <v>2.3034896499999997E-3</v>
      </c>
      <c r="J810" s="129">
        <f t="shared" si="37"/>
        <v>0.28618333333333335</v>
      </c>
    </row>
    <row r="811" spans="1:10" hidden="1" x14ac:dyDescent="0.35">
      <c r="A811" s="126" t="s">
        <v>432</v>
      </c>
      <c r="B811" t="str">
        <f>_xlfn.XLOOKUP(A811,'[1]2050Pop'!$A$7:$A$143,'[1]2050Pop'!$D$7:$D$143)</f>
        <v>SSA</v>
      </c>
      <c r="C811" s="127">
        <f>1000*_xlfn.XLOOKUP(A811,'[1]2050Pop'!$A$7:$A$143,'[1]2050Pop'!$C$7:$C$143)</f>
        <v>1249</v>
      </c>
      <c r="D811" s="126" t="s">
        <v>499</v>
      </c>
      <c r="E811" s="128">
        <v>0.85199999999999998</v>
      </c>
      <c r="F811" s="129">
        <f t="shared" si="38"/>
        <v>1.064148E-3</v>
      </c>
      <c r="G811" t="str">
        <f>_xlfn.XLOOKUP(D811,'[1]2050 BAU Mapping to T &amp; C'!$A$3:$A$52,'[1]2050 BAU Mapping to T &amp; C'!$B$3:$B$52)</f>
        <v xml:space="preserve">Oil crops </v>
      </c>
      <c r="H811" s="129">
        <f>_xlfn.XLOOKUP(G811,'[1]T&amp;C emissions for 2050 analysis'!$B$3:$B$23,'[1]T&amp;C emissions for 2050 analysis'!$C$3:$C$23)</f>
        <v>0.18333333333333335</v>
      </c>
      <c r="I811" s="27">
        <f t="shared" si="36"/>
        <v>1.9509380000000003E-4</v>
      </c>
      <c r="J811" s="129">
        <f t="shared" si="37"/>
        <v>0.15620000000000001</v>
      </c>
    </row>
    <row r="812" spans="1:10" hidden="1" x14ac:dyDescent="0.35">
      <c r="A812" s="126" t="s">
        <v>433</v>
      </c>
      <c r="B812" t="str">
        <f>_xlfn.XLOOKUP(A812,'[1]2050Pop'!$A$7:$A$143,'[1]2050Pop'!$D$7:$D$143)</f>
        <v>LatAm &amp; RSA</v>
      </c>
      <c r="C812" s="127">
        <f>1000*_xlfn.XLOOKUP(A812,'[1]2050Pop'!$A$7:$A$143,'[1]2050Pop'!$C$7:$C$143)</f>
        <v>163754</v>
      </c>
      <c r="D812" s="126" t="s">
        <v>499</v>
      </c>
      <c r="E812" s="130">
        <v>12.19</v>
      </c>
      <c r="F812" s="129">
        <f t="shared" si="38"/>
        <v>1.99616126</v>
      </c>
      <c r="G812" t="str">
        <f>_xlfn.XLOOKUP(D812,'[1]2050 BAU Mapping to T &amp; C'!$A$3:$A$52,'[1]2050 BAU Mapping to T &amp; C'!$B$3:$B$52)</f>
        <v xml:space="preserve">Oil crops </v>
      </c>
      <c r="H812" s="129">
        <f>_xlfn.XLOOKUP(G812,'[1]T&amp;C emissions for 2050 analysis'!$B$3:$B$23,'[1]T&amp;C emissions for 2050 analysis'!$C$3:$C$23)</f>
        <v>0.18333333333333335</v>
      </c>
      <c r="I812" s="27">
        <f t="shared" si="36"/>
        <v>0.36596289766666673</v>
      </c>
      <c r="J812" s="129">
        <f t="shared" si="37"/>
        <v>2.2348333333333334</v>
      </c>
    </row>
    <row r="813" spans="1:10" hidden="1" x14ac:dyDescent="0.35">
      <c r="A813" s="126" t="s">
        <v>435</v>
      </c>
      <c r="B813" t="str">
        <f>_xlfn.XLOOKUP(A813,'[1]2050Pop'!$A$7:$A$143,'[1]2050Pop'!$D$7:$D$143)</f>
        <v>MENA</v>
      </c>
      <c r="C813" s="127">
        <f>1000*_xlfn.XLOOKUP(A813,'[1]2050Pop'!$A$7:$A$143,'[1]2050Pop'!$C$7:$C$143)</f>
        <v>43696</v>
      </c>
      <c r="D813" s="126" t="s">
        <v>499</v>
      </c>
      <c r="E813" s="128">
        <v>0.61599999999999999</v>
      </c>
      <c r="F813" s="129">
        <f t="shared" si="38"/>
        <v>2.6916736E-2</v>
      </c>
      <c r="G813" t="str">
        <f>_xlfn.XLOOKUP(D813,'[1]2050 BAU Mapping to T &amp; C'!$A$3:$A$52,'[1]2050 BAU Mapping to T &amp; C'!$B$3:$B$52)</f>
        <v xml:space="preserve">Oil crops </v>
      </c>
      <c r="H813" s="129">
        <f>_xlfn.XLOOKUP(G813,'[1]T&amp;C emissions for 2050 analysis'!$B$3:$B$23,'[1]T&amp;C emissions for 2050 analysis'!$C$3:$C$23)</f>
        <v>0.18333333333333335</v>
      </c>
      <c r="I813" s="27">
        <f t="shared" si="36"/>
        <v>4.9347349333333339E-3</v>
      </c>
      <c r="J813" s="129">
        <f t="shared" si="37"/>
        <v>0.11293333333333334</v>
      </c>
    </row>
    <row r="814" spans="1:10" hidden="1" x14ac:dyDescent="0.35">
      <c r="A814" s="126" t="s">
        <v>436</v>
      </c>
      <c r="B814" t="str">
        <f>_xlfn.XLOOKUP(A814,'[1]2050Pop'!$A$7:$A$143,'[1]2050Pop'!$D$7:$D$143)</f>
        <v>SSA</v>
      </c>
      <c r="C814" s="127">
        <f>1000*_xlfn.XLOOKUP(A814,'[1]2050Pop'!$A$7:$A$143,'[1]2050Pop'!$C$7:$C$143)</f>
        <v>65544</v>
      </c>
      <c r="D814" s="126" t="s">
        <v>499</v>
      </c>
      <c r="E814" s="128">
        <v>17.998999999999999</v>
      </c>
      <c r="F814" s="129">
        <f t="shared" si="38"/>
        <v>1.179726456</v>
      </c>
      <c r="G814" t="str">
        <f>_xlfn.XLOOKUP(D814,'[1]2050 BAU Mapping to T &amp; C'!$A$3:$A$52,'[1]2050 BAU Mapping to T &amp; C'!$B$3:$B$52)</f>
        <v xml:space="preserve">Oil crops </v>
      </c>
      <c r="H814" s="129">
        <f>_xlfn.XLOOKUP(G814,'[1]T&amp;C emissions for 2050 analysis'!$B$3:$B$23,'[1]T&amp;C emissions for 2050 analysis'!$C$3:$C$23)</f>
        <v>0.18333333333333335</v>
      </c>
      <c r="I814" s="27">
        <f t="shared" si="36"/>
        <v>0.21628318360000001</v>
      </c>
      <c r="J814" s="129">
        <f t="shared" si="37"/>
        <v>3.2998166666666666</v>
      </c>
    </row>
    <row r="815" spans="1:10" hidden="1" x14ac:dyDescent="0.35">
      <c r="A815" s="126" t="s">
        <v>437</v>
      </c>
      <c r="B815" t="str">
        <f>_xlfn.XLOOKUP(A815,'[1]2050Pop'!$A$7:$A$143,'[1]2050Pop'!$D$7:$D$143)</f>
        <v>SSA</v>
      </c>
      <c r="C815" s="127">
        <f>1000*_xlfn.XLOOKUP(A815,'[1]2050Pop'!$A$7:$A$143,'[1]2050Pop'!$C$7:$C$143)</f>
        <v>4322</v>
      </c>
      <c r="D815" s="126" t="s">
        <v>499</v>
      </c>
      <c r="E815" s="128">
        <v>2.867</v>
      </c>
      <c r="F815" s="129">
        <f t="shared" si="38"/>
        <v>1.2391174E-2</v>
      </c>
      <c r="G815" t="str">
        <f>_xlfn.XLOOKUP(D815,'[1]2050 BAU Mapping to T &amp; C'!$A$3:$A$52,'[1]2050 BAU Mapping to T &amp; C'!$B$3:$B$52)</f>
        <v xml:space="preserve">Oil crops </v>
      </c>
      <c r="H815" s="129">
        <f>_xlfn.XLOOKUP(G815,'[1]T&amp;C emissions for 2050 analysis'!$B$3:$B$23,'[1]T&amp;C emissions for 2050 analysis'!$C$3:$C$23)</f>
        <v>0.18333333333333335</v>
      </c>
      <c r="I815" s="27">
        <f t="shared" si="36"/>
        <v>2.2717152333333332E-3</v>
      </c>
      <c r="J815" s="129">
        <f t="shared" si="37"/>
        <v>0.52561666666666673</v>
      </c>
    </row>
    <row r="816" spans="1:10" hidden="1" x14ac:dyDescent="0.35">
      <c r="A816" s="126" t="s">
        <v>438</v>
      </c>
      <c r="B816" t="str">
        <f>_xlfn.XLOOKUP(A816,'[1]2050Pop'!$A$7:$A$143,'[1]2050Pop'!$D$7:$D$143)</f>
        <v>India/South Asia</v>
      </c>
      <c r="C816" s="127">
        <f>1000*_xlfn.XLOOKUP(A816,'[1]2050Pop'!$A$7:$A$143,'[1]2050Pop'!$C$7:$C$143)</f>
        <v>36159</v>
      </c>
      <c r="D816" s="126" t="s">
        <v>499</v>
      </c>
      <c r="E816" s="128">
        <v>0.71399999999999997</v>
      </c>
      <c r="F816" s="129">
        <f t="shared" si="38"/>
        <v>2.5817525999999997E-2</v>
      </c>
      <c r="G816" t="str">
        <f>_xlfn.XLOOKUP(D816,'[1]2050 BAU Mapping to T &amp; C'!$A$3:$A$52,'[1]2050 BAU Mapping to T &amp; C'!$B$3:$B$52)</f>
        <v xml:space="preserve">Oil crops </v>
      </c>
      <c r="H816" s="129">
        <f>_xlfn.XLOOKUP(G816,'[1]T&amp;C emissions for 2050 analysis'!$B$3:$B$23,'[1]T&amp;C emissions for 2050 analysis'!$C$3:$C$23)</f>
        <v>0.18333333333333335</v>
      </c>
      <c r="I816" s="27">
        <f t="shared" si="36"/>
        <v>4.7332130999999996E-3</v>
      </c>
      <c r="J816" s="129">
        <f t="shared" si="37"/>
        <v>0.13090000000000002</v>
      </c>
    </row>
    <row r="817" spans="1:10" hidden="1" x14ac:dyDescent="0.35">
      <c r="A817" s="126" t="s">
        <v>439</v>
      </c>
      <c r="B817" t="str">
        <f>_xlfn.XLOOKUP(A817,'[1]2050Pop'!$A$7:$A$143,'[1]2050Pop'!$D$7:$D$143)</f>
        <v>Euro/AU/NZ</v>
      </c>
      <c r="C817" s="127">
        <f>1000*_xlfn.XLOOKUP(A817,'[1]2050Pop'!$A$7:$A$143,'[1]2050Pop'!$C$7:$C$143)</f>
        <v>17602</v>
      </c>
      <c r="D817" s="126" t="s">
        <v>499</v>
      </c>
      <c r="E817" s="128">
        <v>54.421999999999997</v>
      </c>
      <c r="F817" s="129">
        <f t="shared" si="38"/>
        <v>0.95793604399999999</v>
      </c>
      <c r="G817" t="str">
        <f>_xlfn.XLOOKUP(D817,'[1]2050 BAU Mapping to T &amp; C'!$A$3:$A$52,'[1]2050 BAU Mapping to T &amp; C'!$B$3:$B$52)</f>
        <v xml:space="preserve">Oil crops </v>
      </c>
      <c r="H817" s="129">
        <f>_xlfn.XLOOKUP(G817,'[1]T&amp;C emissions for 2050 analysis'!$B$3:$B$23,'[1]T&amp;C emissions for 2050 analysis'!$C$3:$C$23)</f>
        <v>0.18333333333333335</v>
      </c>
      <c r="I817" s="27">
        <f t="shared" si="36"/>
        <v>0.17562160806666668</v>
      </c>
      <c r="J817" s="129">
        <f t="shared" si="37"/>
        <v>9.9773666666666667</v>
      </c>
    </row>
    <row r="818" spans="1:10" hidden="1" x14ac:dyDescent="0.35">
      <c r="A818" s="126" t="s">
        <v>440</v>
      </c>
      <c r="B818" t="str">
        <f>_xlfn.XLOOKUP(A818,'[1]2050Pop'!$A$7:$A$143,'[1]2050Pop'!$D$7:$D$143)</f>
        <v>Euro/AU/NZ</v>
      </c>
      <c r="C818" s="127">
        <f>1000*_xlfn.XLOOKUP(A818,'[1]2050Pop'!$A$7:$A$143,'[1]2050Pop'!$C$7:$C$143)</f>
        <v>5607</v>
      </c>
      <c r="D818" s="126" t="s">
        <v>499</v>
      </c>
      <c r="E818" s="128">
        <v>0.57899999999999996</v>
      </c>
      <c r="F818" s="129">
        <f t="shared" si="38"/>
        <v>3.2464529999999998E-3</v>
      </c>
      <c r="G818" t="str">
        <f>_xlfn.XLOOKUP(D818,'[1]2050 BAU Mapping to T &amp; C'!$A$3:$A$52,'[1]2050 BAU Mapping to T &amp; C'!$B$3:$B$52)</f>
        <v xml:space="preserve">Oil crops </v>
      </c>
      <c r="H818" s="129">
        <f>_xlfn.XLOOKUP(G818,'[1]T&amp;C emissions for 2050 analysis'!$B$3:$B$23,'[1]T&amp;C emissions for 2050 analysis'!$C$3:$C$23)</f>
        <v>0.18333333333333335</v>
      </c>
      <c r="I818" s="27">
        <f t="shared" si="36"/>
        <v>5.9518305000000001E-4</v>
      </c>
      <c r="J818" s="129">
        <f t="shared" si="37"/>
        <v>0.10614999999999999</v>
      </c>
    </row>
    <row r="819" spans="1:10" hidden="1" x14ac:dyDescent="0.35">
      <c r="A819" s="126" t="s">
        <v>441</v>
      </c>
      <c r="B819" t="str">
        <f>_xlfn.XLOOKUP(A819,'[1]2050Pop'!$A$7:$A$143,'[1]2050Pop'!$D$7:$D$143)</f>
        <v>LatAm &amp; RSA</v>
      </c>
      <c r="C819" s="127">
        <f>1000*_xlfn.XLOOKUP(A819,'[1]2050Pop'!$A$7:$A$143,'[1]2050Pop'!$C$7:$C$143)</f>
        <v>7863</v>
      </c>
      <c r="D819" s="126" t="s">
        <v>499</v>
      </c>
      <c r="E819" s="128">
        <v>4.431</v>
      </c>
      <c r="F819" s="129">
        <f t="shared" si="38"/>
        <v>3.4840953000000001E-2</v>
      </c>
      <c r="G819" t="str">
        <f>_xlfn.XLOOKUP(D819,'[1]2050 BAU Mapping to T &amp; C'!$A$3:$A$52,'[1]2050 BAU Mapping to T &amp; C'!$B$3:$B$52)</f>
        <v xml:space="preserve">Oil crops </v>
      </c>
      <c r="H819" s="129">
        <f>_xlfn.XLOOKUP(G819,'[1]T&amp;C emissions for 2050 analysis'!$B$3:$B$23,'[1]T&amp;C emissions for 2050 analysis'!$C$3:$C$23)</f>
        <v>0.18333333333333335</v>
      </c>
      <c r="I819" s="27">
        <f t="shared" si="36"/>
        <v>6.3875080500000007E-3</v>
      </c>
      <c r="J819" s="129">
        <f t="shared" si="37"/>
        <v>0.81235000000000013</v>
      </c>
    </row>
    <row r="820" spans="1:10" hidden="1" x14ac:dyDescent="0.35">
      <c r="A820" s="126" t="s">
        <v>491</v>
      </c>
      <c r="B820" t="str">
        <f>_xlfn.XLOOKUP(A820,'[1]2050Pop'!$A$7:$A$143,'[1]2050Pop'!$D$7:$D$143)</f>
        <v>SSA</v>
      </c>
      <c r="C820" s="127">
        <f>1000*_xlfn.XLOOKUP(A820,'[1]2050Pop'!$A$7:$A$143,'[1]2050Pop'!$C$7:$C$143)</f>
        <v>398508</v>
      </c>
      <c r="D820" s="126" t="s">
        <v>499</v>
      </c>
      <c r="E820" s="128">
        <v>1.754</v>
      </c>
      <c r="F820" s="129">
        <f t="shared" si="38"/>
        <v>0.698983032</v>
      </c>
      <c r="G820" t="str">
        <f>_xlfn.XLOOKUP(D820,'[1]2050 BAU Mapping to T &amp; C'!$A$3:$A$52,'[1]2050 BAU Mapping to T &amp; C'!$B$3:$B$52)</f>
        <v xml:space="preserve">Oil crops </v>
      </c>
      <c r="H820" s="129">
        <f>_xlfn.XLOOKUP(G820,'[1]T&amp;C emissions for 2050 analysis'!$B$3:$B$23,'[1]T&amp;C emissions for 2050 analysis'!$C$3:$C$23)</f>
        <v>0.18333333333333335</v>
      </c>
      <c r="I820" s="27">
        <f t="shared" si="36"/>
        <v>0.1281468892</v>
      </c>
      <c r="J820" s="129">
        <f t="shared" si="37"/>
        <v>0.32156666666666667</v>
      </c>
    </row>
    <row r="821" spans="1:10" hidden="1" x14ac:dyDescent="0.35">
      <c r="A821" s="126" t="s">
        <v>442</v>
      </c>
      <c r="B821" t="str">
        <f>_xlfn.XLOOKUP(A821,'[1]2050Pop'!$A$7:$A$143,'[1]2050Pop'!$D$7:$D$143)</f>
        <v>Euro/AU/NZ</v>
      </c>
      <c r="C821" s="127">
        <f>1000*_xlfn.XLOOKUP(A821,'[1]2050Pop'!$A$7:$A$143,'[1]2050Pop'!$C$7:$C$143)</f>
        <v>6658</v>
      </c>
      <c r="D821" s="126" t="s">
        <v>499</v>
      </c>
      <c r="E821" s="130">
        <v>4.58</v>
      </c>
      <c r="F821" s="129">
        <f t="shared" si="38"/>
        <v>3.0493639999999999E-2</v>
      </c>
      <c r="G821" t="str">
        <f>_xlfn.XLOOKUP(D821,'[1]2050 BAU Mapping to T &amp; C'!$A$3:$A$52,'[1]2050 BAU Mapping to T &amp; C'!$B$3:$B$52)</f>
        <v xml:space="preserve">Oil crops </v>
      </c>
      <c r="H821" s="129">
        <f>_xlfn.XLOOKUP(G821,'[1]T&amp;C emissions for 2050 analysis'!$B$3:$B$23,'[1]T&amp;C emissions for 2050 analysis'!$C$3:$C$23)</f>
        <v>0.18333333333333335</v>
      </c>
      <c r="I821" s="27">
        <f t="shared" si="36"/>
        <v>5.5905006666666672E-3</v>
      </c>
      <c r="J821" s="129">
        <f t="shared" si="37"/>
        <v>0.83966666666666678</v>
      </c>
    </row>
    <row r="822" spans="1:10" hidden="1" x14ac:dyDescent="0.35">
      <c r="A822" s="126" t="s">
        <v>443</v>
      </c>
      <c r="B822" t="str">
        <f>_xlfn.XLOOKUP(A822,'[1]2050Pop'!$A$7:$A$143,'[1]2050Pop'!$D$7:$D$143)</f>
        <v>India/South Asia</v>
      </c>
      <c r="C822" s="127">
        <f>1000*_xlfn.XLOOKUP(A822,'[1]2050Pop'!$A$7:$A$143,'[1]2050Pop'!$C$7:$C$143)</f>
        <v>309640</v>
      </c>
      <c r="D822" s="126" t="s">
        <v>499</v>
      </c>
      <c r="E822" s="128">
        <v>1.3029999999999999</v>
      </c>
      <c r="F822" s="129">
        <f t="shared" si="38"/>
        <v>0.40346092</v>
      </c>
      <c r="G822" t="str">
        <f>_xlfn.XLOOKUP(D822,'[1]2050 BAU Mapping to T &amp; C'!$A$3:$A$52,'[1]2050 BAU Mapping to T &amp; C'!$B$3:$B$52)</f>
        <v xml:space="preserve">Oil crops </v>
      </c>
      <c r="H822" s="129">
        <f>_xlfn.XLOOKUP(G822,'[1]T&amp;C emissions for 2050 analysis'!$B$3:$B$23,'[1]T&amp;C emissions for 2050 analysis'!$C$3:$C$23)</f>
        <v>0.18333333333333335</v>
      </c>
      <c r="I822" s="27">
        <f t="shared" si="36"/>
        <v>7.3967835333333343E-2</v>
      </c>
      <c r="J822" s="129">
        <f t="shared" si="37"/>
        <v>0.23888333333333334</v>
      </c>
    </row>
    <row r="823" spans="1:10" hidden="1" x14ac:dyDescent="0.35">
      <c r="A823" s="126" t="s">
        <v>447</v>
      </c>
      <c r="B823" t="str">
        <f>_xlfn.XLOOKUP(A823,'[1]2050Pop'!$A$7:$A$143,'[1]2050Pop'!$D$7:$D$143)</f>
        <v>APAC</v>
      </c>
      <c r="C823" s="127">
        <f>1000*_xlfn.XLOOKUP(A823,'[1]2050Pop'!$A$7:$A$143,'[1]2050Pop'!$C$7:$C$143)</f>
        <v>148260</v>
      </c>
      <c r="D823" s="126" t="s">
        <v>499</v>
      </c>
      <c r="E823" s="128">
        <v>88.652000000000001</v>
      </c>
      <c r="F823" s="129">
        <f t="shared" si="38"/>
        <v>13.14354552</v>
      </c>
      <c r="G823" t="str">
        <f>_xlfn.XLOOKUP(D823,'[1]2050 BAU Mapping to T &amp; C'!$A$3:$A$52,'[1]2050 BAU Mapping to T &amp; C'!$B$3:$B$52)</f>
        <v xml:space="preserve">Oil crops </v>
      </c>
      <c r="H823" s="129">
        <f>_xlfn.XLOOKUP(G823,'[1]T&amp;C emissions for 2050 analysis'!$B$3:$B$23,'[1]T&amp;C emissions for 2050 analysis'!$C$3:$C$23)</f>
        <v>0.18333333333333335</v>
      </c>
      <c r="I823" s="27">
        <f t="shared" si="36"/>
        <v>2.4096500120000002</v>
      </c>
      <c r="J823" s="129">
        <f t="shared" si="37"/>
        <v>16.252866666666669</v>
      </c>
    </row>
    <row r="824" spans="1:10" hidden="1" x14ac:dyDescent="0.35">
      <c r="A824" s="126" t="s">
        <v>448</v>
      </c>
      <c r="B824" t="str">
        <f>_xlfn.XLOOKUP(A824,'[1]2050Pop'!$A$7:$A$143,'[1]2050Pop'!$D$7:$D$143)</f>
        <v>Euro/AU/NZ</v>
      </c>
      <c r="C824" s="127">
        <f>1000*_xlfn.XLOOKUP(A824,'[1]2050Pop'!$A$7:$A$143,'[1]2050Pop'!$C$7:$C$143)</f>
        <v>33136</v>
      </c>
      <c r="D824" s="126" t="s">
        <v>499</v>
      </c>
      <c r="E824" s="131">
        <v>4.8</v>
      </c>
      <c r="F824" s="129">
        <f t="shared" si="38"/>
        <v>0.15905279999999999</v>
      </c>
      <c r="G824" t="str">
        <f>_xlfn.XLOOKUP(D824,'[1]2050 BAU Mapping to T &amp; C'!$A$3:$A$52,'[1]2050 BAU Mapping to T &amp; C'!$B$3:$B$52)</f>
        <v xml:space="preserve">Oil crops </v>
      </c>
      <c r="H824" s="129">
        <f>_xlfn.XLOOKUP(G824,'[1]T&amp;C emissions for 2050 analysis'!$B$3:$B$23,'[1]T&amp;C emissions for 2050 analysis'!$C$3:$C$23)</f>
        <v>0.18333333333333335</v>
      </c>
      <c r="I824" s="27">
        <f t="shared" si="36"/>
        <v>2.915968E-2</v>
      </c>
      <c r="J824" s="129">
        <f t="shared" si="37"/>
        <v>0.88</v>
      </c>
    </row>
    <row r="825" spans="1:10" hidden="1" x14ac:dyDescent="0.35">
      <c r="A825" s="126" t="s">
        <v>450</v>
      </c>
      <c r="B825" t="str">
        <f>_xlfn.XLOOKUP(A825,'[1]2050Pop'!$A$7:$A$143,'[1]2050Pop'!$D$7:$D$143)</f>
        <v>APAC</v>
      </c>
      <c r="C825" s="127">
        <f>1000*_xlfn.XLOOKUP(A825,'[1]2050Pop'!$A$7:$A$143,'[1]2050Pop'!$C$7:$C$143)</f>
        <v>50593</v>
      </c>
      <c r="D825" s="126" t="s">
        <v>499</v>
      </c>
      <c r="E825" s="128">
        <v>21.794</v>
      </c>
      <c r="F825" s="129">
        <f t="shared" si="38"/>
        <v>1.1026238419999999</v>
      </c>
      <c r="G825" t="str">
        <f>_xlfn.XLOOKUP(D825,'[1]2050 BAU Mapping to T &amp; C'!$A$3:$A$52,'[1]2050 BAU Mapping to T &amp; C'!$B$3:$B$52)</f>
        <v xml:space="preserve">Oil crops </v>
      </c>
      <c r="H825" s="129">
        <f>_xlfn.XLOOKUP(G825,'[1]T&amp;C emissions for 2050 analysis'!$B$3:$B$23,'[1]T&amp;C emissions for 2050 analysis'!$C$3:$C$23)</f>
        <v>0.18333333333333335</v>
      </c>
      <c r="I825" s="27">
        <f t="shared" si="36"/>
        <v>0.20214770436666665</v>
      </c>
      <c r="J825" s="129">
        <f t="shared" si="37"/>
        <v>3.9955666666666669</v>
      </c>
    </row>
    <row r="826" spans="1:10" hidden="1" x14ac:dyDescent="0.35">
      <c r="A826" s="126" t="s">
        <v>456</v>
      </c>
      <c r="B826" t="str">
        <f>_xlfn.XLOOKUP(A826,'[1]2050Pop'!$A$7:$A$143,'[1]2050Pop'!$D$7:$D$143)</f>
        <v>MENA</v>
      </c>
      <c r="C826" s="127">
        <f>1000*_xlfn.XLOOKUP(A826,'[1]2050Pop'!$A$7:$A$143,'[1]2050Pop'!$C$7:$C$143)</f>
        <v>46059</v>
      </c>
      <c r="D826" s="126" t="s">
        <v>499</v>
      </c>
      <c r="E826" s="128">
        <v>0.91700000000000004</v>
      </c>
      <c r="F826" s="129">
        <f t="shared" si="38"/>
        <v>4.2236103000000004E-2</v>
      </c>
      <c r="G826" t="str">
        <f>_xlfn.XLOOKUP(D826,'[1]2050 BAU Mapping to T &amp; C'!$A$3:$A$52,'[1]2050 BAU Mapping to T &amp; C'!$B$3:$B$52)</f>
        <v xml:space="preserve">Oil crops </v>
      </c>
      <c r="H826" s="129">
        <f>_xlfn.XLOOKUP(G826,'[1]T&amp;C emissions for 2050 analysis'!$B$3:$B$23,'[1]T&amp;C emissions for 2050 analysis'!$C$3:$C$23)</f>
        <v>0.18333333333333335</v>
      </c>
      <c r="I826" s="27">
        <f t="shared" si="36"/>
        <v>7.7432855500000012E-3</v>
      </c>
      <c r="J826" s="129">
        <f t="shared" si="37"/>
        <v>0.16811666666666669</v>
      </c>
    </row>
    <row r="827" spans="1:10" hidden="1" x14ac:dyDescent="0.35">
      <c r="A827" s="126" t="s">
        <v>457</v>
      </c>
      <c r="B827" t="str">
        <f>_xlfn.XLOOKUP(A827,'[1]2050Pop'!$A$7:$A$143,'[1]2050Pop'!$D$7:$D$143)</f>
        <v>SSA</v>
      </c>
      <c r="C827" s="127">
        <f>1000*_xlfn.XLOOKUP(A827,'[1]2050Pop'!$A$7:$A$143,'[1]2050Pop'!$C$7:$C$143)</f>
        <v>36223</v>
      </c>
      <c r="D827" s="126" t="s">
        <v>499</v>
      </c>
      <c r="E827" s="128">
        <v>0.78800000000000003</v>
      </c>
      <c r="F827" s="129">
        <f t="shared" si="38"/>
        <v>2.8543724000000003E-2</v>
      </c>
      <c r="G827" t="str">
        <f>_xlfn.XLOOKUP(D827,'[1]2050 BAU Mapping to T &amp; C'!$A$3:$A$52,'[1]2050 BAU Mapping to T &amp; C'!$B$3:$B$52)</f>
        <v xml:space="preserve">Oil crops </v>
      </c>
      <c r="H827" s="129">
        <f>_xlfn.XLOOKUP(G827,'[1]T&amp;C emissions for 2050 analysis'!$B$3:$B$23,'[1]T&amp;C emissions for 2050 analysis'!$C$3:$C$23)</f>
        <v>0.18333333333333335</v>
      </c>
      <c r="I827" s="27">
        <f t="shared" si="36"/>
        <v>5.2330160666666679E-3</v>
      </c>
      <c r="J827" s="129">
        <f t="shared" si="37"/>
        <v>0.14446666666666669</v>
      </c>
    </row>
    <row r="828" spans="1:10" hidden="1" x14ac:dyDescent="0.35">
      <c r="A828" s="126" t="s">
        <v>458</v>
      </c>
      <c r="B828" t="str">
        <f>_xlfn.XLOOKUP(A828,'[1]2050Pop'!$A$7:$A$143,'[1]2050Pop'!$D$7:$D$143)</f>
        <v>Euro/AU/NZ</v>
      </c>
      <c r="C828" s="127">
        <f>1000*_xlfn.XLOOKUP(A828,'[1]2050Pop'!$A$7:$A$143,'[1]2050Pop'!$C$7:$C$143)</f>
        <v>7331</v>
      </c>
      <c r="D828" s="126" t="s">
        <v>499</v>
      </c>
      <c r="E828" s="130">
        <v>2.2200000000000002</v>
      </c>
      <c r="F828" s="129">
        <f t="shared" si="38"/>
        <v>1.6274820000000002E-2</v>
      </c>
      <c r="G828" t="str">
        <f>_xlfn.XLOOKUP(D828,'[1]2050 BAU Mapping to T &amp; C'!$A$3:$A$52,'[1]2050 BAU Mapping to T &amp; C'!$B$3:$B$52)</f>
        <v xml:space="preserve">Oil crops </v>
      </c>
      <c r="H828" s="129">
        <f>_xlfn.XLOOKUP(G828,'[1]T&amp;C emissions for 2050 analysis'!$B$3:$B$23,'[1]T&amp;C emissions for 2050 analysis'!$C$3:$C$23)</f>
        <v>0.18333333333333335</v>
      </c>
      <c r="I828" s="27">
        <f t="shared" si="36"/>
        <v>2.9837170000000007E-3</v>
      </c>
      <c r="J828" s="129">
        <f t="shared" si="37"/>
        <v>0.40700000000000008</v>
      </c>
    </row>
    <row r="829" spans="1:10" hidden="1" x14ac:dyDescent="0.35">
      <c r="A829" s="126" t="s">
        <v>460</v>
      </c>
      <c r="B829" t="str">
        <f>_xlfn.XLOOKUP(A829,'[1]2050Pop'!$A$7:$A$143,'[1]2050Pop'!$D$7:$D$143)</f>
        <v>LatAm &amp; RSA</v>
      </c>
      <c r="C829" s="127">
        <f>1000*_xlfn.XLOOKUP(A829,'[1]2050Pop'!$A$7:$A$143,'[1]2050Pop'!$C$7:$C$143)</f>
        <v>65540</v>
      </c>
      <c r="D829" s="126" t="s">
        <v>499</v>
      </c>
      <c r="E829" s="128">
        <v>0.82299999999999995</v>
      </c>
      <c r="F829" s="129">
        <f t="shared" si="38"/>
        <v>5.3939419999999995E-2</v>
      </c>
      <c r="G829" t="str">
        <f>_xlfn.XLOOKUP(D829,'[1]2050 BAU Mapping to T &amp; C'!$A$3:$A$52,'[1]2050 BAU Mapping to T &amp; C'!$B$3:$B$52)</f>
        <v xml:space="preserve">Oil crops </v>
      </c>
      <c r="H829" s="129">
        <f>_xlfn.XLOOKUP(G829,'[1]T&amp;C emissions for 2050 analysis'!$B$3:$B$23,'[1]T&amp;C emissions for 2050 analysis'!$C$3:$C$23)</f>
        <v>0.18333333333333335</v>
      </c>
      <c r="I829" s="27">
        <f t="shared" si="36"/>
        <v>9.8888936666666673E-3</v>
      </c>
      <c r="J829" s="129">
        <f t="shared" si="37"/>
        <v>0.15088333333333334</v>
      </c>
    </row>
    <row r="830" spans="1:10" hidden="1" x14ac:dyDescent="0.35">
      <c r="A830" s="126" t="s">
        <v>461</v>
      </c>
      <c r="B830" t="str">
        <f>_xlfn.XLOOKUP(A830,'[1]2050Pop'!$A$7:$A$143,'[1]2050Pop'!$D$7:$D$143)</f>
        <v>Euro/AU/NZ</v>
      </c>
      <c r="C830" s="127">
        <f>1000*_xlfn.XLOOKUP(A830,'[1]2050Pop'!$A$7:$A$143,'[1]2050Pop'!$C$7:$C$143)</f>
        <v>44840</v>
      </c>
      <c r="D830" s="126" t="s">
        <v>499</v>
      </c>
      <c r="E830" s="128">
        <v>3.8759999999999999</v>
      </c>
      <c r="F830" s="129">
        <f t="shared" si="38"/>
        <v>0.17379983999999998</v>
      </c>
      <c r="G830" t="str">
        <f>_xlfn.XLOOKUP(D830,'[1]2050 BAU Mapping to T &amp; C'!$A$3:$A$52,'[1]2050 BAU Mapping to T &amp; C'!$B$3:$B$52)</f>
        <v xml:space="preserve">Oil crops </v>
      </c>
      <c r="H830" s="129">
        <f>_xlfn.XLOOKUP(G830,'[1]T&amp;C emissions for 2050 analysis'!$B$3:$B$23,'[1]T&amp;C emissions for 2050 analysis'!$C$3:$C$23)</f>
        <v>0.18333333333333335</v>
      </c>
      <c r="I830" s="27">
        <f t="shared" si="36"/>
        <v>3.1863304000000002E-2</v>
      </c>
      <c r="J830" s="129">
        <f t="shared" si="37"/>
        <v>0.71060000000000001</v>
      </c>
    </row>
    <row r="831" spans="1:10" hidden="1" x14ac:dyDescent="0.35">
      <c r="A831" s="126" t="s">
        <v>493</v>
      </c>
      <c r="B831" t="str">
        <f>_xlfn.XLOOKUP(A831,'[1]2050Pop'!$A$7:$A$143,'[1]2050Pop'!$D$7:$D$143)</f>
        <v>India/South Asia</v>
      </c>
      <c r="C831" s="127">
        <f>1000*_xlfn.XLOOKUP(A831,'[1]2050Pop'!$A$7:$A$143,'[1]2050Pop'!$C$7:$C$143)</f>
        <v>20836</v>
      </c>
      <c r="D831" s="126" t="s">
        <v>499</v>
      </c>
      <c r="E831" s="128">
        <v>61.289000000000001</v>
      </c>
      <c r="F831" s="129">
        <f t="shared" si="38"/>
        <v>1.2770176040000001</v>
      </c>
      <c r="G831" t="str">
        <f>_xlfn.XLOOKUP(D831,'[1]2050 BAU Mapping to T &amp; C'!$A$3:$A$52,'[1]2050 BAU Mapping to T &amp; C'!$B$3:$B$52)</f>
        <v xml:space="preserve">Oil crops </v>
      </c>
      <c r="H831" s="129">
        <f>_xlfn.XLOOKUP(G831,'[1]T&amp;C emissions for 2050 analysis'!$B$3:$B$23,'[1]T&amp;C emissions for 2050 analysis'!$C$3:$C$23)</f>
        <v>0.18333333333333335</v>
      </c>
      <c r="I831" s="27">
        <f t="shared" si="36"/>
        <v>0.23411989406666669</v>
      </c>
      <c r="J831" s="129">
        <f t="shared" si="37"/>
        <v>11.236316666666667</v>
      </c>
    </row>
    <row r="832" spans="1:10" hidden="1" x14ac:dyDescent="0.35">
      <c r="A832" s="126" t="s">
        <v>462</v>
      </c>
      <c r="B832" t="str">
        <f>_xlfn.XLOOKUP(A832,'[1]2050Pop'!$A$7:$A$143,'[1]2050Pop'!$D$7:$D$143)</f>
        <v>LatAm &amp; RSA</v>
      </c>
      <c r="C832" s="127">
        <f>1000*_xlfn.XLOOKUP(A832,'[1]2050Pop'!$A$7:$A$143,'[1]2050Pop'!$C$7:$C$143)</f>
        <v>624</v>
      </c>
      <c r="D832" s="126" t="s">
        <v>499</v>
      </c>
      <c r="E832" s="128">
        <v>26.242000000000001</v>
      </c>
      <c r="F832" s="129">
        <f t="shared" si="38"/>
        <v>1.6375008E-2</v>
      </c>
      <c r="G832" t="str">
        <f>_xlfn.XLOOKUP(D832,'[1]2050 BAU Mapping to T &amp; C'!$A$3:$A$52,'[1]2050 BAU Mapping to T &amp; C'!$B$3:$B$52)</f>
        <v xml:space="preserve">Oil crops </v>
      </c>
      <c r="H832" s="129">
        <f>_xlfn.XLOOKUP(G832,'[1]T&amp;C emissions for 2050 analysis'!$B$3:$B$23,'[1]T&amp;C emissions for 2050 analysis'!$C$3:$C$23)</f>
        <v>0.18333333333333335</v>
      </c>
      <c r="I832" s="27">
        <f t="shared" si="36"/>
        <v>3.0020848000000002E-3</v>
      </c>
      <c r="J832" s="129">
        <f t="shared" si="37"/>
        <v>4.8110333333333335</v>
      </c>
    </row>
    <row r="833" spans="1:10" hidden="1" x14ac:dyDescent="0.35">
      <c r="A833" s="126" t="s">
        <v>463</v>
      </c>
      <c r="B833" t="str">
        <f>_xlfn.XLOOKUP(A833,'[1]2050Pop'!$A$7:$A$143,'[1]2050Pop'!$D$7:$D$143)</f>
        <v>SSA</v>
      </c>
      <c r="C833" s="127">
        <f>1000*_xlfn.XLOOKUP(A833,'[1]2050Pop'!$A$7:$A$143,'[1]2050Pop'!$C$7:$C$143)</f>
        <v>1792</v>
      </c>
      <c r="D833" s="126" t="s">
        <v>499</v>
      </c>
      <c r="E833" s="128">
        <v>13.496</v>
      </c>
      <c r="F833" s="129">
        <f t="shared" si="38"/>
        <v>2.4184832000000003E-2</v>
      </c>
      <c r="G833" t="str">
        <f>_xlfn.XLOOKUP(D833,'[1]2050 BAU Mapping to T &amp; C'!$A$3:$A$52,'[1]2050 BAU Mapping to T &amp; C'!$B$3:$B$52)</f>
        <v xml:space="preserve">Oil crops </v>
      </c>
      <c r="H833" s="129">
        <f>_xlfn.XLOOKUP(G833,'[1]T&amp;C emissions for 2050 analysis'!$B$3:$B$23,'[1]T&amp;C emissions for 2050 analysis'!$C$3:$C$23)</f>
        <v>0.18333333333333335</v>
      </c>
      <c r="I833" s="27">
        <f t="shared" si="36"/>
        <v>4.4338858666666675E-3</v>
      </c>
      <c r="J833" s="129">
        <f t="shared" si="37"/>
        <v>2.4742666666666668</v>
      </c>
    </row>
    <row r="834" spans="1:10" hidden="1" x14ac:dyDescent="0.35">
      <c r="A834" s="126" t="s">
        <v>464</v>
      </c>
      <c r="B834" t="str">
        <f>_xlfn.XLOOKUP(A834,'[1]2050Pop'!$A$7:$A$143,'[1]2050Pop'!$D$7:$D$143)</f>
        <v>Euro/AU/NZ</v>
      </c>
      <c r="C834" s="127">
        <f>1000*_xlfn.XLOOKUP(A834,'[1]2050Pop'!$A$7:$A$143,'[1]2050Pop'!$C$7:$C$143)</f>
        <v>11881</v>
      </c>
      <c r="D834" s="126" t="s">
        <v>499</v>
      </c>
      <c r="E834" s="128">
        <v>6.8410000000000002</v>
      </c>
      <c r="F834" s="129">
        <f t="shared" si="38"/>
        <v>8.1277921000000003E-2</v>
      </c>
      <c r="G834" t="str">
        <f>_xlfn.XLOOKUP(D834,'[1]2050 BAU Mapping to T &amp; C'!$A$3:$A$52,'[1]2050 BAU Mapping to T &amp; C'!$B$3:$B$52)</f>
        <v xml:space="preserve">Oil crops </v>
      </c>
      <c r="H834" s="129">
        <f>_xlfn.XLOOKUP(G834,'[1]T&amp;C emissions for 2050 analysis'!$B$3:$B$23,'[1]T&amp;C emissions for 2050 analysis'!$C$3:$C$23)</f>
        <v>0.18333333333333335</v>
      </c>
      <c r="I834" s="27">
        <f t="shared" si="36"/>
        <v>1.4900952183333335E-2</v>
      </c>
      <c r="J834" s="129">
        <f t="shared" si="37"/>
        <v>1.2541833333333334</v>
      </c>
    </row>
    <row r="835" spans="1:10" hidden="1" x14ac:dyDescent="0.35">
      <c r="A835" s="126" t="s">
        <v>465</v>
      </c>
      <c r="B835" t="str">
        <f>_xlfn.XLOOKUP(A835,'[1]2050Pop'!$A$7:$A$143,'[1]2050Pop'!$D$7:$D$143)</f>
        <v>APAC</v>
      </c>
      <c r="C835" s="127">
        <f>1000*_xlfn.XLOOKUP(A835,'[1]2050Pop'!$A$7:$A$143,'[1]2050Pop'!$C$7:$C$143)</f>
        <v>62452</v>
      </c>
      <c r="D835" s="126" t="s">
        <v>499</v>
      </c>
      <c r="E835" s="128">
        <v>10.356</v>
      </c>
      <c r="F835" s="129">
        <f t="shared" si="38"/>
        <v>0.64675291199999996</v>
      </c>
      <c r="G835" t="str">
        <f>_xlfn.XLOOKUP(D835,'[1]2050 BAU Mapping to T &amp; C'!$A$3:$A$52,'[1]2050 BAU Mapping to T &amp; C'!$B$3:$B$52)</f>
        <v xml:space="preserve">Oil crops </v>
      </c>
      <c r="H835" s="129">
        <f>_xlfn.XLOOKUP(G835,'[1]T&amp;C emissions for 2050 analysis'!$B$3:$B$23,'[1]T&amp;C emissions for 2050 analysis'!$C$3:$C$23)</f>
        <v>0.18333333333333335</v>
      </c>
      <c r="I835" s="27">
        <f t="shared" si="36"/>
        <v>0.1185713672</v>
      </c>
      <c r="J835" s="129">
        <f t="shared" si="37"/>
        <v>1.8986000000000001</v>
      </c>
    </row>
    <row r="836" spans="1:10" hidden="1" x14ac:dyDescent="0.35">
      <c r="A836" s="126" t="s">
        <v>466</v>
      </c>
      <c r="B836" t="str">
        <f>_xlfn.XLOOKUP(A836,'[1]2050Pop'!$A$7:$A$143,'[1]2050Pop'!$D$7:$D$143)</f>
        <v>SSA</v>
      </c>
      <c r="C836" s="127">
        <f>1000*_xlfn.XLOOKUP(A836,'[1]2050Pop'!$A$7:$A$143,'[1]2050Pop'!$C$7:$C$143)</f>
        <v>15681</v>
      </c>
      <c r="D836" s="126" t="s">
        <v>499</v>
      </c>
      <c r="E836" s="130">
        <v>6.31</v>
      </c>
      <c r="F836" s="129">
        <f t="shared" si="38"/>
        <v>9.8947110000000005E-2</v>
      </c>
      <c r="G836" t="str">
        <f>_xlfn.XLOOKUP(D836,'[1]2050 BAU Mapping to T &amp; C'!$A$3:$A$52,'[1]2050 BAU Mapping to T &amp; C'!$B$3:$B$52)</f>
        <v xml:space="preserve">Oil crops </v>
      </c>
      <c r="H836" s="129">
        <f>_xlfn.XLOOKUP(G836,'[1]T&amp;C emissions for 2050 analysis'!$B$3:$B$23,'[1]T&amp;C emissions for 2050 analysis'!$C$3:$C$23)</f>
        <v>0.18333333333333335</v>
      </c>
      <c r="I836" s="27">
        <f t="shared" ref="I836:I899" si="39">F836*H836</f>
        <v>1.8140303500000003E-2</v>
      </c>
      <c r="J836" s="129">
        <f t="shared" ref="J836:J899" si="40">E836*H836</f>
        <v>1.1568333333333334</v>
      </c>
    </row>
    <row r="837" spans="1:10" hidden="1" x14ac:dyDescent="0.35">
      <c r="A837" s="126" t="s">
        <v>467</v>
      </c>
      <c r="B837" t="str">
        <f>_xlfn.XLOOKUP(A837,'[1]2050Pop'!$A$7:$A$143,'[1]2050Pop'!$D$7:$D$143)</f>
        <v>LatAm &amp; RSA</v>
      </c>
      <c r="C837" s="127">
        <f>1000*_xlfn.XLOOKUP(A837,'[1]2050Pop'!$A$7:$A$143,'[1]2050Pop'!$C$7:$C$143)</f>
        <v>1291</v>
      </c>
      <c r="D837" s="126" t="s">
        <v>499</v>
      </c>
      <c r="E837" s="128">
        <v>62.185000000000002</v>
      </c>
      <c r="F837" s="129">
        <f t="shared" ref="F837:F900" si="41">C837*E837/1000000</f>
        <v>8.0280835000000009E-2</v>
      </c>
      <c r="G837" t="str">
        <f>_xlfn.XLOOKUP(D837,'[1]2050 BAU Mapping to T &amp; C'!$A$3:$A$52,'[1]2050 BAU Mapping to T &amp; C'!$B$3:$B$52)</f>
        <v xml:space="preserve">Oil crops </v>
      </c>
      <c r="H837" s="129">
        <f>_xlfn.XLOOKUP(G837,'[1]T&amp;C emissions for 2050 analysis'!$B$3:$B$23,'[1]T&amp;C emissions for 2050 analysis'!$C$3:$C$23)</f>
        <v>0.18333333333333335</v>
      </c>
      <c r="I837" s="27">
        <f t="shared" si="39"/>
        <v>1.4718153083333336E-2</v>
      </c>
      <c r="J837" s="129">
        <f t="shared" si="40"/>
        <v>11.400583333333335</v>
      </c>
    </row>
    <row r="838" spans="1:10" hidden="1" x14ac:dyDescent="0.35">
      <c r="A838" s="126" t="s">
        <v>468</v>
      </c>
      <c r="B838" t="str">
        <f>_xlfn.XLOOKUP(A838,'[1]2050Pop'!$A$7:$A$143,'[1]2050Pop'!$D$7:$D$143)</f>
        <v>MENA</v>
      </c>
      <c r="C838" s="127">
        <f>1000*_xlfn.XLOOKUP(A838,'[1]2050Pop'!$A$7:$A$143,'[1]2050Pop'!$C$7:$C$143)</f>
        <v>13476</v>
      </c>
      <c r="D838" s="126" t="s">
        <v>499</v>
      </c>
      <c r="E838" s="128">
        <v>6.7919999999999998</v>
      </c>
      <c r="F838" s="129">
        <f t="shared" si="41"/>
        <v>9.1528992000000003E-2</v>
      </c>
      <c r="G838" t="str">
        <f>_xlfn.XLOOKUP(D838,'[1]2050 BAU Mapping to T &amp; C'!$A$3:$A$52,'[1]2050 BAU Mapping to T &amp; C'!$B$3:$B$52)</f>
        <v xml:space="preserve">Oil crops </v>
      </c>
      <c r="H838" s="129">
        <f>_xlfn.XLOOKUP(G838,'[1]T&amp;C emissions for 2050 analysis'!$B$3:$B$23,'[1]T&amp;C emissions for 2050 analysis'!$C$3:$C$23)</f>
        <v>0.18333333333333335</v>
      </c>
      <c r="I838" s="27">
        <f t="shared" si="39"/>
        <v>1.6780315200000003E-2</v>
      </c>
      <c r="J838" s="129">
        <f t="shared" si="40"/>
        <v>1.2452000000000001</v>
      </c>
    </row>
    <row r="839" spans="1:10" hidden="1" x14ac:dyDescent="0.35">
      <c r="A839" s="126" t="s">
        <v>469</v>
      </c>
      <c r="B839" t="str">
        <f>_xlfn.XLOOKUP(A839,'[1]2050Pop'!$A$7:$A$143,'[1]2050Pop'!$D$7:$D$143)</f>
        <v>MENA</v>
      </c>
      <c r="C839" s="127">
        <f>1000*_xlfn.XLOOKUP(A839,'[1]2050Pop'!$A$7:$A$143,'[1]2050Pop'!$C$7:$C$143)</f>
        <v>95819</v>
      </c>
      <c r="D839" s="126" t="s">
        <v>499</v>
      </c>
      <c r="E839" s="128">
        <v>0.65400000000000003</v>
      </c>
      <c r="F839" s="129">
        <f t="shared" si="41"/>
        <v>6.2665626000000002E-2</v>
      </c>
      <c r="G839" t="str">
        <f>_xlfn.XLOOKUP(D839,'[1]2050 BAU Mapping to T &amp; C'!$A$3:$A$52,'[1]2050 BAU Mapping to T &amp; C'!$B$3:$B$52)</f>
        <v xml:space="preserve">Oil crops </v>
      </c>
      <c r="H839" s="129">
        <f>_xlfn.XLOOKUP(G839,'[1]T&amp;C emissions for 2050 analysis'!$B$3:$B$23,'[1]T&amp;C emissions for 2050 analysis'!$C$3:$C$23)</f>
        <v>0.18333333333333335</v>
      </c>
      <c r="I839" s="27">
        <f t="shared" si="39"/>
        <v>1.1488698100000002E-2</v>
      </c>
      <c r="J839" s="129">
        <f t="shared" si="40"/>
        <v>0.11990000000000002</v>
      </c>
    </row>
    <row r="840" spans="1:10" hidden="1" x14ac:dyDescent="0.35">
      <c r="A840" s="126" t="s">
        <v>470</v>
      </c>
      <c r="B840" t="str">
        <f>_xlfn.XLOOKUP(A840,'[1]2050Pop'!$A$7:$A$143,'[1]2050Pop'!$D$7:$D$143)</f>
        <v>SSA</v>
      </c>
      <c r="C840" s="127">
        <f>1000*_xlfn.XLOOKUP(A840,'[1]2050Pop'!$A$7:$A$143,'[1]2050Pop'!$C$7:$C$143)</f>
        <v>101873</v>
      </c>
      <c r="D840" s="126" t="s">
        <v>499</v>
      </c>
      <c r="E840" s="128">
        <v>0.90200000000000002</v>
      </c>
      <c r="F840" s="129">
        <f t="shared" si="41"/>
        <v>9.1889446E-2</v>
      </c>
      <c r="G840" t="str">
        <f>_xlfn.XLOOKUP(D840,'[1]2050 BAU Mapping to T &amp; C'!$A$3:$A$52,'[1]2050 BAU Mapping to T &amp; C'!$B$3:$B$52)</f>
        <v xml:space="preserve">Oil crops </v>
      </c>
      <c r="H840" s="129">
        <f>_xlfn.XLOOKUP(G840,'[1]T&amp;C emissions for 2050 analysis'!$B$3:$B$23,'[1]T&amp;C emissions for 2050 analysis'!$C$3:$C$23)</f>
        <v>0.18333333333333335</v>
      </c>
      <c r="I840" s="27">
        <f t="shared" si="39"/>
        <v>1.6846398433333333E-2</v>
      </c>
      <c r="J840" s="129">
        <f t="shared" si="40"/>
        <v>0.16536666666666669</v>
      </c>
    </row>
    <row r="841" spans="1:10" hidden="1" x14ac:dyDescent="0.35">
      <c r="A841" s="126" t="s">
        <v>472</v>
      </c>
      <c r="B841" t="str">
        <f>_xlfn.XLOOKUP(A841,'[1]2050Pop'!$A$7:$A$143,'[1]2050Pop'!$D$7:$D$143)</f>
        <v>Euro/AU/NZ</v>
      </c>
      <c r="C841" s="127">
        <f>1000*_xlfn.XLOOKUP(A841,'[1]2050Pop'!$A$7:$A$143,'[1]2050Pop'!$C$7:$C$143)</f>
        <v>75361</v>
      </c>
      <c r="D841" s="126" t="s">
        <v>499</v>
      </c>
      <c r="E841" s="130">
        <v>1.1100000000000001</v>
      </c>
      <c r="F841" s="129">
        <f t="shared" si="41"/>
        <v>8.3650710000000003E-2</v>
      </c>
      <c r="G841" t="str">
        <f>_xlfn.XLOOKUP(D841,'[1]2050 BAU Mapping to T &amp; C'!$A$3:$A$52,'[1]2050 BAU Mapping to T &amp; C'!$B$3:$B$52)</f>
        <v xml:space="preserve">Oil crops </v>
      </c>
      <c r="H841" s="129">
        <f>_xlfn.XLOOKUP(G841,'[1]T&amp;C emissions for 2050 analysis'!$B$3:$B$23,'[1]T&amp;C emissions for 2050 analysis'!$C$3:$C$23)</f>
        <v>0.18333333333333335</v>
      </c>
      <c r="I841" s="27">
        <f t="shared" si="39"/>
        <v>1.5335963500000003E-2</v>
      </c>
      <c r="J841" s="129">
        <f t="shared" si="40"/>
        <v>0.20350000000000004</v>
      </c>
    </row>
    <row r="842" spans="1:10" hidden="1" x14ac:dyDescent="0.35">
      <c r="A842" s="126" t="s">
        <v>473</v>
      </c>
      <c r="B842" t="str">
        <f>_xlfn.XLOOKUP(A842,'[1]2050Pop'!$A$7:$A$143,'[1]2050Pop'!$D$7:$D$143)</f>
        <v>SSA</v>
      </c>
      <c r="C842" s="127">
        <f>1000*_xlfn.XLOOKUP(A842,'[1]2050Pop'!$A$7:$A$143,'[1]2050Pop'!$C$7:$C$143)</f>
        <v>137136</v>
      </c>
      <c r="D842" s="126" t="s">
        <v>499</v>
      </c>
      <c r="E842" s="128">
        <v>6.3879999999999999</v>
      </c>
      <c r="F842" s="129">
        <f t="shared" si="41"/>
        <v>0.87602476800000006</v>
      </c>
      <c r="G842" t="str">
        <f>_xlfn.XLOOKUP(D842,'[1]2050 BAU Mapping to T &amp; C'!$A$3:$A$52,'[1]2050 BAU Mapping to T &amp; C'!$B$3:$B$52)</f>
        <v xml:space="preserve">Oil crops </v>
      </c>
      <c r="H842" s="129">
        <f>_xlfn.XLOOKUP(G842,'[1]T&amp;C emissions for 2050 analysis'!$B$3:$B$23,'[1]T&amp;C emissions for 2050 analysis'!$C$3:$C$23)</f>
        <v>0.18333333333333335</v>
      </c>
      <c r="I842" s="27">
        <f t="shared" si="39"/>
        <v>0.16060454080000003</v>
      </c>
      <c r="J842" s="129">
        <f t="shared" si="40"/>
        <v>1.1711333333333334</v>
      </c>
    </row>
    <row r="843" spans="1:10" hidden="1" x14ac:dyDescent="0.35">
      <c r="A843" s="126" t="s">
        <v>474</v>
      </c>
      <c r="B843" t="str">
        <f>_xlfn.XLOOKUP(A843,'[1]2050Pop'!$A$7:$A$143,'[1]2050Pop'!$D$7:$D$143)</f>
        <v>NAm</v>
      </c>
      <c r="C843" s="127">
        <f>1000*_xlfn.XLOOKUP(A843,'[1]2050Pop'!$A$7:$A$143,'[1]2050Pop'!$C$7:$C$143)</f>
        <v>388865</v>
      </c>
      <c r="D843" s="126" t="s">
        <v>499</v>
      </c>
      <c r="E843" s="128">
        <v>3.532</v>
      </c>
      <c r="F843" s="129">
        <f t="shared" si="41"/>
        <v>1.3734711799999999</v>
      </c>
      <c r="G843" t="str">
        <f>_xlfn.XLOOKUP(D843,'[1]2050 BAU Mapping to T &amp; C'!$A$3:$A$52,'[1]2050 BAU Mapping to T &amp; C'!$B$3:$B$52)</f>
        <v xml:space="preserve">Oil crops </v>
      </c>
      <c r="H843" s="129">
        <f>_xlfn.XLOOKUP(G843,'[1]T&amp;C emissions for 2050 analysis'!$B$3:$B$23,'[1]T&amp;C emissions for 2050 analysis'!$C$3:$C$23)</f>
        <v>0.18333333333333335</v>
      </c>
      <c r="I843" s="27">
        <f t="shared" si="39"/>
        <v>0.25180304966666667</v>
      </c>
      <c r="J843" s="129">
        <f t="shared" si="40"/>
        <v>0.64753333333333341</v>
      </c>
    </row>
    <row r="844" spans="1:10" hidden="1" x14ac:dyDescent="0.35">
      <c r="A844" s="126" t="s">
        <v>485</v>
      </c>
      <c r="B844" t="str">
        <f>_xlfn.XLOOKUP(A844,'[1]2050Pop'!$A$7:$A$143,'[1]2050Pop'!$D$7:$D$143)</f>
        <v>APAC</v>
      </c>
      <c r="C844" s="127">
        <f>1000*_xlfn.XLOOKUP(A844,'[1]2050Pop'!$A$7:$A$143,'[1]2050Pop'!$C$7:$C$143)</f>
        <v>37126</v>
      </c>
      <c r="D844" s="126" t="s">
        <v>499</v>
      </c>
      <c r="E844" s="128">
        <v>1.615</v>
      </c>
      <c r="F844" s="129">
        <f t="shared" si="41"/>
        <v>5.9958489999999996E-2</v>
      </c>
      <c r="G844" t="str">
        <f>_xlfn.XLOOKUP(D844,'[1]2050 BAU Mapping to T &amp; C'!$A$3:$A$52,'[1]2050 BAU Mapping to T &amp; C'!$B$3:$B$52)</f>
        <v xml:space="preserve">Oil crops </v>
      </c>
      <c r="H844" s="129">
        <f>_xlfn.XLOOKUP(G844,'[1]T&amp;C emissions for 2050 analysis'!$B$3:$B$23,'[1]T&amp;C emissions for 2050 analysis'!$C$3:$C$23)</f>
        <v>0.18333333333333335</v>
      </c>
      <c r="I844" s="27">
        <f t="shared" si="39"/>
        <v>1.0992389833333333E-2</v>
      </c>
      <c r="J844" s="129">
        <f t="shared" si="40"/>
        <v>0.29608333333333337</v>
      </c>
    </row>
    <row r="845" spans="1:10" hidden="1" x14ac:dyDescent="0.35">
      <c r="A845" s="126" t="s">
        <v>476</v>
      </c>
      <c r="B845" t="str">
        <f>_xlfn.XLOOKUP(A845,'[1]2050Pop'!$A$7:$A$143,'[1]2050Pop'!$D$7:$D$143)</f>
        <v>LatAm &amp; RSA</v>
      </c>
      <c r="C845" s="127">
        <f>1000*_xlfn.XLOOKUP(A845,'[1]2050Pop'!$A$7:$A$143,'[1]2050Pop'!$C$7:$C$143)</f>
        <v>41562</v>
      </c>
      <c r="D845" s="126" t="s">
        <v>499</v>
      </c>
      <c r="E845" s="128">
        <v>4.4710000000000001</v>
      </c>
      <c r="F845" s="129">
        <f t="shared" si="41"/>
        <v>0.18582370199999998</v>
      </c>
      <c r="G845" t="str">
        <f>_xlfn.XLOOKUP(D845,'[1]2050 BAU Mapping to T &amp; C'!$A$3:$A$52,'[1]2050 BAU Mapping to T &amp; C'!$B$3:$B$52)</f>
        <v xml:space="preserve">Oil crops </v>
      </c>
      <c r="H845" s="129">
        <f>_xlfn.XLOOKUP(G845,'[1]T&amp;C emissions for 2050 analysis'!$B$3:$B$23,'[1]T&amp;C emissions for 2050 analysis'!$C$3:$C$23)</f>
        <v>0.18333333333333335</v>
      </c>
      <c r="I845" s="27">
        <f t="shared" si="39"/>
        <v>3.4067678699999999E-2</v>
      </c>
      <c r="J845" s="129">
        <f t="shared" si="40"/>
        <v>0.81968333333333343</v>
      </c>
    </row>
    <row r="846" spans="1:10" hidden="1" x14ac:dyDescent="0.35">
      <c r="A846" s="126" t="s">
        <v>477</v>
      </c>
      <c r="B846" t="str">
        <f>_xlfn.XLOOKUP(A846,'[1]2050Pop'!$A$7:$A$143,'[1]2050Pop'!$D$7:$D$143)</f>
        <v>APAC</v>
      </c>
      <c r="C846" s="127">
        <f>1000*_xlfn.XLOOKUP(A846,'[1]2050Pop'!$A$7:$A$143,'[1]2050Pop'!$C$7:$C$143)</f>
        <v>112783</v>
      </c>
      <c r="D846" s="126" t="s">
        <v>499</v>
      </c>
      <c r="E846" s="128">
        <v>24.219000000000001</v>
      </c>
      <c r="F846" s="129">
        <f t="shared" si="41"/>
        <v>2.7314914770000001</v>
      </c>
      <c r="G846" t="str">
        <f>_xlfn.XLOOKUP(D846,'[1]2050 BAU Mapping to T &amp; C'!$A$3:$A$52,'[1]2050 BAU Mapping to T &amp; C'!$B$3:$B$52)</f>
        <v xml:space="preserve">Oil crops </v>
      </c>
      <c r="H846" s="129">
        <f>_xlfn.XLOOKUP(G846,'[1]T&amp;C emissions for 2050 analysis'!$B$3:$B$23,'[1]T&amp;C emissions for 2050 analysis'!$C$3:$C$23)</f>
        <v>0.18333333333333335</v>
      </c>
      <c r="I846" s="27">
        <f t="shared" si="39"/>
        <v>0.50077343745000003</v>
      </c>
      <c r="J846" s="129">
        <f t="shared" si="40"/>
        <v>4.4401500000000009</v>
      </c>
    </row>
    <row r="847" spans="1:10" hidden="1" x14ac:dyDescent="0.35">
      <c r="A847" s="126" t="s">
        <v>478</v>
      </c>
      <c r="B847" t="str">
        <f>_xlfn.XLOOKUP(A847,'[1]2050Pop'!$A$7:$A$143,'[1]2050Pop'!$D$7:$D$143)</f>
        <v>MENA</v>
      </c>
      <c r="C847" s="127">
        <f>1000*_xlfn.XLOOKUP(A847,'[1]2050Pop'!$A$7:$A$143,'[1]2050Pop'!$C$7:$C$143)</f>
        <v>47170</v>
      </c>
      <c r="D847" s="126" t="s">
        <v>499</v>
      </c>
      <c r="E847" s="128">
        <v>1.0569999999999999</v>
      </c>
      <c r="F847" s="129">
        <f t="shared" si="41"/>
        <v>4.9858689999999997E-2</v>
      </c>
      <c r="G847" t="str">
        <f>_xlfn.XLOOKUP(D847,'[1]2050 BAU Mapping to T &amp; C'!$A$3:$A$52,'[1]2050 BAU Mapping to T &amp; C'!$B$3:$B$52)</f>
        <v xml:space="preserve">Oil crops </v>
      </c>
      <c r="H847" s="129">
        <f>_xlfn.XLOOKUP(G847,'[1]T&amp;C emissions for 2050 analysis'!$B$3:$B$23,'[1]T&amp;C emissions for 2050 analysis'!$C$3:$C$23)</f>
        <v>0.18333333333333335</v>
      </c>
      <c r="I847" s="27">
        <f t="shared" si="39"/>
        <v>9.1407598333333329E-3</v>
      </c>
      <c r="J847" s="129">
        <f t="shared" si="40"/>
        <v>0.19378333333333334</v>
      </c>
    </row>
    <row r="848" spans="1:10" hidden="1" x14ac:dyDescent="0.35">
      <c r="A848" s="126" t="s">
        <v>357</v>
      </c>
      <c r="B848" t="str">
        <f>_xlfn.XLOOKUP(A848,'[1]2050Pop'!$A$7:$A$143,'[1]2050Pop'!$D$7:$D$143)</f>
        <v>Euro/AU/NZ</v>
      </c>
      <c r="C848" s="127">
        <f>1000*_xlfn.XLOOKUP(A848,'[1]2050Pop'!$A$7:$A$143,'[1]2050Pop'!$C$7:$C$143)</f>
        <v>2710</v>
      </c>
      <c r="D848" s="126" t="s">
        <v>500</v>
      </c>
      <c r="E848" s="128">
        <v>3.4089999999999998</v>
      </c>
      <c r="F848" s="129">
        <f t="shared" si="41"/>
        <v>9.2383899999999991E-3</v>
      </c>
      <c r="G848" t="str">
        <f>_xlfn.XLOOKUP(D848,'[1]2050 BAU Mapping to T &amp; C'!$A$3:$A$52,'[1]2050 BAU Mapping to T &amp; C'!$B$3:$B$52)</f>
        <v>Tropical Fruits</v>
      </c>
      <c r="H848" s="129">
        <f>_xlfn.XLOOKUP(G848,'[1]T&amp;C emissions for 2050 analysis'!$B$3:$B$23,'[1]T&amp;C emissions for 2050 analysis'!$C$3:$C$23)</f>
        <v>0.51333333333333331</v>
      </c>
      <c r="I848" s="27">
        <f t="shared" si="39"/>
        <v>4.7423735333333326E-3</v>
      </c>
      <c r="J848" s="129">
        <f t="shared" si="40"/>
        <v>1.7499533333333332</v>
      </c>
    </row>
    <row r="849" spans="1:10" hidden="1" x14ac:dyDescent="0.35">
      <c r="A849" s="126" t="s">
        <v>358</v>
      </c>
      <c r="B849" t="str">
        <f>_xlfn.XLOOKUP(A849,'[1]2050Pop'!$A$7:$A$143,'[1]2050Pop'!$D$7:$D$143)</f>
        <v>MENA</v>
      </c>
      <c r="C849" s="127">
        <f>1000*_xlfn.XLOOKUP(A849,'[1]2050Pop'!$A$7:$A$143,'[1]2050Pop'!$C$7:$C$143)</f>
        <v>56461</v>
      </c>
      <c r="D849" s="126" t="s">
        <v>500</v>
      </c>
      <c r="E849" s="128">
        <v>4.5030000000000001</v>
      </c>
      <c r="F849" s="129">
        <f t="shared" si="41"/>
        <v>0.254243883</v>
      </c>
      <c r="G849" t="str">
        <f>_xlfn.XLOOKUP(D849,'[1]2050 BAU Mapping to T &amp; C'!$A$3:$A$52,'[1]2050 BAU Mapping to T &amp; C'!$B$3:$B$52)</f>
        <v>Tropical Fruits</v>
      </c>
      <c r="H849" s="129">
        <f>_xlfn.XLOOKUP(G849,'[1]T&amp;C emissions for 2050 analysis'!$B$3:$B$23,'[1]T&amp;C emissions for 2050 analysis'!$C$3:$C$23)</f>
        <v>0.51333333333333331</v>
      </c>
      <c r="I849" s="27">
        <f t="shared" si="39"/>
        <v>0.13051185994</v>
      </c>
      <c r="J849" s="129">
        <f t="shared" si="40"/>
        <v>2.3115399999999999</v>
      </c>
    </row>
    <row r="850" spans="1:10" hidden="1" x14ac:dyDescent="0.35">
      <c r="A850" s="126" t="s">
        <v>359</v>
      </c>
      <c r="B850" t="str">
        <f>_xlfn.XLOOKUP(A850,'[1]2050Pop'!$A$7:$A$143,'[1]2050Pop'!$D$7:$D$143)</f>
        <v>SSA</v>
      </c>
      <c r="C850" s="127">
        <f>1000*_xlfn.XLOOKUP(A850,'[1]2050Pop'!$A$7:$A$143,'[1]2050Pop'!$C$7:$C$143)</f>
        <v>65473</v>
      </c>
      <c r="D850" s="126" t="s">
        <v>500</v>
      </c>
      <c r="E850" s="128">
        <v>2.149</v>
      </c>
      <c r="F850" s="129">
        <f t="shared" si="41"/>
        <v>0.14070147700000002</v>
      </c>
      <c r="G850" t="str">
        <f>_xlfn.XLOOKUP(D850,'[1]2050 BAU Mapping to T &amp; C'!$A$3:$A$52,'[1]2050 BAU Mapping to T &amp; C'!$B$3:$B$52)</f>
        <v>Tropical Fruits</v>
      </c>
      <c r="H850" s="129">
        <f>_xlfn.XLOOKUP(G850,'[1]T&amp;C emissions for 2050 analysis'!$B$3:$B$23,'[1]T&amp;C emissions for 2050 analysis'!$C$3:$C$23)</f>
        <v>0.51333333333333331</v>
      </c>
      <c r="I850" s="27">
        <f t="shared" si="39"/>
        <v>7.2226758193333337E-2</v>
      </c>
      <c r="J850" s="129">
        <f t="shared" si="40"/>
        <v>1.1031533333333332</v>
      </c>
    </row>
    <row r="851" spans="1:10" hidden="1" x14ac:dyDescent="0.35">
      <c r="A851" s="126" t="s">
        <v>360</v>
      </c>
      <c r="B851" t="str">
        <f>_xlfn.XLOOKUP(A851,'[1]2050Pop'!$A$7:$A$143,'[1]2050Pop'!$D$7:$D$143)</f>
        <v>LatAm &amp; RSA</v>
      </c>
      <c r="C851" s="127">
        <f>1000*_xlfn.XLOOKUP(A851,'[1]2050Pop'!$A$7:$A$143,'[1]2050Pop'!$C$7:$C$143)</f>
        <v>55445</v>
      </c>
      <c r="D851" s="126" t="s">
        <v>500</v>
      </c>
      <c r="E851" s="128">
        <v>1.444</v>
      </c>
      <c r="F851" s="129">
        <f t="shared" si="41"/>
        <v>8.0062580000000008E-2</v>
      </c>
      <c r="G851" t="str">
        <f>_xlfn.XLOOKUP(D851,'[1]2050 BAU Mapping to T &amp; C'!$A$3:$A$52,'[1]2050 BAU Mapping to T &amp; C'!$B$3:$B$52)</f>
        <v>Tropical Fruits</v>
      </c>
      <c r="H851" s="129">
        <f>_xlfn.XLOOKUP(G851,'[1]T&amp;C emissions for 2050 analysis'!$B$3:$B$23,'[1]T&amp;C emissions for 2050 analysis'!$C$3:$C$23)</f>
        <v>0.51333333333333331</v>
      </c>
      <c r="I851" s="27">
        <f t="shared" si="39"/>
        <v>4.1098791066666668E-2</v>
      </c>
      <c r="J851" s="129">
        <f t="shared" si="40"/>
        <v>0.74125333333333332</v>
      </c>
    </row>
    <row r="852" spans="1:10" hidden="1" x14ac:dyDescent="0.35">
      <c r="A852" s="126" t="s">
        <v>361</v>
      </c>
      <c r="B852" t="str">
        <f>_xlfn.XLOOKUP(A852,'[1]2050Pop'!$A$7:$A$143,'[1]2050Pop'!$D$7:$D$143)</f>
        <v>MENA</v>
      </c>
      <c r="C852" s="127">
        <f>1000*_xlfn.XLOOKUP(A852,'[1]2050Pop'!$A$7:$A$143,'[1]2050Pop'!$C$7:$C$143)</f>
        <v>2729</v>
      </c>
      <c r="D852" s="126" t="s">
        <v>500</v>
      </c>
      <c r="E852" s="128">
        <v>6.0220000000000002</v>
      </c>
      <c r="F852" s="129">
        <f t="shared" si="41"/>
        <v>1.6434038000000002E-2</v>
      </c>
      <c r="G852" t="str">
        <f>_xlfn.XLOOKUP(D852,'[1]2050 BAU Mapping to T &amp; C'!$A$3:$A$52,'[1]2050 BAU Mapping to T &amp; C'!$B$3:$B$52)</f>
        <v>Tropical Fruits</v>
      </c>
      <c r="H852" s="129">
        <f>_xlfn.XLOOKUP(G852,'[1]T&amp;C emissions for 2050 analysis'!$B$3:$B$23,'[1]T&amp;C emissions for 2050 analysis'!$C$3:$C$23)</f>
        <v>0.51333333333333331</v>
      </c>
      <c r="I852" s="27">
        <f t="shared" si="39"/>
        <v>8.4361395066666674E-3</v>
      </c>
      <c r="J852" s="129">
        <f t="shared" si="40"/>
        <v>3.0912933333333332</v>
      </c>
    </row>
    <row r="853" spans="1:10" hidden="1" x14ac:dyDescent="0.35">
      <c r="A853" s="126" t="s">
        <v>362</v>
      </c>
      <c r="B853" t="str">
        <f>_xlfn.XLOOKUP(A853,'[1]2050Pop'!$A$7:$A$143,'[1]2050Pop'!$D$7:$D$143)</f>
        <v>Euro/AU/NZ</v>
      </c>
      <c r="C853" s="127">
        <f>1000*_xlfn.XLOOKUP(A853,'[1]2050Pop'!$A$7:$A$143,'[1]2050Pop'!$C$7:$C$143)</f>
        <v>33496</v>
      </c>
      <c r="D853" s="126" t="s">
        <v>500</v>
      </c>
      <c r="E853" s="130">
        <v>5.54</v>
      </c>
      <c r="F853" s="129">
        <f t="shared" si="41"/>
        <v>0.18556783999999998</v>
      </c>
      <c r="G853" t="str">
        <f>_xlfn.XLOOKUP(D853,'[1]2050 BAU Mapping to T &amp; C'!$A$3:$A$52,'[1]2050 BAU Mapping to T &amp; C'!$B$3:$B$52)</f>
        <v>Tropical Fruits</v>
      </c>
      <c r="H853" s="129">
        <f>_xlfn.XLOOKUP(G853,'[1]T&amp;C emissions for 2050 analysis'!$B$3:$B$23,'[1]T&amp;C emissions for 2050 analysis'!$C$3:$C$23)</f>
        <v>0.51333333333333331</v>
      </c>
      <c r="I853" s="27">
        <f t="shared" si="39"/>
        <v>9.5258157866666651E-2</v>
      </c>
      <c r="J853" s="129">
        <f t="shared" si="40"/>
        <v>2.8438666666666665</v>
      </c>
    </row>
    <row r="854" spans="1:10" hidden="1" x14ac:dyDescent="0.35">
      <c r="A854" s="126" t="s">
        <v>363</v>
      </c>
      <c r="B854" t="str">
        <f>_xlfn.XLOOKUP(A854,'[1]2050Pop'!$A$7:$A$143,'[1]2050Pop'!$D$7:$D$143)</f>
        <v>Euro/AU/NZ</v>
      </c>
      <c r="C854" s="127">
        <f>1000*_xlfn.XLOOKUP(A854,'[1]2050Pop'!$A$7:$A$143,'[1]2050Pop'!$C$7:$C$143)</f>
        <v>8846</v>
      </c>
      <c r="D854" s="126" t="s">
        <v>500</v>
      </c>
      <c r="E854" s="128">
        <v>11.978</v>
      </c>
      <c r="F854" s="129">
        <f t="shared" si="41"/>
        <v>0.10595738799999999</v>
      </c>
      <c r="G854" t="str">
        <f>_xlfn.XLOOKUP(D854,'[1]2050 BAU Mapping to T &amp; C'!$A$3:$A$52,'[1]2050 BAU Mapping to T &amp; C'!$B$3:$B$52)</f>
        <v>Tropical Fruits</v>
      </c>
      <c r="H854" s="129">
        <f>_xlfn.XLOOKUP(G854,'[1]T&amp;C emissions for 2050 analysis'!$B$3:$B$23,'[1]T&amp;C emissions for 2050 analysis'!$C$3:$C$23)</f>
        <v>0.51333333333333331</v>
      </c>
      <c r="I854" s="27">
        <f t="shared" si="39"/>
        <v>5.4391459173333323E-2</v>
      </c>
      <c r="J854" s="129">
        <f t="shared" si="40"/>
        <v>6.1487066666666665</v>
      </c>
    </row>
    <row r="855" spans="1:10" hidden="1" x14ac:dyDescent="0.35">
      <c r="A855" s="126" t="s">
        <v>366</v>
      </c>
      <c r="B855" t="str">
        <f>_xlfn.XLOOKUP(A855,'[1]2050Pop'!$A$7:$A$143,'[1]2050Pop'!$D$7:$D$143)</f>
        <v>Euro/AU/NZ</v>
      </c>
      <c r="C855" s="127">
        <f>1000*_xlfn.XLOOKUP(A855,'[1]2050Pop'!$A$7:$A$143,'[1]2050Pop'!$C$7:$C$143)</f>
        <v>8125</v>
      </c>
      <c r="D855" s="126" t="s">
        <v>500</v>
      </c>
      <c r="E855" s="128">
        <v>2.2949999999999999</v>
      </c>
      <c r="F855" s="129">
        <f t="shared" si="41"/>
        <v>1.8646875E-2</v>
      </c>
      <c r="G855" t="str">
        <f>_xlfn.XLOOKUP(D855,'[1]2050 BAU Mapping to T &amp; C'!$A$3:$A$52,'[1]2050 BAU Mapping to T &amp; C'!$B$3:$B$52)</f>
        <v>Tropical Fruits</v>
      </c>
      <c r="H855" s="129">
        <f>_xlfn.XLOOKUP(G855,'[1]T&amp;C emissions for 2050 analysis'!$B$3:$B$23,'[1]T&amp;C emissions for 2050 analysis'!$C$3:$C$23)</f>
        <v>0.51333333333333331</v>
      </c>
      <c r="I855" s="27">
        <f t="shared" si="39"/>
        <v>9.572062499999999E-3</v>
      </c>
      <c r="J855" s="129">
        <f t="shared" si="40"/>
        <v>1.1780999999999999</v>
      </c>
    </row>
    <row r="856" spans="1:10" hidden="1" x14ac:dyDescent="0.35">
      <c r="A856" s="126" t="s">
        <v>367</v>
      </c>
      <c r="B856" t="str">
        <f>_xlfn.XLOOKUP(A856,'[1]2050Pop'!$A$7:$A$143,'[1]2050Pop'!$D$7:$D$143)</f>
        <v>Euro/AU/NZ</v>
      </c>
      <c r="C856" s="127">
        <f>1000*_xlfn.XLOOKUP(A856,'[1]2050Pop'!$A$7:$A$143,'[1]2050Pop'!$C$7:$C$143)</f>
        <v>12527</v>
      </c>
      <c r="D856" s="126" t="s">
        <v>500</v>
      </c>
      <c r="E856" s="128">
        <v>8.468</v>
      </c>
      <c r="F856" s="129">
        <f t="shared" si="41"/>
        <v>0.106078636</v>
      </c>
      <c r="G856" t="str">
        <f>_xlfn.XLOOKUP(D856,'[1]2050 BAU Mapping to T &amp; C'!$A$3:$A$52,'[1]2050 BAU Mapping to T &amp; C'!$B$3:$B$52)</f>
        <v>Tropical Fruits</v>
      </c>
      <c r="H856" s="129">
        <f>_xlfn.XLOOKUP(G856,'[1]T&amp;C emissions for 2050 analysis'!$B$3:$B$23,'[1]T&amp;C emissions for 2050 analysis'!$C$3:$C$23)</f>
        <v>0.51333333333333331</v>
      </c>
      <c r="I856" s="27">
        <f t="shared" si="39"/>
        <v>5.4453699813333332E-2</v>
      </c>
      <c r="J856" s="129">
        <f t="shared" si="40"/>
        <v>4.3469066666666665</v>
      </c>
    </row>
    <row r="857" spans="1:10" hidden="1" x14ac:dyDescent="0.35">
      <c r="A857" s="126" t="s">
        <v>369</v>
      </c>
      <c r="B857" t="str">
        <f>_xlfn.XLOOKUP(A857,'[1]2050Pop'!$A$7:$A$143,'[1]2050Pop'!$D$7:$D$143)</f>
        <v>LatAm &amp; RSA</v>
      </c>
      <c r="C857" s="127">
        <f>1000*_xlfn.XLOOKUP(A857,'[1]2050Pop'!$A$7:$A$143,'[1]2050Pop'!$C$7:$C$143)</f>
        <v>15963</v>
      </c>
      <c r="D857" s="126" t="s">
        <v>500</v>
      </c>
      <c r="E857" s="128">
        <v>3.7010000000000001</v>
      </c>
      <c r="F857" s="129">
        <f t="shared" si="41"/>
        <v>5.9079063000000001E-2</v>
      </c>
      <c r="G857" t="str">
        <f>_xlfn.XLOOKUP(D857,'[1]2050 BAU Mapping to T &amp; C'!$A$3:$A$52,'[1]2050 BAU Mapping to T &amp; C'!$B$3:$B$52)</f>
        <v>Tropical Fruits</v>
      </c>
      <c r="H857" s="129">
        <f>_xlfn.XLOOKUP(G857,'[1]T&amp;C emissions for 2050 analysis'!$B$3:$B$23,'[1]T&amp;C emissions for 2050 analysis'!$C$3:$C$23)</f>
        <v>0.51333333333333331</v>
      </c>
      <c r="I857" s="27">
        <f t="shared" si="39"/>
        <v>3.0327252339999999E-2</v>
      </c>
      <c r="J857" s="129">
        <f t="shared" si="40"/>
        <v>1.8998466666666667</v>
      </c>
    </row>
    <row r="858" spans="1:10" hidden="1" x14ac:dyDescent="0.35">
      <c r="A858" s="126" t="s">
        <v>370</v>
      </c>
      <c r="B858" t="str">
        <f>_xlfn.XLOOKUP(A858,'[1]2050Pop'!$A$7:$A$143,'[1]2050Pop'!$D$7:$D$143)</f>
        <v>Euro/AU/NZ</v>
      </c>
      <c r="C858" s="127">
        <f>1000*_xlfn.XLOOKUP(A858,'[1]2050Pop'!$A$7:$A$143,'[1]2050Pop'!$C$7:$C$143)</f>
        <v>3069</v>
      </c>
      <c r="D858" s="126" t="s">
        <v>500</v>
      </c>
      <c r="E858" s="128">
        <v>10.420999999999999</v>
      </c>
      <c r="F858" s="129">
        <f t="shared" si="41"/>
        <v>3.1982048999999999E-2</v>
      </c>
      <c r="G858" t="str">
        <f>_xlfn.XLOOKUP(D858,'[1]2050 BAU Mapping to T &amp; C'!$A$3:$A$52,'[1]2050 BAU Mapping to T &amp; C'!$B$3:$B$52)</f>
        <v>Tropical Fruits</v>
      </c>
      <c r="H858" s="129">
        <f>_xlfn.XLOOKUP(G858,'[1]T&amp;C emissions for 2050 analysis'!$B$3:$B$23,'[1]T&amp;C emissions for 2050 analysis'!$C$3:$C$23)</f>
        <v>0.51333333333333331</v>
      </c>
      <c r="I858" s="27">
        <f t="shared" si="39"/>
        <v>1.6417451819999998E-2</v>
      </c>
      <c r="J858" s="129">
        <f t="shared" si="40"/>
        <v>5.3494466666666662</v>
      </c>
    </row>
    <row r="859" spans="1:10" hidden="1" x14ac:dyDescent="0.35">
      <c r="A859" s="126" t="s">
        <v>371</v>
      </c>
      <c r="B859" t="str">
        <f>_xlfn.XLOOKUP(A859,'[1]2050Pop'!$A$7:$A$143,'[1]2050Pop'!$D$7:$D$143)</f>
        <v>SSA</v>
      </c>
      <c r="C859" s="127">
        <f>1000*_xlfn.XLOOKUP(A859,'[1]2050Pop'!$A$7:$A$143,'[1]2050Pop'!$C$7:$C$143)</f>
        <v>3389</v>
      </c>
      <c r="D859" s="126" t="s">
        <v>500</v>
      </c>
      <c r="E859" s="128">
        <v>1.1419999999999999</v>
      </c>
      <c r="F859" s="129">
        <f t="shared" si="41"/>
        <v>3.8702379999999998E-3</v>
      </c>
      <c r="G859" t="str">
        <f>_xlfn.XLOOKUP(D859,'[1]2050 BAU Mapping to T &amp; C'!$A$3:$A$52,'[1]2050 BAU Mapping to T &amp; C'!$B$3:$B$52)</f>
        <v>Tropical Fruits</v>
      </c>
      <c r="H859" s="129">
        <f>_xlfn.XLOOKUP(G859,'[1]T&amp;C emissions for 2050 analysis'!$B$3:$B$23,'[1]T&amp;C emissions for 2050 analysis'!$C$3:$C$23)</f>
        <v>0.51333333333333331</v>
      </c>
      <c r="I859" s="27">
        <f t="shared" si="39"/>
        <v>1.9867221733333332E-3</v>
      </c>
      <c r="J859" s="129">
        <f t="shared" si="40"/>
        <v>0.58622666666666656</v>
      </c>
    </row>
    <row r="860" spans="1:10" hidden="1" x14ac:dyDescent="0.35">
      <c r="A860" s="126" t="s">
        <v>372</v>
      </c>
      <c r="B860" t="str">
        <f>_xlfn.XLOOKUP(A860,'[1]2050Pop'!$A$7:$A$143,'[1]2050Pop'!$D$7:$D$143)</f>
        <v>LatAm &amp; RSA</v>
      </c>
      <c r="C860" s="127">
        <f>1000*_xlfn.XLOOKUP(A860,'[1]2050Pop'!$A$7:$A$143,'[1]2050Pop'!$C$7:$C$143)</f>
        <v>238270</v>
      </c>
      <c r="D860" s="126" t="s">
        <v>500</v>
      </c>
      <c r="E860" s="128">
        <v>4.4320000000000004</v>
      </c>
      <c r="F860" s="129">
        <f t="shared" si="41"/>
        <v>1.0560126400000001</v>
      </c>
      <c r="G860" t="str">
        <f>_xlfn.XLOOKUP(D860,'[1]2050 BAU Mapping to T &amp; C'!$A$3:$A$52,'[1]2050 BAU Mapping to T &amp; C'!$B$3:$B$52)</f>
        <v>Tropical Fruits</v>
      </c>
      <c r="H860" s="129">
        <f>_xlfn.XLOOKUP(G860,'[1]T&amp;C emissions for 2050 analysis'!$B$3:$B$23,'[1]T&amp;C emissions for 2050 analysis'!$C$3:$C$23)</f>
        <v>0.51333333333333331</v>
      </c>
      <c r="I860" s="27">
        <f t="shared" si="39"/>
        <v>0.5420864885333333</v>
      </c>
      <c r="J860" s="129">
        <f t="shared" si="40"/>
        <v>2.2750933333333334</v>
      </c>
    </row>
    <row r="861" spans="1:10" hidden="1" x14ac:dyDescent="0.35">
      <c r="A861" s="126" t="s">
        <v>373</v>
      </c>
      <c r="B861" t="str">
        <f>_xlfn.XLOOKUP(A861,'[1]2050Pop'!$A$7:$A$143,'[1]2050Pop'!$D$7:$D$143)</f>
        <v>Euro/AU/NZ</v>
      </c>
      <c r="C861" s="127">
        <f>1000*_xlfn.XLOOKUP(A861,'[1]2050Pop'!$A$7:$A$143,'[1]2050Pop'!$C$7:$C$143)</f>
        <v>5154</v>
      </c>
      <c r="D861" s="126" t="s">
        <v>500</v>
      </c>
      <c r="E861" s="128">
        <v>7.2839999999999998</v>
      </c>
      <c r="F861" s="129">
        <f t="shared" si="41"/>
        <v>3.7541735999999999E-2</v>
      </c>
      <c r="G861" t="str">
        <f>_xlfn.XLOOKUP(D861,'[1]2050 BAU Mapping to T &amp; C'!$A$3:$A$52,'[1]2050 BAU Mapping to T &amp; C'!$B$3:$B$52)</f>
        <v>Tropical Fruits</v>
      </c>
      <c r="H861" s="129">
        <f>_xlfn.XLOOKUP(G861,'[1]T&amp;C emissions for 2050 analysis'!$B$3:$B$23,'[1]T&amp;C emissions for 2050 analysis'!$C$3:$C$23)</f>
        <v>0.51333333333333331</v>
      </c>
      <c r="I861" s="27">
        <f t="shared" si="39"/>
        <v>1.927142448E-2</v>
      </c>
      <c r="J861" s="129">
        <f t="shared" si="40"/>
        <v>3.7391199999999998</v>
      </c>
    </row>
    <row r="862" spans="1:10" hidden="1" x14ac:dyDescent="0.35">
      <c r="A862" s="126" t="s">
        <v>375</v>
      </c>
      <c r="B862" t="str">
        <f>_xlfn.XLOOKUP(A862,'[1]2050Pop'!$A$7:$A$143,'[1]2050Pop'!$D$7:$D$143)</f>
        <v>SSA</v>
      </c>
      <c r="C862" s="127">
        <f>1000*_xlfn.XLOOKUP(A862,'[1]2050Pop'!$A$7:$A$143,'[1]2050Pop'!$C$7:$C$143)</f>
        <v>48362</v>
      </c>
      <c r="D862" s="126" t="s">
        <v>500</v>
      </c>
      <c r="E862" s="128">
        <v>1.3049999999999999</v>
      </c>
      <c r="F862" s="129">
        <f t="shared" si="41"/>
        <v>6.3112409999999994E-2</v>
      </c>
      <c r="G862" t="str">
        <f>_xlfn.XLOOKUP(D862,'[1]2050 BAU Mapping to T &amp; C'!$A$3:$A$52,'[1]2050 BAU Mapping to T &amp; C'!$B$3:$B$52)</f>
        <v>Tropical Fruits</v>
      </c>
      <c r="H862" s="129">
        <f>_xlfn.XLOOKUP(G862,'[1]T&amp;C emissions for 2050 analysis'!$B$3:$B$23,'[1]T&amp;C emissions for 2050 analysis'!$C$3:$C$23)</f>
        <v>0.51333333333333331</v>
      </c>
      <c r="I862" s="27">
        <f t="shared" si="39"/>
        <v>3.2397703799999997E-2</v>
      </c>
      <c r="J862" s="129">
        <f t="shared" si="40"/>
        <v>0.66989999999999994</v>
      </c>
    </row>
    <row r="863" spans="1:10" hidden="1" x14ac:dyDescent="0.35">
      <c r="A863" s="126" t="s">
        <v>376</v>
      </c>
      <c r="B863" t="str">
        <f>_xlfn.XLOOKUP(A863,'[1]2050Pop'!$A$7:$A$143,'[1]2050Pop'!$D$7:$D$143)</f>
        <v>NAm</v>
      </c>
      <c r="C863" s="127">
        <f>1000*_xlfn.XLOOKUP(A863,'[1]2050Pop'!$A$7:$A$143,'[1]2050Pop'!$C$7:$C$143)</f>
        <v>44136</v>
      </c>
      <c r="D863" s="126" t="s">
        <v>500</v>
      </c>
      <c r="E863" s="128">
        <v>9.9359999999999999</v>
      </c>
      <c r="F863" s="129">
        <f t="shared" si="41"/>
        <v>0.43853529599999996</v>
      </c>
      <c r="G863" t="str">
        <f>_xlfn.XLOOKUP(D863,'[1]2050 BAU Mapping to T &amp; C'!$A$3:$A$52,'[1]2050 BAU Mapping to T &amp; C'!$B$3:$B$52)</f>
        <v>Tropical Fruits</v>
      </c>
      <c r="H863" s="129">
        <f>_xlfn.XLOOKUP(G863,'[1]T&amp;C emissions for 2050 analysis'!$B$3:$B$23,'[1]T&amp;C emissions for 2050 analysis'!$C$3:$C$23)</f>
        <v>0.51333333333333331</v>
      </c>
      <c r="I863" s="27">
        <f t="shared" si="39"/>
        <v>0.22511478527999998</v>
      </c>
      <c r="J863" s="129">
        <f t="shared" si="40"/>
        <v>5.1004800000000001</v>
      </c>
    </row>
    <row r="864" spans="1:10" hidden="1" x14ac:dyDescent="0.35">
      <c r="A864" s="126" t="s">
        <v>377</v>
      </c>
      <c r="B864" t="str">
        <f>_xlfn.XLOOKUP(A864,'[1]2050Pop'!$A$7:$A$143,'[1]2050Pop'!$D$7:$D$143)</f>
        <v>SSA</v>
      </c>
      <c r="C864" s="127">
        <f>1000*_xlfn.XLOOKUP(A864,'[1]2050Pop'!$A$7:$A$143,'[1]2050Pop'!$C$7:$C$143)</f>
        <v>8782</v>
      </c>
      <c r="D864" s="126" t="s">
        <v>500</v>
      </c>
      <c r="E864" s="128">
        <v>2.3879999999999999</v>
      </c>
      <c r="F864" s="129">
        <f t="shared" si="41"/>
        <v>2.0971415999999996E-2</v>
      </c>
      <c r="G864" t="str">
        <f>_xlfn.XLOOKUP(D864,'[1]2050 BAU Mapping to T &amp; C'!$A$3:$A$52,'[1]2050 BAU Mapping to T &amp; C'!$B$3:$B$52)</f>
        <v>Tropical Fruits</v>
      </c>
      <c r="H864" s="129">
        <f>_xlfn.XLOOKUP(G864,'[1]T&amp;C emissions for 2050 analysis'!$B$3:$B$23,'[1]T&amp;C emissions for 2050 analysis'!$C$3:$C$23)</f>
        <v>0.51333333333333331</v>
      </c>
      <c r="I864" s="27">
        <f t="shared" si="39"/>
        <v>1.0765326879999997E-2</v>
      </c>
      <c r="J864" s="129">
        <f t="shared" si="40"/>
        <v>1.2258399999999998</v>
      </c>
    </row>
    <row r="865" spans="1:10" hidden="1" x14ac:dyDescent="0.35">
      <c r="A865" s="126" t="s">
        <v>378</v>
      </c>
      <c r="B865" t="str">
        <f>_xlfn.XLOOKUP(A865,'[1]2050Pop'!$A$7:$A$143,'[1]2050Pop'!$D$7:$D$143)</f>
        <v>LatAm &amp; RSA</v>
      </c>
      <c r="C865" s="127">
        <f>1000*_xlfn.XLOOKUP(A865,'[1]2050Pop'!$A$7:$A$143,'[1]2050Pop'!$C$7:$C$143)</f>
        <v>21601</v>
      </c>
      <c r="D865" s="126" t="s">
        <v>500</v>
      </c>
      <c r="E865" s="128">
        <v>1.1220000000000001</v>
      </c>
      <c r="F865" s="129">
        <f t="shared" si="41"/>
        <v>2.4236322000000005E-2</v>
      </c>
      <c r="G865" t="str">
        <f>_xlfn.XLOOKUP(D865,'[1]2050 BAU Mapping to T &amp; C'!$A$3:$A$52,'[1]2050 BAU Mapping to T &amp; C'!$B$3:$B$52)</f>
        <v>Tropical Fruits</v>
      </c>
      <c r="H865" s="129">
        <f>_xlfn.XLOOKUP(G865,'[1]T&amp;C emissions for 2050 analysis'!$B$3:$B$23,'[1]T&amp;C emissions for 2050 analysis'!$C$3:$C$23)</f>
        <v>0.51333333333333331</v>
      </c>
      <c r="I865" s="27">
        <f t="shared" si="39"/>
        <v>1.2441311960000001E-2</v>
      </c>
      <c r="J865" s="129">
        <f t="shared" si="40"/>
        <v>0.57596000000000003</v>
      </c>
    </row>
    <row r="866" spans="1:10" hidden="1" x14ac:dyDescent="0.35">
      <c r="A866" s="126" t="s">
        <v>379</v>
      </c>
      <c r="B866" t="str">
        <f>_xlfn.XLOOKUP(A866,'[1]2050Pop'!$A$7:$A$143,'[1]2050Pop'!$D$7:$D$143)</f>
        <v>Greater China</v>
      </c>
      <c r="C866" s="127">
        <f>1000*_xlfn.XLOOKUP(A866,'[1]2050Pop'!$A$7:$A$143,'[1]2050Pop'!$C$7:$C$143)</f>
        <v>8148</v>
      </c>
      <c r="D866" s="126" t="s">
        <v>500</v>
      </c>
      <c r="E866" s="128">
        <v>5.2480000000000002</v>
      </c>
      <c r="F866" s="129">
        <f t="shared" si="41"/>
        <v>4.2760704000000004E-2</v>
      </c>
      <c r="G866" t="str">
        <f>_xlfn.XLOOKUP(D866,'[1]2050 BAU Mapping to T &amp; C'!$A$3:$A$52,'[1]2050 BAU Mapping to T &amp; C'!$B$3:$B$52)</f>
        <v>Tropical Fruits</v>
      </c>
      <c r="H866" s="129">
        <f>_xlfn.XLOOKUP(G866,'[1]T&amp;C emissions for 2050 analysis'!$B$3:$B$23,'[1]T&amp;C emissions for 2050 analysis'!$C$3:$C$23)</f>
        <v>0.51333333333333331</v>
      </c>
      <c r="I866" s="27">
        <f t="shared" si="39"/>
        <v>2.1950494720000002E-2</v>
      </c>
      <c r="J866" s="129">
        <f t="shared" si="40"/>
        <v>2.6939733333333331</v>
      </c>
    </row>
    <row r="867" spans="1:10" hidden="1" x14ac:dyDescent="0.35">
      <c r="A867" s="126" t="s">
        <v>381</v>
      </c>
      <c r="B867" t="str">
        <f>_xlfn.XLOOKUP(A867,'[1]2050Pop'!$A$7:$A$143,'[1]2050Pop'!$D$7:$D$143)</f>
        <v>Greater China</v>
      </c>
      <c r="C867" s="127">
        <f>1000*_xlfn.XLOOKUP(A867,'[1]2050Pop'!$A$7:$A$143,'[1]2050Pop'!$C$7:$C$143)</f>
        <v>20778</v>
      </c>
      <c r="D867" s="126" t="s">
        <v>500</v>
      </c>
      <c r="E867" s="130">
        <v>1.1499999999999999</v>
      </c>
      <c r="F867" s="129">
        <f t="shared" si="41"/>
        <v>2.3894699999999998E-2</v>
      </c>
      <c r="G867" t="str">
        <f>_xlfn.XLOOKUP(D867,'[1]2050 BAU Mapping to T &amp; C'!$A$3:$A$52,'[1]2050 BAU Mapping to T &amp; C'!$B$3:$B$52)</f>
        <v>Tropical Fruits</v>
      </c>
      <c r="H867" s="129">
        <f>_xlfn.XLOOKUP(G867,'[1]T&amp;C emissions for 2050 analysis'!$B$3:$B$23,'[1]T&amp;C emissions for 2050 analysis'!$C$3:$C$23)</f>
        <v>0.51333333333333331</v>
      </c>
      <c r="I867" s="27">
        <f t="shared" si="39"/>
        <v>1.2265945999999998E-2</v>
      </c>
      <c r="J867" s="129">
        <f t="shared" si="40"/>
        <v>0.59033333333333327</v>
      </c>
    </row>
    <row r="868" spans="1:10" hidden="1" x14ac:dyDescent="0.35">
      <c r="A868" s="126" t="s">
        <v>382</v>
      </c>
      <c r="B868" t="str">
        <f>_xlfn.XLOOKUP(A868,'[1]2050Pop'!$A$7:$A$143,'[1]2050Pop'!$D$7:$D$143)</f>
        <v>LatAm &amp; RSA</v>
      </c>
      <c r="C868" s="127">
        <f>1000*_xlfn.XLOOKUP(A868,'[1]2050Pop'!$A$7:$A$143,'[1]2050Pop'!$C$7:$C$143)</f>
        <v>54927</v>
      </c>
      <c r="D868" s="126" t="s">
        <v>500</v>
      </c>
      <c r="E868" s="128">
        <v>2.2090000000000001</v>
      </c>
      <c r="F868" s="129">
        <f t="shared" si="41"/>
        <v>0.12133374300000001</v>
      </c>
      <c r="G868" t="str">
        <f>_xlfn.XLOOKUP(D868,'[1]2050 BAU Mapping to T &amp; C'!$A$3:$A$52,'[1]2050 BAU Mapping to T &amp; C'!$B$3:$B$52)</f>
        <v>Tropical Fruits</v>
      </c>
      <c r="H868" s="129">
        <f>_xlfn.XLOOKUP(G868,'[1]T&amp;C emissions for 2050 analysis'!$B$3:$B$23,'[1]T&amp;C emissions for 2050 analysis'!$C$3:$C$23)</f>
        <v>0.51333333333333331</v>
      </c>
      <c r="I868" s="27">
        <f t="shared" si="39"/>
        <v>6.2284654740000001E-2</v>
      </c>
      <c r="J868" s="129">
        <f t="shared" si="40"/>
        <v>1.1339533333333334</v>
      </c>
    </row>
    <row r="869" spans="1:10" hidden="1" x14ac:dyDescent="0.35">
      <c r="A869" s="126" t="s">
        <v>383</v>
      </c>
      <c r="B869" t="str">
        <f>_xlfn.XLOOKUP(A869,'[1]2050Pop'!$A$7:$A$143,'[1]2050Pop'!$D$7:$D$143)</f>
        <v>LatAm &amp; RSA</v>
      </c>
      <c r="C869" s="127">
        <f>1000*_xlfn.XLOOKUP(A869,'[1]2050Pop'!$A$7:$A$143,'[1]2050Pop'!$C$7:$C$143)</f>
        <v>5759</v>
      </c>
      <c r="D869" s="126" t="s">
        <v>500</v>
      </c>
      <c r="E869" s="128">
        <v>5.9180000000000001</v>
      </c>
      <c r="F869" s="129">
        <f t="shared" si="41"/>
        <v>3.4081762000000002E-2</v>
      </c>
      <c r="G869" t="str">
        <f>_xlfn.XLOOKUP(D869,'[1]2050 BAU Mapping to T &amp; C'!$A$3:$A$52,'[1]2050 BAU Mapping to T &amp; C'!$B$3:$B$52)</f>
        <v>Tropical Fruits</v>
      </c>
      <c r="H869" s="129">
        <f>_xlfn.XLOOKUP(G869,'[1]T&amp;C emissions for 2050 analysis'!$B$3:$B$23,'[1]T&amp;C emissions for 2050 analysis'!$C$3:$C$23)</f>
        <v>0.51333333333333331</v>
      </c>
      <c r="I869" s="27">
        <f t="shared" si="39"/>
        <v>1.7495304493333332E-2</v>
      </c>
      <c r="J869" s="129">
        <f t="shared" si="40"/>
        <v>3.0379066666666668</v>
      </c>
    </row>
    <row r="870" spans="1:10" hidden="1" x14ac:dyDescent="0.35">
      <c r="A870" s="126" t="s">
        <v>384</v>
      </c>
      <c r="B870" t="str">
        <f>_xlfn.XLOOKUP(A870,'[1]2050Pop'!$A$7:$A$143,'[1]2050Pop'!$D$7:$D$143)</f>
        <v>SSA</v>
      </c>
      <c r="C870" s="127">
        <f>1000*_xlfn.XLOOKUP(A870,'[1]2050Pop'!$A$7:$A$143,'[1]2050Pop'!$C$7:$C$143)</f>
        <v>48797</v>
      </c>
      <c r="D870" s="126" t="s">
        <v>500</v>
      </c>
      <c r="E870" s="128">
        <v>1.8779999999999999</v>
      </c>
      <c r="F870" s="129">
        <f t="shared" si="41"/>
        <v>9.1640765999999985E-2</v>
      </c>
      <c r="G870" t="str">
        <f>_xlfn.XLOOKUP(D870,'[1]2050 BAU Mapping to T &amp; C'!$A$3:$A$52,'[1]2050 BAU Mapping to T &amp; C'!$B$3:$B$52)</f>
        <v>Tropical Fruits</v>
      </c>
      <c r="H870" s="129">
        <f>_xlfn.XLOOKUP(G870,'[1]T&amp;C emissions for 2050 analysis'!$B$3:$B$23,'[1]T&amp;C emissions for 2050 analysis'!$C$3:$C$23)</f>
        <v>0.51333333333333331</v>
      </c>
      <c r="I870" s="27">
        <f t="shared" si="39"/>
        <v>4.7042259879999992E-2</v>
      </c>
      <c r="J870" s="129">
        <f t="shared" si="40"/>
        <v>0.9640399999999999</v>
      </c>
    </row>
    <row r="871" spans="1:10" hidden="1" x14ac:dyDescent="0.35">
      <c r="A871" s="126" t="s">
        <v>385</v>
      </c>
      <c r="B871" t="str">
        <f>_xlfn.XLOOKUP(A871,'[1]2050Pop'!$A$7:$A$143,'[1]2050Pop'!$D$7:$D$143)</f>
        <v>Euro/AU/NZ</v>
      </c>
      <c r="C871" s="127">
        <f>1000*_xlfn.XLOOKUP(A871,'[1]2050Pop'!$A$7:$A$143,'[1]2050Pop'!$C$7:$C$143)</f>
        <v>3554</v>
      </c>
      <c r="D871" s="126" t="s">
        <v>500</v>
      </c>
      <c r="E871" s="128">
        <v>7.9770000000000003</v>
      </c>
      <c r="F871" s="129">
        <f t="shared" si="41"/>
        <v>2.8350258000000003E-2</v>
      </c>
      <c r="G871" t="str">
        <f>_xlfn.XLOOKUP(D871,'[1]2050 BAU Mapping to T &amp; C'!$A$3:$A$52,'[1]2050 BAU Mapping to T &amp; C'!$B$3:$B$52)</f>
        <v>Tropical Fruits</v>
      </c>
      <c r="H871" s="129">
        <f>_xlfn.XLOOKUP(G871,'[1]T&amp;C emissions for 2050 analysis'!$B$3:$B$23,'[1]T&amp;C emissions for 2050 analysis'!$C$3:$C$23)</f>
        <v>0.51333333333333331</v>
      </c>
      <c r="I871" s="27">
        <f t="shared" si="39"/>
        <v>1.4553132440000002E-2</v>
      </c>
      <c r="J871" s="129">
        <f t="shared" si="40"/>
        <v>4.0948599999999997</v>
      </c>
    </row>
    <row r="872" spans="1:10" hidden="1" x14ac:dyDescent="0.35">
      <c r="A872" s="126" t="s">
        <v>386</v>
      </c>
      <c r="B872" t="str">
        <f>_xlfn.XLOOKUP(A872,'[1]2050Pop'!$A$7:$A$143,'[1]2050Pop'!$D$7:$D$143)</f>
        <v>LatAm &amp; RSA</v>
      </c>
      <c r="C872" s="127">
        <f>1000*_xlfn.XLOOKUP(A872,'[1]2050Pop'!$A$7:$A$143,'[1]2050Pop'!$C$7:$C$143)</f>
        <v>10339</v>
      </c>
      <c r="D872" s="126" t="s">
        <v>500</v>
      </c>
      <c r="E872" s="130">
        <v>2.17</v>
      </c>
      <c r="F872" s="129">
        <f t="shared" si="41"/>
        <v>2.2435630000000002E-2</v>
      </c>
      <c r="G872" t="str">
        <f>_xlfn.XLOOKUP(D872,'[1]2050 BAU Mapping to T &amp; C'!$A$3:$A$52,'[1]2050 BAU Mapping to T &amp; C'!$B$3:$B$52)</f>
        <v>Tropical Fruits</v>
      </c>
      <c r="H872" s="129">
        <f>_xlfn.XLOOKUP(G872,'[1]T&amp;C emissions for 2050 analysis'!$B$3:$B$23,'[1]T&amp;C emissions for 2050 analysis'!$C$3:$C$23)</f>
        <v>0.51333333333333331</v>
      </c>
      <c r="I872" s="27">
        <f t="shared" si="39"/>
        <v>1.1516956733333333E-2</v>
      </c>
      <c r="J872" s="129">
        <f t="shared" si="40"/>
        <v>1.1139333333333332</v>
      </c>
    </row>
    <row r="873" spans="1:10" hidden="1" x14ac:dyDescent="0.35">
      <c r="A873" s="126" t="s">
        <v>387</v>
      </c>
      <c r="B873" t="str">
        <f>_xlfn.XLOOKUP(A873,'[1]2050Pop'!$A$7:$A$143,'[1]2050Pop'!$D$7:$D$143)</f>
        <v>Euro/AU/NZ</v>
      </c>
      <c r="C873" s="127">
        <f>1000*_xlfn.XLOOKUP(A873,'[1]2050Pop'!$A$7:$A$143,'[1]2050Pop'!$C$7:$C$143)</f>
        <v>9965</v>
      </c>
      <c r="D873" s="126" t="s">
        <v>500</v>
      </c>
      <c r="E873" s="128">
        <v>4.8630000000000004</v>
      </c>
      <c r="F873" s="129">
        <f t="shared" si="41"/>
        <v>4.8459795000000007E-2</v>
      </c>
      <c r="G873" t="str">
        <f>_xlfn.XLOOKUP(D873,'[1]2050 BAU Mapping to T &amp; C'!$A$3:$A$52,'[1]2050 BAU Mapping to T &amp; C'!$B$3:$B$52)</f>
        <v>Tropical Fruits</v>
      </c>
      <c r="H873" s="129">
        <f>_xlfn.XLOOKUP(G873,'[1]T&amp;C emissions for 2050 analysis'!$B$3:$B$23,'[1]T&amp;C emissions for 2050 analysis'!$C$3:$C$23)</f>
        <v>0.51333333333333331</v>
      </c>
      <c r="I873" s="27">
        <f t="shared" si="39"/>
        <v>2.4876028100000003E-2</v>
      </c>
      <c r="J873" s="129">
        <f t="shared" si="40"/>
        <v>2.49634</v>
      </c>
    </row>
    <row r="874" spans="1:10" hidden="1" x14ac:dyDescent="0.35">
      <c r="A874" s="126" t="s">
        <v>388</v>
      </c>
      <c r="B874" t="str">
        <f>_xlfn.XLOOKUP(A874,'[1]2050Pop'!$A$7:$A$143,'[1]2050Pop'!$D$7:$D$143)</f>
        <v>Euro/AU/NZ</v>
      </c>
      <c r="C874" s="127">
        <f>1000*_xlfn.XLOOKUP(A874,'[1]2050Pop'!$A$7:$A$143,'[1]2050Pop'!$C$7:$C$143)</f>
        <v>6299</v>
      </c>
      <c r="D874" s="126" t="s">
        <v>500</v>
      </c>
      <c r="E874" s="128">
        <v>12.744999999999999</v>
      </c>
      <c r="F874" s="129">
        <f t="shared" si="41"/>
        <v>8.0280754999999995E-2</v>
      </c>
      <c r="G874" t="str">
        <f>_xlfn.XLOOKUP(D874,'[1]2050 BAU Mapping to T &amp; C'!$A$3:$A$52,'[1]2050 BAU Mapping to T &amp; C'!$B$3:$B$52)</f>
        <v>Tropical Fruits</v>
      </c>
      <c r="H874" s="129">
        <f>_xlfn.XLOOKUP(G874,'[1]T&amp;C emissions for 2050 analysis'!$B$3:$B$23,'[1]T&amp;C emissions for 2050 analysis'!$C$3:$C$23)</f>
        <v>0.51333333333333331</v>
      </c>
      <c r="I874" s="27">
        <f t="shared" si="39"/>
        <v>4.1210787566666664E-2</v>
      </c>
      <c r="J874" s="129">
        <f t="shared" si="40"/>
        <v>6.5424333333333324</v>
      </c>
    </row>
    <row r="875" spans="1:10" hidden="1" x14ac:dyDescent="0.35">
      <c r="A875" s="126" t="s">
        <v>389</v>
      </c>
      <c r="B875" t="str">
        <f>_xlfn.XLOOKUP(A875,'[1]2050Pop'!$A$7:$A$143,'[1]2050Pop'!$D$7:$D$143)</f>
        <v>LatAm &amp; RSA</v>
      </c>
      <c r="C875" s="127">
        <f>1000*_xlfn.XLOOKUP(A875,'[1]2050Pop'!$A$7:$A$143,'[1]2050Pop'!$C$7:$C$143)</f>
        <v>13238</v>
      </c>
      <c r="D875" s="126" t="s">
        <v>500</v>
      </c>
      <c r="E875" s="128">
        <v>2.593</v>
      </c>
      <c r="F875" s="129">
        <f t="shared" si="41"/>
        <v>3.4326134000000001E-2</v>
      </c>
      <c r="G875" t="str">
        <f>_xlfn.XLOOKUP(D875,'[1]2050 BAU Mapping to T &amp; C'!$A$3:$A$52,'[1]2050 BAU Mapping to T &amp; C'!$B$3:$B$52)</f>
        <v>Tropical Fruits</v>
      </c>
      <c r="H875" s="129">
        <f>_xlfn.XLOOKUP(G875,'[1]T&amp;C emissions for 2050 analysis'!$B$3:$B$23,'[1]T&amp;C emissions for 2050 analysis'!$C$3:$C$23)</f>
        <v>0.51333333333333331</v>
      </c>
      <c r="I875" s="27">
        <f t="shared" si="39"/>
        <v>1.7620748786666668E-2</v>
      </c>
      <c r="J875" s="129">
        <f t="shared" si="40"/>
        <v>1.3310733333333333</v>
      </c>
    </row>
    <row r="876" spans="1:10" hidden="1" x14ac:dyDescent="0.35">
      <c r="A876" s="126" t="s">
        <v>391</v>
      </c>
      <c r="B876" t="str">
        <f>_xlfn.XLOOKUP(A876,'[1]2050Pop'!$A$7:$A$143,'[1]2050Pop'!$D$7:$D$143)</f>
        <v>MENA</v>
      </c>
      <c r="C876" s="127">
        <f>1000*_xlfn.XLOOKUP(A876,'[1]2050Pop'!$A$7:$A$143,'[1]2050Pop'!$C$7:$C$143)</f>
        <v>151111</v>
      </c>
      <c r="D876" s="126" t="s">
        <v>500</v>
      </c>
      <c r="E876" s="128">
        <v>1.262</v>
      </c>
      <c r="F876" s="129">
        <f t="shared" si="41"/>
        <v>0.19070208199999999</v>
      </c>
      <c r="G876" t="str">
        <f>_xlfn.XLOOKUP(D876,'[1]2050 BAU Mapping to T &amp; C'!$A$3:$A$52,'[1]2050 BAU Mapping to T &amp; C'!$B$3:$B$52)</f>
        <v>Tropical Fruits</v>
      </c>
      <c r="H876" s="129">
        <f>_xlfn.XLOOKUP(G876,'[1]T&amp;C emissions for 2050 analysis'!$B$3:$B$23,'[1]T&amp;C emissions for 2050 analysis'!$C$3:$C$23)</f>
        <v>0.51333333333333331</v>
      </c>
      <c r="I876" s="27">
        <f t="shared" si="39"/>
        <v>9.7893735426666656E-2</v>
      </c>
      <c r="J876" s="129">
        <f t="shared" si="40"/>
        <v>0.64782666666666666</v>
      </c>
    </row>
    <row r="877" spans="1:10" hidden="1" x14ac:dyDescent="0.35">
      <c r="A877" s="126" t="s">
        <v>392</v>
      </c>
      <c r="B877" t="str">
        <f>_xlfn.XLOOKUP(A877,'[1]2050Pop'!$A$7:$A$143,'[1]2050Pop'!$D$7:$D$143)</f>
        <v>LatAm &amp; RSA</v>
      </c>
      <c r="C877" s="127">
        <f>1000*_xlfn.XLOOKUP(A877,'[1]2050Pop'!$A$7:$A$143,'[1]2050Pop'!$C$7:$C$143)</f>
        <v>6390</v>
      </c>
      <c r="D877" s="126" t="s">
        <v>500</v>
      </c>
      <c r="E877" s="128">
        <v>4.0919999999999996</v>
      </c>
      <c r="F877" s="129">
        <f t="shared" si="41"/>
        <v>2.6147879999999998E-2</v>
      </c>
      <c r="G877" t="str">
        <f>_xlfn.XLOOKUP(D877,'[1]2050 BAU Mapping to T &amp; C'!$A$3:$A$52,'[1]2050 BAU Mapping to T &amp; C'!$B$3:$B$52)</f>
        <v>Tropical Fruits</v>
      </c>
      <c r="H877" s="129">
        <f>_xlfn.XLOOKUP(G877,'[1]T&amp;C emissions for 2050 analysis'!$B$3:$B$23,'[1]T&amp;C emissions for 2050 analysis'!$C$3:$C$23)</f>
        <v>0.51333333333333331</v>
      </c>
      <c r="I877" s="27">
        <f t="shared" si="39"/>
        <v>1.3422578399999998E-2</v>
      </c>
      <c r="J877" s="129">
        <f t="shared" si="40"/>
        <v>2.1005599999999998</v>
      </c>
    </row>
    <row r="878" spans="1:10" hidden="1" x14ac:dyDescent="0.35">
      <c r="A878" s="126" t="s">
        <v>393</v>
      </c>
      <c r="B878" t="str">
        <f>_xlfn.XLOOKUP(A878,'[1]2050Pop'!$A$7:$A$143,'[1]2050Pop'!$D$7:$D$143)</f>
        <v>Euro/AU/NZ</v>
      </c>
      <c r="C878" s="127">
        <f>1000*_xlfn.XLOOKUP(A878,'[1]2050Pop'!$A$7:$A$143,'[1]2050Pop'!$C$7:$C$143)</f>
        <v>1129</v>
      </c>
      <c r="D878" s="126" t="s">
        <v>500</v>
      </c>
      <c r="E878" s="128">
        <v>8.9339999999999993</v>
      </c>
      <c r="F878" s="129">
        <f t="shared" si="41"/>
        <v>1.0086485999999999E-2</v>
      </c>
      <c r="G878" t="str">
        <f>_xlfn.XLOOKUP(D878,'[1]2050 BAU Mapping to T &amp; C'!$A$3:$A$52,'[1]2050 BAU Mapping to T &amp; C'!$B$3:$B$52)</f>
        <v>Tropical Fruits</v>
      </c>
      <c r="H878" s="129">
        <f>_xlfn.XLOOKUP(G878,'[1]T&amp;C emissions for 2050 analysis'!$B$3:$B$23,'[1]T&amp;C emissions for 2050 analysis'!$C$3:$C$23)</f>
        <v>0.51333333333333331</v>
      </c>
      <c r="I878" s="27">
        <f t="shared" si="39"/>
        <v>5.1777294799999988E-3</v>
      </c>
      <c r="J878" s="129">
        <f t="shared" si="40"/>
        <v>4.5861199999999993</v>
      </c>
    </row>
    <row r="879" spans="1:10" hidden="1" x14ac:dyDescent="0.35">
      <c r="A879" s="126" t="s">
        <v>394</v>
      </c>
      <c r="B879" t="str">
        <f>_xlfn.XLOOKUP(A879,'[1]2050Pop'!$A$7:$A$143,'[1]2050Pop'!$D$7:$D$143)</f>
        <v>SSA</v>
      </c>
      <c r="C879" s="127">
        <f>1000*_xlfn.XLOOKUP(A879,'[1]2050Pop'!$A$7:$A$143,'[1]2050Pop'!$C$7:$C$143)</f>
        <v>188455</v>
      </c>
      <c r="D879" s="126" t="s">
        <v>500</v>
      </c>
      <c r="E879" s="128">
        <v>1.252</v>
      </c>
      <c r="F879" s="129">
        <f t="shared" si="41"/>
        <v>0.23594566</v>
      </c>
      <c r="G879" t="str">
        <f>_xlfn.XLOOKUP(D879,'[1]2050 BAU Mapping to T &amp; C'!$A$3:$A$52,'[1]2050 BAU Mapping to T &amp; C'!$B$3:$B$52)</f>
        <v>Tropical Fruits</v>
      </c>
      <c r="H879" s="129">
        <f>_xlfn.XLOOKUP(G879,'[1]T&amp;C emissions for 2050 analysis'!$B$3:$B$23,'[1]T&amp;C emissions for 2050 analysis'!$C$3:$C$23)</f>
        <v>0.51333333333333331</v>
      </c>
      <c r="I879" s="27">
        <f t="shared" si="39"/>
        <v>0.12111877213333333</v>
      </c>
      <c r="J879" s="129">
        <f t="shared" si="40"/>
        <v>0.64269333333333334</v>
      </c>
    </row>
    <row r="880" spans="1:10" hidden="1" x14ac:dyDescent="0.35">
      <c r="A880" s="126" t="s">
        <v>395</v>
      </c>
      <c r="B880" t="str">
        <f>_xlfn.XLOOKUP(A880,'[1]2050Pop'!$A$7:$A$143,'[1]2050Pop'!$D$7:$D$143)</f>
        <v>Euro/AU/NZ</v>
      </c>
      <c r="C880" s="127">
        <f>1000*_xlfn.XLOOKUP(A880,'[1]2050Pop'!$A$7:$A$143,'[1]2050Pop'!$C$7:$C$143)</f>
        <v>5752</v>
      </c>
      <c r="D880" s="126" t="s">
        <v>500</v>
      </c>
      <c r="E880" s="128">
        <v>15.872</v>
      </c>
      <c r="F880" s="129">
        <f t="shared" si="41"/>
        <v>9.1295744000000012E-2</v>
      </c>
      <c r="G880" t="str">
        <f>_xlfn.XLOOKUP(D880,'[1]2050 BAU Mapping to T &amp; C'!$A$3:$A$52,'[1]2050 BAU Mapping to T &amp; C'!$B$3:$B$52)</f>
        <v>Tropical Fruits</v>
      </c>
      <c r="H880" s="129">
        <f>_xlfn.XLOOKUP(G880,'[1]T&amp;C emissions for 2050 analysis'!$B$3:$B$23,'[1]T&amp;C emissions for 2050 analysis'!$C$3:$C$23)</f>
        <v>0.51333333333333331</v>
      </c>
      <c r="I880" s="27">
        <f t="shared" si="39"/>
        <v>4.6865148586666669E-2</v>
      </c>
      <c r="J880" s="129">
        <f t="shared" si="40"/>
        <v>8.1476266666666657</v>
      </c>
    </row>
    <row r="881" spans="1:10" hidden="1" x14ac:dyDescent="0.35">
      <c r="A881" s="126" t="s">
        <v>396</v>
      </c>
      <c r="B881" t="str">
        <f>_xlfn.XLOOKUP(A881,'[1]2050Pop'!$A$7:$A$143,'[1]2050Pop'!$D$7:$D$143)</f>
        <v>Euro/AU/NZ</v>
      </c>
      <c r="C881" s="127">
        <f>1000*_xlfn.XLOOKUP(A881,'[1]2050Pop'!$A$7:$A$143,'[1]2050Pop'!$C$7:$C$143)</f>
        <v>71137</v>
      </c>
      <c r="D881" s="126" t="s">
        <v>500</v>
      </c>
      <c r="E881" s="128">
        <v>7.5090000000000003</v>
      </c>
      <c r="F881" s="129">
        <f t="shared" si="41"/>
        <v>0.53416773299999998</v>
      </c>
      <c r="G881" t="str">
        <f>_xlfn.XLOOKUP(D881,'[1]2050 BAU Mapping to T &amp; C'!$A$3:$A$52,'[1]2050 BAU Mapping to T &amp; C'!$B$3:$B$52)</f>
        <v>Tropical Fruits</v>
      </c>
      <c r="H881" s="129">
        <f>_xlfn.XLOOKUP(G881,'[1]T&amp;C emissions for 2050 analysis'!$B$3:$B$23,'[1]T&amp;C emissions for 2050 analysis'!$C$3:$C$23)</f>
        <v>0.51333333333333331</v>
      </c>
      <c r="I881" s="27">
        <f t="shared" si="39"/>
        <v>0.27420610293999997</v>
      </c>
      <c r="J881" s="129">
        <f t="shared" si="40"/>
        <v>3.8546200000000002</v>
      </c>
    </row>
    <row r="882" spans="1:10" hidden="1" x14ac:dyDescent="0.35">
      <c r="A882" s="126" t="s">
        <v>397</v>
      </c>
      <c r="B882" t="str">
        <f>_xlfn.XLOOKUP(A882,'[1]2050Pop'!$A$7:$A$143,'[1]2050Pop'!$D$7:$D$143)</f>
        <v>SSA</v>
      </c>
      <c r="C882" s="127">
        <f>1000*_xlfn.XLOOKUP(A882,'[1]2050Pop'!$A$7:$A$143,'[1]2050Pop'!$C$7:$C$143)</f>
        <v>3164</v>
      </c>
      <c r="D882" s="126" t="s">
        <v>500</v>
      </c>
      <c r="E882" s="128">
        <v>1.107</v>
      </c>
      <c r="F882" s="129">
        <f t="shared" si="41"/>
        <v>3.5025479999999999E-3</v>
      </c>
      <c r="G882" t="str">
        <f>_xlfn.XLOOKUP(D882,'[1]2050 BAU Mapping to T &amp; C'!$A$3:$A$52,'[1]2050 BAU Mapping to T &amp; C'!$B$3:$B$52)</f>
        <v>Tropical Fruits</v>
      </c>
      <c r="H882" s="129">
        <f>_xlfn.XLOOKUP(G882,'[1]T&amp;C emissions for 2050 analysis'!$B$3:$B$23,'[1]T&amp;C emissions for 2050 analysis'!$C$3:$C$23)</f>
        <v>0.51333333333333331</v>
      </c>
      <c r="I882" s="27">
        <f t="shared" si="39"/>
        <v>1.7979746399999998E-3</v>
      </c>
      <c r="J882" s="129">
        <f t="shared" si="40"/>
        <v>0.56825999999999999</v>
      </c>
    </row>
    <row r="883" spans="1:10" hidden="1" x14ac:dyDescent="0.35">
      <c r="A883" s="126" t="s">
        <v>398</v>
      </c>
      <c r="B883" t="str">
        <f>_xlfn.XLOOKUP(A883,'[1]2050Pop'!$A$7:$A$143,'[1]2050Pop'!$D$7:$D$143)</f>
        <v>MENA</v>
      </c>
      <c r="C883" s="127">
        <f>1000*_xlfn.XLOOKUP(A883,'[1]2050Pop'!$A$7:$A$143,'[1]2050Pop'!$C$7:$C$143)</f>
        <v>3483</v>
      </c>
      <c r="D883" s="126" t="s">
        <v>500</v>
      </c>
      <c r="E883" s="130">
        <v>4.96</v>
      </c>
      <c r="F883" s="129">
        <f t="shared" si="41"/>
        <v>1.7275680000000002E-2</v>
      </c>
      <c r="G883" t="str">
        <f>_xlfn.XLOOKUP(D883,'[1]2050 BAU Mapping to T &amp; C'!$A$3:$A$52,'[1]2050 BAU Mapping to T &amp; C'!$B$3:$B$52)</f>
        <v>Tropical Fruits</v>
      </c>
      <c r="H883" s="129">
        <f>_xlfn.XLOOKUP(G883,'[1]T&amp;C emissions for 2050 analysis'!$B$3:$B$23,'[1]T&amp;C emissions for 2050 analysis'!$C$3:$C$23)</f>
        <v>0.51333333333333331</v>
      </c>
      <c r="I883" s="27">
        <f t="shared" si="39"/>
        <v>8.8681824000000006E-3</v>
      </c>
      <c r="J883" s="129">
        <f t="shared" si="40"/>
        <v>2.5461333333333331</v>
      </c>
    </row>
    <row r="884" spans="1:10" hidden="1" x14ac:dyDescent="0.35">
      <c r="A884" s="126" t="s">
        <v>399</v>
      </c>
      <c r="B884" t="str">
        <f>_xlfn.XLOOKUP(A884,'[1]2050Pop'!$A$7:$A$143,'[1]2050Pop'!$D$7:$D$143)</f>
        <v>Euro/AU/NZ</v>
      </c>
      <c r="C884" s="127">
        <f>1000*_xlfn.XLOOKUP(A884,'[1]2050Pop'!$A$7:$A$143,'[1]2050Pop'!$C$7:$C$143)</f>
        <v>74513</v>
      </c>
      <c r="D884" s="126" t="s">
        <v>500</v>
      </c>
      <c r="E884" s="128">
        <v>8.4770000000000003</v>
      </c>
      <c r="F884" s="129">
        <f t="shared" si="41"/>
        <v>0.63164670099999998</v>
      </c>
      <c r="G884" t="str">
        <f>_xlfn.XLOOKUP(D884,'[1]2050 BAU Mapping to T &amp; C'!$A$3:$A$52,'[1]2050 BAU Mapping to T &amp; C'!$B$3:$B$52)</f>
        <v>Tropical Fruits</v>
      </c>
      <c r="H884" s="129">
        <f>_xlfn.XLOOKUP(G884,'[1]T&amp;C emissions for 2050 analysis'!$B$3:$B$23,'[1]T&amp;C emissions for 2050 analysis'!$C$3:$C$23)</f>
        <v>0.51333333333333331</v>
      </c>
      <c r="I884" s="27">
        <f t="shared" si="39"/>
        <v>0.32424530651333333</v>
      </c>
      <c r="J884" s="129">
        <f t="shared" si="40"/>
        <v>4.3515266666666665</v>
      </c>
    </row>
    <row r="885" spans="1:10" hidden="1" x14ac:dyDescent="0.35">
      <c r="A885" s="126" t="s">
        <v>401</v>
      </c>
      <c r="B885" t="str">
        <f>_xlfn.XLOOKUP(A885,'[1]2050Pop'!$A$7:$A$143,'[1]2050Pop'!$D$7:$D$143)</f>
        <v>Euro/AU/NZ</v>
      </c>
      <c r="C885" s="127">
        <f>1000*_xlfn.XLOOKUP(A885,'[1]2050Pop'!$A$7:$A$143,'[1]2050Pop'!$C$7:$C$143)</f>
        <v>9705</v>
      </c>
      <c r="D885" s="126" t="s">
        <v>500</v>
      </c>
      <c r="E885" s="128">
        <v>8.1989999999999998</v>
      </c>
      <c r="F885" s="129">
        <f t="shared" si="41"/>
        <v>7.9571295E-2</v>
      </c>
      <c r="G885" t="str">
        <f>_xlfn.XLOOKUP(D885,'[1]2050 BAU Mapping to T &amp; C'!$A$3:$A$52,'[1]2050 BAU Mapping to T &amp; C'!$B$3:$B$52)</f>
        <v>Tropical Fruits</v>
      </c>
      <c r="H885" s="129">
        <f>_xlfn.XLOOKUP(G885,'[1]T&amp;C emissions for 2050 analysis'!$B$3:$B$23,'[1]T&amp;C emissions for 2050 analysis'!$C$3:$C$23)</f>
        <v>0.51333333333333331</v>
      </c>
      <c r="I885" s="27">
        <f t="shared" si="39"/>
        <v>4.0846598099999999E-2</v>
      </c>
      <c r="J885" s="129">
        <f t="shared" si="40"/>
        <v>4.2088199999999993</v>
      </c>
    </row>
    <row r="886" spans="1:10" hidden="1" x14ac:dyDescent="0.35">
      <c r="A886" s="126" t="s">
        <v>402</v>
      </c>
      <c r="B886" t="str">
        <f>_xlfn.XLOOKUP(A886,'[1]2050Pop'!$A$7:$A$143,'[1]2050Pop'!$D$7:$D$143)</f>
        <v>LatAm &amp; RSA</v>
      </c>
      <c r="C886" s="127">
        <f>1000*_xlfn.XLOOKUP(A886,'[1]2050Pop'!$A$7:$A$143,'[1]2050Pop'!$C$7:$C$143)</f>
        <v>27754</v>
      </c>
      <c r="D886" s="126" t="s">
        <v>500</v>
      </c>
      <c r="E886" s="128">
        <v>3.7080000000000002</v>
      </c>
      <c r="F886" s="129">
        <f t="shared" si="41"/>
        <v>0.10291183200000001</v>
      </c>
      <c r="G886" t="str">
        <f>_xlfn.XLOOKUP(D886,'[1]2050 BAU Mapping to T &amp; C'!$A$3:$A$52,'[1]2050 BAU Mapping to T &amp; C'!$B$3:$B$52)</f>
        <v>Tropical Fruits</v>
      </c>
      <c r="H886" s="129">
        <f>_xlfn.XLOOKUP(G886,'[1]T&amp;C emissions for 2050 analysis'!$B$3:$B$23,'[1]T&amp;C emissions for 2050 analysis'!$C$3:$C$23)</f>
        <v>0.51333333333333331</v>
      </c>
      <c r="I886" s="27">
        <f t="shared" si="39"/>
        <v>5.2828073760000004E-2</v>
      </c>
      <c r="J886" s="129">
        <f t="shared" si="40"/>
        <v>1.90344</v>
      </c>
    </row>
    <row r="887" spans="1:10" hidden="1" x14ac:dyDescent="0.35">
      <c r="A887" s="126" t="s">
        <v>403</v>
      </c>
      <c r="B887" t="str">
        <f>_xlfn.XLOOKUP(A887,'[1]2050Pop'!$A$7:$A$143,'[1]2050Pop'!$D$7:$D$143)</f>
        <v>SSA</v>
      </c>
      <c r="C887" s="127">
        <f>1000*_xlfn.XLOOKUP(A887,'[1]2050Pop'!$A$7:$A$143,'[1]2050Pop'!$C$7:$C$143)</f>
        <v>27486</v>
      </c>
      <c r="D887" s="126" t="s">
        <v>500</v>
      </c>
      <c r="E887" s="128">
        <v>1.621</v>
      </c>
      <c r="F887" s="129">
        <f t="shared" si="41"/>
        <v>4.4554805999999995E-2</v>
      </c>
      <c r="G887" t="str">
        <f>_xlfn.XLOOKUP(D887,'[1]2050 BAU Mapping to T &amp; C'!$A$3:$A$52,'[1]2050 BAU Mapping to T &amp; C'!$B$3:$B$52)</f>
        <v>Tropical Fruits</v>
      </c>
      <c r="H887" s="129">
        <f>_xlfn.XLOOKUP(G887,'[1]T&amp;C emissions for 2050 analysis'!$B$3:$B$23,'[1]T&amp;C emissions for 2050 analysis'!$C$3:$C$23)</f>
        <v>0.51333333333333331</v>
      </c>
      <c r="I887" s="27">
        <f t="shared" si="39"/>
        <v>2.2871467079999996E-2</v>
      </c>
      <c r="J887" s="129">
        <f t="shared" si="40"/>
        <v>0.83211333333333326</v>
      </c>
    </row>
    <row r="888" spans="1:10" hidden="1" x14ac:dyDescent="0.35">
      <c r="A888" s="126" t="s">
        <v>404</v>
      </c>
      <c r="B888" t="str">
        <f>_xlfn.XLOOKUP(A888,'[1]2050Pop'!$A$7:$A$143,'[1]2050Pop'!$D$7:$D$143)</f>
        <v>LatAm &amp; RSA</v>
      </c>
      <c r="C888" s="127">
        <f>1000*_xlfn.XLOOKUP(A888,'[1]2050Pop'!$A$7:$A$143,'[1]2050Pop'!$C$7:$C$143)</f>
        <v>806</v>
      </c>
      <c r="D888" s="126" t="s">
        <v>500</v>
      </c>
      <c r="E888" s="128">
        <v>2.3929999999999998</v>
      </c>
      <c r="F888" s="129">
        <f t="shared" si="41"/>
        <v>1.9287579999999998E-3</v>
      </c>
      <c r="G888" t="str">
        <f>_xlfn.XLOOKUP(D888,'[1]2050 BAU Mapping to T &amp; C'!$A$3:$A$52,'[1]2050 BAU Mapping to T &amp; C'!$B$3:$B$52)</f>
        <v>Tropical Fruits</v>
      </c>
      <c r="H888" s="129">
        <f>_xlfn.XLOOKUP(G888,'[1]T&amp;C emissions for 2050 analysis'!$B$3:$B$23,'[1]T&amp;C emissions for 2050 analysis'!$C$3:$C$23)</f>
        <v>0.51333333333333331</v>
      </c>
      <c r="I888" s="27">
        <f t="shared" si="39"/>
        <v>9.9009577333333322E-4</v>
      </c>
      <c r="J888" s="129">
        <f t="shared" si="40"/>
        <v>1.2284066666666664</v>
      </c>
    </row>
    <row r="889" spans="1:10" hidden="1" x14ac:dyDescent="0.35">
      <c r="A889" s="126" t="s">
        <v>405</v>
      </c>
      <c r="B889" t="str">
        <f>_xlfn.XLOOKUP(A889,'[1]2050Pop'!$A$7:$A$143,'[1]2050Pop'!$D$7:$D$143)</f>
        <v>LatAm &amp; RSA</v>
      </c>
      <c r="C889" s="127">
        <f>1000*_xlfn.XLOOKUP(A889,'[1]2050Pop'!$A$7:$A$143,'[1]2050Pop'!$C$7:$C$143)</f>
        <v>14189</v>
      </c>
      <c r="D889" s="126" t="s">
        <v>500</v>
      </c>
      <c r="E889" s="128">
        <v>3.274</v>
      </c>
      <c r="F889" s="129">
        <f t="shared" si="41"/>
        <v>4.6454785999999998E-2</v>
      </c>
      <c r="G889" t="str">
        <f>_xlfn.XLOOKUP(D889,'[1]2050 BAU Mapping to T &amp; C'!$A$3:$A$52,'[1]2050 BAU Mapping to T &amp; C'!$B$3:$B$52)</f>
        <v>Tropical Fruits</v>
      </c>
      <c r="H889" s="129">
        <f>_xlfn.XLOOKUP(G889,'[1]T&amp;C emissions for 2050 analysis'!$B$3:$B$23,'[1]T&amp;C emissions for 2050 analysis'!$C$3:$C$23)</f>
        <v>0.51333333333333331</v>
      </c>
      <c r="I889" s="27">
        <f t="shared" si="39"/>
        <v>2.3846790146666665E-2</v>
      </c>
      <c r="J889" s="129">
        <f t="shared" si="40"/>
        <v>1.6806533333333333</v>
      </c>
    </row>
    <row r="890" spans="1:10" hidden="1" x14ac:dyDescent="0.35">
      <c r="A890" s="126" t="s">
        <v>406</v>
      </c>
      <c r="B890" t="str">
        <f>_xlfn.XLOOKUP(A890,'[1]2050Pop'!$A$7:$A$143,'[1]2050Pop'!$D$7:$D$143)</f>
        <v>LatAm &amp; RSA</v>
      </c>
      <c r="C890" s="127">
        <f>1000*_xlfn.XLOOKUP(A890,'[1]2050Pop'!$A$7:$A$143,'[1]2050Pop'!$C$7:$C$143)</f>
        <v>11217</v>
      </c>
      <c r="D890" s="126" t="s">
        <v>500</v>
      </c>
      <c r="E890" s="128">
        <v>3.7850000000000001</v>
      </c>
      <c r="F890" s="129">
        <f t="shared" si="41"/>
        <v>4.2456345E-2</v>
      </c>
      <c r="G890" t="str">
        <f>_xlfn.XLOOKUP(D890,'[1]2050 BAU Mapping to T &amp; C'!$A$3:$A$52,'[1]2050 BAU Mapping to T &amp; C'!$B$3:$B$52)</f>
        <v>Tropical Fruits</v>
      </c>
      <c r="H890" s="129">
        <f>_xlfn.XLOOKUP(G890,'[1]T&amp;C emissions for 2050 analysis'!$B$3:$B$23,'[1]T&amp;C emissions for 2050 analysis'!$C$3:$C$23)</f>
        <v>0.51333333333333331</v>
      </c>
      <c r="I890" s="27">
        <f t="shared" si="39"/>
        <v>2.1794257099999999E-2</v>
      </c>
      <c r="J890" s="129">
        <f t="shared" si="40"/>
        <v>1.9429666666666667</v>
      </c>
    </row>
    <row r="891" spans="1:10" hidden="1" x14ac:dyDescent="0.35">
      <c r="A891" s="126" t="s">
        <v>407</v>
      </c>
      <c r="B891" t="str">
        <f>_xlfn.XLOOKUP(A891,'[1]2050Pop'!$A$7:$A$143,'[1]2050Pop'!$D$7:$D$143)</f>
        <v>Euro/AU/NZ</v>
      </c>
      <c r="C891" s="127">
        <f>1000*_xlfn.XLOOKUP(A891,'[1]2050Pop'!$A$7:$A$143,'[1]2050Pop'!$C$7:$C$143)</f>
        <v>8318</v>
      </c>
      <c r="D891" s="126" t="s">
        <v>500</v>
      </c>
      <c r="E891" s="128">
        <v>1.149</v>
      </c>
      <c r="F891" s="129">
        <f t="shared" si="41"/>
        <v>9.5573819999999997E-3</v>
      </c>
      <c r="G891" t="str">
        <f>_xlfn.XLOOKUP(D891,'[1]2050 BAU Mapping to T &amp; C'!$A$3:$A$52,'[1]2050 BAU Mapping to T &amp; C'!$B$3:$B$52)</f>
        <v>Tropical Fruits</v>
      </c>
      <c r="H891" s="129">
        <f>_xlfn.XLOOKUP(G891,'[1]T&amp;C emissions for 2050 analysis'!$B$3:$B$23,'[1]T&amp;C emissions for 2050 analysis'!$C$3:$C$23)</f>
        <v>0.51333333333333331</v>
      </c>
      <c r="I891" s="27">
        <f t="shared" si="39"/>
        <v>4.9061227599999993E-3</v>
      </c>
      <c r="J891" s="129">
        <f t="shared" si="40"/>
        <v>0.58982000000000001</v>
      </c>
    </row>
    <row r="892" spans="1:10" hidden="1" x14ac:dyDescent="0.35">
      <c r="A892" s="126" t="s">
        <v>409</v>
      </c>
      <c r="B892" t="str">
        <f>_xlfn.XLOOKUP(A892,'[1]2050Pop'!$A$7:$A$143,'[1]2050Pop'!$D$7:$D$143)</f>
        <v>APAC</v>
      </c>
      <c r="C892" s="127">
        <f>1000*_xlfn.XLOOKUP(A892,'[1]2050Pop'!$A$7:$A$143,'[1]2050Pop'!$C$7:$C$143)</f>
        <v>322237</v>
      </c>
      <c r="D892" s="126" t="s">
        <v>500</v>
      </c>
      <c r="E892" s="128">
        <v>1.2769999999999999</v>
      </c>
      <c r="F892" s="129">
        <f t="shared" si="41"/>
        <v>0.41149664899999999</v>
      </c>
      <c r="G892" t="str">
        <f>_xlfn.XLOOKUP(D892,'[1]2050 BAU Mapping to T &amp; C'!$A$3:$A$52,'[1]2050 BAU Mapping to T &amp; C'!$B$3:$B$52)</f>
        <v>Tropical Fruits</v>
      </c>
      <c r="H892" s="129">
        <f>_xlfn.XLOOKUP(G892,'[1]T&amp;C emissions for 2050 analysis'!$B$3:$B$23,'[1]T&amp;C emissions for 2050 analysis'!$C$3:$C$23)</f>
        <v>0.51333333333333331</v>
      </c>
      <c r="I892" s="27">
        <f t="shared" si="39"/>
        <v>0.21123494648666666</v>
      </c>
      <c r="J892" s="129">
        <f t="shared" si="40"/>
        <v>0.65552666666666659</v>
      </c>
    </row>
    <row r="893" spans="1:10" hidden="1" x14ac:dyDescent="0.35">
      <c r="A893" s="126" t="s">
        <v>412</v>
      </c>
      <c r="B893" t="str">
        <f>_xlfn.XLOOKUP(A893,'[1]2050Pop'!$A$7:$A$143,'[1]2050Pop'!$D$7:$D$143)</f>
        <v>Euro/AU/NZ</v>
      </c>
      <c r="C893" s="127">
        <f>1000*_xlfn.XLOOKUP(A893,'[1]2050Pop'!$A$7:$A$143,'[1]2050Pop'!$C$7:$C$143)</f>
        <v>5789</v>
      </c>
      <c r="D893" s="126" t="s">
        <v>500</v>
      </c>
      <c r="E893" s="128">
        <v>4.1849999999999996</v>
      </c>
      <c r="F893" s="129">
        <f t="shared" si="41"/>
        <v>2.4226964999999996E-2</v>
      </c>
      <c r="G893" t="str">
        <f>_xlfn.XLOOKUP(D893,'[1]2050 BAU Mapping to T &amp; C'!$A$3:$A$52,'[1]2050 BAU Mapping to T &amp; C'!$B$3:$B$52)</f>
        <v>Tropical Fruits</v>
      </c>
      <c r="H893" s="129">
        <f>_xlfn.XLOOKUP(G893,'[1]T&amp;C emissions for 2050 analysis'!$B$3:$B$23,'[1]T&amp;C emissions for 2050 analysis'!$C$3:$C$23)</f>
        <v>0.51333333333333331</v>
      </c>
      <c r="I893" s="27">
        <f t="shared" si="39"/>
        <v>1.2436508699999998E-2</v>
      </c>
      <c r="J893" s="129">
        <f t="shared" si="40"/>
        <v>2.1482999999999999</v>
      </c>
    </row>
    <row r="894" spans="1:10" hidden="1" x14ac:dyDescent="0.35">
      <c r="A894" s="126" t="s">
        <v>413</v>
      </c>
      <c r="B894" t="str">
        <f>_xlfn.XLOOKUP(A894,'[1]2050Pop'!$A$7:$A$143,'[1]2050Pop'!$D$7:$D$143)</f>
        <v>MENA</v>
      </c>
      <c r="C894" s="127">
        <f>1000*_xlfn.XLOOKUP(A894,'[1]2050Pop'!$A$7:$A$143,'[1]2050Pop'!$C$7:$C$143)</f>
        <v>12610</v>
      </c>
      <c r="D894" s="126" t="s">
        <v>500</v>
      </c>
      <c r="E894" s="128">
        <v>5.3230000000000004</v>
      </c>
      <c r="F894" s="129">
        <f t="shared" si="41"/>
        <v>6.712303E-2</v>
      </c>
      <c r="G894" t="str">
        <f>_xlfn.XLOOKUP(D894,'[1]2050 BAU Mapping to T &amp; C'!$A$3:$A$52,'[1]2050 BAU Mapping to T &amp; C'!$B$3:$B$52)</f>
        <v>Tropical Fruits</v>
      </c>
      <c r="H894" s="129">
        <f>_xlfn.XLOOKUP(G894,'[1]T&amp;C emissions for 2050 analysis'!$B$3:$B$23,'[1]T&amp;C emissions for 2050 analysis'!$C$3:$C$23)</f>
        <v>0.51333333333333331</v>
      </c>
      <c r="I894" s="27">
        <f t="shared" si="39"/>
        <v>3.4456488733333332E-2</v>
      </c>
      <c r="J894" s="129">
        <f t="shared" si="40"/>
        <v>2.7324733333333335</v>
      </c>
    </row>
    <row r="895" spans="1:10" hidden="1" x14ac:dyDescent="0.35">
      <c r="A895" s="126" t="s">
        <v>414</v>
      </c>
      <c r="B895" t="str">
        <f>_xlfn.XLOOKUP(A895,'[1]2050Pop'!$A$7:$A$143,'[1]2050Pop'!$D$7:$D$143)</f>
        <v>Euro/AU/NZ</v>
      </c>
      <c r="C895" s="127">
        <f>1000*_xlfn.XLOOKUP(A895,'[1]2050Pop'!$A$7:$A$143,'[1]2050Pop'!$C$7:$C$143)</f>
        <v>56513</v>
      </c>
      <c r="D895" s="126" t="s">
        <v>500</v>
      </c>
      <c r="E895" s="128">
        <v>7.4640000000000004</v>
      </c>
      <c r="F895" s="129">
        <f t="shared" si="41"/>
        <v>0.42181303200000003</v>
      </c>
      <c r="G895" t="str">
        <f>_xlfn.XLOOKUP(D895,'[1]2050 BAU Mapping to T &amp; C'!$A$3:$A$52,'[1]2050 BAU Mapping to T &amp; C'!$B$3:$B$52)</f>
        <v>Tropical Fruits</v>
      </c>
      <c r="H895" s="129">
        <f>_xlfn.XLOOKUP(G895,'[1]T&amp;C emissions for 2050 analysis'!$B$3:$B$23,'[1]T&amp;C emissions for 2050 analysis'!$C$3:$C$23)</f>
        <v>0.51333333333333331</v>
      </c>
      <c r="I895" s="27">
        <f t="shared" si="39"/>
        <v>0.21653068976000001</v>
      </c>
      <c r="J895" s="129">
        <f t="shared" si="40"/>
        <v>3.8315199999999998</v>
      </c>
    </row>
    <row r="896" spans="1:10" hidden="1" x14ac:dyDescent="0.35">
      <c r="A896" s="126" t="s">
        <v>415</v>
      </c>
      <c r="B896" t="str">
        <f>_xlfn.XLOOKUP(A896,'[1]2050Pop'!$A$7:$A$143,'[1]2050Pop'!$D$7:$D$143)</f>
        <v>LatAm &amp; RSA</v>
      </c>
      <c r="C896" s="127">
        <f>1000*_xlfn.XLOOKUP(A896,'[1]2050Pop'!$A$7:$A$143,'[1]2050Pop'!$C$7:$C$143)</f>
        <v>2710</v>
      </c>
      <c r="D896" s="126" t="s">
        <v>500</v>
      </c>
      <c r="E896" s="128">
        <v>3.6219999999999999</v>
      </c>
      <c r="F896" s="129">
        <f t="shared" si="41"/>
        <v>9.8156199999999989E-3</v>
      </c>
      <c r="G896" t="str">
        <f>_xlfn.XLOOKUP(D896,'[1]2050 BAU Mapping to T &amp; C'!$A$3:$A$52,'[1]2050 BAU Mapping to T &amp; C'!$B$3:$B$52)</f>
        <v>Tropical Fruits</v>
      </c>
      <c r="H896" s="129">
        <f>_xlfn.XLOOKUP(G896,'[1]T&amp;C emissions for 2050 analysis'!$B$3:$B$23,'[1]T&amp;C emissions for 2050 analysis'!$C$3:$C$23)</f>
        <v>0.51333333333333331</v>
      </c>
      <c r="I896" s="27">
        <f t="shared" si="39"/>
        <v>5.0386849333333324E-3</v>
      </c>
      <c r="J896" s="129">
        <f t="shared" si="40"/>
        <v>1.8592933333333332</v>
      </c>
    </row>
    <row r="897" spans="1:10" hidden="1" x14ac:dyDescent="0.35">
      <c r="A897" s="126" t="s">
        <v>416</v>
      </c>
      <c r="B897" t="str">
        <f>_xlfn.XLOOKUP(A897,'[1]2050Pop'!$A$7:$A$143,'[1]2050Pop'!$D$7:$D$143)</f>
        <v>APAC</v>
      </c>
      <c r="C897" s="127">
        <f>1000*_xlfn.XLOOKUP(A897,'[1]2050Pop'!$A$7:$A$143,'[1]2050Pop'!$C$7:$C$143)</f>
        <v>107411</v>
      </c>
      <c r="D897" s="126" t="s">
        <v>500</v>
      </c>
      <c r="E897" s="128">
        <v>5.0869999999999997</v>
      </c>
      <c r="F897" s="129">
        <f t="shared" si="41"/>
        <v>0.54639975699999999</v>
      </c>
      <c r="G897" t="str">
        <f>_xlfn.XLOOKUP(D897,'[1]2050 BAU Mapping to T &amp; C'!$A$3:$A$52,'[1]2050 BAU Mapping to T &amp; C'!$B$3:$B$52)</f>
        <v>Tropical Fruits</v>
      </c>
      <c r="H897" s="129">
        <f>_xlfn.XLOOKUP(G897,'[1]T&amp;C emissions for 2050 analysis'!$B$3:$B$23,'[1]T&amp;C emissions for 2050 analysis'!$C$3:$C$23)</f>
        <v>0.51333333333333331</v>
      </c>
      <c r="I897" s="27">
        <f t="shared" si="39"/>
        <v>0.28048520859333331</v>
      </c>
      <c r="J897" s="129">
        <f t="shared" si="40"/>
        <v>2.6113266666666664</v>
      </c>
    </row>
    <row r="898" spans="1:10" hidden="1" x14ac:dyDescent="0.35">
      <c r="A898" s="126" t="s">
        <v>417</v>
      </c>
      <c r="B898" t="str">
        <f>_xlfn.XLOOKUP(A898,'[1]2050Pop'!$A$7:$A$143,'[1]2050Pop'!$D$7:$D$143)</f>
        <v>MENA</v>
      </c>
      <c r="C898" s="127">
        <f>1000*_xlfn.XLOOKUP(A898,'[1]2050Pop'!$A$7:$A$143,'[1]2050Pop'!$C$7:$C$143)</f>
        <v>11717</v>
      </c>
      <c r="D898" s="126" t="s">
        <v>500</v>
      </c>
      <c r="E898" s="128">
        <v>5.2240000000000002</v>
      </c>
      <c r="F898" s="129">
        <f t="shared" si="41"/>
        <v>6.1209607999999999E-2</v>
      </c>
      <c r="G898" t="str">
        <f>_xlfn.XLOOKUP(D898,'[1]2050 BAU Mapping to T &amp; C'!$A$3:$A$52,'[1]2050 BAU Mapping to T &amp; C'!$B$3:$B$52)</f>
        <v>Tropical Fruits</v>
      </c>
      <c r="H898" s="129">
        <f>_xlfn.XLOOKUP(G898,'[1]T&amp;C emissions for 2050 analysis'!$B$3:$B$23,'[1]T&amp;C emissions for 2050 analysis'!$C$3:$C$23)</f>
        <v>0.51333333333333331</v>
      </c>
      <c r="I898" s="27">
        <f t="shared" si="39"/>
        <v>3.1420932106666667E-2</v>
      </c>
      <c r="J898" s="129">
        <f t="shared" si="40"/>
        <v>2.6816533333333332</v>
      </c>
    </row>
    <row r="899" spans="1:10" hidden="1" x14ac:dyDescent="0.35">
      <c r="A899" s="126" t="s">
        <v>418</v>
      </c>
      <c r="B899" t="str">
        <f>_xlfn.XLOOKUP(A899,'[1]2050Pop'!$A$7:$A$143,'[1]2050Pop'!$D$7:$D$143)</f>
        <v>APAC</v>
      </c>
      <c r="C899" s="127">
        <f>1000*_xlfn.XLOOKUP(A899,'[1]2050Pop'!$A$7:$A$143,'[1]2050Pop'!$C$7:$C$143)</f>
        <v>22447</v>
      </c>
      <c r="D899" s="126" t="s">
        <v>500</v>
      </c>
      <c r="E899" s="130">
        <v>1.19</v>
      </c>
      <c r="F899" s="129">
        <f t="shared" si="41"/>
        <v>2.6711930000000002E-2</v>
      </c>
      <c r="G899" t="str">
        <f>_xlfn.XLOOKUP(D899,'[1]2050 BAU Mapping to T &amp; C'!$A$3:$A$52,'[1]2050 BAU Mapping to T &amp; C'!$B$3:$B$52)</f>
        <v>Tropical Fruits</v>
      </c>
      <c r="H899" s="129">
        <f>_xlfn.XLOOKUP(G899,'[1]T&amp;C emissions for 2050 analysis'!$B$3:$B$23,'[1]T&amp;C emissions for 2050 analysis'!$C$3:$C$23)</f>
        <v>0.51333333333333331</v>
      </c>
      <c r="I899" s="27">
        <f t="shared" si="39"/>
        <v>1.3712124066666666E-2</v>
      </c>
      <c r="J899" s="129">
        <f t="shared" si="40"/>
        <v>0.61086666666666656</v>
      </c>
    </row>
    <row r="900" spans="1:10" hidden="1" x14ac:dyDescent="0.35">
      <c r="A900" s="126" t="s">
        <v>420</v>
      </c>
      <c r="B900" t="str">
        <f>_xlfn.XLOOKUP(A900,'[1]2050Pop'!$A$7:$A$143,'[1]2050Pop'!$D$7:$D$143)</f>
        <v>APAC</v>
      </c>
      <c r="C900" s="127">
        <f>1000*_xlfn.XLOOKUP(A900,'[1]2050Pop'!$A$7:$A$143,'[1]2050Pop'!$C$7:$C$143)</f>
        <v>8248</v>
      </c>
      <c r="D900" s="126" t="s">
        <v>500</v>
      </c>
      <c r="E900" s="128">
        <v>1.278</v>
      </c>
      <c r="F900" s="129">
        <f t="shared" si="41"/>
        <v>1.0540944E-2</v>
      </c>
      <c r="G900" t="str">
        <f>_xlfn.XLOOKUP(D900,'[1]2050 BAU Mapping to T &amp; C'!$A$3:$A$52,'[1]2050 BAU Mapping to T &amp; C'!$B$3:$B$52)</f>
        <v>Tropical Fruits</v>
      </c>
      <c r="H900" s="129">
        <f>_xlfn.XLOOKUP(G900,'[1]T&amp;C emissions for 2050 analysis'!$B$3:$B$23,'[1]T&amp;C emissions for 2050 analysis'!$C$3:$C$23)</f>
        <v>0.51333333333333331</v>
      </c>
      <c r="I900" s="27">
        <f t="shared" ref="I900:I963" si="42">F900*H900</f>
        <v>5.4110179199999995E-3</v>
      </c>
      <c r="J900" s="129">
        <f t="shared" ref="J900:J963" si="43">E900*H900</f>
        <v>0.65603999999999996</v>
      </c>
    </row>
    <row r="901" spans="1:10" hidden="1" x14ac:dyDescent="0.35">
      <c r="A901" s="126" t="s">
        <v>421</v>
      </c>
      <c r="B901" t="str">
        <f>_xlfn.XLOOKUP(A901,'[1]2050Pop'!$A$7:$A$143,'[1]2050Pop'!$D$7:$D$143)</f>
        <v>APAC</v>
      </c>
      <c r="C901" s="127">
        <f>1000*_xlfn.XLOOKUP(A901,'[1]2050Pop'!$A$7:$A$143,'[1]2050Pop'!$C$7:$C$143)</f>
        <v>10172</v>
      </c>
      <c r="D901" s="126" t="s">
        <v>500</v>
      </c>
      <c r="E901" s="128">
        <v>15.676</v>
      </c>
      <c r="F901" s="129">
        <f t="shared" ref="F901:F964" si="44">C901*E901/1000000</f>
        <v>0.15945627200000001</v>
      </c>
      <c r="G901" t="str">
        <f>_xlfn.XLOOKUP(D901,'[1]2050 BAU Mapping to T &amp; C'!$A$3:$A$52,'[1]2050 BAU Mapping to T &amp; C'!$B$3:$B$52)</f>
        <v>Tropical Fruits</v>
      </c>
      <c r="H901" s="129">
        <f>_xlfn.XLOOKUP(G901,'[1]T&amp;C emissions for 2050 analysis'!$B$3:$B$23,'[1]T&amp;C emissions for 2050 analysis'!$C$3:$C$23)</f>
        <v>0.51333333333333331</v>
      </c>
      <c r="I901" s="27">
        <f t="shared" si="42"/>
        <v>8.1854219626666669E-2</v>
      </c>
      <c r="J901" s="129">
        <f t="shared" si="43"/>
        <v>8.0470133333333322</v>
      </c>
    </row>
    <row r="902" spans="1:10" hidden="1" x14ac:dyDescent="0.35">
      <c r="A902" s="126" t="s">
        <v>422</v>
      </c>
      <c r="B902" t="str">
        <f>_xlfn.XLOOKUP(A902,'[1]2050Pop'!$A$7:$A$143,'[1]2050Pop'!$D$7:$D$143)</f>
        <v>Euro/AU/NZ</v>
      </c>
      <c r="C902" s="127">
        <f>1000*_xlfn.XLOOKUP(A902,'[1]2050Pop'!$A$7:$A$143,'[1]2050Pop'!$C$7:$C$143)</f>
        <v>1593</v>
      </c>
      <c r="D902" s="126" t="s">
        <v>500</v>
      </c>
      <c r="E902" s="128">
        <v>7.6660000000000004</v>
      </c>
      <c r="F902" s="129">
        <f t="shared" si="44"/>
        <v>1.2211938E-2</v>
      </c>
      <c r="G902" t="str">
        <f>_xlfn.XLOOKUP(D902,'[1]2050 BAU Mapping to T &amp; C'!$A$3:$A$52,'[1]2050 BAU Mapping to T &amp; C'!$B$3:$B$52)</f>
        <v>Tropical Fruits</v>
      </c>
      <c r="H902" s="129">
        <f>_xlfn.XLOOKUP(G902,'[1]T&amp;C emissions for 2050 analysis'!$B$3:$B$23,'[1]T&amp;C emissions for 2050 analysis'!$C$3:$C$23)</f>
        <v>0.51333333333333331</v>
      </c>
      <c r="I902" s="27">
        <f t="shared" si="42"/>
        <v>6.2687948399999995E-3</v>
      </c>
      <c r="J902" s="129">
        <f t="shared" si="43"/>
        <v>3.9352133333333335</v>
      </c>
    </row>
    <row r="903" spans="1:10" hidden="1" x14ac:dyDescent="0.35">
      <c r="A903" s="126" t="s">
        <v>423</v>
      </c>
      <c r="B903" t="str">
        <f>_xlfn.XLOOKUP(A903,'[1]2050Pop'!$A$7:$A$143,'[1]2050Pop'!$D$7:$D$143)</f>
        <v>MENA</v>
      </c>
      <c r="C903" s="127">
        <f>1000*_xlfn.XLOOKUP(A903,'[1]2050Pop'!$A$7:$A$143,'[1]2050Pop'!$C$7:$C$143)</f>
        <v>5610</v>
      </c>
      <c r="D903" s="126" t="s">
        <v>500</v>
      </c>
      <c r="E903" s="128">
        <v>11.544</v>
      </c>
      <c r="F903" s="129">
        <f t="shared" si="44"/>
        <v>6.4761840000000001E-2</v>
      </c>
      <c r="G903" t="str">
        <f>_xlfn.XLOOKUP(D903,'[1]2050 BAU Mapping to T &amp; C'!$A$3:$A$52,'[1]2050 BAU Mapping to T &amp; C'!$B$3:$B$52)</f>
        <v>Tropical Fruits</v>
      </c>
      <c r="H903" s="129">
        <f>_xlfn.XLOOKUP(G903,'[1]T&amp;C emissions for 2050 analysis'!$B$3:$B$23,'[1]T&amp;C emissions for 2050 analysis'!$C$3:$C$23)</f>
        <v>0.51333333333333331</v>
      </c>
      <c r="I903" s="27">
        <f t="shared" si="42"/>
        <v>3.3244411199999997E-2</v>
      </c>
      <c r="J903" s="129">
        <f t="shared" si="43"/>
        <v>5.9259199999999996</v>
      </c>
    </row>
    <row r="904" spans="1:10" hidden="1" x14ac:dyDescent="0.35">
      <c r="A904" s="126" t="s">
        <v>426</v>
      </c>
      <c r="B904" t="str">
        <f>_xlfn.XLOOKUP(A904,'[1]2050Pop'!$A$7:$A$143,'[1]2050Pop'!$D$7:$D$143)</f>
        <v>Euro/AU/NZ</v>
      </c>
      <c r="C904" s="127">
        <f>1000*_xlfn.XLOOKUP(A904,'[1]2050Pop'!$A$7:$A$143,'[1]2050Pop'!$C$7:$C$143)</f>
        <v>2375</v>
      </c>
      <c r="D904" s="126" t="s">
        <v>500</v>
      </c>
      <c r="E904" s="128">
        <v>7.0679999999999996</v>
      </c>
      <c r="F904" s="129">
        <f t="shared" si="44"/>
        <v>1.6786499999999999E-2</v>
      </c>
      <c r="G904" t="str">
        <f>_xlfn.XLOOKUP(D904,'[1]2050 BAU Mapping to T &amp; C'!$A$3:$A$52,'[1]2050 BAU Mapping to T &amp; C'!$B$3:$B$52)</f>
        <v>Tropical Fruits</v>
      </c>
      <c r="H904" s="129">
        <f>_xlfn.XLOOKUP(G904,'[1]T&amp;C emissions for 2050 analysis'!$B$3:$B$23,'[1]T&amp;C emissions for 2050 analysis'!$C$3:$C$23)</f>
        <v>0.51333333333333331</v>
      </c>
      <c r="I904" s="27">
        <f t="shared" si="42"/>
        <v>8.6170699999999992E-3</v>
      </c>
      <c r="J904" s="129">
        <f t="shared" si="43"/>
        <v>3.6282399999999995</v>
      </c>
    </row>
    <row r="905" spans="1:10" hidden="1" x14ac:dyDescent="0.35">
      <c r="A905" s="126" t="s">
        <v>427</v>
      </c>
      <c r="B905" t="str">
        <f>_xlfn.XLOOKUP(A905,'[1]2050Pop'!$A$7:$A$143,'[1]2050Pop'!$D$7:$D$143)</f>
        <v>SSA</v>
      </c>
      <c r="C905" s="127">
        <f>1000*_xlfn.XLOOKUP(A905,'[1]2050Pop'!$A$7:$A$143,'[1]2050Pop'!$C$7:$C$143)</f>
        <v>55294</v>
      </c>
      <c r="D905" s="126" t="s">
        <v>500</v>
      </c>
      <c r="E905" s="128">
        <v>4.0529999999999999</v>
      </c>
      <c r="F905" s="129">
        <f t="shared" si="44"/>
        <v>0.224106582</v>
      </c>
      <c r="G905" t="str">
        <f>_xlfn.XLOOKUP(D905,'[1]2050 BAU Mapping to T &amp; C'!$A$3:$A$52,'[1]2050 BAU Mapping to T &amp; C'!$B$3:$B$52)</f>
        <v>Tropical Fruits</v>
      </c>
      <c r="H905" s="129">
        <f>_xlfn.XLOOKUP(G905,'[1]T&amp;C emissions for 2050 analysis'!$B$3:$B$23,'[1]T&amp;C emissions for 2050 analysis'!$C$3:$C$23)</f>
        <v>0.51333333333333331</v>
      </c>
      <c r="I905" s="27">
        <f t="shared" si="42"/>
        <v>0.11504137875999999</v>
      </c>
      <c r="J905" s="129">
        <f t="shared" si="43"/>
        <v>2.0805400000000001</v>
      </c>
    </row>
    <row r="906" spans="1:10" hidden="1" x14ac:dyDescent="0.35">
      <c r="A906" s="126" t="s">
        <v>432</v>
      </c>
      <c r="B906" t="str">
        <f>_xlfn.XLOOKUP(A906,'[1]2050Pop'!$A$7:$A$143,'[1]2050Pop'!$D$7:$D$143)</f>
        <v>SSA</v>
      </c>
      <c r="C906" s="127">
        <f>1000*_xlfn.XLOOKUP(A906,'[1]2050Pop'!$A$7:$A$143,'[1]2050Pop'!$C$7:$C$143)</f>
        <v>1249</v>
      </c>
      <c r="D906" s="126" t="s">
        <v>500</v>
      </c>
      <c r="E906" s="128">
        <v>1.101</v>
      </c>
      <c r="F906" s="129">
        <f t="shared" si="44"/>
        <v>1.375149E-3</v>
      </c>
      <c r="G906" t="str">
        <f>_xlfn.XLOOKUP(D906,'[1]2050 BAU Mapping to T &amp; C'!$A$3:$A$52,'[1]2050 BAU Mapping to T &amp; C'!$B$3:$B$52)</f>
        <v>Tropical Fruits</v>
      </c>
      <c r="H906" s="129">
        <f>_xlfn.XLOOKUP(G906,'[1]T&amp;C emissions for 2050 analysis'!$B$3:$B$23,'[1]T&amp;C emissions for 2050 analysis'!$C$3:$C$23)</f>
        <v>0.51333333333333331</v>
      </c>
      <c r="I906" s="27">
        <f t="shared" si="42"/>
        <v>7.0590981999999998E-4</v>
      </c>
      <c r="J906" s="129">
        <f t="shared" si="43"/>
        <v>0.56518000000000002</v>
      </c>
    </row>
    <row r="907" spans="1:10" hidden="1" x14ac:dyDescent="0.35">
      <c r="A907" s="126" t="s">
        <v>433</v>
      </c>
      <c r="B907" t="str">
        <f>_xlfn.XLOOKUP(A907,'[1]2050Pop'!$A$7:$A$143,'[1]2050Pop'!$D$7:$D$143)</f>
        <v>LatAm &amp; RSA</v>
      </c>
      <c r="C907" s="127">
        <f>1000*_xlfn.XLOOKUP(A907,'[1]2050Pop'!$A$7:$A$143,'[1]2050Pop'!$C$7:$C$143)</f>
        <v>163754</v>
      </c>
      <c r="D907" s="126" t="s">
        <v>500</v>
      </c>
      <c r="E907" s="128">
        <v>1.0960000000000001</v>
      </c>
      <c r="F907" s="129">
        <f t="shared" si="44"/>
        <v>0.17947438400000001</v>
      </c>
      <c r="G907" t="str">
        <f>_xlfn.XLOOKUP(D907,'[1]2050 BAU Mapping to T &amp; C'!$A$3:$A$52,'[1]2050 BAU Mapping to T &amp; C'!$B$3:$B$52)</f>
        <v>Tropical Fruits</v>
      </c>
      <c r="H907" s="129">
        <f>_xlfn.XLOOKUP(G907,'[1]T&amp;C emissions for 2050 analysis'!$B$3:$B$23,'[1]T&amp;C emissions for 2050 analysis'!$C$3:$C$23)</f>
        <v>0.51333333333333331</v>
      </c>
      <c r="I907" s="27">
        <f t="shared" si="42"/>
        <v>9.2130183786666667E-2</v>
      </c>
      <c r="J907" s="129">
        <f t="shared" si="43"/>
        <v>0.5626133333333333</v>
      </c>
    </row>
    <row r="908" spans="1:10" hidden="1" x14ac:dyDescent="0.35">
      <c r="A908" s="126" t="s">
        <v>434</v>
      </c>
      <c r="B908" t="str">
        <f>_xlfn.XLOOKUP(A908,'[1]2050Pop'!$A$7:$A$143,'[1]2050Pop'!$D$7:$D$143)</f>
        <v>APAC</v>
      </c>
      <c r="C908" s="127">
        <f>1000*_xlfn.XLOOKUP(A908,'[1]2050Pop'!$A$7:$A$143,'[1]2050Pop'!$C$7:$C$143)</f>
        <v>4027.9999999999995</v>
      </c>
      <c r="D908" s="126" t="s">
        <v>500</v>
      </c>
      <c r="E908" s="128">
        <v>2.8069999999999999</v>
      </c>
      <c r="F908" s="129">
        <f t="shared" si="44"/>
        <v>1.1306595999999997E-2</v>
      </c>
      <c r="G908" t="str">
        <f>_xlfn.XLOOKUP(D908,'[1]2050 BAU Mapping to T &amp; C'!$A$3:$A$52,'[1]2050 BAU Mapping to T &amp; C'!$B$3:$B$52)</f>
        <v>Tropical Fruits</v>
      </c>
      <c r="H908" s="129">
        <f>_xlfn.XLOOKUP(G908,'[1]T&amp;C emissions for 2050 analysis'!$B$3:$B$23,'[1]T&amp;C emissions for 2050 analysis'!$C$3:$C$23)</f>
        <v>0.51333333333333331</v>
      </c>
      <c r="I908" s="27">
        <f t="shared" si="42"/>
        <v>5.8040526133333317E-3</v>
      </c>
      <c r="J908" s="129">
        <f t="shared" si="43"/>
        <v>1.4409266666666665</v>
      </c>
    </row>
    <row r="909" spans="1:10" hidden="1" x14ac:dyDescent="0.35">
      <c r="A909" s="126" t="s">
        <v>435</v>
      </c>
      <c r="B909" t="str">
        <f>_xlfn.XLOOKUP(A909,'[1]2050Pop'!$A$7:$A$143,'[1]2050Pop'!$D$7:$D$143)</f>
        <v>MENA</v>
      </c>
      <c r="C909" s="127">
        <f>1000*_xlfn.XLOOKUP(A909,'[1]2050Pop'!$A$7:$A$143,'[1]2050Pop'!$C$7:$C$143)</f>
        <v>43696</v>
      </c>
      <c r="D909" s="126" t="s">
        <v>500</v>
      </c>
      <c r="E909" s="128">
        <v>1.175</v>
      </c>
      <c r="F909" s="129">
        <f t="shared" si="44"/>
        <v>5.1342800000000001E-2</v>
      </c>
      <c r="G909" t="str">
        <f>_xlfn.XLOOKUP(D909,'[1]2050 BAU Mapping to T &amp; C'!$A$3:$A$52,'[1]2050 BAU Mapping to T &amp; C'!$B$3:$B$52)</f>
        <v>Tropical Fruits</v>
      </c>
      <c r="H909" s="129">
        <f>_xlfn.XLOOKUP(G909,'[1]T&amp;C emissions for 2050 analysis'!$B$3:$B$23,'[1]T&amp;C emissions for 2050 analysis'!$C$3:$C$23)</f>
        <v>0.51333333333333331</v>
      </c>
      <c r="I909" s="27">
        <f t="shared" si="42"/>
        <v>2.6355970666666666E-2</v>
      </c>
      <c r="J909" s="129">
        <f t="shared" si="43"/>
        <v>0.60316666666666663</v>
      </c>
    </row>
    <row r="910" spans="1:10" hidden="1" x14ac:dyDescent="0.35">
      <c r="A910" s="126" t="s">
        <v>490</v>
      </c>
      <c r="B910" t="str">
        <f>_xlfn.XLOOKUP(A910,'[1]2050Pop'!$A$7:$A$143,'[1]2050Pop'!$D$7:$D$143)</f>
        <v>APAC</v>
      </c>
      <c r="C910" s="127">
        <f>1000*_xlfn.XLOOKUP(A910,'[1]2050Pop'!$A$7:$A$143,'[1]2050Pop'!$C$7:$C$143)</f>
        <v>63575</v>
      </c>
      <c r="D910" s="126" t="s">
        <v>500</v>
      </c>
      <c r="E910" s="128">
        <v>2.0590000000000002</v>
      </c>
      <c r="F910" s="129">
        <f t="shared" si="44"/>
        <v>0.13090092500000003</v>
      </c>
      <c r="G910" t="str">
        <f>_xlfn.XLOOKUP(D910,'[1]2050 BAU Mapping to T &amp; C'!$A$3:$A$52,'[1]2050 BAU Mapping to T &amp; C'!$B$3:$B$52)</f>
        <v>Tropical Fruits</v>
      </c>
      <c r="H910" s="129">
        <f>_xlfn.XLOOKUP(G910,'[1]T&amp;C emissions for 2050 analysis'!$B$3:$B$23,'[1]T&amp;C emissions for 2050 analysis'!$C$3:$C$23)</f>
        <v>0.51333333333333331</v>
      </c>
      <c r="I910" s="27">
        <f t="shared" si="42"/>
        <v>6.7195808166666676E-2</v>
      </c>
      <c r="J910" s="129">
        <f t="shared" si="43"/>
        <v>1.0569533333333334</v>
      </c>
    </row>
    <row r="911" spans="1:10" hidden="1" x14ac:dyDescent="0.35">
      <c r="A911" s="126" t="s">
        <v>437</v>
      </c>
      <c r="B911" t="str">
        <f>_xlfn.XLOOKUP(A911,'[1]2050Pop'!$A$7:$A$143,'[1]2050Pop'!$D$7:$D$143)</f>
        <v>SSA</v>
      </c>
      <c r="C911" s="127">
        <f>1000*_xlfn.XLOOKUP(A911,'[1]2050Pop'!$A$7:$A$143,'[1]2050Pop'!$C$7:$C$143)</f>
        <v>4322</v>
      </c>
      <c r="D911" s="126" t="s">
        <v>500</v>
      </c>
      <c r="E911" s="128">
        <v>2.694</v>
      </c>
      <c r="F911" s="129">
        <f t="shared" si="44"/>
        <v>1.1643467999999999E-2</v>
      </c>
      <c r="G911" t="str">
        <f>_xlfn.XLOOKUP(D911,'[1]2050 BAU Mapping to T &amp; C'!$A$3:$A$52,'[1]2050 BAU Mapping to T &amp; C'!$B$3:$B$52)</f>
        <v>Tropical Fruits</v>
      </c>
      <c r="H911" s="129">
        <f>_xlfn.XLOOKUP(G911,'[1]T&amp;C emissions for 2050 analysis'!$B$3:$B$23,'[1]T&amp;C emissions for 2050 analysis'!$C$3:$C$23)</f>
        <v>0.51333333333333331</v>
      </c>
      <c r="I911" s="27">
        <f t="shared" si="42"/>
        <v>5.9769802399999988E-3</v>
      </c>
      <c r="J911" s="129">
        <f t="shared" si="43"/>
        <v>1.3829199999999999</v>
      </c>
    </row>
    <row r="912" spans="1:10" hidden="1" x14ac:dyDescent="0.35">
      <c r="A912" s="126" t="s">
        <v>439</v>
      </c>
      <c r="B912" t="str">
        <f>_xlfn.XLOOKUP(A912,'[1]2050Pop'!$A$7:$A$143,'[1]2050Pop'!$D$7:$D$143)</f>
        <v>Euro/AU/NZ</v>
      </c>
      <c r="C912" s="127">
        <f>1000*_xlfn.XLOOKUP(A912,'[1]2050Pop'!$A$7:$A$143,'[1]2050Pop'!$C$7:$C$143)</f>
        <v>17602</v>
      </c>
      <c r="D912" s="126" t="s">
        <v>500</v>
      </c>
      <c r="E912" s="128">
        <v>2.492</v>
      </c>
      <c r="F912" s="129">
        <f t="shared" si="44"/>
        <v>4.3864184000000001E-2</v>
      </c>
      <c r="G912" t="str">
        <f>_xlfn.XLOOKUP(D912,'[1]2050 BAU Mapping to T &amp; C'!$A$3:$A$52,'[1]2050 BAU Mapping to T &amp; C'!$B$3:$B$52)</f>
        <v>Tropical Fruits</v>
      </c>
      <c r="H912" s="129">
        <f>_xlfn.XLOOKUP(G912,'[1]T&amp;C emissions for 2050 analysis'!$B$3:$B$23,'[1]T&amp;C emissions for 2050 analysis'!$C$3:$C$23)</f>
        <v>0.51333333333333331</v>
      </c>
      <c r="I912" s="27">
        <f t="shared" si="42"/>
        <v>2.2516947786666665E-2</v>
      </c>
      <c r="J912" s="129">
        <f t="shared" si="43"/>
        <v>1.2792266666666665</v>
      </c>
    </row>
    <row r="913" spans="1:10" hidden="1" x14ac:dyDescent="0.35">
      <c r="A913" s="126" t="s">
        <v>440</v>
      </c>
      <c r="B913" t="str">
        <f>_xlfn.XLOOKUP(A913,'[1]2050Pop'!$A$7:$A$143,'[1]2050Pop'!$D$7:$D$143)</f>
        <v>Euro/AU/NZ</v>
      </c>
      <c r="C913" s="127">
        <f>1000*_xlfn.XLOOKUP(A913,'[1]2050Pop'!$A$7:$A$143,'[1]2050Pop'!$C$7:$C$143)</f>
        <v>5607</v>
      </c>
      <c r="D913" s="126" t="s">
        <v>500</v>
      </c>
      <c r="E913" s="128">
        <v>4.9219999999999997</v>
      </c>
      <c r="F913" s="129">
        <f t="shared" si="44"/>
        <v>2.7597653999999999E-2</v>
      </c>
      <c r="G913" t="str">
        <f>_xlfn.XLOOKUP(D913,'[1]2050 BAU Mapping to T &amp; C'!$A$3:$A$52,'[1]2050 BAU Mapping to T &amp; C'!$B$3:$B$52)</f>
        <v>Tropical Fruits</v>
      </c>
      <c r="H913" s="129">
        <f>_xlfn.XLOOKUP(G913,'[1]T&amp;C emissions for 2050 analysis'!$B$3:$B$23,'[1]T&amp;C emissions for 2050 analysis'!$C$3:$C$23)</f>
        <v>0.51333333333333331</v>
      </c>
      <c r="I913" s="27">
        <f t="shared" si="42"/>
        <v>1.4166795719999998E-2</v>
      </c>
      <c r="J913" s="129">
        <f t="shared" si="43"/>
        <v>2.5266266666666666</v>
      </c>
    </row>
    <row r="914" spans="1:10" hidden="1" x14ac:dyDescent="0.35">
      <c r="A914" s="126" t="s">
        <v>442</v>
      </c>
      <c r="B914" t="str">
        <f>_xlfn.XLOOKUP(A914,'[1]2050Pop'!$A$7:$A$143,'[1]2050Pop'!$D$7:$D$143)</f>
        <v>Euro/AU/NZ</v>
      </c>
      <c r="C914" s="127">
        <f>1000*_xlfn.XLOOKUP(A914,'[1]2050Pop'!$A$7:$A$143,'[1]2050Pop'!$C$7:$C$143)</f>
        <v>6658</v>
      </c>
      <c r="D914" s="126" t="s">
        <v>500</v>
      </c>
      <c r="E914" s="128">
        <v>12.275</v>
      </c>
      <c r="F914" s="129">
        <f t="shared" si="44"/>
        <v>8.1726949999999993E-2</v>
      </c>
      <c r="G914" t="str">
        <f>_xlfn.XLOOKUP(D914,'[1]2050 BAU Mapping to T &amp; C'!$A$3:$A$52,'[1]2050 BAU Mapping to T &amp; C'!$B$3:$B$52)</f>
        <v>Tropical Fruits</v>
      </c>
      <c r="H914" s="129">
        <f>_xlfn.XLOOKUP(G914,'[1]T&amp;C emissions for 2050 analysis'!$B$3:$B$23,'[1]T&amp;C emissions for 2050 analysis'!$C$3:$C$23)</f>
        <v>0.51333333333333331</v>
      </c>
      <c r="I914" s="27">
        <f t="shared" si="42"/>
        <v>4.1953167666666659E-2</v>
      </c>
      <c r="J914" s="129">
        <f t="shared" si="43"/>
        <v>6.3011666666666661</v>
      </c>
    </row>
    <row r="915" spans="1:10" hidden="1" x14ac:dyDescent="0.35">
      <c r="A915" s="126" t="s">
        <v>444</v>
      </c>
      <c r="B915" t="str">
        <f>_xlfn.XLOOKUP(A915,'[1]2050Pop'!$A$7:$A$143,'[1]2050Pop'!$D$7:$D$143)</f>
        <v>LatAm &amp; RSA</v>
      </c>
      <c r="C915" s="127">
        <f>1000*_xlfn.XLOOKUP(A915,'[1]2050Pop'!$A$7:$A$143,'[1]2050Pop'!$C$7:$C$143)</f>
        <v>5599</v>
      </c>
      <c r="D915" s="126" t="s">
        <v>500</v>
      </c>
      <c r="E915" s="128">
        <v>3.4209999999999998</v>
      </c>
      <c r="F915" s="129">
        <f t="shared" si="44"/>
        <v>1.9154179E-2</v>
      </c>
      <c r="G915" t="str">
        <f>_xlfn.XLOOKUP(D915,'[1]2050 BAU Mapping to T &amp; C'!$A$3:$A$52,'[1]2050 BAU Mapping to T &amp; C'!$B$3:$B$52)</f>
        <v>Tropical Fruits</v>
      </c>
      <c r="H915" s="129">
        <f>_xlfn.XLOOKUP(G915,'[1]T&amp;C emissions for 2050 analysis'!$B$3:$B$23,'[1]T&amp;C emissions for 2050 analysis'!$C$3:$C$23)</f>
        <v>0.51333333333333331</v>
      </c>
      <c r="I915" s="27">
        <f t="shared" si="42"/>
        <v>9.8324785533333327E-3</v>
      </c>
      <c r="J915" s="129">
        <f t="shared" si="43"/>
        <v>1.7561133333333332</v>
      </c>
    </row>
    <row r="916" spans="1:10" hidden="1" x14ac:dyDescent="0.35">
      <c r="A916" s="126" t="s">
        <v>445</v>
      </c>
      <c r="B916" t="str">
        <f>_xlfn.XLOOKUP(A916,'[1]2050Pop'!$A$7:$A$143,'[1]2050Pop'!$D$7:$D$143)</f>
        <v>LatAm &amp; RSA</v>
      </c>
      <c r="C916" s="127">
        <f>1000*_xlfn.XLOOKUP(A916,'[1]2050Pop'!$A$7:$A$143,'[1]2050Pop'!$C$7:$C$143)</f>
        <v>8895</v>
      </c>
      <c r="D916" s="126" t="s">
        <v>500</v>
      </c>
      <c r="E916" s="128">
        <v>1.1930000000000001</v>
      </c>
      <c r="F916" s="129">
        <f t="shared" si="44"/>
        <v>1.0611735000000001E-2</v>
      </c>
      <c r="G916" t="str">
        <f>_xlfn.XLOOKUP(D916,'[1]2050 BAU Mapping to T &amp; C'!$A$3:$A$52,'[1]2050 BAU Mapping to T &amp; C'!$B$3:$B$52)</f>
        <v>Tropical Fruits</v>
      </c>
      <c r="H916" s="129">
        <f>_xlfn.XLOOKUP(G916,'[1]T&amp;C emissions for 2050 analysis'!$B$3:$B$23,'[1]T&amp;C emissions for 2050 analysis'!$C$3:$C$23)</f>
        <v>0.51333333333333331</v>
      </c>
      <c r="I916" s="27">
        <f t="shared" si="42"/>
        <v>5.4473573000000004E-3</v>
      </c>
      <c r="J916" s="129">
        <f t="shared" si="43"/>
        <v>0.61240666666666665</v>
      </c>
    </row>
    <row r="917" spans="1:10" hidden="1" x14ac:dyDescent="0.35">
      <c r="A917" s="126" t="s">
        <v>446</v>
      </c>
      <c r="B917" t="str">
        <f>_xlfn.XLOOKUP(A917,'[1]2050Pop'!$A$7:$A$143,'[1]2050Pop'!$D$7:$D$143)</f>
        <v>LatAm &amp; RSA</v>
      </c>
      <c r="C917" s="127">
        <f>1000*_xlfn.XLOOKUP(A917,'[1]2050Pop'!$A$7:$A$143,'[1]2050Pop'!$C$7:$C$143)</f>
        <v>41899</v>
      </c>
      <c r="D917" s="126" t="s">
        <v>500</v>
      </c>
      <c r="E917" s="130">
        <v>1.61</v>
      </c>
      <c r="F917" s="129">
        <f t="shared" si="44"/>
        <v>6.7457390000000006E-2</v>
      </c>
      <c r="G917" t="str">
        <f>_xlfn.XLOOKUP(D917,'[1]2050 BAU Mapping to T &amp; C'!$A$3:$A$52,'[1]2050 BAU Mapping to T &amp; C'!$B$3:$B$52)</f>
        <v>Tropical Fruits</v>
      </c>
      <c r="H917" s="129">
        <f>_xlfn.XLOOKUP(G917,'[1]T&amp;C emissions for 2050 analysis'!$B$3:$B$23,'[1]T&amp;C emissions for 2050 analysis'!$C$3:$C$23)</f>
        <v>0.51333333333333331</v>
      </c>
      <c r="I917" s="27">
        <f t="shared" si="42"/>
        <v>3.4628126866666671E-2</v>
      </c>
      <c r="J917" s="129">
        <f t="shared" si="43"/>
        <v>0.82646666666666668</v>
      </c>
    </row>
    <row r="918" spans="1:10" hidden="1" x14ac:dyDescent="0.35">
      <c r="A918" s="126" t="s">
        <v>447</v>
      </c>
      <c r="B918" t="str">
        <f>_xlfn.XLOOKUP(A918,'[1]2050Pop'!$A$7:$A$143,'[1]2050Pop'!$D$7:$D$143)</f>
        <v>APAC</v>
      </c>
      <c r="C918" s="127">
        <f>1000*_xlfn.XLOOKUP(A918,'[1]2050Pop'!$A$7:$A$143,'[1]2050Pop'!$C$7:$C$143)</f>
        <v>148260</v>
      </c>
      <c r="D918" s="126" t="s">
        <v>500</v>
      </c>
      <c r="E918" s="130">
        <v>3.71</v>
      </c>
      <c r="F918" s="129">
        <f t="shared" si="44"/>
        <v>0.55004459999999999</v>
      </c>
      <c r="G918" t="str">
        <f>_xlfn.XLOOKUP(D918,'[1]2050 BAU Mapping to T &amp; C'!$A$3:$A$52,'[1]2050 BAU Mapping to T &amp; C'!$B$3:$B$52)</f>
        <v>Tropical Fruits</v>
      </c>
      <c r="H918" s="129">
        <f>_xlfn.XLOOKUP(G918,'[1]T&amp;C emissions for 2050 analysis'!$B$3:$B$23,'[1]T&amp;C emissions for 2050 analysis'!$C$3:$C$23)</f>
        <v>0.51333333333333331</v>
      </c>
      <c r="I918" s="27">
        <f t="shared" si="42"/>
        <v>0.28235622799999999</v>
      </c>
      <c r="J918" s="129">
        <f t="shared" si="43"/>
        <v>1.9044666666666665</v>
      </c>
    </row>
    <row r="919" spans="1:10" hidden="1" x14ac:dyDescent="0.35">
      <c r="A919" s="126" t="s">
        <v>448</v>
      </c>
      <c r="B919" t="str">
        <f>_xlfn.XLOOKUP(A919,'[1]2050Pop'!$A$7:$A$143,'[1]2050Pop'!$D$7:$D$143)</f>
        <v>Euro/AU/NZ</v>
      </c>
      <c r="C919" s="127">
        <f>1000*_xlfn.XLOOKUP(A919,'[1]2050Pop'!$A$7:$A$143,'[1]2050Pop'!$C$7:$C$143)</f>
        <v>33136</v>
      </c>
      <c r="D919" s="126" t="s">
        <v>500</v>
      </c>
      <c r="E919" s="128">
        <v>2.7850000000000001</v>
      </c>
      <c r="F919" s="129">
        <f t="shared" si="44"/>
        <v>9.2283760000000006E-2</v>
      </c>
      <c r="G919" t="str">
        <f>_xlfn.XLOOKUP(D919,'[1]2050 BAU Mapping to T &amp; C'!$A$3:$A$52,'[1]2050 BAU Mapping to T &amp; C'!$B$3:$B$52)</f>
        <v>Tropical Fruits</v>
      </c>
      <c r="H919" s="129">
        <f>_xlfn.XLOOKUP(G919,'[1]T&amp;C emissions for 2050 analysis'!$B$3:$B$23,'[1]T&amp;C emissions for 2050 analysis'!$C$3:$C$23)</f>
        <v>0.51333333333333331</v>
      </c>
      <c r="I919" s="27">
        <f t="shared" si="42"/>
        <v>4.7372330133333335E-2</v>
      </c>
      <c r="J919" s="129">
        <f t="shared" si="43"/>
        <v>1.4296333333333333</v>
      </c>
    </row>
    <row r="920" spans="1:10" hidden="1" x14ac:dyDescent="0.35">
      <c r="A920" s="126" t="s">
        <v>449</v>
      </c>
      <c r="B920" t="str">
        <f>_xlfn.XLOOKUP(A920,'[1]2050Pop'!$A$7:$A$143,'[1]2050Pop'!$D$7:$D$143)</f>
        <v>Euro/AU/NZ</v>
      </c>
      <c r="C920" s="127">
        <f>1000*_xlfn.XLOOKUP(A920,'[1]2050Pop'!$A$7:$A$143,'[1]2050Pop'!$C$7:$C$143)</f>
        <v>9216</v>
      </c>
      <c r="D920" s="126" t="s">
        <v>500</v>
      </c>
      <c r="E920" s="128">
        <v>6.4160000000000004</v>
      </c>
      <c r="F920" s="129">
        <f t="shared" si="44"/>
        <v>5.9129856000000001E-2</v>
      </c>
      <c r="G920" t="str">
        <f>_xlfn.XLOOKUP(D920,'[1]2050 BAU Mapping to T &amp; C'!$A$3:$A$52,'[1]2050 BAU Mapping to T &amp; C'!$B$3:$B$52)</f>
        <v>Tropical Fruits</v>
      </c>
      <c r="H920" s="129">
        <f>_xlfn.XLOOKUP(G920,'[1]T&amp;C emissions for 2050 analysis'!$B$3:$B$23,'[1]T&amp;C emissions for 2050 analysis'!$C$3:$C$23)</f>
        <v>0.51333333333333331</v>
      </c>
      <c r="I920" s="27">
        <f t="shared" si="42"/>
        <v>3.035332608E-2</v>
      </c>
      <c r="J920" s="129">
        <f t="shared" si="43"/>
        <v>3.2935466666666668</v>
      </c>
    </row>
    <row r="921" spans="1:10" hidden="1" x14ac:dyDescent="0.35">
      <c r="A921" s="126" t="s">
        <v>450</v>
      </c>
      <c r="B921" t="str">
        <f>_xlfn.XLOOKUP(A921,'[1]2050Pop'!$A$7:$A$143,'[1]2050Pop'!$D$7:$D$143)</f>
        <v>APAC</v>
      </c>
      <c r="C921" s="127">
        <f>1000*_xlfn.XLOOKUP(A921,'[1]2050Pop'!$A$7:$A$143,'[1]2050Pop'!$C$7:$C$143)</f>
        <v>50593</v>
      </c>
      <c r="D921" s="126" t="s">
        <v>500</v>
      </c>
      <c r="E921" s="128">
        <v>1.5940000000000001</v>
      </c>
      <c r="F921" s="129">
        <f t="shared" si="44"/>
        <v>8.0645241999999992E-2</v>
      </c>
      <c r="G921" t="str">
        <f>_xlfn.XLOOKUP(D921,'[1]2050 BAU Mapping to T &amp; C'!$A$3:$A$52,'[1]2050 BAU Mapping to T &amp; C'!$B$3:$B$52)</f>
        <v>Tropical Fruits</v>
      </c>
      <c r="H921" s="129">
        <f>_xlfn.XLOOKUP(G921,'[1]T&amp;C emissions for 2050 analysis'!$B$3:$B$23,'[1]T&amp;C emissions for 2050 analysis'!$C$3:$C$23)</f>
        <v>0.51333333333333331</v>
      </c>
      <c r="I921" s="27">
        <f t="shared" si="42"/>
        <v>4.1397890893333331E-2</v>
      </c>
      <c r="J921" s="129">
        <f t="shared" si="43"/>
        <v>0.81825333333333339</v>
      </c>
    </row>
    <row r="922" spans="1:10" hidden="1" x14ac:dyDescent="0.35">
      <c r="A922" s="126" t="s">
        <v>451</v>
      </c>
      <c r="B922" t="str">
        <f>_xlfn.XLOOKUP(A922,'[1]2050Pop'!$A$7:$A$143,'[1]2050Pop'!$D$7:$D$143)</f>
        <v>Euro/AU/NZ</v>
      </c>
      <c r="C922" s="127">
        <f>1000*_xlfn.XLOOKUP(A922,'[1]2050Pop'!$A$7:$A$143,'[1]2050Pop'!$C$7:$C$143)</f>
        <v>3243</v>
      </c>
      <c r="D922" s="126" t="s">
        <v>500</v>
      </c>
      <c r="E922" s="128">
        <v>2.3919999999999999</v>
      </c>
      <c r="F922" s="129">
        <f t="shared" si="44"/>
        <v>7.7572559999999997E-3</v>
      </c>
      <c r="G922" t="str">
        <f>_xlfn.XLOOKUP(D922,'[1]2050 BAU Mapping to T &amp; C'!$A$3:$A$52,'[1]2050 BAU Mapping to T &amp; C'!$B$3:$B$52)</f>
        <v>Tropical Fruits</v>
      </c>
      <c r="H922" s="129">
        <f>_xlfn.XLOOKUP(G922,'[1]T&amp;C emissions for 2050 analysis'!$B$3:$B$23,'[1]T&amp;C emissions for 2050 analysis'!$C$3:$C$23)</f>
        <v>0.51333333333333331</v>
      </c>
      <c r="I922" s="27">
        <f t="shared" si="42"/>
        <v>3.9820580799999998E-3</v>
      </c>
      <c r="J922" s="129">
        <f t="shared" si="43"/>
        <v>1.2278933333333333</v>
      </c>
    </row>
    <row r="923" spans="1:10" hidden="1" x14ac:dyDescent="0.35">
      <c r="A923" s="126" t="s">
        <v>453</v>
      </c>
      <c r="B923" t="str">
        <f>_xlfn.XLOOKUP(A923,'[1]2050Pop'!$A$7:$A$143,'[1]2050Pop'!$D$7:$D$143)</f>
        <v>Euro/AU/NZ</v>
      </c>
      <c r="C923" s="127">
        <f>1000*_xlfn.XLOOKUP(A923,'[1]2050Pop'!$A$7:$A$143,'[1]2050Pop'!$C$7:$C$143)</f>
        <v>15207</v>
      </c>
      <c r="D923" s="126" t="s">
        <v>500</v>
      </c>
      <c r="E923" s="128">
        <v>3.367</v>
      </c>
      <c r="F923" s="129">
        <f t="shared" si="44"/>
        <v>5.1201969E-2</v>
      </c>
      <c r="G923" t="str">
        <f>_xlfn.XLOOKUP(D923,'[1]2050 BAU Mapping to T &amp; C'!$A$3:$A$52,'[1]2050 BAU Mapping to T &amp; C'!$B$3:$B$52)</f>
        <v>Tropical Fruits</v>
      </c>
      <c r="H923" s="129">
        <f>_xlfn.XLOOKUP(G923,'[1]T&amp;C emissions for 2050 analysis'!$B$3:$B$23,'[1]T&amp;C emissions for 2050 analysis'!$C$3:$C$23)</f>
        <v>0.51333333333333331</v>
      </c>
      <c r="I923" s="27">
        <f t="shared" si="42"/>
        <v>2.6283677419999998E-2</v>
      </c>
      <c r="J923" s="129">
        <f t="shared" si="43"/>
        <v>1.7283933333333332</v>
      </c>
    </row>
    <row r="924" spans="1:10" hidden="1" x14ac:dyDescent="0.35">
      <c r="A924" s="126" t="s">
        <v>454</v>
      </c>
      <c r="B924" t="str">
        <f>_xlfn.XLOOKUP(A924,'[1]2050Pop'!$A$7:$A$143,'[1]2050Pop'!$D$7:$D$143)</f>
        <v>Euro/AU/NZ</v>
      </c>
      <c r="C924" s="127">
        <f>1000*_xlfn.XLOOKUP(A924,'[1]2050Pop'!$A$7:$A$143,'[1]2050Pop'!$C$7:$C$143)</f>
        <v>128598.99999999999</v>
      </c>
      <c r="D924" s="126" t="s">
        <v>500</v>
      </c>
      <c r="E924" s="128">
        <v>2.6960000000000002</v>
      </c>
      <c r="F924" s="129">
        <f t="shared" si="44"/>
        <v>0.34670290399999998</v>
      </c>
      <c r="G924" t="str">
        <f>_xlfn.XLOOKUP(D924,'[1]2050 BAU Mapping to T &amp; C'!$A$3:$A$52,'[1]2050 BAU Mapping to T &amp; C'!$B$3:$B$52)</f>
        <v>Tropical Fruits</v>
      </c>
      <c r="H924" s="129">
        <f>_xlfn.XLOOKUP(G924,'[1]T&amp;C emissions for 2050 analysis'!$B$3:$B$23,'[1]T&amp;C emissions for 2050 analysis'!$C$3:$C$23)</f>
        <v>0.51333333333333331</v>
      </c>
      <c r="I924" s="27">
        <f t="shared" si="42"/>
        <v>0.17797415738666664</v>
      </c>
      <c r="J924" s="129">
        <f t="shared" si="43"/>
        <v>1.3839466666666667</v>
      </c>
    </row>
    <row r="925" spans="1:10" hidden="1" x14ac:dyDescent="0.35">
      <c r="A925" s="126" t="s">
        <v>456</v>
      </c>
      <c r="B925" t="str">
        <f>_xlfn.XLOOKUP(A925,'[1]2050Pop'!$A$7:$A$143,'[1]2050Pop'!$D$7:$D$143)</f>
        <v>MENA</v>
      </c>
      <c r="C925" s="127">
        <f>1000*_xlfn.XLOOKUP(A925,'[1]2050Pop'!$A$7:$A$143,'[1]2050Pop'!$C$7:$C$143)</f>
        <v>46059</v>
      </c>
      <c r="D925" s="126" t="s">
        <v>500</v>
      </c>
      <c r="E925" s="128">
        <v>3.8279999999999998</v>
      </c>
      <c r="F925" s="129">
        <f t="shared" si="44"/>
        <v>0.17631385199999999</v>
      </c>
      <c r="G925" t="str">
        <f>_xlfn.XLOOKUP(D925,'[1]2050 BAU Mapping to T &amp; C'!$A$3:$A$52,'[1]2050 BAU Mapping to T &amp; C'!$B$3:$B$52)</f>
        <v>Tropical Fruits</v>
      </c>
      <c r="H925" s="129">
        <f>_xlfn.XLOOKUP(G925,'[1]T&amp;C emissions for 2050 analysis'!$B$3:$B$23,'[1]T&amp;C emissions for 2050 analysis'!$C$3:$C$23)</f>
        <v>0.51333333333333331</v>
      </c>
      <c r="I925" s="27">
        <f t="shared" si="42"/>
        <v>9.0507777359999986E-2</v>
      </c>
      <c r="J925" s="129">
        <f t="shared" si="43"/>
        <v>1.9650399999999999</v>
      </c>
    </row>
    <row r="926" spans="1:10" hidden="1" x14ac:dyDescent="0.35">
      <c r="A926" s="126" t="s">
        <v>458</v>
      </c>
      <c r="B926" t="str">
        <f>_xlfn.XLOOKUP(A926,'[1]2050Pop'!$A$7:$A$143,'[1]2050Pop'!$D$7:$D$143)</f>
        <v>Euro/AU/NZ</v>
      </c>
      <c r="C926" s="127">
        <f>1000*_xlfn.XLOOKUP(A926,'[1]2050Pop'!$A$7:$A$143,'[1]2050Pop'!$C$7:$C$143)</f>
        <v>7331</v>
      </c>
      <c r="D926" s="126" t="s">
        <v>500</v>
      </c>
      <c r="E926" s="128">
        <v>6.6369999999999996</v>
      </c>
      <c r="F926" s="129">
        <f t="shared" si="44"/>
        <v>4.8655846999999995E-2</v>
      </c>
      <c r="G926" t="str">
        <f>_xlfn.XLOOKUP(D926,'[1]2050 BAU Mapping to T &amp; C'!$A$3:$A$52,'[1]2050 BAU Mapping to T &amp; C'!$B$3:$B$52)</f>
        <v>Tropical Fruits</v>
      </c>
      <c r="H926" s="129">
        <f>_xlfn.XLOOKUP(G926,'[1]T&amp;C emissions for 2050 analysis'!$B$3:$B$23,'[1]T&amp;C emissions for 2050 analysis'!$C$3:$C$23)</f>
        <v>0.51333333333333331</v>
      </c>
      <c r="I926" s="27">
        <f t="shared" si="42"/>
        <v>2.4976668126666664E-2</v>
      </c>
      <c r="J926" s="129">
        <f t="shared" si="43"/>
        <v>3.4069933333333329</v>
      </c>
    </row>
    <row r="927" spans="1:10" hidden="1" x14ac:dyDescent="0.35">
      <c r="A927" s="126" t="s">
        <v>492</v>
      </c>
      <c r="B927" t="str">
        <f>_xlfn.XLOOKUP(A927,'[1]2050Pop'!$A$7:$A$143,'[1]2050Pop'!$D$7:$D$143)</f>
        <v>SSA</v>
      </c>
      <c r="C927" s="127">
        <f>1000*_xlfn.XLOOKUP(A927,'[1]2050Pop'!$A$7:$A$143,'[1]2050Pop'!$C$7:$C$143)</f>
        <v>11392</v>
      </c>
      <c r="D927" s="126" t="s">
        <v>500</v>
      </c>
      <c r="E927" s="128">
        <v>1.6659999999999999</v>
      </c>
      <c r="F927" s="129">
        <f t="shared" si="44"/>
        <v>1.8979072E-2</v>
      </c>
      <c r="G927" t="str">
        <f>_xlfn.XLOOKUP(D927,'[1]2050 BAU Mapping to T &amp; C'!$A$3:$A$52,'[1]2050 BAU Mapping to T &amp; C'!$B$3:$B$52)</f>
        <v>Tropical Fruits</v>
      </c>
      <c r="H927" s="129">
        <f>_xlfn.XLOOKUP(G927,'[1]T&amp;C emissions for 2050 analysis'!$B$3:$B$23,'[1]T&amp;C emissions for 2050 analysis'!$C$3:$C$23)</f>
        <v>0.51333333333333331</v>
      </c>
      <c r="I927" s="27">
        <f t="shared" si="42"/>
        <v>9.7425902933333322E-3</v>
      </c>
      <c r="J927" s="129">
        <f t="shared" si="43"/>
        <v>0.85521333333333327</v>
      </c>
    </row>
    <row r="928" spans="1:10" hidden="1" x14ac:dyDescent="0.35">
      <c r="A928" s="126" t="s">
        <v>459</v>
      </c>
      <c r="B928" t="str">
        <f>_xlfn.XLOOKUP(A928,'[1]2050Pop'!$A$7:$A$143,'[1]2050Pop'!$D$7:$D$143)</f>
        <v>Euro/AU/NZ</v>
      </c>
      <c r="C928" s="127">
        <f>1000*_xlfn.XLOOKUP(A928,'[1]2050Pop'!$A$7:$A$143,'[1]2050Pop'!$C$7:$C$143)</f>
        <v>4892</v>
      </c>
      <c r="D928" s="126" t="s">
        <v>500</v>
      </c>
      <c r="E928" s="128">
        <v>6.7050000000000001</v>
      </c>
      <c r="F928" s="129">
        <f t="shared" si="44"/>
        <v>3.2800860000000001E-2</v>
      </c>
      <c r="G928" t="str">
        <f>_xlfn.XLOOKUP(D928,'[1]2050 BAU Mapping to T &amp; C'!$A$3:$A$52,'[1]2050 BAU Mapping to T &amp; C'!$B$3:$B$52)</f>
        <v>Tropical Fruits</v>
      </c>
      <c r="H928" s="129">
        <f>_xlfn.XLOOKUP(G928,'[1]T&amp;C emissions for 2050 analysis'!$B$3:$B$23,'[1]T&amp;C emissions for 2050 analysis'!$C$3:$C$23)</f>
        <v>0.51333333333333331</v>
      </c>
      <c r="I928" s="27">
        <f t="shared" si="42"/>
        <v>1.68377748E-2</v>
      </c>
      <c r="J928" s="129">
        <f t="shared" si="43"/>
        <v>3.4419</v>
      </c>
    </row>
    <row r="929" spans="1:10" hidden="1" x14ac:dyDescent="0.35">
      <c r="A929" s="126" t="s">
        <v>460</v>
      </c>
      <c r="B929" t="str">
        <f>_xlfn.XLOOKUP(A929,'[1]2050Pop'!$A$7:$A$143,'[1]2050Pop'!$D$7:$D$143)</f>
        <v>LatAm &amp; RSA</v>
      </c>
      <c r="C929" s="127">
        <f>1000*_xlfn.XLOOKUP(A929,'[1]2050Pop'!$A$7:$A$143,'[1]2050Pop'!$C$7:$C$143)</f>
        <v>65540</v>
      </c>
      <c r="D929" s="126" t="s">
        <v>500</v>
      </c>
      <c r="E929" s="128">
        <v>1.083</v>
      </c>
      <c r="F929" s="129">
        <f t="shared" si="44"/>
        <v>7.0979819999999999E-2</v>
      </c>
      <c r="G929" t="str">
        <f>_xlfn.XLOOKUP(D929,'[1]2050 BAU Mapping to T &amp; C'!$A$3:$A$52,'[1]2050 BAU Mapping to T &amp; C'!$B$3:$B$52)</f>
        <v>Tropical Fruits</v>
      </c>
      <c r="H929" s="129">
        <f>_xlfn.XLOOKUP(G929,'[1]T&amp;C emissions for 2050 analysis'!$B$3:$B$23,'[1]T&amp;C emissions for 2050 analysis'!$C$3:$C$23)</f>
        <v>0.51333333333333331</v>
      </c>
      <c r="I929" s="27">
        <f t="shared" si="42"/>
        <v>3.6436307599999995E-2</v>
      </c>
      <c r="J929" s="129">
        <f t="shared" si="43"/>
        <v>0.55593999999999999</v>
      </c>
    </row>
    <row r="930" spans="1:10" hidden="1" x14ac:dyDescent="0.35">
      <c r="A930" s="126" t="s">
        <v>461</v>
      </c>
      <c r="B930" t="str">
        <f>_xlfn.XLOOKUP(A930,'[1]2050Pop'!$A$7:$A$143,'[1]2050Pop'!$D$7:$D$143)</f>
        <v>Euro/AU/NZ</v>
      </c>
      <c r="C930" s="127">
        <f>1000*_xlfn.XLOOKUP(A930,'[1]2050Pop'!$A$7:$A$143,'[1]2050Pop'!$C$7:$C$143)</f>
        <v>44840</v>
      </c>
      <c r="D930" s="126" t="s">
        <v>500</v>
      </c>
      <c r="E930" s="128">
        <v>4.9790000000000001</v>
      </c>
      <c r="F930" s="129">
        <f t="shared" si="44"/>
        <v>0.22325836000000002</v>
      </c>
      <c r="G930" t="str">
        <f>_xlfn.XLOOKUP(D930,'[1]2050 BAU Mapping to T &amp; C'!$A$3:$A$52,'[1]2050 BAU Mapping to T &amp; C'!$B$3:$B$52)</f>
        <v>Tropical Fruits</v>
      </c>
      <c r="H930" s="129">
        <f>_xlfn.XLOOKUP(G930,'[1]T&amp;C emissions for 2050 analysis'!$B$3:$B$23,'[1]T&amp;C emissions for 2050 analysis'!$C$3:$C$23)</f>
        <v>0.51333333333333331</v>
      </c>
      <c r="I930" s="27">
        <f t="shared" si="42"/>
        <v>0.11460595813333334</v>
      </c>
      <c r="J930" s="129">
        <f t="shared" si="43"/>
        <v>2.5558866666666664</v>
      </c>
    </row>
    <row r="931" spans="1:10" hidden="1" x14ac:dyDescent="0.35">
      <c r="A931" s="126" t="s">
        <v>462</v>
      </c>
      <c r="B931" t="str">
        <f>_xlfn.XLOOKUP(A931,'[1]2050Pop'!$A$7:$A$143,'[1]2050Pop'!$D$7:$D$143)</f>
        <v>LatAm &amp; RSA</v>
      </c>
      <c r="C931" s="127">
        <f>1000*_xlfn.XLOOKUP(A931,'[1]2050Pop'!$A$7:$A$143,'[1]2050Pop'!$C$7:$C$143)</f>
        <v>624</v>
      </c>
      <c r="D931" s="126" t="s">
        <v>500</v>
      </c>
      <c r="E931" s="128">
        <v>1.9510000000000001</v>
      </c>
      <c r="F931" s="129">
        <f t="shared" si="44"/>
        <v>1.2174239999999999E-3</v>
      </c>
      <c r="G931" t="str">
        <f>_xlfn.XLOOKUP(D931,'[1]2050 BAU Mapping to T &amp; C'!$A$3:$A$52,'[1]2050 BAU Mapping to T &amp; C'!$B$3:$B$52)</f>
        <v>Tropical Fruits</v>
      </c>
      <c r="H931" s="129">
        <f>_xlfn.XLOOKUP(G931,'[1]T&amp;C emissions for 2050 analysis'!$B$3:$B$23,'[1]T&amp;C emissions for 2050 analysis'!$C$3:$C$23)</f>
        <v>0.51333333333333331</v>
      </c>
      <c r="I931" s="27">
        <f t="shared" si="42"/>
        <v>6.2494431999999991E-4</v>
      </c>
      <c r="J931" s="129">
        <f t="shared" si="43"/>
        <v>1.0015133333333333</v>
      </c>
    </row>
    <row r="932" spans="1:10" hidden="1" x14ac:dyDescent="0.35">
      <c r="A932" s="126" t="s">
        <v>463</v>
      </c>
      <c r="B932" t="str">
        <f>_xlfn.XLOOKUP(A932,'[1]2050Pop'!$A$7:$A$143,'[1]2050Pop'!$D$7:$D$143)</f>
        <v>SSA</v>
      </c>
      <c r="C932" s="127">
        <f>1000*_xlfn.XLOOKUP(A932,'[1]2050Pop'!$A$7:$A$143,'[1]2050Pop'!$C$7:$C$143)</f>
        <v>1792</v>
      </c>
      <c r="D932" s="126" t="s">
        <v>500</v>
      </c>
      <c r="E932" s="130">
        <v>2.17</v>
      </c>
      <c r="F932" s="129">
        <f t="shared" si="44"/>
        <v>3.8886400000000001E-3</v>
      </c>
      <c r="G932" t="str">
        <f>_xlfn.XLOOKUP(D932,'[1]2050 BAU Mapping to T &amp; C'!$A$3:$A$52,'[1]2050 BAU Mapping to T &amp; C'!$B$3:$B$52)</f>
        <v>Tropical Fruits</v>
      </c>
      <c r="H932" s="129">
        <f>_xlfn.XLOOKUP(G932,'[1]T&amp;C emissions for 2050 analysis'!$B$3:$B$23,'[1]T&amp;C emissions for 2050 analysis'!$C$3:$C$23)</f>
        <v>0.51333333333333331</v>
      </c>
      <c r="I932" s="27">
        <f t="shared" si="42"/>
        <v>1.9961685333333332E-3</v>
      </c>
      <c r="J932" s="129">
        <f t="shared" si="43"/>
        <v>1.1139333333333332</v>
      </c>
    </row>
    <row r="933" spans="1:10" hidden="1" x14ac:dyDescent="0.35">
      <c r="A933" s="126" t="s">
        <v>464</v>
      </c>
      <c r="B933" t="str">
        <f>_xlfn.XLOOKUP(A933,'[1]2050Pop'!$A$7:$A$143,'[1]2050Pop'!$D$7:$D$143)</f>
        <v>Euro/AU/NZ</v>
      </c>
      <c r="C933" s="127">
        <f>1000*_xlfn.XLOOKUP(A933,'[1]2050Pop'!$A$7:$A$143,'[1]2050Pop'!$C$7:$C$143)</f>
        <v>11881</v>
      </c>
      <c r="D933" s="126" t="s">
        <v>500</v>
      </c>
      <c r="E933" s="128">
        <v>13.811999999999999</v>
      </c>
      <c r="F933" s="129">
        <f t="shared" si="44"/>
        <v>0.16410037199999999</v>
      </c>
      <c r="G933" t="str">
        <f>_xlfn.XLOOKUP(D933,'[1]2050 BAU Mapping to T &amp; C'!$A$3:$A$52,'[1]2050 BAU Mapping to T &amp; C'!$B$3:$B$52)</f>
        <v>Tropical Fruits</v>
      </c>
      <c r="H933" s="129">
        <f>_xlfn.XLOOKUP(G933,'[1]T&amp;C emissions for 2050 analysis'!$B$3:$B$23,'[1]T&amp;C emissions for 2050 analysis'!$C$3:$C$23)</f>
        <v>0.51333333333333331</v>
      </c>
      <c r="I933" s="27">
        <f t="shared" si="42"/>
        <v>8.4238190959999987E-2</v>
      </c>
      <c r="J933" s="129">
        <f t="shared" si="43"/>
        <v>7.0901599999999991</v>
      </c>
    </row>
    <row r="934" spans="1:10" hidden="1" x14ac:dyDescent="0.35">
      <c r="A934" s="126" t="s">
        <v>466</v>
      </c>
      <c r="B934" t="str">
        <f>_xlfn.XLOOKUP(A934,'[1]2050Pop'!$A$7:$A$143,'[1]2050Pop'!$D$7:$D$143)</f>
        <v>SSA</v>
      </c>
      <c r="C934" s="127">
        <f>1000*_xlfn.XLOOKUP(A934,'[1]2050Pop'!$A$7:$A$143,'[1]2050Pop'!$C$7:$C$143)</f>
        <v>15681</v>
      </c>
      <c r="D934" s="126" t="s">
        <v>500</v>
      </c>
      <c r="E934" s="128">
        <v>1.5069999999999999</v>
      </c>
      <c r="F934" s="129">
        <f t="shared" si="44"/>
        <v>2.3631267000000001E-2</v>
      </c>
      <c r="G934" t="str">
        <f>_xlfn.XLOOKUP(D934,'[1]2050 BAU Mapping to T &amp; C'!$A$3:$A$52,'[1]2050 BAU Mapping to T &amp; C'!$B$3:$B$52)</f>
        <v>Tropical Fruits</v>
      </c>
      <c r="H934" s="129">
        <f>_xlfn.XLOOKUP(G934,'[1]T&amp;C emissions for 2050 analysis'!$B$3:$B$23,'[1]T&amp;C emissions for 2050 analysis'!$C$3:$C$23)</f>
        <v>0.51333333333333331</v>
      </c>
      <c r="I934" s="27">
        <f t="shared" si="42"/>
        <v>1.2130717060000001E-2</v>
      </c>
      <c r="J934" s="129">
        <f t="shared" si="43"/>
        <v>0.77359333333333324</v>
      </c>
    </row>
    <row r="935" spans="1:10" hidden="1" x14ac:dyDescent="0.35">
      <c r="A935" s="126" t="s">
        <v>467</v>
      </c>
      <c r="B935" t="str">
        <f>_xlfn.XLOOKUP(A935,'[1]2050Pop'!$A$7:$A$143,'[1]2050Pop'!$D$7:$D$143)</f>
        <v>LatAm &amp; RSA</v>
      </c>
      <c r="C935" s="127">
        <f>1000*_xlfn.XLOOKUP(A935,'[1]2050Pop'!$A$7:$A$143,'[1]2050Pop'!$C$7:$C$143)</f>
        <v>1291</v>
      </c>
      <c r="D935" s="126" t="s">
        <v>500</v>
      </c>
      <c r="E935" s="128">
        <v>2.1880000000000002</v>
      </c>
      <c r="F935" s="129">
        <f t="shared" si="44"/>
        <v>2.824708E-3</v>
      </c>
      <c r="G935" t="str">
        <f>_xlfn.XLOOKUP(D935,'[1]2050 BAU Mapping to T &amp; C'!$A$3:$A$52,'[1]2050 BAU Mapping to T &amp; C'!$B$3:$B$52)</f>
        <v>Tropical Fruits</v>
      </c>
      <c r="H935" s="129">
        <f>_xlfn.XLOOKUP(G935,'[1]T&amp;C emissions for 2050 analysis'!$B$3:$B$23,'[1]T&amp;C emissions for 2050 analysis'!$C$3:$C$23)</f>
        <v>0.51333333333333331</v>
      </c>
      <c r="I935" s="27">
        <f t="shared" si="42"/>
        <v>1.4500167733333333E-3</v>
      </c>
      <c r="J935" s="129">
        <f t="shared" si="43"/>
        <v>1.1231733333333334</v>
      </c>
    </row>
    <row r="936" spans="1:10" hidden="1" x14ac:dyDescent="0.35">
      <c r="A936" s="126" t="s">
        <v>468</v>
      </c>
      <c r="B936" t="str">
        <f>_xlfn.XLOOKUP(A936,'[1]2050Pop'!$A$7:$A$143,'[1]2050Pop'!$D$7:$D$143)</f>
        <v>MENA</v>
      </c>
      <c r="C936" s="127">
        <f>1000*_xlfn.XLOOKUP(A936,'[1]2050Pop'!$A$7:$A$143,'[1]2050Pop'!$C$7:$C$143)</f>
        <v>13476</v>
      </c>
      <c r="D936" s="126" t="s">
        <v>500</v>
      </c>
      <c r="E936" s="128">
        <v>3.508</v>
      </c>
      <c r="F936" s="129">
        <f t="shared" si="44"/>
        <v>4.7273808E-2</v>
      </c>
      <c r="G936" t="str">
        <f>_xlfn.XLOOKUP(D936,'[1]2050 BAU Mapping to T &amp; C'!$A$3:$A$52,'[1]2050 BAU Mapping to T &amp; C'!$B$3:$B$52)</f>
        <v>Tropical Fruits</v>
      </c>
      <c r="H936" s="129">
        <f>_xlfn.XLOOKUP(G936,'[1]T&amp;C emissions for 2050 analysis'!$B$3:$B$23,'[1]T&amp;C emissions for 2050 analysis'!$C$3:$C$23)</f>
        <v>0.51333333333333331</v>
      </c>
      <c r="I936" s="27">
        <f t="shared" si="42"/>
        <v>2.426722144E-2</v>
      </c>
      <c r="J936" s="129">
        <f t="shared" si="43"/>
        <v>1.8007733333333333</v>
      </c>
    </row>
    <row r="937" spans="1:10" hidden="1" x14ac:dyDescent="0.35">
      <c r="A937" s="126" t="s">
        <v>469</v>
      </c>
      <c r="B937" t="str">
        <f>_xlfn.XLOOKUP(A937,'[1]2050Pop'!$A$7:$A$143,'[1]2050Pop'!$D$7:$D$143)</f>
        <v>MENA</v>
      </c>
      <c r="C937" s="127">
        <f>1000*_xlfn.XLOOKUP(A937,'[1]2050Pop'!$A$7:$A$143,'[1]2050Pop'!$C$7:$C$143)</f>
        <v>95819</v>
      </c>
      <c r="D937" s="126" t="s">
        <v>500</v>
      </c>
      <c r="E937" s="128">
        <v>1.099</v>
      </c>
      <c r="F937" s="129">
        <f t="shared" si="44"/>
        <v>0.10530508099999999</v>
      </c>
      <c r="G937" t="str">
        <f>_xlfn.XLOOKUP(D937,'[1]2050 BAU Mapping to T &amp; C'!$A$3:$A$52,'[1]2050 BAU Mapping to T &amp; C'!$B$3:$B$52)</f>
        <v>Tropical Fruits</v>
      </c>
      <c r="H937" s="129">
        <f>_xlfn.XLOOKUP(G937,'[1]T&amp;C emissions for 2050 analysis'!$B$3:$B$23,'[1]T&amp;C emissions for 2050 analysis'!$C$3:$C$23)</f>
        <v>0.51333333333333331</v>
      </c>
      <c r="I937" s="27">
        <f t="shared" si="42"/>
        <v>5.4056608246666658E-2</v>
      </c>
      <c r="J937" s="129">
        <f t="shared" si="43"/>
        <v>0.56415333333333328</v>
      </c>
    </row>
    <row r="938" spans="1:10" hidden="1" x14ac:dyDescent="0.35">
      <c r="A938" s="126" t="s">
        <v>470</v>
      </c>
      <c r="B938" t="str">
        <f>_xlfn.XLOOKUP(A938,'[1]2050Pop'!$A$7:$A$143,'[1]2050Pop'!$D$7:$D$143)</f>
        <v>SSA</v>
      </c>
      <c r="C938" s="127">
        <f>1000*_xlfn.XLOOKUP(A938,'[1]2050Pop'!$A$7:$A$143,'[1]2050Pop'!$C$7:$C$143)</f>
        <v>101873</v>
      </c>
      <c r="D938" s="126" t="s">
        <v>500</v>
      </c>
      <c r="E938" s="128">
        <v>1.214</v>
      </c>
      <c r="F938" s="129">
        <f t="shared" si="44"/>
        <v>0.123673822</v>
      </c>
      <c r="G938" t="str">
        <f>_xlfn.XLOOKUP(D938,'[1]2050 BAU Mapping to T &amp; C'!$A$3:$A$52,'[1]2050 BAU Mapping to T &amp; C'!$B$3:$B$52)</f>
        <v>Tropical Fruits</v>
      </c>
      <c r="H938" s="129">
        <f>_xlfn.XLOOKUP(G938,'[1]T&amp;C emissions for 2050 analysis'!$B$3:$B$23,'[1]T&amp;C emissions for 2050 analysis'!$C$3:$C$23)</f>
        <v>0.51333333333333331</v>
      </c>
      <c r="I938" s="27">
        <f t="shared" si="42"/>
        <v>6.348589529333333E-2</v>
      </c>
      <c r="J938" s="129">
        <f t="shared" si="43"/>
        <v>0.62318666666666667</v>
      </c>
    </row>
    <row r="939" spans="1:10" hidden="1" x14ac:dyDescent="0.35">
      <c r="A939" s="126" t="s">
        <v>471</v>
      </c>
      <c r="B939" t="str">
        <f>_xlfn.XLOOKUP(A939,'[1]2050Pop'!$A$7:$A$143,'[1]2050Pop'!$D$7:$D$143)</f>
        <v>Euro/AU/NZ</v>
      </c>
      <c r="C939" s="127">
        <f>1000*_xlfn.XLOOKUP(A939,'[1]2050Pop'!$A$7:$A$143,'[1]2050Pop'!$C$7:$C$143)</f>
        <v>35117</v>
      </c>
      <c r="D939" s="126" t="s">
        <v>500</v>
      </c>
      <c r="E939" s="128">
        <v>2.8079999999999998</v>
      </c>
      <c r="F939" s="129">
        <f t="shared" si="44"/>
        <v>9.8608535999999997E-2</v>
      </c>
      <c r="G939" t="str">
        <f>_xlfn.XLOOKUP(D939,'[1]2050 BAU Mapping to T &amp; C'!$A$3:$A$52,'[1]2050 BAU Mapping to T &amp; C'!$B$3:$B$52)</f>
        <v>Tropical Fruits</v>
      </c>
      <c r="H939" s="129">
        <f>_xlfn.XLOOKUP(G939,'[1]T&amp;C emissions for 2050 analysis'!$B$3:$B$23,'[1]T&amp;C emissions for 2050 analysis'!$C$3:$C$23)</f>
        <v>0.51333333333333331</v>
      </c>
      <c r="I939" s="27">
        <f t="shared" si="42"/>
        <v>5.0619048479999998E-2</v>
      </c>
      <c r="J939" s="129">
        <f t="shared" si="43"/>
        <v>1.4414399999999998</v>
      </c>
    </row>
    <row r="940" spans="1:10" hidden="1" x14ac:dyDescent="0.35">
      <c r="A940" s="126" t="s">
        <v>472</v>
      </c>
      <c r="B940" t="str">
        <f>_xlfn.XLOOKUP(A940,'[1]2050Pop'!$A$7:$A$143,'[1]2050Pop'!$D$7:$D$143)</f>
        <v>Euro/AU/NZ</v>
      </c>
      <c r="C940" s="127">
        <f>1000*_xlfn.XLOOKUP(A940,'[1]2050Pop'!$A$7:$A$143,'[1]2050Pop'!$C$7:$C$143)</f>
        <v>75361</v>
      </c>
      <c r="D940" s="126" t="s">
        <v>500</v>
      </c>
      <c r="E940" s="128">
        <v>3.2010000000000001</v>
      </c>
      <c r="F940" s="129">
        <f t="shared" si="44"/>
        <v>0.24123056100000001</v>
      </c>
      <c r="G940" t="str">
        <f>_xlfn.XLOOKUP(D940,'[1]2050 BAU Mapping to T &amp; C'!$A$3:$A$52,'[1]2050 BAU Mapping to T &amp; C'!$B$3:$B$52)</f>
        <v>Tropical Fruits</v>
      </c>
      <c r="H940" s="129">
        <f>_xlfn.XLOOKUP(G940,'[1]T&amp;C emissions for 2050 analysis'!$B$3:$B$23,'[1]T&amp;C emissions for 2050 analysis'!$C$3:$C$23)</f>
        <v>0.51333333333333331</v>
      </c>
      <c r="I940" s="27">
        <f t="shared" si="42"/>
        <v>0.12383168797999999</v>
      </c>
      <c r="J940" s="129">
        <f t="shared" si="43"/>
        <v>1.6431799999999999</v>
      </c>
    </row>
    <row r="941" spans="1:10" hidden="1" x14ac:dyDescent="0.35">
      <c r="A941" s="126" t="s">
        <v>473</v>
      </c>
      <c r="B941" t="str">
        <f>_xlfn.XLOOKUP(A941,'[1]2050Pop'!$A$7:$A$143,'[1]2050Pop'!$D$7:$D$143)</f>
        <v>SSA</v>
      </c>
      <c r="C941" s="127">
        <f>1000*_xlfn.XLOOKUP(A941,'[1]2050Pop'!$A$7:$A$143,'[1]2050Pop'!$C$7:$C$143)</f>
        <v>137136</v>
      </c>
      <c r="D941" s="126" t="s">
        <v>500</v>
      </c>
      <c r="E941" s="128">
        <v>1.2090000000000001</v>
      </c>
      <c r="F941" s="129">
        <f t="shared" si="44"/>
        <v>0.165797424</v>
      </c>
      <c r="G941" t="str">
        <f>_xlfn.XLOOKUP(D941,'[1]2050 BAU Mapping to T &amp; C'!$A$3:$A$52,'[1]2050 BAU Mapping to T &amp; C'!$B$3:$B$52)</f>
        <v>Tropical Fruits</v>
      </c>
      <c r="H941" s="129">
        <f>_xlfn.XLOOKUP(G941,'[1]T&amp;C emissions for 2050 analysis'!$B$3:$B$23,'[1]T&amp;C emissions for 2050 analysis'!$C$3:$C$23)</f>
        <v>0.51333333333333331</v>
      </c>
      <c r="I941" s="27">
        <f t="shared" si="42"/>
        <v>8.5109344319999988E-2</v>
      </c>
      <c r="J941" s="129">
        <f t="shared" si="43"/>
        <v>0.62062000000000006</v>
      </c>
    </row>
    <row r="942" spans="1:10" hidden="1" x14ac:dyDescent="0.35">
      <c r="A942" s="126" t="s">
        <v>474</v>
      </c>
      <c r="B942" t="str">
        <f>_xlfn.XLOOKUP(A942,'[1]2050Pop'!$A$7:$A$143,'[1]2050Pop'!$D$7:$D$143)</f>
        <v>NAm</v>
      </c>
      <c r="C942" s="127">
        <f>1000*_xlfn.XLOOKUP(A942,'[1]2050Pop'!$A$7:$A$143,'[1]2050Pop'!$C$7:$C$143)</f>
        <v>388865</v>
      </c>
      <c r="D942" s="126" t="s">
        <v>500</v>
      </c>
      <c r="E942" s="128">
        <v>5.3520000000000003</v>
      </c>
      <c r="F942" s="129">
        <f t="shared" si="44"/>
        <v>2.0812054800000004</v>
      </c>
      <c r="G942" t="str">
        <f>_xlfn.XLOOKUP(D942,'[1]2050 BAU Mapping to T &amp; C'!$A$3:$A$52,'[1]2050 BAU Mapping to T &amp; C'!$B$3:$B$52)</f>
        <v>Tropical Fruits</v>
      </c>
      <c r="H942" s="129">
        <f>_xlfn.XLOOKUP(G942,'[1]T&amp;C emissions for 2050 analysis'!$B$3:$B$23,'[1]T&amp;C emissions for 2050 analysis'!$C$3:$C$23)</f>
        <v>0.51333333333333331</v>
      </c>
      <c r="I942" s="27">
        <f t="shared" si="42"/>
        <v>1.0683521464000001</v>
      </c>
      <c r="J942" s="129">
        <f t="shared" si="43"/>
        <v>2.74736</v>
      </c>
    </row>
    <row r="943" spans="1:10" hidden="1" x14ac:dyDescent="0.35">
      <c r="A943" s="126" t="s">
        <v>475</v>
      </c>
      <c r="B943" t="str">
        <f>_xlfn.XLOOKUP(A943,'[1]2050Pop'!$A$7:$A$143,'[1]2050Pop'!$D$7:$D$143)</f>
        <v>LatAm &amp; RSA</v>
      </c>
      <c r="C943" s="127">
        <f>1000*_xlfn.XLOOKUP(A943,'[1]2050Pop'!$A$7:$A$143,'[1]2050Pop'!$C$7:$C$143)</f>
        <v>3667</v>
      </c>
      <c r="D943" s="126" t="s">
        <v>500</v>
      </c>
      <c r="E943" s="128">
        <v>2.226</v>
      </c>
      <c r="F943" s="129">
        <f t="shared" si="44"/>
        <v>8.1627420000000006E-3</v>
      </c>
      <c r="G943" t="str">
        <f>_xlfn.XLOOKUP(D943,'[1]2050 BAU Mapping to T &amp; C'!$A$3:$A$52,'[1]2050 BAU Mapping to T &amp; C'!$B$3:$B$52)</f>
        <v>Tropical Fruits</v>
      </c>
      <c r="H943" s="129">
        <f>_xlfn.XLOOKUP(G943,'[1]T&amp;C emissions for 2050 analysis'!$B$3:$B$23,'[1]T&amp;C emissions for 2050 analysis'!$C$3:$C$23)</f>
        <v>0.51333333333333331</v>
      </c>
      <c r="I943" s="27">
        <f t="shared" si="42"/>
        <v>4.19020756E-3</v>
      </c>
      <c r="J943" s="129">
        <f t="shared" si="43"/>
        <v>1.1426799999999999</v>
      </c>
    </row>
    <row r="944" spans="1:10" hidden="1" x14ac:dyDescent="0.35">
      <c r="A944" s="126" t="s">
        <v>476</v>
      </c>
      <c r="B944" t="str">
        <f>_xlfn.XLOOKUP(A944,'[1]2050Pop'!$A$7:$A$143,'[1]2050Pop'!$D$7:$D$143)</f>
        <v>LatAm &amp; RSA</v>
      </c>
      <c r="C944" s="127">
        <f>1000*_xlfn.XLOOKUP(A944,'[1]2050Pop'!$A$7:$A$143,'[1]2050Pop'!$C$7:$C$143)</f>
        <v>41562</v>
      </c>
      <c r="D944" s="126" t="s">
        <v>500</v>
      </c>
      <c r="E944" s="128">
        <v>4.5679999999999996</v>
      </c>
      <c r="F944" s="129">
        <f t="shared" si="44"/>
        <v>0.18985521599999999</v>
      </c>
      <c r="G944" t="str">
        <f>_xlfn.XLOOKUP(D944,'[1]2050 BAU Mapping to T &amp; C'!$A$3:$A$52,'[1]2050 BAU Mapping to T &amp; C'!$B$3:$B$52)</f>
        <v>Tropical Fruits</v>
      </c>
      <c r="H944" s="129">
        <f>_xlfn.XLOOKUP(G944,'[1]T&amp;C emissions for 2050 analysis'!$B$3:$B$23,'[1]T&amp;C emissions for 2050 analysis'!$C$3:$C$23)</f>
        <v>0.51333333333333331</v>
      </c>
      <c r="I944" s="27">
        <f t="shared" si="42"/>
        <v>9.7459010879999988E-2</v>
      </c>
      <c r="J944" s="129">
        <f t="shared" si="43"/>
        <v>2.3449066666666663</v>
      </c>
    </row>
    <row r="945" spans="1:10" hidden="1" x14ac:dyDescent="0.35">
      <c r="A945" s="126" t="s">
        <v>478</v>
      </c>
      <c r="B945" t="str">
        <f>_xlfn.XLOOKUP(A945,'[1]2050Pop'!$A$7:$A$143,'[1]2050Pop'!$D$7:$D$143)</f>
        <v>MENA</v>
      </c>
      <c r="C945" s="127">
        <f>1000*_xlfn.XLOOKUP(A945,'[1]2050Pop'!$A$7:$A$143,'[1]2050Pop'!$C$7:$C$143)</f>
        <v>47170</v>
      </c>
      <c r="D945" s="126" t="s">
        <v>500</v>
      </c>
      <c r="E945" s="128">
        <v>1.1830000000000001</v>
      </c>
      <c r="F945" s="129">
        <f t="shared" si="44"/>
        <v>5.5802110000000002E-2</v>
      </c>
      <c r="G945" t="str">
        <f>_xlfn.XLOOKUP(D945,'[1]2050 BAU Mapping to T &amp; C'!$A$3:$A$52,'[1]2050 BAU Mapping to T &amp; C'!$B$3:$B$52)</f>
        <v>Tropical Fruits</v>
      </c>
      <c r="H945" s="129">
        <f>_xlfn.XLOOKUP(G945,'[1]T&amp;C emissions for 2050 analysis'!$B$3:$B$23,'[1]T&amp;C emissions for 2050 analysis'!$C$3:$C$23)</f>
        <v>0.51333333333333331</v>
      </c>
      <c r="I945" s="27">
        <f t="shared" si="42"/>
        <v>2.8645083133333332E-2</v>
      </c>
      <c r="J945" s="129">
        <f t="shared" si="43"/>
        <v>0.60727333333333333</v>
      </c>
    </row>
    <row r="946" spans="1:10" hidden="1" x14ac:dyDescent="0.35">
      <c r="A946" s="126" t="s">
        <v>494</v>
      </c>
      <c r="B946" t="str">
        <f>_xlfn.XLOOKUP(A946,'[1]2050Pop'!$A$7:$A$143,'[1]2050Pop'!$D$7:$D$143)</f>
        <v>SSA</v>
      </c>
      <c r="C946" s="127">
        <f>1000*_xlfn.XLOOKUP(A946,'[1]2050Pop'!$A$7:$A$143,'[1]2050Pop'!$C$7:$C$143)</f>
        <v>42975</v>
      </c>
      <c r="D946" s="126" t="s">
        <v>500</v>
      </c>
      <c r="E946" s="128">
        <v>1.204</v>
      </c>
      <c r="F946" s="129">
        <f t="shared" si="44"/>
        <v>5.17419E-2</v>
      </c>
      <c r="G946" t="str">
        <f>_xlfn.XLOOKUP(D946,'[1]2050 BAU Mapping to T &amp; C'!$A$3:$A$52,'[1]2050 BAU Mapping to T &amp; C'!$B$3:$B$52)</f>
        <v>Tropical Fruits</v>
      </c>
      <c r="H946" s="129">
        <f>_xlfn.XLOOKUP(G946,'[1]T&amp;C emissions for 2050 analysis'!$B$3:$B$23,'[1]T&amp;C emissions for 2050 analysis'!$C$3:$C$23)</f>
        <v>0.51333333333333331</v>
      </c>
      <c r="I946" s="27">
        <f t="shared" si="42"/>
        <v>2.6560841999999998E-2</v>
      </c>
      <c r="J946" s="129">
        <f t="shared" si="43"/>
        <v>0.61805333333333323</v>
      </c>
    </row>
    <row r="947" spans="1:10" hidden="1" x14ac:dyDescent="0.35">
      <c r="A947" s="126" t="s">
        <v>355</v>
      </c>
      <c r="B947" t="str">
        <f>_xlfn.XLOOKUP(A947,'[1]2050Pop'!$A$7:$A$143,'[1]2050Pop'!$D$7:$D$143)</f>
        <v>India/South Asia</v>
      </c>
      <c r="C947" s="127">
        <f>1000*_xlfn.XLOOKUP(A947,'[1]2050Pop'!$A$7:$A$143,'[1]2050Pop'!$C$7:$C$143)</f>
        <v>55955</v>
      </c>
      <c r="D947" s="126" t="s">
        <v>501</v>
      </c>
      <c r="E947" s="128">
        <v>4.0019999999999998</v>
      </c>
      <c r="F947" s="129">
        <f t="shared" si="44"/>
        <v>0.22393190999999998</v>
      </c>
      <c r="G947" t="str">
        <f>_xlfn.XLOOKUP(D947,'[1]2050 BAU Mapping to T &amp; C'!$A$3:$A$52,'[1]2050 BAU Mapping to T &amp; C'!$B$3:$B$52)</f>
        <v xml:space="preserve">Oil crops </v>
      </c>
      <c r="H947" s="129">
        <f>_xlfn.XLOOKUP(G947,'[1]T&amp;C emissions for 2050 analysis'!$B$3:$B$23,'[1]T&amp;C emissions for 2050 analysis'!$C$3:$C$23)</f>
        <v>0.18333333333333335</v>
      </c>
      <c r="I947" s="27">
        <f t="shared" si="42"/>
        <v>4.1054183500000001E-2</v>
      </c>
      <c r="J947" s="129">
        <f t="shared" si="43"/>
        <v>0.73370000000000002</v>
      </c>
    </row>
    <row r="948" spans="1:10" hidden="1" x14ac:dyDescent="0.35">
      <c r="A948" s="126" t="s">
        <v>359</v>
      </c>
      <c r="B948" t="str">
        <f>_xlfn.XLOOKUP(A948,'[1]2050Pop'!$A$7:$A$143,'[1]2050Pop'!$D$7:$D$143)</f>
        <v>SSA</v>
      </c>
      <c r="C948" s="127">
        <f>1000*_xlfn.XLOOKUP(A948,'[1]2050Pop'!$A$7:$A$143,'[1]2050Pop'!$C$7:$C$143)</f>
        <v>65473</v>
      </c>
      <c r="D948" s="126" t="s">
        <v>501</v>
      </c>
      <c r="E948" s="128">
        <v>1.1559999999999999</v>
      </c>
      <c r="F948" s="129">
        <f t="shared" si="44"/>
        <v>7.5686788000000005E-2</v>
      </c>
      <c r="G948" t="str">
        <f>_xlfn.XLOOKUP(D948,'[1]2050 BAU Mapping to T &amp; C'!$A$3:$A$52,'[1]2050 BAU Mapping to T &amp; C'!$B$3:$B$52)</f>
        <v xml:space="preserve">Oil crops </v>
      </c>
      <c r="H948" s="129">
        <f>_xlfn.XLOOKUP(G948,'[1]T&amp;C emissions for 2050 analysis'!$B$3:$B$23,'[1]T&amp;C emissions for 2050 analysis'!$C$3:$C$23)</f>
        <v>0.18333333333333335</v>
      </c>
      <c r="I948" s="27">
        <f t="shared" si="42"/>
        <v>1.3875911133333335E-2</v>
      </c>
      <c r="J948" s="129">
        <f t="shared" si="43"/>
        <v>0.21193333333333333</v>
      </c>
    </row>
    <row r="949" spans="1:10" hidden="1" x14ac:dyDescent="0.35">
      <c r="A949" s="126" t="s">
        <v>360</v>
      </c>
      <c r="B949" t="str">
        <f>_xlfn.XLOOKUP(A949,'[1]2050Pop'!$A$7:$A$143,'[1]2050Pop'!$D$7:$D$143)</f>
        <v>LatAm &amp; RSA</v>
      </c>
      <c r="C949" s="127">
        <f>1000*_xlfn.XLOOKUP(A949,'[1]2050Pop'!$A$7:$A$143,'[1]2050Pop'!$C$7:$C$143)</f>
        <v>55445</v>
      </c>
      <c r="D949" s="126" t="s">
        <v>501</v>
      </c>
      <c r="E949" s="128">
        <v>2.7730000000000001</v>
      </c>
      <c r="F949" s="129">
        <f t="shared" si="44"/>
        <v>0.153748985</v>
      </c>
      <c r="G949" t="str">
        <f>_xlfn.XLOOKUP(D949,'[1]2050 BAU Mapping to T &amp; C'!$A$3:$A$52,'[1]2050 BAU Mapping to T &amp; C'!$B$3:$B$52)</f>
        <v xml:space="preserve">Oil crops </v>
      </c>
      <c r="H949" s="129">
        <f>_xlfn.XLOOKUP(G949,'[1]T&amp;C emissions for 2050 analysis'!$B$3:$B$23,'[1]T&amp;C emissions for 2050 analysis'!$C$3:$C$23)</f>
        <v>0.18333333333333335</v>
      </c>
      <c r="I949" s="27">
        <f t="shared" si="42"/>
        <v>2.8187313916666668E-2</v>
      </c>
      <c r="J949" s="129">
        <f t="shared" si="43"/>
        <v>0.50838333333333341</v>
      </c>
    </row>
    <row r="950" spans="1:10" hidden="1" x14ac:dyDescent="0.35">
      <c r="A950" s="126" t="s">
        <v>362</v>
      </c>
      <c r="B950" t="str">
        <f>_xlfn.XLOOKUP(A950,'[1]2050Pop'!$A$7:$A$143,'[1]2050Pop'!$D$7:$D$143)</f>
        <v>Euro/AU/NZ</v>
      </c>
      <c r="C950" s="127">
        <f>1000*_xlfn.XLOOKUP(A950,'[1]2050Pop'!$A$7:$A$143,'[1]2050Pop'!$C$7:$C$143)</f>
        <v>33496</v>
      </c>
      <c r="D950" s="126" t="s">
        <v>501</v>
      </c>
      <c r="E950" s="128">
        <v>84.195999999999998</v>
      </c>
      <c r="F950" s="129">
        <f t="shared" si="44"/>
        <v>2.820229216</v>
      </c>
      <c r="G950" t="str">
        <f>_xlfn.XLOOKUP(D950,'[1]2050 BAU Mapping to T &amp; C'!$A$3:$A$52,'[1]2050 BAU Mapping to T &amp; C'!$B$3:$B$52)</f>
        <v xml:space="preserve">Oil crops </v>
      </c>
      <c r="H950" s="129">
        <f>_xlfn.XLOOKUP(G950,'[1]T&amp;C emissions for 2050 analysis'!$B$3:$B$23,'[1]T&amp;C emissions for 2050 analysis'!$C$3:$C$23)</f>
        <v>0.18333333333333335</v>
      </c>
      <c r="I950" s="27">
        <f t="shared" si="42"/>
        <v>0.51704202293333335</v>
      </c>
      <c r="J950" s="129">
        <f t="shared" si="43"/>
        <v>15.435933333333335</v>
      </c>
    </row>
    <row r="951" spans="1:10" hidden="1" x14ac:dyDescent="0.35">
      <c r="A951" s="126" t="s">
        <v>364</v>
      </c>
      <c r="B951" t="str">
        <f>_xlfn.XLOOKUP(A951,'[1]2050Pop'!$A$7:$A$143,'[1]2050Pop'!$D$7:$D$143)</f>
        <v>MENA</v>
      </c>
      <c r="C951" s="127">
        <f>1000*_xlfn.XLOOKUP(A951,'[1]2050Pop'!$A$7:$A$143,'[1]2050Pop'!$C$7:$C$143)</f>
        <v>10963</v>
      </c>
      <c r="D951" s="126" t="s">
        <v>501</v>
      </c>
      <c r="E951" s="128">
        <v>12.129</v>
      </c>
      <c r="F951" s="129">
        <f t="shared" si="44"/>
        <v>0.132970227</v>
      </c>
      <c r="G951" t="str">
        <f>_xlfn.XLOOKUP(D951,'[1]2050 BAU Mapping to T &amp; C'!$A$3:$A$52,'[1]2050 BAU Mapping to T &amp; C'!$B$3:$B$52)</f>
        <v xml:space="preserve">Oil crops </v>
      </c>
      <c r="H951" s="129">
        <f>_xlfn.XLOOKUP(G951,'[1]T&amp;C emissions for 2050 analysis'!$B$3:$B$23,'[1]T&amp;C emissions for 2050 analysis'!$C$3:$C$23)</f>
        <v>0.18333333333333335</v>
      </c>
      <c r="I951" s="27">
        <f t="shared" si="42"/>
        <v>2.4377874950000003E-2</v>
      </c>
      <c r="J951" s="129">
        <f t="shared" si="43"/>
        <v>2.2236500000000001</v>
      </c>
    </row>
    <row r="952" spans="1:10" hidden="1" x14ac:dyDescent="0.35">
      <c r="A952" s="126" t="s">
        <v>365</v>
      </c>
      <c r="B952" t="str">
        <f>_xlfn.XLOOKUP(A952,'[1]2050Pop'!$A$7:$A$143,'[1]2050Pop'!$D$7:$D$143)</f>
        <v>India/South Asia</v>
      </c>
      <c r="C952" s="127">
        <f>1000*_xlfn.XLOOKUP(A952,'[1]2050Pop'!$A$7:$A$143,'[1]2050Pop'!$C$7:$C$143)</f>
        <v>202209</v>
      </c>
      <c r="D952" s="126" t="s">
        <v>501</v>
      </c>
      <c r="E952" s="128">
        <v>1.708</v>
      </c>
      <c r="F952" s="129">
        <f t="shared" si="44"/>
        <v>0.345372972</v>
      </c>
      <c r="G952" t="str">
        <f>_xlfn.XLOOKUP(D952,'[1]2050 BAU Mapping to T &amp; C'!$A$3:$A$52,'[1]2050 BAU Mapping to T &amp; C'!$B$3:$B$52)</f>
        <v xml:space="preserve">Oil crops </v>
      </c>
      <c r="H952" s="129">
        <f>_xlfn.XLOOKUP(G952,'[1]T&amp;C emissions for 2050 analysis'!$B$3:$B$23,'[1]T&amp;C emissions for 2050 analysis'!$C$3:$C$23)</f>
        <v>0.18333333333333335</v>
      </c>
      <c r="I952" s="27">
        <f t="shared" si="42"/>
        <v>6.3318378200000011E-2</v>
      </c>
      <c r="J952" s="129">
        <f t="shared" si="43"/>
        <v>0.31313333333333337</v>
      </c>
    </row>
    <row r="953" spans="1:10" hidden="1" x14ac:dyDescent="0.35">
      <c r="A953" s="126" t="s">
        <v>368</v>
      </c>
      <c r="B953" t="str">
        <f>_xlfn.XLOOKUP(A953,'[1]2050Pop'!$A$7:$A$143,'[1]2050Pop'!$D$7:$D$143)</f>
        <v>SSA</v>
      </c>
      <c r="C953" s="127">
        <f>1000*_xlfn.XLOOKUP(A953,'[1]2050Pop'!$A$7:$A$143,'[1]2050Pop'!$C$7:$C$143)</f>
        <v>22549</v>
      </c>
      <c r="D953" s="126" t="s">
        <v>501</v>
      </c>
      <c r="E953" s="128">
        <v>41.274999999999999</v>
      </c>
      <c r="F953" s="129">
        <f t="shared" si="44"/>
        <v>0.93070997499999997</v>
      </c>
      <c r="G953" t="str">
        <f>_xlfn.XLOOKUP(D953,'[1]2050 BAU Mapping to T &amp; C'!$A$3:$A$52,'[1]2050 BAU Mapping to T &amp; C'!$B$3:$B$52)</f>
        <v xml:space="preserve">Oil crops </v>
      </c>
      <c r="H953" s="129">
        <f>_xlfn.XLOOKUP(G953,'[1]T&amp;C emissions for 2050 analysis'!$B$3:$B$23,'[1]T&amp;C emissions for 2050 analysis'!$C$3:$C$23)</f>
        <v>0.18333333333333335</v>
      </c>
      <c r="I953" s="27">
        <f t="shared" si="42"/>
        <v>0.17063016208333334</v>
      </c>
      <c r="J953" s="129">
        <f t="shared" si="43"/>
        <v>7.5670833333333336</v>
      </c>
    </row>
    <row r="954" spans="1:10" hidden="1" x14ac:dyDescent="0.35">
      <c r="A954" s="126" t="s">
        <v>369</v>
      </c>
      <c r="B954" t="str">
        <f>_xlfn.XLOOKUP(A954,'[1]2050Pop'!$A$7:$A$143,'[1]2050Pop'!$D$7:$D$143)</f>
        <v>LatAm &amp; RSA</v>
      </c>
      <c r="C954" s="127">
        <f>1000*_xlfn.XLOOKUP(A954,'[1]2050Pop'!$A$7:$A$143,'[1]2050Pop'!$C$7:$C$143)</f>
        <v>15963</v>
      </c>
      <c r="D954" s="126" t="s">
        <v>501</v>
      </c>
      <c r="E954" s="128">
        <v>30.201000000000001</v>
      </c>
      <c r="F954" s="129">
        <f t="shared" si="44"/>
        <v>0.48209856300000004</v>
      </c>
      <c r="G954" t="str">
        <f>_xlfn.XLOOKUP(D954,'[1]2050 BAU Mapping to T &amp; C'!$A$3:$A$52,'[1]2050 BAU Mapping to T &amp; C'!$B$3:$B$52)</f>
        <v xml:space="preserve">Oil crops </v>
      </c>
      <c r="H954" s="129">
        <f>_xlfn.XLOOKUP(G954,'[1]T&amp;C emissions for 2050 analysis'!$B$3:$B$23,'[1]T&amp;C emissions for 2050 analysis'!$C$3:$C$23)</f>
        <v>0.18333333333333335</v>
      </c>
      <c r="I954" s="27">
        <f t="shared" si="42"/>
        <v>8.8384736550000009E-2</v>
      </c>
      <c r="J954" s="129">
        <f t="shared" si="43"/>
        <v>5.5368500000000003</v>
      </c>
    </row>
    <row r="955" spans="1:10" hidden="1" x14ac:dyDescent="0.35">
      <c r="A955" s="126" t="s">
        <v>371</v>
      </c>
      <c r="B955" t="str">
        <f>_xlfn.XLOOKUP(A955,'[1]2050Pop'!$A$7:$A$143,'[1]2050Pop'!$D$7:$D$143)</f>
        <v>SSA</v>
      </c>
      <c r="C955" s="127">
        <f>1000*_xlfn.XLOOKUP(A955,'[1]2050Pop'!$A$7:$A$143,'[1]2050Pop'!$C$7:$C$143)</f>
        <v>3389</v>
      </c>
      <c r="D955" s="126" t="s">
        <v>501</v>
      </c>
      <c r="E955" s="128">
        <v>17.956</v>
      </c>
      <c r="F955" s="129">
        <f t="shared" si="44"/>
        <v>6.0852883999999996E-2</v>
      </c>
      <c r="G955" t="str">
        <f>_xlfn.XLOOKUP(D955,'[1]2050 BAU Mapping to T &amp; C'!$A$3:$A$52,'[1]2050 BAU Mapping to T &amp; C'!$B$3:$B$52)</f>
        <v xml:space="preserve">Oil crops </v>
      </c>
      <c r="H955" s="129">
        <f>_xlfn.XLOOKUP(G955,'[1]T&amp;C emissions for 2050 analysis'!$B$3:$B$23,'[1]T&amp;C emissions for 2050 analysis'!$C$3:$C$23)</f>
        <v>0.18333333333333335</v>
      </c>
      <c r="I955" s="27">
        <f t="shared" si="42"/>
        <v>1.1156362066666667E-2</v>
      </c>
      <c r="J955" s="129">
        <f t="shared" si="43"/>
        <v>3.2919333333333336</v>
      </c>
    </row>
    <row r="956" spans="1:10" hidden="1" x14ac:dyDescent="0.35">
      <c r="A956" s="126" t="s">
        <v>372</v>
      </c>
      <c r="B956" t="str">
        <f>_xlfn.XLOOKUP(A956,'[1]2050Pop'!$A$7:$A$143,'[1]2050Pop'!$D$7:$D$143)</f>
        <v>LatAm &amp; RSA</v>
      </c>
      <c r="C956" s="127">
        <f>1000*_xlfn.XLOOKUP(A956,'[1]2050Pop'!$A$7:$A$143,'[1]2050Pop'!$C$7:$C$143)</f>
        <v>238270</v>
      </c>
      <c r="D956" s="126" t="s">
        <v>501</v>
      </c>
      <c r="E956" s="130">
        <v>38.81</v>
      </c>
      <c r="F956" s="129">
        <f t="shared" si="44"/>
        <v>9.2472587000000015</v>
      </c>
      <c r="G956" t="str">
        <f>_xlfn.XLOOKUP(D956,'[1]2050 BAU Mapping to T &amp; C'!$A$3:$A$52,'[1]2050 BAU Mapping to T &amp; C'!$B$3:$B$52)</f>
        <v xml:space="preserve">Oil crops </v>
      </c>
      <c r="H956" s="129">
        <f>_xlfn.XLOOKUP(G956,'[1]T&amp;C emissions for 2050 analysis'!$B$3:$B$23,'[1]T&amp;C emissions for 2050 analysis'!$C$3:$C$23)</f>
        <v>0.18333333333333335</v>
      </c>
      <c r="I956" s="27">
        <f t="shared" si="42"/>
        <v>1.6953307616666671</v>
      </c>
      <c r="J956" s="129">
        <f t="shared" si="43"/>
        <v>7.115166666666668</v>
      </c>
    </row>
    <row r="957" spans="1:10" hidden="1" x14ac:dyDescent="0.35">
      <c r="A957" s="126" t="s">
        <v>487</v>
      </c>
      <c r="B957" t="str">
        <f>_xlfn.XLOOKUP(A957,'[1]2050Pop'!$A$7:$A$143,'[1]2050Pop'!$D$7:$D$143)</f>
        <v>SSA</v>
      </c>
      <c r="C957" s="127">
        <f>1000*_xlfn.XLOOKUP(A957,'[1]2050Pop'!$A$7:$A$143,'[1]2050Pop'!$C$7:$C$143)</f>
        <v>42789</v>
      </c>
      <c r="D957" s="126" t="s">
        <v>501</v>
      </c>
      <c r="E957" s="128">
        <v>115.84699999999999</v>
      </c>
      <c r="F957" s="129">
        <f t="shared" si="44"/>
        <v>4.9569772829999996</v>
      </c>
      <c r="G957" t="str">
        <f>_xlfn.XLOOKUP(D957,'[1]2050 BAU Mapping to T &amp; C'!$A$3:$A$52,'[1]2050 BAU Mapping to T &amp; C'!$B$3:$B$52)</f>
        <v xml:space="preserve">Oil crops </v>
      </c>
      <c r="H957" s="129">
        <f>_xlfn.XLOOKUP(G957,'[1]T&amp;C emissions for 2050 analysis'!$B$3:$B$23,'[1]T&amp;C emissions for 2050 analysis'!$C$3:$C$23)</f>
        <v>0.18333333333333335</v>
      </c>
      <c r="I957" s="27">
        <f t="shared" si="42"/>
        <v>0.90877916854999996</v>
      </c>
      <c r="J957" s="129">
        <f t="shared" si="43"/>
        <v>21.238616666666669</v>
      </c>
    </row>
    <row r="958" spans="1:10" hidden="1" x14ac:dyDescent="0.35">
      <c r="A958" s="126" t="s">
        <v>375</v>
      </c>
      <c r="B958" t="str">
        <f>_xlfn.XLOOKUP(A958,'[1]2050Pop'!$A$7:$A$143,'[1]2050Pop'!$D$7:$D$143)</f>
        <v>SSA</v>
      </c>
      <c r="C958" s="127">
        <f>1000*_xlfn.XLOOKUP(A958,'[1]2050Pop'!$A$7:$A$143,'[1]2050Pop'!$C$7:$C$143)</f>
        <v>48362</v>
      </c>
      <c r="D958" s="126" t="s">
        <v>501</v>
      </c>
      <c r="E958" s="130">
        <v>37.340000000000003</v>
      </c>
      <c r="F958" s="129">
        <f t="shared" si="44"/>
        <v>1.8058370800000001</v>
      </c>
      <c r="G958" t="str">
        <f>_xlfn.XLOOKUP(D958,'[1]2050 BAU Mapping to T &amp; C'!$A$3:$A$52,'[1]2050 BAU Mapping to T &amp; C'!$B$3:$B$52)</f>
        <v xml:space="preserve">Oil crops </v>
      </c>
      <c r="H958" s="129">
        <f>_xlfn.XLOOKUP(G958,'[1]T&amp;C emissions for 2050 analysis'!$B$3:$B$23,'[1]T&amp;C emissions for 2050 analysis'!$C$3:$C$23)</f>
        <v>0.18333333333333335</v>
      </c>
      <c r="I958" s="27">
        <f t="shared" si="42"/>
        <v>0.33107013133333335</v>
      </c>
      <c r="J958" s="129">
        <f t="shared" si="43"/>
        <v>6.8456666666666681</v>
      </c>
    </row>
    <row r="959" spans="1:10" hidden="1" x14ac:dyDescent="0.35">
      <c r="A959" s="126" t="s">
        <v>376</v>
      </c>
      <c r="B959" t="str">
        <f>_xlfn.XLOOKUP(A959,'[1]2050Pop'!$A$7:$A$143,'[1]2050Pop'!$D$7:$D$143)</f>
        <v>NAm</v>
      </c>
      <c r="C959" s="127">
        <f>1000*_xlfn.XLOOKUP(A959,'[1]2050Pop'!$A$7:$A$143,'[1]2050Pop'!$C$7:$C$143)</f>
        <v>44136</v>
      </c>
      <c r="D959" s="126" t="s">
        <v>501</v>
      </c>
      <c r="E959" s="130">
        <v>7.08</v>
      </c>
      <c r="F959" s="129">
        <f t="shared" si="44"/>
        <v>0.31248288000000002</v>
      </c>
      <c r="G959" t="str">
        <f>_xlfn.XLOOKUP(D959,'[1]2050 BAU Mapping to T &amp; C'!$A$3:$A$52,'[1]2050 BAU Mapping to T &amp; C'!$B$3:$B$52)</f>
        <v xml:space="preserve">Oil crops </v>
      </c>
      <c r="H959" s="129">
        <f>_xlfn.XLOOKUP(G959,'[1]T&amp;C emissions for 2050 analysis'!$B$3:$B$23,'[1]T&amp;C emissions for 2050 analysis'!$C$3:$C$23)</f>
        <v>0.18333333333333335</v>
      </c>
      <c r="I959" s="27">
        <f t="shared" si="42"/>
        <v>5.7288528000000005E-2</v>
      </c>
      <c r="J959" s="129">
        <f t="shared" si="43"/>
        <v>1.298</v>
      </c>
    </row>
    <row r="960" spans="1:10" hidden="1" x14ac:dyDescent="0.35">
      <c r="A960" s="126" t="s">
        <v>377</v>
      </c>
      <c r="B960" t="str">
        <f>_xlfn.XLOOKUP(A960,'[1]2050Pop'!$A$7:$A$143,'[1]2050Pop'!$D$7:$D$143)</f>
        <v>SSA</v>
      </c>
      <c r="C960" s="127">
        <f>1000*_xlfn.XLOOKUP(A960,'[1]2050Pop'!$A$7:$A$143,'[1]2050Pop'!$C$7:$C$143)</f>
        <v>8782</v>
      </c>
      <c r="D960" s="126" t="s">
        <v>501</v>
      </c>
      <c r="E960" s="128">
        <v>2.714</v>
      </c>
      <c r="F960" s="129">
        <f t="shared" si="44"/>
        <v>2.3834347999999998E-2</v>
      </c>
      <c r="G960" t="str">
        <f>_xlfn.XLOOKUP(D960,'[1]2050 BAU Mapping to T &amp; C'!$A$3:$A$52,'[1]2050 BAU Mapping to T &amp; C'!$B$3:$B$52)</f>
        <v xml:space="preserve">Oil crops </v>
      </c>
      <c r="H960" s="129">
        <f>_xlfn.XLOOKUP(G960,'[1]T&amp;C emissions for 2050 analysis'!$B$3:$B$23,'[1]T&amp;C emissions for 2050 analysis'!$C$3:$C$23)</f>
        <v>0.18333333333333335</v>
      </c>
      <c r="I960" s="27">
        <f t="shared" si="42"/>
        <v>4.3696304666666665E-3</v>
      </c>
      <c r="J960" s="129">
        <f t="shared" si="43"/>
        <v>0.49756666666666671</v>
      </c>
    </row>
    <row r="961" spans="1:10" hidden="1" x14ac:dyDescent="0.35">
      <c r="A961" s="126" t="s">
        <v>488</v>
      </c>
      <c r="B961" t="str">
        <f>_xlfn.XLOOKUP(A961,'[1]2050Pop'!$A$7:$A$143,'[1]2050Pop'!$D$7:$D$143)</f>
        <v>SSA</v>
      </c>
      <c r="C961" s="127">
        <f>1000*_xlfn.XLOOKUP(A961,'[1]2050Pop'!$A$7:$A$143,'[1]2050Pop'!$C$7:$C$143)</f>
        <v>35131</v>
      </c>
      <c r="D961" s="126" t="s">
        <v>501</v>
      </c>
      <c r="E961" s="128">
        <v>12.981999999999999</v>
      </c>
      <c r="F961" s="129">
        <f t="shared" si="44"/>
        <v>0.45607064199999997</v>
      </c>
      <c r="G961" t="str">
        <f>_xlfn.XLOOKUP(D961,'[1]2050 BAU Mapping to T &amp; C'!$A$3:$A$52,'[1]2050 BAU Mapping to T &amp; C'!$B$3:$B$52)</f>
        <v xml:space="preserve">Oil crops </v>
      </c>
      <c r="H961" s="129">
        <f>_xlfn.XLOOKUP(G961,'[1]T&amp;C emissions for 2050 analysis'!$B$3:$B$23,'[1]T&amp;C emissions for 2050 analysis'!$C$3:$C$23)</f>
        <v>0.18333333333333335</v>
      </c>
      <c r="I961" s="27">
        <f t="shared" si="42"/>
        <v>8.3612951033333341E-2</v>
      </c>
      <c r="J961" s="129">
        <f t="shared" si="43"/>
        <v>2.3800333333333334</v>
      </c>
    </row>
    <row r="962" spans="1:10" hidden="1" x14ac:dyDescent="0.35">
      <c r="A962" s="126" t="s">
        <v>380</v>
      </c>
      <c r="B962" t="str">
        <f>_xlfn.XLOOKUP(A962,'[1]2050Pop'!$A$7:$A$143,'[1]2050Pop'!$D$7:$D$143)</f>
        <v>Greater China</v>
      </c>
      <c r="C962" s="127">
        <f>1000*_xlfn.XLOOKUP(A962,'[1]2050Pop'!$A$7:$A$143,'[1]2050Pop'!$C$7:$C$143)</f>
        <v>1348056</v>
      </c>
      <c r="D962" s="126" t="s">
        <v>501</v>
      </c>
      <c r="E962" s="128">
        <v>18.376000000000001</v>
      </c>
      <c r="F962" s="129">
        <f t="shared" si="44"/>
        <v>24.771877056000001</v>
      </c>
      <c r="G962" t="str">
        <f>_xlfn.XLOOKUP(D962,'[1]2050 BAU Mapping to T &amp; C'!$A$3:$A$52,'[1]2050 BAU Mapping to T &amp; C'!$B$3:$B$52)</f>
        <v xml:space="preserve">Oil crops </v>
      </c>
      <c r="H962" s="129">
        <f>_xlfn.XLOOKUP(G962,'[1]T&amp;C emissions for 2050 analysis'!$B$3:$B$23,'[1]T&amp;C emissions for 2050 analysis'!$C$3:$C$23)</f>
        <v>0.18333333333333335</v>
      </c>
      <c r="I962" s="27">
        <f t="shared" si="42"/>
        <v>4.5415107936000005</v>
      </c>
      <c r="J962" s="129">
        <f t="shared" si="43"/>
        <v>3.368933333333334</v>
      </c>
    </row>
    <row r="963" spans="1:10" hidden="1" x14ac:dyDescent="0.35">
      <c r="A963" s="126" t="s">
        <v>382</v>
      </c>
      <c r="B963" t="str">
        <f>_xlfn.XLOOKUP(A963,'[1]2050Pop'!$A$7:$A$143,'[1]2050Pop'!$D$7:$D$143)</f>
        <v>LatAm &amp; RSA</v>
      </c>
      <c r="C963" s="127">
        <f>1000*_xlfn.XLOOKUP(A963,'[1]2050Pop'!$A$7:$A$143,'[1]2050Pop'!$C$7:$C$143)</f>
        <v>54927</v>
      </c>
      <c r="D963" s="126" t="s">
        <v>501</v>
      </c>
      <c r="E963" s="130">
        <v>6.82</v>
      </c>
      <c r="F963" s="129">
        <f t="shared" si="44"/>
        <v>0.37460214000000003</v>
      </c>
      <c r="G963" t="str">
        <f>_xlfn.XLOOKUP(D963,'[1]2050 BAU Mapping to T &amp; C'!$A$3:$A$52,'[1]2050 BAU Mapping to T &amp; C'!$B$3:$B$52)</f>
        <v xml:space="preserve">Oil crops </v>
      </c>
      <c r="H963" s="129">
        <f>_xlfn.XLOOKUP(G963,'[1]T&amp;C emissions for 2050 analysis'!$B$3:$B$23,'[1]T&amp;C emissions for 2050 analysis'!$C$3:$C$23)</f>
        <v>0.18333333333333335</v>
      </c>
      <c r="I963" s="27">
        <f t="shared" si="42"/>
        <v>6.8677059000000013E-2</v>
      </c>
      <c r="J963" s="129">
        <f t="shared" si="43"/>
        <v>1.2503333333333335</v>
      </c>
    </row>
    <row r="964" spans="1:10" hidden="1" x14ac:dyDescent="0.35">
      <c r="A964" s="126" t="s">
        <v>384</v>
      </c>
      <c r="B964" t="str">
        <f>_xlfn.XLOOKUP(A964,'[1]2050Pop'!$A$7:$A$143,'[1]2050Pop'!$D$7:$D$143)</f>
        <v>SSA</v>
      </c>
      <c r="C964" s="127">
        <f>1000*_xlfn.XLOOKUP(A964,'[1]2050Pop'!$A$7:$A$143,'[1]2050Pop'!$C$7:$C$143)</f>
        <v>48797</v>
      </c>
      <c r="D964" s="126" t="s">
        <v>501</v>
      </c>
      <c r="E964" s="128">
        <v>59.646999999999998</v>
      </c>
      <c r="F964" s="129">
        <f t="shared" si="44"/>
        <v>2.910594659</v>
      </c>
      <c r="G964" t="str">
        <f>_xlfn.XLOOKUP(D964,'[1]2050 BAU Mapping to T &amp; C'!$A$3:$A$52,'[1]2050 BAU Mapping to T &amp; C'!$B$3:$B$52)</f>
        <v xml:space="preserve">Oil crops </v>
      </c>
      <c r="H964" s="129">
        <f>_xlfn.XLOOKUP(G964,'[1]T&amp;C emissions for 2050 analysis'!$B$3:$B$23,'[1]T&amp;C emissions for 2050 analysis'!$C$3:$C$23)</f>
        <v>0.18333333333333335</v>
      </c>
      <c r="I964" s="27">
        <f t="shared" ref="I964:I1027" si="45">F964*H964</f>
        <v>0.53360902081666672</v>
      </c>
      <c r="J964" s="129">
        <f t="shared" ref="J964:J1027" si="46">E964*H964</f>
        <v>10.935283333333334</v>
      </c>
    </row>
    <row r="965" spans="1:10" hidden="1" x14ac:dyDescent="0.35">
      <c r="A965" s="126" t="s">
        <v>481</v>
      </c>
      <c r="B965" t="str">
        <f>_xlfn.XLOOKUP(A965,'[1]2050Pop'!$A$7:$A$143,'[1]2050Pop'!$D$7:$D$143)</f>
        <v>APAC</v>
      </c>
      <c r="C965" s="127">
        <f>1000*_xlfn.XLOOKUP(A965,'[1]2050Pop'!$A$7:$A$143,'[1]2050Pop'!$C$7:$C$143)</f>
        <v>26907</v>
      </c>
      <c r="D965" s="126" t="s">
        <v>501</v>
      </c>
      <c r="E965" s="128">
        <v>5.141</v>
      </c>
      <c r="F965" s="129">
        <f t="shared" ref="F965:F1028" si="47">C965*E965/1000000</f>
        <v>0.13832888699999998</v>
      </c>
      <c r="G965" t="str">
        <f>_xlfn.XLOOKUP(D965,'[1]2050 BAU Mapping to T &amp; C'!$A$3:$A$52,'[1]2050 BAU Mapping to T &amp; C'!$B$3:$B$52)</f>
        <v xml:space="preserve">Oil crops </v>
      </c>
      <c r="H965" s="129">
        <f>_xlfn.XLOOKUP(G965,'[1]T&amp;C emissions for 2050 analysis'!$B$3:$B$23,'[1]T&amp;C emissions for 2050 analysis'!$C$3:$C$23)</f>
        <v>0.18333333333333335</v>
      </c>
      <c r="I965" s="27">
        <f t="shared" si="45"/>
        <v>2.536029595E-2</v>
      </c>
      <c r="J965" s="129">
        <f t="shared" si="46"/>
        <v>0.94251666666666678</v>
      </c>
    </row>
    <row r="966" spans="1:10" hidden="1" x14ac:dyDescent="0.35">
      <c r="A966" s="126" t="s">
        <v>391</v>
      </c>
      <c r="B966" t="str">
        <f>_xlfn.XLOOKUP(A966,'[1]2050Pop'!$A$7:$A$143,'[1]2050Pop'!$D$7:$D$143)</f>
        <v>MENA</v>
      </c>
      <c r="C966" s="127">
        <f>1000*_xlfn.XLOOKUP(A966,'[1]2050Pop'!$A$7:$A$143,'[1]2050Pop'!$C$7:$C$143)</f>
        <v>151111</v>
      </c>
      <c r="D966" s="126" t="s">
        <v>501</v>
      </c>
      <c r="E966" s="128">
        <v>9.0540000000000003</v>
      </c>
      <c r="F966" s="129">
        <f t="shared" si="47"/>
        <v>1.3681589939999999</v>
      </c>
      <c r="G966" t="str">
        <f>_xlfn.XLOOKUP(D966,'[1]2050 BAU Mapping to T &amp; C'!$A$3:$A$52,'[1]2050 BAU Mapping to T &amp; C'!$B$3:$B$52)</f>
        <v xml:space="preserve">Oil crops </v>
      </c>
      <c r="H966" s="129">
        <f>_xlfn.XLOOKUP(G966,'[1]T&amp;C emissions for 2050 analysis'!$B$3:$B$23,'[1]T&amp;C emissions for 2050 analysis'!$C$3:$C$23)</f>
        <v>0.18333333333333335</v>
      </c>
      <c r="I966" s="27">
        <f t="shared" si="45"/>
        <v>0.25082914889999997</v>
      </c>
      <c r="J966" s="129">
        <f t="shared" si="46"/>
        <v>1.6599000000000002</v>
      </c>
    </row>
    <row r="967" spans="1:10" hidden="1" x14ac:dyDescent="0.35">
      <c r="A967" s="126" t="s">
        <v>392</v>
      </c>
      <c r="B967" t="str">
        <f>_xlfn.XLOOKUP(A967,'[1]2050Pop'!$A$7:$A$143,'[1]2050Pop'!$D$7:$D$143)</f>
        <v>LatAm &amp; RSA</v>
      </c>
      <c r="C967" s="127">
        <f>1000*_xlfn.XLOOKUP(A967,'[1]2050Pop'!$A$7:$A$143,'[1]2050Pop'!$C$7:$C$143)</f>
        <v>6390</v>
      </c>
      <c r="D967" s="126" t="s">
        <v>501</v>
      </c>
      <c r="E967" s="128">
        <v>1.1559999999999999</v>
      </c>
      <c r="F967" s="129">
        <f t="shared" si="47"/>
        <v>7.3868399999999996E-3</v>
      </c>
      <c r="G967" t="str">
        <f>_xlfn.XLOOKUP(D967,'[1]2050 BAU Mapping to T &amp; C'!$A$3:$A$52,'[1]2050 BAU Mapping to T &amp; C'!$B$3:$B$52)</f>
        <v xml:space="preserve">Oil crops </v>
      </c>
      <c r="H967" s="129">
        <f>_xlfn.XLOOKUP(G967,'[1]T&amp;C emissions for 2050 analysis'!$B$3:$B$23,'[1]T&amp;C emissions for 2050 analysis'!$C$3:$C$23)</f>
        <v>0.18333333333333335</v>
      </c>
      <c r="I967" s="27">
        <f t="shared" si="45"/>
        <v>1.354254E-3</v>
      </c>
      <c r="J967" s="129">
        <f t="shared" si="46"/>
        <v>0.21193333333333333</v>
      </c>
    </row>
    <row r="968" spans="1:10" hidden="1" x14ac:dyDescent="0.35">
      <c r="A968" s="126" t="s">
        <v>394</v>
      </c>
      <c r="B968" t="str">
        <f>_xlfn.XLOOKUP(A968,'[1]2050Pop'!$A$7:$A$143,'[1]2050Pop'!$D$7:$D$143)</f>
        <v>SSA</v>
      </c>
      <c r="C968" s="127">
        <f>1000*_xlfn.XLOOKUP(A968,'[1]2050Pop'!$A$7:$A$143,'[1]2050Pop'!$C$7:$C$143)</f>
        <v>188455</v>
      </c>
      <c r="D968" s="126" t="s">
        <v>501</v>
      </c>
      <c r="E968" s="128">
        <v>1.879</v>
      </c>
      <c r="F968" s="129">
        <f t="shared" si="47"/>
        <v>0.35410694500000001</v>
      </c>
      <c r="G968" t="str">
        <f>_xlfn.XLOOKUP(D968,'[1]2050 BAU Mapping to T &amp; C'!$A$3:$A$52,'[1]2050 BAU Mapping to T &amp; C'!$B$3:$B$52)</f>
        <v xml:space="preserve">Oil crops </v>
      </c>
      <c r="H968" s="129">
        <f>_xlfn.XLOOKUP(G968,'[1]T&amp;C emissions for 2050 analysis'!$B$3:$B$23,'[1]T&amp;C emissions for 2050 analysis'!$C$3:$C$23)</f>
        <v>0.18333333333333335</v>
      </c>
      <c r="I968" s="27">
        <f t="shared" si="45"/>
        <v>6.4919606583333345E-2</v>
      </c>
      <c r="J968" s="129">
        <f t="shared" si="46"/>
        <v>0.34448333333333336</v>
      </c>
    </row>
    <row r="969" spans="1:10" hidden="1" x14ac:dyDescent="0.35">
      <c r="A969" s="126" t="s">
        <v>401</v>
      </c>
      <c r="B969" t="str">
        <f>_xlfn.XLOOKUP(A969,'[1]2050Pop'!$A$7:$A$143,'[1]2050Pop'!$D$7:$D$143)</f>
        <v>Euro/AU/NZ</v>
      </c>
      <c r="C969" s="127">
        <f>1000*_xlfn.XLOOKUP(A969,'[1]2050Pop'!$A$7:$A$143,'[1]2050Pop'!$C$7:$C$143)</f>
        <v>9705</v>
      </c>
      <c r="D969" s="126" t="s">
        <v>501</v>
      </c>
      <c r="E969" s="128">
        <v>10.215</v>
      </c>
      <c r="F969" s="129">
        <f t="shared" si="47"/>
        <v>9.9136574999999991E-2</v>
      </c>
      <c r="G969" t="str">
        <f>_xlfn.XLOOKUP(D969,'[1]2050 BAU Mapping to T &amp; C'!$A$3:$A$52,'[1]2050 BAU Mapping to T &amp; C'!$B$3:$B$52)</f>
        <v xml:space="preserve">Oil crops </v>
      </c>
      <c r="H969" s="129">
        <f>_xlfn.XLOOKUP(G969,'[1]T&amp;C emissions for 2050 analysis'!$B$3:$B$23,'[1]T&amp;C emissions for 2050 analysis'!$C$3:$C$23)</f>
        <v>0.18333333333333335</v>
      </c>
      <c r="I969" s="27">
        <f t="shared" si="45"/>
        <v>1.8175038750000001E-2</v>
      </c>
      <c r="J969" s="129">
        <f t="shared" si="46"/>
        <v>1.8727500000000001</v>
      </c>
    </row>
    <row r="970" spans="1:10" hidden="1" x14ac:dyDescent="0.35">
      <c r="A970" s="126" t="s">
        <v>406</v>
      </c>
      <c r="B970" t="str">
        <f>_xlfn.XLOOKUP(A970,'[1]2050Pop'!$A$7:$A$143,'[1]2050Pop'!$D$7:$D$143)</f>
        <v>LatAm &amp; RSA</v>
      </c>
      <c r="C970" s="127">
        <f>1000*_xlfn.XLOOKUP(A970,'[1]2050Pop'!$A$7:$A$143,'[1]2050Pop'!$C$7:$C$143)</f>
        <v>11217</v>
      </c>
      <c r="D970" s="126" t="s">
        <v>501</v>
      </c>
      <c r="E970" s="128">
        <v>2.1659999999999999</v>
      </c>
      <c r="F970" s="129">
        <f t="shared" si="47"/>
        <v>2.4296022E-2</v>
      </c>
      <c r="G970" t="str">
        <f>_xlfn.XLOOKUP(D970,'[1]2050 BAU Mapping to T &amp; C'!$A$3:$A$52,'[1]2050 BAU Mapping to T &amp; C'!$B$3:$B$52)</f>
        <v xml:space="preserve">Oil crops </v>
      </c>
      <c r="H970" s="129">
        <f>_xlfn.XLOOKUP(G970,'[1]T&amp;C emissions for 2050 analysis'!$B$3:$B$23,'[1]T&amp;C emissions for 2050 analysis'!$C$3:$C$23)</f>
        <v>0.18333333333333335</v>
      </c>
      <c r="I970" s="27">
        <f t="shared" si="45"/>
        <v>4.4542707000000004E-3</v>
      </c>
      <c r="J970" s="129">
        <f t="shared" si="46"/>
        <v>0.39710000000000001</v>
      </c>
    </row>
    <row r="971" spans="1:10" hidden="1" x14ac:dyDescent="0.35">
      <c r="A971" s="126" t="s">
        <v>408</v>
      </c>
      <c r="B971" t="str">
        <f>_xlfn.XLOOKUP(A971,'[1]2050Pop'!$A$7:$A$143,'[1]2050Pop'!$D$7:$D$143)</f>
        <v>India/South Asia</v>
      </c>
      <c r="C971" s="127">
        <f>1000*_xlfn.XLOOKUP(A971,'[1]2050Pop'!$A$7:$A$143,'[1]2050Pop'!$C$7:$C$143)</f>
        <v>1705333</v>
      </c>
      <c r="D971" s="126" t="s">
        <v>501</v>
      </c>
      <c r="E971" s="128">
        <v>26.212</v>
      </c>
      <c r="F971" s="129">
        <f t="shared" si="47"/>
        <v>44.700188596000004</v>
      </c>
      <c r="G971" t="str">
        <f>_xlfn.XLOOKUP(D971,'[1]2050 BAU Mapping to T &amp; C'!$A$3:$A$52,'[1]2050 BAU Mapping to T &amp; C'!$B$3:$B$52)</f>
        <v xml:space="preserve">Oil crops </v>
      </c>
      <c r="H971" s="129">
        <f>_xlfn.XLOOKUP(G971,'[1]T&amp;C emissions for 2050 analysis'!$B$3:$B$23,'[1]T&amp;C emissions for 2050 analysis'!$C$3:$C$23)</f>
        <v>0.18333333333333335</v>
      </c>
      <c r="I971" s="27">
        <f t="shared" si="45"/>
        <v>8.1950345759333345</v>
      </c>
      <c r="J971" s="129">
        <f t="shared" si="46"/>
        <v>4.8055333333333339</v>
      </c>
    </row>
    <row r="972" spans="1:10" hidden="1" x14ac:dyDescent="0.35">
      <c r="A972" s="126" t="s">
        <v>410</v>
      </c>
      <c r="B972" t="str">
        <f>_xlfn.XLOOKUP(A972,'[1]2050Pop'!$A$7:$A$143,'[1]2050Pop'!$D$7:$D$143)</f>
        <v>India/South Asia</v>
      </c>
      <c r="C972" s="127">
        <f>1000*_xlfn.XLOOKUP(A972,'[1]2050Pop'!$A$7:$A$143,'[1]2050Pop'!$C$7:$C$143)</f>
        <v>92219</v>
      </c>
      <c r="D972" s="126" t="s">
        <v>501</v>
      </c>
      <c r="E972" s="128">
        <v>1.9239999999999999</v>
      </c>
      <c r="F972" s="129">
        <f t="shared" si="47"/>
        <v>0.17742935600000001</v>
      </c>
      <c r="G972" t="str">
        <f>_xlfn.XLOOKUP(D972,'[1]2050 BAU Mapping to T &amp; C'!$A$3:$A$52,'[1]2050 BAU Mapping to T &amp; C'!$B$3:$B$52)</f>
        <v xml:space="preserve">Oil crops </v>
      </c>
      <c r="H972" s="129">
        <f>_xlfn.XLOOKUP(G972,'[1]T&amp;C emissions for 2050 analysis'!$B$3:$B$23,'[1]T&amp;C emissions for 2050 analysis'!$C$3:$C$23)</f>
        <v>0.18333333333333335</v>
      </c>
      <c r="I972" s="27">
        <f t="shared" si="45"/>
        <v>3.2528715266666675E-2</v>
      </c>
      <c r="J972" s="129">
        <f t="shared" si="46"/>
        <v>0.35273333333333334</v>
      </c>
    </row>
    <row r="973" spans="1:10" hidden="1" x14ac:dyDescent="0.35">
      <c r="A973" s="126" t="s">
        <v>411</v>
      </c>
      <c r="B973" t="str">
        <f>_xlfn.XLOOKUP(A973,'[1]2050Pop'!$A$7:$A$143,'[1]2050Pop'!$D$7:$D$143)</f>
        <v>MENA</v>
      </c>
      <c r="C973" s="127">
        <f>1000*_xlfn.XLOOKUP(A973,'[1]2050Pop'!$A$7:$A$143,'[1]2050Pop'!$C$7:$C$143)</f>
        <v>83652</v>
      </c>
      <c r="D973" s="126" t="s">
        <v>501</v>
      </c>
      <c r="E973" s="128">
        <v>4.0170000000000003</v>
      </c>
      <c r="F973" s="129">
        <f t="shared" si="47"/>
        <v>0.33603008400000001</v>
      </c>
      <c r="G973" t="str">
        <f>_xlfn.XLOOKUP(D973,'[1]2050 BAU Mapping to T &amp; C'!$A$3:$A$52,'[1]2050 BAU Mapping to T &amp; C'!$B$3:$B$52)</f>
        <v xml:space="preserve">Oil crops </v>
      </c>
      <c r="H973" s="129">
        <f>_xlfn.XLOOKUP(G973,'[1]T&amp;C emissions for 2050 analysis'!$B$3:$B$23,'[1]T&amp;C emissions for 2050 analysis'!$C$3:$C$23)</f>
        <v>0.18333333333333335</v>
      </c>
      <c r="I973" s="27">
        <f t="shared" si="45"/>
        <v>6.1605515400000005E-2</v>
      </c>
      <c r="J973" s="129">
        <f t="shared" si="46"/>
        <v>0.73645000000000016</v>
      </c>
    </row>
    <row r="974" spans="1:10" hidden="1" x14ac:dyDescent="0.35">
      <c r="A974" s="126" t="s">
        <v>413</v>
      </c>
      <c r="B974" t="str">
        <f>_xlfn.XLOOKUP(A974,'[1]2050Pop'!$A$7:$A$143,'[1]2050Pop'!$D$7:$D$143)</f>
        <v>MENA</v>
      </c>
      <c r="C974" s="127">
        <f>1000*_xlfn.XLOOKUP(A974,'[1]2050Pop'!$A$7:$A$143,'[1]2050Pop'!$C$7:$C$143)</f>
        <v>12610</v>
      </c>
      <c r="D974" s="126" t="s">
        <v>501</v>
      </c>
      <c r="E974" s="128">
        <v>12.170999999999999</v>
      </c>
      <c r="F974" s="129">
        <f t="shared" si="47"/>
        <v>0.15347631</v>
      </c>
      <c r="G974" t="str">
        <f>_xlfn.XLOOKUP(D974,'[1]2050 BAU Mapping to T &amp; C'!$A$3:$A$52,'[1]2050 BAU Mapping to T &amp; C'!$B$3:$B$52)</f>
        <v xml:space="preserve">Oil crops </v>
      </c>
      <c r="H974" s="129">
        <f>_xlfn.XLOOKUP(G974,'[1]T&amp;C emissions for 2050 analysis'!$B$3:$B$23,'[1]T&amp;C emissions for 2050 analysis'!$C$3:$C$23)</f>
        <v>0.18333333333333335</v>
      </c>
      <c r="I974" s="27">
        <f t="shared" si="45"/>
        <v>2.8137323500000002E-2</v>
      </c>
      <c r="J974" s="129">
        <f t="shared" si="46"/>
        <v>2.2313499999999999</v>
      </c>
    </row>
    <row r="975" spans="1:10" hidden="1" x14ac:dyDescent="0.35">
      <c r="A975" s="126" t="s">
        <v>416</v>
      </c>
      <c r="B975" t="str">
        <f>_xlfn.XLOOKUP(A975,'[1]2050Pop'!$A$7:$A$143,'[1]2050Pop'!$D$7:$D$143)</f>
        <v>APAC</v>
      </c>
      <c r="C975" s="127">
        <f>1000*_xlfn.XLOOKUP(A975,'[1]2050Pop'!$A$7:$A$143,'[1]2050Pop'!$C$7:$C$143)</f>
        <v>107411</v>
      </c>
      <c r="D975" s="126" t="s">
        <v>501</v>
      </c>
      <c r="E975" s="128">
        <v>1.052</v>
      </c>
      <c r="F975" s="129">
        <f t="shared" si="47"/>
        <v>0.112996372</v>
      </c>
      <c r="G975" t="str">
        <f>_xlfn.XLOOKUP(D975,'[1]2050 BAU Mapping to T &amp; C'!$A$3:$A$52,'[1]2050 BAU Mapping to T &amp; C'!$B$3:$B$52)</f>
        <v xml:space="preserve">Oil crops </v>
      </c>
      <c r="H975" s="129">
        <f>_xlfn.XLOOKUP(G975,'[1]T&amp;C emissions for 2050 analysis'!$B$3:$B$23,'[1]T&amp;C emissions for 2050 analysis'!$C$3:$C$23)</f>
        <v>0.18333333333333335</v>
      </c>
      <c r="I975" s="27">
        <f t="shared" si="45"/>
        <v>2.0716001533333334E-2</v>
      </c>
      <c r="J975" s="129">
        <f t="shared" si="46"/>
        <v>0.19286666666666669</v>
      </c>
    </row>
    <row r="976" spans="1:10" hidden="1" x14ac:dyDescent="0.35">
      <c r="A976" s="126" t="s">
        <v>417</v>
      </c>
      <c r="B976" t="str">
        <f>_xlfn.XLOOKUP(A976,'[1]2050Pop'!$A$7:$A$143,'[1]2050Pop'!$D$7:$D$143)</f>
        <v>MENA</v>
      </c>
      <c r="C976" s="127">
        <f>1000*_xlfn.XLOOKUP(A976,'[1]2050Pop'!$A$7:$A$143,'[1]2050Pop'!$C$7:$C$143)</f>
        <v>11717</v>
      </c>
      <c r="D976" s="126" t="s">
        <v>501</v>
      </c>
      <c r="E976" s="128">
        <v>1.387</v>
      </c>
      <c r="F976" s="129">
        <f t="shared" si="47"/>
        <v>1.6251478999999999E-2</v>
      </c>
      <c r="G976" t="str">
        <f>_xlfn.XLOOKUP(D976,'[1]2050 BAU Mapping to T &amp; C'!$A$3:$A$52,'[1]2050 BAU Mapping to T &amp; C'!$B$3:$B$52)</f>
        <v xml:space="preserve">Oil crops </v>
      </c>
      <c r="H976" s="129">
        <f>_xlfn.XLOOKUP(G976,'[1]T&amp;C emissions for 2050 analysis'!$B$3:$B$23,'[1]T&amp;C emissions for 2050 analysis'!$C$3:$C$23)</f>
        <v>0.18333333333333335</v>
      </c>
      <c r="I976" s="27">
        <f t="shared" si="45"/>
        <v>2.9794378166666667E-3</v>
      </c>
      <c r="J976" s="129">
        <f t="shared" si="46"/>
        <v>0.25428333333333336</v>
      </c>
    </row>
    <row r="977" spans="1:10" hidden="1" x14ac:dyDescent="0.35">
      <c r="A977" s="126" t="s">
        <v>418</v>
      </c>
      <c r="B977" t="str">
        <f>_xlfn.XLOOKUP(A977,'[1]2050Pop'!$A$7:$A$143,'[1]2050Pop'!$D$7:$D$143)</f>
        <v>APAC</v>
      </c>
      <c r="C977" s="127">
        <f>1000*_xlfn.XLOOKUP(A977,'[1]2050Pop'!$A$7:$A$143,'[1]2050Pop'!$C$7:$C$143)</f>
        <v>22447</v>
      </c>
      <c r="D977" s="126" t="s">
        <v>501</v>
      </c>
      <c r="E977" s="128">
        <v>13.882</v>
      </c>
      <c r="F977" s="129">
        <f t="shared" si="47"/>
        <v>0.311609254</v>
      </c>
      <c r="G977" t="str">
        <f>_xlfn.XLOOKUP(D977,'[1]2050 BAU Mapping to T &amp; C'!$A$3:$A$52,'[1]2050 BAU Mapping to T &amp; C'!$B$3:$B$52)</f>
        <v xml:space="preserve">Oil crops </v>
      </c>
      <c r="H977" s="129">
        <f>_xlfn.XLOOKUP(G977,'[1]T&amp;C emissions for 2050 analysis'!$B$3:$B$23,'[1]T&amp;C emissions for 2050 analysis'!$C$3:$C$23)</f>
        <v>0.18333333333333335</v>
      </c>
      <c r="I977" s="27">
        <f t="shared" si="45"/>
        <v>5.712836323333334E-2</v>
      </c>
      <c r="J977" s="129">
        <f t="shared" si="46"/>
        <v>2.5450333333333335</v>
      </c>
    </row>
    <row r="978" spans="1:10" hidden="1" x14ac:dyDescent="0.35">
      <c r="A978" s="126" t="s">
        <v>419</v>
      </c>
      <c r="B978" t="str">
        <f>_xlfn.XLOOKUP(A978,'[1]2050Pop'!$A$7:$A$143,'[1]2050Pop'!$D$7:$D$143)</f>
        <v>SSA</v>
      </c>
      <c r="C978" s="127">
        <f>1000*_xlfn.XLOOKUP(A978,'[1]2050Pop'!$A$7:$A$143,'[1]2050Pop'!$C$7:$C$143)</f>
        <v>95505</v>
      </c>
      <c r="D978" s="126" t="s">
        <v>501</v>
      </c>
      <c r="E978" s="128">
        <v>2.1560000000000001</v>
      </c>
      <c r="F978" s="129">
        <f t="shared" si="47"/>
        <v>0.20590877999999999</v>
      </c>
      <c r="G978" t="str">
        <f>_xlfn.XLOOKUP(D978,'[1]2050 BAU Mapping to T &amp; C'!$A$3:$A$52,'[1]2050 BAU Mapping to T &amp; C'!$B$3:$B$52)</f>
        <v xml:space="preserve">Oil crops </v>
      </c>
      <c r="H978" s="129">
        <f>_xlfn.XLOOKUP(G978,'[1]T&amp;C emissions for 2050 analysis'!$B$3:$B$23,'[1]T&amp;C emissions for 2050 analysis'!$C$3:$C$23)</f>
        <v>0.18333333333333335</v>
      </c>
      <c r="I978" s="27">
        <f t="shared" si="45"/>
        <v>3.7749943000000001E-2</v>
      </c>
      <c r="J978" s="129">
        <f t="shared" si="46"/>
        <v>0.39526666666666671</v>
      </c>
    </row>
    <row r="979" spans="1:10" hidden="1" x14ac:dyDescent="0.35">
      <c r="A979" s="126" t="s">
        <v>420</v>
      </c>
      <c r="B979" t="str">
        <f>_xlfn.XLOOKUP(A979,'[1]2050Pop'!$A$7:$A$143,'[1]2050Pop'!$D$7:$D$143)</f>
        <v>APAC</v>
      </c>
      <c r="C979" s="127">
        <f>1000*_xlfn.XLOOKUP(A979,'[1]2050Pop'!$A$7:$A$143,'[1]2050Pop'!$C$7:$C$143)</f>
        <v>8248</v>
      </c>
      <c r="D979" s="126" t="s">
        <v>501</v>
      </c>
      <c r="E979" s="130">
        <v>43.08</v>
      </c>
      <c r="F979" s="129">
        <f t="shared" si="47"/>
        <v>0.35532383999999995</v>
      </c>
      <c r="G979" t="str">
        <f>_xlfn.XLOOKUP(D979,'[1]2050 BAU Mapping to T &amp; C'!$A$3:$A$52,'[1]2050 BAU Mapping to T &amp; C'!$B$3:$B$52)</f>
        <v xml:space="preserve">Oil crops </v>
      </c>
      <c r="H979" s="129">
        <f>_xlfn.XLOOKUP(G979,'[1]T&amp;C emissions for 2050 analysis'!$B$3:$B$23,'[1]T&amp;C emissions for 2050 analysis'!$C$3:$C$23)</f>
        <v>0.18333333333333335</v>
      </c>
      <c r="I979" s="27">
        <f t="shared" si="45"/>
        <v>6.5142703999999996E-2</v>
      </c>
      <c r="J979" s="129">
        <f t="shared" si="46"/>
        <v>7.8980000000000006</v>
      </c>
    </row>
    <row r="980" spans="1:10" hidden="1" x14ac:dyDescent="0.35">
      <c r="A980" s="126" t="s">
        <v>421</v>
      </c>
      <c r="B980" t="str">
        <f>_xlfn.XLOOKUP(A980,'[1]2050Pop'!$A$7:$A$143,'[1]2050Pop'!$D$7:$D$143)</f>
        <v>APAC</v>
      </c>
      <c r="C980" s="127">
        <f>1000*_xlfn.XLOOKUP(A980,'[1]2050Pop'!$A$7:$A$143,'[1]2050Pop'!$C$7:$C$143)</f>
        <v>10172</v>
      </c>
      <c r="D980" s="126" t="s">
        <v>501</v>
      </c>
      <c r="E980" s="128">
        <v>3.2040000000000002</v>
      </c>
      <c r="F980" s="129">
        <f t="shared" si="47"/>
        <v>3.2591088000000004E-2</v>
      </c>
      <c r="G980" t="str">
        <f>_xlfn.XLOOKUP(D980,'[1]2050 BAU Mapping to T &amp; C'!$A$3:$A$52,'[1]2050 BAU Mapping to T &amp; C'!$B$3:$B$52)</f>
        <v xml:space="preserve">Oil crops </v>
      </c>
      <c r="H980" s="129">
        <f>_xlfn.XLOOKUP(G980,'[1]T&amp;C emissions for 2050 analysis'!$B$3:$B$23,'[1]T&amp;C emissions for 2050 analysis'!$C$3:$C$23)</f>
        <v>0.18333333333333335</v>
      </c>
      <c r="I980" s="27">
        <f t="shared" si="45"/>
        <v>5.9750328000000011E-3</v>
      </c>
      <c r="J980" s="129">
        <f t="shared" si="46"/>
        <v>0.58740000000000003</v>
      </c>
    </row>
    <row r="981" spans="1:10" hidden="1" x14ac:dyDescent="0.35">
      <c r="A981" s="126" t="s">
        <v>423</v>
      </c>
      <c r="B981" t="str">
        <f>_xlfn.XLOOKUP(A981,'[1]2050Pop'!$A$7:$A$143,'[1]2050Pop'!$D$7:$D$143)</f>
        <v>MENA</v>
      </c>
      <c r="C981" s="127">
        <f>1000*_xlfn.XLOOKUP(A981,'[1]2050Pop'!$A$7:$A$143,'[1]2050Pop'!$C$7:$C$143)</f>
        <v>5610</v>
      </c>
      <c r="D981" s="126" t="s">
        <v>501</v>
      </c>
      <c r="E981" s="128">
        <v>2.2210000000000001</v>
      </c>
      <c r="F981" s="129">
        <f t="shared" si="47"/>
        <v>1.2459810000000002E-2</v>
      </c>
      <c r="G981" t="str">
        <f>_xlfn.XLOOKUP(D981,'[1]2050 BAU Mapping to T &amp; C'!$A$3:$A$52,'[1]2050 BAU Mapping to T &amp; C'!$B$3:$B$52)</f>
        <v xml:space="preserve">Oil crops </v>
      </c>
      <c r="H981" s="129">
        <f>_xlfn.XLOOKUP(G981,'[1]T&amp;C emissions for 2050 analysis'!$B$3:$B$23,'[1]T&amp;C emissions for 2050 analysis'!$C$3:$C$23)</f>
        <v>0.18333333333333335</v>
      </c>
      <c r="I981" s="27">
        <f t="shared" si="45"/>
        <v>2.2842985000000003E-3</v>
      </c>
      <c r="J981" s="129">
        <f t="shared" si="46"/>
        <v>0.4071833333333334</v>
      </c>
    </row>
    <row r="982" spans="1:10" hidden="1" x14ac:dyDescent="0.35">
      <c r="A982" s="126" t="s">
        <v>427</v>
      </c>
      <c r="B982" t="str">
        <f>_xlfn.XLOOKUP(A982,'[1]2050Pop'!$A$7:$A$143,'[1]2050Pop'!$D$7:$D$143)</f>
        <v>SSA</v>
      </c>
      <c r="C982" s="127">
        <f>1000*_xlfn.XLOOKUP(A982,'[1]2050Pop'!$A$7:$A$143,'[1]2050Pop'!$C$7:$C$143)</f>
        <v>55294</v>
      </c>
      <c r="D982" s="126" t="s">
        <v>501</v>
      </c>
      <c r="E982" s="128">
        <v>1.6180000000000001</v>
      </c>
      <c r="F982" s="129">
        <f t="shared" si="47"/>
        <v>8.9465692000000013E-2</v>
      </c>
      <c r="G982" t="str">
        <f>_xlfn.XLOOKUP(D982,'[1]2050 BAU Mapping to T &amp; C'!$A$3:$A$52,'[1]2050 BAU Mapping to T &amp; C'!$B$3:$B$52)</f>
        <v xml:space="preserve">Oil crops </v>
      </c>
      <c r="H982" s="129">
        <f>_xlfn.XLOOKUP(G982,'[1]T&amp;C emissions for 2050 analysis'!$B$3:$B$23,'[1]T&amp;C emissions for 2050 analysis'!$C$3:$C$23)</f>
        <v>0.18333333333333335</v>
      </c>
      <c r="I982" s="27">
        <f t="shared" si="45"/>
        <v>1.6402043533333337E-2</v>
      </c>
      <c r="J982" s="129">
        <f t="shared" si="46"/>
        <v>0.29663333333333336</v>
      </c>
    </row>
    <row r="983" spans="1:10" hidden="1" x14ac:dyDescent="0.35">
      <c r="A983" s="126" t="s">
        <v>428</v>
      </c>
      <c r="B983" t="str">
        <f>_xlfn.XLOOKUP(A983,'[1]2050Pop'!$A$7:$A$143,'[1]2050Pop'!$D$7:$D$143)</f>
        <v>SSA</v>
      </c>
      <c r="C983" s="127">
        <f>1000*_xlfn.XLOOKUP(A983,'[1]2050Pop'!$A$7:$A$143,'[1]2050Pop'!$C$7:$C$143)</f>
        <v>43155</v>
      </c>
      <c r="D983" s="126" t="s">
        <v>501</v>
      </c>
      <c r="E983" s="131">
        <v>16.2</v>
      </c>
      <c r="F983" s="129">
        <f t="shared" si="47"/>
        <v>0.69911100000000004</v>
      </c>
      <c r="G983" t="str">
        <f>_xlfn.XLOOKUP(D983,'[1]2050 BAU Mapping to T &amp; C'!$A$3:$A$52,'[1]2050 BAU Mapping to T &amp; C'!$B$3:$B$52)</f>
        <v xml:space="preserve">Oil crops </v>
      </c>
      <c r="H983" s="129">
        <f>_xlfn.XLOOKUP(G983,'[1]T&amp;C emissions for 2050 analysis'!$B$3:$B$23,'[1]T&amp;C emissions for 2050 analysis'!$C$3:$C$23)</f>
        <v>0.18333333333333335</v>
      </c>
      <c r="I983" s="27">
        <f t="shared" si="45"/>
        <v>0.12817035000000002</v>
      </c>
      <c r="J983" s="129">
        <f t="shared" si="46"/>
        <v>2.97</v>
      </c>
    </row>
    <row r="984" spans="1:10" hidden="1" x14ac:dyDescent="0.35">
      <c r="A984" s="126" t="s">
        <v>430</v>
      </c>
      <c r="B984" t="str">
        <f>_xlfn.XLOOKUP(A984,'[1]2050Pop'!$A$7:$A$143,'[1]2050Pop'!$D$7:$D$143)</f>
        <v>SSA</v>
      </c>
      <c r="C984" s="127">
        <f>1000*_xlfn.XLOOKUP(A984,'[1]2050Pop'!$A$7:$A$143,'[1]2050Pop'!$C$7:$C$143)</f>
        <v>45404</v>
      </c>
      <c r="D984" s="126" t="s">
        <v>501</v>
      </c>
      <c r="E984" s="128">
        <v>75.847999999999999</v>
      </c>
      <c r="F984" s="129">
        <f t="shared" si="47"/>
        <v>3.4438025920000004</v>
      </c>
      <c r="G984" t="str">
        <f>_xlfn.XLOOKUP(D984,'[1]2050 BAU Mapping to T &amp; C'!$A$3:$A$52,'[1]2050 BAU Mapping to T &amp; C'!$B$3:$B$52)</f>
        <v xml:space="preserve">Oil crops </v>
      </c>
      <c r="H984" s="129">
        <f>_xlfn.XLOOKUP(G984,'[1]T&amp;C emissions for 2050 analysis'!$B$3:$B$23,'[1]T&amp;C emissions for 2050 analysis'!$C$3:$C$23)</f>
        <v>0.18333333333333335</v>
      </c>
      <c r="I984" s="27">
        <f t="shared" si="45"/>
        <v>0.6313638085333334</v>
      </c>
      <c r="J984" s="129">
        <f t="shared" si="46"/>
        <v>13.905466666666667</v>
      </c>
    </row>
    <row r="985" spans="1:10" hidden="1" x14ac:dyDescent="0.35">
      <c r="A985" s="126" t="s">
        <v>432</v>
      </c>
      <c r="B985" t="str">
        <f>_xlfn.XLOOKUP(A985,'[1]2050Pop'!$A$7:$A$143,'[1]2050Pop'!$D$7:$D$143)</f>
        <v>SSA</v>
      </c>
      <c r="C985" s="127">
        <f>1000*_xlfn.XLOOKUP(A985,'[1]2050Pop'!$A$7:$A$143,'[1]2050Pop'!$C$7:$C$143)</f>
        <v>1249</v>
      </c>
      <c r="D985" s="126" t="s">
        <v>501</v>
      </c>
      <c r="E985" s="128">
        <v>3.444</v>
      </c>
      <c r="F985" s="129">
        <f t="shared" si="47"/>
        <v>4.3015559999999998E-3</v>
      </c>
      <c r="G985" t="str">
        <f>_xlfn.XLOOKUP(D985,'[1]2050 BAU Mapping to T &amp; C'!$A$3:$A$52,'[1]2050 BAU Mapping to T &amp; C'!$B$3:$B$52)</f>
        <v xml:space="preserve">Oil crops </v>
      </c>
      <c r="H985" s="129">
        <f>_xlfn.XLOOKUP(G985,'[1]T&amp;C emissions for 2050 analysis'!$B$3:$B$23,'[1]T&amp;C emissions for 2050 analysis'!$C$3:$C$23)</f>
        <v>0.18333333333333335</v>
      </c>
      <c r="I985" s="27">
        <f t="shared" si="45"/>
        <v>7.8861860000000003E-4</v>
      </c>
      <c r="J985" s="129">
        <f t="shared" si="46"/>
        <v>0.63140000000000007</v>
      </c>
    </row>
    <row r="986" spans="1:10" hidden="1" x14ac:dyDescent="0.35">
      <c r="A986" s="126" t="s">
        <v>433</v>
      </c>
      <c r="B986" t="str">
        <f>_xlfn.XLOOKUP(A986,'[1]2050Pop'!$A$7:$A$143,'[1]2050Pop'!$D$7:$D$143)</f>
        <v>LatAm &amp; RSA</v>
      </c>
      <c r="C986" s="127">
        <f>1000*_xlfn.XLOOKUP(A986,'[1]2050Pop'!$A$7:$A$143,'[1]2050Pop'!$C$7:$C$143)</f>
        <v>163754</v>
      </c>
      <c r="D986" s="126" t="s">
        <v>501</v>
      </c>
      <c r="E986" s="128">
        <v>14.446999999999999</v>
      </c>
      <c r="F986" s="129">
        <f t="shared" si="47"/>
        <v>2.3657540379999995</v>
      </c>
      <c r="G986" t="str">
        <f>_xlfn.XLOOKUP(D986,'[1]2050 BAU Mapping to T &amp; C'!$A$3:$A$52,'[1]2050 BAU Mapping to T &amp; C'!$B$3:$B$52)</f>
        <v xml:space="preserve">Oil crops </v>
      </c>
      <c r="H986" s="129">
        <f>_xlfn.XLOOKUP(G986,'[1]T&amp;C emissions for 2050 analysis'!$B$3:$B$23,'[1]T&amp;C emissions for 2050 analysis'!$C$3:$C$23)</f>
        <v>0.18333333333333335</v>
      </c>
      <c r="I986" s="27">
        <f t="shared" si="45"/>
        <v>0.4337215736333333</v>
      </c>
      <c r="J986" s="129">
        <f t="shared" si="46"/>
        <v>2.6486166666666668</v>
      </c>
    </row>
    <row r="987" spans="1:10" hidden="1" x14ac:dyDescent="0.35">
      <c r="A987" s="126" t="s">
        <v>436</v>
      </c>
      <c r="B987" t="str">
        <f>_xlfn.XLOOKUP(A987,'[1]2050Pop'!$A$7:$A$143,'[1]2050Pop'!$D$7:$D$143)</f>
        <v>SSA</v>
      </c>
      <c r="C987" s="127">
        <f>1000*_xlfn.XLOOKUP(A987,'[1]2050Pop'!$A$7:$A$143,'[1]2050Pop'!$C$7:$C$143)</f>
        <v>65544</v>
      </c>
      <c r="D987" s="126" t="s">
        <v>501</v>
      </c>
      <c r="E987" s="128">
        <v>14.315</v>
      </c>
      <c r="F987" s="129">
        <f t="shared" si="47"/>
        <v>0.93826235999999996</v>
      </c>
      <c r="G987" t="str">
        <f>_xlfn.XLOOKUP(D987,'[1]2050 BAU Mapping to T &amp; C'!$A$3:$A$52,'[1]2050 BAU Mapping to T &amp; C'!$B$3:$B$52)</f>
        <v xml:space="preserve">Oil crops </v>
      </c>
      <c r="H987" s="129">
        <f>_xlfn.XLOOKUP(G987,'[1]T&amp;C emissions for 2050 analysis'!$B$3:$B$23,'[1]T&amp;C emissions for 2050 analysis'!$C$3:$C$23)</f>
        <v>0.18333333333333335</v>
      </c>
      <c r="I987" s="27">
        <f t="shared" si="45"/>
        <v>0.17201476600000001</v>
      </c>
      <c r="J987" s="129">
        <f t="shared" si="46"/>
        <v>2.6244166666666668</v>
      </c>
    </row>
    <row r="988" spans="1:10" hidden="1" x14ac:dyDescent="0.35">
      <c r="A988" s="126" t="s">
        <v>490</v>
      </c>
      <c r="B988" t="str">
        <f>_xlfn.XLOOKUP(A988,'[1]2050Pop'!$A$7:$A$143,'[1]2050Pop'!$D$7:$D$143)</f>
        <v>APAC</v>
      </c>
      <c r="C988" s="127">
        <f>1000*_xlfn.XLOOKUP(A988,'[1]2050Pop'!$A$7:$A$143,'[1]2050Pop'!$C$7:$C$143)</f>
        <v>63575</v>
      </c>
      <c r="D988" s="126" t="s">
        <v>501</v>
      </c>
      <c r="E988" s="128">
        <v>27.324000000000002</v>
      </c>
      <c r="F988" s="129">
        <f t="shared" si="47"/>
        <v>1.7371233000000001</v>
      </c>
      <c r="G988" t="str">
        <f>_xlfn.XLOOKUP(D988,'[1]2050 BAU Mapping to T &amp; C'!$A$3:$A$52,'[1]2050 BAU Mapping to T &amp; C'!$B$3:$B$52)</f>
        <v xml:space="preserve">Oil crops </v>
      </c>
      <c r="H988" s="129">
        <f>_xlfn.XLOOKUP(G988,'[1]T&amp;C emissions for 2050 analysis'!$B$3:$B$23,'[1]T&amp;C emissions for 2050 analysis'!$C$3:$C$23)</f>
        <v>0.18333333333333335</v>
      </c>
      <c r="I988" s="27">
        <f t="shared" si="45"/>
        <v>0.31847260500000008</v>
      </c>
      <c r="J988" s="129">
        <f t="shared" si="46"/>
        <v>5.0094000000000003</v>
      </c>
    </row>
    <row r="989" spans="1:10" hidden="1" x14ac:dyDescent="0.35">
      <c r="A989" s="126" t="s">
        <v>437</v>
      </c>
      <c r="B989" t="str">
        <f>_xlfn.XLOOKUP(A989,'[1]2050Pop'!$A$7:$A$143,'[1]2050Pop'!$D$7:$D$143)</f>
        <v>SSA</v>
      </c>
      <c r="C989" s="127">
        <f>1000*_xlfn.XLOOKUP(A989,'[1]2050Pop'!$A$7:$A$143,'[1]2050Pop'!$C$7:$C$143)</f>
        <v>4322</v>
      </c>
      <c r="D989" s="126" t="s">
        <v>501</v>
      </c>
      <c r="E989" s="131">
        <v>7.9</v>
      </c>
      <c r="F989" s="129">
        <f t="shared" si="47"/>
        <v>3.4143800000000002E-2</v>
      </c>
      <c r="G989" t="str">
        <f>_xlfn.XLOOKUP(D989,'[1]2050 BAU Mapping to T &amp; C'!$A$3:$A$52,'[1]2050 BAU Mapping to T &amp; C'!$B$3:$B$52)</f>
        <v xml:space="preserve">Oil crops </v>
      </c>
      <c r="H989" s="129">
        <f>_xlfn.XLOOKUP(G989,'[1]T&amp;C emissions for 2050 analysis'!$B$3:$B$23,'[1]T&amp;C emissions for 2050 analysis'!$C$3:$C$23)</f>
        <v>0.18333333333333335</v>
      </c>
      <c r="I989" s="27">
        <f t="shared" si="45"/>
        <v>6.2596966666666675E-3</v>
      </c>
      <c r="J989" s="129">
        <f t="shared" si="46"/>
        <v>1.4483333333333335</v>
      </c>
    </row>
    <row r="990" spans="1:10" hidden="1" x14ac:dyDescent="0.35">
      <c r="A990" s="126" t="s">
        <v>440</v>
      </c>
      <c r="B990" t="str">
        <f>_xlfn.XLOOKUP(A990,'[1]2050Pop'!$A$7:$A$143,'[1]2050Pop'!$D$7:$D$143)</f>
        <v>Euro/AU/NZ</v>
      </c>
      <c r="C990" s="127">
        <f>1000*_xlfn.XLOOKUP(A990,'[1]2050Pop'!$A$7:$A$143,'[1]2050Pop'!$C$7:$C$143)</f>
        <v>5607</v>
      </c>
      <c r="D990" s="126" t="s">
        <v>501</v>
      </c>
      <c r="E990" s="128">
        <v>3.1219999999999999</v>
      </c>
      <c r="F990" s="129">
        <f t="shared" si="47"/>
        <v>1.7505053999999999E-2</v>
      </c>
      <c r="G990" t="str">
        <f>_xlfn.XLOOKUP(D990,'[1]2050 BAU Mapping to T &amp; C'!$A$3:$A$52,'[1]2050 BAU Mapping to T &amp; C'!$B$3:$B$52)</f>
        <v xml:space="preserve">Oil crops </v>
      </c>
      <c r="H990" s="129">
        <f>_xlfn.XLOOKUP(G990,'[1]T&amp;C emissions for 2050 analysis'!$B$3:$B$23,'[1]T&amp;C emissions for 2050 analysis'!$C$3:$C$23)</f>
        <v>0.18333333333333335</v>
      </c>
      <c r="I990" s="27">
        <f t="shared" si="45"/>
        <v>3.2092599000000002E-3</v>
      </c>
      <c r="J990" s="129">
        <f t="shared" si="46"/>
        <v>0.57236666666666669</v>
      </c>
    </row>
    <row r="991" spans="1:10" hidden="1" x14ac:dyDescent="0.35">
      <c r="A991" s="126" t="s">
        <v>441</v>
      </c>
      <c r="B991" t="str">
        <f>_xlfn.XLOOKUP(A991,'[1]2050Pop'!$A$7:$A$143,'[1]2050Pop'!$D$7:$D$143)</f>
        <v>LatAm &amp; RSA</v>
      </c>
      <c r="C991" s="127">
        <f>1000*_xlfn.XLOOKUP(A991,'[1]2050Pop'!$A$7:$A$143,'[1]2050Pop'!$C$7:$C$143)</f>
        <v>7863</v>
      </c>
      <c r="D991" s="126" t="s">
        <v>501</v>
      </c>
      <c r="E991" s="128">
        <v>1.5920000000000001</v>
      </c>
      <c r="F991" s="129">
        <f t="shared" si="47"/>
        <v>1.2517896000000001E-2</v>
      </c>
      <c r="G991" t="str">
        <f>_xlfn.XLOOKUP(D991,'[1]2050 BAU Mapping to T &amp; C'!$A$3:$A$52,'[1]2050 BAU Mapping to T &amp; C'!$B$3:$B$52)</f>
        <v xml:space="preserve">Oil crops </v>
      </c>
      <c r="H991" s="129">
        <f>_xlfn.XLOOKUP(G991,'[1]T&amp;C emissions for 2050 analysis'!$B$3:$B$23,'[1]T&amp;C emissions for 2050 analysis'!$C$3:$C$23)</f>
        <v>0.18333333333333335</v>
      </c>
      <c r="I991" s="27">
        <f t="shared" si="45"/>
        <v>2.2949476000000001E-3</v>
      </c>
      <c r="J991" s="129">
        <f t="shared" si="46"/>
        <v>0.29186666666666672</v>
      </c>
    </row>
    <row r="992" spans="1:10" hidden="1" x14ac:dyDescent="0.35">
      <c r="A992" s="126" t="s">
        <v>491</v>
      </c>
      <c r="B992" t="str">
        <f>_xlfn.XLOOKUP(A992,'[1]2050Pop'!$A$7:$A$143,'[1]2050Pop'!$D$7:$D$143)</f>
        <v>SSA</v>
      </c>
      <c r="C992" s="127">
        <f>1000*_xlfn.XLOOKUP(A992,'[1]2050Pop'!$A$7:$A$143,'[1]2050Pop'!$C$7:$C$143)</f>
        <v>398508</v>
      </c>
      <c r="D992" s="126" t="s">
        <v>501</v>
      </c>
      <c r="E992" s="128">
        <v>3.1520000000000001</v>
      </c>
      <c r="F992" s="129">
        <f t="shared" si="47"/>
        <v>1.2560972159999999</v>
      </c>
      <c r="G992" t="str">
        <f>_xlfn.XLOOKUP(D992,'[1]2050 BAU Mapping to T &amp; C'!$A$3:$A$52,'[1]2050 BAU Mapping to T &amp; C'!$B$3:$B$52)</f>
        <v xml:space="preserve">Oil crops </v>
      </c>
      <c r="H992" s="129">
        <f>_xlfn.XLOOKUP(G992,'[1]T&amp;C emissions for 2050 analysis'!$B$3:$B$23,'[1]T&amp;C emissions for 2050 analysis'!$C$3:$C$23)</f>
        <v>0.18333333333333335</v>
      </c>
      <c r="I992" s="27">
        <f t="shared" si="45"/>
        <v>0.2302844896</v>
      </c>
      <c r="J992" s="129">
        <f t="shared" si="46"/>
        <v>0.57786666666666675</v>
      </c>
    </row>
    <row r="993" spans="1:10" hidden="1" x14ac:dyDescent="0.35">
      <c r="A993" s="126" t="s">
        <v>443</v>
      </c>
      <c r="B993" t="str">
        <f>_xlfn.XLOOKUP(A993,'[1]2050Pop'!$A$7:$A$143,'[1]2050Pop'!$D$7:$D$143)</f>
        <v>India/South Asia</v>
      </c>
      <c r="C993" s="127">
        <f>1000*_xlfn.XLOOKUP(A993,'[1]2050Pop'!$A$7:$A$143,'[1]2050Pop'!$C$7:$C$143)</f>
        <v>309640</v>
      </c>
      <c r="D993" s="126" t="s">
        <v>501</v>
      </c>
      <c r="E993" s="128">
        <v>78.031000000000006</v>
      </c>
      <c r="F993" s="129">
        <f t="shared" si="47"/>
        <v>24.161518840000003</v>
      </c>
      <c r="G993" t="str">
        <f>_xlfn.XLOOKUP(D993,'[1]2050 BAU Mapping to T &amp; C'!$A$3:$A$52,'[1]2050 BAU Mapping to T &amp; C'!$B$3:$B$52)</f>
        <v xml:space="preserve">Oil crops </v>
      </c>
      <c r="H993" s="129">
        <f>_xlfn.XLOOKUP(G993,'[1]T&amp;C emissions for 2050 analysis'!$B$3:$B$23,'[1]T&amp;C emissions for 2050 analysis'!$C$3:$C$23)</f>
        <v>0.18333333333333335</v>
      </c>
      <c r="I993" s="27">
        <f t="shared" si="45"/>
        <v>4.429611787333334</v>
      </c>
      <c r="J993" s="129">
        <f t="shared" si="46"/>
        <v>14.305683333333336</v>
      </c>
    </row>
    <row r="994" spans="1:10" hidden="1" x14ac:dyDescent="0.35">
      <c r="A994" s="126" t="s">
        <v>445</v>
      </c>
      <c r="B994" t="str">
        <f>_xlfn.XLOOKUP(A994,'[1]2050Pop'!$A$7:$A$143,'[1]2050Pop'!$D$7:$D$143)</f>
        <v>LatAm &amp; RSA</v>
      </c>
      <c r="C994" s="127">
        <f>1000*_xlfn.XLOOKUP(A994,'[1]2050Pop'!$A$7:$A$143,'[1]2050Pop'!$C$7:$C$143)</f>
        <v>8895</v>
      </c>
      <c r="D994" s="126" t="s">
        <v>501</v>
      </c>
      <c r="E994" s="128">
        <v>31.491</v>
      </c>
      <c r="F994" s="129">
        <f t="shared" si="47"/>
        <v>0.28011244499999999</v>
      </c>
      <c r="G994" t="str">
        <f>_xlfn.XLOOKUP(D994,'[1]2050 BAU Mapping to T &amp; C'!$A$3:$A$52,'[1]2050 BAU Mapping to T &amp; C'!$B$3:$B$52)</f>
        <v xml:space="preserve">Oil crops </v>
      </c>
      <c r="H994" s="129">
        <f>_xlfn.XLOOKUP(G994,'[1]T&amp;C emissions for 2050 analysis'!$B$3:$B$23,'[1]T&amp;C emissions for 2050 analysis'!$C$3:$C$23)</f>
        <v>0.18333333333333335</v>
      </c>
      <c r="I994" s="27">
        <f t="shared" si="45"/>
        <v>5.1353948250000003E-2</v>
      </c>
      <c r="J994" s="129">
        <f t="shared" si="46"/>
        <v>5.7733500000000006</v>
      </c>
    </row>
    <row r="995" spans="1:10" hidden="1" x14ac:dyDescent="0.35">
      <c r="A995" s="126" t="s">
        <v>446</v>
      </c>
      <c r="B995" t="str">
        <f>_xlfn.XLOOKUP(A995,'[1]2050Pop'!$A$7:$A$143,'[1]2050Pop'!$D$7:$D$143)</f>
        <v>LatAm &amp; RSA</v>
      </c>
      <c r="C995" s="127">
        <f>1000*_xlfn.XLOOKUP(A995,'[1]2050Pop'!$A$7:$A$143,'[1]2050Pop'!$C$7:$C$143)</f>
        <v>41899</v>
      </c>
      <c r="D995" s="126" t="s">
        <v>501</v>
      </c>
      <c r="E995" s="128">
        <v>10.826000000000001</v>
      </c>
      <c r="F995" s="129">
        <f t="shared" si="47"/>
        <v>0.45359857400000003</v>
      </c>
      <c r="G995" t="str">
        <f>_xlfn.XLOOKUP(D995,'[1]2050 BAU Mapping to T &amp; C'!$A$3:$A$52,'[1]2050 BAU Mapping to T &amp; C'!$B$3:$B$52)</f>
        <v xml:space="preserve">Oil crops </v>
      </c>
      <c r="H995" s="129">
        <f>_xlfn.XLOOKUP(G995,'[1]T&amp;C emissions for 2050 analysis'!$B$3:$B$23,'[1]T&amp;C emissions for 2050 analysis'!$C$3:$C$23)</f>
        <v>0.18333333333333335</v>
      </c>
      <c r="I995" s="27">
        <f t="shared" si="45"/>
        <v>8.3159738566666683E-2</v>
      </c>
      <c r="J995" s="129">
        <f t="shared" si="46"/>
        <v>1.984766666666667</v>
      </c>
    </row>
    <row r="996" spans="1:10" hidden="1" x14ac:dyDescent="0.35">
      <c r="A996" s="126" t="s">
        <v>450</v>
      </c>
      <c r="B996" t="str">
        <f>_xlfn.XLOOKUP(A996,'[1]2050Pop'!$A$7:$A$143,'[1]2050Pop'!$D$7:$D$143)</f>
        <v>APAC</v>
      </c>
      <c r="C996" s="127">
        <f>1000*_xlfn.XLOOKUP(A996,'[1]2050Pop'!$A$7:$A$143,'[1]2050Pop'!$C$7:$C$143)</f>
        <v>50593</v>
      </c>
      <c r="D996" s="126" t="s">
        <v>501</v>
      </c>
      <c r="E996" s="130">
        <v>18.48</v>
      </c>
      <c r="F996" s="129">
        <f t="shared" si="47"/>
        <v>0.93495864000000006</v>
      </c>
      <c r="G996" t="str">
        <f>_xlfn.XLOOKUP(D996,'[1]2050 BAU Mapping to T &amp; C'!$A$3:$A$52,'[1]2050 BAU Mapping to T &amp; C'!$B$3:$B$52)</f>
        <v xml:space="preserve">Oil crops </v>
      </c>
      <c r="H996" s="129">
        <f>_xlfn.XLOOKUP(G996,'[1]T&amp;C emissions for 2050 analysis'!$B$3:$B$23,'[1]T&amp;C emissions for 2050 analysis'!$C$3:$C$23)</f>
        <v>0.18333333333333335</v>
      </c>
      <c r="I996" s="27">
        <f t="shared" si="45"/>
        <v>0.17140908400000002</v>
      </c>
      <c r="J996" s="129">
        <f t="shared" si="46"/>
        <v>3.3880000000000003</v>
      </c>
    </row>
    <row r="997" spans="1:10" hidden="1" x14ac:dyDescent="0.35">
      <c r="A997" s="126" t="s">
        <v>452</v>
      </c>
      <c r="B997" t="str">
        <f>_xlfn.XLOOKUP(A997,'[1]2050Pop'!$A$7:$A$143,'[1]2050Pop'!$D$7:$D$143)</f>
        <v>SSA</v>
      </c>
      <c r="C997" s="127">
        <f>1000*_xlfn.XLOOKUP(A997,'[1]2050Pop'!$A$7:$A$143,'[1]2050Pop'!$C$7:$C$143)</f>
        <v>10732</v>
      </c>
      <c r="D997" s="126" t="s">
        <v>501</v>
      </c>
      <c r="E997" s="128">
        <v>9.407</v>
      </c>
      <c r="F997" s="129">
        <f t="shared" si="47"/>
        <v>0.100955924</v>
      </c>
      <c r="G997" t="str">
        <f>_xlfn.XLOOKUP(D997,'[1]2050 BAU Mapping to T &amp; C'!$A$3:$A$52,'[1]2050 BAU Mapping to T &amp; C'!$B$3:$B$52)</f>
        <v xml:space="preserve">Oil crops </v>
      </c>
      <c r="H997" s="129">
        <f>_xlfn.XLOOKUP(G997,'[1]T&amp;C emissions for 2050 analysis'!$B$3:$B$23,'[1]T&amp;C emissions for 2050 analysis'!$C$3:$C$23)</f>
        <v>0.18333333333333335</v>
      </c>
      <c r="I997" s="27">
        <f t="shared" si="45"/>
        <v>1.8508586066666669E-2</v>
      </c>
      <c r="J997" s="129">
        <f t="shared" si="46"/>
        <v>1.7246166666666669</v>
      </c>
    </row>
    <row r="998" spans="1:10" hidden="1" x14ac:dyDescent="0.35">
      <c r="A998" s="126" t="s">
        <v>456</v>
      </c>
      <c r="B998" t="str">
        <f>_xlfn.XLOOKUP(A998,'[1]2050Pop'!$A$7:$A$143,'[1]2050Pop'!$D$7:$D$143)</f>
        <v>MENA</v>
      </c>
      <c r="C998" s="127">
        <f>1000*_xlfn.XLOOKUP(A998,'[1]2050Pop'!$A$7:$A$143,'[1]2050Pop'!$C$7:$C$143)</f>
        <v>46059</v>
      </c>
      <c r="D998" s="126" t="s">
        <v>501</v>
      </c>
      <c r="E998" s="130">
        <v>17.579999999999998</v>
      </c>
      <c r="F998" s="129">
        <f t="shared" si="47"/>
        <v>0.80971722000000002</v>
      </c>
      <c r="G998" t="str">
        <f>_xlfn.XLOOKUP(D998,'[1]2050 BAU Mapping to T &amp; C'!$A$3:$A$52,'[1]2050 BAU Mapping to T &amp; C'!$B$3:$B$52)</f>
        <v xml:space="preserve">Oil crops </v>
      </c>
      <c r="H998" s="129">
        <f>_xlfn.XLOOKUP(G998,'[1]T&amp;C emissions for 2050 analysis'!$B$3:$B$23,'[1]T&amp;C emissions for 2050 analysis'!$C$3:$C$23)</f>
        <v>0.18333333333333335</v>
      </c>
      <c r="I998" s="27">
        <f t="shared" si="45"/>
        <v>0.14844815700000003</v>
      </c>
      <c r="J998" s="129">
        <f t="shared" si="46"/>
        <v>3.2229999999999999</v>
      </c>
    </row>
    <row r="999" spans="1:10" hidden="1" x14ac:dyDescent="0.35">
      <c r="A999" s="126" t="s">
        <v>457</v>
      </c>
      <c r="B999" t="str">
        <f>_xlfn.XLOOKUP(A999,'[1]2050Pop'!$A$7:$A$143,'[1]2050Pop'!$D$7:$D$143)</f>
        <v>SSA</v>
      </c>
      <c r="C999" s="127">
        <f>1000*_xlfn.XLOOKUP(A999,'[1]2050Pop'!$A$7:$A$143,'[1]2050Pop'!$C$7:$C$143)</f>
        <v>36223</v>
      </c>
      <c r="D999" s="126" t="s">
        <v>501</v>
      </c>
      <c r="E999" s="128">
        <v>8.9640000000000004</v>
      </c>
      <c r="F999" s="129">
        <f t="shared" si="47"/>
        <v>0.32470297200000003</v>
      </c>
      <c r="G999" t="str">
        <f>_xlfn.XLOOKUP(D999,'[1]2050 BAU Mapping to T &amp; C'!$A$3:$A$52,'[1]2050 BAU Mapping to T &amp; C'!$B$3:$B$52)</f>
        <v xml:space="preserve">Oil crops </v>
      </c>
      <c r="H999" s="129">
        <f>_xlfn.XLOOKUP(G999,'[1]T&amp;C emissions for 2050 analysis'!$B$3:$B$23,'[1]T&amp;C emissions for 2050 analysis'!$C$3:$C$23)</f>
        <v>0.18333333333333335</v>
      </c>
      <c r="I999" s="27">
        <f t="shared" si="45"/>
        <v>5.952887820000001E-2</v>
      </c>
      <c r="J999" s="129">
        <f t="shared" si="46"/>
        <v>1.6434000000000002</v>
      </c>
    </row>
    <row r="1000" spans="1:10" hidden="1" x14ac:dyDescent="0.35">
      <c r="A1000" s="126" t="s">
        <v>460</v>
      </c>
      <c r="B1000" t="str">
        <f>_xlfn.XLOOKUP(A1000,'[1]2050Pop'!$A$7:$A$143,'[1]2050Pop'!$D$7:$D$143)</f>
        <v>LatAm &amp; RSA</v>
      </c>
      <c r="C1000" s="127">
        <f>1000*_xlfn.XLOOKUP(A1000,'[1]2050Pop'!$A$7:$A$143,'[1]2050Pop'!$C$7:$C$143)</f>
        <v>65540</v>
      </c>
      <c r="D1000" s="126" t="s">
        <v>501</v>
      </c>
      <c r="E1000" s="128">
        <v>2.9569999999999999</v>
      </c>
      <c r="F1000" s="129">
        <f t="shared" si="47"/>
        <v>0.19380178000000001</v>
      </c>
      <c r="G1000" t="str">
        <f>_xlfn.XLOOKUP(D1000,'[1]2050 BAU Mapping to T &amp; C'!$A$3:$A$52,'[1]2050 BAU Mapping to T &amp; C'!$B$3:$B$52)</f>
        <v xml:space="preserve">Oil crops </v>
      </c>
      <c r="H1000" s="129">
        <f>_xlfn.XLOOKUP(G1000,'[1]T&amp;C emissions for 2050 analysis'!$B$3:$B$23,'[1]T&amp;C emissions for 2050 analysis'!$C$3:$C$23)</f>
        <v>0.18333333333333335</v>
      </c>
      <c r="I1000" s="27">
        <f t="shared" si="45"/>
        <v>3.5530326333333334E-2</v>
      </c>
      <c r="J1000" s="129">
        <f t="shared" si="46"/>
        <v>0.54211666666666669</v>
      </c>
    </row>
    <row r="1001" spans="1:10" hidden="1" x14ac:dyDescent="0.35">
      <c r="A1001" s="126" t="s">
        <v>461</v>
      </c>
      <c r="B1001" t="str">
        <f>_xlfn.XLOOKUP(A1001,'[1]2050Pop'!$A$7:$A$143,'[1]2050Pop'!$D$7:$D$143)</f>
        <v>Euro/AU/NZ</v>
      </c>
      <c r="C1001" s="127">
        <f>1000*_xlfn.XLOOKUP(A1001,'[1]2050Pop'!$A$7:$A$143,'[1]2050Pop'!$C$7:$C$143)</f>
        <v>44840</v>
      </c>
      <c r="D1001" s="126" t="s">
        <v>501</v>
      </c>
      <c r="E1001" s="128">
        <v>7.2960000000000003</v>
      </c>
      <c r="F1001" s="129">
        <f t="shared" si="47"/>
        <v>0.32715263999999999</v>
      </c>
      <c r="G1001" t="str">
        <f>_xlfn.XLOOKUP(D1001,'[1]2050 BAU Mapping to T &amp; C'!$A$3:$A$52,'[1]2050 BAU Mapping to T &amp; C'!$B$3:$B$52)</f>
        <v xml:space="preserve">Oil crops </v>
      </c>
      <c r="H1001" s="129">
        <f>_xlfn.XLOOKUP(G1001,'[1]T&amp;C emissions for 2050 analysis'!$B$3:$B$23,'[1]T&amp;C emissions for 2050 analysis'!$C$3:$C$23)</f>
        <v>0.18333333333333335</v>
      </c>
      <c r="I1001" s="27">
        <f t="shared" si="45"/>
        <v>5.9977984000000005E-2</v>
      </c>
      <c r="J1001" s="129">
        <f t="shared" si="46"/>
        <v>1.3376000000000001</v>
      </c>
    </row>
    <row r="1002" spans="1:10" hidden="1" x14ac:dyDescent="0.35">
      <c r="A1002" s="126" t="s">
        <v>463</v>
      </c>
      <c r="B1002" t="str">
        <f>_xlfn.XLOOKUP(A1002,'[1]2050Pop'!$A$7:$A$143,'[1]2050Pop'!$D$7:$D$143)</f>
        <v>SSA</v>
      </c>
      <c r="C1002" s="127">
        <f>1000*_xlfn.XLOOKUP(A1002,'[1]2050Pop'!$A$7:$A$143,'[1]2050Pop'!$C$7:$C$143)</f>
        <v>1792</v>
      </c>
      <c r="D1002" s="126" t="s">
        <v>501</v>
      </c>
      <c r="E1002" s="128">
        <v>6.9279999999999999</v>
      </c>
      <c r="F1002" s="129">
        <f t="shared" si="47"/>
        <v>1.2414976000000001E-2</v>
      </c>
      <c r="G1002" t="str">
        <f>_xlfn.XLOOKUP(D1002,'[1]2050 BAU Mapping to T &amp; C'!$A$3:$A$52,'[1]2050 BAU Mapping to T &amp; C'!$B$3:$B$52)</f>
        <v xml:space="preserve">Oil crops </v>
      </c>
      <c r="H1002" s="129">
        <f>_xlfn.XLOOKUP(G1002,'[1]T&amp;C emissions for 2050 analysis'!$B$3:$B$23,'[1]T&amp;C emissions for 2050 analysis'!$C$3:$C$23)</f>
        <v>0.18333333333333335</v>
      </c>
      <c r="I1002" s="27">
        <f t="shared" si="45"/>
        <v>2.2760789333333338E-3</v>
      </c>
      <c r="J1002" s="129">
        <f t="shared" si="46"/>
        <v>1.2701333333333333</v>
      </c>
    </row>
    <row r="1003" spans="1:10" hidden="1" x14ac:dyDescent="0.35">
      <c r="A1003" s="126" t="s">
        <v>483</v>
      </c>
      <c r="B1003" t="str">
        <f>_xlfn.XLOOKUP(A1003,'[1]2050Pop'!$A$7:$A$143,'[1]2050Pop'!$D$7:$D$143)</f>
        <v>APAC</v>
      </c>
      <c r="C1003" s="127">
        <f>1000*_xlfn.XLOOKUP(A1003,'[1]2050Pop'!$A$7:$A$143,'[1]2050Pop'!$C$7:$C$143)</f>
        <v>14288</v>
      </c>
      <c r="D1003" s="126" t="s">
        <v>501</v>
      </c>
      <c r="E1003" s="128">
        <v>132.93700000000001</v>
      </c>
      <c r="F1003" s="129">
        <f t="shared" si="47"/>
        <v>1.8994038560000002</v>
      </c>
      <c r="G1003" t="str">
        <f>_xlfn.XLOOKUP(D1003,'[1]2050 BAU Mapping to T &amp; C'!$A$3:$A$52,'[1]2050 BAU Mapping to T &amp; C'!$B$3:$B$52)</f>
        <v xml:space="preserve">Oil crops </v>
      </c>
      <c r="H1003" s="129">
        <f>_xlfn.XLOOKUP(G1003,'[1]T&amp;C emissions for 2050 analysis'!$B$3:$B$23,'[1]T&amp;C emissions for 2050 analysis'!$C$3:$C$23)</f>
        <v>0.18333333333333335</v>
      </c>
      <c r="I1003" s="27">
        <f t="shared" si="45"/>
        <v>0.3482240402666667</v>
      </c>
      <c r="J1003" s="129">
        <f t="shared" si="46"/>
        <v>24.371783333333337</v>
      </c>
    </row>
    <row r="1004" spans="1:10" hidden="1" x14ac:dyDescent="0.35">
      <c r="A1004" s="126" t="s">
        <v>466</v>
      </c>
      <c r="B1004" t="str">
        <f>_xlfn.XLOOKUP(A1004,'[1]2050Pop'!$A$7:$A$143,'[1]2050Pop'!$D$7:$D$143)</f>
        <v>SSA</v>
      </c>
      <c r="C1004" s="127">
        <f>1000*_xlfn.XLOOKUP(A1004,'[1]2050Pop'!$A$7:$A$143,'[1]2050Pop'!$C$7:$C$143)</f>
        <v>15681</v>
      </c>
      <c r="D1004" s="126" t="s">
        <v>501</v>
      </c>
      <c r="E1004" s="128">
        <v>15.747999999999999</v>
      </c>
      <c r="F1004" s="129">
        <f t="shared" si="47"/>
        <v>0.24694438799999999</v>
      </c>
      <c r="G1004" t="str">
        <f>_xlfn.XLOOKUP(D1004,'[1]2050 BAU Mapping to T &amp; C'!$A$3:$A$52,'[1]2050 BAU Mapping to T &amp; C'!$B$3:$B$52)</f>
        <v xml:space="preserve">Oil crops </v>
      </c>
      <c r="H1004" s="129">
        <f>_xlfn.XLOOKUP(G1004,'[1]T&amp;C emissions for 2050 analysis'!$B$3:$B$23,'[1]T&amp;C emissions for 2050 analysis'!$C$3:$C$23)</f>
        <v>0.18333333333333335</v>
      </c>
      <c r="I1004" s="27">
        <f t="shared" si="45"/>
        <v>4.5273137800000002E-2</v>
      </c>
      <c r="J1004" s="129">
        <f t="shared" si="46"/>
        <v>2.8871333333333333</v>
      </c>
    </row>
    <row r="1005" spans="1:10" hidden="1" x14ac:dyDescent="0.35">
      <c r="A1005" s="126" t="s">
        <v>467</v>
      </c>
      <c r="B1005" t="str">
        <f>_xlfn.XLOOKUP(A1005,'[1]2050Pop'!$A$7:$A$143,'[1]2050Pop'!$D$7:$D$143)</f>
        <v>LatAm &amp; RSA</v>
      </c>
      <c r="C1005" s="127">
        <f>1000*_xlfn.XLOOKUP(A1005,'[1]2050Pop'!$A$7:$A$143,'[1]2050Pop'!$C$7:$C$143)</f>
        <v>1291</v>
      </c>
      <c r="D1005" s="126" t="s">
        <v>501</v>
      </c>
      <c r="E1005" s="128">
        <v>14.638</v>
      </c>
      <c r="F1005" s="129">
        <f t="shared" si="47"/>
        <v>1.8897657999999998E-2</v>
      </c>
      <c r="G1005" t="str">
        <f>_xlfn.XLOOKUP(D1005,'[1]2050 BAU Mapping to T &amp; C'!$A$3:$A$52,'[1]2050 BAU Mapping to T &amp; C'!$B$3:$B$52)</f>
        <v xml:space="preserve">Oil crops </v>
      </c>
      <c r="H1005" s="129">
        <f>_xlfn.XLOOKUP(G1005,'[1]T&amp;C emissions for 2050 analysis'!$B$3:$B$23,'[1]T&amp;C emissions for 2050 analysis'!$C$3:$C$23)</f>
        <v>0.18333333333333335</v>
      </c>
      <c r="I1005" s="27">
        <f t="shared" si="45"/>
        <v>3.4645706333333334E-3</v>
      </c>
      <c r="J1005" s="129">
        <f t="shared" si="46"/>
        <v>2.6836333333333333</v>
      </c>
    </row>
    <row r="1006" spans="1:10" hidden="1" x14ac:dyDescent="0.35">
      <c r="A1006" s="126" t="s">
        <v>469</v>
      </c>
      <c r="B1006" t="str">
        <f>_xlfn.XLOOKUP(A1006,'[1]2050Pop'!$A$7:$A$143,'[1]2050Pop'!$D$7:$D$143)</f>
        <v>MENA</v>
      </c>
      <c r="C1006" s="127">
        <f>1000*_xlfn.XLOOKUP(A1006,'[1]2050Pop'!$A$7:$A$143,'[1]2050Pop'!$C$7:$C$143)</f>
        <v>95819</v>
      </c>
      <c r="D1006" s="126" t="s">
        <v>501</v>
      </c>
      <c r="E1006" s="128">
        <v>79.551000000000002</v>
      </c>
      <c r="F1006" s="129">
        <f t="shared" si="47"/>
        <v>7.6224972690000001</v>
      </c>
      <c r="G1006" t="str">
        <f>_xlfn.XLOOKUP(D1006,'[1]2050 BAU Mapping to T &amp; C'!$A$3:$A$52,'[1]2050 BAU Mapping to T &amp; C'!$B$3:$B$52)</f>
        <v xml:space="preserve">Oil crops </v>
      </c>
      <c r="H1006" s="129">
        <f>_xlfn.XLOOKUP(G1006,'[1]T&amp;C emissions for 2050 analysis'!$B$3:$B$23,'[1]T&amp;C emissions for 2050 analysis'!$C$3:$C$23)</f>
        <v>0.18333333333333335</v>
      </c>
      <c r="I1006" s="27">
        <f t="shared" si="45"/>
        <v>1.3974578326500002</v>
      </c>
      <c r="J1006" s="129">
        <f t="shared" si="46"/>
        <v>14.584350000000002</v>
      </c>
    </row>
    <row r="1007" spans="1:10" hidden="1" x14ac:dyDescent="0.35">
      <c r="A1007" s="126" t="s">
        <v>484</v>
      </c>
      <c r="B1007" t="str">
        <f>_xlfn.XLOOKUP(A1007,'[1]2050Pop'!$A$7:$A$143,'[1]2050Pop'!$D$7:$D$143)</f>
        <v>APAC</v>
      </c>
      <c r="C1007" s="127">
        <f>1000*_xlfn.XLOOKUP(A1007,'[1]2050Pop'!$A$7:$A$143,'[1]2050Pop'!$C$7:$C$143)</f>
        <v>6555</v>
      </c>
      <c r="D1007" s="126" t="s">
        <v>501</v>
      </c>
      <c r="E1007" s="128">
        <v>101.194</v>
      </c>
      <c r="F1007" s="129">
        <f t="shared" si="47"/>
        <v>0.66332667000000001</v>
      </c>
      <c r="G1007" t="str">
        <f>_xlfn.XLOOKUP(D1007,'[1]2050 BAU Mapping to T &amp; C'!$A$3:$A$52,'[1]2050 BAU Mapping to T &amp; C'!$B$3:$B$52)</f>
        <v xml:space="preserve">Oil crops </v>
      </c>
      <c r="H1007" s="129">
        <f>_xlfn.XLOOKUP(G1007,'[1]T&amp;C emissions for 2050 analysis'!$B$3:$B$23,'[1]T&amp;C emissions for 2050 analysis'!$C$3:$C$23)</f>
        <v>0.18333333333333335</v>
      </c>
      <c r="I1007" s="27">
        <f t="shared" si="45"/>
        <v>0.12160988950000001</v>
      </c>
      <c r="J1007" s="129">
        <f t="shared" si="46"/>
        <v>18.552233333333334</v>
      </c>
    </row>
    <row r="1008" spans="1:10" hidden="1" x14ac:dyDescent="0.35">
      <c r="A1008" s="126" t="s">
        <v>470</v>
      </c>
      <c r="B1008" t="str">
        <f>_xlfn.XLOOKUP(A1008,'[1]2050Pop'!$A$7:$A$143,'[1]2050Pop'!$D$7:$D$143)</f>
        <v>SSA</v>
      </c>
      <c r="C1008" s="127">
        <f>1000*_xlfn.XLOOKUP(A1008,'[1]2050Pop'!$A$7:$A$143,'[1]2050Pop'!$C$7:$C$143)</f>
        <v>101873</v>
      </c>
      <c r="D1008" s="126" t="s">
        <v>501</v>
      </c>
      <c r="E1008" s="128">
        <v>9.7260000000000009</v>
      </c>
      <c r="F1008" s="129">
        <f t="shared" si="47"/>
        <v>0.99081679800000011</v>
      </c>
      <c r="G1008" t="str">
        <f>_xlfn.XLOOKUP(D1008,'[1]2050 BAU Mapping to T &amp; C'!$A$3:$A$52,'[1]2050 BAU Mapping to T &amp; C'!$B$3:$B$52)</f>
        <v xml:space="preserve">Oil crops </v>
      </c>
      <c r="H1008" s="129">
        <f>_xlfn.XLOOKUP(G1008,'[1]T&amp;C emissions for 2050 analysis'!$B$3:$B$23,'[1]T&amp;C emissions for 2050 analysis'!$C$3:$C$23)</f>
        <v>0.18333333333333335</v>
      </c>
      <c r="I1008" s="27">
        <f t="shared" si="45"/>
        <v>0.18164974630000003</v>
      </c>
      <c r="J1008" s="129">
        <f t="shared" si="46"/>
        <v>1.7831000000000004</v>
      </c>
    </row>
    <row r="1009" spans="1:10" hidden="1" x14ac:dyDescent="0.35">
      <c r="A1009" s="126" t="s">
        <v>473</v>
      </c>
      <c r="B1009" t="str">
        <f>_xlfn.XLOOKUP(A1009,'[1]2050Pop'!$A$7:$A$143,'[1]2050Pop'!$D$7:$D$143)</f>
        <v>SSA</v>
      </c>
      <c r="C1009" s="127">
        <f>1000*_xlfn.XLOOKUP(A1009,'[1]2050Pop'!$A$7:$A$143,'[1]2050Pop'!$C$7:$C$143)</f>
        <v>137136</v>
      </c>
      <c r="D1009" s="126" t="s">
        <v>501</v>
      </c>
      <c r="E1009" s="130">
        <v>21.39</v>
      </c>
      <c r="F1009" s="129">
        <f t="shared" si="47"/>
        <v>2.9333390399999999</v>
      </c>
      <c r="G1009" t="str">
        <f>_xlfn.XLOOKUP(D1009,'[1]2050 BAU Mapping to T &amp; C'!$A$3:$A$52,'[1]2050 BAU Mapping to T &amp; C'!$B$3:$B$52)</f>
        <v xml:space="preserve">Oil crops </v>
      </c>
      <c r="H1009" s="129">
        <f>_xlfn.XLOOKUP(G1009,'[1]T&amp;C emissions for 2050 analysis'!$B$3:$B$23,'[1]T&amp;C emissions for 2050 analysis'!$C$3:$C$23)</f>
        <v>0.18333333333333335</v>
      </c>
      <c r="I1009" s="27">
        <f t="shared" si="45"/>
        <v>0.53777882399999999</v>
      </c>
      <c r="J1009" s="129">
        <f t="shared" si="46"/>
        <v>3.9215000000000004</v>
      </c>
    </row>
    <row r="1010" spans="1:10" hidden="1" x14ac:dyDescent="0.35">
      <c r="A1010" s="126" t="s">
        <v>474</v>
      </c>
      <c r="B1010" t="str">
        <f>_xlfn.XLOOKUP(A1010,'[1]2050Pop'!$A$7:$A$143,'[1]2050Pop'!$D$7:$D$143)</f>
        <v>NAm</v>
      </c>
      <c r="C1010" s="127">
        <f>1000*_xlfn.XLOOKUP(A1010,'[1]2050Pop'!$A$7:$A$143,'[1]2050Pop'!$C$7:$C$143)</f>
        <v>388865</v>
      </c>
      <c r="D1010" s="126" t="s">
        <v>501</v>
      </c>
      <c r="E1010" s="128">
        <v>21.277000000000001</v>
      </c>
      <c r="F1010" s="129">
        <f t="shared" si="47"/>
        <v>8.2738806050000004</v>
      </c>
      <c r="G1010" t="str">
        <f>_xlfn.XLOOKUP(D1010,'[1]2050 BAU Mapping to T &amp; C'!$A$3:$A$52,'[1]2050 BAU Mapping to T &amp; C'!$B$3:$B$52)</f>
        <v xml:space="preserve">Oil crops </v>
      </c>
      <c r="H1010" s="129">
        <f>_xlfn.XLOOKUP(G1010,'[1]T&amp;C emissions for 2050 analysis'!$B$3:$B$23,'[1]T&amp;C emissions for 2050 analysis'!$C$3:$C$23)</f>
        <v>0.18333333333333335</v>
      </c>
      <c r="I1010" s="27">
        <f t="shared" si="45"/>
        <v>1.5168781109166669</v>
      </c>
      <c r="J1010" s="129">
        <f t="shared" si="46"/>
        <v>3.9007833333333339</v>
      </c>
    </row>
    <row r="1011" spans="1:10" hidden="1" x14ac:dyDescent="0.35">
      <c r="A1011" s="126" t="s">
        <v>485</v>
      </c>
      <c r="B1011" t="str">
        <f>_xlfn.XLOOKUP(A1011,'[1]2050Pop'!$A$7:$A$143,'[1]2050Pop'!$D$7:$D$143)</f>
        <v>APAC</v>
      </c>
      <c r="C1011" s="127">
        <f>1000*_xlfn.XLOOKUP(A1011,'[1]2050Pop'!$A$7:$A$143,'[1]2050Pop'!$C$7:$C$143)</f>
        <v>37126</v>
      </c>
      <c r="D1011" s="126" t="s">
        <v>501</v>
      </c>
      <c r="E1011" s="128">
        <v>202.02199999999999</v>
      </c>
      <c r="F1011" s="129">
        <f t="shared" si="47"/>
        <v>7.5002687720000001</v>
      </c>
      <c r="G1011" t="str">
        <f>_xlfn.XLOOKUP(D1011,'[1]2050 BAU Mapping to T &amp; C'!$A$3:$A$52,'[1]2050 BAU Mapping to T &amp; C'!$B$3:$B$52)</f>
        <v xml:space="preserve">Oil crops </v>
      </c>
      <c r="H1011" s="129">
        <f>_xlfn.XLOOKUP(G1011,'[1]T&amp;C emissions for 2050 analysis'!$B$3:$B$23,'[1]T&amp;C emissions for 2050 analysis'!$C$3:$C$23)</f>
        <v>0.18333333333333335</v>
      </c>
      <c r="I1011" s="27">
        <f t="shared" si="45"/>
        <v>1.3750492748666667</v>
      </c>
      <c r="J1011" s="129">
        <f t="shared" si="46"/>
        <v>37.037366666666671</v>
      </c>
    </row>
    <row r="1012" spans="1:10" hidden="1" x14ac:dyDescent="0.35">
      <c r="A1012" s="126" t="s">
        <v>476</v>
      </c>
      <c r="B1012" t="str">
        <f>_xlfn.XLOOKUP(A1012,'[1]2050Pop'!$A$7:$A$143,'[1]2050Pop'!$D$7:$D$143)</f>
        <v>LatAm &amp; RSA</v>
      </c>
      <c r="C1012" s="127">
        <f>1000*_xlfn.XLOOKUP(A1012,'[1]2050Pop'!$A$7:$A$143,'[1]2050Pop'!$C$7:$C$143)</f>
        <v>41562</v>
      </c>
      <c r="D1012" s="126" t="s">
        <v>501</v>
      </c>
      <c r="E1012" s="128">
        <v>1.4179999999999999</v>
      </c>
      <c r="F1012" s="129">
        <f t="shared" si="47"/>
        <v>5.8934915999999997E-2</v>
      </c>
      <c r="G1012" t="str">
        <f>_xlfn.XLOOKUP(D1012,'[1]2050 BAU Mapping to T &amp; C'!$A$3:$A$52,'[1]2050 BAU Mapping to T &amp; C'!$B$3:$B$52)</f>
        <v xml:space="preserve">Oil crops </v>
      </c>
      <c r="H1012" s="129">
        <f>_xlfn.XLOOKUP(G1012,'[1]T&amp;C emissions for 2050 analysis'!$B$3:$B$23,'[1]T&amp;C emissions for 2050 analysis'!$C$3:$C$23)</f>
        <v>0.18333333333333335</v>
      </c>
      <c r="I1012" s="27">
        <f t="shared" si="45"/>
        <v>1.0804734600000001E-2</v>
      </c>
      <c r="J1012" s="129">
        <f t="shared" si="46"/>
        <v>0.25996666666666668</v>
      </c>
    </row>
    <row r="1013" spans="1:10" hidden="1" x14ac:dyDescent="0.35">
      <c r="A1013" s="126" t="s">
        <v>478</v>
      </c>
      <c r="B1013" t="str">
        <f>_xlfn.XLOOKUP(A1013,'[1]2050Pop'!$A$7:$A$143,'[1]2050Pop'!$D$7:$D$143)</f>
        <v>MENA</v>
      </c>
      <c r="C1013" s="127">
        <f>1000*_xlfn.XLOOKUP(A1013,'[1]2050Pop'!$A$7:$A$143,'[1]2050Pop'!$C$7:$C$143)</f>
        <v>47170</v>
      </c>
      <c r="D1013" s="126" t="s">
        <v>501</v>
      </c>
      <c r="E1013" s="128">
        <v>3.165</v>
      </c>
      <c r="F1013" s="129">
        <f t="shared" si="47"/>
        <v>0.14929304999999998</v>
      </c>
      <c r="G1013" t="str">
        <f>_xlfn.XLOOKUP(D1013,'[1]2050 BAU Mapping to T &amp; C'!$A$3:$A$52,'[1]2050 BAU Mapping to T &amp; C'!$B$3:$B$52)</f>
        <v xml:space="preserve">Oil crops </v>
      </c>
      <c r="H1013" s="129">
        <f>_xlfn.XLOOKUP(G1013,'[1]T&amp;C emissions for 2050 analysis'!$B$3:$B$23,'[1]T&amp;C emissions for 2050 analysis'!$C$3:$C$23)</f>
        <v>0.18333333333333335</v>
      </c>
      <c r="I1013" s="27">
        <f t="shared" si="45"/>
        <v>2.73703925E-2</v>
      </c>
      <c r="J1013" s="129">
        <f t="shared" si="46"/>
        <v>0.58025000000000004</v>
      </c>
    </row>
    <row r="1014" spans="1:10" hidden="1" x14ac:dyDescent="0.35">
      <c r="A1014" s="126" t="s">
        <v>494</v>
      </c>
      <c r="B1014" t="str">
        <f>_xlfn.XLOOKUP(A1014,'[1]2050Pop'!$A$7:$A$143,'[1]2050Pop'!$D$7:$D$143)</f>
        <v>SSA</v>
      </c>
      <c r="C1014" s="127">
        <f>1000*_xlfn.XLOOKUP(A1014,'[1]2050Pop'!$A$7:$A$143,'[1]2050Pop'!$C$7:$C$143)</f>
        <v>42975</v>
      </c>
      <c r="D1014" s="126" t="s">
        <v>501</v>
      </c>
      <c r="E1014" s="128">
        <v>26.093</v>
      </c>
      <c r="F1014" s="129">
        <f t="shared" si="47"/>
        <v>1.1213466750000001</v>
      </c>
      <c r="G1014" t="str">
        <f>_xlfn.XLOOKUP(D1014,'[1]2050 BAU Mapping to T &amp; C'!$A$3:$A$52,'[1]2050 BAU Mapping to T &amp; C'!$B$3:$B$52)</f>
        <v xml:space="preserve">Oil crops </v>
      </c>
      <c r="H1014" s="129">
        <f>_xlfn.XLOOKUP(G1014,'[1]T&amp;C emissions for 2050 analysis'!$B$3:$B$23,'[1]T&amp;C emissions for 2050 analysis'!$C$3:$C$23)</f>
        <v>0.18333333333333335</v>
      </c>
      <c r="I1014" s="27">
        <f t="shared" si="45"/>
        <v>0.20558022375000004</v>
      </c>
      <c r="J1014" s="129">
        <f t="shared" si="46"/>
        <v>4.7837166666666668</v>
      </c>
    </row>
    <row r="1015" spans="1:10" hidden="1" x14ac:dyDescent="0.35">
      <c r="A1015" s="126" t="s">
        <v>479</v>
      </c>
      <c r="B1015" t="str">
        <f>_xlfn.XLOOKUP(A1015,'[1]2050Pop'!$A$7:$A$143,'[1]2050Pop'!$D$7:$D$143)</f>
        <v>SSA</v>
      </c>
      <c r="C1015" s="127">
        <f>1000*_xlfn.XLOOKUP(A1015,'[1]2050Pop'!$A$7:$A$143,'[1]2050Pop'!$C$7:$C$143)</f>
        <v>29615</v>
      </c>
      <c r="D1015" s="126" t="s">
        <v>501</v>
      </c>
      <c r="E1015" s="128">
        <v>63.508000000000003</v>
      </c>
      <c r="F1015" s="129">
        <f t="shared" si="47"/>
        <v>1.8807894200000002</v>
      </c>
      <c r="G1015" t="str">
        <f>_xlfn.XLOOKUP(D1015,'[1]2050 BAU Mapping to T &amp; C'!$A$3:$A$52,'[1]2050 BAU Mapping to T &amp; C'!$B$3:$B$52)</f>
        <v xml:space="preserve">Oil crops </v>
      </c>
      <c r="H1015" s="129">
        <f>_xlfn.XLOOKUP(G1015,'[1]T&amp;C emissions for 2050 analysis'!$B$3:$B$23,'[1]T&amp;C emissions for 2050 analysis'!$C$3:$C$23)</f>
        <v>0.18333333333333335</v>
      </c>
      <c r="I1015" s="27">
        <f t="shared" si="45"/>
        <v>0.34481139366666674</v>
      </c>
      <c r="J1015" s="129">
        <f t="shared" si="46"/>
        <v>11.643133333333335</v>
      </c>
    </row>
    <row r="1016" spans="1:10" hidden="1" x14ac:dyDescent="0.35">
      <c r="A1016" s="126" t="s">
        <v>355</v>
      </c>
      <c r="B1016" t="str">
        <f>_xlfn.XLOOKUP(A1016,'[1]2050Pop'!$A$7:$A$143,'[1]2050Pop'!$D$7:$D$143)</f>
        <v>India/South Asia</v>
      </c>
      <c r="C1016" s="127">
        <f>1000*_xlfn.XLOOKUP(A1016,'[1]2050Pop'!$A$7:$A$143,'[1]2050Pop'!$C$7:$C$143)</f>
        <v>55955</v>
      </c>
      <c r="D1016" s="126" t="s">
        <v>502</v>
      </c>
      <c r="E1016" s="128">
        <v>26.053999999999998</v>
      </c>
      <c r="F1016" s="129">
        <f t="shared" si="47"/>
        <v>1.4578515699999999</v>
      </c>
      <c r="G1016" t="str">
        <f>_xlfn.XLOOKUP(D1016,'[1]2050 BAU Mapping to T &amp; C'!$A$3:$A$52,'[1]2050 BAU Mapping to T &amp; C'!$B$3:$B$52)</f>
        <v>Legumes</v>
      </c>
      <c r="H1016" s="129">
        <f>_xlfn.XLOOKUP(G1016,'[1]T&amp;C emissions for 2050 analysis'!$B$3:$B$23,'[1]T&amp;C emissions for 2050 analysis'!$C$3:$C$23)</f>
        <v>7.3333333333333334E-2</v>
      </c>
      <c r="I1016" s="27">
        <f t="shared" si="45"/>
        <v>0.10690911513333333</v>
      </c>
      <c r="J1016" s="129">
        <f t="shared" si="46"/>
        <v>1.9106266666666665</v>
      </c>
    </row>
    <row r="1017" spans="1:10" hidden="1" x14ac:dyDescent="0.35">
      <c r="A1017" s="126" t="s">
        <v>357</v>
      </c>
      <c r="B1017" t="str">
        <f>_xlfn.XLOOKUP(A1017,'[1]2050Pop'!$A$7:$A$143,'[1]2050Pop'!$D$7:$D$143)</f>
        <v>Euro/AU/NZ</v>
      </c>
      <c r="C1017" s="127">
        <f>1000*_xlfn.XLOOKUP(A1017,'[1]2050Pop'!$A$7:$A$143,'[1]2050Pop'!$C$7:$C$143)</f>
        <v>2710</v>
      </c>
      <c r="D1017" s="126" t="s">
        <v>502</v>
      </c>
      <c r="E1017" s="128">
        <v>53.311999999999998</v>
      </c>
      <c r="F1017" s="129">
        <f t="shared" si="47"/>
        <v>0.14447552</v>
      </c>
      <c r="G1017" t="str">
        <f>_xlfn.XLOOKUP(D1017,'[1]2050 BAU Mapping to T &amp; C'!$A$3:$A$52,'[1]2050 BAU Mapping to T &amp; C'!$B$3:$B$52)</f>
        <v>Legumes</v>
      </c>
      <c r="H1017" s="129">
        <f>_xlfn.XLOOKUP(G1017,'[1]T&amp;C emissions for 2050 analysis'!$B$3:$B$23,'[1]T&amp;C emissions for 2050 analysis'!$C$3:$C$23)</f>
        <v>7.3333333333333334E-2</v>
      </c>
      <c r="I1017" s="27">
        <f t="shared" si="45"/>
        <v>1.0594871466666666E-2</v>
      </c>
      <c r="J1017" s="129">
        <f t="shared" si="46"/>
        <v>3.9095466666666665</v>
      </c>
    </row>
    <row r="1018" spans="1:10" hidden="1" x14ac:dyDescent="0.35">
      <c r="A1018" s="126" t="s">
        <v>358</v>
      </c>
      <c r="B1018" t="str">
        <f>_xlfn.XLOOKUP(A1018,'[1]2050Pop'!$A$7:$A$143,'[1]2050Pop'!$D$7:$D$143)</f>
        <v>MENA</v>
      </c>
      <c r="C1018" s="127">
        <f>1000*_xlfn.XLOOKUP(A1018,'[1]2050Pop'!$A$7:$A$143,'[1]2050Pop'!$C$7:$C$143)</f>
        <v>56461</v>
      </c>
      <c r="D1018" s="126" t="s">
        <v>502</v>
      </c>
      <c r="E1018" s="128">
        <v>76.090999999999994</v>
      </c>
      <c r="F1018" s="129">
        <f t="shared" si="47"/>
        <v>4.2961739509999992</v>
      </c>
      <c r="G1018" t="str">
        <f>_xlfn.XLOOKUP(D1018,'[1]2050 BAU Mapping to T &amp; C'!$A$3:$A$52,'[1]2050 BAU Mapping to T &amp; C'!$B$3:$B$52)</f>
        <v>Legumes</v>
      </c>
      <c r="H1018" s="129">
        <f>_xlfn.XLOOKUP(G1018,'[1]T&amp;C emissions for 2050 analysis'!$B$3:$B$23,'[1]T&amp;C emissions for 2050 analysis'!$C$3:$C$23)</f>
        <v>7.3333333333333334E-2</v>
      </c>
      <c r="I1018" s="27">
        <f t="shared" si="45"/>
        <v>0.31505275640666663</v>
      </c>
      <c r="J1018" s="129">
        <f t="shared" si="46"/>
        <v>5.5800066666666659</v>
      </c>
    </row>
    <row r="1019" spans="1:10" hidden="1" x14ac:dyDescent="0.35">
      <c r="A1019" s="126" t="s">
        <v>359</v>
      </c>
      <c r="B1019" t="str">
        <f>_xlfn.XLOOKUP(A1019,'[1]2050Pop'!$A$7:$A$143,'[1]2050Pop'!$D$7:$D$143)</f>
        <v>SSA</v>
      </c>
      <c r="C1019" s="127">
        <f>1000*_xlfn.XLOOKUP(A1019,'[1]2050Pop'!$A$7:$A$143,'[1]2050Pop'!$C$7:$C$143)</f>
        <v>65473</v>
      </c>
      <c r="D1019" s="126" t="s">
        <v>502</v>
      </c>
      <c r="E1019" s="130">
        <v>70.540000000000006</v>
      </c>
      <c r="F1019" s="129">
        <f t="shared" si="47"/>
        <v>4.6184654200000006</v>
      </c>
      <c r="G1019" t="str">
        <f>_xlfn.XLOOKUP(D1019,'[1]2050 BAU Mapping to T &amp; C'!$A$3:$A$52,'[1]2050 BAU Mapping to T &amp; C'!$B$3:$B$52)</f>
        <v>Legumes</v>
      </c>
      <c r="H1019" s="129">
        <f>_xlfn.XLOOKUP(G1019,'[1]T&amp;C emissions for 2050 analysis'!$B$3:$B$23,'[1]T&amp;C emissions for 2050 analysis'!$C$3:$C$23)</f>
        <v>7.3333333333333334E-2</v>
      </c>
      <c r="I1019" s="27">
        <f t="shared" si="45"/>
        <v>0.33868746413333339</v>
      </c>
      <c r="J1019" s="129">
        <f t="shared" si="46"/>
        <v>5.1729333333333338</v>
      </c>
    </row>
    <row r="1020" spans="1:10" hidden="1" x14ac:dyDescent="0.35">
      <c r="A1020" s="126" t="s">
        <v>360</v>
      </c>
      <c r="B1020" t="str">
        <f>_xlfn.XLOOKUP(A1020,'[1]2050Pop'!$A$7:$A$143,'[1]2050Pop'!$D$7:$D$143)</f>
        <v>LatAm &amp; RSA</v>
      </c>
      <c r="C1020" s="127">
        <f>1000*_xlfn.XLOOKUP(A1020,'[1]2050Pop'!$A$7:$A$143,'[1]2050Pop'!$C$7:$C$143)</f>
        <v>55445</v>
      </c>
      <c r="D1020" s="126" t="s">
        <v>502</v>
      </c>
      <c r="E1020" s="128">
        <v>5.0659999999999998</v>
      </c>
      <c r="F1020" s="129">
        <f t="shared" si="47"/>
        <v>0.28088436999999999</v>
      </c>
      <c r="G1020" t="str">
        <f>_xlfn.XLOOKUP(D1020,'[1]2050 BAU Mapping to T &amp; C'!$A$3:$A$52,'[1]2050 BAU Mapping to T &amp; C'!$B$3:$B$52)</f>
        <v>Legumes</v>
      </c>
      <c r="H1020" s="129">
        <f>_xlfn.XLOOKUP(G1020,'[1]T&amp;C emissions for 2050 analysis'!$B$3:$B$23,'[1]T&amp;C emissions for 2050 analysis'!$C$3:$C$23)</f>
        <v>7.3333333333333334E-2</v>
      </c>
      <c r="I1020" s="27">
        <f t="shared" si="45"/>
        <v>2.0598187133333334E-2</v>
      </c>
      <c r="J1020" s="129">
        <f t="shared" si="46"/>
        <v>0.37150666666666665</v>
      </c>
    </row>
    <row r="1021" spans="1:10" hidden="1" x14ac:dyDescent="0.35">
      <c r="A1021" s="126" t="s">
        <v>362</v>
      </c>
      <c r="B1021" t="str">
        <f>_xlfn.XLOOKUP(A1021,'[1]2050Pop'!$A$7:$A$143,'[1]2050Pop'!$D$7:$D$143)</f>
        <v>Euro/AU/NZ</v>
      </c>
      <c r="C1021" s="127">
        <f>1000*_xlfn.XLOOKUP(A1021,'[1]2050Pop'!$A$7:$A$143,'[1]2050Pop'!$C$7:$C$143)</f>
        <v>33496</v>
      </c>
      <c r="D1021" s="126" t="s">
        <v>502</v>
      </c>
      <c r="E1021" s="128">
        <v>10.917</v>
      </c>
      <c r="F1021" s="129">
        <f t="shared" si="47"/>
        <v>0.36567583199999998</v>
      </c>
      <c r="G1021" t="str">
        <f>_xlfn.XLOOKUP(D1021,'[1]2050 BAU Mapping to T &amp; C'!$A$3:$A$52,'[1]2050 BAU Mapping to T &amp; C'!$B$3:$B$52)</f>
        <v>Legumes</v>
      </c>
      <c r="H1021" s="129">
        <f>_xlfn.XLOOKUP(G1021,'[1]T&amp;C emissions for 2050 analysis'!$B$3:$B$23,'[1]T&amp;C emissions for 2050 analysis'!$C$3:$C$23)</f>
        <v>7.3333333333333334E-2</v>
      </c>
      <c r="I1021" s="27">
        <f t="shared" si="45"/>
        <v>2.6816227679999999E-2</v>
      </c>
      <c r="J1021" s="129">
        <f t="shared" si="46"/>
        <v>0.80057999999999996</v>
      </c>
    </row>
    <row r="1022" spans="1:10" hidden="1" x14ac:dyDescent="0.35">
      <c r="A1022" s="126" t="s">
        <v>363</v>
      </c>
      <c r="B1022" t="str">
        <f>_xlfn.XLOOKUP(A1022,'[1]2050Pop'!$A$7:$A$143,'[1]2050Pop'!$D$7:$D$143)</f>
        <v>Euro/AU/NZ</v>
      </c>
      <c r="C1022" s="127">
        <f>1000*_xlfn.XLOOKUP(A1022,'[1]2050Pop'!$A$7:$A$143,'[1]2050Pop'!$C$7:$C$143)</f>
        <v>8846</v>
      </c>
      <c r="D1022" s="126" t="s">
        <v>502</v>
      </c>
      <c r="E1022" s="128">
        <v>7.3769999999999998</v>
      </c>
      <c r="F1022" s="129">
        <f t="shared" si="47"/>
        <v>6.5256941999999998E-2</v>
      </c>
      <c r="G1022" t="str">
        <f>_xlfn.XLOOKUP(D1022,'[1]2050 BAU Mapping to T &amp; C'!$A$3:$A$52,'[1]2050 BAU Mapping to T &amp; C'!$B$3:$B$52)</f>
        <v>Legumes</v>
      </c>
      <c r="H1022" s="129">
        <f>_xlfn.XLOOKUP(G1022,'[1]T&amp;C emissions for 2050 analysis'!$B$3:$B$23,'[1]T&amp;C emissions for 2050 analysis'!$C$3:$C$23)</f>
        <v>7.3333333333333334E-2</v>
      </c>
      <c r="I1022" s="27">
        <f t="shared" si="45"/>
        <v>4.78550908E-3</v>
      </c>
      <c r="J1022" s="129">
        <f t="shared" si="46"/>
        <v>0.54098000000000002</v>
      </c>
    </row>
    <row r="1023" spans="1:10" hidden="1" x14ac:dyDescent="0.35">
      <c r="A1023" s="126" t="s">
        <v>364</v>
      </c>
      <c r="B1023" t="str">
        <f>_xlfn.XLOOKUP(A1023,'[1]2050Pop'!$A$7:$A$143,'[1]2050Pop'!$D$7:$D$143)</f>
        <v>MENA</v>
      </c>
      <c r="C1023" s="127">
        <f>1000*_xlfn.XLOOKUP(A1023,'[1]2050Pop'!$A$7:$A$143,'[1]2050Pop'!$C$7:$C$143)</f>
        <v>10963</v>
      </c>
      <c r="D1023" s="126" t="s">
        <v>502</v>
      </c>
      <c r="E1023" s="128">
        <v>9.8170000000000002</v>
      </c>
      <c r="F1023" s="129">
        <f t="shared" si="47"/>
        <v>0.10762377100000001</v>
      </c>
      <c r="G1023" t="str">
        <f>_xlfn.XLOOKUP(D1023,'[1]2050 BAU Mapping to T &amp; C'!$A$3:$A$52,'[1]2050 BAU Mapping to T &amp; C'!$B$3:$B$52)</f>
        <v>Legumes</v>
      </c>
      <c r="H1023" s="129">
        <f>_xlfn.XLOOKUP(G1023,'[1]T&amp;C emissions for 2050 analysis'!$B$3:$B$23,'[1]T&amp;C emissions for 2050 analysis'!$C$3:$C$23)</f>
        <v>7.3333333333333334E-2</v>
      </c>
      <c r="I1023" s="27">
        <f t="shared" si="45"/>
        <v>7.892409873333334E-3</v>
      </c>
      <c r="J1023" s="129">
        <f t="shared" si="46"/>
        <v>0.71991333333333329</v>
      </c>
    </row>
    <row r="1024" spans="1:10" hidden="1" x14ac:dyDescent="0.35">
      <c r="A1024" s="126" t="s">
        <v>365</v>
      </c>
      <c r="B1024" t="str">
        <f>_xlfn.XLOOKUP(A1024,'[1]2050Pop'!$A$7:$A$143,'[1]2050Pop'!$D$7:$D$143)</f>
        <v>India/South Asia</v>
      </c>
      <c r="C1024" s="127">
        <f>1000*_xlfn.XLOOKUP(A1024,'[1]2050Pop'!$A$7:$A$143,'[1]2050Pop'!$C$7:$C$143)</f>
        <v>202209</v>
      </c>
      <c r="D1024" s="126" t="s">
        <v>502</v>
      </c>
      <c r="E1024" s="128">
        <v>59.061</v>
      </c>
      <c r="F1024" s="129">
        <f t="shared" si="47"/>
        <v>11.942665749</v>
      </c>
      <c r="G1024" t="str">
        <f>_xlfn.XLOOKUP(D1024,'[1]2050 BAU Mapping to T &amp; C'!$A$3:$A$52,'[1]2050 BAU Mapping to T &amp; C'!$B$3:$B$52)</f>
        <v>Legumes</v>
      </c>
      <c r="H1024" s="129">
        <f>_xlfn.XLOOKUP(G1024,'[1]T&amp;C emissions for 2050 analysis'!$B$3:$B$23,'[1]T&amp;C emissions for 2050 analysis'!$C$3:$C$23)</f>
        <v>7.3333333333333334E-2</v>
      </c>
      <c r="I1024" s="27">
        <f t="shared" si="45"/>
        <v>0.87579548825999998</v>
      </c>
      <c r="J1024" s="129">
        <f t="shared" si="46"/>
        <v>4.3311400000000004</v>
      </c>
    </row>
    <row r="1025" spans="1:10" hidden="1" x14ac:dyDescent="0.35">
      <c r="A1025" s="126" t="s">
        <v>367</v>
      </c>
      <c r="B1025" t="str">
        <f>_xlfn.XLOOKUP(A1025,'[1]2050Pop'!$A$7:$A$143,'[1]2050Pop'!$D$7:$D$143)</f>
        <v>Euro/AU/NZ</v>
      </c>
      <c r="C1025" s="127">
        <f>1000*_xlfn.XLOOKUP(A1025,'[1]2050Pop'!$A$7:$A$143,'[1]2050Pop'!$C$7:$C$143)</f>
        <v>12527</v>
      </c>
      <c r="D1025" s="126" t="s">
        <v>502</v>
      </c>
      <c r="E1025" s="128">
        <v>23.506</v>
      </c>
      <c r="F1025" s="129">
        <f t="shared" si="47"/>
        <v>0.29445966200000001</v>
      </c>
      <c r="G1025" t="str">
        <f>_xlfn.XLOOKUP(D1025,'[1]2050 BAU Mapping to T &amp; C'!$A$3:$A$52,'[1]2050 BAU Mapping to T &amp; C'!$B$3:$B$52)</f>
        <v>Legumes</v>
      </c>
      <c r="H1025" s="129">
        <f>_xlfn.XLOOKUP(G1025,'[1]T&amp;C emissions for 2050 analysis'!$B$3:$B$23,'[1]T&amp;C emissions for 2050 analysis'!$C$3:$C$23)</f>
        <v>7.3333333333333334E-2</v>
      </c>
      <c r="I1025" s="27">
        <f t="shared" si="45"/>
        <v>2.1593708546666666E-2</v>
      </c>
      <c r="J1025" s="129">
        <f t="shared" si="46"/>
        <v>1.7237733333333334</v>
      </c>
    </row>
    <row r="1026" spans="1:10" hidden="1" x14ac:dyDescent="0.35">
      <c r="A1026" s="126" t="s">
        <v>368</v>
      </c>
      <c r="B1026" t="str">
        <f>_xlfn.XLOOKUP(A1026,'[1]2050Pop'!$A$7:$A$143,'[1]2050Pop'!$D$7:$D$143)</f>
        <v>SSA</v>
      </c>
      <c r="C1026" s="127">
        <f>1000*_xlfn.XLOOKUP(A1026,'[1]2050Pop'!$A$7:$A$143,'[1]2050Pop'!$C$7:$C$143)</f>
        <v>22549</v>
      </c>
      <c r="D1026" s="126" t="s">
        <v>502</v>
      </c>
      <c r="E1026" s="128">
        <v>100.13800000000001</v>
      </c>
      <c r="F1026" s="129">
        <f t="shared" si="47"/>
        <v>2.2580117620000002</v>
      </c>
      <c r="G1026" t="str">
        <f>_xlfn.XLOOKUP(D1026,'[1]2050 BAU Mapping to T &amp; C'!$A$3:$A$52,'[1]2050 BAU Mapping to T &amp; C'!$B$3:$B$52)</f>
        <v>Legumes</v>
      </c>
      <c r="H1026" s="129">
        <f>_xlfn.XLOOKUP(G1026,'[1]T&amp;C emissions for 2050 analysis'!$B$3:$B$23,'[1]T&amp;C emissions for 2050 analysis'!$C$3:$C$23)</f>
        <v>7.3333333333333334E-2</v>
      </c>
      <c r="I1026" s="27">
        <f t="shared" si="45"/>
        <v>0.16558752921333336</v>
      </c>
      <c r="J1026" s="129">
        <f t="shared" si="46"/>
        <v>7.3434533333333336</v>
      </c>
    </row>
    <row r="1027" spans="1:10" hidden="1" x14ac:dyDescent="0.35">
      <c r="A1027" s="126" t="s">
        <v>369</v>
      </c>
      <c r="B1027" t="str">
        <f>_xlfn.XLOOKUP(A1027,'[1]2050Pop'!$A$7:$A$143,'[1]2050Pop'!$D$7:$D$143)</f>
        <v>LatAm &amp; RSA</v>
      </c>
      <c r="C1027" s="127">
        <f>1000*_xlfn.XLOOKUP(A1027,'[1]2050Pop'!$A$7:$A$143,'[1]2050Pop'!$C$7:$C$143)</f>
        <v>15963</v>
      </c>
      <c r="D1027" s="126" t="s">
        <v>502</v>
      </c>
      <c r="E1027" s="128">
        <v>43.017000000000003</v>
      </c>
      <c r="F1027" s="129">
        <f t="shared" si="47"/>
        <v>0.68668037100000001</v>
      </c>
      <c r="G1027" t="str">
        <f>_xlfn.XLOOKUP(D1027,'[1]2050 BAU Mapping to T &amp; C'!$A$3:$A$52,'[1]2050 BAU Mapping to T &amp; C'!$B$3:$B$52)</f>
        <v>Legumes</v>
      </c>
      <c r="H1027" s="129">
        <f>_xlfn.XLOOKUP(G1027,'[1]T&amp;C emissions for 2050 analysis'!$B$3:$B$23,'[1]T&amp;C emissions for 2050 analysis'!$C$3:$C$23)</f>
        <v>7.3333333333333334E-2</v>
      </c>
      <c r="I1027" s="27">
        <f t="shared" si="45"/>
        <v>5.0356560539999998E-2</v>
      </c>
      <c r="J1027" s="129">
        <f t="shared" si="46"/>
        <v>3.1545800000000002</v>
      </c>
    </row>
    <row r="1028" spans="1:10" hidden="1" x14ac:dyDescent="0.35">
      <c r="A1028" s="126" t="s">
        <v>370</v>
      </c>
      <c r="B1028" t="str">
        <f>_xlfn.XLOOKUP(A1028,'[1]2050Pop'!$A$7:$A$143,'[1]2050Pop'!$D$7:$D$143)</f>
        <v>Euro/AU/NZ</v>
      </c>
      <c r="C1028" s="127">
        <f>1000*_xlfn.XLOOKUP(A1028,'[1]2050Pop'!$A$7:$A$143,'[1]2050Pop'!$C$7:$C$143)</f>
        <v>3069</v>
      </c>
      <c r="D1028" s="126" t="s">
        <v>502</v>
      </c>
      <c r="E1028" s="128">
        <v>71.213999999999999</v>
      </c>
      <c r="F1028" s="129">
        <f t="shared" si="47"/>
        <v>0.21855576600000001</v>
      </c>
      <c r="G1028" t="str">
        <f>_xlfn.XLOOKUP(D1028,'[1]2050 BAU Mapping to T &amp; C'!$A$3:$A$52,'[1]2050 BAU Mapping to T &amp; C'!$B$3:$B$52)</f>
        <v>Legumes</v>
      </c>
      <c r="H1028" s="129">
        <f>_xlfn.XLOOKUP(G1028,'[1]T&amp;C emissions for 2050 analysis'!$B$3:$B$23,'[1]T&amp;C emissions for 2050 analysis'!$C$3:$C$23)</f>
        <v>7.3333333333333334E-2</v>
      </c>
      <c r="I1028" s="27">
        <f t="shared" ref="I1028:I1091" si="48">F1028*H1028</f>
        <v>1.602742284E-2</v>
      </c>
      <c r="J1028" s="129">
        <f t="shared" ref="J1028:J1091" si="49">E1028*H1028</f>
        <v>5.2223600000000001</v>
      </c>
    </row>
    <row r="1029" spans="1:10" hidden="1" x14ac:dyDescent="0.35">
      <c r="A1029" s="126" t="s">
        <v>371</v>
      </c>
      <c r="B1029" t="str">
        <f>_xlfn.XLOOKUP(A1029,'[1]2050Pop'!$A$7:$A$143,'[1]2050Pop'!$D$7:$D$143)</f>
        <v>SSA</v>
      </c>
      <c r="C1029" s="127">
        <f>1000*_xlfn.XLOOKUP(A1029,'[1]2050Pop'!$A$7:$A$143,'[1]2050Pop'!$C$7:$C$143)</f>
        <v>3389</v>
      </c>
      <c r="D1029" s="126" t="s">
        <v>502</v>
      </c>
      <c r="E1029" s="128">
        <v>51.749000000000002</v>
      </c>
      <c r="F1029" s="129">
        <f t="shared" ref="F1029:F1092" si="50">C1029*E1029/1000000</f>
        <v>0.17537736100000001</v>
      </c>
      <c r="G1029" t="str">
        <f>_xlfn.XLOOKUP(D1029,'[1]2050 BAU Mapping to T &amp; C'!$A$3:$A$52,'[1]2050 BAU Mapping to T &amp; C'!$B$3:$B$52)</f>
        <v>Legumes</v>
      </c>
      <c r="H1029" s="129">
        <f>_xlfn.XLOOKUP(G1029,'[1]T&amp;C emissions for 2050 analysis'!$B$3:$B$23,'[1]T&amp;C emissions for 2050 analysis'!$C$3:$C$23)</f>
        <v>7.3333333333333334E-2</v>
      </c>
      <c r="I1029" s="27">
        <f t="shared" si="48"/>
        <v>1.2861006473333334E-2</v>
      </c>
      <c r="J1029" s="129">
        <f t="shared" si="49"/>
        <v>3.794926666666667</v>
      </c>
    </row>
    <row r="1030" spans="1:10" hidden="1" x14ac:dyDescent="0.35">
      <c r="A1030" s="126" t="s">
        <v>372</v>
      </c>
      <c r="B1030" t="str">
        <f>_xlfn.XLOOKUP(A1030,'[1]2050Pop'!$A$7:$A$143,'[1]2050Pop'!$D$7:$D$143)</f>
        <v>LatAm &amp; RSA</v>
      </c>
      <c r="C1030" s="127">
        <f>1000*_xlfn.XLOOKUP(A1030,'[1]2050Pop'!$A$7:$A$143,'[1]2050Pop'!$C$7:$C$143)</f>
        <v>238270</v>
      </c>
      <c r="D1030" s="126" t="s">
        <v>502</v>
      </c>
      <c r="E1030" s="128">
        <v>171.29499999999999</v>
      </c>
      <c r="F1030" s="129">
        <f t="shared" si="50"/>
        <v>40.814459649999996</v>
      </c>
      <c r="G1030" t="str">
        <f>_xlfn.XLOOKUP(D1030,'[1]2050 BAU Mapping to T &amp; C'!$A$3:$A$52,'[1]2050 BAU Mapping to T &amp; C'!$B$3:$B$52)</f>
        <v>Legumes</v>
      </c>
      <c r="H1030" s="129">
        <f>_xlfn.XLOOKUP(G1030,'[1]T&amp;C emissions for 2050 analysis'!$B$3:$B$23,'[1]T&amp;C emissions for 2050 analysis'!$C$3:$C$23)</f>
        <v>7.3333333333333334E-2</v>
      </c>
      <c r="I1030" s="27">
        <f t="shared" si="48"/>
        <v>2.9930603743333331</v>
      </c>
      <c r="J1030" s="129">
        <f t="shared" si="49"/>
        <v>12.561633333333333</v>
      </c>
    </row>
    <row r="1031" spans="1:10" hidden="1" x14ac:dyDescent="0.35">
      <c r="A1031" s="126" t="s">
        <v>373</v>
      </c>
      <c r="B1031" t="str">
        <f>_xlfn.XLOOKUP(A1031,'[1]2050Pop'!$A$7:$A$143,'[1]2050Pop'!$D$7:$D$143)</f>
        <v>Euro/AU/NZ</v>
      </c>
      <c r="C1031" s="127">
        <f>1000*_xlfn.XLOOKUP(A1031,'[1]2050Pop'!$A$7:$A$143,'[1]2050Pop'!$C$7:$C$143)</f>
        <v>5154</v>
      </c>
      <c r="D1031" s="126" t="s">
        <v>502</v>
      </c>
      <c r="E1031" s="128">
        <v>20.887</v>
      </c>
      <c r="F1031" s="129">
        <f t="shared" si="50"/>
        <v>0.107651598</v>
      </c>
      <c r="G1031" t="str">
        <f>_xlfn.XLOOKUP(D1031,'[1]2050 BAU Mapping to T &amp; C'!$A$3:$A$52,'[1]2050 BAU Mapping to T &amp; C'!$B$3:$B$52)</f>
        <v>Legumes</v>
      </c>
      <c r="H1031" s="129">
        <f>_xlfn.XLOOKUP(G1031,'[1]T&amp;C emissions for 2050 analysis'!$B$3:$B$23,'[1]T&amp;C emissions for 2050 analysis'!$C$3:$C$23)</f>
        <v>7.3333333333333334E-2</v>
      </c>
      <c r="I1031" s="27">
        <f t="shared" si="48"/>
        <v>7.8944505200000004E-3</v>
      </c>
      <c r="J1031" s="129">
        <f t="shared" si="49"/>
        <v>1.5317133333333335</v>
      </c>
    </row>
    <row r="1032" spans="1:10" hidden="1" x14ac:dyDescent="0.35">
      <c r="A1032" s="126" t="s">
        <v>487</v>
      </c>
      <c r="B1032" t="str">
        <f>_xlfn.XLOOKUP(A1032,'[1]2050Pop'!$A$7:$A$143,'[1]2050Pop'!$D$7:$D$143)</f>
        <v>SSA</v>
      </c>
      <c r="C1032" s="127">
        <f>1000*_xlfn.XLOOKUP(A1032,'[1]2050Pop'!$A$7:$A$143,'[1]2050Pop'!$C$7:$C$143)</f>
        <v>42789</v>
      </c>
      <c r="D1032" s="126" t="s">
        <v>502</v>
      </c>
      <c r="E1032" s="128">
        <v>161.041</v>
      </c>
      <c r="F1032" s="129">
        <f t="shared" si="50"/>
        <v>6.8907833489999994</v>
      </c>
      <c r="G1032" t="str">
        <f>_xlfn.XLOOKUP(D1032,'[1]2050 BAU Mapping to T &amp; C'!$A$3:$A$52,'[1]2050 BAU Mapping to T &amp; C'!$B$3:$B$52)</f>
        <v>Legumes</v>
      </c>
      <c r="H1032" s="129">
        <f>_xlfn.XLOOKUP(G1032,'[1]T&amp;C emissions for 2050 analysis'!$B$3:$B$23,'[1]T&amp;C emissions for 2050 analysis'!$C$3:$C$23)</f>
        <v>7.3333333333333334E-2</v>
      </c>
      <c r="I1032" s="27">
        <f t="shared" si="48"/>
        <v>0.50532411225999996</v>
      </c>
      <c r="J1032" s="129">
        <f t="shared" si="49"/>
        <v>11.809673333333333</v>
      </c>
    </row>
    <row r="1033" spans="1:10" hidden="1" x14ac:dyDescent="0.35">
      <c r="A1033" s="126" t="s">
        <v>374</v>
      </c>
      <c r="B1033" t="str">
        <f>_xlfn.XLOOKUP(A1033,'[1]2050Pop'!$A$7:$A$143,'[1]2050Pop'!$D$7:$D$143)</f>
        <v>APAC</v>
      </c>
      <c r="C1033" s="127">
        <f>1000*_xlfn.XLOOKUP(A1033,'[1]2050Pop'!$A$7:$A$143,'[1]2050Pop'!$C$7:$C$143)</f>
        <v>22545</v>
      </c>
      <c r="D1033" s="126" t="s">
        <v>502</v>
      </c>
      <c r="E1033" s="128">
        <v>53.177</v>
      </c>
      <c r="F1033" s="129">
        <f t="shared" si="50"/>
        <v>1.198875465</v>
      </c>
      <c r="G1033" t="str">
        <f>_xlfn.XLOOKUP(D1033,'[1]2050 BAU Mapping to T &amp; C'!$A$3:$A$52,'[1]2050 BAU Mapping to T &amp; C'!$B$3:$B$52)</f>
        <v>Legumes</v>
      </c>
      <c r="H1033" s="129">
        <f>_xlfn.XLOOKUP(G1033,'[1]T&amp;C emissions for 2050 analysis'!$B$3:$B$23,'[1]T&amp;C emissions for 2050 analysis'!$C$3:$C$23)</f>
        <v>7.3333333333333334E-2</v>
      </c>
      <c r="I1033" s="27">
        <f t="shared" si="48"/>
        <v>8.79175341E-2</v>
      </c>
      <c r="J1033" s="129">
        <f t="shared" si="49"/>
        <v>3.8996466666666665</v>
      </c>
    </row>
    <row r="1034" spans="1:10" hidden="1" x14ac:dyDescent="0.35">
      <c r="A1034" s="126" t="s">
        <v>375</v>
      </c>
      <c r="B1034" t="str">
        <f>_xlfn.XLOOKUP(A1034,'[1]2050Pop'!$A$7:$A$143,'[1]2050Pop'!$D$7:$D$143)</f>
        <v>SSA</v>
      </c>
      <c r="C1034" s="127">
        <f>1000*_xlfn.XLOOKUP(A1034,'[1]2050Pop'!$A$7:$A$143,'[1]2050Pop'!$C$7:$C$143)</f>
        <v>48362</v>
      </c>
      <c r="D1034" s="126" t="s">
        <v>502</v>
      </c>
      <c r="E1034" s="128">
        <v>232.64699999999999</v>
      </c>
      <c r="F1034" s="129">
        <f t="shared" si="50"/>
        <v>11.251274214</v>
      </c>
      <c r="G1034" t="str">
        <f>_xlfn.XLOOKUP(D1034,'[1]2050 BAU Mapping to T &amp; C'!$A$3:$A$52,'[1]2050 BAU Mapping to T &amp; C'!$B$3:$B$52)</f>
        <v>Legumes</v>
      </c>
      <c r="H1034" s="129">
        <f>_xlfn.XLOOKUP(G1034,'[1]T&amp;C emissions for 2050 analysis'!$B$3:$B$23,'[1]T&amp;C emissions for 2050 analysis'!$C$3:$C$23)</f>
        <v>7.3333333333333334E-2</v>
      </c>
      <c r="I1034" s="27">
        <f t="shared" si="48"/>
        <v>0.82509344236000004</v>
      </c>
      <c r="J1034" s="129">
        <f t="shared" si="49"/>
        <v>17.060780000000001</v>
      </c>
    </row>
    <row r="1035" spans="1:10" hidden="1" x14ac:dyDescent="0.35">
      <c r="A1035" s="126" t="s">
        <v>376</v>
      </c>
      <c r="B1035" t="str">
        <f>_xlfn.XLOOKUP(A1035,'[1]2050Pop'!$A$7:$A$143,'[1]2050Pop'!$D$7:$D$143)</f>
        <v>NAm</v>
      </c>
      <c r="C1035" s="127">
        <f>1000*_xlfn.XLOOKUP(A1035,'[1]2050Pop'!$A$7:$A$143,'[1]2050Pop'!$C$7:$C$143)</f>
        <v>44136</v>
      </c>
      <c r="D1035" s="126" t="s">
        <v>502</v>
      </c>
      <c r="E1035" s="128">
        <v>115.039</v>
      </c>
      <c r="F1035" s="129">
        <f t="shared" si="50"/>
        <v>5.0773613040000001</v>
      </c>
      <c r="G1035" t="str">
        <f>_xlfn.XLOOKUP(D1035,'[1]2050 BAU Mapping to T &amp; C'!$A$3:$A$52,'[1]2050 BAU Mapping to T &amp; C'!$B$3:$B$52)</f>
        <v>Legumes</v>
      </c>
      <c r="H1035" s="129">
        <f>_xlfn.XLOOKUP(G1035,'[1]T&amp;C emissions for 2050 analysis'!$B$3:$B$23,'[1]T&amp;C emissions for 2050 analysis'!$C$3:$C$23)</f>
        <v>7.3333333333333334E-2</v>
      </c>
      <c r="I1035" s="27">
        <f t="shared" si="48"/>
        <v>0.37233982896000001</v>
      </c>
      <c r="J1035" s="129">
        <f t="shared" si="49"/>
        <v>8.4361933333333337</v>
      </c>
    </row>
    <row r="1036" spans="1:10" hidden="1" x14ac:dyDescent="0.35">
      <c r="A1036" s="126" t="s">
        <v>377</v>
      </c>
      <c r="B1036" t="str">
        <f>_xlfn.XLOOKUP(A1036,'[1]2050Pop'!$A$7:$A$143,'[1]2050Pop'!$D$7:$D$143)</f>
        <v>SSA</v>
      </c>
      <c r="C1036" s="127">
        <f>1000*_xlfn.XLOOKUP(A1036,'[1]2050Pop'!$A$7:$A$143,'[1]2050Pop'!$C$7:$C$143)</f>
        <v>8782</v>
      </c>
      <c r="D1036" s="126" t="s">
        <v>502</v>
      </c>
      <c r="E1036" s="128">
        <v>86.822000000000003</v>
      </c>
      <c r="F1036" s="129">
        <f t="shared" si="50"/>
        <v>0.762470804</v>
      </c>
      <c r="G1036" t="str">
        <f>_xlfn.XLOOKUP(D1036,'[1]2050 BAU Mapping to T &amp; C'!$A$3:$A$52,'[1]2050 BAU Mapping to T &amp; C'!$B$3:$B$52)</f>
        <v>Legumes</v>
      </c>
      <c r="H1036" s="129">
        <f>_xlfn.XLOOKUP(G1036,'[1]T&amp;C emissions for 2050 analysis'!$B$3:$B$23,'[1]T&amp;C emissions for 2050 analysis'!$C$3:$C$23)</f>
        <v>7.3333333333333334E-2</v>
      </c>
      <c r="I1036" s="27">
        <f t="shared" si="48"/>
        <v>5.591452562666667E-2</v>
      </c>
      <c r="J1036" s="129">
        <f t="shared" si="49"/>
        <v>6.3669466666666672</v>
      </c>
    </row>
    <row r="1037" spans="1:10" hidden="1" x14ac:dyDescent="0.35">
      <c r="A1037" s="126" t="s">
        <v>488</v>
      </c>
      <c r="B1037" t="str">
        <f>_xlfn.XLOOKUP(A1037,'[1]2050Pop'!$A$7:$A$143,'[1]2050Pop'!$D$7:$D$143)</f>
        <v>SSA</v>
      </c>
      <c r="C1037" s="127">
        <f>1000*_xlfn.XLOOKUP(A1037,'[1]2050Pop'!$A$7:$A$143,'[1]2050Pop'!$C$7:$C$143)</f>
        <v>35131</v>
      </c>
      <c r="D1037" s="126" t="s">
        <v>502</v>
      </c>
      <c r="E1037" s="128">
        <v>87.367000000000004</v>
      </c>
      <c r="F1037" s="129">
        <f t="shared" si="50"/>
        <v>3.0692900770000002</v>
      </c>
      <c r="G1037" t="str">
        <f>_xlfn.XLOOKUP(D1037,'[1]2050 BAU Mapping to T &amp; C'!$A$3:$A$52,'[1]2050 BAU Mapping to T &amp; C'!$B$3:$B$52)</f>
        <v>Legumes</v>
      </c>
      <c r="H1037" s="129">
        <f>_xlfn.XLOOKUP(G1037,'[1]T&amp;C emissions for 2050 analysis'!$B$3:$B$23,'[1]T&amp;C emissions for 2050 analysis'!$C$3:$C$23)</f>
        <v>7.3333333333333334E-2</v>
      </c>
      <c r="I1037" s="27">
        <f t="shared" si="48"/>
        <v>0.22508127231333336</v>
      </c>
      <c r="J1037" s="129">
        <f t="shared" si="49"/>
        <v>6.4069133333333337</v>
      </c>
    </row>
    <row r="1038" spans="1:10" hidden="1" x14ac:dyDescent="0.35">
      <c r="A1038" s="126" t="s">
        <v>378</v>
      </c>
      <c r="B1038" t="str">
        <f>_xlfn.XLOOKUP(A1038,'[1]2050Pop'!$A$7:$A$143,'[1]2050Pop'!$D$7:$D$143)</f>
        <v>LatAm &amp; RSA</v>
      </c>
      <c r="C1038" s="127">
        <f>1000*_xlfn.XLOOKUP(A1038,'[1]2050Pop'!$A$7:$A$143,'[1]2050Pop'!$C$7:$C$143)</f>
        <v>21601</v>
      </c>
      <c r="D1038" s="126" t="s">
        <v>502</v>
      </c>
      <c r="E1038" s="128">
        <v>39.055</v>
      </c>
      <c r="F1038" s="129">
        <f t="shared" si="50"/>
        <v>0.84362705500000001</v>
      </c>
      <c r="G1038" t="str">
        <f>_xlfn.XLOOKUP(D1038,'[1]2050 BAU Mapping to T &amp; C'!$A$3:$A$52,'[1]2050 BAU Mapping to T &amp; C'!$B$3:$B$52)</f>
        <v>Legumes</v>
      </c>
      <c r="H1038" s="129">
        <f>_xlfn.XLOOKUP(G1038,'[1]T&amp;C emissions for 2050 analysis'!$B$3:$B$23,'[1]T&amp;C emissions for 2050 analysis'!$C$3:$C$23)</f>
        <v>7.3333333333333334E-2</v>
      </c>
      <c r="I1038" s="27">
        <f t="shared" si="48"/>
        <v>6.1865984033333335E-2</v>
      </c>
      <c r="J1038" s="129">
        <f t="shared" si="49"/>
        <v>2.8640333333333334</v>
      </c>
    </row>
    <row r="1039" spans="1:10" hidden="1" x14ac:dyDescent="0.35">
      <c r="A1039" s="126" t="s">
        <v>379</v>
      </c>
      <c r="B1039" t="str">
        <f>_xlfn.XLOOKUP(A1039,'[1]2050Pop'!$A$7:$A$143,'[1]2050Pop'!$D$7:$D$143)</f>
        <v>Greater China</v>
      </c>
      <c r="C1039" s="127">
        <f>1000*_xlfn.XLOOKUP(A1039,'[1]2050Pop'!$A$7:$A$143,'[1]2050Pop'!$C$7:$C$143)</f>
        <v>8148</v>
      </c>
      <c r="D1039" s="126" t="s">
        <v>502</v>
      </c>
      <c r="E1039" s="128">
        <v>12.413</v>
      </c>
      <c r="F1039" s="129">
        <f t="shared" si="50"/>
        <v>0.101141124</v>
      </c>
      <c r="G1039" t="str">
        <f>_xlfn.XLOOKUP(D1039,'[1]2050 BAU Mapping to T &amp; C'!$A$3:$A$52,'[1]2050 BAU Mapping to T &amp; C'!$B$3:$B$52)</f>
        <v>Legumes</v>
      </c>
      <c r="H1039" s="129">
        <f>_xlfn.XLOOKUP(G1039,'[1]T&amp;C emissions for 2050 analysis'!$B$3:$B$23,'[1]T&amp;C emissions for 2050 analysis'!$C$3:$C$23)</f>
        <v>7.3333333333333334E-2</v>
      </c>
      <c r="I1039" s="27">
        <f t="shared" si="48"/>
        <v>7.4170157600000003E-3</v>
      </c>
      <c r="J1039" s="129">
        <f t="shared" si="49"/>
        <v>0.91028666666666669</v>
      </c>
    </row>
    <row r="1040" spans="1:10" hidden="1" x14ac:dyDescent="0.35">
      <c r="A1040" s="126" t="s">
        <v>380</v>
      </c>
      <c r="B1040" t="str">
        <f>_xlfn.XLOOKUP(A1040,'[1]2050Pop'!$A$7:$A$143,'[1]2050Pop'!$D$7:$D$143)</f>
        <v>Greater China</v>
      </c>
      <c r="C1040" s="127">
        <f>1000*_xlfn.XLOOKUP(A1040,'[1]2050Pop'!$A$7:$A$143,'[1]2050Pop'!$C$7:$C$143)</f>
        <v>1348056</v>
      </c>
      <c r="D1040" s="126" t="s">
        <v>502</v>
      </c>
      <c r="E1040" s="128">
        <v>13.885999999999999</v>
      </c>
      <c r="F1040" s="129">
        <f t="shared" si="50"/>
        <v>18.719105616</v>
      </c>
      <c r="G1040" t="str">
        <f>_xlfn.XLOOKUP(D1040,'[1]2050 BAU Mapping to T &amp; C'!$A$3:$A$52,'[1]2050 BAU Mapping to T &amp; C'!$B$3:$B$52)</f>
        <v>Legumes</v>
      </c>
      <c r="H1040" s="129">
        <f>_xlfn.XLOOKUP(G1040,'[1]T&amp;C emissions for 2050 analysis'!$B$3:$B$23,'[1]T&amp;C emissions for 2050 analysis'!$C$3:$C$23)</f>
        <v>7.3333333333333334E-2</v>
      </c>
      <c r="I1040" s="27">
        <f t="shared" si="48"/>
        <v>1.37273441184</v>
      </c>
      <c r="J1040" s="129">
        <f t="shared" si="49"/>
        <v>1.0183066666666667</v>
      </c>
    </row>
    <row r="1041" spans="1:10" hidden="1" x14ac:dyDescent="0.35">
      <c r="A1041" s="126" t="s">
        <v>381</v>
      </c>
      <c r="B1041" t="str">
        <f>_xlfn.XLOOKUP(A1041,'[1]2050Pop'!$A$7:$A$143,'[1]2050Pop'!$D$7:$D$143)</f>
        <v>Greater China</v>
      </c>
      <c r="C1041" s="127">
        <f>1000*_xlfn.XLOOKUP(A1041,'[1]2050Pop'!$A$7:$A$143,'[1]2050Pop'!$C$7:$C$143)</f>
        <v>20778</v>
      </c>
      <c r="D1041" s="126" t="s">
        <v>502</v>
      </c>
      <c r="E1041" s="130">
        <v>30.73</v>
      </c>
      <c r="F1041" s="129">
        <f t="shared" si="50"/>
        <v>0.63850794000000011</v>
      </c>
      <c r="G1041" t="str">
        <f>_xlfn.XLOOKUP(D1041,'[1]2050 BAU Mapping to T &amp; C'!$A$3:$A$52,'[1]2050 BAU Mapping to T &amp; C'!$B$3:$B$52)</f>
        <v>Legumes</v>
      </c>
      <c r="H1041" s="129">
        <f>_xlfn.XLOOKUP(G1041,'[1]T&amp;C emissions for 2050 analysis'!$B$3:$B$23,'[1]T&amp;C emissions for 2050 analysis'!$C$3:$C$23)</f>
        <v>7.3333333333333334E-2</v>
      </c>
      <c r="I1041" s="27">
        <f t="shared" si="48"/>
        <v>4.6823915600000009E-2</v>
      </c>
      <c r="J1041" s="129">
        <f t="shared" si="49"/>
        <v>2.2535333333333334</v>
      </c>
    </row>
    <row r="1042" spans="1:10" hidden="1" x14ac:dyDescent="0.35">
      <c r="A1042" s="126" t="s">
        <v>382</v>
      </c>
      <c r="B1042" t="str">
        <f>_xlfn.XLOOKUP(A1042,'[1]2050Pop'!$A$7:$A$143,'[1]2050Pop'!$D$7:$D$143)</f>
        <v>LatAm &amp; RSA</v>
      </c>
      <c r="C1042" s="127">
        <f>1000*_xlfn.XLOOKUP(A1042,'[1]2050Pop'!$A$7:$A$143,'[1]2050Pop'!$C$7:$C$143)</f>
        <v>54927</v>
      </c>
      <c r="D1042" s="126" t="s">
        <v>502</v>
      </c>
      <c r="E1042" s="128">
        <v>71.238</v>
      </c>
      <c r="F1042" s="129">
        <f t="shared" si="50"/>
        <v>3.9128896260000001</v>
      </c>
      <c r="G1042" t="str">
        <f>_xlfn.XLOOKUP(D1042,'[1]2050 BAU Mapping to T &amp; C'!$A$3:$A$52,'[1]2050 BAU Mapping to T &amp; C'!$B$3:$B$52)</f>
        <v>Legumes</v>
      </c>
      <c r="H1042" s="129">
        <f>_xlfn.XLOOKUP(G1042,'[1]T&amp;C emissions for 2050 analysis'!$B$3:$B$23,'[1]T&amp;C emissions for 2050 analysis'!$C$3:$C$23)</f>
        <v>7.3333333333333334E-2</v>
      </c>
      <c r="I1042" s="27">
        <f t="shared" si="48"/>
        <v>0.28694523923999998</v>
      </c>
      <c r="J1042" s="129">
        <f t="shared" si="49"/>
        <v>5.2241200000000001</v>
      </c>
    </row>
    <row r="1043" spans="1:10" hidden="1" x14ac:dyDescent="0.35">
      <c r="A1043" s="126" t="s">
        <v>383</v>
      </c>
      <c r="B1043" t="str">
        <f>_xlfn.XLOOKUP(A1043,'[1]2050Pop'!$A$7:$A$143,'[1]2050Pop'!$D$7:$D$143)</f>
        <v>LatAm &amp; RSA</v>
      </c>
      <c r="C1043" s="127">
        <f>1000*_xlfn.XLOOKUP(A1043,'[1]2050Pop'!$A$7:$A$143,'[1]2050Pop'!$C$7:$C$143)</f>
        <v>5759</v>
      </c>
      <c r="D1043" s="126" t="s">
        <v>502</v>
      </c>
      <c r="E1043" s="128">
        <v>113.53100000000001</v>
      </c>
      <c r="F1043" s="129">
        <f t="shared" si="50"/>
        <v>0.65382502899999995</v>
      </c>
      <c r="G1043" t="str">
        <f>_xlfn.XLOOKUP(D1043,'[1]2050 BAU Mapping to T &amp; C'!$A$3:$A$52,'[1]2050 BAU Mapping to T &amp; C'!$B$3:$B$52)</f>
        <v>Legumes</v>
      </c>
      <c r="H1043" s="129">
        <f>_xlfn.XLOOKUP(G1043,'[1]T&amp;C emissions for 2050 analysis'!$B$3:$B$23,'[1]T&amp;C emissions for 2050 analysis'!$C$3:$C$23)</f>
        <v>7.3333333333333334E-2</v>
      </c>
      <c r="I1043" s="27">
        <f t="shared" si="48"/>
        <v>4.7947168793333328E-2</v>
      </c>
      <c r="J1043" s="129">
        <f t="shared" si="49"/>
        <v>8.3256066666666673</v>
      </c>
    </row>
    <row r="1044" spans="1:10" hidden="1" x14ac:dyDescent="0.35">
      <c r="A1044" s="126" t="s">
        <v>384</v>
      </c>
      <c r="B1044" t="str">
        <f>_xlfn.XLOOKUP(A1044,'[1]2050Pop'!$A$7:$A$143,'[1]2050Pop'!$D$7:$D$143)</f>
        <v>SSA</v>
      </c>
      <c r="C1044" s="127">
        <f>1000*_xlfn.XLOOKUP(A1044,'[1]2050Pop'!$A$7:$A$143,'[1]2050Pop'!$C$7:$C$143)</f>
        <v>48797</v>
      </c>
      <c r="D1044" s="126" t="s">
        <v>502</v>
      </c>
      <c r="E1044" s="128">
        <v>31.254000000000001</v>
      </c>
      <c r="F1044" s="129">
        <f t="shared" si="50"/>
        <v>1.5251014380000001</v>
      </c>
      <c r="G1044" t="str">
        <f>_xlfn.XLOOKUP(D1044,'[1]2050 BAU Mapping to T &amp; C'!$A$3:$A$52,'[1]2050 BAU Mapping to T &amp; C'!$B$3:$B$52)</f>
        <v>Legumes</v>
      </c>
      <c r="H1044" s="129">
        <f>_xlfn.XLOOKUP(G1044,'[1]T&amp;C emissions for 2050 analysis'!$B$3:$B$23,'[1]T&amp;C emissions for 2050 analysis'!$C$3:$C$23)</f>
        <v>7.3333333333333334E-2</v>
      </c>
      <c r="I1044" s="27">
        <f t="shared" si="48"/>
        <v>0.11184077212</v>
      </c>
      <c r="J1044" s="129">
        <f t="shared" si="49"/>
        <v>2.29196</v>
      </c>
    </row>
    <row r="1045" spans="1:10" hidden="1" x14ac:dyDescent="0.35">
      <c r="A1045" s="126" t="s">
        <v>385</v>
      </c>
      <c r="B1045" t="str">
        <f>_xlfn.XLOOKUP(A1045,'[1]2050Pop'!$A$7:$A$143,'[1]2050Pop'!$D$7:$D$143)</f>
        <v>Euro/AU/NZ</v>
      </c>
      <c r="C1045" s="127">
        <f>1000*_xlfn.XLOOKUP(A1045,'[1]2050Pop'!$A$7:$A$143,'[1]2050Pop'!$C$7:$C$143)</f>
        <v>3554</v>
      </c>
      <c r="D1045" s="126" t="s">
        <v>502</v>
      </c>
      <c r="E1045" s="130">
        <v>8.2100000000000009</v>
      </c>
      <c r="F1045" s="129">
        <f t="shared" si="50"/>
        <v>2.9178340000000004E-2</v>
      </c>
      <c r="G1045" t="str">
        <f>_xlfn.XLOOKUP(D1045,'[1]2050 BAU Mapping to T &amp; C'!$A$3:$A$52,'[1]2050 BAU Mapping to T &amp; C'!$B$3:$B$52)</f>
        <v>Legumes</v>
      </c>
      <c r="H1045" s="129">
        <f>_xlfn.XLOOKUP(G1045,'[1]T&amp;C emissions for 2050 analysis'!$B$3:$B$23,'[1]T&amp;C emissions for 2050 analysis'!$C$3:$C$23)</f>
        <v>7.3333333333333334E-2</v>
      </c>
      <c r="I1045" s="27">
        <f t="shared" si="48"/>
        <v>2.1397449333333336E-3</v>
      </c>
      <c r="J1045" s="129">
        <f t="shared" si="49"/>
        <v>0.60206666666666675</v>
      </c>
    </row>
    <row r="1046" spans="1:10" hidden="1" x14ac:dyDescent="0.35">
      <c r="A1046" s="126" t="s">
        <v>386</v>
      </c>
      <c r="B1046" t="str">
        <f>_xlfn.XLOOKUP(A1046,'[1]2050Pop'!$A$7:$A$143,'[1]2050Pop'!$D$7:$D$143)</f>
        <v>LatAm &amp; RSA</v>
      </c>
      <c r="C1046" s="127">
        <f>1000*_xlfn.XLOOKUP(A1046,'[1]2050Pop'!$A$7:$A$143,'[1]2050Pop'!$C$7:$C$143)</f>
        <v>10339</v>
      </c>
      <c r="D1046" s="126" t="s">
        <v>502</v>
      </c>
      <c r="E1046" s="128">
        <v>201.92500000000001</v>
      </c>
      <c r="F1046" s="129">
        <f t="shared" si="50"/>
        <v>2.0877025750000002</v>
      </c>
      <c r="G1046" t="str">
        <f>_xlfn.XLOOKUP(D1046,'[1]2050 BAU Mapping to T &amp; C'!$A$3:$A$52,'[1]2050 BAU Mapping to T &amp; C'!$B$3:$B$52)</f>
        <v>Legumes</v>
      </c>
      <c r="H1046" s="129">
        <f>_xlfn.XLOOKUP(G1046,'[1]T&amp;C emissions for 2050 analysis'!$B$3:$B$23,'[1]T&amp;C emissions for 2050 analysis'!$C$3:$C$23)</f>
        <v>7.3333333333333334E-2</v>
      </c>
      <c r="I1046" s="27">
        <f t="shared" si="48"/>
        <v>0.15309818883333334</v>
      </c>
      <c r="J1046" s="129">
        <f t="shared" si="49"/>
        <v>14.807833333333335</v>
      </c>
    </row>
    <row r="1047" spans="1:10" hidden="1" x14ac:dyDescent="0.35">
      <c r="A1047" s="126" t="s">
        <v>387</v>
      </c>
      <c r="B1047" t="str">
        <f>_xlfn.XLOOKUP(A1047,'[1]2050Pop'!$A$7:$A$143,'[1]2050Pop'!$D$7:$D$143)</f>
        <v>Euro/AU/NZ</v>
      </c>
      <c r="C1047" s="127">
        <f>1000*_xlfn.XLOOKUP(A1047,'[1]2050Pop'!$A$7:$A$143,'[1]2050Pop'!$C$7:$C$143)</f>
        <v>9965</v>
      </c>
      <c r="D1047" s="126" t="s">
        <v>502</v>
      </c>
      <c r="E1047" s="128">
        <v>22.893999999999998</v>
      </c>
      <c r="F1047" s="129">
        <f t="shared" si="50"/>
        <v>0.22813870999999999</v>
      </c>
      <c r="G1047" t="str">
        <f>_xlfn.XLOOKUP(D1047,'[1]2050 BAU Mapping to T &amp; C'!$A$3:$A$52,'[1]2050 BAU Mapping to T &amp; C'!$B$3:$B$52)</f>
        <v>Legumes</v>
      </c>
      <c r="H1047" s="129">
        <f>_xlfn.XLOOKUP(G1047,'[1]T&amp;C emissions for 2050 analysis'!$B$3:$B$23,'[1]T&amp;C emissions for 2050 analysis'!$C$3:$C$23)</f>
        <v>7.3333333333333334E-2</v>
      </c>
      <c r="I1047" s="27">
        <f t="shared" si="48"/>
        <v>1.6730172066666667E-2</v>
      </c>
      <c r="J1047" s="129">
        <f t="shared" si="49"/>
        <v>1.6788933333333331</v>
      </c>
    </row>
    <row r="1048" spans="1:10" hidden="1" x14ac:dyDescent="0.35">
      <c r="A1048" s="126" t="s">
        <v>481</v>
      </c>
      <c r="B1048" t="str">
        <f>_xlfn.XLOOKUP(A1048,'[1]2050Pop'!$A$7:$A$143,'[1]2050Pop'!$D$7:$D$143)</f>
        <v>APAC</v>
      </c>
      <c r="C1048" s="127">
        <f>1000*_xlfn.XLOOKUP(A1048,'[1]2050Pop'!$A$7:$A$143,'[1]2050Pop'!$C$7:$C$143)</f>
        <v>26907</v>
      </c>
      <c r="D1048" s="126" t="s">
        <v>502</v>
      </c>
      <c r="E1048" s="128">
        <v>125.084</v>
      </c>
      <c r="F1048" s="129">
        <f t="shared" si="50"/>
        <v>3.3656351880000002</v>
      </c>
      <c r="G1048" t="str">
        <f>_xlfn.XLOOKUP(D1048,'[1]2050 BAU Mapping to T &amp; C'!$A$3:$A$52,'[1]2050 BAU Mapping to T &amp; C'!$B$3:$B$52)</f>
        <v>Legumes</v>
      </c>
      <c r="H1048" s="129">
        <f>_xlfn.XLOOKUP(G1048,'[1]T&amp;C emissions for 2050 analysis'!$B$3:$B$23,'[1]T&amp;C emissions for 2050 analysis'!$C$3:$C$23)</f>
        <v>7.3333333333333334E-2</v>
      </c>
      <c r="I1048" s="27">
        <f t="shared" si="48"/>
        <v>0.24681324712000002</v>
      </c>
      <c r="J1048" s="129">
        <f t="shared" si="49"/>
        <v>9.1728266666666674</v>
      </c>
    </row>
    <row r="1049" spans="1:10" hidden="1" x14ac:dyDescent="0.35">
      <c r="A1049" s="126" t="s">
        <v>388</v>
      </c>
      <c r="B1049" t="str">
        <f>_xlfn.XLOOKUP(A1049,'[1]2050Pop'!$A$7:$A$143,'[1]2050Pop'!$D$7:$D$143)</f>
        <v>Euro/AU/NZ</v>
      </c>
      <c r="C1049" s="127">
        <f>1000*_xlfn.XLOOKUP(A1049,'[1]2050Pop'!$A$7:$A$143,'[1]2050Pop'!$C$7:$C$143)</f>
        <v>6299</v>
      </c>
      <c r="D1049" s="126" t="s">
        <v>502</v>
      </c>
      <c r="E1049" s="128">
        <v>11.351000000000001</v>
      </c>
      <c r="F1049" s="129">
        <f t="shared" si="50"/>
        <v>7.1499949000000007E-2</v>
      </c>
      <c r="G1049" t="str">
        <f>_xlfn.XLOOKUP(D1049,'[1]2050 BAU Mapping to T &amp; C'!$A$3:$A$52,'[1]2050 BAU Mapping to T &amp; C'!$B$3:$B$52)</f>
        <v>Legumes</v>
      </c>
      <c r="H1049" s="129">
        <f>_xlfn.XLOOKUP(G1049,'[1]T&amp;C emissions for 2050 analysis'!$B$3:$B$23,'[1]T&amp;C emissions for 2050 analysis'!$C$3:$C$23)</f>
        <v>7.3333333333333334E-2</v>
      </c>
      <c r="I1049" s="27">
        <f t="shared" si="48"/>
        <v>5.2433295933333336E-3</v>
      </c>
      <c r="J1049" s="129">
        <f t="shared" si="49"/>
        <v>0.83240666666666674</v>
      </c>
    </row>
    <row r="1050" spans="1:10" hidden="1" x14ac:dyDescent="0.35">
      <c r="A1050" s="126" t="s">
        <v>389</v>
      </c>
      <c r="B1050" t="str">
        <f>_xlfn.XLOOKUP(A1050,'[1]2050Pop'!$A$7:$A$143,'[1]2050Pop'!$D$7:$D$143)</f>
        <v>LatAm &amp; RSA</v>
      </c>
      <c r="C1050" s="127">
        <f>1000*_xlfn.XLOOKUP(A1050,'[1]2050Pop'!$A$7:$A$143,'[1]2050Pop'!$C$7:$C$143)</f>
        <v>13238</v>
      </c>
      <c r="D1050" s="126" t="s">
        <v>502</v>
      </c>
      <c r="E1050" s="128">
        <v>127.881</v>
      </c>
      <c r="F1050" s="129">
        <f t="shared" si="50"/>
        <v>1.6928886780000001</v>
      </c>
      <c r="G1050" t="str">
        <f>_xlfn.XLOOKUP(D1050,'[1]2050 BAU Mapping to T &amp; C'!$A$3:$A$52,'[1]2050 BAU Mapping to T &amp; C'!$B$3:$B$52)</f>
        <v>Legumes</v>
      </c>
      <c r="H1050" s="129">
        <f>_xlfn.XLOOKUP(G1050,'[1]T&amp;C emissions for 2050 analysis'!$B$3:$B$23,'[1]T&amp;C emissions for 2050 analysis'!$C$3:$C$23)</f>
        <v>7.3333333333333334E-2</v>
      </c>
      <c r="I1050" s="27">
        <f t="shared" si="48"/>
        <v>0.12414516972</v>
      </c>
      <c r="J1050" s="129">
        <f t="shared" si="49"/>
        <v>9.3779400000000006</v>
      </c>
    </row>
    <row r="1051" spans="1:10" hidden="1" x14ac:dyDescent="0.35">
      <c r="A1051" s="126" t="s">
        <v>390</v>
      </c>
      <c r="B1051" t="str">
        <f>_xlfn.XLOOKUP(A1051,'[1]2050Pop'!$A$7:$A$143,'[1]2050Pop'!$D$7:$D$143)</f>
        <v>LatAm &amp; RSA</v>
      </c>
      <c r="C1051" s="127">
        <f>1000*_xlfn.XLOOKUP(A1051,'[1]2050Pop'!$A$7:$A$143,'[1]2050Pop'!$C$7:$C$143)</f>
        <v>23013</v>
      </c>
      <c r="D1051" s="126" t="s">
        <v>502</v>
      </c>
      <c r="E1051" s="128">
        <v>22.905000000000001</v>
      </c>
      <c r="F1051" s="129">
        <f t="shared" si="50"/>
        <v>0.52711276500000004</v>
      </c>
      <c r="G1051" t="str">
        <f>_xlfn.XLOOKUP(D1051,'[1]2050 BAU Mapping to T &amp; C'!$A$3:$A$52,'[1]2050 BAU Mapping to T &amp; C'!$B$3:$B$52)</f>
        <v>Legumes</v>
      </c>
      <c r="H1051" s="129">
        <f>_xlfn.XLOOKUP(G1051,'[1]T&amp;C emissions for 2050 analysis'!$B$3:$B$23,'[1]T&amp;C emissions for 2050 analysis'!$C$3:$C$23)</f>
        <v>7.3333333333333334E-2</v>
      </c>
      <c r="I1051" s="27">
        <f t="shared" si="48"/>
        <v>3.8654936100000002E-2</v>
      </c>
      <c r="J1051" s="129">
        <f t="shared" si="49"/>
        <v>1.6797000000000002</v>
      </c>
    </row>
    <row r="1052" spans="1:10" hidden="1" x14ac:dyDescent="0.35">
      <c r="A1052" s="126" t="s">
        <v>391</v>
      </c>
      <c r="B1052" t="str">
        <f>_xlfn.XLOOKUP(A1052,'[1]2050Pop'!$A$7:$A$143,'[1]2050Pop'!$D$7:$D$143)</f>
        <v>MENA</v>
      </c>
      <c r="C1052" s="127">
        <f>1000*_xlfn.XLOOKUP(A1052,'[1]2050Pop'!$A$7:$A$143,'[1]2050Pop'!$C$7:$C$143)</f>
        <v>151111</v>
      </c>
      <c r="D1052" s="126" t="s">
        <v>502</v>
      </c>
      <c r="E1052" s="128">
        <v>62.173000000000002</v>
      </c>
      <c r="F1052" s="129">
        <f t="shared" si="50"/>
        <v>9.3950242030000002</v>
      </c>
      <c r="G1052" t="str">
        <f>_xlfn.XLOOKUP(D1052,'[1]2050 BAU Mapping to T &amp; C'!$A$3:$A$52,'[1]2050 BAU Mapping to T &amp; C'!$B$3:$B$52)</f>
        <v>Legumes</v>
      </c>
      <c r="H1052" s="129">
        <f>_xlfn.XLOOKUP(G1052,'[1]T&amp;C emissions for 2050 analysis'!$B$3:$B$23,'[1]T&amp;C emissions for 2050 analysis'!$C$3:$C$23)</f>
        <v>7.3333333333333334E-2</v>
      </c>
      <c r="I1052" s="27">
        <f t="shared" si="48"/>
        <v>0.68896844155333337</v>
      </c>
      <c r="J1052" s="129">
        <f t="shared" si="49"/>
        <v>4.5593533333333331</v>
      </c>
    </row>
    <row r="1053" spans="1:10" hidden="1" x14ac:dyDescent="0.35">
      <c r="A1053" s="126" t="s">
        <v>392</v>
      </c>
      <c r="B1053" t="str">
        <f>_xlfn.XLOOKUP(A1053,'[1]2050Pop'!$A$7:$A$143,'[1]2050Pop'!$D$7:$D$143)</f>
        <v>LatAm &amp; RSA</v>
      </c>
      <c r="C1053" s="127">
        <f>1000*_xlfn.XLOOKUP(A1053,'[1]2050Pop'!$A$7:$A$143,'[1]2050Pop'!$C$7:$C$143)</f>
        <v>6390</v>
      </c>
      <c r="D1053" s="126" t="s">
        <v>502</v>
      </c>
      <c r="E1053" s="128">
        <v>176.85400000000001</v>
      </c>
      <c r="F1053" s="129">
        <f t="shared" si="50"/>
        <v>1.13009706</v>
      </c>
      <c r="G1053" t="str">
        <f>_xlfn.XLOOKUP(D1053,'[1]2050 BAU Mapping to T &amp; C'!$A$3:$A$52,'[1]2050 BAU Mapping to T &amp; C'!$B$3:$B$52)</f>
        <v>Legumes</v>
      </c>
      <c r="H1053" s="129">
        <f>_xlfn.XLOOKUP(G1053,'[1]T&amp;C emissions for 2050 analysis'!$B$3:$B$23,'[1]T&amp;C emissions for 2050 analysis'!$C$3:$C$23)</f>
        <v>7.3333333333333334E-2</v>
      </c>
      <c r="I1053" s="27">
        <f t="shared" si="48"/>
        <v>8.2873784399999997E-2</v>
      </c>
      <c r="J1053" s="129">
        <f t="shared" si="49"/>
        <v>12.969293333333335</v>
      </c>
    </row>
    <row r="1054" spans="1:10" hidden="1" x14ac:dyDescent="0.35">
      <c r="A1054" s="126" t="s">
        <v>393</v>
      </c>
      <c r="B1054" t="str">
        <f>_xlfn.XLOOKUP(A1054,'[1]2050Pop'!$A$7:$A$143,'[1]2050Pop'!$D$7:$D$143)</f>
        <v>Euro/AU/NZ</v>
      </c>
      <c r="C1054" s="127">
        <f>1000*_xlfn.XLOOKUP(A1054,'[1]2050Pop'!$A$7:$A$143,'[1]2050Pop'!$C$7:$C$143)</f>
        <v>1129</v>
      </c>
      <c r="D1054" s="126" t="s">
        <v>502</v>
      </c>
      <c r="E1054" s="130">
        <v>54.69</v>
      </c>
      <c r="F1054" s="129">
        <f t="shared" si="50"/>
        <v>6.1745009999999996E-2</v>
      </c>
      <c r="G1054" t="str">
        <f>_xlfn.XLOOKUP(D1054,'[1]2050 BAU Mapping to T &amp; C'!$A$3:$A$52,'[1]2050 BAU Mapping to T &amp; C'!$B$3:$B$52)</f>
        <v>Legumes</v>
      </c>
      <c r="H1054" s="129">
        <f>_xlfn.XLOOKUP(G1054,'[1]T&amp;C emissions for 2050 analysis'!$B$3:$B$23,'[1]T&amp;C emissions for 2050 analysis'!$C$3:$C$23)</f>
        <v>7.3333333333333334E-2</v>
      </c>
      <c r="I1054" s="27">
        <f t="shared" si="48"/>
        <v>4.5279674000000001E-3</v>
      </c>
      <c r="J1054" s="129">
        <f t="shared" si="49"/>
        <v>4.0106000000000002</v>
      </c>
    </row>
    <row r="1055" spans="1:10" hidden="1" x14ac:dyDescent="0.35">
      <c r="A1055" s="126" t="s">
        <v>394</v>
      </c>
      <c r="B1055" t="str">
        <f>_xlfn.XLOOKUP(A1055,'[1]2050Pop'!$A$7:$A$143,'[1]2050Pop'!$D$7:$D$143)</f>
        <v>SSA</v>
      </c>
      <c r="C1055" s="127">
        <f>1000*_xlfn.XLOOKUP(A1055,'[1]2050Pop'!$A$7:$A$143,'[1]2050Pop'!$C$7:$C$143)</f>
        <v>188455</v>
      </c>
      <c r="D1055" s="126" t="s">
        <v>502</v>
      </c>
      <c r="E1055" s="131">
        <v>203</v>
      </c>
      <c r="F1055" s="129">
        <f t="shared" si="50"/>
        <v>38.256365000000002</v>
      </c>
      <c r="G1055" t="str">
        <f>_xlfn.XLOOKUP(D1055,'[1]2050 BAU Mapping to T &amp; C'!$A$3:$A$52,'[1]2050 BAU Mapping to T &amp; C'!$B$3:$B$52)</f>
        <v>Legumes</v>
      </c>
      <c r="H1055" s="129">
        <f>_xlfn.XLOOKUP(G1055,'[1]T&amp;C emissions for 2050 analysis'!$B$3:$B$23,'[1]T&amp;C emissions for 2050 analysis'!$C$3:$C$23)</f>
        <v>7.3333333333333334E-2</v>
      </c>
      <c r="I1055" s="27">
        <f t="shared" si="48"/>
        <v>2.8054667666666671</v>
      </c>
      <c r="J1055" s="129">
        <f t="shared" si="49"/>
        <v>14.886666666666667</v>
      </c>
    </row>
    <row r="1056" spans="1:10" hidden="1" x14ac:dyDescent="0.35">
      <c r="A1056" s="126" t="s">
        <v>395</v>
      </c>
      <c r="B1056" t="str">
        <f>_xlfn.XLOOKUP(A1056,'[1]2050Pop'!$A$7:$A$143,'[1]2050Pop'!$D$7:$D$143)</f>
        <v>Euro/AU/NZ</v>
      </c>
      <c r="C1056" s="127">
        <f>1000*_xlfn.XLOOKUP(A1056,'[1]2050Pop'!$A$7:$A$143,'[1]2050Pop'!$C$7:$C$143)</f>
        <v>5752</v>
      </c>
      <c r="D1056" s="126" t="s">
        <v>502</v>
      </c>
      <c r="E1056" s="128">
        <v>10.305</v>
      </c>
      <c r="F1056" s="129">
        <f t="shared" si="50"/>
        <v>5.9274359999999998E-2</v>
      </c>
      <c r="G1056" t="str">
        <f>_xlfn.XLOOKUP(D1056,'[1]2050 BAU Mapping to T &amp; C'!$A$3:$A$52,'[1]2050 BAU Mapping to T &amp; C'!$B$3:$B$52)</f>
        <v>Legumes</v>
      </c>
      <c r="H1056" s="129">
        <f>_xlfn.XLOOKUP(G1056,'[1]T&amp;C emissions for 2050 analysis'!$B$3:$B$23,'[1]T&amp;C emissions for 2050 analysis'!$C$3:$C$23)</f>
        <v>7.3333333333333334E-2</v>
      </c>
      <c r="I1056" s="27">
        <f t="shared" si="48"/>
        <v>4.3467864000000002E-3</v>
      </c>
      <c r="J1056" s="129">
        <f t="shared" si="49"/>
        <v>0.75570000000000004</v>
      </c>
    </row>
    <row r="1057" spans="1:10" hidden="1" x14ac:dyDescent="0.35">
      <c r="A1057" s="126" t="s">
        <v>396</v>
      </c>
      <c r="B1057" t="str">
        <f>_xlfn.XLOOKUP(A1057,'[1]2050Pop'!$A$7:$A$143,'[1]2050Pop'!$D$7:$D$143)</f>
        <v>Euro/AU/NZ</v>
      </c>
      <c r="C1057" s="127">
        <f>1000*_xlfn.XLOOKUP(A1057,'[1]2050Pop'!$A$7:$A$143,'[1]2050Pop'!$C$7:$C$143)</f>
        <v>71137</v>
      </c>
      <c r="D1057" s="126" t="s">
        <v>502</v>
      </c>
      <c r="E1057" s="128">
        <v>17.940999999999999</v>
      </c>
      <c r="F1057" s="129">
        <f t="shared" si="50"/>
        <v>1.2762689169999999</v>
      </c>
      <c r="G1057" t="str">
        <f>_xlfn.XLOOKUP(D1057,'[1]2050 BAU Mapping to T &amp; C'!$A$3:$A$52,'[1]2050 BAU Mapping to T &amp; C'!$B$3:$B$52)</f>
        <v>Legumes</v>
      </c>
      <c r="H1057" s="129">
        <f>_xlfn.XLOOKUP(G1057,'[1]T&amp;C emissions for 2050 analysis'!$B$3:$B$23,'[1]T&amp;C emissions for 2050 analysis'!$C$3:$C$23)</f>
        <v>7.3333333333333334E-2</v>
      </c>
      <c r="I1057" s="27">
        <f t="shared" si="48"/>
        <v>9.3593053913333321E-2</v>
      </c>
      <c r="J1057" s="129">
        <f t="shared" si="49"/>
        <v>1.3156733333333333</v>
      </c>
    </row>
    <row r="1058" spans="1:10" hidden="1" x14ac:dyDescent="0.35">
      <c r="A1058" s="126" t="s">
        <v>397</v>
      </c>
      <c r="B1058" t="str">
        <f>_xlfn.XLOOKUP(A1058,'[1]2050Pop'!$A$7:$A$143,'[1]2050Pop'!$D$7:$D$143)</f>
        <v>SSA</v>
      </c>
      <c r="C1058" s="127">
        <f>1000*_xlfn.XLOOKUP(A1058,'[1]2050Pop'!$A$7:$A$143,'[1]2050Pop'!$C$7:$C$143)</f>
        <v>3164</v>
      </c>
      <c r="D1058" s="126" t="s">
        <v>502</v>
      </c>
      <c r="E1058" s="128">
        <v>2.1829999999999998</v>
      </c>
      <c r="F1058" s="129">
        <f t="shared" si="50"/>
        <v>6.9070119999999997E-3</v>
      </c>
      <c r="G1058" t="str">
        <f>_xlfn.XLOOKUP(D1058,'[1]2050 BAU Mapping to T &amp; C'!$A$3:$A$52,'[1]2050 BAU Mapping to T &amp; C'!$B$3:$B$52)</f>
        <v>Legumes</v>
      </c>
      <c r="H1058" s="129">
        <f>_xlfn.XLOOKUP(G1058,'[1]T&amp;C emissions for 2050 analysis'!$B$3:$B$23,'[1]T&amp;C emissions for 2050 analysis'!$C$3:$C$23)</f>
        <v>7.3333333333333334E-2</v>
      </c>
      <c r="I1058" s="27">
        <f t="shared" si="48"/>
        <v>5.0651421333333332E-4</v>
      </c>
      <c r="J1058" s="129">
        <f t="shared" si="49"/>
        <v>0.16008666666666665</v>
      </c>
    </row>
    <row r="1059" spans="1:10" hidden="1" x14ac:dyDescent="0.35">
      <c r="A1059" s="126" t="s">
        <v>489</v>
      </c>
      <c r="B1059" t="str">
        <f>_xlfn.XLOOKUP(A1059,'[1]2050Pop'!$A$7:$A$143,'[1]2050Pop'!$D$7:$D$143)</f>
        <v>SSA</v>
      </c>
      <c r="C1059" s="127">
        <f>1000*_xlfn.XLOOKUP(A1059,'[1]2050Pop'!$A$7:$A$143,'[1]2050Pop'!$C$7:$C$143)</f>
        <v>4981</v>
      </c>
      <c r="D1059" s="126" t="s">
        <v>502</v>
      </c>
      <c r="E1059" s="130">
        <v>12.14</v>
      </c>
      <c r="F1059" s="129">
        <f t="shared" si="50"/>
        <v>6.0469340000000003E-2</v>
      </c>
      <c r="G1059" t="str">
        <f>_xlfn.XLOOKUP(D1059,'[1]2050 BAU Mapping to T &amp; C'!$A$3:$A$52,'[1]2050 BAU Mapping to T &amp; C'!$B$3:$B$52)</f>
        <v>Legumes</v>
      </c>
      <c r="H1059" s="129">
        <f>_xlfn.XLOOKUP(G1059,'[1]T&amp;C emissions for 2050 analysis'!$B$3:$B$23,'[1]T&amp;C emissions for 2050 analysis'!$C$3:$C$23)</f>
        <v>7.3333333333333334E-2</v>
      </c>
      <c r="I1059" s="27">
        <f t="shared" si="48"/>
        <v>4.4344182666666669E-3</v>
      </c>
      <c r="J1059" s="129">
        <f t="shared" si="49"/>
        <v>0.89026666666666676</v>
      </c>
    </row>
    <row r="1060" spans="1:10" hidden="1" x14ac:dyDescent="0.35">
      <c r="A1060" s="126" t="s">
        <v>399</v>
      </c>
      <c r="B1060" t="str">
        <f>_xlfn.XLOOKUP(A1060,'[1]2050Pop'!$A$7:$A$143,'[1]2050Pop'!$D$7:$D$143)</f>
        <v>Euro/AU/NZ</v>
      </c>
      <c r="C1060" s="127">
        <f>1000*_xlfn.XLOOKUP(A1060,'[1]2050Pop'!$A$7:$A$143,'[1]2050Pop'!$C$7:$C$143)</f>
        <v>74513</v>
      </c>
      <c r="D1060" s="126" t="s">
        <v>502</v>
      </c>
      <c r="E1060" s="128">
        <v>7.9390000000000001</v>
      </c>
      <c r="F1060" s="129">
        <f t="shared" si="50"/>
        <v>0.59155870700000002</v>
      </c>
      <c r="G1060" t="str">
        <f>_xlfn.XLOOKUP(D1060,'[1]2050 BAU Mapping to T &amp; C'!$A$3:$A$52,'[1]2050 BAU Mapping to T &amp; C'!$B$3:$B$52)</f>
        <v>Legumes</v>
      </c>
      <c r="H1060" s="129">
        <f>_xlfn.XLOOKUP(G1060,'[1]T&amp;C emissions for 2050 analysis'!$B$3:$B$23,'[1]T&amp;C emissions for 2050 analysis'!$C$3:$C$23)</f>
        <v>7.3333333333333334E-2</v>
      </c>
      <c r="I1060" s="27">
        <f t="shared" si="48"/>
        <v>4.3380971846666665E-2</v>
      </c>
      <c r="J1060" s="129">
        <f t="shared" si="49"/>
        <v>0.58219333333333334</v>
      </c>
    </row>
    <row r="1061" spans="1:10" hidden="1" x14ac:dyDescent="0.35">
      <c r="A1061" s="126" t="s">
        <v>400</v>
      </c>
      <c r="B1061" t="str">
        <f>_xlfn.XLOOKUP(A1061,'[1]2050Pop'!$A$7:$A$143,'[1]2050Pop'!$D$7:$D$143)</f>
        <v>SSA</v>
      </c>
      <c r="C1061" s="127">
        <f>1000*_xlfn.XLOOKUP(A1061,'[1]2050Pop'!$A$7:$A$143,'[1]2050Pop'!$C$7:$C$143)</f>
        <v>50071</v>
      </c>
      <c r="D1061" s="126" t="s">
        <v>502</v>
      </c>
      <c r="E1061" s="128">
        <v>131.08600000000001</v>
      </c>
      <c r="F1061" s="129">
        <f t="shared" si="50"/>
        <v>6.563607106000001</v>
      </c>
      <c r="G1061" t="str">
        <f>_xlfn.XLOOKUP(D1061,'[1]2050 BAU Mapping to T &amp; C'!$A$3:$A$52,'[1]2050 BAU Mapping to T &amp; C'!$B$3:$B$52)</f>
        <v>Legumes</v>
      </c>
      <c r="H1061" s="129">
        <f>_xlfn.XLOOKUP(G1061,'[1]T&amp;C emissions for 2050 analysis'!$B$3:$B$23,'[1]T&amp;C emissions for 2050 analysis'!$C$3:$C$23)</f>
        <v>7.3333333333333334E-2</v>
      </c>
      <c r="I1061" s="27">
        <f t="shared" si="48"/>
        <v>0.48133118777333339</v>
      </c>
      <c r="J1061" s="129">
        <f t="shared" si="49"/>
        <v>9.6129733333333345</v>
      </c>
    </row>
    <row r="1062" spans="1:10" hidden="1" x14ac:dyDescent="0.35">
      <c r="A1062" s="126" t="s">
        <v>401</v>
      </c>
      <c r="B1062" t="str">
        <f>_xlfn.XLOOKUP(A1062,'[1]2050Pop'!$A$7:$A$143,'[1]2050Pop'!$D$7:$D$143)</f>
        <v>Euro/AU/NZ</v>
      </c>
      <c r="C1062" s="127">
        <f>1000*_xlfn.XLOOKUP(A1062,'[1]2050Pop'!$A$7:$A$143,'[1]2050Pop'!$C$7:$C$143)</f>
        <v>9705</v>
      </c>
      <c r="D1062" s="126" t="s">
        <v>502</v>
      </c>
      <c r="E1062" s="128">
        <v>48.905000000000001</v>
      </c>
      <c r="F1062" s="129">
        <f t="shared" si="50"/>
        <v>0.47462302500000003</v>
      </c>
      <c r="G1062" t="str">
        <f>_xlfn.XLOOKUP(D1062,'[1]2050 BAU Mapping to T &amp; C'!$A$3:$A$52,'[1]2050 BAU Mapping to T &amp; C'!$B$3:$B$52)</f>
        <v>Legumes</v>
      </c>
      <c r="H1062" s="129">
        <f>_xlfn.XLOOKUP(G1062,'[1]T&amp;C emissions for 2050 analysis'!$B$3:$B$23,'[1]T&amp;C emissions for 2050 analysis'!$C$3:$C$23)</f>
        <v>7.3333333333333334E-2</v>
      </c>
      <c r="I1062" s="27">
        <f t="shared" si="48"/>
        <v>3.4805688500000001E-2</v>
      </c>
      <c r="J1062" s="129">
        <f t="shared" si="49"/>
        <v>3.5863666666666667</v>
      </c>
    </row>
    <row r="1063" spans="1:10" hidden="1" x14ac:dyDescent="0.35">
      <c r="A1063" s="126" t="s">
        <v>402</v>
      </c>
      <c r="B1063" t="str">
        <f>_xlfn.XLOOKUP(A1063,'[1]2050Pop'!$A$7:$A$143,'[1]2050Pop'!$D$7:$D$143)</f>
        <v>LatAm &amp; RSA</v>
      </c>
      <c r="C1063" s="127">
        <f>1000*_xlfn.XLOOKUP(A1063,'[1]2050Pop'!$A$7:$A$143,'[1]2050Pop'!$C$7:$C$143)</f>
        <v>27754</v>
      </c>
      <c r="D1063" s="126" t="s">
        <v>502</v>
      </c>
      <c r="E1063" s="128">
        <v>152.02699999999999</v>
      </c>
      <c r="F1063" s="129">
        <f t="shared" si="50"/>
        <v>4.2193573579999999</v>
      </c>
      <c r="G1063" t="str">
        <f>_xlfn.XLOOKUP(D1063,'[1]2050 BAU Mapping to T &amp; C'!$A$3:$A$52,'[1]2050 BAU Mapping to T &amp; C'!$B$3:$B$52)</f>
        <v>Legumes</v>
      </c>
      <c r="H1063" s="129">
        <f>_xlfn.XLOOKUP(G1063,'[1]T&amp;C emissions for 2050 analysis'!$B$3:$B$23,'[1]T&amp;C emissions for 2050 analysis'!$C$3:$C$23)</f>
        <v>7.3333333333333334E-2</v>
      </c>
      <c r="I1063" s="27">
        <f t="shared" si="48"/>
        <v>0.30941953958666668</v>
      </c>
      <c r="J1063" s="129">
        <f t="shared" si="49"/>
        <v>11.148646666666666</v>
      </c>
    </row>
    <row r="1064" spans="1:10" hidden="1" x14ac:dyDescent="0.35">
      <c r="A1064" s="126" t="s">
        <v>403</v>
      </c>
      <c r="B1064" t="str">
        <f>_xlfn.XLOOKUP(A1064,'[1]2050Pop'!$A$7:$A$143,'[1]2050Pop'!$D$7:$D$143)</f>
        <v>SSA</v>
      </c>
      <c r="C1064" s="127">
        <f>1000*_xlfn.XLOOKUP(A1064,'[1]2050Pop'!$A$7:$A$143,'[1]2050Pop'!$C$7:$C$143)</f>
        <v>27486</v>
      </c>
      <c r="D1064" s="126" t="s">
        <v>502</v>
      </c>
      <c r="E1064" s="128">
        <v>54.951000000000001</v>
      </c>
      <c r="F1064" s="129">
        <f t="shared" si="50"/>
        <v>1.5103831859999999</v>
      </c>
      <c r="G1064" t="str">
        <f>_xlfn.XLOOKUP(D1064,'[1]2050 BAU Mapping to T &amp; C'!$A$3:$A$52,'[1]2050 BAU Mapping to T &amp; C'!$B$3:$B$52)</f>
        <v>Legumes</v>
      </c>
      <c r="H1064" s="129">
        <f>_xlfn.XLOOKUP(G1064,'[1]T&amp;C emissions for 2050 analysis'!$B$3:$B$23,'[1]T&amp;C emissions for 2050 analysis'!$C$3:$C$23)</f>
        <v>7.3333333333333334E-2</v>
      </c>
      <c r="I1064" s="27">
        <f t="shared" si="48"/>
        <v>0.11076143363999999</v>
      </c>
      <c r="J1064" s="129">
        <f t="shared" si="49"/>
        <v>4.0297400000000003</v>
      </c>
    </row>
    <row r="1065" spans="1:10" hidden="1" x14ac:dyDescent="0.35">
      <c r="A1065" s="126" t="s">
        <v>404</v>
      </c>
      <c r="B1065" t="str">
        <f>_xlfn.XLOOKUP(A1065,'[1]2050Pop'!$A$7:$A$143,'[1]2050Pop'!$D$7:$D$143)</f>
        <v>LatAm &amp; RSA</v>
      </c>
      <c r="C1065" s="127">
        <f>1000*_xlfn.XLOOKUP(A1065,'[1]2050Pop'!$A$7:$A$143,'[1]2050Pop'!$C$7:$C$143)</f>
        <v>806</v>
      </c>
      <c r="D1065" s="126" t="s">
        <v>502</v>
      </c>
      <c r="E1065" s="128">
        <v>81.965999999999994</v>
      </c>
      <c r="F1065" s="129">
        <f t="shared" si="50"/>
        <v>6.6064595999999989E-2</v>
      </c>
      <c r="G1065" t="str">
        <f>_xlfn.XLOOKUP(D1065,'[1]2050 BAU Mapping to T &amp; C'!$A$3:$A$52,'[1]2050 BAU Mapping to T &amp; C'!$B$3:$B$52)</f>
        <v>Legumes</v>
      </c>
      <c r="H1065" s="129">
        <f>_xlfn.XLOOKUP(G1065,'[1]T&amp;C emissions for 2050 analysis'!$B$3:$B$23,'[1]T&amp;C emissions for 2050 analysis'!$C$3:$C$23)</f>
        <v>7.3333333333333334E-2</v>
      </c>
      <c r="I1065" s="27">
        <f t="shared" si="48"/>
        <v>4.844737039999999E-3</v>
      </c>
      <c r="J1065" s="129">
        <f t="shared" si="49"/>
        <v>6.01084</v>
      </c>
    </row>
    <row r="1066" spans="1:10" hidden="1" x14ac:dyDescent="0.35">
      <c r="A1066" s="126" t="s">
        <v>405</v>
      </c>
      <c r="B1066" t="str">
        <f>_xlfn.XLOOKUP(A1066,'[1]2050Pop'!$A$7:$A$143,'[1]2050Pop'!$D$7:$D$143)</f>
        <v>LatAm &amp; RSA</v>
      </c>
      <c r="C1066" s="127">
        <f>1000*_xlfn.XLOOKUP(A1066,'[1]2050Pop'!$A$7:$A$143,'[1]2050Pop'!$C$7:$C$143)</f>
        <v>14189</v>
      </c>
      <c r="D1066" s="126" t="s">
        <v>502</v>
      </c>
      <c r="E1066" s="128">
        <v>228.46100000000001</v>
      </c>
      <c r="F1066" s="129">
        <f t="shared" si="50"/>
        <v>3.2416331290000002</v>
      </c>
      <c r="G1066" t="str">
        <f>_xlfn.XLOOKUP(D1066,'[1]2050 BAU Mapping to T &amp; C'!$A$3:$A$52,'[1]2050 BAU Mapping to T &amp; C'!$B$3:$B$52)</f>
        <v>Legumes</v>
      </c>
      <c r="H1066" s="129">
        <f>_xlfn.XLOOKUP(G1066,'[1]T&amp;C emissions for 2050 analysis'!$B$3:$B$23,'[1]T&amp;C emissions for 2050 analysis'!$C$3:$C$23)</f>
        <v>7.3333333333333334E-2</v>
      </c>
      <c r="I1066" s="27">
        <f t="shared" si="48"/>
        <v>0.23771976279333334</v>
      </c>
      <c r="J1066" s="129">
        <f t="shared" si="49"/>
        <v>16.753806666666669</v>
      </c>
    </row>
    <row r="1067" spans="1:10" hidden="1" x14ac:dyDescent="0.35">
      <c r="A1067" s="126" t="s">
        <v>406</v>
      </c>
      <c r="B1067" t="str">
        <f>_xlfn.XLOOKUP(A1067,'[1]2050Pop'!$A$7:$A$143,'[1]2050Pop'!$D$7:$D$143)</f>
        <v>LatAm &amp; RSA</v>
      </c>
      <c r="C1067" s="127">
        <f>1000*_xlfn.XLOOKUP(A1067,'[1]2050Pop'!$A$7:$A$143,'[1]2050Pop'!$C$7:$C$143)</f>
        <v>11217</v>
      </c>
      <c r="D1067" s="126" t="s">
        <v>502</v>
      </c>
      <c r="E1067" s="128">
        <v>112.929</v>
      </c>
      <c r="F1067" s="129">
        <f t="shared" si="50"/>
        <v>1.2667245930000002</v>
      </c>
      <c r="G1067" t="str">
        <f>_xlfn.XLOOKUP(D1067,'[1]2050 BAU Mapping to T &amp; C'!$A$3:$A$52,'[1]2050 BAU Mapping to T &amp; C'!$B$3:$B$52)</f>
        <v>Legumes</v>
      </c>
      <c r="H1067" s="129">
        <f>_xlfn.XLOOKUP(G1067,'[1]T&amp;C emissions for 2050 analysis'!$B$3:$B$23,'[1]T&amp;C emissions for 2050 analysis'!$C$3:$C$23)</f>
        <v>7.3333333333333334E-2</v>
      </c>
      <c r="I1067" s="27">
        <f t="shared" si="48"/>
        <v>9.2893136820000013E-2</v>
      </c>
      <c r="J1067" s="129">
        <f t="shared" si="49"/>
        <v>8.2814600000000009</v>
      </c>
    </row>
    <row r="1068" spans="1:10" hidden="1" x14ac:dyDescent="0.35">
      <c r="A1068" s="126" t="s">
        <v>407</v>
      </c>
      <c r="B1068" t="str">
        <f>_xlfn.XLOOKUP(A1068,'[1]2050Pop'!$A$7:$A$143,'[1]2050Pop'!$D$7:$D$143)</f>
        <v>Euro/AU/NZ</v>
      </c>
      <c r="C1068" s="127">
        <f>1000*_xlfn.XLOOKUP(A1068,'[1]2050Pop'!$A$7:$A$143,'[1]2050Pop'!$C$7:$C$143)</f>
        <v>8318</v>
      </c>
      <c r="D1068" s="126" t="s">
        <v>502</v>
      </c>
      <c r="E1068" s="128">
        <v>36.511000000000003</v>
      </c>
      <c r="F1068" s="129">
        <f t="shared" si="50"/>
        <v>0.30369849800000004</v>
      </c>
      <c r="G1068" t="str">
        <f>_xlfn.XLOOKUP(D1068,'[1]2050 BAU Mapping to T &amp; C'!$A$3:$A$52,'[1]2050 BAU Mapping to T &amp; C'!$B$3:$B$52)</f>
        <v>Legumes</v>
      </c>
      <c r="H1068" s="129">
        <f>_xlfn.XLOOKUP(G1068,'[1]T&amp;C emissions for 2050 analysis'!$B$3:$B$23,'[1]T&amp;C emissions for 2050 analysis'!$C$3:$C$23)</f>
        <v>7.3333333333333334E-2</v>
      </c>
      <c r="I1068" s="27">
        <f t="shared" si="48"/>
        <v>2.2271223186666668E-2</v>
      </c>
      <c r="J1068" s="129">
        <f t="shared" si="49"/>
        <v>2.6774733333333334</v>
      </c>
    </row>
    <row r="1069" spans="1:10" hidden="1" x14ac:dyDescent="0.35">
      <c r="A1069" s="126" t="s">
        <v>408</v>
      </c>
      <c r="B1069" t="str">
        <f>_xlfn.XLOOKUP(A1069,'[1]2050Pop'!$A$7:$A$143,'[1]2050Pop'!$D$7:$D$143)</f>
        <v>India/South Asia</v>
      </c>
      <c r="C1069" s="127">
        <f>1000*_xlfn.XLOOKUP(A1069,'[1]2050Pop'!$A$7:$A$143,'[1]2050Pop'!$C$7:$C$143)</f>
        <v>1705333</v>
      </c>
      <c r="D1069" s="126" t="s">
        <v>502</v>
      </c>
      <c r="E1069" s="128">
        <v>161.69800000000001</v>
      </c>
      <c r="F1069" s="129">
        <f t="shared" si="50"/>
        <v>275.74893543400003</v>
      </c>
      <c r="G1069" t="str">
        <f>_xlfn.XLOOKUP(D1069,'[1]2050 BAU Mapping to T &amp; C'!$A$3:$A$52,'[1]2050 BAU Mapping to T &amp; C'!$B$3:$B$52)</f>
        <v>Legumes</v>
      </c>
      <c r="H1069" s="129">
        <f>_xlfn.XLOOKUP(G1069,'[1]T&amp;C emissions for 2050 analysis'!$B$3:$B$23,'[1]T&amp;C emissions for 2050 analysis'!$C$3:$C$23)</f>
        <v>7.3333333333333334E-2</v>
      </c>
      <c r="I1069" s="27">
        <f t="shared" si="48"/>
        <v>20.221588598493337</v>
      </c>
      <c r="J1069" s="129">
        <f t="shared" si="49"/>
        <v>11.857853333333335</v>
      </c>
    </row>
    <row r="1070" spans="1:10" hidden="1" x14ac:dyDescent="0.35">
      <c r="A1070" s="126" t="s">
        <v>409</v>
      </c>
      <c r="B1070" t="str">
        <f>_xlfn.XLOOKUP(A1070,'[1]2050Pop'!$A$7:$A$143,'[1]2050Pop'!$D$7:$D$143)</f>
        <v>APAC</v>
      </c>
      <c r="C1070" s="127">
        <f>1000*_xlfn.XLOOKUP(A1070,'[1]2050Pop'!$A$7:$A$143,'[1]2050Pop'!$C$7:$C$143)</f>
        <v>322237</v>
      </c>
      <c r="D1070" s="126" t="s">
        <v>502</v>
      </c>
      <c r="E1070" s="128">
        <v>16.565999999999999</v>
      </c>
      <c r="F1070" s="129">
        <f t="shared" si="50"/>
        <v>5.3381781420000003</v>
      </c>
      <c r="G1070" t="str">
        <f>_xlfn.XLOOKUP(D1070,'[1]2050 BAU Mapping to T &amp; C'!$A$3:$A$52,'[1]2050 BAU Mapping to T &amp; C'!$B$3:$B$52)</f>
        <v>Legumes</v>
      </c>
      <c r="H1070" s="129">
        <f>_xlfn.XLOOKUP(G1070,'[1]T&amp;C emissions for 2050 analysis'!$B$3:$B$23,'[1]T&amp;C emissions for 2050 analysis'!$C$3:$C$23)</f>
        <v>7.3333333333333334E-2</v>
      </c>
      <c r="I1070" s="27">
        <f t="shared" si="48"/>
        <v>0.39146639708000003</v>
      </c>
      <c r="J1070" s="129">
        <f t="shared" si="49"/>
        <v>1.2148399999999999</v>
      </c>
    </row>
    <row r="1071" spans="1:10" hidden="1" x14ac:dyDescent="0.35">
      <c r="A1071" s="126" t="s">
        <v>410</v>
      </c>
      <c r="B1071" t="str">
        <f>_xlfn.XLOOKUP(A1071,'[1]2050Pop'!$A$7:$A$143,'[1]2050Pop'!$D$7:$D$143)</f>
        <v>India/South Asia</v>
      </c>
      <c r="C1071" s="127">
        <f>1000*_xlfn.XLOOKUP(A1071,'[1]2050Pop'!$A$7:$A$143,'[1]2050Pop'!$C$7:$C$143)</f>
        <v>92219</v>
      </c>
      <c r="D1071" s="126" t="s">
        <v>502</v>
      </c>
      <c r="E1071" s="128">
        <v>109.538</v>
      </c>
      <c r="F1071" s="129">
        <f t="shared" si="50"/>
        <v>10.101484822</v>
      </c>
      <c r="G1071" t="str">
        <f>_xlfn.XLOOKUP(D1071,'[1]2050 BAU Mapping to T &amp; C'!$A$3:$A$52,'[1]2050 BAU Mapping to T &amp; C'!$B$3:$B$52)</f>
        <v>Legumes</v>
      </c>
      <c r="H1071" s="129">
        <f>_xlfn.XLOOKUP(G1071,'[1]T&amp;C emissions for 2050 analysis'!$B$3:$B$23,'[1]T&amp;C emissions for 2050 analysis'!$C$3:$C$23)</f>
        <v>7.3333333333333334E-2</v>
      </c>
      <c r="I1071" s="27">
        <f t="shared" si="48"/>
        <v>0.74077555361333336</v>
      </c>
      <c r="J1071" s="129">
        <f t="shared" si="49"/>
        <v>8.0327866666666665</v>
      </c>
    </row>
    <row r="1072" spans="1:10" hidden="1" x14ac:dyDescent="0.35">
      <c r="A1072" s="126" t="s">
        <v>411</v>
      </c>
      <c r="B1072" t="str">
        <f>_xlfn.XLOOKUP(A1072,'[1]2050Pop'!$A$7:$A$143,'[1]2050Pop'!$D$7:$D$143)</f>
        <v>MENA</v>
      </c>
      <c r="C1072" s="127">
        <f>1000*_xlfn.XLOOKUP(A1072,'[1]2050Pop'!$A$7:$A$143,'[1]2050Pop'!$C$7:$C$143)</f>
        <v>83652</v>
      </c>
      <c r="D1072" s="126" t="s">
        <v>502</v>
      </c>
      <c r="E1072" s="128">
        <v>32.216000000000001</v>
      </c>
      <c r="F1072" s="129">
        <f t="shared" si="50"/>
        <v>2.6949328320000001</v>
      </c>
      <c r="G1072" t="str">
        <f>_xlfn.XLOOKUP(D1072,'[1]2050 BAU Mapping to T &amp; C'!$A$3:$A$52,'[1]2050 BAU Mapping to T &amp; C'!$B$3:$B$52)</f>
        <v>Legumes</v>
      </c>
      <c r="H1072" s="129">
        <f>_xlfn.XLOOKUP(G1072,'[1]T&amp;C emissions for 2050 analysis'!$B$3:$B$23,'[1]T&amp;C emissions for 2050 analysis'!$C$3:$C$23)</f>
        <v>7.3333333333333334E-2</v>
      </c>
      <c r="I1072" s="27">
        <f t="shared" si="48"/>
        <v>0.19762840768000001</v>
      </c>
      <c r="J1072" s="129">
        <f t="shared" si="49"/>
        <v>2.362506666666667</v>
      </c>
    </row>
    <row r="1073" spans="1:10" hidden="1" x14ac:dyDescent="0.35">
      <c r="A1073" s="126" t="s">
        <v>412</v>
      </c>
      <c r="B1073" t="str">
        <f>_xlfn.XLOOKUP(A1073,'[1]2050Pop'!$A$7:$A$143,'[1]2050Pop'!$D$7:$D$143)</f>
        <v>Euro/AU/NZ</v>
      </c>
      <c r="C1073" s="127">
        <f>1000*_xlfn.XLOOKUP(A1073,'[1]2050Pop'!$A$7:$A$143,'[1]2050Pop'!$C$7:$C$143)</f>
        <v>5789</v>
      </c>
      <c r="D1073" s="126" t="s">
        <v>502</v>
      </c>
      <c r="E1073" s="128">
        <v>27.178999999999998</v>
      </c>
      <c r="F1073" s="129">
        <f t="shared" si="50"/>
        <v>0.157339231</v>
      </c>
      <c r="G1073" t="str">
        <f>_xlfn.XLOOKUP(D1073,'[1]2050 BAU Mapping to T &amp; C'!$A$3:$A$52,'[1]2050 BAU Mapping to T &amp; C'!$B$3:$B$52)</f>
        <v>Legumes</v>
      </c>
      <c r="H1073" s="129">
        <f>_xlfn.XLOOKUP(G1073,'[1]T&amp;C emissions for 2050 analysis'!$B$3:$B$23,'[1]T&amp;C emissions for 2050 analysis'!$C$3:$C$23)</f>
        <v>7.3333333333333334E-2</v>
      </c>
      <c r="I1073" s="27">
        <f t="shared" si="48"/>
        <v>1.1538210273333334E-2</v>
      </c>
      <c r="J1073" s="129">
        <f t="shared" si="49"/>
        <v>1.9931266666666665</v>
      </c>
    </row>
    <row r="1074" spans="1:10" hidden="1" x14ac:dyDescent="0.35">
      <c r="A1074" s="126" t="s">
        <v>413</v>
      </c>
      <c r="B1074" t="str">
        <f>_xlfn.XLOOKUP(A1074,'[1]2050Pop'!$A$7:$A$143,'[1]2050Pop'!$D$7:$D$143)</f>
        <v>MENA</v>
      </c>
      <c r="C1074" s="127">
        <f>1000*_xlfn.XLOOKUP(A1074,'[1]2050Pop'!$A$7:$A$143,'[1]2050Pop'!$C$7:$C$143)</f>
        <v>12610</v>
      </c>
      <c r="D1074" s="126" t="s">
        <v>502</v>
      </c>
      <c r="E1074" s="128">
        <v>89.984999999999999</v>
      </c>
      <c r="F1074" s="129">
        <f t="shared" si="50"/>
        <v>1.13471085</v>
      </c>
      <c r="G1074" t="str">
        <f>_xlfn.XLOOKUP(D1074,'[1]2050 BAU Mapping to T &amp; C'!$A$3:$A$52,'[1]2050 BAU Mapping to T &amp; C'!$B$3:$B$52)</f>
        <v>Legumes</v>
      </c>
      <c r="H1074" s="129">
        <f>_xlfn.XLOOKUP(G1074,'[1]T&amp;C emissions for 2050 analysis'!$B$3:$B$23,'[1]T&amp;C emissions for 2050 analysis'!$C$3:$C$23)</f>
        <v>7.3333333333333334E-2</v>
      </c>
      <c r="I1074" s="27">
        <f t="shared" si="48"/>
        <v>8.321212900000001E-2</v>
      </c>
      <c r="J1074" s="129">
        <f t="shared" si="49"/>
        <v>6.5989000000000004</v>
      </c>
    </row>
    <row r="1075" spans="1:10" hidden="1" x14ac:dyDescent="0.35">
      <c r="A1075" s="126" t="s">
        <v>414</v>
      </c>
      <c r="B1075" t="str">
        <f>_xlfn.XLOOKUP(A1075,'[1]2050Pop'!$A$7:$A$143,'[1]2050Pop'!$D$7:$D$143)</f>
        <v>Euro/AU/NZ</v>
      </c>
      <c r="C1075" s="127">
        <f>1000*_xlfn.XLOOKUP(A1075,'[1]2050Pop'!$A$7:$A$143,'[1]2050Pop'!$C$7:$C$143)</f>
        <v>56513</v>
      </c>
      <c r="D1075" s="126" t="s">
        <v>502</v>
      </c>
      <c r="E1075" s="128">
        <v>50.911000000000001</v>
      </c>
      <c r="F1075" s="129">
        <f t="shared" si="50"/>
        <v>2.8771333429999997</v>
      </c>
      <c r="G1075" t="str">
        <f>_xlfn.XLOOKUP(D1075,'[1]2050 BAU Mapping to T &amp; C'!$A$3:$A$52,'[1]2050 BAU Mapping to T &amp; C'!$B$3:$B$52)</f>
        <v>Legumes</v>
      </c>
      <c r="H1075" s="129">
        <f>_xlfn.XLOOKUP(G1075,'[1]T&amp;C emissions for 2050 analysis'!$B$3:$B$23,'[1]T&amp;C emissions for 2050 analysis'!$C$3:$C$23)</f>
        <v>7.3333333333333334E-2</v>
      </c>
      <c r="I1075" s="27">
        <f t="shared" si="48"/>
        <v>0.21098977848666664</v>
      </c>
      <c r="J1075" s="129">
        <f t="shared" si="49"/>
        <v>3.7334733333333334</v>
      </c>
    </row>
    <row r="1076" spans="1:10" hidden="1" x14ac:dyDescent="0.35">
      <c r="A1076" s="126" t="s">
        <v>415</v>
      </c>
      <c r="B1076" t="str">
        <f>_xlfn.XLOOKUP(A1076,'[1]2050Pop'!$A$7:$A$143,'[1]2050Pop'!$D$7:$D$143)</f>
        <v>LatAm &amp; RSA</v>
      </c>
      <c r="C1076" s="127">
        <f>1000*_xlfn.XLOOKUP(A1076,'[1]2050Pop'!$A$7:$A$143,'[1]2050Pop'!$C$7:$C$143)</f>
        <v>2710</v>
      </c>
      <c r="D1076" s="126" t="s">
        <v>502</v>
      </c>
      <c r="E1076" s="128">
        <v>40.796999999999997</v>
      </c>
      <c r="F1076" s="129">
        <f t="shared" si="50"/>
        <v>0.11055986999999999</v>
      </c>
      <c r="G1076" t="str">
        <f>_xlfn.XLOOKUP(D1076,'[1]2050 BAU Mapping to T &amp; C'!$A$3:$A$52,'[1]2050 BAU Mapping to T &amp; C'!$B$3:$B$52)</f>
        <v>Legumes</v>
      </c>
      <c r="H1076" s="129">
        <f>_xlfn.XLOOKUP(G1076,'[1]T&amp;C emissions for 2050 analysis'!$B$3:$B$23,'[1]T&amp;C emissions for 2050 analysis'!$C$3:$C$23)</f>
        <v>7.3333333333333334E-2</v>
      </c>
      <c r="I1076" s="27">
        <f t="shared" si="48"/>
        <v>8.1077237999999992E-3</v>
      </c>
      <c r="J1076" s="129">
        <f t="shared" si="49"/>
        <v>2.9917799999999999</v>
      </c>
    </row>
    <row r="1077" spans="1:10" hidden="1" x14ac:dyDescent="0.35">
      <c r="A1077" s="126" t="s">
        <v>416</v>
      </c>
      <c r="B1077" t="str">
        <f>_xlfn.XLOOKUP(A1077,'[1]2050Pop'!$A$7:$A$143,'[1]2050Pop'!$D$7:$D$143)</f>
        <v>APAC</v>
      </c>
      <c r="C1077" s="127">
        <f>1000*_xlfn.XLOOKUP(A1077,'[1]2050Pop'!$A$7:$A$143,'[1]2050Pop'!$C$7:$C$143)</f>
        <v>107411</v>
      </c>
      <c r="D1077" s="126" t="s">
        <v>502</v>
      </c>
      <c r="E1077" s="128">
        <v>14.973000000000001</v>
      </c>
      <c r="F1077" s="129">
        <f t="shared" si="50"/>
        <v>1.6082649030000002</v>
      </c>
      <c r="G1077" t="str">
        <f>_xlfn.XLOOKUP(D1077,'[1]2050 BAU Mapping to T &amp; C'!$A$3:$A$52,'[1]2050 BAU Mapping to T &amp; C'!$B$3:$B$52)</f>
        <v>Legumes</v>
      </c>
      <c r="H1077" s="129">
        <f>_xlfn.XLOOKUP(G1077,'[1]T&amp;C emissions for 2050 analysis'!$B$3:$B$23,'[1]T&amp;C emissions for 2050 analysis'!$C$3:$C$23)</f>
        <v>7.3333333333333334E-2</v>
      </c>
      <c r="I1077" s="27">
        <f t="shared" si="48"/>
        <v>0.11793942622000002</v>
      </c>
      <c r="J1077" s="129">
        <f t="shared" si="49"/>
        <v>1.09802</v>
      </c>
    </row>
    <row r="1078" spans="1:10" hidden="1" x14ac:dyDescent="0.35">
      <c r="A1078" s="126" t="s">
        <v>417</v>
      </c>
      <c r="B1078" t="str">
        <f>_xlfn.XLOOKUP(A1078,'[1]2050Pop'!$A$7:$A$143,'[1]2050Pop'!$D$7:$D$143)</f>
        <v>MENA</v>
      </c>
      <c r="C1078" s="127">
        <f>1000*_xlfn.XLOOKUP(A1078,'[1]2050Pop'!$A$7:$A$143,'[1]2050Pop'!$C$7:$C$143)</f>
        <v>11717</v>
      </c>
      <c r="D1078" s="126" t="s">
        <v>502</v>
      </c>
      <c r="E1078" s="130">
        <v>95.78</v>
      </c>
      <c r="F1078" s="129">
        <f t="shared" si="50"/>
        <v>1.1222542600000001</v>
      </c>
      <c r="G1078" t="str">
        <f>_xlfn.XLOOKUP(D1078,'[1]2050 BAU Mapping to T &amp; C'!$A$3:$A$52,'[1]2050 BAU Mapping to T &amp; C'!$B$3:$B$52)</f>
        <v>Legumes</v>
      </c>
      <c r="H1078" s="129">
        <f>_xlfn.XLOOKUP(G1078,'[1]T&amp;C emissions for 2050 analysis'!$B$3:$B$23,'[1]T&amp;C emissions for 2050 analysis'!$C$3:$C$23)</f>
        <v>7.3333333333333334E-2</v>
      </c>
      <c r="I1078" s="27">
        <f t="shared" si="48"/>
        <v>8.2298645733333342E-2</v>
      </c>
      <c r="J1078" s="129">
        <f t="shared" si="49"/>
        <v>7.0238666666666667</v>
      </c>
    </row>
    <row r="1079" spans="1:10" hidden="1" x14ac:dyDescent="0.35">
      <c r="A1079" s="126" t="s">
        <v>418</v>
      </c>
      <c r="B1079" t="str">
        <f>_xlfn.XLOOKUP(A1079,'[1]2050Pop'!$A$7:$A$143,'[1]2050Pop'!$D$7:$D$143)</f>
        <v>APAC</v>
      </c>
      <c r="C1079" s="127">
        <f>1000*_xlfn.XLOOKUP(A1079,'[1]2050Pop'!$A$7:$A$143,'[1]2050Pop'!$C$7:$C$143)</f>
        <v>22447</v>
      </c>
      <c r="D1079" s="126" t="s">
        <v>502</v>
      </c>
      <c r="E1079" s="128">
        <v>7.952</v>
      </c>
      <c r="F1079" s="129">
        <f t="shared" si="50"/>
        <v>0.17849854399999998</v>
      </c>
      <c r="G1079" t="str">
        <f>_xlfn.XLOOKUP(D1079,'[1]2050 BAU Mapping to T &amp; C'!$A$3:$A$52,'[1]2050 BAU Mapping to T &amp; C'!$B$3:$B$52)</f>
        <v>Legumes</v>
      </c>
      <c r="H1079" s="129">
        <f>_xlfn.XLOOKUP(G1079,'[1]T&amp;C emissions for 2050 analysis'!$B$3:$B$23,'[1]T&amp;C emissions for 2050 analysis'!$C$3:$C$23)</f>
        <v>7.3333333333333334E-2</v>
      </c>
      <c r="I1079" s="27">
        <f t="shared" si="48"/>
        <v>1.3089893226666665E-2</v>
      </c>
      <c r="J1079" s="129">
        <f t="shared" si="49"/>
        <v>0.5831466666666667</v>
      </c>
    </row>
    <row r="1080" spans="1:10" hidden="1" x14ac:dyDescent="0.35">
      <c r="A1080" s="126" t="s">
        <v>419</v>
      </c>
      <c r="B1080" t="str">
        <f>_xlfn.XLOOKUP(A1080,'[1]2050Pop'!$A$7:$A$143,'[1]2050Pop'!$D$7:$D$143)</f>
        <v>SSA</v>
      </c>
      <c r="C1080" s="127">
        <f>1000*_xlfn.XLOOKUP(A1080,'[1]2050Pop'!$A$7:$A$143,'[1]2050Pop'!$C$7:$C$143)</f>
        <v>95505</v>
      </c>
      <c r="D1080" s="126" t="s">
        <v>502</v>
      </c>
      <c r="E1080" s="130">
        <v>187.31</v>
      </c>
      <c r="F1080" s="129">
        <f t="shared" si="50"/>
        <v>17.889041550000002</v>
      </c>
      <c r="G1080" t="str">
        <f>_xlfn.XLOOKUP(D1080,'[1]2050 BAU Mapping to T &amp; C'!$A$3:$A$52,'[1]2050 BAU Mapping to T &amp; C'!$B$3:$B$52)</f>
        <v>Legumes</v>
      </c>
      <c r="H1080" s="129">
        <f>_xlfn.XLOOKUP(G1080,'[1]T&amp;C emissions for 2050 analysis'!$B$3:$B$23,'[1]T&amp;C emissions for 2050 analysis'!$C$3:$C$23)</f>
        <v>7.3333333333333334E-2</v>
      </c>
      <c r="I1080" s="27">
        <f t="shared" si="48"/>
        <v>1.3118630470000001</v>
      </c>
      <c r="J1080" s="129">
        <f t="shared" si="49"/>
        <v>13.736066666666668</v>
      </c>
    </row>
    <row r="1081" spans="1:10" hidden="1" x14ac:dyDescent="0.35">
      <c r="A1081" s="126" t="s">
        <v>420</v>
      </c>
      <c r="B1081" t="str">
        <f>_xlfn.XLOOKUP(A1081,'[1]2050Pop'!$A$7:$A$143,'[1]2050Pop'!$D$7:$D$143)</f>
        <v>APAC</v>
      </c>
      <c r="C1081" s="127">
        <f>1000*_xlfn.XLOOKUP(A1081,'[1]2050Pop'!$A$7:$A$143,'[1]2050Pop'!$C$7:$C$143)</f>
        <v>8248</v>
      </c>
      <c r="D1081" s="126" t="s">
        <v>502</v>
      </c>
      <c r="E1081" s="128">
        <v>39.156999999999996</v>
      </c>
      <c r="F1081" s="129">
        <f t="shared" si="50"/>
        <v>0.32296693599999998</v>
      </c>
      <c r="G1081" t="str">
        <f>_xlfn.XLOOKUP(D1081,'[1]2050 BAU Mapping to T &amp; C'!$A$3:$A$52,'[1]2050 BAU Mapping to T &amp; C'!$B$3:$B$52)</f>
        <v>Legumes</v>
      </c>
      <c r="H1081" s="129">
        <f>_xlfn.XLOOKUP(G1081,'[1]T&amp;C emissions for 2050 analysis'!$B$3:$B$23,'[1]T&amp;C emissions for 2050 analysis'!$C$3:$C$23)</f>
        <v>7.3333333333333334E-2</v>
      </c>
      <c r="I1081" s="27">
        <f t="shared" si="48"/>
        <v>2.3684241973333332E-2</v>
      </c>
      <c r="J1081" s="129">
        <f t="shared" si="49"/>
        <v>2.8715133333333331</v>
      </c>
    </row>
    <row r="1082" spans="1:10" hidden="1" x14ac:dyDescent="0.35">
      <c r="A1082" s="126" t="s">
        <v>421</v>
      </c>
      <c r="B1082" t="str">
        <f>_xlfn.XLOOKUP(A1082,'[1]2050Pop'!$A$7:$A$143,'[1]2050Pop'!$D$7:$D$143)</f>
        <v>APAC</v>
      </c>
      <c r="C1082" s="127">
        <f>1000*_xlfn.XLOOKUP(A1082,'[1]2050Pop'!$A$7:$A$143,'[1]2050Pop'!$C$7:$C$143)</f>
        <v>10172</v>
      </c>
      <c r="D1082" s="126" t="s">
        <v>502</v>
      </c>
      <c r="E1082" s="128">
        <v>35.438000000000002</v>
      </c>
      <c r="F1082" s="129">
        <f t="shared" si="50"/>
        <v>0.36047533600000004</v>
      </c>
      <c r="G1082" t="str">
        <f>_xlfn.XLOOKUP(D1082,'[1]2050 BAU Mapping to T &amp; C'!$A$3:$A$52,'[1]2050 BAU Mapping to T &amp; C'!$B$3:$B$52)</f>
        <v>Legumes</v>
      </c>
      <c r="H1082" s="129">
        <f>_xlfn.XLOOKUP(G1082,'[1]T&amp;C emissions for 2050 analysis'!$B$3:$B$23,'[1]T&amp;C emissions for 2050 analysis'!$C$3:$C$23)</f>
        <v>7.3333333333333334E-2</v>
      </c>
      <c r="I1082" s="27">
        <f t="shared" si="48"/>
        <v>2.6434857973333337E-2</v>
      </c>
      <c r="J1082" s="129">
        <f t="shared" si="49"/>
        <v>2.5987866666666668</v>
      </c>
    </row>
    <row r="1083" spans="1:10" hidden="1" x14ac:dyDescent="0.35">
      <c r="A1083" s="126" t="s">
        <v>423</v>
      </c>
      <c r="B1083" t="str">
        <f>_xlfn.XLOOKUP(A1083,'[1]2050Pop'!$A$7:$A$143,'[1]2050Pop'!$D$7:$D$143)</f>
        <v>MENA</v>
      </c>
      <c r="C1083" s="127">
        <f>1000*_xlfn.XLOOKUP(A1083,'[1]2050Pop'!$A$7:$A$143,'[1]2050Pop'!$C$7:$C$143)</f>
        <v>5610</v>
      </c>
      <c r="D1083" s="126" t="s">
        <v>502</v>
      </c>
      <c r="E1083" s="128">
        <v>92.234999999999999</v>
      </c>
      <c r="F1083" s="129">
        <f t="shared" si="50"/>
        <v>0.51743834999999994</v>
      </c>
      <c r="G1083" t="str">
        <f>_xlfn.XLOOKUP(D1083,'[1]2050 BAU Mapping to T &amp; C'!$A$3:$A$52,'[1]2050 BAU Mapping to T &amp; C'!$B$3:$B$52)</f>
        <v>Legumes</v>
      </c>
      <c r="H1083" s="129">
        <f>_xlfn.XLOOKUP(G1083,'[1]T&amp;C emissions for 2050 analysis'!$B$3:$B$23,'[1]T&amp;C emissions for 2050 analysis'!$C$3:$C$23)</f>
        <v>7.3333333333333334E-2</v>
      </c>
      <c r="I1083" s="27">
        <f t="shared" si="48"/>
        <v>3.7945478999999997E-2</v>
      </c>
      <c r="J1083" s="129">
        <f t="shared" si="49"/>
        <v>6.7638999999999996</v>
      </c>
    </row>
    <row r="1084" spans="1:10" hidden="1" x14ac:dyDescent="0.35">
      <c r="A1084" s="126" t="s">
        <v>424</v>
      </c>
      <c r="B1084" t="str">
        <f>_xlfn.XLOOKUP(A1084,'[1]2050Pop'!$A$7:$A$143,'[1]2050Pop'!$D$7:$D$143)</f>
        <v>SSA</v>
      </c>
      <c r="C1084" s="127">
        <f>1000*_xlfn.XLOOKUP(A1084,'[1]2050Pop'!$A$7:$A$143,'[1]2050Pop'!$C$7:$C$143)</f>
        <v>2987</v>
      </c>
      <c r="D1084" s="126" t="s">
        <v>502</v>
      </c>
      <c r="E1084" s="128">
        <v>106.858</v>
      </c>
      <c r="F1084" s="129">
        <f t="shared" si="50"/>
        <v>0.31918484600000002</v>
      </c>
      <c r="G1084" t="str">
        <f>_xlfn.XLOOKUP(D1084,'[1]2050 BAU Mapping to T &amp; C'!$A$3:$A$52,'[1]2050 BAU Mapping to T &amp; C'!$B$3:$B$52)</f>
        <v>Legumes</v>
      </c>
      <c r="H1084" s="129">
        <f>_xlfn.XLOOKUP(G1084,'[1]T&amp;C emissions for 2050 analysis'!$B$3:$B$23,'[1]T&amp;C emissions for 2050 analysis'!$C$3:$C$23)</f>
        <v>7.3333333333333334E-2</v>
      </c>
      <c r="I1084" s="27">
        <f t="shared" si="48"/>
        <v>2.3406888706666667E-2</v>
      </c>
      <c r="J1084" s="129">
        <f t="shared" si="49"/>
        <v>7.8362533333333335</v>
      </c>
    </row>
    <row r="1085" spans="1:10" hidden="1" x14ac:dyDescent="0.35">
      <c r="A1085" s="126" t="s">
        <v>425</v>
      </c>
      <c r="B1085" t="str">
        <f>_xlfn.XLOOKUP(A1085,'[1]2050Pop'!$A$7:$A$143,'[1]2050Pop'!$D$7:$D$143)</f>
        <v>SSA</v>
      </c>
      <c r="C1085" s="127">
        <f>1000*_xlfn.XLOOKUP(A1085,'[1]2050Pop'!$A$7:$A$143,'[1]2050Pop'!$C$7:$C$143)</f>
        <v>9436</v>
      </c>
      <c r="D1085" s="126" t="s">
        <v>502</v>
      </c>
      <c r="E1085" s="128">
        <v>17.225000000000001</v>
      </c>
      <c r="F1085" s="129">
        <f t="shared" si="50"/>
        <v>0.16253510000000002</v>
      </c>
      <c r="G1085" t="str">
        <f>_xlfn.XLOOKUP(D1085,'[1]2050 BAU Mapping to T &amp; C'!$A$3:$A$52,'[1]2050 BAU Mapping to T &amp; C'!$B$3:$B$52)</f>
        <v>Legumes</v>
      </c>
      <c r="H1085" s="129">
        <f>_xlfn.XLOOKUP(G1085,'[1]T&amp;C emissions for 2050 analysis'!$B$3:$B$23,'[1]T&amp;C emissions for 2050 analysis'!$C$3:$C$23)</f>
        <v>7.3333333333333334E-2</v>
      </c>
      <c r="I1085" s="27">
        <f t="shared" si="48"/>
        <v>1.1919240666666667E-2</v>
      </c>
      <c r="J1085" s="129">
        <f t="shared" si="49"/>
        <v>1.2631666666666668</v>
      </c>
    </row>
    <row r="1086" spans="1:10" hidden="1" x14ac:dyDescent="0.35">
      <c r="A1086" s="126" t="s">
        <v>426</v>
      </c>
      <c r="B1086" t="str">
        <f>_xlfn.XLOOKUP(A1086,'[1]2050Pop'!$A$7:$A$143,'[1]2050Pop'!$D$7:$D$143)</f>
        <v>Euro/AU/NZ</v>
      </c>
      <c r="C1086" s="127">
        <f>1000*_xlfn.XLOOKUP(A1086,'[1]2050Pop'!$A$7:$A$143,'[1]2050Pop'!$C$7:$C$143)</f>
        <v>2375</v>
      </c>
      <c r="D1086" s="126" t="s">
        <v>502</v>
      </c>
      <c r="E1086" s="128">
        <v>32.338000000000001</v>
      </c>
      <c r="F1086" s="129">
        <f t="shared" si="50"/>
        <v>7.6802750000000003E-2</v>
      </c>
      <c r="G1086" t="str">
        <f>_xlfn.XLOOKUP(D1086,'[1]2050 BAU Mapping to T &amp; C'!$A$3:$A$52,'[1]2050 BAU Mapping to T &amp; C'!$B$3:$B$52)</f>
        <v>Legumes</v>
      </c>
      <c r="H1086" s="129">
        <f>_xlfn.XLOOKUP(G1086,'[1]T&amp;C emissions for 2050 analysis'!$B$3:$B$23,'[1]T&amp;C emissions for 2050 analysis'!$C$3:$C$23)</f>
        <v>7.3333333333333334E-2</v>
      </c>
      <c r="I1086" s="27">
        <f t="shared" si="48"/>
        <v>5.6322016666666671E-3</v>
      </c>
      <c r="J1086" s="129">
        <f t="shared" si="49"/>
        <v>2.3714533333333336</v>
      </c>
    </row>
    <row r="1087" spans="1:10" hidden="1" x14ac:dyDescent="0.35">
      <c r="A1087" s="126" t="s">
        <v>427</v>
      </c>
      <c r="B1087" t="str">
        <f>_xlfn.XLOOKUP(A1087,'[1]2050Pop'!$A$7:$A$143,'[1]2050Pop'!$D$7:$D$143)</f>
        <v>SSA</v>
      </c>
      <c r="C1087" s="127">
        <f>1000*_xlfn.XLOOKUP(A1087,'[1]2050Pop'!$A$7:$A$143,'[1]2050Pop'!$C$7:$C$143)</f>
        <v>55294</v>
      </c>
      <c r="D1087" s="126" t="s">
        <v>502</v>
      </c>
      <c r="E1087" s="128">
        <v>49.906999999999996</v>
      </c>
      <c r="F1087" s="129">
        <f t="shared" si="50"/>
        <v>2.7595576579999999</v>
      </c>
      <c r="G1087" t="str">
        <f>_xlfn.XLOOKUP(D1087,'[1]2050 BAU Mapping to T &amp; C'!$A$3:$A$52,'[1]2050 BAU Mapping to T &amp; C'!$B$3:$B$52)</f>
        <v>Legumes</v>
      </c>
      <c r="H1087" s="129">
        <f>_xlfn.XLOOKUP(G1087,'[1]T&amp;C emissions for 2050 analysis'!$B$3:$B$23,'[1]T&amp;C emissions for 2050 analysis'!$C$3:$C$23)</f>
        <v>7.3333333333333334E-2</v>
      </c>
      <c r="I1087" s="27">
        <f t="shared" si="48"/>
        <v>0.20236756158666666</v>
      </c>
      <c r="J1087" s="129">
        <f t="shared" si="49"/>
        <v>3.6598466666666662</v>
      </c>
    </row>
    <row r="1088" spans="1:10" hidden="1" x14ac:dyDescent="0.35">
      <c r="A1088" s="126" t="s">
        <v>428</v>
      </c>
      <c r="B1088" t="str">
        <f>_xlfn.XLOOKUP(A1088,'[1]2050Pop'!$A$7:$A$143,'[1]2050Pop'!$D$7:$D$143)</f>
        <v>SSA</v>
      </c>
      <c r="C1088" s="127">
        <f>1000*_xlfn.XLOOKUP(A1088,'[1]2050Pop'!$A$7:$A$143,'[1]2050Pop'!$C$7:$C$143)</f>
        <v>43155</v>
      </c>
      <c r="D1088" s="126" t="s">
        <v>502</v>
      </c>
      <c r="E1088" s="128">
        <v>181.80099999999999</v>
      </c>
      <c r="F1088" s="129">
        <f t="shared" si="50"/>
        <v>7.8456221549999992</v>
      </c>
      <c r="G1088" t="str">
        <f>_xlfn.XLOOKUP(D1088,'[1]2050 BAU Mapping to T &amp; C'!$A$3:$A$52,'[1]2050 BAU Mapping to T &amp; C'!$B$3:$B$52)</f>
        <v>Legumes</v>
      </c>
      <c r="H1088" s="129">
        <f>_xlfn.XLOOKUP(G1088,'[1]T&amp;C emissions for 2050 analysis'!$B$3:$B$23,'[1]T&amp;C emissions for 2050 analysis'!$C$3:$C$23)</f>
        <v>7.3333333333333334E-2</v>
      </c>
      <c r="I1088" s="27">
        <f t="shared" si="48"/>
        <v>0.57534562469999995</v>
      </c>
      <c r="J1088" s="129">
        <f t="shared" si="49"/>
        <v>13.332073333333332</v>
      </c>
    </row>
    <row r="1089" spans="1:10" hidden="1" x14ac:dyDescent="0.35">
      <c r="A1089" s="126" t="s">
        <v>429</v>
      </c>
      <c r="B1089" t="str">
        <f>_xlfn.XLOOKUP(A1089,'[1]2050Pop'!$A$7:$A$143,'[1]2050Pop'!$D$7:$D$143)</f>
        <v>APAC</v>
      </c>
      <c r="C1089" s="127">
        <f>1000*_xlfn.XLOOKUP(A1089,'[1]2050Pop'!$A$7:$A$143,'[1]2050Pop'!$C$7:$C$143)</f>
        <v>40725</v>
      </c>
      <c r="D1089" s="126" t="s">
        <v>502</v>
      </c>
      <c r="E1089" s="128">
        <v>39.085000000000001</v>
      </c>
      <c r="F1089" s="129">
        <f t="shared" si="50"/>
        <v>1.591736625</v>
      </c>
      <c r="G1089" t="str">
        <f>_xlfn.XLOOKUP(D1089,'[1]2050 BAU Mapping to T &amp; C'!$A$3:$A$52,'[1]2050 BAU Mapping to T &amp; C'!$B$3:$B$52)</f>
        <v>Legumes</v>
      </c>
      <c r="H1089" s="129">
        <f>_xlfn.XLOOKUP(G1089,'[1]T&amp;C emissions for 2050 analysis'!$B$3:$B$23,'[1]T&amp;C emissions for 2050 analysis'!$C$3:$C$23)</f>
        <v>7.3333333333333334E-2</v>
      </c>
      <c r="I1089" s="27">
        <f t="shared" si="48"/>
        <v>0.11672735250000001</v>
      </c>
      <c r="J1089" s="129">
        <f t="shared" si="49"/>
        <v>2.8662333333333332</v>
      </c>
    </row>
    <row r="1090" spans="1:10" hidden="1" x14ac:dyDescent="0.35">
      <c r="A1090" s="126" t="s">
        <v>430</v>
      </c>
      <c r="B1090" t="str">
        <f>_xlfn.XLOOKUP(A1090,'[1]2050Pop'!$A$7:$A$143,'[1]2050Pop'!$D$7:$D$143)</f>
        <v>SSA</v>
      </c>
      <c r="C1090" s="127">
        <f>1000*_xlfn.XLOOKUP(A1090,'[1]2050Pop'!$A$7:$A$143,'[1]2050Pop'!$C$7:$C$143)</f>
        <v>45404</v>
      </c>
      <c r="D1090" s="126" t="s">
        <v>502</v>
      </c>
      <c r="E1090" s="128">
        <v>167.64500000000001</v>
      </c>
      <c r="F1090" s="129">
        <f t="shared" si="50"/>
        <v>7.6117535800000002</v>
      </c>
      <c r="G1090" t="str">
        <f>_xlfn.XLOOKUP(D1090,'[1]2050 BAU Mapping to T &amp; C'!$A$3:$A$52,'[1]2050 BAU Mapping to T &amp; C'!$B$3:$B$52)</f>
        <v>Legumes</v>
      </c>
      <c r="H1090" s="129">
        <f>_xlfn.XLOOKUP(G1090,'[1]T&amp;C emissions for 2050 analysis'!$B$3:$B$23,'[1]T&amp;C emissions for 2050 analysis'!$C$3:$C$23)</f>
        <v>7.3333333333333334E-2</v>
      </c>
      <c r="I1090" s="27">
        <f t="shared" si="48"/>
        <v>0.5581952625333334</v>
      </c>
      <c r="J1090" s="129">
        <f t="shared" si="49"/>
        <v>12.293966666666668</v>
      </c>
    </row>
    <row r="1091" spans="1:10" hidden="1" x14ac:dyDescent="0.35">
      <c r="A1091" s="126" t="s">
        <v>431</v>
      </c>
      <c r="B1091" t="str">
        <f>_xlfn.XLOOKUP(A1091,'[1]2050Pop'!$A$7:$A$143,'[1]2050Pop'!$D$7:$D$143)</f>
        <v>SSA</v>
      </c>
      <c r="C1091" s="127">
        <f>1000*_xlfn.XLOOKUP(A1091,'[1]2050Pop'!$A$7:$A$143,'[1]2050Pop'!$C$7:$C$143)</f>
        <v>8048.9999999999991</v>
      </c>
      <c r="D1091" s="126" t="s">
        <v>502</v>
      </c>
      <c r="E1091" s="128">
        <v>141.64699999999999</v>
      </c>
      <c r="F1091" s="129">
        <f t="shared" si="50"/>
        <v>1.1401167029999997</v>
      </c>
      <c r="G1091" t="str">
        <f>_xlfn.XLOOKUP(D1091,'[1]2050 BAU Mapping to T &amp; C'!$A$3:$A$52,'[1]2050 BAU Mapping to T &amp; C'!$B$3:$B$52)</f>
        <v>Legumes</v>
      </c>
      <c r="H1091" s="129">
        <f>_xlfn.XLOOKUP(G1091,'[1]T&amp;C emissions for 2050 analysis'!$B$3:$B$23,'[1]T&amp;C emissions for 2050 analysis'!$C$3:$C$23)</f>
        <v>7.3333333333333334E-2</v>
      </c>
      <c r="I1091" s="27">
        <f t="shared" si="48"/>
        <v>8.3608558219999976E-2</v>
      </c>
      <c r="J1091" s="129">
        <f t="shared" si="49"/>
        <v>10.387446666666666</v>
      </c>
    </row>
    <row r="1092" spans="1:10" hidden="1" x14ac:dyDescent="0.35">
      <c r="A1092" s="126" t="s">
        <v>432</v>
      </c>
      <c r="B1092" t="str">
        <f>_xlfn.XLOOKUP(A1092,'[1]2050Pop'!$A$7:$A$143,'[1]2050Pop'!$D$7:$D$143)</f>
        <v>SSA</v>
      </c>
      <c r="C1092" s="127">
        <f>1000*_xlfn.XLOOKUP(A1092,'[1]2050Pop'!$A$7:$A$143,'[1]2050Pop'!$C$7:$C$143)</f>
        <v>1249</v>
      </c>
      <c r="D1092" s="126" t="s">
        <v>502</v>
      </c>
      <c r="E1092" s="128">
        <v>112.093</v>
      </c>
      <c r="F1092" s="129">
        <f t="shared" si="50"/>
        <v>0.14000415700000002</v>
      </c>
      <c r="G1092" t="str">
        <f>_xlfn.XLOOKUP(D1092,'[1]2050 BAU Mapping to T &amp; C'!$A$3:$A$52,'[1]2050 BAU Mapping to T &amp; C'!$B$3:$B$52)</f>
        <v>Legumes</v>
      </c>
      <c r="H1092" s="129">
        <f>_xlfn.XLOOKUP(G1092,'[1]T&amp;C emissions for 2050 analysis'!$B$3:$B$23,'[1]T&amp;C emissions for 2050 analysis'!$C$3:$C$23)</f>
        <v>7.3333333333333334E-2</v>
      </c>
      <c r="I1092" s="27">
        <f t="shared" ref="I1092:I1155" si="51">F1092*H1092</f>
        <v>1.0266971513333334E-2</v>
      </c>
      <c r="J1092" s="129">
        <f t="shared" ref="J1092:J1155" si="52">E1092*H1092</f>
        <v>8.2201533333333341</v>
      </c>
    </row>
    <row r="1093" spans="1:10" hidden="1" x14ac:dyDescent="0.35">
      <c r="A1093" s="126" t="s">
        <v>433</v>
      </c>
      <c r="B1093" t="str">
        <f>_xlfn.XLOOKUP(A1093,'[1]2050Pop'!$A$7:$A$143,'[1]2050Pop'!$D$7:$D$143)</f>
        <v>LatAm &amp; RSA</v>
      </c>
      <c r="C1093" s="127">
        <f>1000*_xlfn.XLOOKUP(A1093,'[1]2050Pop'!$A$7:$A$143,'[1]2050Pop'!$C$7:$C$143)</f>
        <v>163754</v>
      </c>
      <c r="D1093" s="126" t="s">
        <v>502</v>
      </c>
      <c r="E1093" s="128">
        <v>115.065</v>
      </c>
      <c r="F1093" s="129">
        <f t="shared" ref="F1093:F1156" si="53">C1093*E1093/1000000</f>
        <v>18.842354009999998</v>
      </c>
      <c r="G1093" t="str">
        <f>_xlfn.XLOOKUP(D1093,'[1]2050 BAU Mapping to T &amp; C'!$A$3:$A$52,'[1]2050 BAU Mapping to T &amp; C'!$B$3:$B$52)</f>
        <v>Legumes</v>
      </c>
      <c r="H1093" s="129">
        <f>_xlfn.XLOOKUP(G1093,'[1]T&amp;C emissions for 2050 analysis'!$B$3:$B$23,'[1]T&amp;C emissions for 2050 analysis'!$C$3:$C$23)</f>
        <v>7.3333333333333334E-2</v>
      </c>
      <c r="I1093" s="27">
        <f t="shared" si="51"/>
        <v>1.3817726273999997</v>
      </c>
      <c r="J1093" s="129">
        <f t="shared" si="52"/>
        <v>8.4381000000000004</v>
      </c>
    </row>
    <row r="1094" spans="1:10" hidden="1" x14ac:dyDescent="0.35">
      <c r="A1094" s="126" t="s">
        <v>434</v>
      </c>
      <c r="B1094" t="str">
        <f>_xlfn.XLOOKUP(A1094,'[1]2050Pop'!$A$7:$A$143,'[1]2050Pop'!$D$7:$D$143)</f>
        <v>APAC</v>
      </c>
      <c r="C1094" s="127">
        <f>1000*_xlfn.XLOOKUP(A1094,'[1]2050Pop'!$A$7:$A$143,'[1]2050Pop'!$C$7:$C$143)</f>
        <v>4027.9999999999995</v>
      </c>
      <c r="D1094" s="126" t="s">
        <v>502</v>
      </c>
      <c r="E1094" s="128">
        <v>5.319</v>
      </c>
      <c r="F1094" s="129">
        <f t="shared" si="53"/>
        <v>2.1424931999999997E-2</v>
      </c>
      <c r="G1094" t="str">
        <f>_xlfn.XLOOKUP(D1094,'[1]2050 BAU Mapping to T &amp; C'!$A$3:$A$52,'[1]2050 BAU Mapping to T &amp; C'!$B$3:$B$52)</f>
        <v>Legumes</v>
      </c>
      <c r="H1094" s="129">
        <f>_xlfn.XLOOKUP(G1094,'[1]T&amp;C emissions for 2050 analysis'!$B$3:$B$23,'[1]T&amp;C emissions for 2050 analysis'!$C$3:$C$23)</f>
        <v>7.3333333333333334E-2</v>
      </c>
      <c r="I1094" s="27">
        <f t="shared" si="51"/>
        <v>1.5711616799999998E-3</v>
      </c>
      <c r="J1094" s="129">
        <f t="shared" si="52"/>
        <v>0.39006000000000002</v>
      </c>
    </row>
    <row r="1095" spans="1:10" hidden="1" x14ac:dyDescent="0.35">
      <c r="A1095" s="126" t="s">
        <v>435</v>
      </c>
      <c r="B1095" t="str">
        <f>_xlfn.XLOOKUP(A1095,'[1]2050Pop'!$A$7:$A$143,'[1]2050Pop'!$D$7:$D$143)</f>
        <v>MENA</v>
      </c>
      <c r="C1095" s="127">
        <f>1000*_xlfn.XLOOKUP(A1095,'[1]2050Pop'!$A$7:$A$143,'[1]2050Pop'!$C$7:$C$143)</f>
        <v>43696</v>
      </c>
      <c r="D1095" s="126" t="s">
        <v>502</v>
      </c>
      <c r="E1095" s="128">
        <v>68.765000000000001</v>
      </c>
      <c r="F1095" s="129">
        <f t="shared" si="53"/>
        <v>3.0047554399999998</v>
      </c>
      <c r="G1095" t="str">
        <f>_xlfn.XLOOKUP(D1095,'[1]2050 BAU Mapping to T &amp; C'!$A$3:$A$52,'[1]2050 BAU Mapping to T &amp; C'!$B$3:$B$52)</f>
        <v>Legumes</v>
      </c>
      <c r="H1095" s="129">
        <f>_xlfn.XLOOKUP(G1095,'[1]T&amp;C emissions for 2050 analysis'!$B$3:$B$23,'[1]T&amp;C emissions for 2050 analysis'!$C$3:$C$23)</f>
        <v>7.3333333333333334E-2</v>
      </c>
      <c r="I1095" s="27">
        <f t="shared" si="51"/>
        <v>0.22034873226666665</v>
      </c>
      <c r="J1095" s="129">
        <f t="shared" si="52"/>
        <v>5.0427666666666671</v>
      </c>
    </row>
    <row r="1096" spans="1:10" hidden="1" x14ac:dyDescent="0.35">
      <c r="A1096" s="126" t="s">
        <v>436</v>
      </c>
      <c r="B1096" t="str">
        <f>_xlfn.XLOOKUP(A1096,'[1]2050Pop'!$A$7:$A$143,'[1]2050Pop'!$D$7:$D$143)</f>
        <v>SSA</v>
      </c>
      <c r="C1096" s="127">
        <f>1000*_xlfn.XLOOKUP(A1096,'[1]2050Pop'!$A$7:$A$143,'[1]2050Pop'!$C$7:$C$143)</f>
        <v>65544</v>
      </c>
      <c r="D1096" s="126" t="s">
        <v>502</v>
      </c>
      <c r="E1096" s="128">
        <v>159.565</v>
      </c>
      <c r="F1096" s="129">
        <f t="shared" si="53"/>
        <v>10.458528359999999</v>
      </c>
      <c r="G1096" t="str">
        <f>_xlfn.XLOOKUP(D1096,'[1]2050 BAU Mapping to T &amp; C'!$A$3:$A$52,'[1]2050 BAU Mapping to T &amp; C'!$B$3:$B$52)</f>
        <v>Legumes</v>
      </c>
      <c r="H1096" s="129">
        <f>_xlfn.XLOOKUP(G1096,'[1]T&amp;C emissions for 2050 analysis'!$B$3:$B$23,'[1]T&amp;C emissions for 2050 analysis'!$C$3:$C$23)</f>
        <v>7.3333333333333334E-2</v>
      </c>
      <c r="I1096" s="27">
        <f t="shared" si="51"/>
        <v>0.76695874639999995</v>
      </c>
      <c r="J1096" s="129">
        <f t="shared" si="52"/>
        <v>11.701433333333334</v>
      </c>
    </row>
    <row r="1097" spans="1:10" hidden="1" x14ac:dyDescent="0.35">
      <c r="A1097" s="126" t="s">
        <v>490</v>
      </c>
      <c r="B1097" t="str">
        <f>_xlfn.XLOOKUP(A1097,'[1]2050Pop'!$A$7:$A$143,'[1]2050Pop'!$D$7:$D$143)</f>
        <v>APAC</v>
      </c>
      <c r="C1097" s="127">
        <f>1000*_xlfn.XLOOKUP(A1097,'[1]2050Pop'!$A$7:$A$143,'[1]2050Pop'!$C$7:$C$143)</f>
        <v>63575</v>
      </c>
      <c r="D1097" s="126" t="s">
        <v>502</v>
      </c>
      <c r="E1097" s="128">
        <v>171.40899999999999</v>
      </c>
      <c r="F1097" s="129">
        <f t="shared" si="53"/>
        <v>10.897327174999999</v>
      </c>
      <c r="G1097" t="str">
        <f>_xlfn.XLOOKUP(D1097,'[1]2050 BAU Mapping to T &amp; C'!$A$3:$A$52,'[1]2050 BAU Mapping to T &amp; C'!$B$3:$B$52)</f>
        <v>Legumes</v>
      </c>
      <c r="H1097" s="129">
        <f>_xlfn.XLOOKUP(G1097,'[1]T&amp;C emissions for 2050 analysis'!$B$3:$B$23,'[1]T&amp;C emissions for 2050 analysis'!$C$3:$C$23)</f>
        <v>7.3333333333333334E-2</v>
      </c>
      <c r="I1097" s="27">
        <f t="shared" si="51"/>
        <v>0.79913732616666666</v>
      </c>
      <c r="J1097" s="129">
        <f t="shared" si="52"/>
        <v>12.569993333333333</v>
      </c>
    </row>
    <row r="1098" spans="1:10" hidden="1" x14ac:dyDescent="0.35">
      <c r="A1098" s="126" t="s">
        <v>437</v>
      </c>
      <c r="B1098" t="str">
        <f>_xlfn.XLOOKUP(A1098,'[1]2050Pop'!$A$7:$A$143,'[1]2050Pop'!$D$7:$D$143)</f>
        <v>SSA</v>
      </c>
      <c r="C1098" s="127">
        <f>1000*_xlfn.XLOOKUP(A1098,'[1]2050Pop'!$A$7:$A$143,'[1]2050Pop'!$C$7:$C$143)</f>
        <v>4322</v>
      </c>
      <c r="D1098" s="126" t="s">
        <v>502</v>
      </c>
      <c r="E1098" s="128">
        <v>85.028000000000006</v>
      </c>
      <c r="F1098" s="129">
        <f t="shared" si="53"/>
        <v>0.367491016</v>
      </c>
      <c r="G1098" t="str">
        <f>_xlfn.XLOOKUP(D1098,'[1]2050 BAU Mapping to T &amp; C'!$A$3:$A$52,'[1]2050 BAU Mapping to T &amp; C'!$B$3:$B$52)</f>
        <v>Legumes</v>
      </c>
      <c r="H1098" s="129">
        <f>_xlfn.XLOOKUP(G1098,'[1]T&amp;C emissions for 2050 analysis'!$B$3:$B$23,'[1]T&amp;C emissions for 2050 analysis'!$C$3:$C$23)</f>
        <v>7.3333333333333334E-2</v>
      </c>
      <c r="I1098" s="27">
        <f t="shared" si="51"/>
        <v>2.6949341173333335E-2</v>
      </c>
      <c r="J1098" s="129">
        <f t="shared" si="52"/>
        <v>6.2353866666666669</v>
      </c>
    </row>
    <row r="1099" spans="1:10" hidden="1" x14ac:dyDescent="0.35">
      <c r="A1099" s="126" t="s">
        <v>438</v>
      </c>
      <c r="B1099" t="str">
        <f>_xlfn.XLOOKUP(A1099,'[1]2050Pop'!$A$7:$A$143,'[1]2050Pop'!$D$7:$D$143)</f>
        <v>India/South Asia</v>
      </c>
      <c r="C1099" s="127">
        <f>1000*_xlfn.XLOOKUP(A1099,'[1]2050Pop'!$A$7:$A$143,'[1]2050Pop'!$C$7:$C$143)</f>
        <v>36159</v>
      </c>
      <c r="D1099" s="126" t="s">
        <v>502</v>
      </c>
      <c r="E1099" s="130">
        <v>114.94</v>
      </c>
      <c r="F1099" s="129">
        <f t="shared" si="53"/>
        <v>4.1561154599999997</v>
      </c>
      <c r="G1099" t="str">
        <f>_xlfn.XLOOKUP(D1099,'[1]2050 BAU Mapping to T &amp; C'!$A$3:$A$52,'[1]2050 BAU Mapping to T &amp; C'!$B$3:$B$52)</f>
        <v>Legumes</v>
      </c>
      <c r="H1099" s="129">
        <f>_xlfn.XLOOKUP(G1099,'[1]T&amp;C emissions for 2050 analysis'!$B$3:$B$23,'[1]T&amp;C emissions for 2050 analysis'!$C$3:$C$23)</f>
        <v>7.3333333333333334E-2</v>
      </c>
      <c r="I1099" s="27">
        <f t="shared" si="51"/>
        <v>0.30478180039999997</v>
      </c>
      <c r="J1099" s="129">
        <f t="shared" si="52"/>
        <v>8.4289333333333332</v>
      </c>
    </row>
    <row r="1100" spans="1:10" hidden="1" x14ac:dyDescent="0.35">
      <c r="A1100" s="126" t="s">
        <v>439</v>
      </c>
      <c r="B1100" t="str">
        <f>_xlfn.XLOOKUP(A1100,'[1]2050Pop'!$A$7:$A$143,'[1]2050Pop'!$D$7:$D$143)</f>
        <v>Euro/AU/NZ</v>
      </c>
      <c r="C1100" s="127">
        <f>1000*_xlfn.XLOOKUP(A1100,'[1]2050Pop'!$A$7:$A$143,'[1]2050Pop'!$C$7:$C$143)</f>
        <v>17602</v>
      </c>
      <c r="D1100" s="126" t="s">
        <v>502</v>
      </c>
      <c r="E1100" s="128">
        <v>15.717000000000001</v>
      </c>
      <c r="F1100" s="129">
        <f t="shared" si="53"/>
        <v>0.27665063400000001</v>
      </c>
      <c r="G1100" t="str">
        <f>_xlfn.XLOOKUP(D1100,'[1]2050 BAU Mapping to T &amp; C'!$A$3:$A$52,'[1]2050 BAU Mapping to T &amp; C'!$B$3:$B$52)</f>
        <v>Legumes</v>
      </c>
      <c r="H1100" s="129">
        <f>_xlfn.XLOOKUP(G1100,'[1]T&amp;C emissions for 2050 analysis'!$B$3:$B$23,'[1]T&amp;C emissions for 2050 analysis'!$C$3:$C$23)</f>
        <v>7.3333333333333334E-2</v>
      </c>
      <c r="I1100" s="27">
        <f t="shared" si="51"/>
        <v>2.0287713160000002E-2</v>
      </c>
      <c r="J1100" s="129">
        <f t="shared" si="52"/>
        <v>1.1525799999999999</v>
      </c>
    </row>
    <row r="1101" spans="1:10" hidden="1" x14ac:dyDescent="0.35">
      <c r="A1101" s="126" t="s">
        <v>440</v>
      </c>
      <c r="B1101" t="str">
        <f>_xlfn.XLOOKUP(A1101,'[1]2050Pop'!$A$7:$A$143,'[1]2050Pop'!$D$7:$D$143)</f>
        <v>Euro/AU/NZ</v>
      </c>
      <c r="C1101" s="127">
        <f>1000*_xlfn.XLOOKUP(A1101,'[1]2050Pop'!$A$7:$A$143,'[1]2050Pop'!$C$7:$C$143)</f>
        <v>5607</v>
      </c>
      <c r="D1101" s="126" t="s">
        <v>502</v>
      </c>
      <c r="E1101" s="128">
        <v>42.292000000000002</v>
      </c>
      <c r="F1101" s="129">
        <f t="shared" si="53"/>
        <v>0.23713124400000002</v>
      </c>
      <c r="G1101" t="str">
        <f>_xlfn.XLOOKUP(D1101,'[1]2050 BAU Mapping to T &amp; C'!$A$3:$A$52,'[1]2050 BAU Mapping to T &amp; C'!$B$3:$B$52)</f>
        <v>Legumes</v>
      </c>
      <c r="H1101" s="129">
        <f>_xlfn.XLOOKUP(G1101,'[1]T&amp;C emissions for 2050 analysis'!$B$3:$B$23,'[1]T&amp;C emissions for 2050 analysis'!$C$3:$C$23)</f>
        <v>7.3333333333333334E-2</v>
      </c>
      <c r="I1101" s="27">
        <f t="shared" si="51"/>
        <v>1.7389624560000001E-2</v>
      </c>
      <c r="J1101" s="129">
        <f t="shared" si="52"/>
        <v>3.1014133333333334</v>
      </c>
    </row>
    <row r="1102" spans="1:10" hidden="1" x14ac:dyDescent="0.35">
      <c r="A1102" s="126" t="s">
        <v>441</v>
      </c>
      <c r="B1102" t="str">
        <f>_xlfn.XLOOKUP(A1102,'[1]2050Pop'!$A$7:$A$143,'[1]2050Pop'!$D$7:$D$143)</f>
        <v>LatAm &amp; RSA</v>
      </c>
      <c r="C1102" s="127">
        <f>1000*_xlfn.XLOOKUP(A1102,'[1]2050Pop'!$A$7:$A$143,'[1]2050Pop'!$C$7:$C$143)</f>
        <v>7863</v>
      </c>
      <c r="D1102" s="126" t="s">
        <v>502</v>
      </c>
      <c r="E1102" s="128">
        <v>231.87299999999999</v>
      </c>
      <c r="F1102" s="129">
        <f t="shared" si="53"/>
        <v>1.823217399</v>
      </c>
      <c r="G1102" t="str">
        <f>_xlfn.XLOOKUP(D1102,'[1]2050 BAU Mapping to T &amp; C'!$A$3:$A$52,'[1]2050 BAU Mapping to T &amp; C'!$B$3:$B$52)</f>
        <v>Legumes</v>
      </c>
      <c r="H1102" s="129">
        <f>_xlfn.XLOOKUP(G1102,'[1]T&amp;C emissions for 2050 analysis'!$B$3:$B$23,'[1]T&amp;C emissions for 2050 analysis'!$C$3:$C$23)</f>
        <v>7.3333333333333334E-2</v>
      </c>
      <c r="I1102" s="27">
        <f t="shared" si="51"/>
        <v>0.13370260925999999</v>
      </c>
      <c r="J1102" s="129">
        <f t="shared" si="52"/>
        <v>17.004020000000001</v>
      </c>
    </row>
    <row r="1103" spans="1:10" hidden="1" x14ac:dyDescent="0.35">
      <c r="A1103" s="126" t="s">
        <v>482</v>
      </c>
      <c r="B1103" t="str">
        <f>_xlfn.XLOOKUP(A1103,'[1]2050Pop'!$A$7:$A$143,'[1]2050Pop'!$D$7:$D$143)</f>
        <v>SSA</v>
      </c>
      <c r="C1103" s="127">
        <f>1000*_xlfn.XLOOKUP(A1103,'[1]2050Pop'!$A$7:$A$143,'[1]2050Pop'!$C$7:$C$143)</f>
        <v>72238</v>
      </c>
      <c r="D1103" s="126" t="s">
        <v>502</v>
      </c>
      <c r="E1103" s="128">
        <v>417.53300000000002</v>
      </c>
      <c r="F1103" s="129">
        <f t="shared" si="53"/>
        <v>30.161748854000002</v>
      </c>
      <c r="G1103" t="str">
        <f>_xlfn.XLOOKUP(D1103,'[1]2050 BAU Mapping to T &amp; C'!$A$3:$A$52,'[1]2050 BAU Mapping to T &amp; C'!$B$3:$B$52)</f>
        <v>Legumes</v>
      </c>
      <c r="H1103" s="129">
        <f>_xlfn.XLOOKUP(G1103,'[1]T&amp;C emissions for 2050 analysis'!$B$3:$B$23,'[1]T&amp;C emissions for 2050 analysis'!$C$3:$C$23)</f>
        <v>7.3333333333333334E-2</v>
      </c>
      <c r="I1103" s="27">
        <f t="shared" si="51"/>
        <v>2.2118615826266668</v>
      </c>
      <c r="J1103" s="129">
        <f t="shared" si="52"/>
        <v>30.619086666666668</v>
      </c>
    </row>
    <row r="1104" spans="1:10" hidden="1" x14ac:dyDescent="0.35">
      <c r="A1104" s="126" t="s">
        <v>491</v>
      </c>
      <c r="B1104" t="str">
        <f>_xlfn.XLOOKUP(A1104,'[1]2050Pop'!$A$7:$A$143,'[1]2050Pop'!$D$7:$D$143)</f>
        <v>SSA</v>
      </c>
      <c r="C1104" s="127">
        <f>1000*_xlfn.XLOOKUP(A1104,'[1]2050Pop'!$A$7:$A$143,'[1]2050Pop'!$C$7:$C$143)</f>
        <v>398508</v>
      </c>
      <c r="D1104" s="126" t="s">
        <v>502</v>
      </c>
      <c r="E1104" s="128">
        <v>112.372</v>
      </c>
      <c r="F1104" s="129">
        <f t="shared" si="53"/>
        <v>44.781140976000003</v>
      </c>
      <c r="G1104" t="str">
        <f>_xlfn.XLOOKUP(D1104,'[1]2050 BAU Mapping to T &amp; C'!$A$3:$A$52,'[1]2050 BAU Mapping to T &amp; C'!$B$3:$B$52)</f>
        <v>Legumes</v>
      </c>
      <c r="H1104" s="129">
        <f>_xlfn.XLOOKUP(G1104,'[1]T&amp;C emissions for 2050 analysis'!$B$3:$B$23,'[1]T&amp;C emissions for 2050 analysis'!$C$3:$C$23)</f>
        <v>7.3333333333333334E-2</v>
      </c>
      <c r="I1104" s="27">
        <f t="shared" si="51"/>
        <v>3.2839503382400004</v>
      </c>
      <c r="J1104" s="129">
        <f t="shared" si="52"/>
        <v>8.240613333333334</v>
      </c>
    </row>
    <row r="1105" spans="1:10" hidden="1" x14ac:dyDescent="0.35">
      <c r="A1105" s="126" t="s">
        <v>442</v>
      </c>
      <c r="B1105" t="str">
        <f>_xlfn.XLOOKUP(A1105,'[1]2050Pop'!$A$7:$A$143,'[1]2050Pop'!$D$7:$D$143)</f>
        <v>Euro/AU/NZ</v>
      </c>
      <c r="C1105" s="127">
        <f>1000*_xlfn.XLOOKUP(A1105,'[1]2050Pop'!$A$7:$A$143,'[1]2050Pop'!$C$7:$C$143)</f>
        <v>6658</v>
      </c>
      <c r="D1105" s="126" t="s">
        <v>502</v>
      </c>
      <c r="E1105" s="128">
        <v>42.595999999999997</v>
      </c>
      <c r="F1105" s="129">
        <f t="shared" si="53"/>
        <v>0.28360416799999999</v>
      </c>
      <c r="G1105" t="str">
        <f>_xlfn.XLOOKUP(D1105,'[1]2050 BAU Mapping to T &amp; C'!$A$3:$A$52,'[1]2050 BAU Mapping to T &amp; C'!$B$3:$B$52)</f>
        <v>Legumes</v>
      </c>
      <c r="H1105" s="129">
        <f>_xlfn.XLOOKUP(G1105,'[1]T&amp;C emissions for 2050 analysis'!$B$3:$B$23,'[1]T&amp;C emissions for 2050 analysis'!$C$3:$C$23)</f>
        <v>7.3333333333333334E-2</v>
      </c>
      <c r="I1105" s="27">
        <f t="shared" si="51"/>
        <v>2.0797638986666665E-2</v>
      </c>
      <c r="J1105" s="129">
        <f t="shared" si="52"/>
        <v>3.1237066666666666</v>
      </c>
    </row>
    <row r="1106" spans="1:10" hidden="1" x14ac:dyDescent="0.35">
      <c r="A1106" s="126" t="s">
        <v>443</v>
      </c>
      <c r="B1106" t="str">
        <f>_xlfn.XLOOKUP(A1106,'[1]2050Pop'!$A$7:$A$143,'[1]2050Pop'!$D$7:$D$143)</f>
        <v>India/South Asia</v>
      </c>
      <c r="C1106" s="127">
        <f>1000*_xlfn.XLOOKUP(A1106,'[1]2050Pop'!$A$7:$A$143,'[1]2050Pop'!$C$7:$C$143)</f>
        <v>309640</v>
      </c>
      <c r="D1106" s="126" t="s">
        <v>502</v>
      </c>
      <c r="E1106" s="128">
        <v>66.527000000000001</v>
      </c>
      <c r="F1106" s="129">
        <f t="shared" si="53"/>
        <v>20.59942028</v>
      </c>
      <c r="G1106" t="str">
        <f>_xlfn.XLOOKUP(D1106,'[1]2050 BAU Mapping to T &amp; C'!$A$3:$A$52,'[1]2050 BAU Mapping to T &amp; C'!$B$3:$B$52)</f>
        <v>Legumes</v>
      </c>
      <c r="H1106" s="129">
        <f>_xlfn.XLOOKUP(G1106,'[1]T&amp;C emissions for 2050 analysis'!$B$3:$B$23,'[1]T&amp;C emissions for 2050 analysis'!$C$3:$C$23)</f>
        <v>7.3333333333333334E-2</v>
      </c>
      <c r="I1106" s="27">
        <f t="shared" si="51"/>
        <v>1.5106241538666667</v>
      </c>
      <c r="J1106" s="129">
        <f t="shared" si="52"/>
        <v>4.8786466666666666</v>
      </c>
    </row>
    <row r="1107" spans="1:10" hidden="1" x14ac:dyDescent="0.35">
      <c r="A1107" s="126" t="s">
        <v>444</v>
      </c>
      <c r="B1107" t="str">
        <f>_xlfn.XLOOKUP(A1107,'[1]2050Pop'!$A$7:$A$143,'[1]2050Pop'!$D$7:$D$143)</f>
        <v>LatAm &amp; RSA</v>
      </c>
      <c r="C1107" s="127">
        <f>1000*_xlfn.XLOOKUP(A1107,'[1]2050Pop'!$A$7:$A$143,'[1]2050Pop'!$C$7:$C$143)</f>
        <v>5599</v>
      </c>
      <c r="D1107" s="126" t="s">
        <v>502</v>
      </c>
      <c r="E1107" s="128">
        <v>58.792000000000002</v>
      </c>
      <c r="F1107" s="129">
        <f t="shared" si="53"/>
        <v>0.32917640799999998</v>
      </c>
      <c r="G1107" t="str">
        <f>_xlfn.XLOOKUP(D1107,'[1]2050 BAU Mapping to T &amp; C'!$A$3:$A$52,'[1]2050 BAU Mapping to T &amp; C'!$B$3:$B$52)</f>
        <v>Legumes</v>
      </c>
      <c r="H1107" s="129">
        <f>_xlfn.XLOOKUP(G1107,'[1]T&amp;C emissions for 2050 analysis'!$B$3:$B$23,'[1]T&amp;C emissions for 2050 analysis'!$C$3:$C$23)</f>
        <v>7.3333333333333334E-2</v>
      </c>
      <c r="I1107" s="27">
        <f t="shared" si="51"/>
        <v>2.4139603253333333E-2</v>
      </c>
      <c r="J1107" s="129">
        <f t="shared" si="52"/>
        <v>4.3114133333333333</v>
      </c>
    </row>
    <row r="1108" spans="1:10" hidden="1" x14ac:dyDescent="0.35">
      <c r="A1108" s="126" t="s">
        <v>445</v>
      </c>
      <c r="B1108" t="str">
        <f>_xlfn.XLOOKUP(A1108,'[1]2050Pop'!$A$7:$A$143,'[1]2050Pop'!$D$7:$D$143)</f>
        <v>LatAm &amp; RSA</v>
      </c>
      <c r="C1108" s="127">
        <f>1000*_xlfn.XLOOKUP(A1108,'[1]2050Pop'!$A$7:$A$143,'[1]2050Pop'!$C$7:$C$143)</f>
        <v>8895</v>
      </c>
      <c r="D1108" s="126" t="s">
        <v>502</v>
      </c>
      <c r="E1108" s="128">
        <v>90.028000000000006</v>
      </c>
      <c r="F1108" s="129">
        <f t="shared" si="53"/>
        <v>0.80079906000000001</v>
      </c>
      <c r="G1108" t="str">
        <f>_xlfn.XLOOKUP(D1108,'[1]2050 BAU Mapping to T &amp; C'!$A$3:$A$52,'[1]2050 BAU Mapping to T &amp; C'!$B$3:$B$52)</f>
        <v>Legumes</v>
      </c>
      <c r="H1108" s="129">
        <f>_xlfn.XLOOKUP(G1108,'[1]T&amp;C emissions for 2050 analysis'!$B$3:$B$23,'[1]T&amp;C emissions for 2050 analysis'!$C$3:$C$23)</f>
        <v>7.3333333333333334E-2</v>
      </c>
      <c r="I1108" s="27">
        <f t="shared" si="51"/>
        <v>5.8725264399999998E-2</v>
      </c>
      <c r="J1108" s="129">
        <f t="shared" si="52"/>
        <v>6.602053333333334</v>
      </c>
    </row>
    <row r="1109" spans="1:10" hidden="1" x14ac:dyDescent="0.35">
      <c r="A1109" s="126" t="s">
        <v>446</v>
      </c>
      <c r="B1109" t="str">
        <f>_xlfn.XLOOKUP(A1109,'[1]2050Pop'!$A$7:$A$143,'[1]2050Pop'!$D$7:$D$143)</f>
        <v>LatAm &amp; RSA</v>
      </c>
      <c r="C1109" s="127">
        <f>1000*_xlfn.XLOOKUP(A1109,'[1]2050Pop'!$A$7:$A$143,'[1]2050Pop'!$C$7:$C$143)</f>
        <v>41899</v>
      </c>
      <c r="D1109" s="126" t="s">
        <v>502</v>
      </c>
      <c r="E1109" s="128">
        <v>90.582999999999998</v>
      </c>
      <c r="F1109" s="129">
        <f t="shared" si="53"/>
        <v>3.7953371169999999</v>
      </c>
      <c r="G1109" t="str">
        <f>_xlfn.XLOOKUP(D1109,'[1]2050 BAU Mapping to T &amp; C'!$A$3:$A$52,'[1]2050 BAU Mapping to T &amp; C'!$B$3:$B$52)</f>
        <v>Legumes</v>
      </c>
      <c r="H1109" s="129">
        <f>_xlfn.XLOOKUP(G1109,'[1]T&amp;C emissions for 2050 analysis'!$B$3:$B$23,'[1]T&amp;C emissions for 2050 analysis'!$C$3:$C$23)</f>
        <v>7.3333333333333334E-2</v>
      </c>
      <c r="I1109" s="27">
        <f t="shared" si="51"/>
        <v>0.27832472191333335</v>
      </c>
      <c r="J1109" s="129">
        <f t="shared" si="52"/>
        <v>6.6427533333333333</v>
      </c>
    </row>
    <row r="1110" spans="1:10" hidden="1" x14ac:dyDescent="0.35">
      <c r="A1110" s="126" t="s">
        <v>447</v>
      </c>
      <c r="B1110" t="str">
        <f>_xlfn.XLOOKUP(A1110,'[1]2050Pop'!$A$7:$A$143,'[1]2050Pop'!$D$7:$D$143)</f>
        <v>APAC</v>
      </c>
      <c r="C1110" s="127">
        <f>1000*_xlfn.XLOOKUP(A1110,'[1]2050Pop'!$A$7:$A$143,'[1]2050Pop'!$C$7:$C$143)</f>
        <v>148260</v>
      </c>
      <c r="D1110" s="126" t="s">
        <v>502</v>
      </c>
      <c r="E1110" s="128">
        <v>20.443999999999999</v>
      </c>
      <c r="F1110" s="129">
        <f t="shared" si="53"/>
        <v>3.0310274399999999</v>
      </c>
      <c r="G1110" t="str">
        <f>_xlfn.XLOOKUP(D1110,'[1]2050 BAU Mapping to T &amp; C'!$A$3:$A$52,'[1]2050 BAU Mapping to T &amp; C'!$B$3:$B$52)</f>
        <v>Legumes</v>
      </c>
      <c r="H1110" s="129">
        <f>_xlfn.XLOOKUP(G1110,'[1]T&amp;C emissions for 2050 analysis'!$B$3:$B$23,'[1]T&amp;C emissions for 2050 analysis'!$C$3:$C$23)</f>
        <v>7.3333333333333334E-2</v>
      </c>
      <c r="I1110" s="27">
        <f t="shared" si="51"/>
        <v>0.22227534560000001</v>
      </c>
      <c r="J1110" s="129">
        <f t="shared" si="52"/>
        <v>1.4992266666666667</v>
      </c>
    </row>
    <row r="1111" spans="1:10" hidden="1" x14ac:dyDescent="0.35">
      <c r="A1111" s="126" t="s">
        <v>448</v>
      </c>
      <c r="B1111" t="str">
        <f>_xlfn.XLOOKUP(A1111,'[1]2050Pop'!$A$7:$A$143,'[1]2050Pop'!$D$7:$D$143)</f>
        <v>Euro/AU/NZ</v>
      </c>
      <c r="C1111" s="127">
        <f>1000*_xlfn.XLOOKUP(A1111,'[1]2050Pop'!$A$7:$A$143,'[1]2050Pop'!$C$7:$C$143)</f>
        <v>33136</v>
      </c>
      <c r="D1111" s="126" t="s">
        <v>502</v>
      </c>
      <c r="E1111" s="128">
        <v>20.806999999999999</v>
      </c>
      <c r="F1111" s="129">
        <f t="shared" si="53"/>
        <v>0.68946075200000001</v>
      </c>
      <c r="G1111" t="str">
        <f>_xlfn.XLOOKUP(D1111,'[1]2050 BAU Mapping to T &amp; C'!$A$3:$A$52,'[1]2050 BAU Mapping to T &amp; C'!$B$3:$B$52)</f>
        <v>Legumes</v>
      </c>
      <c r="H1111" s="129">
        <f>_xlfn.XLOOKUP(G1111,'[1]T&amp;C emissions for 2050 analysis'!$B$3:$B$23,'[1]T&amp;C emissions for 2050 analysis'!$C$3:$C$23)</f>
        <v>7.3333333333333334E-2</v>
      </c>
      <c r="I1111" s="27">
        <f t="shared" si="51"/>
        <v>5.0560455146666669E-2</v>
      </c>
      <c r="J1111" s="129">
        <f t="shared" si="52"/>
        <v>1.5258466666666666</v>
      </c>
    </row>
    <row r="1112" spans="1:10" hidden="1" x14ac:dyDescent="0.35">
      <c r="A1112" s="126" t="s">
        <v>449</v>
      </c>
      <c r="B1112" t="str">
        <f>_xlfn.XLOOKUP(A1112,'[1]2050Pop'!$A$7:$A$143,'[1]2050Pop'!$D$7:$D$143)</f>
        <v>Euro/AU/NZ</v>
      </c>
      <c r="C1112" s="127">
        <f>1000*_xlfn.XLOOKUP(A1112,'[1]2050Pop'!$A$7:$A$143,'[1]2050Pop'!$C$7:$C$143)</f>
        <v>9216</v>
      </c>
      <c r="D1112" s="126" t="s">
        <v>502</v>
      </c>
      <c r="E1112" s="128">
        <v>36.487000000000002</v>
      </c>
      <c r="F1112" s="129">
        <f t="shared" si="53"/>
        <v>0.33626419200000002</v>
      </c>
      <c r="G1112" t="str">
        <f>_xlfn.XLOOKUP(D1112,'[1]2050 BAU Mapping to T &amp; C'!$A$3:$A$52,'[1]2050 BAU Mapping to T &amp; C'!$B$3:$B$52)</f>
        <v>Legumes</v>
      </c>
      <c r="H1112" s="129">
        <f>_xlfn.XLOOKUP(G1112,'[1]T&amp;C emissions for 2050 analysis'!$B$3:$B$23,'[1]T&amp;C emissions for 2050 analysis'!$C$3:$C$23)</f>
        <v>7.3333333333333334E-2</v>
      </c>
      <c r="I1112" s="27">
        <f t="shared" si="51"/>
        <v>2.4659374080000001E-2</v>
      </c>
      <c r="J1112" s="129">
        <f t="shared" si="52"/>
        <v>2.6757133333333334</v>
      </c>
    </row>
    <row r="1113" spans="1:10" hidden="1" x14ac:dyDescent="0.35">
      <c r="A1113" s="126" t="s">
        <v>450</v>
      </c>
      <c r="B1113" t="str">
        <f>_xlfn.XLOOKUP(A1113,'[1]2050Pop'!$A$7:$A$143,'[1]2050Pop'!$D$7:$D$143)</f>
        <v>APAC</v>
      </c>
      <c r="C1113" s="127">
        <f>1000*_xlfn.XLOOKUP(A1113,'[1]2050Pop'!$A$7:$A$143,'[1]2050Pop'!$C$7:$C$143)</f>
        <v>50593</v>
      </c>
      <c r="D1113" s="126" t="s">
        <v>502</v>
      </c>
      <c r="E1113" s="128">
        <v>14.114000000000001</v>
      </c>
      <c r="F1113" s="129">
        <f t="shared" si="53"/>
        <v>0.71406960200000003</v>
      </c>
      <c r="G1113" t="str">
        <f>_xlfn.XLOOKUP(D1113,'[1]2050 BAU Mapping to T &amp; C'!$A$3:$A$52,'[1]2050 BAU Mapping to T &amp; C'!$B$3:$B$52)</f>
        <v>Legumes</v>
      </c>
      <c r="H1113" s="129">
        <f>_xlfn.XLOOKUP(G1113,'[1]T&amp;C emissions for 2050 analysis'!$B$3:$B$23,'[1]T&amp;C emissions for 2050 analysis'!$C$3:$C$23)</f>
        <v>7.3333333333333334E-2</v>
      </c>
      <c r="I1113" s="27">
        <f t="shared" si="51"/>
        <v>5.2365104146666668E-2</v>
      </c>
      <c r="J1113" s="129">
        <f t="shared" si="52"/>
        <v>1.0350266666666668</v>
      </c>
    </row>
    <row r="1114" spans="1:10" hidden="1" x14ac:dyDescent="0.35">
      <c r="A1114" s="126" t="s">
        <v>451</v>
      </c>
      <c r="B1114" t="str">
        <f>_xlfn.XLOOKUP(A1114,'[1]2050Pop'!$A$7:$A$143,'[1]2050Pop'!$D$7:$D$143)</f>
        <v>Euro/AU/NZ</v>
      </c>
      <c r="C1114" s="127">
        <f>1000*_xlfn.XLOOKUP(A1114,'[1]2050Pop'!$A$7:$A$143,'[1]2050Pop'!$C$7:$C$143)</f>
        <v>3243</v>
      </c>
      <c r="D1114" s="126" t="s">
        <v>502</v>
      </c>
      <c r="E1114" s="130">
        <v>10.51</v>
      </c>
      <c r="F1114" s="129">
        <f t="shared" si="53"/>
        <v>3.4083929999999998E-2</v>
      </c>
      <c r="G1114" t="str">
        <f>_xlfn.XLOOKUP(D1114,'[1]2050 BAU Mapping to T &amp; C'!$A$3:$A$52,'[1]2050 BAU Mapping to T &amp; C'!$B$3:$B$52)</f>
        <v>Legumes</v>
      </c>
      <c r="H1114" s="129">
        <f>_xlfn.XLOOKUP(G1114,'[1]T&amp;C emissions for 2050 analysis'!$B$3:$B$23,'[1]T&amp;C emissions for 2050 analysis'!$C$3:$C$23)</f>
        <v>7.3333333333333334E-2</v>
      </c>
      <c r="I1114" s="27">
        <f t="shared" si="51"/>
        <v>2.4994881999999999E-3</v>
      </c>
      <c r="J1114" s="129">
        <f t="shared" si="52"/>
        <v>0.77073333333333327</v>
      </c>
    </row>
    <row r="1115" spans="1:10" hidden="1" x14ac:dyDescent="0.35">
      <c r="A1115" s="126" t="s">
        <v>452</v>
      </c>
      <c r="B1115" t="str">
        <f>_xlfn.XLOOKUP(A1115,'[1]2050Pop'!$A$7:$A$143,'[1]2050Pop'!$D$7:$D$143)</f>
        <v>SSA</v>
      </c>
      <c r="C1115" s="127">
        <f>1000*_xlfn.XLOOKUP(A1115,'[1]2050Pop'!$A$7:$A$143,'[1]2050Pop'!$C$7:$C$143)</f>
        <v>10732</v>
      </c>
      <c r="D1115" s="126" t="s">
        <v>502</v>
      </c>
      <c r="E1115" s="128">
        <v>41.359000000000002</v>
      </c>
      <c r="F1115" s="129">
        <f t="shared" si="53"/>
        <v>0.44386478800000001</v>
      </c>
      <c r="G1115" t="str">
        <f>_xlfn.XLOOKUP(D1115,'[1]2050 BAU Mapping to T &amp; C'!$A$3:$A$52,'[1]2050 BAU Mapping to T &amp; C'!$B$3:$B$52)</f>
        <v>Legumes</v>
      </c>
      <c r="H1115" s="129">
        <f>_xlfn.XLOOKUP(G1115,'[1]T&amp;C emissions for 2050 analysis'!$B$3:$B$23,'[1]T&amp;C emissions for 2050 analysis'!$C$3:$C$23)</f>
        <v>7.3333333333333334E-2</v>
      </c>
      <c r="I1115" s="27">
        <f t="shared" si="51"/>
        <v>3.2550084453333336E-2</v>
      </c>
      <c r="J1115" s="129">
        <f t="shared" si="52"/>
        <v>3.0329933333333337</v>
      </c>
    </row>
    <row r="1116" spans="1:10" hidden="1" x14ac:dyDescent="0.35">
      <c r="A1116" s="126" t="s">
        <v>453</v>
      </c>
      <c r="B1116" t="str">
        <f>_xlfn.XLOOKUP(A1116,'[1]2050Pop'!$A$7:$A$143,'[1]2050Pop'!$D$7:$D$143)</f>
        <v>Euro/AU/NZ</v>
      </c>
      <c r="C1116" s="127">
        <f>1000*_xlfn.XLOOKUP(A1116,'[1]2050Pop'!$A$7:$A$143,'[1]2050Pop'!$C$7:$C$143)</f>
        <v>15207</v>
      </c>
      <c r="D1116" s="126" t="s">
        <v>502</v>
      </c>
      <c r="E1116" s="128">
        <v>21.509</v>
      </c>
      <c r="F1116" s="129">
        <f t="shared" si="53"/>
        <v>0.32708736300000002</v>
      </c>
      <c r="G1116" t="str">
        <f>_xlfn.XLOOKUP(D1116,'[1]2050 BAU Mapping to T &amp; C'!$A$3:$A$52,'[1]2050 BAU Mapping to T &amp; C'!$B$3:$B$52)</f>
        <v>Legumes</v>
      </c>
      <c r="H1116" s="129">
        <f>_xlfn.XLOOKUP(G1116,'[1]T&amp;C emissions for 2050 analysis'!$B$3:$B$23,'[1]T&amp;C emissions for 2050 analysis'!$C$3:$C$23)</f>
        <v>7.3333333333333334E-2</v>
      </c>
      <c r="I1116" s="27">
        <f t="shared" si="51"/>
        <v>2.3986406620000001E-2</v>
      </c>
      <c r="J1116" s="129">
        <f t="shared" si="52"/>
        <v>1.5773266666666668</v>
      </c>
    </row>
    <row r="1117" spans="1:10" hidden="1" x14ac:dyDescent="0.35">
      <c r="A1117" s="126" t="s">
        <v>454</v>
      </c>
      <c r="B1117" t="str">
        <f>_xlfn.XLOOKUP(A1117,'[1]2050Pop'!$A$7:$A$143,'[1]2050Pop'!$D$7:$D$143)</f>
        <v>Euro/AU/NZ</v>
      </c>
      <c r="C1117" s="127">
        <f>1000*_xlfn.XLOOKUP(A1117,'[1]2050Pop'!$A$7:$A$143,'[1]2050Pop'!$C$7:$C$143)</f>
        <v>128598.99999999999</v>
      </c>
      <c r="D1117" s="126" t="s">
        <v>502</v>
      </c>
      <c r="E1117" s="128">
        <v>20.161999999999999</v>
      </c>
      <c r="F1117" s="129">
        <f t="shared" si="53"/>
        <v>2.5928130379999996</v>
      </c>
      <c r="G1117" t="str">
        <f>_xlfn.XLOOKUP(D1117,'[1]2050 BAU Mapping to T &amp; C'!$A$3:$A$52,'[1]2050 BAU Mapping to T &amp; C'!$B$3:$B$52)</f>
        <v>Legumes</v>
      </c>
      <c r="H1117" s="129">
        <f>_xlfn.XLOOKUP(G1117,'[1]T&amp;C emissions for 2050 analysis'!$B$3:$B$23,'[1]T&amp;C emissions for 2050 analysis'!$C$3:$C$23)</f>
        <v>7.3333333333333334E-2</v>
      </c>
      <c r="I1117" s="27">
        <f t="shared" si="51"/>
        <v>0.19013962278666663</v>
      </c>
      <c r="J1117" s="129">
        <f t="shared" si="52"/>
        <v>1.4785466666666667</v>
      </c>
    </row>
    <row r="1118" spans="1:10" hidden="1" x14ac:dyDescent="0.35">
      <c r="A1118" s="126" t="s">
        <v>455</v>
      </c>
      <c r="B1118" t="str">
        <f>_xlfn.XLOOKUP(A1118,'[1]2050Pop'!$A$7:$A$143,'[1]2050Pop'!$D$7:$D$143)</f>
        <v>SSA</v>
      </c>
      <c r="C1118" s="127">
        <f>1000*_xlfn.XLOOKUP(A1118,'[1]2050Pop'!$A$7:$A$143,'[1]2050Pop'!$C$7:$C$143)</f>
        <v>21187</v>
      </c>
      <c r="D1118" s="126" t="s">
        <v>502</v>
      </c>
      <c r="E1118" s="128">
        <v>376.03300000000002</v>
      </c>
      <c r="F1118" s="129">
        <f t="shared" si="53"/>
        <v>7.9670111710000002</v>
      </c>
      <c r="G1118" t="str">
        <f>_xlfn.XLOOKUP(D1118,'[1]2050 BAU Mapping to T &amp; C'!$A$3:$A$52,'[1]2050 BAU Mapping to T &amp; C'!$B$3:$B$52)</f>
        <v>Legumes</v>
      </c>
      <c r="H1118" s="129">
        <f>_xlfn.XLOOKUP(G1118,'[1]T&amp;C emissions for 2050 analysis'!$B$3:$B$23,'[1]T&amp;C emissions for 2050 analysis'!$C$3:$C$23)</f>
        <v>7.3333333333333334E-2</v>
      </c>
      <c r="I1118" s="27">
        <f t="shared" si="51"/>
        <v>0.58424748587333331</v>
      </c>
      <c r="J1118" s="129">
        <f t="shared" si="52"/>
        <v>27.575753333333335</v>
      </c>
    </row>
    <row r="1119" spans="1:10" hidden="1" x14ac:dyDescent="0.35">
      <c r="A1119" s="126" t="s">
        <v>456</v>
      </c>
      <c r="B1119" t="str">
        <f>_xlfn.XLOOKUP(A1119,'[1]2050Pop'!$A$7:$A$143,'[1]2050Pop'!$D$7:$D$143)</f>
        <v>MENA</v>
      </c>
      <c r="C1119" s="127">
        <f>1000*_xlfn.XLOOKUP(A1119,'[1]2050Pop'!$A$7:$A$143,'[1]2050Pop'!$C$7:$C$143)</f>
        <v>46059</v>
      </c>
      <c r="D1119" s="126" t="s">
        <v>502</v>
      </c>
      <c r="E1119" s="128">
        <v>64.378</v>
      </c>
      <c r="F1119" s="129">
        <f t="shared" si="53"/>
        <v>2.9651863020000002</v>
      </c>
      <c r="G1119" t="str">
        <f>_xlfn.XLOOKUP(D1119,'[1]2050 BAU Mapping to T &amp; C'!$A$3:$A$52,'[1]2050 BAU Mapping to T &amp; C'!$B$3:$B$52)</f>
        <v>Legumes</v>
      </c>
      <c r="H1119" s="129">
        <f>_xlfn.XLOOKUP(G1119,'[1]T&amp;C emissions for 2050 analysis'!$B$3:$B$23,'[1]T&amp;C emissions for 2050 analysis'!$C$3:$C$23)</f>
        <v>7.3333333333333334E-2</v>
      </c>
      <c r="I1119" s="27">
        <f t="shared" si="51"/>
        <v>0.21744699548000002</v>
      </c>
      <c r="J1119" s="129">
        <f t="shared" si="52"/>
        <v>4.7210533333333338</v>
      </c>
    </row>
    <row r="1120" spans="1:10" hidden="1" x14ac:dyDescent="0.35">
      <c r="A1120" s="126" t="s">
        <v>457</v>
      </c>
      <c r="B1120" t="str">
        <f>_xlfn.XLOOKUP(A1120,'[1]2050Pop'!$A$7:$A$143,'[1]2050Pop'!$D$7:$D$143)</f>
        <v>SSA</v>
      </c>
      <c r="C1120" s="127">
        <f>1000*_xlfn.XLOOKUP(A1120,'[1]2050Pop'!$A$7:$A$143,'[1]2050Pop'!$C$7:$C$143)</f>
        <v>36223</v>
      </c>
      <c r="D1120" s="126" t="s">
        <v>502</v>
      </c>
      <c r="E1120" s="128">
        <v>45.936</v>
      </c>
      <c r="F1120" s="129">
        <f t="shared" si="53"/>
        <v>1.6639397279999999</v>
      </c>
      <c r="G1120" t="str">
        <f>_xlfn.XLOOKUP(D1120,'[1]2050 BAU Mapping to T &amp; C'!$A$3:$A$52,'[1]2050 BAU Mapping to T &amp; C'!$B$3:$B$52)</f>
        <v>Legumes</v>
      </c>
      <c r="H1120" s="129">
        <f>_xlfn.XLOOKUP(G1120,'[1]T&amp;C emissions for 2050 analysis'!$B$3:$B$23,'[1]T&amp;C emissions for 2050 analysis'!$C$3:$C$23)</f>
        <v>7.3333333333333334E-2</v>
      </c>
      <c r="I1120" s="27">
        <f t="shared" si="51"/>
        <v>0.12202224671999999</v>
      </c>
      <c r="J1120" s="129">
        <f t="shared" si="52"/>
        <v>3.3686400000000001</v>
      </c>
    </row>
    <row r="1121" spans="1:10" hidden="1" x14ac:dyDescent="0.35">
      <c r="A1121" s="126" t="s">
        <v>458</v>
      </c>
      <c r="B1121" t="str">
        <f>_xlfn.XLOOKUP(A1121,'[1]2050Pop'!$A$7:$A$143,'[1]2050Pop'!$D$7:$D$143)</f>
        <v>Euro/AU/NZ</v>
      </c>
      <c r="C1121" s="127">
        <f>1000*_xlfn.XLOOKUP(A1121,'[1]2050Pop'!$A$7:$A$143,'[1]2050Pop'!$C$7:$C$143)</f>
        <v>7331</v>
      </c>
      <c r="D1121" s="126" t="s">
        <v>502</v>
      </c>
      <c r="E1121" s="128">
        <v>72.953999999999994</v>
      </c>
      <c r="F1121" s="129">
        <f t="shared" si="53"/>
        <v>0.53482577399999998</v>
      </c>
      <c r="G1121" t="str">
        <f>_xlfn.XLOOKUP(D1121,'[1]2050 BAU Mapping to T &amp; C'!$A$3:$A$52,'[1]2050 BAU Mapping to T &amp; C'!$B$3:$B$52)</f>
        <v>Legumes</v>
      </c>
      <c r="H1121" s="129">
        <f>_xlfn.XLOOKUP(G1121,'[1]T&amp;C emissions for 2050 analysis'!$B$3:$B$23,'[1]T&amp;C emissions for 2050 analysis'!$C$3:$C$23)</f>
        <v>7.3333333333333334E-2</v>
      </c>
      <c r="I1121" s="27">
        <f t="shared" si="51"/>
        <v>3.9220556759999997E-2</v>
      </c>
      <c r="J1121" s="129">
        <f t="shared" si="52"/>
        <v>5.3499599999999994</v>
      </c>
    </row>
    <row r="1122" spans="1:10" hidden="1" x14ac:dyDescent="0.35">
      <c r="A1122" s="126" t="s">
        <v>492</v>
      </c>
      <c r="B1122" t="str">
        <f>_xlfn.XLOOKUP(A1122,'[1]2050Pop'!$A$7:$A$143,'[1]2050Pop'!$D$7:$D$143)</f>
        <v>SSA</v>
      </c>
      <c r="C1122" s="127">
        <f>1000*_xlfn.XLOOKUP(A1122,'[1]2050Pop'!$A$7:$A$143,'[1]2050Pop'!$C$7:$C$143)</f>
        <v>11392</v>
      </c>
      <c r="D1122" s="126" t="s">
        <v>502</v>
      </c>
      <c r="E1122" s="128">
        <v>127.794</v>
      </c>
      <c r="F1122" s="129">
        <f t="shared" si="53"/>
        <v>1.4558292479999999</v>
      </c>
      <c r="G1122" t="str">
        <f>_xlfn.XLOOKUP(D1122,'[1]2050 BAU Mapping to T &amp; C'!$A$3:$A$52,'[1]2050 BAU Mapping to T &amp; C'!$B$3:$B$52)</f>
        <v>Legumes</v>
      </c>
      <c r="H1122" s="129">
        <f>_xlfn.XLOOKUP(G1122,'[1]T&amp;C emissions for 2050 analysis'!$B$3:$B$23,'[1]T&amp;C emissions for 2050 analysis'!$C$3:$C$23)</f>
        <v>7.3333333333333334E-2</v>
      </c>
      <c r="I1122" s="27">
        <f t="shared" si="51"/>
        <v>0.10676081152</v>
      </c>
      <c r="J1122" s="129">
        <f t="shared" si="52"/>
        <v>9.3715600000000006</v>
      </c>
    </row>
    <row r="1123" spans="1:10" hidden="1" x14ac:dyDescent="0.35">
      <c r="A1123" s="126" t="s">
        <v>459</v>
      </c>
      <c r="B1123" t="str">
        <f>_xlfn.XLOOKUP(A1123,'[1]2050Pop'!$A$7:$A$143,'[1]2050Pop'!$D$7:$D$143)</f>
        <v>Euro/AU/NZ</v>
      </c>
      <c r="C1123" s="127">
        <f>1000*_xlfn.XLOOKUP(A1123,'[1]2050Pop'!$A$7:$A$143,'[1]2050Pop'!$C$7:$C$143)</f>
        <v>4892</v>
      </c>
      <c r="D1123" s="126" t="s">
        <v>502</v>
      </c>
      <c r="E1123" s="128">
        <v>14.388</v>
      </c>
      <c r="F1123" s="129">
        <f t="shared" si="53"/>
        <v>7.0386096000000009E-2</v>
      </c>
      <c r="G1123" t="str">
        <f>_xlfn.XLOOKUP(D1123,'[1]2050 BAU Mapping to T &amp; C'!$A$3:$A$52,'[1]2050 BAU Mapping to T &amp; C'!$B$3:$B$52)</f>
        <v>Legumes</v>
      </c>
      <c r="H1123" s="129">
        <f>_xlfn.XLOOKUP(G1123,'[1]T&amp;C emissions for 2050 analysis'!$B$3:$B$23,'[1]T&amp;C emissions for 2050 analysis'!$C$3:$C$23)</f>
        <v>7.3333333333333334E-2</v>
      </c>
      <c r="I1123" s="27">
        <f t="shared" si="51"/>
        <v>5.1616470400000008E-3</v>
      </c>
      <c r="J1123" s="129">
        <f t="shared" si="52"/>
        <v>1.0551200000000001</v>
      </c>
    </row>
    <row r="1124" spans="1:10" hidden="1" x14ac:dyDescent="0.35">
      <c r="A1124" s="126" t="s">
        <v>460</v>
      </c>
      <c r="B1124" t="str">
        <f>_xlfn.XLOOKUP(A1124,'[1]2050Pop'!$A$7:$A$143,'[1]2050Pop'!$D$7:$D$143)</f>
        <v>LatAm &amp; RSA</v>
      </c>
      <c r="C1124" s="127">
        <f>1000*_xlfn.XLOOKUP(A1124,'[1]2050Pop'!$A$7:$A$143,'[1]2050Pop'!$C$7:$C$143)</f>
        <v>65540</v>
      </c>
      <c r="D1124" s="126" t="s">
        <v>502</v>
      </c>
      <c r="E1124" s="128">
        <v>27.102</v>
      </c>
      <c r="F1124" s="129">
        <f t="shared" si="53"/>
        <v>1.7762650800000002</v>
      </c>
      <c r="G1124" t="str">
        <f>_xlfn.XLOOKUP(D1124,'[1]2050 BAU Mapping to T &amp; C'!$A$3:$A$52,'[1]2050 BAU Mapping to T &amp; C'!$B$3:$B$52)</f>
        <v>Legumes</v>
      </c>
      <c r="H1124" s="129">
        <f>_xlfn.XLOOKUP(G1124,'[1]T&amp;C emissions for 2050 analysis'!$B$3:$B$23,'[1]T&amp;C emissions for 2050 analysis'!$C$3:$C$23)</f>
        <v>7.3333333333333334E-2</v>
      </c>
      <c r="I1124" s="27">
        <f t="shared" si="51"/>
        <v>0.13025943920000002</v>
      </c>
      <c r="J1124" s="129">
        <f t="shared" si="52"/>
        <v>1.9874800000000001</v>
      </c>
    </row>
    <row r="1125" spans="1:10" hidden="1" x14ac:dyDescent="0.35">
      <c r="A1125" s="126" t="s">
        <v>461</v>
      </c>
      <c r="B1125" t="str">
        <f>_xlfn.XLOOKUP(A1125,'[1]2050Pop'!$A$7:$A$143,'[1]2050Pop'!$D$7:$D$143)</f>
        <v>Euro/AU/NZ</v>
      </c>
      <c r="C1125" s="127">
        <f>1000*_xlfn.XLOOKUP(A1125,'[1]2050Pop'!$A$7:$A$143,'[1]2050Pop'!$C$7:$C$143)</f>
        <v>44840</v>
      </c>
      <c r="D1125" s="126" t="s">
        <v>502</v>
      </c>
      <c r="E1125" s="128">
        <v>48.246000000000002</v>
      </c>
      <c r="F1125" s="129">
        <f t="shared" si="53"/>
        <v>2.16335064</v>
      </c>
      <c r="G1125" t="str">
        <f>_xlfn.XLOOKUP(D1125,'[1]2050 BAU Mapping to T &amp; C'!$A$3:$A$52,'[1]2050 BAU Mapping to T &amp; C'!$B$3:$B$52)</f>
        <v>Legumes</v>
      </c>
      <c r="H1125" s="129">
        <f>_xlfn.XLOOKUP(G1125,'[1]T&amp;C emissions for 2050 analysis'!$B$3:$B$23,'[1]T&amp;C emissions for 2050 analysis'!$C$3:$C$23)</f>
        <v>7.3333333333333334E-2</v>
      </c>
      <c r="I1125" s="27">
        <f t="shared" si="51"/>
        <v>0.15864571359999999</v>
      </c>
      <c r="J1125" s="129">
        <f t="shared" si="52"/>
        <v>3.5380400000000001</v>
      </c>
    </row>
    <row r="1126" spans="1:10" hidden="1" x14ac:dyDescent="0.35">
      <c r="A1126" s="126" t="s">
        <v>493</v>
      </c>
      <c r="B1126" t="str">
        <f>_xlfn.XLOOKUP(A1126,'[1]2050Pop'!$A$7:$A$143,'[1]2050Pop'!$D$7:$D$143)</f>
        <v>India/South Asia</v>
      </c>
      <c r="C1126" s="127">
        <f>1000*_xlfn.XLOOKUP(A1126,'[1]2050Pop'!$A$7:$A$143,'[1]2050Pop'!$C$7:$C$143)</f>
        <v>20836</v>
      </c>
      <c r="D1126" s="126" t="s">
        <v>502</v>
      </c>
      <c r="E1126" s="128">
        <v>121.968</v>
      </c>
      <c r="F1126" s="129">
        <f t="shared" si="53"/>
        <v>2.5413252480000001</v>
      </c>
      <c r="G1126" t="str">
        <f>_xlfn.XLOOKUP(D1126,'[1]2050 BAU Mapping to T &amp; C'!$A$3:$A$52,'[1]2050 BAU Mapping to T &amp; C'!$B$3:$B$52)</f>
        <v>Legumes</v>
      </c>
      <c r="H1126" s="129">
        <f>_xlfn.XLOOKUP(G1126,'[1]T&amp;C emissions for 2050 analysis'!$B$3:$B$23,'[1]T&amp;C emissions for 2050 analysis'!$C$3:$C$23)</f>
        <v>7.3333333333333334E-2</v>
      </c>
      <c r="I1126" s="27">
        <f t="shared" si="51"/>
        <v>0.18636385152000001</v>
      </c>
      <c r="J1126" s="129">
        <f t="shared" si="52"/>
        <v>8.9443200000000012</v>
      </c>
    </row>
    <row r="1127" spans="1:10" hidden="1" x14ac:dyDescent="0.35">
      <c r="A1127" s="126" t="s">
        <v>462</v>
      </c>
      <c r="B1127" t="str">
        <f>_xlfn.XLOOKUP(A1127,'[1]2050Pop'!$A$7:$A$143,'[1]2050Pop'!$D$7:$D$143)</f>
        <v>LatAm &amp; RSA</v>
      </c>
      <c r="C1127" s="127">
        <f>1000*_xlfn.XLOOKUP(A1127,'[1]2050Pop'!$A$7:$A$143,'[1]2050Pop'!$C$7:$C$143)</f>
        <v>624</v>
      </c>
      <c r="D1127" s="126" t="s">
        <v>502</v>
      </c>
      <c r="E1127" s="128">
        <v>25.452000000000002</v>
      </c>
      <c r="F1127" s="129">
        <f t="shared" si="53"/>
        <v>1.5882047999999999E-2</v>
      </c>
      <c r="G1127" t="str">
        <f>_xlfn.XLOOKUP(D1127,'[1]2050 BAU Mapping to T &amp; C'!$A$3:$A$52,'[1]2050 BAU Mapping to T &amp; C'!$B$3:$B$52)</f>
        <v>Legumes</v>
      </c>
      <c r="H1127" s="129">
        <f>_xlfn.XLOOKUP(G1127,'[1]T&amp;C emissions for 2050 analysis'!$B$3:$B$23,'[1]T&amp;C emissions for 2050 analysis'!$C$3:$C$23)</f>
        <v>7.3333333333333334E-2</v>
      </c>
      <c r="I1127" s="27">
        <f t="shared" si="51"/>
        <v>1.16468352E-3</v>
      </c>
      <c r="J1127" s="129">
        <f t="shared" si="52"/>
        <v>1.8664800000000001</v>
      </c>
    </row>
    <row r="1128" spans="1:10" hidden="1" x14ac:dyDescent="0.35">
      <c r="A1128" s="126" t="s">
        <v>463</v>
      </c>
      <c r="B1128" t="str">
        <f>_xlfn.XLOOKUP(A1128,'[1]2050Pop'!$A$7:$A$143,'[1]2050Pop'!$D$7:$D$143)</f>
        <v>SSA</v>
      </c>
      <c r="C1128" s="127">
        <f>1000*_xlfn.XLOOKUP(A1128,'[1]2050Pop'!$A$7:$A$143,'[1]2050Pop'!$C$7:$C$143)</f>
        <v>1792</v>
      </c>
      <c r="D1128" s="126" t="s">
        <v>502</v>
      </c>
      <c r="E1128" s="128">
        <v>35.305999999999997</v>
      </c>
      <c r="F1128" s="129">
        <f t="shared" si="53"/>
        <v>6.3268352E-2</v>
      </c>
      <c r="G1128" t="str">
        <f>_xlfn.XLOOKUP(D1128,'[1]2050 BAU Mapping to T &amp; C'!$A$3:$A$52,'[1]2050 BAU Mapping to T &amp; C'!$B$3:$B$52)</f>
        <v>Legumes</v>
      </c>
      <c r="H1128" s="129">
        <f>_xlfn.XLOOKUP(G1128,'[1]T&amp;C emissions for 2050 analysis'!$B$3:$B$23,'[1]T&amp;C emissions for 2050 analysis'!$C$3:$C$23)</f>
        <v>7.3333333333333334E-2</v>
      </c>
      <c r="I1128" s="27">
        <f t="shared" si="51"/>
        <v>4.6396791466666665E-3</v>
      </c>
      <c r="J1128" s="129">
        <f t="shared" si="52"/>
        <v>2.5891066666666664</v>
      </c>
    </row>
    <row r="1129" spans="1:10" hidden="1" x14ac:dyDescent="0.35">
      <c r="A1129" s="126" t="s">
        <v>464</v>
      </c>
      <c r="B1129" t="str">
        <f>_xlfn.XLOOKUP(A1129,'[1]2050Pop'!$A$7:$A$143,'[1]2050Pop'!$D$7:$D$143)</f>
        <v>Euro/AU/NZ</v>
      </c>
      <c r="C1129" s="127">
        <f>1000*_xlfn.XLOOKUP(A1129,'[1]2050Pop'!$A$7:$A$143,'[1]2050Pop'!$C$7:$C$143)</f>
        <v>11881</v>
      </c>
      <c r="D1129" s="126" t="s">
        <v>502</v>
      </c>
      <c r="E1129" s="128">
        <v>16.420999999999999</v>
      </c>
      <c r="F1129" s="129">
        <f t="shared" si="53"/>
        <v>0.19509790099999999</v>
      </c>
      <c r="G1129" t="str">
        <f>_xlfn.XLOOKUP(D1129,'[1]2050 BAU Mapping to T &amp; C'!$A$3:$A$52,'[1]2050 BAU Mapping to T &amp; C'!$B$3:$B$52)</f>
        <v>Legumes</v>
      </c>
      <c r="H1129" s="129">
        <f>_xlfn.XLOOKUP(G1129,'[1]T&amp;C emissions for 2050 analysis'!$B$3:$B$23,'[1]T&amp;C emissions for 2050 analysis'!$C$3:$C$23)</f>
        <v>7.3333333333333334E-2</v>
      </c>
      <c r="I1129" s="27">
        <f t="shared" si="51"/>
        <v>1.4307179406666665E-2</v>
      </c>
      <c r="J1129" s="129">
        <f t="shared" si="52"/>
        <v>1.2042066666666666</v>
      </c>
    </row>
    <row r="1130" spans="1:10" hidden="1" x14ac:dyDescent="0.35">
      <c r="A1130" s="126" t="s">
        <v>483</v>
      </c>
      <c r="B1130" t="str">
        <f>_xlfn.XLOOKUP(A1130,'[1]2050Pop'!$A$7:$A$143,'[1]2050Pop'!$D$7:$D$143)</f>
        <v>APAC</v>
      </c>
      <c r="C1130" s="127">
        <f>1000*_xlfn.XLOOKUP(A1130,'[1]2050Pop'!$A$7:$A$143,'[1]2050Pop'!$C$7:$C$143)</f>
        <v>14288</v>
      </c>
      <c r="D1130" s="126" t="s">
        <v>502</v>
      </c>
      <c r="E1130" s="128">
        <v>26.550999999999998</v>
      </c>
      <c r="F1130" s="129">
        <f t="shared" si="53"/>
        <v>0.37936068799999995</v>
      </c>
      <c r="G1130" t="str">
        <f>_xlfn.XLOOKUP(D1130,'[1]2050 BAU Mapping to T &amp; C'!$A$3:$A$52,'[1]2050 BAU Mapping to T &amp; C'!$B$3:$B$52)</f>
        <v>Legumes</v>
      </c>
      <c r="H1130" s="129">
        <f>_xlfn.XLOOKUP(G1130,'[1]T&amp;C emissions for 2050 analysis'!$B$3:$B$23,'[1]T&amp;C emissions for 2050 analysis'!$C$3:$C$23)</f>
        <v>7.3333333333333334E-2</v>
      </c>
      <c r="I1130" s="27">
        <f t="shared" si="51"/>
        <v>2.7819783786666663E-2</v>
      </c>
      <c r="J1130" s="129">
        <f t="shared" si="52"/>
        <v>1.9470733333333332</v>
      </c>
    </row>
    <row r="1131" spans="1:10" hidden="1" x14ac:dyDescent="0.35">
      <c r="A1131" s="126" t="s">
        <v>465</v>
      </c>
      <c r="B1131" t="str">
        <f>_xlfn.XLOOKUP(A1131,'[1]2050Pop'!$A$7:$A$143,'[1]2050Pop'!$D$7:$D$143)</f>
        <v>APAC</v>
      </c>
      <c r="C1131" s="127">
        <f>1000*_xlfn.XLOOKUP(A1131,'[1]2050Pop'!$A$7:$A$143,'[1]2050Pop'!$C$7:$C$143)</f>
        <v>62452</v>
      </c>
      <c r="D1131" s="126" t="s">
        <v>502</v>
      </c>
      <c r="E1131" s="128">
        <v>36.646999999999998</v>
      </c>
      <c r="F1131" s="129">
        <f t="shared" si="53"/>
        <v>2.2886784440000003</v>
      </c>
      <c r="G1131" t="str">
        <f>_xlfn.XLOOKUP(D1131,'[1]2050 BAU Mapping to T &amp; C'!$A$3:$A$52,'[1]2050 BAU Mapping to T &amp; C'!$B$3:$B$52)</f>
        <v>Legumes</v>
      </c>
      <c r="H1131" s="129">
        <f>_xlfn.XLOOKUP(G1131,'[1]T&amp;C emissions for 2050 analysis'!$B$3:$B$23,'[1]T&amp;C emissions for 2050 analysis'!$C$3:$C$23)</f>
        <v>7.3333333333333334E-2</v>
      </c>
      <c r="I1131" s="27">
        <f t="shared" si="51"/>
        <v>0.1678364192266667</v>
      </c>
      <c r="J1131" s="129">
        <f t="shared" si="52"/>
        <v>2.6874466666666668</v>
      </c>
    </row>
    <row r="1132" spans="1:10" hidden="1" x14ac:dyDescent="0.35">
      <c r="A1132" s="126" t="s">
        <v>466</v>
      </c>
      <c r="B1132" t="str">
        <f>_xlfn.XLOOKUP(A1132,'[1]2050Pop'!$A$7:$A$143,'[1]2050Pop'!$D$7:$D$143)</f>
        <v>SSA</v>
      </c>
      <c r="C1132" s="127">
        <f>1000*_xlfn.XLOOKUP(A1132,'[1]2050Pop'!$A$7:$A$143,'[1]2050Pop'!$C$7:$C$143)</f>
        <v>15681</v>
      </c>
      <c r="D1132" s="126" t="s">
        <v>502</v>
      </c>
      <c r="E1132" s="128">
        <v>145.22499999999999</v>
      </c>
      <c r="F1132" s="129">
        <f t="shared" si="53"/>
        <v>2.2772732250000001</v>
      </c>
      <c r="G1132" t="str">
        <f>_xlfn.XLOOKUP(D1132,'[1]2050 BAU Mapping to T &amp; C'!$A$3:$A$52,'[1]2050 BAU Mapping to T &amp; C'!$B$3:$B$52)</f>
        <v>Legumes</v>
      </c>
      <c r="H1132" s="129">
        <f>_xlfn.XLOOKUP(G1132,'[1]T&amp;C emissions for 2050 analysis'!$B$3:$B$23,'[1]T&amp;C emissions for 2050 analysis'!$C$3:$C$23)</f>
        <v>7.3333333333333334E-2</v>
      </c>
      <c r="I1132" s="27">
        <f t="shared" si="51"/>
        <v>0.1670000365</v>
      </c>
      <c r="J1132" s="129">
        <f t="shared" si="52"/>
        <v>10.649833333333333</v>
      </c>
    </row>
    <row r="1133" spans="1:10" hidden="1" x14ac:dyDescent="0.35">
      <c r="A1133" s="126" t="s">
        <v>467</v>
      </c>
      <c r="B1133" t="str">
        <f>_xlfn.XLOOKUP(A1133,'[1]2050Pop'!$A$7:$A$143,'[1]2050Pop'!$D$7:$D$143)</f>
        <v>LatAm &amp; RSA</v>
      </c>
      <c r="C1133" s="127">
        <f>1000*_xlfn.XLOOKUP(A1133,'[1]2050Pop'!$A$7:$A$143,'[1]2050Pop'!$C$7:$C$143)</f>
        <v>1291</v>
      </c>
      <c r="D1133" s="126" t="s">
        <v>502</v>
      </c>
      <c r="E1133" s="128">
        <v>106.854</v>
      </c>
      <c r="F1133" s="129">
        <f t="shared" si="53"/>
        <v>0.13794851399999999</v>
      </c>
      <c r="G1133" t="str">
        <f>_xlfn.XLOOKUP(D1133,'[1]2050 BAU Mapping to T &amp; C'!$A$3:$A$52,'[1]2050 BAU Mapping to T &amp; C'!$B$3:$B$52)</f>
        <v>Legumes</v>
      </c>
      <c r="H1133" s="129">
        <f>_xlfn.XLOOKUP(G1133,'[1]T&amp;C emissions for 2050 analysis'!$B$3:$B$23,'[1]T&amp;C emissions for 2050 analysis'!$C$3:$C$23)</f>
        <v>7.3333333333333334E-2</v>
      </c>
      <c r="I1133" s="27">
        <f t="shared" si="51"/>
        <v>1.011622436E-2</v>
      </c>
      <c r="J1133" s="129">
        <f t="shared" si="52"/>
        <v>7.83596</v>
      </c>
    </row>
    <row r="1134" spans="1:10" hidden="1" x14ac:dyDescent="0.35">
      <c r="A1134" s="126" t="s">
        <v>468</v>
      </c>
      <c r="B1134" t="str">
        <f>_xlfn.XLOOKUP(A1134,'[1]2050Pop'!$A$7:$A$143,'[1]2050Pop'!$D$7:$D$143)</f>
        <v>MENA</v>
      </c>
      <c r="C1134" s="127">
        <f>1000*_xlfn.XLOOKUP(A1134,'[1]2050Pop'!$A$7:$A$143,'[1]2050Pop'!$C$7:$C$143)</f>
        <v>13476</v>
      </c>
      <c r="D1134" s="126" t="s">
        <v>502</v>
      </c>
      <c r="E1134" s="128">
        <v>90.594999999999999</v>
      </c>
      <c r="F1134" s="129">
        <f t="shared" si="53"/>
        <v>1.22085822</v>
      </c>
      <c r="G1134" t="str">
        <f>_xlfn.XLOOKUP(D1134,'[1]2050 BAU Mapping to T &amp; C'!$A$3:$A$52,'[1]2050 BAU Mapping to T &amp; C'!$B$3:$B$52)</f>
        <v>Legumes</v>
      </c>
      <c r="H1134" s="129">
        <f>_xlfn.XLOOKUP(G1134,'[1]T&amp;C emissions for 2050 analysis'!$B$3:$B$23,'[1]T&amp;C emissions for 2050 analysis'!$C$3:$C$23)</f>
        <v>7.3333333333333334E-2</v>
      </c>
      <c r="I1134" s="27">
        <f t="shared" si="51"/>
        <v>8.9529602799999997E-2</v>
      </c>
      <c r="J1134" s="129">
        <f t="shared" si="52"/>
        <v>6.6436333333333337</v>
      </c>
    </row>
    <row r="1135" spans="1:10" hidden="1" x14ac:dyDescent="0.35">
      <c r="A1135" s="126" t="s">
        <v>469</v>
      </c>
      <c r="B1135" t="str">
        <f>_xlfn.XLOOKUP(A1135,'[1]2050Pop'!$A$7:$A$143,'[1]2050Pop'!$D$7:$D$143)</f>
        <v>MENA</v>
      </c>
      <c r="C1135" s="127">
        <f>1000*_xlfn.XLOOKUP(A1135,'[1]2050Pop'!$A$7:$A$143,'[1]2050Pop'!$C$7:$C$143)</f>
        <v>95819</v>
      </c>
      <c r="D1135" s="126" t="s">
        <v>502</v>
      </c>
      <c r="E1135" s="128">
        <v>127.96899999999999</v>
      </c>
      <c r="F1135" s="129">
        <f t="shared" si="53"/>
        <v>12.261861610999999</v>
      </c>
      <c r="G1135" t="str">
        <f>_xlfn.XLOOKUP(D1135,'[1]2050 BAU Mapping to T &amp; C'!$A$3:$A$52,'[1]2050 BAU Mapping to T &amp; C'!$B$3:$B$52)</f>
        <v>Legumes</v>
      </c>
      <c r="H1135" s="129">
        <f>_xlfn.XLOOKUP(G1135,'[1]T&amp;C emissions for 2050 analysis'!$B$3:$B$23,'[1]T&amp;C emissions for 2050 analysis'!$C$3:$C$23)</f>
        <v>7.3333333333333334E-2</v>
      </c>
      <c r="I1135" s="27">
        <f t="shared" si="51"/>
        <v>0.89920318480666661</v>
      </c>
      <c r="J1135" s="129">
        <f t="shared" si="52"/>
        <v>9.3843933333333336</v>
      </c>
    </row>
    <row r="1136" spans="1:10" hidden="1" x14ac:dyDescent="0.35">
      <c r="A1136" s="126" t="s">
        <v>470</v>
      </c>
      <c r="B1136" t="str">
        <f>_xlfn.XLOOKUP(A1136,'[1]2050Pop'!$A$7:$A$143,'[1]2050Pop'!$D$7:$D$143)</f>
        <v>SSA</v>
      </c>
      <c r="C1136" s="127">
        <f>1000*_xlfn.XLOOKUP(A1136,'[1]2050Pop'!$A$7:$A$143,'[1]2050Pop'!$C$7:$C$143)</f>
        <v>101873</v>
      </c>
      <c r="D1136" s="126" t="s">
        <v>502</v>
      </c>
      <c r="E1136" s="128">
        <v>274.76799999999997</v>
      </c>
      <c r="F1136" s="129">
        <f t="shared" si="53"/>
        <v>27.991440463999997</v>
      </c>
      <c r="G1136" t="str">
        <f>_xlfn.XLOOKUP(D1136,'[1]2050 BAU Mapping to T &amp; C'!$A$3:$A$52,'[1]2050 BAU Mapping to T &amp; C'!$B$3:$B$52)</f>
        <v>Legumes</v>
      </c>
      <c r="H1136" s="129">
        <f>_xlfn.XLOOKUP(G1136,'[1]T&amp;C emissions for 2050 analysis'!$B$3:$B$23,'[1]T&amp;C emissions for 2050 analysis'!$C$3:$C$23)</f>
        <v>7.3333333333333334E-2</v>
      </c>
      <c r="I1136" s="27">
        <f t="shared" si="51"/>
        <v>2.0527056340266663</v>
      </c>
      <c r="J1136" s="129">
        <f t="shared" si="52"/>
        <v>20.14965333333333</v>
      </c>
    </row>
    <row r="1137" spans="1:10" hidden="1" x14ac:dyDescent="0.35">
      <c r="A1137" s="126" t="s">
        <v>471</v>
      </c>
      <c r="B1137" t="str">
        <f>_xlfn.XLOOKUP(A1137,'[1]2050Pop'!$A$7:$A$143,'[1]2050Pop'!$D$7:$D$143)</f>
        <v>Euro/AU/NZ</v>
      </c>
      <c r="C1137" s="127">
        <f>1000*_xlfn.XLOOKUP(A1137,'[1]2050Pop'!$A$7:$A$143,'[1]2050Pop'!$C$7:$C$143)</f>
        <v>35117</v>
      </c>
      <c r="D1137" s="126" t="s">
        <v>502</v>
      </c>
      <c r="E1137" s="128">
        <v>16.850999999999999</v>
      </c>
      <c r="F1137" s="129">
        <f t="shared" si="53"/>
        <v>0.5917565669999999</v>
      </c>
      <c r="G1137" t="str">
        <f>_xlfn.XLOOKUP(D1137,'[1]2050 BAU Mapping to T &amp; C'!$A$3:$A$52,'[1]2050 BAU Mapping to T &amp; C'!$B$3:$B$52)</f>
        <v>Legumes</v>
      </c>
      <c r="H1137" s="129">
        <f>_xlfn.XLOOKUP(G1137,'[1]T&amp;C emissions for 2050 analysis'!$B$3:$B$23,'[1]T&amp;C emissions for 2050 analysis'!$C$3:$C$23)</f>
        <v>7.3333333333333334E-2</v>
      </c>
      <c r="I1137" s="27">
        <f t="shared" si="51"/>
        <v>4.3395481579999992E-2</v>
      </c>
      <c r="J1137" s="129">
        <f t="shared" si="52"/>
        <v>1.2357399999999998</v>
      </c>
    </row>
    <row r="1138" spans="1:10" hidden="1" x14ac:dyDescent="0.35">
      <c r="A1138" s="126" t="s">
        <v>472</v>
      </c>
      <c r="B1138" t="str">
        <f>_xlfn.XLOOKUP(A1138,'[1]2050Pop'!$A$7:$A$143,'[1]2050Pop'!$D$7:$D$143)</f>
        <v>Euro/AU/NZ</v>
      </c>
      <c r="C1138" s="127">
        <f>1000*_xlfn.XLOOKUP(A1138,'[1]2050Pop'!$A$7:$A$143,'[1]2050Pop'!$C$7:$C$143)</f>
        <v>75361</v>
      </c>
      <c r="D1138" s="126" t="s">
        <v>502</v>
      </c>
      <c r="E1138" s="128">
        <v>31.518999999999998</v>
      </c>
      <c r="F1138" s="129">
        <f t="shared" si="53"/>
        <v>2.3753033589999997</v>
      </c>
      <c r="G1138" t="str">
        <f>_xlfn.XLOOKUP(D1138,'[1]2050 BAU Mapping to T &amp; C'!$A$3:$A$52,'[1]2050 BAU Mapping to T &amp; C'!$B$3:$B$52)</f>
        <v>Legumes</v>
      </c>
      <c r="H1138" s="129">
        <f>_xlfn.XLOOKUP(G1138,'[1]T&amp;C emissions for 2050 analysis'!$B$3:$B$23,'[1]T&amp;C emissions for 2050 analysis'!$C$3:$C$23)</f>
        <v>7.3333333333333334E-2</v>
      </c>
      <c r="I1138" s="27">
        <f t="shared" si="51"/>
        <v>0.17418891299333331</v>
      </c>
      <c r="J1138" s="129">
        <f t="shared" si="52"/>
        <v>2.3113933333333332</v>
      </c>
    </row>
    <row r="1139" spans="1:10" hidden="1" x14ac:dyDescent="0.35">
      <c r="A1139" s="126" t="s">
        <v>473</v>
      </c>
      <c r="B1139" t="str">
        <f>_xlfn.XLOOKUP(A1139,'[1]2050Pop'!$A$7:$A$143,'[1]2050Pop'!$D$7:$D$143)</f>
        <v>SSA</v>
      </c>
      <c r="C1139" s="127">
        <f>1000*_xlfn.XLOOKUP(A1139,'[1]2050Pop'!$A$7:$A$143,'[1]2050Pop'!$C$7:$C$143)</f>
        <v>137136</v>
      </c>
      <c r="D1139" s="126" t="s">
        <v>502</v>
      </c>
      <c r="E1139" s="128">
        <v>230.28100000000001</v>
      </c>
      <c r="F1139" s="129">
        <f t="shared" si="53"/>
        <v>31.579815216000004</v>
      </c>
      <c r="G1139" t="str">
        <f>_xlfn.XLOOKUP(D1139,'[1]2050 BAU Mapping to T &amp; C'!$A$3:$A$52,'[1]2050 BAU Mapping to T &amp; C'!$B$3:$B$52)</f>
        <v>Legumes</v>
      </c>
      <c r="H1139" s="129">
        <f>_xlfn.XLOOKUP(G1139,'[1]T&amp;C emissions for 2050 analysis'!$B$3:$B$23,'[1]T&amp;C emissions for 2050 analysis'!$C$3:$C$23)</f>
        <v>7.3333333333333334E-2</v>
      </c>
      <c r="I1139" s="27">
        <f t="shared" si="51"/>
        <v>2.3158531158400004</v>
      </c>
      <c r="J1139" s="129">
        <f t="shared" si="52"/>
        <v>16.887273333333333</v>
      </c>
    </row>
    <row r="1140" spans="1:10" hidden="1" x14ac:dyDescent="0.35">
      <c r="A1140" s="126" t="s">
        <v>474</v>
      </c>
      <c r="B1140" t="str">
        <f>_xlfn.XLOOKUP(A1140,'[1]2050Pop'!$A$7:$A$143,'[1]2050Pop'!$D$7:$D$143)</f>
        <v>NAm</v>
      </c>
      <c r="C1140" s="127">
        <f>1000*_xlfn.XLOOKUP(A1140,'[1]2050Pop'!$A$7:$A$143,'[1]2050Pop'!$C$7:$C$143)</f>
        <v>388865</v>
      </c>
      <c r="D1140" s="126" t="s">
        <v>502</v>
      </c>
      <c r="E1140" s="128">
        <v>36.637999999999998</v>
      </c>
      <c r="F1140" s="129">
        <f t="shared" si="53"/>
        <v>14.247235869999999</v>
      </c>
      <c r="G1140" t="str">
        <f>_xlfn.XLOOKUP(D1140,'[1]2050 BAU Mapping to T &amp; C'!$A$3:$A$52,'[1]2050 BAU Mapping to T &amp; C'!$B$3:$B$52)</f>
        <v>Legumes</v>
      </c>
      <c r="H1140" s="129">
        <f>_xlfn.XLOOKUP(G1140,'[1]T&amp;C emissions for 2050 analysis'!$B$3:$B$23,'[1]T&amp;C emissions for 2050 analysis'!$C$3:$C$23)</f>
        <v>7.3333333333333334E-2</v>
      </c>
      <c r="I1140" s="27">
        <f t="shared" si="51"/>
        <v>1.0447972971333332</v>
      </c>
      <c r="J1140" s="129">
        <f t="shared" si="52"/>
        <v>2.6867866666666664</v>
      </c>
    </row>
    <row r="1141" spans="1:10" hidden="1" x14ac:dyDescent="0.35">
      <c r="A1141" s="126" t="s">
        <v>475</v>
      </c>
      <c r="B1141" t="str">
        <f>_xlfn.XLOOKUP(A1141,'[1]2050Pop'!$A$7:$A$143,'[1]2050Pop'!$D$7:$D$143)</f>
        <v>LatAm &amp; RSA</v>
      </c>
      <c r="C1141" s="127">
        <f>1000*_xlfn.XLOOKUP(A1141,'[1]2050Pop'!$A$7:$A$143,'[1]2050Pop'!$C$7:$C$143)</f>
        <v>3667</v>
      </c>
      <c r="D1141" s="126" t="s">
        <v>502</v>
      </c>
      <c r="E1141" s="130">
        <v>34.880000000000003</v>
      </c>
      <c r="F1141" s="129">
        <f t="shared" si="53"/>
        <v>0.12790496000000001</v>
      </c>
      <c r="G1141" t="str">
        <f>_xlfn.XLOOKUP(D1141,'[1]2050 BAU Mapping to T &amp; C'!$A$3:$A$52,'[1]2050 BAU Mapping to T &amp; C'!$B$3:$B$52)</f>
        <v>Legumes</v>
      </c>
      <c r="H1141" s="129">
        <f>_xlfn.XLOOKUP(G1141,'[1]T&amp;C emissions for 2050 analysis'!$B$3:$B$23,'[1]T&amp;C emissions for 2050 analysis'!$C$3:$C$23)</f>
        <v>7.3333333333333334E-2</v>
      </c>
      <c r="I1141" s="27">
        <f t="shared" si="51"/>
        <v>9.3796970666666681E-3</v>
      </c>
      <c r="J1141" s="129">
        <f t="shared" si="52"/>
        <v>2.557866666666667</v>
      </c>
    </row>
    <row r="1142" spans="1:10" hidden="1" x14ac:dyDescent="0.35">
      <c r="A1142" s="126" t="s">
        <v>476</v>
      </c>
      <c r="B1142" t="str">
        <f>_xlfn.XLOOKUP(A1142,'[1]2050Pop'!$A$7:$A$143,'[1]2050Pop'!$D$7:$D$143)</f>
        <v>LatAm &amp; RSA</v>
      </c>
      <c r="C1142" s="127">
        <f>1000*_xlfn.XLOOKUP(A1142,'[1]2050Pop'!$A$7:$A$143,'[1]2050Pop'!$C$7:$C$143)</f>
        <v>41562</v>
      </c>
      <c r="D1142" s="126" t="s">
        <v>502</v>
      </c>
      <c r="E1142" s="128">
        <v>65.286000000000001</v>
      </c>
      <c r="F1142" s="129">
        <f t="shared" si="53"/>
        <v>2.7134167319999998</v>
      </c>
      <c r="G1142" t="str">
        <f>_xlfn.XLOOKUP(D1142,'[1]2050 BAU Mapping to T &amp; C'!$A$3:$A$52,'[1]2050 BAU Mapping to T &amp; C'!$B$3:$B$52)</f>
        <v>Legumes</v>
      </c>
      <c r="H1142" s="129">
        <f>_xlfn.XLOOKUP(G1142,'[1]T&amp;C emissions for 2050 analysis'!$B$3:$B$23,'[1]T&amp;C emissions for 2050 analysis'!$C$3:$C$23)</f>
        <v>7.3333333333333334E-2</v>
      </c>
      <c r="I1142" s="27">
        <f t="shared" si="51"/>
        <v>0.19898389368</v>
      </c>
      <c r="J1142" s="129">
        <f t="shared" si="52"/>
        <v>4.7876400000000006</v>
      </c>
    </row>
    <row r="1143" spans="1:10" hidden="1" x14ac:dyDescent="0.35">
      <c r="A1143" s="126" t="s">
        <v>477</v>
      </c>
      <c r="B1143" t="str">
        <f>_xlfn.XLOOKUP(A1143,'[1]2050Pop'!$A$7:$A$143,'[1]2050Pop'!$D$7:$D$143)</f>
        <v>APAC</v>
      </c>
      <c r="C1143" s="127">
        <f>1000*_xlfn.XLOOKUP(A1143,'[1]2050Pop'!$A$7:$A$143,'[1]2050Pop'!$C$7:$C$143)</f>
        <v>112783</v>
      </c>
      <c r="D1143" s="126" t="s">
        <v>502</v>
      </c>
      <c r="E1143" s="128">
        <v>36.558999999999997</v>
      </c>
      <c r="F1143" s="129">
        <f t="shared" si="53"/>
        <v>4.1232336969999999</v>
      </c>
      <c r="G1143" t="str">
        <f>_xlfn.XLOOKUP(D1143,'[1]2050 BAU Mapping to T &amp; C'!$A$3:$A$52,'[1]2050 BAU Mapping to T &amp; C'!$B$3:$B$52)</f>
        <v>Legumes</v>
      </c>
      <c r="H1143" s="129">
        <f>_xlfn.XLOOKUP(G1143,'[1]T&amp;C emissions for 2050 analysis'!$B$3:$B$23,'[1]T&amp;C emissions for 2050 analysis'!$C$3:$C$23)</f>
        <v>7.3333333333333334E-2</v>
      </c>
      <c r="I1143" s="27">
        <f t="shared" si="51"/>
        <v>0.30237047111333332</v>
      </c>
      <c r="J1143" s="129">
        <f t="shared" si="52"/>
        <v>2.6809933333333333</v>
      </c>
    </row>
    <row r="1144" spans="1:10" hidden="1" x14ac:dyDescent="0.35">
      <c r="A1144" s="126" t="s">
        <v>478</v>
      </c>
      <c r="B1144" t="str">
        <f>_xlfn.XLOOKUP(A1144,'[1]2050Pop'!$A$7:$A$143,'[1]2050Pop'!$D$7:$D$143)</f>
        <v>MENA</v>
      </c>
      <c r="C1144" s="127">
        <f>1000*_xlfn.XLOOKUP(A1144,'[1]2050Pop'!$A$7:$A$143,'[1]2050Pop'!$C$7:$C$143)</f>
        <v>47170</v>
      </c>
      <c r="D1144" s="126" t="s">
        <v>502</v>
      </c>
      <c r="E1144" s="128">
        <v>64.147000000000006</v>
      </c>
      <c r="F1144" s="129">
        <f t="shared" si="53"/>
        <v>3.0258139900000001</v>
      </c>
      <c r="G1144" t="str">
        <f>_xlfn.XLOOKUP(D1144,'[1]2050 BAU Mapping to T &amp; C'!$A$3:$A$52,'[1]2050 BAU Mapping to T &amp; C'!$B$3:$B$52)</f>
        <v>Legumes</v>
      </c>
      <c r="H1144" s="129">
        <f>_xlfn.XLOOKUP(G1144,'[1]T&amp;C emissions for 2050 analysis'!$B$3:$B$23,'[1]T&amp;C emissions for 2050 analysis'!$C$3:$C$23)</f>
        <v>7.3333333333333334E-2</v>
      </c>
      <c r="I1144" s="27">
        <f t="shared" si="51"/>
        <v>0.22189302593333335</v>
      </c>
      <c r="J1144" s="129">
        <f t="shared" si="52"/>
        <v>4.7041133333333338</v>
      </c>
    </row>
    <row r="1145" spans="1:10" hidden="1" x14ac:dyDescent="0.35">
      <c r="A1145" s="126" t="s">
        <v>494</v>
      </c>
      <c r="B1145" t="str">
        <f>_xlfn.XLOOKUP(A1145,'[1]2050Pop'!$A$7:$A$143,'[1]2050Pop'!$D$7:$D$143)</f>
        <v>SSA</v>
      </c>
      <c r="C1145" s="127">
        <f>1000*_xlfn.XLOOKUP(A1145,'[1]2050Pop'!$A$7:$A$143,'[1]2050Pop'!$C$7:$C$143)</f>
        <v>42975</v>
      </c>
      <c r="D1145" s="126" t="s">
        <v>502</v>
      </c>
      <c r="E1145" s="128">
        <v>19.798999999999999</v>
      </c>
      <c r="F1145" s="129">
        <f t="shared" si="53"/>
        <v>0.85086202500000008</v>
      </c>
      <c r="G1145" t="str">
        <f>_xlfn.XLOOKUP(D1145,'[1]2050 BAU Mapping to T &amp; C'!$A$3:$A$52,'[1]2050 BAU Mapping to T &amp; C'!$B$3:$B$52)</f>
        <v>Legumes</v>
      </c>
      <c r="H1145" s="129">
        <f>_xlfn.XLOOKUP(G1145,'[1]T&amp;C emissions for 2050 analysis'!$B$3:$B$23,'[1]T&amp;C emissions for 2050 analysis'!$C$3:$C$23)</f>
        <v>7.3333333333333334E-2</v>
      </c>
      <c r="I1145" s="27">
        <f t="shared" si="51"/>
        <v>6.2396548500000003E-2</v>
      </c>
      <c r="J1145" s="129">
        <f t="shared" si="52"/>
        <v>1.4519266666666666</v>
      </c>
    </row>
    <row r="1146" spans="1:10" hidden="1" x14ac:dyDescent="0.35">
      <c r="A1146" s="126" t="s">
        <v>479</v>
      </c>
      <c r="B1146" t="str">
        <f>_xlfn.XLOOKUP(A1146,'[1]2050Pop'!$A$7:$A$143,'[1]2050Pop'!$D$7:$D$143)</f>
        <v>SSA</v>
      </c>
      <c r="C1146" s="127">
        <f>1000*_xlfn.XLOOKUP(A1146,'[1]2050Pop'!$A$7:$A$143,'[1]2050Pop'!$C$7:$C$143)</f>
        <v>29615</v>
      </c>
      <c r="D1146" s="126" t="s">
        <v>502</v>
      </c>
      <c r="E1146" s="128">
        <v>45.896999999999998</v>
      </c>
      <c r="F1146" s="129">
        <f t="shared" si="53"/>
        <v>1.3592396550000001</v>
      </c>
      <c r="G1146" t="str">
        <f>_xlfn.XLOOKUP(D1146,'[1]2050 BAU Mapping to T &amp; C'!$A$3:$A$52,'[1]2050 BAU Mapping to T &amp; C'!$B$3:$B$52)</f>
        <v>Legumes</v>
      </c>
      <c r="H1146" s="129">
        <f>_xlfn.XLOOKUP(G1146,'[1]T&amp;C emissions for 2050 analysis'!$B$3:$B$23,'[1]T&amp;C emissions for 2050 analysis'!$C$3:$C$23)</f>
        <v>7.3333333333333334E-2</v>
      </c>
      <c r="I1146" s="27">
        <f t="shared" si="51"/>
        <v>9.9677574700000007E-2</v>
      </c>
      <c r="J1146" s="129">
        <f t="shared" si="52"/>
        <v>3.36578</v>
      </c>
    </row>
    <row r="1147" spans="1:10" hidden="1" x14ac:dyDescent="0.35">
      <c r="A1147" s="126" t="s">
        <v>357</v>
      </c>
      <c r="B1147" t="str">
        <f>_xlfn.XLOOKUP(A1147,'[1]2050Pop'!$A$7:$A$143,'[1]2050Pop'!$D$7:$D$143)</f>
        <v>Euro/AU/NZ</v>
      </c>
      <c r="C1147" s="127">
        <f>1000*_xlfn.XLOOKUP(A1147,'[1]2050Pop'!$A$7:$A$143,'[1]2050Pop'!$C$7:$C$143)</f>
        <v>2710</v>
      </c>
      <c r="D1147" s="126" t="s">
        <v>503</v>
      </c>
      <c r="E1147" s="128">
        <v>7.7240000000000002</v>
      </c>
      <c r="F1147" s="129">
        <f t="shared" si="53"/>
        <v>2.0932040000000002E-2</v>
      </c>
      <c r="G1147" t="str">
        <f>_xlfn.XLOOKUP(D1147,'[1]2050 BAU Mapping to T &amp; C'!$A$3:$A$52,'[1]2050 BAU Mapping to T &amp; C'!$B$3:$B$52)</f>
        <v>Fish</v>
      </c>
      <c r="H1147" s="129">
        <f>_xlfn.XLOOKUP(G1147,'[1]T&amp;C emissions for 2050 analysis'!$B$3:$B$23,'[1]T&amp;C emissions for 2050 analysis'!$C$3:$C$23)</f>
        <v>9.5333333333333332</v>
      </c>
      <c r="I1147" s="27">
        <f t="shared" si="51"/>
        <v>0.1995521146666667</v>
      </c>
      <c r="J1147" s="129">
        <f t="shared" si="52"/>
        <v>73.635466666666673</v>
      </c>
    </row>
    <row r="1148" spans="1:10" hidden="1" x14ac:dyDescent="0.35">
      <c r="A1148" s="126" t="s">
        <v>358</v>
      </c>
      <c r="B1148" t="str">
        <f>_xlfn.XLOOKUP(A1148,'[1]2050Pop'!$A$7:$A$143,'[1]2050Pop'!$D$7:$D$143)</f>
        <v>MENA</v>
      </c>
      <c r="C1148" s="127">
        <f>1000*_xlfn.XLOOKUP(A1148,'[1]2050Pop'!$A$7:$A$143,'[1]2050Pop'!$C$7:$C$143)</f>
        <v>56461</v>
      </c>
      <c r="D1148" s="126" t="s">
        <v>503</v>
      </c>
      <c r="E1148" s="128">
        <v>6.1580000000000004</v>
      </c>
      <c r="F1148" s="129">
        <f t="shared" si="53"/>
        <v>0.34768683800000005</v>
      </c>
      <c r="G1148" t="str">
        <f>_xlfn.XLOOKUP(D1148,'[1]2050 BAU Mapping to T &amp; C'!$A$3:$A$52,'[1]2050 BAU Mapping to T &amp; C'!$B$3:$B$52)</f>
        <v>Fish</v>
      </c>
      <c r="H1148" s="129">
        <f>_xlfn.XLOOKUP(G1148,'[1]T&amp;C emissions for 2050 analysis'!$B$3:$B$23,'[1]T&amp;C emissions for 2050 analysis'!$C$3:$C$23)</f>
        <v>9.5333333333333332</v>
      </c>
      <c r="I1148" s="27">
        <f t="shared" si="51"/>
        <v>3.314614522266667</v>
      </c>
      <c r="J1148" s="129">
        <f t="shared" si="52"/>
        <v>58.706266666666671</v>
      </c>
    </row>
    <row r="1149" spans="1:10" hidden="1" x14ac:dyDescent="0.35">
      <c r="A1149" s="126" t="s">
        <v>359</v>
      </c>
      <c r="B1149" t="str">
        <f>_xlfn.XLOOKUP(A1149,'[1]2050Pop'!$A$7:$A$143,'[1]2050Pop'!$D$7:$D$143)</f>
        <v>SSA</v>
      </c>
      <c r="C1149" s="127">
        <f>1000*_xlfn.XLOOKUP(A1149,'[1]2050Pop'!$A$7:$A$143,'[1]2050Pop'!$C$7:$C$143)</f>
        <v>65473</v>
      </c>
      <c r="D1149" s="126" t="s">
        <v>503</v>
      </c>
      <c r="E1149" s="128">
        <v>15.478</v>
      </c>
      <c r="F1149" s="129">
        <f t="shared" si="53"/>
        <v>1.0133910939999999</v>
      </c>
      <c r="G1149" t="str">
        <f>_xlfn.XLOOKUP(D1149,'[1]2050 BAU Mapping to T &amp; C'!$A$3:$A$52,'[1]2050 BAU Mapping to T &amp; C'!$B$3:$B$52)</f>
        <v>Fish</v>
      </c>
      <c r="H1149" s="129">
        <f>_xlfn.XLOOKUP(G1149,'[1]T&amp;C emissions for 2050 analysis'!$B$3:$B$23,'[1]T&amp;C emissions for 2050 analysis'!$C$3:$C$23)</f>
        <v>9.5333333333333332</v>
      </c>
      <c r="I1149" s="27">
        <f t="shared" si="51"/>
        <v>9.6609950961333322</v>
      </c>
      <c r="J1149" s="129">
        <f t="shared" si="52"/>
        <v>147.55693333333332</v>
      </c>
    </row>
    <row r="1150" spans="1:10" hidden="1" x14ac:dyDescent="0.35">
      <c r="A1150" s="126" t="s">
        <v>360</v>
      </c>
      <c r="B1150" t="str">
        <f>_xlfn.XLOOKUP(A1150,'[1]2050Pop'!$A$7:$A$143,'[1]2050Pop'!$D$7:$D$143)</f>
        <v>LatAm &amp; RSA</v>
      </c>
      <c r="C1150" s="127">
        <f>1000*_xlfn.XLOOKUP(A1150,'[1]2050Pop'!$A$7:$A$143,'[1]2050Pop'!$C$7:$C$143)</f>
        <v>55445</v>
      </c>
      <c r="D1150" s="126" t="s">
        <v>503</v>
      </c>
      <c r="E1150" s="128">
        <v>8.3670000000000009</v>
      </c>
      <c r="F1150" s="129">
        <f t="shared" si="53"/>
        <v>0.46390831500000007</v>
      </c>
      <c r="G1150" t="str">
        <f>_xlfn.XLOOKUP(D1150,'[1]2050 BAU Mapping to T &amp; C'!$A$3:$A$52,'[1]2050 BAU Mapping to T &amp; C'!$B$3:$B$52)</f>
        <v>Fish</v>
      </c>
      <c r="H1150" s="129">
        <f>_xlfn.XLOOKUP(G1150,'[1]T&amp;C emissions for 2050 analysis'!$B$3:$B$23,'[1]T&amp;C emissions for 2050 analysis'!$C$3:$C$23)</f>
        <v>9.5333333333333332</v>
      </c>
      <c r="I1150" s="27">
        <f t="shared" si="51"/>
        <v>4.4225926030000009</v>
      </c>
      <c r="J1150" s="129">
        <f t="shared" si="52"/>
        <v>79.765400000000014</v>
      </c>
    </row>
    <row r="1151" spans="1:10" hidden="1" x14ac:dyDescent="0.35">
      <c r="A1151" s="126" t="s">
        <v>361</v>
      </c>
      <c r="B1151" t="str">
        <f>_xlfn.XLOOKUP(A1151,'[1]2050Pop'!$A$7:$A$143,'[1]2050Pop'!$D$7:$D$143)</f>
        <v>MENA</v>
      </c>
      <c r="C1151" s="127">
        <f>1000*_xlfn.XLOOKUP(A1151,'[1]2050Pop'!$A$7:$A$143,'[1]2050Pop'!$C$7:$C$143)</f>
        <v>2729</v>
      </c>
      <c r="D1151" s="126" t="s">
        <v>503</v>
      </c>
      <c r="E1151" s="128">
        <v>6.2850000000000001</v>
      </c>
      <c r="F1151" s="129">
        <f t="shared" si="53"/>
        <v>1.7151764999999999E-2</v>
      </c>
      <c r="G1151" t="str">
        <f>_xlfn.XLOOKUP(D1151,'[1]2050 BAU Mapping to T &amp; C'!$A$3:$A$52,'[1]2050 BAU Mapping to T &amp; C'!$B$3:$B$52)</f>
        <v>Fish</v>
      </c>
      <c r="H1151" s="129">
        <f>_xlfn.XLOOKUP(G1151,'[1]T&amp;C emissions for 2050 analysis'!$B$3:$B$23,'[1]T&amp;C emissions for 2050 analysis'!$C$3:$C$23)</f>
        <v>9.5333333333333332</v>
      </c>
      <c r="I1151" s="27">
        <f t="shared" si="51"/>
        <v>0.16351349299999998</v>
      </c>
      <c r="J1151" s="129">
        <f t="shared" si="52"/>
        <v>59.917000000000002</v>
      </c>
    </row>
    <row r="1152" spans="1:10" hidden="1" x14ac:dyDescent="0.35">
      <c r="A1152" s="126" t="s">
        <v>362</v>
      </c>
      <c r="B1152" t="str">
        <f>_xlfn.XLOOKUP(A1152,'[1]2050Pop'!$A$7:$A$143,'[1]2050Pop'!$D$7:$D$143)</f>
        <v>Euro/AU/NZ</v>
      </c>
      <c r="C1152" s="127">
        <f>1000*_xlfn.XLOOKUP(A1152,'[1]2050Pop'!$A$7:$A$143,'[1]2050Pop'!$C$7:$C$143)</f>
        <v>33496</v>
      </c>
      <c r="D1152" s="126" t="s">
        <v>503</v>
      </c>
      <c r="E1152" s="128">
        <v>31.786999999999999</v>
      </c>
      <c r="F1152" s="129">
        <f t="shared" si="53"/>
        <v>1.0647373519999999</v>
      </c>
      <c r="G1152" t="str">
        <f>_xlfn.XLOOKUP(D1152,'[1]2050 BAU Mapping to T &amp; C'!$A$3:$A$52,'[1]2050 BAU Mapping to T &amp; C'!$B$3:$B$52)</f>
        <v>Fish</v>
      </c>
      <c r="H1152" s="129">
        <f>_xlfn.XLOOKUP(G1152,'[1]T&amp;C emissions for 2050 analysis'!$B$3:$B$23,'[1]T&amp;C emissions for 2050 analysis'!$C$3:$C$23)</f>
        <v>9.5333333333333332</v>
      </c>
      <c r="I1152" s="27">
        <f t="shared" si="51"/>
        <v>10.150496089066666</v>
      </c>
      <c r="J1152" s="129">
        <f t="shared" si="52"/>
        <v>303.03606666666667</v>
      </c>
    </row>
    <row r="1153" spans="1:10" hidden="1" x14ac:dyDescent="0.35">
      <c r="A1153" s="126" t="s">
        <v>363</v>
      </c>
      <c r="B1153" t="str">
        <f>_xlfn.XLOOKUP(A1153,'[1]2050Pop'!$A$7:$A$143,'[1]2050Pop'!$D$7:$D$143)</f>
        <v>Euro/AU/NZ</v>
      </c>
      <c r="C1153" s="127">
        <f>1000*_xlfn.XLOOKUP(A1153,'[1]2050Pop'!$A$7:$A$143,'[1]2050Pop'!$C$7:$C$143)</f>
        <v>8846</v>
      </c>
      <c r="D1153" s="126" t="s">
        <v>503</v>
      </c>
      <c r="E1153" s="128">
        <v>22.664000000000001</v>
      </c>
      <c r="F1153" s="129">
        <f t="shared" si="53"/>
        <v>0.20048574399999999</v>
      </c>
      <c r="G1153" t="str">
        <f>_xlfn.XLOOKUP(D1153,'[1]2050 BAU Mapping to T &amp; C'!$A$3:$A$52,'[1]2050 BAU Mapping to T &amp; C'!$B$3:$B$52)</f>
        <v>Fish</v>
      </c>
      <c r="H1153" s="129">
        <f>_xlfn.XLOOKUP(G1153,'[1]T&amp;C emissions for 2050 analysis'!$B$3:$B$23,'[1]T&amp;C emissions for 2050 analysis'!$C$3:$C$23)</f>
        <v>9.5333333333333332</v>
      </c>
      <c r="I1153" s="27">
        <f t="shared" si="51"/>
        <v>1.9112974261333333</v>
      </c>
      <c r="J1153" s="129">
        <f t="shared" si="52"/>
        <v>216.06346666666667</v>
      </c>
    </row>
    <row r="1154" spans="1:10" hidden="1" x14ac:dyDescent="0.35">
      <c r="A1154" s="126" t="s">
        <v>364</v>
      </c>
      <c r="B1154" t="str">
        <f>_xlfn.XLOOKUP(A1154,'[1]2050Pop'!$A$7:$A$143,'[1]2050Pop'!$D$7:$D$143)</f>
        <v>MENA</v>
      </c>
      <c r="C1154" s="127">
        <f>1000*_xlfn.XLOOKUP(A1154,'[1]2050Pop'!$A$7:$A$143,'[1]2050Pop'!$C$7:$C$143)</f>
        <v>10963</v>
      </c>
      <c r="D1154" s="126" t="s">
        <v>503</v>
      </c>
      <c r="E1154" s="128">
        <v>2.839</v>
      </c>
      <c r="F1154" s="129">
        <f t="shared" si="53"/>
        <v>3.1123956999999997E-2</v>
      </c>
      <c r="G1154" t="str">
        <f>_xlfn.XLOOKUP(D1154,'[1]2050 BAU Mapping to T &amp; C'!$A$3:$A$52,'[1]2050 BAU Mapping to T &amp; C'!$B$3:$B$52)</f>
        <v>Fish</v>
      </c>
      <c r="H1154" s="129">
        <f>_xlfn.XLOOKUP(G1154,'[1]T&amp;C emissions for 2050 analysis'!$B$3:$B$23,'[1]T&amp;C emissions for 2050 analysis'!$C$3:$C$23)</f>
        <v>9.5333333333333332</v>
      </c>
      <c r="I1154" s="27">
        <f t="shared" si="51"/>
        <v>0.29671505673333332</v>
      </c>
      <c r="J1154" s="129">
        <f t="shared" si="52"/>
        <v>27.065133333333332</v>
      </c>
    </row>
    <row r="1155" spans="1:10" hidden="1" x14ac:dyDescent="0.35">
      <c r="A1155" s="126" t="s">
        <v>365</v>
      </c>
      <c r="B1155" t="str">
        <f>_xlfn.XLOOKUP(A1155,'[1]2050Pop'!$A$7:$A$143,'[1]2050Pop'!$D$7:$D$143)</f>
        <v>India/South Asia</v>
      </c>
      <c r="C1155" s="127">
        <f>1000*_xlfn.XLOOKUP(A1155,'[1]2050Pop'!$A$7:$A$143,'[1]2050Pop'!$C$7:$C$143)</f>
        <v>202209</v>
      </c>
      <c r="D1155" s="126" t="s">
        <v>503</v>
      </c>
      <c r="E1155" s="128">
        <v>35.999000000000002</v>
      </c>
      <c r="F1155" s="129">
        <f t="shared" si="53"/>
        <v>7.2793217910000001</v>
      </c>
      <c r="G1155" t="str">
        <f>_xlfn.XLOOKUP(D1155,'[1]2050 BAU Mapping to T &amp; C'!$A$3:$A$52,'[1]2050 BAU Mapping to T &amp; C'!$B$3:$B$52)</f>
        <v>Fish</v>
      </c>
      <c r="H1155" s="129">
        <f>_xlfn.XLOOKUP(G1155,'[1]T&amp;C emissions for 2050 analysis'!$B$3:$B$23,'[1]T&amp;C emissions for 2050 analysis'!$C$3:$C$23)</f>
        <v>9.5333333333333332</v>
      </c>
      <c r="I1155" s="27">
        <f t="shared" si="51"/>
        <v>69.396201074199993</v>
      </c>
      <c r="J1155" s="129">
        <f t="shared" si="52"/>
        <v>343.19046666666668</v>
      </c>
    </row>
    <row r="1156" spans="1:10" hidden="1" x14ac:dyDescent="0.35">
      <c r="A1156" s="126" t="s">
        <v>366</v>
      </c>
      <c r="B1156" t="str">
        <f>_xlfn.XLOOKUP(A1156,'[1]2050Pop'!$A$7:$A$143,'[1]2050Pop'!$D$7:$D$143)</f>
        <v>Euro/AU/NZ</v>
      </c>
      <c r="C1156" s="127">
        <f>1000*_xlfn.XLOOKUP(A1156,'[1]2050Pop'!$A$7:$A$143,'[1]2050Pop'!$C$7:$C$143)</f>
        <v>8125</v>
      </c>
      <c r="D1156" s="126" t="s">
        <v>503</v>
      </c>
      <c r="E1156" s="128">
        <v>23.978999999999999</v>
      </c>
      <c r="F1156" s="129">
        <f t="shared" si="53"/>
        <v>0.194829375</v>
      </c>
      <c r="G1156" t="str">
        <f>_xlfn.XLOOKUP(D1156,'[1]2050 BAU Mapping to T &amp; C'!$A$3:$A$52,'[1]2050 BAU Mapping to T &amp; C'!$B$3:$B$52)</f>
        <v>Fish</v>
      </c>
      <c r="H1156" s="129">
        <f>_xlfn.XLOOKUP(G1156,'[1]T&amp;C emissions for 2050 analysis'!$B$3:$B$23,'[1]T&amp;C emissions for 2050 analysis'!$C$3:$C$23)</f>
        <v>9.5333333333333332</v>
      </c>
      <c r="I1156" s="27">
        <f t="shared" ref="I1156:I1219" si="54">F1156*H1156</f>
        <v>1.8573733749999999</v>
      </c>
      <c r="J1156" s="129">
        <f t="shared" ref="J1156:J1219" si="55">E1156*H1156</f>
        <v>228.59979999999999</v>
      </c>
    </row>
    <row r="1157" spans="1:10" hidden="1" x14ac:dyDescent="0.35">
      <c r="A1157" s="126" t="s">
        <v>367</v>
      </c>
      <c r="B1157" t="str">
        <f>_xlfn.XLOOKUP(A1157,'[1]2050Pop'!$A$7:$A$143,'[1]2050Pop'!$D$7:$D$143)</f>
        <v>Euro/AU/NZ</v>
      </c>
      <c r="C1157" s="127">
        <f>1000*_xlfn.XLOOKUP(A1157,'[1]2050Pop'!$A$7:$A$143,'[1]2050Pop'!$C$7:$C$143)</f>
        <v>12527</v>
      </c>
      <c r="D1157" s="126" t="s">
        <v>503</v>
      </c>
      <c r="E1157" s="128">
        <v>37.063000000000002</v>
      </c>
      <c r="F1157" s="129">
        <f t="shared" ref="F1157:F1220" si="56">C1157*E1157/1000000</f>
        <v>0.46428820100000001</v>
      </c>
      <c r="G1157" t="str">
        <f>_xlfn.XLOOKUP(D1157,'[1]2050 BAU Mapping to T &amp; C'!$A$3:$A$52,'[1]2050 BAU Mapping to T &amp; C'!$B$3:$B$52)</f>
        <v>Fish</v>
      </c>
      <c r="H1157" s="129">
        <f>_xlfn.XLOOKUP(G1157,'[1]T&amp;C emissions for 2050 analysis'!$B$3:$B$23,'[1]T&amp;C emissions for 2050 analysis'!$C$3:$C$23)</f>
        <v>9.5333333333333332</v>
      </c>
      <c r="I1157" s="27">
        <f t="shared" si="54"/>
        <v>4.4262141828666666</v>
      </c>
      <c r="J1157" s="129">
        <f t="shared" si="55"/>
        <v>353.33393333333333</v>
      </c>
    </row>
    <row r="1158" spans="1:10" hidden="1" x14ac:dyDescent="0.35">
      <c r="A1158" s="126" t="s">
        <v>368</v>
      </c>
      <c r="B1158" t="str">
        <f>_xlfn.XLOOKUP(A1158,'[1]2050Pop'!$A$7:$A$143,'[1]2050Pop'!$D$7:$D$143)</f>
        <v>SSA</v>
      </c>
      <c r="C1158" s="127">
        <f>1000*_xlfn.XLOOKUP(A1158,'[1]2050Pop'!$A$7:$A$143,'[1]2050Pop'!$C$7:$C$143)</f>
        <v>22549</v>
      </c>
      <c r="D1158" s="126" t="s">
        <v>503</v>
      </c>
      <c r="E1158" s="130">
        <v>25.07</v>
      </c>
      <c r="F1158" s="129">
        <f t="shared" si="56"/>
        <v>0.56530343000000005</v>
      </c>
      <c r="G1158" t="str">
        <f>_xlfn.XLOOKUP(D1158,'[1]2050 BAU Mapping to T &amp; C'!$A$3:$A$52,'[1]2050 BAU Mapping to T &amp; C'!$B$3:$B$52)</f>
        <v>Fish</v>
      </c>
      <c r="H1158" s="129">
        <f>_xlfn.XLOOKUP(G1158,'[1]T&amp;C emissions for 2050 analysis'!$B$3:$B$23,'[1]T&amp;C emissions for 2050 analysis'!$C$3:$C$23)</f>
        <v>9.5333333333333332</v>
      </c>
      <c r="I1158" s="27">
        <f t="shared" si="54"/>
        <v>5.3892260326666674</v>
      </c>
      <c r="J1158" s="129">
        <f t="shared" si="55"/>
        <v>239.00066666666666</v>
      </c>
    </row>
    <row r="1159" spans="1:10" hidden="1" x14ac:dyDescent="0.35">
      <c r="A1159" s="126" t="s">
        <v>369</v>
      </c>
      <c r="B1159" t="str">
        <f>_xlfn.XLOOKUP(A1159,'[1]2050Pop'!$A$7:$A$143,'[1]2050Pop'!$D$7:$D$143)</f>
        <v>LatAm &amp; RSA</v>
      </c>
      <c r="C1159" s="127">
        <f>1000*_xlfn.XLOOKUP(A1159,'[1]2050Pop'!$A$7:$A$143,'[1]2050Pop'!$C$7:$C$143)</f>
        <v>15963</v>
      </c>
      <c r="D1159" s="126" t="s">
        <v>503</v>
      </c>
      <c r="E1159" s="128">
        <v>4.0679999999999996</v>
      </c>
      <c r="F1159" s="129">
        <f t="shared" si="56"/>
        <v>6.4937484000000004E-2</v>
      </c>
      <c r="G1159" t="str">
        <f>_xlfn.XLOOKUP(D1159,'[1]2050 BAU Mapping to T &amp; C'!$A$3:$A$52,'[1]2050 BAU Mapping to T &amp; C'!$B$3:$B$52)</f>
        <v>Fish</v>
      </c>
      <c r="H1159" s="129">
        <f>_xlfn.XLOOKUP(G1159,'[1]T&amp;C emissions for 2050 analysis'!$B$3:$B$23,'[1]T&amp;C emissions for 2050 analysis'!$C$3:$C$23)</f>
        <v>9.5333333333333332</v>
      </c>
      <c r="I1159" s="27">
        <f t="shared" si="54"/>
        <v>0.61907068080000005</v>
      </c>
      <c r="J1159" s="129">
        <f t="shared" si="55"/>
        <v>38.781599999999997</v>
      </c>
    </row>
    <row r="1160" spans="1:10" hidden="1" x14ac:dyDescent="0.35">
      <c r="A1160" s="126" t="s">
        <v>370</v>
      </c>
      <c r="B1160" t="str">
        <f>_xlfn.XLOOKUP(A1160,'[1]2050Pop'!$A$7:$A$143,'[1]2050Pop'!$D$7:$D$143)</f>
        <v>Euro/AU/NZ</v>
      </c>
      <c r="C1160" s="127">
        <f>1000*_xlfn.XLOOKUP(A1160,'[1]2050Pop'!$A$7:$A$143,'[1]2050Pop'!$C$7:$C$143)</f>
        <v>3069</v>
      </c>
      <c r="D1160" s="126" t="s">
        <v>503</v>
      </c>
      <c r="E1160" s="128">
        <v>7.6849999999999996</v>
      </c>
      <c r="F1160" s="129">
        <f t="shared" si="56"/>
        <v>2.3585265000000001E-2</v>
      </c>
      <c r="G1160" t="str">
        <f>_xlfn.XLOOKUP(D1160,'[1]2050 BAU Mapping to T &amp; C'!$A$3:$A$52,'[1]2050 BAU Mapping to T &amp; C'!$B$3:$B$52)</f>
        <v>Fish</v>
      </c>
      <c r="H1160" s="129">
        <f>_xlfn.XLOOKUP(G1160,'[1]T&amp;C emissions for 2050 analysis'!$B$3:$B$23,'[1]T&amp;C emissions for 2050 analysis'!$C$3:$C$23)</f>
        <v>9.5333333333333332</v>
      </c>
      <c r="I1160" s="27">
        <f t="shared" si="54"/>
        <v>0.224846193</v>
      </c>
      <c r="J1160" s="129">
        <f t="shared" si="55"/>
        <v>73.263666666666666</v>
      </c>
    </row>
    <row r="1161" spans="1:10" hidden="1" x14ac:dyDescent="0.35">
      <c r="A1161" s="126" t="s">
        <v>371</v>
      </c>
      <c r="B1161" t="str">
        <f>_xlfn.XLOOKUP(A1161,'[1]2050Pop'!$A$7:$A$143,'[1]2050Pop'!$D$7:$D$143)</f>
        <v>SSA</v>
      </c>
      <c r="C1161" s="127">
        <f>1000*_xlfn.XLOOKUP(A1161,'[1]2050Pop'!$A$7:$A$143,'[1]2050Pop'!$C$7:$C$143)</f>
        <v>3389</v>
      </c>
      <c r="D1161" s="126" t="s">
        <v>503</v>
      </c>
      <c r="E1161" s="128">
        <v>7.3869999999999996</v>
      </c>
      <c r="F1161" s="129">
        <f t="shared" si="56"/>
        <v>2.5034542999999999E-2</v>
      </c>
      <c r="G1161" t="str">
        <f>_xlfn.XLOOKUP(D1161,'[1]2050 BAU Mapping to T &amp; C'!$A$3:$A$52,'[1]2050 BAU Mapping to T &amp; C'!$B$3:$B$52)</f>
        <v>Fish</v>
      </c>
      <c r="H1161" s="129">
        <f>_xlfn.XLOOKUP(G1161,'[1]T&amp;C emissions for 2050 analysis'!$B$3:$B$23,'[1]T&amp;C emissions for 2050 analysis'!$C$3:$C$23)</f>
        <v>9.5333333333333332</v>
      </c>
      <c r="I1161" s="27">
        <f t="shared" si="54"/>
        <v>0.23866264326666667</v>
      </c>
      <c r="J1161" s="129">
        <f t="shared" si="55"/>
        <v>70.422733333333326</v>
      </c>
    </row>
    <row r="1162" spans="1:10" hidden="1" x14ac:dyDescent="0.35">
      <c r="A1162" s="126" t="s">
        <v>372</v>
      </c>
      <c r="B1162" t="str">
        <f>_xlfn.XLOOKUP(A1162,'[1]2050Pop'!$A$7:$A$143,'[1]2050Pop'!$D$7:$D$143)</f>
        <v>LatAm &amp; RSA</v>
      </c>
      <c r="C1162" s="127">
        <f>1000*_xlfn.XLOOKUP(A1162,'[1]2050Pop'!$A$7:$A$143,'[1]2050Pop'!$C$7:$C$143)</f>
        <v>238270</v>
      </c>
      <c r="D1162" s="126" t="s">
        <v>503</v>
      </c>
      <c r="E1162" s="128">
        <v>13.029</v>
      </c>
      <c r="F1162" s="129">
        <f t="shared" si="56"/>
        <v>3.1044198299999999</v>
      </c>
      <c r="G1162" t="str">
        <f>_xlfn.XLOOKUP(D1162,'[1]2050 BAU Mapping to T &amp; C'!$A$3:$A$52,'[1]2050 BAU Mapping to T &amp; C'!$B$3:$B$52)</f>
        <v>Fish</v>
      </c>
      <c r="H1162" s="129">
        <f>_xlfn.XLOOKUP(G1162,'[1]T&amp;C emissions for 2050 analysis'!$B$3:$B$23,'[1]T&amp;C emissions for 2050 analysis'!$C$3:$C$23)</f>
        <v>9.5333333333333332</v>
      </c>
      <c r="I1162" s="27">
        <f t="shared" si="54"/>
        <v>29.595469045999998</v>
      </c>
      <c r="J1162" s="129">
        <f t="shared" si="55"/>
        <v>124.2098</v>
      </c>
    </row>
    <row r="1163" spans="1:10" hidden="1" x14ac:dyDescent="0.35">
      <c r="A1163" s="126" t="s">
        <v>373</v>
      </c>
      <c r="B1163" t="str">
        <f>_xlfn.XLOOKUP(A1163,'[1]2050Pop'!$A$7:$A$143,'[1]2050Pop'!$D$7:$D$143)</f>
        <v>Euro/AU/NZ</v>
      </c>
      <c r="C1163" s="127">
        <f>1000*_xlfn.XLOOKUP(A1163,'[1]2050Pop'!$A$7:$A$143,'[1]2050Pop'!$C$7:$C$143)</f>
        <v>5154</v>
      </c>
      <c r="D1163" s="126" t="s">
        <v>503</v>
      </c>
      <c r="E1163" s="128">
        <v>10.036</v>
      </c>
      <c r="F1163" s="129">
        <f t="shared" si="56"/>
        <v>5.1725543999999991E-2</v>
      </c>
      <c r="G1163" t="str">
        <f>_xlfn.XLOOKUP(D1163,'[1]2050 BAU Mapping to T &amp; C'!$A$3:$A$52,'[1]2050 BAU Mapping to T &amp; C'!$B$3:$B$52)</f>
        <v>Fish</v>
      </c>
      <c r="H1163" s="129">
        <f>_xlfn.XLOOKUP(G1163,'[1]T&amp;C emissions for 2050 analysis'!$B$3:$B$23,'[1]T&amp;C emissions for 2050 analysis'!$C$3:$C$23)</f>
        <v>9.5333333333333332</v>
      </c>
      <c r="I1163" s="27">
        <f t="shared" si="54"/>
        <v>0.49311685279999989</v>
      </c>
      <c r="J1163" s="129">
        <f t="shared" si="55"/>
        <v>95.676533333333325</v>
      </c>
    </row>
    <row r="1164" spans="1:10" hidden="1" x14ac:dyDescent="0.35">
      <c r="A1164" s="126" t="s">
        <v>487</v>
      </c>
      <c r="B1164" t="str">
        <f>_xlfn.XLOOKUP(A1164,'[1]2050Pop'!$A$7:$A$143,'[1]2050Pop'!$D$7:$D$143)</f>
        <v>SSA</v>
      </c>
      <c r="C1164" s="127">
        <f>1000*_xlfn.XLOOKUP(A1164,'[1]2050Pop'!$A$7:$A$143,'[1]2050Pop'!$C$7:$C$143)</f>
        <v>42789</v>
      </c>
      <c r="D1164" s="126" t="s">
        <v>503</v>
      </c>
      <c r="E1164" s="128">
        <v>17.052</v>
      </c>
      <c r="F1164" s="129">
        <f t="shared" si="56"/>
        <v>0.72963802799999988</v>
      </c>
      <c r="G1164" t="str">
        <f>_xlfn.XLOOKUP(D1164,'[1]2050 BAU Mapping to T &amp; C'!$A$3:$A$52,'[1]2050 BAU Mapping to T &amp; C'!$B$3:$B$52)</f>
        <v>Fish</v>
      </c>
      <c r="H1164" s="129">
        <f>_xlfn.XLOOKUP(G1164,'[1]T&amp;C emissions for 2050 analysis'!$B$3:$B$23,'[1]T&amp;C emissions for 2050 analysis'!$C$3:$C$23)</f>
        <v>9.5333333333333332</v>
      </c>
      <c r="I1164" s="27">
        <f t="shared" si="54"/>
        <v>6.9558825335999988</v>
      </c>
      <c r="J1164" s="129">
        <f t="shared" si="55"/>
        <v>162.5624</v>
      </c>
    </row>
    <row r="1165" spans="1:10" hidden="1" x14ac:dyDescent="0.35">
      <c r="A1165" s="126" t="s">
        <v>374</v>
      </c>
      <c r="B1165" t="str">
        <f>_xlfn.XLOOKUP(A1165,'[1]2050Pop'!$A$7:$A$143,'[1]2050Pop'!$D$7:$D$143)</f>
        <v>APAC</v>
      </c>
      <c r="C1165" s="127">
        <f>1000*_xlfn.XLOOKUP(A1165,'[1]2050Pop'!$A$7:$A$143,'[1]2050Pop'!$C$7:$C$143)</f>
        <v>22545</v>
      </c>
      <c r="D1165" s="126" t="s">
        <v>503</v>
      </c>
      <c r="E1165" s="128">
        <v>98.747</v>
      </c>
      <c r="F1165" s="129">
        <f t="shared" si="56"/>
        <v>2.2262511150000002</v>
      </c>
      <c r="G1165" t="str">
        <f>_xlfn.XLOOKUP(D1165,'[1]2050 BAU Mapping to T &amp; C'!$A$3:$A$52,'[1]2050 BAU Mapping to T &amp; C'!$B$3:$B$52)</f>
        <v>Fish</v>
      </c>
      <c r="H1165" s="129">
        <f>_xlfn.XLOOKUP(G1165,'[1]T&amp;C emissions for 2050 analysis'!$B$3:$B$23,'[1]T&amp;C emissions for 2050 analysis'!$C$3:$C$23)</f>
        <v>9.5333333333333332</v>
      </c>
      <c r="I1165" s="27">
        <f t="shared" si="54"/>
        <v>21.223593963000003</v>
      </c>
      <c r="J1165" s="129">
        <f t="shared" si="55"/>
        <v>941.38806666666665</v>
      </c>
    </row>
    <row r="1166" spans="1:10" hidden="1" x14ac:dyDescent="0.35">
      <c r="A1166" s="126" t="s">
        <v>375</v>
      </c>
      <c r="B1166" t="str">
        <f>_xlfn.XLOOKUP(A1166,'[1]2050Pop'!$A$7:$A$143,'[1]2050Pop'!$D$7:$D$143)</f>
        <v>SSA</v>
      </c>
      <c r="C1166" s="127">
        <f>1000*_xlfn.XLOOKUP(A1166,'[1]2050Pop'!$A$7:$A$143,'[1]2050Pop'!$C$7:$C$143)</f>
        <v>48362</v>
      </c>
      <c r="D1166" s="126" t="s">
        <v>503</v>
      </c>
      <c r="E1166" s="128">
        <v>38.008000000000003</v>
      </c>
      <c r="F1166" s="129">
        <f t="shared" si="56"/>
        <v>1.8381428960000001</v>
      </c>
      <c r="G1166" t="str">
        <f>_xlfn.XLOOKUP(D1166,'[1]2050 BAU Mapping to T &amp; C'!$A$3:$A$52,'[1]2050 BAU Mapping to T &amp; C'!$B$3:$B$52)</f>
        <v>Fish</v>
      </c>
      <c r="H1166" s="129">
        <f>_xlfn.XLOOKUP(G1166,'[1]T&amp;C emissions for 2050 analysis'!$B$3:$B$23,'[1]T&amp;C emissions for 2050 analysis'!$C$3:$C$23)</f>
        <v>9.5333333333333332</v>
      </c>
      <c r="I1166" s="27">
        <f t="shared" si="54"/>
        <v>17.523628941866669</v>
      </c>
      <c r="J1166" s="129">
        <f t="shared" si="55"/>
        <v>362.34293333333335</v>
      </c>
    </row>
    <row r="1167" spans="1:10" hidden="1" x14ac:dyDescent="0.35">
      <c r="A1167" s="126" t="s">
        <v>376</v>
      </c>
      <c r="B1167" t="str">
        <f>_xlfn.XLOOKUP(A1167,'[1]2050Pop'!$A$7:$A$143,'[1]2050Pop'!$D$7:$D$143)</f>
        <v>NAm</v>
      </c>
      <c r="C1167" s="127">
        <f>1000*_xlfn.XLOOKUP(A1167,'[1]2050Pop'!$A$7:$A$143,'[1]2050Pop'!$C$7:$C$143)</f>
        <v>44136</v>
      </c>
      <c r="D1167" s="126" t="s">
        <v>503</v>
      </c>
      <c r="E1167" s="128">
        <v>26.895</v>
      </c>
      <c r="F1167" s="129">
        <f t="shared" si="56"/>
        <v>1.18703772</v>
      </c>
      <c r="G1167" t="str">
        <f>_xlfn.XLOOKUP(D1167,'[1]2050 BAU Mapping to T &amp; C'!$A$3:$A$52,'[1]2050 BAU Mapping to T &amp; C'!$B$3:$B$52)</f>
        <v>Fish</v>
      </c>
      <c r="H1167" s="129">
        <f>_xlfn.XLOOKUP(G1167,'[1]T&amp;C emissions for 2050 analysis'!$B$3:$B$23,'[1]T&amp;C emissions for 2050 analysis'!$C$3:$C$23)</f>
        <v>9.5333333333333332</v>
      </c>
      <c r="I1167" s="27">
        <f t="shared" si="54"/>
        <v>11.316426263999999</v>
      </c>
      <c r="J1167" s="129">
        <f t="shared" si="55"/>
        <v>256.399</v>
      </c>
    </row>
    <row r="1168" spans="1:10" hidden="1" x14ac:dyDescent="0.35">
      <c r="A1168" s="126" t="s">
        <v>377</v>
      </c>
      <c r="B1168" t="str">
        <f>_xlfn.XLOOKUP(A1168,'[1]2050Pop'!$A$7:$A$143,'[1]2050Pop'!$D$7:$D$143)</f>
        <v>SSA</v>
      </c>
      <c r="C1168" s="127">
        <f>1000*_xlfn.XLOOKUP(A1168,'[1]2050Pop'!$A$7:$A$143,'[1]2050Pop'!$C$7:$C$143)</f>
        <v>8782</v>
      </c>
      <c r="D1168" s="126" t="s">
        <v>503</v>
      </c>
      <c r="E1168" s="128">
        <v>17.992000000000001</v>
      </c>
      <c r="F1168" s="129">
        <f t="shared" si="56"/>
        <v>0.158005744</v>
      </c>
      <c r="G1168" t="str">
        <f>_xlfn.XLOOKUP(D1168,'[1]2050 BAU Mapping to T &amp; C'!$A$3:$A$52,'[1]2050 BAU Mapping to T &amp; C'!$B$3:$B$52)</f>
        <v>Fish</v>
      </c>
      <c r="H1168" s="129">
        <f>_xlfn.XLOOKUP(G1168,'[1]T&amp;C emissions for 2050 analysis'!$B$3:$B$23,'[1]T&amp;C emissions for 2050 analysis'!$C$3:$C$23)</f>
        <v>9.5333333333333332</v>
      </c>
      <c r="I1168" s="27">
        <f t="shared" si="54"/>
        <v>1.5063214261333333</v>
      </c>
      <c r="J1168" s="129">
        <f t="shared" si="55"/>
        <v>171.52373333333333</v>
      </c>
    </row>
    <row r="1169" spans="1:10" hidden="1" x14ac:dyDescent="0.35">
      <c r="A1169" s="126" t="s">
        <v>488</v>
      </c>
      <c r="B1169" t="str">
        <f>_xlfn.XLOOKUP(A1169,'[1]2050Pop'!$A$7:$A$143,'[1]2050Pop'!$D$7:$D$143)</f>
        <v>SSA</v>
      </c>
      <c r="C1169" s="127">
        <f>1000*_xlfn.XLOOKUP(A1169,'[1]2050Pop'!$A$7:$A$143,'[1]2050Pop'!$C$7:$C$143)</f>
        <v>35131</v>
      </c>
      <c r="D1169" s="126" t="s">
        <v>503</v>
      </c>
      <c r="E1169" s="128">
        <v>14.352</v>
      </c>
      <c r="F1169" s="129">
        <f t="shared" si="56"/>
        <v>0.50420011200000003</v>
      </c>
      <c r="G1169" t="str">
        <f>_xlfn.XLOOKUP(D1169,'[1]2050 BAU Mapping to T &amp; C'!$A$3:$A$52,'[1]2050 BAU Mapping to T &amp; C'!$B$3:$B$52)</f>
        <v>Fish</v>
      </c>
      <c r="H1169" s="129">
        <f>_xlfn.XLOOKUP(G1169,'[1]T&amp;C emissions for 2050 analysis'!$B$3:$B$23,'[1]T&amp;C emissions for 2050 analysis'!$C$3:$C$23)</f>
        <v>9.5333333333333332</v>
      </c>
      <c r="I1169" s="27">
        <f t="shared" si="54"/>
        <v>4.8067077344000007</v>
      </c>
      <c r="J1169" s="129">
        <f t="shared" si="55"/>
        <v>136.82239999999999</v>
      </c>
    </row>
    <row r="1170" spans="1:10" hidden="1" x14ac:dyDescent="0.35">
      <c r="A1170" s="126" t="s">
        <v>378</v>
      </c>
      <c r="B1170" t="str">
        <f>_xlfn.XLOOKUP(A1170,'[1]2050Pop'!$A$7:$A$143,'[1]2050Pop'!$D$7:$D$143)</f>
        <v>LatAm &amp; RSA</v>
      </c>
      <c r="C1170" s="127">
        <f>1000*_xlfn.XLOOKUP(A1170,'[1]2050Pop'!$A$7:$A$143,'[1]2050Pop'!$C$7:$C$143)</f>
        <v>21601</v>
      </c>
      <c r="D1170" s="126" t="s">
        <v>503</v>
      </c>
      <c r="E1170" s="128">
        <v>17.954999999999998</v>
      </c>
      <c r="F1170" s="129">
        <f t="shared" si="56"/>
        <v>0.38784595499999996</v>
      </c>
      <c r="G1170" t="str">
        <f>_xlfn.XLOOKUP(D1170,'[1]2050 BAU Mapping to T &amp; C'!$A$3:$A$52,'[1]2050 BAU Mapping to T &amp; C'!$B$3:$B$52)</f>
        <v>Fish</v>
      </c>
      <c r="H1170" s="129">
        <f>_xlfn.XLOOKUP(G1170,'[1]T&amp;C emissions for 2050 analysis'!$B$3:$B$23,'[1]T&amp;C emissions for 2050 analysis'!$C$3:$C$23)</f>
        <v>9.5333333333333332</v>
      </c>
      <c r="I1170" s="27">
        <f t="shared" si="54"/>
        <v>3.6974647709999995</v>
      </c>
      <c r="J1170" s="129">
        <f t="shared" si="55"/>
        <v>171.17099999999999</v>
      </c>
    </row>
    <row r="1171" spans="1:10" hidden="1" x14ac:dyDescent="0.35">
      <c r="A1171" s="126" t="s">
        <v>379</v>
      </c>
      <c r="B1171" t="str">
        <f>_xlfn.XLOOKUP(A1171,'[1]2050Pop'!$A$7:$A$143,'[1]2050Pop'!$D$7:$D$143)</f>
        <v>Greater China</v>
      </c>
      <c r="C1171" s="127">
        <f>1000*_xlfn.XLOOKUP(A1171,'[1]2050Pop'!$A$7:$A$143,'[1]2050Pop'!$C$7:$C$143)</f>
        <v>8148</v>
      </c>
      <c r="D1171" s="126" t="s">
        <v>503</v>
      </c>
      <c r="E1171" s="128">
        <v>90.635999999999996</v>
      </c>
      <c r="F1171" s="129">
        <f t="shared" si="56"/>
        <v>0.73850212799999992</v>
      </c>
      <c r="G1171" t="str">
        <f>_xlfn.XLOOKUP(D1171,'[1]2050 BAU Mapping to T &amp; C'!$A$3:$A$52,'[1]2050 BAU Mapping to T &amp; C'!$B$3:$B$52)</f>
        <v>Fish</v>
      </c>
      <c r="H1171" s="129">
        <f>_xlfn.XLOOKUP(G1171,'[1]T&amp;C emissions for 2050 analysis'!$B$3:$B$23,'[1]T&amp;C emissions for 2050 analysis'!$C$3:$C$23)</f>
        <v>9.5333333333333332</v>
      </c>
      <c r="I1171" s="27">
        <f t="shared" si="54"/>
        <v>7.0403869535999988</v>
      </c>
      <c r="J1171" s="129">
        <f t="shared" si="55"/>
        <v>864.06319999999994</v>
      </c>
    </row>
    <row r="1172" spans="1:10" hidden="1" x14ac:dyDescent="0.35">
      <c r="A1172" s="126" t="s">
        <v>380</v>
      </c>
      <c r="B1172" t="str">
        <f>_xlfn.XLOOKUP(A1172,'[1]2050Pop'!$A$7:$A$143,'[1]2050Pop'!$D$7:$D$143)</f>
        <v>Greater China</v>
      </c>
      <c r="C1172" s="127">
        <f>1000*_xlfn.XLOOKUP(A1172,'[1]2050Pop'!$A$7:$A$143,'[1]2050Pop'!$C$7:$C$143)</f>
        <v>1348056</v>
      </c>
      <c r="D1172" s="126" t="s">
        <v>503</v>
      </c>
      <c r="E1172" s="130">
        <v>56.22</v>
      </c>
      <c r="F1172" s="129">
        <f t="shared" si="56"/>
        <v>75.787708319999993</v>
      </c>
      <c r="G1172" t="str">
        <f>_xlfn.XLOOKUP(D1172,'[1]2050 BAU Mapping to T &amp; C'!$A$3:$A$52,'[1]2050 BAU Mapping to T &amp; C'!$B$3:$B$52)</f>
        <v>Fish</v>
      </c>
      <c r="H1172" s="129">
        <f>_xlfn.XLOOKUP(G1172,'[1]T&amp;C emissions for 2050 analysis'!$B$3:$B$23,'[1]T&amp;C emissions for 2050 analysis'!$C$3:$C$23)</f>
        <v>9.5333333333333332</v>
      </c>
      <c r="I1172" s="27">
        <f t="shared" si="54"/>
        <v>722.50948598399998</v>
      </c>
      <c r="J1172" s="129">
        <f t="shared" si="55"/>
        <v>535.96399999999994</v>
      </c>
    </row>
    <row r="1173" spans="1:10" hidden="1" x14ac:dyDescent="0.35">
      <c r="A1173" s="126" t="s">
        <v>381</v>
      </c>
      <c r="B1173" t="str">
        <f>_xlfn.XLOOKUP(A1173,'[1]2050Pop'!$A$7:$A$143,'[1]2050Pop'!$D$7:$D$143)</f>
        <v>Greater China</v>
      </c>
      <c r="C1173" s="127">
        <f>1000*_xlfn.XLOOKUP(A1173,'[1]2050Pop'!$A$7:$A$143,'[1]2050Pop'!$C$7:$C$143)</f>
        <v>20778</v>
      </c>
      <c r="D1173" s="126" t="s">
        <v>503</v>
      </c>
      <c r="E1173" s="128">
        <v>44.561</v>
      </c>
      <c r="F1173" s="129">
        <f t="shared" si="56"/>
        <v>0.92588845799999997</v>
      </c>
      <c r="G1173" t="str">
        <f>_xlfn.XLOOKUP(D1173,'[1]2050 BAU Mapping to T &amp; C'!$A$3:$A$52,'[1]2050 BAU Mapping to T &amp; C'!$B$3:$B$52)</f>
        <v>Fish</v>
      </c>
      <c r="H1173" s="129">
        <f>_xlfn.XLOOKUP(G1173,'[1]T&amp;C emissions for 2050 analysis'!$B$3:$B$23,'[1]T&amp;C emissions for 2050 analysis'!$C$3:$C$23)</f>
        <v>9.5333333333333332</v>
      </c>
      <c r="I1173" s="27">
        <f t="shared" si="54"/>
        <v>8.8268032995999999</v>
      </c>
      <c r="J1173" s="129">
        <f t="shared" si="55"/>
        <v>424.81486666666666</v>
      </c>
    </row>
    <row r="1174" spans="1:10" hidden="1" x14ac:dyDescent="0.35">
      <c r="A1174" s="126" t="s">
        <v>382</v>
      </c>
      <c r="B1174" t="str">
        <f>_xlfn.XLOOKUP(A1174,'[1]2050Pop'!$A$7:$A$143,'[1]2050Pop'!$D$7:$D$143)</f>
        <v>LatAm &amp; RSA</v>
      </c>
      <c r="C1174" s="127">
        <f>1000*_xlfn.XLOOKUP(A1174,'[1]2050Pop'!$A$7:$A$143,'[1]2050Pop'!$C$7:$C$143)</f>
        <v>54927</v>
      </c>
      <c r="D1174" s="126" t="s">
        <v>503</v>
      </c>
      <c r="E1174" s="128">
        <v>10.148</v>
      </c>
      <c r="F1174" s="129">
        <f t="shared" si="56"/>
        <v>0.55739919599999999</v>
      </c>
      <c r="G1174" t="str">
        <f>_xlfn.XLOOKUP(D1174,'[1]2050 BAU Mapping to T &amp; C'!$A$3:$A$52,'[1]2050 BAU Mapping to T &amp; C'!$B$3:$B$52)</f>
        <v>Fish</v>
      </c>
      <c r="H1174" s="129">
        <f>_xlfn.XLOOKUP(G1174,'[1]T&amp;C emissions for 2050 analysis'!$B$3:$B$23,'[1]T&amp;C emissions for 2050 analysis'!$C$3:$C$23)</f>
        <v>9.5333333333333332</v>
      </c>
      <c r="I1174" s="27">
        <f t="shared" si="54"/>
        <v>5.3138723352000001</v>
      </c>
      <c r="J1174" s="129">
        <f t="shared" si="55"/>
        <v>96.744266666666661</v>
      </c>
    </row>
    <row r="1175" spans="1:10" hidden="1" x14ac:dyDescent="0.35">
      <c r="A1175" s="126" t="s">
        <v>383</v>
      </c>
      <c r="B1175" t="str">
        <f>_xlfn.XLOOKUP(A1175,'[1]2050Pop'!$A$7:$A$143,'[1]2050Pop'!$D$7:$D$143)</f>
        <v>LatAm &amp; RSA</v>
      </c>
      <c r="C1175" s="127">
        <f>1000*_xlfn.XLOOKUP(A1175,'[1]2050Pop'!$A$7:$A$143,'[1]2050Pop'!$C$7:$C$143)</f>
        <v>5759</v>
      </c>
      <c r="D1175" s="126" t="s">
        <v>503</v>
      </c>
      <c r="E1175" s="130">
        <v>20.69</v>
      </c>
      <c r="F1175" s="129">
        <f t="shared" si="56"/>
        <v>0.11915371000000001</v>
      </c>
      <c r="G1175" t="str">
        <f>_xlfn.XLOOKUP(D1175,'[1]2050 BAU Mapping to T &amp; C'!$A$3:$A$52,'[1]2050 BAU Mapping to T &amp; C'!$B$3:$B$52)</f>
        <v>Fish</v>
      </c>
      <c r="H1175" s="129">
        <f>_xlfn.XLOOKUP(G1175,'[1]T&amp;C emissions for 2050 analysis'!$B$3:$B$23,'[1]T&amp;C emissions for 2050 analysis'!$C$3:$C$23)</f>
        <v>9.5333333333333332</v>
      </c>
      <c r="I1175" s="27">
        <f t="shared" si="54"/>
        <v>1.1359320353333333</v>
      </c>
      <c r="J1175" s="129">
        <f t="shared" si="55"/>
        <v>197.24466666666669</v>
      </c>
    </row>
    <row r="1176" spans="1:10" hidden="1" x14ac:dyDescent="0.35">
      <c r="A1176" s="126" t="s">
        <v>384</v>
      </c>
      <c r="B1176" t="str">
        <f>_xlfn.XLOOKUP(A1176,'[1]2050Pop'!$A$7:$A$143,'[1]2050Pop'!$D$7:$D$143)</f>
        <v>SSA</v>
      </c>
      <c r="C1176" s="127">
        <f>1000*_xlfn.XLOOKUP(A1176,'[1]2050Pop'!$A$7:$A$143,'[1]2050Pop'!$C$7:$C$143)</f>
        <v>48797</v>
      </c>
      <c r="D1176" s="126" t="s">
        <v>503</v>
      </c>
      <c r="E1176" s="128">
        <v>52.802</v>
      </c>
      <c r="F1176" s="129">
        <f t="shared" si="56"/>
        <v>2.5765791940000002</v>
      </c>
      <c r="G1176" t="str">
        <f>_xlfn.XLOOKUP(D1176,'[1]2050 BAU Mapping to T &amp; C'!$A$3:$A$52,'[1]2050 BAU Mapping to T &amp; C'!$B$3:$B$52)</f>
        <v>Fish</v>
      </c>
      <c r="H1176" s="129">
        <f>_xlfn.XLOOKUP(G1176,'[1]T&amp;C emissions for 2050 analysis'!$B$3:$B$23,'[1]T&amp;C emissions for 2050 analysis'!$C$3:$C$23)</f>
        <v>9.5333333333333332</v>
      </c>
      <c r="I1176" s="27">
        <f t="shared" si="54"/>
        <v>24.563388316133334</v>
      </c>
      <c r="J1176" s="129">
        <f t="shared" si="55"/>
        <v>503.37906666666663</v>
      </c>
    </row>
    <row r="1177" spans="1:10" hidden="1" x14ac:dyDescent="0.35">
      <c r="A1177" s="126" t="s">
        <v>385</v>
      </c>
      <c r="B1177" t="str">
        <f>_xlfn.XLOOKUP(A1177,'[1]2050Pop'!$A$7:$A$143,'[1]2050Pop'!$D$7:$D$143)</f>
        <v>Euro/AU/NZ</v>
      </c>
      <c r="C1177" s="127">
        <f>1000*_xlfn.XLOOKUP(A1177,'[1]2050Pop'!$A$7:$A$143,'[1]2050Pop'!$C$7:$C$143)</f>
        <v>3554</v>
      </c>
      <c r="D1177" s="126" t="s">
        <v>503</v>
      </c>
      <c r="E1177" s="128">
        <v>29.297999999999998</v>
      </c>
      <c r="F1177" s="129">
        <f t="shared" si="56"/>
        <v>0.10412509199999999</v>
      </c>
      <c r="G1177" t="str">
        <f>_xlfn.XLOOKUP(D1177,'[1]2050 BAU Mapping to T &amp; C'!$A$3:$A$52,'[1]2050 BAU Mapping to T &amp; C'!$B$3:$B$52)</f>
        <v>Fish</v>
      </c>
      <c r="H1177" s="129">
        <f>_xlfn.XLOOKUP(G1177,'[1]T&amp;C emissions for 2050 analysis'!$B$3:$B$23,'[1]T&amp;C emissions for 2050 analysis'!$C$3:$C$23)</f>
        <v>9.5333333333333332</v>
      </c>
      <c r="I1177" s="27">
        <f t="shared" si="54"/>
        <v>0.99265921039999983</v>
      </c>
      <c r="J1177" s="129">
        <f t="shared" si="55"/>
        <v>279.30759999999998</v>
      </c>
    </row>
    <row r="1178" spans="1:10" hidden="1" x14ac:dyDescent="0.35">
      <c r="A1178" s="126" t="s">
        <v>386</v>
      </c>
      <c r="B1178" t="str">
        <f>_xlfn.XLOOKUP(A1178,'[1]2050Pop'!$A$7:$A$143,'[1]2050Pop'!$D$7:$D$143)</f>
        <v>LatAm &amp; RSA</v>
      </c>
      <c r="C1178" s="127">
        <f>1000*_xlfn.XLOOKUP(A1178,'[1]2050Pop'!$A$7:$A$143,'[1]2050Pop'!$C$7:$C$143)</f>
        <v>10339</v>
      </c>
      <c r="D1178" s="126" t="s">
        <v>503</v>
      </c>
      <c r="E1178" s="128">
        <v>8.0890000000000004</v>
      </c>
      <c r="F1178" s="129">
        <f t="shared" si="56"/>
        <v>8.3632171000000005E-2</v>
      </c>
      <c r="G1178" t="str">
        <f>_xlfn.XLOOKUP(D1178,'[1]2050 BAU Mapping to T &amp; C'!$A$3:$A$52,'[1]2050 BAU Mapping to T &amp; C'!$B$3:$B$52)</f>
        <v>Fish</v>
      </c>
      <c r="H1178" s="129">
        <f>_xlfn.XLOOKUP(G1178,'[1]T&amp;C emissions for 2050 analysis'!$B$3:$B$23,'[1]T&amp;C emissions for 2050 analysis'!$C$3:$C$23)</f>
        <v>9.5333333333333332</v>
      </c>
      <c r="I1178" s="27">
        <f t="shared" si="54"/>
        <v>0.79729336353333335</v>
      </c>
      <c r="J1178" s="129">
        <f t="shared" si="55"/>
        <v>77.115133333333333</v>
      </c>
    </row>
    <row r="1179" spans="1:10" hidden="1" x14ac:dyDescent="0.35">
      <c r="A1179" s="126" t="s">
        <v>387</v>
      </c>
      <c r="B1179" t="str">
        <f>_xlfn.XLOOKUP(A1179,'[1]2050Pop'!$A$7:$A$143,'[1]2050Pop'!$D$7:$D$143)</f>
        <v>Euro/AU/NZ</v>
      </c>
      <c r="C1179" s="127">
        <f>1000*_xlfn.XLOOKUP(A1179,'[1]2050Pop'!$A$7:$A$143,'[1]2050Pop'!$C$7:$C$143)</f>
        <v>9965</v>
      </c>
      <c r="D1179" s="126" t="s">
        <v>503</v>
      </c>
      <c r="E1179" s="128">
        <v>14.496</v>
      </c>
      <c r="F1179" s="129">
        <f t="shared" si="56"/>
        <v>0.14445264000000002</v>
      </c>
      <c r="G1179" t="str">
        <f>_xlfn.XLOOKUP(D1179,'[1]2050 BAU Mapping to T &amp; C'!$A$3:$A$52,'[1]2050 BAU Mapping to T &amp; C'!$B$3:$B$52)</f>
        <v>Fish</v>
      </c>
      <c r="H1179" s="129">
        <f>_xlfn.XLOOKUP(G1179,'[1]T&amp;C emissions for 2050 analysis'!$B$3:$B$23,'[1]T&amp;C emissions for 2050 analysis'!$C$3:$C$23)</f>
        <v>9.5333333333333332</v>
      </c>
      <c r="I1179" s="27">
        <f t="shared" si="54"/>
        <v>1.3771151680000002</v>
      </c>
      <c r="J1179" s="129">
        <f t="shared" si="55"/>
        <v>138.1952</v>
      </c>
    </row>
    <row r="1180" spans="1:10" hidden="1" x14ac:dyDescent="0.35">
      <c r="A1180" s="126" t="s">
        <v>481</v>
      </c>
      <c r="B1180" t="str">
        <f>_xlfn.XLOOKUP(A1180,'[1]2050Pop'!$A$7:$A$143,'[1]2050Pop'!$D$7:$D$143)</f>
        <v>APAC</v>
      </c>
      <c r="C1180" s="127">
        <f>1000*_xlfn.XLOOKUP(A1180,'[1]2050Pop'!$A$7:$A$143,'[1]2050Pop'!$C$7:$C$143)</f>
        <v>26907</v>
      </c>
      <c r="D1180" s="126" t="s">
        <v>503</v>
      </c>
      <c r="E1180" s="128">
        <v>16.785</v>
      </c>
      <c r="F1180" s="129">
        <f t="shared" si="56"/>
        <v>0.45163399500000001</v>
      </c>
      <c r="G1180" t="str">
        <f>_xlfn.XLOOKUP(D1180,'[1]2050 BAU Mapping to T &amp; C'!$A$3:$A$52,'[1]2050 BAU Mapping to T &amp; C'!$B$3:$B$52)</f>
        <v>Fish</v>
      </c>
      <c r="H1180" s="129">
        <f>_xlfn.XLOOKUP(G1180,'[1]T&amp;C emissions for 2050 analysis'!$B$3:$B$23,'[1]T&amp;C emissions for 2050 analysis'!$C$3:$C$23)</f>
        <v>9.5333333333333332</v>
      </c>
      <c r="I1180" s="27">
        <f t="shared" si="54"/>
        <v>4.3055774190000005</v>
      </c>
      <c r="J1180" s="129">
        <f t="shared" si="55"/>
        <v>160.017</v>
      </c>
    </row>
    <row r="1181" spans="1:10" hidden="1" x14ac:dyDescent="0.35">
      <c r="A1181" s="126" t="s">
        <v>388</v>
      </c>
      <c r="B1181" t="str">
        <f>_xlfn.XLOOKUP(A1181,'[1]2050Pop'!$A$7:$A$143,'[1]2050Pop'!$D$7:$D$143)</f>
        <v>Euro/AU/NZ</v>
      </c>
      <c r="C1181" s="127">
        <f>1000*_xlfn.XLOOKUP(A1181,'[1]2050Pop'!$A$7:$A$143,'[1]2050Pop'!$C$7:$C$143)</f>
        <v>6299</v>
      </c>
      <c r="D1181" s="126" t="s">
        <v>503</v>
      </c>
      <c r="E1181" s="128">
        <v>47.372</v>
      </c>
      <c r="F1181" s="129">
        <f t="shared" si="56"/>
        <v>0.29839622799999999</v>
      </c>
      <c r="G1181" t="str">
        <f>_xlfn.XLOOKUP(D1181,'[1]2050 BAU Mapping to T &amp; C'!$A$3:$A$52,'[1]2050 BAU Mapping to T &amp; C'!$B$3:$B$52)</f>
        <v>Fish</v>
      </c>
      <c r="H1181" s="129">
        <f>_xlfn.XLOOKUP(G1181,'[1]T&amp;C emissions for 2050 analysis'!$B$3:$B$23,'[1]T&amp;C emissions for 2050 analysis'!$C$3:$C$23)</f>
        <v>9.5333333333333332</v>
      </c>
      <c r="I1181" s="27">
        <f t="shared" si="54"/>
        <v>2.8447107069333333</v>
      </c>
      <c r="J1181" s="129">
        <f t="shared" si="55"/>
        <v>451.61306666666667</v>
      </c>
    </row>
    <row r="1182" spans="1:10" hidden="1" x14ac:dyDescent="0.35">
      <c r="A1182" s="126" t="s">
        <v>389</v>
      </c>
      <c r="B1182" t="str">
        <f>_xlfn.XLOOKUP(A1182,'[1]2050Pop'!$A$7:$A$143,'[1]2050Pop'!$D$7:$D$143)</f>
        <v>LatAm &amp; RSA</v>
      </c>
      <c r="C1182" s="127">
        <f>1000*_xlfn.XLOOKUP(A1182,'[1]2050Pop'!$A$7:$A$143,'[1]2050Pop'!$C$7:$C$143)</f>
        <v>13238</v>
      </c>
      <c r="D1182" s="126" t="s">
        <v>503</v>
      </c>
      <c r="E1182" s="128">
        <v>12.757</v>
      </c>
      <c r="F1182" s="129">
        <f t="shared" si="56"/>
        <v>0.168877166</v>
      </c>
      <c r="G1182" t="str">
        <f>_xlfn.XLOOKUP(D1182,'[1]2050 BAU Mapping to T &amp; C'!$A$3:$A$52,'[1]2050 BAU Mapping to T &amp; C'!$B$3:$B$52)</f>
        <v>Fish</v>
      </c>
      <c r="H1182" s="129">
        <f>_xlfn.XLOOKUP(G1182,'[1]T&amp;C emissions for 2050 analysis'!$B$3:$B$23,'[1]T&amp;C emissions for 2050 analysis'!$C$3:$C$23)</f>
        <v>9.5333333333333332</v>
      </c>
      <c r="I1182" s="27">
        <f t="shared" si="54"/>
        <v>1.6099623158666665</v>
      </c>
      <c r="J1182" s="129">
        <f t="shared" si="55"/>
        <v>121.61673333333333</v>
      </c>
    </row>
    <row r="1183" spans="1:10" hidden="1" x14ac:dyDescent="0.35">
      <c r="A1183" s="126" t="s">
        <v>390</v>
      </c>
      <c r="B1183" t="str">
        <f>_xlfn.XLOOKUP(A1183,'[1]2050Pop'!$A$7:$A$143,'[1]2050Pop'!$D$7:$D$143)</f>
        <v>LatAm &amp; RSA</v>
      </c>
      <c r="C1183" s="127">
        <f>1000*_xlfn.XLOOKUP(A1183,'[1]2050Pop'!$A$7:$A$143,'[1]2050Pop'!$C$7:$C$143)</f>
        <v>23013</v>
      </c>
      <c r="D1183" s="126" t="s">
        <v>503</v>
      </c>
      <c r="E1183" s="128">
        <v>12.361000000000001</v>
      </c>
      <c r="F1183" s="129">
        <f t="shared" si="56"/>
        <v>0.28446369300000002</v>
      </c>
      <c r="G1183" t="str">
        <f>_xlfn.XLOOKUP(D1183,'[1]2050 BAU Mapping to T &amp; C'!$A$3:$A$52,'[1]2050 BAU Mapping to T &amp; C'!$B$3:$B$52)</f>
        <v>Fish</v>
      </c>
      <c r="H1183" s="129">
        <f>_xlfn.XLOOKUP(G1183,'[1]T&amp;C emissions for 2050 analysis'!$B$3:$B$23,'[1]T&amp;C emissions for 2050 analysis'!$C$3:$C$23)</f>
        <v>9.5333333333333332</v>
      </c>
      <c r="I1183" s="27">
        <f t="shared" si="54"/>
        <v>2.7118872066000002</v>
      </c>
      <c r="J1183" s="129">
        <f t="shared" si="55"/>
        <v>117.84153333333335</v>
      </c>
    </row>
    <row r="1184" spans="1:10" hidden="1" x14ac:dyDescent="0.35">
      <c r="A1184" s="126" t="s">
        <v>391</v>
      </c>
      <c r="B1184" t="str">
        <f>_xlfn.XLOOKUP(A1184,'[1]2050Pop'!$A$7:$A$143,'[1]2050Pop'!$D$7:$D$143)</f>
        <v>MENA</v>
      </c>
      <c r="C1184" s="127">
        <f>1000*_xlfn.XLOOKUP(A1184,'[1]2050Pop'!$A$7:$A$143,'[1]2050Pop'!$C$7:$C$143)</f>
        <v>151111</v>
      </c>
      <c r="D1184" s="126" t="s">
        <v>503</v>
      </c>
      <c r="E1184" s="130">
        <v>41.74</v>
      </c>
      <c r="F1184" s="129">
        <f t="shared" si="56"/>
        <v>6.3073731400000002</v>
      </c>
      <c r="G1184" t="str">
        <f>_xlfn.XLOOKUP(D1184,'[1]2050 BAU Mapping to T &amp; C'!$A$3:$A$52,'[1]2050 BAU Mapping to T &amp; C'!$B$3:$B$52)</f>
        <v>Fish</v>
      </c>
      <c r="H1184" s="129">
        <f>_xlfn.XLOOKUP(G1184,'[1]T&amp;C emissions for 2050 analysis'!$B$3:$B$23,'[1]T&amp;C emissions for 2050 analysis'!$C$3:$C$23)</f>
        <v>9.5333333333333332</v>
      </c>
      <c r="I1184" s="27">
        <f t="shared" si="54"/>
        <v>60.130290601333336</v>
      </c>
      <c r="J1184" s="129">
        <f t="shared" si="55"/>
        <v>397.92133333333334</v>
      </c>
    </row>
    <row r="1185" spans="1:10" hidden="1" x14ac:dyDescent="0.35">
      <c r="A1185" s="126" t="s">
        <v>392</v>
      </c>
      <c r="B1185" t="str">
        <f>_xlfn.XLOOKUP(A1185,'[1]2050Pop'!$A$7:$A$143,'[1]2050Pop'!$D$7:$D$143)</f>
        <v>LatAm &amp; RSA</v>
      </c>
      <c r="C1185" s="127">
        <f>1000*_xlfn.XLOOKUP(A1185,'[1]2050Pop'!$A$7:$A$143,'[1]2050Pop'!$C$7:$C$143)</f>
        <v>6390</v>
      </c>
      <c r="D1185" s="126" t="s">
        <v>503</v>
      </c>
      <c r="E1185" s="128">
        <v>12.584</v>
      </c>
      <c r="F1185" s="129">
        <f t="shared" si="56"/>
        <v>8.0411759999999999E-2</v>
      </c>
      <c r="G1185" t="str">
        <f>_xlfn.XLOOKUP(D1185,'[1]2050 BAU Mapping to T &amp; C'!$A$3:$A$52,'[1]2050 BAU Mapping to T &amp; C'!$B$3:$B$52)</f>
        <v>Fish</v>
      </c>
      <c r="H1185" s="129">
        <f>_xlfn.XLOOKUP(G1185,'[1]T&amp;C emissions for 2050 analysis'!$B$3:$B$23,'[1]T&amp;C emissions for 2050 analysis'!$C$3:$C$23)</f>
        <v>9.5333333333333332</v>
      </c>
      <c r="I1185" s="27">
        <f t="shared" si="54"/>
        <v>0.76659211199999999</v>
      </c>
      <c r="J1185" s="129">
        <f t="shared" si="55"/>
        <v>119.96746666666667</v>
      </c>
    </row>
    <row r="1186" spans="1:10" hidden="1" x14ac:dyDescent="0.35">
      <c r="A1186" s="126" t="s">
        <v>393</v>
      </c>
      <c r="B1186" t="str">
        <f>_xlfn.XLOOKUP(A1186,'[1]2050Pop'!$A$7:$A$143,'[1]2050Pop'!$D$7:$D$143)</f>
        <v>Euro/AU/NZ</v>
      </c>
      <c r="C1186" s="127">
        <f>1000*_xlfn.XLOOKUP(A1186,'[1]2050Pop'!$A$7:$A$143,'[1]2050Pop'!$C$7:$C$143)</f>
        <v>1129</v>
      </c>
      <c r="D1186" s="126" t="s">
        <v>503</v>
      </c>
      <c r="E1186" s="128">
        <v>19.835000000000001</v>
      </c>
      <c r="F1186" s="129">
        <f t="shared" si="56"/>
        <v>2.2393715000000002E-2</v>
      </c>
      <c r="G1186" t="str">
        <f>_xlfn.XLOOKUP(D1186,'[1]2050 BAU Mapping to T &amp; C'!$A$3:$A$52,'[1]2050 BAU Mapping to T &amp; C'!$B$3:$B$52)</f>
        <v>Fish</v>
      </c>
      <c r="H1186" s="129">
        <f>_xlfn.XLOOKUP(G1186,'[1]T&amp;C emissions for 2050 analysis'!$B$3:$B$23,'[1]T&amp;C emissions for 2050 analysis'!$C$3:$C$23)</f>
        <v>9.5333333333333332</v>
      </c>
      <c r="I1186" s="27">
        <f t="shared" si="54"/>
        <v>0.21348674966666667</v>
      </c>
      <c r="J1186" s="129">
        <f t="shared" si="55"/>
        <v>189.09366666666668</v>
      </c>
    </row>
    <row r="1187" spans="1:10" hidden="1" x14ac:dyDescent="0.35">
      <c r="A1187" s="126" t="s">
        <v>395</v>
      </c>
      <c r="B1187" t="str">
        <f>_xlfn.XLOOKUP(A1187,'[1]2050Pop'!$A$7:$A$143,'[1]2050Pop'!$D$7:$D$143)</f>
        <v>Euro/AU/NZ</v>
      </c>
      <c r="C1187" s="127">
        <f>1000*_xlfn.XLOOKUP(A1187,'[1]2050Pop'!$A$7:$A$143,'[1]2050Pop'!$C$7:$C$143)</f>
        <v>5752</v>
      </c>
      <c r="D1187" s="126" t="s">
        <v>503</v>
      </c>
      <c r="E1187" s="128">
        <v>58.588999999999999</v>
      </c>
      <c r="F1187" s="129">
        <f t="shared" si="56"/>
        <v>0.33700392800000001</v>
      </c>
      <c r="G1187" t="str">
        <f>_xlfn.XLOOKUP(D1187,'[1]2050 BAU Mapping to T &amp; C'!$A$3:$A$52,'[1]2050 BAU Mapping to T &amp; C'!$B$3:$B$52)</f>
        <v>Fish</v>
      </c>
      <c r="H1187" s="129">
        <f>_xlfn.XLOOKUP(G1187,'[1]T&amp;C emissions for 2050 analysis'!$B$3:$B$23,'[1]T&amp;C emissions for 2050 analysis'!$C$3:$C$23)</f>
        <v>9.5333333333333332</v>
      </c>
      <c r="I1187" s="27">
        <f t="shared" si="54"/>
        <v>3.2127707802666667</v>
      </c>
      <c r="J1187" s="129">
        <f t="shared" si="55"/>
        <v>558.54846666666663</v>
      </c>
    </row>
    <row r="1188" spans="1:10" hidden="1" x14ac:dyDescent="0.35">
      <c r="A1188" s="126" t="s">
        <v>396</v>
      </c>
      <c r="B1188" t="str">
        <f>_xlfn.XLOOKUP(A1188,'[1]2050Pop'!$A$7:$A$143,'[1]2050Pop'!$D$7:$D$143)</f>
        <v>Euro/AU/NZ</v>
      </c>
      <c r="C1188" s="127">
        <f>1000*_xlfn.XLOOKUP(A1188,'[1]2050Pop'!$A$7:$A$143,'[1]2050Pop'!$C$7:$C$143)</f>
        <v>71137</v>
      </c>
      <c r="D1188" s="126" t="s">
        <v>503</v>
      </c>
      <c r="E1188" s="128">
        <v>57.290999999999997</v>
      </c>
      <c r="F1188" s="129">
        <f t="shared" si="56"/>
        <v>4.0755098670000001</v>
      </c>
      <c r="G1188" t="str">
        <f>_xlfn.XLOOKUP(D1188,'[1]2050 BAU Mapping to T &amp; C'!$A$3:$A$52,'[1]2050 BAU Mapping to T &amp; C'!$B$3:$B$52)</f>
        <v>Fish</v>
      </c>
      <c r="H1188" s="129">
        <f>_xlfn.XLOOKUP(G1188,'[1]T&amp;C emissions for 2050 analysis'!$B$3:$B$23,'[1]T&amp;C emissions for 2050 analysis'!$C$3:$C$23)</f>
        <v>9.5333333333333332</v>
      </c>
      <c r="I1188" s="27">
        <f t="shared" si="54"/>
        <v>38.853194065399997</v>
      </c>
      <c r="J1188" s="129">
        <f t="shared" si="55"/>
        <v>546.17419999999993</v>
      </c>
    </row>
    <row r="1189" spans="1:10" hidden="1" x14ac:dyDescent="0.35">
      <c r="A1189" s="126" t="s">
        <v>397</v>
      </c>
      <c r="B1189" t="str">
        <f>_xlfn.XLOOKUP(A1189,'[1]2050Pop'!$A$7:$A$143,'[1]2050Pop'!$D$7:$D$143)</f>
        <v>SSA</v>
      </c>
      <c r="C1189" s="127">
        <f>1000*_xlfn.XLOOKUP(A1189,'[1]2050Pop'!$A$7:$A$143,'[1]2050Pop'!$C$7:$C$143)</f>
        <v>3164</v>
      </c>
      <c r="D1189" s="126" t="s">
        <v>503</v>
      </c>
      <c r="E1189" s="128">
        <v>57.029000000000003</v>
      </c>
      <c r="F1189" s="129">
        <f t="shared" si="56"/>
        <v>0.18043975600000003</v>
      </c>
      <c r="G1189" t="str">
        <f>_xlfn.XLOOKUP(D1189,'[1]2050 BAU Mapping to T &amp; C'!$A$3:$A$52,'[1]2050 BAU Mapping to T &amp; C'!$B$3:$B$52)</f>
        <v>Fish</v>
      </c>
      <c r="H1189" s="129">
        <f>_xlfn.XLOOKUP(G1189,'[1]T&amp;C emissions for 2050 analysis'!$B$3:$B$23,'[1]T&amp;C emissions for 2050 analysis'!$C$3:$C$23)</f>
        <v>9.5333333333333332</v>
      </c>
      <c r="I1189" s="27">
        <f t="shared" si="54"/>
        <v>1.7201923405333337</v>
      </c>
      <c r="J1189" s="129">
        <f t="shared" si="55"/>
        <v>543.67646666666667</v>
      </c>
    </row>
    <row r="1190" spans="1:10" hidden="1" x14ac:dyDescent="0.35">
      <c r="A1190" s="126" t="s">
        <v>489</v>
      </c>
      <c r="B1190" t="str">
        <f>_xlfn.XLOOKUP(A1190,'[1]2050Pop'!$A$7:$A$143,'[1]2050Pop'!$D$7:$D$143)</f>
        <v>SSA</v>
      </c>
      <c r="C1190" s="127">
        <f>1000*_xlfn.XLOOKUP(A1190,'[1]2050Pop'!$A$7:$A$143,'[1]2050Pop'!$C$7:$C$143)</f>
        <v>4981</v>
      </c>
      <c r="D1190" s="126" t="s">
        <v>503</v>
      </c>
      <c r="E1190" s="128">
        <v>58.976999999999997</v>
      </c>
      <c r="F1190" s="129">
        <f t="shared" si="56"/>
        <v>0.29376443699999999</v>
      </c>
      <c r="G1190" t="str">
        <f>_xlfn.XLOOKUP(D1190,'[1]2050 BAU Mapping to T &amp; C'!$A$3:$A$52,'[1]2050 BAU Mapping to T &amp; C'!$B$3:$B$52)</f>
        <v>Fish</v>
      </c>
      <c r="H1190" s="129">
        <f>_xlfn.XLOOKUP(G1190,'[1]T&amp;C emissions for 2050 analysis'!$B$3:$B$23,'[1]T&amp;C emissions for 2050 analysis'!$C$3:$C$23)</f>
        <v>9.5333333333333332</v>
      </c>
      <c r="I1190" s="27">
        <f t="shared" si="54"/>
        <v>2.8005542993999999</v>
      </c>
      <c r="J1190" s="129">
        <f t="shared" si="55"/>
        <v>562.24739999999997</v>
      </c>
    </row>
    <row r="1191" spans="1:10" hidden="1" x14ac:dyDescent="0.35">
      <c r="A1191" s="126" t="s">
        <v>398</v>
      </c>
      <c r="B1191" t="str">
        <f>_xlfn.XLOOKUP(A1191,'[1]2050Pop'!$A$7:$A$143,'[1]2050Pop'!$D$7:$D$143)</f>
        <v>MENA</v>
      </c>
      <c r="C1191" s="127">
        <f>1000*_xlfn.XLOOKUP(A1191,'[1]2050Pop'!$A$7:$A$143,'[1]2050Pop'!$C$7:$C$143)</f>
        <v>3483</v>
      </c>
      <c r="D1191" s="126" t="s">
        <v>503</v>
      </c>
      <c r="E1191" s="128">
        <v>21.667000000000002</v>
      </c>
      <c r="F1191" s="129">
        <f t="shared" si="56"/>
        <v>7.5466161000000004E-2</v>
      </c>
      <c r="G1191" t="str">
        <f>_xlfn.XLOOKUP(D1191,'[1]2050 BAU Mapping to T &amp; C'!$A$3:$A$52,'[1]2050 BAU Mapping to T &amp; C'!$B$3:$B$52)</f>
        <v>Fish</v>
      </c>
      <c r="H1191" s="129">
        <f>_xlfn.XLOOKUP(G1191,'[1]T&amp;C emissions for 2050 analysis'!$B$3:$B$23,'[1]T&amp;C emissions for 2050 analysis'!$C$3:$C$23)</f>
        <v>9.5333333333333332</v>
      </c>
      <c r="I1191" s="27">
        <f t="shared" si="54"/>
        <v>0.71944406820000006</v>
      </c>
      <c r="J1191" s="129">
        <f t="shared" si="55"/>
        <v>206.55873333333335</v>
      </c>
    </row>
    <row r="1192" spans="1:10" hidden="1" x14ac:dyDescent="0.35">
      <c r="A1192" s="126" t="s">
        <v>399</v>
      </c>
      <c r="B1192" t="str">
        <f>_xlfn.XLOOKUP(A1192,'[1]2050Pop'!$A$7:$A$143,'[1]2050Pop'!$D$7:$D$143)</f>
        <v>Euro/AU/NZ</v>
      </c>
      <c r="C1192" s="127">
        <f>1000*_xlfn.XLOOKUP(A1192,'[1]2050Pop'!$A$7:$A$143,'[1]2050Pop'!$C$7:$C$143)</f>
        <v>74513</v>
      </c>
      <c r="D1192" s="126" t="s">
        <v>503</v>
      </c>
      <c r="E1192" s="130">
        <v>27.98</v>
      </c>
      <c r="F1192" s="129">
        <f t="shared" si="56"/>
        <v>2.0848737399999999</v>
      </c>
      <c r="G1192" t="str">
        <f>_xlfn.XLOOKUP(D1192,'[1]2050 BAU Mapping to T &amp; C'!$A$3:$A$52,'[1]2050 BAU Mapping to T &amp; C'!$B$3:$B$52)</f>
        <v>Fish</v>
      </c>
      <c r="H1192" s="129">
        <f>_xlfn.XLOOKUP(G1192,'[1]T&amp;C emissions for 2050 analysis'!$B$3:$B$23,'[1]T&amp;C emissions for 2050 analysis'!$C$3:$C$23)</f>
        <v>9.5333333333333332</v>
      </c>
      <c r="I1192" s="27">
        <f t="shared" si="54"/>
        <v>19.875796321333333</v>
      </c>
      <c r="J1192" s="129">
        <f t="shared" si="55"/>
        <v>266.74266666666665</v>
      </c>
    </row>
    <row r="1193" spans="1:10" hidden="1" x14ac:dyDescent="0.35">
      <c r="A1193" s="126" t="s">
        <v>400</v>
      </c>
      <c r="B1193" t="str">
        <f>_xlfn.XLOOKUP(A1193,'[1]2050Pop'!$A$7:$A$143,'[1]2050Pop'!$D$7:$D$143)</f>
        <v>SSA</v>
      </c>
      <c r="C1193" s="127">
        <f>1000*_xlfn.XLOOKUP(A1193,'[1]2050Pop'!$A$7:$A$143,'[1]2050Pop'!$C$7:$C$143)</f>
        <v>50071</v>
      </c>
      <c r="D1193" s="126" t="s">
        <v>503</v>
      </c>
      <c r="E1193" s="128">
        <v>71.274000000000001</v>
      </c>
      <c r="F1193" s="129">
        <f t="shared" si="56"/>
        <v>3.568760454</v>
      </c>
      <c r="G1193" t="str">
        <f>_xlfn.XLOOKUP(D1193,'[1]2050 BAU Mapping to T &amp; C'!$A$3:$A$52,'[1]2050 BAU Mapping to T &amp; C'!$B$3:$B$52)</f>
        <v>Fish</v>
      </c>
      <c r="H1193" s="129">
        <f>_xlfn.XLOOKUP(G1193,'[1]T&amp;C emissions for 2050 analysis'!$B$3:$B$23,'[1]T&amp;C emissions for 2050 analysis'!$C$3:$C$23)</f>
        <v>9.5333333333333332</v>
      </c>
      <c r="I1193" s="27">
        <f t="shared" si="54"/>
        <v>34.022182994799998</v>
      </c>
      <c r="J1193" s="129">
        <f t="shared" si="55"/>
        <v>679.47879999999998</v>
      </c>
    </row>
    <row r="1194" spans="1:10" hidden="1" x14ac:dyDescent="0.35">
      <c r="A1194" s="126" t="s">
        <v>401</v>
      </c>
      <c r="B1194" t="str">
        <f>_xlfn.XLOOKUP(A1194,'[1]2050Pop'!$A$7:$A$143,'[1]2050Pop'!$D$7:$D$143)</f>
        <v>Euro/AU/NZ</v>
      </c>
      <c r="C1194" s="127">
        <f>1000*_xlfn.XLOOKUP(A1194,'[1]2050Pop'!$A$7:$A$143,'[1]2050Pop'!$C$7:$C$143)</f>
        <v>9705</v>
      </c>
      <c r="D1194" s="126" t="s">
        <v>503</v>
      </c>
      <c r="E1194" s="128">
        <v>24.803999999999998</v>
      </c>
      <c r="F1194" s="129">
        <f t="shared" si="56"/>
        <v>0.24072281999999998</v>
      </c>
      <c r="G1194" t="str">
        <f>_xlfn.XLOOKUP(D1194,'[1]2050 BAU Mapping to T &amp; C'!$A$3:$A$52,'[1]2050 BAU Mapping to T &amp; C'!$B$3:$B$52)</f>
        <v>Fish</v>
      </c>
      <c r="H1194" s="129">
        <f>_xlfn.XLOOKUP(G1194,'[1]T&amp;C emissions for 2050 analysis'!$B$3:$B$23,'[1]T&amp;C emissions for 2050 analysis'!$C$3:$C$23)</f>
        <v>9.5333333333333332</v>
      </c>
      <c r="I1194" s="27">
        <f t="shared" si="54"/>
        <v>2.294890884</v>
      </c>
      <c r="J1194" s="129">
        <f t="shared" si="55"/>
        <v>236.4648</v>
      </c>
    </row>
    <row r="1195" spans="1:10" hidden="1" x14ac:dyDescent="0.35">
      <c r="A1195" s="126" t="s">
        <v>402</v>
      </c>
      <c r="B1195" t="str">
        <f>_xlfn.XLOOKUP(A1195,'[1]2050Pop'!$A$7:$A$143,'[1]2050Pop'!$D$7:$D$143)</f>
        <v>LatAm &amp; RSA</v>
      </c>
      <c r="C1195" s="127">
        <f>1000*_xlfn.XLOOKUP(A1195,'[1]2050Pop'!$A$7:$A$143,'[1]2050Pop'!$C$7:$C$143)</f>
        <v>27754</v>
      </c>
      <c r="D1195" s="126" t="s">
        <v>503</v>
      </c>
      <c r="E1195" s="128">
        <v>1.6479999999999999</v>
      </c>
      <c r="F1195" s="129">
        <f t="shared" si="56"/>
        <v>4.5738591999999995E-2</v>
      </c>
      <c r="G1195" t="str">
        <f>_xlfn.XLOOKUP(D1195,'[1]2050 BAU Mapping to T &amp; C'!$A$3:$A$52,'[1]2050 BAU Mapping to T &amp; C'!$B$3:$B$52)</f>
        <v>Fish</v>
      </c>
      <c r="H1195" s="129">
        <f>_xlfn.XLOOKUP(G1195,'[1]T&amp;C emissions for 2050 analysis'!$B$3:$B$23,'[1]T&amp;C emissions for 2050 analysis'!$C$3:$C$23)</f>
        <v>9.5333333333333332</v>
      </c>
      <c r="I1195" s="27">
        <f t="shared" si="54"/>
        <v>0.43604124373333325</v>
      </c>
      <c r="J1195" s="129">
        <f t="shared" si="55"/>
        <v>15.710933333333331</v>
      </c>
    </row>
    <row r="1196" spans="1:10" hidden="1" x14ac:dyDescent="0.35">
      <c r="A1196" s="126" t="s">
        <v>403</v>
      </c>
      <c r="B1196" t="str">
        <f>_xlfn.XLOOKUP(A1196,'[1]2050Pop'!$A$7:$A$143,'[1]2050Pop'!$D$7:$D$143)</f>
        <v>SSA</v>
      </c>
      <c r="C1196" s="127">
        <f>1000*_xlfn.XLOOKUP(A1196,'[1]2050Pop'!$A$7:$A$143,'[1]2050Pop'!$C$7:$C$143)</f>
        <v>27486</v>
      </c>
      <c r="D1196" s="126" t="s">
        <v>503</v>
      </c>
      <c r="E1196" s="128">
        <v>21.349</v>
      </c>
      <c r="F1196" s="129">
        <f t="shared" si="56"/>
        <v>0.58679861400000011</v>
      </c>
      <c r="G1196" t="str">
        <f>_xlfn.XLOOKUP(D1196,'[1]2050 BAU Mapping to T &amp; C'!$A$3:$A$52,'[1]2050 BAU Mapping to T &amp; C'!$B$3:$B$52)</f>
        <v>Fish</v>
      </c>
      <c r="H1196" s="129">
        <f>_xlfn.XLOOKUP(G1196,'[1]T&amp;C emissions for 2050 analysis'!$B$3:$B$23,'[1]T&amp;C emissions for 2050 analysis'!$C$3:$C$23)</f>
        <v>9.5333333333333332</v>
      </c>
      <c r="I1196" s="27">
        <f t="shared" si="54"/>
        <v>5.5941467868000005</v>
      </c>
      <c r="J1196" s="129">
        <f t="shared" si="55"/>
        <v>203.52713333333332</v>
      </c>
    </row>
    <row r="1197" spans="1:10" hidden="1" x14ac:dyDescent="0.35">
      <c r="A1197" s="126" t="s">
        <v>404</v>
      </c>
      <c r="B1197" t="str">
        <f>_xlfn.XLOOKUP(A1197,'[1]2050Pop'!$A$7:$A$143,'[1]2050Pop'!$D$7:$D$143)</f>
        <v>LatAm &amp; RSA</v>
      </c>
      <c r="C1197" s="127">
        <f>1000*_xlfn.XLOOKUP(A1197,'[1]2050Pop'!$A$7:$A$143,'[1]2050Pop'!$C$7:$C$143)</f>
        <v>806</v>
      </c>
      <c r="D1197" s="126" t="s">
        <v>503</v>
      </c>
      <c r="E1197" s="128">
        <v>47.552999999999997</v>
      </c>
      <c r="F1197" s="129">
        <f t="shared" si="56"/>
        <v>3.8327718000000004E-2</v>
      </c>
      <c r="G1197" t="str">
        <f>_xlfn.XLOOKUP(D1197,'[1]2050 BAU Mapping to T &amp; C'!$A$3:$A$52,'[1]2050 BAU Mapping to T &amp; C'!$B$3:$B$52)</f>
        <v>Fish</v>
      </c>
      <c r="H1197" s="129">
        <f>_xlfn.XLOOKUP(G1197,'[1]T&amp;C emissions for 2050 analysis'!$B$3:$B$23,'[1]T&amp;C emissions for 2050 analysis'!$C$3:$C$23)</f>
        <v>9.5333333333333332</v>
      </c>
      <c r="I1197" s="27">
        <f t="shared" si="54"/>
        <v>0.36539091160000003</v>
      </c>
      <c r="J1197" s="129">
        <f t="shared" si="55"/>
        <v>453.33859999999999</v>
      </c>
    </row>
    <row r="1198" spans="1:10" hidden="1" x14ac:dyDescent="0.35">
      <c r="A1198" s="126" t="s">
        <v>405</v>
      </c>
      <c r="B1198" t="str">
        <f>_xlfn.XLOOKUP(A1198,'[1]2050Pop'!$A$7:$A$143,'[1]2050Pop'!$D$7:$D$143)</f>
        <v>LatAm &amp; RSA</v>
      </c>
      <c r="C1198" s="127">
        <f>1000*_xlfn.XLOOKUP(A1198,'[1]2050Pop'!$A$7:$A$143,'[1]2050Pop'!$C$7:$C$143)</f>
        <v>14189</v>
      </c>
      <c r="D1198" s="126" t="s">
        <v>503</v>
      </c>
      <c r="E1198" s="128">
        <v>8.9860000000000007</v>
      </c>
      <c r="F1198" s="129">
        <f t="shared" si="56"/>
        <v>0.12750235400000001</v>
      </c>
      <c r="G1198" t="str">
        <f>_xlfn.XLOOKUP(D1198,'[1]2050 BAU Mapping to T &amp; C'!$A$3:$A$52,'[1]2050 BAU Mapping to T &amp; C'!$B$3:$B$52)</f>
        <v>Fish</v>
      </c>
      <c r="H1198" s="129">
        <f>_xlfn.XLOOKUP(G1198,'[1]T&amp;C emissions for 2050 analysis'!$B$3:$B$23,'[1]T&amp;C emissions for 2050 analysis'!$C$3:$C$23)</f>
        <v>9.5333333333333332</v>
      </c>
      <c r="I1198" s="27">
        <f t="shared" si="54"/>
        <v>1.2155224414666668</v>
      </c>
      <c r="J1198" s="129">
        <f t="shared" si="55"/>
        <v>85.666533333333334</v>
      </c>
    </row>
    <row r="1199" spans="1:10" hidden="1" x14ac:dyDescent="0.35">
      <c r="A1199" s="126" t="s">
        <v>406</v>
      </c>
      <c r="B1199" t="str">
        <f>_xlfn.XLOOKUP(A1199,'[1]2050Pop'!$A$7:$A$143,'[1]2050Pop'!$D$7:$D$143)</f>
        <v>LatAm &amp; RSA</v>
      </c>
      <c r="C1199" s="127">
        <f>1000*_xlfn.XLOOKUP(A1199,'[1]2050Pop'!$A$7:$A$143,'[1]2050Pop'!$C$7:$C$143)</f>
        <v>11217</v>
      </c>
      <c r="D1199" s="126" t="s">
        <v>503</v>
      </c>
      <c r="E1199" s="128">
        <v>5.399</v>
      </c>
      <c r="F1199" s="129">
        <f t="shared" si="56"/>
        <v>6.0560583000000001E-2</v>
      </c>
      <c r="G1199" t="str">
        <f>_xlfn.XLOOKUP(D1199,'[1]2050 BAU Mapping to T &amp; C'!$A$3:$A$52,'[1]2050 BAU Mapping to T &amp; C'!$B$3:$B$52)</f>
        <v>Fish</v>
      </c>
      <c r="H1199" s="129">
        <f>_xlfn.XLOOKUP(G1199,'[1]T&amp;C emissions for 2050 analysis'!$B$3:$B$23,'[1]T&amp;C emissions for 2050 analysis'!$C$3:$C$23)</f>
        <v>9.5333333333333332</v>
      </c>
      <c r="I1199" s="27">
        <f t="shared" si="54"/>
        <v>0.57734422460000001</v>
      </c>
      <c r="J1199" s="129">
        <f t="shared" si="55"/>
        <v>51.470466666666667</v>
      </c>
    </row>
    <row r="1200" spans="1:10" hidden="1" x14ac:dyDescent="0.35">
      <c r="A1200" s="126" t="s">
        <v>407</v>
      </c>
      <c r="B1200" t="str">
        <f>_xlfn.XLOOKUP(A1200,'[1]2050Pop'!$A$7:$A$143,'[1]2050Pop'!$D$7:$D$143)</f>
        <v>Euro/AU/NZ</v>
      </c>
      <c r="C1200" s="127">
        <f>1000*_xlfn.XLOOKUP(A1200,'[1]2050Pop'!$A$7:$A$143,'[1]2050Pop'!$C$7:$C$143)</f>
        <v>8318</v>
      </c>
      <c r="D1200" s="126" t="s">
        <v>503</v>
      </c>
      <c r="E1200" s="128">
        <v>8.9469999999999992</v>
      </c>
      <c r="F1200" s="129">
        <f t="shared" si="56"/>
        <v>7.4421145999999994E-2</v>
      </c>
      <c r="G1200" t="str">
        <f>_xlfn.XLOOKUP(D1200,'[1]2050 BAU Mapping to T &amp; C'!$A$3:$A$52,'[1]2050 BAU Mapping to T &amp; C'!$B$3:$B$52)</f>
        <v>Fish</v>
      </c>
      <c r="H1200" s="129">
        <f>_xlfn.XLOOKUP(G1200,'[1]T&amp;C emissions for 2050 analysis'!$B$3:$B$23,'[1]T&amp;C emissions for 2050 analysis'!$C$3:$C$23)</f>
        <v>9.5333333333333332</v>
      </c>
      <c r="I1200" s="27">
        <f t="shared" si="54"/>
        <v>0.70948159186666659</v>
      </c>
      <c r="J1200" s="129">
        <f t="shared" si="55"/>
        <v>85.294733333333326</v>
      </c>
    </row>
    <row r="1201" spans="1:10" hidden="1" x14ac:dyDescent="0.35">
      <c r="A1201" s="126" t="s">
        <v>408</v>
      </c>
      <c r="B1201" t="str">
        <f>_xlfn.XLOOKUP(A1201,'[1]2050Pop'!$A$7:$A$143,'[1]2050Pop'!$D$7:$D$143)</f>
        <v>India/South Asia</v>
      </c>
      <c r="C1201" s="127">
        <f>1000*_xlfn.XLOOKUP(A1201,'[1]2050Pop'!$A$7:$A$143,'[1]2050Pop'!$C$7:$C$143)</f>
        <v>1705333</v>
      </c>
      <c r="D1201" s="126" t="s">
        <v>503</v>
      </c>
      <c r="E1201" s="128">
        <v>9.2289999999999992</v>
      </c>
      <c r="F1201" s="129">
        <f t="shared" si="56"/>
        <v>15.738518256999999</v>
      </c>
      <c r="G1201" t="str">
        <f>_xlfn.XLOOKUP(D1201,'[1]2050 BAU Mapping to T &amp; C'!$A$3:$A$52,'[1]2050 BAU Mapping to T &amp; C'!$B$3:$B$52)</f>
        <v>Fish</v>
      </c>
      <c r="H1201" s="129">
        <f>_xlfn.XLOOKUP(G1201,'[1]T&amp;C emissions for 2050 analysis'!$B$3:$B$23,'[1]T&amp;C emissions for 2050 analysis'!$C$3:$C$23)</f>
        <v>9.5333333333333332</v>
      </c>
      <c r="I1201" s="27">
        <f t="shared" si="54"/>
        <v>150.04054071673332</v>
      </c>
      <c r="J1201" s="129">
        <f t="shared" si="55"/>
        <v>87.983133333333328</v>
      </c>
    </row>
    <row r="1202" spans="1:10" hidden="1" x14ac:dyDescent="0.35">
      <c r="A1202" s="126" t="s">
        <v>409</v>
      </c>
      <c r="B1202" t="str">
        <f>_xlfn.XLOOKUP(A1202,'[1]2050Pop'!$A$7:$A$143,'[1]2050Pop'!$D$7:$D$143)</f>
        <v>APAC</v>
      </c>
      <c r="C1202" s="127">
        <f>1000*_xlfn.XLOOKUP(A1202,'[1]2050Pop'!$A$7:$A$143,'[1]2050Pop'!$C$7:$C$143)</f>
        <v>322237</v>
      </c>
      <c r="D1202" s="126" t="s">
        <v>503</v>
      </c>
      <c r="E1202" s="131">
        <v>65.099999999999994</v>
      </c>
      <c r="F1202" s="129">
        <f t="shared" si="56"/>
        <v>20.9776287</v>
      </c>
      <c r="G1202" t="str">
        <f>_xlfn.XLOOKUP(D1202,'[1]2050 BAU Mapping to T &amp; C'!$A$3:$A$52,'[1]2050 BAU Mapping to T &amp; C'!$B$3:$B$52)</f>
        <v>Fish</v>
      </c>
      <c r="H1202" s="129">
        <f>_xlfn.XLOOKUP(G1202,'[1]T&amp;C emissions for 2050 analysis'!$B$3:$B$23,'[1]T&amp;C emissions for 2050 analysis'!$C$3:$C$23)</f>
        <v>9.5333333333333332</v>
      </c>
      <c r="I1202" s="27">
        <f t="shared" si="54"/>
        <v>199.98672694000001</v>
      </c>
      <c r="J1202" s="129">
        <f t="shared" si="55"/>
        <v>620.61999999999989</v>
      </c>
    </row>
    <row r="1203" spans="1:10" hidden="1" x14ac:dyDescent="0.35">
      <c r="A1203" s="126" t="s">
        <v>410</v>
      </c>
      <c r="B1203" t="str">
        <f>_xlfn.XLOOKUP(A1203,'[1]2050Pop'!$A$7:$A$143,'[1]2050Pop'!$D$7:$D$143)</f>
        <v>India/South Asia</v>
      </c>
      <c r="C1203" s="127">
        <f>1000*_xlfn.XLOOKUP(A1203,'[1]2050Pop'!$A$7:$A$143,'[1]2050Pop'!$C$7:$C$143)</f>
        <v>92219</v>
      </c>
      <c r="D1203" s="126" t="s">
        <v>503</v>
      </c>
      <c r="E1203" s="128">
        <v>17.094000000000001</v>
      </c>
      <c r="F1203" s="129">
        <f t="shared" si="56"/>
        <v>1.5763915860000002</v>
      </c>
      <c r="G1203" t="str">
        <f>_xlfn.XLOOKUP(D1203,'[1]2050 BAU Mapping to T &amp; C'!$A$3:$A$52,'[1]2050 BAU Mapping to T &amp; C'!$B$3:$B$52)</f>
        <v>Fish</v>
      </c>
      <c r="H1203" s="129">
        <f>_xlfn.XLOOKUP(G1203,'[1]T&amp;C emissions for 2050 analysis'!$B$3:$B$23,'[1]T&amp;C emissions for 2050 analysis'!$C$3:$C$23)</f>
        <v>9.5333333333333332</v>
      </c>
      <c r="I1203" s="27">
        <f t="shared" si="54"/>
        <v>15.028266453200002</v>
      </c>
      <c r="J1203" s="129">
        <f t="shared" si="55"/>
        <v>162.96280000000002</v>
      </c>
    </row>
    <row r="1204" spans="1:10" hidden="1" x14ac:dyDescent="0.35">
      <c r="A1204" s="126" t="s">
        <v>411</v>
      </c>
      <c r="B1204" t="str">
        <f>_xlfn.XLOOKUP(A1204,'[1]2050Pop'!$A$7:$A$143,'[1]2050Pop'!$D$7:$D$143)</f>
        <v>MENA</v>
      </c>
      <c r="C1204" s="127">
        <f>1000*_xlfn.XLOOKUP(A1204,'[1]2050Pop'!$A$7:$A$143,'[1]2050Pop'!$C$7:$C$143)</f>
        <v>83652</v>
      </c>
      <c r="D1204" s="126" t="s">
        <v>503</v>
      </c>
      <c r="E1204" s="128">
        <v>4.8090000000000002</v>
      </c>
      <c r="F1204" s="129">
        <f t="shared" si="56"/>
        <v>0.402282468</v>
      </c>
      <c r="G1204" t="str">
        <f>_xlfn.XLOOKUP(D1204,'[1]2050 BAU Mapping to T &amp; C'!$A$3:$A$52,'[1]2050 BAU Mapping to T &amp; C'!$B$3:$B$52)</f>
        <v>Fish</v>
      </c>
      <c r="H1204" s="129">
        <f>_xlfn.XLOOKUP(G1204,'[1]T&amp;C emissions for 2050 analysis'!$B$3:$B$23,'[1]T&amp;C emissions for 2050 analysis'!$C$3:$C$23)</f>
        <v>9.5333333333333332</v>
      </c>
      <c r="I1204" s="27">
        <f t="shared" si="54"/>
        <v>3.8350928616000002</v>
      </c>
      <c r="J1204" s="129">
        <f t="shared" si="55"/>
        <v>45.845800000000004</v>
      </c>
    </row>
    <row r="1205" spans="1:10" hidden="1" x14ac:dyDescent="0.35">
      <c r="A1205" s="126" t="s">
        <v>412</v>
      </c>
      <c r="B1205" t="str">
        <f>_xlfn.XLOOKUP(A1205,'[1]2050Pop'!$A$7:$A$143,'[1]2050Pop'!$D$7:$D$143)</f>
        <v>Euro/AU/NZ</v>
      </c>
      <c r="C1205" s="127">
        <f>1000*_xlfn.XLOOKUP(A1205,'[1]2050Pop'!$A$7:$A$143,'[1]2050Pop'!$C$7:$C$143)</f>
        <v>5789</v>
      </c>
      <c r="D1205" s="126" t="s">
        <v>503</v>
      </c>
      <c r="E1205" s="128">
        <v>26.599</v>
      </c>
      <c r="F1205" s="129">
        <f t="shared" si="56"/>
        <v>0.15398161100000002</v>
      </c>
      <c r="G1205" t="str">
        <f>_xlfn.XLOOKUP(D1205,'[1]2050 BAU Mapping to T &amp; C'!$A$3:$A$52,'[1]2050 BAU Mapping to T &amp; C'!$B$3:$B$52)</f>
        <v>Fish</v>
      </c>
      <c r="H1205" s="129">
        <f>_xlfn.XLOOKUP(G1205,'[1]T&amp;C emissions for 2050 analysis'!$B$3:$B$23,'[1]T&amp;C emissions for 2050 analysis'!$C$3:$C$23)</f>
        <v>9.5333333333333332</v>
      </c>
      <c r="I1205" s="27">
        <f t="shared" si="54"/>
        <v>1.4679580248666668</v>
      </c>
      <c r="J1205" s="129">
        <f t="shared" si="55"/>
        <v>253.57713333333334</v>
      </c>
    </row>
    <row r="1206" spans="1:10" hidden="1" x14ac:dyDescent="0.35">
      <c r="A1206" s="126" t="s">
        <v>413</v>
      </c>
      <c r="B1206" t="str">
        <f>_xlfn.XLOOKUP(A1206,'[1]2050Pop'!$A$7:$A$143,'[1]2050Pop'!$D$7:$D$143)</f>
        <v>MENA</v>
      </c>
      <c r="C1206" s="127">
        <f>1000*_xlfn.XLOOKUP(A1206,'[1]2050Pop'!$A$7:$A$143,'[1]2050Pop'!$C$7:$C$143)</f>
        <v>12610</v>
      </c>
      <c r="D1206" s="126" t="s">
        <v>503</v>
      </c>
      <c r="E1206" s="128">
        <v>30.454000000000001</v>
      </c>
      <c r="F1206" s="129">
        <f t="shared" si="56"/>
        <v>0.38402493999999998</v>
      </c>
      <c r="G1206" t="str">
        <f>_xlfn.XLOOKUP(D1206,'[1]2050 BAU Mapping to T &amp; C'!$A$3:$A$52,'[1]2050 BAU Mapping to T &amp; C'!$B$3:$B$52)</f>
        <v>Fish</v>
      </c>
      <c r="H1206" s="129">
        <f>_xlfn.XLOOKUP(G1206,'[1]T&amp;C emissions for 2050 analysis'!$B$3:$B$23,'[1]T&amp;C emissions for 2050 analysis'!$C$3:$C$23)</f>
        <v>9.5333333333333332</v>
      </c>
      <c r="I1206" s="27">
        <f t="shared" si="54"/>
        <v>3.6610377613333331</v>
      </c>
      <c r="J1206" s="129">
        <f t="shared" si="55"/>
        <v>290.32813333333331</v>
      </c>
    </row>
    <row r="1207" spans="1:10" hidden="1" x14ac:dyDescent="0.35">
      <c r="A1207" s="126" t="s">
        <v>414</v>
      </c>
      <c r="B1207" t="str">
        <f>_xlfn.XLOOKUP(A1207,'[1]2050Pop'!$A$7:$A$143,'[1]2050Pop'!$D$7:$D$143)</f>
        <v>Euro/AU/NZ</v>
      </c>
      <c r="C1207" s="127">
        <f>1000*_xlfn.XLOOKUP(A1207,'[1]2050Pop'!$A$7:$A$143,'[1]2050Pop'!$C$7:$C$143)</f>
        <v>56513</v>
      </c>
      <c r="D1207" s="126" t="s">
        <v>503</v>
      </c>
      <c r="E1207" s="128">
        <v>36.067</v>
      </c>
      <c r="F1207" s="129">
        <f t="shared" si="56"/>
        <v>2.0382543709999998</v>
      </c>
      <c r="G1207" t="str">
        <f>_xlfn.XLOOKUP(D1207,'[1]2050 BAU Mapping to T &amp; C'!$A$3:$A$52,'[1]2050 BAU Mapping to T &amp; C'!$B$3:$B$52)</f>
        <v>Fish</v>
      </c>
      <c r="H1207" s="129">
        <f>_xlfn.XLOOKUP(G1207,'[1]T&amp;C emissions for 2050 analysis'!$B$3:$B$23,'[1]T&amp;C emissions for 2050 analysis'!$C$3:$C$23)</f>
        <v>9.5333333333333332</v>
      </c>
      <c r="I1207" s="27">
        <f t="shared" si="54"/>
        <v>19.431358336866666</v>
      </c>
      <c r="J1207" s="129">
        <f t="shared" si="55"/>
        <v>343.83873333333332</v>
      </c>
    </row>
    <row r="1208" spans="1:10" hidden="1" x14ac:dyDescent="0.35">
      <c r="A1208" s="126" t="s">
        <v>415</v>
      </c>
      <c r="B1208" t="str">
        <f>_xlfn.XLOOKUP(A1208,'[1]2050Pop'!$A$7:$A$143,'[1]2050Pop'!$D$7:$D$143)</f>
        <v>LatAm &amp; RSA</v>
      </c>
      <c r="C1208" s="127">
        <f>1000*_xlfn.XLOOKUP(A1208,'[1]2050Pop'!$A$7:$A$143,'[1]2050Pop'!$C$7:$C$143)</f>
        <v>2710</v>
      </c>
      <c r="D1208" s="126" t="s">
        <v>503</v>
      </c>
      <c r="E1208" s="128">
        <v>38.609000000000002</v>
      </c>
      <c r="F1208" s="129">
        <f t="shared" si="56"/>
        <v>0.10463039</v>
      </c>
      <c r="G1208" t="str">
        <f>_xlfn.XLOOKUP(D1208,'[1]2050 BAU Mapping to T &amp; C'!$A$3:$A$52,'[1]2050 BAU Mapping to T &amp; C'!$B$3:$B$52)</f>
        <v>Fish</v>
      </c>
      <c r="H1208" s="129">
        <f>_xlfn.XLOOKUP(G1208,'[1]T&amp;C emissions for 2050 analysis'!$B$3:$B$23,'[1]T&amp;C emissions for 2050 analysis'!$C$3:$C$23)</f>
        <v>9.5333333333333332</v>
      </c>
      <c r="I1208" s="27">
        <f t="shared" si="54"/>
        <v>0.99747638466666666</v>
      </c>
      <c r="J1208" s="129">
        <f t="shared" si="55"/>
        <v>368.07246666666668</v>
      </c>
    </row>
    <row r="1209" spans="1:10" hidden="1" x14ac:dyDescent="0.35">
      <c r="A1209" s="126" t="s">
        <v>416</v>
      </c>
      <c r="B1209" t="str">
        <f>_xlfn.XLOOKUP(A1209,'[1]2050Pop'!$A$7:$A$143,'[1]2050Pop'!$D$7:$D$143)</f>
        <v>APAC</v>
      </c>
      <c r="C1209" s="127">
        <f>1000*_xlfn.XLOOKUP(A1209,'[1]2050Pop'!$A$7:$A$143,'[1]2050Pop'!$C$7:$C$143)</f>
        <v>107411</v>
      </c>
      <c r="D1209" s="126" t="s">
        <v>503</v>
      </c>
      <c r="E1209" s="128">
        <v>116.974</v>
      </c>
      <c r="F1209" s="129">
        <f t="shared" si="56"/>
        <v>12.564294314000001</v>
      </c>
      <c r="G1209" t="str">
        <f>_xlfn.XLOOKUP(D1209,'[1]2050 BAU Mapping to T &amp; C'!$A$3:$A$52,'[1]2050 BAU Mapping to T &amp; C'!$B$3:$B$52)</f>
        <v>Fish</v>
      </c>
      <c r="H1209" s="129">
        <f>_xlfn.XLOOKUP(G1209,'[1]T&amp;C emissions for 2050 analysis'!$B$3:$B$23,'[1]T&amp;C emissions for 2050 analysis'!$C$3:$C$23)</f>
        <v>9.5333333333333332</v>
      </c>
      <c r="I1209" s="27">
        <f t="shared" si="54"/>
        <v>119.77960579346667</v>
      </c>
      <c r="J1209" s="129">
        <f t="shared" si="55"/>
        <v>1115.1521333333333</v>
      </c>
    </row>
    <row r="1210" spans="1:10" hidden="1" x14ac:dyDescent="0.35">
      <c r="A1210" s="126" t="s">
        <v>417</v>
      </c>
      <c r="B1210" t="str">
        <f>_xlfn.XLOOKUP(A1210,'[1]2050Pop'!$A$7:$A$143,'[1]2050Pop'!$D$7:$D$143)</f>
        <v>MENA</v>
      </c>
      <c r="C1210" s="127">
        <f>1000*_xlfn.XLOOKUP(A1210,'[1]2050Pop'!$A$7:$A$143,'[1]2050Pop'!$C$7:$C$143)</f>
        <v>11717</v>
      </c>
      <c r="D1210" s="126" t="s">
        <v>503</v>
      </c>
      <c r="E1210" s="128">
        <v>8.3490000000000002</v>
      </c>
      <c r="F1210" s="129">
        <f t="shared" si="56"/>
        <v>9.7825233000000011E-2</v>
      </c>
      <c r="G1210" t="str">
        <f>_xlfn.XLOOKUP(D1210,'[1]2050 BAU Mapping to T &amp; C'!$A$3:$A$52,'[1]2050 BAU Mapping to T &amp; C'!$B$3:$B$52)</f>
        <v>Fish</v>
      </c>
      <c r="H1210" s="129">
        <f>_xlfn.XLOOKUP(G1210,'[1]T&amp;C emissions for 2050 analysis'!$B$3:$B$23,'[1]T&amp;C emissions for 2050 analysis'!$C$3:$C$23)</f>
        <v>9.5333333333333332</v>
      </c>
      <c r="I1210" s="27">
        <f t="shared" si="54"/>
        <v>0.93260055460000013</v>
      </c>
      <c r="J1210" s="129">
        <f t="shared" si="55"/>
        <v>79.593800000000002</v>
      </c>
    </row>
    <row r="1211" spans="1:10" hidden="1" x14ac:dyDescent="0.35">
      <c r="A1211" s="126" t="s">
        <v>418</v>
      </c>
      <c r="B1211" t="str">
        <f>_xlfn.XLOOKUP(A1211,'[1]2050Pop'!$A$7:$A$143,'[1]2050Pop'!$D$7:$D$143)</f>
        <v>APAC</v>
      </c>
      <c r="C1211" s="127">
        <f>1000*_xlfn.XLOOKUP(A1211,'[1]2050Pop'!$A$7:$A$143,'[1]2050Pop'!$C$7:$C$143)</f>
        <v>22447</v>
      </c>
      <c r="D1211" s="126" t="s">
        <v>503</v>
      </c>
      <c r="E1211" s="128">
        <v>9.6059999999999999</v>
      </c>
      <c r="F1211" s="129">
        <f t="shared" si="56"/>
        <v>0.21562588199999999</v>
      </c>
      <c r="G1211" t="str">
        <f>_xlfn.XLOOKUP(D1211,'[1]2050 BAU Mapping to T &amp; C'!$A$3:$A$52,'[1]2050 BAU Mapping to T &amp; C'!$B$3:$B$52)</f>
        <v>Fish</v>
      </c>
      <c r="H1211" s="129">
        <f>_xlfn.XLOOKUP(G1211,'[1]T&amp;C emissions for 2050 analysis'!$B$3:$B$23,'[1]T&amp;C emissions for 2050 analysis'!$C$3:$C$23)</f>
        <v>9.5333333333333332</v>
      </c>
      <c r="I1211" s="27">
        <f t="shared" si="54"/>
        <v>2.0556334083999999</v>
      </c>
      <c r="J1211" s="129">
        <f t="shared" si="55"/>
        <v>91.577199999999991</v>
      </c>
    </row>
    <row r="1212" spans="1:10" hidden="1" x14ac:dyDescent="0.35">
      <c r="A1212" s="126" t="s">
        <v>419</v>
      </c>
      <c r="B1212" t="str">
        <f>_xlfn.XLOOKUP(A1212,'[1]2050Pop'!$A$7:$A$143,'[1]2050Pop'!$D$7:$D$143)</f>
        <v>SSA</v>
      </c>
      <c r="C1212" s="127">
        <f>1000*_xlfn.XLOOKUP(A1212,'[1]2050Pop'!$A$7:$A$143,'[1]2050Pop'!$C$7:$C$143)</f>
        <v>95505</v>
      </c>
      <c r="D1212" s="126" t="s">
        <v>503</v>
      </c>
      <c r="E1212" s="128">
        <v>9.5690000000000008</v>
      </c>
      <c r="F1212" s="129">
        <f t="shared" si="56"/>
        <v>0.91388734500000013</v>
      </c>
      <c r="G1212" t="str">
        <f>_xlfn.XLOOKUP(D1212,'[1]2050 BAU Mapping to T &amp; C'!$A$3:$A$52,'[1]2050 BAU Mapping to T &amp; C'!$B$3:$B$52)</f>
        <v>Fish</v>
      </c>
      <c r="H1212" s="129">
        <f>_xlfn.XLOOKUP(G1212,'[1]T&amp;C emissions for 2050 analysis'!$B$3:$B$23,'[1]T&amp;C emissions for 2050 analysis'!$C$3:$C$23)</f>
        <v>9.5333333333333332</v>
      </c>
      <c r="I1212" s="27">
        <f t="shared" si="54"/>
        <v>8.7123926890000014</v>
      </c>
      <c r="J1212" s="129">
        <f t="shared" si="55"/>
        <v>91.224466666666672</v>
      </c>
    </row>
    <row r="1213" spans="1:10" hidden="1" x14ac:dyDescent="0.35">
      <c r="A1213" s="126" t="s">
        <v>420</v>
      </c>
      <c r="B1213" t="str">
        <f>_xlfn.XLOOKUP(A1213,'[1]2050Pop'!$A$7:$A$143,'[1]2050Pop'!$D$7:$D$143)</f>
        <v>APAC</v>
      </c>
      <c r="C1213" s="127">
        <f>1000*_xlfn.XLOOKUP(A1213,'[1]2050Pop'!$A$7:$A$143,'[1]2050Pop'!$C$7:$C$143)</f>
        <v>8248</v>
      </c>
      <c r="D1213" s="126" t="s">
        <v>503</v>
      </c>
      <c r="E1213" s="128">
        <v>4.8849999999999998</v>
      </c>
      <c r="F1213" s="129">
        <f t="shared" si="56"/>
        <v>4.0291479999999998E-2</v>
      </c>
      <c r="G1213" t="str">
        <f>_xlfn.XLOOKUP(D1213,'[1]2050 BAU Mapping to T &amp; C'!$A$3:$A$52,'[1]2050 BAU Mapping to T &amp; C'!$B$3:$B$52)</f>
        <v>Fish</v>
      </c>
      <c r="H1213" s="129">
        <f>_xlfn.XLOOKUP(G1213,'[1]T&amp;C emissions for 2050 analysis'!$B$3:$B$23,'[1]T&amp;C emissions for 2050 analysis'!$C$3:$C$23)</f>
        <v>9.5333333333333332</v>
      </c>
      <c r="I1213" s="27">
        <f t="shared" si="54"/>
        <v>0.38411210933333328</v>
      </c>
      <c r="J1213" s="129">
        <f t="shared" si="55"/>
        <v>46.57033333333333</v>
      </c>
    </row>
    <row r="1214" spans="1:10" hidden="1" x14ac:dyDescent="0.35">
      <c r="A1214" s="126" t="s">
        <v>421</v>
      </c>
      <c r="B1214" t="str">
        <f>_xlfn.XLOOKUP(A1214,'[1]2050Pop'!$A$7:$A$143,'[1]2050Pop'!$D$7:$D$143)</f>
        <v>APAC</v>
      </c>
      <c r="C1214" s="127">
        <f>1000*_xlfn.XLOOKUP(A1214,'[1]2050Pop'!$A$7:$A$143,'[1]2050Pop'!$C$7:$C$143)</f>
        <v>10172</v>
      </c>
      <c r="D1214" s="126" t="s">
        <v>503</v>
      </c>
      <c r="E1214" s="128">
        <v>39.646000000000001</v>
      </c>
      <c r="F1214" s="129">
        <f t="shared" si="56"/>
        <v>0.403279112</v>
      </c>
      <c r="G1214" t="str">
        <f>_xlfn.XLOOKUP(D1214,'[1]2050 BAU Mapping to T &amp; C'!$A$3:$A$52,'[1]2050 BAU Mapping to T &amp; C'!$B$3:$B$52)</f>
        <v>Fish</v>
      </c>
      <c r="H1214" s="129">
        <f>_xlfn.XLOOKUP(G1214,'[1]T&amp;C emissions for 2050 analysis'!$B$3:$B$23,'[1]T&amp;C emissions for 2050 analysis'!$C$3:$C$23)</f>
        <v>9.5333333333333332</v>
      </c>
      <c r="I1214" s="27">
        <f t="shared" si="54"/>
        <v>3.8445942010666667</v>
      </c>
      <c r="J1214" s="129">
        <f t="shared" si="55"/>
        <v>377.95853333333332</v>
      </c>
    </row>
    <row r="1215" spans="1:10" hidden="1" x14ac:dyDescent="0.35">
      <c r="A1215" s="126" t="s">
        <v>422</v>
      </c>
      <c r="B1215" t="str">
        <f>_xlfn.XLOOKUP(A1215,'[1]2050Pop'!$A$7:$A$143,'[1]2050Pop'!$D$7:$D$143)</f>
        <v>Euro/AU/NZ</v>
      </c>
      <c r="C1215" s="127">
        <f>1000*_xlfn.XLOOKUP(A1215,'[1]2050Pop'!$A$7:$A$143,'[1]2050Pop'!$C$7:$C$143)</f>
        <v>1593</v>
      </c>
      <c r="D1215" s="126" t="s">
        <v>503</v>
      </c>
      <c r="E1215" s="128">
        <v>43.186</v>
      </c>
      <c r="F1215" s="129">
        <f t="shared" si="56"/>
        <v>6.8795297999999991E-2</v>
      </c>
      <c r="G1215" t="str">
        <f>_xlfn.XLOOKUP(D1215,'[1]2050 BAU Mapping to T &amp; C'!$A$3:$A$52,'[1]2050 BAU Mapping to T &amp; C'!$B$3:$B$52)</f>
        <v>Fish</v>
      </c>
      <c r="H1215" s="129">
        <f>_xlfn.XLOOKUP(G1215,'[1]T&amp;C emissions for 2050 analysis'!$B$3:$B$23,'[1]T&amp;C emissions for 2050 analysis'!$C$3:$C$23)</f>
        <v>9.5333333333333332</v>
      </c>
      <c r="I1215" s="27">
        <f t="shared" si="54"/>
        <v>0.65584850759999991</v>
      </c>
      <c r="J1215" s="129">
        <f t="shared" si="55"/>
        <v>411.70653333333331</v>
      </c>
    </row>
    <row r="1216" spans="1:10" hidden="1" x14ac:dyDescent="0.35">
      <c r="A1216" s="126" t="s">
        <v>423</v>
      </c>
      <c r="B1216" t="str">
        <f>_xlfn.XLOOKUP(A1216,'[1]2050Pop'!$A$7:$A$143,'[1]2050Pop'!$D$7:$D$143)</f>
        <v>MENA</v>
      </c>
      <c r="C1216" s="127">
        <f>1000*_xlfn.XLOOKUP(A1216,'[1]2050Pop'!$A$7:$A$143,'[1]2050Pop'!$C$7:$C$143)</f>
        <v>5610</v>
      </c>
      <c r="D1216" s="126" t="s">
        <v>503</v>
      </c>
      <c r="E1216" s="128">
        <v>15.973000000000001</v>
      </c>
      <c r="F1216" s="129">
        <f t="shared" si="56"/>
        <v>8.9608530000000006E-2</v>
      </c>
      <c r="G1216" t="str">
        <f>_xlfn.XLOOKUP(D1216,'[1]2050 BAU Mapping to T &amp; C'!$A$3:$A$52,'[1]2050 BAU Mapping to T &amp; C'!$B$3:$B$52)</f>
        <v>Fish</v>
      </c>
      <c r="H1216" s="129">
        <f>_xlfn.XLOOKUP(G1216,'[1]T&amp;C emissions for 2050 analysis'!$B$3:$B$23,'[1]T&amp;C emissions for 2050 analysis'!$C$3:$C$23)</f>
        <v>9.5333333333333332</v>
      </c>
      <c r="I1216" s="27">
        <f t="shared" si="54"/>
        <v>0.85426798600000009</v>
      </c>
      <c r="J1216" s="129">
        <f t="shared" si="55"/>
        <v>152.27593333333334</v>
      </c>
    </row>
    <row r="1217" spans="1:10" hidden="1" x14ac:dyDescent="0.35">
      <c r="A1217" s="126" t="s">
        <v>424</v>
      </c>
      <c r="B1217" t="str">
        <f>_xlfn.XLOOKUP(A1217,'[1]2050Pop'!$A$7:$A$143,'[1]2050Pop'!$D$7:$D$143)</f>
        <v>SSA</v>
      </c>
      <c r="C1217" s="127">
        <f>1000*_xlfn.XLOOKUP(A1217,'[1]2050Pop'!$A$7:$A$143,'[1]2050Pop'!$C$7:$C$143)</f>
        <v>2987</v>
      </c>
      <c r="D1217" s="126" t="s">
        <v>503</v>
      </c>
      <c r="E1217" s="128">
        <v>1.1060000000000001</v>
      </c>
      <c r="F1217" s="129">
        <f t="shared" si="56"/>
        <v>3.3036220000000004E-3</v>
      </c>
      <c r="G1217" t="str">
        <f>_xlfn.XLOOKUP(D1217,'[1]2050 BAU Mapping to T &amp; C'!$A$3:$A$52,'[1]2050 BAU Mapping to T &amp; C'!$B$3:$B$52)</f>
        <v>Fish</v>
      </c>
      <c r="H1217" s="129">
        <f>_xlfn.XLOOKUP(G1217,'[1]T&amp;C emissions for 2050 analysis'!$B$3:$B$23,'[1]T&amp;C emissions for 2050 analysis'!$C$3:$C$23)</f>
        <v>9.5333333333333332</v>
      </c>
      <c r="I1217" s="27">
        <f t="shared" si="54"/>
        <v>3.1494529733333339E-2</v>
      </c>
      <c r="J1217" s="129">
        <f t="shared" si="55"/>
        <v>10.543866666666668</v>
      </c>
    </row>
    <row r="1218" spans="1:10" hidden="1" x14ac:dyDescent="0.35">
      <c r="A1218" s="126" t="s">
        <v>425</v>
      </c>
      <c r="B1218" t="str">
        <f>_xlfn.XLOOKUP(A1218,'[1]2050Pop'!$A$7:$A$143,'[1]2050Pop'!$D$7:$D$143)</f>
        <v>SSA</v>
      </c>
      <c r="C1218" s="127">
        <f>1000*_xlfn.XLOOKUP(A1218,'[1]2050Pop'!$A$7:$A$143,'[1]2050Pop'!$C$7:$C$143)</f>
        <v>9436</v>
      </c>
      <c r="D1218" s="126" t="s">
        <v>503</v>
      </c>
      <c r="E1218" s="130">
        <v>9.3699999999999992</v>
      </c>
      <c r="F1218" s="129">
        <f t="shared" si="56"/>
        <v>8.8415319999999992E-2</v>
      </c>
      <c r="G1218" t="str">
        <f>_xlfn.XLOOKUP(D1218,'[1]2050 BAU Mapping to T &amp; C'!$A$3:$A$52,'[1]2050 BAU Mapping to T &amp; C'!$B$3:$B$52)</f>
        <v>Fish</v>
      </c>
      <c r="H1218" s="129">
        <f>_xlfn.XLOOKUP(G1218,'[1]T&amp;C emissions for 2050 analysis'!$B$3:$B$23,'[1]T&amp;C emissions for 2050 analysis'!$C$3:$C$23)</f>
        <v>9.5333333333333332</v>
      </c>
      <c r="I1218" s="27">
        <f t="shared" si="54"/>
        <v>0.84289271733333326</v>
      </c>
      <c r="J1218" s="129">
        <f t="shared" si="55"/>
        <v>89.327333333333328</v>
      </c>
    </row>
    <row r="1219" spans="1:10" hidden="1" x14ac:dyDescent="0.35">
      <c r="A1219" s="126" t="s">
        <v>426</v>
      </c>
      <c r="B1219" t="str">
        <f>_xlfn.XLOOKUP(A1219,'[1]2050Pop'!$A$7:$A$143,'[1]2050Pop'!$D$7:$D$143)</f>
        <v>Euro/AU/NZ</v>
      </c>
      <c r="C1219" s="127">
        <f>1000*_xlfn.XLOOKUP(A1219,'[1]2050Pop'!$A$7:$A$143,'[1]2050Pop'!$C$7:$C$143)</f>
        <v>2375</v>
      </c>
      <c r="D1219" s="126" t="s">
        <v>503</v>
      </c>
      <c r="E1219" s="130">
        <v>94.14</v>
      </c>
      <c r="F1219" s="129">
        <f t="shared" si="56"/>
        <v>0.22358249999999999</v>
      </c>
      <c r="G1219" t="str">
        <f>_xlfn.XLOOKUP(D1219,'[1]2050 BAU Mapping to T &amp; C'!$A$3:$A$52,'[1]2050 BAU Mapping to T &amp; C'!$B$3:$B$52)</f>
        <v>Fish</v>
      </c>
      <c r="H1219" s="129">
        <f>_xlfn.XLOOKUP(G1219,'[1]T&amp;C emissions for 2050 analysis'!$B$3:$B$23,'[1]T&amp;C emissions for 2050 analysis'!$C$3:$C$23)</f>
        <v>9.5333333333333332</v>
      </c>
      <c r="I1219" s="27">
        <f t="shared" si="54"/>
        <v>2.1314864999999998</v>
      </c>
      <c r="J1219" s="129">
        <f t="shared" si="55"/>
        <v>897.46799999999996</v>
      </c>
    </row>
    <row r="1220" spans="1:10" hidden="1" x14ac:dyDescent="0.35">
      <c r="A1220" s="126" t="s">
        <v>427</v>
      </c>
      <c r="B1220" t="str">
        <f>_xlfn.XLOOKUP(A1220,'[1]2050Pop'!$A$7:$A$143,'[1]2050Pop'!$D$7:$D$143)</f>
        <v>SSA</v>
      </c>
      <c r="C1220" s="127">
        <f>1000*_xlfn.XLOOKUP(A1220,'[1]2050Pop'!$A$7:$A$143,'[1]2050Pop'!$C$7:$C$143)</f>
        <v>55294</v>
      </c>
      <c r="D1220" s="126" t="s">
        <v>503</v>
      </c>
      <c r="E1220" s="128">
        <v>11.308999999999999</v>
      </c>
      <c r="F1220" s="129">
        <f t="shared" si="56"/>
        <v>0.6253198459999999</v>
      </c>
      <c r="G1220" t="str">
        <f>_xlfn.XLOOKUP(D1220,'[1]2050 BAU Mapping to T &amp; C'!$A$3:$A$52,'[1]2050 BAU Mapping to T &amp; C'!$B$3:$B$52)</f>
        <v>Fish</v>
      </c>
      <c r="H1220" s="129">
        <f>_xlfn.XLOOKUP(G1220,'[1]T&amp;C emissions for 2050 analysis'!$B$3:$B$23,'[1]T&amp;C emissions for 2050 analysis'!$C$3:$C$23)</f>
        <v>9.5333333333333332</v>
      </c>
      <c r="I1220" s="27">
        <f t="shared" ref="I1220:I1283" si="57">F1220*H1220</f>
        <v>5.9613825318666658</v>
      </c>
      <c r="J1220" s="129">
        <f t="shared" ref="J1220:J1283" si="58">E1220*H1220</f>
        <v>107.81246666666665</v>
      </c>
    </row>
    <row r="1221" spans="1:10" hidden="1" x14ac:dyDescent="0.35">
      <c r="A1221" s="126" t="s">
        <v>428</v>
      </c>
      <c r="B1221" t="str">
        <f>_xlfn.XLOOKUP(A1221,'[1]2050Pop'!$A$7:$A$143,'[1]2050Pop'!$D$7:$D$143)</f>
        <v>SSA</v>
      </c>
      <c r="C1221" s="127">
        <f>1000*_xlfn.XLOOKUP(A1221,'[1]2050Pop'!$A$7:$A$143,'[1]2050Pop'!$C$7:$C$143)</f>
        <v>43155</v>
      </c>
      <c r="D1221" s="126" t="s">
        <v>503</v>
      </c>
      <c r="E1221" s="130">
        <v>16.53</v>
      </c>
      <c r="F1221" s="129">
        <f t="shared" ref="F1221:F1284" si="59">C1221*E1221/1000000</f>
        <v>0.71335215000000007</v>
      </c>
      <c r="G1221" t="str">
        <f>_xlfn.XLOOKUP(D1221,'[1]2050 BAU Mapping to T &amp; C'!$A$3:$A$52,'[1]2050 BAU Mapping to T &amp; C'!$B$3:$B$52)</f>
        <v>Fish</v>
      </c>
      <c r="H1221" s="129">
        <f>_xlfn.XLOOKUP(G1221,'[1]T&amp;C emissions for 2050 analysis'!$B$3:$B$23,'[1]T&amp;C emissions for 2050 analysis'!$C$3:$C$23)</f>
        <v>9.5333333333333332</v>
      </c>
      <c r="I1221" s="27">
        <f t="shared" si="57"/>
        <v>6.800623830000001</v>
      </c>
      <c r="J1221" s="129">
        <f t="shared" si="58"/>
        <v>157.58600000000001</v>
      </c>
    </row>
    <row r="1222" spans="1:10" hidden="1" x14ac:dyDescent="0.35">
      <c r="A1222" s="126" t="s">
        <v>429</v>
      </c>
      <c r="B1222" t="str">
        <f>_xlfn.XLOOKUP(A1222,'[1]2050Pop'!$A$7:$A$143,'[1]2050Pop'!$D$7:$D$143)</f>
        <v>APAC</v>
      </c>
      <c r="C1222" s="127">
        <f>1000*_xlfn.XLOOKUP(A1222,'[1]2050Pop'!$A$7:$A$143,'[1]2050Pop'!$C$7:$C$143)</f>
        <v>40725</v>
      </c>
      <c r="D1222" s="126" t="s">
        <v>503</v>
      </c>
      <c r="E1222" s="128">
        <v>103.087</v>
      </c>
      <c r="F1222" s="129">
        <f t="shared" si="59"/>
        <v>4.1982180749999998</v>
      </c>
      <c r="G1222" t="str">
        <f>_xlfn.XLOOKUP(D1222,'[1]2050 BAU Mapping to T &amp; C'!$A$3:$A$52,'[1]2050 BAU Mapping to T &amp; C'!$B$3:$B$52)</f>
        <v>Fish</v>
      </c>
      <c r="H1222" s="129">
        <f>_xlfn.XLOOKUP(G1222,'[1]T&amp;C emissions for 2050 analysis'!$B$3:$B$23,'[1]T&amp;C emissions for 2050 analysis'!$C$3:$C$23)</f>
        <v>9.5333333333333332</v>
      </c>
      <c r="I1222" s="27">
        <f t="shared" si="57"/>
        <v>40.023012314999995</v>
      </c>
      <c r="J1222" s="129">
        <f t="shared" si="58"/>
        <v>982.76273333333336</v>
      </c>
    </row>
    <row r="1223" spans="1:10" hidden="1" x14ac:dyDescent="0.35">
      <c r="A1223" s="126" t="s">
        <v>430</v>
      </c>
      <c r="B1223" t="str">
        <f>_xlfn.XLOOKUP(A1223,'[1]2050Pop'!$A$7:$A$143,'[1]2050Pop'!$D$7:$D$143)</f>
        <v>SSA</v>
      </c>
      <c r="C1223" s="127">
        <f>1000*_xlfn.XLOOKUP(A1223,'[1]2050Pop'!$A$7:$A$143,'[1]2050Pop'!$C$7:$C$143)</f>
        <v>45404</v>
      </c>
      <c r="D1223" s="126" t="s">
        <v>503</v>
      </c>
      <c r="E1223" s="128">
        <v>14.010999999999999</v>
      </c>
      <c r="F1223" s="129">
        <f t="shared" si="59"/>
        <v>0.63615544400000001</v>
      </c>
      <c r="G1223" t="str">
        <f>_xlfn.XLOOKUP(D1223,'[1]2050 BAU Mapping to T &amp; C'!$A$3:$A$52,'[1]2050 BAU Mapping to T &amp; C'!$B$3:$B$52)</f>
        <v>Fish</v>
      </c>
      <c r="H1223" s="129">
        <f>_xlfn.XLOOKUP(G1223,'[1]T&amp;C emissions for 2050 analysis'!$B$3:$B$23,'[1]T&amp;C emissions for 2050 analysis'!$C$3:$C$23)</f>
        <v>9.5333333333333332</v>
      </c>
      <c r="I1223" s="27">
        <f t="shared" si="57"/>
        <v>6.0646818994666667</v>
      </c>
      <c r="J1223" s="129">
        <f t="shared" si="58"/>
        <v>133.57153333333332</v>
      </c>
    </row>
    <row r="1224" spans="1:10" hidden="1" x14ac:dyDescent="0.35">
      <c r="A1224" s="126" t="s">
        <v>431</v>
      </c>
      <c r="B1224" t="str">
        <f>_xlfn.XLOOKUP(A1224,'[1]2050Pop'!$A$7:$A$143,'[1]2050Pop'!$D$7:$D$143)</f>
        <v>SSA</v>
      </c>
      <c r="C1224" s="127">
        <f>1000*_xlfn.XLOOKUP(A1224,'[1]2050Pop'!$A$7:$A$143,'[1]2050Pop'!$C$7:$C$143)</f>
        <v>8048.9999999999991</v>
      </c>
      <c r="D1224" s="126" t="s">
        <v>503</v>
      </c>
      <c r="E1224" s="128">
        <v>24.259</v>
      </c>
      <c r="F1224" s="129">
        <f t="shared" si="59"/>
        <v>0.19526069099999999</v>
      </c>
      <c r="G1224" t="str">
        <f>_xlfn.XLOOKUP(D1224,'[1]2050 BAU Mapping to T &amp; C'!$A$3:$A$52,'[1]2050 BAU Mapping to T &amp; C'!$B$3:$B$52)</f>
        <v>Fish</v>
      </c>
      <c r="H1224" s="129">
        <f>_xlfn.XLOOKUP(G1224,'[1]T&amp;C emissions for 2050 analysis'!$B$3:$B$23,'[1]T&amp;C emissions for 2050 analysis'!$C$3:$C$23)</f>
        <v>9.5333333333333332</v>
      </c>
      <c r="I1224" s="27">
        <f t="shared" si="57"/>
        <v>1.8614852541999998</v>
      </c>
      <c r="J1224" s="129">
        <f t="shared" si="58"/>
        <v>231.26913333333334</v>
      </c>
    </row>
    <row r="1225" spans="1:10" hidden="1" x14ac:dyDescent="0.35">
      <c r="A1225" s="126" t="s">
        <v>432</v>
      </c>
      <c r="B1225" t="str">
        <f>_xlfn.XLOOKUP(A1225,'[1]2050Pop'!$A$7:$A$143,'[1]2050Pop'!$D$7:$D$143)</f>
        <v>SSA</v>
      </c>
      <c r="C1225" s="127">
        <f>1000*_xlfn.XLOOKUP(A1225,'[1]2050Pop'!$A$7:$A$143,'[1]2050Pop'!$C$7:$C$143)</f>
        <v>1249</v>
      </c>
      <c r="D1225" s="126" t="s">
        <v>503</v>
      </c>
      <c r="E1225" s="128">
        <v>46.898000000000003</v>
      </c>
      <c r="F1225" s="129">
        <f t="shared" si="59"/>
        <v>5.8575602000000004E-2</v>
      </c>
      <c r="G1225" t="str">
        <f>_xlfn.XLOOKUP(D1225,'[1]2050 BAU Mapping to T &amp; C'!$A$3:$A$52,'[1]2050 BAU Mapping to T &amp; C'!$B$3:$B$52)</f>
        <v>Fish</v>
      </c>
      <c r="H1225" s="129">
        <f>_xlfn.XLOOKUP(G1225,'[1]T&amp;C emissions for 2050 analysis'!$B$3:$B$23,'[1]T&amp;C emissions for 2050 analysis'!$C$3:$C$23)</f>
        <v>9.5333333333333332</v>
      </c>
      <c r="I1225" s="27">
        <f t="shared" si="57"/>
        <v>0.55842073906666667</v>
      </c>
      <c r="J1225" s="129">
        <f t="shared" si="58"/>
        <v>447.09426666666667</v>
      </c>
    </row>
    <row r="1226" spans="1:10" hidden="1" x14ac:dyDescent="0.35">
      <c r="A1226" s="126" t="s">
        <v>433</v>
      </c>
      <c r="B1226" t="str">
        <f>_xlfn.XLOOKUP(A1226,'[1]2050Pop'!$A$7:$A$143,'[1]2050Pop'!$D$7:$D$143)</f>
        <v>LatAm &amp; RSA</v>
      </c>
      <c r="C1226" s="127">
        <f>1000*_xlfn.XLOOKUP(A1226,'[1]2050Pop'!$A$7:$A$143,'[1]2050Pop'!$C$7:$C$143)</f>
        <v>163754</v>
      </c>
      <c r="D1226" s="126" t="s">
        <v>503</v>
      </c>
      <c r="E1226" s="128">
        <v>16.327000000000002</v>
      </c>
      <c r="F1226" s="129">
        <f t="shared" si="59"/>
        <v>2.6736115580000002</v>
      </c>
      <c r="G1226" t="str">
        <f>_xlfn.XLOOKUP(D1226,'[1]2050 BAU Mapping to T &amp; C'!$A$3:$A$52,'[1]2050 BAU Mapping to T &amp; C'!$B$3:$B$52)</f>
        <v>Fish</v>
      </c>
      <c r="H1226" s="129">
        <f>_xlfn.XLOOKUP(G1226,'[1]T&amp;C emissions for 2050 analysis'!$B$3:$B$23,'[1]T&amp;C emissions for 2050 analysis'!$C$3:$C$23)</f>
        <v>9.5333333333333332</v>
      </c>
      <c r="I1226" s="27">
        <f t="shared" si="57"/>
        <v>25.488430186266669</v>
      </c>
      <c r="J1226" s="129">
        <f t="shared" si="58"/>
        <v>155.65073333333333</v>
      </c>
    </row>
    <row r="1227" spans="1:10" hidden="1" x14ac:dyDescent="0.35">
      <c r="A1227" s="126" t="s">
        <v>434</v>
      </c>
      <c r="B1227" t="str">
        <f>_xlfn.XLOOKUP(A1227,'[1]2050Pop'!$A$7:$A$143,'[1]2050Pop'!$D$7:$D$143)</f>
        <v>APAC</v>
      </c>
      <c r="C1227" s="127">
        <f>1000*_xlfn.XLOOKUP(A1227,'[1]2050Pop'!$A$7:$A$143,'[1]2050Pop'!$C$7:$C$143)</f>
        <v>4027.9999999999995</v>
      </c>
      <c r="D1227" s="126" t="s">
        <v>503</v>
      </c>
      <c r="E1227" s="128">
        <v>2.6779999999999999</v>
      </c>
      <c r="F1227" s="129">
        <f t="shared" si="59"/>
        <v>1.0786983999999998E-2</v>
      </c>
      <c r="G1227" t="str">
        <f>_xlfn.XLOOKUP(D1227,'[1]2050 BAU Mapping to T &amp; C'!$A$3:$A$52,'[1]2050 BAU Mapping to T &amp; C'!$B$3:$B$52)</f>
        <v>Fish</v>
      </c>
      <c r="H1227" s="129">
        <f>_xlfn.XLOOKUP(G1227,'[1]T&amp;C emissions for 2050 analysis'!$B$3:$B$23,'[1]T&amp;C emissions for 2050 analysis'!$C$3:$C$23)</f>
        <v>9.5333333333333332</v>
      </c>
      <c r="I1227" s="27">
        <f t="shared" si="57"/>
        <v>0.10283591413333332</v>
      </c>
      <c r="J1227" s="129">
        <f t="shared" si="58"/>
        <v>25.530266666666666</v>
      </c>
    </row>
    <row r="1228" spans="1:10" hidden="1" x14ac:dyDescent="0.35">
      <c r="A1228" s="126" t="s">
        <v>435</v>
      </c>
      <c r="B1228" t="str">
        <f>_xlfn.XLOOKUP(A1228,'[1]2050Pop'!$A$7:$A$143,'[1]2050Pop'!$D$7:$D$143)</f>
        <v>MENA</v>
      </c>
      <c r="C1228" s="127">
        <f>1000*_xlfn.XLOOKUP(A1228,'[1]2050Pop'!$A$7:$A$143,'[1]2050Pop'!$C$7:$C$143)</f>
        <v>43696</v>
      </c>
      <c r="D1228" s="126" t="s">
        <v>503</v>
      </c>
      <c r="E1228" s="128">
        <v>31.891999999999999</v>
      </c>
      <c r="F1228" s="129">
        <f t="shared" si="59"/>
        <v>1.3935528319999999</v>
      </c>
      <c r="G1228" t="str">
        <f>_xlfn.XLOOKUP(D1228,'[1]2050 BAU Mapping to T &amp; C'!$A$3:$A$52,'[1]2050 BAU Mapping to T &amp; C'!$B$3:$B$52)</f>
        <v>Fish</v>
      </c>
      <c r="H1228" s="129">
        <f>_xlfn.XLOOKUP(G1228,'[1]T&amp;C emissions for 2050 analysis'!$B$3:$B$23,'[1]T&amp;C emissions for 2050 analysis'!$C$3:$C$23)</f>
        <v>9.5333333333333332</v>
      </c>
      <c r="I1228" s="27">
        <f t="shared" si="57"/>
        <v>13.285203665066666</v>
      </c>
      <c r="J1228" s="129">
        <f t="shared" si="58"/>
        <v>304.03706666666665</v>
      </c>
    </row>
    <row r="1229" spans="1:10" hidden="1" x14ac:dyDescent="0.35">
      <c r="A1229" s="126" t="s">
        <v>436</v>
      </c>
      <c r="B1229" t="str">
        <f>_xlfn.XLOOKUP(A1229,'[1]2050Pop'!$A$7:$A$143,'[1]2050Pop'!$D$7:$D$143)</f>
        <v>SSA</v>
      </c>
      <c r="C1229" s="127">
        <f>1000*_xlfn.XLOOKUP(A1229,'[1]2050Pop'!$A$7:$A$143,'[1]2050Pop'!$C$7:$C$143)</f>
        <v>65544</v>
      </c>
      <c r="D1229" s="126" t="s">
        <v>503</v>
      </c>
      <c r="E1229" s="128">
        <v>17.158000000000001</v>
      </c>
      <c r="F1229" s="129">
        <f t="shared" si="59"/>
        <v>1.124603952</v>
      </c>
      <c r="G1229" t="str">
        <f>_xlfn.XLOOKUP(D1229,'[1]2050 BAU Mapping to T &amp; C'!$A$3:$A$52,'[1]2050 BAU Mapping to T &amp; C'!$B$3:$B$52)</f>
        <v>Fish</v>
      </c>
      <c r="H1229" s="129">
        <f>_xlfn.XLOOKUP(G1229,'[1]T&amp;C emissions for 2050 analysis'!$B$3:$B$23,'[1]T&amp;C emissions for 2050 analysis'!$C$3:$C$23)</f>
        <v>9.5333333333333332</v>
      </c>
      <c r="I1229" s="27">
        <f t="shared" si="57"/>
        <v>10.721224342399999</v>
      </c>
      <c r="J1229" s="129">
        <f t="shared" si="58"/>
        <v>163.57293333333334</v>
      </c>
    </row>
    <row r="1230" spans="1:10" hidden="1" x14ac:dyDescent="0.35">
      <c r="A1230" s="126" t="s">
        <v>490</v>
      </c>
      <c r="B1230" t="str">
        <f>_xlfn.XLOOKUP(A1230,'[1]2050Pop'!$A$7:$A$143,'[1]2050Pop'!$D$7:$D$143)</f>
        <v>APAC</v>
      </c>
      <c r="C1230" s="127">
        <f>1000*_xlfn.XLOOKUP(A1230,'[1]2050Pop'!$A$7:$A$143,'[1]2050Pop'!$C$7:$C$143)</f>
        <v>63575</v>
      </c>
      <c r="D1230" s="126" t="s">
        <v>503</v>
      </c>
      <c r="E1230" s="128">
        <v>104.336</v>
      </c>
      <c r="F1230" s="129">
        <f t="shared" si="59"/>
        <v>6.6331612</v>
      </c>
      <c r="G1230" t="str">
        <f>_xlfn.XLOOKUP(D1230,'[1]2050 BAU Mapping to T &amp; C'!$A$3:$A$52,'[1]2050 BAU Mapping to T &amp; C'!$B$3:$B$52)</f>
        <v>Fish</v>
      </c>
      <c r="H1230" s="129">
        <f>_xlfn.XLOOKUP(G1230,'[1]T&amp;C emissions for 2050 analysis'!$B$3:$B$23,'[1]T&amp;C emissions for 2050 analysis'!$C$3:$C$23)</f>
        <v>9.5333333333333332</v>
      </c>
      <c r="I1230" s="27">
        <f t="shared" si="57"/>
        <v>63.236136773333335</v>
      </c>
      <c r="J1230" s="129">
        <f t="shared" si="58"/>
        <v>994.66986666666662</v>
      </c>
    </row>
    <row r="1231" spans="1:10" hidden="1" x14ac:dyDescent="0.35">
      <c r="A1231" s="126" t="s">
        <v>437</v>
      </c>
      <c r="B1231" t="str">
        <f>_xlfn.XLOOKUP(A1231,'[1]2050Pop'!$A$7:$A$143,'[1]2050Pop'!$D$7:$D$143)</f>
        <v>SSA</v>
      </c>
      <c r="C1231" s="127">
        <f>1000*_xlfn.XLOOKUP(A1231,'[1]2050Pop'!$A$7:$A$143,'[1]2050Pop'!$C$7:$C$143)</f>
        <v>4322</v>
      </c>
      <c r="D1231" s="126" t="s">
        <v>503</v>
      </c>
      <c r="E1231" s="128">
        <v>19.686</v>
      </c>
      <c r="F1231" s="129">
        <f t="shared" si="59"/>
        <v>8.5082891999999993E-2</v>
      </c>
      <c r="G1231" t="str">
        <f>_xlfn.XLOOKUP(D1231,'[1]2050 BAU Mapping to T &amp; C'!$A$3:$A$52,'[1]2050 BAU Mapping to T &amp; C'!$B$3:$B$52)</f>
        <v>Fish</v>
      </c>
      <c r="H1231" s="129">
        <f>_xlfn.XLOOKUP(G1231,'[1]T&amp;C emissions for 2050 analysis'!$B$3:$B$23,'[1]T&amp;C emissions for 2050 analysis'!$C$3:$C$23)</f>
        <v>9.5333333333333332</v>
      </c>
      <c r="I1231" s="27">
        <f t="shared" si="57"/>
        <v>0.81112357039999994</v>
      </c>
      <c r="J1231" s="129">
        <f t="shared" si="58"/>
        <v>187.67320000000001</v>
      </c>
    </row>
    <row r="1232" spans="1:10" hidden="1" x14ac:dyDescent="0.35">
      <c r="A1232" s="126" t="s">
        <v>438</v>
      </c>
      <c r="B1232" t="str">
        <f>_xlfn.XLOOKUP(A1232,'[1]2050Pop'!$A$7:$A$143,'[1]2050Pop'!$D$7:$D$143)</f>
        <v>India/South Asia</v>
      </c>
      <c r="C1232" s="127">
        <f>1000*_xlfn.XLOOKUP(A1232,'[1]2050Pop'!$A$7:$A$143,'[1]2050Pop'!$C$7:$C$143)</f>
        <v>36159</v>
      </c>
      <c r="D1232" s="126" t="s">
        <v>503</v>
      </c>
      <c r="E1232" s="128">
        <v>3.927</v>
      </c>
      <c r="F1232" s="129">
        <f t="shared" si="59"/>
        <v>0.141996393</v>
      </c>
      <c r="G1232" t="str">
        <f>_xlfn.XLOOKUP(D1232,'[1]2050 BAU Mapping to T &amp; C'!$A$3:$A$52,'[1]2050 BAU Mapping to T &amp; C'!$B$3:$B$52)</f>
        <v>Fish</v>
      </c>
      <c r="H1232" s="129">
        <f>_xlfn.XLOOKUP(G1232,'[1]T&amp;C emissions for 2050 analysis'!$B$3:$B$23,'[1]T&amp;C emissions for 2050 analysis'!$C$3:$C$23)</f>
        <v>9.5333333333333332</v>
      </c>
      <c r="I1232" s="27">
        <f t="shared" si="57"/>
        <v>1.3536989466</v>
      </c>
      <c r="J1232" s="129">
        <f t="shared" si="58"/>
        <v>37.437399999999997</v>
      </c>
    </row>
    <row r="1233" spans="1:10" hidden="1" x14ac:dyDescent="0.35">
      <c r="A1233" s="126" t="s">
        <v>439</v>
      </c>
      <c r="B1233" t="str">
        <f>_xlfn.XLOOKUP(A1233,'[1]2050Pop'!$A$7:$A$143,'[1]2050Pop'!$D$7:$D$143)</f>
        <v>Euro/AU/NZ</v>
      </c>
      <c r="C1233" s="127">
        <f>1000*_xlfn.XLOOKUP(A1233,'[1]2050Pop'!$A$7:$A$143,'[1]2050Pop'!$C$7:$C$143)</f>
        <v>17602</v>
      </c>
      <c r="D1233" s="126" t="s">
        <v>503</v>
      </c>
      <c r="E1233" s="128">
        <v>39.895000000000003</v>
      </c>
      <c r="F1233" s="129">
        <f t="shared" si="59"/>
        <v>0.70223179000000002</v>
      </c>
      <c r="G1233" t="str">
        <f>_xlfn.XLOOKUP(D1233,'[1]2050 BAU Mapping to T &amp; C'!$A$3:$A$52,'[1]2050 BAU Mapping to T &amp; C'!$B$3:$B$52)</f>
        <v>Fish</v>
      </c>
      <c r="H1233" s="129">
        <f>_xlfn.XLOOKUP(G1233,'[1]T&amp;C emissions for 2050 analysis'!$B$3:$B$23,'[1]T&amp;C emissions for 2050 analysis'!$C$3:$C$23)</f>
        <v>9.5333333333333332</v>
      </c>
      <c r="I1233" s="27">
        <f t="shared" si="57"/>
        <v>6.6946097313333333</v>
      </c>
      <c r="J1233" s="129">
        <f t="shared" si="58"/>
        <v>380.33233333333334</v>
      </c>
    </row>
    <row r="1234" spans="1:10" hidden="1" x14ac:dyDescent="0.35">
      <c r="A1234" s="126" t="s">
        <v>440</v>
      </c>
      <c r="B1234" t="str">
        <f>_xlfn.XLOOKUP(A1234,'[1]2050Pop'!$A$7:$A$143,'[1]2050Pop'!$D$7:$D$143)</f>
        <v>Euro/AU/NZ</v>
      </c>
      <c r="C1234" s="127">
        <f>1000*_xlfn.XLOOKUP(A1234,'[1]2050Pop'!$A$7:$A$143,'[1]2050Pop'!$C$7:$C$143)</f>
        <v>5607</v>
      </c>
      <c r="D1234" s="126" t="s">
        <v>503</v>
      </c>
      <c r="E1234" s="128">
        <v>36.390999999999998</v>
      </c>
      <c r="F1234" s="129">
        <f t="shared" si="59"/>
        <v>0.20404433699999999</v>
      </c>
      <c r="G1234" t="str">
        <f>_xlfn.XLOOKUP(D1234,'[1]2050 BAU Mapping to T &amp; C'!$A$3:$A$52,'[1]2050 BAU Mapping to T &amp; C'!$B$3:$B$52)</f>
        <v>Fish</v>
      </c>
      <c r="H1234" s="129">
        <f>_xlfn.XLOOKUP(G1234,'[1]T&amp;C emissions for 2050 analysis'!$B$3:$B$23,'[1]T&amp;C emissions for 2050 analysis'!$C$3:$C$23)</f>
        <v>9.5333333333333332</v>
      </c>
      <c r="I1234" s="27">
        <f t="shared" si="57"/>
        <v>1.9452226793999998</v>
      </c>
      <c r="J1234" s="129">
        <f t="shared" si="58"/>
        <v>346.92753333333332</v>
      </c>
    </row>
    <row r="1235" spans="1:10" hidden="1" x14ac:dyDescent="0.35">
      <c r="A1235" s="126" t="s">
        <v>441</v>
      </c>
      <c r="B1235" t="str">
        <f>_xlfn.XLOOKUP(A1235,'[1]2050Pop'!$A$7:$A$143,'[1]2050Pop'!$D$7:$D$143)</f>
        <v>LatAm &amp; RSA</v>
      </c>
      <c r="C1235" s="127">
        <f>1000*_xlfn.XLOOKUP(A1235,'[1]2050Pop'!$A$7:$A$143,'[1]2050Pop'!$C$7:$C$143)</f>
        <v>7863</v>
      </c>
      <c r="D1235" s="126" t="s">
        <v>503</v>
      </c>
      <c r="E1235" s="130">
        <v>8.39</v>
      </c>
      <c r="F1235" s="129">
        <f t="shared" si="59"/>
        <v>6.5970570000000006E-2</v>
      </c>
      <c r="G1235" t="str">
        <f>_xlfn.XLOOKUP(D1235,'[1]2050 BAU Mapping to T &amp; C'!$A$3:$A$52,'[1]2050 BAU Mapping to T &amp; C'!$B$3:$B$52)</f>
        <v>Fish</v>
      </c>
      <c r="H1235" s="129">
        <f>_xlfn.XLOOKUP(G1235,'[1]T&amp;C emissions for 2050 analysis'!$B$3:$B$23,'[1]T&amp;C emissions for 2050 analysis'!$C$3:$C$23)</f>
        <v>9.5333333333333332</v>
      </c>
      <c r="I1235" s="27">
        <f t="shared" si="57"/>
        <v>0.62891943400000005</v>
      </c>
      <c r="J1235" s="129">
        <f t="shared" si="58"/>
        <v>79.984666666666669</v>
      </c>
    </row>
    <row r="1236" spans="1:10" hidden="1" x14ac:dyDescent="0.35">
      <c r="A1236" s="126" t="s">
        <v>482</v>
      </c>
      <c r="B1236" t="str">
        <f>_xlfn.XLOOKUP(A1236,'[1]2050Pop'!$A$7:$A$143,'[1]2050Pop'!$D$7:$D$143)</f>
        <v>SSA</v>
      </c>
      <c r="C1236" s="127">
        <f>1000*_xlfn.XLOOKUP(A1236,'[1]2050Pop'!$A$7:$A$143,'[1]2050Pop'!$C$7:$C$143)</f>
        <v>72238</v>
      </c>
      <c r="D1236" s="126" t="s">
        <v>503</v>
      </c>
      <c r="E1236" s="128">
        <v>6.1840000000000002</v>
      </c>
      <c r="F1236" s="129">
        <f t="shared" si="59"/>
        <v>0.446719792</v>
      </c>
      <c r="G1236" t="str">
        <f>_xlfn.XLOOKUP(D1236,'[1]2050 BAU Mapping to T &amp; C'!$A$3:$A$52,'[1]2050 BAU Mapping to T &amp; C'!$B$3:$B$52)</f>
        <v>Fish</v>
      </c>
      <c r="H1236" s="129">
        <f>_xlfn.XLOOKUP(G1236,'[1]T&amp;C emissions for 2050 analysis'!$B$3:$B$23,'[1]T&amp;C emissions for 2050 analysis'!$C$3:$C$23)</f>
        <v>9.5333333333333332</v>
      </c>
      <c r="I1236" s="27">
        <f t="shared" si="57"/>
        <v>4.2587286837333336</v>
      </c>
      <c r="J1236" s="129">
        <f t="shared" si="58"/>
        <v>58.954133333333331</v>
      </c>
    </row>
    <row r="1237" spans="1:10" hidden="1" x14ac:dyDescent="0.35">
      <c r="A1237" s="126" t="s">
        <v>491</v>
      </c>
      <c r="B1237" t="str">
        <f>_xlfn.XLOOKUP(A1237,'[1]2050Pop'!$A$7:$A$143,'[1]2050Pop'!$D$7:$D$143)</f>
        <v>SSA</v>
      </c>
      <c r="C1237" s="127">
        <f>1000*_xlfn.XLOOKUP(A1237,'[1]2050Pop'!$A$7:$A$143,'[1]2050Pop'!$C$7:$C$143)</f>
        <v>398508</v>
      </c>
      <c r="D1237" s="126" t="s">
        <v>503</v>
      </c>
      <c r="E1237" s="128">
        <v>27.760999999999999</v>
      </c>
      <c r="F1237" s="129">
        <f t="shared" si="59"/>
        <v>11.062980588</v>
      </c>
      <c r="G1237" t="str">
        <f>_xlfn.XLOOKUP(D1237,'[1]2050 BAU Mapping to T &amp; C'!$A$3:$A$52,'[1]2050 BAU Mapping to T &amp; C'!$B$3:$B$52)</f>
        <v>Fish</v>
      </c>
      <c r="H1237" s="129">
        <f>_xlfn.XLOOKUP(G1237,'[1]T&amp;C emissions for 2050 analysis'!$B$3:$B$23,'[1]T&amp;C emissions for 2050 analysis'!$C$3:$C$23)</f>
        <v>9.5333333333333332</v>
      </c>
      <c r="I1237" s="27">
        <f t="shared" si="57"/>
        <v>105.4670816056</v>
      </c>
      <c r="J1237" s="129">
        <f t="shared" si="58"/>
        <v>264.65486666666663</v>
      </c>
    </row>
    <row r="1238" spans="1:10" hidden="1" x14ac:dyDescent="0.35">
      <c r="A1238" s="126" t="s">
        <v>442</v>
      </c>
      <c r="B1238" t="str">
        <f>_xlfn.XLOOKUP(A1238,'[1]2050Pop'!$A$7:$A$143,'[1]2050Pop'!$D$7:$D$143)</f>
        <v>Euro/AU/NZ</v>
      </c>
      <c r="C1238" s="127">
        <f>1000*_xlfn.XLOOKUP(A1238,'[1]2050Pop'!$A$7:$A$143,'[1]2050Pop'!$C$7:$C$143)</f>
        <v>6658</v>
      </c>
      <c r="D1238" s="126" t="s">
        <v>503</v>
      </c>
      <c r="E1238" s="128">
        <v>90.799000000000007</v>
      </c>
      <c r="F1238" s="129">
        <f t="shared" si="59"/>
        <v>0.60453974200000005</v>
      </c>
      <c r="G1238" t="str">
        <f>_xlfn.XLOOKUP(D1238,'[1]2050 BAU Mapping to T &amp; C'!$A$3:$A$52,'[1]2050 BAU Mapping to T &amp; C'!$B$3:$B$52)</f>
        <v>Fish</v>
      </c>
      <c r="H1238" s="129">
        <f>_xlfn.XLOOKUP(G1238,'[1]T&amp;C emissions for 2050 analysis'!$B$3:$B$23,'[1]T&amp;C emissions for 2050 analysis'!$C$3:$C$23)</f>
        <v>9.5333333333333332</v>
      </c>
      <c r="I1238" s="27">
        <f t="shared" si="57"/>
        <v>5.7632788737333334</v>
      </c>
      <c r="J1238" s="129">
        <f t="shared" si="58"/>
        <v>865.61713333333341</v>
      </c>
    </row>
    <row r="1239" spans="1:10" hidden="1" x14ac:dyDescent="0.35">
      <c r="A1239" s="126" t="s">
        <v>443</v>
      </c>
      <c r="B1239" t="str">
        <f>_xlfn.XLOOKUP(A1239,'[1]2050Pop'!$A$7:$A$143,'[1]2050Pop'!$D$7:$D$143)</f>
        <v>India/South Asia</v>
      </c>
      <c r="C1239" s="127">
        <f>1000*_xlfn.XLOOKUP(A1239,'[1]2050Pop'!$A$7:$A$143,'[1]2050Pop'!$C$7:$C$143)</f>
        <v>309640</v>
      </c>
      <c r="D1239" s="126" t="s">
        <v>503</v>
      </c>
      <c r="E1239" s="128">
        <v>3.4390000000000001</v>
      </c>
      <c r="F1239" s="129">
        <f t="shared" si="59"/>
        <v>1.0648519599999999</v>
      </c>
      <c r="G1239" t="str">
        <f>_xlfn.XLOOKUP(D1239,'[1]2050 BAU Mapping to T &amp; C'!$A$3:$A$52,'[1]2050 BAU Mapping to T &amp; C'!$B$3:$B$52)</f>
        <v>Fish</v>
      </c>
      <c r="H1239" s="129">
        <f>_xlfn.XLOOKUP(G1239,'[1]T&amp;C emissions for 2050 analysis'!$B$3:$B$23,'[1]T&amp;C emissions for 2050 analysis'!$C$3:$C$23)</f>
        <v>9.5333333333333332</v>
      </c>
      <c r="I1239" s="27">
        <f t="shared" si="57"/>
        <v>10.151588685333332</v>
      </c>
      <c r="J1239" s="129">
        <f t="shared" si="58"/>
        <v>32.785133333333334</v>
      </c>
    </row>
    <row r="1240" spans="1:10" hidden="1" x14ac:dyDescent="0.35">
      <c r="A1240" s="126" t="s">
        <v>444</v>
      </c>
      <c r="B1240" t="str">
        <f>_xlfn.XLOOKUP(A1240,'[1]2050Pop'!$A$7:$A$143,'[1]2050Pop'!$D$7:$D$143)</f>
        <v>LatAm &amp; RSA</v>
      </c>
      <c r="C1240" s="127">
        <f>1000*_xlfn.XLOOKUP(A1240,'[1]2050Pop'!$A$7:$A$143,'[1]2050Pop'!$C$7:$C$143)</f>
        <v>5599</v>
      </c>
      <c r="D1240" s="126" t="s">
        <v>503</v>
      </c>
      <c r="E1240" s="128">
        <v>28.815999999999999</v>
      </c>
      <c r="F1240" s="129">
        <f t="shared" si="59"/>
        <v>0.16134078399999999</v>
      </c>
      <c r="G1240" t="str">
        <f>_xlfn.XLOOKUP(D1240,'[1]2050 BAU Mapping to T &amp; C'!$A$3:$A$52,'[1]2050 BAU Mapping to T &amp; C'!$B$3:$B$52)</f>
        <v>Fish</v>
      </c>
      <c r="H1240" s="129">
        <f>_xlfn.XLOOKUP(G1240,'[1]T&amp;C emissions for 2050 analysis'!$B$3:$B$23,'[1]T&amp;C emissions for 2050 analysis'!$C$3:$C$23)</f>
        <v>9.5333333333333332</v>
      </c>
      <c r="I1240" s="27">
        <f t="shared" si="57"/>
        <v>1.5381154741333332</v>
      </c>
      <c r="J1240" s="129">
        <f t="shared" si="58"/>
        <v>274.71253333333334</v>
      </c>
    </row>
    <row r="1241" spans="1:10" hidden="1" x14ac:dyDescent="0.35">
      <c r="A1241" s="126" t="s">
        <v>445</v>
      </c>
      <c r="B1241" t="str">
        <f>_xlfn.XLOOKUP(A1241,'[1]2050Pop'!$A$7:$A$143,'[1]2050Pop'!$D$7:$D$143)</f>
        <v>LatAm &amp; RSA</v>
      </c>
      <c r="C1241" s="127">
        <f>1000*_xlfn.XLOOKUP(A1241,'[1]2050Pop'!$A$7:$A$143,'[1]2050Pop'!$C$7:$C$143)</f>
        <v>8895</v>
      </c>
      <c r="D1241" s="126" t="s">
        <v>503</v>
      </c>
      <c r="E1241" s="128">
        <v>6.3540000000000001</v>
      </c>
      <c r="F1241" s="129">
        <f t="shared" si="59"/>
        <v>5.6518829999999999E-2</v>
      </c>
      <c r="G1241" t="str">
        <f>_xlfn.XLOOKUP(D1241,'[1]2050 BAU Mapping to T &amp; C'!$A$3:$A$52,'[1]2050 BAU Mapping to T &amp; C'!$B$3:$B$52)</f>
        <v>Fish</v>
      </c>
      <c r="H1241" s="129">
        <f>_xlfn.XLOOKUP(G1241,'[1]T&amp;C emissions for 2050 analysis'!$B$3:$B$23,'[1]T&amp;C emissions for 2050 analysis'!$C$3:$C$23)</f>
        <v>9.5333333333333332</v>
      </c>
      <c r="I1241" s="27">
        <f t="shared" si="57"/>
        <v>0.53881284600000001</v>
      </c>
      <c r="J1241" s="129">
        <f t="shared" si="58"/>
        <v>60.574800000000003</v>
      </c>
    </row>
    <row r="1242" spans="1:10" hidden="1" x14ac:dyDescent="0.35">
      <c r="A1242" s="126" t="s">
        <v>446</v>
      </c>
      <c r="B1242" t="str">
        <f>_xlfn.XLOOKUP(A1242,'[1]2050Pop'!$A$7:$A$143,'[1]2050Pop'!$D$7:$D$143)</f>
        <v>LatAm &amp; RSA</v>
      </c>
      <c r="C1242" s="127">
        <f>1000*_xlfn.XLOOKUP(A1242,'[1]2050Pop'!$A$7:$A$143,'[1]2050Pop'!$C$7:$C$143)</f>
        <v>41899</v>
      </c>
      <c r="D1242" s="126" t="s">
        <v>503</v>
      </c>
      <c r="E1242" s="128">
        <v>42.505000000000003</v>
      </c>
      <c r="F1242" s="129">
        <f t="shared" si="59"/>
        <v>1.7809169950000001</v>
      </c>
      <c r="G1242" t="str">
        <f>_xlfn.XLOOKUP(D1242,'[1]2050 BAU Mapping to T &amp; C'!$A$3:$A$52,'[1]2050 BAU Mapping to T &amp; C'!$B$3:$B$52)</f>
        <v>Fish</v>
      </c>
      <c r="H1242" s="129">
        <f>_xlfn.XLOOKUP(G1242,'[1]T&amp;C emissions for 2050 analysis'!$B$3:$B$23,'[1]T&amp;C emissions for 2050 analysis'!$C$3:$C$23)</f>
        <v>9.5333333333333332</v>
      </c>
      <c r="I1242" s="27">
        <f t="shared" si="57"/>
        <v>16.978075352333335</v>
      </c>
      <c r="J1242" s="129">
        <f t="shared" si="58"/>
        <v>405.21433333333334</v>
      </c>
    </row>
    <row r="1243" spans="1:10" hidden="1" x14ac:dyDescent="0.35">
      <c r="A1243" s="126" t="s">
        <v>447</v>
      </c>
      <c r="B1243" t="str">
        <f>_xlfn.XLOOKUP(A1243,'[1]2050Pop'!$A$7:$A$143,'[1]2050Pop'!$D$7:$D$143)</f>
        <v>APAC</v>
      </c>
      <c r="C1243" s="127">
        <f>1000*_xlfn.XLOOKUP(A1243,'[1]2050Pop'!$A$7:$A$143,'[1]2050Pop'!$C$7:$C$143)</f>
        <v>148260</v>
      </c>
      <c r="D1243" s="126" t="s">
        <v>503</v>
      </c>
      <c r="E1243" s="128">
        <v>56.801000000000002</v>
      </c>
      <c r="F1243" s="129">
        <f t="shared" si="59"/>
        <v>8.4213162599999993</v>
      </c>
      <c r="G1243" t="str">
        <f>_xlfn.XLOOKUP(D1243,'[1]2050 BAU Mapping to T &amp; C'!$A$3:$A$52,'[1]2050 BAU Mapping to T &amp; C'!$B$3:$B$52)</f>
        <v>Fish</v>
      </c>
      <c r="H1243" s="129">
        <f>_xlfn.XLOOKUP(G1243,'[1]T&amp;C emissions for 2050 analysis'!$B$3:$B$23,'[1]T&amp;C emissions for 2050 analysis'!$C$3:$C$23)</f>
        <v>9.5333333333333332</v>
      </c>
      <c r="I1243" s="27">
        <f t="shared" si="57"/>
        <v>80.283215011999999</v>
      </c>
      <c r="J1243" s="129">
        <f t="shared" si="58"/>
        <v>541.5028666666667</v>
      </c>
    </row>
    <row r="1244" spans="1:10" hidden="1" x14ac:dyDescent="0.35">
      <c r="A1244" s="126" t="s">
        <v>448</v>
      </c>
      <c r="B1244" t="str">
        <f>_xlfn.XLOOKUP(A1244,'[1]2050Pop'!$A$7:$A$143,'[1]2050Pop'!$D$7:$D$143)</f>
        <v>Euro/AU/NZ</v>
      </c>
      <c r="C1244" s="127">
        <f>1000*_xlfn.XLOOKUP(A1244,'[1]2050Pop'!$A$7:$A$143,'[1]2050Pop'!$C$7:$C$143)</f>
        <v>33136</v>
      </c>
      <c r="D1244" s="126" t="s">
        <v>503</v>
      </c>
      <c r="E1244" s="128">
        <v>25.605</v>
      </c>
      <c r="F1244" s="129">
        <f t="shared" si="59"/>
        <v>0.84844728000000003</v>
      </c>
      <c r="G1244" t="str">
        <f>_xlfn.XLOOKUP(D1244,'[1]2050 BAU Mapping to T &amp; C'!$A$3:$A$52,'[1]2050 BAU Mapping to T &amp; C'!$B$3:$B$52)</f>
        <v>Fish</v>
      </c>
      <c r="H1244" s="129">
        <f>_xlfn.XLOOKUP(G1244,'[1]T&amp;C emissions for 2050 analysis'!$B$3:$B$23,'[1]T&amp;C emissions for 2050 analysis'!$C$3:$C$23)</f>
        <v>9.5333333333333332</v>
      </c>
      <c r="I1244" s="27">
        <f t="shared" si="57"/>
        <v>8.0885307360000009</v>
      </c>
      <c r="J1244" s="129">
        <f t="shared" si="58"/>
        <v>244.101</v>
      </c>
    </row>
    <row r="1245" spans="1:10" hidden="1" x14ac:dyDescent="0.35">
      <c r="A1245" s="126" t="s">
        <v>449</v>
      </c>
      <c r="B1245" t="str">
        <f>_xlfn.XLOOKUP(A1245,'[1]2050Pop'!$A$7:$A$143,'[1]2050Pop'!$D$7:$D$143)</f>
        <v>Euro/AU/NZ</v>
      </c>
      <c r="C1245" s="127">
        <f>1000*_xlfn.XLOOKUP(A1245,'[1]2050Pop'!$A$7:$A$143,'[1]2050Pop'!$C$7:$C$143)</f>
        <v>9216</v>
      </c>
      <c r="D1245" s="126" t="s">
        <v>503</v>
      </c>
      <c r="E1245" s="128">
        <v>66.191000000000003</v>
      </c>
      <c r="F1245" s="129">
        <f t="shared" si="59"/>
        <v>0.61001625600000009</v>
      </c>
      <c r="G1245" t="str">
        <f>_xlfn.XLOOKUP(D1245,'[1]2050 BAU Mapping to T &amp; C'!$A$3:$A$52,'[1]2050 BAU Mapping to T &amp; C'!$B$3:$B$52)</f>
        <v>Fish</v>
      </c>
      <c r="H1245" s="129">
        <f>_xlfn.XLOOKUP(G1245,'[1]T&amp;C emissions for 2050 analysis'!$B$3:$B$23,'[1]T&amp;C emissions for 2050 analysis'!$C$3:$C$23)</f>
        <v>9.5333333333333332</v>
      </c>
      <c r="I1245" s="27">
        <f t="shared" si="57"/>
        <v>5.8154883072000008</v>
      </c>
      <c r="J1245" s="129">
        <f t="shared" si="58"/>
        <v>631.02086666666673</v>
      </c>
    </row>
    <row r="1246" spans="1:10" hidden="1" x14ac:dyDescent="0.35">
      <c r="A1246" s="126" t="s">
        <v>450</v>
      </c>
      <c r="B1246" t="str">
        <f>_xlfn.XLOOKUP(A1246,'[1]2050Pop'!$A$7:$A$143,'[1]2050Pop'!$D$7:$D$143)</f>
        <v>APAC</v>
      </c>
      <c r="C1246" s="127">
        <f>1000*_xlfn.XLOOKUP(A1246,'[1]2050Pop'!$A$7:$A$143,'[1]2050Pop'!$C$7:$C$143)</f>
        <v>50593</v>
      </c>
      <c r="D1246" s="126" t="s">
        <v>503</v>
      </c>
      <c r="E1246" s="128">
        <v>133.673</v>
      </c>
      <c r="F1246" s="129">
        <f t="shared" si="59"/>
        <v>6.7629180889999994</v>
      </c>
      <c r="G1246" t="str">
        <f>_xlfn.XLOOKUP(D1246,'[1]2050 BAU Mapping to T &amp; C'!$A$3:$A$52,'[1]2050 BAU Mapping to T &amp; C'!$B$3:$B$52)</f>
        <v>Fish</v>
      </c>
      <c r="H1246" s="129">
        <f>_xlfn.XLOOKUP(G1246,'[1]T&amp;C emissions for 2050 analysis'!$B$3:$B$23,'[1]T&amp;C emissions for 2050 analysis'!$C$3:$C$23)</f>
        <v>9.5333333333333332</v>
      </c>
      <c r="I1246" s="27">
        <f t="shared" si="57"/>
        <v>64.473152448466664</v>
      </c>
      <c r="J1246" s="129">
        <f t="shared" si="58"/>
        <v>1274.3492666666666</v>
      </c>
    </row>
    <row r="1247" spans="1:10" hidden="1" x14ac:dyDescent="0.35">
      <c r="A1247" s="126" t="s">
        <v>451</v>
      </c>
      <c r="B1247" t="str">
        <f>_xlfn.XLOOKUP(A1247,'[1]2050Pop'!$A$7:$A$143,'[1]2050Pop'!$D$7:$D$143)</f>
        <v>Euro/AU/NZ</v>
      </c>
      <c r="C1247" s="127">
        <f>1000*_xlfn.XLOOKUP(A1247,'[1]2050Pop'!$A$7:$A$143,'[1]2050Pop'!$C$7:$C$143)</f>
        <v>3243</v>
      </c>
      <c r="D1247" s="126" t="s">
        <v>503</v>
      </c>
      <c r="E1247" s="128">
        <v>23.302</v>
      </c>
      <c r="F1247" s="129">
        <f t="shared" si="59"/>
        <v>7.5568386000000001E-2</v>
      </c>
      <c r="G1247" t="str">
        <f>_xlfn.XLOOKUP(D1247,'[1]2050 BAU Mapping to T &amp; C'!$A$3:$A$52,'[1]2050 BAU Mapping to T &amp; C'!$B$3:$B$52)</f>
        <v>Fish</v>
      </c>
      <c r="H1247" s="129">
        <f>_xlfn.XLOOKUP(G1247,'[1]T&amp;C emissions for 2050 analysis'!$B$3:$B$23,'[1]T&amp;C emissions for 2050 analysis'!$C$3:$C$23)</f>
        <v>9.5333333333333332</v>
      </c>
      <c r="I1247" s="27">
        <f t="shared" si="57"/>
        <v>0.7204186132</v>
      </c>
      <c r="J1247" s="129">
        <f t="shared" si="58"/>
        <v>222.14573333333334</v>
      </c>
    </row>
    <row r="1248" spans="1:10" hidden="1" x14ac:dyDescent="0.35">
      <c r="A1248" s="126" t="s">
        <v>452</v>
      </c>
      <c r="B1248" t="str">
        <f>_xlfn.XLOOKUP(A1248,'[1]2050Pop'!$A$7:$A$143,'[1]2050Pop'!$D$7:$D$143)</f>
        <v>SSA</v>
      </c>
      <c r="C1248" s="127">
        <f>1000*_xlfn.XLOOKUP(A1248,'[1]2050Pop'!$A$7:$A$143,'[1]2050Pop'!$C$7:$C$143)</f>
        <v>10732</v>
      </c>
      <c r="D1248" s="126" t="s">
        <v>503</v>
      </c>
      <c r="E1248" s="128">
        <v>57.085999999999999</v>
      </c>
      <c r="F1248" s="129">
        <f t="shared" si="59"/>
        <v>0.61264695199999997</v>
      </c>
      <c r="G1248" t="str">
        <f>_xlfn.XLOOKUP(D1248,'[1]2050 BAU Mapping to T &amp; C'!$A$3:$A$52,'[1]2050 BAU Mapping to T &amp; C'!$B$3:$B$52)</f>
        <v>Fish</v>
      </c>
      <c r="H1248" s="129">
        <f>_xlfn.XLOOKUP(G1248,'[1]T&amp;C emissions for 2050 analysis'!$B$3:$B$23,'[1]T&amp;C emissions for 2050 analysis'!$C$3:$C$23)</f>
        <v>9.5333333333333332</v>
      </c>
      <c r="I1248" s="27">
        <f t="shared" si="57"/>
        <v>5.8405676090666665</v>
      </c>
      <c r="J1248" s="129">
        <f t="shared" si="58"/>
        <v>544.21986666666669</v>
      </c>
    </row>
    <row r="1249" spans="1:10" hidden="1" x14ac:dyDescent="0.35">
      <c r="A1249" s="126" t="s">
        <v>453</v>
      </c>
      <c r="B1249" t="str">
        <f>_xlfn.XLOOKUP(A1249,'[1]2050Pop'!$A$7:$A$143,'[1]2050Pop'!$D$7:$D$143)</f>
        <v>Euro/AU/NZ</v>
      </c>
      <c r="C1249" s="127">
        <f>1000*_xlfn.XLOOKUP(A1249,'[1]2050Pop'!$A$7:$A$143,'[1]2050Pop'!$C$7:$C$143)</f>
        <v>15207</v>
      </c>
      <c r="D1249" s="126" t="s">
        <v>503</v>
      </c>
      <c r="E1249" s="128">
        <v>9.452</v>
      </c>
      <c r="F1249" s="129">
        <f t="shared" si="59"/>
        <v>0.14373656400000001</v>
      </c>
      <c r="G1249" t="str">
        <f>_xlfn.XLOOKUP(D1249,'[1]2050 BAU Mapping to T &amp; C'!$A$3:$A$52,'[1]2050 BAU Mapping to T &amp; C'!$B$3:$B$52)</f>
        <v>Fish</v>
      </c>
      <c r="H1249" s="129">
        <f>_xlfn.XLOOKUP(G1249,'[1]T&amp;C emissions for 2050 analysis'!$B$3:$B$23,'[1]T&amp;C emissions for 2050 analysis'!$C$3:$C$23)</f>
        <v>9.5333333333333332</v>
      </c>
      <c r="I1249" s="27">
        <f t="shared" si="57"/>
        <v>1.3702885768000002</v>
      </c>
      <c r="J1249" s="129">
        <f t="shared" si="58"/>
        <v>90.109066666666664</v>
      </c>
    </row>
    <row r="1250" spans="1:10" hidden="1" x14ac:dyDescent="0.35">
      <c r="A1250" s="126" t="s">
        <v>454</v>
      </c>
      <c r="B1250" t="str">
        <f>_xlfn.XLOOKUP(A1250,'[1]2050Pop'!$A$7:$A$143,'[1]2050Pop'!$D$7:$D$143)</f>
        <v>Euro/AU/NZ</v>
      </c>
      <c r="C1250" s="127">
        <f>1000*_xlfn.XLOOKUP(A1250,'[1]2050Pop'!$A$7:$A$143,'[1]2050Pop'!$C$7:$C$143)</f>
        <v>128598.99999999999</v>
      </c>
      <c r="D1250" s="126" t="s">
        <v>503</v>
      </c>
      <c r="E1250" s="131">
        <v>45.9</v>
      </c>
      <c r="F1250" s="129">
        <f t="shared" si="59"/>
        <v>5.9026940999999988</v>
      </c>
      <c r="G1250" t="str">
        <f>_xlfn.XLOOKUP(D1250,'[1]2050 BAU Mapping to T &amp; C'!$A$3:$A$52,'[1]2050 BAU Mapping to T &amp; C'!$B$3:$B$52)</f>
        <v>Fish</v>
      </c>
      <c r="H1250" s="129">
        <f>_xlfn.XLOOKUP(G1250,'[1]T&amp;C emissions for 2050 analysis'!$B$3:$B$23,'[1]T&amp;C emissions for 2050 analysis'!$C$3:$C$23)</f>
        <v>9.5333333333333332</v>
      </c>
      <c r="I1250" s="27">
        <f t="shared" si="57"/>
        <v>56.272350419999988</v>
      </c>
      <c r="J1250" s="129">
        <f t="shared" si="58"/>
        <v>437.58</v>
      </c>
    </row>
    <row r="1251" spans="1:10" hidden="1" x14ac:dyDescent="0.35">
      <c r="A1251" s="126" t="s">
        <v>455</v>
      </c>
      <c r="B1251" t="str">
        <f>_xlfn.XLOOKUP(A1251,'[1]2050Pop'!$A$7:$A$143,'[1]2050Pop'!$D$7:$D$143)</f>
        <v>SSA</v>
      </c>
      <c r="C1251" s="127">
        <f>1000*_xlfn.XLOOKUP(A1251,'[1]2050Pop'!$A$7:$A$143,'[1]2050Pop'!$C$7:$C$143)</f>
        <v>21187</v>
      </c>
      <c r="D1251" s="126" t="s">
        <v>503</v>
      </c>
      <c r="E1251" s="128">
        <v>9.1329999999999991</v>
      </c>
      <c r="F1251" s="129">
        <f t="shared" si="59"/>
        <v>0.19350087099999999</v>
      </c>
      <c r="G1251" t="str">
        <f>_xlfn.XLOOKUP(D1251,'[1]2050 BAU Mapping to T &amp; C'!$A$3:$A$52,'[1]2050 BAU Mapping to T &amp; C'!$B$3:$B$52)</f>
        <v>Fish</v>
      </c>
      <c r="H1251" s="129">
        <f>_xlfn.XLOOKUP(G1251,'[1]T&amp;C emissions for 2050 analysis'!$B$3:$B$23,'[1]T&amp;C emissions for 2050 analysis'!$C$3:$C$23)</f>
        <v>9.5333333333333332</v>
      </c>
      <c r="I1251" s="27">
        <f t="shared" si="57"/>
        <v>1.8447083035333331</v>
      </c>
      <c r="J1251" s="129">
        <f t="shared" si="58"/>
        <v>87.067933333333329</v>
      </c>
    </row>
    <row r="1252" spans="1:10" hidden="1" x14ac:dyDescent="0.35">
      <c r="A1252" s="126" t="s">
        <v>456</v>
      </c>
      <c r="B1252" t="str">
        <f>_xlfn.XLOOKUP(A1252,'[1]2050Pop'!$A$7:$A$143,'[1]2050Pop'!$D$7:$D$143)</f>
        <v>MENA</v>
      </c>
      <c r="C1252" s="127">
        <f>1000*_xlfn.XLOOKUP(A1252,'[1]2050Pop'!$A$7:$A$143,'[1]2050Pop'!$C$7:$C$143)</f>
        <v>46059</v>
      </c>
      <c r="D1252" s="126" t="s">
        <v>503</v>
      </c>
      <c r="E1252" s="128">
        <v>19.709</v>
      </c>
      <c r="F1252" s="129">
        <f t="shared" si="59"/>
        <v>0.90777683099999995</v>
      </c>
      <c r="G1252" t="str">
        <f>_xlfn.XLOOKUP(D1252,'[1]2050 BAU Mapping to T &amp; C'!$A$3:$A$52,'[1]2050 BAU Mapping to T &amp; C'!$B$3:$B$52)</f>
        <v>Fish</v>
      </c>
      <c r="H1252" s="129">
        <f>_xlfn.XLOOKUP(G1252,'[1]T&amp;C emissions for 2050 analysis'!$B$3:$B$23,'[1]T&amp;C emissions for 2050 analysis'!$C$3:$C$23)</f>
        <v>9.5333333333333332</v>
      </c>
      <c r="I1252" s="27">
        <f t="shared" si="57"/>
        <v>8.6541391222000001</v>
      </c>
      <c r="J1252" s="129">
        <f t="shared" si="58"/>
        <v>187.89246666666665</v>
      </c>
    </row>
    <row r="1253" spans="1:10" hidden="1" x14ac:dyDescent="0.35">
      <c r="A1253" s="126" t="s">
        <v>457</v>
      </c>
      <c r="B1253" t="str">
        <f>_xlfn.XLOOKUP(A1253,'[1]2050Pop'!$A$7:$A$143,'[1]2050Pop'!$D$7:$D$143)</f>
        <v>SSA</v>
      </c>
      <c r="C1253" s="127">
        <f>1000*_xlfn.XLOOKUP(A1253,'[1]2050Pop'!$A$7:$A$143,'[1]2050Pop'!$C$7:$C$143)</f>
        <v>36223</v>
      </c>
      <c r="D1253" s="126" t="s">
        <v>503</v>
      </c>
      <c r="E1253" s="130">
        <v>48.24</v>
      </c>
      <c r="F1253" s="129">
        <f t="shared" si="59"/>
        <v>1.74739752</v>
      </c>
      <c r="G1253" t="str">
        <f>_xlfn.XLOOKUP(D1253,'[1]2050 BAU Mapping to T &amp; C'!$A$3:$A$52,'[1]2050 BAU Mapping to T &amp; C'!$B$3:$B$52)</f>
        <v>Fish</v>
      </c>
      <c r="H1253" s="129">
        <f>_xlfn.XLOOKUP(G1253,'[1]T&amp;C emissions for 2050 analysis'!$B$3:$B$23,'[1]T&amp;C emissions for 2050 analysis'!$C$3:$C$23)</f>
        <v>9.5333333333333332</v>
      </c>
      <c r="I1253" s="27">
        <f t="shared" si="57"/>
        <v>16.658523024000001</v>
      </c>
      <c r="J1253" s="129">
        <f t="shared" si="58"/>
        <v>459.88800000000003</v>
      </c>
    </row>
    <row r="1254" spans="1:10" hidden="1" x14ac:dyDescent="0.35">
      <c r="A1254" s="126" t="s">
        <v>458</v>
      </c>
      <c r="B1254" t="str">
        <f>_xlfn.XLOOKUP(A1254,'[1]2050Pop'!$A$7:$A$143,'[1]2050Pop'!$D$7:$D$143)</f>
        <v>Euro/AU/NZ</v>
      </c>
      <c r="C1254" s="127">
        <f>1000*_xlfn.XLOOKUP(A1254,'[1]2050Pop'!$A$7:$A$143,'[1]2050Pop'!$C$7:$C$143)</f>
        <v>7331</v>
      </c>
      <c r="D1254" s="126" t="s">
        <v>503</v>
      </c>
      <c r="E1254" s="128">
        <v>10.311999999999999</v>
      </c>
      <c r="F1254" s="129">
        <f t="shared" si="59"/>
        <v>7.5597271999999993E-2</v>
      </c>
      <c r="G1254" t="str">
        <f>_xlfn.XLOOKUP(D1254,'[1]2050 BAU Mapping to T &amp; C'!$A$3:$A$52,'[1]2050 BAU Mapping to T &amp; C'!$B$3:$B$52)</f>
        <v>Fish</v>
      </c>
      <c r="H1254" s="129">
        <f>_xlfn.XLOOKUP(G1254,'[1]T&amp;C emissions for 2050 analysis'!$B$3:$B$23,'[1]T&amp;C emissions for 2050 analysis'!$C$3:$C$23)</f>
        <v>9.5333333333333332</v>
      </c>
      <c r="I1254" s="27">
        <f t="shared" si="57"/>
        <v>0.72069399306666659</v>
      </c>
      <c r="J1254" s="129">
        <f t="shared" si="58"/>
        <v>98.307733333333331</v>
      </c>
    </row>
    <row r="1255" spans="1:10" hidden="1" x14ac:dyDescent="0.35">
      <c r="A1255" s="126" t="s">
        <v>492</v>
      </c>
      <c r="B1255" t="str">
        <f>_xlfn.XLOOKUP(A1255,'[1]2050Pop'!$A$7:$A$143,'[1]2050Pop'!$D$7:$D$143)</f>
        <v>SSA</v>
      </c>
      <c r="C1255" s="127">
        <f>1000*_xlfn.XLOOKUP(A1255,'[1]2050Pop'!$A$7:$A$143,'[1]2050Pop'!$C$7:$C$143)</f>
        <v>11392</v>
      </c>
      <c r="D1255" s="126" t="s">
        <v>503</v>
      </c>
      <c r="E1255" s="128">
        <v>87.522999999999996</v>
      </c>
      <c r="F1255" s="129">
        <f t="shared" si="59"/>
        <v>0.997062016</v>
      </c>
      <c r="G1255" t="str">
        <f>_xlfn.XLOOKUP(D1255,'[1]2050 BAU Mapping to T &amp; C'!$A$3:$A$52,'[1]2050 BAU Mapping to T &amp; C'!$B$3:$B$52)</f>
        <v>Fish</v>
      </c>
      <c r="H1255" s="129">
        <f>_xlfn.XLOOKUP(G1255,'[1]T&amp;C emissions for 2050 analysis'!$B$3:$B$23,'[1]T&amp;C emissions for 2050 analysis'!$C$3:$C$23)</f>
        <v>9.5333333333333332</v>
      </c>
      <c r="I1255" s="27">
        <f t="shared" si="57"/>
        <v>9.5053245525333327</v>
      </c>
      <c r="J1255" s="129">
        <f t="shared" si="58"/>
        <v>834.38593333333324</v>
      </c>
    </row>
    <row r="1256" spans="1:10" hidden="1" x14ac:dyDescent="0.35">
      <c r="A1256" s="126" t="s">
        <v>459</v>
      </c>
      <c r="B1256" t="str">
        <f>_xlfn.XLOOKUP(A1256,'[1]2050Pop'!$A$7:$A$143,'[1]2050Pop'!$D$7:$D$143)</f>
        <v>Euro/AU/NZ</v>
      </c>
      <c r="C1256" s="127">
        <f>1000*_xlfn.XLOOKUP(A1256,'[1]2050Pop'!$A$7:$A$143,'[1]2050Pop'!$C$7:$C$143)</f>
        <v>4892</v>
      </c>
      <c r="D1256" s="126" t="s">
        <v>503</v>
      </c>
      <c r="E1256" s="128">
        <v>12.452</v>
      </c>
      <c r="F1256" s="129">
        <f t="shared" si="59"/>
        <v>6.0915184000000004E-2</v>
      </c>
      <c r="G1256" t="str">
        <f>_xlfn.XLOOKUP(D1256,'[1]2050 BAU Mapping to T &amp; C'!$A$3:$A$52,'[1]2050 BAU Mapping to T &amp; C'!$B$3:$B$52)</f>
        <v>Fish</v>
      </c>
      <c r="H1256" s="129">
        <f>_xlfn.XLOOKUP(G1256,'[1]T&amp;C emissions for 2050 analysis'!$B$3:$B$23,'[1]T&amp;C emissions for 2050 analysis'!$C$3:$C$23)</f>
        <v>9.5333333333333332</v>
      </c>
      <c r="I1256" s="27">
        <f t="shared" si="57"/>
        <v>0.58072475413333335</v>
      </c>
      <c r="J1256" s="129">
        <f t="shared" si="58"/>
        <v>118.70906666666666</v>
      </c>
    </row>
    <row r="1257" spans="1:10" hidden="1" x14ac:dyDescent="0.35">
      <c r="A1257" s="126" t="s">
        <v>460</v>
      </c>
      <c r="B1257" t="str">
        <f>_xlfn.XLOOKUP(A1257,'[1]2050Pop'!$A$7:$A$143,'[1]2050Pop'!$D$7:$D$143)</f>
        <v>LatAm &amp; RSA</v>
      </c>
      <c r="C1257" s="127">
        <f>1000*_xlfn.XLOOKUP(A1257,'[1]2050Pop'!$A$7:$A$143,'[1]2050Pop'!$C$7:$C$143)</f>
        <v>65540</v>
      </c>
      <c r="D1257" s="126" t="s">
        <v>503</v>
      </c>
      <c r="E1257" s="128">
        <v>11.131</v>
      </c>
      <c r="F1257" s="129">
        <f t="shared" si="59"/>
        <v>0.72952574000000003</v>
      </c>
      <c r="G1257" t="str">
        <f>_xlfn.XLOOKUP(D1257,'[1]2050 BAU Mapping to T &amp; C'!$A$3:$A$52,'[1]2050 BAU Mapping to T &amp; C'!$B$3:$B$52)</f>
        <v>Fish</v>
      </c>
      <c r="H1257" s="129">
        <f>_xlfn.XLOOKUP(G1257,'[1]T&amp;C emissions for 2050 analysis'!$B$3:$B$23,'[1]T&amp;C emissions for 2050 analysis'!$C$3:$C$23)</f>
        <v>9.5333333333333332</v>
      </c>
      <c r="I1257" s="27">
        <f t="shared" si="57"/>
        <v>6.9548120546666672</v>
      </c>
      <c r="J1257" s="129">
        <f t="shared" si="58"/>
        <v>106.11553333333333</v>
      </c>
    </row>
    <row r="1258" spans="1:10" hidden="1" x14ac:dyDescent="0.35">
      <c r="A1258" s="126" t="s">
        <v>461</v>
      </c>
      <c r="B1258" t="str">
        <f>_xlfn.XLOOKUP(A1258,'[1]2050Pop'!$A$7:$A$143,'[1]2050Pop'!$D$7:$D$143)</f>
        <v>Euro/AU/NZ</v>
      </c>
      <c r="C1258" s="127">
        <f>1000*_xlfn.XLOOKUP(A1258,'[1]2050Pop'!$A$7:$A$143,'[1]2050Pop'!$C$7:$C$143)</f>
        <v>44840</v>
      </c>
      <c r="D1258" s="126" t="s">
        <v>503</v>
      </c>
      <c r="E1258" s="128">
        <v>65.608999999999995</v>
      </c>
      <c r="F1258" s="129">
        <f t="shared" si="59"/>
        <v>2.9419075599999998</v>
      </c>
      <c r="G1258" t="str">
        <f>_xlfn.XLOOKUP(D1258,'[1]2050 BAU Mapping to T &amp; C'!$A$3:$A$52,'[1]2050 BAU Mapping to T &amp; C'!$B$3:$B$52)</f>
        <v>Fish</v>
      </c>
      <c r="H1258" s="129">
        <f>_xlfn.XLOOKUP(G1258,'[1]T&amp;C emissions for 2050 analysis'!$B$3:$B$23,'[1]T&amp;C emissions for 2050 analysis'!$C$3:$C$23)</f>
        <v>9.5333333333333332</v>
      </c>
      <c r="I1258" s="27">
        <f t="shared" si="57"/>
        <v>28.046185405333329</v>
      </c>
      <c r="J1258" s="129">
        <f t="shared" si="58"/>
        <v>625.47246666666661</v>
      </c>
    </row>
    <row r="1259" spans="1:10" hidden="1" x14ac:dyDescent="0.35">
      <c r="A1259" s="126" t="s">
        <v>493</v>
      </c>
      <c r="B1259" t="str">
        <f>_xlfn.XLOOKUP(A1259,'[1]2050Pop'!$A$7:$A$143,'[1]2050Pop'!$D$7:$D$143)</f>
        <v>India/South Asia</v>
      </c>
      <c r="C1259" s="127">
        <f>1000*_xlfn.XLOOKUP(A1259,'[1]2050Pop'!$A$7:$A$143,'[1]2050Pop'!$C$7:$C$143)</f>
        <v>20836</v>
      </c>
      <c r="D1259" s="126" t="s">
        <v>503</v>
      </c>
      <c r="E1259" s="128">
        <v>66.635999999999996</v>
      </c>
      <c r="F1259" s="129">
        <f t="shared" si="59"/>
        <v>1.3884276959999999</v>
      </c>
      <c r="G1259" t="str">
        <f>_xlfn.XLOOKUP(D1259,'[1]2050 BAU Mapping to T &amp; C'!$A$3:$A$52,'[1]2050 BAU Mapping to T &amp; C'!$B$3:$B$52)</f>
        <v>Fish</v>
      </c>
      <c r="H1259" s="129">
        <f>_xlfn.XLOOKUP(G1259,'[1]T&amp;C emissions for 2050 analysis'!$B$3:$B$23,'[1]T&amp;C emissions for 2050 analysis'!$C$3:$C$23)</f>
        <v>9.5333333333333332</v>
      </c>
      <c r="I1259" s="27">
        <f t="shared" si="57"/>
        <v>13.236344035199998</v>
      </c>
      <c r="J1259" s="129">
        <f t="shared" si="58"/>
        <v>635.26319999999998</v>
      </c>
    </row>
    <row r="1260" spans="1:10" hidden="1" x14ac:dyDescent="0.35">
      <c r="A1260" s="126" t="s">
        <v>462</v>
      </c>
      <c r="B1260" t="str">
        <f>_xlfn.XLOOKUP(A1260,'[1]2050Pop'!$A$7:$A$143,'[1]2050Pop'!$D$7:$D$143)</f>
        <v>LatAm &amp; RSA</v>
      </c>
      <c r="C1260" s="127">
        <f>1000*_xlfn.XLOOKUP(A1260,'[1]2050Pop'!$A$7:$A$143,'[1]2050Pop'!$C$7:$C$143)</f>
        <v>624</v>
      </c>
      <c r="D1260" s="126" t="s">
        <v>503</v>
      </c>
      <c r="E1260" s="128">
        <v>24.666</v>
      </c>
      <c r="F1260" s="129">
        <f t="shared" si="59"/>
        <v>1.5391584000000002E-2</v>
      </c>
      <c r="G1260" t="str">
        <f>_xlfn.XLOOKUP(D1260,'[1]2050 BAU Mapping to T &amp; C'!$A$3:$A$52,'[1]2050 BAU Mapping to T &amp; C'!$B$3:$B$52)</f>
        <v>Fish</v>
      </c>
      <c r="H1260" s="129">
        <f>_xlfn.XLOOKUP(G1260,'[1]T&amp;C emissions for 2050 analysis'!$B$3:$B$23,'[1]T&amp;C emissions for 2050 analysis'!$C$3:$C$23)</f>
        <v>9.5333333333333332</v>
      </c>
      <c r="I1260" s="27">
        <f t="shared" si="57"/>
        <v>0.14673310080000002</v>
      </c>
      <c r="J1260" s="129">
        <f t="shared" si="58"/>
        <v>235.14920000000001</v>
      </c>
    </row>
    <row r="1261" spans="1:10" hidden="1" x14ac:dyDescent="0.35">
      <c r="A1261" s="126" t="s">
        <v>463</v>
      </c>
      <c r="B1261" t="str">
        <f>_xlfn.XLOOKUP(A1261,'[1]2050Pop'!$A$7:$A$143,'[1]2050Pop'!$D$7:$D$143)</f>
        <v>SSA</v>
      </c>
      <c r="C1261" s="127">
        <f>1000*_xlfn.XLOOKUP(A1261,'[1]2050Pop'!$A$7:$A$143,'[1]2050Pop'!$C$7:$C$143)</f>
        <v>1792</v>
      </c>
      <c r="D1261" s="126" t="s">
        <v>503</v>
      </c>
      <c r="E1261" s="128">
        <v>2.5710000000000002</v>
      </c>
      <c r="F1261" s="129">
        <f t="shared" si="59"/>
        <v>4.6072320000000002E-3</v>
      </c>
      <c r="G1261" t="str">
        <f>_xlfn.XLOOKUP(D1261,'[1]2050 BAU Mapping to T &amp; C'!$A$3:$A$52,'[1]2050 BAU Mapping to T &amp; C'!$B$3:$B$52)</f>
        <v>Fish</v>
      </c>
      <c r="H1261" s="129">
        <f>_xlfn.XLOOKUP(G1261,'[1]T&amp;C emissions for 2050 analysis'!$B$3:$B$23,'[1]T&amp;C emissions for 2050 analysis'!$C$3:$C$23)</f>
        <v>9.5333333333333332</v>
      </c>
      <c r="I1261" s="27">
        <f t="shared" si="57"/>
        <v>4.39222784E-2</v>
      </c>
      <c r="J1261" s="129">
        <f t="shared" si="58"/>
        <v>24.510200000000001</v>
      </c>
    </row>
    <row r="1262" spans="1:10" hidden="1" x14ac:dyDescent="0.35">
      <c r="A1262" s="126" t="s">
        <v>464</v>
      </c>
      <c r="B1262" t="str">
        <f>_xlfn.XLOOKUP(A1262,'[1]2050Pop'!$A$7:$A$143,'[1]2050Pop'!$D$7:$D$143)</f>
        <v>Euro/AU/NZ</v>
      </c>
      <c r="C1262" s="127">
        <f>1000*_xlfn.XLOOKUP(A1262,'[1]2050Pop'!$A$7:$A$143,'[1]2050Pop'!$C$7:$C$143)</f>
        <v>11881</v>
      </c>
      <c r="D1262" s="126" t="s">
        <v>503</v>
      </c>
      <c r="E1262" s="128">
        <v>45.872</v>
      </c>
      <c r="F1262" s="129">
        <f t="shared" si="59"/>
        <v>0.54500523199999995</v>
      </c>
      <c r="G1262" t="str">
        <f>_xlfn.XLOOKUP(D1262,'[1]2050 BAU Mapping to T &amp; C'!$A$3:$A$52,'[1]2050 BAU Mapping to T &amp; C'!$B$3:$B$52)</f>
        <v>Fish</v>
      </c>
      <c r="H1262" s="129">
        <f>_xlfn.XLOOKUP(G1262,'[1]T&amp;C emissions for 2050 analysis'!$B$3:$B$23,'[1]T&amp;C emissions for 2050 analysis'!$C$3:$C$23)</f>
        <v>9.5333333333333332</v>
      </c>
      <c r="I1262" s="27">
        <f t="shared" si="57"/>
        <v>5.1957165450666665</v>
      </c>
      <c r="J1262" s="129">
        <f t="shared" si="58"/>
        <v>437.31306666666666</v>
      </c>
    </row>
    <row r="1263" spans="1:10" hidden="1" x14ac:dyDescent="0.35">
      <c r="A1263" s="126" t="s">
        <v>465</v>
      </c>
      <c r="B1263" t="str">
        <f>_xlfn.XLOOKUP(A1263,'[1]2050Pop'!$A$7:$A$143,'[1]2050Pop'!$D$7:$D$143)</f>
        <v>APAC</v>
      </c>
      <c r="C1263" s="127">
        <f>1000*_xlfn.XLOOKUP(A1263,'[1]2050Pop'!$A$7:$A$143,'[1]2050Pop'!$C$7:$C$143)</f>
        <v>62452</v>
      </c>
      <c r="D1263" s="126" t="s">
        <v>503</v>
      </c>
      <c r="E1263" s="130">
        <v>54.19</v>
      </c>
      <c r="F1263" s="129">
        <f t="shared" si="59"/>
        <v>3.3842738799999998</v>
      </c>
      <c r="G1263" t="str">
        <f>_xlfn.XLOOKUP(D1263,'[1]2050 BAU Mapping to T &amp; C'!$A$3:$A$52,'[1]2050 BAU Mapping to T &amp; C'!$B$3:$B$52)</f>
        <v>Fish</v>
      </c>
      <c r="H1263" s="129">
        <f>_xlfn.XLOOKUP(G1263,'[1]T&amp;C emissions for 2050 analysis'!$B$3:$B$23,'[1]T&amp;C emissions for 2050 analysis'!$C$3:$C$23)</f>
        <v>9.5333333333333332</v>
      </c>
      <c r="I1263" s="27">
        <f t="shared" si="57"/>
        <v>32.26341098933333</v>
      </c>
      <c r="J1263" s="129">
        <f t="shared" si="58"/>
        <v>516.61133333333328</v>
      </c>
    </row>
    <row r="1264" spans="1:10" hidden="1" x14ac:dyDescent="0.35">
      <c r="A1264" s="126" t="s">
        <v>466</v>
      </c>
      <c r="B1264" t="str">
        <f>_xlfn.XLOOKUP(A1264,'[1]2050Pop'!$A$7:$A$143,'[1]2050Pop'!$D$7:$D$143)</f>
        <v>SSA</v>
      </c>
      <c r="C1264" s="127">
        <f>1000*_xlfn.XLOOKUP(A1264,'[1]2050Pop'!$A$7:$A$143,'[1]2050Pop'!$C$7:$C$143)</f>
        <v>15681</v>
      </c>
      <c r="D1264" s="126" t="s">
        <v>503</v>
      </c>
      <c r="E1264" s="128">
        <v>26.263000000000002</v>
      </c>
      <c r="F1264" s="129">
        <f t="shared" si="59"/>
        <v>0.411830103</v>
      </c>
      <c r="G1264" t="str">
        <f>_xlfn.XLOOKUP(D1264,'[1]2050 BAU Mapping to T &amp; C'!$A$3:$A$52,'[1]2050 BAU Mapping to T &amp; C'!$B$3:$B$52)</f>
        <v>Fish</v>
      </c>
      <c r="H1264" s="129">
        <f>_xlfn.XLOOKUP(G1264,'[1]T&amp;C emissions for 2050 analysis'!$B$3:$B$23,'[1]T&amp;C emissions for 2050 analysis'!$C$3:$C$23)</f>
        <v>9.5333333333333332</v>
      </c>
      <c r="I1264" s="27">
        <f t="shared" si="57"/>
        <v>3.9261136485999999</v>
      </c>
      <c r="J1264" s="129">
        <f t="shared" si="58"/>
        <v>250.37393333333335</v>
      </c>
    </row>
    <row r="1265" spans="1:10" hidden="1" x14ac:dyDescent="0.35">
      <c r="A1265" s="126" t="s">
        <v>467</v>
      </c>
      <c r="B1265" t="str">
        <f>_xlfn.XLOOKUP(A1265,'[1]2050Pop'!$A$7:$A$143,'[1]2050Pop'!$D$7:$D$143)</f>
        <v>LatAm &amp; RSA</v>
      </c>
      <c r="C1265" s="127">
        <f>1000*_xlfn.XLOOKUP(A1265,'[1]2050Pop'!$A$7:$A$143,'[1]2050Pop'!$C$7:$C$143)</f>
        <v>1291</v>
      </c>
      <c r="D1265" s="126" t="s">
        <v>503</v>
      </c>
      <c r="E1265" s="128">
        <v>37.215000000000003</v>
      </c>
      <c r="F1265" s="129">
        <f t="shared" si="59"/>
        <v>4.8044565000000004E-2</v>
      </c>
      <c r="G1265" t="str">
        <f>_xlfn.XLOOKUP(D1265,'[1]2050 BAU Mapping to T &amp; C'!$A$3:$A$52,'[1]2050 BAU Mapping to T &amp; C'!$B$3:$B$52)</f>
        <v>Fish</v>
      </c>
      <c r="H1265" s="129">
        <f>_xlfn.XLOOKUP(G1265,'[1]T&amp;C emissions for 2050 analysis'!$B$3:$B$23,'[1]T&amp;C emissions for 2050 analysis'!$C$3:$C$23)</f>
        <v>9.5333333333333332</v>
      </c>
      <c r="I1265" s="27">
        <f t="shared" si="57"/>
        <v>0.45802485300000001</v>
      </c>
      <c r="J1265" s="129">
        <f t="shared" si="58"/>
        <v>354.78300000000002</v>
      </c>
    </row>
    <row r="1266" spans="1:10" hidden="1" x14ac:dyDescent="0.35">
      <c r="A1266" s="126" t="s">
        <v>468</v>
      </c>
      <c r="B1266" t="str">
        <f>_xlfn.XLOOKUP(A1266,'[1]2050Pop'!$A$7:$A$143,'[1]2050Pop'!$D$7:$D$143)</f>
        <v>MENA</v>
      </c>
      <c r="C1266" s="127">
        <f>1000*_xlfn.XLOOKUP(A1266,'[1]2050Pop'!$A$7:$A$143,'[1]2050Pop'!$C$7:$C$143)</f>
        <v>13476</v>
      </c>
      <c r="D1266" s="126" t="s">
        <v>503</v>
      </c>
      <c r="E1266" s="128">
        <v>23.228999999999999</v>
      </c>
      <c r="F1266" s="129">
        <f t="shared" si="59"/>
        <v>0.31303400400000003</v>
      </c>
      <c r="G1266" t="str">
        <f>_xlfn.XLOOKUP(D1266,'[1]2050 BAU Mapping to T &amp; C'!$A$3:$A$52,'[1]2050 BAU Mapping to T &amp; C'!$B$3:$B$52)</f>
        <v>Fish</v>
      </c>
      <c r="H1266" s="129">
        <f>_xlfn.XLOOKUP(G1266,'[1]T&amp;C emissions for 2050 analysis'!$B$3:$B$23,'[1]T&amp;C emissions for 2050 analysis'!$C$3:$C$23)</f>
        <v>9.5333333333333332</v>
      </c>
      <c r="I1266" s="27">
        <f t="shared" si="57"/>
        <v>2.9842575048000004</v>
      </c>
      <c r="J1266" s="129">
        <f t="shared" si="58"/>
        <v>221.44979999999998</v>
      </c>
    </row>
    <row r="1267" spans="1:10" hidden="1" x14ac:dyDescent="0.35">
      <c r="A1267" s="126" t="s">
        <v>469</v>
      </c>
      <c r="B1267" t="str">
        <f>_xlfn.XLOOKUP(A1267,'[1]2050Pop'!$A$7:$A$143,'[1]2050Pop'!$D$7:$D$143)</f>
        <v>MENA</v>
      </c>
      <c r="C1267" s="127">
        <f>1000*_xlfn.XLOOKUP(A1267,'[1]2050Pop'!$A$7:$A$143,'[1]2050Pop'!$C$7:$C$143)</f>
        <v>95819</v>
      </c>
      <c r="D1267" s="126" t="s">
        <v>503</v>
      </c>
      <c r="E1267" s="128">
        <v>8.3480000000000008</v>
      </c>
      <c r="F1267" s="129">
        <f t="shared" si="59"/>
        <v>0.79989701200000007</v>
      </c>
      <c r="G1267" t="str">
        <f>_xlfn.XLOOKUP(D1267,'[1]2050 BAU Mapping to T &amp; C'!$A$3:$A$52,'[1]2050 BAU Mapping to T &amp; C'!$B$3:$B$52)</f>
        <v>Fish</v>
      </c>
      <c r="H1267" s="129">
        <f>_xlfn.XLOOKUP(G1267,'[1]T&amp;C emissions for 2050 analysis'!$B$3:$B$23,'[1]T&amp;C emissions for 2050 analysis'!$C$3:$C$23)</f>
        <v>9.5333333333333332</v>
      </c>
      <c r="I1267" s="27">
        <f t="shared" si="57"/>
        <v>7.6256848477333339</v>
      </c>
      <c r="J1267" s="129">
        <f t="shared" si="58"/>
        <v>79.584266666666679</v>
      </c>
    </row>
    <row r="1268" spans="1:10" hidden="1" x14ac:dyDescent="0.35">
      <c r="A1268" s="126" t="s">
        <v>484</v>
      </c>
      <c r="B1268" t="str">
        <f>_xlfn.XLOOKUP(A1268,'[1]2050Pop'!$A$7:$A$143,'[1]2050Pop'!$D$7:$D$143)</f>
        <v>APAC</v>
      </c>
      <c r="C1268" s="127">
        <f>1000*_xlfn.XLOOKUP(A1268,'[1]2050Pop'!$A$7:$A$143,'[1]2050Pop'!$C$7:$C$143)</f>
        <v>6555</v>
      </c>
      <c r="D1268" s="126" t="s">
        <v>503</v>
      </c>
      <c r="E1268" s="128">
        <v>6.9189999999999996</v>
      </c>
      <c r="F1268" s="129">
        <f t="shared" si="59"/>
        <v>4.5354044999999996E-2</v>
      </c>
      <c r="G1268" t="str">
        <f>_xlfn.XLOOKUP(D1268,'[1]2050 BAU Mapping to T &amp; C'!$A$3:$A$52,'[1]2050 BAU Mapping to T &amp; C'!$B$3:$B$52)</f>
        <v>Fish</v>
      </c>
      <c r="H1268" s="129">
        <f>_xlfn.XLOOKUP(G1268,'[1]T&amp;C emissions for 2050 analysis'!$B$3:$B$23,'[1]T&amp;C emissions for 2050 analysis'!$C$3:$C$23)</f>
        <v>9.5333333333333332</v>
      </c>
      <c r="I1268" s="27">
        <f t="shared" si="57"/>
        <v>0.43237522899999997</v>
      </c>
      <c r="J1268" s="129">
        <f t="shared" si="58"/>
        <v>65.961133333333322</v>
      </c>
    </row>
    <row r="1269" spans="1:10" hidden="1" x14ac:dyDescent="0.35">
      <c r="A1269" s="126" t="s">
        <v>470</v>
      </c>
      <c r="B1269" t="str">
        <f>_xlfn.XLOOKUP(A1269,'[1]2050Pop'!$A$7:$A$143,'[1]2050Pop'!$D$7:$D$143)</f>
        <v>SSA</v>
      </c>
      <c r="C1269" s="127">
        <f>1000*_xlfn.XLOOKUP(A1269,'[1]2050Pop'!$A$7:$A$143,'[1]2050Pop'!$C$7:$C$143)</f>
        <v>101873</v>
      </c>
      <c r="D1269" s="126" t="s">
        <v>503</v>
      </c>
      <c r="E1269" s="128">
        <v>30.271999999999998</v>
      </c>
      <c r="F1269" s="129">
        <f t="shared" si="59"/>
        <v>3.0838994559999997</v>
      </c>
      <c r="G1269" t="str">
        <f>_xlfn.XLOOKUP(D1269,'[1]2050 BAU Mapping to T &amp; C'!$A$3:$A$52,'[1]2050 BAU Mapping to T &amp; C'!$B$3:$B$52)</f>
        <v>Fish</v>
      </c>
      <c r="H1269" s="129">
        <f>_xlfn.XLOOKUP(G1269,'[1]T&amp;C emissions for 2050 analysis'!$B$3:$B$23,'[1]T&amp;C emissions for 2050 analysis'!$C$3:$C$23)</f>
        <v>9.5333333333333332</v>
      </c>
      <c r="I1269" s="27">
        <f t="shared" si="57"/>
        <v>29.399841480533329</v>
      </c>
      <c r="J1269" s="129">
        <f t="shared" si="58"/>
        <v>288.59306666666663</v>
      </c>
    </row>
    <row r="1270" spans="1:10" hidden="1" x14ac:dyDescent="0.35">
      <c r="A1270" s="126" t="s">
        <v>471</v>
      </c>
      <c r="B1270" t="str">
        <f>_xlfn.XLOOKUP(A1270,'[1]2050Pop'!$A$7:$A$143,'[1]2050Pop'!$D$7:$D$143)</f>
        <v>Euro/AU/NZ</v>
      </c>
      <c r="C1270" s="127">
        <f>1000*_xlfn.XLOOKUP(A1270,'[1]2050Pop'!$A$7:$A$143,'[1]2050Pop'!$C$7:$C$143)</f>
        <v>35117</v>
      </c>
      <c r="D1270" s="126" t="s">
        <v>503</v>
      </c>
      <c r="E1270" s="130">
        <v>24.35</v>
      </c>
      <c r="F1270" s="129">
        <f t="shared" si="59"/>
        <v>0.85509895000000002</v>
      </c>
      <c r="G1270" t="str">
        <f>_xlfn.XLOOKUP(D1270,'[1]2050 BAU Mapping to T &amp; C'!$A$3:$A$52,'[1]2050 BAU Mapping to T &amp; C'!$B$3:$B$52)</f>
        <v>Fish</v>
      </c>
      <c r="H1270" s="129">
        <f>_xlfn.XLOOKUP(G1270,'[1]T&amp;C emissions for 2050 analysis'!$B$3:$B$23,'[1]T&amp;C emissions for 2050 analysis'!$C$3:$C$23)</f>
        <v>9.5333333333333332</v>
      </c>
      <c r="I1270" s="27">
        <f t="shared" si="57"/>
        <v>8.1519433233333327</v>
      </c>
      <c r="J1270" s="129">
        <f t="shared" si="58"/>
        <v>232.13666666666668</v>
      </c>
    </row>
    <row r="1271" spans="1:10" hidden="1" x14ac:dyDescent="0.35">
      <c r="A1271" s="126" t="s">
        <v>472</v>
      </c>
      <c r="B1271" t="str">
        <f>_xlfn.XLOOKUP(A1271,'[1]2050Pop'!$A$7:$A$143,'[1]2050Pop'!$D$7:$D$143)</f>
        <v>Euro/AU/NZ</v>
      </c>
      <c r="C1271" s="127">
        <f>1000*_xlfn.XLOOKUP(A1271,'[1]2050Pop'!$A$7:$A$143,'[1]2050Pop'!$C$7:$C$143)</f>
        <v>75361</v>
      </c>
      <c r="D1271" s="126" t="s">
        <v>503</v>
      </c>
      <c r="E1271" s="128">
        <v>29.061</v>
      </c>
      <c r="F1271" s="129">
        <f t="shared" si="59"/>
        <v>2.1900660210000003</v>
      </c>
      <c r="G1271" t="str">
        <f>_xlfn.XLOOKUP(D1271,'[1]2050 BAU Mapping to T &amp; C'!$A$3:$A$52,'[1]2050 BAU Mapping to T &amp; C'!$B$3:$B$52)</f>
        <v>Fish</v>
      </c>
      <c r="H1271" s="129">
        <f>_xlfn.XLOOKUP(G1271,'[1]T&amp;C emissions for 2050 analysis'!$B$3:$B$23,'[1]T&amp;C emissions for 2050 analysis'!$C$3:$C$23)</f>
        <v>9.5333333333333332</v>
      </c>
      <c r="I1271" s="27">
        <f t="shared" si="57"/>
        <v>20.878629400200001</v>
      </c>
      <c r="J1271" s="129">
        <f t="shared" si="58"/>
        <v>277.04820000000001</v>
      </c>
    </row>
    <row r="1272" spans="1:10" hidden="1" x14ac:dyDescent="0.35">
      <c r="A1272" s="126" t="s">
        <v>473</v>
      </c>
      <c r="B1272" t="str">
        <f>_xlfn.XLOOKUP(A1272,'[1]2050Pop'!$A$7:$A$143,'[1]2050Pop'!$D$7:$D$143)</f>
        <v>SSA</v>
      </c>
      <c r="C1272" s="127">
        <f>1000*_xlfn.XLOOKUP(A1272,'[1]2050Pop'!$A$7:$A$143,'[1]2050Pop'!$C$7:$C$143)</f>
        <v>137136</v>
      </c>
      <c r="D1272" s="126" t="s">
        <v>503</v>
      </c>
      <c r="E1272" s="128">
        <v>16.183</v>
      </c>
      <c r="F1272" s="129">
        <f t="shared" si="59"/>
        <v>2.2192718879999997</v>
      </c>
      <c r="G1272" t="str">
        <f>_xlfn.XLOOKUP(D1272,'[1]2050 BAU Mapping to T &amp; C'!$A$3:$A$52,'[1]2050 BAU Mapping to T &amp; C'!$B$3:$B$52)</f>
        <v>Fish</v>
      </c>
      <c r="H1272" s="129">
        <f>_xlfn.XLOOKUP(G1272,'[1]T&amp;C emissions for 2050 analysis'!$B$3:$B$23,'[1]T&amp;C emissions for 2050 analysis'!$C$3:$C$23)</f>
        <v>9.5333333333333332</v>
      </c>
      <c r="I1272" s="27">
        <f t="shared" si="57"/>
        <v>21.157058665599997</v>
      </c>
      <c r="J1272" s="129">
        <f t="shared" si="58"/>
        <v>154.27793333333332</v>
      </c>
    </row>
    <row r="1273" spans="1:10" hidden="1" x14ac:dyDescent="0.35">
      <c r="A1273" s="126" t="s">
        <v>474</v>
      </c>
      <c r="B1273" t="str">
        <f>_xlfn.XLOOKUP(A1273,'[1]2050Pop'!$A$7:$A$143,'[1]2050Pop'!$D$7:$D$143)</f>
        <v>NAm</v>
      </c>
      <c r="C1273" s="127">
        <f>1000*_xlfn.XLOOKUP(A1273,'[1]2050Pop'!$A$7:$A$143,'[1]2050Pop'!$C$7:$C$143)</f>
        <v>388865</v>
      </c>
      <c r="D1273" s="126" t="s">
        <v>503</v>
      </c>
      <c r="E1273" s="128">
        <v>25.609000000000002</v>
      </c>
      <c r="F1273" s="129">
        <f t="shared" si="59"/>
        <v>9.958443785</v>
      </c>
      <c r="G1273" t="str">
        <f>_xlfn.XLOOKUP(D1273,'[1]2050 BAU Mapping to T &amp; C'!$A$3:$A$52,'[1]2050 BAU Mapping to T &amp; C'!$B$3:$B$52)</f>
        <v>Fish</v>
      </c>
      <c r="H1273" s="129">
        <f>_xlfn.XLOOKUP(G1273,'[1]T&amp;C emissions for 2050 analysis'!$B$3:$B$23,'[1]T&amp;C emissions for 2050 analysis'!$C$3:$C$23)</f>
        <v>9.5333333333333332</v>
      </c>
      <c r="I1273" s="27">
        <f t="shared" si="57"/>
        <v>94.937164083666673</v>
      </c>
      <c r="J1273" s="129">
        <f t="shared" si="58"/>
        <v>244.13913333333335</v>
      </c>
    </row>
    <row r="1274" spans="1:10" hidden="1" x14ac:dyDescent="0.35">
      <c r="A1274" s="126" t="s">
        <v>475</v>
      </c>
      <c r="B1274" t="str">
        <f>_xlfn.XLOOKUP(A1274,'[1]2050Pop'!$A$7:$A$143,'[1]2050Pop'!$D$7:$D$143)</f>
        <v>LatAm &amp; RSA</v>
      </c>
      <c r="C1274" s="127">
        <f>1000*_xlfn.XLOOKUP(A1274,'[1]2050Pop'!$A$7:$A$143,'[1]2050Pop'!$C$7:$C$143)</f>
        <v>3667</v>
      </c>
      <c r="D1274" s="126" t="s">
        <v>503</v>
      </c>
      <c r="E1274" s="128">
        <v>10.773</v>
      </c>
      <c r="F1274" s="129">
        <f t="shared" si="59"/>
        <v>3.9504590999999999E-2</v>
      </c>
      <c r="G1274" t="str">
        <f>_xlfn.XLOOKUP(D1274,'[1]2050 BAU Mapping to T &amp; C'!$A$3:$A$52,'[1]2050 BAU Mapping to T &amp; C'!$B$3:$B$52)</f>
        <v>Fish</v>
      </c>
      <c r="H1274" s="129">
        <f>_xlfn.XLOOKUP(G1274,'[1]T&amp;C emissions for 2050 analysis'!$B$3:$B$23,'[1]T&amp;C emissions for 2050 analysis'!$C$3:$C$23)</f>
        <v>9.5333333333333332</v>
      </c>
      <c r="I1274" s="27">
        <f t="shared" si="57"/>
        <v>0.37661043419999995</v>
      </c>
      <c r="J1274" s="129">
        <f t="shared" si="58"/>
        <v>102.70259999999999</v>
      </c>
    </row>
    <row r="1275" spans="1:10" hidden="1" x14ac:dyDescent="0.35">
      <c r="A1275" s="126" t="s">
        <v>485</v>
      </c>
      <c r="B1275" t="str">
        <f>_xlfn.XLOOKUP(A1275,'[1]2050Pop'!$A$7:$A$143,'[1]2050Pop'!$D$7:$D$143)</f>
        <v>APAC</v>
      </c>
      <c r="C1275" s="127">
        <f>1000*_xlfn.XLOOKUP(A1275,'[1]2050Pop'!$A$7:$A$143,'[1]2050Pop'!$C$7:$C$143)</f>
        <v>37126</v>
      </c>
      <c r="D1275" s="126" t="s">
        <v>503</v>
      </c>
      <c r="E1275" s="128">
        <v>1.8779999999999999</v>
      </c>
      <c r="F1275" s="129">
        <f t="shared" si="59"/>
        <v>6.9722627999999995E-2</v>
      </c>
      <c r="G1275" t="str">
        <f>_xlfn.XLOOKUP(D1275,'[1]2050 BAU Mapping to T &amp; C'!$A$3:$A$52,'[1]2050 BAU Mapping to T &amp; C'!$B$3:$B$52)</f>
        <v>Fish</v>
      </c>
      <c r="H1275" s="129">
        <f>_xlfn.XLOOKUP(G1275,'[1]T&amp;C emissions for 2050 analysis'!$B$3:$B$23,'[1]T&amp;C emissions for 2050 analysis'!$C$3:$C$23)</f>
        <v>9.5333333333333332</v>
      </c>
      <c r="I1275" s="27">
        <f t="shared" si="57"/>
        <v>0.66468905359999997</v>
      </c>
      <c r="J1275" s="129">
        <f t="shared" si="58"/>
        <v>17.903599999999997</v>
      </c>
    </row>
    <row r="1276" spans="1:10" hidden="1" x14ac:dyDescent="0.35">
      <c r="A1276" s="126" t="s">
        <v>476</v>
      </c>
      <c r="B1276" t="str">
        <f>_xlfn.XLOOKUP(A1276,'[1]2050Pop'!$A$7:$A$143,'[1]2050Pop'!$D$7:$D$143)</f>
        <v>LatAm &amp; RSA</v>
      </c>
      <c r="C1276" s="127">
        <f>1000*_xlfn.XLOOKUP(A1276,'[1]2050Pop'!$A$7:$A$143,'[1]2050Pop'!$C$7:$C$143)</f>
        <v>41562</v>
      </c>
      <c r="D1276" s="126" t="s">
        <v>503</v>
      </c>
      <c r="E1276" s="130">
        <v>17.72</v>
      </c>
      <c r="F1276" s="129">
        <f t="shared" si="59"/>
        <v>0.73647863999999985</v>
      </c>
      <c r="G1276" t="str">
        <f>_xlfn.XLOOKUP(D1276,'[1]2050 BAU Mapping to T &amp; C'!$A$3:$A$52,'[1]2050 BAU Mapping to T &amp; C'!$B$3:$B$52)</f>
        <v>Fish</v>
      </c>
      <c r="H1276" s="129">
        <f>_xlfn.XLOOKUP(G1276,'[1]T&amp;C emissions for 2050 analysis'!$B$3:$B$23,'[1]T&amp;C emissions for 2050 analysis'!$C$3:$C$23)</f>
        <v>9.5333333333333332</v>
      </c>
      <c r="I1276" s="27">
        <f t="shared" si="57"/>
        <v>7.0210963679999985</v>
      </c>
      <c r="J1276" s="129">
        <f t="shared" si="58"/>
        <v>168.93066666666667</v>
      </c>
    </row>
    <row r="1277" spans="1:10" hidden="1" x14ac:dyDescent="0.35">
      <c r="A1277" s="126" t="s">
        <v>477</v>
      </c>
      <c r="B1277" t="str">
        <f>_xlfn.XLOOKUP(A1277,'[1]2050Pop'!$A$7:$A$143,'[1]2050Pop'!$D$7:$D$143)</f>
        <v>APAC</v>
      </c>
      <c r="C1277" s="127">
        <f>1000*_xlfn.XLOOKUP(A1277,'[1]2050Pop'!$A$7:$A$143,'[1]2050Pop'!$C$7:$C$143)</f>
        <v>112783</v>
      </c>
      <c r="D1277" s="126" t="s">
        <v>503</v>
      </c>
      <c r="E1277" s="128">
        <v>51.817999999999998</v>
      </c>
      <c r="F1277" s="129">
        <f t="shared" si="59"/>
        <v>5.8441894940000001</v>
      </c>
      <c r="G1277" t="str">
        <f>_xlfn.XLOOKUP(D1277,'[1]2050 BAU Mapping to T &amp; C'!$A$3:$A$52,'[1]2050 BAU Mapping to T &amp; C'!$B$3:$B$52)</f>
        <v>Fish</v>
      </c>
      <c r="H1277" s="129">
        <f>_xlfn.XLOOKUP(G1277,'[1]T&amp;C emissions for 2050 analysis'!$B$3:$B$23,'[1]T&amp;C emissions for 2050 analysis'!$C$3:$C$23)</f>
        <v>9.5333333333333332</v>
      </c>
      <c r="I1277" s="27">
        <f t="shared" si="57"/>
        <v>55.71460650946667</v>
      </c>
      <c r="J1277" s="129">
        <f t="shared" si="58"/>
        <v>493.99826666666667</v>
      </c>
    </row>
    <row r="1278" spans="1:10" hidden="1" x14ac:dyDescent="0.35">
      <c r="A1278" s="126" t="s">
        <v>478</v>
      </c>
      <c r="B1278" t="str">
        <f>_xlfn.XLOOKUP(A1278,'[1]2050Pop'!$A$7:$A$143,'[1]2050Pop'!$D$7:$D$143)</f>
        <v>MENA</v>
      </c>
      <c r="C1278" s="127">
        <f>1000*_xlfn.XLOOKUP(A1278,'[1]2050Pop'!$A$7:$A$143,'[1]2050Pop'!$C$7:$C$143)</f>
        <v>47170</v>
      </c>
      <c r="D1278" s="126" t="s">
        <v>503</v>
      </c>
      <c r="E1278" s="128">
        <v>3.6560000000000001</v>
      </c>
      <c r="F1278" s="129">
        <f t="shared" si="59"/>
        <v>0.17245352000000003</v>
      </c>
      <c r="G1278" t="str">
        <f>_xlfn.XLOOKUP(D1278,'[1]2050 BAU Mapping to T &amp; C'!$A$3:$A$52,'[1]2050 BAU Mapping to T &amp; C'!$B$3:$B$52)</f>
        <v>Fish</v>
      </c>
      <c r="H1278" s="129">
        <f>_xlfn.XLOOKUP(G1278,'[1]T&amp;C emissions for 2050 analysis'!$B$3:$B$23,'[1]T&amp;C emissions for 2050 analysis'!$C$3:$C$23)</f>
        <v>9.5333333333333332</v>
      </c>
      <c r="I1278" s="27">
        <f t="shared" si="57"/>
        <v>1.6440568906666668</v>
      </c>
      <c r="J1278" s="129">
        <f t="shared" si="58"/>
        <v>34.853866666666669</v>
      </c>
    </row>
    <row r="1279" spans="1:10" hidden="1" x14ac:dyDescent="0.35">
      <c r="A1279" s="126" t="s">
        <v>494</v>
      </c>
      <c r="B1279" t="str">
        <f>_xlfn.XLOOKUP(A1279,'[1]2050Pop'!$A$7:$A$143,'[1]2050Pop'!$D$7:$D$143)</f>
        <v>SSA</v>
      </c>
      <c r="C1279" s="127">
        <f>1000*_xlfn.XLOOKUP(A1279,'[1]2050Pop'!$A$7:$A$143,'[1]2050Pop'!$C$7:$C$143)</f>
        <v>42975</v>
      </c>
      <c r="D1279" s="126" t="s">
        <v>503</v>
      </c>
      <c r="E1279" s="130">
        <v>13.86</v>
      </c>
      <c r="F1279" s="129">
        <f t="shared" si="59"/>
        <v>0.59563350000000004</v>
      </c>
      <c r="G1279" t="str">
        <f>_xlfn.XLOOKUP(D1279,'[1]2050 BAU Mapping to T &amp; C'!$A$3:$A$52,'[1]2050 BAU Mapping to T &amp; C'!$B$3:$B$52)</f>
        <v>Fish</v>
      </c>
      <c r="H1279" s="129">
        <f>_xlfn.XLOOKUP(G1279,'[1]T&amp;C emissions for 2050 analysis'!$B$3:$B$23,'[1]T&amp;C emissions for 2050 analysis'!$C$3:$C$23)</f>
        <v>9.5333333333333332</v>
      </c>
      <c r="I1279" s="27">
        <f t="shared" si="57"/>
        <v>5.6783727000000006</v>
      </c>
      <c r="J1279" s="129">
        <f t="shared" si="58"/>
        <v>132.13200000000001</v>
      </c>
    </row>
    <row r="1280" spans="1:10" hidden="1" x14ac:dyDescent="0.35">
      <c r="A1280" s="126" t="s">
        <v>479</v>
      </c>
      <c r="B1280" t="str">
        <f>_xlfn.XLOOKUP(A1280,'[1]2050Pop'!$A$7:$A$143,'[1]2050Pop'!$D$7:$D$143)</f>
        <v>SSA</v>
      </c>
      <c r="C1280" s="127">
        <f>1000*_xlfn.XLOOKUP(A1280,'[1]2050Pop'!$A$7:$A$143,'[1]2050Pop'!$C$7:$C$143)</f>
        <v>29615</v>
      </c>
      <c r="D1280" s="126" t="s">
        <v>503</v>
      </c>
      <c r="E1280" s="128">
        <v>6.7949999999999999</v>
      </c>
      <c r="F1280" s="129">
        <f t="shared" si="59"/>
        <v>0.20123392499999998</v>
      </c>
      <c r="G1280" t="str">
        <f>_xlfn.XLOOKUP(D1280,'[1]2050 BAU Mapping to T &amp; C'!$A$3:$A$52,'[1]2050 BAU Mapping to T &amp; C'!$B$3:$B$52)</f>
        <v>Fish</v>
      </c>
      <c r="H1280" s="129">
        <f>_xlfn.XLOOKUP(G1280,'[1]T&amp;C emissions for 2050 analysis'!$B$3:$B$23,'[1]T&amp;C emissions for 2050 analysis'!$C$3:$C$23)</f>
        <v>9.5333333333333332</v>
      </c>
      <c r="I1280" s="27">
        <f t="shared" si="57"/>
        <v>1.9184300849999998</v>
      </c>
      <c r="J1280" s="129">
        <f t="shared" si="58"/>
        <v>64.778999999999996</v>
      </c>
    </row>
    <row r="1281" spans="1:10" hidden="1" x14ac:dyDescent="0.35">
      <c r="A1281" s="126" t="s">
        <v>355</v>
      </c>
      <c r="B1281" t="str">
        <f>_xlfn.XLOOKUP(A1281,'[1]2050Pop'!$A$7:$A$143,'[1]2050Pop'!$D$7:$D$143)</f>
        <v>India/South Asia</v>
      </c>
      <c r="C1281" s="127">
        <f>1000*_xlfn.XLOOKUP(A1281,'[1]2050Pop'!$A$7:$A$143,'[1]2050Pop'!$C$7:$C$143)</f>
        <v>55955</v>
      </c>
      <c r="D1281" s="126" t="s">
        <v>504</v>
      </c>
      <c r="E1281" s="130">
        <v>17.25</v>
      </c>
      <c r="F1281" s="129">
        <f t="shared" si="59"/>
        <v>0.96522375000000005</v>
      </c>
      <c r="G1281" t="str">
        <f>_xlfn.XLOOKUP(D1281,'[1]2050 BAU Mapping to T &amp; C'!$A$3:$A$52,'[1]2050 BAU Mapping to T &amp; C'!$B$3:$B$52)</f>
        <v>Maize</v>
      </c>
      <c r="H1281" s="129">
        <f>_xlfn.XLOOKUP(G1281,'[1]T&amp;C emissions for 2050 analysis'!$B$3:$B$23,'[1]T&amp;C emissions for 2050 analysis'!$C$3:$C$23)</f>
        <v>0.10999999999999999</v>
      </c>
      <c r="I1281" s="27">
        <f t="shared" si="57"/>
        <v>0.10617461249999999</v>
      </c>
      <c r="J1281" s="129">
        <f t="shared" si="58"/>
        <v>1.8974999999999997</v>
      </c>
    </row>
    <row r="1282" spans="1:10" hidden="1" x14ac:dyDescent="0.35">
      <c r="A1282" s="126" t="s">
        <v>357</v>
      </c>
      <c r="B1282" t="str">
        <f>_xlfn.XLOOKUP(A1282,'[1]2050Pop'!$A$7:$A$143,'[1]2050Pop'!$D$7:$D$143)</f>
        <v>Euro/AU/NZ</v>
      </c>
      <c r="C1282" s="127">
        <f>1000*_xlfn.XLOOKUP(A1282,'[1]2050Pop'!$A$7:$A$143,'[1]2050Pop'!$C$7:$C$143)</f>
        <v>2710</v>
      </c>
      <c r="D1282" s="126" t="s">
        <v>504</v>
      </c>
      <c r="E1282" s="128">
        <v>12.872999999999999</v>
      </c>
      <c r="F1282" s="129">
        <f t="shared" si="59"/>
        <v>3.488583E-2</v>
      </c>
      <c r="G1282" t="str">
        <f>_xlfn.XLOOKUP(D1282,'[1]2050 BAU Mapping to T &amp; C'!$A$3:$A$52,'[1]2050 BAU Mapping to T &amp; C'!$B$3:$B$52)</f>
        <v>Maize</v>
      </c>
      <c r="H1282" s="129">
        <f>_xlfn.XLOOKUP(G1282,'[1]T&amp;C emissions for 2050 analysis'!$B$3:$B$23,'[1]T&amp;C emissions for 2050 analysis'!$C$3:$C$23)</f>
        <v>0.10999999999999999</v>
      </c>
      <c r="I1282" s="27">
        <f t="shared" si="57"/>
        <v>3.8374412999999997E-3</v>
      </c>
      <c r="J1282" s="129">
        <f t="shared" si="58"/>
        <v>1.4160299999999997</v>
      </c>
    </row>
    <row r="1283" spans="1:10" hidden="1" x14ac:dyDescent="0.35">
      <c r="A1283" s="126" t="s">
        <v>358</v>
      </c>
      <c r="B1283" t="str">
        <f>_xlfn.XLOOKUP(A1283,'[1]2050Pop'!$A$7:$A$143,'[1]2050Pop'!$D$7:$D$143)</f>
        <v>MENA</v>
      </c>
      <c r="C1283" s="127">
        <f>1000*_xlfn.XLOOKUP(A1283,'[1]2050Pop'!$A$7:$A$143,'[1]2050Pop'!$C$7:$C$143)</f>
        <v>56461</v>
      </c>
      <c r="D1283" s="126" t="s">
        <v>504</v>
      </c>
      <c r="E1283" s="130">
        <v>104.25</v>
      </c>
      <c r="F1283" s="129">
        <f t="shared" si="59"/>
        <v>5.8860592499999997</v>
      </c>
      <c r="G1283" t="str">
        <f>_xlfn.XLOOKUP(D1283,'[1]2050 BAU Mapping to T &amp; C'!$A$3:$A$52,'[1]2050 BAU Mapping to T &amp; C'!$B$3:$B$52)</f>
        <v>Maize</v>
      </c>
      <c r="H1283" s="129">
        <f>_xlfn.XLOOKUP(G1283,'[1]T&amp;C emissions for 2050 analysis'!$B$3:$B$23,'[1]T&amp;C emissions for 2050 analysis'!$C$3:$C$23)</f>
        <v>0.10999999999999999</v>
      </c>
      <c r="I1283" s="27">
        <f t="shared" si="57"/>
        <v>0.64746651749999984</v>
      </c>
      <c r="J1283" s="129">
        <f t="shared" si="58"/>
        <v>11.467499999999999</v>
      </c>
    </row>
    <row r="1284" spans="1:10" hidden="1" x14ac:dyDescent="0.35">
      <c r="A1284" s="126" t="s">
        <v>359</v>
      </c>
      <c r="B1284" t="str">
        <f>_xlfn.XLOOKUP(A1284,'[1]2050Pop'!$A$7:$A$143,'[1]2050Pop'!$D$7:$D$143)</f>
        <v>SSA</v>
      </c>
      <c r="C1284" s="127">
        <f>1000*_xlfn.XLOOKUP(A1284,'[1]2050Pop'!$A$7:$A$143,'[1]2050Pop'!$C$7:$C$143)</f>
        <v>65473</v>
      </c>
      <c r="D1284" s="126" t="s">
        <v>504</v>
      </c>
      <c r="E1284" s="128">
        <v>275.34699999999998</v>
      </c>
      <c r="F1284" s="129">
        <f t="shared" si="59"/>
        <v>18.027794130999997</v>
      </c>
      <c r="G1284" t="str">
        <f>_xlfn.XLOOKUP(D1284,'[1]2050 BAU Mapping to T &amp; C'!$A$3:$A$52,'[1]2050 BAU Mapping to T &amp; C'!$B$3:$B$52)</f>
        <v>Maize</v>
      </c>
      <c r="H1284" s="129">
        <f>_xlfn.XLOOKUP(G1284,'[1]T&amp;C emissions for 2050 analysis'!$B$3:$B$23,'[1]T&amp;C emissions for 2050 analysis'!$C$3:$C$23)</f>
        <v>0.10999999999999999</v>
      </c>
      <c r="I1284" s="27">
        <f t="shared" ref="I1284:I1347" si="60">F1284*H1284</f>
        <v>1.9830573544099994</v>
      </c>
      <c r="J1284" s="129">
        <f t="shared" ref="J1284:J1347" si="61">E1284*H1284</f>
        <v>30.288169999999994</v>
      </c>
    </row>
    <row r="1285" spans="1:10" hidden="1" x14ac:dyDescent="0.35">
      <c r="A1285" s="126" t="s">
        <v>360</v>
      </c>
      <c r="B1285" t="str">
        <f>_xlfn.XLOOKUP(A1285,'[1]2050Pop'!$A$7:$A$143,'[1]2050Pop'!$D$7:$D$143)</f>
        <v>LatAm &amp; RSA</v>
      </c>
      <c r="C1285" s="127">
        <f>1000*_xlfn.XLOOKUP(A1285,'[1]2050Pop'!$A$7:$A$143,'[1]2050Pop'!$C$7:$C$143)</f>
        <v>55445</v>
      </c>
      <c r="D1285" s="126" t="s">
        <v>504</v>
      </c>
      <c r="E1285" s="128">
        <v>69.792000000000002</v>
      </c>
      <c r="F1285" s="129">
        <f t="shared" ref="F1285:F1348" si="62">C1285*E1285/1000000</f>
        <v>3.8696174399999999</v>
      </c>
      <c r="G1285" t="str">
        <f>_xlfn.XLOOKUP(D1285,'[1]2050 BAU Mapping to T &amp; C'!$A$3:$A$52,'[1]2050 BAU Mapping to T &amp; C'!$B$3:$B$52)</f>
        <v>Maize</v>
      </c>
      <c r="H1285" s="129">
        <f>_xlfn.XLOOKUP(G1285,'[1]T&amp;C emissions for 2050 analysis'!$B$3:$B$23,'[1]T&amp;C emissions for 2050 analysis'!$C$3:$C$23)</f>
        <v>0.10999999999999999</v>
      </c>
      <c r="I1285" s="27">
        <f t="shared" si="60"/>
        <v>0.42565791839999995</v>
      </c>
      <c r="J1285" s="129">
        <f t="shared" si="61"/>
        <v>7.6771199999999995</v>
      </c>
    </row>
    <row r="1286" spans="1:10" hidden="1" x14ac:dyDescent="0.35">
      <c r="A1286" s="126" t="s">
        <v>362</v>
      </c>
      <c r="B1286" t="str">
        <f>_xlfn.XLOOKUP(A1286,'[1]2050Pop'!$A$7:$A$143,'[1]2050Pop'!$D$7:$D$143)</f>
        <v>Euro/AU/NZ</v>
      </c>
      <c r="C1286" s="127">
        <f>1000*_xlfn.XLOOKUP(A1286,'[1]2050Pop'!$A$7:$A$143,'[1]2050Pop'!$C$7:$C$143)</f>
        <v>33496</v>
      </c>
      <c r="D1286" s="126" t="s">
        <v>504</v>
      </c>
      <c r="E1286" s="128">
        <v>35.326000000000001</v>
      </c>
      <c r="F1286" s="129">
        <f t="shared" si="62"/>
        <v>1.183279696</v>
      </c>
      <c r="G1286" t="str">
        <f>_xlfn.XLOOKUP(D1286,'[1]2050 BAU Mapping to T &amp; C'!$A$3:$A$52,'[1]2050 BAU Mapping to T &amp; C'!$B$3:$B$52)</f>
        <v>Maize</v>
      </c>
      <c r="H1286" s="129">
        <f>_xlfn.XLOOKUP(G1286,'[1]T&amp;C emissions for 2050 analysis'!$B$3:$B$23,'[1]T&amp;C emissions for 2050 analysis'!$C$3:$C$23)</f>
        <v>0.10999999999999999</v>
      </c>
      <c r="I1286" s="27">
        <f t="shared" si="60"/>
        <v>0.13016076656</v>
      </c>
      <c r="J1286" s="129">
        <f t="shared" si="61"/>
        <v>3.8858599999999996</v>
      </c>
    </row>
    <row r="1287" spans="1:10" hidden="1" x14ac:dyDescent="0.35">
      <c r="A1287" s="126" t="s">
        <v>363</v>
      </c>
      <c r="B1287" t="str">
        <f>_xlfn.XLOOKUP(A1287,'[1]2050Pop'!$A$7:$A$143,'[1]2050Pop'!$D$7:$D$143)</f>
        <v>Euro/AU/NZ</v>
      </c>
      <c r="C1287" s="127">
        <f>1000*_xlfn.XLOOKUP(A1287,'[1]2050Pop'!$A$7:$A$143,'[1]2050Pop'!$C$7:$C$143)</f>
        <v>8846</v>
      </c>
      <c r="D1287" s="126" t="s">
        <v>504</v>
      </c>
      <c r="E1287" s="128">
        <v>84.156000000000006</v>
      </c>
      <c r="F1287" s="129">
        <f t="shared" si="62"/>
        <v>0.74444397600000001</v>
      </c>
      <c r="G1287" t="str">
        <f>_xlfn.XLOOKUP(D1287,'[1]2050 BAU Mapping to T &amp; C'!$A$3:$A$52,'[1]2050 BAU Mapping to T &amp; C'!$B$3:$B$52)</f>
        <v>Maize</v>
      </c>
      <c r="H1287" s="129">
        <f>_xlfn.XLOOKUP(G1287,'[1]T&amp;C emissions for 2050 analysis'!$B$3:$B$23,'[1]T&amp;C emissions for 2050 analysis'!$C$3:$C$23)</f>
        <v>0.10999999999999999</v>
      </c>
      <c r="I1287" s="27">
        <f t="shared" si="60"/>
        <v>8.1888837359999994E-2</v>
      </c>
      <c r="J1287" s="129">
        <f t="shared" si="61"/>
        <v>9.2571599999999989</v>
      </c>
    </row>
    <row r="1288" spans="1:10" hidden="1" x14ac:dyDescent="0.35">
      <c r="A1288" s="126" t="s">
        <v>364</v>
      </c>
      <c r="B1288" t="str">
        <f>_xlfn.XLOOKUP(A1288,'[1]2050Pop'!$A$7:$A$143,'[1]2050Pop'!$D$7:$D$143)</f>
        <v>MENA</v>
      </c>
      <c r="C1288" s="127">
        <f>1000*_xlfn.XLOOKUP(A1288,'[1]2050Pop'!$A$7:$A$143,'[1]2050Pop'!$C$7:$C$143)</f>
        <v>10963</v>
      </c>
      <c r="D1288" s="126" t="s">
        <v>504</v>
      </c>
      <c r="E1288" s="128">
        <v>67.432000000000002</v>
      </c>
      <c r="F1288" s="129">
        <f t="shared" si="62"/>
        <v>0.73925701600000004</v>
      </c>
      <c r="G1288" t="str">
        <f>_xlfn.XLOOKUP(D1288,'[1]2050 BAU Mapping to T &amp; C'!$A$3:$A$52,'[1]2050 BAU Mapping to T &amp; C'!$B$3:$B$52)</f>
        <v>Maize</v>
      </c>
      <c r="H1288" s="129">
        <f>_xlfn.XLOOKUP(G1288,'[1]T&amp;C emissions for 2050 analysis'!$B$3:$B$23,'[1]T&amp;C emissions for 2050 analysis'!$C$3:$C$23)</f>
        <v>0.10999999999999999</v>
      </c>
      <c r="I1288" s="27">
        <f t="shared" si="60"/>
        <v>8.1318271759999991E-2</v>
      </c>
      <c r="J1288" s="129">
        <f t="shared" si="61"/>
        <v>7.4175199999999997</v>
      </c>
    </row>
    <row r="1289" spans="1:10" hidden="1" x14ac:dyDescent="0.35">
      <c r="A1289" s="126" t="s">
        <v>365</v>
      </c>
      <c r="B1289" t="str">
        <f>_xlfn.XLOOKUP(A1289,'[1]2050Pop'!$A$7:$A$143,'[1]2050Pop'!$D$7:$D$143)</f>
        <v>India/South Asia</v>
      </c>
      <c r="C1289" s="127">
        <f>1000*_xlfn.XLOOKUP(A1289,'[1]2050Pop'!$A$7:$A$143,'[1]2050Pop'!$C$7:$C$143)</f>
        <v>202209</v>
      </c>
      <c r="D1289" s="126" t="s">
        <v>504</v>
      </c>
      <c r="E1289" s="128">
        <v>4.9939999999999998</v>
      </c>
      <c r="F1289" s="129">
        <f t="shared" si="62"/>
        <v>1.0098317459999999</v>
      </c>
      <c r="G1289" t="str">
        <f>_xlfn.XLOOKUP(D1289,'[1]2050 BAU Mapping to T &amp; C'!$A$3:$A$52,'[1]2050 BAU Mapping to T &amp; C'!$B$3:$B$52)</f>
        <v>Maize</v>
      </c>
      <c r="H1289" s="129">
        <f>_xlfn.XLOOKUP(G1289,'[1]T&amp;C emissions for 2050 analysis'!$B$3:$B$23,'[1]T&amp;C emissions for 2050 analysis'!$C$3:$C$23)</f>
        <v>0.10999999999999999</v>
      </c>
      <c r="I1289" s="27">
        <f t="shared" si="60"/>
        <v>0.11108149205999998</v>
      </c>
      <c r="J1289" s="129">
        <f t="shared" si="61"/>
        <v>0.54933999999999994</v>
      </c>
    </row>
    <row r="1290" spans="1:10" hidden="1" x14ac:dyDescent="0.35">
      <c r="A1290" s="126" t="s">
        <v>366</v>
      </c>
      <c r="B1290" t="str">
        <f>_xlfn.XLOOKUP(A1290,'[1]2050Pop'!$A$7:$A$143,'[1]2050Pop'!$D$7:$D$143)</f>
        <v>Euro/AU/NZ</v>
      </c>
      <c r="C1290" s="127">
        <f>1000*_xlfn.XLOOKUP(A1290,'[1]2050Pop'!$A$7:$A$143,'[1]2050Pop'!$C$7:$C$143)</f>
        <v>8125</v>
      </c>
      <c r="D1290" s="126" t="s">
        <v>504</v>
      </c>
      <c r="E1290" s="128">
        <v>3.7010000000000001</v>
      </c>
      <c r="F1290" s="129">
        <f t="shared" si="62"/>
        <v>3.0070625E-2</v>
      </c>
      <c r="G1290" t="str">
        <f>_xlfn.XLOOKUP(D1290,'[1]2050 BAU Mapping to T &amp; C'!$A$3:$A$52,'[1]2050 BAU Mapping to T &amp; C'!$B$3:$B$52)</f>
        <v>Maize</v>
      </c>
      <c r="H1290" s="129">
        <f>_xlfn.XLOOKUP(G1290,'[1]T&amp;C emissions for 2050 analysis'!$B$3:$B$23,'[1]T&amp;C emissions for 2050 analysis'!$C$3:$C$23)</f>
        <v>0.10999999999999999</v>
      </c>
      <c r="I1290" s="27">
        <f t="shared" si="60"/>
        <v>3.3077687499999996E-3</v>
      </c>
      <c r="J1290" s="129">
        <f t="shared" si="61"/>
        <v>0.40710999999999997</v>
      </c>
    </row>
    <row r="1291" spans="1:10" hidden="1" x14ac:dyDescent="0.35">
      <c r="A1291" s="126" t="s">
        <v>367</v>
      </c>
      <c r="B1291" t="str">
        <f>_xlfn.XLOOKUP(A1291,'[1]2050Pop'!$A$7:$A$143,'[1]2050Pop'!$D$7:$D$143)</f>
        <v>Euro/AU/NZ</v>
      </c>
      <c r="C1291" s="127">
        <f>1000*_xlfn.XLOOKUP(A1291,'[1]2050Pop'!$A$7:$A$143,'[1]2050Pop'!$C$7:$C$143)</f>
        <v>12527</v>
      </c>
      <c r="D1291" s="126" t="s">
        <v>504</v>
      </c>
      <c r="E1291" s="128">
        <v>11.744</v>
      </c>
      <c r="F1291" s="129">
        <f t="shared" si="62"/>
        <v>0.14711708799999998</v>
      </c>
      <c r="G1291" t="str">
        <f>_xlfn.XLOOKUP(D1291,'[1]2050 BAU Mapping to T &amp; C'!$A$3:$A$52,'[1]2050 BAU Mapping to T &amp; C'!$B$3:$B$52)</f>
        <v>Maize</v>
      </c>
      <c r="H1291" s="129">
        <f>_xlfn.XLOOKUP(G1291,'[1]T&amp;C emissions for 2050 analysis'!$B$3:$B$23,'[1]T&amp;C emissions for 2050 analysis'!$C$3:$C$23)</f>
        <v>0.10999999999999999</v>
      </c>
      <c r="I1291" s="27">
        <f t="shared" si="60"/>
        <v>1.6182879679999995E-2</v>
      </c>
      <c r="J1291" s="129">
        <f t="shared" si="61"/>
        <v>1.2918399999999999</v>
      </c>
    </row>
    <row r="1292" spans="1:10" hidden="1" x14ac:dyDescent="0.35">
      <c r="A1292" s="126" t="s">
        <v>368</v>
      </c>
      <c r="B1292" t="str">
        <f>_xlfn.XLOOKUP(A1292,'[1]2050Pop'!$A$7:$A$143,'[1]2050Pop'!$D$7:$D$143)</f>
        <v>SSA</v>
      </c>
      <c r="C1292" s="127">
        <f>1000*_xlfn.XLOOKUP(A1292,'[1]2050Pop'!$A$7:$A$143,'[1]2050Pop'!$C$7:$C$143)</f>
        <v>22549</v>
      </c>
      <c r="D1292" s="126" t="s">
        <v>504</v>
      </c>
      <c r="E1292" s="128">
        <v>317.24400000000003</v>
      </c>
      <c r="F1292" s="129">
        <f t="shared" si="62"/>
        <v>7.1535349560000006</v>
      </c>
      <c r="G1292" t="str">
        <f>_xlfn.XLOOKUP(D1292,'[1]2050 BAU Mapping to T &amp; C'!$A$3:$A$52,'[1]2050 BAU Mapping to T &amp; C'!$B$3:$B$52)</f>
        <v>Maize</v>
      </c>
      <c r="H1292" s="129">
        <f>_xlfn.XLOOKUP(G1292,'[1]T&amp;C emissions for 2050 analysis'!$B$3:$B$23,'[1]T&amp;C emissions for 2050 analysis'!$C$3:$C$23)</f>
        <v>0.10999999999999999</v>
      </c>
      <c r="I1292" s="27">
        <f t="shared" si="60"/>
        <v>0.78688884516000002</v>
      </c>
      <c r="J1292" s="129">
        <f t="shared" si="61"/>
        <v>34.896839999999997</v>
      </c>
    </row>
    <row r="1293" spans="1:10" hidden="1" x14ac:dyDescent="0.35">
      <c r="A1293" s="126" t="s">
        <v>369</v>
      </c>
      <c r="B1293" t="str">
        <f>_xlfn.XLOOKUP(A1293,'[1]2050Pop'!$A$7:$A$143,'[1]2050Pop'!$D$7:$D$143)</f>
        <v>LatAm &amp; RSA</v>
      </c>
      <c r="C1293" s="127">
        <f>1000*_xlfn.XLOOKUP(A1293,'[1]2050Pop'!$A$7:$A$143,'[1]2050Pop'!$C$7:$C$143)</f>
        <v>15963</v>
      </c>
      <c r="D1293" s="126" t="s">
        <v>504</v>
      </c>
      <c r="E1293" s="128">
        <v>241.096</v>
      </c>
      <c r="F1293" s="129">
        <f t="shared" si="62"/>
        <v>3.8486154479999999</v>
      </c>
      <c r="G1293" t="str">
        <f>_xlfn.XLOOKUP(D1293,'[1]2050 BAU Mapping to T &amp; C'!$A$3:$A$52,'[1]2050 BAU Mapping to T &amp; C'!$B$3:$B$52)</f>
        <v>Maize</v>
      </c>
      <c r="H1293" s="129">
        <f>_xlfn.XLOOKUP(G1293,'[1]T&amp;C emissions for 2050 analysis'!$B$3:$B$23,'[1]T&amp;C emissions for 2050 analysis'!$C$3:$C$23)</f>
        <v>0.10999999999999999</v>
      </c>
      <c r="I1293" s="27">
        <f t="shared" si="60"/>
        <v>0.42334769927999993</v>
      </c>
      <c r="J1293" s="129">
        <f t="shared" si="61"/>
        <v>26.520559999999996</v>
      </c>
    </row>
    <row r="1294" spans="1:10" hidden="1" x14ac:dyDescent="0.35">
      <c r="A1294" s="126" t="s">
        <v>370</v>
      </c>
      <c r="B1294" t="str">
        <f>_xlfn.XLOOKUP(A1294,'[1]2050Pop'!$A$7:$A$143,'[1]2050Pop'!$D$7:$D$143)</f>
        <v>Euro/AU/NZ</v>
      </c>
      <c r="C1294" s="127">
        <f>1000*_xlfn.XLOOKUP(A1294,'[1]2050Pop'!$A$7:$A$143,'[1]2050Pop'!$C$7:$C$143)</f>
        <v>3069</v>
      </c>
      <c r="D1294" s="126" t="s">
        <v>504</v>
      </c>
      <c r="E1294" s="128">
        <v>569.846</v>
      </c>
      <c r="F1294" s="129">
        <f t="shared" si="62"/>
        <v>1.748857374</v>
      </c>
      <c r="G1294" t="str">
        <f>_xlfn.XLOOKUP(D1294,'[1]2050 BAU Mapping to T &amp; C'!$A$3:$A$52,'[1]2050 BAU Mapping to T &amp; C'!$B$3:$B$52)</f>
        <v>Maize</v>
      </c>
      <c r="H1294" s="129">
        <f>_xlfn.XLOOKUP(G1294,'[1]T&amp;C emissions for 2050 analysis'!$B$3:$B$23,'[1]T&amp;C emissions for 2050 analysis'!$C$3:$C$23)</f>
        <v>0.10999999999999999</v>
      </c>
      <c r="I1294" s="27">
        <f t="shared" si="60"/>
        <v>0.19237431113999998</v>
      </c>
      <c r="J1294" s="129">
        <f t="shared" si="61"/>
        <v>62.68305999999999</v>
      </c>
    </row>
    <row r="1295" spans="1:10" hidden="1" x14ac:dyDescent="0.35">
      <c r="A1295" s="126" t="s">
        <v>371</v>
      </c>
      <c r="B1295" t="str">
        <f>_xlfn.XLOOKUP(A1295,'[1]2050Pop'!$A$7:$A$143,'[1]2050Pop'!$D$7:$D$143)</f>
        <v>SSA</v>
      </c>
      <c r="C1295" s="127">
        <f>1000*_xlfn.XLOOKUP(A1295,'[1]2050Pop'!$A$7:$A$143,'[1]2050Pop'!$C$7:$C$143)</f>
        <v>3389</v>
      </c>
      <c r="D1295" s="126" t="s">
        <v>504</v>
      </c>
      <c r="E1295" s="128">
        <v>316.34699999999998</v>
      </c>
      <c r="F1295" s="129">
        <f t="shared" si="62"/>
        <v>1.072099983</v>
      </c>
      <c r="G1295" t="str">
        <f>_xlfn.XLOOKUP(D1295,'[1]2050 BAU Mapping to T &amp; C'!$A$3:$A$52,'[1]2050 BAU Mapping to T &amp; C'!$B$3:$B$52)</f>
        <v>Maize</v>
      </c>
      <c r="H1295" s="129">
        <f>_xlfn.XLOOKUP(G1295,'[1]T&amp;C emissions for 2050 analysis'!$B$3:$B$23,'[1]T&amp;C emissions for 2050 analysis'!$C$3:$C$23)</f>
        <v>0.10999999999999999</v>
      </c>
      <c r="I1295" s="27">
        <f t="shared" si="60"/>
        <v>0.11793099812999998</v>
      </c>
      <c r="J1295" s="129">
        <f t="shared" si="61"/>
        <v>34.798169999999992</v>
      </c>
    </row>
    <row r="1296" spans="1:10" hidden="1" x14ac:dyDescent="0.35">
      <c r="A1296" s="126" t="s">
        <v>372</v>
      </c>
      <c r="B1296" t="str">
        <f>_xlfn.XLOOKUP(A1296,'[1]2050Pop'!$A$7:$A$143,'[1]2050Pop'!$D$7:$D$143)</f>
        <v>LatAm &amp; RSA</v>
      </c>
      <c r="C1296" s="127">
        <f>1000*_xlfn.XLOOKUP(A1296,'[1]2050Pop'!$A$7:$A$143,'[1]2050Pop'!$C$7:$C$143)</f>
        <v>238270</v>
      </c>
      <c r="D1296" s="126" t="s">
        <v>504</v>
      </c>
      <c r="E1296" s="128">
        <v>189.00200000000001</v>
      </c>
      <c r="F1296" s="129">
        <f t="shared" si="62"/>
        <v>45.033506539999998</v>
      </c>
      <c r="G1296" t="str">
        <f>_xlfn.XLOOKUP(D1296,'[1]2050 BAU Mapping to T &amp; C'!$A$3:$A$52,'[1]2050 BAU Mapping to T &amp; C'!$B$3:$B$52)</f>
        <v>Maize</v>
      </c>
      <c r="H1296" s="129">
        <f>_xlfn.XLOOKUP(G1296,'[1]T&amp;C emissions for 2050 analysis'!$B$3:$B$23,'[1]T&amp;C emissions for 2050 analysis'!$C$3:$C$23)</f>
        <v>0.10999999999999999</v>
      </c>
      <c r="I1296" s="27">
        <f t="shared" si="60"/>
        <v>4.9536857193999992</v>
      </c>
      <c r="J1296" s="129">
        <f t="shared" si="61"/>
        <v>20.790219999999998</v>
      </c>
    </row>
    <row r="1297" spans="1:10" hidden="1" x14ac:dyDescent="0.35">
      <c r="A1297" s="126" t="s">
        <v>373</v>
      </c>
      <c r="B1297" t="str">
        <f>_xlfn.XLOOKUP(A1297,'[1]2050Pop'!$A$7:$A$143,'[1]2050Pop'!$D$7:$D$143)</f>
        <v>Euro/AU/NZ</v>
      </c>
      <c r="C1297" s="127">
        <f>1000*_xlfn.XLOOKUP(A1297,'[1]2050Pop'!$A$7:$A$143,'[1]2050Pop'!$C$7:$C$143)</f>
        <v>5154</v>
      </c>
      <c r="D1297" s="126" t="s">
        <v>504</v>
      </c>
      <c r="E1297" s="128">
        <v>162.28800000000001</v>
      </c>
      <c r="F1297" s="129">
        <f t="shared" si="62"/>
        <v>0.8364323520000001</v>
      </c>
      <c r="G1297" t="str">
        <f>_xlfn.XLOOKUP(D1297,'[1]2050 BAU Mapping to T &amp; C'!$A$3:$A$52,'[1]2050 BAU Mapping to T &amp; C'!$B$3:$B$52)</f>
        <v>Maize</v>
      </c>
      <c r="H1297" s="129">
        <f>_xlfn.XLOOKUP(G1297,'[1]T&amp;C emissions for 2050 analysis'!$B$3:$B$23,'[1]T&amp;C emissions for 2050 analysis'!$C$3:$C$23)</f>
        <v>0.10999999999999999</v>
      </c>
      <c r="I1297" s="27">
        <f t="shared" si="60"/>
        <v>9.2007558719999993E-2</v>
      </c>
      <c r="J1297" s="129">
        <f t="shared" si="61"/>
        <v>17.851679999999998</v>
      </c>
    </row>
    <row r="1298" spans="1:10" hidden="1" x14ac:dyDescent="0.35">
      <c r="A1298" s="126" t="s">
        <v>487</v>
      </c>
      <c r="B1298" t="str">
        <f>_xlfn.XLOOKUP(A1298,'[1]2050Pop'!$A$7:$A$143,'[1]2050Pop'!$D$7:$D$143)</f>
        <v>SSA</v>
      </c>
      <c r="C1298" s="127">
        <f>1000*_xlfn.XLOOKUP(A1298,'[1]2050Pop'!$A$7:$A$143,'[1]2050Pop'!$C$7:$C$143)</f>
        <v>42789</v>
      </c>
      <c r="D1298" s="126" t="s">
        <v>504</v>
      </c>
      <c r="E1298" s="130">
        <v>546.74</v>
      </c>
      <c r="F1298" s="129">
        <f t="shared" si="62"/>
        <v>23.394457859999999</v>
      </c>
      <c r="G1298" t="str">
        <f>_xlfn.XLOOKUP(D1298,'[1]2050 BAU Mapping to T &amp; C'!$A$3:$A$52,'[1]2050 BAU Mapping to T &amp; C'!$B$3:$B$52)</f>
        <v>Maize</v>
      </c>
      <c r="H1298" s="129">
        <f>_xlfn.XLOOKUP(G1298,'[1]T&amp;C emissions for 2050 analysis'!$B$3:$B$23,'[1]T&amp;C emissions for 2050 analysis'!$C$3:$C$23)</f>
        <v>0.10999999999999999</v>
      </c>
      <c r="I1298" s="27">
        <f t="shared" si="60"/>
        <v>2.5733903645999998</v>
      </c>
      <c r="J1298" s="129">
        <f t="shared" si="61"/>
        <v>60.14139999999999</v>
      </c>
    </row>
    <row r="1299" spans="1:10" hidden="1" x14ac:dyDescent="0.35">
      <c r="A1299" s="126" t="s">
        <v>374</v>
      </c>
      <c r="B1299" t="str">
        <f>_xlfn.XLOOKUP(A1299,'[1]2050Pop'!$A$7:$A$143,'[1]2050Pop'!$D$7:$D$143)</f>
        <v>APAC</v>
      </c>
      <c r="C1299" s="127">
        <f>1000*_xlfn.XLOOKUP(A1299,'[1]2050Pop'!$A$7:$A$143,'[1]2050Pop'!$C$7:$C$143)</f>
        <v>22545</v>
      </c>
      <c r="D1299" s="126" t="s">
        <v>504</v>
      </c>
      <c r="E1299" s="131">
        <v>77.8</v>
      </c>
      <c r="F1299" s="129">
        <f t="shared" si="62"/>
        <v>1.7540009999999999</v>
      </c>
      <c r="G1299" t="str">
        <f>_xlfn.XLOOKUP(D1299,'[1]2050 BAU Mapping to T &amp; C'!$A$3:$A$52,'[1]2050 BAU Mapping to T &amp; C'!$B$3:$B$52)</f>
        <v>Maize</v>
      </c>
      <c r="H1299" s="129">
        <f>_xlfn.XLOOKUP(G1299,'[1]T&amp;C emissions for 2050 analysis'!$B$3:$B$23,'[1]T&amp;C emissions for 2050 analysis'!$C$3:$C$23)</f>
        <v>0.10999999999999999</v>
      </c>
      <c r="I1299" s="27">
        <f t="shared" si="60"/>
        <v>0.19294010999999997</v>
      </c>
      <c r="J1299" s="129">
        <f t="shared" si="61"/>
        <v>8.5579999999999981</v>
      </c>
    </row>
    <row r="1300" spans="1:10" hidden="1" x14ac:dyDescent="0.35">
      <c r="A1300" s="126" t="s">
        <v>375</v>
      </c>
      <c r="B1300" t="str">
        <f>_xlfn.XLOOKUP(A1300,'[1]2050Pop'!$A$7:$A$143,'[1]2050Pop'!$D$7:$D$143)</f>
        <v>SSA</v>
      </c>
      <c r="C1300" s="127">
        <f>1000*_xlfn.XLOOKUP(A1300,'[1]2050Pop'!$A$7:$A$143,'[1]2050Pop'!$C$7:$C$143)</f>
        <v>48362</v>
      </c>
      <c r="D1300" s="126" t="s">
        <v>504</v>
      </c>
      <c r="E1300" s="128">
        <v>351.577</v>
      </c>
      <c r="F1300" s="129">
        <f t="shared" si="62"/>
        <v>17.002966874000002</v>
      </c>
      <c r="G1300" t="str">
        <f>_xlfn.XLOOKUP(D1300,'[1]2050 BAU Mapping to T &amp; C'!$A$3:$A$52,'[1]2050 BAU Mapping to T &amp; C'!$B$3:$B$52)</f>
        <v>Maize</v>
      </c>
      <c r="H1300" s="129">
        <f>_xlfn.XLOOKUP(G1300,'[1]T&amp;C emissions for 2050 analysis'!$B$3:$B$23,'[1]T&amp;C emissions for 2050 analysis'!$C$3:$C$23)</f>
        <v>0.10999999999999999</v>
      </c>
      <c r="I1300" s="27">
        <f t="shared" si="60"/>
        <v>1.8703263561400001</v>
      </c>
      <c r="J1300" s="129">
        <f t="shared" si="61"/>
        <v>38.673469999999995</v>
      </c>
    </row>
    <row r="1301" spans="1:10" hidden="1" x14ac:dyDescent="0.35">
      <c r="A1301" s="126" t="s">
        <v>376</v>
      </c>
      <c r="B1301" t="str">
        <f>_xlfn.XLOOKUP(A1301,'[1]2050Pop'!$A$7:$A$143,'[1]2050Pop'!$D$7:$D$143)</f>
        <v>NAm</v>
      </c>
      <c r="C1301" s="127">
        <f>1000*_xlfn.XLOOKUP(A1301,'[1]2050Pop'!$A$7:$A$143,'[1]2050Pop'!$C$7:$C$143)</f>
        <v>44136</v>
      </c>
      <c r="D1301" s="126" t="s">
        <v>504</v>
      </c>
      <c r="E1301" s="130">
        <v>101.77</v>
      </c>
      <c r="F1301" s="129">
        <f t="shared" si="62"/>
        <v>4.49172072</v>
      </c>
      <c r="G1301" t="str">
        <f>_xlfn.XLOOKUP(D1301,'[1]2050 BAU Mapping to T &amp; C'!$A$3:$A$52,'[1]2050 BAU Mapping to T &amp; C'!$B$3:$B$52)</f>
        <v>Maize</v>
      </c>
      <c r="H1301" s="129">
        <f>_xlfn.XLOOKUP(G1301,'[1]T&amp;C emissions for 2050 analysis'!$B$3:$B$23,'[1]T&amp;C emissions for 2050 analysis'!$C$3:$C$23)</f>
        <v>0.10999999999999999</v>
      </c>
      <c r="I1301" s="27">
        <f t="shared" si="60"/>
        <v>0.49408927919999995</v>
      </c>
      <c r="J1301" s="129">
        <f t="shared" si="61"/>
        <v>11.194699999999997</v>
      </c>
    </row>
    <row r="1302" spans="1:10" hidden="1" x14ac:dyDescent="0.35">
      <c r="A1302" s="126" t="s">
        <v>377</v>
      </c>
      <c r="B1302" t="str">
        <f>_xlfn.XLOOKUP(A1302,'[1]2050Pop'!$A$7:$A$143,'[1]2050Pop'!$D$7:$D$143)</f>
        <v>SSA</v>
      </c>
      <c r="C1302" s="127">
        <f>1000*_xlfn.XLOOKUP(A1302,'[1]2050Pop'!$A$7:$A$143,'[1]2050Pop'!$C$7:$C$143)</f>
        <v>8782</v>
      </c>
      <c r="D1302" s="126" t="s">
        <v>504</v>
      </c>
      <c r="E1302" s="128">
        <v>303.97699999999998</v>
      </c>
      <c r="F1302" s="129">
        <f t="shared" si="62"/>
        <v>2.6695260140000001</v>
      </c>
      <c r="G1302" t="str">
        <f>_xlfn.XLOOKUP(D1302,'[1]2050 BAU Mapping to T &amp; C'!$A$3:$A$52,'[1]2050 BAU Mapping to T &amp; C'!$B$3:$B$52)</f>
        <v>Maize</v>
      </c>
      <c r="H1302" s="129">
        <f>_xlfn.XLOOKUP(G1302,'[1]T&amp;C emissions for 2050 analysis'!$B$3:$B$23,'[1]T&amp;C emissions for 2050 analysis'!$C$3:$C$23)</f>
        <v>0.10999999999999999</v>
      </c>
      <c r="I1302" s="27">
        <f t="shared" si="60"/>
        <v>0.29364786154</v>
      </c>
      <c r="J1302" s="129">
        <f t="shared" si="61"/>
        <v>33.43746999999999</v>
      </c>
    </row>
    <row r="1303" spans="1:10" hidden="1" x14ac:dyDescent="0.35">
      <c r="A1303" s="126" t="s">
        <v>488</v>
      </c>
      <c r="B1303" t="str">
        <f>_xlfn.XLOOKUP(A1303,'[1]2050Pop'!$A$7:$A$143,'[1]2050Pop'!$D$7:$D$143)</f>
        <v>SSA</v>
      </c>
      <c r="C1303" s="127">
        <f>1000*_xlfn.XLOOKUP(A1303,'[1]2050Pop'!$A$7:$A$143,'[1]2050Pop'!$C$7:$C$143)</f>
        <v>35131</v>
      </c>
      <c r="D1303" s="126" t="s">
        <v>504</v>
      </c>
      <c r="E1303" s="128">
        <v>131.017</v>
      </c>
      <c r="F1303" s="129">
        <f t="shared" si="62"/>
        <v>4.6027582269999998</v>
      </c>
      <c r="G1303" t="str">
        <f>_xlfn.XLOOKUP(D1303,'[1]2050 BAU Mapping to T &amp; C'!$A$3:$A$52,'[1]2050 BAU Mapping to T &amp; C'!$B$3:$B$52)</f>
        <v>Maize</v>
      </c>
      <c r="H1303" s="129">
        <f>_xlfn.XLOOKUP(G1303,'[1]T&amp;C emissions for 2050 analysis'!$B$3:$B$23,'[1]T&amp;C emissions for 2050 analysis'!$C$3:$C$23)</f>
        <v>0.10999999999999999</v>
      </c>
      <c r="I1303" s="27">
        <f t="shared" si="60"/>
        <v>0.50630340496999993</v>
      </c>
      <c r="J1303" s="129">
        <f t="shared" si="61"/>
        <v>14.411869999999999</v>
      </c>
    </row>
    <row r="1304" spans="1:10" hidden="1" x14ac:dyDescent="0.35">
      <c r="A1304" s="126" t="s">
        <v>378</v>
      </c>
      <c r="B1304" t="str">
        <f>_xlfn.XLOOKUP(A1304,'[1]2050Pop'!$A$7:$A$143,'[1]2050Pop'!$D$7:$D$143)</f>
        <v>LatAm &amp; RSA</v>
      </c>
      <c r="C1304" s="127">
        <f>1000*_xlfn.XLOOKUP(A1304,'[1]2050Pop'!$A$7:$A$143,'[1]2050Pop'!$C$7:$C$143)</f>
        <v>21601</v>
      </c>
      <c r="D1304" s="126" t="s">
        <v>504</v>
      </c>
      <c r="E1304" s="130">
        <v>164.09</v>
      </c>
      <c r="F1304" s="129">
        <f t="shared" si="62"/>
        <v>3.5445080899999999</v>
      </c>
      <c r="G1304" t="str">
        <f>_xlfn.XLOOKUP(D1304,'[1]2050 BAU Mapping to T &amp; C'!$A$3:$A$52,'[1]2050 BAU Mapping to T &amp; C'!$B$3:$B$52)</f>
        <v>Maize</v>
      </c>
      <c r="H1304" s="129">
        <f>_xlfn.XLOOKUP(G1304,'[1]T&amp;C emissions for 2050 analysis'!$B$3:$B$23,'[1]T&amp;C emissions for 2050 analysis'!$C$3:$C$23)</f>
        <v>0.10999999999999999</v>
      </c>
      <c r="I1304" s="27">
        <f t="shared" si="60"/>
        <v>0.38989588989999996</v>
      </c>
      <c r="J1304" s="129">
        <f t="shared" si="61"/>
        <v>18.049899999999997</v>
      </c>
    </row>
    <row r="1305" spans="1:10" hidden="1" x14ac:dyDescent="0.35">
      <c r="A1305" s="126" t="s">
        <v>379</v>
      </c>
      <c r="B1305" t="str">
        <f>_xlfn.XLOOKUP(A1305,'[1]2050Pop'!$A$7:$A$143,'[1]2050Pop'!$D$7:$D$143)</f>
        <v>Greater China</v>
      </c>
      <c r="C1305" s="127">
        <f>1000*_xlfn.XLOOKUP(A1305,'[1]2050Pop'!$A$7:$A$143,'[1]2050Pop'!$C$7:$C$143)</f>
        <v>8148</v>
      </c>
      <c r="D1305" s="126" t="s">
        <v>504</v>
      </c>
      <c r="E1305" s="128">
        <v>27.977</v>
      </c>
      <c r="F1305" s="129">
        <f t="shared" si="62"/>
        <v>0.22795659599999998</v>
      </c>
      <c r="G1305" t="str">
        <f>_xlfn.XLOOKUP(D1305,'[1]2050 BAU Mapping to T &amp; C'!$A$3:$A$52,'[1]2050 BAU Mapping to T &amp; C'!$B$3:$B$52)</f>
        <v>Maize</v>
      </c>
      <c r="H1305" s="129">
        <f>_xlfn.XLOOKUP(G1305,'[1]T&amp;C emissions for 2050 analysis'!$B$3:$B$23,'[1]T&amp;C emissions for 2050 analysis'!$C$3:$C$23)</f>
        <v>0.10999999999999999</v>
      </c>
      <c r="I1305" s="27">
        <f t="shared" si="60"/>
        <v>2.5075225559999994E-2</v>
      </c>
      <c r="J1305" s="129">
        <f t="shared" si="61"/>
        <v>3.0774699999999995</v>
      </c>
    </row>
    <row r="1306" spans="1:10" hidden="1" x14ac:dyDescent="0.35">
      <c r="A1306" s="126" t="s">
        <v>380</v>
      </c>
      <c r="B1306" t="str">
        <f>_xlfn.XLOOKUP(A1306,'[1]2050Pop'!$A$7:$A$143,'[1]2050Pop'!$D$7:$D$143)</f>
        <v>Greater China</v>
      </c>
      <c r="C1306" s="127">
        <f>1000*_xlfn.XLOOKUP(A1306,'[1]2050Pop'!$A$7:$A$143,'[1]2050Pop'!$C$7:$C$143)</f>
        <v>1348056</v>
      </c>
      <c r="D1306" s="126" t="s">
        <v>504</v>
      </c>
      <c r="E1306" s="128">
        <v>40.822000000000003</v>
      </c>
      <c r="F1306" s="129">
        <f t="shared" si="62"/>
        <v>55.030342032000007</v>
      </c>
      <c r="G1306" t="str">
        <f>_xlfn.XLOOKUP(D1306,'[1]2050 BAU Mapping to T &amp; C'!$A$3:$A$52,'[1]2050 BAU Mapping to T &amp; C'!$B$3:$B$52)</f>
        <v>Maize</v>
      </c>
      <c r="H1306" s="129">
        <f>_xlfn.XLOOKUP(G1306,'[1]T&amp;C emissions for 2050 analysis'!$B$3:$B$23,'[1]T&amp;C emissions for 2050 analysis'!$C$3:$C$23)</f>
        <v>0.10999999999999999</v>
      </c>
      <c r="I1306" s="27">
        <f t="shared" si="60"/>
        <v>6.05333762352</v>
      </c>
      <c r="J1306" s="129">
        <f t="shared" si="61"/>
        <v>4.4904199999999994</v>
      </c>
    </row>
    <row r="1307" spans="1:10" hidden="1" x14ac:dyDescent="0.35">
      <c r="A1307" s="126" t="s">
        <v>381</v>
      </c>
      <c r="B1307" t="str">
        <f>_xlfn.XLOOKUP(A1307,'[1]2050Pop'!$A$7:$A$143,'[1]2050Pop'!$D$7:$D$143)</f>
        <v>Greater China</v>
      </c>
      <c r="C1307" s="127">
        <f>1000*_xlfn.XLOOKUP(A1307,'[1]2050Pop'!$A$7:$A$143,'[1]2050Pop'!$C$7:$C$143)</f>
        <v>20778</v>
      </c>
      <c r="D1307" s="126" t="s">
        <v>504</v>
      </c>
      <c r="E1307" s="128">
        <v>42.424999999999997</v>
      </c>
      <c r="F1307" s="129">
        <f t="shared" si="62"/>
        <v>0.88150664999999995</v>
      </c>
      <c r="G1307" t="str">
        <f>_xlfn.XLOOKUP(D1307,'[1]2050 BAU Mapping to T &amp; C'!$A$3:$A$52,'[1]2050 BAU Mapping to T &amp; C'!$B$3:$B$52)</f>
        <v>Maize</v>
      </c>
      <c r="H1307" s="129">
        <f>_xlfn.XLOOKUP(G1307,'[1]T&amp;C emissions for 2050 analysis'!$B$3:$B$23,'[1]T&amp;C emissions for 2050 analysis'!$C$3:$C$23)</f>
        <v>0.10999999999999999</v>
      </c>
      <c r="I1307" s="27">
        <f t="shared" si="60"/>
        <v>9.6965731499999985E-2</v>
      </c>
      <c r="J1307" s="129">
        <f t="shared" si="61"/>
        <v>4.6667499999999995</v>
      </c>
    </row>
    <row r="1308" spans="1:10" hidden="1" x14ac:dyDescent="0.35">
      <c r="A1308" s="126" t="s">
        <v>382</v>
      </c>
      <c r="B1308" t="str">
        <f>_xlfn.XLOOKUP(A1308,'[1]2050Pop'!$A$7:$A$143,'[1]2050Pop'!$D$7:$D$143)</f>
        <v>LatAm &amp; RSA</v>
      </c>
      <c r="C1308" s="127">
        <f>1000*_xlfn.XLOOKUP(A1308,'[1]2050Pop'!$A$7:$A$143,'[1]2050Pop'!$C$7:$C$143)</f>
        <v>54927</v>
      </c>
      <c r="D1308" s="126" t="s">
        <v>504</v>
      </c>
      <c r="E1308" s="128">
        <v>214.30199999999999</v>
      </c>
      <c r="F1308" s="129">
        <f t="shared" si="62"/>
        <v>11.770965953999999</v>
      </c>
      <c r="G1308" t="str">
        <f>_xlfn.XLOOKUP(D1308,'[1]2050 BAU Mapping to T &amp; C'!$A$3:$A$52,'[1]2050 BAU Mapping to T &amp; C'!$B$3:$B$52)</f>
        <v>Maize</v>
      </c>
      <c r="H1308" s="129">
        <f>_xlfn.XLOOKUP(G1308,'[1]T&amp;C emissions for 2050 analysis'!$B$3:$B$23,'[1]T&amp;C emissions for 2050 analysis'!$C$3:$C$23)</f>
        <v>0.10999999999999999</v>
      </c>
      <c r="I1308" s="27">
        <f t="shared" si="60"/>
        <v>1.2948062549399997</v>
      </c>
      <c r="J1308" s="129">
        <f t="shared" si="61"/>
        <v>23.573219999999996</v>
      </c>
    </row>
    <row r="1309" spans="1:10" hidden="1" x14ac:dyDescent="0.35">
      <c r="A1309" s="126" t="s">
        <v>383</v>
      </c>
      <c r="B1309" t="str">
        <f>_xlfn.XLOOKUP(A1309,'[1]2050Pop'!$A$7:$A$143,'[1]2050Pop'!$D$7:$D$143)</f>
        <v>LatAm &amp; RSA</v>
      </c>
      <c r="C1309" s="127">
        <f>1000*_xlfn.XLOOKUP(A1309,'[1]2050Pop'!$A$7:$A$143,'[1]2050Pop'!$C$7:$C$143)</f>
        <v>5759</v>
      </c>
      <c r="D1309" s="126" t="s">
        <v>504</v>
      </c>
      <c r="E1309" s="128">
        <v>79.334000000000003</v>
      </c>
      <c r="F1309" s="129">
        <f t="shared" si="62"/>
        <v>0.45688450599999997</v>
      </c>
      <c r="G1309" t="str">
        <f>_xlfn.XLOOKUP(D1309,'[1]2050 BAU Mapping to T &amp; C'!$A$3:$A$52,'[1]2050 BAU Mapping to T &amp; C'!$B$3:$B$52)</f>
        <v>Maize</v>
      </c>
      <c r="H1309" s="129">
        <f>_xlfn.XLOOKUP(G1309,'[1]T&amp;C emissions for 2050 analysis'!$B$3:$B$23,'[1]T&amp;C emissions for 2050 analysis'!$C$3:$C$23)</f>
        <v>0.10999999999999999</v>
      </c>
      <c r="I1309" s="27">
        <f t="shared" si="60"/>
        <v>5.0257295659999993E-2</v>
      </c>
      <c r="J1309" s="129">
        <f t="shared" si="61"/>
        <v>8.7267399999999995</v>
      </c>
    </row>
    <row r="1310" spans="1:10" hidden="1" x14ac:dyDescent="0.35">
      <c r="A1310" s="126" t="s">
        <v>384</v>
      </c>
      <c r="B1310" t="str">
        <f>_xlfn.XLOOKUP(A1310,'[1]2050Pop'!$A$7:$A$143,'[1]2050Pop'!$D$7:$D$143)</f>
        <v>SSA</v>
      </c>
      <c r="C1310" s="127">
        <f>1000*_xlfn.XLOOKUP(A1310,'[1]2050Pop'!$A$7:$A$143,'[1]2050Pop'!$C$7:$C$143)</f>
        <v>48797</v>
      </c>
      <c r="D1310" s="126" t="s">
        <v>504</v>
      </c>
      <c r="E1310" s="128">
        <v>190.90700000000001</v>
      </c>
      <c r="F1310" s="129">
        <f t="shared" si="62"/>
        <v>9.3156888790000014</v>
      </c>
      <c r="G1310" t="str">
        <f>_xlfn.XLOOKUP(D1310,'[1]2050 BAU Mapping to T &amp; C'!$A$3:$A$52,'[1]2050 BAU Mapping to T &amp; C'!$B$3:$B$52)</f>
        <v>Maize</v>
      </c>
      <c r="H1310" s="129">
        <f>_xlfn.XLOOKUP(G1310,'[1]T&amp;C emissions for 2050 analysis'!$B$3:$B$23,'[1]T&amp;C emissions for 2050 analysis'!$C$3:$C$23)</f>
        <v>0.10999999999999999</v>
      </c>
      <c r="I1310" s="27">
        <f t="shared" si="60"/>
        <v>1.02472577669</v>
      </c>
      <c r="J1310" s="129">
        <f t="shared" si="61"/>
        <v>20.999769999999998</v>
      </c>
    </row>
    <row r="1311" spans="1:10" hidden="1" x14ac:dyDescent="0.35">
      <c r="A1311" s="126" t="s">
        <v>385</v>
      </c>
      <c r="B1311" t="str">
        <f>_xlfn.XLOOKUP(A1311,'[1]2050Pop'!$A$7:$A$143,'[1]2050Pop'!$D$7:$D$143)</f>
        <v>Euro/AU/NZ</v>
      </c>
      <c r="C1311" s="127">
        <f>1000*_xlfn.XLOOKUP(A1311,'[1]2050Pop'!$A$7:$A$143,'[1]2050Pop'!$C$7:$C$143)</f>
        <v>3554</v>
      </c>
      <c r="D1311" s="126" t="s">
        <v>504</v>
      </c>
      <c r="E1311" s="128">
        <v>61.042999999999999</v>
      </c>
      <c r="F1311" s="129">
        <f t="shared" si="62"/>
        <v>0.21694682199999998</v>
      </c>
      <c r="G1311" t="str">
        <f>_xlfn.XLOOKUP(D1311,'[1]2050 BAU Mapping to T &amp; C'!$A$3:$A$52,'[1]2050 BAU Mapping to T &amp; C'!$B$3:$B$52)</f>
        <v>Maize</v>
      </c>
      <c r="H1311" s="129">
        <f>_xlfn.XLOOKUP(G1311,'[1]T&amp;C emissions for 2050 analysis'!$B$3:$B$23,'[1]T&amp;C emissions for 2050 analysis'!$C$3:$C$23)</f>
        <v>0.10999999999999999</v>
      </c>
      <c r="I1311" s="27">
        <f t="shared" si="60"/>
        <v>2.3864150419999994E-2</v>
      </c>
      <c r="J1311" s="129">
        <f t="shared" si="61"/>
        <v>6.7147299999999994</v>
      </c>
    </row>
    <row r="1312" spans="1:10" hidden="1" x14ac:dyDescent="0.35">
      <c r="A1312" s="126" t="s">
        <v>386</v>
      </c>
      <c r="B1312" t="str">
        <f>_xlfn.XLOOKUP(A1312,'[1]2050Pop'!$A$7:$A$143,'[1]2050Pop'!$D$7:$D$143)</f>
        <v>LatAm &amp; RSA</v>
      </c>
      <c r="C1312" s="127">
        <f>1000*_xlfn.XLOOKUP(A1312,'[1]2050Pop'!$A$7:$A$143,'[1]2050Pop'!$C$7:$C$143)</f>
        <v>10339</v>
      </c>
      <c r="D1312" s="126" t="s">
        <v>504</v>
      </c>
      <c r="E1312" s="130">
        <v>213.38</v>
      </c>
      <c r="F1312" s="129">
        <f t="shared" si="62"/>
        <v>2.2061358199999996</v>
      </c>
      <c r="G1312" t="str">
        <f>_xlfn.XLOOKUP(D1312,'[1]2050 BAU Mapping to T &amp; C'!$A$3:$A$52,'[1]2050 BAU Mapping to T &amp; C'!$B$3:$B$52)</f>
        <v>Maize</v>
      </c>
      <c r="H1312" s="129">
        <f>_xlfn.XLOOKUP(G1312,'[1]T&amp;C emissions for 2050 analysis'!$B$3:$B$23,'[1]T&amp;C emissions for 2050 analysis'!$C$3:$C$23)</f>
        <v>0.10999999999999999</v>
      </c>
      <c r="I1312" s="27">
        <f t="shared" si="60"/>
        <v>0.24267494019999994</v>
      </c>
      <c r="J1312" s="129">
        <f t="shared" si="61"/>
        <v>23.471799999999998</v>
      </c>
    </row>
    <row r="1313" spans="1:10" hidden="1" x14ac:dyDescent="0.35">
      <c r="A1313" s="126" t="s">
        <v>481</v>
      </c>
      <c r="B1313" t="str">
        <f>_xlfn.XLOOKUP(A1313,'[1]2050Pop'!$A$7:$A$143,'[1]2050Pop'!$D$7:$D$143)</f>
        <v>APAC</v>
      </c>
      <c r="C1313" s="127">
        <f>1000*_xlfn.XLOOKUP(A1313,'[1]2050Pop'!$A$7:$A$143,'[1]2050Pop'!$C$7:$C$143)</f>
        <v>26907</v>
      </c>
      <c r="D1313" s="126" t="s">
        <v>504</v>
      </c>
      <c r="E1313" s="128">
        <v>330.916</v>
      </c>
      <c r="F1313" s="129">
        <f t="shared" si="62"/>
        <v>8.9039568119999988</v>
      </c>
      <c r="G1313" t="str">
        <f>_xlfn.XLOOKUP(D1313,'[1]2050 BAU Mapping to T &amp; C'!$A$3:$A$52,'[1]2050 BAU Mapping to T &amp; C'!$B$3:$B$52)</f>
        <v>Maize</v>
      </c>
      <c r="H1313" s="129">
        <f>_xlfn.XLOOKUP(G1313,'[1]T&amp;C emissions for 2050 analysis'!$B$3:$B$23,'[1]T&amp;C emissions for 2050 analysis'!$C$3:$C$23)</f>
        <v>0.10999999999999999</v>
      </c>
      <c r="I1313" s="27">
        <f t="shared" si="60"/>
        <v>0.9794352493199997</v>
      </c>
      <c r="J1313" s="129">
        <f t="shared" si="61"/>
        <v>36.400759999999998</v>
      </c>
    </row>
    <row r="1314" spans="1:10" hidden="1" x14ac:dyDescent="0.35">
      <c r="A1314" s="126" t="s">
        <v>388</v>
      </c>
      <c r="B1314" t="str">
        <f>_xlfn.XLOOKUP(A1314,'[1]2050Pop'!$A$7:$A$143,'[1]2050Pop'!$D$7:$D$143)</f>
        <v>Euro/AU/NZ</v>
      </c>
      <c r="C1314" s="127">
        <f>1000*_xlfn.XLOOKUP(A1314,'[1]2050Pop'!$A$7:$A$143,'[1]2050Pop'!$C$7:$C$143)</f>
        <v>6299</v>
      </c>
      <c r="D1314" s="126" t="s">
        <v>504</v>
      </c>
      <c r="E1314" s="128">
        <v>27.555</v>
      </c>
      <c r="F1314" s="129">
        <f t="shared" si="62"/>
        <v>0.173568945</v>
      </c>
      <c r="G1314" t="str">
        <f>_xlfn.XLOOKUP(D1314,'[1]2050 BAU Mapping to T &amp; C'!$A$3:$A$52,'[1]2050 BAU Mapping to T &amp; C'!$B$3:$B$52)</f>
        <v>Maize</v>
      </c>
      <c r="H1314" s="129">
        <f>_xlfn.XLOOKUP(G1314,'[1]T&amp;C emissions for 2050 analysis'!$B$3:$B$23,'[1]T&amp;C emissions for 2050 analysis'!$C$3:$C$23)</f>
        <v>0.10999999999999999</v>
      </c>
      <c r="I1314" s="27">
        <f t="shared" si="60"/>
        <v>1.9092583949999999E-2</v>
      </c>
      <c r="J1314" s="129">
        <f t="shared" si="61"/>
        <v>3.0310499999999996</v>
      </c>
    </row>
    <row r="1315" spans="1:10" hidden="1" x14ac:dyDescent="0.35">
      <c r="A1315" s="126" t="s">
        <v>389</v>
      </c>
      <c r="B1315" t="str">
        <f>_xlfn.XLOOKUP(A1315,'[1]2050Pop'!$A$7:$A$143,'[1]2050Pop'!$D$7:$D$143)</f>
        <v>LatAm &amp; RSA</v>
      </c>
      <c r="C1315" s="127">
        <f>1000*_xlfn.XLOOKUP(A1315,'[1]2050Pop'!$A$7:$A$143,'[1]2050Pop'!$C$7:$C$143)</f>
        <v>13238</v>
      </c>
      <c r="D1315" s="126" t="s">
        <v>504</v>
      </c>
      <c r="E1315" s="128">
        <v>36.898000000000003</v>
      </c>
      <c r="F1315" s="129">
        <f t="shared" si="62"/>
        <v>0.48845572400000004</v>
      </c>
      <c r="G1315" t="str">
        <f>_xlfn.XLOOKUP(D1315,'[1]2050 BAU Mapping to T &amp; C'!$A$3:$A$52,'[1]2050 BAU Mapping to T &amp; C'!$B$3:$B$52)</f>
        <v>Maize</v>
      </c>
      <c r="H1315" s="129">
        <f>_xlfn.XLOOKUP(G1315,'[1]T&amp;C emissions for 2050 analysis'!$B$3:$B$23,'[1]T&amp;C emissions for 2050 analysis'!$C$3:$C$23)</f>
        <v>0.10999999999999999</v>
      </c>
      <c r="I1315" s="27">
        <f t="shared" si="60"/>
        <v>5.3730129639999999E-2</v>
      </c>
      <c r="J1315" s="129">
        <f t="shared" si="61"/>
        <v>4.0587799999999996</v>
      </c>
    </row>
    <row r="1316" spans="1:10" hidden="1" x14ac:dyDescent="0.35">
      <c r="A1316" s="126" t="s">
        <v>390</v>
      </c>
      <c r="B1316" t="str">
        <f>_xlfn.XLOOKUP(A1316,'[1]2050Pop'!$A$7:$A$143,'[1]2050Pop'!$D$7:$D$143)</f>
        <v>LatAm &amp; RSA</v>
      </c>
      <c r="C1316" s="127">
        <f>1000*_xlfn.XLOOKUP(A1316,'[1]2050Pop'!$A$7:$A$143,'[1]2050Pop'!$C$7:$C$143)</f>
        <v>23013</v>
      </c>
      <c r="D1316" s="126" t="s">
        <v>504</v>
      </c>
      <c r="E1316" s="128">
        <v>51.469000000000001</v>
      </c>
      <c r="F1316" s="129">
        <f t="shared" si="62"/>
        <v>1.184456097</v>
      </c>
      <c r="G1316" t="str">
        <f>_xlfn.XLOOKUP(D1316,'[1]2050 BAU Mapping to T &amp; C'!$A$3:$A$52,'[1]2050 BAU Mapping to T &amp; C'!$B$3:$B$52)</f>
        <v>Maize</v>
      </c>
      <c r="H1316" s="129">
        <f>_xlfn.XLOOKUP(G1316,'[1]T&amp;C emissions for 2050 analysis'!$B$3:$B$23,'[1]T&amp;C emissions for 2050 analysis'!$C$3:$C$23)</f>
        <v>0.10999999999999999</v>
      </c>
      <c r="I1316" s="27">
        <f t="shared" si="60"/>
        <v>0.13029017066999998</v>
      </c>
      <c r="J1316" s="129">
        <f t="shared" si="61"/>
        <v>5.6615899999999995</v>
      </c>
    </row>
    <row r="1317" spans="1:10" hidden="1" x14ac:dyDescent="0.35">
      <c r="A1317" s="126" t="s">
        <v>391</v>
      </c>
      <c r="B1317" t="str">
        <f>_xlfn.XLOOKUP(A1317,'[1]2050Pop'!$A$7:$A$143,'[1]2050Pop'!$D$7:$D$143)</f>
        <v>MENA</v>
      </c>
      <c r="C1317" s="127">
        <f>1000*_xlfn.XLOOKUP(A1317,'[1]2050Pop'!$A$7:$A$143,'[1]2050Pop'!$C$7:$C$143)</f>
        <v>151111</v>
      </c>
      <c r="D1317" s="126" t="s">
        <v>504</v>
      </c>
      <c r="E1317" s="128">
        <v>498.29599999999999</v>
      </c>
      <c r="F1317" s="129">
        <f t="shared" si="62"/>
        <v>75.298006856000001</v>
      </c>
      <c r="G1317" t="str">
        <f>_xlfn.XLOOKUP(D1317,'[1]2050 BAU Mapping to T &amp; C'!$A$3:$A$52,'[1]2050 BAU Mapping to T &amp; C'!$B$3:$B$52)</f>
        <v>Maize</v>
      </c>
      <c r="H1317" s="129">
        <f>_xlfn.XLOOKUP(G1317,'[1]T&amp;C emissions for 2050 analysis'!$B$3:$B$23,'[1]T&amp;C emissions for 2050 analysis'!$C$3:$C$23)</f>
        <v>0.10999999999999999</v>
      </c>
      <c r="I1317" s="27">
        <f t="shared" si="60"/>
        <v>8.2827807541599991</v>
      </c>
      <c r="J1317" s="129">
        <f t="shared" si="61"/>
        <v>54.812559999999991</v>
      </c>
    </row>
    <row r="1318" spans="1:10" hidden="1" x14ac:dyDescent="0.35">
      <c r="A1318" s="126" t="s">
        <v>392</v>
      </c>
      <c r="B1318" t="str">
        <f>_xlfn.XLOOKUP(A1318,'[1]2050Pop'!$A$7:$A$143,'[1]2050Pop'!$D$7:$D$143)</f>
        <v>LatAm &amp; RSA</v>
      </c>
      <c r="C1318" s="127">
        <f>1000*_xlfn.XLOOKUP(A1318,'[1]2050Pop'!$A$7:$A$143,'[1]2050Pop'!$C$7:$C$143)</f>
        <v>6390</v>
      </c>
      <c r="D1318" s="126" t="s">
        <v>504</v>
      </c>
      <c r="E1318" s="128">
        <v>646.05200000000002</v>
      </c>
      <c r="F1318" s="129">
        <f t="shared" si="62"/>
        <v>4.12827228</v>
      </c>
      <c r="G1318" t="str">
        <f>_xlfn.XLOOKUP(D1318,'[1]2050 BAU Mapping to T &amp; C'!$A$3:$A$52,'[1]2050 BAU Mapping to T &amp; C'!$B$3:$B$52)</f>
        <v>Maize</v>
      </c>
      <c r="H1318" s="129">
        <f>_xlfn.XLOOKUP(G1318,'[1]T&amp;C emissions for 2050 analysis'!$B$3:$B$23,'[1]T&amp;C emissions for 2050 analysis'!$C$3:$C$23)</f>
        <v>0.10999999999999999</v>
      </c>
      <c r="I1318" s="27">
        <f t="shared" si="60"/>
        <v>0.45410995079999994</v>
      </c>
      <c r="J1318" s="129">
        <f t="shared" si="61"/>
        <v>71.065719999999999</v>
      </c>
    </row>
    <row r="1319" spans="1:10" hidden="1" x14ac:dyDescent="0.35">
      <c r="A1319" s="126" t="s">
        <v>393</v>
      </c>
      <c r="B1319" t="str">
        <f>_xlfn.XLOOKUP(A1319,'[1]2050Pop'!$A$7:$A$143,'[1]2050Pop'!$D$7:$D$143)</f>
        <v>Euro/AU/NZ</v>
      </c>
      <c r="C1319" s="127">
        <f>1000*_xlfn.XLOOKUP(A1319,'[1]2050Pop'!$A$7:$A$143,'[1]2050Pop'!$C$7:$C$143)</f>
        <v>1129</v>
      </c>
      <c r="D1319" s="126" t="s">
        <v>504</v>
      </c>
      <c r="E1319" s="128">
        <v>38.463999999999999</v>
      </c>
      <c r="F1319" s="129">
        <f t="shared" si="62"/>
        <v>4.3425855999999999E-2</v>
      </c>
      <c r="G1319" t="str">
        <f>_xlfn.XLOOKUP(D1319,'[1]2050 BAU Mapping to T &amp; C'!$A$3:$A$52,'[1]2050 BAU Mapping to T &amp; C'!$B$3:$B$52)</f>
        <v>Maize</v>
      </c>
      <c r="H1319" s="129">
        <f>_xlfn.XLOOKUP(G1319,'[1]T&amp;C emissions for 2050 analysis'!$B$3:$B$23,'[1]T&amp;C emissions for 2050 analysis'!$C$3:$C$23)</f>
        <v>0.10999999999999999</v>
      </c>
      <c r="I1319" s="27">
        <f t="shared" si="60"/>
        <v>4.7768441599999991E-3</v>
      </c>
      <c r="J1319" s="129">
        <f t="shared" si="61"/>
        <v>4.2310399999999992</v>
      </c>
    </row>
    <row r="1320" spans="1:10" hidden="1" x14ac:dyDescent="0.35">
      <c r="A1320" s="126" t="s">
        <v>394</v>
      </c>
      <c r="B1320" t="str">
        <f>_xlfn.XLOOKUP(A1320,'[1]2050Pop'!$A$7:$A$143,'[1]2050Pop'!$D$7:$D$143)</f>
        <v>SSA</v>
      </c>
      <c r="C1320" s="127">
        <f>1000*_xlfn.XLOOKUP(A1320,'[1]2050Pop'!$A$7:$A$143,'[1]2050Pop'!$C$7:$C$143)</f>
        <v>188455</v>
      </c>
      <c r="D1320" s="126" t="s">
        <v>504</v>
      </c>
      <c r="E1320" s="128">
        <v>390.53100000000001</v>
      </c>
      <c r="F1320" s="129">
        <f t="shared" si="62"/>
        <v>73.597519605000002</v>
      </c>
      <c r="G1320" t="str">
        <f>_xlfn.XLOOKUP(D1320,'[1]2050 BAU Mapping to T &amp; C'!$A$3:$A$52,'[1]2050 BAU Mapping to T &amp; C'!$B$3:$B$52)</f>
        <v>Maize</v>
      </c>
      <c r="H1320" s="129">
        <f>_xlfn.XLOOKUP(G1320,'[1]T&amp;C emissions for 2050 analysis'!$B$3:$B$23,'[1]T&amp;C emissions for 2050 analysis'!$C$3:$C$23)</f>
        <v>0.10999999999999999</v>
      </c>
      <c r="I1320" s="27">
        <f t="shared" si="60"/>
        <v>8.0957271565499997</v>
      </c>
      <c r="J1320" s="129">
        <f t="shared" si="61"/>
        <v>42.958409999999994</v>
      </c>
    </row>
    <row r="1321" spans="1:10" hidden="1" x14ac:dyDescent="0.35">
      <c r="A1321" s="126" t="s">
        <v>396</v>
      </c>
      <c r="B1321" t="str">
        <f>_xlfn.XLOOKUP(A1321,'[1]2050Pop'!$A$7:$A$143,'[1]2050Pop'!$D$7:$D$143)</f>
        <v>Euro/AU/NZ</v>
      </c>
      <c r="C1321" s="127">
        <f>1000*_xlfn.XLOOKUP(A1321,'[1]2050Pop'!$A$7:$A$143,'[1]2050Pop'!$C$7:$C$143)</f>
        <v>71137</v>
      </c>
      <c r="D1321" s="126" t="s">
        <v>504</v>
      </c>
      <c r="E1321" s="130">
        <v>66.86</v>
      </c>
      <c r="F1321" s="129">
        <f t="shared" si="62"/>
        <v>4.7562198200000001</v>
      </c>
      <c r="G1321" t="str">
        <f>_xlfn.XLOOKUP(D1321,'[1]2050 BAU Mapping to T &amp; C'!$A$3:$A$52,'[1]2050 BAU Mapping to T &amp; C'!$B$3:$B$52)</f>
        <v>Maize</v>
      </c>
      <c r="H1321" s="129">
        <f>_xlfn.XLOOKUP(G1321,'[1]T&amp;C emissions for 2050 analysis'!$B$3:$B$23,'[1]T&amp;C emissions for 2050 analysis'!$C$3:$C$23)</f>
        <v>0.10999999999999999</v>
      </c>
      <c r="I1321" s="27">
        <f t="shared" si="60"/>
        <v>0.5231841801999999</v>
      </c>
      <c r="J1321" s="129">
        <f t="shared" si="61"/>
        <v>7.3545999999999987</v>
      </c>
    </row>
    <row r="1322" spans="1:10" hidden="1" x14ac:dyDescent="0.35">
      <c r="A1322" s="126" t="s">
        <v>397</v>
      </c>
      <c r="B1322" t="str">
        <f>_xlfn.XLOOKUP(A1322,'[1]2050Pop'!$A$7:$A$143,'[1]2050Pop'!$D$7:$D$143)</f>
        <v>SSA</v>
      </c>
      <c r="C1322" s="127">
        <f>1000*_xlfn.XLOOKUP(A1322,'[1]2050Pop'!$A$7:$A$143,'[1]2050Pop'!$C$7:$C$143)</f>
        <v>3164</v>
      </c>
      <c r="D1322" s="126" t="s">
        <v>504</v>
      </c>
      <c r="E1322" s="128">
        <v>124.60599999999999</v>
      </c>
      <c r="F1322" s="129">
        <f t="shared" si="62"/>
        <v>0.39425338399999998</v>
      </c>
      <c r="G1322" t="str">
        <f>_xlfn.XLOOKUP(D1322,'[1]2050 BAU Mapping to T &amp; C'!$A$3:$A$52,'[1]2050 BAU Mapping to T &amp; C'!$B$3:$B$52)</f>
        <v>Maize</v>
      </c>
      <c r="H1322" s="129">
        <f>_xlfn.XLOOKUP(G1322,'[1]T&amp;C emissions for 2050 analysis'!$B$3:$B$23,'[1]T&amp;C emissions for 2050 analysis'!$C$3:$C$23)</f>
        <v>0.10999999999999999</v>
      </c>
      <c r="I1322" s="27">
        <f t="shared" si="60"/>
        <v>4.3367872239999994E-2</v>
      </c>
      <c r="J1322" s="129">
        <f t="shared" si="61"/>
        <v>13.706659999999998</v>
      </c>
    </row>
    <row r="1323" spans="1:10" hidden="1" x14ac:dyDescent="0.35">
      <c r="A1323" s="126" t="s">
        <v>489</v>
      </c>
      <c r="B1323" t="str">
        <f>_xlfn.XLOOKUP(A1323,'[1]2050Pop'!$A$7:$A$143,'[1]2050Pop'!$D$7:$D$143)</f>
        <v>SSA</v>
      </c>
      <c r="C1323" s="127">
        <f>1000*_xlfn.XLOOKUP(A1323,'[1]2050Pop'!$A$7:$A$143,'[1]2050Pop'!$C$7:$C$143)</f>
        <v>4981</v>
      </c>
      <c r="D1323" s="126" t="s">
        <v>504</v>
      </c>
      <c r="E1323" s="128">
        <v>124.676</v>
      </c>
      <c r="F1323" s="129">
        <f t="shared" si="62"/>
        <v>0.62101115600000001</v>
      </c>
      <c r="G1323" t="str">
        <f>_xlfn.XLOOKUP(D1323,'[1]2050 BAU Mapping to T &amp; C'!$A$3:$A$52,'[1]2050 BAU Mapping to T &amp; C'!$B$3:$B$52)</f>
        <v>Maize</v>
      </c>
      <c r="H1323" s="129">
        <f>_xlfn.XLOOKUP(G1323,'[1]T&amp;C emissions for 2050 analysis'!$B$3:$B$23,'[1]T&amp;C emissions for 2050 analysis'!$C$3:$C$23)</f>
        <v>0.10999999999999999</v>
      </c>
      <c r="I1323" s="27">
        <f t="shared" si="60"/>
        <v>6.8311227159999988E-2</v>
      </c>
      <c r="J1323" s="129">
        <f t="shared" si="61"/>
        <v>13.714359999999999</v>
      </c>
    </row>
    <row r="1324" spans="1:10" hidden="1" x14ac:dyDescent="0.35">
      <c r="A1324" s="126" t="s">
        <v>398</v>
      </c>
      <c r="B1324" t="str">
        <f>_xlfn.XLOOKUP(A1324,'[1]2050Pop'!$A$7:$A$143,'[1]2050Pop'!$D$7:$D$143)</f>
        <v>MENA</v>
      </c>
      <c r="C1324" s="127">
        <f>1000*_xlfn.XLOOKUP(A1324,'[1]2050Pop'!$A$7:$A$143,'[1]2050Pop'!$C$7:$C$143)</f>
        <v>3483</v>
      </c>
      <c r="D1324" s="126" t="s">
        <v>504</v>
      </c>
      <c r="E1324" s="128">
        <v>190.49700000000001</v>
      </c>
      <c r="F1324" s="129">
        <f t="shared" si="62"/>
        <v>0.66350105100000012</v>
      </c>
      <c r="G1324" t="str">
        <f>_xlfn.XLOOKUP(D1324,'[1]2050 BAU Mapping to T &amp; C'!$A$3:$A$52,'[1]2050 BAU Mapping to T &amp; C'!$B$3:$B$52)</f>
        <v>Maize</v>
      </c>
      <c r="H1324" s="129">
        <f>_xlfn.XLOOKUP(G1324,'[1]T&amp;C emissions for 2050 analysis'!$B$3:$B$23,'[1]T&amp;C emissions for 2050 analysis'!$C$3:$C$23)</f>
        <v>0.10999999999999999</v>
      </c>
      <c r="I1324" s="27">
        <f t="shared" si="60"/>
        <v>7.2985115609999998E-2</v>
      </c>
      <c r="J1324" s="129">
        <f t="shared" si="61"/>
        <v>20.95467</v>
      </c>
    </row>
    <row r="1325" spans="1:10" hidden="1" x14ac:dyDescent="0.35">
      <c r="A1325" s="126" t="s">
        <v>399</v>
      </c>
      <c r="B1325" t="str">
        <f>_xlfn.XLOOKUP(A1325,'[1]2050Pop'!$A$7:$A$143,'[1]2050Pop'!$D$7:$D$143)</f>
        <v>Euro/AU/NZ</v>
      </c>
      <c r="C1325" s="127">
        <f>1000*_xlfn.XLOOKUP(A1325,'[1]2050Pop'!$A$7:$A$143,'[1]2050Pop'!$C$7:$C$143)</f>
        <v>74513</v>
      </c>
      <c r="D1325" s="126" t="s">
        <v>504</v>
      </c>
      <c r="E1325" s="128">
        <v>70.387</v>
      </c>
      <c r="F1325" s="129">
        <f t="shared" si="62"/>
        <v>5.2447465310000005</v>
      </c>
      <c r="G1325" t="str">
        <f>_xlfn.XLOOKUP(D1325,'[1]2050 BAU Mapping to T &amp; C'!$A$3:$A$52,'[1]2050 BAU Mapping to T &amp; C'!$B$3:$B$52)</f>
        <v>Maize</v>
      </c>
      <c r="H1325" s="129">
        <f>_xlfn.XLOOKUP(G1325,'[1]T&amp;C emissions for 2050 analysis'!$B$3:$B$23,'[1]T&amp;C emissions for 2050 analysis'!$C$3:$C$23)</f>
        <v>0.10999999999999999</v>
      </c>
      <c r="I1325" s="27">
        <f t="shared" si="60"/>
        <v>0.57692211840999996</v>
      </c>
      <c r="J1325" s="129">
        <f t="shared" si="61"/>
        <v>7.7425699999999988</v>
      </c>
    </row>
    <row r="1326" spans="1:10" hidden="1" x14ac:dyDescent="0.35">
      <c r="A1326" s="126" t="s">
        <v>400</v>
      </c>
      <c r="B1326" t="str">
        <f>_xlfn.XLOOKUP(A1326,'[1]2050Pop'!$A$7:$A$143,'[1]2050Pop'!$D$7:$D$143)</f>
        <v>SSA</v>
      </c>
      <c r="C1326" s="127">
        <f>1000*_xlfn.XLOOKUP(A1326,'[1]2050Pop'!$A$7:$A$143,'[1]2050Pop'!$C$7:$C$143)</f>
        <v>50071</v>
      </c>
      <c r="D1326" s="126" t="s">
        <v>504</v>
      </c>
      <c r="E1326" s="128">
        <v>211.61500000000001</v>
      </c>
      <c r="F1326" s="129">
        <f t="shared" si="62"/>
        <v>10.595774665</v>
      </c>
      <c r="G1326" t="str">
        <f>_xlfn.XLOOKUP(D1326,'[1]2050 BAU Mapping to T &amp; C'!$A$3:$A$52,'[1]2050 BAU Mapping to T &amp; C'!$B$3:$B$52)</f>
        <v>Maize</v>
      </c>
      <c r="H1326" s="129">
        <f>_xlfn.XLOOKUP(G1326,'[1]T&amp;C emissions for 2050 analysis'!$B$3:$B$23,'[1]T&amp;C emissions for 2050 analysis'!$C$3:$C$23)</f>
        <v>0.10999999999999999</v>
      </c>
      <c r="I1326" s="27">
        <f t="shared" si="60"/>
        <v>1.1655352131499999</v>
      </c>
      <c r="J1326" s="129">
        <f t="shared" si="61"/>
        <v>23.277649999999998</v>
      </c>
    </row>
    <row r="1327" spans="1:10" hidden="1" x14ac:dyDescent="0.35">
      <c r="A1327" s="126" t="s">
        <v>401</v>
      </c>
      <c r="B1327" t="str">
        <f>_xlfn.XLOOKUP(A1327,'[1]2050Pop'!$A$7:$A$143,'[1]2050Pop'!$D$7:$D$143)</f>
        <v>Euro/AU/NZ</v>
      </c>
      <c r="C1327" s="127">
        <f>1000*_xlfn.XLOOKUP(A1327,'[1]2050Pop'!$A$7:$A$143,'[1]2050Pop'!$C$7:$C$143)</f>
        <v>9705</v>
      </c>
      <c r="D1327" s="126" t="s">
        <v>504</v>
      </c>
      <c r="E1327" s="128">
        <v>11.561999999999999</v>
      </c>
      <c r="F1327" s="129">
        <f t="shared" si="62"/>
        <v>0.11220920999999999</v>
      </c>
      <c r="G1327" t="str">
        <f>_xlfn.XLOOKUP(D1327,'[1]2050 BAU Mapping to T &amp; C'!$A$3:$A$52,'[1]2050 BAU Mapping to T &amp; C'!$B$3:$B$52)</f>
        <v>Maize</v>
      </c>
      <c r="H1327" s="129">
        <f>_xlfn.XLOOKUP(G1327,'[1]T&amp;C emissions for 2050 analysis'!$B$3:$B$23,'[1]T&amp;C emissions for 2050 analysis'!$C$3:$C$23)</f>
        <v>0.10999999999999999</v>
      </c>
      <c r="I1327" s="27">
        <f t="shared" si="60"/>
        <v>1.2343013099999998E-2</v>
      </c>
      <c r="J1327" s="129">
        <f t="shared" si="61"/>
        <v>1.2718199999999997</v>
      </c>
    </row>
    <row r="1328" spans="1:10" hidden="1" x14ac:dyDescent="0.35">
      <c r="A1328" s="126" t="s">
        <v>402</v>
      </c>
      <c r="B1328" t="str">
        <f>_xlfn.XLOOKUP(A1328,'[1]2050Pop'!$A$7:$A$143,'[1]2050Pop'!$D$7:$D$143)</f>
        <v>LatAm &amp; RSA</v>
      </c>
      <c r="C1328" s="127">
        <f>1000*_xlfn.XLOOKUP(A1328,'[1]2050Pop'!$A$7:$A$143,'[1]2050Pop'!$C$7:$C$143)</f>
        <v>27754</v>
      </c>
      <c r="D1328" s="126" t="s">
        <v>504</v>
      </c>
      <c r="E1328" s="128">
        <v>755.87400000000002</v>
      </c>
      <c r="F1328" s="129">
        <f t="shared" si="62"/>
        <v>20.978526995999999</v>
      </c>
      <c r="G1328" t="str">
        <f>_xlfn.XLOOKUP(D1328,'[1]2050 BAU Mapping to T &amp; C'!$A$3:$A$52,'[1]2050 BAU Mapping to T &amp; C'!$B$3:$B$52)</f>
        <v>Maize</v>
      </c>
      <c r="H1328" s="129">
        <f>_xlfn.XLOOKUP(G1328,'[1]T&amp;C emissions for 2050 analysis'!$B$3:$B$23,'[1]T&amp;C emissions for 2050 analysis'!$C$3:$C$23)</f>
        <v>0.10999999999999999</v>
      </c>
      <c r="I1328" s="27">
        <f t="shared" si="60"/>
        <v>2.3076379695599996</v>
      </c>
      <c r="J1328" s="129">
        <f t="shared" si="61"/>
        <v>83.146139999999988</v>
      </c>
    </row>
    <row r="1329" spans="1:10" hidden="1" x14ac:dyDescent="0.35">
      <c r="A1329" s="126" t="s">
        <v>403</v>
      </c>
      <c r="B1329" t="str">
        <f>_xlfn.XLOOKUP(A1329,'[1]2050Pop'!$A$7:$A$143,'[1]2050Pop'!$D$7:$D$143)</f>
        <v>SSA</v>
      </c>
      <c r="C1329" s="127">
        <f>1000*_xlfn.XLOOKUP(A1329,'[1]2050Pop'!$A$7:$A$143,'[1]2050Pop'!$C$7:$C$143)</f>
        <v>27486</v>
      </c>
      <c r="D1329" s="126" t="s">
        <v>504</v>
      </c>
      <c r="E1329" s="128">
        <v>72.564999999999998</v>
      </c>
      <c r="F1329" s="129">
        <f t="shared" si="62"/>
        <v>1.99452159</v>
      </c>
      <c r="G1329" t="str">
        <f>_xlfn.XLOOKUP(D1329,'[1]2050 BAU Mapping to T &amp; C'!$A$3:$A$52,'[1]2050 BAU Mapping to T &amp; C'!$B$3:$B$52)</f>
        <v>Maize</v>
      </c>
      <c r="H1329" s="129">
        <f>_xlfn.XLOOKUP(G1329,'[1]T&amp;C emissions for 2050 analysis'!$B$3:$B$23,'[1]T&amp;C emissions for 2050 analysis'!$C$3:$C$23)</f>
        <v>0.10999999999999999</v>
      </c>
      <c r="I1329" s="27">
        <f t="shared" si="60"/>
        <v>0.21939737489999997</v>
      </c>
      <c r="J1329" s="129">
        <f t="shared" si="61"/>
        <v>7.982149999999999</v>
      </c>
    </row>
    <row r="1330" spans="1:10" hidden="1" x14ac:dyDescent="0.35">
      <c r="A1330" s="126" t="s">
        <v>404</v>
      </c>
      <c r="B1330" t="str">
        <f>_xlfn.XLOOKUP(A1330,'[1]2050Pop'!$A$7:$A$143,'[1]2050Pop'!$D$7:$D$143)</f>
        <v>LatAm &amp; RSA</v>
      </c>
      <c r="C1330" s="127">
        <f>1000*_xlfn.XLOOKUP(A1330,'[1]2050Pop'!$A$7:$A$143,'[1]2050Pop'!$C$7:$C$143)</f>
        <v>806</v>
      </c>
      <c r="D1330" s="126" t="s">
        <v>504</v>
      </c>
      <c r="E1330" s="128">
        <v>13.234999999999999</v>
      </c>
      <c r="F1330" s="129">
        <f t="shared" si="62"/>
        <v>1.066741E-2</v>
      </c>
      <c r="G1330" t="str">
        <f>_xlfn.XLOOKUP(D1330,'[1]2050 BAU Mapping to T &amp; C'!$A$3:$A$52,'[1]2050 BAU Mapping to T &amp; C'!$B$3:$B$52)</f>
        <v>Maize</v>
      </c>
      <c r="H1330" s="129">
        <f>_xlfn.XLOOKUP(G1330,'[1]T&amp;C emissions for 2050 analysis'!$B$3:$B$23,'[1]T&amp;C emissions for 2050 analysis'!$C$3:$C$23)</f>
        <v>0.10999999999999999</v>
      </c>
      <c r="I1330" s="27">
        <f t="shared" si="60"/>
        <v>1.1734151E-3</v>
      </c>
      <c r="J1330" s="129">
        <f t="shared" si="61"/>
        <v>1.4558499999999999</v>
      </c>
    </row>
    <row r="1331" spans="1:10" hidden="1" x14ac:dyDescent="0.35">
      <c r="A1331" s="126" t="s">
        <v>405</v>
      </c>
      <c r="B1331" t="str">
        <f>_xlfn.XLOOKUP(A1331,'[1]2050Pop'!$A$7:$A$143,'[1]2050Pop'!$D$7:$D$143)</f>
        <v>LatAm &amp; RSA</v>
      </c>
      <c r="C1331" s="127">
        <f>1000*_xlfn.XLOOKUP(A1331,'[1]2050Pop'!$A$7:$A$143,'[1]2050Pop'!$C$7:$C$143)</f>
        <v>14189</v>
      </c>
      <c r="D1331" s="126" t="s">
        <v>504</v>
      </c>
      <c r="E1331" s="128">
        <v>164.26499999999999</v>
      </c>
      <c r="F1331" s="129">
        <f t="shared" si="62"/>
        <v>2.330756085</v>
      </c>
      <c r="G1331" t="str">
        <f>_xlfn.XLOOKUP(D1331,'[1]2050 BAU Mapping to T &amp; C'!$A$3:$A$52,'[1]2050 BAU Mapping to T &amp; C'!$B$3:$B$52)</f>
        <v>Maize</v>
      </c>
      <c r="H1331" s="129">
        <f>_xlfn.XLOOKUP(G1331,'[1]T&amp;C emissions for 2050 analysis'!$B$3:$B$23,'[1]T&amp;C emissions for 2050 analysis'!$C$3:$C$23)</f>
        <v>0.10999999999999999</v>
      </c>
      <c r="I1331" s="27">
        <f t="shared" si="60"/>
        <v>0.25638316934999994</v>
      </c>
      <c r="J1331" s="129">
        <f t="shared" si="61"/>
        <v>18.069149999999997</v>
      </c>
    </row>
    <row r="1332" spans="1:10" hidden="1" x14ac:dyDescent="0.35">
      <c r="A1332" s="126" t="s">
        <v>406</v>
      </c>
      <c r="B1332" t="str">
        <f>_xlfn.XLOOKUP(A1332,'[1]2050Pop'!$A$7:$A$143,'[1]2050Pop'!$D$7:$D$143)</f>
        <v>LatAm &amp; RSA</v>
      </c>
      <c r="C1332" s="127">
        <f>1000*_xlfn.XLOOKUP(A1332,'[1]2050Pop'!$A$7:$A$143,'[1]2050Pop'!$C$7:$C$143)</f>
        <v>11217</v>
      </c>
      <c r="D1332" s="126" t="s">
        <v>504</v>
      </c>
      <c r="E1332" s="128">
        <v>656.74699999999996</v>
      </c>
      <c r="F1332" s="129">
        <f t="shared" si="62"/>
        <v>7.3667310989999999</v>
      </c>
      <c r="G1332" t="str">
        <f>_xlfn.XLOOKUP(D1332,'[1]2050 BAU Mapping to T &amp; C'!$A$3:$A$52,'[1]2050 BAU Mapping to T &amp; C'!$B$3:$B$52)</f>
        <v>Maize</v>
      </c>
      <c r="H1332" s="129">
        <f>_xlfn.XLOOKUP(G1332,'[1]T&amp;C emissions for 2050 analysis'!$B$3:$B$23,'[1]T&amp;C emissions for 2050 analysis'!$C$3:$C$23)</f>
        <v>0.10999999999999999</v>
      </c>
      <c r="I1332" s="27">
        <f t="shared" si="60"/>
        <v>0.81034042088999991</v>
      </c>
      <c r="J1332" s="129">
        <f t="shared" si="61"/>
        <v>72.242169999999987</v>
      </c>
    </row>
    <row r="1333" spans="1:10" hidden="1" x14ac:dyDescent="0.35">
      <c r="A1333" s="126" t="s">
        <v>407</v>
      </c>
      <c r="B1333" t="str">
        <f>_xlfn.XLOOKUP(A1333,'[1]2050Pop'!$A$7:$A$143,'[1]2050Pop'!$D$7:$D$143)</f>
        <v>Euro/AU/NZ</v>
      </c>
      <c r="C1333" s="127">
        <f>1000*_xlfn.XLOOKUP(A1333,'[1]2050Pop'!$A$7:$A$143,'[1]2050Pop'!$C$7:$C$143)</f>
        <v>8318</v>
      </c>
      <c r="D1333" s="126" t="s">
        <v>504</v>
      </c>
      <c r="E1333" s="128">
        <v>1.6359999999999999</v>
      </c>
      <c r="F1333" s="129">
        <f t="shared" si="62"/>
        <v>1.3608248E-2</v>
      </c>
      <c r="G1333" t="str">
        <f>_xlfn.XLOOKUP(D1333,'[1]2050 BAU Mapping to T &amp; C'!$A$3:$A$52,'[1]2050 BAU Mapping to T &amp; C'!$B$3:$B$52)</f>
        <v>Maize</v>
      </c>
      <c r="H1333" s="129">
        <f>_xlfn.XLOOKUP(G1333,'[1]T&amp;C emissions for 2050 analysis'!$B$3:$B$23,'[1]T&amp;C emissions for 2050 analysis'!$C$3:$C$23)</f>
        <v>0.10999999999999999</v>
      </c>
      <c r="I1333" s="27">
        <f t="shared" si="60"/>
        <v>1.4969072799999998E-3</v>
      </c>
      <c r="J1333" s="129">
        <f t="shared" si="61"/>
        <v>0.17995999999999995</v>
      </c>
    </row>
    <row r="1334" spans="1:10" hidden="1" x14ac:dyDescent="0.35">
      <c r="A1334" s="126" t="s">
        <v>408</v>
      </c>
      <c r="B1334" t="str">
        <f>_xlfn.XLOOKUP(A1334,'[1]2050Pop'!$A$7:$A$143,'[1]2050Pop'!$D$7:$D$143)</f>
        <v>India/South Asia</v>
      </c>
      <c r="C1334" s="127">
        <f>1000*_xlfn.XLOOKUP(A1334,'[1]2050Pop'!$A$7:$A$143,'[1]2050Pop'!$C$7:$C$143)</f>
        <v>1705333</v>
      </c>
      <c r="D1334" s="126" t="s">
        <v>504</v>
      </c>
      <c r="E1334" s="128">
        <v>44.106000000000002</v>
      </c>
      <c r="F1334" s="129">
        <f t="shared" si="62"/>
        <v>75.215417298000006</v>
      </c>
      <c r="G1334" t="str">
        <f>_xlfn.XLOOKUP(D1334,'[1]2050 BAU Mapping to T &amp; C'!$A$3:$A$52,'[1]2050 BAU Mapping to T &amp; C'!$B$3:$B$52)</f>
        <v>Maize</v>
      </c>
      <c r="H1334" s="129">
        <f>_xlfn.XLOOKUP(G1334,'[1]T&amp;C emissions for 2050 analysis'!$B$3:$B$23,'[1]T&amp;C emissions for 2050 analysis'!$C$3:$C$23)</f>
        <v>0.10999999999999999</v>
      </c>
      <c r="I1334" s="27">
        <f t="shared" si="60"/>
        <v>8.2736959027800001</v>
      </c>
      <c r="J1334" s="129">
        <f t="shared" si="61"/>
        <v>4.8516599999999999</v>
      </c>
    </row>
    <row r="1335" spans="1:10" hidden="1" x14ac:dyDescent="0.35">
      <c r="A1335" s="126" t="s">
        <v>409</v>
      </c>
      <c r="B1335" t="str">
        <f>_xlfn.XLOOKUP(A1335,'[1]2050Pop'!$A$7:$A$143,'[1]2050Pop'!$D$7:$D$143)</f>
        <v>APAC</v>
      </c>
      <c r="C1335" s="127">
        <f>1000*_xlfn.XLOOKUP(A1335,'[1]2050Pop'!$A$7:$A$143,'[1]2050Pop'!$C$7:$C$143)</f>
        <v>322237</v>
      </c>
      <c r="D1335" s="126" t="s">
        <v>504</v>
      </c>
      <c r="E1335" s="128">
        <v>174.69200000000001</v>
      </c>
      <c r="F1335" s="129">
        <f t="shared" si="62"/>
        <v>56.292226004</v>
      </c>
      <c r="G1335" t="str">
        <f>_xlfn.XLOOKUP(D1335,'[1]2050 BAU Mapping to T &amp; C'!$A$3:$A$52,'[1]2050 BAU Mapping to T &amp; C'!$B$3:$B$52)</f>
        <v>Maize</v>
      </c>
      <c r="H1335" s="129">
        <f>_xlfn.XLOOKUP(G1335,'[1]T&amp;C emissions for 2050 analysis'!$B$3:$B$23,'[1]T&amp;C emissions for 2050 analysis'!$C$3:$C$23)</f>
        <v>0.10999999999999999</v>
      </c>
      <c r="I1335" s="27">
        <f t="shared" si="60"/>
        <v>6.1921448604399991</v>
      </c>
      <c r="J1335" s="129">
        <f t="shared" si="61"/>
        <v>19.21612</v>
      </c>
    </row>
    <row r="1336" spans="1:10" hidden="1" x14ac:dyDescent="0.35">
      <c r="A1336" s="126" t="s">
        <v>410</v>
      </c>
      <c r="B1336" t="str">
        <f>_xlfn.XLOOKUP(A1336,'[1]2050Pop'!$A$7:$A$143,'[1]2050Pop'!$D$7:$D$143)</f>
        <v>India/South Asia</v>
      </c>
      <c r="C1336" s="127">
        <f>1000*_xlfn.XLOOKUP(A1336,'[1]2050Pop'!$A$7:$A$143,'[1]2050Pop'!$C$7:$C$143)</f>
        <v>92219</v>
      </c>
      <c r="D1336" s="126" t="s">
        <v>504</v>
      </c>
      <c r="E1336" s="128">
        <v>18.036999999999999</v>
      </c>
      <c r="F1336" s="129">
        <f t="shared" si="62"/>
        <v>1.6633541029999999</v>
      </c>
      <c r="G1336" t="str">
        <f>_xlfn.XLOOKUP(D1336,'[1]2050 BAU Mapping to T &amp; C'!$A$3:$A$52,'[1]2050 BAU Mapping to T &amp; C'!$B$3:$B$52)</f>
        <v>Maize</v>
      </c>
      <c r="H1336" s="129">
        <f>_xlfn.XLOOKUP(G1336,'[1]T&amp;C emissions for 2050 analysis'!$B$3:$B$23,'[1]T&amp;C emissions for 2050 analysis'!$C$3:$C$23)</f>
        <v>0.10999999999999999</v>
      </c>
      <c r="I1336" s="27">
        <f t="shared" si="60"/>
        <v>0.18296895132999996</v>
      </c>
      <c r="J1336" s="129">
        <f t="shared" si="61"/>
        <v>1.9840699999999996</v>
      </c>
    </row>
    <row r="1337" spans="1:10" hidden="1" x14ac:dyDescent="0.35">
      <c r="A1337" s="126" t="s">
        <v>411</v>
      </c>
      <c r="B1337" t="str">
        <f>_xlfn.XLOOKUP(A1337,'[1]2050Pop'!$A$7:$A$143,'[1]2050Pop'!$D$7:$D$143)</f>
        <v>MENA</v>
      </c>
      <c r="C1337" s="127">
        <f>1000*_xlfn.XLOOKUP(A1337,'[1]2050Pop'!$A$7:$A$143,'[1]2050Pop'!$C$7:$C$143)</f>
        <v>83652</v>
      </c>
      <c r="D1337" s="126" t="s">
        <v>504</v>
      </c>
      <c r="E1337" s="128">
        <v>2.298</v>
      </c>
      <c r="F1337" s="129">
        <f t="shared" si="62"/>
        <v>0.192232296</v>
      </c>
      <c r="G1337" t="str">
        <f>_xlfn.XLOOKUP(D1337,'[1]2050 BAU Mapping to T &amp; C'!$A$3:$A$52,'[1]2050 BAU Mapping to T &amp; C'!$B$3:$B$52)</f>
        <v>Maize</v>
      </c>
      <c r="H1337" s="129">
        <f>_xlfn.XLOOKUP(G1337,'[1]T&amp;C emissions for 2050 analysis'!$B$3:$B$23,'[1]T&amp;C emissions for 2050 analysis'!$C$3:$C$23)</f>
        <v>0.10999999999999999</v>
      </c>
      <c r="I1337" s="27">
        <f t="shared" si="60"/>
        <v>2.1145552559999996E-2</v>
      </c>
      <c r="J1337" s="129">
        <f t="shared" si="61"/>
        <v>0.25277999999999995</v>
      </c>
    </row>
    <row r="1338" spans="1:10" hidden="1" x14ac:dyDescent="0.35">
      <c r="A1338" s="126" t="s">
        <v>412</v>
      </c>
      <c r="B1338" t="str">
        <f>_xlfn.XLOOKUP(A1338,'[1]2050Pop'!$A$7:$A$143,'[1]2050Pop'!$D$7:$D$143)</f>
        <v>Euro/AU/NZ</v>
      </c>
      <c r="C1338" s="127">
        <f>1000*_xlfn.XLOOKUP(A1338,'[1]2050Pop'!$A$7:$A$143,'[1]2050Pop'!$C$7:$C$143)</f>
        <v>5789</v>
      </c>
      <c r="D1338" s="126" t="s">
        <v>504</v>
      </c>
      <c r="E1338" s="128">
        <v>63.673999999999999</v>
      </c>
      <c r="F1338" s="129">
        <f t="shared" si="62"/>
        <v>0.36860878600000002</v>
      </c>
      <c r="G1338" t="str">
        <f>_xlfn.XLOOKUP(D1338,'[1]2050 BAU Mapping to T &amp; C'!$A$3:$A$52,'[1]2050 BAU Mapping to T &amp; C'!$B$3:$B$52)</f>
        <v>Maize</v>
      </c>
      <c r="H1338" s="129">
        <f>_xlfn.XLOOKUP(G1338,'[1]T&amp;C emissions for 2050 analysis'!$B$3:$B$23,'[1]T&amp;C emissions for 2050 analysis'!$C$3:$C$23)</f>
        <v>0.10999999999999999</v>
      </c>
      <c r="I1338" s="27">
        <f t="shared" si="60"/>
        <v>4.054696646E-2</v>
      </c>
      <c r="J1338" s="129">
        <f t="shared" si="61"/>
        <v>7.0041399999999987</v>
      </c>
    </row>
    <row r="1339" spans="1:10" hidden="1" x14ac:dyDescent="0.35">
      <c r="A1339" s="126" t="s">
        <v>413</v>
      </c>
      <c r="B1339" t="str">
        <f>_xlfn.XLOOKUP(A1339,'[1]2050Pop'!$A$7:$A$143,'[1]2050Pop'!$D$7:$D$143)</f>
        <v>MENA</v>
      </c>
      <c r="C1339" s="127">
        <f>1000*_xlfn.XLOOKUP(A1339,'[1]2050Pop'!$A$7:$A$143,'[1]2050Pop'!$C$7:$C$143)</f>
        <v>12610</v>
      </c>
      <c r="D1339" s="126" t="s">
        <v>504</v>
      </c>
      <c r="E1339" s="128">
        <v>87.248000000000005</v>
      </c>
      <c r="F1339" s="129">
        <f t="shared" si="62"/>
        <v>1.1001972799999999</v>
      </c>
      <c r="G1339" t="str">
        <f>_xlfn.XLOOKUP(D1339,'[1]2050 BAU Mapping to T &amp; C'!$A$3:$A$52,'[1]2050 BAU Mapping to T &amp; C'!$B$3:$B$52)</f>
        <v>Maize</v>
      </c>
      <c r="H1339" s="129">
        <f>_xlfn.XLOOKUP(G1339,'[1]T&amp;C emissions for 2050 analysis'!$B$3:$B$23,'[1]T&amp;C emissions for 2050 analysis'!$C$3:$C$23)</f>
        <v>0.10999999999999999</v>
      </c>
      <c r="I1339" s="27">
        <f t="shared" si="60"/>
        <v>0.12102170079999998</v>
      </c>
      <c r="J1339" s="129">
        <f t="shared" si="61"/>
        <v>9.5972799999999996</v>
      </c>
    </row>
    <row r="1340" spans="1:10" hidden="1" x14ac:dyDescent="0.35">
      <c r="A1340" s="126" t="s">
        <v>414</v>
      </c>
      <c r="B1340" t="str">
        <f>_xlfn.XLOOKUP(A1340,'[1]2050Pop'!$A$7:$A$143,'[1]2050Pop'!$D$7:$D$143)</f>
        <v>Euro/AU/NZ</v>
      </c>
      <c r="C1340" s="127">
        <f>1000*_xlfn.XLOOKUP(A1340,'[1]2050Pop'!$A$7:$A$143,'[1]2050Pop'!$C$7:$C$143)</f>
        <v>56513</v>
      </c>
      <c r="D1340" s="126" t="s">
        <v>504</v>
      </c>
      <c r="E1340" s="128">
        <v>25.187999999999999</v>
      </c>
      <c r="F1340" s="129">
        <f t="shared" si="62"/>
        <v>1.4234494439999998</v>
      </c>
      <c r="G1340" t="str">
        <f>_xlfn.XLOOKUP(D1340,'[1]2050 BAU Mapping to T &amp; C'!$A$3:$A$52,'[1]2050 BAU Mapping to T &amp; C'!$B$3:$B$52)</f>
        <v>Maize</v>
      </c>
      <c r="H1340" s="129">
        <f>_xlfn.XLOOKUP(G1340,'[1]T&amp;C emissions for 2050 analysis'!$B$3:$B$23,'[1]T&amp;C emissions for 2050 analysis'!$C$3:$C$23)</f>
        <v>0.10999999999999999</v>
      </c>
      <c r="I1340" s="27">
        <f t="shared" si="60"/>
        <v>0.15657943883999997</v>
      </c>
      <c r="J1340" s="129">
        <f t="shared" si="61"/>
        <v>2.7706799999999996</v>
      </c>
    </row>
    <row r="1341" spans="1:10" hidden="1" x14ac:dyDescent="0.35">
      <c r="A1341" s="126" t="s">
        <v>415</v>
      </c>
      <c r="B1341" t="str">
        <f>_xlfn.XLOOKUP(A1341,'[1]2050Pop'!$A$7:$A$143,'[1]2050Pop'!$D$7:$D$143)</f>
        <v>LatAm &amp; RSA</v>
      </c>
      <c r="C1341" s="127">
        <f>1000*_xlfn.XLOOKUP(A1341,'[1]2050Pop'!$A$7:$A$143,'[1]2050Pop'!$C$7:$C$143)</f>
        <v>2710</v>
      </c>
      <c r="D1341" s="126" t="s">
        <v>504</v>
      </c>
      <c r="E1341" s="128">
        <v>47.018999999999998</v>
      </c>
      <c r="F1341" s="129">
        <f t="shared" si="62"/>
        <v>0.12742149</v>
      </c>
      <c r="G1341" t="str">
        <f>_xlfn.XLOOKUP(D1341,'[1]2050 BAU Mapping to T &amp; C'!$A$3:$A$52,'[1]2050 BAU Mapping to T &amp; C'!$B$3:$B$52)</f>
        <v>Maize</v>
      </c>
      <c r="H1341" s="129">
        <f>_xlfn.XLOOKUP(G1341,'[1]T&amp;C emissions for 2050 analysis'!$B$3:$B$23,'[1]T&amp;C emissions for 2050 analysis'!$C$3:$C$23)</f>
        <v>0.10999999999999999</v>
      </c>
      <c r="I1341" s="27">
        <f t="shared" si="60"/>
        <v>1.4016363899999999E-2</v>
      </c>
      <c r="J1341" s="129">
        <f t="shared" si="61"/>
        <v>5.172089999999999</v>
      </c>
    </row>
    <row r="1342" spans="1:10" hidden="1" x14ac:dyDescent="0.35">
      <c r="A1342" s="126" t="s">
        <v>416</v>
      </c>
      <c r="B1342" t="str">
        <f>_xlfn.XLOOKUP(A1342,'[1]2050Pop'!$A$7:$A$143,'[1]2050Pop'!$D$7:$D$143)</f>
        <v>APAC</v>
      </c>
      <c r="C1342" s="127">
        <f>1000*_xlfn.XLOOKUP(A1342,'[1]2050Pop'!$A$7:$A$143,'[1]2050Pop'!$C$7:$C$143)</f>
        <v>107411</v>
      </c>
      <c r="D1342" s="126" t="s">
        <v>504</v>
      </c>
      <c r="E1342" s="128">
        <v>51.347000000000001</v>
      </c>
      <c r="F1342" s="129">
        <f t="shared" si="62"/>
        <v>5.5152326170000006</v>
      </c>
      <c r="G1342" t="str">
        <f>_xlfn.XLOOKUP(D1342,'[1]2050 BAU Mapping to T &amp; C'!$A$3:$A$52,'[1]2050 BAU Mapping to T &amp; C'!$B$3:$B$52)</f>
        <v>Maize</v>
      </c>
      <c r="H1342" s="129">
        <f>_xlfn.XLOOKUP(G1342,'[1]T&amp;C emissions for 2050 analysis'!$B$3:$B$23,'[1]T&amp;C emissions for 2050 analysis'!$C$3:$C$23)</f>
        <v>0.10999999999999999</v>
      </c>
      <c r="I1342" s="27">
        <f t="shared" si="60"/>
        <v>0.60667558786999998</v>
      </c>
      <c r="J1342" s="129">
        <f t="shared" si="61"/>
        <v>5.6481699999999995</v>
      </c>
    </row>
    <row r="1343" spans="1:10" hidden="1" x14ac:dyDescent="0.35">
      <c r="A1343" s="126" t="s">
        <v>417</v>
      </c>
      <c r="B1343" t="str">
        <f>_xlfn.XLOOKUP(A1343,'[1]2050Pop'!$A$7:$A$143,'[1]2050Pop'!$D$7:$D$143)</f>
        <v>MENA</v>
      </c>
      <c r="C1343" s="127">
        <f>1000*_xlfn.XLOOKUP(A1343,'[1]2050Pop'!$A$7:$A$143,'[1]2050Pop'!$C$7:$C$143)</f>
        <v>11717</v>
      </c>
      <c r="D1343" s="126" t="s">
        <v>504</v>
      </c>
      <c r="E1343" s="130">
        <v>17.66</v>
      </c>
      <c r="F1343" s="129">
        <f t="shared" si="62"/>
        <v>0.20692221999999999</v>
      </c>
      <c r="G1343" t="str">
        <f>_xlfn.XLOOKUP(D1343,'[1]2050 BAU Mapping to T &amp; C'!$A$3:$A$52,'[1]2050 BAU Mapping to T &amp; C'!$B$3:$B$52)</f>
        <v>Maize</v>
      </c>
      <c r="H1343" s="129">
        <f>_xlfn.XLOOKUP(G1343,'[1]T&amp;C emissions for 2050 analysis'!$B$3:$B$23,'[1]T&amp;C emissions for 2050 analysis'!$C$3:$C$23)</f>
        <v>0.10999999999999999</v>
      </c>
      <c r="I1343" s="27">
        <f t="shared" si="60"/>
        <v>2.2761444199999994E-2</v>
      </c>
      <c r="J1343" s="129">
        <f t="shared" si="61"/>
        <v>1.9425999999999999</v>
      </c>
    </row>
    <row r="1344" spans="1:10" hidden="1" x14ac:dyDescent="0.35">
      <c r="A1344" s="126" t="s">
        <v>418</v>
      </c>
      <c r="B1344" t="str">
        <f>_xlfn.XLOOKUP(A1344,'[1]2050Pop'!$A$7:$A$143,'[1]2050Pop'!$D$7:$D$143)</f>
        <v>APAC</v>
      </c>
      <c r="C1344" s="127">
        <f>1000*_xlfn.XLOOKUP(A1344,'[1]2050Pop'!$A$7:$A$143,'[1]2050Pop'!$C$7:$C$143)</f>
        <v>22447</v>
      </c>
      <c r="D1344" s="126" t="s">
        <v>504</v>
      </c>
      <c r="E1344" s="128">
        <v>5.367</v>
      </c>
      <c r="F1344" s="129">
        <f t="shared" si="62"/>
        <v>0.120473049</v>
      </c>
      <c r="G1344" t="str">
        <f>_xlfn.XLOOKUP(D1344,'[1]2050 BAU Mapping to T &amp; C'!$A$3:$A$52,'[1]2050 BAU Mapping to T &amp; C'!$B$3:$B$52)</f>
        <v>Maize</v>
      </c>
      <c r="H1344" s="129">
        <f>_xlfn.XLOOKUP(G1344,'[1]T&amp;C emissions for 2050 analysis'!$B$3:$B$23,'[1]T&amp;C emissions for 2050 analysis'!$C$3:$C$23)</f>
        <v>0.10999999999999999</v>
      </c>
      <c r="I1344" s="27">
        <f t="shared" si="60"/>
        <v>1.3252035389999998E-2</v>
      </c>
      <c r="J1344" s="129">
        <f t="shared" si="61"/>
        <v>0.59036999999999995</v>
      </c>
    </row>
    <row r="1345" spans="1:10" hidden="1" x14ac:dyDescent="0.35">
      <c r="A1345" s="126" t="s">
        <v>419</v>
      </c>
      <c r="B1345" t="str">
        <f>_xlfn.XLOOKUP(A1345,'[1]2050Pop'!$A$7:$A$143,'[1]2050Pop'!$D$7:$D$143)</f>
        <v>SSA</v>
      </c>
      <c r="C1345" s="127">
        <f>1000*_xlfn.XLOOKUP(A1345,'[1]2050Pop'!$A$7:$A$143,'[1]2050Pop'!$C$7:$C$143)</f>
        <v>95505</v>
      </c>
      <c r="D1345" s="126" t="s">
        <v>504</v>
      </c>
      <c r="E1345" s="128">
        <v>665.85799999999995</v>
      </c>
      <c r="F1345" s="129">
        <f t="shared" si="62"/>
        <v>63.592768289999995</v>
      </c>
      <c r="G1345" t="str">
        <f>_xlfn.XLOOKUP(D1345,'[1]2050 BAU Mapping to T &amp; C'!$A$3:$A$52,'[1]2050 BAU Mapping to T &amp; C'!$B$3:$B$52)</f>
        <v>Maize</v>
      </c>
      <c r="H1345" s="129">
        <f>_xlfn.XLOOKUP(G1345,'[1]T&amp;C emissions for 2050 analysis'!$B$3:$B$23,'[1]T&amp;C emissions for 2050 analysis'!$C$3:$C$23)</f>
        <v>0.10999999999999999</v>
      </c>
      <c r="I1345" s="27">
        <f t="shared" si="60"/>
        <v>6.995204511899999</v>
      </c>
      <c r="J1345" s="129">
        <f t="shared" si="61"/>
        <v>73.244379999999978</v>
      </c>
    </row>
    <row r="1346" spans="1:10" hidden="1" x14ac:dyDescent="0.35">
      <c r="A1346" s="126" t="s">
        <v>420</v>
      </c>
      <c r="B1346" t="str">
        <f>_xlfn.XLOOKUP(A1346,'[1]2050Pop'!$A$7:$A$143,'[1]2050Pop'!$D$7:$D$143)</f>
        <v>APAC</v>
      </c>
      <c r="C1346" s="127">
        <f>1000*_xlfn.XLOOKUP(A1346,'[1]2050Pop'!$A$7:$A$143,'[1]2050Pop'!$C$7:$C$143)</f>
        <v>8248</v>
      </c>
      <c r="D1346" s="126" t="s">
        <v>504</v>
      </c>
      <c r="E1346" s="128">
        <v>161.05799999999999</v>
      </c>
      <c r="F1346" s="129">
        <f t="shared" si="62"/>
        <v>1.3284063839999998</v>
      </c>
      <c r="G1346" t="str">
        <f>_xlfn.XLOOKUP(D1346,'[1]2050 BAU Mapping to T &amp; C'!$A$3:$A$52,'[1]2050 BAU Mapping to T &amp; C'!$B$3:$B$52)</f>
        <v>Maize</v>
      </c>
      <c r="H1346" s="129">
        <f>_xlfn.XLOOKUP(G1346,'[1]T&amp;C emissions for 2050 analysis'!$B$3:$B$23,'[1]T&amp;C emissions for 2050 analysis'!$C$3:$C$23)</f>
        <v>0.10999999999999999</v>
      </c>
      <c r="I1346" s="27">
        <f t="shared" si="60"/>
        <v>0.14612470223999996</v>
      </c>
      <c r="J1346" s="129">
        <f t="shared" si="61"/>
        <v>17.716379999999997</v>
      </c>
    </row>
    <row r="1347" spans="1:10" hidden="1" x14ac:dyDescent="0.35">
      <c r="A1347" s="126" t="s">
        <v>421</v>
      </c>
      <c r="B1347" t="str">
        <f>_xlfn.XLOOKUP(A1347,'[1]2050Pop'!$A$7:$A$143,'[1]2050Pop'!$D$7:$D$143)</f>
        <v>APAC</v>
      </c>
      <c r="C1347" s="127">
        <f>1000*_xlfn.XLOOKUP(A1347,'[1]2050Pop'!$A$7:$A$143,'[1]2050Pop'!$C$7:$C$143)</f>
        <v>10172</v>
      </c>
      <c r="D1347" s="126" t="s">
        <v>504</v>
      </c>
      <c r="E1347" s="128">
        <v>95.290999999999997</v>
      </c>
      <c r="F1347" s="129">
        <f t="shared" si="62"/>
        <v>0.96930005200000002</v>
      </c>
      <c r="G1347" t="str">
        <f>_xlfn.XLOOKUP(D1347,'[1]2050 BAU Mapping to T &amp; C'!$A$3:$A$52,'[1]2050 BAU Mapping to T &amp; C'!$B$3:$B$52)</f>
        <v>Maize</v>
      </c>
      <c r="H1347" s="129">
        <f>_xlfn.XLOOKUP(G1347,'[1]T&amp;C emissions for 2050 analysis'!$B$3:$B$23,'[1]T&amp;C emissions for 2050 analysis'!$C$3:$C$23)</f>
        <v>0.10999999999999999</v>
      </c>
      <c r="I1347" s="27">
        <f t="shared" si="60"/>
        <v>0.10662300571999998</v>
      </c>
      <c r="J1347" s="129">
        <f t="shared" si="61"/>
        <v>10.482009999999999</v>
      </c>
    </row>
    <row r="1348" spans="1:10" hidden="1" x14ac:dyDescent="0.35">
      <c r="A1348" s="126" t="s">
        <v>422</v>
      </c>
      <c r="B1348" t="str">
        <f>_xlfn.XLOOKUP(A1348,'[1]2050Pop'!$A$7:$A$143,'[1]2050Pop'!$D$7:$D$143)</f>
        <v>Euro/AU/NZ</v>
      </c>
      <c r="C1348" s="127">
        <f>1000*_xlfn.XLOOKUP(A1348,'[1]2050Pop'!$A$7:$A$143,'[1]2050Pop'!$C$7:$C$143)</f>
        <v>1593</v>
      </c>
      <c r="D1348" s="126" t="s">
        <v>504</v>
      </c>
      <c r="E1348" s="128">
        <v>1.591</v>
      </c>
      <c r="F1348" s="129">
        <f t="shared" si="62"/>
        <v>2.5344629999999998E-3</v>
      </c>
      <c r="G1348" t="str">
        <f>_xlfn.XLOOKUP(D1348,'[1]2050 BAU Mapping to T &amp; C'!$A$3:$A$52,'[1]2050 BAU Mapping to T &amp; C'!$B$3:$B$52)</f>
        <v>Maize</v>
      </c>
      <c r="H1348" s="129">
        <f>_xlfn.XLOOKUP(G1348,'[1]T&amp;C emissions for 2050 analysis'!$B$3:$B$23,'[1]T&amp;C emissions for 2050 analysis'!$C$3:$C$23)</f>
        <v>0.10999999999999999</v>
      </c>
      <c r="I1348" s="27">
        <f t="shared" ref="I1348:I1411" si="63">F1348*H1348</f>
        <v>2.7879092999999992E-4</v>
      </c>
      <c r="J1348" s="129">
        <f t="shared" ref="J1348:J1411" si="64">E1348*H1348</f>
        <v>0.17500999999999997</v>
      </c>
    </row>
    <row r="1349" spans="1:10" hidden="1" x14ac:dyDescent="0.35">
      <c r="A1349" s="126" t="s">
        <v>423</v>
      </c>
      <c r="B1349" t="str">
        <f>_xlfn.XLOOKUP(A1349,'[1]2050Pop'!$A$7:$A$143,'[1]2050Pop'!$D$7:$D$143)</f>
        <v>MENA</v>
      </c>
      <c r="C1349" s="127">
        <f>1000*_xlfn.XLOOKUP(A1349,'[1]2050Pop'!$A$7:$A$143,'[1]2050Pop'!$C$7:$C$143)</f>
        <v>5610</v>
      </c>
      <c r="D1349" s="126" t="s">
        <v>504</v>
      </c>
      <c r="E1349" s="128">
        <v>3.1949999999999998</v>
      </c>
      <c r="F1349" s="129">
        <f t="shared" ref="F1349:F1412" si="65">C1349*E1349/1000000</f>
        <v>1.7923950000000001E-2</v>
      </c>
      <c r="G1349" t="str">
        <f>_xlfn.XLOOKUP(D1349,'[1]2050 BAU Mapping to T &amp; C'!$A$3:$A$52,'[1]2050 BAU Mapping to T &amp; C'!$B$3:$B$52)</f>
        <v>Maize</v>
      </c>
      <c r="H1349" s="129">
        <f>_xlfn.XLOOKUP(G1349,'[1]T&amp;C emissions for 2050 analysis'!$B$3:$B$23,'[1]T&amp;C emissions for 2050 analysis'!$C$3:$C$23)</f>
        <v>0.10999999999999999</v>
      </c>
      <c r="I1349" s="27">
        <f t="shared" si="63"/>
        <v>1.9716345000000001E-3</v>
      </c>
      <c r="J1349" s="129">
        <f t="shared" si="64"/>
        <v>0.35144999999999993</v>
      </c>
    </row>
    <row r="1350" spans="1:10" hidden="1" x14ac:dyDescent="0.35">
      <c r="A1350" s="126" t="s">
        <v>424</v>
      </c>
      <c r="B1350" t="str">
        <f>_xlfn.XLOOKUP(A1350,'[1]2050Pop'!$A$7:$A$143,'[1]2050Pop'!$D$7:$D$143)</f>
        <v>SSA</v>
      </c>
      <c r="C1350" s="127">
        <f>1000*_xlfn.XLOOKUP(A1350,'[1]2050Pop'!$A$7:$A$143,'[1]2050Pop'!$C$7:$C$143)</f>
        <v>2987</v>
      </c>
      <c r="D1350" s="126" t="s">
        <v>504</v>
      </c>
      <c r="E1350" s="128">
        <v>1632.664</v>
      </c>
      <c r="F1350" s="129">
        <f t="shared" si="65"/>
        <v>4.8767673679999994</v>
      </c>
      <c r="G1350" t="str">
        <f>_xlfn.XLOOKUP(D1350,'[1]2050 BAU Mapping to T &amp; C'!$A$3:$A$52,'[1]2050 BAU Mapping to T &amp; C'!$B$3:$B$52)</f>
        <v>Maize</v>
      </c>
      <c r="H1350" s="129">
        <f>_xlfn.XLOOKUP(G1350,'[1]T&amp;C emissions for 2050 analysis'!$B$3:$B$23,'[1]T&amp;C emissions for 2050 analysis'!$C$3:$C$23)</f>
        <v>0.10999999999999999</v>
      </c>
      <c r="I1350" s="27">
        <f t="shared" si="63"/>
        <v>0.53644441047999991</v>
      </c>
      <c r="J1350" s="129">
        <f t="shared" si="64"/>
        <v>179.59303999999997</v>
      </c>
    </row>
    <row r="1351" spans="1:10" hidden="1" x14ac:dyDescent="0.35">
      <c r="A1351" s="126" t="s">
        <v>426</v>
      </c>
      <c r="B1351" t="str">
        <f>_xlfn.XLOOKUP(A1351,'[1]2050Pop'!$A$7:$A$143,'[1]2050Pop'!$D$7:$D$143)</f>
        <v>Euro/AU/NZ</v>
      </c>
      <c r="C1351" s="127">
        <f>1000*_xlfn.XLOOKUP(A1351,'[1]2050Pop'!$A$7:$A$143,'[1]2050Pop'!$C$7:$C$143)</f>
        <v>2375</v>
      </c>
      <c r="D1351" s="126" t="s">
        <v>504</v>
      </c>
      <c r="E1351" s="128">
        <v>4.2430000000000003</v>
      </c>
      <c r="F1351" s="129">
        <f t="shared" si="65"/>
        <v>1.0077124999999999E-2</v>
      </c>
      <c r="G1351" t="str">
        <f>_xlfn.XLOOKUP(D1351,'[1]2050 BAU Mapping to T &amp; C'!$A$3:$A$52,'[1]2050 BAU Mapping to T &amp; C'!$B$3:$B$52)</f>
        <v>Maize</v>
      </c>
      <c r="H1351" s="129">
        <f>_xlfn.XLOOKUP(G1351,'[1]T&amp;C emissions for 2050 analysis'!$B$3:$B$23,'[1]T&amp;C emissions for 2050 analysis'!$C$3:$C$23)</f>
        <v>0.10999999999999999</v>
      </c>
      <c r="I1351" s="27">
        <f t="shared" si="63"/>
        <v>1.1084837499999998E-3</v>
      </c>
      <c r="J1351" s="129">
        <f t="shared" si="64"/>
        <v>0.46672999999999998</v>
      </c>
    </row>
    <row r="1352" spans="1:10" hidden="1" x14ac:dyDescent="0.35">
      <c r="A1352" s="126" t="s">
        <v>427</v>
      </c>
      <c r="B1352" t="str">
        <f>_xlfn.XLOOKUP(A1352,'[1]2050Pop'!$A$7:$A$143,'[1]2050Pop'!$D$7:$D$143)</f>
        <v>SSA</v>
      </c>
      <c r="C1352" s="127">
        <f>1000*_xlfn.XLOOKUP(A1352,'[1]2050Pop'!$A$7:$A$143,'[1]2050Pop'!$C$7:$C$143)</f>
        <v>55294</v>
      </c>
      <c r="D1352" s="126" t="s">
        <v>504</v>
      </c>
      <c r="E1352" s="128">
        <v>153.36500000000001</v>
      </c>
      <c r="F1352" s="129">
        <f t="shared" si="65"/>
        <v>8.480164310000001</v>
      </c>
      <c r="G1352" t="str">
        <f>_xlfn.XLOOKUP(D1352,'[1]2050 BAU Mapping to T &amp; C'!$A$3:$A$52,'[1]2050 BAU Mapping to T &amp; C'!$B$3:$B$52)</f>
        <v>Maize</v>
      </c>
      <c r="H1352" s="129">
        <f>_xlfn.XLOOKUP(G1352,'[1]T&amp;C emissions for 2050 analysis'!$B$3:$B$23,'[1]T&amp;C emissions for 2050 analysis'!$C$3:$C$23)</f>
        <v>0.10999999999999999</v>
      </c>
      <c r="I1352" s="27">
        <f t="shared" si="63"/>
        <v>0.93281807409999995</v>
      </c>
      <c r="J1352" s="129">
        <f t="shared" si="64"/>
        <v>16.870149999999999</v>
      </c>
    </row>
    <row r="1353" spans="1:10" hidden="1" x14ac:dyDescent="0.35">
      <c r="A1353" s="126" t="s">
        <v>428</v>
      </c>
      <c r="B1353" t="str">
        <f>_xlfn.XLOOKUP(A1353,'[1]2050Pop'!$A$7:$A$143,'[1]2050Pop'!$D$7:$D$143)</f>
        <v>SSA</v>
      </c>
      <c r="C1353" s="127">
        <f>1000*_xlfn.XLOOKUP(A1353,'[1]2050Pop'!$A$7:$A$143,'[1]2050Pop'!$C$7:$C$143)</f>
        <v>43155</v>
      </c>
      <c r="D1353" s="126" t="s">
        <v>504</v>
      </c>
      <c r="E1353" s="128">
        <v>1326.633</v>
      </c>
      <c r="F1353" s="129">
        <f t="shared" si="65"/>
        <v>57.250847114999999</v>
      </c>
      <c r="G1353" t="str">
        <f>_xlfn.XLOOKUP(D1353,'[1]2050 BAU Mapping to T &amp; C'!$A$3:$A$52,'[1]2050 BAU Mapping to T &amp; C'!$B$3:$B$52)</f>
        <v>Maize</v>
      </c>
      <c r="H1353" s="129">
        <f>_xlfn.XLOOKUP(G1353,'[1]T&amp;C emissions for 2050 analysis'!$B$3:$B$23,'[1]T&amp;C emissions for 2050 analysis'!$C$3:$C$23)</f>
        <v>0.10999999999999999</v>
      </c>
      <c r="I1353" s="27">
        <f t="shared" si="63"/>
        <v>6.2975931826499991</v>
      </c>
      <c r="J1353" s="129">
        <f t="shared" si="64"/>
        <v>145.92962999999997</v>
      </c>
    </row>
    <row r="1354" spans="1:10" hidden="1" x14ac:dyDescent="0.35">
      <c r="A1354" s="126" t="s">
        <v>429</v>
      </c>
      <c r="B1354" t="str">
        <f>_xlfn.XLOOKUP(A1354,'[1]2050Pop'!$A$7:$A$143,'[1]2050Pop'!$D$7:$D$143)</f>
        <v>APAC</v>
      </c>
      <c r="C1354" s="127">
        <f>1000*_xlfn.XLOOKUP(A1354,'[1]2050Pop'!$A$7:$A$143,'[1]2050Pop'!$C$7:$C$143)</f>
        <v>40725</v>
      </c>
      <c r="D1354" s="126" t="s">
        <v>504</v>
      </c>
      <c r="E1354" s="128">
        <v>77.846999999999994</v>
      </c>
      <c r="F1354" s="129">
        <f t="shared" si="65"/>
        <v>3.1703190749999997</v>
      </c>
      <c r="G1354" t="str">
        <f>_xlfn.XLOOKUP(D1354,'[1]2050 BAU Mapping to T &amp; C'!$A$3:$A$52,'[1]2050 BAU Mapping to T &amp; C'!$B$3:$B$52)</f>
        <v>Maize</v>
      </c>
      <c r="H1354" s="129">
        <f>_xlfn.XLOOKUP(G1354,'[1]T&amp;C emissions for 2050 analysis'!$B$3:$B$23,'[1]T&amp;C emissions for 2050 analysis'!$C$3:$C$23)</f>
        <v>0.10999999999999999</v>
      </c>
      <c r="I1354" s="27">
        <f t="shared" si="63"/>
        <v>0.34873509824999993</v>
      </c>
      <c r="J1354" s="129">
        <f t="shared" si="64"/>
        <v>8.5631699999999977</v>
      </c>
    </row>
    <row r="1355" spans="1:10" hidden="1" x14ac:dyDescent="0.35">
      <c r="A1355" s="126" t="s">
        <v>430</v>
      </c>
      <c r="B1355" t="str">
        <f>_xlfn.XLOOKUP(A1355,'[1]2050Pop'!$A$7:$A$143,'[1]2050Pop'!$D$7:$D$143)</f>
        <v>SSA</v>
      </c>
      <c r="C1355" s="127">
        <f>1000*_xlfn.XLOOKUP(A1355,'[1]2050Pop'!$A$7:$A$143,'[1]2050Pop'!$C$7:$C$143)</f>
        <v>45404</v>
      </c>
      <c r="D1355" s="126" t="s">
        <v>504</v>
      </c>
      <c r="E1355" s="130">
        <v>327.36</v>
      </c>
      <c r="F1355" s="129">
        <f t="shared" si="65"/>
        <v>14.863453440000001</v>
      </c>
      <c r="G1355" t="str">
        <f>_xlfn.XLOOKUP(D1355,'[1]2050 BAU Mapping to T &amp; C'!$A$3:$A$52,'[1]2050 BAU Mapping to T &amp; C'!$B$3:$B$52)</f>
        <v>Maize</v>
      </c>
      <c r="H1355" s="129">
        <f>_xlfn.XLOOKUP(G1355,'[1]T&amp;C emissions for 2050 analysis'!$B$3:$B$23,'[1]T&amp;C emissions for 2050 analysis'!$C$3:$C$23)</f>
        <v>0.10999999999999999</v>
      </c>
      <c r="I1355" s="27">
        <f t="shared" si="63"/>
        <v>1.6349798783999998</v>
      </c>
      <c r="J1355" s="129">
        <f t="shared" si="64"/>
        <v>36.009599999999999</v>
      </c>
    </row>
    <row r="1356" spans="1:10" hidden="1" x14ac:dyDescent="0.35">
      <c r="A1356" s="126" t="s">
        <v>431</v>
      </c>
      <c r="B1356" t="str">
        <f>_xlfn.XLOOKUP(A1356,'[1]2050Pop'!$A$7:$A$143,'[1]2050Pop'!$D$7:$D$143)</f>
        <v>SSA</v>
      </c>
      <c r="C1356" s="127">
        <f>1000*_xlfn.XLOOKUP(A1356,'[1]2050Pop'!$A$7:$A$143,'[1]2050Pop'!$C$7:$C$143)</f>
        <v>8048.9999999999991</v>
      </c>
      <c r="D1356" s="126" t="s">
        <v>504</v>
      </c>
      <c r="E1356" s="128">
        <v>28.428000000000001</v>
      </c>
      <c r="F1356" s="129">
        <f t="shared" si="65"/>
        <v>0.22881697199999998</v>
      </c>
      <c r="G1356" t="str">
        <f>_xlfn.XLOOKUP(D1356,'[1]2050 BAU Mapping to T &amp; C'!$A$3:$A$52,'[1]2050 BAU Mapping to T &amp; C'!$B$3:$B$52)</f>
        <v>Maize</v>
      </c>
      <c r="H1356" s="129">
        <f>_xlfn.XLOOKUP(G1356,'[1]T&amp;C emissions for 2050 analysis'!$B$3:$B$23,'[1]T&amp;C emissions for 2050 analysis'!$C$3:$C$23)</f>
        <v>0.10999999999999999</v>
      </c>
      <c r="I1356" s="27">
        <f t="shared" si="63"/>
        <v>2.5169866919999995E-2</v>
      </c>
      <c r="J1356" s="129">
        <f t="shared" si="64"/>
        <v>3.1270799999999999</v>
      </c>
    </row>
    <row r="1357" spans="1:10" hidden="1" x14ac:dyDescent="0.35">
      <c r="A1357" s="126" t="s">
        <v>432</v>
      </c>
      <c r="B1357" t="str">
        <f>_xlfn.XLOOKUP(A1357,'[1]2050Pop'!$A$7:$A$143,'[1]2050Pop'!$D$7:$D$143)</f>
        <v>SSA</v>
      </c>
      <c r="C1357" s="127">
        <f>1000*_xlfn.XLOOKUP(A1357,'[1]2050Pop'!$A$7:$A$143,'[1]2050Pop'!$C$7:$C$143)</f>
        <v>1249</v>
      </c>
      <c r="D1357" s="126" t="s">
        <v>504</v>
      </c>
      <c r="E1357" s="128">
        <v>21.727</v>
      </c>
      <c r="F1357" s="129">
        <f t="shared" si="65"/>
        <v>2.7137023E-2</v>
      </c>
      <c r="G1357" t="str">
        <f>_xlfn.XLOOKUP(D1357,'[1]2050 BAU Mapping to T &amp; C'!$A$3:$A$52,'[1]2050 BAU Mapping to T &amp; C'!$B$3:$B$52)</f>
        <v>Maize</v>
      </c>
      <c r="H1357" s="129">
        <f>_xlfn.XLOOKUP(G1357,'[1]T&amp;C emissions for 2050 analysis'!$B$3:$B$23,'[1]T&amp;C emissions for 2050 analysis'!$C$3:$C$23)</f>
        <v>0.10999999999999999</v>
      </c>
      <c r="I1357" s="27">
        <f t="shared" si="63"/>
        <v>2.9850725299999997E-3</v>
      </c>
      <c r="J1357" s="129">
        <f t="shared" si="64"/>
        <v>2.3899699999999999</v>
      </c>
    </row>
    <row r="1358" spans="1:10" hidden="1" x14ac:dyDescent="0.35">
      <c r="A1358" s="126" t="s">
        <v>433</v>
      </c>
      <c r="B1358" t="str">
        <f>_xlfn.XLOOKUP(A1358,'[1]2050Pop'!$A$7:$A$143,'[1]2050Pop'!$D$7:$D$143)</f>
        <v>LatAm &amp; RSA</v>
      </c>
      <c r="C1358" s="127">
        <f>1000*_xlfn.XLOOKUP(A1358,'[1]2050Pop'!$A$7:$A$143,'[1]2050Pop'!$C$7:$C$143)</f>
        <v>163754</v>
      </c>
      <c r="D1358" s="126" t="s">
        <v>504</v>
      </c>
      <c r="E1358" s="128">
        <v>926.50599999999997</v>
      </c>
      <c r="F1358" s="129">
        <f t="shared" si="65"/>
        <v>151.71906352399998</v>
      </c>
      <c r="G1358" t="str">
        <f>_xlfn.XLOOKUP(D1358,'[1]2050 BAU Mapping to T &amp; C'!$A$3:$A$52,'[1]2050 BAU Mapping to T &amp; C'!$B$3:$B$52)</f>
        <v>Maize</v>
      </c>
      <c r="H1358" s="129">
        <f>_xlfn.XLOOKUP(G1358,'[1]T&amp;C emissions for 2050 analysis'!$B$3:$B$23,'[1]T&amp;C emissions for 2050 analysis'!$C$3:$C$23)</f>
        <v>0.10999999999999999</v>
      </c>
      <c r="I1358" s="27">
        <f t="shared" si="63"/>
        <v>16.689096987639996</v>
      </c>
      <c r="J1358" s="129">
        <f t="shared" si="64"/>
        <v>101.91565999999999</v>
      </c>
    </row>
    <row r="1359" spans="1:10" hidden="1" x14ac:dyDescent="0.35">
      <c r="A1359" s="126" t="s">
        <v>435</v>
      </c>
      <c r="B1359" t="str">
        <f>_xlfn.XLOOKUP(A1359,'[1]2050Pop'!$A$7:$A$143,'[1]2050Pop'!$D$7:$D$143)</f>
        <v>MENA</v>
      </c>
      <c r="C1359" s="127">
        <f>1000*_xlfn.XLOOKUP(A1359,'[1]2050Pop'!$A$7:$A$143,'[1]2050Pop'!$C$7:$C$143)</f>
        <v>43696</v>
      </c>
      <c r="D1359" s="126" t="s">
        <v>504</v>
      </c>
      <c r="E1359" s="128">
        <v>214.74199999999999</v>
      </c>
      <c r="F1359" s="129">
        <f t="shared" si="65"/>
        <v>9.3833664320000008</v>
      </c>
      <c r="G1359" t="str">
        <f>_xlfn.XLOOKUP(D1359,'[1]2050 BAU Mapping to T &amp; C'!$A$3:$A$52,'[1]2050 BAU Mapping to T &amp; C'!$B$3:$B$52)</f>
        <v>Maize</v>
      </c>
      <c r="H1359" s="129">
        <f>_xlfn.XLOOKUP(G1359,'[1]T&amp;C emissions for 2050 analysis'!$B$3:$B$23,'[1]T&amp;C emissions for 2050 analysis'!$C$3:$C$23)</f>
        <v>0.10999999999999999</v>
      </c>
      <c r="I1359" s="27">
        <f t="shared" si="63"/>
        <v>1.0321703075199999</v>
      </c>
      <c r="J1359" s="129">
        <f t="shared" si="64"/>
        <v>23.621619999999997</v>
      </c>
    </row>
    <row r="1360" spans="1:10" hidden="1" x14ac:dyDescent="0.35">
      <c r="A1360" s="126" t="s">
        <v>436</v>
      </c>
      <c r="B1360" t="str">
        <f>_xlfn.XLOOKUP(A1360,'[1]2050Pop'!$A$7:$A$143,'[1]2050Pop'!$D$7:$D$143)</f>
        <v>SSA</v>
      </c>
      <c r="C1360" s="127">
        <f>1000*_xlfn.XLOOKUP(A1360,'[1]2050Pop'!$A$7:$A$143,'[1]2050Pop'!$C$7:$C$143)</f>
        <v>65544</v>
      </c>
      <c r="D1360" s="126" t="s">
        <v>504</v>
      </c>
      <c r="E1360" s="128">
        <v>401.95299999999997</v>
      </c>
      <c r="F1360" s="129">
        <f t="shared" si="65"/>
        <v>26.345607432000001</v>
      </c>
      <c r="G1360" t="str">
        <f>_xlfn.XLOOKUP(D1360,'[1]2050 BAU Mapping to T &amp; C'!$A$3:$A$52,'[1]2050 BAU Mapping to T &amp; C'!$B$3:$B$52)</f>
        <v>Maize</v>
      </c>
      <c r="H1360" s="129">
        <f>_xlfn.XLOOKUP(G1360,'[1]T&amp;C emissions for 2050 analysis'!$B$3:$B$23,'[1]T&amp;C emissions for 2050 analysis'!$C$3:$C$23)</f>
        <v>0.10999999999999999</v>
      </c>
      <c r="I1360" s="27">
        <f t="shared" si="63"/>
        <v>2.8980168175199998</v>
      </c>
      <c r="J1360" s="129">
        <f t="shared" si="64"/>
        <v>44.214829999999992</v>
      </c>
    </row>
    <row r="1361" spans="1:10" hidden="1" x14ac:dyDescent="0.35">
      <c r="A1361" s="126" t="s">
        <v>490</v>
      </c>
      <c r="B1361" t="str">
        <f>_xlfn.XLOOKUP(A1361,'[1]2050Pop'!$A$7:$A$143,'[1]2050Pop'!$D$7:$D$143)</f>
        <v>APAC</v>
      </c>
      <c r="C1361" s="127">
        <f>1000*_xlfn.XLOOKUP(A1361,'[1]2050Pop'!$A$7:$A$143,'[1]2050Pop'!$C$7:$C$143)</f>
        <v>63575</v>
      </c>
      <c r="D1361" s="126" t="s">
        <v>504</v>
      </c>
      <c r="E1361" s="128">
        <v>24.158999999999999</v>
      </c>
      <c r="F1361" s="129">
        <f t="shared" si="65"/>
        <v>1.5359084250000001</v>
      </c>
      <c r="G1361" t="str">
        <f>_xlfn.XLOOKUP(D1361,'[1]2050 BAU Mapping to T &amp; C'!$A$3:$A$52,'[1]2050 BAU Mapping to T &amp; C'!$B$3:$B$52)</f>
        <v>Maize</v>
      </c>
      <c r="H1361" s="129">
        <f>_xlfn.XLOOKUP(G1361,'[1]T&amp;C emissions for 2050 analysis'!$B$3:$B$23,'[1]T&amp;C emissions for 2050 analysis'!$C$3:$C$23)</f>
        <v>0.10999999999999999</v>
      </c>
      <c r="I1361" s="27">
        <f t="shared" si="63"/>
        <v>0.16894992675000001</v>
      </c>
      <c r="J1361" s="129">
        <f t="shared" si="64"/>
        <v>2.6574899999999997</v>
      </c>
    </row>
    <row r="1362" spans="1:10" hidden="1" x14ac:dyDescent="0.35">
      <c r="A1362" s="126" t="s">
        <v>437</v>
      </c>
      <c r="B1362" t="str">
        <f>_xlfn.XLOOKUP(A1362,'[1]2050Pop'!$A$7:$A$143,'[1]2050Pop'!$D$7:$D$143)</f>
        <v>SSA</v>
      </c>
      <c r="C1362" s="127">
        <f>1000*_xlfn.XLOOKUP(A1362,'[1]2050Pop'!$A$7:$A$143,'[1]2050Pop'!$C$7:$C$143)</f>
        <v>4322</v>
      </c>
      <c r="D1362" s="126" t="s">
        <v>504</v>
      </c>
      <c r="E1362" s="128">
        <v>324.137</v>
      </c>
      <c r="F1362" s="129">
        <f t="shared" si="65"/>
        <v>1.400920114</v>
      </c>
      <c r="G1362" t="str">
        <f>_xlfn.XLOOKUP(D1362,'[1]2050 BAU Mapping to T &amp; C'!$A$3:$A$52,'[1]2050 BAU Mapping to T &amp; C'!$B$3:$B$52)</f>
        <v>Maize</v>
      </c>
      <c r="H1362" s="129">
        <f>_xlfn.XLOOKUP(G1362,'[1]T&amp;C emissions for 2050 analysis'!$B$3:$B$23,'[1]T&amp;C emissions for 2050 analysis'!$C$3:$C$23)</f>
        <v>0.10999999999999999</v>
      </c>
      <c r="I1362" s="27">
        <f t="shared" si="63"/>
        <v>0.15410121253999998</v>
      </c>
      <c r="J1362" s="129">
        <f t="shared" si="64"/>
        <v>35.655069999999995</v>
      </c>
    </row>
    <row r="1363" spans="1:10" hidden="1" x14ac:dyDescent="0.35">
      <c r="A1363" s="126" t="s">
        <v>438</v>
      </c>
      <c r="B1363" t="str">
        <f>_xlfn.XLOOKUP(A1363,'[1]2050Pop'!$A$7:$A$143,'[1]2050Pop'!$D$7:$D$143)</f>
        <v>India/South Asia</v>
      </c>
      <c r="C1363" s="127">
        <f>1000*_xlfn.XLOOKUP(A1363,'[1]2050Pop'!$A$7:$A$143,'[1]2050Pop'!$C$7:$C$143)</f>
        <v>36159</v>
      </c>
      <c r="D1363" s="126" t="s">
        <v>504</v>
      </c>
      <c r="E1363" s="130">
        <v>290.44</v>
      </c>
      <c r="F1363" s="129">
        <f t="shared" si="65"/>
        <v>10.502019959999998</v>
      </c>
      <c r="G1363" t="str">
        <f>_xlfn.XLOOKUP(D1363,'[1]2050 BAU Mapping to T &amp; C'!$A$3:$A$52,'[1]2050 BAU Mapping to T &amp; C'!$B$3:$B$52)</f>
        <v>Maize</v>
      </c>
      <c r="H1363" s="129">
        <f>_xlfn.XLOOKUP(G1363,'[1]T&amp;C emissions for 2050 analysis'!$B$3:$B$23,'[1]T&amp;C emissions for 2050 analysis'!$C$3:$C$23)</f>
        <v>0.10999999999999999</v>
      </c>
      <c r="I1363" s="27">
        <f t="shared" si="63"/>
        <v>1.1552221955999997</v>
      </c>
      <c r="J1363" s="129">
        <f t="shared" si="64"/>
        <v>31.948399999999996</v>
      </c>
    </row>
    <row r="1364" spans="1:10" hidden="1" x14ac:dyDescent="0.35">
      <c r="A1364" s="126" t="s">
        <v>439</v>
      </c>
      <c r="B1364" t="str">
        <f>_xlfn.XLOOKUP(A1364,'[1]2050Pop'!$A$7:$A$143,'[1]2050Pop'!$D$7:$D$143)</f>
        <v>Euro/AU/NZ</v>
      </c>
      <c r="C1364" s="127">
        <f>1000*_xlfn.XLOOKUP(A1364,'[1]2050Pop'!$A$7:$A$143,'[1]2050Pop'!$C$7:$C$143)</f>
        <v>17602</v>
      </c>
      <c r="D1364" s="126" t="s">
        <v>504</v>
      </c>
      <c r="E1364" s="128">
        <v>13.907</v>
      </c>
      <c r="F1364" s="129">
        <f t="shared" si="65"/>
        <v>0.244791014</v>
      </c>
      <c r="G1364" t="str">
        <f>_xlfn.XLOOKUP(D1364,'[1]2050 BAU Mapping to T &amp; C'!$A$3:$A$52,'[1]2050 BAU Mapping to T &amp; C'!$B$3:$B$52)</f>
        <v>Maize</v>
      </c>
      <c r="H1364" s="129">
        <f>_xlfn.XLOOKUP(G1364,'[1]T&amp;C emissions for 2050 analysis'!$B$3:$B$23,'[1]T&amp;C emissions for 2050 analysis'!$C$3:$C$23)</f>
        <v>0.10999999999999999</v>
      </c>
      <c r="I1364" s="27">
        <f t="shared" si="63"/>
        <v>2.6927011539999997E-2</v>
      </c>
      <c r="J1364" s="129">
        <f t="shared" si="64"/>
        <v>1.5297699999999999</v>
      </c>
    </row>
    <row r="1365" spans="1:10" hidden="1" x14ac:dyDescent="0.35">
      <c r="A1365" s="126" t="s">
        <v>440</v>
      </c>
      <c r="B1365" t="str">
        <f>_xlfn.XLOOKUP(A1365,'[1]2050Pop'!$A$7:$A$143,'[1]2050Pop'!$D$7:$D$143)</f>
        <v>Euro/AU/NZ</v>
      </c>
      <c r="C1365" s="127">
        <f>1000*_xlfn.XLOOKUP(A1365,'[1]2050Pop'!$A$7:$A$143,'[1]2050Pop'!$C$7:$C$143)</f>
        <v>5607</v>
      </c>
      <c r="D1365" s="126" t="s">
        <v>504</v>
      </c>
      <c r="E1365" s="128">
        <v>31.423999999999999</v>
      </c>
      <c r="F1365" s="129">
        <f t="shared" si="65"/>
        <v>0.17619436799999999</v>
      </c>
      <c r="G1365" t="str">
        <f>_xlfn.XLOOKUP(D1365,'[1]2050 BAU Mapping to T &amp; C'!$A$3:$A$52,'[1]2050 BAU Mapping to T &amp; C'!$B$3:$B$52)</f>
        <v>Maize</v>
      </c>
      <c r="H1365" s="129">
        <f>_xlfn.XLOOKUP(G1365,'[1]T&amp;C emissions for 2050 analysis'!$B$3:$B$23,'[1]T&amp;C emissions for 2050 analysis'!$C$3:$C$23)</f>
        <v>0.10999999999999999</v>
      </c>
      <c r="I1365" s="27">
        <f t="shared" si="63"/>
        <v>1.9381380479999998E-2</v>
      </c>
      <c r="J1365" s="129">
        <f t="shared" si="64"/>
        <v>3.4566399999999997</v>
      </c>
    </row>
    <row r="1366" spans="1:10" hidden="1" x14ac:dyDescent="0.35">
      <c r="A1366" s="126" t="s">
        <v>441</v>
      </c>
      <c r="B1366" t="str">
        <f>_xlfn.XLOOKUP(A1366,'[1]2050Pop'!$A$7:$A$143,'[1]2050Pop'!$D$7:$D$143)</f>
        <v>LatAm &amp; RSA</v>
      </c>
      <c r="C1366" s="127">
        <f>1000*_xlfn.XLOOKUP(A1366,'[1]2050Pop'!$A$7:$A$143,'[1]2050Pop'!$C$7:$C$143)</f>
        <v>7863</v>
      </c>
      <c r="D1366" s="126" t="s">
        <v>504</v>
      </c>
      <c r="E1366" s="128">
        <v>536.98099999999999</v>
      </c>
      <c r="F1366" s="129">
        <f t="shared" si="65"/>
        <v>4.2222816029999999</v>
      </c>
      <c r="G1366" t="str">
        <f>_xlfn.XLOOKUP(D1366,'[1]2050 BAU Mapping to T &amp; C'!$A$3:$A$52,'[1]2050 BAU Mapping to T &amp; C'!$B$3:$B$52)</f>
        <v>Maize</v>
      </c>
      <c r="H1366" s="129">
        <f>_xlfn.XLOOKUP(G1366,'[1]T&amp;C emissions for 2050 analysis'!$B$3:$B$23,'[1]T&amp;C emissions for 2050 analysis'!$C$3:$C$23)</f>
        <v>0.10999999999999999</v>
      </c>
      <c r="I1366" s="27">
        <f t="shared" si="63"/>
        <v>0.46445097632999993</v>
      </c>
      <c r="J1366" s="129">
        <f t="shared" si="64"/>
        <v>59.067909999999991</v>
      </c>
    </row>
    <row r="1367" spans="1:10" hidden="1" x14ac:dyDescent="0.35">
      <c r="A1367" s="126" t="s">
        <v>482</v>
      </c>
      <c r="B1367" t="str">
        <f>_xlfn.XLOOKUP(A1367,'[1]2050Pop'!$A$7:$A$143,'[1]2050Pop'!$D$7:$D$143)</f>
        <v>SSA</v>
      </c>
      <c r="C1367" s="127">
        <f>1000*_xlfn.XLOOKUP(A1367,'[1]2050Pop'!$A$7:$A$143,'[1]2050Pop'!$C$7:$C$143)</f>
        <v>72238</v>
      </c>
      <c r="D1367" s="126" t="s">
        <v>504</v>
      </c>
      <c r="E1367" s="128">
        <v>26.579000000000001</v>
      </c>
      <c r="F1367" s="129">
        <f t="shared" si="65"/>
        <v>1.9200138020000002</v>
      </c>
      <c r="G1367" t="str">
        <f>_xlfn.XLOOKUP(D1367,'[1]2050 BAU Mapping to T &amp; C'!$A$3:$A$52,'[1]2050 BAU Mapping to T &amp; C'!$B$3:$B$52)</f>
        <v>Maize</v>
      </c>
      <c r="H1367" s="129">
        <f>_xlfn.XLOOKUP(G1367,'[1]T&amp;C emissions for 2050 analysis'!$B$3:$B$23,'[1]T&amp;C emissions for 2050 analysis'!$C$3:$C$23)</f>
        <v>0.10999999999999999</v>
      </c>
      <c r="I1367" s="27">
        <f t="shared" si="63"/>
        <v>0.21120151822</v>
      </c>
      <c r="J1367" s="129">
        <f t="shared" si="64"/>
        <v>2.9236899999999997</v>
      </c>
    </row>
    <row r="1368" spans="1:10" hidden="1" x14ac:dyDescent="0.35">
      <c r="A1368" s="126" t="s">
        <v>491</v>
      </c>
      <c r="B1368" t="str">
        <f>_xlfn.XLOOKUP(A1368,'[1]2050Pop'!$A$7:$A$143,'[1]2050Pop'!$D$7:$D$143)</f>
        <v>SSA</v>
      </c>
      <c r="C1368" s="127">
        <f>1000*_xlfn.XLOOKUP(A1368,'[1]2050Pop'!$A$7:$A$143,'[1]2050Pop'!$C$7:$C$143)</f>
        <v>398508</v>
      </c>
      <c r="D1368" s="126" t="s">
        <v>504</v>
      </c>
      <c r="E1368" s="128">
        <v>255.12700000000001</v>
      </c>
      <c r="F1368" s="129">
        <f t="shared" si="65"/>
        <v>101.67015051600001</v>
      </c>
      <c r="G1368" t="str">
        <f>_xlfn.XLOOKUP(D1368,'[1]2050 BAU Mapping to T &amp; C'!$A$3:$A$52,'[1]2050 BAU Mapping to T &amp; C'!$B$3:$B$52)</f>
        <v>Maize</v>
      </c>
      <c r="H1368" s="129">
        <f>_xlfn.XLOOKUP(G1368,'[1]T&amp;C emissions for 2050 analysis'!$B$3:$B$23,'[1]T&amp;C emissions for 2050 analysis'!$C$3:$C$23)</f>
        <v>0.10999999999999999</v>
      </c>
      <c r="I1368" s="27">
        <f t="shared" si="63"/>
        <v>11.183716556759999</v>
      </c>
      <c r="J1368" s="129">
        <f t="shared" si="64"/>
        <v>28.063969999999998</v>
      </c>
    </row>
    <row r="1369" spans="1:10" hidden="1" x14ac:dyDescent="0.35">
      <c r="A1369" s="126" t="s">
        <v>443</v>
      </c>
      <c r="B1369" t="str">
        <f>_xlfn.XLOOKUP(A1369,'[1]2050Pop'!$A$7:$A$143,'[1]2050Pop'!$D$7:$D$143)</f>
        <v>India/South Asia</v>
      </c>
      <c r="C1369" s="127">
        <f>1000*_xlfn.XLOOKUP(A1369,'[1]2050Pop'!$A$7:$A$143,'[1]2050Pop'!$C$7:$C$143)</f>
        <v>309640</v>
      </c>
      <c r="D1369" s="126" t="s">
        <v>504</v>
      </c>
      <c r="E1369" s="128">
        <v>112.851</v>
      </c>
      <c r="F1369" s="129">
        <f t="shared" si="65"/>
        <v>34.943183640000001</v>
      </c>
      <c r="G1369" t="str">
        <f>_xlfn.XLOOKUP(D1369,'[1]2050 BAU Mapping to T &amp; C'!$A$3:$A$52,'[1]2050 BAU Mapping to T &amp; C'!$B$3:$B$52)</f>
        <v>Maize</v>
      </c>
      <c r="H1369" s="129">
        <f>_xlfn.XLOOKUP(G1369,'[1]T&amp;C emissions for 2050 analysis'!$B$3:$B$23,'[1]T&amp;C emissions for 2050 analysis'!$C$3:$C$23)</f>
        <v>0.10999999999999999</v>
      </c>
      <c r="I1369" s="27">
        <f t="shared" si="63"/>
        <v>3.8437502003999997</v>
      </c>
      <c r="J1369" s="129">
        <f t="shared" si="64"/>
        <v>12.413609999999998</v>
      </c>
    </row>
    <row r="1370" spans="1:10" hidden="1" x14ac:dyDescent="0.35">
      <c r="A1370" s="126" t="s">
        <v>444</v>
      </c>
      <c r="B1370" t="str">
        <f>_xlfn.XLOOKUP(A1370,'[1]2050Pop'!$A$7:$A$143,'[1]2050Pop'!$D$7:$D$143)</f>
        <v>LatAm &amp; RSA</v>
      </c>
      <c r="C1370" s="127">
        <f>1000*_xlfn.XLOOKUP(A1370,'[1]2050Pop'!$A$7:$A$143,'[1]2050Pop'!$C$7:$C$143)</f>
        <v>5599</v>
      </c>
      <c r="D1370" s="126" t="s">
        <v>504</v>
      </c>
      <c r="E1370" s="128">
        <v>129.917</v>
      </c>
      <c r="F1370" s="129">
        <f t="shared" si="65"/>
        <v>0.72740528300000007</v>
      </c>
      <c r="G1370" t="str">
        <f>_xlfn.XLOOKUP(D1370,'[1]2050 BAU Mapping to T &amp; C'!$A$3:$A$52,'[1]2050 BAU Mapping to T &amp; C'!$B$3:$B$52)</f>
        <v>Maize</v>
      </c>
      <c r="H1370" s="129">
        <f>_xlfn.XLOOKUP(G1370,'[1]T&amp;C emissions for 2050 analysis'!$B$3:$B$23,'[1]T&amp;C emissions for 2050 analysis'!$C$3:$C$23)</f>
        <v>0.10999999999999999</v>
      </c>
      <c r="I1370" s="27">
        <f t="shared" si="63"/>
        <v>8.0014581129999998E-2</v>
      </c>
      <c r="J1370" s="129">
        <f t="shared" si="64"/>
        <v>14.290869999999998</v>
      </c>
    </row>
    <row r="1371" spans="1:10" hidden="1" x14ac:dyDescent="0.35">
      <c r="A1371" s="126" t="s">
        <v>445</v>
      </c>
      <c r="B1371" t="str">
        <f>_xlfn.XLOOKUP(A1371,'[1]2050Pop'!$A$7:$A$143,'[1]2050Pop'!$D$7:$D$143)</f>
        <v>LatAm &amp; RSA</v>
      </c>
      <c r="C1371" s="127">
        <f>1000*_xlfn.XLOOKUP(A1371,'[1]2050Pop'!$A$7:$A$143,'[1]2050Pop'!$C$7:$C$143)</f>
        <v>8895</v>
      </c>
      <c r="D1371" s="126" t="s">
        <v>504</v>
      </c>
      <c r="E1371" s="128">
        <v>511.74200000000002</v>
      </c>
      <c r="F1371" s="129">
        <f t="shared" si="65"/>
        <v>4.5519450900000002</v>
      </c>
      <c r="G1371" t="str">
        <f>_xlfn.XLOOKUP(D1371,'[1]2050 BAU Mapping to T &amp; C'!$A$3:$A$52,'[1]2050 BAU Mapping to T &amp; C'!$B$3:$B$52)</f>
        <v>Maize</v>
      </c>
      <c r="H1371" s="129">
        <f>_xlfn.XLOOKUP(G1371,'[1]T&amp;C emissions for 2050 analysis'!$B$3:$B$23,'[1]T&amp;C emissions for 2050 analysis'!$C$3:$C$23)</f>
        <v>0.10999999999999999</v>
      </c>
      <c r="I1371" s="27">
        <f t="shared" si="63"/>
        <v>0.50071395990000001</v>
      </c>
      <c r="J1371" s="129">
        <f t="shared" si="64"/>
        <v>56.291619999999995</v>
      </c>
    </row>
    <row r="1372" spans="1:10" hidden="1" x14ac:dyDescent="0.35">
      <c r="A1372" s="126" t="s">
        <v>446</v>
      </c>
      <c r="B1372" t="str">
        <f>_xlfn.XLOOKUP(A1372,'[1]2050Pop'!$A$7:$A$143,'[1]2050Pop'!$D$7:$D$143)</f>
        <v>LatAm &amp; RSA</v>
      </c>
      <c r="C1372" s="127">
        <f>1000*_xlfn.XLOOKUP(A1372,'[1]2050Pop'!$A$7:$A$143,'[1]2050Pop'!$C$7:$C$143)</f>
        <v>41899</v>
      </c>
      <c r="D1372" s="126" t="s">
        <v>504</v>
      </c>
      <c r="E1372" s="128">
        <v>158.572</v>
      </c>
      <c r="F1372" s="129">
        <f t="shared" si="65"/>
        <v>6.6440082279999997</v>
      </c>
      <c r="G1372" t="str">
        <f>_xlfn.XLOOKUP(D1372,'[1]2050 BAU Mapping to T &amp; C'!$A$3:$A$52,'[1]2050 BAU Mapping to T &amp; C'!$B$3:$B$52)</f>
        <v>Maize</v>
      </c>
      <c r="H1372" s="129">
        <f>_xlfn.XLOOKUP(G1372,'[1]T&amp;C emissions for 2050 analysis'!$B$3:$B$23,'[1]T&amp;C emissions for 2050 analysis'!$C$3:$C$23)</f>
        <v>0.10999999999999999</v>
      </c>
      <c r="I1372" s="27">
        <f t="shared" si="63"/>
        <v>0.73084090507999988</v>
      </c>
      <c r="J1372" s="129">
        <f t="shared" si="64"/>
        <v>17.442919999999997</v>
      </c>
    </row>
    <row r="1373" spans="1:10" hidden="1" x14ac:dyDescent="0.35">
      <c r="A1373" s="126" t="s">
        <v>447</v>
      </c>
      <c r="B1373" t="str">
        <f>_xlfn.XLOOKUP(A1373,'[1]2050Pop'!$A$7:$A$143,'[1]2050Pop'!$D$7:$D$143)</f>
        <v>APAC</v>
      </c>
      <c r="C1373" s="127">
        <f>1000*_xlfn.XLOOKUP(A1373,'[1]2050Pop'!$A$7:$A$143,'[1]2050Pop'!$C$7:$C$143)</f>
        <v>148260</v>
      </c>
      <c r="D1373" s="126" t="s">
        <v>504</v>
      </c>
      <c r="E1373" s="128">
        <v>85.626999999999995</v>
      </c>
      <c r="F1373" s="129">
        <f t="shared" si="65"/>
        <v>12.69505902</v>
      </c>
      <c r="G1373" t="str">
        <f>_xlfn.XLOOKUP(D1373,'[1]2050 BAU Mapping to T &amp; C'!$A$3:$A$52,'[1]2050 BAU Mapping to T &amp; C'!$B$3:$B$52)</f>
        <v>Maize</v>
      </c>
      <c r="H1373" s="129">
        <f>_xlfn.XLOOKUP(G1373,'[1]T&amp;C emissions for 2050 analysis'!$B$3:$B$23,'[1]T&amp;C emissions for 2050 analysis'!$C$3:$C$23)</f>
        <v>0.10999999999999999</v>
      </c>
      <c r="I1373" s="27">
        <f t="shared" si="63"/>
        <v>1.3964564921999998</v>
      </c>
      <c r="J1373" s="129">
        <f t="shared" si="64"/>
        <v>9.4189699999999981</v>
      </c>
    </row>
    <row r="1374" spans="1:10" hidden="1" x14ac:dyDescent="0.35">
      <c r="A1374" s="126" t="s">
        <v>449</v>
      </c>
      <c r="B1374" t="str">
        <f>_xlfn.XLOOKUP(A1374,'[1]2050Pop'!$A$7:$A$143,'[1]2050Pop'!$D$7:$D$143)</f>
        <v>Euro/AU/NZ</v>
      </c>
      <c r="C1374" s="127">
        <f>1000*_xlfn.XLOOKUP(A1374,'[1]2050Pop'!$A$7:$A$143,'[1]2050Pop'!$C$7:$C$143)</f>
        <v>9216</v>
      </c>
      <c r="D1374" s="126" t="s">
        <v>504</v>
      </c>
      <c r="E1374" s="128">
        <v>107.548</v>
      </c>
      <c r="F1374" s="129">
        <f t="shared" si="65"/>
        <v>0.99116236800000002</v>
      </c>
      <c r="G1374" t="str">
        <f>_xlfn.XLOOKUP(D1374,'[1]2050 BAU Mapping to T &amp; C'!$A$3:$A$52,'[1]2050 BAU Mapping to T &amp; C'!$B$3:$B$52)</f>
        <v>Maize</v>
      </c>
      <c r="H1374" s="129">
        <f>_xlfn.XLOOKUP(G1374,'[1]T&amp;C emissions for 2050 analysis'!$B$3:$B$23,'[1]T&amp;C emissions for 2050 analysis'!$C$3:$C$23)</f>
        <v>0.10999999999999999</v>
      </c>
      <c r="I1374" s="27">
        <f t="shared" si="63"/>
        <v>0.10902786047999999</v>
      </c>
      <c r="J1374" s="129">
        <f t="shared" si="64"/>
        <v>11.830279999999998</v>
      </c>
    </row>
    <row r="1375" spans="1:10" hidden="1" x14ac:dyDescent="0.35">
      <c r="A1375" s="126" t="s">
        <v>450</v>
      </c>
      <c r="B1375" t="str">
        <f>_xlfn.XLOOKUP(A1375,'[1]2050Pop'!$A$7:$A$143,'[1]2050Pop'!$D$7:$D$143)</f>
        <v>APAC</v>
      </c>
      <c r="C1375" s="127">
        <f>1000*_xlfn.XLOOKUP(A1375,'[1]2050Pop'!$A$7:$A$143,'[1]2050Pop'!$C$7:$C$143)</f>
        <v>50593</v>
      </c>
      <c r="D1375" s="126" t="s">
        <v>504</v>
      </c>
      <c r="E1375" s="128">
        <v>61.323</v>
      </c>
      <c r="F1375" s="129">
        <f t="shared" si="65"/>
        <v>3.102514539</v>
      </c>
      <c r="G1375" t="str">
        <f>_xlfn.XLOOKUP(D1375,'[1]2050 BAU Mapping to T &amp; C'!$A$3:$A$52,'[1]2050 BAU Mapping to T &amp; C'!$B$3:$B$52)</f>
        <v>Maize</v>
      </c>
      <c r="H1375" s="129">
        <f>_xlfn.XLOOKUP(G1375,'[1]T&amp;C emissions for 2050 analysis'!$B$3:$B$23,'[1]T&amp;C emissions for 2050 analysis'!$C$3:$C$23)</f>
        <v>0.10999999999999999</v>
      </c>
      <c r="I1375" s="27">
        <f t="shared" si="63"/>
        <v>0.34127659928999993</v>
      </c>
      <c r="J1375" s="129">
        <f t="shared" si="64"/>
        <v>6.7455299999999996</v>
      </c>
    </row>
    <row r="1376" spans="1:10" hidden="1" x14ac:dyDescent="0.35">
      <c r="A1376" s="126" t="s">
        <v>451</v>
      </c>
      <c r="B1376" t="str">
        <f>_xlfn.XLOOKUP(A1376,'[1]2050Pop'!$A$7:$A$143,'[1]2050Pop'!$D$7:$D$143)</f>
        <v>Euro/AU/NZ</v>
      </c>
      <c r="C1376" s="127">
        <f>1000*_xlfn.XLOOKUP(A1376,'[1]2050Pop'!$A$7:$A$143,'[1]2050Pop'!$C$7:$C$143)</f>
        <v>3243</v>
      </c>
      <c r="D1376" s="126" t="s">
        <v>504</v>
      </c>
      <c r="E1376" s="128">
        <v>686.25400000000002</v>
      </c>
      <c r="F1376" s="129">
        <f t="shared" si="65"/>
        <v>2.2255217219999999</v>
      </c>
      <c r="G1376" t="str">
        <f>_xlfn.XLOOKUP(D1376,'[1]2050 BAU Mapping to T &amp; C'!$A$3:$A$52,'[1]2050 BAU Mapping to T &amp; C'!$B$3:$B$52)</f>
        <v>Maize</v>
      </c>
      <c r="H1376" s="129">
        <f>_xlfn.XLOOKUP(G1376,'[1]T&amp;C emissions for 2050 analysis'!$B$3:$B$23,'[1]T&amp;C emissions for 2050 analysis'!$C$3:$C$23)</f>
        <v>0.10999999999999999</v>
      </c>
      <c r="I1376" s="27">
        <f t="shared" si="63"/>
        <v>0.24480738941999997</v>
      </c>
      <c r="J1376" s="129">
        <f t="shared" si="64"/>
        <v>75.487939999999995</v>
      </c>
    </row>
    <row r="1377" spans="1:10" hidden="1" x14ac:dyDescent="0.35">
      <c r="A1377" s="126" t="s">
        <v>452</v>
      </c>
      <c r="B1377" t="str">
        <f>_xlfn.XLOOKUP(A1377,'[1]2050Pop'!$A$7:$A$143,'[1]2050Pop'!$D$7:$D$143)</f>
        <v>SSA</v>
      </c>
      <c r="C1377" s="127">
        <f>1000*_xlfn.XLOOKUP(A1377,'[1]2050Pop'!$A$7:$A$143,'[1]2050Pop'!$C$7:$C$143)</f>
        <v>10732</v>
      </c>
      <c r="D1377" s="126" t="s">
        <v>504</v>
      </c>
      <c r="E1377" s="128">
        <v>30.626999999999999</v>
      </c>
      <c r="F1377" s="129">
        <f t="shared" si="65"/>
        <v>0.32868896399999997</v>
      </c>
      <c r="G1377" t="str">
        <f>_xlfn.XLOOKUP(D1377,'[1]2050 BAU Mapping to T &amp; C'!$A$3:$A$52,'[1]2050 BAU Mapping to T &amp; C'!$B$3:$B$52)</f>
        <v>Maize</v>
      </c>
      <c r="H1377" s="129">
        <f>_xlfn.XLOOKUP(G1377,'[1]T&amp;C emissions for 2050 analysis'!$B$3:$B$23,'[1]T&amp;C emissions for 2050 analysis'!$C$3:$C$23)</f>
        <v>0.10999999999999999</v>
      </c>
      <c r="I1377" s="27">
        <f t="shared" si="63"/>
        <v>3.6155786039999992E-2</v>
      </c>
      <c r="J1377" s="129">
        <f t="shared" si="64"/>
        <v>3.3689699999999996</v>
      </c>
    </row>
    <row r="1378" spans="1:10" hidden="1" x14ac:dyDescent="0.35">
      <c r="A1378" s="126" t="s">
        <v>453</v>
      </c>
      <c r="B1378" t="str">
        <f>_xlfn.XLOOKUP(A1378,'[1]2050Pop'!$A$7:$A$143,'[1]2050Pop'!$D$7:$D$143)</f>
        <v>Euro/AU/NZ</v>
      </c>
      <c r="C1378" s="127">
        <f>1000*_xlfn.XLOOKUP(A1378,'[1]2050Pop'!$A$7:$A$143,'[1]2050Pop'!$C$7:$C$143)</f>
        <v>15207</v>
      </c>
      <c r="D1378" s="126" t="s">
        <v>504</v>
      </c>
      <c r="E1378" s="128">
        <v>259.87700000000001</v>
      </c>
      <c r="F1378" s="129">
        <f t="shared" si="65"/>
        <v>3.9519495390000001</v>
      </c>
      <c r="G1378" t="str">
        <f>_xlfn.XLOOKUP(D1378,'[1]2050 BAU Mapping to T &amp; C'!$A$3:$A$52,'[1]2050 BAU Mapping to T &amp; C'!$B$3:$B$52)</f>
        <v>Maize</v>
      </c>
      <c r="H1378" s="129">
        <f>_xlfn.XLOOKUP(G1378,'[1]T&amp;C emissions for 2050 analysis'!$B$3:$B$23,'[1]T&amp;C emissions for 2050 analysis'!$C$3:$C$23)</f>
        <v>0.10999999999999999</v>
      </c>
      <c r="I1378" s="27">
        <f t="shared" si="63"/>
        <v>0.43471444928999997</v>
      </c>
      <c r="J1378" s="129">
        <f t="shared" si="64"/>
        <v>28.586469999999998</v>
      </c>
    </row>
    <row r="1379" spans="1:10" hidden="1" x14ac:dyDescent="0.35">
      <c r="A1379" s="126" t="s">
        <v>454</v>
      </c>
      <c r="B1379" t="str">
        <f>_xlfn.XLOOKUP(A1379,'[1]2050Pop'!$A$7:$A$143,'[1]2050Pop'!$D$7:$D$143)</f>
        <v>Euro/AU/NZ</v>
      </c>
      <c r="C1379" s="127">
        <f>1000*_xlfn.XLOOKUP(A1379,'[1]2050Pop'!$A$7:$A$143,'[1]2050Pop'!$C$7:$C$143)</f>
        <v>128598.99999999999</v>
      </c>
      <c r="D1379" s="126" t="s">
        <v>504</v>
      </c>
      <c r="E1379" s="128">
        <v>3.4220000000000002</v>
      </c>
      <c r="F1379" s="129">
        <f t="shared" si="65"/>
        <v>0.44006577800000002</v>
      </c>
      <c r="G1379" t="str">
        <f>_xlfn.XLOOKUP(D1379,'[1]2050 BAU Mapping to T &amp; C'!$A$3:$A$52,'[1]2050 BAU Mapping to T &amp; C'!$B$3:$B$52)</f>
        <v>Maize</v>
      </c>
      <c r="H1379" s="129">
        <f>_xlfn.XLOOKUP(G1379,'[1]T&amp;C emissions for 2050 analysis'!$B$3:$B$23,'[1]T&amp;C emissions for 2050 analysis'!$C$3:$C$23)</f>
        <v>0.10999999999999999</v>
      </c>
      <c r="I1379" s="27">
        <f t="shared" si="63"/>
        <v>4.8407235579999999E-2</v>
      </c>
      <c r="J1379" s="129">
        <f t="shared" si="64"/>
        <v>0.37641999999999998</v>
      </c>
    </row>
    <row r="1380" spans="1:10" hidden="1" x14ac:dyDescent="0.35">
      <c r="A1380" s="126" t="s">
        <v>455</v>
      </c>
      <c r="B1380" t="str">
        <f>_xlfn.XLOOKUP(A1380,'[1]2050Pop'!$A$7:$A$143,'[1]2050Pop'!$D$7:$D$143)</f>
        <v>SSA</v>
      </c>
      <c r="C1380" s="127">
        <f>1000*_xlfn.XLOOKUP(A1380,'[1]2050Pop'!$A$7:$A$143,'[1]2050Pop'!$C$7:$C$143)</f>
        <v>21187</v>
      </c>
      <c r="D1380" s="126" t="s">
        <v>504</v>
      </c>
      <c r="E1380" s="128">
        <v>113.39400000000001</v>
      </c>
      <c r="F1380" s="129">
        <f t="shared" si="65"/>
        <v>2.4024786780000005</v>
      </c>
      <c r="G1380" t="str">
        <f>_xlfn.XLOOKUP(D1380,'[1]2050 BAU Mapping to T &amp; C'!$A$3:$A$52,'[1]2050 BAU Mapping to T &amp; C'!$B$3:$B$52)</f>
        <v>Maize</v>
      </c>
      <c r="H1380" s="129">
        <f>_xlfn.XLOOKUP(G1380,'[1]T&amp;C emissions for 2050 analysis'!$B$3:$B$23,'[1]T&amp;C emissions for 2050 analysis'!$C$3:$C$23)</f>
        <v>0.10999999999999999</v>
      </c>
      <c r="I1380" s="27">
        <f t="shared" si="63"/>
        <v>0.26427265458000004</v>
      </c>
      <c r="J1380" s="129">
        <f t="shared" si="64"/>
        <v>12.473339999999999</v>
      </c>
    </row>
    <row r="1381" spans="1:10" hidden="1" x14ac:dyDescent="0.35">
      <c r="A1381" s="126" t="s">
        <v>456</v>
      </c>
      <c r="B1381" t="str">
        <f>_xlfn.XLOOKUP(A1381,'[1]2050Pop'!$A$7:$A$143,'[1]2050Pop'!$D$7:$D$143)</f>
        <v>MENA</v>
      </c>
      <c r="C1381" s="127">
        <f>1000*_xlfn.XLOOKUP(A1381,'[1]2050Pop'!$A$7:$A$143,'[1]2050Pop'!$C$7:$C$143)</f>
        <v>46059</v>
      </c>
      <c r="D1381" s="126" t="s">
        <v>504</v>
      </c>
      <c r="E1381" s="128">
        <v>157.00800000000001</v>
      </c>
      <c r="F1381" s="129">
        <f t="shared" si="65"/>
        <v>7.2316314720000001</v>
      </c>
      <c r="G1381" t="str">
        <f>_xlfn.XLOOKUP(D1381,'[1]2050 BAU Mapping to T &amp; C'!$A$3:$A$52,'[1]2050 BAU Mapping to T &amp; C'!$B$3:$B$52)</f>
        <v>Maize</v>
      </c>
      <c r="H1381" s="129">
        <f>_xlfn.XLOOKUP(G1381,'[1]T&amp;C emissions for 2050 analysis'!$B$3:$B$23,'[1]T&amp;C emissions for 2050 analysis'!$C$3:$C$23)</f>
        <v>0.10999999999999999</v>
      </c>
      <c r="I1381" s="27">
        <f t="shared" si="63"/>
        <v>0.79547946191999996</v>
      </c>
      <c r="J1381" s="129">
        <f t="shared" si="64"/>
        <v>17.270879999999998</v>
      </c>
    </row>
    <row r="1382" spans="1:10" hidden="1" x14ac:dyDescent="0.35">
      <c r="A1382" s="126" t="s">
        <v>457</v>
      </c>
      <c r="B1382" t="str">
        <f>_xlfn.XLOOKUP(A1382,'[1]2050Pop'!$A$7:$A$143,'[1]2050Pop'!$D$7:$D$143)</f>
        <v>SSA</v>
      </c>
      <c r="C1382" s="127">
        <f>1000*_xlfn.XLOOKUP(A1382,'[1]2050Pop'!$A$7:$A$143,'[1]2050Pop'!$C$7:$C$143)</f>
        <v>36223</v>
      </c>
      <c r="D1382" s="126" t="s">
        <v>504</v>
      </c>
      <c r="E1382" s="128">
        <v>197.339</v>
      </c>
      <c r="F1382" s="129">
        <f t="shared" si="65"/>
        <v>7.1482105970000003</v>
      </c>
      <c r="G1382" t="str">
        <f>_xlfn.XLOOKUP(D1382,'[1]2050 BAU Mapping to T &amp; C'!$A$3:$A$52,'[1]2050 BAU Mapping to T &amp; C'!$B$3:$B$52)</f>
        <v>Maize</v>
      </c>
      <c r="H1382" s="129">
        <f>_xlfn.XLOOKUP(G1382,'[1]T&amp;C emissions for 2050 analysis'!$B$3:$B$23,'[1]T&amp;C emissions for 2050 analysis'!$C$3:$C$23)</f>
        <v>0.10999999999999999</v>
      </c>
      <c r="I1382" s="27">
        <f t="shared" si="63"/>
        <v>0.78630316566999992</v>
      </c>
      <c r="J1382" s="129">
        <f t="shared" si="64"/>
        <v>21.707289999999997</v>
      </c>
    </row>
    <row r="1383" spans="1:10" hidden="1" x14ac:dyDescent="0.35">
      <c r="A1383" s="126" t="s">
        <v>458</v>
      </c>
      <c r="B1383" t="str">
        <f>_xlfn.XLOOKUP(A1383,'[1]2050Pop'!$A$7:$A$143,'[1]2050Pop'!$D$7:$D$143)</f>
        <v>Euro/AU/NZ</v>
      </c>
      <c r="C1383" s="127">
        <f>1000*_xlfn.XLOOKUP(A1383,'[1]2050Pop'!$A$7:$A$143,'[1]2050Pop'!$C$7:$C$143)</f>
        <v>7331</v>
      </c>
      <c r="D1383" s="126" t="s">
        <v>504</v>
      </c>
      <c r="E1383" s="128">
        <v>183.19499999999999</v>
      </c>
      <c r="F1383" s="129">
        <f t="shared" si="65"/>
        <v>1.3430025449999998</v>
      </c>
      <c r="G1383" t="str">
        <f>_xlfn.XLOOKUP(D1383,'[1]2050 BAU Mapping to T &amp; C'!$A$3:$A$52,'[1]2050 BAU Mapping to T &amp; C'!$B$3:$B$52)</f>
        <v>Maize</v>
      </c>
      <c r="H1383" s="129">
        <f>_xlfn.XLOOKUP(G1383,'[1]T&amp;C emissions for 2050 analysis'!$B$3:$B$23,'[1]T&amp;C emissions for 2050 analysis'!$C$3:$C$23)</f>
        <v>0.10999999999999999</v>
      </c>
      <c r="I1383" s="27">
        <f t="shared" si="63"/>
        <v>0.14773027994999996</v>
      </c>
      <c r="J1383" s="129">
        <f t="shared" si="64"/>
        <v>20.151449999999997</v>
      </c>
    </row>
    <row r="1384" spans="1:10" hidden="1" x14ac:dyDescent="0.35">
      <c r="A1384" s="126" t="s">
        <v>492</v>
      </c>
      <c r="B1384" t="str">
        <f>_xlfn.XLOOKUP(A1384,'[1]2050Pop'!$A$7:$A$143,'[1]2050Pop'!$D$7:$D$143)</f>
        <v>SSA</v>
      </c>
      <c r="C1384" s="127">
        <f>1000*_xlfn.XLOOKUP(A1384,'[1]2050Pop'!$A$7:$A$143,'[1]2050Pop'!$C$7:$C$143)</f>
        <v>11392</v>
      </c>
      <c r="D1384" s="126" t="s">
        <v>504</v>
      </c>
      <c r="E1384" s="128">
        <v>40.784999999999997</v>
      </c>
      <c r="F1384" s="129">
        <f t="shared" si="65"/>
        <v>0.46462271999999999</v>
      </c>
      <c r="G1384" t="str">
        <f>_xlfn.XLOOKUP(D1384,'[1]2050 BAU Mapping to T &amp; C'!$A$3:$A$52,'[1]2050 BAU Mapping to T &amp; C'!$B$3:$B$52)</f>
        <v>Maize</v>
      </c>
      <c r="H1384" s="129">
        <f>_xlfn.XLOOKUP(G1384,'[1]T&amp;C emissions for 2050 analysis'!$B$3:$B$23,'[1]T&amp;C emissions for 2050 analysis'!$C$3:$C$23)</f>
        <v>0.10999999999999999</v>
      </c>
      <c r="I1384" s="27">
        <f t="shared" si="63"/>
        <v>5.110849919999999E-2</v>
      </c>
      <c r="J1384" s="129">
        <f t="shared" si="64"/>
        <v>4.4863499999999989</v>
      </c>
    </row>
    <row r="1385" spans="1:10" hidden="1" x14ac:dyDescent="0.35">
      <c r="A1385" s="126" t="s">
        <v>460</v>
      </c>
      <c r="B1385" t="str">
        <f>_xlfn.XLOOKUP(A1385,'[1]2050Pop'!$A$7:$A$143,'[1]2050Pop'!$D$7:$D$143)</f>
        <v>LatAm &amp; RSA</v>
      </c>
      <c r="C1385" s="127">
        <f>1000*_xlfn.XLOOKUP(A1385,'[1]2050Pop'!$A$7:$A$143,'[1]2050Pop'!$C$7:$C$143)</f>
        <v>65540</v>
      </c>
      <c r="D1385" s="126" t="s">
        <v>504</v>
      </c>
      <c r="E1385" s="131">
        <v>802.9</v>
      </c>
      <c r="F1385" s="129">
        <f t="shared" si="65"/>
        <v>52.622065999999997</v>
      </c>
      <c r="G1385" t="str">
        <f>_xlfn.XLOOKUP(D1385,'[1]2050 BAU Mapping to T &amp; C'!$A$3:$A$52,'[1]2050 BAU Mapping to T &amp; C'!$B$3:$B$52)</f>
        <v>Maize</v>
      </c>
      <c r="H1385" s="129">
        <f>_xlfn.XLOOKUP(G1385,'[1]T&amp;C emissions for 2050 analysis'!$B$3:$B$23,'[1]T&amp;C emissions for 2050 analysis'!$C$3:$C$23)</f>
        <v>0.10999999999999999</v>
      </c>
      <c r="I1385" s="27">
        <f t="shared" si="63"/>
        <v>5.7884272599999989</v>
      </c>
      <c r="J1385" s="129">
        <f t="shared" si="64"/>
        <v>88.318999999999988</v>
      </c>
    </row>
    <row r="1386" spans="1:10" hidden="1" x14ac:dyDescent="0.35">
      <c r="A1386" s="126" t="s">
        <v>461</v>
      </c>
      <c r="B1386" t="str">
        <f>_xlfn.XLOOKUP(A1386,'[1]2050Pop'!$A$7:$A$143,'[1]2050Pop'!$D$7:$D$143)</f>
        <v>Euro/AU/NZ</v>
      </c>
      <c r="C1386" s="127">
        <f>1000*_xlfn.XLOOKUP(A1386,'[1]2050Pop'!$A$7:$A$143,'[1]2050Pop'!$C$7:$C$143)</f>
        <v>44840</v>
      </c>
      <c r="D1386" s="126" t="s">
        <v>504</v>
      </c>
      <c r="E1386" s="128">
        <v>12.581</v>
      </c>
      <c r="F1386" s="129">
        <f t="shared" si="65"/>
        <v>0.56413203999999995</v>
      </c>
      <c r="G1386" t="str">
        <f>_xlfn.XLOOKUP(D1386,'[1]2050 BAU Mapping to T &amp; C'!$A$3:$A$52,'[1]2050 BAU Mapping to T &amp; C'!$B$3:$B$52)</f>
        <v>Maize</v>
      </c>
      <c r="H1386" s="129">
        <f>_xlfn.XLOOKUP(G1386,'[1]T&amp;C emissions for 2050 analysis'!$B$3:$B$23,'[1]T&amp;C emissions for 2050 analysis'!$C$3:$C$23)</f>
        <v>0.10999999999999999</v>
      </c>
      <c r="I1386" s="27">
        <f t="shared" si="63"/>
        <v>6.2054524399999984E-2</v>
      </c>
      <c r="J1386" s="129">
        <f t="shared" si="64"/>
        <v>1.3839099999999998</v>
      </c>
    </row>
    <row r="1387" spans="1:10" hidden="1" x14ac:dyDescent="0.35">
      <c r="A1387" s="126" t="s">
        <v>493</v>
      </c>
      <c r="B1387" t="str">
        <f>_xlfn.XLOOKUP(A1387,'[1]2050Pop'!$A$7:$A$143,'[1]2050Pop'!$D$7:$D$143)</f>
        <v>India/South Asia</v>
      </c>
      <c r="C1387" s="127">
        <f>1000*_xlfn.XLOOKUP(A1387,'[1]2050Pop'!$A$7:$A$143,'[1]2050Pop'!$C$7:$C$143)</f>
        <v>20836</v>
      </c>
      <c r="D1387" s="126" t="s">
        <v>504</v>
      </c>
      <c r="E1387" s="128">
        <v>27.917000000000002</v>
      </c>
      <c r="F1387" s="129">
        <f t="shared" si="65"/>
        <v>0.58167861200000004</v>
      </c>
      <c r="G1387" t="str">
        <f>_xlfn.XLOOKUP(D1387,'[1]2050 BAU Mapping to T &amp; C'!$A$3:$A$52,'[1]2050 BAU Mapping to T &amp; C'!$B$3:$B$52)</f>
        <v>Maize</v>
      </c>
      <c r="H1387" s="129">
        <f>_xlfn.XLOOKUP(G1387,'[1]T&amp;C emissions for 2050 analysis'!$B$3:$B$23,'[1]T&amp;C emissions for 2050 analysis'!$C$3:$C$23)</f>
        <v>0.10999999999999999</v>
      </c>
      <c r="I1387" s="27">
        <f t="shared" si="63"/>
        <v>6.398464731999999E-2</v>
      </c>
      <c r="J1387" s="129">
        <f t="shared" si="64"/>
        <v>3.0708699999999998</v>
      </c>
    </row>
    <row r="1388" spans="1:10" hidden="1" x14ac:dyDescent="0.35">
      <c r="A1388" s="126" t="s">
        <v>462</v>
      </c>
      <c r="B1388" t="str">
        <f>_xlfn.XLOOKUP(A1388,'[1]2050Pop'!$A$7:$A$143,'[1]2050Pop'!$D$7:$D$143)</f>
        <v>LatAm &amp; RSA</v>
      </c>
      <c r="C1388" s="127">
        <f>1000*_xlfn.XLOOKUP(A1388,'[1]2050Pop'!$A$7:$A$143,'[1]2050Pop'!$C$7:$C$143)</f>
        <v>624</v>
      </c>
      <c r="D1388" s="126" t="s">
        <v>504</v>
      </c>
      <c r="E1388" s="128">
        <v>14.388999999999999</v>
      </c>
      <c r="F1388" s="129">
        <f t="shared" si="65"/>
        <v>8.9787359999999993E-3</v>
      </c>
      <c r="G1388" t="str">
        <f>_xlfn.XLOOKUP(D1388,'[1]2050 BAU Mapping to T &amp; C'!$A$3:$A$52,'[1]2050 BAU Mapping to T &amp; C'!$B$3:$B$52)</f>
        <v>Maize</v>
      </c>
      <c r="H1388" s="129">
        <f>_xlfn.XLOOKUP(G1388,'[1]T&amp;C emissions for 2050 analysis'!$B$3:$B$23,'[1]T&amp;C emissions for 2050 analysis'!$C$3:$C$23)</f>
        <v>0.10999999999999999</v>
      </c>
      <c r="I1388" s="27">
        <f t="shared" si="63"/>
        <v>9.8766095999999986E-4</v>
      </c>
      <c r="J1388" s="129">
        <f t="shared" si="64"/>
        <v>1.5827899999999997</v>
      </c>
    </row>
    <row r="1389" spans="1:10" hidden="1" x14ac:dyDescent="0.35">
      <c r="A1389" s="126" t="s">
        <v>463</v>
      </c>
      <c r="B1389" t="str">
        <f>_xlfn.XLOOKUP(A1389,'[1]2050Pop'!$A$7:$A$143,'[1]2050Pop'!$D$7:$D$143)</f>
        <v>SSA</v>
      </c>
      <c r="C1389" s="127">
        <f>1000*_xlfn.XLOOKUP(A1389,'[1]2050Pop'!$A$7:$A$143,'[1]2050Pop'!$C$7:$C$143)</f>
        <v>1792</v>
      </c>
      <c r="D1389" s="126" t="s">
        <v>504</v>
      </c>
      <c r="E1389" s="128">
        <v>638.524</v>
      </c>
      <c r="F1389" s="129">
        <f t="shared" si="65"/>
        <v>1.1442350079999999</v>
      </c>
      <c r="G1389" t="str">
        <f>_xlfn.XLOOKUP(D1389,'[1]2050 BAU Mapping to T &amp; C'!$A$3:$A$52,'[1]2050 BAU Mapping to T &amp; C'!$B$3:$B$52)</f>
        <v>Maize</v>
      </c>
      <c r="H1389" s="129">
        <f>_xlfn.XLOOKUP(G1389,'[1]T&amp;C emissions for 2050 analysis'!$B$3:$B$23,'[1]T&amp;C emissions for 2050 analysis'!$C$3:$C$23)</f>
        <v>0.10999999999999999</v>
      </c>
      <c r="I1389" s="27">
        <f t="shared" si="63"/>
        <v>0.12586585087999996</v>
      </c>
      <c r="J1389" s="129">
        <f t="shared" si="64"/>
        <v>70.237639999999985</v>
      </c>
    </row>
    <row r="1390" spans="1:10" hidden="1" x14ac:dyDescent="0.35">
      <c r="A1390" s="126" t="s">
        <v>464</v>
      </c>
      <c r="B1390" t="str">
        <f>_xlfn.XLOOKUP(A1390,'[1]2050Pop'!$A$7:$A$143,'[1]2050Pop'!$D$7:$D$143)</f>
        <v>Euro/AU/NZ</v>
      </c>
      <c r="C1390" s="127">
        <f>1000*_xlfn.XLOOKUP(A1390,'[1]2050Pop'!$A$7:$A$143,'[1]2050Pop'!$C$7:$C$143)</f>
        <v>11881</v>
      </c>
      <c r="D1390" s="126" t="s">
        <v>504</v>
      </c>
      <c r="E1390" s="128">
        <v>7.7859999999999996</v>
      </c>
      <c r="F1390" s="129">
        <f t="shared" si="65"/>
        <v>9.2505465999999995E-2</v>
      </c>
      <c r="G1390" t="str">
        <f>_xlfn.XLOOKUP(D1390,'[1]2050 BAU Mapping to T &amp; C'!$A$3:$A$52,'[1]2050 BAU Mapping to T &amp; C'!$B$3:$B$52)</f>
        <v>Maize</v>
      </c>
      <c r="H1390" s="129">
        <f>_xlfn.XLOOKUP(G1390,'[1]T&amp;C emissions for 2050 analysis'!$B$3:$B$23,'[1]T&amp;C emissions for 2050 analysis'!$C$3:$C$23)</f>
        <v>0.10999999999999999</v>
      </c>
      <c r="I1390" s="27">
        <f t="shared" si="63"/>
        <v>1.0175601259999998E-2</v>
      </c>
      <c r="J1390" s="129">
        <f t="shared" si="64"/>
        <v>0.85645999999999989</v>
      </c>
    </row>
    <row r="1391" spans="1:10" hidden="1" x14ac:dyDescent="0.35">
      <c r="A1391" s="126" t="s">
        <v>483</v>
      </c>
      <c r="B1391" t="str">
        <f>_xlfn.XLOOKUP(A1391,'[1]2050Pop'!$A$7:$A$143,'[1]2050Pop'!$D$7:$D$143)</f>
        <v>APAC</v>
      </c>
      <c r="C1391" s="127">
        <f>1000*_xlfn.XLOOKUP(A1391,'[1]2050Pop'!$A$7:$A$143,'[1]2050Pop'!$C$7:$C$143)</f>
        <v>14288</v>
      </c>
      <c r="D1391" s="126" t="s">
        <v>504</v>
      </c>
      <c r="E1391" s="130">
        <v>62.48</v>
      </c>
      <c r="F1391" s="129">
        <f t="shared" si="65"/>
        <v>0.89271423999999999</v>
      </c>
      <c r="G1391" t="str">
        <f>_xlfn.XLOOKUP(D1391,'[1]2050 BAU Mapping to T &amp; C'!$A$3:$A$52,'[1]2050 BAU Mapping to T &amp; C'!$B$3:$B$52)</f>
        <v>Maize</v>
      </c>
      <c r="H1391" s="129">
        <f>_xlfn.XLOOKUP(G1391,'[1]T&amp;C emissions for 2050 analysis'!$B$3:$B$23,'[1]T&amp;C emissions for 2050 analysis'!$C$3:$C$23)</f>
        <v>0.10999999999999999</v>
      </c>
      <c r="I1391" s="27">
        <f t="shared" si="63"/>
        <v>9.8198566399999992E-2</v>
      </c>
      <c r="J1391" s="129">
        <f t="shared" si="64"/>
        <v>6.8727999999999989</v>
      </c>
    </row>
    <row r="1392" spans="1:10" hidden="1" x14ac:dyDescent="0.35">
      <c r="A1392" s="126" t="s">
        <v>465</v>
      </c>
      <c r="B1392" t="str">
        <f>_xlfn.XLOOKUP(A1392,'[1]2050Pop'!$A$7:$A$143,'[1]2050Pop'!$D$7:$D$143)</f>
        <v>APAC</v>
      </c>
      <c r="C1392" s="127">
        <f>1000*_xlfn.XLOOKUP(A1392,'[1]2050Pop'!$A$7:$A$143,'[1]2050Pop'!$C$7:$C$143)</f>
        <v>62452</v>
      </c>
      <c r="D1392" s="126" t="s">
        <v>504</v>
      </c>
      <c r="E1392" s="128">
        <v>69.915000000000006</v>
      </c>
      <c r="F1392" s="129">
        <f t="shared" si="65"/>
        <v>4.3663315799999998</v>
      </c>
      <c r="G1392" t="str">
        <f>_xlfn.XLOOKUP(D1392,'[1]2050 BAU Mapping to T &amp; C'!$A$3:$A$52,'[1]2050 BAU Mapping to T &amp; C'!$B$3:$B$52)</f>
        <v>Maize</v>
      </c>
      <c r="H1392" s="129">
        <f>_xlfn.XLOOKUP(G1392,'[1]T&amp;C emissions for 2050 analysis'!$B$3:$B$23,'[1]T&amp;C emissions for 2050 analysis'!$C$3:$C$23)</f>
        <v>0.10999999999999999</v>
      </c>
      <c r="I1392" s="27">
        <f t="shared" si="63"/>
        <v>0.4802964737999999</v>
      </c>
      <c r="J1392" s="129">
        <f t="shared" si="64"/>
        <v>7.6906499999999998</v>
      </c>
    </row>
    <row r="1393" spans="1:10" hidden="1" x14ac:dyDescent="0.35">
      <c r="A1393" s="126" t="s">
        <v>466</v>
      </c>
      <c r="B1393" t="str">
        <f>_xlfn.XLOOKUP(A1393,'[1]2050Pop'!$A$7:$A$143,'[1]2050Pop'!$D$7:$D$143)</f>
        <v>SSA</v>
      </c>
      <c r="C1393" s="127">
        <f>1000*_xlfn.XLOOKUP(A1393,'[1]2050Pop'!$A$7:$A$143,'[1]2050Pop'!$C$7:$C$143)</f>
        <v>15681</v>
      </c>
      <c r="D1393" s="126" t="s">
        <v>504</v>
      </c>
      <c r="E1393" s="128">
        <v>622.84799999999996</v>
      </c>
      <c r="F1393" s="129">
        <f t="shared" si="65"/>
        <v>9.7668794880000007</v>
      </c>
      <c r="G1393" t="str">
        <f>_xlfn.XLOOKUP(D1393,'[1]2050 BAU Mapping to T &amp; C'!$A$3:$A$52,'[1]2050 BAU Mapping to T &amp; C'!$B$3:$B$52)</f>
        <v>Maize</v>
      </c>
      <c r="H1393" s="129">
        <f>_xlfn.XLOOKUP(G1393,'[1]T&amp;C emissions for 2050 analysis'!$B$3:$B$23,'[1]T&amp;C emissions for 2050 analysis'!$C$3:$C$23)</f>
        <v>0.10999999999999999</v>
      </c>
      <c r="I1393" s="27">
        <f t="shared" si="63"/>
        <v>1.0743567436799999</v>
      </c>
      <c r="J1393" s="129">
        <f t="shared" si="64"/>
        <v>68.51327999999998</v>
      </c>
    </row>
    <row r="1394" spans="1:10" hidden="1" x14ac:dyDescent="0.35">
      <c r="A1394" s="126" t="s">
        <v>467</v>
      </c>
      <c r="B1394" t="str">
        <f>_xlfn.XLOOKUP(A1394,'[1]2050Pop'!$A$7:$A$143,'[1]2050Pop'!$D$7:$D$143)</f>
        <v>LatAm &amp; RSA</v>
      </c>
      <c r="C1394" s="127">
        <f>1000*_xlfn.XLOOKUP(A1394,'[1]2050Pop'!$A$7:$A$143,'[1]2050Pop'!$C$7:$C$143)</f>
        <v>1291</v>
      </c>
      <c r="D1394" s="126" t="s">
        <v>504</v>
      </c>
      <c r="E1394" s="128">
        <v>69.921999999999997</v>
      </c>
      <c r="F1394" s="129">
        <f t="shared" si="65"/>
        <v>9.0269301999999996E-2</v>
      </c>
      <c r="G1394" t="str">
        <f>_xlfn.XLOOKUP(D1394,'[1]2050 BAU Mapping to T &amp; C'!$A$3:$A$52,'[1]2050 BAU Mapping to T &amp; C'!$B$3:$B$52)</f>
        <v>Maize</v>
      </c>
      <c r="H1394" s="129">
        <f>_xlfn.XLOOKUP(G1394,'[1]T&amp;C emissions for 2050 analysis'!$B$3:$B$23,'[1]T&amp;C emissions for 2050 analysis'!$C$3:$C$23)</f>
        <v>0.10999999999999999</v>
      </c>
      <c r="I1394" s="27">
        <f t="shared" si="63"/>
        <v>9.9296232199999977E-3</v>
      </c>
      <c r="J1394" s="129">
        <f t="shared" si="64"/>
        <v>7.691419999999999</v>
      </c>
    </row>
    <row r="1395" spans="1:10" hidden="1" x14ac:dyDescent="0.35">
      <c r="A1395" s="126" t="s">
        <v>469</v>
      </c>
      <c r="B1395" t="str">
        <f>_xlfn.XLOOKUP(A1395,'[1]2050Pop'!$A$7:$A$143,'[1]2050Pop'!$D$7:$D$143)</f>
        <v>MENA</v>
      </c>
      <c r="C1395" s="127">
        <f>1000*_xlfn.XLOOKUP(A1395,'[1]2050Pop'!$A$7:$A$143,'[1]2050Pop'!$C$7:$C$143)</f>
        <v>95819</v>
      </c>
      <c r="D1395" s="126" t="s">
        <v>504</v>
      </c>
      <c r="E1395" s="128">
        <v>135.02500000000001</v>
      </c>
      <c r="F1395" s="129">
        <f t="shared" si="65"/>
        <v>12.937960474999999</v>
      </c>
      <c r="G1395" t="str">
        <f>_xlfn.XLOOKUP(D1395,'[1]2050 BAU Mapping to T &amp; C'!$A$3:$A$52,'[1]2050 BAU Mapping to T &amp; C'!$B$3:$B$52)</f>
        <v>Maize</v>
      </c>
      <c r="H1395" s="129">
        <f>_xlfn.XLOOKUP(G1395,'[1]T&amp;C emissions for 2050 analysis'!$B$3:$B$23,'[1]T&amp;C emissions for 2050 analysis'!$C$3:$C$23)</f>
        <v>0.10999999999999999</v>
      </c>
      <c r="I1395" s="27">
        <f t="shared" si="63"/>
        <v>1.4231756522499996</v>
      </c>
      <c r="J1395" s="129">
        <f t="shared" si="64"/>
        <v>14.852749999999999</v>
      </c>
    </row>
    <row r="1396" spans="1:10" hidden="1" x14ac:dyDescent="0.35">
      <c r="A1396" s="126" t="s">
        <v>470</v>
      </c>
      <c r="B1396" t="str">
        <f>_xlfn.XLOOKUP(A1396,'[1]2050Pop'!$A$7:$A$143,'[1]2050Pop'!$D$7:$D$143)</f>
        <v>SSA</v>
      </c>
      <c r="C1396" s="127">
        <f>1000*_xlfn.XLOOKUP(A1396,'[1]2050Pop'!$A$7:$A$143,'[1]2050Pop'!$C$7:$C$143)</f>
        <v>101873</v>
      </c>
      <c r="D1396" s="126" t="s">
        <v>504</v>
      </c>
      <c r="E1396" s="128">
        <v>368.38299999999998</v>
      </c>
      <c r="F1396" s="129">
        <f t="shared" si="65"/>
        <v>37.528281358999998</v>
      </c>
      <c r="G1396" t="str">
        <f>_xlfn.XLOOKUP(D1396,'[1]2050 BAU Mapping to T &amp; C'!$A$3:$A$52,'[1]2050 BAU Mapping to T &amp; C'!$B$3:$B$52)</f>
        <v>Maize</v>
      </c>
      <c r="H1396" s="129">
        <f>_xlfn.XLOOKUP(G1396,'[1]T&amp;C emissions for 2050 analysis'!$B$3:$B$23,'[1]T&amp;C emissions for 2050 analysis'!$C$3:$C$23)</f>
        <v>0.10999999999999999</v>
      </c>
      <c r="I1396" s="27">
        <f t="shared" si="63"/>
        <v>4.128110949489999</v>
      </c>
      <c r="J1396" s="129">
        <f t="shared" si="64"/>
        <v>40.52212999999999</v>
      </c>
    </row>
    <row r="1397" spans="1:10" hidden="1" x14ac:dyDescent="0.35">
      <c r="A1397" s="126" t="s">
        <v>471</v>
      </c>
      <c r="B1397" t="str">
        <f>_xlfn.XLOOKUP(A1397,'[1]2050Pop'!$A$7:$A$143,'[1]2050Pop'!$D$7:$D$143)</f>
        <v>Euro/AU/NZ</v>
      </c>
      <c r="C1397" s="127">
        <f>1000*_xlfn.XLOOKUP(A1397,'[1]2050Pop'!$A$7:$A$143,'[1]2050Pop'!$C$7:$C$143)</f>
        <v>35117</v>
      </c>
      <c r="D1397" s="126" t="s">
        <v>504</v>
      </c>
      <c r="E1397" s="128">
        <v>69.954999999999998</v>
      </c>
      <c r="F1397" s="129">
        <f t="shared" si="65"/>
        <v>2.4566097349999998</v>
      </c>
      <c r="G1397" t="str">
        <f>_xlfn.XLOOKUP(D1397,'[1]2050 BAU Mapping to T &amp; C'!$A$3:$A$52,'[1]2050 BAU Mapping to T &amp; C'!$B$3:$B$52)</f>
        <v>Maize</v>
      </c>
      <c r="H1397" s="129">
        <f>_xlfn.XLOOKUP(G1397,'[1]T&amp;C emissions for 2050 analysis'!$B$3:$B$23,'[1]T&amp;C emissions for 2050 analysis'!$C$3:$C$23)</f>
        <v>0.10999999999999999</v>
      </c>
      <c r="I1397" s="27">
        <f t="shared" si="63"/>
        <v>0.27022707084999992</v>
      </c>
      <c r="J1397" s="129">
        <f t="shared" si="64"/>
        <v>7.6950499999999993</v>
      </c>
    </row>
    <row r="1398" spans="1:10" hidden="1" x14ac:dyDescent="0.35">
      <c r="A1398" s="126" t="s">
        <v>472</v>
      </c>
      <c r="B1398" t="str">
        <f>_xlfn.XLOOKUP(A1398,'[1]2050Pop'!$A$7:$A$143,'[1]2050Pop'!$D$7:$D$143)</f>
        <v>Euro/AU/NZ</v>
      </c>
      <c r="C1398" s="127">
        <f>1000*_xlfn.XLOOKUP(A1398,'[1]2050Pop'!$A$7:$A$143,'[1]2050Pop'!$C$7:$C$143)</f>
        <v>75361</v>
      </c>
      <c r="D1398" s="126" t="s">
        <v>504</v>
      </c>
      <c r="E1398" s="130">
        <v>21.37</v>
      </c>
      <c r="F1398" s="129">
        <f t="shared" si="65"/>
        <v>1.61046457</v>
      </c>
      <c r="G1398" t="str">
        <f>_xlfn.XLOOKUP(D1398,'[1]2050 BAU Mapping to T &amp; C'!$A$3:$A$52,'[1]2050 BAU Mapping to T &amp; C'!$B$3:$B$52)</f>
        <v>Maize</v>
      </c>
      <c r="H1398" s="129">
        <f>_xlfn.XLOOKUP(G1398,'[1]T&amp;C emissions for 2050 analysis'!$B$3:$B$23,'[1]T&amp;C emissions for 2050 analysis'!$C$3:$C$23)</f>
        <v>0.10999999999999999</v>
      </c>
      <c r="I1398" s="27">
        <f t="shared" si="63"/>
        <v>0.17715110269999998</v>
      </c>
      <c r="J1398" s="129">
        <f t="shared" si="64"/>
        <v>2.3506999999999998</v>
      </c>
    </row>
    <row r="1399" spans="1:10" hidden="1" x14ac:dyDescent="0.35">
      <c r="A1399" s="126" t="s">
        <v>473</v>
      </c>
      <c r="B1399" t="str">
        <f>_xlfn.XLOOKUP(A1399,'[1]2050Pop'!$A$7:$A$143,'[1]2050Pop'!$D$7:$D$143)</f>
        <v>SSA</v>
      </c>
      <c r="C1399" s="127">
        <f>1000*_xlfn.XLOOKUP(A1399,'[1]2050Pop'!$A$7:$A$143,'[1]2050Pop'!$C$7:$C$143)</f>
        <v>137136</v>
      </c>
      <c r="D1399" s="126" t="s">
        <v>504</v>
      </c>
      <c r="E1399" s="128">
        <v>473.41300000000001</v>
      </c>
      <c r="F1399" s="129">
        <f t="shared" si="65"/>
        <v>64.921965168</v>
      </c>
      <c r="G1399" t="str">
        <f>_xlfn.XLOOKUP(D1399,'[1]2050 BAU Mapping to T &amp; C'!$A$3:$A$52,'[1]2050 BAU Mapping to T &amp; C'!$B$3:$B$52)</f>
        <v>Maize</v>
      </c>
      <c r="H1399" s="129">
        <f>_xlfn.XLOOKUP(G1399,'[1]T&amp;C emissions for 2050 analysis'!$B$3:$B$23,'[1]T&amp;C emissions for 2050 analysis'!$C$3:$C$23)</f>
        <v>0.10999999999999999</v>
      </c>
      <c r="I1399" s="27">
        <f t="shared" si="63"/>
        <v>7.1414161684799993</v>
      </c>
      <c r="J1399" s="129">
        <f t="shared" si="64"/>
        <v>52.075429999999997</v>
      </c>
    </row>
    <row r="1400" spans="1:10" hidden="1" x14ac:dyDescent="0.35">
      <c r="A1400" s="126" t="s">
        <v>474</v>
      </c>
      <c r="B1400" t="str">
        <f>_xlfn.XLOOKUP(A1400,'[1]2050Pop'!$A$7:$A$143,'[1]2050Pop'!$D$7:$D$143)</f>
        <v>NAm</v>
      </c>
      <c r="C1400" s="127">
        <f>1000*_xlfn.XLOOKUP(A1400,'[1]2050Pop'!$A$7:$A$143,'[1]2050Pop'!$C$7:$C$143)</f>
        <v>388865</v>
      </c>
      <c r="D1400" s="126" t="s">
        <v>504</v>
      </c>
      <c r="E1400" s="128">
        <v>77.466999999999999</v>
      </c>
      <c r="F1400" s="129">
        <f t="shared" si="65"/>
        <v>30.124204955</v>
      </c>
      <c r="G1400" t="str">
        <f>_xlfn.XLOOKUP(D1400,'[1]2050 BAU Mapping to T &amp; C'!$A$3:$A$52,'[1]2050 BAU Mapping to T &amp; C'!$B$3:$B$52)</f>
        <v>Maize</v>
      </c>
      <c r="H1400" s="129">
        <f>_xlfn.XLOOKUP(G1400,'[1]T&amp;C emissions for 2050 analysis'!$B$3:$B$23,'[1]T&amp;C emissions for 2050 analysis'!$C$3:$C$23)</f>
        <v>0.10999999999999999</v>
      </c>
      <c r="I1400" s="27">
        <f t="shared" si="63"/>
        <v>3.3136625450499997</v>
      </c>
      <c r="J1400" s="129">
        <f t="shared" si="64"/>
        <v>8.5213699999999992</v>
      </c>
    </row>
    <row r="1401" spans="1:10" hidden="1" x14ac:dyDescent="0.35">
      <c r="A1401" s="126" t="s">
        <v>475</v>
      </c>
      <c r="B1401" t="str">
        <f>_xlfn.XLOOKUP(A1401,'[1]2050Pop'!$A$7:$A$143,'[1]2050Pop'!$D$7:$D$143)</f>
        <v>LatAm &amp; RSA</v>
      </c>
      <c r="C1401" s="127">
        <f>1000*_xlfn.XLOOKUP(A1401,'[1]2050Pop'!$A$7:$A$143,'[1]2050Pop'!$C$7:$C$143)</f>
        <v>3667</v>
      </c>
      <c r="D1401" s="126" t="s">
        <v>504</v>
      </c>
      <c r="E1401" s="128">
        <v>172.49600000000001</v>
      </c>
      <c r="F1401" s="129">
        <f t="shared" si="65"/>
        <v>0.63254283200000005</v>
      </c>
      <c r="G1401" t="str">
        <f>_xlfn.XLOOKUP(D1401,'[1]2050 BAU Mapping to T &amp; C'!$A$3:$A$52,'[1]2050 BAU Mapping to T &amp; C'!$B$3:$B$52)</f>
        <v>Maize</v>
      </c>
      <c r="H1401" s="129">
        <f>_xlfn.XLOOKUP(G1401,'[1]T&amp;C emissions for 2050 analysis'!$B$3:$B$23,'[1]T&amp;C emissions for 2050 analysis'!$C$3:$C$23)</f>
        <v>0.10999999999999999</v>
      </c>
      <c r="I1401" s="27">
        <f t="shared" si="63"/>
        <v>6.9579711520000004E-2</v>
      </c>
      <c r="J1401" s="129">
        <f t="shared" si="64"/>
        <v>18.97456</v>
      </c>
    </row>
    <row r="1402" spans="1:10" hidden="1" x14ac:dyDescent="0.35">
      <c r="A1402" s="126" t="s">
        <v>485</v>
      </c>
      <c r="B1402" t="str">
        <f>_xlfn.XLOOKUP(A1402,'[1]2050Pop'!$A$7:$A$143,'[1]2050Pop'!$D$7:$D$143)</f>
        <v>APAC</v>
      </c>
      <c r="C1402" s="127">
        <f>1000*_xlfn.XLOOKUP(A1402,'[1]2050Pop'!$A$7:$A$143,'[1]2050Pop'!$C$7:$C$143)</f>
        <v>37126</v>
      </c>
      <c r="D1402" s="126" t="s">
        <v>504</v>
      </c>
      <c r="E1402" s="128">
        <v>31.626000000000001</v>
      </c>
      <c r="F1402" s="129">
        <f t="shared" si="65"/>
        <v>1.174146876</v>
      </c>
      <c r="G1402" t="str">
        <f>_xlfn.XLOOKUP(D1402,'[1]2050 BAU Mapping to T &amp; C'!$A$3:$A$52,'[1]2050 BAU Mapping to T &amp; C'!$B$3:$B$52)</f>
        <v>Maize</v>
      </c>
      <c r="H1402" s="129">
        <f>_xlfn.XLOOKUP(G1402,'[1]T&amp;C emissions for 2050 analysis'!$B$3:$B$23,'[1]T&amp;C emissions for 2050 analysis'!$C$3:$C$23)</f>
        <v>0.10999999999999999</v>
      </c>
      <c r="I1402" s="27">
        <f t="shared" si="63"/>
        <v>0.12915615636</v>
      </c>
      <c r="J1402" s="129">
        <f t="shared" si="64"/>
        <v>3.4788599999999996</v>
      </c>
    </row>
    <row r="1403" spans="1:10" hidden="1" x14ac:dyDescent="0.35">
      <c r="A1403" s="126" t="s">
        <v>476</v>
      </c>
      <c r="B1403" t="str">
        <f>_xlfn.XLOOKUP(A1403,'[1]2050Pop'!$A$7:$A$143,'[1]2050Pop'!$D$7:$D$143)</f>
        <v>LatAm &amp; RSA</v>
      </c>
      <c r="C1403" s="127">
        <f>1000*_xlfn.XLOOKUP(A1403,'[1]2050Pop'!$A$7:$A$143,'[1]2050Pop'!$C$7:$C$143)</f>
        <v>41562</v>
      </c>
      <c r="D1403" s="126" t="s">
        <v>504</v>
      </c>
      <c r="E1403" s="128">
        <v>321.65499999999997</v>
      </c>
      <c r="F1403" s="129">
        <f t="shared" si="65"/>
        <v>13.36862511</v>
      </c>
      <c r="G1403" t="str">
        <f>_xlfn.XLOOKUP(D1403,'[1]2050 BAU Mapping to T &amp; C'!$A$3:$A$52,'[1]2050 BAU Mapping to T &amp; C'!$B$3:$B$52)</f>
        <v>Maize</v>
      </c>
      <c r="H1403" s="129">
        <f>_xlfn.XLOOKUP(G1403,'[1]T&amp;C emissions for 2050 analysis'!$B$3:$B$23,'[1]T&amp;C emissions for 2050 analysis'!$C$3:$C$23)</f>
        <v>0.10999999999999999</v>
      </c>
      <c r="I1403" s="27">
        <f t="shared" si="63"/>
        <v>1.4705487620999997</v>
      </c>
      <c r="J1403" s="129">
        <f t="shared" si="64"/>
        <v>35.382049999999992</v>
      </c>
    </row>
    <row r="1404" spans="1:10" hidden="1" x14ac:dyDescent="0.35">
      <c r="A1404" s="126" t="s">
        <v>477</v>
      </c>
      <c r="B1404" t="str">
        <f>_xlfn.XLOOKUP(A1404,'[1]2050Pop'!$A$7:$A$143,'[1]2050Pop'!$D$7:$D$143)</f>
        <v>APAC</v>
      </c>
      <c r="C1404" s="127">
        <f>1000*_xlfn.XLOOKUP(A1404,'[1]2050Pop'!$A$7:$A$143,'[1]2050Pop'!$C$7:$C$143)</f>
        <v>112783</v>
      </c>
      <c r="D1404" s="126" t="s">
        <v>504</v>
      </c>
      <c r="E1404" s="128">
        <v>59.034999999999997</v>
      </c>
      <c r="F1404" s="129">
        <f t="shared" si="65"/>
        <v>6.6581444049999989</v>
      </c>
      <c r="G1404" t="str">
        <f>_xlfn.XLOOKUP(D1404,'[1]2050 BAU Mapping to T &amp; C'!$A$3:$A$52,'[1]2050 BAU Mapping to T &amp; C'!$B$3:$B$52)</f>
        <v>Maize</v>
      </c>
      <c r="H1404" s="129">
        <f>_xlfn.XLOOKUP(G1404,'[1]T&amp;C emissions for 2050 analysis'!$B$3:$B$23,'[1]T&amp;C emissions for 2050 analysis'!$C$3:$C$23)</f>
        <v>0.10999999999999999</v>
      </c>
      <c r="I1404" s="27">
        <f t="shared" si="63"/>
        <v>0.73239588454999982</v>
      </c>
      <c r="J1404" s="129">
        <f t="shared" si="64"/>
        <v>6.4938499999999992</v>
      </c>
    </row>
    <row r="1405" spans="1:10" hidden="1" x14ac:dyDescent="0.35">
      <c r="A1405" s="126" t="s">
        <v>478</v>
      </c>
      <c r="B1405" t="str">
        <f>_xlfn.XLOOKUP(A1405,'[1]2050Pop'!$A$7:$A$143,'[1]2050Pop'!$D$7:$D$143)</f>
        <v>MENA</v>
      </c>
      <c r="C1405" s="127">
        <f>1000*_xlfn.XLOOKUP(A1405,'[1]2050Pop'!$A$7:$A$143,'[1]2050Pop'!$C$7:$C$143)</f>
        <v>47170</v>
      </c>
      <c r="D1405" s="126" t="s">
        <v>504</v>
      </c>
      <c r="E1405" s="128">
        <v>102.776</v>
      </c>
      <c r="F1405" s="129">
        <f t="shared" si="65"/>
        <v>4.8479439199999996</v>
      </c>
      <c r="G1405" t="str">
        <f>_xlfn.XLOOKUP(D1405,'[1]2050 BAU Mapping to T &amp; C'!$A$3:$A$52,'[1]2050 BAU Mapping to T &amp; C'!$B$3:$B$52)</f>
        <v>Maize</v>
      </c>
      <c r="H1405" s="129">
        <f>_xlfn.XLOOKUP(G1405,'[1]T&amp;C emissions for 2050 analysis'!$B$3:$B$23,'[1]T&amp;C emissions for 2050 analysis'!$C$3:$C$23)</f>
        <v>0.10999999999999999</v>
      </c>
      <c r="I1405" s="27">
        <f t="shared" si="63"/>
        <v>0.53327383119999994</v>
      </c>
      <c r="J1405" s="129">
        <f t="shared" si="64"/>
        <v>11.305359999999999</v>
      </c>
    </row>
    <row r="1406" spans="1:10" hidden="1" x14ac:dyDescent="0.35">
      <c r="A1406" s="126" t="s">
        <v>494</v>
      </c>
      <c r="B1406" t="str">
        <f>_xlfn.XLOOKUP(A1406,'[1]2050Pop'!$A$7:$A$143,'[1]2050Pop'!$D$7:$D$143)</f>
        <v>SSA</v>
      </c>
      <c r="C1406" s="127">
        <f>1000*_xlfn.XLOOKUP(A1406,'[1]2050Pop'!$A$7:$A$143,'[1]2050Pop'!$C$7:$C$143)</f>
        <v>42975</v>
      </c>
      <c r="D1406" s="126" t="s">
        <v>504</v>
      </c>
      <c r="E1406" s="128">
        <v>1116.569</v>
      </c>
      <c r="F1406" s="129">
        <f t="shared" si="65"/>
        <v>47.984552774999997</v>
      </c>
      <c r="G1406" t="str">
        <f>_xlfn.XLOOKUP(D1406,'[1]2050 BAU Mapping to T &amp; C'!$A$3:$A$52,'[1]2050 BAU Mapping to T &amp; C'!$B$3:$B$52)</f>
        <v>Maize</v>
      </c>
      <c r="H1406" s="129">
        <f>_xlfn.XLOOKUP(G1406,'[1]T&amp;C emissions for 2050 analysis'!$B$3:$B$23,'[1]T&amp;C emissions for 2050 analysis'!$C$3:$C$23)</f>
        <v>0.10999999999999999</v>
      </c>
      <c r="I1406" s="27">
        <f t="shared" si="63"/>
        <v>5.2783008052499989</v>
      </c>
      <c r="J1406" s="129">
        <f t="shared" si="64"/>
        <v>122.82258999999998</v>
      </c>
    </row>
    <row r="1407" spans="1:10" hidden="1" x14ac:dyDescent="0.35">
      <c r="A1407" s="126" t="s">
        <v>479</v>
      </c>
      <c r="B1407" t="str">
        <f>_xlfn.XLOOKUP(A1407,'[1]2050Pop'!$A$7:$A$143,'[1]2050Pop'!$D$7:$D$143)</f>
        <v>SSA</v>
      </c>
      <c r="C1407" s="127">
        <f>1000*_xlfn.XLOOKUP(A1407,'[1]2050Pop'!$A$7:$A$143,'[1]2050Pop'!$C$7:$C$143)</f>
        <v>29615</v>
      </c>
      <c r="D1407" s="126" t="s">
        <v>504</v>
      </c>
      <c r="E1407" s="128">
        <v>900.36699999999996</v>
      </c>
      <c r="F1407" s="129">
        <f t="shared" si="65"/>
        <v>26.664368704999998</v>
      </c>
      <c r="G1407" t="str">
        <f>_xlfn.XLOOKUP(D1407,'[1]2050 BAU Mapping to T &amp; C'!$A$3:$A$52,'[1]2050 BAU Mapping to T &amp; C'!$B$3:$B$52)</f>
        <v>Maize</v>
      </c>
      <c r="H1407" s="129">
        <f>_xlfn.XLOOKUP(G1407,'[1]T&amp;C emissions for 2050 analysis'!$B$3:$B$23,'[1]T&amp;C emissions for 2050 analysis'!$C$3:$C$23)</f>
        <v>0.10999999999999999</v>
      </c>
      <c r="I1407" s="27">
        <f t="shared" si="63"/>
        <v>2.9330805575499994</v>
      </c>
      <c r="J1407" s="129">
        <f t="shared" si="64"/>
        <v>99.040369999999982</v>
      </c>
    </row>
    <row r="1408" spans="1:10" hidden="1" x14ac:dyDescent="0.35">
      <c r="A1408" s="126" t="s">
        <v>358</v>
      </c>
      <c r="B1408" t="str">
        <f>_xlfn.XLOOKUP(A1408,'[1]2050Pop'!$A$7:$A$143,'[1]2050Pop'!$D$7:$D$143)</f>
        <v>MENA</v>
      </c>
      <c r="C1408" s="127">
        <f>1000*_xlfn.XLOOKUP(A1408,'[1]2050Pop'!$A$7:$A$143,'[1]2050Pop'!$C$7:$C$143)</f>
        <v>56461</v>
      </c>
      <c r="D1408" s="126" t="s">
        <v>505</v>
      </c>
      <c r="E1408" s="128">
        <v>11.037000000000001</v>
      </c>
      <c r="F1408" s="129">
        <f t="shared" si="65"/>
        <v>0.62316005699999999</v>
      </c>
      <c r="G1408" t="str">
        <f>_xlfn.XLOOKUP(D1408,'[1]2050 BAU Mapping to T &amp; C'!$A$3:$A$52,'[1]2050 BAU Mapping to T &amp; C'!$B$3:$B$52)</f>
        <v xml:space="preserve">Oil crops </v>
      </c>
      <c r="H1408" s="129">
        <f>_xlfn.XLOOKUP(G1408,'[1]T&amp;C emissions for 2050 analysis'!$B$3:$B$23,'[1]T&amp;C emissions for 2050 analysis'!$C$3:$C$23)</f>
        <v>0.18333333333333335</v>
      </c>
      <c r="I1408" s="27">
        <f t="shared" si="63"/>
        <v>0.11424601045</v>
      </c>
      <c r="J1408" s="129">
        <f t="shared" si="64"/>
        <v>2.0234500000000004</v>
      </c>
    </row>
    <row r="1409" spans="1:10" hidden="1" x14ac:dyDescent="0.35">
      <c r="A1409" s="126" t="s">
        <v>359</v>
      </c>
      <c r="B1409" t="str">
        <f>_xlfn.XLOOKUP(A1409,'[1]2050Pop'!$A$7:$A$143,'[1]2050Pop'!$D$7:$D$143)</f>
        <v>SSA</v>
      </c>
      <c r="C1409" s="127">
        <f>1000*_xlfn.XLOOKUP(A1409,'[1]2050Pop'!$A$7:$A$143,'[1]2050Pop'!$C$7:$C$143)</f>
        <v>65473</v>
      </c>
      <c r="D1409" s="126" t="s">
        <v>505</v>
      </c>
      <c r="E1409" s="128">
        <v>17.492999999999999</v>
      </c>
      <c r="F1409" s="129">
        <f t="shared" si="65"/>
        <v>1.1453191890000001</v>
      </c>
      <c r="G1409" t="str">
        <f>_xlfn.XLOOKUP(D1409,'[1]2050 BAU Mapping to T &amp; C'!$A$3:$A$52,'[1]2050 BAU Mapping to T &amp; C'!$B$3:$B$52)</f>
        <v xml:space="preserve">Oil crops </v>
      </c>
      <c r="H1409" s="129">
        <f>_xlfn.XLOOKUP(G1409,'[1]T&amp;C emissions for 2050 analysis'!$B$3:$B$23,'[1]T&amp;C emissions for 2050 analysis'!$C$3:$C$23)</f>
        <v>0.18333333333333335</v>
      </c>
      <c r="I1409" s="27">
        <f t="shared" si="63"/>
        <v>0.20997518465000004</v>
      </c>
      <c r="J1409" s="129">
        <f t="shared" si="64"/>
        <v>3.2070500000000002</v>
      </c>
    </row>
    <row r="1410" spans="1:10" hidden="1" x14ac:dyDescent="0.35">
      <c r="A1410" s="126" t="s">
        <v>360</v>
      </c>
      <c r="B1410" t="str">
        <f>_xlfn.XLOOKUP(A1410,'[1]2050Pop'!$A$7:$A$143,'[1]2050Pop'!$D$7:$D$143)</f>
        <v>LatAm &amp; RSA</v>
      </c>
      <c r="C1410" s="127">
        <f>1000*_xlfn.XLOOKUP(A1410,'[1]2050Pop'!$A$7:$A$143,'[1]2050Pop'!$C$7:$C$143)</f>
        <v>55445</v>
      </c>
      <c r="D1410" s="126" t="s">
        <v>505</v>
      </c>
      <c r="E1410" s="128">
        <v>0.874</v>
      </c>
      <c r="F1410" s="129">
        <f t="shared" si="65"/>
        <v>4.8458929999999997E-2</v>
      </c>
      <c r="G1410" t="str">
        <f>_xlfn.XLOOKUP(D1410,'[1]2050 BAU Mapping to T &amp; C'!$A$3:$A$52,'[1]2050 BAU Mapping to T &amp; C'!$B$3:$B$52)</f>
        <v xml:space="preserve">Oil crops </v>
      </c>
      <c r="H1410" s="129">
        <f>_xlfn.XLOOKUP(G1410,'[1]T&amp;C emissions for 2050 analysis'!$B$3:$B$23,'[1]T&amp;C emissions for 2050 analysis'!$C$3:$C$23)</f>
        <v>0.18333333333333335</v>
      </c>
      <c r="I1410" s="27">
        <f t="shared" si="63"/>
        <v>8.8841371666666669E-3</v>
      </c>
      <c r="J1410" s="129">
        <f t="shared" si="64"/>
        <v>0.16023333333333334</v>
      </c>
    </row>
    <row r="1411" spans="1:10" hidden="1" x14ac:dyDescent="0.35">
      <c r="A1411" s="126" t="s">
        <v>362</v>
      </c>
      <c r="B1411" t="str">
        <f>_xlfn.XLOOKUP(A1411,'[1]2050Pop'!$A$7:$A$143,'[1]2050Pop'!$D$7:$D$143)</f>
        <v>Euro/AU/NZ</v>
      </c>
      <c r="C1411" s="127">
        <f>1000*_xlfn.XLOOKUP(A1411,'[1]2050Pop'!$A$7:$A$143,'[1]2050Pop'!$C$7:$C$143)</f>
        <v>33496</v>
      </c>
      <c r="D1411" s="126" t="s">
        <v>505</v>
      </c>
      <c r="E1411" s="128">
        <v>1.587</v>
      </c>
      <c r="F1411" s="129">
        <f t="shared" si="65"/>
        <v>5.3158152E-2</v>
      </c>
      <c r="G1411" t="str">
        <f>_xlfn.XLOOKUP(D1411,'[1]2050 BAU Mapping to T &amp; C'!$A$3:$A$52,'[1]2050 BAU Mapping to T &amp; C'!$B$3:$B$52)</f>
        <v xml:space="preserve">Oil crops </v>
      </c>
      <c r="H1411" s="129">
        <f>_xlfn.XLOOKUP(G1411,'[1]T&amp;C emissions for 2050 analysis'!$B$3:$B$23,'[1]T&amp;C emissions for 2050 analysis'!$C$3:$C$23)</f>
        <v>0.18333333333333335</v>
      </c>
      <c r="I1411" s="27">
        <f t="shared" si="63"/>
        <v>9.7456612000000001E-3</v>
      </c>
      <c r="J1411" s="129">
        <f t="shared" si="64"/>
        <v>0.29095000000000004</v>
      </c>
    </row>
    <row r="1412" spans="1:10" hidden="1" x14ac:dyDescent="0.35">
      <c r="A1412" s="126" t="s">
        <v>363</v>
      </c>
      <c r="B1412" t="str">
        <f>_xlfn.XLOOKUP(A1412,'[1]2050Pop'!$A$7:$A$143,'[1]2050Pop'!$D$7:$D$143)</f>
        <v>Euro/AU/NZ</v>
      </c>
      <c r="C1412" s="127">
        <f>1000*_xlfn.XLOOKUP(A1412,'[1]2050Pop'!$A$7:$A$143,'[1]2050Pop'!$C$7:$C$143)</f>
        <v>8846</v>
      </c>
      <c r="D1412" s="126" t="s">
        <v>505</v>
      </c>
      <c r="E1412" s="128">
        <v>1.093</v>
      </c>
      <c r="F1412" s="129">
        <f t="shared" si="65"/>
        <v>9.668678E-3</v>
      </c>
      <c r="G1412" t="str">
        <f>_xlfn.XLOOKUP(D1412,'[1]2050 BAU Mapping to T &amp; C'!$A$3:$A$52,'[1]2050 BAU Mapping to T &amp; C'!$B$3:$B$52)</f>
        <v xml:space="preserve">Oil crops </v>
      </c>
      <c r="H1412" s="129">
        <f>_xlfn.XLOOKUP(G1412,'[1]T&amp;C emissions for 2050 analysis'!$B$3:$B$23,'[1]T&amp;C emissions for 2050 analysis'!$C$3:$C$23)</f>
        <v>0.18333333333333335</v>
      </c>
      <c r="I1412" s="27">
        <f t="shared" ref="I1412:I1475" si="66">F1412*H1412</f>
        <v>1.7725909666666667E-3</v>
      </c>
      <c r="J1412" s="129">
        <f t="shared" ref="J1412:J1475" si="67">E1412*H1412</f>
        <v>0.20038333333333336</v>
      </c>
    </row>
    <row r="1413" spans="1:10" hidden="1" x14ac:dyDescent="0.35">
      <c r="A1413" s="126" t="s">
        <v>365</v>
      </c>
      <c r="B1413" t="str">
        <f>_xlfn.XLOOKUP(A1413,'[1]2050Pop'!$A$7:$A$143,'[1]2050Pop'!$D$7:$D$143)</f>
        <v>India/South Asia</v>
      </c>
      <c r="C1413" s="127">
        <f>1000*_xlfn.XLOOKUP(A1413,'[1]2050Pop'!$A$7:$A$143,'[1]2050Pop'!$C$7:$C$143)</f>
        <v>202209</v>
      </c>
      <c r="D1413" s="126" t="s">
        <v>505</v>
      </c>
      <c r="E1413" s="128">
        <v>2.8719999999999999</v>
      </c>
      <c r="F1413" s="129">
        <f t="shared" ref="F1413:F1476" si="68">C1413*E1413/1000000</f>
        <v>0.58074424800000002</v>
      </c>
      <c r="G1413" t="str">
        <f>_xlfn.XLOOKUP(D1413,'[1]2050 BAU Mapping to T &amp; C'!$A$3:$A$52,'[1]2050 BAU Mapping to T &amp; C'!$B$3:$B$52)</f>
        <v xml:space="preserve">Oil crops </v>
      </c>
      <c r="H1413" s="129">
        <f>_xlfn.XLOOKUP(G1413,'[1]T&amp;C emissions for 2050 analysis'!$B$3:$B$23,'[1]T&amp;C emissions for 2050 analysis'!$C$3:$C$23)</f>
        <v>0.18333333333333335</v>
      </c>
      <c r="I1413" s="27">
        <f t="shared" si="66"/>
        <v>0.10646977880000001</v>
      </c>
      <c r="J1413" s="129">
        <f t="shared" si="67"/>
        <v>0.52653333333333341</v>
      </c>
    </row>
    <row r="1414" spans="1:10" hidden="1" x14ac:dyDescent="0.35">
      <c r="A1414" s="126" t="s">
        <v>367</v>
      </c>
      <c r="B1414" t="str">
        <f>_xlfn.XLOOKUP(A1414,'[1]2050Pop'!$A$7:$A$143,'[1]2050Pop'!$D$7:$D$143)</f>
        <v>Euro/AU/NZ</v>
      </c>
      <c r="C1414" s="127">
        <f>1000*_xlfn.XLOOKUP(A1414,'[1]2050Pop'!$A$7:$A$143,'[1]2050Pop'!$C$7:$C$143)</f>
        <v>12527</v>
      </c>
      <c r="D1414" s="126" t="s">
        <v>505</v>
      </c>
      <c r="E1414" s="128">
        <v>6.8760000000000003</v>
      </c>
      <c r="F1414" s="129">
        <f t="shared" si="68"/>
        <v>8.6135652000000007E-2</v>
      </c>
      <c r="G1414" t="str">
        <f>_xlfn.XLOOKUP(D1414,'[1]2050 BAU Mapping to T &amp; C'!$A$3:$A$52,'[1]2050 BAU Mapping to T &amp; C'!$B$3:$B$52)</f>
        <v xml:space="preserve">Oil crops </v>
      </c>
      <c r="H1414" s="129">
        <f>_xlfn.XLOOKUP(G1414,'[1]T&amp;C emissions for 2050 analysis'!$B$3:$B$23,'[1]T&amp;C emissions for 2050 analysis'!$C$3:$C$23)</f>
        <v>0.18333333333333335</v>
      </c>
      <c r="I1414" s="27">
        <f t="shared" si="66"/>
        <v>1.5791536200000001E-2</v>
      </c>
      <c r="J1414" s="129">
        <f t="shared" si="67"/>
        <v>1.2606000000000002</v>
      </c>
    </row>
    <row r="1415" spans="1:10" hidden="1" x14ac:dyDescent="0.35">
      <c r="A1415" s="126" t="s">
        <v>368</v>
      </c>
      <c r="B1415" t="str">
        <f>_xlfn.XLOOKUP(A1415,'[1]2050Pop'!$A$7:$A$143,'[1]2050Pop'!$D$7:$D$143)</f>
        <v>SSA</v>
      </c>
      <c r="C1415" s="127">
        <f>1000*_xlfn.XLOOKUP(A1415,'[1]2050Pop'!$A$7:$A$143,'[1]2050Pop'!$C$7:$C$143)</f>
        <v>22549</v>
      </c>
      <c r="D1415" s="126" t="s">
        <v>505</v>
      </c>
      <c r="E1415" s="128">
        <v>66.555000000000007</v>
      </c>
      <c r="F1415" s="129">
        <f t="shared" si="68"/>
        <v>1.500748695</v>
      </c>
      <c r="G1415" t="str">
        <f>_xlfn.XLOOKUP(D1415,'[1]2050 BAU Mapping to T &amp; C'!$A$3:$A$52,'[1]2050 BAU Mapping to T &amp; C'!$B$3:$B$52)</f>
        <v xml:space="preserve">Oil crops </v>
      </c>
      <c r="H1415" s="129">
        <f>_xlfn.XLOOKUP(G1415,'[1]T&amp;C emissions for 2050 analysis'!$B$3:$B$23,'[1]T&amp;C emissions for 2050 analysis'!$C$3:$C$23)</f>
        <v>0.18333333333333335</v>
      </c>
      <c r="I1415" s="27">
        <f t="shared" si="66"/>
        <v>0.27513726075</v>
      </c>
      <c r="J1415" s="129">
        <f t="shared" si="67"/>
        <v>12.201750000000002</v>
      </c>
    </row>
    <row r="1416" spans="1:10" hidden="1" x14ac:dyDescent="0.35">
      <c r="A1416" s="126" t="s">
        <v>369</v>
      </c>
      <c r="B1416" t="str">
        <f>_xlfn.XLOOKUP(A1416,'[1]2050Pop'!$A$7:$A$143,'[1]2050Pop'!$D$7:$D$143)</f>
        <v>LatAm &amp; RSA</v>
      </c>
      <c r="C1416" s="127">
        <f>1000*_xlfn.XLOOKUP(A1416,'[1]2050Pop'!$A$7:$A$143,'[1]2050Pop'!$C$7:$C$143)</f>
        <v>15963</v>
      </c>
      <c r="D1416" s="126" t="s">
        <v>505</v>
      </c>
      <c r="E1416" s="128">
        <v>1.411</v>
      </c>
      <c r="F1416" s="129">
        <f t="shared" si="68"/>
        <v>2.2523793E-2</v>
      </c>
      <c r="G1416" t="str">
        <f>_xlfn.XLOOKUP(D1416,'[1]2050 BAU Mapping to T &amp; C'!$A$3:$A$52,'[1]2050 BAU Mapping to T &amp; C'!$B$3:$B$52)</f>
        <v xml:space="preserve">Oil crops </v>
      </c>
      <c r="H1416" s="129">
        <f>_xlfn.XLOOKUP(G1416,'[1]T&amp;C emissions for 2050 analysis'!$B$3:$B$23,'[1]T&amp;C emissions for 2050 analysis'!$C$3:$C$23)</f>
        <v>0.18333333333333335</v>
      </c>
      <c r="I1416" s="27">
        <f t="shared" si="66"/>
        <v>4.1293620500000008E-3</v>
      </c>
      <c r="J1416" s="129">
        <f t="shared" si="67"/>
        <v>0.25868333333333338</v>
      </c>
    </row>
    <row r="1417" spans="1:10" hidden="1" x14ac:dyDescent="0.35">
      <c r="A1417" s="126" t="s">
        <v>371</v>
      </c>
      <c r="B1417" t="str">
        <f>_xlfn.XLOOKUP(A1417,'[1]2050Pop'!$A$7:$A$143,'[1]2050Pop'!$D$7:$D$143)</f>
        <v>SSA</v>
      </c>
      <c r="C1417" s="127">
        <f>1000*_xlfn.XLOOKUP(A1417,'[1]2050Pop'!$A$7:$A$143,'[1]2050Pop'!$C$7:$C$143)</f>
        <v>3389</v>
      </c>
      <c r="D1417" s="126" t="s">
        <v>505</v>
      </c>
      <c r="E1417" s="128">
        <v>1.3069999999999999</v>
      </c>
      <c r="F1417" s="129">
        <f t="shared" si="68"/>
        <v>4.429423E-3</v>
      </c>
      <c r="G1417" t="str">
        <f>_xlfn.XLOOKUP(D1417,'[1]2050 BAU Mapping to T &amp; C'!$A$3:$A$52,'[1]2050 BAU Mapping to T &amp; C'!$B$3:$B$52)</f>
        <v xml:space="preserve">Oil crops </v>
      </c>
      <c r="H1417" s="129">
        <f>_xlfn.XLOOKUP(G1417,'[1]T&amp;C emissions for 2050 analysis'!$B$3:$B$23,'[1]T&amp;C emissions for 2050 analysis'!$C$3:$C$23)</f>
        <v>0.18333333333333335</v>
      </c>
      <c r="I1417" s="27">
        <f t="shared" si="66"/>
        <v>8.1206088333333343E-4</v>
      </c>
      <c r="J1417" s="129">
        <f t="shared" si="67"/>
        <v>0.23961666666666667</v>
      </c>
    </row>
    <row r="1418" spans="1:10" hidden="1" x14ac:dyDescent="0.35">
      <c r="A1418" s="126" t="s">
        <v>373</v>
      </c>
      <c r="B1418" t="str">
        <f>_xlfn.XLOOKUP(A1418,'[1]2050Pop'!$A$7:$A$143,'[1]2050Pop'!$D$7:$D$143)</f>
        <v>Euro/AU/NZ</v>
      </c>
      <c r="C1418" s="127">
        <f>1000*_xlfn.XLOOKUP(A1418,'[1]2050Pop'!$A$7:$A$143,'[1]2050Pop'!$C$7:$C$143)</f>
        <v>5154</v>
      </c>
      <c r="D1418" s="126" t="s">
        <v>505</v>
      </c>
      <c r="E1418" s="128">
        <v>9.7129999999999992</v>
      </c>
      <c r="F1418" s="129">
        <f t="shared" si="68"/>
        <v>5.0060801999999995E-2</v>
      </c>
      <c r="G1418" t="str">
        <f>_xlfn.XLOOKUP(D1418,'[1]2050 BAU Mapping to T &amp; C'!$A$3:$A$52,'[1]2050 BAU Mapping to T &amp; C'!$B$3:$B$52)</f>
        <v xml:space="preserve">Oil crops </v>
      </c>
      <c r="H1418" s="129">
        <f>_xlfn.XLOOKUP(G1418,'[1]T&amp;C emissions for 2050 analysis'!$B$3:$B$23,'[1]T&amp;C emissions for 2050 analysis'!$C$3:$C$23)</f>
        <v>0.18333333333333335</v>
      </c>
      <c r="I1418" s="27">
        <f t="shared" si="66"/>
        <v>9.1778136999999989E-3</v>
      </c>
      <c r="J1418" s="129">
        <f t="shared" si="67"/>
        <v>1.7807166666666667</v>
      </c>
    </row>
    <row r="1419" spans="1:10" hidden="1" x14ac:dyDescent="0.35">
      <c r="A1419" s="126" t="s">
        <v>487</v>
      </c>
      <c r="B1419" t="str">
        <f>_xlfn.XLOOKUP(A1419,'[1]2050Pop'!$A$7:$A$143,'[1]2050Pop'!$D$7:$D$143)</f>
        <v>SSA</v>
      </c>
      <c r="C1419" s="127">
        <f>1000*_xlfn.XLOOKUP(A1419,'[1]2050Pop'!$A$7:$A$143,'[1]2050Pop'!$C$7:$C$143)</f>
        <v>42789</v>
      </c>
      <c r="D1419" s="126" t="s">
        <v>505</v>
      </c>
      <c r="E1419" s="128">
        <v>15.585000000000001</v>
      </c>
      <c r="F1419" s="129">
        <f t="shared" si="68"/>
        <v>0.66686656500000008</v>
      </c>
      <c r="G1419" t="str">
        <f>_xlfn.XLOOKUP(D1419,'[1]2050 BAU Mapping to T &amp; C'!$A$3:$A$52,'[1]2050 BAU Mapping to T &amp; C'!$B$3:$B$52)</f>
        <v xml:space="preserve">Oil crops </v>
      </c>
      <c r="H1419" s="129">
        <f>_xlfn.XLOOKUP(G1419,'[1]T&amp;C emissions for 2050 analysis'!$B$3:$B$23,'[1]T&amp;C emissions for 2050 analysis'!$C$3:$C$23)</f>
        <v>0.18333333333333335</v>
      </c>
      <c r="I1419" s="27">
        <f t="shared" si="66"/>
        <v>0.12225887025000003</v>
      </c>
      <c r="J1419" s="129">
        <f t="shared" si="67"/>
        <v>2.8572500000000005</v>
      </c>
    </row>
    <row r="1420" spans="1:10" hidden="1" x14ac:dyDescent="0.35">
      <c r="A1420" s="126" t="s">
        <v>374</v>
      </c>
      <c r="B1420" t="str">
        <f>_xlfn.XLOOKUP(A1420,'[1]2050Pop'!$A$7:$A$143,'[1]2050Pop'!$D$7:$D$143)</f>
        <v>APAC</v>
      </c>
      <c r="C1420" s="127">
        <f>1000*_xlfn.XLOOKUP(A1420,'[1]2050Pop'!$A$7:$A$143,'[1]2050Pop'!$C$7:$C$143)</f>
        <v>22545</v>
      </c>
      <c r="D1420" s="126" t="s">
        <v>505</v>
      </c>
      <c r="E1420" s="128">
        <v>1.387</v>
      </c>
      <c r="F1420" s="129">
        <f t="shared" si="68"/>
        <v>3.1269915000000002E-2</v>
      </c>
      <c r="G1420" t="str">
        <f>_xlfn.XLOOKUP(D1420,'[1]2050 BAU Mapping to T &amp; C'!$A$3:$A$52,'[1]2050 BAU Mapping to T &amp; C'!$B$3:$B$52)</f>
        <v xml:space="preserve">Oil crops </v>
      </c>
      <c r="H1420" s="129">
        <f>_xlfn.XLOOKUP(G1420,'[1]T&amp;C emissions for 2050 analysis'!$B$3:$B$23,'[1]T&amp;C emissions for 2050 analysis'!$C$3:$C$23)</f>
        <v>0.18333333333333335</v>
      </c>
      <c r="I1420" s="27">
        <f t="shared" si="66"/>
        <v>5.7328177500000008E-3</v>
      </c>
      <c r="J1420" s="129">
        <f t="shared" si="67"/>
        <v>0.25428333333333336</v>
      </c>
    </row>
    <row r="1421" spans="1:10" hidden="1" x14ac:dyDescent="0.35">
      <c r="A1421" s="126" t="s">
        <v>375</v>
      </c>
      <c r="B1421" t="str">
        <f>_xlfn.XLOOKUP(A1421,'[1]2050Pop'!$A$7:$A$143,'[1]2050Pop'!$D$7:$D$143)</f>
        <v>SSA</v>
      </c>
      <c r="C1421" s="127">
        <f>1000*_xlfn.XLOOKUP(A1421,'[1]2050Pop'!$A$7:$A$143,'[1]2050Pop'!$C$7:$C$143)</f>
        <v>48362</v>
      </c>
      <c r="D1421" s="126" t="s">
        <v>505</v>
      </c>
      <c r="E1421" s="128">
        <v>89.700999999999993</v>
      </c>
      <c r="F1421" s="129">
        <f t="shared" si="68"/>
        <v>4.3381197619999998</v>
      </c>
      <c r="G1421" t="str">
        <f>_xlfn.XLOOKUP(D1421,'[1]2050 BAU Mapping to T &amp; C'!$A$3:$A$52,'[1]2050 BAU Mapping to T &amp; C'!$B$3:$B$52)</f>
        <v xml:space="preserve">Oil crops </v>
      </c>
      <c r="H1421" s="129">
        <f>_xlfn.XLOOKUP(G1421,'[1]T&amp;C emissions for 2050 analysis'!$B$3:$B$23,'[1]T&amp;C emissions for 2050 analysis'!$C$3:$C$23)</f>
        <v>0.18333333333333335</v>
      </c>
      <c r="I1421" s="27">
        <f t="shared" si="66"/>
        <v>0.79532195636666669</v>
      </c>
      <c r="J1421" s="129">
        <f t="shared" si="67"/>
        <v>16.445183333333333</v>
      </c>
    </row>
    <row r="1422" spans="1:10" hidden="1" x14ac:dyDescent="0.35">
      <c r="A1422" s="126" t="s">
        <v>376</v>
      </c>
      <c r="B1422" t="str">
        <f>_xlfn.XLOOKUP(A1422,'[1]2050Pop'!$A$7:$A$143,'[1]2050Pop'!$D$7:$D$143)</f>
        <v>NAm</v>
      </c>
      <c r="C1422" s="127">
        <f>1000*_xlfn.XLOOKUP(A1422,'[1]2050Pop'!$A$7:$A$143,'[1]2050Pop'!$C$7:$C$143)</f>
        <v>44136</v>
      </c>
      <c r="D1422" s="126" t="s">
        <v>505</v>
      </c>
      <c r="E1422" s="128">
        <v>0.81200000000000006</v>
      </c>
      <c r="F1422" s="129">
        <f t="shared" si="68"/>
        <v>3.5838432000000003E-2</v>
      </c>
      <c r="G1422" t="str">
        <f>_xlfn.XLOOKUP(D1422,'[1]2050 BAU Mapping to T &amp; C'!$A$3:$A$52,'[1]2050 BAU Mapping to T &amp; C'!$B$3:$B$52)</f>
        <v xml:space="preserve">Oil crops </v>
      </c>
      <c r="H1422" s="129">
        <f>_xlfn.XLOOKUP(G1422,'[1]T&amp;C emissions for 2050 analysis'!$B$3:$B$23,'[1]T&amp;C emissions for 2050 analysis'!$C$3:$C$23)</f>
        <v>0.18333333333333335</v>
      </c>
      <c r="I1422" s="27">
        <f t="shared" si="66"/>
        <v>6.5703792000000013E-3</v>
      </c>
      <c r="J1422" s="129">
        <f t="shared" si="67"/>
        <v>0.14886666666666667</v>
      </c>
    </row>
    <row r="1423" spans="1:10" hidden="1" x14ac:dyDescent="0.35">
      <c r="A1423" s="126" t="s">
        <v>377</v>
      </c>
      <c r="B1423" t="str">
        <f>_xlfn.XLOOKUP(A1423,'[1]2050Pop'!$A$7:$A$143,'[1]2050Pop'!$D$7:$D$143)</f>
        <v>SSA</v>
      </c>
      <c r="C1423" s="127">
        <f>1000*_xlfn.XLOOKUP(A1423,'[1]2050Pop'!$A$7:$A$143,'[1]2050Pop'!$C$7:$C$143)</f>
        <v>8782</v>
      </c>
      <c r="D1423" s="126" t="s">
        <v>505</v>
      </c>
      <c r="E1423" s="128">
        <v>231.64599999999999</v>
      </c>
      <c r="F1423" s="129">
        <f t="shared" si="68"/>
        <v>2.0343151719999999</v>
      </c>
      <c r="G1423" t="str">
        <f>_xlfn.XLOOKUP(D1423,'[1]2050 BAU Mapping to T &amp; C'!$A$3:$A$52,'[1]2050 BAU Mapping to T &amp; C'!$B$3:$B$52)</f>
        <v xml:space="preserve">Oil crops </v>
      </c>
      <c r="H1423" s="129">
        <f>_xlfn.XLOOKUP(G1423,'[1]T&amp;C emissions for 2050 analysis'!$B$3:$B$23,'[1]T&amp;C emissions for 2050 analysis'!$C$3:$C$23)</f>
        <v>0.18333333333333335</v>
      </c>
      <c r="I1423" s="27">
        <f t="shared" si="66"/>
        <v>0.37295778153333337</v>
      </c>
      <c r="J1423" s="129">
        <f t="shared" si="67"/>
        <v>42.468433333333337</v>
      </c>
    </row>
    <row r="1424" spans="1:10" hidden="1" x14ac:dyDescent="0.35">
      <c r="A1424" s="126" t="s">
        <v>488</v>
      </c>
      <c r="B1424" t="str">
        <f>_xlfn.XLOOKUP(A1424,'[1]2050Pop'!$A$7:$A$143,'[1]2050Pop'!$D$7:$D$143)</f>
        <v>SSA</v>
      </c>
      <c r="C1424" s="127">
        <f>1000*_xlfn.XLOOKUP(A1424,'[1]2050Pop'!$A$7:$A$143,'[1]2050Pop'!$C$7:$C$143)</f>
        <v>35131</v>
      </c>
      <c r="D1424" s="126" t="s">
        <v>505</v>
      </c>
      <c r="E1424" s="131">
        <v>74.900000000000006</v>
      </c>
      <c r="F1424" s="129">
        <f t="shared" si="68"/>
        <v>2.6313119000000005</v>
      </c>
      <c r="G1424" t="str">
        <f>_xlfn.XLOOKUP(D1424,'[1]2050 BAU Mapping to T &amp; C'!$A$3:$A$52,'[1]2050 BAU Mapping to T &amp; C'!$B$3:$B$52)</f>
        <v xml:space="preserve">Oil crops </v>
      </c>
      <c r="H1424" s="129">
        <f>_xlfn.XLOOKUP(G1424,'[1]T&amp;C emissions for 2050 analysis'!$B$3:$B$23,'[1]T&amp;C emissions for 2050 analysis'!$C$3:$C$23)</f>
        <v>0.18333333333333335</v>
      </c>
      <c r="I1424" s="27">
        <f t="shared" si="66"/>
        <v>0.4824071816666668</v>
      </c>
      <c r="J1424" s="129">
        <f t="shared" si="67"/>
        <v>13.731666666666669</v>
      </c>
    </row>
    <row r="1425" spans="1:10" hidden="1" x14ac:dyDescent="0.35">
      <c r="A1425" s="126" t="s">
        <v>379</v>
      </c>
      <c r="B1425" t="str">
        <f>_xlfn.XLOOKUP(A1425,'[1]2050Pop'!$A$7:$A$143,'[1]2050Pop'!$D$7:$D$143)</f>
        <v>Greater China</v>
      </c>
      <c r="C1425" s="127">
        <f>1000*_xlfn.XLOOKUP(A1425,'[1]2050Pop'!$A$7:$A$143,'[1]2050Pop'!$C$7:$C$143)</f>
        <v>8148</v>
      </c>
      <c r="D1425" s="126" t="s">
        <v>505</v>
      </c>
      <c r="E1425" s="128">
        <v>22.771999999999998</v>
      </c>
      <c r="F1425" s="129">
        <f t="shared" si="68"/>
        <v>0.18554625599999999</v>
      </c>
      <c r="G1425" t="str">
        <f>_xlfn.XLOOKUP(D1425,'[1]2050 BAU Mapping to T &amp; C'!$A$3:$A$52,'[1]2050 BAU Mapping to T &amp; C'!$B$3:$B$52)</f>
        <v xml:space="preserve">Oil crops </v>
      </c>
      <c r="H1425" s="129">
        <f>_xlfn.XLOOKUP(G1425,'[1]T&amp;C emissions for 2050 analysis'!$B$3:$B$23,'[1]T&amp;C emissions for 2050 analysis'!$C$3:$C$23)</f>
        <v>0.18333333333333335</v>
      </c>
      <c r="I1425" s="27">
        <f t="shared" si="66"/>
        <v>3.4016813600000001E-2</v>
      </c>
      <c r="J1425" s="129">
        <f t="shared" si="67"/>
        <v>4.1748666666666665</v>
      </c>
    </row>
    <row r="1426" spans="1:10" hidden="1" x14ac:dyDescent="0.35">
      <c r="A1426" s="126" t="s">
        <v>380</v>
      </c>
      <c r="B1426" t="str">
        <f>_xlfn.XLOOKUP(A1426,'[1]2050Pop'!$A$7:$A$143,'[1]2050Pop'!$D$7:$D$143)</f>
        <v>Greater China</v>
      </c>
      <c r="C1426" s="127">
        <f>1000*_xlfn.XLOOKUP(A1426,'[1]2050Pop'!$A$7:$A$143,'[1]2050Pop'!$C$7:$C$143)</f>
        <v>1348056</v>
      </c>
      <c r="D1426" s="126" t="s">
        <v>505</v>
      </c>
      <c r="E1426" s="128">
        <v>18.088000000000001</v>
      </c>
      <c r="F1426" s="129">
        <f t="shared" si="68"/>
        <v>24.383636928000001</v>
      </c>
      <c r="G1426" t="str">
        <f>_xlfn.XLOOKUP(D1426,'[1]2050 BAU Mapping to T &amp; C'!$A$3:$A$52,'[1]2050 BAU Mapping to T &amp; C'!$B$3:$B$52)</f>
        <v xml:space="preserve">Oil crops </v>
      </c>
      <c r="H1426" s="129">
        <f>_xlfn.XLOOKUP(G1426,'[1]T&amp;C emissions for 2050 analysis'!$B$3:$B$23,'[1]T&amp;C emissions for 2050 analysis'!$C$3:$C$23)</f>
        <v>0.18333333333333335</v>
      </c>
      <c r="I1426" s="27">
        <f t="shared" si="66"/>
        <v>4.4703334368000007</v>
      </c>
      <c r="J1426" s="129">
        <f t="shared" si="67"/>
        <v>3.3161333333333336</v>
      </c>
    </row>
    <row r="1427" spans="1:10" hidden="1" x14ac:dyDescent="0.35">
      <c r="A1427" s="126" t="s">
        <v>381</v>
      </c>
      <c r="B1427" t="str">
        <f>_xlfn.XLOOKUP(A1427,'[1]2050Pop'!$A$7:$A$143,'[1]2050Pop'!$D$7:$D$143)</f>
        <v>Greater China</v>
      </c>
      <c r="C1427" s="127">
        <f>1000*_xlfn.XLOOKUP(A1427,'[1]2050Pop'!$A$7:$A$143,'[1]2050Pop'!$C$7:$C$143)</f>
        <v>20778</v>
      </c>
      <c r="D1427" s="126" t="s">
        <v>505</v>
      </c>
      <c r="E1427" s="128">
        <v>8.1839999999999993</v>
      </c>
      <c r="F1427" s="129">
        <f t="shared" si="68"/>
        <v>0.17004715199999998</v>
      </c>
      <c r="G1427" t="str">
        <f>_xlfn.XLOOKUP(D1427,'[1]2050 BAU Mapping to T &amp; C'!$A$3:$A$52,'[1]2050 BAU Mapping to T &amp; C'!$B$3:$B$52)</f>
        <v xml:space="preserve">Oil crops </v>
      </c>
      <c r="H1427" s="129">
        <f>_xlfn.XLOOKUP(G1427,'[1]T&amp;C emissions for 2050 analysis'!$B$3:$B$23,'[1]T&amp;C emissions for 2050 analysis'!$C$3:$C$23)</f>
        <v>0.18333333333333335</v>
      </c>
      <c r="I1427" s="27">
        <f t="shared" si="66"/>
        <v>3.11753112E-2</v>
      </c>
      <c r="J1427" s="129">
        <f t="shared" si="67"/>
        <v>1.5004</v>
      </c>
    </row>
    <row r="1428" spans="1:10" hidden="1" x14ac:dyDescent="0.35">
      <c r="A1428" s="126" t="s">
        <v>384</v>
      </c>
      <c r="B1428" t="str">
        <f>_xlfn.XLOOKUP(A1428,'[1]2050Pop'!$A$7:$A$143,'[1]2050Pop'!$D$7:$D$143)</f>
        <v>SSA</v>
      </c>
      <c r="C1428" s="127">
        <f>1000*_xlfn.XLOOKUP(A1428,'[1]2050Pop'!$A$7:$A$143,'[1]2050Pop'!$C$7:$C$143)</f>
        <v>48797</v>
      </c>
      <c r="D1428" s="126" t="s">
        <v>505</v>
      </c>
      <c r="E1428" s="128">
        <v>4.6529999999999996</v>
      </c>
      <c r="F1428" s="129">
        <f t="shared" si="68"/>
        <v>0.22705244099999999</v>
      </c>
      <c r="G1428" t="str">
        <f>_xlfn.XLOOKUP(D1428,'[1]2050 BAU Mapping to T &amp; C'!$A$3:$A$52,'[1]2050 BAU Mapping to T &amp; C'!$B$3:$B$52)</f>
        <v xml:space="preserve">Oil crops </v>
      </c>
      <c r="H1428" s="129">
        <f>_xlfn.XLOOKUP(G1428,'[1]T&amp;C emissions for 2050 analysis'!$B$3:$B$23,'[1]T&amp;C emissions for 2050 analysis'!$C$3:$C$23)</f>
        <v>0.18333333333333335</v>
      </c>
      <c r="I1428" s="27">
        <f t="shared" si="66"/>
        <v>4.1626280850000003E-2</v>
      </c>
      <c r="J1428" s="129">
        <f t="shared" si="67"/>
        <v>0.85304999999999997</v>
      </c>
    </row>
    <row r="1429" spans="1:10" hidden="1" x14ac:dyDescent="0.35">
      <c r="A1429" s="126" t="s">
        <v>386</v>
      </c>
      <c r="B1429" t="str">
        <f>_xlfn.XLOOKUP(A1429,'[1]2050Pop'!$A$7:$A$143,'[1]2050Pop'!$D$7:$D$143)</f>
        <v>LatAm &amp; RSA</v>
      </c>
      <c r="C1429" s="127">
        <f>1000*_xlfn.XLOOKUP(A1429,'[1]2050Pop'!$A$7:$A$143,'[1]2050Pop'!$C$7:$C$143)</f>
        <v>10339</v>
      </c>
      <c r="D1429" s="126" t="s">
        <v>505</v>
      </c>
      <c r="E1429" s="128">
        <v>1.101</v>
      </c>
      <c r="F1429" s="129">
        <f t="shared" si="68"/>
        <v>1.1383239E-2</v>
      </c>
      <c r="G1429" t="str">
        <f>_xlfn.XLOOKUP(D1429,'[1]2050 BAU Mapping to T &amp; C'!$A$3:$A$52,'[1]2050 BAU Mapping to T &amp; C'!$B$3:$B$52)</f>
        <v xml:space="preserve">Oil crops </v>
      </c>
      <c r="H1429" s="129">
        <f>_xlfn.XLOOKUP(G1429,'[1]T&amp;C emissions for 2050 analysis'!$B$3:$B$23,'[1]T&amp;C emissions for 2050 analysis'!$C$3:$C$23)</f>
        <v>0.18333333333333335</v>
      </c>
      <c r="I1429" s="27">
        <f t="shared" si="66"/>
        <v>2.08692715E-3</v>
      </c>
      <c r="J1429" s="129">
        <f t="shared" si="67"/>
        <v>0.20185</v>
      </c>
    </row>
    <row r="1430" spans="1:10" hidden="1" x14ac:dyDescent="0.35">
      <c r="A1430" s="126" t="s">
        <v>387</v>
      </c>
      <c r="B1430" t="str">
        <f>_xlfn.XLOOKUP(A1430,'[1]2050Pop'!$A$7:$A$143,'[1]2050Pop'!$D$7:$D$143)</f>
        <v>Euro/AU/NZ</v>
      </c>
      <c r="C1430" s="127">
        <f>1000*_xlfn.XLOOKUP(A1430,'[1]2050Pop'!$A$7:$A$143,'[1]2050Pop'!$C$7:$C$143)</f>
        <v>9965</v>
      </c>
      <c r="D1430" s="126" t="s">
        <v>505</v>
      </c>
      <c r="E1430" s="128">
        <v>2.5270000000000001</v>
      </c>
      <c r="F1430" s="129">
        <f t="shared" si="68"/>
        <v>2.5181555000000001E-2</v>
      </c>
      <c r="G1430" t="str">
        <f>_xlfn.XLOOKUP(D1430,'[1]2050 BAU Mapping to T &amp; C'!$A$3:$A$52,'[1]2050 BAU Mapping to T &amp; C'!$B$3:$B$52)</f>
        <v xml:space="preserve">Oil crops </v>
      </c>
      <c r="H1430" s="129">
        <f>_xlfn.XLOOKUP(G1430,'[1]T&amp;C emissions for 2050 analysis'!$B$3:$B$23,'[1]T&amp;C emissions for 2050 analysis'!$C$3:$C$23)</f>
        <v>0.18333333333333335</v>
      </c>
      <c r="I1430" s="27">
        <f t="shared" si="66"/>
        <v>4.6166184166666676E-3</v>
      </c>
      <c r="J1430" s="129">
        <f t="shared" si="67"/>
        <v>0.46328333333333338</v>
      </c>
    </row>
    <row r="1431" spans="1:10" hidden="1" x14ac:dyDescent="0.35">
      <c r="A1431" s="126" t="s">
        <v>388</v>
      </c>
      <c r="B1431" t="str">
        <f>_xlfn.XLOOKUP(A1431,'[1]2050Pop'!$A$7:$A$143,'[1]2050Pop'!$D$7:$D$143)</f>
        <v>Euro/AU/NZ</v>
      </c>
      <c r="C1431" s="127">
        <f>1000*_xlfn.XLOOKUP(A1431,'[1]2050Pop'!$A$7:$A$143,'[1]2050Pop'!$C$7:$C$143)</f>
        <v>6299</v>
      </c>
      <c r="D1431" s="126" t="s">
        <v>505</v>
      </c>
      <c r="E1431" s="128">
        <v>1.9970000000000001</v>
      </c>
      <c r="F1431" s="129">
        <f t="shared" si="68"/>
        <v>1.2579103000000001E-2</v>
      </c>
      <c r="G1431" t="str">
        <f>_xlfn.XLOOKUP(D1431,'[1]2050 BAU Mapping to T &amp; C'!$A$3:$A$52,'[1]2050 BAU Mapping to T &amp; C'!$B$3:$B$52)</f>
        <v xml:space="preserve">Oil crops </v>
      </c>
      <c r="H1431" s="129">
        <f>_xlfn.XLOOKUP(G1431,'[1]T&amp;C emissions for 2050 analysis'!$B$3:$B$23,'[1]T&amp;C emissions for 2050 analysis'!$C$3:$C$23)</f>
        <v>0.18333333333333335</v>
      </c>
      <c r="I1431" s="27">
        <f t="shared" si="66"/>
        <v>2.3061688833333339E-3</v>
      </c>
      <c r="J1431" s="129">
        <f t="shared" si="67"/>
        <v>0.3661166666666667</v>
      </c>
    </row>
    <row r="1432" spans="1:10" hidden="1" x14ac:dyDescent="0.35">
      <c r="A1432" s="126" t="s">
        <v>389</v>
      </c>
      <c r="B1432" t="str">
        <f>_xlfn.XLOOKUP(A1432,'[1]2050Pop'!$A$7:$A$143,'[1]2050Pop'!$D$7:$D$143)</f>
        <v>LatAm &amp; RSA</v>
      </c>
      <c r="C1432" s="127">
        <f>1000*_xlfn.XLOOKUP(A1432,'[1]2050Pop'!$A$7:$A$143,'[1]2050Pop'!$C$7:$C$143)</f>
        <v>13238</v>
      </c>
      <c r="D1432" s="126" t="s">
        <v>505</v>
      </c>
      <c r="E1432" s="128">
        <v>3.8929999999999998</v>
      </c>
      <c r="F1432" s="129">
        <f t="shared" si="68"/>
        <v>5.1535534000000001E-2</v>
      </c>
      <c r="G1432" t="str">
        <f>_xlfn.XLOOKUP(D1432,'[1]2050 BAU Mapping to T &amp; C'!$A$3:$A$52,'[1]2050 BAU Mapping to T &amp; C'!$B$3:$B$52)</f>
        <v xml:space="preserve">Oil crops </v>
      </c>
      <c r="H1432" s="129">
        <f>_xlfn.XLOOKUP(G1432,'[1]T&amp;C emissions for 2050 analysis'!$B$3:$B$23,'[1]T&amp;C emissions for 2050 analysis'!$C$3:$C$23)</f>
        <v>0.18333333333333335</v>
      </c>
      <c r="I1432" s="27">
        <f t="shared" si="66"/>
        <v>9.4481812333333335E-3</v>
      </c>
      <c r="J1432" s="129">
        <f t="shared" si="67"/>
        <v>0.71371666666666667</v>
      </c>
    </row>
    <row r="1433" spans="1:10" hidden="1" x14ac:dyDescent="0.35">
      <c r="A1433" s="126" t="s">
        <v>391</v>
      </c>
      <c r="B1433" t="str">
        <f>_xlfn.XLOOKUP(A1433,'[1]2050Pop'!$A$7:$A$143,'[1]2050Pop'!$D$7:$D$143)</f>
        <v>MENA</v>
      </c>
      <c r="C1433" s="127">
        <f>1000*_xlfn.XLOOKUP(A1433,'[1]2050Pop'!$A$7:$A$143,'[1]2050Pop'!$C$7:$C$143)</f>
        <v>151111</v>
      </c>
      <c r="D1433" s="126" t="s">
        <v>505</v>
      </c>
      <c r="E1433" s="128">
        <v>5.6260000000000003</v>
      </c>
      <c r="F1433" s="129">
        <f t="shared" si="68"/>
        <v>0.85015048599999998</v>
      </c>
      <c r="G1433" t="str">
        <f>_xlfn.XLOOKUP(D1433,'[1]2050 BAU Mapping to T &amp; C'!$A$3:$A$52,'[1]2050 BAU Mapping to T &amp; C'!$B$3:$B$52)</f>
        <v xml:space="preserve">Oil crops </v>
      </c>
      <c r="H1433" s="129">
        <f>_xlfn.XLOOKUP(G1433,'[1]T&amp;C emissions for 2050 analysis'!$B$3:$B$23,'[1]T&amp;C emissions for 2050 analysis'!$C$3:$C$23)</f>
        <v>0.18333333333333335</v>
      </c>
      <c r="I1433" s="27">
        <f t="shared" si="66"/>
        <v>0.15586092243333335</v>
      </c>
      <c r="J1433" s="129">
        <f t="shared" si="67"/>
        <v>1.0314333333333334</v>
      </c>
    </row>
    <row r="1434" spans="1:10" hidden="1" x14ac:dyDescent="0.35">
      <c r="A1434" s="126" t="s">
        <v>392</v>
      </c>
      <c r="B1434" t="str">
        <f>_xlfn.XLOOKUP(A1434,'[1]2050Pop'!$A$7:$A$143,'[1]2050Pop'!$D$7:$D$143)</f>
        <v>LatAm &amp; RSA</v>
      </c>
      <c r="C1434" s="127">
        <f>1000*_xlfn.XLOOKUP(A1434,'[1]2050Pop'!$A$7:$A$143,'[1]2050Pop'!$C$7:$C$143)</f>
        <v>6390</v>
      </c>
      <c r="D1434" s="126" t="s">
        <v>505</v>
      </c>
      <c r="E1434" s="128">
        <v>0.97199999999999998</v>
      </c>
      <c r="F1434" s="129">
        <f t="shared" si="68"/>
        <v>6.2110799999999999E-3</v>
      </c>
      <c r="G1434" t="str">
        <f>_xlfn.XLOOKUP(D1434,'[1]2050 BAU Mapping to T &amp; C'!$A$3:$A$52,'[1]2050 BAU Mapping to T &amp; C'!$B$3:$B$52)</f>
        <v xml:space="preserve">Oil crops </v>
      </c>
      <c r="H1434" s="129">
        <f>_xlfn.XLOOKUP(G1434,'[1]T&amp;C emissions for 2050 analysis'!$B$3:$B$23,'[1]T&amp;C emissions for 2050 analysis'!$C$3:$C$23)</f>
        <v>0.18333333333333335</v>
      </c>
      <c r="I1434" s="27">
        <f t="shared" si="66"/>
        <v>1.1386980000000001E-3</v>
      </c>
      <c r="J1434" s="129">
        <f t="shared" si="67"/>
        <v>0.1782</v>
      </c>
    </row>
    <row r="1435" spans="1:10" hidden="1" x14ac:dyDescent="0.35">
      <c r="A1435" s="126" t="s">
        <v>394</v>
      </c>
      <c r="B1435" t="str">
        <f>_xlfn.XLOOKUP(A1435,'[1]2050Pop'!$A$7:$A$143,'[1]2050Pop'!$D$7:$D$143)</f>
        <v>SSA</v>
      </c>
      <c r="C1435" s="127">
        <f>1000*_xlfn.XLOOKUP(A1435,'[1]2050Pop'!$A$7:$A$143,'[1]2050Pop'!$C$7:$C$143)</f>
        <v>188455</v>
      </c>
      <c r="D1435" s="126" t="s">
        <v>505</v>
      </c>
      <c r="E1435" s="130">
        <v>1.58</v>
      </c>
      <c r="F1435" s="129">
        <f t="shared" si="68"/>
        <v>0.29775890000000005</v>
      </c>
      <c r="G1435" t="str">
        <f>_xlfn.XLOOKUP(D1435,'[1]2050 BAU Mapping to T &amp; C'!$A$3:$A$52,'[1]2050 BAU Mapping to T &amp; C'!$B$3:$B$52)</f>
        <v xml:space="preserve">Oil crops </v>
      </c>
      <c r="H1435" s="129">
        <f>_xlfn.XLOOKUP(G1435,'[1]T&amp;C emissions for 2050 analysis'!$B$3:$B$23,'[1]T&amp;C emissions for 2050 analysis'!$C$3:$C$23)</f>
        <v>0.18333333333333335</v>
      </c>
      <c r="I1435" s="27">
        <f t="shared" si="66"/>
        <v>5.4589131666666679E-2</v>
      </c>
      <c r="J1435" s="129">
        <f t="shared" si="67"/>
        <v>0.28966666666666668</v>
      </c>
    </row>
    <row r="1436" spans="1:10" hidden="1" x14ac:dyDescent="0.35">
      <c r="A1436" s="126" t="s">
        <v>395</v>
      </c>
      <c r="B1436" t="str">
        <f>_xlfn.XLOOKUP(A1436,'[1]2050Pop'!$A$7:$A$143,'[1]2050Pop'!$D$7:$D$143)</f>
        <v>Euro/AU/NZ</v>
      </c>
      <c r="C1436" s="127">
        <f>1000*_xlfn.XLOOKUP(A1436,'[1]2050Pop'!$A$7:$A$143,'[1]2050Pop'!$C$7:$C$143)</f>
        <v>5752</v>
      </c>
      <c r="D1436" s="126" t="s">
        <v>505</v>
      </c>
      <c r="E1436" s="128">
        <v>0.84499999999999997</v>
      </c>
      <c r="F1436" s="129">
        <f t="shared" si="68"/>
        <v>4.8604399999999997E-3</v>
      </c>
      <c r="G1436" t="str">
        <f>_xlfn.XLOOKUP(D1436,'[1]2050 BAU Mapping to T &amp; C'!$A$3:$A$52,'[1]2050 BAU Mapping to T &amp; C'!$B$3:$B$52)</f>
        <v xml:space="preserve">Oil crops </v>
      </c>
      <c r="H1436" s="129">
        <f>_xlfn.XLOOKUP(G1436,'[1]T&amp;C emissions for 2050 analysis'!$B$3:$B$23,'[1]T&amp;C emissions for 2050 analysis'!$C$3:$C$23)</f>
        <v>0.18333333333333335</v>
      </c>
      <c r="I1436" s="27">
        <f t="shared" si="66"/>
        <v>8.9108066666666668E-4</v>
      </c>
      <c r="J1436" s="129">
        <f t="shared" si="67"/>
        <v>0.15491666666666667</v>
      </c>
    </row>
    <row r="1437" spans="1:10" hidden="1" x14ac:dyDescent="0.35">
      <c r="A1437" s="126" t="s">
        <v>396</v>
      </c>
      <c r="B1437" t="str">
        <f>_xlfn.XLOOKUP(A1437,'[1]2050Pop'!$A$7:$A$143,'[1]2050Pop'!$D$7:$D$143)</f>
        <v>Euro/AU/NZ</v>
      </c>
      <c r="C1437" s="127">
        <f>1000*_xlfn.XLOOKUP(A1437,'[1]2050Pop'!$A$7:$A$143,'[1]2050Pop'!$C$7:$C$143)</f>
        <v>71137</v>
      </c>
      <c r="D1437" s="126" t="s">
        <v>505</v>
      </c>
      <c r="E1437" s="130">
        <v>4.9800000000000004</v>
      </c>
      <c r="F1437" s="129">
        <f t="shared" si="68"/>
        <v>0.35426226</v>
      </c>
      <c r="G1437" t="str">
        <f>_xlfn.XLOOKUP(D1437,'[1]2050 BAU Mapping to T &amp; C'!$A$3:$A$52,'[1]2050 BAU Mapping to T &amp; C'!$B$3:$B$52)</f>
        <v xml:space="preserve">Oil crops </v>
      </c>
      <c r="H1437" s="129">
        <f>_xlfn.XLOOKUP(G1437,'[1]T&amp;C emissions for 2050 analysis'!$B$3:$B$23,'[1]T&amp;C emissions for 2050 analysis'!$C$3:$C$23)</f>
        <v>0.18333333333333335</v>
      </c>
      <c r="I1437" s="27">
        <f t="shared" si="66"/>
        <v>6.4948081000000005E-2</v>
      </c>
      <c r="J1437" s="129">
        <f t="shared" si="67"/>
        <v>0.91300000000000014</v>
      </c>
    </row>
    <row r="1438" spans="1:10" hidden="1" x14ac:dyDescent="0.35">
      <c r="A1438" s="126" t="s">
        <v>489</v>
      </c>
      <c r="B1438" t="str">
        <f>_xlfn.XLOOKUP(A1438,'[1]2050Pop'!$A$7:$A$143,'[1]2050Pop'!$D$7:$D$143)</f>
        <v>SSA</v>
      </c>
      <c r="C1438" s="127">
        <f>1000*_xlfn.XLOOKUP(A1438,'[1]2050Pop'!$A$7:$A$143,'[1]2050Pop'!$C$7:$C$143)</f>
        <v>4981</v>
      </c>
      <c r="D1438" s="126" t="s">
        <v>505</v>
      </c>
      <c r="E1438" s="128">
        <v>190.874</v>
      </c>
      <c r="F1438" s="129">
        <f t="shared" si="68"/>
        <v>0.95074339399999996</v>
      </c>
      <c r="G1438" t="str">
        <f>_xlfn.XLOOKUP(D1438,'[1]2050 BAU Mapping to T &amp; C'!$A$3:$A$52,'[1]2050 BAU Mapping to T &amp; C'!$B$3:$B$52)</f>
        <v xml:space="preserve">Oil crops </v>
      </c>
      <c r="H1438" s="129">
        <f>_xlfn.XLOOKUP(G1438,'[1]T&amp;C emissions for 2050 analysis'!$B$3:$B$23,'[1]T&amp;C emissions for 2050 analysis'!$C$3:$C$23)</f>
        <v>0.18333333333333335</v>
      </c>
      <c r="I1438" s="27">
        <f t="shared" si="66"/>
        <v>0.17430295556666667</v>
      </c>
      <c r="J1438" s="129">
        <f t="shared" si="67"/>
        <v>34.993566666666666</v>
      </c>
    </row>
    <row r="1439" spans="1:10" hidden="1" x14ac:dyDescent="0.35">
      <c r="A1439" s="126" t="s">
        <v>399</v>
      </c>
      <c r="B1439" t="str">
        <f>_xlfn.XLOOKUP(A1439,'[1]2050Pop'!$A$7:$A$143,'[1]2050Pop'!$D$7:$D$143)</f>
        <v>Euro/AU/NZ</v>
      </c>
      <c r="C1439" s="127">
        <f>1000*_xlfn.XLOOKUP(A1439,'[1]2050Pop'!$A$7:$A$143,'[1]2050Pop'!$C$7:$C$143)</f>
        <v>74513</v>
      </c>
      <c r="D1439" s="126" t="s">
        <v>505</v>
      </c>
      <c r="E1439" s="128">
        <v>0.92800000000000005</v>
      </c>
      <c r="F1439" s="129">
        <f t="shared" si="68"/>
        <v>6.9148063999999995E-2</v>
      </c>
      <c r="G1439" t="str">
        <f>_xlfn.XLOOKUP(D1439,'[1]2050 BAU Mapping to T &amp; C'!$A$3:$A$52,'[1]2050 BAU Mapping to T &amp; C'!$B$3:$B$52)</f>
        <v xml:space="preserve">Oil crops </v>
      </c>
      <c r="H1439" s="129">
        <f>_xlfn.XLOOKUP(G1439,'[1]T&amp;C emissions for 2050 analysis'!$B$3:$B$23,'[1]T&amp;C emissions for 2050 analysis'!$C$3:$C$23)</f>
        <v>0.18333333333333335</v>
      </c>
      <c r="I1439" s="27">
        <f t="shared" si="66"/>
        <v>1.2677145066666666E-2</v>
      </c>
      <c r="J1439" s="129">
        <f t="shared" si="67"/>
        <v>0.17013333333333336</v>
      </c>
    </row>
    <row r="1440" spans="1:10" hidden="1" x14ac:dyDescent="0.35">
      <c r="A1440" s="126" t="s">
        <v>400</v>
      </c>
      <c r="B1440" t="str">
        <f>_xlfn.XLOOKUP(A1440,'[1]2050Pop'!$A$7:$A$143,'[1]2050Pop'!$D$7:$D$143)</f>
        <v>SSA</v>
      </c>
      <c r="C1440" s="127">
        <f>1000*_xlfn.XLOOKUP(A1440,'[1]2050Pop'!$A$7:$A$143,'[1]2050Pop'!$C$7:$C$143)</f>
        <v>50071</v>
      </c>
      <c r="D1440" s="126" t="s">
        <v>505</v>
      </c>
      <c r="E1440" s="131">
        <v>82</v>
      </c>
      <c r="F1440" s="129">
        <f t="shared" si="68"/>
        <v>4.1058219999999999</v>
      </c>
      <c r="G1440" t="str">
        <f>_xlfn.XLOOKUP(D1440,'[1]2050 BAU Mapping to T &amp; C'!$A$3:$A$52,'[1]2050 BAU Mapping to T &amp; C'!$B$3:$B$52)</f>
        <v xml:space="preserve">Oil crops </v>
      </c>
      <c r="H1440" s="129">
        <f>_xlfn.XLOOKUP(G1440,'[1]T&amp;C emissions for 2050 analysis'!$B$3:$B$23,'[1]T&amp;C emissions for 2050 analysis'!$C$3:$C$23)</f>
        <v>0.18333333333333335</v>
      </c>
      <c r="I1440" s="27">
        <f t="shared" si="66"/>
        <v>0.75273403333333333</v>
      </c>
      <c r="J1440" s="129">
        <f t="shared" si="67"/>
        <v>15.033333333333335</v>
      </c>
    </row>
    <row r="1441" spans="1:10" hidden="1" x14ac:dyDescent="0.35">
      <c r="A1441" s="126" t="s">
        <v>401</v>
      </c>
      <c r="B1441" t="str">
        <f>_xlfn.XLOOKUP(A1441,'[1]2050Pop'!$A$7:$A$143,'[1]2050Pop'!$D$7:$D$143)</f>
        <v>Euro/AU/NZ</v>
      </c>
      <c r="C1441" s="127">
        <f>1000*_xlfn.XLOOKUP(A1441,'[1]2050Pop'!$A$7:$A$143,'[1]2050Pop'!$C$7:$C$143)</f>
        <v>9705</v>
      </c>
      <c r="D1441" s="126" t="s">
        <v>505</v>
      </c>
      <c r="E1441" s="128">
        <v>6.3719999999999999</v>
      </c>
      <c r="F1441" s="129">
        <f t="shared" si="68"/>
        <v>6.1840260000000001E-2</v>
      </c>
      <c r="G1441" t="str">
        <f>_xlfn.XLOOKUP(D1441,'[1]2050 BAU Mapping to T &amp; C'!$A$3:$A$52,'[1]2050 BAU Mapping to T &amp; C'!$B$3:$B$52)</f>
        <v xml:space="preserve">Oil crops </v>
      </c>
      <c r="H1441" s="129">
        <f>_xlfn.XLOOKUP(G1441,'[1]T&amp;C emissions for 2050 analysis'!$B$3:$B$23,'[1]T&amp;C emissions for 2050 analysis'!$C$3:$C$23)</f>
        <v>0.18333333333333335</v>
      </c>
      <c r="I1441" s="27">
        <f t="shared" si="66"/>
        <v>1.1337381000000001E-2</v>
      </c>
      <c r="J1441" s="129">
        <f t="shared" si="67"/>
        <v>1.1682000000000001</v>
      </c>
    </row>
    <row r="1442" spans="1:10" hidden="1" x14ac:dyDescent="0.35">
      <c r="A1442" s="126" t="s">
        <v>403</v>
      </c>
      <c r="B1442" t="str">
        <f>_xlfn.XLOOKUP(A1442,'[1]2050Pop'!$A$7:$A$143,'[1]2050Pop'!$D$7:$D$143)</f>
        <v>SSA</v>
      </c>
      <c r="C1442" s="127">
        <f>1000*_xlfn.XLOOKUP(A1442,'[1]2050Pop'!$A$7:$A$143,'[1]2050Pop'!$C$7:$C$143)</f>
        <v>27486</v>
      </c>
      <c r="D1442" s="126" t="s">
        <v>505</v>
      </c>
      <c r="E1442" s="130">
        <v>244.62</v>
      </c>
      <c r="F1442" s="129">
        <f t="shared" si="68"/>
        <v>6.72362532</v>
      </c>
      <c r="G1442" t="str">
        <f>_xlfn.XLOOKUP(D1442,'[1]2050 BAU Mapping to T &amp; C'!$A$3:$A$52,'[1]2050 BAU Mapping to T &amp; C'!$B$3:$B$52)</f>
        <v xml:space="preserve">Oil crops </v>
      </c>
      <c r="H1442" s="129">
        <f>_xlfn.XLOOKUP(G1442,'[1]T&amp;C emissions for 2050 analysis'!$B$3:$B$23,'[1]T&amp;C emissions for 2050 analysis'!$C$3:$C$23)</f>
        <v>0.18333333333333335</v>
      </c>
      <c r="I1442" s="27">
        <f t="shared" si="66"/>
        <v>1.232664642</v>
      </c>
      <c r="J1442" s="129">
        <f t="shared" si="67"/>
        <v>44.847000000000001</v>
      </c>
    </row>
    <row r="1443" spans="1:10" hidden="1" x14ac:dyDescent="0.35">
      <c r="A1443" s="126" t="s">
        <v>408</v>
      </c>
      <c r="B1443" t="str">
        <f>_xlfn.XLOOKUP(A1443,'[1]2050Pop'!$A$7:$A$143,'[1]2050Pop'!$D$7:$D$143)</f>
        <v>India/South Asia</v>
      </c>
      <c r="C1443" s="127">
        <f>1000*_xlfn.XLOOKUP(A1443,'[1]2050Pop'!$A$7:$A$143,'[1]2050Pop'!$C$7:$C$143)</f>
        <v>1705333</v>
      </c>
      <c r="D1443" s="126" t="s">
        <v>505</v>
      </c>
      <c r="E1443" s="128">
        <v>29.498999999999999</v>
      </c>
      <c r="F1443" s="129">
        <f t="shared" si="68"/>
        <v>50.305618166999999</v>
      </c>
      <c r="G1443" t="str">
        <f>_xlfn.XLOOKUP(D1443,'[1]2050 BAU Mapping to T &amp; C'!$A$3:$A$52,'[1]2050 BAU Mapping to T &amp; C'!$B$3:$B$52)</f>
        <v xml:space="preserve">Oil crops </v>
      </c>
      <c r="H1443" s="129">
        <f>_xlfn.XLOOKUP(G1443,'[1]T&amp;C emissions for 2050 analysis'!$B$3:$B$23,'[1]T&amp;C emissions for 2050 analysis'!$C$3:$C$23)</f>
        <v>0.18333333333333335</v>
      </c>
      <c r="I1443" s="27">
        <f t="shared" si="66"/>
        <v>9.2226966639499999</v>
      </c>
      <c r="J1443" s="129">
        <f t="shared" si="67"/>
        <v>5.40815</v>
      </c>
    </row>
    <row r="1444" spans="1:10" hidden="1" x14ac:dyDescent="0.35">
      <c r="A1444" s="126" t="s">
        <v>409</v>
      </c>
      <c r="B1444" t="str">
        <f>_xlfn.XLOOKUP(A1444,'[1]2050Pop'!$A$7:$A$143,'[1]2050Pop'!$D$7:$D$143)</f>
        <v>APAC</v>
      </c>
      <c r="C1444" s="127">
        <f>1000*_xlfn.XLOOKUP(A1444,'[1]2050Pop'!$A$7:$A$143,'[1]2050Pop'!$C$7:$C$143)</f>
        <v>322237</v>
      </c>
      <c r="D1444" s="126" t="s">
        <v>505</v>
      </c>
      <c r="E1444" s="128">
        <v>4.5309999999999997</v>
      </c>
      <c r="F1444" s="129">
        <f t="shared" si="68"/>
        <v>1.4600558469999998</v>
      </c>
      <c r="G1444" t="str">
        <f>_xlfn.XLOOKUP(D1444,'[1]2050 BAU Mapping to T &amp; C'!$A$3:$A$52,'[1]2050 BAU Mapping to T &amp; C'!$B$3:$B$52)</f>
        <v xml:space="preserve">Oil crops </v>
      </c>
      <c r="H1444" s="129">
        <f>_xlfn.XLOOKUP(G1444,'[1]T&amp;C emissions for 2050 analysis'!$B$3:$B$23,'[1]T&amp;C emissions for 2050 analysis'!$C$3:$C$23)</f>
        <v>0.18333333333333335</v>
      </c>
      <c r="I1444" s="27">
        <f t="shared" si="66"/>
        <v>0.26767690528333332</v>
      </c>
      <c r="J1444" s="129">
        <f t="shared" si="67"/>
        <v>0.83068333333333333</v>
      </c>
    </row>
    <row r="1445" spans="1:10" hidden="1" x14ac:dyDescent="0.35">
      <c r="A1445" s="126" t="s">
        <v>411</v>
      </c>
      <c r="B1445" t="str">
        <f>_xlfn.XLOOKUP(A1445,'[1]2050Pop'!$A$7:$A$143,'[1]2050Pop'!$D$7:$D$143)</f>
        <v>MENA</v>
      </c>
      <c r="C1445" s="127">
        <f>1000*_xlfn.XLOOKUP(A1445,'[1]2050Pop'!$A$7:$A$143,'[1]2050Pop'!$C$7:$C$143)</f>
        <v>83652</v>
      </c>
      <c r="D1445" s="126" t="s">
        <v>505</v>
      </c>
      <c r="E1445" s="128">
        <v>2.2519999999999998</v>
      </c>
      <c r="F1445" s="129">
        <f t="shared" si="68"/>
        <v>0.18838430399999997</v>
      </c>
      <c r="G1445" t="str">
        <f>_xlfn.XLOOKUP(D1445,'[1]2050 BAU Mapping to T &amp; C'!$A$3:$A$52,'[1]2050 BAU Mapping to T &amp; C'!$B$3:$B$52)</f>
        <v xml:space="preserve">Oil crops </v>
      </c>
      <c r="H1445" s="129">
        <f>_xlfn.XLOOKUP(G1445,'[1]T&amp;C emissions for 2050 analysis'!$B$3:$B$23,'[1]T&amp;C emissions for 2050 analysis'!$C$3:$C$23)</f>
        <v>0.18333333333333335</v>
      </c>
      <c r="I1445" s="27">
        <f t="shared" si="66"/>
        <v>3.4537122399999995E-2</v>
      </c>
      <c r="J1445" s="129">
        <f t="shared" si="67"/>
        <v>0.41286666666666666</v>
      </c>
    </row>
    <row r="1446" spans="1:10" hidden="1" x14ac:dyDescent="0.35">
      <c r="A1446" s="126" t="s">
        <v>414</v>
      </c>
      <c r="B1446" t="str">
        <f>_xlfn.XLOOKUP(A1446,'[1]2050Pop'!$A$7:$A$143,'[1]2050Pop'!$D$7:$D$143)</f>
        <v>Euro/AU/NZ</v>
      </c>
      <c r="C1446" s="127">
        <f>1000*_xlfn.XLOOKUP(A1446,'[1]2050Pop'!$A$7:$A$143,'[1]2050Pop'!$C$7:$C$143)</f>
        <v>56513</v>
      </c>
      <c r="D1446" s="126" t="s">
        <v>505</v>
      </c>
      <c r="E1446" s="128">
        <v>14.257</v>
      </c>
      <c r="F1446" s="129">
        <f t="shared" si="68"/>
        <v>0.80570584099999998</v>
      </c>
      <c r="G1446" t="str">
        <f>_xlfn.XLOOKUP(D1446,'[1]2050 BAU Mapping to T &amp; C'!$A$3:$A$52,'[1]2050 BAU Mapping to T &amp; C'!$B$3:$B$52)</f>
        <v xml:space="preserve">Oil crops </v>
      </c>
      <c r="H1446" s="129">
        <f>_xlfn.XLOOKUP(G1446,'[1]T&amp;C emissions for 2050 analysis'!$B$3:$B$23,'[1]T&amp;C emissions for 2050 analysis'!$C$3:$C$23)</f>
        <v>0.18333333333333335</v>
      </c>
      <c r="I1446" s="27">
        <f t="shared" si="66"/>
        <v>0.14771273751666666</v>
      </c>
      <c r="J1446" s="129">
        <f t="shared" si="67"/>
        <v>2.6137833333333336</v>
      </c>
    </row>
    <row r="1447" spans="1:10" hidden="1" x14ac:dyDescent="0.35">
      <c r="A1447" s="126" t="s">
        <v>421</v>
      </c>
      <c r="B1447" t="str">
        <f>_xlfn.XLOOKUP(A1447,'[1]2050Pop'!$A$7:$A$143,'[1]2050Pop'!$D$7:$D$143)</f>
        <v>APAC</v>
      </c>
      <c r="C1447" s="127">
        <f>1000*_xlfn.XLOOKUP(A1447,'[1]2050Pop'!$A$7:$A$143,'[1]2050Pop'!$C$7:$C$143)</f>
        <v>10172</v>
      </c>
      <c r="D1447" s="126" t="s">
        <v>505</v>
      </c>
      <c r="E1447" s="128">
        <v>26.943000000000001</v>
      </c>
      <c r="F1447" s="129">
        <f t="shared" si="68"/>
        <v>0.27406419599999998</v>
      </c>
      <c r="G1447" t="str">
        <f>_xlfn.XLOOKUP(D1447,'[1]2050 BAU Mapping to T &amp; C'!$A$3:$A$52,'[1]2050 BAU Mapping to T &amp; C'!$B$3:$B$52)</f>
        <v xml:space="preserve">Oil crops </v>
      </c>
      <c r="H1447" s="129">
        <f>_xlfn.XLOOKUP(G1447,'[1]T&amp;C emissions for 2050 analysis'!$B$3:$B$23,'[1]T&amp;C emissions for 2050 analysis'!$C$3:$C$23)</f>
        <v>0.18333333333333335</v>
      </c>
      <c r="I1447" s="27">
        <f t="shared" si="66"/>
        <v>5.0245102600000001E-2</v>
      </c>
      <c r="J1447" s="129">
        <f t="shared" si="67"/>
        <v>4.9395500000000006</v>
      </c>
    </row>
    <row r="1448" spans="1:10" hidden="1" x14ac:dyDescent="0.35">
      <c r="A1448" s="126" t="s">
        <v>423</v>
      </c>
      <c r="B1448" t="str">
        <f>_xlfn.XLOOKUP(A1448,'[1]2050Pop'!$A$7:$A$143,'[1]2050Pop'!$D$7:$D$143)</f>
        <v>MENA</v>
      </c>
      <c r="C1448" s="127">
        <f>1000*_xlfn.XLOOKUP(A1448,'[1]2050Pop'!$A$7:$A$143,'[1]2050Pop'!$C$7:$C$143)</f>
        <v>5610</v>
      </c>
      <c r="D1448" s="126" t="s">
        <v>505</v>
      </c>
      <c r="E1448" s="128">
        <v>23.030999999999999</v>
      </c>
      <c r="F1448" s="129">
        <f t="shared" si="68"/>
        <v>0.12920390999999998</v>
      </c>
      <c r="G1448" t="str">
        <f>_xlfn.XLOOKUP(D1448,'[1]2050 BAU Mapping to T &amp; C'!$A$3:$A$52,'[1]2050 BAU Mapping to T &amp; C'!$B$3:$B$52)</f>
        <v xml:space="preserve">Oil crops </v>
      </c>
      <c r="H1448" s="129">
        <f>_xlfn.XLOOKUP(G1448,'[1]T&amp;C emissions for 2050 analysis'!$B$3:$B$23,'[1]T&amp;C emissions for 2050 analysis'!$C$3:$C$23)</f>
        <v>0.18333333333333335</v>
      </c>
      <c r="I1448" s="27">
        <f t="shared" si="66"/>
        <v>2.3687383499999999E-2</v>
      </c>
      <c r="J1448" s="129">
        <f t="shared" si="67"/>
        <v>4.2223500000000005</v>
      </c>
    </row>
    <row r="1449" spans="1:10" hidden="1" x14ac:dyDescent="0.35">
      <c r="A1449" s="126" t="s">
        <v>427</v>
      </c>
      <c r="B1449" t="str">
        <f>_xlfn.XLOOKUP(A1449,'[1]2050Pop'!$A$7:$A$143,'[1]2050Pop'!$D$7:$D$143)</f>
        <v>SSA</v>
      </c>
      <c r="C1449" s="127">
        <f>1000*_xlfn.XLOOKUP(A1449,'[1]2050Pop'!$A$7:$A$143,'[1]2050Pop'!$C$7:$C$143)</f>
        <v>55294</v>
      </c>
      <c r="D1449" s="126" t="s">
        <v>505</v>
      </c>
      <c r="E1449" s="128">
        <v>6.8029999999999999</v>
      </c>
      <c r="F1449" s="129">
        <f t="shared" si="68"/>
        <v>0.37616508199999998</v>
      </c>
      <c r="G1449" t="str">
        <f>_xlfn.XLOOKUP(D1449,'[1]2050 BAU Mapping to T &amp; C'!$A$3:$A$52,'[1]2050 BAU Mapping to T &amp; C'!$B$3:$B$52)</f>
        <v xml:space="preserve">Oil crops </v>
      </c>
      <c r="H1449" s="129">
        <f>_xlfn.XLOOKUP(G1449,'[1]T&amp;C emissions for 2050 analysis'!$B$3:$B$23,'[1]T&amp;C emissions for 2050 analysis'!$C$3:$C$23)</f>
        <v>0.18333333333333335</v>
      </c>
      <c r="I1449" s="27">
        <f t="shared" si="66"/>
        <v>6.896359836666667E-2</v>
      </c>
      <c r="J1449" s="129">
        <f t="shared" si="67"/>
        <v>1.2472166666666669</v>
      </c>
    </row>
    <row r="1450" spans="1:10" hidden="1" x14ac:dyDescent="0.35">
      <c r="A1450" s="126" t="s">
        <v>428</v>
      </c>
      <c r="B1450" t="str">
        <f>_xlfn.XLOOKUP(A1450,'[1]2050Pop'!$A$7:$A$143,'[1]2050Pop'!$D$7:$D$143)</f>
        <v>SSA</v>
      </c>
      <c r="C1450" s="127">
        <f>1000*_xlfn.XLOOKUP(A1450,'[1]2050Pop'!$A$7:$A$143,'[1]2050Pop'!$C$7:$C$143)</f>
        <v>43155</v>
      </c>
      <c r="D1450" s="126" t="s">
        <v>505</v>
      </c>
      <c r="E1450" s="128">
        <v>30.268999999999998</v>
      </c>
      <c r="F1450" s="129">
        <f t="shared" si="68"/>
        <v>1.3062586949999999</v>
      </c>
      <c r="G1450" t="str">
        <f>_xlfn.XLOOKUP(D1450,'[1]2050 BAU Mapping to T &amp; C'!$A$3:$A$52,'[1]2050 BAU Mapping to T &amp; C'!$B$3:$B$52)</f>
        <v xml:space="preserve">Oil crops </v>
      </c>
      <c r="H1450" s="129">
        <f>_xlfn.XLOOKUP(G1450,'[1]T&amp;C emissions for 2050 analysis'!$B$3:$B$23,'[1]T&amp;C emissions for 2050 analysis'!$C$3:$C$23)</f>
        <v>0.18333333333333335</v>
      </c>
      <c r="I1450" s="27">
        <f t="shared" si="66"/>
        <v>0.23948076074999999</v>
      </c>
      <c r="J1450" s="129">
        <f t="shared" si="67"/>
        <v>5.5493166666666669</v>
      </c>
    </row>
    <row r="1451" spans="1:10" hidden="1" x14ac:dyDescent="0.35">
      <c r="A1451" s="126" t="s">
        <v>429</v>
      </c>
      <c r="B1451" t="str">
        <f>_xlfn.XLOOKUP(A1451,'[1]2050Pop'!$A$7:$A$143,'[1]2050Pop'!$D$7:$D$143)</f>
        <v>APAC</v>
      </c>
      <c r="C1451" s="127">
        <f>1000*_xlfn.XLOOKUP(A1451,'[1]2050Pop'!$A$7:$A$143,'[1]2050Pop'!$C$7:$C$143)</f>
        <v>40725</v>
      </c>
      <c r="D1451" s="126" t="s">
        <v>505</v>
      </c>
      <c r="E1451" s="128">
        <v>3.7610000000000001</v>
      </c>
      <c r="F1451" s="129">
        <f t="shared" si="68"/>
        <v>0.153166725</v>
      </c>
      <c r="G1451" t="str">
        <f>_xlfn.XLOOKUP(D1451,'[1]2050 BAU Mapping to T &amp; C'!$A$3:$A$52,'[1]2050 BAU Mapping to T &amp; C'!$B$3:$B$52)</f>
        <v xml:space="preserve">Oil crops </v>
      </c>
      <c r="H1451" s="129">
        <f>_xlfn.XLOOKUP(G1451,'[1]T&amp;C emissions for 2050 analysis'!$B$3:$B$23,'[1]T&amp;C emissions for 2050 analysis'!$C$3:$C$23)</f>
        <v>0.18333333333333335</v>
      </c>
      <c r="I1451" s="27">
        <f t="shared" si="66"/>
        <v>2.8080566250000005E-2</v>
      </c>
      <c r="J1451" s="129">
        <f t="shared" si="67"/>
        <v>0.68951666666666678</v>
      </c>
    </row>
    <row r="1452" spans="1:10" hidden="1" x14ac:dyDescent="0.35">
      <c r="A1452" s="126" t="s">
        <v>430</v>
      </c>
      <c r="B1452" t="str">
        <f>_xlfn.XLOOKUP(A1452,'[1]2050Pop'!$A$7:$A$143,'[1]2050Pop'!$D$7:$D$143)</f>
        <v>SSA</v>
      </c>
      <c r="C1452" s="127">
        <f>1000*_xlfn.XLOOKUP(A1452,'[1]2050Pop'!$A$7:$A$143,'[1]2050Pop'!$C$7:$C$143)</f>
        <v>45404</v>
      </c>
      <c r="D1452" s="126" t="s">
        <v>505</v>
      </c>
      <c r="E1452" s="128">
        <v>50.058</v>
      </c>
      <c r="F1452" s="129">
        <f t="shared" si="68"/>
        <v>2.2728334320000001</v>
      </c>
      <c r="G1452" t="str">
        <f>_xlfn.XLOOKUP(D1452,'[1]2050 BAU Mapping to T &amp; C'!$A$3:$A$52,'[1]2050 BAU Mapping to T &amp; C'!$B$3:$B$52)</f>
        <v xml:space="preserve">Oil crops </v>
      </c>
      <c r="H1452" s="129">
        <f>_xlfn.XLOOKUP(G1452,'[1]T&amp;C emissions for 2050 analysis'!$B$3:$B$23,'[1]T&amp;C emissions for 2050 analysis'!$C$3:$C$23)</f>
        <v>0.18333333333333335</v>
      </c>
      <c r="I1452" s="27">
        <f t="shared" si="66"/>
        <v>0.41668612920000003</v>
      </c>
      <c r="J1452" s="129">
        <f t="shared" si="67"/>
        <v>9.1773000000000007</v>
      </c>
    </row>
    <row r="1453" spans="1:10" hidden="1" x14ac:dyDescent="0.35">
      <c r="A1453" s="126" t="s">
        <v>431</v>
      </c>
      <c r="B1453" t="str">
        <f>_xlfn.XLOOKUP(A1453,'[1]2050Pop'!$A$7:$A$143,'[1]2050Pop'!$D$7:$D$143)</f>
        <v>SSA</v>
      </c>
      <c r="C1453" s="127">
        <f>1000*_xlfn.XLOOKUP(A1453,'[1]2050Pop'!$A$7:$A$143,'[1]2050Pop'!$C$7:$C$143)</f>
        <v>8048.9999999999991</v>
      </c>
      <c r="D1453" s="126" t="s">
        <v>505</v>
      </c>
      <c r="E1453" s="128">
        <v>15.097</v>
      </c>
      <c r="F1453" s="129">
        <f t="shared" si="68"/>
        <v>0.12151575299999998</v>
      </c>
      <c r="G1453" t="str">
        <f>_xlfn.XLOOKUP(D1453,'[1]2050 BAU Mapping to T &amp; C'!$A$3:$A$52,'[1]2050 BAU Mapping to T &amp; C'!$B$3:$B$52)</f>
        <v xml:space="preserve">Oil crops </v>
      </c>
      <c r="H1453" s="129">
        <f>_xlfn.XLOOKUP(G1453,'[1]T&amp;C emissions for 2050 analysis'!$B$3:$B$23,'[1]T&amp;C emissions for 2050 analysis'!$C$3:$C$23)</f>
        <v>0.18333333333333335</v>
      </c>
      <c r="I1453" s="27">
        <f t="shared" si="66"/>
        <v>2.2277888049999996E-2</v>
      </c>
      <c r="J1453" s="129">
        <f t="shared" si="67"/>
        <v>2.7677833333333335</v>
      </c>
    </row>
    <row r="1454" spans="1:10" hidden="1" x14ac:dyDescent="0.35">
      <c r="A1454" s="126" t="s">
        <v>433</v>
      </c>
      <c r="B1454" t="str">
        <f>_xlfn.XLOOKUP(A1454,'[1]2050Pop'!$A$7:$A$143,'[1]2050Pop'!$D$7:$D$143)</f>
        <v>LatAm &amp; RSA</v>
      </c>
      <c r="C1454" s="127">
        <f>1000*_xlfn.XLOOKUP(A1454,'[1]2050Pop'!$A$7:$A$143,'[1]2050Pop'!$C$7:$C$143)</f>
        <v>163754</v>
      </c>
      <c r="D1454" s="126" t="s">
        <v>505</v>
      </c>
      <c r="E1454" s="128">
        <v>1.1759999999999999</v>
      </c>
      <c r="F1454" s="129">
        <f t="shared" si="68"/>
        <v>0.19257470399999999</v>
      </c>
      <c r="G1454" t="str">
        <f>_xlfn.XLOOKUP(D1454,'[1]2050 BAU Mapping to T &amp; C'!$A$3:$A$52,'[1]2050 BAU Mapping to T &amp; C'!$B$3:$B$52)</f>
        <v xml:space="preserve">Oil crops </v>
      </c>
      <c r="H1454" s="129">
        <f>_xlfn.XLOOKUP(G1454,'[1]T&amp;C emissions for 2050 analysis'!$B$3:$B$23,'[1]T&amp;C emissions for 2050 analysis'!$C$3:$C$23)</f>
        <v>0.18333333333333335</v>
      </c>
      <c r="I1454" s="27">
        <f t="shared" si="66"/>
        <v>3.5305362399999998E-2</v>
      </c>
      <c r="J1454" s="129">
        <f t="shared" si="67"/>
        <v>0.21560000000000001</v>
      </c>
    </row>
    <row r="1455" spans="1:10" hidden="1" x14ac:dyDescent="0.35">
      <c r="A1455" s="126" t="s">
        <v>435</v>
      </c>
      <c r="B1455" t="str">
        <f>_xlfn.XLOOKUP(A1455,'[1]2050Pop'!$A$7:$A$143,'[1]2050Pop'!$D$7:$D$143)</f>
        <v>MENA</v>
      </c>
      <c r="C1455" s="127">
        <f>1000*_xlfn.XLOOKUP(A1455,'[1]2050Pop'!$A$7:$A$143,'[1]2050Pop'!$C$7:$C$143)</f>
        <v>43696</v>
      </c>
      <c r="D1455" s="126" t="s">
        <v>505</v>
      </c>
      <c r="E1455" s="128">
        <v>7.758</v>
      </c>
      <c r="F1455" s="129">
        <f t="shared" si="68"/>
        <v>0.33899356800000002</v>
      </c>
      <c r="G1455" t="str">
        <f>_xlfn.XLOOKUP(D1455,'[1]2050 BAU Mapping to T &amp; C'!$A$3:$A$52,'[1]2050 BAU Mapping to T &amp; C'!$B$3:$B$52)</f>
        <v xml:space="preserve">Oil crops </v>
      </c>
      <c r="H1455" s="129">
        <f>_xlfn.XLOOKUP(G1455,'[1]T&amp;C emissions for 2050 analysis'!$B$3:$B$23,'[1]T&amp;C emissions for 2050 analysis'!$C$3:$C$23)</f>
        <v>0.18333333333333335</v>
      </c>
      <c r="I1455" s="27">
        <f t="shared" si="66"/>
        <v>6.2148820800000011E-2</v>
      </c>
      <c r="J1455" s="129">
        <f t="shared" si="67"/>
        <v>1.4223000000000001</v>
      </c>
    </row>
    <row r="1456" spans="1:10" hidden="1" x14ac:dyDescent="0.35">
      <c r="A1456" s="126" t="s">
        <v>436</v>
      </c>
      <c r="B1456" t="str">
        <f>_xlfn.XLOOKUP(A1456,'[1]2050Pop'!$A$7:$A$143,'[1]2050Pop'!$D$7:$D$143)</f>
        <v>SSA</v>
      </c>
      <c r="C1456" s="127">
        <f>1000*_xlfn.XLOOKUP(A1456,'[1]2050Pop'!$A$7:$A$143,'[1]2050Pop'!$C$7:$C$143)</f>
        <v>65544</v>
      </c>
      <c r="D1456" s="126" t="s">
        <v>505</v>
      </c>
      <c r="E1456" s="128">
        <v>12.036</v>
      </c>
      <c r="F1456" s="129">
        <f t="shared" si="68"/>
        <v>0.78888758399999992</v>
      </c>
      <c r="G1456" t="str">
        <f>_xlfn.XLOOKUP(D1456,'[1]2050 BAU Mapping to T &amp; C'!$A$3:$A$52,'[1]2050 BAU Mapping to T &amp; C'!$B$3:$B$52)</f>
        <v xml:space="preserve">Oil crops </v>
      </c>
      <c r="H1456" s="129">
        <f>_xlfn.XLOOKUP(G1456,'[1]T&amp;C emissions for 2050 analysis'!$B$3:$B$23,'[1]T&amp;C emissions for 2050 analysis'!$C$3:$C$23)</f>
        <v>0.18333333333333335</v>
      </c>
      <c r="I1456" s="27">
        <f t="shared" si="66"/>
        <v>0.1446293904</v>
      </c>
      <c r="J1456" s="129">
        <f t="shared" si="67"/>
        <v>2.2065999999999999</v>
      </c>
    </row>
    <row r="1457" spans="1:10" hidden="1" x14ac:dyDescent="0.35">
      <c r="A1457" s="126" t="s">
        <v>490</v>
      </c>
      <c r="B1457" t="str">
        <f>_xlfn.XLOOKUP(A1457,'[1]2050Pop'!$A$7:$A$143,'[1]2050Pop'!$D$7:$D$143)</f>
        <v>APAC</v>
      </c>
      <c r="C1457" s="127">
        <f>1000*_xlfn.XLOOKUP(A1457,'[1]2050Pop'!$A$7:$A$143,'[1]2050Pop'!$C$7:$C$143)</f>
        <v>63575</v>
      </c>
      <c r="D1457" s="126" t="s">
        <v>505</v>
      </c>
      <c r="E1457" s="128">
        <v>121.274</v>
      </c>
      <c r="F1457" s="129">
        <f t="shared" si="68"/>
        <v>7.7099945500000002</v>
      </c>
      <c r="G1457" t="str">
        <f>_xlfn.XLOOKUP(D1457,'[1]2050 BAU Mapping to T &amp; C'!$A$3:$A$52,'[1]2050 BAU Mapping to T &amp; C'!$B$3:$B$52)</f>
        <v xml:space="preserve">Oil crops </v>
      </c>
      <c r="H1457" s="129">
        <f>_xlfn.XLOOKUP(G1457,'[1]T&amp;C emissions for 2050 analysis'!$B$3:$B$23,'[1]T&amp;C emissions for 2050 analysis'!$C$3:$C$23)</f>
        <v>0.18333333333333335</v>
      </c>
      <c r="I1457" s="27">
        <f t="shared" si="66"/>
        <v>1.4134990008333335</v>
      </c>
      <c r="J1457" s="129">
        <f t="shared" si="67"/>
        <v>22.233566666666668</v>
      </c>
    </row>
    <row r="1458" spans="1:10" hidden="1" x14ac:dyDescent="0.35">
      <c r="A1458" s="126" t="s">
        <v>438</v>
      </c>
      <c r="B1458" t="str">
        <f>_xlfn.XLOOKUP(A1458,'[1]2050Pop'!$A$7:$A$143,'[1]2050Pop'!$D$7:$D$143)</f>
        <v>India/South Asia</v>
      </c>
      <c r="C1458" s="127">
        <f>1000*_xlfn.XLOOKUP(A1458,'[1]2050Pop'!$A$7:$A$143,'[1]2050Pop'!$C$7:$C$143)</f>
        <v>36159</v>
      </c>
      <c r="D1458" s="126" t="s">
        <v>505</v>
      </c>
      <c r="E1458" s="128">
        <v>1.079</v>
      </c>
      <c r="F1458" s="129">
        <f t="shared" si="68"/>
        <v>3.9015561000000004E-2</v>
      </c>
      <c r="G1458" t="str">
        <f>_xlfn.XLOOKUP(D1458,'[1]2050 BAU Mapping to T &amp; C'!$A$3:$A$52,'[1]2050 BAU Mapping to T &amp; C'!$B$3:$B$52)</f>
        <v xml:space="preserve">Oil crops </v>
      </c>
      <c r="H1458" s="129">
        <f>_xlfn.XLOOKUP(G1458,'[1]T&amp;C emissions for 2050 analysis'!$B$3:$B$23,'[1]T&amp;C emissions for 2050 analysis'!$C$3:$C$23)</f>
        <v>0.18333333333333335</v>
      </c>
      <c r="I1458" s="27">
        <f t="shared" si="66"/>
        <v>7.1528528500000013E-3</v>
      </c>
      <c r="J1458" s="129">
        <f t="shared" si="67"/>
        <v>0.19781666666666667</v>
      </c>
    </row>
    <row r="1459" spans="1:10" hidden="1" x14ac:dyDescent="0.35">
      <c r="A1459" s="126" t="s">
        <v>439</v>
      </c>
      <c r="B1459" t="str">
        <f>_xlfn.XLOOKUP(A1459,'[1]2050Pop'!$A$7:$A$143,'[1]2050Pop'!$D$7:$D$143)</f>
        <v>Euro/AU/NZ</v>
      </c>
      <c r="C1459" s="127">
        <f>1000*_xlfn.XLOOKUP(A1459,'[1]2050Pop'!$A$7:$A$143,'[1]2050Pop'!$C$7:$C$143)</f>
        <v>17602</v>
      </c>
      <c r="D1459" s="126" t="s">
        <v>505</v>
      </c>
      <c r="E1459" s="128">
        <v>87.778000000000006</v>
      </c>
      <c r="F1459" s="129">
        <f t="shared" si="68"/>
        <v>1.5450683560000003</v>
      </c>
      <c r="G1459" t="str">
        <f>_xlfn.XLOOKUP(D1459,'[1]2050 BAU Mapping to T &amp; C'!$A$3:$A$52,'[1]2050 BAU Mapping to T &amp; C'!$B$3:$B$52)</f>
        <v xml:space="preserve">Oil crops </v>
      </c>
      <c r="H1459" s="129">
        <f>_xlfn.XLOOKUP(G1459,'[1]T&amp;C emissions for 2050 analysis'!$B$3:$B$23,'[1]T&amp;C emissions for 2050 analysis'!$C$3:$C$23)</f>
        <v>0.18333333333333335</v>
      </c>
      <c r="I1459" s="27">
        <f t="shared" si="66"/>
        <v>0.28326253193333339</v>
      </c>
      <c r="J1459" s="129">
        <f t="shared" si="67"/>
        <v>16.092633333333335</v>
      </c>
    </row>
    <row r="1460" spans="1:10" hidden="1" x14ac:dyDescent="0.35">
      <c r="A1460" s="126" t="s">
        <v>440</v>
      </c>
      <c r="B1460" t="str">
        <f>_xlfn.XLOOKUP(A1460,'[1]2050Pop'!$A$7:$A$143,'[1]2050Pop'!$D$7:$D$143)</f>
        <v>Euro/AU/NZ</v>
      </c>
      <c r="C1460" s="127">
        <f>1000*_xlfn.XLOOKUP(A1460,'[1]2050Pop'!$A$7:$A$143,'[1]2050Pop'!$C$7:$C$143)</f>
        <v>5607</v>
      </c>
      <c r="D1460" s="126" t="s">
        <v>505</v>
      </c>
      <c r="E1460" s="128">
        <v>1.458</v>
      </c>
      <c r="F1460" s="129">
        <f t="shared" si="68"/>
        <v>8.1750059999999986E-3</v>
      </c>
      <c r="G1460" t="str">
        <f>_xlfn.XLOOKUP(D1460,'[1]2050 BAU Mapping to T &amp; C'!$A$3:$A$52,'[1]2050 BAU Mapping to T &amp; C'!$B$3:$B$52)</f>
        <v xml:space="preserve">Oil crops </v>
      </c>
      <c r="H1460" s="129">
        <f>_xlfn.XLOOKUP(G1460,'[1]T&amp;C emissions for 2050 analysis'!$B$3:$B$23,'[1]T&amp;C emissions for 2050 analysis'!$C$3:$C$23)</f>
        <v>0.18333333333333335</v>
      </c>
      <c r="I1460" s="27">
        <f t="shared" si="66"/>
        <v>1.4987510999999998E-3</v>
      </c>
      <c r="J1460" s="129">
        <f t="shared" si="67"/>
        <v>0.26730000000000004</v>
      </c>
    </row>
    <row r="1461" spans="1:10" hidden="1" x14ac:dyDescent="0.35">
      <c r="A1461" s="126" t="s">
        <v>441</v>
      </c>
      <c r="B1461" t="str">
        <f>_xlfn.XLOOKUP(A1461,'[1]2050Pop'!$A$7:$A$143,'[1]2050Pop'!$D$7:$D$143)</f>
        <v>LatAm &amp; RSA</v>
      </c>
      <c r="C1461" s="127">
        <f>1000*_xlfn.XLOOKUP(A1461,'[1]2050Pop'!$A$7:$A$143,'[1]2050Pop'!$C$7:$C$143)</f>
        <v>7863</v>
      </c>
      <c r="D1461" s="126" t="s">
        <v>505</v>
      </c>
      <c r="E1461" s="130">
        <v>32.58</v>
      </c>
      <c r="F1461" s="129">
        <f t="shared" si="68"/>
        <v>0.25617653999999995</v>
      </c>
      <c r="G1461" t="str">
        <f>_xlfn.XLOOKUP(D1461,'[1]2050 BAU Mapping to T &amp; C'!$A$3:$A$52,'[1]2050 BAU Mapping to T &amp; C'!$B$3:$B$52)</f>
        <v xml:space="preserve">Oil crops </v>
      </c>
      <c r="H1461" s="129">
        <f>_xlfn.XLOOKUP(G1461,'[1]T&amp;C emissions for 2050 analysis'!$B$3:$B$23,'[1]T&amp;C emissions for 2050 analysis'!$C$3:$C$23)</f>
        <v>0.18333333333333335</v>
      </c>
      <c r="I1461" s="27">
        <f t="shared" si="66"/>
        <v>4.6965698999999993E-2</v>
      </c>
      <c r="J1461" s="129">
        <f t="shared" si="67"/>
        <v>5.9729999999999999</v>
      </c>
    </row>
    <row r="1462" spans="1:10" hidden="1" x14ac:dyDescent="0.35">
      <c r="A1462" s="126" t="s">
        <v>482</v>
      </c>
      <c r="B1462" t="str">
        <f>_xlfn.XLOOKUP(A1462,'[1]2050Pop'!$A$7:$A$143,'[1]2050Pop'!$D$7:$D$143)</f>
        <v>SSA</v>
      </c>
      <c r="C1462" s="127">
        <f>1000*_xlfn.XLOOKUP(A1462,'[1]2050Pop'!$A$7:$A$143,'[1]2050Pop'!$C$7:$C$143)</f>
        <v>72238</v>
      </c>
      <c r="D1462" s="126" t="s">
        <v>505</v>
      </c>
      <c r="E1462" s="130">
        <v>72.650000000000006</v>
      </c>
      <c r="F1462" s="129">
        <f t="shared" si="68"/>
        <v>5.2480907000000006</v>
      </c>
      <c r="G1462" t="str">
        <f>_xlfn.XLOOKUP(D1462,'[1]2050 BAU Mapping to T &amp; C'!$A$3:$A$52,'[1]2050 BAU Mapping to T &amp; C'!$B$3:$B$52)</f>
        <v xml:space="preserve">Oil crops </v>
      </c>
      <c r="H1462" s="129">
        <f>_xlfn.XLOOKUP(G1462,'[1]T&amp;C emissions for 2050 analysis'!$B$3:$B$23,'[1]T&amp;C emissions for 2050 analysis'!$C$3:$C$23)</f>
        <v>0.18333333333333335</v>
      </c>
      <c r="I1462" s="27">
        <f t="shared" si="66"/>
        <v>0.96214996166666689</v>
      </c>
      <c r="J1462" s="129">
        <f t="shared" si="67"/>
        <v>13.319166666666669</v>
      </c>
    </row>
    <row r="1463" spans="1:10" hidden="1" x14ac:dyDescent="0.35">
      <c r="A1463" s="126" t="s">
        <v>491</v>
      </c>
      <c r="B1463" t="str">
        <f>_xlfn.XLOOKUP(A1463,'[1]2050Pop'!$A$7:$A$143,'[1]2050Pop'!$D$7:$D$143)</f>
        <v>SSA</v>
      </c>
      <c r="C1463" s="127">
        <f>1000*_xlfn.XLOOKUP(A1463,'[1]2050Pop'!$A$7:$A$143,'[1]2050Pop'!$C$7:$C$143)</f>
        <v>398508</v>
      </c>
      <c r="D1463" s="126" t="s">
        <v>505</v>
      </c>
      <c r="E1463" s="128">
        <v>58.305</v>
      </c>
      <c r="F1463" s="129">
        <f t="shared" si="68"/>
        <v>23.23500894</v>
      </c>
      <c r="G1463" t="str">
        <f>_xlfn.XLOOKUP(D1463,'[1]2050 BAU Mapping to T &amp; C'!$A$3:$A$52,'[1]2050 BAU Mapping to T &amp; C'!$B$3:$B$52)</f>
        <v xml:space="preserve">Oil crops </v>
      </c>
      <c r="H1463" s="129">
        <f>_xlfn.XLOOKUP(G1463,'[1]T&amp;C emissions for 2050 analysis'!$B$3:$B$23,'[1]T&amp;C emissions for 2050 analysis'!$C$3:$C$23)</f>
        <v>0.18333333333333335</v>
      </c>
      <c r="I1463" s="27">
        <f t="shared" si="66"/>
        <v>4.2597516390000001</v>
      </c>
      <c r="J1463" s="129">
        <f t="shared" si="67"/>
        <v>10.689250000000001</v>
      </c>
    </row>
    <row r="1464" spans="1:10" hidden="1" x14ac:dyDescent="0.35">
      <c r="A1464" s="126" t="s">
        <v>442</v>
      </c>
      <c r="B1464" t="str">
        <f>_xlfn.XLOOKUP(A1464,'[1]2050Pop'!$A$7:$A$143,'[1]2050Pop'!$D$7:$D$143)</f>
        <v>Euro/AU/NZ</v>
      </c>
      <c r="C1464" s="127">
        <f>1000*_xlfn.XLOOKUP(A1464,'[1]2050Pop'!$A$7:$A$143,'[1]2050Pop'!$C$7:$C$143)</f>
        <v>6658</v>
      </c>
      <c r="D1464" s="126" t="s">
        <v>505</v>
      </c>
      <c r="E1464" s="128">
        <v>17.530999999999999</v>
      </c>
      <c r="F1464" s="129">
        <f t="shared" si="68"/>
        <v>0.11672139799999999</v>
      </c>
      <c r="G1464" t="str">
        <f>_xlfn.XLOOKUP(D1464,'[1]2050 BAU Mapping to T &amp; C'!$A$3:$A$52,'[1]2050 BAU Mapping to T &amp; C'!$B$3:$B$52)</f>
        <v xml:space="preserve">Oil crops </v>
      </c>
      <c r="H1464" s="129">
        <f>_xlfn.XLOOKUP(G1464,'[1]T&amp;C emissions for 2050 analysis'!$B$3:$B$23,'[1]T&amp;C emissions for 2050 analysis'!$C$3:$C$23)</f>
        <v>0.18333333333333335</v>
      </c>
      <c r="I1464" s="27">
        <f t="shared" si="66"/>
        <v>2.1398922966666668E-2</v>
      </c>
      <c r="J1464" s="129">
        <f t="shared" si="67"/>
        <v>3.2140166666666667</v>
      </c>
    </row>
    <row r="1465" spans="1:10" hidden="1" x14ac:dyDescent="0.35">
      <c r="A1465" s="126" t="s">
        <v>443</v>
      </c>
      <c r="B1465" t="str">
        <f>_xlfn.XLOOKUP(A1465,'[1]2050Pop'!$A$7:$A$143,'[1]2050Pop'!$D$7:$D$143)</f>
        <v>India/South Asia</v>
      </c>
      <c r="C1465" s="127">
        <f>1000*_xlfn.XLOOKUP(A1465,'[1]2050Pop'!$A$7:$A$143,'[1]2050Pop'!$C$7:$C$143)</f>
        <v>309640</v>
      </c>
      <c r="D1465" s="126" t="s">
        <v>505</v>
      </c>
      <c r="E1465" s="128">
        <v>3.0619999999999998</v>
      </c>
      <c r="F1465" s="129">
        <f t="shared" si="68"/>
        <v>0.94811767999999996</v>
      </c>
      <c r="G1465" t="str">
        <f>_xlfn.XLOOKUP(D1465,'[1]2050 BAU Mapping to T &amp; C'!$A$3:$A$52,'[1]2050 BAU Mapping to T &amp; C'!$B$3:$B$52)</f>
        <v xml:space="preserve">Oil crops </v>
      </c>
      <c r="H1465" s="129">
        <f>_xlfn.XLOOKUP(G1465,'[1]T&amp;C emissions for 2050 analysis'!$B$3:$B$23,'[1]T&amp;C emissions for 2050 analysis'!$C$3:$C$23)</f>
        <v>0.18333333333333335</v>
      </c>
      <c r="I1465" s="27">
        <f t="shared" si="66"/>
        <v>0.17382157466666667</v>
      </c>
      <c r="J1465" s="129">
        <f t="shared" si="67"/>
        <v>0.56136666666666668</v>
      </c>
    </row>
    <row r="1466" spans="1:10" hidden="1" x14ac:dyDescent="0.35">
      <c r="A1466" s="126" t="s">
        <v>445</v>
      </c>
      <c r="B1466" t="str">
        <f>_xlfn.XLOOKUP(A1466,'[1]2050Pop'!$A$7:$A$143,'[1]2050Pop'!$D$7:$D$143)</f>
        <v>LatAm &amp; RSA</v>
      </c>
      <c r="C1466" s="127">
        <f>1000*_xlfn.XLOOKUP(A1466,'[1]2050Pop'!$A$7:$A$143,'[1]2050Pop'!$C$7:$C$143)</f>
        <v>8895</v>
      </c>
      <c r="D1466" s="126" t="s">
        <v>505</v>
      </c>
      <c r="E1466" s="128">
        <v>1.1679999999999999</v>
      </c>
      <c r="F1466" s="129">
        <f t="shared" si="68"/>
        <v>1.0389359999999999E-2</v>
      </c>
      <c r="G1466" t="str">
        <f>_xlfn.XLOOKUP(D1466,'[1]2050 BAU Mapping to T &amp; C'!$A$3:$A$52,'[1]2050 BAU Mapping to T &amp; C'!$B$3:$B$52)</f>
        <v xml:space="preserve">Oil crops </v>
      </c>
      <c r="H1466" s="129">
        <f>_xlfn.XLOOKUP(G1466,'[1]T&amp;C emissions for 2050 analysis'!$B$3:$B$23,'[1]T&amp;C emissions for 2050 analysis'!$C$3:$C$23)</f>
        <v>0.18333333333333335</v>
      </c>
      <c r="I1466" s="27">
        <f t="shared" si="66"/>
        <v>1.9047159999999999E-3</v>
      </c>
      <c r="J1466" s="129">
        <f t="shared" si="67"/>
        <v>0.21413333333333334</v>
      </c>
    </row>
    <row r="1467" spans="1:10" hidden="1" x14ac:dyDescent="0.35">
      <c r="A1467" s="126" t="s">
        <v>447</v>
      </c>
      <c r="B1467" t="str">
        <f>_xlfn.XLOOKUP(A1467,'[1]2050Pop'!$A$7:$A$143,'[1]2050Pop'!$D$7:$D$143)</f>
        <v>APAC</v>
      </c>
      <c r="C1467" s="127">
        <f>1000*_xlfn.XLOOKUP(A1467,'[1]2050Pop'!$A$7:$A$143,'[1]2050Pop'!$C$7:$C$143)</f>
        <v>148260</v>
      </c>
      <c r="D1467" s="126" t="s">
        <v>505</v>
      </c>
      <c r="E1467" s="128">
        <v>1.627</v>
      </c>
      <c r="F1467" s="129">
        <f t="shared" si="68"/>
        <v>0.24121901999999998</v>
      </c>
      <c r="G1467" t="str">
        <f>_xlfn.XLOOKUP(D1467,'[1]2050 BAU Mapping to T &amp; C'!$A$3:$A$52,'[1]2050 BAU Mapping to T &amp; C'!$B$3:$B$52)</f>
        <v xml:space="preserve">Oil crops </v>
      </c>
      <c r="H1467" s="129">
        <f>_xlfn.XLOOKUP(G1467,'[1]T&amp;C emissions for 2050 analysis'!$B$3:$B$23,'[1]T&amp;C emissions for 2050 analysis'!$C$3:$C$23)</f>
        <v>0.18333333333333335</v>
      </c>
      <c r="I1467" s="27">
        <f t="shared" si="66"/>
        <v>4.4223486999999999E-2</v>
      </c>
      <c r="J1467" s="129">
        <f t="shared" si="67"/>
        <v>0.29828333333333334</v>
      </c>
    </row>
    <row r="1468" spans="1:10" hidden="1" x14ac:dyDescent="0.35">
      <c r="A1468" s="126" t="s">
        <v>448</v>
      </c>
      <c r="B1468" t="str">
        <f>_xlfn.XLOOKUP(A1468,'[1]2050Pop'!$A$7:$A$143,'[1]2050Pop'!$D$7:$D$143)</f>
        <v>Euro/AU/NZ</v>
      </c>
      <c r="C1468" s="127">
        <f>1000*_xlfn.XLOOKUP(A1468,'[1]2050Pop'!$A$7:$A$143,'[1]2050Pop'!$C$7:$C$143)</f>
        <v>33136</v>
      </c>
      <c r="D1468" s="126" t="s">
        <v>505</v>
      </c>
      <c r="E1468" s="128">
        <v>3.4529999999999998</v>
      </c>
      <c r="F1468" s="129">
        <f t="shared" si="68"/>
        <v>0.11441860799999999</v>
      </c>
      <c r="G1468" t="str">
        <f>_xlfn.XLOOKUP(D1468,'[1]2050 BAU Mapping to T &amp; C'!$A$3:$A$52,'[1]2050 BAU Mapping to T &amp; C'!$B$3:$B$52)</f>
        <v xml:space="preserve">Oil crops </v>
      </c>
      <c r="H1468" s="129">
        <f>_xlfn.XLOOKUP(G1468,'[1]T&amp;C emissions for 2050 analysis'!$B$3:$B$23,'[1]T&amp;C emissions for 2050 analysis'!$C$3:$C$23)</f>
        <v>0.18333333333333335</v>
      </c>
      <c r="I1468" s="27">
        <f t="shared" si="66"/>
        <v>2.0976744799999999E-2</v>
      </c>
      <c r="J1468" s="129">
        <f t="shared" si="67"/>
        <v>0.63305</v>
      </c>
    </row>
    <row r="1469" spans="1:10" hidden="1" x14ac:dyDescent="0.35">
      <c r="A1469" s="126" t="s">
        <v>449</v>
      </c>
      <c r="B1469" t="str">
        <f>_xlfn.XLOOKUP(A1469,'[1]2050Pop'!$A$7:$A$143,'[1]2050Pop'!$D$7:$D$143)</f>
        <v>Euro/AU/NZ</v>
      </c>
      <c r="C1469" s="127">
        <f>1000*_xlfn.XLOOKUP(A1469,'[1]2050Pop'!$A$7:$A$143,'[1]2050Pop'!$C$7:$C$143)</f>
        <v>9216</v>
      </c>
      <c r="D1469" s="126" t="s">
        <v>505</v>
      </c>
      <c r="E1469" s="128">
        <v>2.6890000000000001</v>
      </c>
      <c r="F1469" s="129">
        <f t="shared" si="68"/>
        <v>2.4781824000000001E-2</v>
      </c>
      <c r="G1469" t="str">
        <f>_xlfn.XLOOKUP(D1469,'[1]2050 BAU Mapping to T &amp; C'!$A$3:$A$52,'[1]2050 BAU Mapping to T &amp; C'!$B$3:$B$52)</f>
        <v xml:space="preserve">Oil crops </v>
      </c>
      <c r="H1469" s="129">
        <f>_xlfn.XLOOKUP(G1469,'[1]T&amp;C emissions for 2050 analysis'!$B$3:$B$23,'[1]T&amp;C emissions for 2050 analysis'!$C$3:$C$23)</f>
        <v>0.18333333333333335</v>
      </c>
      <c r="I1469" s="27">
        <f t="shared" si="66"/>
        <v>4.5433344000000006E-3</v>
      </c>
      <c r="J1469" s="129">
        <f t="shared" si="67"/>
        <v>0.49298333333333338</v>
      </c>
    </row>
    <row r="1470" spans="1:10" hidden="1" x14ac:dyDescent="0.35">
      <c r="A1470" s="126" t="s">
        <v>450</v>
      </c>
      <c r="B1470" t="str">
        <f>_xlfn.XLOOKUP(A1470,'[1]2050Pop'!$A$7:$A$143,'[1]2050Pop'!$D$7:$D$143)</f>
        <v>APAC</v>
      </c>
      <c r="C1470" s="127">
        <f>1000*_xlfn.XLOOKUP(A1470,'[1]2050Pop'!$A$7:$A$143,'[1]2050Pop'!$C$7:$C$143)</f>
        <v>50593</v>
      </c>
      <c r="D1470" s="126" t="s">
        <v>505</v>
      </c>
      <c r="E1470" s="130">
        <v>1.1100000000000001</v>
      </c>
      <c r="F1470" s="129">
        <f t="shared" si="68"/>
        <v>5.6158230000000003E-2</v>
      </c>
      <c r="G1470" t="str">
        <f>_xlfn.XLOOKUP(D1470,'[1]2050 BAU Mapping to T &amp; C'!$A$3:$A$52,'[1]2050 BAU Mapping to T &amp; C'!$B$3:$B$52)</f>
        <v xml:space="preserve">Oil crops </v>
      </c>
      <c r="H1470" s="129">
        <f>_xlfn.XLOOKUP(G1470,'[1]T&amp;C emissions for 2050 analysis'!$B$3:$B$23,'[1]T&amp;C emissions for 2050 analysis'!$C$3:$C$23)</f>
        <v>0.18333333333333335</v>
      </c>
      <c r="I1470" s="27">
        <f t="shared" si="66"/>
        <v>1.0295675500000002E-2</v>
      </c>
      <c r="J1470" s="129">
        <f t="shared" si="67"/>
        <v>0.20350000000000004</v>
      </c>
    </row>
    <row r="1471" spans="1:10" hidden="1" x14ac:dyDescent="0.35">
      <c r="A1471" s="126" t="s">
        <v>452</v>
      </c>
      <c r="B1471" t="str">
        <f>_xlfn.XLOOKUP(A1471,'[1]2050Pop'!$A$7:$A$143,'[1]2050Pop'!$D$7:$D$143)</f>
        <v>SSA</v>
      </c>
      <c r="C1471" s="127">
        <f>1000*_xlfn.XLOOKUP(A1471,'[1]2050Pop'!$A$7:$A$143,'[1]2050Pop'!$C$7:$C$143)</f>
        <v>10732</v>
      </c>
      <c r="D1471" s="126" t="s">
        <v>505</v>
      </c>
      <c r="E1471" s="128">
        <v>28.596</v>
      </c>
      <c r="F1471" s="129">
        <f t="shared" si="68"/>
        <v>0.30689227200000002</v>
      </c>
      <c r="G1471" t="str">
        <f>_xlfn.XLOOKUP(D1471,'[1]2050 BAU Mapping to T &amp; C'!$A$3:$A$52,'[1]2050 BAU Mapping to T &amp; C'!$B$3:$B$52)</f>
        <v xml:space="preserve">Oil crops </v>
      </c>
      <c r="H1471" s="129">
        <f>_xlfn.XLOOKUP(G1471,'[1]T&amp;C emissions for 2050 analysis'!$B$3:$B$23,'[1]T&amp;C emissions for 2050 analysis'!$C$3:$C$23)</f>
        <v>0.18333333333333335</v>
      </c>
      <c r="I1471" s="27">
        <f t="shared" si="66"/>
        <v>5.6263583200000009E-2</v>
      </c>
      <c r="J1471" s="129">
        <f t="shared" si="67"/>
        <v>5.2426000000000004</v>
      </c>
    </row>
    <row r="1472" spans="1:10" hidden="1" x14ac:dyDescent="0.35">
      <c r="A1472" s="126" t="s">
        <v>455</v>
      </c>
      <c r="B1472" t="str">
        <f>_xlfn.XLOOKUP(A1472,'[1]2050Pop'!$A$7:$A$143,'[1]2050Pop'!$D$7:$D$143)</f>
        <v>SSA</v>
      </c>
      <c r="C1472" s="127">
        <f>1000*_xlfn.XLOOKUP(A1472,'[1]2050Pop'!$A$7:$A$143,'[1]2050Pop'!$C$7:$C$143)</f>
        <v>21187</v>
      </c>
      <c r="D1472" s="126" t="s">
        <v>505</v>
      </c>
      <c r="E1472" s="128">
        <v>8.0739999999999998</v>
      </c>
      <c r="F1472" s="129">
        <f t="shared" si="68"/>
        <v>0.171063838</v>
      </c>
      <c r="G1472" t="str">
        <f>_xlfn.XLOOKUP(D1472,'[1]2050 BAU Mapping to T &amp; C'!$A$3:$A$52,'[1]2050 BAU Mapping to T &amp; C'!$B$3:$B$52)</f>
        <v xml:space="preserve">Oil crops </v>
      </c>
      <c r="H1472" s="129">
        <f>_xlfn.XLOOKUP(G1472,'[1]T&amp;C emissions for 2050 analysis'!$B$3:$B$23,'[1]T&amp;C emissions for 2050 analysis'!$C$3:$C$23)</f>
        <v>0.18333333333333335</v>
      </c>
      <c r="I1472" s="27">
        <f t="shared" si="66"/>
        <v>3.1361703633333335E-2</v>
      </c>
      <c r="J1472" s="129">
        <f t="shared" si="67"/>
        <v>1.4802333333333335</v>
      </c>
    </row>
    <row r="1473" spans="1:10" hidden="1" x14ac:dyDescent="0.35">
      <c r="A1473" s="126" t="s">
        <v>456</v>
      </c>
      <c r="B1473" t="str">
        <f>_xlfn.XLOOKUP(A1473,'[1]2050Pop'!$A$7:$A$143,'[1]2050Pop'!$D$7:$D$143)</f>
        <v>MENA</v>
      </c>
      <c r="C1473" s="127">
        <f>1000*_xlfn.XLOOKUP(A1473,'[1]2050Pop'!$A$7:$A$143,'[1]2050Pop'!$C$7:$C$143)</f>
        <v>46059</v>
      </c>
      <c r="D1473" s="126" t="s">
        <v>505</v>
      </c>
      <c r="E1473" s="128">
        <v>1.3859999999999999</v>
      </c>
      <c r="F1473" s="129">
        <f t="shared" si="68"/>
        <v>6.3837774E-2</v>
      </c>
      <c r="G1473" t="str">
        <f>_xlfn.XLOOKUP(D1473,'[1]2050 BAU Mapping to T &amp; C'!$A$3:$A$52,'[1]2050 BAU Mapping to T &amp; C'!$B$3:$B$52)</f>
        <v xml:space="preserve">Oil crops </v>
      </c>
      <c r="H1473" s="129">
        <f>_xlfn.XLOOKUP(G1473,'[1]T&amp;C emissions for 2050 analysis'!$B$3:$B$23,'[1]T&amp;C emissions for 2050 analysis'!$C$3:$C$23)</f>
        <v>0.18333333333333335</v>
      </c>
      <c r="I1473" s="27">
        <f t="shared" si="66"/>
        <v>1.1703591900000001E-2</v>
      </c>
      <c r="J1473" s="129">
        <f t="shared" si="67"/>
        <v>0.25409999999999999</v>
      </c>
    </row>
    <row r="1474" spans="1:10" hidden="1" x14ac:dyDescent="0.35">
      <c r="A1474" s="126" t="s">
        <v>457</v>
      </c>
      <c r="B1474" t="str">
        <f>_xlfn.XLOOKUP(A1474,'[1]2050Pop'!$A$7:$A$143,'[1]2050Pop'!$D$7:$D$143)</f>
        <v>SSA</v>
      </c>
      <c r="C1474" s="127">
        <f>1000*_xlfn.XLOOKUP(A1474,'[1]2050Pop'!$A$7:$A$143,'[1]2050Pop'!$C$7:$C$143)</f>
        <v>36223</v>
      </c>
      <c r="D1474" s="126" t="s">
        <v>505</v>
      </c>
      <c r="E1474" s="128">
        <v>251.50299999999999</v>
      </c>
      <c r="F1474" s="129">
        <f t="shared" si="68"/>
        <v>9.1101931690000004</v>
      </c>
      <c r="G1474" t="str">
        <f>_xlfn.XLOOKUP(D1474,'[1]2050 BAU Mapping to T &amp; C'!$A$3:$A$52,'[1]2050 BAU Mapping to T &amp; C'!$B$3:$B$52)</f>
        <v xml:space="preserve">Oil crops </v>
      </c>
      <c r="H1474" s="129">
        <f>_xlfn.XLOOKUP(G1474,'[1]T&amp;C emissions for 2050 analysis'!$B$3:$B$23,'[1]T&amp;C emissions for 2050 analysis'!$C$3:$C$23)</f>
        <v>0.18333333333333335</v>
      </c>
      <c r="I1474" s="27">
        <f t="shared" si="66"/>
        <v>1.6702020809833336</v>
      </c>
      <c r="J1474" s="129">
        <f t="shared" si="67"/>
        <v>46.108883333333331</v>
      </c>
    </row>
    <row r="1475" spans="1:10" hidden="1" x14ac:dyDescent="0.35">
      <c r="A1475" s="126" t="s">
        <v>492</v>
      </c>
      <c r="B1475" t="str">
        <f>_xlfn.XLOOKUP(A1475,'[1]2050Pop'!$A$7:$A$143,'[1]2050Pop'!$D$7:$D$143)</f>
        <v>SSA</v>
      </c>
      <c r="C1475" s="127">
        <f>1000*_xlfn.XLOOKUP(A1475,'[1]2050Pop'!$A$7:$A$143,'[1]2050Pop'!$C$7:$C$143)</f>
        <v>11392</v>
      </c>
      <c r="D1475" s="126" t="s">
        <v>505</v>
      </c>
      <c r="E1475" s="128">
        <v>79.537000000000006</v>
      </c>
      <c r="F1475" s="129">
        <f t="shared" si="68"/>
        <v>0.9060855040000001</v>
      </c>
      <c r="G1475" t="str">
        <f>_xlfn.XLOOKUP(D1475,'[1]2050 BAU Mapping to T &amp; C'!$A$3:$A$52,'[1]2050 BAU Mapping to T &amp; C'!$B$3:$B$52)</f>
        <v xml:space="preserve">Oil crops </v>
      </c>
      <c r="H1475" s="129">
        <f>_xlfn.XLOOKUP(G1475,'[1]T&amp;C emissions for 2050 analysis'!$B$3:$B$23,'[1]T&amp;C emissions for 2050 analysis'!$C$3:$C$23)</f>
        <v>0.18333333333333335</v>
      </c>
      <c r="I1475" s="27">
        <f t="shared" si="66"/>
        <v>0.16611567573333336</v>
      </c>
      <c r="J1475" s="129">
        <f t="shared" si="67"/>
        <v>14.581783333333336</v>
      </c>
    </row>
    <row r="1476" spans="1:10" hidden="1" x14ac:dyDescent="0.35">
      <c r="A1476" s="126" t="s">
        <v>459</v>
      </c>
      <c r="B1476" t="str">
        <f>_xlfn.XLOOKUP(A1476,'[1]2050Pop'!$A$7:$A$143,'[1]2050Pop'!$D$7:$D$143)</f>
        <v>Euro/AU/NZ</v>
      </c>
      <c r="C1476" s="127">
        <f>1000*_xlfn.XLOOKUP(A1476,'[1]2050Pop'!$A$7:$A$143,'[1]2050Pop'!$C$7:$C$143)</f>
        <v>4892</v>
      </c>
      <c r="D1476" s="126" t="s">
        <v>505</v>
      </c>
      <c r="E1476" s="128">
        <v>0.79800000000000004</v>
      </c>
      <c r="F1476" s="129">
        <f t="shared" si="68"/>
        <v>3.9038160000000001E-3</v>
      </c>
      <c r="G1476" t="str">
        <f>_xlfn.XLOOKUP(D1476,'[1]2050 BAU Mapping to T &amp; C'!$A$3:$A$52,'[1]2050 BAU Mapping to T &amp; C'!$B$3:$B$52)</f>
        <v xml:space="preserve">Oil crops </v>
      </c>
      <c r="H1476" s="129">
        <f>_xlfn.XLOOKUP(G1476,'[1]T&amp;C emissions for 2050 analysis'!$B$3:$B$23,'[1]T&amp;C emissions for 2050 analysis'!$C$3:$C$23)</f>
        <v>0.18333333333333335</v>
      </c>
      <c r="I1476" s="27">
        <f t="shared" ref="I1476:I1539" si="69">F1476*H1476</f>
        <v>7.1569960000000008E-4</v>
      </c>
      <c r="J1476" s="129">
        <f t="shared" ref="J1476:J1539" si="70">E1476*H1476</f>
        <v>0.14630000000000001</v>
      </c>
    </row>
    <row r="1477" spans="1:10" hidden="1" x14ac:dyDescent="0.35">
      <c r="A1477" s="126" t="s">
        <v>460</v>
      </c>
      <c r="B1477" t="str">
        <f>_xlfn.XLOOKUP(A1477,'[1]2050Pop'!$A$7:$A$143,'[1]2050Pop'!$D$7:$D$143)</f>
        <v>LatAm &amp; RSA</v>
      </c>
      <c r="C1477" s="127">
        <f>1000*_xlfn.XLOOKUP(A1477,'[1]2050Pop'!$A$7:$A$143,'[1]2050Pop'!$C$7:$C$143)</f>
        <v>65540</v>
      </c>
      <c r="D1477" s="126" t="s">
        <v>505</v>
      </c>
      <c r="E1477" s="130">
        <v>4.04</v>
      </c>
      <c r="F1477" s="129">
        <f t="shared" ref="F1477:F1540" si="71">C1477*E1477/1000000</f>
        <v>0.26478159999999995</v>
      </c>
      <c r="G1477" t="str">
        <f>_xlfn.XLOOKUP(D1477,'[1]2050 BAU Mapping to T &amp; C'!$A$3:$A$52,'[1]2050 BAU Mapping to T &amp; C'!$B$3:$B$52)</f>
        <v xml:space="preserve">Oil crops </v>
      </c>
      <c r="H1477" s="129">
        <f>_xlfn.XLOOKUP(G1477,'[1]T&amp;C emissions for 2050 analysis'!$B$3:$B$23,'[1]T&amp;C emissions for 2050 analysis'!$C$3:$C$23)</f>
        <v>0.18333333333333335</v>
      </c>
      <c r="I1477" s="27">
        <f t="shared" si="69"/>
        <v>4.8543293333333327E-2</v>
      </c>
      <c r="J1477" s="129">
        <f t="shared" si="70"/>
        <v>0.7406666666666667</v>
      </c>
    </row>
    <row r="1478" spans="1:10" hidden="1" x14ac:dyDescent="0.35">
      <c r="A1478" s="126" t="s">
        <v>493</v>
      </c>
      <c r="B1478" t="str">
        <f>_xlfn.XLOOKUP(A1478,'[1]2050Pop'!$A$7:$A$143,'[1]2050Pop'!$D$7:$D$143)</f>
        <v>India/South Asia</v>
      </c>
      <c r="C1478" s="127">
        <f>1000*_xlfn.XLOOKUP(A1478,'[1]2050Pop'!$A$7:$A$143,'[1]2050Pop'!$C$7:$C$143)</f>
        <v>20836</v>
      </c>
      <c r="D1478" s="126" t="s">
        <v>505</v>
      </c>
      <c r="E1478" s="128">
        <v>1.5609999999999999</v>
      </c>
      <c r="F1478" s="129">
        <f t="shared" si="71"/>
        <v>3.2524996E-2</v>
      </c>
      <c r="G1478" t="str">
        <f>_xlfn.XLOOKUP(D1478,'[1]2050 BAU Mapping to T &amp; C'!$A$3:$A$52,'[1]2050 BAU Mapping to T &amp; C'!$B$3:$B$52)</f>
        <v xml:space="preserve">Oil crops </v>
      </c>
      <c r="H1478" s="129">
        <f>_xlfn.XLOOKUP(G1478,'[1]T&amp;C emissions for 2050 analysis'!$B$3:$B$23,'[1]T&amp;C emissions for 2050 analysis'!$C$3:$C$23)</f>
        <v>0.18333333333333335</v>
      </c>
      <c r="I1478" s="27">
        <f t="shared" si="69"/>
        <v>5.9629159333333343E-3</v>
      </c>
      <c r="J1478" s="129">
        <f t="shared" si="70"/>
        <v>0.28618333333333335</v>
      </c>
    </row>
    <row r="1479" spans="1:10" hidden="1" x14ac:dyDescent="0.35">
      <c r="A1479" s="126" t="s">
        <v>463</v>
      </c>
      <c r="B1479" t="str">
        <f>_xlfn.XLOOKUP(A1479,'[1]2050Pop'!$A$7:$A$143,'[1]2050Pop'!$D$7:$D$143)</f>
        <v>SSA</v>
      </c>
      <c r="C1479" s="127">
        <f>1000*_xlfn.XLOOKUP(A1479,'[1]2050Pop'!$A$7:$A$143,'[1]2050Pop'!$C$7:$C$143)</f>
        <v>1792</v>
      </c>
      <c r="D1479" s="126" t="s">
        <v>505</v>
      </c>
      <c r="E1479" s="128">
        <v>2.9129999999999998</v>
      </c>
      <c r="F1479" s="129">
        <f t="shared" si="71"/>
        <v>5.2200959999999996E-3</v>
      </c>
      <c r="G1479" t="str">
        <f>_xlfn.XLOOKUP(D1479,'[1]2050 BAU Mapping to T &amp; C'!$A$3:$A$52,'[1]2050 BAU Mapping to T &amp; C'!$B$3:$B$52)</f>
        <v xml:space="preserve">Oil crops </v>
      </c>
      <c r="H1479" s="129">
        <f>_xlfn.XLOOKUP(G1479,'[1]T&amp;C emissions for 2050 analysis'!$B$3:$B$23,'[1]T&amp;C emissions for 2050 analysis'!$C$3:$C$23)</f>
        <v>0.18333333333333335</v>
      </c>
      <c r="I1479" s="27">
        <f t="shared" si="69"/>
        <v>9.5701759999999999E-4</v>
      </c>
      <c r="J1479" s="129">
        <f t="shared" si="70"/>
        <v>0.53405000000000002</v>
      </c>
    </row>
    <row r="1480" spans="1:10" hidden="1" x14ac:dyDescent="0.35">
      <c r="A1480" s="126" t="s">
        <v>465</v>
      </c>
      <c r="B1480" t="str">
        <f>_xlfn.XLOOKUP(A1480,'[1]2050Pop'!$A$7:$A$143,'[1]2050Pop'!$D$7:$D$143)</f>
        <v>APAC</v>
      </c>
      <c r="C1480" s="127">
        <f>1000*_xlfn.XLOOKUP(A1480,'[1]2050Pop'!$A$7:$A$143,'[1]2050Pop'!$C$7:$C$143)</f>
        <v>62452</v>
      </c>
      <c r="D1480" s="126" t="s">
        <v>505</v>
      </c>
      <c r="E1480" s="128">
        <v>11.044</v>
      </c>
      <c r="F1480" s="129">
        <f t="shared" si="71"/>
        <v>0.68971988800000006</v>
      </c>
      <c r="G1480" t="str">
        <f>_xlfn.XLOOKUP(D1480,'[1]2050 BAU Mapping to T &amp; C'!$A$3:$A$52,'[1]2050 BAU Mapping to T &amp; C'!$B$3:$B$52)</f>
        <v xml:space="preserve">Oil crops </v>
      </c>
      <c r="H1480" s="129">
        <f>_xlfn.XLOOKUP(G1480,'[1]T&amp;C emissions for 2050 analysis'!$B$3:$B$23,'[1]T&amp;C emissions for 2050 analysis'!$C$3:$C$23)</f>
        <v>0.18333333333333335</v>
      </c>
      <c r="I1480" s="27">
        <f t="shared" si="69"/>
        <v>0.12644864613333334</v>
      </c>
      <c r="J1480" s="129">
        <f t="shared" si="70"/>
        <v>2.0247333333333337</v>
      </c>
    </row>
    <row r="1481" spans="1:10" hidden="1" x14ac:dyDescent="0.35">
      <c r="A1481" s="126" t="s">
        <v>466</v>
      </c>
      <c r="B1481" t="str">
        <f>_xlfn.XLOOKUP(A1481,'[1]2050Pop'!$A$7:$A$143,'[1]2050Pop'!$D$7:$D$143)</f>
        <v>SSA</v>
      </c>
      <c r="C1481" s="127">
        <f>1000*_xlfn.XLOOKUP(A1481,'[1]2050Pop'!$A$7:$A$143,'[1]2050Pop'!$C$7:$C$143)</f>
        <v>15681</v>
      </c>
      <c r="D1481" s="126" t="s">
        <v>505</v>
      </c>
      <c r="E1481" s="128">
        <v>16.419</v>
      </c>
      <c r="F1481" s="129">
        <f t="shared" si="71"/>
        <v>0.25746633899999999</v>
      </c>
      <c r="G1481" t="str">
        <f>_xlfn.XLOOKUP(D1481,'[1]2050 BAU Mapping to T &amp; C'!$A$3:$A$52,'[1]2050 BAU Mapping to T &amp; C'!$B$3:$B$52)</f>
        <v xml:space="preserve">Oil crops </v>
      </c>
      <c r="H1481" s="129">
        <f>_xlfn.XLOOKUP(G1481,'[1]T&amp;C emissions for 2050 analysis'!$B$3:$B$23,'[1]T&amp;C emissions for 2050 analysis'!$C$3:$C$23)</f>
        <v>0.18333333333333335</v>
      </c>
      <c r="I1481" s="27">
        <f t="shared" si="69"/>
        <v>4.7202162150000004E-2</v>
      </c>
      <c r="J1481" s="129">
        <f t="shared" si="70"/>
        <v>3.0101500000000003</v>
      </c>
    </row>
    <row r="1482" spans="1:10" hidden="1" x14ac:dyDescent="0.35">
      <c r="A1482" s="126" t="s">
        <v>467</v>
      </c>
      <c r="B1482" t="str">
        <f>_xlfn.XLOOKUP(A1482,'[1]2050Pop'!$A$7:$A$143,'[1]2050Pop'!$D$7:$D$143)</f>
        <v>LatAm &amp; RSA</v>
      </c>
      <c r="C1482" s="127">
        <f>1000*_xlfn.XLOOKUP(A1482,'[1]2050Pop'!$A$7:$A$143,'[1]2050Pop'!$C$7:$C$143)</f>
        <v>1291</v>
      </c>
      <c r="D1482" s="126" t="s">
        <v>505</v>
      </c>
      <c r="E1482" s="128">
        <v>6.5640000000000001</v>
      </c>
      <c r="F1482" s="129">
        <f t="shared" si="71"/>
        <v>8.4741239999999995E-3</v>
      </c>
      <c r="G1482" t="str">
        <f>_xlfn.XLOOKUP(D1482,'[1]2050 BAU Mapping to T &amp; C'!$A$3:$A$52,'[1]2050 BAU Mapping to T &amp; C'!$B$3:$B$52)</f>
        <v xml:space="preserve">Oil crops </v>
      </c>
      <c r="H1482" s="129">
        <f>_xlfn.XLOOKUP(G1482,'[1]T&amp;C emissions for 2050 analysis'!$B$3:$B$23,'[1]T&amp;C emissions for 2050 analysis'!$C$3:$C$23)</f>
        <v>0.18333333333333335</v>
      </c>
      <c r="I1482" s="27">
        <f t="shared" si="69"/>
        <v>1.5535894000000001E-3</v>
      </c>
      <c r="J1482" s="129">
        <f t="shared" si="70"/>
        <v>1.2034</v>
      </c>
    </row>
    <row r="1483" spans="1:10" hidden="1" x14ac:dyDescent="0.35">
      <c r="A1483" s="126" t="s">
        <v>470</v>
      </c>
      <c r="B1483" t="str">
        <f>_xlfn.XLOOKUP(A1483,'[1]2050Pop'!$A$7:$A$143,'[1]2050Pop'!$D$7:$D$143)</f>
        <v>SSA</v>
      </c>
      <c r="C1483" s="127">
        <f>1000*_xlfn.XLOOKUP(A1483,'[1]2050Pop'!$A$7:$A$143,'[1]2050Pop'!$C$7:$C$143)</f>
        <v>101873</v>
      </c>
      <c r="D1483" s="126" t="s">
        <v>505</v>
      </c>
      <c r="E1483" s="128">
        <v>4.9980000000000002</v>
      </c>
      <c r="F1483" s="129">
        <f t="shared" si="71"/>
        <v>0.50916125400000001</v>
      </c>
      <c r="G1483" t="str">
        <f>_xlfn.XLOOKUP(D1483,'[1]2050 BAU Mapping to T &amp; C'!$A$3:$A$52,'[1]2050 BAU Mapping to T &amp; C'!$B$3:$B$52)</f>
        <v xml:space="preserve">Oil crops </v>
      </c>
      <c r="H1483" s="129">
        <f>_xlfn.XLOOKUP(G1483,'[1]T&amp;C emissions for 2050 analysis'!$B$3:$B$23,'[1]T&amp;C emissions for 2050 analysis'!$C$3:$C$23)</f>
        <v>0.18333333333333335</v>
      </c>
      <c r="I1483" s="27">
        <f t="shared" si="69"/>
        <v>9.3346229900000008E-2</v>
      </c>
      <c r="J1483" s="129">
        <f t="shared" si="70"/>
        <v>0.91630000000000011</v>
      </c>
    </row>
    <row r="1484" spans="1:10" hidden="1" x14ac:dyDescent="0.35">
      <c r="A1484" s="126" t="s">
        <v>472</v>
      </c>
      <c r="B1484" t="str">
        <f>_xlfn.XLOOKUP(A1484,'[1]2050Pop'!$A$7:$A$143,'[1]2050Pop'!$D$7:$D$143)</f>
        <v>Euro/AU/NZ</v>
      </c>
      <c r="C1484" s="127">
        <f>1000*_xlfn.XLOOKUP(A1484,'[1]2050Pop'!$A$7:$A$143,'[1]2050Pop'!$C$7:$C$143)</f>
        <v>75361</v>
      </c>
      <c r="D1484" s="126" t="s">
        <v>505</v>
      </c>
      <c r="E1484" s="128">
        <v>0.83799999999999997</v>
      </c>
      <c r="F1484" s="129">
        <f t="shared" si="71"/>
        <v>6.3152517999999991E-2</v>
      </c>
      <c r="G1484" t="str">
        <f>_xlfn.XLOOKUP(D1484,'[1]2050 BAU Mapping to T &amp; C'!$A$3:$A$52,'[1]2050 BAU Mapping to T &amp; C'!$B$3:$B$52)</f>
        <v xml:space="preserve">Oil crops </v>
      </c>
      <c r="H1484" s="129">
        <f>_xlfn.XLOOKUP(G1484,'[1]T&amp;C emissions for 2050 analysis'!$B$3:$B$23,'[1]T&amp;C emissions for 2050 analysis'!$C$3:$C$23)</f>
        <v>0.18333333333333335</v>
      </c>
      <c r="I1484" s="27">
        <f t="shared" si="69"/>
        <v>1.1577961633333333E-2</v>
      </c>
      <c r="J1484" s="129">
        <f t="shared" si="70"/>
        <v>0.15363333333333334</v>
      </c>
    </row>
    <row r="1485" spans="1:10" hidden="1" x14ac:dyDescent="0.35">
      <c r="A1485" s="126" t="s">
        <v>473</v>
      </c>
      <c r="B1485" t="str">
        <f>_xlfn.XLOOKUP(A1485,'[1]2050Pop'!$A$7:$A$143,'[1]2050Pop'!$D$7:$D$143)</f>
        <v>SSA</v>
      </c>
      <c r="C1485" s="127">
        <f>1000*_xlfn.XLOOKUP(A1485,'[1]2050Pop'!$A$7:$A$143,'[1]2050Pop'!$C$7:$C$143)</f>
        <v>137136</v>
      </c>
      <c r="D1485" s="126" t="s">
        <v>505</v>
      </c>
      <c r="E1485" s="128">
        <v>3.948</v>
      </c>
      <c r="F1485" s="129">
        <f t="shared" si="71"/>
        <v>0.54141292799999996</v>
      </c>
      <c r="G1485" t="str">
        <f>_xlfn.XLOOKUP(D1485,'[1]2050 BAU Mapping to T &amp; C'!$A$3:$A$52,'[1]2050 BAU Mapping to T &amp; C'!$B$3:$B$52)</f>
        <v xml:space="preserve">Oil crops </v>
      </c>
      <c r="H1485" s="129">
        <f>_xlfn.XLOOKUP(G1485,'[1]T&amp;C emissions for 2050 analysis'!$B$3:$B$23,'[1]T&amp;C emissions for 2050 analysis'!$C$3:$C$23)</f>
        <v>0.18333333333333335</v>
      </c>
      <c r="I1485" s="27">
        <f t="shared" si="69"/>
        <v>9.9259036800000006E-2</v>
      </c>
      <c r="J1485" s="129">
        <f t="shared" si="70"/>
        <v>0.7238</v>
      </c>
    </row>
    <row r="1486" spans="1:10" hidden="1" x14ac:dyDescent="0.35">
      <c r="A1486" s="126" t="s">
        <v>474</v>
      </c>
      <c r="B1486" t="str">
        <f>_xlfn.XLOOKUP(A1486,'[1]2050Pop'!$A$7:$A$143,'[1]2050Pop'!$D$7:$D$143)</f>
        <v>NAm</v>
      </c>
      <c r="C1486" s="127">
        <f>1000*_xlfn.XLOOKUP(A1486,'[1]2050Pop'!$A$7:$A$143,'[1]2050Pop'!$C$7:$C$143)</f>
        <v>388865</v>
      </c>
      <c r="D1486" s="126" t="s">
        <v>505</v>
      </c>
      <c r="E1486" s="128">
        <v>5.0220000000000002</v>
      </c>
      <c r="F1486" s="129">
        <f t="shared" si="71"/>
        <v>1.95288003</v>
      </c>
      <c r="G1486" t="str">
        <f>_xlfn.XLOOKUP(D1486,'[1]2050 BAU Mapping to T &amp; C'!$A$3:$A$52,'[1]2050 BAU Mapping to T &amp; C'!$B$3:$B$52)</f>
        <v xml:space="preserve">Oil crops </v>
      </c>
      <c r="H1486" s="129">
        <f>_xlfn.XLOOKUP(G1486,'[1]T&amp;C emissions for 2050 analysis'!$B$3:$B$23,'[1]T&amp;C emissions for 2050 analysis'!$C$3:$C$23)</f>
        <v>0.18333333333333335</v>
      </c>
      <c r="I1486" s="27">
        <f t="shared" si="69"/>
        <v>0.35802800550000002</v>
      </c>
      <c r="J1486" s="129">
        <f t="shared" si="70"/>
        <v>0.92070000000000007</v>
      </c>
    </row>
    <row r="1487" spans="1:10" hidden="1" x14ac:dyDescent="0.35">
      <c r="A1487" s="126" t="s">
        <v>475</v>
      </c>
      <c r="B1487" t="str">
        <f>_xlfn.XLOOKUP(A1487,'[1]2050Pop'!$A$7:$A$143,'[1]2050Pop'!$D$7:$D$143)</f>
        <v>LatAm &amp; RSA</v>
      </c>
      <c r="C1487" s="127">
        <f>1000*_xlfn.XLOOKUP(A1487,'[1]2050Pop'!$A$7:$A$143,'[1]2050Pop'!$C$7:$C$143)</f>
        <v>3667</v>
      </c>
      <c r="D1487" s="126" t="s">
        <v>505</v>
      </c>
      <c r="E1487" s="128">
        <v>2.6589999999999998</v>
      </c>
      <c r="F1487" s="129">
        <f t="shared" si="71"/>
        <v>9.7505530000000003E-3</v>
      </c>
      <c r="G1487" t="str">
        <f>_xlfn.XLOOKUP(D1487,'[1]2050 BAU Mapping to T &amp; C'!$A$3:$A$52,'[1]2050 BAU Mapping to T &amp; C'!$B$3:$B$52)</f>
        <v xml:space="preserve">Oil crops </v>
      </c>
      <c r="H1487" s="129">
        <f>_xlfn.XLOOKUP(G1487,'[1]T&amp;C emissions for 2050 analysis'!$B$3:$B$23,'[1]T&amp;C emissions for 2050 analysis'!$C$3:$C$23)</f>
        <v>0.18333333333333335</v>
      </c>
      <c r="I1487" s="27">
        <f t="shared" si="69"/>
        <v>1.7876013833333336E-3</v>
      </c>
      <c r="J1487" s="129">
        <f t="shared" si="70"/>
        <v>0.48748333333333332</v>
      </c>
    </row>
    <row r="1488" spans="1:10" hidden="1" x14ac:dyDescent="0.35">
      <c r="A1488" s="126" t="s">
        <v>476</v>
      </c>
      <c r="B1488" t="str">
        <f>_xlfn.XLOOKUP(A1488,'[1]2050Pop'!$A$7:$A$143,'[1]2050Pop'!$D$7:$D$143)</f>
        <v>LatAm &amp; RSA</v>
      </c>
      <c r="C1488" s="127">
        <f>1000*_xlfn.XLOOKUP(A1488,'[1]2050Pop'!$A$7:$A$143,'[1]2050Pop'!$C$7:$C$143)</f>
        <v>41562</v>
      </c>
      <c r="D1488" s="126" t="s">
        <v>505</v>
      </c>
      <c r="E1488" s="128">
        <v>1.1919999999999999</v>
      </c>
      <c r="F1488" s="129">
        <f t="shared" si="71"/>
        <v>4.9541903999999998E-2</v>
      </c>
      <c r="G1488" t="str">
        <f>_xlfn.XLOOKUP(D1488,'[1]2050 BAU Mapping to T &amp; C'!$A$3:$A$52,'[1]2050 BAU Mapping to T &amp; C'!$B$3:$B$52)</f>
        <v xml:space="preserve">Oil crops </v>
      </c>
      <c r="H1488" s="129">
        <f>_xlfn.XLOOKUP(G1488,'[1]T&amp;C emissions for 2050 analysis'!$B$3:$B$23,'[1]T&amp;C emissions for 2050 analysis'!$C$3:$C$23)</f>
        <v>0.18333333333333335</v>
      </c>
      <c r="I1488" s="27">
        <f t="shared" si="69"/>
        <v>9.0826824E-3</v>
      </c>
      <c r="J1488" s="129">
        <f t="shared" si="70"/>
        <v>0.21853333333333333</v>
      </c>
    </row>
    <row r="1489" spans="1:10" hidden="1" x14ac:dyDescent="0.35">
      <c r="A1489" s="126" t="s">
        <v>477</v>
      </c>
      <c r="B1489" t="str">
        <f>_xlfn.XLOOKUP(A1489,'[1]2050Pop'!$A$7:$A$143,'[1]2050Pop'!$D$7:$D$143)</f>
        <v>APAC</v>
      </c>
      <c r="C1489" s="127">
        <f>1000*_xlfn.XLOOKUP(A1489,'[1]2050Pop'!$A$7:$A$143,'[1]2050Pop'!$C$7:$C$143)</f>
        <v>112783</v>
      </c>
      <c r="D1489" s="126" t="s">
        <v>505</v>
      </c>
      <c r="E1489" s="130">
        <v>10.58</v>
      </c>
      <c r="F1489" s="129">
        <f t="shared" si="71"/>
        <v>1.1932441399999998</v>
      </c>
      <c r="G1489" t="str">
        <f>_xlfn.XLOOKUP(D1489,'[1]2050 BAU Mapping to T &amp; C'!$A$3:$A$52,'[1]2050 BAU Mapping to T &amp; C'!$B$3:$B$52)</f>
        <v xml:space="preserve">Oil crops </v>
      </c>
      <c r="H1489" s="129">
        <f>_xlfn.XLOOKUP(G1489,'[1]T&amp;C emissions for 2050 analysis'!$B$3:$B$23,'[1]T&amp;C emissions for 2050 analysis'!$C$3:$C$23)</f>
        <v>0.18333333333333335</v>
      </c>
      <c r="I1489" s="27">
        <f t="shared" si="69"/>
        <v>0.21876142566666665</v>
      </c>
      <c r="J1489" s="129">
        <f t="shared" si="70"/>
        <v>1.9396666666666669</v>
      </c>
    </row>
    <row r="1490" spans="1:10" hidden="1" x14ac:dyDescent="0.35">
      <c r="A1490" s="126" t="s">
        <v>494</v>
      </c>
      <c r="B1490" t="str">
        <f>_xlfn.XLOOKUP(A1490,'[1]2050Pop'!$A$7:$A$143,'[1]2050Pop'!$D$7:$D$143)</f>
        <v>SSA</v>
      </c>
      <c r="C1490" s="127">
        <f>1000*_xlfn.XLOOKUP(A1490,'[1]2050Pop'!$A$7:$A$143,'[1]2050Pop'!$C$7:$C$143)</f>
        <v>42975</v>
      </c>
      <c r="D1490" s="126" t="s">
        <v>505</v>
      </c>
      <c r="E1490" s="128">
        <v>8.9749999999999996</v>
      </c>
      <c r="F1490" s="129">
        <f t="shared" si="71"/>
        <v>0.38570062500000002</v>
      </c>
      <c r="G1490" t="str">
        <f>_xlfn.XLOOKUP(D1490,'[1]2050 BAU Mapping to T &amp; C'!$A$3:$A$52,'[1]2050 BAU Mapping to T &amp; C'!$B$3:$B$52)</f>
        <v xml:space="preserve">Oil crops </v>
      </c>
      <c r="H1490" s="129">
        <f>_xlfn.XLOOKUP(G1490,'[1]T&amp;C emissions for 2050 analysis'!$B$3:$B$23,'[1]T&amp;C emissions for 2050 analysis'!$C$3:$C$23)</f>
        <v>0.18333333333333335</v>
      </c>
      <c r="I1490" s="27">
        <f t="shared" si="69"/>
        <v>7.0711781250000008E-2</v>
      </c>
      <c r="J1490" s="129">
        <f t="shared" si="70"/>
        <v>1.6454166666666667</v>
      </c>
    </row>
    <row r="1491" spans="1:10" hidden="1" x14ac:dyDescent="0.35">
      <c r="A1491" s="126" t="s">
        <v>479</v>
      </c>
      <c r="B1491" t="str">
        <f>_xlfn.XLOOKUP(A1491,'[1]2050Pop'!$A$7:$A$143,'[1]2050Pop'!$D$7:$D$143)</f>
        <v>SSA</v>
      </c>
      <c r="C1491" s="127">
        <f>1000*_xlfn.XLOOKUP(A1491,'[1]2050Pop'!$A$7:$A$143,'[1]2050Pop'!$C$7:$C$143)</f>
        <v>29615</v>
      </c>
      <c r="D1491" s="126" t="s">
        <v>505</v>
      </c>
      <c r="E1491" s="128">
        <v>18.760999999999999</v>
      </c>
      <c r="F1491" s="129">
        <f t="shared" si="71"/>
        <v>0.55560701499999998</v>
      </c>
      <c r="G1491" t="str">
        <f>_xlfn.XLOOKUP(D1491,'[1]2050 BAU Mapping to T &amp; C'!$A$3:$A$52,'[1]2050 BAU Mapping to T &amp; C'!$B$3:$B$52)</f>
        <v xml:space="preserve">Oil crops </v>
      </c>
      <c r="H1491" s="129">
        <f>_xlfn.XLOOKUP(G1491,'[1]T&amp;C emissions for 2050 analysis'!$B$3:$B$23,'[1]T&amp;C emissions for 2050 analysis'!$C$3:$C$23)</f>
        <v>0.18333333333333335</v>
      </c>
      <c r="I1491" s="27">
        <f t="shared" si="69"/>
        <v>0.10186128608333334</v>
      </c>
      <c r="J1491" s="129">
        <f t="shared" si="70"/>
        <v>3.439516666666667</v>
      </c>
    </row>
    <row r="1492" spans="1:10" hidden="1" x14ac:dyDescent="0.35">
      <c r="A1492" s="126" t="s">
        <v>357</v>
      </c>
      <c r="B1492" t="str">
        <f>_xlfn.XLOOKUP(A1492,'[1]2050Pop'!$A$7:$A$143,'[1]2050Pop'!$D$7:$D$143)</f>
        <v>Euro/AU/NZ</v>
      </c>
      <c r="C1492" s="127">
        <f>1000*_xlfn.XLOOKUP(A1492,'[1]2050Pop'!$A$7:$A$143,'[1]2050Pop'!$C$7:$C$143)</f>
        <v>2710</v>
      </c>
      <c r="D1492" s="126" t="s">
        <v>506</v>
      </c>
      <c r="E1492" s="128">
        <v>2.056</v>
      </c>
      <c r="F1492" s="129">
        <f t="shared" si="71"/>
        <v>5.5717600000000003E-3</v>
      </c>
      <c r="G1492" t="str">
        <f>_xlfn.XLOOKUP(D1492,'[1]2050 BAU Mapping to T &amp; C'!$A$3:$A$52,'[1]2050 BAU Mapping to T &amp; C'!$B$3:$B$52)</f>
        <v>Legumes</v>
      </c>
      <c r="H1492" s="129">
        <f>_xlfn.XLOOKUP(G1492,'[1]T&amp;C emissions for 2050 analysis'!$B$3:$B$23,'[1]T&amp;C emissions for 2050 analysis'!$C$3:$C$23)</f>
        <v>7.3333333333333334E-2</v>
      </c>
      <c r="I1492" s="27">
        <f t="shared" si="69"/>
        <v>4.0859573333333334E-4</v>
      </c>
      <c r="J1492" s="129">
        <f t="shared" si="70"/>
        <v>0.15077333333333334</v>
      </c>
    </row>
    <row r="1493" spans="1:10" hidden="1" x14ac:dyDescent="0.35">
      <c r="A1493" s="126" t="s">
        <v>358</v>
      </c>
      <c r="B1493" t="str">
        <f>_xlfn.XLOOKUP(A1493,'[1]2050Pop'!$A$7:$A$143,'[1]2050Pop'!$D$7:$D$143)</f>
        <v>MENA</v>
      </c>
      <c r="C1493" s="127">
        <f>1000*_xlfn.XLOOKUP(A1493,'[1]2050Pop'!$A$7:$A$143,'[1]2050Pop'!$C$7:$C$143)</f>
        <v>56461</v>
      </c>
      <c r="D1493" s="126" t="s">
        <v>506</v>
      </c>
      <c r="E1493" s="128">
        <v>4.0529999999999999</v>
      </c>
      <c r="F1493" s="129">
        <f t="shared" si="71"/>
        <v>0.22883643299999998</v>
      </c>
      <c r="G1493" t="str">
        <f>_xlfn.XLOOKUP(D1493,'[1]2050 BAU Mapping to T &amp; C'!$A$3:$A$52,'[1]2050 BAU Mapping to T &amp; C'!$B$3:$B$52)</f>
        <v>Legumes</v>
      </c>
      <c r="H1493" s="129">
        <f>_xlfn.XLOOKUP(G1493,'[1]T&amp;C emissions for 2050 analysis'!$B$3:$B$23,'[1]T&amp;C emissions for 2050 analysis'!$C$3:$C$23)</f>
        <v>7.3333333333333334E-2</v>
      </c>
      <c r="I1493" s="27">
        <f t="shared" si="69"/>
        <v>1.678133842E-2</v>
      </c>
      <c r="J1493" s="129">
        <f t="shared" si="70"/>
        <v>0.29721999999999998</v>
      </c>
    </row>
    <row r="1494" spans="1:10" hidden="1" x14ac:dyDescent="0.35">
      <c r="A1494" s="126" t="s">
        <v>359</v>
      </c>
      <c r="B1494" t="str">
        <f>_xlfn.XLOOKUP(A1494,'[1]2050Pop'!$A$7:$A$143,'[1]2050Pop'!$D$7:$D$143)</f>
        <v>SSA</v>
      </c>
      <c r="C1494" s="127">
        <f>1000*_xlfn.XLOOKUP(A1494,'[1]2050Pop'!$A$7:$A$143,'[1]2050Pop'!$C$7:$C$143)</f>
        <v>65473</v>
      </c>
      <c r="D1494" s="126" t="s">
        <v>506</v>
      </c>
      <c r="E1494" s="128">
        <v>24.350999999999999</v>
      </c>
      <c r="F1494" s="129">
        <f t="shared" si="71"/>
        <v>1.5943330230000001</v>
      </c>
      <c r="G1494" t="str">
        <f>_xlfn.XLOOKUP(D1494,'[1]2050 BAU Mapping to T &amp; C'!$A$3:$A$52,'[1]2050 BAU Mapping to T &amp; C'!$B$3:$B$52)</f>
        <v>Legumes</v>
      </c>
      <c r="H1494" s="129">
        <f>_xlfn.XLOOKUP(G1494,'[1]T&amp;C emissions for 2050 analysis'!$B$3:$B$23,'[1]T&amp;C emissions for 2050 analysis'!$C$3:$C$23)</f>
        <v>7.3333333333333334E-2</v>
      </c>
      <c r="I1494" s="27">
        <f t="shared" si="69"/>
        <v>0.11691775502000001</v>
      </c>
      <c r="J1494" s="129">
        <f t="shared" si="70"/>
        <v>1.7857399999999999</v>
      </c>
    </row>
    <row r="1495" spans="1:10" hidden="1" x14ac:dyDescent="0.35">
      <c r="A1495" s="126" t="s">
        <v>360</v>
      </c>
      <c r="B1495" t="str">
        <f>_xlfn.XLOOKUP(A1495,'[1]2050Pop'!$A$7:$A$143,'[1]2050Pop'!$D$7:$D$143)</f>
        <v>LatAm &amp; RSA</v>
      </c>
      <c r="C1495" s="127">
        <f>1000*_xlfn.XLOOKUP(A1495,'[1]2050Pop'!$A$7:$A$143,'[1]2050Pop'!$C$7:$C$143)</f>
        <v>55445</v>
      </c>
      <c r="D1495" s="126" t="s">
        <v>506</v>
      </c>
      <c r="E1495" s="128">
        <v>1.012</v>
      </c>
      <c r="F1495" s="129">
        <f t="shared" si="71"/>
        <v>5.6110340000000002E-2</v>
      </c>
      <c r="G1495" t="str">
        <f>_xlfn.XLOOKUP(D1495,'[1]2050 BAU Mapping to T &amp; C'!$A$3:$A$52,'[1]2050 BAU Mapping to T &amp; C'!$B$3:$B$52)</f>
        <v>Legumes</v>
      </c>
      <c r="H1495" s="129">
        <f>_xlfn.XLOOKUP(G1495,'[1]T&amp;C emissions for 2050 analysis'!$B$3:$B$23,'[1]T&amp;C emissions for 2050 analysis'!$C$3:$C$23)</f>
        <v>7.3333333333333334E-2</v>
      </c>
      <c r="I1495" s="27">
        <f t="shared" si="69"/>
        <v>4.1147582666666667E-3</v>
      </c>
      <c r="J1495" s="129">
        <f t="shared" si="70"/>
        <v>7.4213333333333339E-2</v>
      </c>
    </row>
    <row r="1496" spans="1:10" hidden="1" x14ac:dyDescent="0.35">
      <c r="A1496" s="126" t="s">
        <v>361</v>
      </c>
      <c r="B1496" t="str">
        <f>_xlfn.XLOOKUP(A1496,'[1]2050Pop'!$A$7:$A$143,'[1]2050Pop'!$D$7:$D$143)</f>
        <v>MENA</v>
      </c>
      <c r="C1496" s="127">
        <f>1000*_xlfn.XLOOKUP(A1496,'[1]2050Pop'!$A$7:$A$143,'[1]2050Pop'!$C$7:$C$143)</f>
        <v>2729</v>
      </c>
      <c r="D1496" s="126" t="s">
        <v>506</v>
      </c>
      <c r="E1496" s="128">
        <v>6.7519999999999998</v>
      </c>
      <c r="F1496" s="129">
        <f t="shared" si="71"/>
        <v>1.8426207999999999E-2</v>
      </c>
      <c r="G1496" t="str">
        <f>_xlfn.XLOOKUP(D1496,'[1]2050 BAU Mapping to T &amp; C'!$A$3:$A$52,'[1]2050 BAU Mapping to T &amp; C'!$B$3:$B$52)</f>
        <v>Legumes</v>
      </c>
      <c r="H1496" s="129">
        <f>_xlfn.XLOOKUP(G1496,'[1]T&amp;C emissions for 2050 analysis'!$B$3:$B$23,'[1]T&amp;C emissions for 2050 analysis'!$C$3:$C$23)</f>
        <v>7.3333333333333334E-2</v>
      </c>
      <c r="I1496" s="27">
        <f t="shared" si="69"/>
        <v>1.3512552533333333E-3</v>
      </c>
      <c r="J1496" s="129">
        <f t="shared" si="70"/>
        <v>0.49514666666666668</v>
      </c>
    </row>
    <row r="1497" spans="1:10" hidden="1" x14ac:dyDescent="0.35">
      <c r="A1497" s="126" t="s">
        <v>362</v>
      </c>
      <c r="B1497" t="str">
        <f>_xlfn.XLOOKUP(A1497,'[1]2050Pop'!$A$7:$A$143,'[1]2050Pop'!$D$7:$D$143)</f>
        <v>Euro/AU/NZ</v>
      </c>
      <c r="C1497" s="127">
        <f>1000*_xlfn.XLOOKUP(A1497,'[1]2050Pop'!$A$7:$A$143,'[1]2050Pop'!$C$7:$C$143)</f>
        <v>33496</v>
      </c>
      <c r="D1497" s="126" t="s">
        <v>506</v>
      </c>
      <c r="E1497" s="128">
        <v>19.298999999999999</v>
      </c>
      <c r="F1497" s="129">
        <f t="shared" si="71"/>
        <v>0.64643930400000005</v>
      </c>
      <c r="G1497" t="str">
        <f>_xlfn.XLOOKUP(D1497,'[1]2050 BAU Mapping to T &amp; C'!$A$3:$A$52,'[1]2050 BAU Mapping to T &amp; C'!$B$3:$B$52)</f>
        <v>Legumes</v>
      </c>
      <c r="H1497" s="129">
        <f>_xlfn.XLOOKUP(G1497,'[1]T&amp;C emissions for 2050 analysis'!$B$3:$B$23,'[1]T&amp;C emissions for 2050 analysis'!$C$3:$C$23)</f>
        <v>7.3333333333333334E-2</v>
      </c>
      <c r="I1497" s="27">
        <f t="shared" si="69"/>
        <v>4.7405548960000002E-2</v>
      </c>
      <c r="J1497" s="129">
        <f t="shared" si="70"/>
        <v>1.41526</v>
      </c>
    </row>
    <row r="1498" spans="1:10" hidden="1" x14ac:dyDescent="0.35">
      <c r="A1498" s="126" t="s">
        <v>363</v>
      </c>
      <c r="B1498" t="str">
        <f>_xlfn.XLOOKUP(A1498,'[1]2050Pop'!$A$7:$A$143,'[1]2050Pop'!$D$7:$D$143)</f>
        <v>Euro/AU/NZ</v>
      </c>
      <c r="C1498" s="127">
        <f>1000*_xlfn.XLOOKUP(A1498,'[1]2050Pop'!$A$7:$A$143,'[1]2050Pop'!$C$7:$C$143)</f>
        <v>8846</v>
      </c>
      <c r="D1498" s="126" t="s">
        <v>506</v>
      </c>
      <c r="E1498" s="128">
        <v>12.815</v>
      </c>
      <c r="F1498" s="129">
        <f t="shared" si="71"/>
        <v>0.11336149</v>
      </c>
      <c r="G1498" t="str">
        <f>_xlfn.XLOOKUP(D1498,'[1]2050 BAU Mapping to T &amp; C'!$A$3:$A$52,'[1]2050 BAU Mapping to T &amp; C'!$B$3:$B$52)</f>
        <v>Legumes</v>
      </c>
      <c r="H1498" s="129">
        <f>_xlfn.XLOOKUP(G1498,'[1]T&amp;C emissions for 2050 analysis'!$B$3:$B$23,'[1]T&amp;C emissions for 2050 analysis'!$C$3:$C$23)</f>
        <v>7.3333333333333334E-2</v>
      </c>
      <c r="I1498" s="27">
        <f t="shared" si="69"/>
        <v>8.3131759333333333E-3</v>
      </c>
      <c r="J1498" s="129">
        <f t="shared" si="70"/>
        <v>0.93976666666666664</v>
      </c>
    </row>
    <row r="1499" spans="1:10" hidden="1" x14ac:dyDescent="0.35">
      <c r="A1499" s="126" t="s">
        <v>364</v>
      </c>
      <c r="B1499" t="str">
        <f>_xlfn.XLOOKUP(A1499,'[1]2050Pop'!$A$7:$A$143,'[1]2050Pop'!$D$7:$D$143)</f>
        <v>MENA</v>
      </c>
      <c r="C1499" s="127">
        <f>1000*_xlfn.XLOOKUP(A1499,'[1]2050Pop'!$A$7:$A$143,'[1]2050Pop'!$C$7:$C$143)</f>
        <v>10963</v>
      </c>
      <c r="D1499" s="126" t="s">
        <v>506</v>
      </c>
      <c r="E1499" s="128">
        <v>3.2679999999999998</v>
      </c>
      <c r="F1499" s="129">
        <f t="shared" si="71"/>
        <v>3.5827083999999995E-2</v>
      </c>
      <c r="G1499" t="str">
        <f>_xlfn.XLOOKUP(D1499,'[1]2050 BAU Mapping to T &amp; C'!$A$3:$A$52,'[1]2050 BAU Mapping to T &amp; C'!$B$3:$B$52)</f>
        <v>Legumes</v>
      </c>
      <c r="H1499" s="129">
        <f>_xlfn.XLOOKUP(G1499,'[1]T&amp;C emissions for 2050 analysis'!$B$3:$B$23,'[1]T&amp;C emissions for 2050 analysis'!$C$3:$C$23)</f>
        <v>7.3333333333333334E-2</v>
      </c>
      <c r="I1499" s="27">
        <f t="shared" si="69"/>
        <v>2.6273194933333329E-3</v>
      </c>
      <c r="J1499" s="129">
        <f t="shared" si="70"/>
        <v>0.23965333333333333</v>
      </c>
    </row>
    <row r="1500" spans="1:10" hidden="1" x14ac:dyDescent="0.35">
      <c r="A1500" s="126" t="s">
        <v>365</v>
      </c>
      <c r="B1500" t="str">
        <f>_xlfn.XLOOKUP(A1500,'[1]2050Pop'!$A$7:$A$143,'[1]2050Pop'!$D$7:$D$143)</f>
        <v>India/South Asia</v>
      </c>
      <c r="C1500" s="127">
        <f>1000*_xlfn.XLOOKUP(A1500,'[1]2050Pop'!$A$7:$A$143,'[1]2050Pop'!$C$7:$C$143)</f>
        <v>202209</v>
      </c>
      <c r="D1500" s="126" t="s">
        <v>506</v>
      </c>
      <c r="E1500" s="128">
        <v>1.163</v>
      </c>
      <c r="F1500" s="129">
        <f t="shared" si="71"/>
        <v>0.23516906700000001</v>
      </c>
      <c r="G1500" t="str">
        <f>_xlfn.XLOOKUP(D1500,'[1]2050 BAU Mapping to T &amp; C'!$A$3:$A$52,'[1]2050 BAU Mapping to T &amp; C'!$B$3:$B$52)</f>
        <v>Legumes</v>
      </c>
      <c r="H1500" s="129">
        <f>_xlfn.XLOOKUP(G1500,'[1]T&amp;C emissions for 2050 analysis'!$B$3:$B$23,'[1]T&amp;C emissions for 2050 analysis'!$C$3:$C$23)</f>
        <v>7.3333333333333334E-2</v>
      </c>
      <c r="I1500" s="27">
        <f t="shared" si="69"/>
        <v>1.724573158E-2</v>
      </c>
      <c r="J1500" s="129">
        <f t="shared" si="70"/>
        <v>8.5286666666666663E-2</v>
      </c>
    </row>
    <row r="1501" spans="1:10" hidden="1" x14ac:dyDescent="0.35">
      <c r="A1501" s="126" t="s">
        <v>366</v>
      </c>
      <c r="B1501" t="str">
        <f>_xlfn.XLOOKUP(A1501,'[1]2050Pop'!$A$7:$A$143,'[1]2050Pop'!$D$7:$D$143)</f>
        <v>Euro/AU/NZ</v>
      </c>
      <c r="C1501" s="127">
        <f>1000*_xlfn.XLOOKUP(A1501,'[1]2050Pop'!$A$7:$A$143,'[1]2050Pop'!$C$7:$C$143)</f>
        <v>8125</v>
      </c>
      <c r="D1501" s="126" t="s">
        <v>506</v>
      </c>
      <c r="E1501" s="128">
        <v>8.077</v>
      </c>
      <c r="F1501" s="129">
        <f t="shared" si="71"/>
        <v>6.5625625000000007E-2</v>
      </c>
      <c r="G1501" t="str">
        <f>_xlfn.XLOOKUP(D1501,'[1]2050 BAU Mapping to T &amp; C'!$A$3:$A$52,'[1]2050 BAU Mapping to T &amp; C'!$B$3:$B$52)</f>
        <v>Legumes</v>
      </c>
      <c r="H1501" s="129">
        <f>_xlfn.XLOOKUP(G1501,'[1]T&amp;C emissions for 2050 analysis'!$B$3:$B$23,'[1]T&amp;C emissions for 2050 analysis'!$C$3:$C$23)</f>
        <v>7.3333333333333334E-2</v>
      </c>
      <c r="I1501" s="27">
        <f t="shared" si="69"/>
        <v>4.8125458333333334E-3</v>
      </c>
      <c r="J1501" s="129">
        <f t="shared" si="70"/>
        <v>0.59231333333333336</v>
      </c>
    </row>
    <row r="1502" spans="1:10" hidden="1" x14ac:dyDescent="0.35">
      <c r="A1502" s="126" t="s">
        <v>367</v>
      </c>
      <c r="B1502" t="str">
        <f>_xlfn.XLOOKUP(A1502,'[1]2050Pop'!$A$7:$A$143,'[1]2050Pop'!$D$7:$D$143)</f>
        <v>Euro/AU/NZ</v>
      </c>
      <c r="C1502" s="127">
        <f>1000*_xlfn.XLOOKUP(A1502,'[1]2050Pop'!$A$7:$A$143,'[1]2050Pop'!$C$7:$C$143)</f>
        <v>12527</v>
      </c>
      <c r="D1502" s="126" t="s">
        <v>506</v>
      </c>
      <c r="E1502" s="130">
        <v>2.54</v>
      </c>
      <c r="F1502" s="129">
        <f t="shared" si="71"/>
        <v>3.1818579999999999E-2</v>
      </c>
      <c r="G1502" t="str">
        <f>_xlfn.XLOOKUP(D1502,'[1]2050 BAU Mapping to T &amp; C'!$A$3:$A$52,'[1]2050 BAU Mapping to T &amp; C'!$B$3:$B$52)</f>
        <v>Legumes</v>
      </c>
      <c r="H1502" s="129">
        <f>_xlfn.XLOOKUP(G1502,'[1]T&amp;C emissions for 2050 analysis'!$B$3:$B$23,'[1]T&amp;C emissions for 2050 analysis'!$C$3:$C$23)</f>
        <v>7.3333333333333334E-2</v>
      </c>
      <c r="I1502" s="27">
        <f t="shared" si="69"/>
        <v>2.3333625333333331E-3</v>
      </c>
      <c r="J1502" s="129">
        <f t="shared" si="70"/>
        <v>0.18626666666666666</v>
      </c>
    </row>
    <row r="1503" spans="1:10" hidden="1" x14ac:dyDescent="0.35">
      <c r="A1503" s="126" t="s">
        <v>368</v>
      </c>
      <c r="B1503" t="str">
        <f>_xlfn.XLOOKUP(A1503,'[1]2050Pop'!$A$7:$A$143,'[1]2050Pop'!$D$7:$D$143)</f>
        <v>SSA</v>
      </c>
      <c r="C1503" s="127">
        <f>1000*_xlfn.XLOOKUP(A1503,'[1]2050Pop'!$A$7:$A$143,'[1]2050Pop'!$C$7:$C$143)</f>
        <v>22549</v>
      </c>
      <c r="D1503" s="126" t="s">
        <v>506</v>
      </c>
      <c r="E1503" s="128">
        <v>99.872</v>
      </c>
      <c r="F1503" s="129">
        <f t="shared" si="71"/>
        <v>2.2520137280000001</v>
      </c>
      <c r="G1503" t="str">
        <f>_xlfn.XLOOKUP(D1503,'[1]2050 BAU Mapping to T &amp; C'!$A$3:$A$52,'[1]2050 BAU Mapping to T &amp; C'!$B$3:$B$52)</f>
        <v>Legumes</v>
      </c>
      <c r="H1503" s="129">
        <f>_xlfn.XLOOKUP(G1503,'[1]T&amp;C emissions for 2050 analysis'!$B$3:$B$23,'[1]T&amp;C emissions for 2050 analysis'!$C$3:$C$23)</f>
        <v>7.3333333333333334E-2</v>
      </c>
      <c r="I1503" s="27">
        <f t="shared" si="69"/>
        <v>0.16514767338666667</v>
      </c>
      <c r="J1503" s="129">
        <f t="shared" si="70"/>
        <v>7.323946666666667</v>
      </c>
    </row>
    <row r="1504" spans="1:10" hidden="1" x14ac:dyDescent="0.35">
      <c r="A1504" s="126" t="s">
        <v>369</v>
      </c>
      <c r="B1504" t="str">
        <f>_xlfn.XLOOKUP(A1504,'[1]2050Pop'!$A$7:$A$143,'[1]2050Pop'!$D$7:$D$143)</f>
        <v>LatAm &amp; RSA</v>
      </c>
      <c r="C1504" s="127">
        <f>1000*_xlfn.XLOOKUP(A1504,'[1]2050Pop'!$A$7:$A$143,'[1]2050Pop'!$C$7:$C$143)</f>
        <v>15963</v>
      </c>
      <c r="D1504" s="126" t="s">
        <v>506</v>
      </c>
      <c r="E1504" s="128">
        <v>6.444</v>
      </c>
      <c r="F1504" s="129">
        <f t="shared" si="71"/>
        <v>0.102865572</v>
      </c>
      <c r="G1504" t="str">
        <f>_xlfn.XLOOKUP(D1504,'[1]2050 BAU Mapping to T &amp; C'!$A$3:$A$52,'[1]2050 BAU Mapping to T &amp; C'!$B$3:$B$52)</f>
        <v>Legumes</v>
      </c>
      <c r="H1504" s="129">
        <f>_xlfn.XLOOKUP(G1504,'[1]T&amp;C emissions for 2050 analysis'!$B$3:$B$23,'[1]T&amp;C emissions for 2050 analysis'!$C$3:$C$23)</f>
        <v>7.3333333333333334E-2</v>
      </c>
      <c r="I1504" s="27">
        <f t="shared" si="69"/>
        <v>7.5434752800000006E-3</v>
      </c>
      <c r="J1504" s="129">
        <f t="shared" si="70"/>
        <v>0.47255999999999998</v>
      </c>
    </row>
    <row r="1505" spans="1:10" hidden="1" x14ac:dyDescent="0.35">
      <c r="A1505" s="126" t="s">
        <v>370</v>
      </c>
      <c r="B1505" t="str">
        <f>_xlfn.XLOOKUP(A1505,'[1]2050Pop'!$A$7:$A$143,'[1]2050Pop'!$D$7:$D$143)</f>
        <v>Euro/AU/NZ</v>
      </c>
      <c r="C1505" s="127">
        <f>1000*_xlfn.XLOOKUP(A1505,'[1]2050Pop'!$A$7:$A$143,'[1]2050Pop'!$C$7:$C$143)</f>
        <v>3069</v>
      </c>
      <c r="D1505" s="126" t="s">
        <v>506</v>
      </c>
      <c r="E1505" s="128">
        <v>7.851</v>
      </c>
      <c r="F1505" s="129">
        <f t="shared" si="71"/>
        <v>2.4094719000000001E-2</v>
      </c>
      <c r="G1505" t="str">
        <f>_xlfn.XLOOKUP(D1505,'[1]2050 BAU Mapping to T &amp; C'!$A$3:$A$52,'[1]2050 BAU Mapping to T &amp; C'!$B$3:$B$52)</f>
        <v>Legumes</v>
      </c>
      <c r="H1505" s="129">
        <f>_xlfn.XLOOKUP(G1505,'[1]T&amp;C emissions for 2050 analysis'!$B$3:$B$23,'[1]T&amp;C emissions for 2050 analysis'!$C$3:$C$23)</f>
        <v>7.3333333333333334E-2</v>
      </c>
      <c r="I1505" s="27">
        <f t="shared" si="69"/>
        <v>1.7669460600000001E-3</v>
      </c>
      <c r="J1505" s="129">
        <f t="shared" si="70"/>
        <v>0.57574000000000003</v>
      </c>
    </row>
    <row r="1506" spans="1:10" hidden="1" x14ac:dyDescent="0.35">
      <c r="A1506" s="126" t="s">
        <v>371</v>
      </c>
      <c r="B1506" t="str">
        <f>_xlfn.XLOOKUP(A1506,'[1]2050Pop'!$A$7:$A$143,'[1]2050Pop'!$D$7:$D$143)</f>
        <v>SSA</v>
      </c>
      <c r="C1506" s="127">
        <f>1000*_xlfn.XLOOKUP(A1506,'[1]2050Pop'!$A$7:$A$143,'[1]2050Pop'!$C$7:$C$143)</f>
        <v>3389</v>
      </c>
      <c r="D1506" s="126" t="s">
        <v>506</v>
      </c>
      <c r="E1506" s="128">
        <v>7.5259999999999998</v>
      </c>
      <c r="F1506" s="129">
        <f t="shared" si="71"/>
        <v>2.5505613999999999E-2</v>
      </c>
      <c r="G1506" t="str">
        <f>_xlfn.XLOOKUP(D1506,'[1]2050 BAU Mapping to T &amp; C'!$A$3:$A$52,'[1]2050 BAU Mapping to T &amp; C'!$B$3:$B$52)</f>
        <v>Legumes</v>
      </c>
      <c r="H1506" s="129">
        <f>_xlfn.XLOOKUP(G1506,'[1]T&amp;C emissions for 2050 analysis'!$B$3:$B$23,'[1]T&amp;C emissions for 2050 analysis'!$C$3:$C$23)</f>
        <v>7.3333333333333334E-2</v>
      </c>
      <c r="I1506" s="27">
        <f t="shared" si="69"/>
        <v>1.8704116933333332E-3</v>
      </c>
      <c r="J1506" s="129">
        <f t="shared" si="70"/>
        <v>0.55190666666666666</v>
      </c>
    </row>
    <row r="1507" spans="1:10" hidden="1" x14ac:dyDescent="0.35">
      <c r="A1507" s="126" t="s">
        <v>372</v>
      </c>
      <c r="B1507" t="str">
        <f>_xlfn.XLOOKUP(A1507,'[1]2050Pop'!$A$7:$A$143,'[1]2050Pop'!$D$7:$D$143)</f>
        <v>LatAm &amp; RSA</v>
      </c>
      <c r="C1507" s="127">
        <f>1000*_xlfn.XLOOKUP(A1507,'[1]2050Pop'!$A$7:$A$143,'[1]2050Pop'!$C$7:$C$143)</f>
        <v>238270</v>
      </c>
      <c r="D1507" s="126" t="s">
        <v>506</v>
      </c>
      <c r="E1507" s="128">
        <v>7.9649999999999999</v>
      </c>
      <c r="F1507" s="129">
        <f t="shared" si="71"/>
        <v>1.8978205500000001</v>
      </c>
      <c r="G1507" t="str">
        <f>_xlfn.XLOOKUP(D1507,'[1]2050 BAU Mapping to T &amp; C'!$A$3:$A$52,'[1]2050 BAU Mapping to T &amp; C'!$B$3:$B$52)</f>
        <v>Legumes</v>
      </c>
      <c r="H1507" s="129">
        <f>_xlfn.XLOOKUP(G1507,'[1]T&amp;C emissions for 2050 analysis'!$B$3:$B$23,'[1]T&amp;C emissions for 2050 analysis'!$C$3:$C$23)</f>
        <v>7.3333333333333334E-2</v>
      </c>
      <c r="I1507" s="27">
        <f t="shared" si="69"/>
        <v>0.139173507</v>
      </c>
      <c r="J1507" s="129">
        <f t="shared" si="70"/>
        <v>0.58409999999999995</v>
      </c>
    </row>
    <row r="1508" spans="1:10" hidden="1" x14ac:dyDescent="0.35">
      <c r="A1508" s="126" t="s">
        <v>373</v>
      </c>
      <c r="B1508" t="str">
        <f>_xlfn.XLOOKUP(A1508,'[1]2050Pop'!$A$7:$A$143,'[1]2050Pop'!$D$7:$D$143)</f>
        <v>Euro/AU/NZ</v>
      </c>
      <c r="C1508" s="127">
        <f>1000*_xlfn.XLOOKUP(A1508,'[1]2050Pop'!$A$7:$A$143,'[1]2050Pop'!$C$7:$C$143)</f>
        <v>5154</v>
      </c>
      <c r="D1508" s="126" t="s">
        <v>506</v>
      </c>
      <c r="E1508" s="128">
        <v>5.9660000000000002</v>
      </c>
      <c r="F1508" s="129">
        <f t="shared" si="71"/>
        <v>3.0748763999999998E-2</v>
      </c>
      <c r="G1508" t="str">
        <f>_xlfn.XLOOKUP(D1508,'[1]2050 BAU Mapping to T &amp; C'!$A$3:$A$52,'[1]2050 BAU Mapping to T &amp; C'!$B$3:$B$52)</f>
        <v>Legumes</v>
      </c>
      <c r="H1508" s="129">
        <f>_xlfn.XLOOKUP(G1508,'[1]T&amp;C emissions for 2050 analysis'!$B$3:$B$23,'[1]T&amp;C emissions for 2050 analysis'!$C$3:$C$23)</f>
        <v>7.3333333333333334E-2</v>
      </c>
      <c r="I1508" s="27">
        <f t="shared" si="69"/>
        <v>2.2549093599999997E-3</v>
      </c>
      <c r="J1508" s="129">
        <f t="shared" si="70"/>
        <v>0.43750666666666671</v>
      </c>
    </row>
    <row r="1509" spans="1:10" hidden="1" x14ac:dyDescent="0.35">
      <c r="A1509" s="126" t="s">
        <v>487</v>
      </c>
      <c r="B1509" t="str">
        <f>_xlfn.XLOOKUP(A1509,'[1]2050Pop'!$A$7:$A$143,'[1]2050Pop'!$D$7:$D$143)</f>
        <v>SSA</v>
      </c>
      <c r="C1509" s="127">
        <f>1000*_xlfn.XLOOKUP(A1509,'[1]2050Pop'!$A$7:$A$143,'[1]2050Pop'!$C$7:$C$143)</f>
        <v>42789</v>
      </c>
      <c r="D1509" s="126" t="s">
        <v>506</v>
      </c>
      <c r="E1509" s="128">
        <v>179.82499999999999</v>
      </c>
      <c r="F1509" s="129">
        <f t="shared" si="71"/>
        <v>7.6945319249999997</v>
      </c>
      <c r="G1509" t="str">
        <f>_xlfn.XLOOKUP(D1509,'[1]2050 BAU Mapping to T &amp; C'!$A$3:$A$52,'[1]2050 BAU Mapping to T &amp; C'!$B$3:$B$52)</f>
        <v>Legumes</v>
      </c>
      <c r="H1509" s="129">
        <f>_xlfn.XLOOKUP(G1509,'[1]T&amp;C emissions for 2050 analysis'!$B$3:$B$23,'[1]T&amp;C emissions for 2050 analysis'!$C$3:$C$23)</f>
        <v>7.3333333333333334E-2</v>
      </c>
      <c r="I1509" s="27">
        <f t="shared" si="69"/>
        <v>0.56426567449999998</v>
      </c>
      <c r="J1509" s="129">
        <f t="shared" si="70"/>
        <v>13.187166666666666</v>
      </c>
    </row>
    <row r="1510" spans="1:10" hidden="1" x14ac:dyDescent="0.35">
      <c r="A1510" s="126" t="s">
        <v>374</v>
      </c>
      <c r="B1510" t="str">
        <f>_xlfn.XLOOKUP(A1510,'[1]2050Pop'!$A$7:$A$143,'[1]2050Pop'!$D$7:$D$143)</f>
        <v>APAC</v>
      </c>
      <c r="C1510" s="127">
        <f>1000*_xlfn.XLOOKUP(A1510,'[1]2050Pop'!$A$7:$A$143,'[1]2050Pop'!$C$7:$C$143)</f>
        <v>22545</v>
      </c>
      <c r="D1510" s="126" t="s">
        <v>506</v>
      </c>
      <c r="E1510" s="128">
        <v>17.015000000000001</v>
      </c>
      <c r="F1510" s="129">
        <f t="shared" si="71"/>
        <v>0.38360317499999996</v>
      </c>
      <c r="G1510" t="str">
        <f>_xlfn.XLOOKUP(D1510,'[1]2050 BAU Mapping to T &amp; C'!$A$3:$A$52,'[1]2050 BAU Mapping to T &amp; C'!$B$3:$B$52)</f>
        <v>Legumes</v>
      </c>
      <c r="H1510" s="129">
        <f>_xlfn.XLOOKUP(G1510,'[1]T&amp;C emissions for 2050 analysis'!$B$3:$B$23,'[1]T&amp;C emissions for 2050 analysis'!$C$3:$C$23)</f>
        <v>7.3333333333333334E-2</v>
      </c>
      <c r="I1510" s="27">
        <f t="shared" si="69"/>
        <v>2.8130899499999997E-2</v>
      </c>
      <c r="J1510" s="129">
        <f t="shared" si="70"/>
        <v>1.2477666666666667</v>
      </c>
    </row>
    <row r="1511" spans="1:10" hidden="1" x14ac:dyDescent="0.35">
      <c r="A1511" s="126" t="s">
        <v>375</v>
      </c>
      <c r="B1511" t="str">
        <f>_xlfn.XLOOKUP(A1511,'[1]2050Pop'!$A$7:$A$143,'[1]2050Pop'!$D$7:$D$143)</f>
        <v>SSA</v>
      </c>
      <c r="C1511" s="127">
        <f>1000*_xlfn.XLOOKUP(A1511,'[1]2050Pop'!$A$7:$A$143,'[1]2050Pop'!$C$7:$C$143)</f>
        <v>48362</v>
      </c>
      <c r="D1511" s="126" t="s">
        <v>506</v>
      </c>
      <c r="E1511" s="128">
        <v>115.822</v>
      </c>
      <c r="F1511" s="129">
        <f t="shared" si="71"/>
        <v>5.6013835639999998</v>
      </c>
      <c r="G1511" t="str">
        <f>_xlfn.XLOOKUP(D1511,'[1]2050 BAU Mapping to T &amp; C'!$A$3:$A$52,'[1]2050 BAU Mapping to T &amp; C'!$B$3:$B$52)</f>
        <v>Legumes</v>
      </c>
      <c r="H1511" s="129">
        <f>_xlfn.XLOOKUP(G1511,'[1]T&amp;C emissions for 2050 analysis'!$B$3:$B$23,'[1]T&amp;C emissions for 2050 analysis'!$C$3:$C$23)</f>
        <v>7.3333333333333334E-2</v>
      </c>
      <c r="I1511" s="27">
        <f t="shared" si="69"/>
        <v>0.41076812802666668</v>
      </c>
      <c r="J1511" s="129">
        <f t="shared" si="70"/>
        <v>8.4936133333333341</v>
      </c>
    </row>
    <row r="1512" spans="1:10" hidden="1" x14ac:dyDescent="0.35">
      <c r="A1512" s="126" t="s">
        <v>376</v>
      </c>
      <c r="B1512" t="str">
        <f>_xlfn.XLOOKUP(A1512,'[1]2050Pop'!$A$7:$A$143,'[1]2050Pop'!$D$7:$D$143)</f>
        <v>NAm</v>
      </c>
      <c r="C1512" s="127">
        <f>1000*_xlfn.XLOOKUP(A1512,'[1]2050Pop'!$A$7:$A$143,'[1]2050Pop'!$C$7:$C$143)</f>
        <v>44136</v>
      </c>
      <c r="D1512" s="126" t="s">
        <v>506</v>
      </c>
      <c r="E1512" s="128">
        <v>40.738999999999997</v>
      </c>
      <c r="F1512" s="129">
        <f t="shared" si="71"/>
        <v>1.7980565040000001</v>
      </c>
      <c r="G1512" t="str">
        <f>_xlfn.XLOOKUP(D1512,'[1]2050 BAU Mapping to T &amp; C'!$A$3:$A$52,'[1]2050 BAU Mapping to T &amp; C'!$B$3:$B$52)</f>
        <v>Legumes</v>
      </c>
      <c r="H1512" s="129">
        <f>_xlfn.XLOOKUP(G1512,'[1]T&amp;C emissions for 2050 analysis'!$B$3:$B$23,'[1]T&amp;C emissions for 2050 analysis'!$C$3:$C$23)</f>
        <v>7.3333333333333334E-2</v>
      </c>
      <c r="I1512" s="27">
        <f t="shared" si="69"/>
        <v>0.13185747696</v>
      </c>
      <c r="J1512" s="129">
        <f t="shared" si="70"/>
        <v>2.9875266666666667</v>
      </c>
    </row>
    <row r="1513" spans="1:10" hidden="1" x14ac:dyDescent="0.35">
      <c r="A1513" s="126" t="s">
        <v>488</v>
      </c>
      <c r="B1513" t="str">
        <f>_xlfn.XLOOKUP(A1513,'[1]2050Pop'!$A$7:$A$143,'[1]2050Pop'!$D$7:$D$143)</f>
        <v>SSA</v>
      </c>
      <c r="C1513" s="127">
        <f>1000*_xlfn.XLOOKUP(A1513,'[1]2050Pop'!$A$7:$A$143,'[1]2050Pop'!$C$7:$C$143)</f>
        <v>35131</v>
      </c>
      <c r="D1513" s="126" t="s">
        <v>506</v>
      </c>
      <c r="E1513" s="128">
        <v>211.202</v>
      </c>
      <c r="F1513" s="129">
        <f t="shared" si="71"/>
        <v>7.4197374620000005</v>
      </c>
      <c r="G1513" t="str">
        <f>_xlfn.XLOOKUP(D1513,'[1]2050 BAU Mapping to T &amp; C'!$A$3:$A$52,'[1]2050 BAU Mapping to T &amp; C'!$B$3:$B$52)</f>
        <v>Legumes</v>
      </c>
      <c r="H1513" s="129">
        <f>_xlfn.XLOOKUP(G1513,'[1]T&amp;C emissions for 2050 analysis'!$B$3:$B$23,'[1]T&amp;C emissions for 2050 analysis'!$C$3:$C$23)</f>
        <v>7.3333333333333334E-2</v>
      </c>
      <c r="I1513" s="27">
        <f t="shared" si="69"/>
        <v>0.54411408054666666</v>
      </c>
      <c r="J1513" s="129">
        <f t="shared" si="70"/>
        <v>15.488146666666667</v>
      </c>
    </row>
    <row r="1514" spans="1:10" hidden="1" x14ac:dyDescent="0.35">
      <c r="A1514" s="126" t="s">
        <v>378</v>
      </c>
      <c r="B1514" t="str">
        <f>_xlfn.XLOOKUP(A1514,'[1]2050Pop'!$A$7:$A$143,'[1]2050Pop'!$D$7:$D$143)</f>
        <v>LatAm &amp; RSA</v>
      </c>
      <c r="C1514" s="127">
        <f>1000*_xlfn.XLOOKUP(A1514,'[1]2050Pop'!$A$7:$A$143,'[1]2050Pop'!$C$7:$C$143)</f>
        <v>21601</v>
      </c>
      <c r="D1514" s="126" t="s">
        <v>506</v>
      </c>
      <c r="E1514" s="128">
        <v>11.308999999999999</v>
      </c>
      <c r="F1514" s="129">
        <f t="shared" si="71"/>
        <v>0.24428570899999996</v>
      </c>
      <c r="G1514" t="str">
        <f>_xlfn.XLOOKUP(D1514,'[1]2050 BAU Mapping to T &amp; C'!$A$3:$A$52,'[1]2050 BAU Mapping to T &amp; C'!$B$3:$B$52)</f>
        <v>Legumes</v>
      </c>
      <c r="H1514" s="129">
        <f>_xlfn.XLOOKUP(G1514,'[1]T&amp;C emissions for 2050 analysis'!$B$3:$B$23,'[1]T&amp;C emissions for 2050 analysis'!$C$3:$C$23)</f>
        <v>7.3333333333333334E-2</v>
      </c>
      <c r="I1514" s="27">
        <f t="shared" si="69"/>
        <v>1.7914285326666664E-2</v>
      </c>
      <c r="J1514" s="129">
        <f t="shared" si="70"/>
        <v>0.82932666666666666</v>
      </c>
    </row>
    <row r="1515" spans="1:10" hidden="1" x14ac:dyDescent="0.35">
      <c r="A1515" s="126" t="s">
        <v>379</v>
      </c>
      <c r="B1515" t="str">
        <f>_xlfn.XLOOKUP(A1515,'[1]2050Pop'!$A$7:$A$143,'[1]2050Pop'!$D$7:$D$143)</f>
        <v>Greater China</v>
      </c>
      <c r="C1515" s="127">
        <f>1000*_xlfn.XLOOKUP(A1515,'[1]2050Pop'!$A$7:$A$143,'[1]2050Pop'!$C$7:$C$143)</f>
        <v>8148</v>
      </c>
      <c r="D1515" s="126" t="s">
        <v>506</v>
      </c>
      <c r="E1515" s="128">
        <v>19.283000000000001</v>
      </c>
      <c r="F1515" s="129">
        <f t="shared" si="71"/>
        <v>0.15711788400000001</v>
      </c>
      <c r="G1515" t="str">
        <f>_xlfn.XLOOKUP(D1515,'[1]2050 BAU Mapping to T &amp; C'!$A$3:$A$52,'[1]2050 BAU Mapping to T &amp; C'!$B$3:$B$52)</f>
        <v>Legumes</v>
      </c>
      <c r="H1515" s="129">
        <f>_xlfn.XLOOKUP(G1515,'[1]T&amp;C emissions for 2050 analysis'!$B$3:$B$23,'[1]T&amp;C emissions for 2050 analysis'!$C$3:$C$23)</f>
        <v>7.3333333333333334E-2</v>
      </c>
      <c r="I1515" s="27">
        <f t="shared" si="69"/>
        <v>1.1521978160000002E-2</v>
      </c>
      <c r="J1515" s="129">
        <f t="shared" si="70"/>
        <v>1.4140866666666667</v>
      </c>
    </row>
    <row r="1516" spans="1:10" hidden="1" x14ac:dyDescent="0.35">
      <c r="A1516" s="126" t="s">
        <v>380</v>
      </c>
      <c r="B1516" t="str">
        <f>_xlfn.XLOOKUP(A1516,'[1]2050Pop'!$A$7:$A$143,'[1]2050Pop'!$D$7:$D$143)</f>
        <v>Greater China</v>
      </c>
      <c r="C1516" s="127">
        <f>1000*_xlfn.XLOOKUP(A1516,'[1]2050Pop'!$A$7:$A$143,'[1]2050Pop'!$C$7:$C$143)</f>
        <v>1348056</v>
      </c>
      <c r="D1516" s="126" t="s">
        <v>506</v>
      </c>
      <c r="E1516" s="128">
        <v>53.618000000000002</v>
      </c>
      <c r="F1516" s="129">
        <f t="shared" si="71"/>
        <v>72.280066608000013</v>
      </c>
      <c r="G1516" t="str">
        <f>_xlfn.XLOOKUP(D1516,'[1]2050 BAU Mapping to T &amp; C'!$A$3:$A$52,'[1]2050 BAU Mapping to T &amp; C'!$B$3:$B$52)</f>
        <v>Legumes</v>
      </c>
      <c r="H1516" s="129">
        <f>_xlfn.XLOOKUP(G1516,'[1]T&amp;C emissions for 2050 analysis'!$B$3:$B$23,'[1]T&amp;C emissions for 2050 analysis'!$C$3:$C$23)</f>
        <v>7.3333333333333334E-2</v>
      </c>
      <c r="I1516" s="27">
        <f t="shared" si="69"/>
        <v>5.3005382179200007</v>
      </c>
      <c r="J1516" s="129">
        <f t="shared" si="70"/>
        <v>3.931986666666667</v>
      </c>
    </row>
    <row r="1517" spans="1:10" hidden="1" x14ac:dyDescent="0.35">
      <c r="A1517" s="126" t="s">
        <v>381</v>
      </c>
      <c r="B1517" t="str">
        <f>_xlfn.XLOOKUP(A1517,'[1]2050Pop'!$A$7:$A$143,'[1]2050Pop'!$D$7:$D$143)</f>
        <v>Greater China</v>
      </c>
      <c r="C1517" s="127">
        <f>1000*_xlfn.XLOOKUP(A1517,'[1]2050Pop'!$A$7:$A$143,'[1]2050Pop'!$C$7:$C$143)</f>
        <v>20778</v>
      </c>
      <c r="D1517" s="126" t="s">
        <v>506</v>
      </c>
      <c r="E1517" s="128">
        <v>24.550999999999998</v>
      </c>
      <c r="F1517" s="129">
        <f t="shared" si="71"/>
        <v>0.51012067799999994</v>
      </c>
      <c r="G1517" t="str">
        <f>_xlfn.XLOOKUP(D1517,'[1]2050 BAU Mapping to T &amp; C'!$A$3:$A$52,'[1]2050 BAU Mapping to T &amp; C'!$B$3:$B$52)</f>
        <v>Legumes</v>
      </c>
      <c r="H1517" s="129">
        <f>_xlfn.XLOOKUP(G1517,'[1]T&amp;C emissions for 2050 analysis'!$B$3:$B$23,'[1]T&amp;C emissions for 2050 analysis'!$C$3:$C$23)</f>
        <v>7.3333333333333334E-2</v>
      </c>
      <c r="I1517" s="27">
        <f t="shared" si="69"/>
        <v>3.7408849719999998E-2</v>
      </c>
      <c r="J1517" s="129">
        <f t="shared" si="70"/>
        <v>1.8004066666666665</v>
      </c>
    </row>
    <row r="1518" spans="1:10" hidden="1" x14ac:dyDescent="0.35">
      <c r="A1518" s="126" t="s">
        <v>382</v>
      </c>
      <c r="B1518" t="str">
        <f>_xlfn.XLOOKUP(A1518,'[1]2050Pop'!$A$7:$A$143,'[1]2050Pop'!$D$7:$D$143)</f>
        <v>LatAm &amp; RSA</v>
      </c>
      <c r="C1518" s="127">
        <f>1000*_xlfn.XLOOKUP(A1518,'[1]2050Pop'!$A$7:$A$143,'[1]2050Pop'!$C$7:$C$143)</f>
        <v>54927</v>
      </c>
      <c r="D1518" s="126" t="s">
        <v>506</v>
      </c>
      <c r="E1518" s="128">
        <v>4.641</v>
      </c>
      <c r="F1518" s="129">
        <f t="shared" si="71"/>
        <v>0.25491620700000001</v>
      </c>
      <c r="G1518" t="str">
        <f>_xlfn.XLOOKUP(D1518,'[1]2050 BAU Mapping to T &amp; C'!$A$3:$A$52,'[1]2050 BAU Mapping to T &amp; C'!$B$3:$B$52)</f>
        <v>Legumes</v>
      </c>
      <c r="H1518" s="129">
        <f>_xlfn.XLOOKUP(G1518,'[1]T&amp;C emissions for 2050 analysis'!$B$3:$B$23,'[1]T&amp;C emissions for 2050 analysis'!$C$3:$C$23)</f>
        <v>7.3333333333333334E-2</v>
      </c>
      <c r="I1518" s="27">
        <f t="shared" si="69"/>
        <v>1.869385518E-2</v>
      </c>
      <c r="J1518" s="129">
        <f t="shared" si="70"/>
        <v>0.34033999999999998</v>
      </c>
    </row>
    <row r="1519" spans="1:10" hidden="1" x14ac:dyDescent="0.35">
      <c r="A1519" s="126" t="s">
        <v>383</v>
      </c>
      <c r="B1519" t="str">
        <f>_xlfn.XLOOKUP(A1519,'[1]2050Pop'!$A$7:$A$143,'[1]2050Pop'!$D$7:$D$143)</f>
        <v>LatAm &amp; RSA</v>
      </c>
      <c r="C1519" s="127">
        <f>1000*_xlfn.XLOOKUP(A1519,'[1]2050Pop'!$A$7:$A$143,'[1]2050Pop'!$C$7:$C$143)</f>
        <v>5759</v>
      </c>
      <c r="D1519" s="126" t="s">
        <v>506</v>
      </c>
      <c r="E1519" s="128">
        <v>8.9619999999999997</v>
      </c>
      <c r="F1519" s="129">
        <f t="shared" si="71"/>
        <v>5.1612157999999998E-2</v>
      </c>
      <c r="G1519" t="str">
        <f>_xlfn.XLOOKUP(D1519,'[1]2050 BAU Mapping to T &amp; C'!$A$3:$A$52,'[1]2050 BAU Mapping to T &amp; C'!$B$3:$B$52)</f>
        <v>Legumes</v>
      </c>
      <c r="H1519" s="129">
        <f>_xlfn.XLOOKUP(G1519,'[1]T&amp;C emissions for 2050 analysis'!$B$3:$B$23,'[1]T&amp;C emissions for 2050 analysis'!$C$3:$C$23)</f>
        <v>7.3333333333333334E-2</v>
      </c>
      <c r="I1519" s="27">
        <f t="shared" si="69"/>
        <v>3.7848915866666665E-3</v>
      </c>
      <c r="J1519" s="129">
        <f t="shared" si="70"/>
        <v>0.65721333333333332</v>
      </c>
    </row>
    <row r="1520" spans="1:10" hidden="1" x14ac:dyDescent="0.35">
      <c r="A1520" s="126" t="s">
        <v>384</v>
      </c>
      <c r="B1520" t="str">
        <f>_xlfn.XLOOKUP(A1520,'[1]2050Pop'!$A$7:$A$143,'[1]2050Pop'!$D$7:$D$143)</f>
        <v>SSA</v>
      </c>
      <c r="C1520" s="127">
        <f>1000*_xlfn.XLOOKUP(A1520,'[1]2050Pop'!$A$7:$A$143,'[1]2050Pop'!$C$7:$C$143)</f>
        <v>48797</v>
      </c>
      <c r="D1520" s="126" t="s">
        <v>506</v>
      </c>
      <c r="E1520" s="128">
        <v>43.063000000000002</v>
      </c>
      <c r="F1520" s="129">
        <f t="shared" si="71"/>
        <v>2.1013452109999999</v>
      </c>
      <c r="G1520" t="str">
        <f>_xlfn.XLOOKUP(D1520,'[1]2050 BAU Mapping to T &amp; C'!$A$3:$A$52,'[1]2050 BAU Mapping to T &amp; C'!$B$3:$B$52)</f>
        <v>Legumes</v>
      </c>
      <c r="H1520" s="129">
        <f>_xlfn.XLOOKUP(G1520,'[1]T&amp;C emissions for 2050 analysis'!$B$3:$B$23,'[1]T&amp;C emissions for 2050 analysis'!$C$3:$C$23)</f>
        <v>7.3333333333333334E-2</v>
      </c>
      <c r="I1520" s="27">
        <f t="shared" si="69"/>
        <v>0.15409864880666665</v>
      </c>
      <c r="J1520" s="129">
        <f t="shared" si="70"/>
        <v>3.1579533333333334</v>
      </c>
    </row>
    <row r="1521" spans="1:10" hidden="1" x14ac:dyDescent="0.35">
      <c r="A1521" s="126" t="s">
        <v>385</v>
      </c>
      <c r="B1521" t="str">
        <f>_xlfn.XLOOKUP(A1521,'[1]2050Pop'!$A$7:$A$143,'[1]2050Pop'!$D$7:$D$143)</f>
        <v>Euro/AU/NZ</v>
      </c>
      <c r="C1521" s="127">
        <f>1000*_xlfn.XLOOKUP(A1521,'[1]2050Pop'!$A$7:$A$143,'[1]2050Pop'!$C$7:$C$143)</f>
        <v>3554</v>
      </c>
      <c r="D1521" s="126" t="s">
        <v>506</v>
      </c>
      <c r="E1521" s="128">
        <v>12.173</v>
      </c>
      <c r="F1521" s="129">
        <f t="shared" si="71"/>
        <v>4.3262841999999996E-2</v>
      </c>
      <c r="G1521" t="str">
        <f>_xlfn.XLOOKUP(D1521,'[1]2050 BAU Mapping to T &amp; C'!$A$3:$A$52,'[1]2050 BAU Mapping to T &amp; C'!$B$3:$B$52)</f>
        <v>Legumes</v>
      </c>
      <c r="H1521" s="129">
        <f>_xlfn.XLOOKUP(G1521,'[1]T&amp;C emissions for 2050 analysis'!$B$3:$B$23,'[1]T&amp;C emissions for 2050 analysis'!$C$3:$C$23)</f>
        <v>7.3333333333333334E-2</v>
      </c>
      <c r="I1521" s="27">
        <f t="shared" si="69"/>
        <v>3.1726084133333332E-3</v>
      </c>
      <c r="J1521" s="129">
        <f t="shared" si="70"/>
        <v>0.89268666666666663</v>
      </c>
    </row>
    <row r="1522" spans="1:10" hidden="1" x14ac:dyDescent="0.35">
      <c r="A1522" s="126" t="s">
        <v>386</v>
      </c>
      <c r="B1522" t="str">
        <f>_xlfn.XLOOKUP(A1522,'[1]2050Pop'!$A$7:$A$143,'[1]2050Pop'!$D$7:$D$143)</f>
        <v>LatAm &amp; RSA</v>
      </c>
      <c r="C1522" s="127">
        <f>1000*_xlfn.XLOOKUP(A1522,'[1]2050Pop'!$A$7:$A$143,'[1]2050Pop'!$C$7:$C$143)</f>
        <v>10339</v>
      </c>
      <c r="D1522" s="126" t="s">
        <v>506</v>
      </c>
      <c r="E1522" s="128">
        <v>3.1429999999999998</v>
      </c>
      <c r="F1522" s="129">
        <f t="shared" si="71"/>
        <v>3.2495477000000002E-2</v>
      </c>
      <c r="G1522" t="str">
        <f>_xlfn.XLOOKUP(D1522,'[1]2050 BAU Mapping to T &amp; C'!$A$3:$A$52,'[1]2050 BAU Mapping to T &amp; C'!$B$3:$B$52)</f>
        <v>Legumes</v>
      </c>
      <c r="H1522" s="129">
        <f>_xlfn.XLOOKUP(G1522,'[1]T&amp;C emissions for 2050 analysis'!$B$3:$B$23,'[1]T&amp;C emissions for 2050 analysis'!$C$3:$C$23)</f>
        <v>7.3333333333333334E-2</v>
      </c>
      <c r="I1522" s="27">
        <f t="shared" si="69"/>
        <v>2.3830016466666669E-3</v>
      </c>
      <c r="J1522" s="129">
        <f t="shared" si="70"/>
        <v>0.23048666666666665</v>
      </c>
    </row>
    <row r="1523" spans="1:10" hidden="1" x14ac:dyDescent="0.35">
      <c r="A1523" s="126" t="s">
        <v>387</v>
      </c>
      <c r="B1523" t="str">
        <f>_xlfn.XLOOKUP(A1523,'[1]2050Pop'!$A$7:$A$143,'[1]2050Pop'!$D$7:$D$143)</f>
        <v>Euro/AU/NZ</v>
      </c>
      <c r="C1523" s="127">
        <f>1000*_xlfn.XLOOKUP(A1523,'[1]2050Pop'!$A$7:$A$143,'[1]2050Pop'!$C$7:$C$143)</f>
        <v>9965</v>
      </c>
      <c r="D1523" s="126" t="s">
        <v>506</v>
      </c>
      <c r="E1523" s="128">
        <v>10.481999999999999</v>
      </c>
      <c r="F1523" s="129">
        <f t="shared" si="71"/>
        <v>0.10445312999999999</v>
      </c>
      <c r="G1523" t="str">
        <f>_xlfn.XLOOKUP(D1523,'[1]2050 BAU Mapping to T &amp; C'!$A$3:$A$52,'[1]2050 BAU Mapping to T &amp; C'!$B$3:$B$52)</f>
        <v>Legumes</v>
      </c>
      <c r="H1523" s="129">
        <f>_xlfn.XLOOKUP(G1523,'[1]T&amp;C emissions for 2050 analysis'!$B$3:$B$23,'[1]T&amp;C emissions for 2050 analysis'!$C$3:$C$23)</f>
        <v>7.3333333333333334E-2</v>
      </c>
      <c r="I1523" s="27">
        <f t="shared" si="69"/>
        <v>7.6598961999999994E-3</v>
      </c>
      <c r="J1523" s="129">
        <f t="shared" si="70"/>
        <v>0.76867999999999992</v>
      </c>
    </row>
    <row r="1524" spans="1:10" hidden="1" x14ac:dyDescent="0.35">
      <c r="A1524" s="126" t="s">
        <v>388</v>
      </c>
      <c r="B1524" t="str">
        <f>_xlfn.XLOOKUP(A1524,'[1]2050Pop'!$A$7:$A$143,'[1]2050Pop'!$D$7:$D$143)</f>
        <v>Euro/AU/NZ</v>
      </c>
      <c r="C1524" s="127">
        <f>1000*_xlfn.XLOOKUP(A1524,'[1]2050Pop'!$A$7:$A$143,'[1]2050Pop'!$C$7:$C$143)</f>
        <v>6299</v>
      </c>
      <c r="D1524" s="126" t="s">
        <v>506</v>
      </c>
      <c r="E1524" s="128">
        <v>7.0529999999999999</v>
      </c>
      <c r="F1524" s="129">
        <f t="shared" si="71"/>
        <v>4.4426846999999998E-2</v>
      </c>
      <c r="G1524" t="str">
        <f>_xlfn.XLOOKUP(D1524,'[1]2050 BAU Mapping to T &amp; C'!$A$3:$A$52,'[1]2050 BAU Mapping to T &amp; C'!$B$3:$B$52)</f>
        <v>Legumes</v>
      </c>
      <c r="H1524" s="129">
        <f>_xlfn.XLOOKUP(G1524,'[1]T&amp;C emissions for 2050 analysis'!$B$3:$B$23,'[1]T&amp;C emissions for 2050 analysis'!$C$3:$C$23)</f>
        <v>7.3333333333333334E-2</v>
      </c>
      <c r="I1524" s="27">
        <f t="shared" si="69"/>
        <v>3.2579687799999999E-3</v>
      </c>
      <c r="J1524" s="129">
        <f t="shared" si="70"/>
        <v>0.51722000000000001</v>
      </c>
    </row>
    <row r="1525" spans="1:10" hidden="1" x14ac:dyDescent="0.35">
      <c r="A1525" s="126" t="s">
        <v>390</v>
      </c>
      <c r="B1525" t="str">
        <f>_xlfn.XLOOKUP(A1525,'[1]2050Pop'!$A$7:$A$143,'[1]2050Pop'!$D$7:$D$143)</f>
        <v>LatAm &amp; RSA</v>
      </c>
      <c r="C1525" s="127">
        <f>1000*_xlfn.XLOOKUP(A1525,'[1]2050Pop'!$A$7:$A$143,'[1]2050Pop'!$C$7:$C$143)</f>
        <v>23013</v>
      </c>
      <c r="D1525" s="126" t="s">
        <v>506</v>
      </c>
      <c r="E1525" s="130">
        <v>13.65</v>
      </c>
      <c r="F1525" s="129">
        <f t="shared" si="71"/>
        <v>0.31412745000000003</v>
      </c>
      <c r="G1525" t="str">
        <f>_xlfn.XLOOKUP(D1525,'[1]2050 BAU Mapping to T &amp; C'!$A$3:$A$52,'[1]2050 BAU Mapping to T &amp; C'!$B$3:$B$52)</f>
        <v>Legumes</v>
      </c>
      <c r="H1525" s="129">
        <f>_xlfn.XLOOKUP(G1525,'[1]T&amp;C emissions for 2050 analysis'!$B$3:$B$23,'[1]T&amp;C emissions for 2050 analysis'!$C$3:$C$23)</f>
        <v>7.3333333333333334E-2</v>
      </c>
      <c r="I1525" s="27">
        <f t="shared" si="69"/>
        <v>2.3036013000000001E-2</v>
      </c>
      <c r="J1525" s="129">
        <f t="shared" si="70"/>
        <v>1.0010000000000001</v>
      </c>
    </row>
    <row r="1526" spans="1:10" hidden="1" x14ac:dyDescent="0.35">
      <c r="A1526" s="126" t="s">
        <v>391</v>
      </c>
      <c r="B1526" t="str">
        <f>_xlfn.XLOOKUP(A1526,'[1]2050Pop'!$A$7:$A$143,'[1]2050Pop'!$D$7:$D$143)</f>
        <v>MENA</v>
      </c>
      <c r="C1526" s="127">
        <f>1000*_xlfn.XLOOKUP(A1526,'[1]2050Pop'!$A$7:$A$143,'[1]2050Pop'!$C$7:$C$143)</f>
        <v>151111</v>
      </c>
      <c r="D1526" s="126" t="s">
        <v>506</v>
      </c>
      <c r="E1526" s="130">
        <v>17.170000000000002</v>
      </c>
      <c r="F1526" s="129">
        <f t="shared" si="71"/>
        <v>2.5945758699999999</v>
      </c>
      <c r="G1526" t="str">
        <f>_xlfn.XLOOKUP(D1526,'[1]2050 BAU Mapping to T &amp; C'!$A$3:$A$52,'[1]2050 BAU Mapping to T &amp; C'!$B$3:$B$52)</f>
        <v>Legumes</v>
      </c>
      <c r="H1526" s="129">
        <f>_xlfn.XLOOKUP(G1526,'[1]T&amp;C emissions for 2050 analysis'!$B$3:$B$23,'[1]T&amp;C emissions for 2050 analysis'!$C$3:$C$23)</f>
        <v>7.3333333333333334E-2</v>
      </c>
      <c r="I1526" s="27">
        <f t="shared" si="69"/>
        <v>0.19026889713333334</v>
      </c>
      <c r="J1526" s="129">
        <f t="shared" si="70"/>
        <v>1.2591333333333334</v>
      </c>
    </row>
    <row r="1527" spans="1:10" hidden="1" x14ac:dyDescent="0.35">
      <c r="A1527" s="126" t="s">
        <v>392</v>
      </c>
      <c r="B1527" t="str">
        <f>_xlfn.XLOOKUP(A1527,'[1]2050Pop'!$A$7:$A$143,'[1]2050Pop'!$D$7:$D$143)</f>
        <v>LatAm &amp; RSA</v>
      </c>
      <c r="C1527" s="127">
        <f>1000*_xlfn.XLOOKUP(A1527,'[1]2050Pop'!$A$7:$A$143,'[1]2050Pop'!$C$7:$C$143)</f>
        <v>6390</v>
      </c>
      <c r="D1527" s="126" t="s">
        <v>506</v>
      </c>
      <c r="E1527" s="128">
        <v>5.3520000000000003</v>
      </c>
      <c r="F1527" s="129">
        <f t="shared" si="71"/>
        <v>3.4199279999999999E-2</v>
      </c>
      <c r="G1527" t="str">
        <f>_xlfn.XLOOKUP(D1527,'[1]2050 BAU Mapping to T &amp; C'!$A$3:$A$52,'[1]2050 BAU Mapping to T &amp; C'!$B$3:$B$52)</f>
        <v>Legumes</v>
      </c>
      <c r="H1527" s="129">
        <f>_xlfn.XLOOKUP(G1527,'[1]T&amp;C emissions for 2050 analysis'!$B$3:$B$23,'[1]T&amp;C emissions for 2050 analysis'!$C$3:$C$23)</f>
        <v>7.3333333333333334E-2</v>
      </c>
      <c r="I1527" s="27">
        <f t="shared" si="69"/>
        <v>2.5079472E-3</v>
      </c>
      <c r="J1527" s="129">
        <f t="shared" si="70"/>
        <v>0.39248000000000005</v>
      </c>
    </row>
    <row r="1528" spans="1:10" hidden="1" x14ac:dyDescent="0.35">
      <c r="A1528" s="126" t="s">
        <v>393</v>
      </c>
      <c r="B1528" t="str">
        <f>_xlfn.XLOOKUP(A1528,'[1]2050Pop'!$A$7:$A$143,'[1]2050Pop'!$D$7:$D$143)</f>
        <v>Euro/AU/NZ</v>
      </c>
      <c r="C1528" s="127">
        <f>1000*_xlfn.XLOOKUP(A1528,'[1]2050Pop'!$A$7:$A$143,'[1]2050Pop'!$C$7:$C$143)</f>
        <v>1129</v>
      </c>
      <c r="D1528" s="126" t="s">
        <v>506</v>
      </c>
      <c r="E1528" s="128">
        <v>3.5649999999999999</v>
      </c>
      <c r="F1528" s="129">
        <f t="shared" si="71"/>
        <v>4.0248849999999997E-3</v>
      </c>
      <c r="G1528" t="str">
        <f>_xlfn.XLOOKUP(D1528,'[1]2050 BAU Mapping to T &amp; C'!$A$3:$A$52,'[1]2050 BAU Mapping to T &amp; C'!$B$3:$B$52)</f>
        <v>Legumes</v>
      </c>
      <c r="H1528" s="129">
        <f>_xlfn.XLOOKUP(G1528,'[1]T&amp;C emissions for 2050 analysis'!$B$3:$B$23,'[1]T&amp;C emissions for 2050 analysis'!$C$3:$C$23)</f>
        <v>7.3333333333333334E-2</v>
      </c>
      <c r="I1528" s="27">
        <f t="shared" si="69"/>
        <v>2.951582333333333E-4</v>
      </c>
      <c r="J1528" s="129">
        <f t="shared" si="70"/>
        <v>0.26143333333333335</v>
      </c>
    </row>
    <row r="1529" spans="1:10" hidden="1" x14ac:dyDescent="0.35">
      <c r="A1529" s="126" t="s">
        <v>394</v>
      </c>
      <c r="B1529" t="str">
        <f>_xlfn.XLOOKUP(A1529,'[1]2050Pop'!$A$7:$A$143,'[1]2050Pop'!$D$7:$D$143)</f>
        <v>SSA</v>
      </c>
      <c r="C1529" s="127">
        <f>1000*_xlfn.XLOOKUP(A1529,'[1]2050Pop'!$A$7:$A$143,'[1]2050Pop'!$C$7:$C$143)</f>
        <v>188455</v>
      </c>
      <c r="D1529" s="126" t="s">
        <v>506</v>
      </c>
      <c r="E1529" s="128">
        <v>11.922000000000001</v>
      </c>
      <c r="F1529" s="129">
        <f t="shared" si="71"/>
        <v>2.2467605100000001</v>
      </c>
      <c r="G1529" t="str">
        <f>_xlfn.XLOOKUP(D1529,'[1]2050 BAU Mapping to T &amp; C'!$A$3:$A$52,'[1]2050 BAU Mapping to T &amp; C'!$B$3:$B$52)</f>
        <v>Legumes</v>
      </c>
      <c r="H1529" s="129">
        <f>_xlfn.XLOOKUP(G1529,'[1]T&amp;C emissions for 2050 analysis'!$B$3:$B$23,'[1]T&amp;C emissions for 2050 analysis'!$C$3:$C$23)</f>
        <v>7.3333333333333334E-2</v>
      </c>
      <c r="I1529" s="27">
        <f t="shared" si="69"/>
        <v>0.16476243740000002</v>
      </c>
      <c r="J1529" s="129">
        <f t="shared" si="70"/>
        <v>0.87428000000000006</v>
      </c>
    </row>
    <row r="1530" spans="1:10" hidden="1" x14ac:dyDescent="0.35">
      <c r="A1530" s="126" t="s">
        <v>395</v>
      </c>
      <c r="B1530" t="str">
        <f>_xlfn.XLOOKUP(A1530,'[1]2050Pop'!$A$7:$A$143,'[1]2050Pop'!$D$7:$D$143)</f>
        <v>Euro/AU/NZ</v>
      </c>
      <c r="C1530" s="127">
        <f>1000*_xlfn.XLOOKUP(A1530,'[1]2050Pop'!$A$7:$A$143,'[1]2050Pop'!$C$7:$C$143)</f>
        <v>5752</v>
      </c>
      <c r="D1530" s="126" t="s">
        <v>506</v>
      </c>
      <c r="E1530" s="128">
        <v>15.047000000000001</v>
      </c>
      <c r="F1530" s="129">
        <f t="shared" si="71"/>
        <v>8.6550344000000001E-2</v>
      </c>
      <c r="G1530" t="str">
        <f>_xlfn.XLOOKUP(D1530,'[1]2050 BAU Mapping to T &amp; C'!$A$3:$A$52,'[1]2050 BAU Mapping to T &amp; C'!$B$3:$B$52)</f>
        <v>Legumes</v>
      </c>
      <c r="H1530" s="129">
        <f>_xlfn.XLOOKUP(G1530,'[1]T&amp;C emissions for 2050 analysis'!$B$3:$B$23,'[1]T&amp;C emissions for 2050 analysis'!$C$3:$C$23)</f>
        <v>7.3333333333333334E-2</v>
      </c>
      <c r="I1530" s="27">
        <f t="shared" si="69"/>
        <v>6.3470252266666664E-3</v>
      </c>
      <c r="J1530" s="129">
        <f t="shared" si="70"/>
        <v>1.1034466666666667</v>
      </c>
    </row>
    <row r="1531" spans="1:10" hidden="1" x14ac:dyDescent="0.35">
      <c r="A1531" s="126" t="s">
        <v>396</v>
      </c>
      <c r="B1531" t="str">
        <f>_xlfn.XLOOKUP(A1531,'[1]2050Pop'!$A$7:$A$143,'[1]2050Pop'!$D$7:$D$143)</f>
        <v>Euro/AU/NZ</v>
      </c>
      <c r="C1531" s="127">
        <f>1000*_xlfn.XLOOKUP(A1531,'[1]2050Pop'!$A$7:$A$143,'[1]2050Pop'!$C$7:$C$143)</f>
        <v>71137</v>
      </c>
      <c r="D1531" s="126" t="s">
        <v>506</v>
      </c>
      <c r="E1531" s="128">
        <v>16.393999999999998</v>
      </c>
      <c r="F1531" s="129">
        <f t="shared" si="71"/>
        <v>1.166219978</v>
      </c>
      <c r="G1531" t="str">
        <f>_xlfn.XLOOKUP(D1531,'[1]2050 BAU Mapping to T &amp; C'!$A$3:$A$52,'[1]2050 BAU Mapping to T &amp; C'!$B$3:$B$52)</f>
        <v>Legumes</v>
      </c>
      <c r="H1531" s="129">
        <f>_xlfn.XLOOKUP(G1531,'[1]T&amp;C emissions for 2050 analysis'!$B$3:$B$23,'[1]T&amp;C emissions for 2050 analysis'!$C$3:$C$23)</f>
        <v>7.3333333333333334E-2</v>
      </c>
      <c r="I1531" s="27">
        <f t="shared" si="69"/>
        <v>8.5522798386666668E-2</v>
      </c>
      <c r="J1531" s="129">
        <f t="shared" si="70"/>
        <v>1.2022266666666666</v>
      </c>
    </row>
    <row r="1532" spans="1:10" hidden="1" x14ac:dyDescent="0.35">
      <c r="A1532" s="126" t="s">
        <v>397</v>
      </c>
      <c r="B1532" t="str">
        <f>_xlfn.XLOOKUP(A1532,'[1]2050Pop'!$A$7:$A$143,'[1]2050Pop'!$D$7:$D$143)</f>
        <v>SSA</v>
      </c>
      <c r="C1532" s="127">
        <f>1000*_xlfn.XLOOKUP(A1532,'[1]2050Pop'!$A$7:$A$143,'[1]2050Pop'!$C$7:$C$143)</f>
        <v>3164</v>
      </c>
      <c r="D1532" s="126" t="s">
        <v>506</v>
      </c>
      <c r="E1532" s="130">
        <v>137.37</v>
      </c>
      <c r="F1532" s="129">
        <f t="shared" si="71"/>
        <v>0.43463868</v>
      </c>
      <c r="G1532" t="str">
        <f>_xlfn.XLOOKUP(D1532,'[1]2050 BAU Mapping to T &amp; C'!$A$3:$A$52,'[1]2050 BAU Mapping to T &amp; C'!$B$3:$B$52)</f>
        <v>Legumes</v>
      </c>
      <c r="H1532" s="129">
        <f>_xlfn.XLOOKUP(G1532,'[1]T&amp;C emissions for 2050 analysis'!$B$3:$B$23,'[1]T&amp;C emissions for 2050 analysis'!$C$3:$C$23)</f>
        <v>7.3333333333333334E-2</v>
      </c>
      <c r="I1532" s="27">
        <f t="shared" si="69"/>
        <v>3.18735032E-2</v>
      </c>
      <c r="J1532" s="129">
        <f t="shared" si="70"/>
        <v>10.0738</v>
      </c>
    </row>
    <row r="1533" spans="1:10" hidden="1" x14ac:dyDescent="0.35">
      <c r="A1533" s="126" t="s">
        <v>489</v>
      </c>
      <c r="B1533" t="str">
        <f>_xlfn.XLOOKUP(A1533,'[1]2050Pop'!$A$7:$A$143,'[1]2050Pop'!$D$7:$D$143)</f>
        <v>SSA</v>
      </c>
      <c r="C1533" s="127">
        <f>1000*_xlfn.XLOOKUP(A1533,'[1]2050Pop'!$A$7:$A$143,'[1]2050Pop'!$C$7:$C$143)</f>
        <v>4981</v>
      </c>
      <c r="D1533" s="126" t="s">
        <v>506</v>
      </c>
      <c r="E1533" s="128">
        <v>74.304000000000002</v>
      </c>
      <c r="F1533" s="129">
        <f t="shared" si="71"/>
        <v>0.37010822399999999</v>
      </c>
      <c r="G1533" t="str">
        <f>_xlfn.XLOOKUP(D1533,'[1]2050 BAU Mapping to T &amp; C'!$A$3:$A$52,'[1]2050 BAU Mapping to T &amp; C'!$B$3:$B$52)</f>
        <v>Legumes</v>
      </c>
      <c r="H1533" s="129">
        <f>_xlfn.XLOOKUP(G1533,'[1]T&amp;C emissions for 2050 analysis'!$B$3:$B$23,'[1]T&amp;C emissions for 2050 analysis'!$C$3:$C$23)</f>
        <v>7.3333333333333334E-2</v>
      </c>
      <c r="I1533" s="27">
        <f t="shared" si="69"/>
        <v>2.714126976E-2</v>
      </c>
      <c r="J1533" s="129">
        <f t="shared" si="70"/>
        <v>5.4489600000000005</v>
      </c>
    </row>
    <row r="1534" spans="1:10" hidden="1" x14ac:dyDescent="0.35">
      <c r="A1534" s="126" t="s">
        <v>398</v>
      </c>
      <c r="B1534" t="str">
        <f>_xlfn.XLOOKUP(A1534,'[1]2050Pop'!$A$7:$A$143,'[1]2050Pop'!$D$7:$D$143)</f>
        <v>MENA</v>
      </c>
      <c r="C1534" s="127">
        <f>1000*_xlfn.XLOOKUP(A1534,'[1]2050Pop'!$A$7:$A$143,'[1]2050Pop'!$C$7:$C$143)</f>
        <v>3483</v>
      </c>
      <c r="D1534" s="126" t="s">
        <v>506</v>
      </c>
      <c r="E1534" s="128">
        <v>6.7370000000000001</v>
      </c>
      <c r="F1534" s="129">
        <f t="shared" si="71"/>
        <v>2.3464971000000001E-2</v>
      </c>
      <c r="G1534" t="str">
        <f>_xlfn.XLOOKUP(D1534,'[1]2050 BAU Mapping to T &amp; C'!$A$3:$A$52,'[1]2050 BAU Mapping to T &amp; C'!$B$3:$B$52)</f>
        <v>Legumes</v>
      </c>
      <c r="H1534" s="129">
        <f>_xlfn.XLOOKUP(G1534,'[1]T&amp;C emissions for 2050 analysis'!$B$3:$B$23,'[1]T&amp;C emissions for 2050 analysis'!$C$3:$C$23)</f>
        <v>7.3333333333333334E-2</v>
      </c>
      <c r="I1534" s="27">
        <f t="shared" si="69"/>
        <v>1.7207645400000001E-3</v>
      </c>
      <c r="J1534" s="129">
        <f t="shared" si="70"/>
        <v>0.49404666666666669</v>
      </c>
    </row>
    <row r="1535" spans="1:10" hidden="1" x14ac:dyDescent="0.35">
      <c r="A1535" s="126" t="s">
        <v>399</v>
      </c>
      <c r="B1535" t="str">
        <f>_xlfn.XLOOKUP(A1535,'[1]2050Pop'!$A$7:$A$143,'[1]2050Pop'!$D$7:$D$143)</f>
        <v>Euro/AU/NZ</v>
      </c>
      <c r="C1535" s="127">
        <f>1000*_xlfn.XLOOKUP(A1535,'[1]2050Pop'!$A$7:$A$143,'[1]2050Pop'!$C$7:$C$143)</f>
        <v>74513</v>
      </c>
      <c r="D1535" s="126" t="s">
        <v>506</v>
      </c>
      <c r="E1535" s="128">
        <v>17.693999999999999</v>
      </c>
      <c r="F1535" s="129">
        <f t="shared" si="71"/>
        <v>1.3184330219999998</v>
      </c>
      <c r="G1535" t="str">
        <f>_xlfn.XLOOKUP(D1535,'[1]2050 BAU Mapping to T &amp; C'!$A$3:$A$52,'[1]2050 BAU Mapping to T &amp; C'!$B$3:$B$52)</f>
        <v>Legumes</v>
      </c>
      <c r="H1535" s="129">
        <f>_xlfn.XLOOKUP(G1535,'[1]T&amp;C emissions for 2050 analysis'!$B$3:$B$23,'[1]T&amp;C emissions for 2050 analysis'!$C$3:$C$23)</f>
        <v>7.3333333333333334E-2</v>
      </c>
      <c r="I1535" s="27">
        <f t="shared" si="69"/>
        <v>9.6685088279999984E-2</v>
      </c>
      <c r="J1535" s="129">
        <f t="shared" si="70"/>
        <v>1.29756</v>
      </c>
    </row>
    <row r="1536" spans="1:10" hidden="1" x14ac:dyDescent="0.35">
      <c r="A1536" s="126" t="s">
        <v>400</v>
      </c>
      <c r="B1536" t="str">
        <f>_xlfn.XLOOKUP(A1536,'[1]2050Pop'!$A$7:$A$143,'[1]2050Pop'!$D$7:$D$143)</f>
        <v>SSA</v>
      </c>
      <c r="C1536" s="127">
        <f>1000*_xlfn.XLOOKUP(A1536,'[1]2050Pop'!$A$7:$A$143,'[1]2050Pop'!$C$7:$C$143)</f>
        <v>50071</v>
      </c>
      <c r="D1536" s="126" t="s">
        <v>506</v>
      </c>
      <c r="E1536" s="128">
        <v>102.95699999999999</v>
      </c>
      <c r="F1536" s="129">
        <f t="shared" si="71"/>
        <v>5.1551599469999996</v>
      </c>
      <c r="G1536" t="str">
        <f>_xlfn.XLOOKUP(D1536,'[1]2050 BAU Mapping to T &amp; C'!$A$3:$A$52,'[1]2050 BAU Mapping to T &amp; C'!$B$3:$B$52)</f>
        <v>Legumes</v>
      </c>
      <c r="H1536" s="129">
        <f>_xlfn.XLOOKUP(G1536,'[1]T&amp;C emissions for 2050 analysis'!$B$3:$B$23,'[1]T&amp;C emissions for 2050 analysis'!$C$3:$C$23)</f>
        <v>7.3333333333333334E-2</v>
      </c>
      <c r="I1536" s="27">
        <f t="shared" si="69"/>
        <v>0.37804506278</v>
      </c>
      <c r="J1536" s="129">
        <f t="shared" si="70"/>
        <v>7.5501799999999992</v>
      </c>
    </row>
    <row r="1537" spans="1:10" hidden="1" x14ac:dyDescent="0.35">
      <c r="A1537" s="126" t="s">
        <v>401</v>
      </c>
      <c r="B1537" t="str">
        <f>_xlfn.XLOOKUP(A1537,'[1]2050Pop'!$A$7:$A$143,'[1]2050Pop'!$D$7:$D$143)</f>
        <v>Euro/AU/NZ</v>
      </c>
      <c r="C1537" s="127">
        <f>1000*_xlfn.XLOOKUP(A1537,'[1]2050Pop'!$A$7:$A$143,'[1]2050Pop'!$C$7:$C$143)</f>
        <v>9705</v>
      </c>
      <c r="D1537" s="126" t="s">
        <v>506</v>
      </c>
      <c r="E1537" s="128">
        <v>6.0330000000000004</v>
      </c>
      <c r="F1537" s="129">
        <f t="shared" si="71"/>
        <v>5.8550265000000004E-2</v>
      </c>
      <c r="G1537" t="str">
        <f>_xlfn.XLOOKUP(D1537,'[1]2050 BAU Mapping to T &amp; C'!$A$3:$A$52,'[1]2050 BAU Mapping to T &amp; C'!$B$3:$B$52)</f>
        <v>Legumes</v>
      </c>
      <c r="H1537" s="129">
        <f>_xlfn.XLOOKUP(G1537,'[1]T&amp;C emissions for 2050 analysis'!$B$3:$B$23,'[1]T&amp;C emissions for 2050 analysis'!$C$3:$C$23)</f>
        <v>7.3333333333333334E-2</v>
      </c>
      <c r="I1537" s="27">
        <f t="shared" si="69"/>
        <v>4.2936861000000002E-3</v>
      </c>
      <c r="J1537" s="129">
        <f t="shared" si="70"/>
        <v>0.44242000000000004</v>
      </c>
    </row>
    <row r="1538" spans="1:10" hidden="1" x14ac:dyDescent="0.35">
      <c r="A1538" s="126" t="s">
        <v>402</v>
      </c>
      <c r="B1538" t="str">
        <f>_xlfn.XLOOKUP(A1538,'[1]2050Pop'!$A$7:$A$143,'[1]2050Pop'!$D$7:$D$143)</f>
        <v>LatAm &amp; RSA</v>
      </c>
      <c r="C1538" s="127">
        <f>1000*_xlfn.XLOOKUP(A1538,'[1]2050Pop'!$A$7:$A$143,'[1]2050Pop'!$C$7:$C$143)</f>
        <v>27754</v>
      </c>
      <c r="D1538" s="126" t="s">
        <v>506</v>
      </c>
      <c r="E1538" s="128">
        <v>8.1159999999999997</v>
      </c>
      <c r="F1538" s="129">
        <f t="shared" si="71"/>
        <v>0.22525146399999998</v>
      </c>
      <c r="G1538" t="str">
        <f>_xlfn.XLOOKUP(D1538,'[1]2050 BAU Mapping to T &amp; C'!$A$3:$A$52,'[1]2050 BAU Mapping to T &amp; C'!$B$3:$B$52)</f>
        <v>Legumes</v>
      </c>
      <c r="H1538" s="129">
        <f>_xlfn.XLOOKUP(G1538,'[1]T&amp;C emissions for 2050 analysis'!$B$3:$B$23,'[1]T&amp;C emissions for 2050 analysis'!$C$3:$C$23)</f>
        <v>7.3333333333333334E-2</v>
      </c>
      <c r="I1538" s="27">
        <f t="shared" si="69"/>
        <v>1.6518440693333334E-2</v>
      </c>
      <c r="J1538" s="129">
        <f t="shared" si="70"/>
        <v>0.59517333333333333</v>
      </c>
    </row>
    <row r="1539" spans="1:10" hidden="1" x14ac:dyDescent="0.35">
      <c r="A1539" s="126" t="s">
        <v>403</v>
      </c>
      <c r="B1539" t="str">
        <f>_xlfn.XLOOKUP(A1539,'[1]2050Pop'!$A$7:$A$143,'[1]2050Pop'!$D$7:$D$143)</f>
        <v>SSA</v>
      </c>
      <c r="C1539" s="127">
        <f>1000*_xlfn.XLOOKUP(A1539,'[1]2050Pop'!$A$7:$A$143,'[1]2050Pop'!$C$7:$C$143)</f>
        <v>27486</v>
      </c>
      <c r="D1539" s="126" t="s">
        <v>506</v>
      </c>
      <c r="E1539" s="128">
        <v>79.346000000000004</v>
      </c>
      <c r="F1539" s="129">
        <f t="shared" si="71"/>
        <v>2.180904156</v>
      </c>
      <c r="G1539" t="str">
        <f>_xlfn.XLOOKUP(D1539,'[1]2050 BAU Mapping to T &amp; C'!$A$3:$A$52,'[1]2050 BAU Mapping to T &amp; C'!$B$3:$B$52)</f>
        <v>Legumes</v>
      </c>
      <c r="H1539" s="129">
        <f>_xlfn.XLOOKUP(G1539,'[1]T&amp;C emissions for 2050 analysis'!$B$3:$B$23,'[1]T&amp;C emissions for 2050 analysis'!$C$3:$C$23)</f>
        <v>7.3333333333333334E-2</v>
      </c>
      <c r="I1539" s="27">
        <f t="shared" si="69"/>
        <v>0.15993297143999999</v>
      </c>
      <c r="J1539" s="129">
        <f t="shared" si="70"/>
        <v>5.8187066666666674</v>
      </c>
    </row>
    <row r="1540" spans="1:10" hidden="1" x14ac:dyDescent="0.35">
      <c r="A1540" s="126" t="s">
        <v>404</v>
      </c>
      <c r="B1540" t="str">
        <f>_xlfn.XLOOKUP(A1540,'[1]2050Pop'!$A$7:$A$143,'[1]2050Pop'!$D$7:$D$143)</f>
        <v>LatAm &amp; RSA</v>
      </c>
      <c r="C1540" s="127">
        <f>1000*_xlfn.XLOOKUP(A1540,'[1]2050Pop'!$A$7:$A$143,'[1]2050Pop'!$C$7:$C$143)</f>
        <v>806</v>
      </c>
      <c r="D1540" s="126" t="s">
        <v>506</v>
      </c>
      <c r="E1540" s="128">
        <v>25.181000000000001</v>
      </c>
      <c r="F1540" s="129">
        <f t="shared" si="71"/>
        <v>2.0295886000000003E-2</v>
      </c>
      <c r="G1540" t="str">
        <f>_xlfn.XLOOKUP(D1540,'[1]2050 BAU Mapping to T &amp; C'!$A$3:$A$52,'[1]2050 BAU Mapping to T &amp; C'!$B$3:$B$52)</f>
        <v>Legumes</v>
      </c>
      <c r="H1540" s="129">
        <f>_xlfn.XLOOKUP(G1540,'[1]T&amp;C emissions for 2050 analysis'!$B$3:$B$23,'[1]T&amp;C emissions for 2050 analysis'!$C$3:$C$23)</f>
        <v>7.3333333333333334E-2</v>
      </c>
      <c r="I1540" s="27">
        <f t="shared" ref="I1540:I1603" si="72">F1540*H1540</f>
        <v>1.4883649733333335E-3</v>
      </c>
      <c r="J1540" s="129">
        <f t="shared" ref="J1540:J1603" si="73">E1540*H1540</f>
        <v>1.8466066666666667</v>
      </c>
    </row>
    <row r="1541" spans="1:10" hidden="1" x14ac:dyDescent="0.35">
      <c r="A1541" s="126" t="s">
        <v>405</v>
      </c>
      <c r="B1541" t="str">
        <f>_xlfn.XLOOKUP(A1541,'[1]2050Pop'!$A$7:$A$143,'[1]2050Pop'!$D$7:$D$143)</f>
        <v>LatAm &amp; RSA</v>
      </c>
      <c r="C1541" s="127">
        <f>1000*_xlfn.XLOOKUP(A1541,'[1]2050Pop'!$A$7:$A$143,'[1]2050Pop'!$C$7:$C$143)</f>
        <v>14189</v>
      </c>
      <c r="D1541" s="126" t="s">
        <v>506</v>
      </c>
      <c r="E1541" s="128">
        <v>25.786999999999999</v>
      </c>
      <c r="F1541" s="129">
        <f t="shared" ref="F1541:F1604" si="74">C1541*E1541/1000000</f>
        <v>0.36589174299999994</v>
      </c>
      <c r="G1541" t="str">
        <f>_xlfn.XLOOKUP(D1541,'[1]2050 BAU Mapping to T &amp; C'!$A$3:$A$52,'[1]2050 BAU Mapping to T &amp; C'!$B$3:$B$52)</f>
        <v>Legumes</v>
      </c>
      <c r="H1541" s="129">
        <f>_xlfn.XLOOKUP(G1541,'[1]T&amp;C emissions for 2050 analysis'!$B$3:$B$23,'[1]T&amp;C emissions for 2050 analysis'!$C$3:$C$23)</f>
        <v>7.3333333333333334E-2</v>
      </c>
      <c r="I1541" s="27">
        <f t="shared" si="72"/>
        <v>2.6832061153333329E-2</v>
      </c>
      <c r="J1541" s="129">
        <f t="shared" si="73"/>
        <v>1.8910466666666665</v>
      </c>
    </row>
    <row r="1542" spans="1:10" hidden="1" x14ac:dyDescent="0.35">
      <c r="A1542" s="126" t="s">
        <v>406</v>
      </c>
      <c r="B1542" t="str">
        <f>_xlfn.XLOOKUP(A1542,'[1]2050Pop'!$A$7:$A$143,'[1]2050Pop'!$D$7:$D$143)</f>
        <v>LatAm &amp; RSA</v>
      </c>
      <c r="C1542" s="127">
        <f>1000*_xlfn.XLOOKUP(A1542,'[1]2050Pop'!$A$7:$A$143,'[1]2050Pop'!$C$7:$C$143)</f>
        <v>11217</v>
      </c>
      <c r="D1542" s="126" t="s">
        <v>506</v>
      </c>
      <c r="E1542" s="128">
        <v>2.141</v>
      </c>
      <c r="F1542" s="129">
        <f t="shared" si="74"/>
        <v>2.4015597000000003E-2</v>
      </c>
      <c r="G1542" t="str">
        <f>_xlfn.XLOOKUP(D1542,'[1]2050 BAU Mapping to T &amp; C'!$A$3:$A$52,'[1]2050 BAU Mapping to T &amp; C'!$B$3:$B$52)</f>
        <v>Legumes</v>
      </c>
      <c r="H1542" s="129">
        <f>_xlfn.XLOOKUP(G1542,'[1]T&amp;C emissions for 2050 analysis'!$B$3:$B$23,'[1]T&amp;C emissions for 2050 analysis'!$C$3:$C$23)</f>
        <v>7.3333333333333334E-2</v>
      </c>
      <c r="I1542" s="27">
        <f t="shared" si="72"/>
        <v>1.7611437800000003E-3</v>
      </c>
      <c r="J1542" s="129">
        <f t="shared" si="73"/>
        <v>0.15700666666666666</v>
      </c>
    </row>
    <row r="1543" spans="1:10" hidden="1" x14ac:dyDescent="0.35">
      <c r="A1543" s="126" t="s">
        <v>407</v>
      </c>
      <c r="B1543" t="str">
        <f>_xlfn.XLOOKUP(A1543,'[1]2050Pop'!$A$7:$A$143,'[1]2050Pop'!$D$7:$D$143)</f>
        <v>Euro/AU/NZ</v>
      </c>
      <c r="C1543" s="127">
        <f>1000*_xlfn.XLOOKUP(A1543,'[1]2050Pop'!$A$7:$A$143,'[1]2050Pop'!$C$7:$C$143)</f>
        <v>8318</v>
      </c>
      <c r="D1543" s="126" t="s">
        <v>506</v>
      </c>
      <c r="E1543" s="128">
        <v>4.391</v>
      </c>
      <c r="F1543" s="129">
        <f t="shared" si="74"/>
        <v>3.6524338000000003E-2</v>
      </c>
      <c r="G1543" t="str">
        <f>_xlfn.XLOOKUP(D1543,'[1]2050 BAU Mapping to T &amp; C'!$A$3:$A$52,'[1]2050 BAU Mapping to T &amp; C'!$B$3:$B$52)</f>
        <v>Legumes</v>
      </c>
      <c r="H1543" s="129">
        <f>_xlfn.XLOOKUP(G1543,'[1]T&amp;C emissions for 2050 analysis'!$B$3:$B$23,'[1]T&amp;C emissions for 2050 analysis'!$C$3:$C$23)</f>
        <v>7.3333333333333334E-2</v>
      </c>
      <c r="I1543" s="27">
        <f t="shared" si="72"/>
        <v>2.6784514533333336E-3</v>
      </c>
      <c r="J1543" s="129">
        <f t="shared" si="73"/>
        <v>0.32200666666666666</v>
      </c>
    </row>
    <row r="1544" spans="1:10" hidden="1" x14ac:dyDescent="0.35">
      <c r="A1544" s="126" t="s">
        <v>408</v>
      </c>
      <c r="B1544" t="str">
        <f>_xlfn.XLOOKUP(A1544,'[1]2050Pop'!$A$7:$A$143,'[1]2050Pop'!$D$7:$D$143)</f>
        <v>India/South Asia</v>
      </c>
      <c r="C1544" s="127">
        <f>1000*_xlfn.XLOOKUP(A1544,'[1]2050Pop'!$A$7:$A$143,'[1]2050Pop'!$C$7:$C$143)</f>
        <v>1705333</v>
      </c>
      <c r="D1544" s="126" t="s">
        <v>506</v>
      </c>
      <c r="E1544" s="128">
        <v>4.4989999999999997</v>
      </c>
      <c r="F1544" s="129">
        <f t="shared" si="74"/>
        <v>7.6722931669999994</v>
      </c>
      <c r="G1544" t="str">
        <f>_xlfn.XLOOKUP(D1544,'[1]2050 BAU Mapping to T &amp; C'!$A$3:$A$52,'[1]2050 BAU Mapping to T &amp; C'!$B$3:$B$52)</f>
        <v>Legumes</v>
      </c>
      <c r="H1544" s="129">
        <f>_xlfn.XLOOKUP(G1544,'[1]T&amp;C emissions for 2050 analysis'!$B$3:$B$23,'[1]T&amp;C emissions for 2050 analysis'!$C$3:$C$23)</f>
        <v>7.3333333333333334E-2</v>
      </c>
      <c r="I1544" s="27">
        <f t="shared" si="72"/>
        <v>0.56263483224666666</v>
      </c>
      <c r="J1544" s="129">
        <f t="shared" si="73"/>
        <v>0.32992666666666665</v>
      </c>
    </row>
    <row r="1545" spans="1:10" hidden="1" x14ac:dyDescent="0.35">
      <c r="A1545" s="126" t="s">
        <v>409</v>
      </c>
      <c r="B1545" t="str">
        <f>_xlfn.XLOOKUP(A1545,'[1]2050Pop'!$A$7:$A$143,'[1]2050Pop'!$D$7:$D$143)</f>
        <v>APAC</v>
      </c>
      <c r="C1545" s="127">
        <f>1000*_xlfn.XLOOKUP(A1545,'[1]2050Pop'!$A$7:$A$143,'[1]2050Pop'!$C$7:$C$143)</f>
        <v>322237</v>
      </c>
      <c r="D1545" s="126" t="s">
        <v>506</v>
      </c>
      <c r="E1545" s="128">
        <v>62.204999999999998</v>
      </c>
      <c r="F1545" s="129">
        <f t="shared" si="74"/>
        <v>20.044752585000001</v>
      </c>
      <c r="G1545" t="str">
        <f>_xlfn.XLOOKUP(D1545,'[1]2050 BAU Mapping to T &amp; C'!$A$3:$A$52,'[1]2050 BAU Mapping to T &amp; C'!$B$3:$B$52)</f>
        <v>Legumes</v>
      </c>
      <c r="H1545" s="129">
        <f>_xlfn.XLOOKUP(G1545,'[1]T&amp;C emissions for 2050 analysis'!$B$3:$B$23,'[1]T&amp;C emissions for 2050 analysis'!$C$3:$C$23)</f>
        <v>7.3333333333333334E-2</v>
      </c>
      <c r="I1545" s="27">
        <f t="shared" si="72"/>
        <v>1.4699485229</v>
      </c>
      <c r="J1545" s="129">
        <f t="shared" si="73"/>
        <v>4.5617000000000001</v>
      </c>
    </row>
    <row r="1546" spans="1:10" hidden="1" x14ac:dyDescent="0.35">
      <c r="A1546" s="126" t="s">
        <v>410</v>
      </c>
      <c r="B1546" t="str">
        <f>_xlfn.XLOOKUP(A1546,'[1]2050Pop'!$A$7:$A$143,'[1]2050Pop'!$D$7:$D$143)</f>
        <v>India/South Asia</v>
      </c>
      <c r="C1546" s="127">
        <f>1000*_xlfn.XLOOKUP(A1546,'[1]2050Pop'!$A$7:$A$143,'[1]2050Pop'!$C$7:$C$143)</f>
        <v>92219</v>
      </c>
      <c r="D1546" s="126" t="s">
        <v>506</v>
      </c>
      <c r="E1546" s="128">
        <v>5.9039999999999999</v>
      </c>
      <c r="F1546" s="129">
        <f t="shared" si="74"/>
        <v>0.54446097599999999</v>
      </c>
      <c r="G1546" t="str">
        <f>_xlfn.XLOOKUP(D1546,'[1]2050 BAU Mapping to T &amp; C'!$A$3:$A$52,'[1]2050 BAU Mapping to T &amp; C'!$B$3:$B$52)</f>
        <v>Legumes</v>
      </c>
      <c r="H1546" s="129">
        <f>_xlfn.XLOOKUP(G1546,'[1]T&amp;C emissions for 2050 analysis'!$B$3:$B$23,'[1]T&amp;C emissions for 2050 analysis'!$C$3:$C$23)</f>
        <v>7.3333333333333334E-2</v>
      </c>
      <c r="I1546" s="27">
        <f t="shared" si="72"/>
        <v>3.992713824E-2</v>
      </c>
      <c r="J1546" s="129">
        <f t="shared" si="73"/>
        <v>0.43296000000000001</v>
      </c>
    </row>
    <row r="1547" spans="1:10" hidden="1" x14ac:dyDescent="0.35">
      <c r="A1547" s="126" t="s">
        <v>412</v>
      </c>
      <c r="B1547" t="str">
        <f>_xlfn.XLOOKUP(A1547,'[1]2050Pop'!$A$7:$A$143,'[1]2050Pop'!$D$7:$D$143)</f>
        <v>Euro/AU/NZ</v>
      </c>
      <c r="C1547" s="127">
        <f>1000*_xlfn.XLOOKUP(A1547,'[1]2050Pop'!$A$7:$A$143,'[1]2050Pop'!$C$7:$C$143)</f>
        <v>5789</v>
      </c>
      <c r="D1547" s="126" t="s">
        <v>506</v>
      </c>
      <c r="E1547" s="131">
        <v>17</v>
      </c>
      <c r="F1547" s="129">
        <f t="shared" si="74"/>
        <v>9.8413E-2</v>
      </c>
      <c r="G1547" t="str">
        <f>_xlfn.XLOOKUP(D1547,'[1]2050 BAU Mapping to T &amp; C'!$A$3:$A$52,'[1]2050 BAU Mapping to T &amp; C'!$B$3:$B$52)</f>
        <v>Legumes</v>
      </c>
      <c r="H1547" s="129">
        <f>_xlfn.XLOOKUP(G1547,'[1]T&amp;C emissions for 2050 analysis'!$B$3:$B$23,'[1]T&amp;C emissions for 2050 analysis'!$C$3:$C$23)</f>
        <v>7.3333333333333334E-2</v>
      </c>
      <c r="I1547" s="27">
        <f t="shared" si="72"/>
        <v>7.2169533333333331E-3</v>
      </c>
      <c r="J1547" s="129">
        <f t="shared" si="73"/>
        <v>1.2466666666666666</v>
      </c>
    </row>
    <row r="1548" spans="1:10" hidden="1" x14ac:dyDescent="0.35">
      <c r="A1548" s="126" t="s">
        <v>413</v>
      </c>
      <c r="B1548" t="str">
        <f>_xlfn.XLOOKUP(A1548,'[1]2050Pop'!$A$7:$A$143,'[1]2050Pop'!$D$7:$D$143)</f>
        <v>MENA</v>
      </c>
      <c r="C1548" s="127">
        <f>1000*_xlfn.XLOOKUP(A1548,'[1]2050Pop'!$A$7:$A$143,'[1]2050Pop'!$C$7:$C$143)</f>
        <v>12610</v>
      </c>
      <c r="D1548" s="126" t="s">
        <v>506</v>
      </c>
      <c r="E1548" s="128">
        <v>30.048999999999999</v>
      </c>
      <c r="F1548" s="129">
        <f t="shared" si="74"/>
        <v>0.37891789000000003</v>
      </c>
      <c r="G1548" t="str">
        <f>_xlfn.XLOOKUP(D1548,'[1]2050 BAU Mapping to T &amp; C'!$A$3:$A$52,'[1]2050 BAU Mapping to T &amp; C'!$B$3:$B$52)</f>
        <v>Legumes</v>
      </c>
      <c r="H1548" s="129">
        <f>_xlfn.XLOOKUP(G1548,'[1]T&amp;C emissions for 2050 analysis'!$B$3:$B$23,'[1]T&amp;C emissions for 2050 analysis'!$C$3:$C$23)</f>
        <v>7.3333333333333334E-2</v>
      </c>
      <c r="I1548" s="27">
        <f t="shared" si="72"/>
        <v>2.7787311933333336E-2</v>
      </c>
      <c r="J1548" s="129">
        <f t="shared" si="73"/>
        <v>2.2035933333333335</v>
      </c>
    </row>
    <row r="1549" spans="1:10" hidden="1" x14ac:dyDescent="0.35">
      <c r="A1549" s="126" t="s">
        <v>414</v>
      </c>
      <c r="B1549" t="str">
        <f>_xlfn.XLOOKUP(A1549,'[1]2050Pop'!$A$7:$A$143,'[1]2050Pop'!$D$7:$D$143)</f>
        <v>Euro/AU/NZ</v>
      </c>
      <c r="C1549" s="127">
        <f>1000*_xlfn.XLOOKUP(A1549,'[1]2050Pop'!$A$7:$A$143,'[1]2050Pop'!$C$7:$C$143)</f>
        <v>56513</v>
      </c>
      <c r="D1549" s="126" t="s">
        <v>506</v>
      </c>
      <c r="E1549" s="128">
        <v>5.2729999999999997</v>
      </c>
      <c r="F1549" s="129">
        <f t="shared" si="74"/>
        <v>0.29799304900000001</v>
      </c>
      <c r="G1549" t="str">
        <f>_xlfn.XLOOKUP(D1549,'[1]2050 BAU Mapping to T &amp; C'!$A$3:$A$52,'[1]2050 BAU Mapping to T &amp; C'!$B$3:$B$52)</f>
        <v>Legumes</v>
      </c>
      <c r="H1549" s="129">
        <f>_xlfn.XLOOKUP(G1549,'[1]T&amp;C emissions for 2050 analysis'!$B$3:$B$23,'[1]T&amp;C emissions for 2050 analysis'!$C$3:$C$23)</f>
        <v>7.3333333333333334E-2</v>
      </c>
      <c r="I1549" s="27">
        <f t="shared" si="72"/>
        <v>2.1852823593333334E-2</v>
      </c>
      <c r="J1549" s="129">
        <f t="shared" si="73"/>
        <v>0.38668666666666662</v>
      </c>
    </row>
    <row r="1550" spans="1:10" hidden="1" x14ac:dyDescent="0.35">
      <c r="A1550" s="126" t="s">
        <v>415</v>
      </c>
      <c r="B1550" t="str">
        <f>_xlfn.XLOOKUP(A1550,'[1]2050Pop'!$A$7:$A$143,'[1]2050Pop'!$D$7:$D$143)</f>
        <v>LatAm &amp; RSA</v>
      </c>
      <c r="C1550" s="127">
        <f>1000*_xlfn.XLOOKUP(A1550,'[1]2050Pop'!$A$7:$A$143,'[1]2050Pop'!$C$7:$C$143)</f>
        <v>2710</v>
      </c>
      <c r="D1550" s="126" t="s">
        <v>506</v>
      </c>
      <c r="E1550" s="128">
        <v>21.893999999999998</v>
      </c>
      <c r="F1550" s="129">
        <f t="shared" si="74"/>
        <v>5.9332739999999995E-2</v>
      </c>
      <c r="G1550" t="str">
        <f>_xlfn.XLOOKUP(D1550,'[1]2050 BAU Mapping to T &amp; C'!$A$3:$A$52,'[1]2050 BAU Mapping to T &amp; C'!$B$3:$B$52)</f>
        <v>Legumes</v>
      </c>
      <c r="H1550" s="129">
        <f>_xlfn.XLOOKUP(G1550,'[1]T&amp;C emissions for 2050 analysis'!$B$3:$B$23,'[1]T&amp;C emissions for 2050 analysis'!$C$3:$C$23)</f>
        <v>7.3333333333333334E-2</v>
      </c>
      <c r="I1550" s="27">
        <f t="shared" si="72"/>
        <v>4.3510675999999995E-3</v>
      </c>
      <c r="J1550" s="129">
        <f t="shared" si="73"/>
        <v>1.6055599999999999</v>
      </c>
    </row>
    <row r="1551" spans="1:10" hidden="1" x14ac:dyDescent="0.35">
      <c r="A1551" s="126" t="s">
        <v>416</v>
      </c>
      <c r="B1551" t="str">
        <f>_xlfn.XLOOKUP(A1551,'[1]2050Pop'!$A$7:$A$143,'[1]2050Pop'!$D$7:$D$143)</f>
        <v>APAC</v>
      </c>
      <c r="C1551" s="127">
        <f>1000*_xlfn.XLOOKUP(A1551,'[1]2050Pop'!$A$7:$A$143,'[1]2050Pop'!$C$7:$C$143)</f>
        <v>107411</v>
      </c>
      <c r="D1551" s="126" t="s">
        <v>506</v>
      </c>
      <c r="E1551" s="128">
        <v>11.359</v>
      </c>
      <c r="F1551" s="129">
        <f t="shared" si="74"/>
        <v>1.2200815489999999</v>
      </c>
      <c r="G1551" t="str">
        <f>_xlfn.XLOOKUP(D1551,'[1]2050 BAU Mapping to T &amp; C'!$A$3:$A$52,'[1]2050 BAU Mapping to T &amp; C'!$B$3:$B$52)</f>
        <v>Legumes</v>
      </c>
      <c r="H1551" s="129">
        <f>_xlfn.XLOOKUP(G1551,'[1]T&amp;C emissions for 2050 analysis'!$B$3:$B$23,'[1]T&amp;C emissions for 2050 analysis'!$C$3:$C$23)</f>
        <v>7.3333333333333334E-2</v>
      </c>
      <c r="I1551" s="27">
        <f t="shared" si="72"/>
        <v>8.9472646926666663E-2</v>
      </c>
      <c r="J1551" s="129">
        <f t="shared" si="73"/>
        <v>0.83299333333333336</v>
      </c>
    </row>
    <row r="1552" spans="1:10" hidden="1" x14ac:dyDescent="0.35">
      <c r="A1552" s="126" t="s">
        <v>417</v>
      </c>
      <c r="B1552" t="str">
        <f>_xlfn.XLOOKUP(A1552,'[1]2050Pop'!$A$7:$A$143,'[1]2050Pop'!$D$7:$D$143)</f>
        <v>MENA</v>
      </c>
      <c r="C1552" s="127">
        <f>1000*_xlfn.XLOOKUP(A1552,'[1]2050Pop'!$A$7:$A$143,'[1]2050Pop'!$C$7:$C$143)</f>
        <v>11717</v>
      </c>
      <c r="D1552" s="126" t="s">
        <v>506</v>
      </c>
      <c r="E1552" s="128">
        <v>22.611000000000001</v>
      </c>
      <c r="F1552" s="129">
        <f t="shared" si="74"/>
        <v>0.26493308700000001</v>
      </c>
      <c r="G1552" t="str">
        <f>_xlfn.XLOOKUP(D1552,'[1]2050 BAU Mapping to T &amp; C'!$A$3:$A$52,'[1]2050 BAU Mapping to T &amp; C'!$B$3:$B$52)</f>
        <v>Legumes</v>
      </c>
      <c r="H1552" s="129">
        <f>_xlfn.XLOOKUP(G1552,'[1]T&amp;C emissions for 2050 analysis'!$B$3:$B$23,'[1]T&amp;C emissions for 2050 analysis'!$C$3:$C$23)</f>
        <v>7.3333333333333334E-2</v>
      </c>
      <c r="I1552" s="27">
        <f t="shared" si="72"/>
        <v>1.9428426380000002E-2</v>
      </c>
      <c r="J1552" s="129">
        <f t="shared" si="73"/>
        <v>1.6581399999999999</v>
      </c>
    </row>
    <row r="1553" spans="1:10" hidden="1" x14ac:dyDescent="0.35">
      <c r="A1553" s="126" t="s">
        <v>418</v>
      </c>
      <c r="B1553" t="str">
        <f>_xlfn.XLOOKUP(A1553,'[1]2050Pop'!$A$7:$A$143,'[1]2050Pop'!$D$7:$D$143)</f>
        <v>APAC</v>
      </c>
      <c r="C1553" s="127">
        <f>1000*_xlfn.XLOOKUP(A1553,'[1]2050Pop'!$A$7:$A$143,'[1]2050Pop'!$C$7:$C$143)</f>
        <v>22447</v>
      </c>
      <c r="D1553" s="126" t="s">
        <v>506</v>
      </c>
      <c r="E1553" s="128">
        <v>6.4850000000000003</v>
      </c>
      <c r="F1553" s="129">
        <f t="shared" si="74"/>
        <v>0.145568795</v>
      </c>
      <c r="G1553" t="str">
        <f>_xlfn.XLOOKUP(D1553,'[1]2050 BAU Mapping to T &amp; C'!$A$3:$A$52,'[1]2050 BAU Mapping to T &amp; C'!$B$3:$B$52)</f>
        <v>Legumes</v>
      </c>
      <c r="H1553" s="129">
        <f>_xlfn.XLOOKUP(G1553,'[1]T&amp;C emissions for 2050 analysis'!$B$3:$B$23,'[1]T&amp;C emissions for 2050 analysis'!$C$3:$C$23)</f>
        <v>7.3333333333333334E-2</v>
      </c>
      <c r="I1553" s="27">
        <f t="shared" si="72"/>
        <v>1.0675044966666667E-2</v>
      </c>
      <c r="J1553" s="129">
        <f t="shared" si="73"/>
        <v>0.47556666666666669</v>
      </c>
    </row>
    <row r="1554" spans="1:10" hidden="1" x14ac:dyDescent="0.35">
      <c r="A1554" s="126" t="s">
        <v>419</v>
      </c>
      <c r="B1554" t="str">
        <f>_xlfn.XLOOKUP(A1554,'[1]2050Pop'!$A$7:$A$143,'[1]2050Pop'!$D$7:$D$143)</f>
        <v>SSA</v>
      </c>
      <c r="C1554" s="127">
        <f>1000*_xlfn.XLOOKUP(A1554,'[1]2050Pop'!$A$7:$A$143,'[1]2050Pop'!$C$7:$C$143)</f>
        <v>95505</v>
      </c>
      <c r="D1554" s="126" t="s">
        <v>506</v>
      </c>
      <c r="E1554" s="128">
        <v>8.7669999999999995</v>
      </c>
      <c r="F1554" s="129">
        <f t="shared" si="74"/>
        <v>0.837292335</v>
      </c>
      <c r="G1554" t="str">
        <f>_xlfn.XLOOKUP(D1554,'[1]2050 BAU Mapping to T &amp; C'!$A$3:$A$52,'[1]2050 BAU Mapping to T &amp; C'!$B$3:$B$52)</f>
        <v>Legumes</v>
      </c>
      <c r="H1554" s="129">
        <f>_xlfn.XLOOKUP(G1554,'[1]T&amp;C emissions for 2050 analysis'!$B$3:$B$23,'[1]T&amp;C emissions for 2050 analysis'!$C$3:$C$23)</f>
        <v>7.3333333333333334E-2</v>
      </c>
      <c r="I1554" s="27">
        <f t="shared" si="72"/>
        <v>6.1401437900000001E-2</v>
      </c>
      <c r="J1554" s="129">
        <f t="shared" si="73"/>
        <v>0.64291333333333334</v>
      </c>
    </row>
    <row r="1555" spans="1:10" hidden="1" x14ac:dyDescent="0.35">
      <c r="A1555" s="126" t="s">
        <v>420</v>
      </c>
      <c r="B1555" t="str">
        <f>_xlfn.XLOOKUP(A1555,'[1]2050Pop'!$A$7:$A$143,'[1]2050Pop'!$D$7:$D$143)</f>
        <v>APAC</v>
      </c>
      <c r="C1555" s="127">
        <f>1000*_xlfn.XLOOKUP(A1555,'[1]2050Pop'!$A$7:$A$143,'[1]2050Pop'!$C$7:$C$143)</f>
        <v>8248</v>
      </c>
      <c r="D1555" s="126" t="s">
        <v>506</v>
      </c>
      <c r="E1555" s="128">
        <v>1.129</v>
      </c>
      <c r="F1555" s="129">
        <f t="shared" si="74"/>
        <v>9.3119919999999998E-3</v>
      </c>
      <c r="G1555" t="str">
        <f>_xlfn.XLOOKUP(D1555,'[1]2050 BAU Mapping to T &amp; C'!$A$3:$A$52,'[1]2050 BAU Mapping to T &amp; C'!$B$3:$B$52)</f>
        <v>Legumes</v>
      </c>
      <c r="H1555" s="129">
        <f>_xlfn.XLOOKUP(G1555,'[1]T&amp;C emissions for 2050 analysis'!$B$3:$B$23,'[1]T&amp;C emissions for 2050 analysis'!$C$3:$C$23)</f>
        <v>7.3333333333333334E-2</v>
      </c>
      <c r="I1555" s="27">
        <f t="shared" si="72"/>
        <v>6.8287941333333333E-4</v>
      </c>
      <c r="J1555" s="129">
        <f t="shared" si="73"/>
        <v>8.279333333333333E-2</v>
      </c>
    </row>
    <row r="1556" spans="1:10" hidden="1" x14ac:dyDescent="0.35">
      <c r="A1556" s="126" t="s">
        <v>421</v>
      </c>
      <c r="B1556" t="str">
        <f>_xlfn.XLOOKUP(A1556,'[1]2050Pop'!$A$7:$A$143,'[1]2050Pop'!$D$7:$D$143)</f>
        <v>APAC</v>
      </c>
      <c r="C1556" s="127">
        <f>1000*_xlfn.XLOOKUP(A1556,'[1]2050Pop'!$A$7:$A$143,'[1]2050Pop'!$C$7:$C$143)</f>
        <v>10172</v>
      </c>
      <c r="D1556" s="126" t="s">
        <v>506</v>
      </c>
      <c r="E1556" s="128">
        <v>39.247999999999998</v>
      </c>
      <c r="F1556" s="129">
        <f t="shared" si="74"/>
        <v>0.39923065599999996</v>
      </c>
      <c r="G1556" t="str">
        <f>_xlfn.XLOOKUP(D1556,'[1]2050 BAU Mapping to T &amp; C'!$A$3:$A$52,'[1]2050 BAU Mapping to T &amp; C'!$B$3:$B$52)</f>
        <v>Legumes</v>
      </c>
      <c r="H1556" s="129">
        <f>_xlfn.XLOOKUP(G1556,'[1]T&amp;C emissions for 2050 analysis'!$B$3:$B$23,'[1]T&amp;C emissions for 2050 analysis'!$C$3:$C$23)</f>
        <v>7.3333333333333334E-2</v>
      </c>
      <c r="I1556" s="27">
        <f t="shared" si="72"/>
        <v>2.9276914773333329E-2</v>
      </c>
      <c r="J1556" s="129">
        <f t="shared" si="73"/>
        <v>2.8781866666666667</v>
      </c>
    </row>
    <row r="1557" spans="1:10" hidden="1" x14ac:dyDescent="0.35">
      <c r="A1557" s="126" t="s">
        <v>422</v>
      </c>
      <c r="B1557" t="str">
        <f>_xlfn.XLOOKUP(A1557,'[1]2050Pop'!$A$7:$A$143,'[1]2050Pop'!$D$7:$D$143)</f>
        <v>Euro/AU/NZ</v>
      </c>
      <c r="C1557" s="127">
        <f>1000*_xlfn.XLOOKUP(A1557,'[1]2050Pop'!$A$7:$A$143,'[1]2050Pop'!$C$7:$C$143)</f>
        <v>1593</v>
      </c>
      <c r="D1557" s="126" t="s">
        <v>506</v>
      </c>
      <c r="E1557" s="128">
        <v>10.444000000000001</v>
      </c>
      <c r="F1557" s="129">
        <f t="shared" si="74"/>
        <v>1.6637292000000001E-2</v>
      </c>
      <c r="G1557" t="str">
        <f>_xlfn.XLOOKUP(D1557,'[1]2050 BAU Mapping to T &amp; C'!$A$3:$A$52,'[1]2050 BAU Mapping to T &amp; C'!$B$3:$B$52)</f>
        <v>Legumes</v>
      </c>
      <c r="H1557" s="129">
        <f>_xlfn.XLOOKUP(G1557,'[1]T&amp;C emissions for 2050 analysis'!$B$3:$B$23,'[1]T&amp;C emissions for 2050 analysis'!$C$3:$C$23)</f>
        <v>7.3333333333333334E-2</v>
      </c>
      <c r="I1557" s="27">
        <f t="shared" si="72"/>
        <v>1.22006808E-3</v>
      </c>
      <c r="J1557" s="129">
        <f t="shared" si="73"/>
        <v>0.76589333333333343</v>
      </c>
    </row>
    <row r="1558" spans="1:10" hidden="1" x14ac:dyDescent="0.35">
      <c r="A1558" s="126" t="s">
        <v>423</v>
      </c>
      <c r="B1558" t="str">
        <f>_xlfn.XLOOKUP(A1558,'[1]2050Pop'!$A$7:$A$143,'[1]2050Pop'!$D$7:$D$143)</f>
        <v>MENA</v>
      </c>
      <c r="C1558" s="127">
        <f>1000*_xlfn.XLOOKUP(A1558,'[1]2050Pop'!$A$7:$A$143,'[1]2050Pop'!$C$7:$C$143)</f>
        <v>5610</v>
      </c>
      <c r="D1558" s="126" t="s">
        <v>506</v>
      </c>
      <c r="E1558" s="128">
        <v>16.922999999999998</v>
      </c>
      <c r="F1558" s="129">
        <f t="shared" si="74"/>
        <v>9.4938029999999979E-2</v>
      </c>
      <c r="G1558" t="str">
        <f>_xlfn.XLOOKUP(D1558,'[1]2050 BAU Mapping to T &amp; C'!$A$3:$A$52,'[1]2050 BAU Mapping to T &amp; C'!$B$3:$B$52)</f>
        <v>Legumes</v>
      </c>
      <c r="H1558" s="129">
        <f>_xlfn.XLOOKUP(G1558,'[1]T&amp;C emissions for 2050 analysis'!$B$3:$B$23,'[1]T&amp;C emissions for 2050 analysis'!$C$3:$C$23)</f>
        <v>7.3333333333333334E-2</v>
      </c>
      <c r="I1558" s="27">
        <f t="shared" si="72"/>
        <v>6.9621221999999986E-3</v>
      </c>
      <c r="J1558" s="129">
        <f t="shared" si="73"/>
        <v>1.2410199999999998</v>
      </c>
    </row>
    <row r="1559" spans="1:10" hidden="1" x14ac:dyDescent="0.35">
      <c r="A1559" s="126" t="s">
        <v>425</v>
      </c>
      <c r="B1559" t="str">
        <f>_xlfn.XLOOKUP(A1559,'[1]2050Pop'!$A$7:$A$143,'[1]2050Pop'!$D$7:$D$143)</f>
        <v>SSA</v>
      </c>
      <c r="C1559" s="127">
        <f>1000*_xlfn.XLOOKUP(A1559,'[1]2050Pop'!$A$7:$A$143,'[1]2050Pop'!$C$7:$C$143)</f>
        <v>9436</v>
      </c>
      <c r="D1559" s="126" t="s">
        <v>506</v>
      </c>
      <c r="E1559" s="128">
        <v>13.997</v>
      </c>
      <c r="F1559" s="129">
        <f t="shared" si="74"/>
        <v>0.13207569200000002</v>
      </c>
      <c r="G1559" t="str">
        <f>_xlfn.XLOOKUP(D1559,'[1]2050 BAU Mapping to T &amp; C'!$A$3:$A$52,'[1]2050 BAU Mapping to T &amp; C'!$B$3:$B$52)</f>
        <v>Legumes</v>
      </c>
      <c r="H1559" s="129">
        <f>_xlfn.XLOOKUP(G1559,'[1]T&amp;C emissions for 2050 analysis'!$B$3:$B$23,'[1]T&amp;C emissions for 2050 analysis'!$C$3:$C$23)</f>
        <v>7.3333333333333334E-2</v>
      </c>
      <c r="I1559" s="27">
        <f t="shared" si="72"/>
        <v>9.6855507466666688E-3</v>
      </c>
      <c r="J1559" s="129">
        <f t="shared" si="73"/>
        <v>1.0264466666666667</v>
      </c>
    </row>
    <row r="1560" spans="1:10" hidden="1" x14ac:dyDescent="0.35">
      <c r="A1560" s="126" t="s">
        <v>426</v>
      </c>
      <c r="B1560" t="str">
        <f>_xlfn.XLOOKUP(A1560,'[1]2050Pop'!$A$7:$A$143,'[1]2050Pop'!$D$7:$D$143)</f>
        <v>Euro/AU/NZ</v>
      </c>
      <c r="C1560" s="127">
        <f>1000*_xlfn.XLOOKUP(A1560,'[1]2050Pop'!$A$7:$A$143,'[1]2050Pop'!$C$7:$C$143)</f>
        <v>2375</v>
      </c>
      <c r="D1560" s="126" t="s">
        <v>506</v>
      </c>
      <c r="E1560" s="128">
        <v>12.586</v>
      </c>
      <c r="F1560" s="129">
        <f t="shared" si="74"/>
        <v>2.9891750000000002E-2</v>
      </c>
      <c r="G1560" t="str">
        <f>_xlfn.XLOOKUP(D1560,'[1]2050 BAU Mapping to T &amp; C'!$A$3:$A$52,'[1]2050 BAU Mapping to T &amp; C'!$B$3:$B$52)</f>
        <v>Legumes</v>
      </c>
      <c r="H1560" s="129">
        <f>_xlfn.XLOOKUP(G1560,'[1]T&amp;C emissions for 2050 analysis'!$B$3:$B$23,'[1]T&amp;C emissions for 2050 analysis'!$C$3:$C$23)</f>
        <v>7.3333333333333334E-2</v>
      </c>
      <c r="I1560" s="27">
        <f t="shared" si="72"/>
        <v>2.1920616666666667E-3</v>
      </c>
      <c r="J1560" s="129">
        <f t="shared" si="73"/>
        <v>0.92297333333333331</v>
      </c>
    </row>
    <row r="1561" spans="1:10" hidden="1" x14ac:dyDescent="0.35">
      <c r="A1561" s="126" t="s">
        <v>427</v>
      </c>
      <c r="B1561" t="str">
        <f>_xlfn.XLOOKUP(A1561,'[1]2050Pop'!$A$7:$A$143,'[1]2050Pop'!$D$7:$D$143)</f>
        <v>SSA</v>
      </c>
      <c r="C1561" s="127">
        <f>1000*_xlfn.XLOOKUP(A1561,'[1]2050Pop'!$A$7:$A$143,'[1]2050Pop'!$C$7:$C$143)</f>
        <v>55294</v>
      </c>
      <c r="D1561" s="126" t="s">
        <v>506</v>
      </c>
      <c r="E1561" s="130">
        <v>1.82</v>
      </c>
      <c r="F1561" s="129">
        <f t="shared" si="74"/>
        <v>0.10063508</v>
      </c>
      <c r="G1561" t="str">
        <f>_xlfn.XLOOKUP(D1561,'[1]2050 BAU Mapping to T &amp; C'!$A$3:$A$52,'[1]2050 BAU Mapping to T &amp; C'!$B$3:$B$52)</f>
        <v>Legumes</v>
      </c>
      <c r="H1561" s="129">
        <f>_xlfn.XLOOKUP(G1561,'[1]T&amp;C emissions for 2050 analysis'!$B$3:$B$23,'[1]T&amp;C emissions for 2050 analysis'!$C$3:$C$23)</f>
        <v>7.3333333333333334E-2</v>
      </c>
      <c r="I1561" s="27">
        <f t="shared" si="72"/>
        <v>7.3799058666666672E-3</v>
      </c>
      <c r="J1561" s="129">
        <f t="shared" si="73"/>
        <v>0.13346666666666668</v>
      </c>
    </row>
    <row r="1562" spans="1:10" hidden="1" x14ac:dyDescent="0.35">
      <c r="A1562" s="126" t="s">
        <v>428</v>
      </c>
      <c r="B1562" t="str">
        <f>_xlfn.XLOOKUP(A1562,'[1]2050Pop'!$A$7:$A$143,'[1]2050Pop'!$D$7:$D$143)</f>
        <v>SSA</v>
      </c>
      <c r="C1562" s="127">
        <f>1000*_xlfn.XLOOKUP(A1562,'[1]2050Pop'!$A$7:$A$143,'[1]2050Pop'!$C$7:$C$143)</f>
        <v>43155</v>
      </c>
      <c r="D1562" s="126" t="s">
        <v>506</v>
      </c>
      <c r="E1562" s="128">
        <v>74.018000000000001</v>
      </c>
      <c r="F1562" s="129">
        <f t="shared" si="74"/>
        <v>3.1942467900000002</v>
      </c>
      <c r="G1562" t="str">
        <f>_xlfn.XLOOKUP(D1562,'[1]2050 BAU Mapping to T &amp; C'!$A$3:$A$52,'[1]2050 BAU Mapping to T &amp; C'!$B$3:$B$52)</f>
        <v>Legumes</v>
      </c>
      <c r="H1562" s="129">
        <f>_xlfn.XLOOKUP(G1562,'[1]T&amp;C emissions for 2050 analysis'!$B$3:$B$23,'[1]T&amp;C emissions for 2050 analysis'!$C$3:$C$23)</f>
        <v>7.3333333333333334E-2</v>
      </c>
      <c r="I1562" s="27">
        <f t="shared" si="72"/>
        <v>0.23424476460000002</v>
      </c>
      <c r="J1562" s="129">
        <f t="shared" si="73"/>
        <v>5.4279866666666665</v>
      </c>
    </row>
    <row r="1563" spans="1:10" hidden="1" x14ac:dyDescent="0.35">
      <c r="A1563" s="126" t="s">
        <v>429</v>
      </c>
      <c r="B1563" t="str">
        <f>_xlfn.XLOOKUP(A1563,'[1]2050Pop'!$A$7:$A$143,'[1]2050Pop'!$D$7:$D$143)</f>
        <v>APAC</v>
      </c>
      <c r="C1563" s="127">
        <f>1000*_xlfn.XLOOKUP(A1563,'[1]2050Pop'!$A$7:$A$143,'[1]2050Pop'!$C$7:$C$143)</f>
        <v>40725</v>
      </c>
      <c r="D1563" s="126" t="s">
        <v>506</v>
      </c>
      <c r="E1563" s="128">
        <v>21.603999999999999</v>
      </c>
      <c r="F1563" s="129">
        <f t="shared" si="74"/>
        <v>0.87982290000000007</v>
      </c>
      <c r="G1563" t="str">
        <f>_xlfn.XLOOKUP(D1563,'[1]2050 BAU Mapping to T &amp; C'!$A$3:$A$52,'[1]2050 BAU Mapping to T &amp; C'!$B$3:$B$52)</f>
        <v>Legumes</v>
      </c>
      <c r="H1563" s="129">
        <f>_xlfn.XLOOKUP(G1563,'[1]T&amp;C emissions for 2050 analysis'!$B$3:$B$23,'[1]T&amp;C emissions for 2050 analysis'!$C$3:$C$23)</f>
        <v>7.3333333333333334E-2</v>
      </c>
      <c r="I1563" s="27">
        <f t="shared" si="72"/>
        <v>6.4520346000000006E-2</v>
      </c>
      <c r="J1563" s="129">
        <f t="shared" si="73"/>
        <v>1.5842933333333333</v>
      </c>
    </row>
    <row r="1564" spans="1:10" hidden="1" x14ac:dyDescent="0.35">
      <c r="A1564" s="126" t="s">
        <v>430</v>
      </c>
      <c r="B1564" t="str">
        <f>_xlfn.XLOOKUP(A1564,'[1]2050Pop'!$A$7:$A$143,'[1]2050Pop'!$D$7:$D$143)</f>
        <v>SSA</v>
      </c>
      <c r="C1564" s="127">
        <f>1000*_xlfn.XLOOKUP(A1564,'[1]2050Pop'!$A$7:$A$143,'[1]2050Pop'!$C$7:$C$143)</f>
        <v>45404</v>
      </c>
      <c r="D1564" s="126" t="s">
        <v>506</v>
      </c>
      <c r="E1564" s="128">
        <v>24.460999999999999</v>
      </c>
      <c r="F1564" s="129">
        <f t="shared" si="74"/>
        <v>1.110627244</v>
      </c>
      <c r="G1564" t="str">
        <f>_xlfn.XLOOKUP(D1564,'[1]2050 BAU Mapping to T &amp; C'!$A$3:$A$52,'[1]2050 BAU Mapping to T &amp; C'!$B$3:$B$52)</f>
        <v>Legumes</v>
      </c>
      <c r="H1564" s="129">
        <f>_xlfn.XLOOKUP(G1564,'[1]T&amp;C emissions for 2050 analysis'!$B$3:$B$23,'[1]T&amp;C emissions for 2050 analysis'!$C$3:$C$23)</f>
        <v>7.3333333333333334E-2</v>
      </c>
      <c r="I1564" s="27">
        <f t="shared" si="72"/>
        <v>8.144599789333333E-2</v>
      </c>
      <c r="J1564" s="129">
        <f t="shared" si="73"/>
        <v>1.7938066666666665</v>
      </c>
    </row>
    <row r="1565" spans="1:10" hidden="1" x14ac:dyDescent="0.35">
      <c r="A1565" s="126" t="s">
        <v>431</v>
      </c>
      <c r="B1565" t="str">
        <f>_xlfn.XLOOKUP(A1565,'[1]2050Pop'!$A$7:$A$143,'[1]2050Pop'!$D$7:$D$143)</f>
        <v>SSA</v>
      </c>
      <c r="C1565" s="127">
        <f>1000*_xlfn.XLOOKUP(A1565,'[1]2050Pop'!$A$7:$A$143,'[1]2050Pop'!$C$7:$C$143)</f>
        <v>8048.9999999999991</v>
      </c>
      <c r="D1565" s="126" t="s">
        <v>506</v>
      </c>
      <c r="E1565" s="128">
        <v>1.0760000000000001</v>
      </c>
      <c r="F1565" s="129">
        <f t="shared" si="74"/>
        <v>8.6607239999999999E-3</v>
      </c>
      <c r="G1565" t="str">
        <f>_xlfn.XLOOKUP(D1565,'[1]2050 BAU Mapping to T &amp; C'!$A$3:$A$52,'[1]2050 BAU Mapping to T &amp; C'!$B$3:$B$52)</f>
        <v>Legumes</v>
      </c>
      <c r="H1565" s="129">
        <f>_xlfn.XLOOKUP(G1565,'[1]T&amp;C emissions for 2050 analysis'!$B$3:$B$23,'[1]T&amp;C emissions for 2050 analysis'!$C$3:$C$23)</f>
        <v>7.3333333333333334E-2</v>
      </c>
      <c r="I1565" s="27">
        <f t="shared" si="72"/>
        <v>6.3511975999999996E-4</v>
      </c>
      <c r="J1565" s="129">
        <f t="shared" si="73"/>
        <v>7.8906666666666667E-2</v>
      </c>
    </row>
    <row r="1566" spans="1:10" hidden="1" x14ac:dyDescent="0.35">
      <c r="A1566" s="126" t="s">
        <v>432</v>
      </c>
      <c r="B1566" t="str">
        <f>_xlfn.XLOOKUP(A1566,'[1]2050Pop'!$A$7:$A$143,'[1]2050Pop'!$D$7:$D$143)</f>
        <v>SSA</v>
      </c>
      <c r="C1566" s="127">
        <f>1000*_xlfn.XLOOKUP(A1566,'[1]2050Pop'!$A$7:$A$143,'[1]2050Pop'!$C$7:$C$143)</f>
        <v>1249</v>
      </c>
      <c r="D1566" s="126" t="s">
        <v>506</v>
      </c>
      <c r="E1566" s="128">
        <v>27.591000000000001</v>
      </c>
      <c r="F1566" s="129">
        <f t="shared" si="74"/>
        <v>3.4461158999999998E-2</v>
      </c>
      <c r="G1566" t="str">
        <f>_xlfn.XLOOKUP(D1566,'[1]2050 BAU Mapping to T &amp; C'!$A$3:$A$52,'[1]2050 BAU Mapping to T &amp; C'!$B$3:$B$52)</f>
        <v>Legumes</v>
      </c>
      <c r="H1566" s="129">
        <f>_xlfn.XLOOKUP(G1566,'[1]T&amp;C emissions for 2050 analysis'!$B$3:$B$23,'[1]T&amp;C emissions for 2050 analysis'!$C$3:$C$23)</f>
        <v>7.3333333333333334E-2</v>
      </c>
      <c r="I1566" s="27">
        <f t="shared" si="72"/>
        <v>2.52715166E-3</v>
      </c>
      <c r="J1566" s="129">
        <f t="shared" si="73"/>
        <v>2.0233400000000001</v>
      </c>
    </row>
    <row r="1567" spans="1:10" hidden="1" x14ac:dyDescent="0.35">
      <c r="A1567" s="126" t="s">
        <v>433</v>
      </c>
      <c r="B1567" t="str">
        <f>_xlfn.XLOOKUP(A1567,'[1]2050Pop'!$A$7:$A$143,'[1]2050Pop'!$D$7:$D$143)</f>
        <v>LatAm &amp; RSA</v>
      </c>
      <c r="C1567" s="127">
        <f>1000*_xlfn.XLOOKUP(A1567,'[1]2050Pop'!$A$7:$A$143,'[1]2050Pop'!$C$7:$C$143)</f>
        <v>163754</v>
      </c>
      <c r="D1567" s="126" t="s">
        <v>506</v>
      </c>
      <c r="E1567" s="128">
        <v>20.768999999999998</v>
      </c>
      <c r="F1567" s="129">
        <f t="shared" si="74"/>
        <v>3.4010068259999997</v>
      </c>
      <c r="G1567" t="str">
        <f>_xlfn.XLOOKUP(D1567,'[1]2050 BAU Mapping to T &amp; C'!$A$3:$A$52,'[1]2050 BAU Mapping to T &amp; C'!$B$3:$B$52)</f>
        <v>Legumes</v>
      </c>
      <c r="H1567" s="129">
        <f>_xlfn.XLOOKUP(G1567,'[1]T&amp;C emissions for 2050 analysis'!$B$3:$B$23,'[1]T&amp;C emissions for 2050 analysis'!$C$3:$C$23)</f>
        <v>7.3333333333333334E-2</v>
      </c>
      <c r="I1567" s="27">
        <f t="shared" si="72"/>
        <v>0.24940716723999998</v>
      </c>
      <c r="J1567" s="129">
        <f t="shared" si="73"/>
        <v>1.5230599999999999</v>
      </c>
    </row>
    <row r="1568" spans="1:10" hidden="1" x14ac:dyDescent="0.35">
      <c r="A1568" s="126" t="s">
        <v>434</v>
      </c>
      <c r="B1568" t="str">
        <f>_xlfn.XLOOKUP(A1568,'[1]2050Pop'!$A$7:$A$143,'[1]2050Pop'!$D$7:$D$143)</f>
        <v>APAC</v>
      </c>
      <c r="C1568" s="127">
        <f>1000*_xlfn.XLOOKUP(A1568,'[1]2050Pop'!$A$7:$A$143,'[1]2050Pop'!$C$7:$C$143)</f>
        <v>4027.9999999999995</v>
      </c>
      <c r="D1568" s="126" t="s">
        <v>506</v>
      </c>
      <c r="E1568" s="128">
        <v>1.907</v>
      </c>
      <c r="F1568" s="129">
        <f t="shared" si="74"/>
        <v>7.6813959999999992E-3</v>
      </c>
      <c r="G1568" t="str">
        <f>_xlfn.XLOOKUP(D1568,'[1]2050 BAU Mapping to T &amp; C'!$A$3:$A$52,'[1]2050 BAU Mapping to T &amp; C'!$B$3:$B$52)</f>
        <v>Legumes</v>
      </c>
      <c r="H1568" s="129">
        <f>_xlfn.XLOOKUP(G1568,'[1]T&amp;C emissions for 2050 analysis'!$B$3:$B$23,'[1]T&amp;C emissions for 2050 analysis'!$C$3:$C$23)</f>
        <v>7.3333333333333334E-2</v>
      </c>
      <c r="I1568" s="27">
        <f t="shared" si="72"/>
        <v>5.6330237333333322E-4</v>
      </c>
      <c r="J1568" s="129">
        <f t="shared" si="73"/>
        <v>0.13984666666666667</v>
      </c>
    </row>
    <row r="1569" spans="1:10" hidden="1" x14ac:dyDescent="0.35">
      <c r="A1569" s="126" t="s">
        <v>436</v>
      </c>
      <c r="B1569" t="str">
        <f>_xlfn.XLOOKUP(A1569,'[1]2050Pop'!$A$7:$A$143,'[1]2050Pop'!$D$7:$D$143)</f>
        <v>SSA</v>
      </c>
      <c r="C1569" s="127">
        <f>1000*_xlfn.XLOOKUP(A1569,'[1]2050Pop'!$A$7:$A$143,'[1]2050Pop'!$C$7:$C$143)</f>
        <v>65544</v>
      </c>
      <c r="D1569" s="126" t="s">
        <v>506</v>
      </c>
      <c r="E1569" s="128">
        <v>11.792</v>
      </c>
      <c r="F1569" s="129">
        <f t="shared" si="74"/>
        <v>0.77289484799999997</v>
      </c>
      <c r="G1569" t="str">
        <f>_xlfn.XLOOKUP(D1569,'[1]2050 BAU Mapping to T &amp; C'!$A$3:$A$52,'[1]2050 BAU Mapping to T &amp; C'!$B$3:$B$52)</f>
        <v>Legumes</v>
      </c>
      <c r="H1569" s="129">
        <f>_xlfn.XLOOKUP(G1569,'[1]T&amp;C emissions for 2050 analysis'!$B$3:$B$23,'[1]T&amp;C emissions for 2050 analysis'!$C$3:$C$23)</f>
        <v>7.3333333333333334E-2</v>
      </c>
      <c r="I1569" s="27">
        <f t="shared" si="72"/>
        <v>5.6678955519999998E-2</v>
      </c>
      <c r="J1569" s="129">
        <f t="shared" si="73"/>
        <v>0.86474666666666666</v>
      </c>
    </row>
    <row r="1570" spans="1:10" hidden="1" x14ac:dyDescent="0.35">
      <c r="A1570" s="126" t="s">
        <v>490</v>
      </c>
      <c r="B1570" t="str">
        <f>_xlfn.XLOOKUP(A1570,'[1]2050Pop'!$A$7:$A$143,'[1]2050Pop'!$D$7:$D$143)</f>
        <v>APAC</v>
      </c>
      <c r="C1570" s="127">
        <f>1000*_xlfn.XLOOKUP(A1570,'[1]2050Pop'!$A$7:$A$143,'[1]2050Pop'!$C$7:$C$143)</f>
        <v>63575</v>
      </c>
      <c r="D1570" s="126" t="s">
        <v>506</v>
      </c>
      <c r="E1570" s="128">
        <v>39.752000000000002</v>
      </c>
      <c r="F1570" s="129">
        <f t="shared" si="74"/>
        <v>2.5272334000000005</v>
      </c>
      <c r="G1570" t="str">
        <f>_xlfn.XLOOKUP(D1570,'[1]2050 BAU Mapping to T &amp; C'!$A$3:$A$52,'[1]2050 BAU Mapping to T &amp; C'!$B$3:$B$52)</f>
        <v>Legumes</v>
      </c>
      <c r="H1570" s="129">
        <f>_xlfn.XLOOKUP(G1570,'[1]T&amp;C emissions for 2050 analysis'!$B$3:$B$23,'[1]T&amp;C emissions for 2050 analysis'!$C$3:$C$23)</f>
        <v>7.3333333333333334E-2</v>
      </c>
      <c r="I1570" s="27">
        <f t="shared" si="72"/>
        <v>0.18533044933333337</v>
      </c>
      <c r="J1570" s="129">
        <f t="shared" si="73"/>
        <v>2.9151466666666668</v>
      </c>
    </row>
    <row r="1571" spans="1:10" hidden="1" x14ac:dyDescent="0.35">
      <c r="A1571" s="126" t="s">
        <v>437</v>
      </c>
      <c r="B1571" t="str">
        <f>_xlfn.XLOOKUP(A1571,'[1]2050Pop'!$A$7:$A$143,'[1]2050Pop'!$D$7:$D$143)</f>
        <v>SSA</v>
      </c>
      <c r="C1571" s="127">
        <f>1000*_xlfn.XLOOKUP(A1571,'[1]2050Pop'!$A$7:$A$143,'[1]2050Pop'!$C$7:$C$143)</f>
        <v>4322</v>
      </c>
      <c r="D1571" s="126" t="s">
        <v>506</v>
      </c>
      <c r="E1571" s="128">
        <v>6.4550000000000001</v>
      </c>
      <c r="F1571" s="129">
        <f t="shared" si="74"/>
        <v>2.7898510000000001E-2</v>
      </c>
      <c r="G1571" t="str">
        <f>_xlfn.XLOOKUP(D1571,'[1]2050 BAU Mapping to T &amp; C'!$A$3:$A$52,'[1]2050 BAU Mapping to T &amp; C'!$B$3:$B$52)</f>
        <v>Legumes</v>
      </c>
      <c r="H1571" s="129">
        <f>_xlfn.XLOOKUP(G1571,'[1]T&amp;C emissions for 2050 analysis'!$B$3:$B$23,'[1]T&amp;C emissions for 2050 analysis'!$C$3:$C$23)</f>
        <v>7.3333333333333334E-2</v>
      </c>
      <c r="I1571" s="27">
        <f t="shared" si="72"/>
        <v>2.0458907333333336E-3</v>
      </c>
      <c r="J1571" s="129">
        <f t="shared" si="73"/>
        <v>0.47336666666666666</v>
      </c>
    </row>
    <row r="1572" spans="1:10" hidden="1" x14ac:dyDescent="0.35">
      <c r="A1572" s="126" t="s">
        <v>438</v>
      </c>
      <c r="B1572" t="str">
        <f>_xlfn.XLOOKUP(A1572,'[1]2050Pop'!$A$7:$A$143,'[1]2050Pop'!$D$7:$D$143)</f>
        <v>India/South Asia</v>
      </c>
      <c r="C1572" s="127">
        <f>1000*_xlfn.XLOOKUP(A1572,'[1]2050Pop'!$A$7:$A$143,'[1]2050Pop'!$C$7:$C$143)</f>
        <v>36159</v>
      </c>
      <c r="D1572" s="126" t="s">
        <v>506</v>
      </c>
      <c r="E1572" s="128">
        <v>1.0820000000000001</v>
      </c>
      <c r="F1572" s="129">
        <f t="shared" si="74"/>
        <v>3.9124038E-2</v>
      </c>
      <c r="G1572" t="str">
        <f>_xlfn.XLOOKUP(D1572,'[1]2050 BAU Mapping to T &amp; C'!$A$3:$A$52,'[1]2050 BAU Mapping to T &amp; C'!$B$3:$B$52)</f>
        <v>Legumes</v>
      </c>
      <c r="H1572" s="129">
        <f>_xlfn.XLOOKUP(G1572,'[1]T&amp;C emissions for 2050 analysis'!$B$3:$B$23,'[1]T&amp;C emissions for 2050 analysis'!$C$3:$C$23)</f>
        <v>7.3333333333333334E-2</v>
      </c>
      <c r="I1572" s="27">
        <f t="shared" si="72"/>
        <v>2.8690961200000002E-3</v>
      </c>
      <c r="J1572" s="129">
        <f t="shared" si="73"/>
        <v>7.9346666666666676E-2</v>
      </c>
    </row>
    <row r="1573" spans="1:10" hidden="1" x14ac:dyDescent="0.35">
      <c r="A1573" s="126" t="s">
        <v>439</v>
      </c>
      <c r="B1573" t="str">
        <f>_xlfn.XLOOKUP(A1573,'[1]2050Pop'!$A$7:$A$143,'[1]2050Pop'!$D$7:$D$143)</f>
        <v>Euro/AU/NZ</v>
      </c>
      <c r="C1573" s="127">
        <f>1000*_xlfn.XLOOKUP(A1573,'[1]2050Pop'!$A$7:$A$143,'[1]2050Pop'!$C$7:$C$143)</f>
        <v>17602</v>
      </c>
      <c r="D1573" s="126" t="s">
        <v>506</v>
      </c>
      <c r="E1573" s="128">
        <v>15.981</v>
      </c>
      <c r="F1573" s="129">
        <f t="shared" si="74"/>
        <v>0.281297562</v>
      </c>
      <c r="G1573" t="str">
        <f>_xlfn.XLOOKUP(D1573,'[1]2050 BAU Mapping to T &amp; C'!$A$3:$A$52,'[1]2050 BAU Mapping to T &amp; C'!$B$3:$B$52)</f>
        <v>Legumes</v>
      </c>
      <c r="H1573" s="129">
        <f>_xlfn.XLOOKUP(G1573,'[1]T&amp;C emissions for 2050 analysis'!$B$3:$B$23,'[1]T&amp;C emissions for 2050 analysis'!$C$3:$C$23)</f>
        <v>7.3333333333333334E-2</v>
      </c>
      <c r="I1573" s="27">
        <f t="shared" si="72"/>
        <v>2.0628487880000001E-2</v>
      </c>
      <c r="J1573" s="129">
        <f t="shared" si="73"/>
        <v>1.17194</v>
      </c>
    </row>
    <row r="1574" spans="1:10" hidden="1" x14ac:dyDescent="0.35">
      <c r="A1574" s="126" t="s">
        <v>440</v>
      </c>
      <c r="B1574" t="str">
        <f>_xlfn.XLOOKUP(A1574,'[1]2050Pop'!$A$7:$A$143,'[1]2050Pop'!$D$7:$D$143)</f>
        <v>Euro/AU/NZ</v>
      </c>
      <c r="C1574" s="127">
        <f>1000*_xlfn.XLOOKUP(A1574,'[1]2050Pop'!$A$7:$A$143,'[1]2050Pop'!$C$7:$C$143)</f>
        <v>5607</v>
      </c>
      <c r="D1574" s="126" t="s">
        <v>506</v>
      </c>
      <c r="E1574" s="128">
        <v>30.896000000000001</v>
      </c>
      <c r="F1574" s="129">
        <f t="shared" si="74"/>
        <v>0.17323387200000001</v>
      </c>
      <c r="G1574" t="str">
        <f>_xlfn.XLOOKUP(D1574,'[1]2050 BAU Mapping to T &amp; C'!$A$3:$A$52,'[1]2050 BAU Mapping to T &amp; C'!$B$3:$B$52)</f>
        <v>Legumes</v>
      </c>
      <c r="H1574" s="129">
        <f>_xlfn.XLOOKUP(G1574,'[1]T&amp;C emissions for 2050 analysis'!$B$3:$B$23,'[1]T&amp;C emissions for 2050 analysis'!$C$3:$C$23)</f>
        <v>7.3333333333333334E-2</v>
      </c>
      <c r="I1574" s="27">
        <f t="shared" si="72"/>
        <v>1.2703817280000002E-2</v>
      </c>
      <c r="J1574" s="129">
        <f t="shared" si="73"/>
        <v>2.2657066666666665</v>
      </c>
    </row>
    <row r="1575" spans="1:10" hidden="1" x14ac:dyDescent="0.35">
      <c r="A1575" s="126" t="s">
        <v>441</v>
      </c>
      <c r="B1575" t="str">
        <f>_xlfn.XLOOKUP(A1575,'[1]2050Pop'!$A$7:$A$143,'[1]2050Pop'!$D$7:$D$143)</f>
        <v>LatAm &amp; RSA</v>
      </c>
      <c r="C1575" s="127">
        <f>1000*_xlfn.XLOOKUP(A1575,'[1]2050Pop'!$A$7:$A$143,'[1]2050Pop'!$C$7:$C$143)</f>
        <v>7863</v>
      </c>
      <c r="D1575" s="126" t="s">
        <v>506</v>
      </c>
      <c r="E1575" s="128">
        <v>36.512</v>
      </c>
      <c r="F1575" s="129">
        <f t="shared" si="74"/>
        <v>0.28709385600000004</v>
      </c>
      <c r="G1575" t="str">
        <f>_xlfn.XLOOKUP(D1575,'[1]2050 BAU Mapping to T &amp; C'!$A$3:$A$52,'[1]2050 BAU Mapping to T &amp; C'!$B$3:$B$52)</f>
        <v>Legumes</v>
      </c>
      <c r="H1575" s="129">
        <f>_xlfn.XLOOKUP(G1575,'[1]T&amp;C emissions for 2050 analysis'!$B$3:$B$23,'[1]T&amp;C emissions for 2050 analysis'!$C$3:$C$23)</f>
        <v>7.3333333333333334E-2</v>
      </c>
      <c r="I1575" s="27">
        <f t="shared" si="72"/>
        <v>2.1053549440000003E-2</v>
      </c>
      <c r="J1575" s="129">
        <f t="shared" si="73"/>
        <v>2.6775466666666667</v>
      </c>
    </row>
    <row r="1576" spans="1:10" hidden="1" x14ac:dyDescent="0.35">
      <c r="A1576" s="126" t="s">
        <v>482</v>
      </c>
      <c r="B1576" t="str">
        <f>_xlfn.XLOOKUP(A1576,'[1]2050Pop'!$A$7:$A$143,'[1]2050Pop'!$D$7:$D$143)</f>
        <v>SSA</v>
      </c>
      <c r="C1576" s="127">
        <f>1000*_xlfn.XLOOKUP(A1576,'[1]2050Pop'!$A$7:$A$143,'[1]2050Pop'!$C$7:$C$143)</f>
        <v>72238</v>
      </c>
      <c r="D1576" s="126" t="s">
        <v>506</v>
      </c>
      <c r="E1576" s="128">
        <v>118.492</v>
      </c>
      <c r="F1576" s="129">
        <f t="shared" si="74"/>
        <v>8.5596250960000013</v>
      </c>
      <c r="G1576" t="str">
        <f>_xlfn.XLOOKUP(D1576,'[1]2050 BAU Mapping to T &amp; C'!$A$3:$A$52,'[1]2050 BAU Mapping to T &amp; C'!$B$3:$B$52)</f>
        <v>Legumes</v>
      </c>
      <c r="H1576" s="129">
        <f>_xlfn.XLOOKUP(G1576,'[1]T&amp;C emissions for 2050 analysis'!$B$3:$B$23,'[1]T&amp;C emissions for 2050 analysis'!$C$3:$C$23)</f>
        <v>7.3333333333333334E-2</v>
      </c>
      <c r="I1576" s="27">
        <f t="shared" si="72"/>
        <v>0.62770584037333343</v>
      </c>
      <c r="J1576" s="129">
        <f t="shared" si="73"/>
        <v>8.6894133333333343</v>
      </c>
    </row>
    <row r="1577" spans="1:10" hidden="1" x14ac:dyDescent="0.35">
      <c r="A1577" s="126" t="s">
        <v>491</v>
      </c>
      <c r="B1577" t="str">
        <f>_xlfn.XLOOKUP(A1577,'[1]2050Pop'!$A$7:$A$143,'[1]2050Pop'!$D$7:$D$143)</f>
        <v>SSA</v>
      </c>
      <c r="C1577" s="127">
        <f>1000*_xlfn.XLOOKUP(A1577,'[1]2050Pop'!$A$7:$A$143,'[1]2050Pop'!$C$7:$C$143)</f>
        <v>398508</v>
      </c>
      <c r="D1577" s="126" t="s">
        <v>506</v>
      </c>
      <c r="E1577" s="128">
        <v>33.728999999999999</v>
      </c>
      <c r="F1577" s="129">
        <f t="shared" si="74"/>
        <v>13.441276332000001</v>
      </c>
      <c r="G1577" t="str">
        <f>_xlfn.XLOOKUP(D1577,'[1]2050 BAU Mapping to T &amp; C'!$A$3:$A$52,'[1]2050 BAU Mapping to T &amp; C'!$B$3:$B$52)</f>
        <v>Legumes</v>
      </c>
      <c r="H1577" s="129">
        <f>_xlfn.XLOOKUP(G1577,'[1]T&amp;C emissions for 2050 analysis'!$B$3:$B$23,'[1]T&amp;C emissions for 2050 analysis'!$C$3:$C$23)</f>
        <v>7.3333333333333334E-2</v>
      </c>
      <c r="I1577" s="27">
        <f t="shared" si="72"/>
        <v>0.98569359768000009</v>
      </c>
      <c r="J1577" s="129">
        <f t="shared" si="73"/>
        <v>2.4734599999999998</v>
      </c>
    </row>
    <row r="1578" spans="1:10" hidden="1" x14ac:dyDescent="0.35">
      <c r="A1578" s="126" t="s">
        <v>442</v>
      </c>
      <c r="B1578" t="str">
        <f>_xlfn.XLOOKUP(A1578,'[1]2050Pop'!$A$7:$A$143,'[1]2050Pop'!$D$7:$D$143)</f>
        <v>Euro/AU/NZ</v>
      </c>
      <c r="C1578" s="127">
        <f>1000*_xlfn.XLOOKUP(A1578,'[1]2050Pop'!$A$7:$A$143,'[1]2050Pop'!$C$7:$C$143)</f>
        <v>6658</v>
      </c>
      <c r="D1578" s="126" t="s">
        <v>506</v>
      </c>
      <c r="E1578" s="128">
        <v>6.3019999999999996</v>
      </c>
      <c r="F1578" s="129">
        <f t="shared" si="74"/>
        <v>4.1958716E-2</v>
      </c>
      <c r="G1578" t="str">
        <f>_xlfn.XLOOKUP(D1578,'[1]2050 BAU Mapping to T &amp; C'!$A$3:$A$52,'[1]2050 BAU Mapping to T &amp; C'!$B$3:$B$52)</f>
        <v>Legumes</v>
      </c>
      <c r="H1578" s="129">
        <f>_xlfn.XLOOKUP(G1578,'[1]T&amp;C emissions for 2050 analysis'!$B$3:$B$23,'[1]T&amp;C emissions for 2050 analysis'!$C$3:$C$23)</f>
        <v>7.3333333333333334E-2</v>
      </c>
      <c r="I1578" s="27">
        <f t="shared" si="72"/>
        <v>3.0769725066666668E-3</v>
      </c>
      <c r="J1578" s="129">
        <f t="shared" si="73"/>
        <v>0.46214666666666665</v>
      </c>
    </row>
    <row r="1579" spans="1:10" hidden="1" x14ac:dyDescent="0.35">
      <c r="A1579" s="126" t="s">
        <v>443</v>
      </c>
      <c r="B1579" t="str">
        <f>_xlfn.XLOOKUP(A1579,'[1]2050Pop'!$A$7:$A$143,'[1]2050Pop'!$D$7:$D$143)</f>
        <v>India/South Asia</v>
      </c>
      <c r="C1579" s="127">
        <f>1000*_xlfn.XLOOKUP(A1579,'[1]2050Pop'!$A$7:$A$143,'[1]2050Pop'!$C$7:$C$143)</f>
        <v>309640</v>
      </c>
      <c r="D1579" s="126" t="s">
        <v>506</v>
      </c>
      <c r="E1579" s="128">
        <v>1.0569999999999999</v>
      </c>
      <c r="F1579" s="129">
        <f t="shared" si="74"/>
        <v>0.32728947999999997</v>
      </c>
      <c r="G1579" t="str">
        <f>_xlfn.XLOOKUP(D1579,'[1]2050 BAU Mapping to T &amp; C'!$A$3:$A$52,'[1]2050 BAU Mapping to T &amp; C'!$B$3:$B$52)</f>
        <v>Legumes</v>
      </c>
      <c r="H1579" s="129">
        <f>_xlfn.XLOOKUP(G1579,'[1]T&amp;C emissions for 2050 analysis'!$B$3:$B$23,'[1]T&amp;C emissions for 2050 analysis'!$C$3:$C$23)</f>
        <v>7.3333333333333334E-2</v>
      </c>
      <c r="I1579" s="27">
        <f t="shared" si="72"/>
        <v>2.4001228533333332E-2</v>
      </c>
      <c r="J1579" s="129">
        <f t="shared" si="73"/>
        <v>7.7513333333333323E-2</v>
      </c>
    </row>
    <row r="1580" spans="1:10" hidden="1" x14ac:dyDescent="0.35">
      <c r="A1580" s="126" t="s">
        <v>444</v>
      </c>
      <c r="B1580" t="str">
        <f>_xlfn.XLOOKUP(A1580,'[1]2050Pop'!$A$7:$A$143,'[1]2050Pop'!$D$7:$D$143)</f>
        <v>LatAm &amp; RSA</v>
      </c>
      <c r="C1580" s="127">
        <f>1000*_xlfn.XLOOKUP(A1580,'[1]2050Pop'!$A$7:$A$143,'[1]2050Pop'!$C$7:$C$143)</f>
        <v>5599</v>
      </c>
      <c r="D1580" s="126" t="s">
        <v>506</v>
      </c>
      <c r="E1580" s="128">
        <v>6.665</v>
      </c>
      <c r="F1580" s="129">
        <f t="shared" si="74"/>
        <v>3.7317335E-2</v>
      </c>
      <c r="G1580" t="str">
        <f>_xlfn.XLOOKUP(D1580,'[1]2050 BAU Mapping to T &amp; C'!$A$3:$A$52,'[1]2050 BAU Mapping to T &amp; C'!$B$3:$B$52)</f>
        <v>Legumes</v>
      </c>
      <c r="H1580" s="129">
        <f>_xlfn.XLOOKUP(G1580,'[1]T&amp;C emissions for 2050 analysis'!$B$3:$B$23,'[1]T&amp;C emissions for 2050 analysis'!$C$3:$C$23)</f>
        <v>7.3333333333333334E-2</v>
      </c>
      <c r="I1580" s="27">
        <f t="shared" si="72"/>
        <v>2.7366045666666668E-3</v>
      </c>
      <c r="J1580" s="129">
        <f t="shared" si="73"/>
        <v>0.48876666666666668</v>
      </c>
    </row>
    <row r="1581" spans="1:10" hidden="1" x14ac:dyDescent="0.35">
      <c r="A1581" s="126" t="s">
        <v>445</v>
      </c>
      <c r="B1581" t="str">
        <f>_xlfn.XLOOKUP(A1581,'[1]2050Pop'!$A$7:$A$143,'[1]2050Pop'!$D$7:$D$143)</f>
        <v>LatAm &amp; RSA</v>
      </c>
      <c r="C1581" s="127">
        <f>1000*_xlfn.XLOOKUP(A1581,'[1]2050Pop'!$A$7:$A$143,'[1]2050Pop'!$C$7:$C$143)</f>
        <v>8895</v>
      </c>
      <c r="D1581" s="126" t="s">
        <v>506</v>
      </c>
      <c r="E1581" s="128">
        <v>18.225000000000001</v>
      </c>
      <c r="F1581" s="129">
        <f t="shared" si="74"/>
        <v>0.162111375</v>
      </c>
      <c r="G1581" t="str">
        <f>_xlfn.XLOOKUP(D1581,'[1]2050 BAU Mapping to T &amp; C'!$A$3:$A$52,'[1]2050 BAU Mapping to T &amp; C'!$B$3:$B$52)</f>
        <v>Legumes</v>
      </c>
      <c r="H1581" s="129">
        <f>_xlfn.XLOOKUP(G1581,'[1]T&amp;C emissions for 2050 analysis'!$B$3:$B$23,'[1]T&amp;C emissions for 2050 analysis'!$C$3:$C$23)</f>
        <v>7.3333333333333334E-2</v>
      </c>
      <c r="I1581" s="27">
        <f t="shared" si="72"/>
        <v>1.18881675E-2</v>
      </c>
      <c r="J1581" s="129">
        <f t="shared" si="73"/>
        <v>1.3365</v>
      </c>
    </row>
    <row r="1582" spans="1:10" hidden="1" x14ac:dyDescent="0.35">
      <c r="A1582" s="126" t="s">
        <v>446</v>
      </c>
      <c r="B1582" t="str">
        <f>_xlfn.XLOOKUP(A1582,'[1]2050Pop'!$A$7:$A$143,'[1]2050Pop'!$D$7:$D$143)</f>
        <v>LatAm &amp; RSA</v>
      </c>
      <c r="C1582" s="127">
        <f>1000*_xlfn.XLOOKUP(A1582,'[1]2050Pop'!$A$7:$A$143,'[1]2050Pop'!$C$7:$C$143)</f>
        <v>41899</v>
      </c>
      <c r="D1582" s="126" t="s">
        <v>506</v>
      </c>
      <c r="E1582" s="128">
        <v>6.1340000000000003</v>
      </c>
      <c r="F1582" s="129">
        <f t="shared" si="74"/>
        <v>0.25700846599999999</v>
      </c>
      <c r="G1582" t="str">
        <f>_xlfn.XLOOKUP(D1582,'[1]2050 BAU Mapping to T &amp; C'!$A$3:$A$52,'[1]2050 BAU Mapping to T &amp; C'!$B$3:$B$52)</f>
        <v>Legumes</v>
      </c>
      <c r="H1582" s="129">
        <f>_xlfn.XLOOKUP(G1582,'[1]T&amp;C emissions for 2050 analysis'!$B$3:$B$23,'[1]T&amp;C emissions for 2050 analysis'!$C$3:$C$23)</f>
        <v>7.3333333333333334E-2</v>
      </c>
      <c r="I1582" s="27">
        <f t="shared" si="72"/>
        <v>1.8847287506666668E-2</v>
      </c>
      <c r="J1582" s="129">
        <f t="shared" si="73"/>
        <v>0.44982666666666671</v>
      </c>
    </row>
    <row r="1583" spans="1:10" hidden="1" x14ac:dyDescent="0.35">
      <c r="A1583" s="126" t="s">
        <v>447</v>
      </c>
      <c r="B1583" t="str">
        <f>_xlfn.XLOOKUP(A1583,'[1]2050Pop'!$A$7:$A$143,'[1]2050Pop'!$D$7:$D$143)</f>
        <v>APAC</v>
      </c>
      <c r="C1583" s="127">
        <f>1000*_xlfn.XLOOKUP(A1583,'[1]2050Pop'!$A$7:$A$143,'[1]2050Pop'!$C$7:$C$143)</f>
        <v>148260</v>
      </c>
      <c r="D1583" s="126" t="s">
        <v>506</v>
      </c>
      <c r="E1583" s="128">
        <v>10.635999999999999</v>
      </c>
      <c r="F1583" s="129">
        <f t="shared" si="74"/>
        <v>1.5768933599999999</v>
      </c>
      <c r="G1583" t="str">
        <f>_xlfn.XLOOKUP(D1583,'[1]2050 BAU Mapping to T &amp; C'!$A$3:$A$52,'[1]2050 BAU Mapping to T &amp; C'!$B$3:$B$52)</f>
        <v>Legumes</v>
      </c>
      <c r="H1583" s="129">
        <f>_xlfn.XLOOKUP(G1583,'[1]T&amp;C emissions for 2050 analysis'!$B$3:$B$23,'[1]T&amp;C emissions for 2050 analysis'!$C$3:$C$23)</f>
        <v>7.3333333333333334E-2</v>
      </c>
      <c r="I1583" s="27">
        <f t="shared" si="72"/>
        <v>0.11563884639999999</v>
      </c>
      <c r="J1583" s="129">
        <f t="shared" si="73"/>
        <v>0.7799733333333333</v>
      </c>
    </row>
    <row r="1584" spans="1:10" hidden="1" x14ac:dyDescent="0.35">
      <c r="A1584" s="126" t="s">
        <v>448</v>
      </c>
      <c r="B1584" t="str">
        <f>_xlfn.XLOOKUP(A1584,'[1]2050Pop'!$A$7:$A$143,'[1]2050Pop'!$D$7:$D$143)</f>
        <v>Euro/AU/NZ</v>
      </c>
      <c r="C1584" s="127">
        <f>1000*_xlfn.XLOOKUP(A1584,'[1]2050Pop'!$A$7:$A$143,'[1]2050Pop'!$C$7:$C$143)</f>
        <v>33136</v>
      </c>
      <c r="D1584" s="126" t="s">
        <v>506</v>
      </c>
      <c r="E1584" s="128">
        <v>6.3470000000000004</v>
      </c>
      <c r="F1584" s="129">
        <f t="shared" si="74"/>
        <v>0.21031419200000001</v>
      </c>
      <c r="G1584" t="str">
        <f>_xlfn.XLOOKUP(D1584,'[1]2050 BAU Mapping to T &amp; C'!$A$3:$A$52,'[1]2050 BAU Mapping to T &amp; C'!$B$3:$B$52)</f>
        <v>Legumes</v>
      </c>
      <c r="H1584" s="129">
        <f>_xlfn.XLOOKUP(G1584,'[1]T&amp;C emissions for 2050 analysis'!$B$3:$B$23,'[1]T&amp;C emissions for 2050 analysis'!$C$3:$C$23)</f>
        <v>7.3333333333333334E-2</v>
      </c>
      <c r="I1584" s="27">
        <f t="shared" si="72"/>
        <v>1.5423040746666667E-2</v>
      </c>
      <c r="J1584" s="129">
        <f t="shared" si="73"/>
        <v>0.46544666666666668</v>
      </c>
    </row>
    <row r="1585" spans="1:10" hidden="1" x14ac:dyDescent="0.35">
      <c r="A1585" s="126" t="s">
        <v>449</v>
      </c>
      <c r="B1585" t="str">
        <f>_xlfn.XLOOKUP(A1585,'[1]2050Pop'!$A$7:$A$143,'[1]2050Pop'!$D$7:$D$143)</f>
        <v>Euro/AU/NZ</v>
      </c>
      <c r="C1585" s="127">
        <f>1000*_xlfn.XLOOKUP(A1585,'[1]2050Pop'!$A$7:$A$143,'[1]2050Pop'!$C$7:$C$143)</f>
        <v>9216</v>
      </c>
      <c r="D1585" s="126" t="s">
        <v>506</v>
      </c>
      <c r="E1585" s="128">
        <v>3.4350000000000001</v>
      </c>
      <c r="F1585" s="129">
        <f t="shared" si="74"/>
        <v>3.1656959999999998E-2</v>
      </c>
      <c r="G1585" t="str">
        <f>_xlfn.XLOOKUP(D1585,'[1]2050 BAU Mapping to T &amp; C'!$A$3:$A$52,'[1]2050 BAU Mapping to T &amp; C'!$B$3:$B$52)</f>
        <v>Legumes</v>
      </c>
      <c r="H1585" s="129">
        <f>_xlfn.XLOOKUP(G1585,'[1]T&amp;C emissions for 2050 analysis'!$B$3:$B$23,'[1]T&amp;C emissions for 2050 analysis'!$C$3:$C$23)</f>
        <v>7.3333333333333334E-2</v>
      </c>
      <c r="I1585" s="27">
        <f t="shared" si="72"/>
        <v>2.3215103999999999E-3</v>
      </c>
      <c r="J1585" s="129">
        <f t="shared" si="73"/>
        <v>0.25190000000000001</v>
      </c>
    </row>
    <row r="1586" spans="1:10" hidden="1" x14ac:dyDescent="0.35">
      <c r="A1586" s="126" t="s">
        <v>450</v>
      </c>
      <c r="B1586" t="str">
        <f>_xlfn.XLOOKUP(A1586,'[1]2050Pop'!$A$7:$A$143,'[1]2050Pop'!$D$7:$D$143)</f>
        <v>APAC</v>
      </c>
      <c r="C1586" s="127">
        <f>1000*_xlfn.XLOOKUP(A1586,'[1]2050Pop'!$A$7:$A$143,'[1]2050Pop'!$C$7:$C$143)</f>
        <v>50593</v>
      </c>
      <c r="D1586" s="126" t="s">
        <v>506</v>
      </c>
      <c r="E1586" s="128">
        <v>12.143000000000001</v>
      </c>
      <c r="F1586" s="129">
        <f t="shared" si="74"/>
        <v>0.614350799</v>
      </c>
      <c r="G1586" t="str">
        <f>_xlfn.XLOOKUP(D1586,'[1]2050 BAU Mapping to T &amp; C'!$A$3:$A$52,'[1]2050 BAU Mapping to T &amp; C'!$B$3:$B$52)</f>
        <v>Legumes</v>
      </c>
      <c r="H1586" s="129">
        <f>_xlfn.XLOOKUP(G1586,'[1]T&amp;C emissions for 2050 analysis'!$B$3:$B$23,'[1]T&amp;C emissions for 2050 analysis'!$C$3:$C$23)</f>
        <v>7.3333333333333334E-2</v>
      </c>
      <c r="I1586" s="27">
        <f t="shared" si="72"/>
        <v>4.5052391926666664E-2</v>
      </c>
      <c r="J1586" s="129">
        <f t="shared" si="73"/>
        <v>0.89048666666666676</v>
      </c>
    </row>
    <row r="1587" spans="1:10" hidden="1" x14ac:dyDescent="0.35">
      <c r="A1587" s="126" t="s">
        <v>451</v>
      </c>
      <c r="B1587" t="str">
        <f>_xlfn.XLOOKUP(A1587,'[1]2050Pop'!$A$7:$A$143,'[1]2050Pop'!$D$7:$D$143)</f>
        <v>Euro/AU/NZ</v>
      </c>
      <c r="C1587" s="127">
        <f>1000*_xlfn.XLOOKUP(A1587,'[1]2050Pop'!$A$7:$A$143,'[1]2050Pop'!$C$7:$C$143)</f>
        <v>3243</v>
      </c>
      <c r="D1587" s="126" t="s">
        <v>506</v>
      </c>
      <c r="E1587" s="128">
        <v>7.4450000000000003</v>
      </c>
      <c r="F1587" s="129">
        <f t="shared" si="74"/>
        <v>2.4144135000000001E-2</v>
      </c>
      <c r="G1587" t="str">
        <f>_xlfn.XLOOKUP(D1587,'[1]2050 BAU Mapping to T &amp; C'!$A$3:$A$52,'[1]2050 BAU Mapping to T &amp; C'!$B$3:$B$52)</f>
        <v>Legumes</v>
      </c>
      <c r="H1587" s="129">
        <f>_xlfn.XLOOKUP(G1587,'[1]T&amp;C emissions for 2050 analysis'!$B$3:$B$23,'[1]T&amp;C emissions for 2050 analysis'!$C$3:$C$23)</f>
        <v>7.3333333333333334E-2</v>
      </c>
      <c r="I1587" s="27">
        <f t="shared" si="72"/>
        <v>1.7705699000000001E-3</v>
      </c>
      <c r="J1587" s="129">
        <f t="shared" si="73"/>
        <v>0.54596666666666671</v>
      </c>
    </row>
    <row r="1588" spans="1:10" hidden="1" x14ac:dyDescent="0.35">
      <c r="A1588" s="126" t="s">
        <v>452</v>
      </c>
      <c r="B1588" t="str">
        <f>_xlfn.XLOOKUP(A1588,'[1]2050Pop'!$A$7:$A$143,'[1]2050Pop'!$D$7:$D$143)</f>
        <v>SSA</v>
      </c>
      <c r="C1588" s="127">
        <f>1000*_xlfn.XLOOKUP(A1588,'[1]2050Pop'!$A$7:$A$143,'[1]2050Pop'!$C$7:$C$143)</f>
        <v>10732</v>
      </c>
      <c r="D1588" s="126" t="s">
        <v>506</v>
      </c>
      <c r="E1588" s="128">
        <v>49.564</v>
      </c>
      <c r="F1588" s="129">
        <f t="shared" si="74"/>
        <v>0.53192084799999995</v>
      </c>
      <c r="G1588" t="str">
        <f>_xlfn.XLOOKUP(D1588,'[1]2050 BAU Mapping to T &amp; C'!$A$3:$A$52,'[1]2050 BAU Mapping to T &amp; C'!$B$3:$B$52)</f>
        <v>Legumes</v>
      </c>
      <c r="H1588" s="129">
        <f>_xlfn.XLOOKUP(G1588,'[1]T&amp;C emissions for 2050 analysis'!$B$3:$B$23,'[1]T&amp;C emissions for 2050 analysis'!$C$3:$C$23)</f>
        <v>7.3333333333333334E-2</v>
      </c>
      <c r="I1588" s="27">
        <f t="shared" si="72"/>
        <v>3.9007528853333327E-2</v>
      </c>
      <c r="J1588" s="129">
        <f t="shared" si="73"/>
        <v>3.6346933333333333</v>
      </c>
    </row>
    <row r="1589" spans="1:10" hidden="1" x14ac:dyDescent="0.35">
      <c r="A1589" s="126" t="s">
        <v>453</v>
      </c>
      <c r="B1589" t="str">
        <f>_xlfn.XLOOKUP(A1589,'[1]2050Pop'!$A$7:$A$143,'[1]2050Pop'!$D$7:$D$143)</f>
        <v>Euro/AU/NZ</v>
      </c>
      <c r="C1589" s="127">
        <f>1000*_xlfn.XLOOKUP(A1589,'[1]2050Pop'!$A$7:$A$143,'[1]2050Pop'!$C$7:$C$143)</f>
        <v>15207</v>
      </c>
      <c r="D1589" s="126" t="s">
        <v>506</v>
      </c>
      <c r="E1589" s="128">
        <v>6.6829999999999998</v>
      </c>
      <c r="F1589" s="129">
        <f t="shared" si="74"/>
        <v>0.10162838099999999</v>
      </c>
      <c r="G1589" t="str">
        <f>_xlfn.XLOOKUP(D1589,'[1]2050 BAU Mapping to T &amp; C'!$A$3:$A$52,'[1]2050 BAU Mapping to T &amp; C'!$B$3:$B$52)</f>
        <v>Legumes</v>
      </c>
      <c r="H1589" s="129">
        <f>_xlfn.XLOOKUP(G1589,'[1]T&amp;C emissions for 2050 analysis'!$B$3:$B$23,'[1]T&amp;C emissions for 2050 analysis'!$C$3:$C$23)</f>
        <v>7.3333333333333334E-2</v>
      </c>
      <c r="I1589" s="27">
        <f t="shared" si="72"/>
        <v>7.4527479399999989E-3</v>
      </c>
      <c r="J1589" s="129">
        <f t="shared" si="73"/>
        <v>0.49008666666666667</v>
      </c>
    </row>
    <row r="1590" spans="1:10" hidden="1" x14ac:dyDescent="0.35">
      <c r="A1590" s="126" t="s">
        <v>454</v>
      </c>
      <c r="B1590" t="str">
        <f>_xlfn.XLOOKUP(A1590,'[1]2050Pop'!$A$7:$A$143,'[1]2050Pop'!$D$7:$D$143)</f>
        <v>Euro/AU/NZ</v>
      </c>
      <c r="C1590" s="127">
        <f>1000*_xlfn.XLOOKUP(A1590,'[1]2050Pop'!$A$7:$A$143,'[1]2050Pop'!$C$7:$C$143)</f>
        <v>128598.99999999999</v>
      </c>
      <c r="D1590" s="126" t="s">
        <v>506</v>
      </c>
      <c r="E1590" s="128">
        <v>11.791</v>
      </c>
      <c r="F1590" s="129">
        <f t="shared" si="74"/>
        <v>1.5163108089999999</v>
      </c>
      <c r="G1590" t="str">
        <f>_xlfn.XLOOKUP(D1590,'[1]2050 BAU Mapping to T &amp; C'!$A$3:$A$52,'[1]2050 BAU Mapping to T &amp; C'!$B$3:$B$52)</f>
        <v>Legumes</v>
      </c>
      <c r="H1590" s="129">
        <f>_xlfn.XLOOKUP(G1590,'[1]T&amp;C emissions for 2050 analysis'!$B$3:$B$23,'[1]T&amp;C emissions for 2050 analysis'!$C$3:$C$23)</f>
        <v>7.3333333333333334E-2</v>
      </c>
      <c r="I1590" s="27">
        <f t="shared" si="72"/>
        <v>0.11119612599333333</v>
      </c>
      <c r="J1590" s="129">
        <f t="shared" si="73"/>
        <v>0.8646733333333334</v>
      </c>
    </row>
    <row r="1591" spans="1:10" hidden="1" x14ac:dyDescent="0.35">
      <c r="A1591" s="126" t="s">
        <v>455</v>
      </c>
      <c r="B1591" t="str">
        <f>_xlfn.XLOOKUP(A1591,'[1]2050Pop'!$A$7:$A$143,'[1]2050Pop'!$D$7:$D$143)</f>
        <v>SSA</v>
      </c>
      <c r="C1591" s="127">
        <f>1000*_xlfn.XLOOKUP(A1591,'[1]2050Pop'!$A$7:$A$143,'[1]2050Pop'!$C$7:$C$143)</f>
        <v>21187</v>
      </c>
      <c r="D1591" s="126" t="s">
        <v>506</v>
      </c>
      <c r="E1591" s="128">
        <v>12.212999999999999</v>
      </c>
      <c r="F1591" s="129">
        <f t="shared" si="74"/>
        <v>0.25875683099999996</v>
      </c>
      <c r="G1591" t="str">
        <f>_xlfn.XLOOKUP(D1591,'[1]2050 BAU Mapping to T &amp; C'!$A$3:$A$52,'[1]2050 BAU Mapping to T &amp; C'!$B$3:$B$52)</f>
        <v>Legumes</v>
      </c>
      <c r="H1591" s="129">
        <f>_xlfn.XLOOKUP(G1591,'[1]T&amp;C emissions for 2050 analysis'!$B$3:$B$23,'[1]T&amp;C emissions for 2050 analysis'!$C$3:$C$23)</f>
        <v>7.3333333333333334E-2</v>
      </c>
      <c r="I1591" s="27">
        <f t="shared" si="72"/>
        <v>1.8975500939999997E-2</v>
      </c>
      <c r="J1591" s="129">
        <f t="shared" si="73"/>
        <v>0.89561999999999997</v>
      </c>
    </row>
    <row r="1592" spans="1:10" hidden="1" x14ac:dyDescent="0.35">
      <c r="A1592" s="126" t="s">
        <v>456</v>
      </c>
      <c r="B1592" t="str">
        <f>_xlfn.XLOOKUP(A1592,'[1]2050Pop'!$A$7:$A$143,'[1]2050Pop'!$D$7:$D$143)</f>
        <v>MENA</v>
      </c>
      <c r="C1592" s="127">
        <f>1000*_xlfn.XLOOKUP(A1592,'[1]2050Pop'!$A$7:$A$143,'[1]2050Pop'!$C$7:$C$143)</f>
        <v>46059</v>
      </c>
      <c r="D1592" s="126" t="s">
        <v>506</v>
      </c>
      <c r="E1592" s="128">
        <v>8.2149999999999999</v>
      </c>
      <c r="F1592" s="129">
        <f t="shared" si="74"/>
        <v>0.37837468499999999</v>
      </c>
      <c r="G1592" t="str">
        <f>_xlfn.XLOOKUP(D1592,'[1]2050 BAU Mapping to T &amp; C'!$A$3:$A$52,'[1]2050 BAU Mapping to T &amp; C'!$B$3:$B$52)</f>
        <v>Legumes</v>
      </c>
      <c r="H1592" s="129">
        <f>_xlfn.XLOOKUP(G1592,'[1]T&amp;C emissions for 2050 analysis'!$B$3:$B$23,'[1]T&amp;C emissions for 2050 analysis'!$C$3:$C$23)</f>
        <v>7.3333333333333334E-2</v>
      </c>
      <c r="I1592" s="27">
        <f t="shared" si="72"/>
        <v>2.7747476899999998E-2</v>
      </c>
      <c r="J1592" s="129">
        <f t="shared" si="73"/>
        <v>0.60243333333333338</v>
      </c>
    </row>
    <row r="1593" spans="1:10" hidden="1" x14ac:dyDescent="0.35">
      <c r="A1593" s="126" t="s">
        <v>457</v>
      </c>
      <c r="B1593" t="str">
        <f>_xlfn.XLOOKUP(A1593,'[1]2050Pop'!$A$7:$A$143,'[1]2050Pop'!$D$7:$D$143)</f>
        <v>SSA</v>
      </c>
      <c r="C1593" s="127">
        <f>1000*_xlfn.XLOOKUP(A1593,'[1]2050Pop'!$A$7:$A$143,'[1]2050Pop'!$C$7:$C$143)</f>
        <v>36223</v>
      </c>
      <c r="D1593" s="126" t="s">
        <v>506</v>
      </c>
      <c r="E1593" s="128">
        <v>59.569000000000003</v>
      </c>
      <c r="F1593" s="129">
        <f t="shared" si="74"/>
        <v>2.1577678869999999</v>
      </c>
      <c r="G1593" t="str">
        <f>_xlfn.XLOOKUP(D1593,'[1]2050 BAU Mapping to T &amp; C'!$A$3:$A$52,'[1]2050 BAU Mapping to T &amp; C'!$B$3:$B$52)</f>
        <v>Legumes</v>
      </c>
      <c r="H1593" s="129">
        <f>_xlfn.XLOOKUP(G1593,'[1]T&amp;C emissions for 2050 analysis'!$B$3:$B$23,'[1]T&amp;C emissions for 2050 analysis'!$C$3:$C$23)</f>
        <v>7.3333333333333334E-2</v>
      </c>
      <c r="I1593" s="27">
        <f t="shared" si="72"/>
        <v>0.15823631171333333</v>
      </c>
      <c r="J1593" s="129">
        <f t="shared" si="73"/>
        <v>4.3683933333333336</v>
      </c>
    </row>
    <row r="1594" spans="1:10" hidden="1" x14ac:dyDescent="0.35">
      <c r="A1594" s="126" t="s">
        <v>458</v>
      </c>
      <c r="B1594" t="str">
        <f>_xlfn.XLOOKUP(A1594,'[1]2050Pop'!$A$7:$A$143,'[1]2050Pop'!$D$7:$D$143)</f>
        <v>Euro/AU/NZ</v>
      </c>
      <c r="C1594" s="127">
        <f>1000*_xlfn.XLOOKUP(A1594,'[1]2050Pop'!$A$7:$A$143,'[1]2050Pop'!$C$7:$C$143)</f>
        <v>7331</v>
      </c>
      <c r="D1594" s="126" t="s">
        <v>506</v>
      </c>
      <c r="E1594" s="130">
        <v>12.24</v>
      </c>
      <c r="F1594" s="129">
        <f t="shared" si="74"/>
        <v>8.9731439999999996E-2</v>
      </c>
      <c r="G1594" t="str">
        <f>_xlfn.XLOOKUP(D1594,'[1]2050 BAU Mapping to T &amp; C'!$A$3:$A$52,'[1]2050 BAU Mapping to T &amp; C'!$B$3:$B$52)</f>
        <v>Legumes</v>
      </c>
      <c r="H1594" s="129">
        <f>_xlfn.XLOOKUP(G1594,'[1]T&amp;C emissions for 2050 analysis'!$B$3:$B$23,'[1]T&amp;C emissions for 2050 analysis'!$C$3:$C$23)</f>
        <v>7.3333333333333334E-2</v>
      </c>
      <c r="I1594" s="27">
        <f t="shared" si="72"/>
        <v>6.5803056E-3</v>
      </c>
      <c r="J1594" s="129">
        <f t="shared" si="73"/>
        <v>0.89760000000000006</v>
      </c>
    </row>
    <row r="1595" spans="1:10" hidden="1" x14ac:dyDescent="0.35">
      <c r="A1595" s="126" t="s">
        <v>492</v>
      </c>
      <c r="B1595" t="str">
        <f>_xlfn.XLOOKUP(A1595,'[1]2050Pop'!$A$7:$A$143,'[1]2050Pop'!$D$7:$D$143)</f>
        <v>SSA</v>
      </c>
      <c r="C1595" s="127">
        <f>1000*_xlfn.XLOOKUP(A1595,'[1]2050Pop'!$A$7:$A$143,'[1]2050Pop'!$C$7:$C$143)</f>
        <v>11392</v>
      </c>
      <c r="D1595" s="126" t="s">
        <v>506</v>
      </c>
      <c r="E1595" s="128">
        <v>75.349000000000004</v>
      </c>
      <c r="F1595" s="129">
        <f t="shared" si="74"/>
        <v>0.85837580800000013</v>
      </c>
      <c r="G1595" t="str">
        <f>_xlfn.XLOOKUP(D1595,'[1]2050 BAU Mapping to T &amp; C'!$A$3:$A$52,'[1]2050 BAU Mapping to T &amp; C'!$B$3:$B$52)</f>
        <v>Legumes</v>
      </c>
      <c r="H1595" s="129">
        <f>_xlfn.XLOOKUP(G1595,'[1]T&amp;C emissions for 2050 analysis'!$B$3:$B$23,'[1]T&amp;C emissions for 2050 analysis'!$C$3:$C$23)</f>
        <v>7.3333333333333334E-2</v>
      </c>
      <c r="I1595" s="27">
        <f t="shared" si="72"/>
        <v>6.2947559253333341E-2</v>
      </c>
      <c r="J1595" s="129">
        <f t="shared" si="73"/>
        <v>5.525593333333334</v>
      </c>
    </row>
    <row r="1596" spans="1:10" hidden="1" x14ac:dyDescent="0.35">
      <c r="A1596" s="126" t="s">
        <v>459</v>
      </c>
      <c r="B1596" t="str">
        <f>_xlfn.XLOOKUP(A1596,'[1]2050Pop'!$A$7:$A$143,'[1]2050Pop'!$D$7:$D$143)</f>
        <v>Euro/AU/NZ</v>
      </c>
      <c r="C1596" s="127">
        <f>1000*_xlfn.XLOOKUP(A1596,'[1]2050Pop'!$A$7:$A$143,'[1]2050Pop'!$C$7:$C$143)</f>
        <v>4892</v>
      </c>
      <c r="D1596" s="126" t="s">
        <v>506</v>
      </c>
      <c r="E1596" s="128">
        <v>11.398999999999999</v>
      </c>
      <c r="F1596" s="129">
        <f t="shared" si="74"/>
        <v>5.5763907999999994E-2</v>
      </c>
      <c r="G1596" t="str">
        <f>_xlfn.XLOOKUP(D1596,'[1]2050 BAU Mapping to T &amp; C'!$A$3:$A$52,'[1]2050 BAU Mapping to T &amp; C'!$B$3:$B$52)</f>
        <v>Legumes</v>
      </c>
      <c r="H1596" s="129">
        <f>_xlfn.XLOOKUP(G1596,'[1]T&amp;C emissions for 2050 analysis'!$B$3:$B$23,'[1]T&amp;C emissions for 2050 analysis'!$C$3:$C$23)</f>
        <v>7.3333333333333334E-2</v>
      </c>
      <c r="I1596" s="27">
        <f t="shared" si="72"/>
        <v>4.089353253333333E-3</v>
      </c>
      <c r="J1596" s="129">
        <f t="shared" si="73"/>
        <v>0.8359266666666666</v>
      </c>
    </row>
    <row r="1597" spans="1:10" hidden="1" x14ac:dyDescent="0.35">
      <c r="A1597" s="126" t="s">
        <v>460</v>
      </c>
      <c r="B1597" t="str">
        <f>_xlfn.XLOOKUP(A1597,'[1]2050Pop'!$A$7:$A$143,'[1]2050Pop'!$D$7:$D$143)</f>
        <v>LatAm &amp; RSA</v>
      </c>
      <c r="C1597" s="127">
        <f>1000*_xlfn.XLOOKUP(A1597,'[1]2050Pop'!$A$7:$A$143,'[1]2050Pop'!$C$7:$C$143)</f>
        <v>65540</v>
      </c>
      <c r="D1597" s="126" t="s">
        <v>506</v>
      </c>
      <c r="E1597" s="128">
        <v>9.6059999999999999</v>
      </c>
      <c r="F1597" s="129">
        <f t="shared" si="74"/>
        <v>0.62957724000000004</v>
      </c>
      <c r="G1597" t="str">
        <f>_xlfn.XLOOKUP(D1597,'[1]2050 BAU Mapping to T &amp; C'!$A$3:$A$52,'[1]2050 BAU Mapping to T &amp; C'!$B$3:$B$52)</f>
        <v>Legumes</v>
      </c>
      <c r="H1597" s="129">
        <f>_xlfn.XLOOKUP(G1597,'[1]T&amp;C emissions for 2050 analysis'!$B$3:$B$23,'[1]T&amp;C emissions for 2050 analysis'!$C$3:$C$23)</f>
        <v>7.3333333333333334E-2</v>
      </c>
      <c r="I1597" s="27">
        <f t="shared" si="72"/>
        <v>4.6168997600000004E-2</v>
      </c>
      <c r="J1597" s="129">
        <f t="shared" si="73"/>
        <v>0.70443999999999996</v>
      </c>
    </row>
    <row r="1598" spans="1:10" hidden="1" x14ac:dyDescent="0.35">
      <c r="A1598" s="126" t="s">
        <v>461</v>
      </c>
      <c r="B1598" t="str">
        <f>_xlfn.XLOOKUP(A1598,'[1]2050Pop'!$A$7:$A$143,'[1]2050Pop'!$D$7:$D$143)</f>
        <v>Euro/AU/NZ</v>
      </c>
      <c r="C1598" s="127">
        <f>1000*_xlfn.XLOOKUP(A1598,'[1]2050Pop'!$A$7:$A$143,'[1]2050Pop'!$C$7:$C$143)</f>
        <v>44840</v>
      </c>
      <c r="D1598" s="126" t="s">
        <v>506</v>
      </c>
      <c r="E1598" s="128">
        <v>12.404999999999999</v>
      </c>
      <c r="F1598" s="129">
        <f t="shared" si="74"/>
        <v>0.55624019999999996</v>
      </c>
      <c r="G1598" t="str">
        <f>_xlfn.XLOOKUP(D1598,'[1]2050 BAU Mapping to T &amp; C'!$A$3:$A$52,'[1]2050 BAU Mapping to T &amp; C'!$B$3:$B$52)</f>
        <v>Legumes</v>
      </c>
      <c r="H1598" s="129">
        <f>_xlfn.XLOOKUP(G1598,'[1]T&amp;C emissions for 2050 analysis'!$B$3:$B$23,'[1]T&amp;C emissions for 2050 analysis'!$C$3:$C$23)</f>
        <v>7.3333333333333334E-2</v>
      </c>
      <c r="I1598" s="27">
        <f t="shared" si="72"/>
        <v>4.0790948E-2</v>
      </c>
      <c r="J1598" s="129">
        <f t="shared" si="73"/>
        <v>0.90969999999999995</v>
      </c>
    </row>
    <row r="1599" spans="1:10" hidden="1" x14ac:dyDescent="0.35">
      <c r="A1599" s="126" t="s">
        <v>493</v>
      </c>
      <c r="B1599" t="str">
        <f>_xlfn.XLOOKUP(A1599,'[1]2050Pop'!$A$7:$A$143,'[1]2050Pop'!$D$7:$D$143)</f>
        <v>India/South Asia</v>
      </c>
      <c r="C1599" s="127">
        <f>1000*_xlfn.XLOOKUP(A1599,'[1]2050Pop'!$A$7:$A$143,'[1]2050Pop'!$C$7:$C$143)</f>
        <v>20836</v>
      </c>
      <c r="D1599" s="126" t="s">
        <v>506</v>
      </c>
      <c r="E1599" s="128">
        <v>1.9910000000000001</v>
      </c>
      <c r="F1599" s="129">
        <f t="shared" si="74"/>
        <v>4.1484475999999999E-2</v>
      </c>
      <c r="G1599" t="str">
        <f>_xlfn.XLOOKUP(D1599,'[1]2050 BAU Mapping to T &amp; C'!$A$3:$A$52,'[1]2050 BAU Mapping to T &amp; C'!$B$3:$B$52)</f>
        <v>Legumes</v>
      </c>
      <c r="H1599" s="129">
        <f>_xlfn.XLOOKUP(G1599,'[1]T&amp;C emissions for 2050 analysis'!$B$3:$B$23,'[1]T&amp;C emissions for 2050 analysis'!$C$3:$C$23)</f>
        <v>7.3333333333333334E-2</v>
      </c>
      <c r="I1599" s="27">
        <f t="shared" si="72"/>
        <v>3.0421949066666665E-3</v>
      </c>
      <c r="J1599" s="129">
        <f t="shared" si="73"/>
        <v>0.14600666666666667</v>
      </c>
    </row>
    <row r="1600" spans="1:10" hidden="1" x14ac:dyDescent="0.35">
      <c r="A1600" s="126" t="s">
        <v>462</v>
      </c>
      <c r="B1600" t="str">
        <f>_xlfn.XLOOKUP(A1600,'[1]2050Pop'!$A$7:$A$143,'[1]2050Pop'!$D$7:$D$143)</f>
        <v>LatAm &amp; RSA</v>
      </c>
      <c r="C1600" s="127">
        <f>1000*_xlfn.XLOOKUP(A1600,'[1]2050Pop'!$A$7:$A$143,'[1]2050Pop'!$C$7:$C$143)</f>
        <v>624</v>
      </c>
      <c r="D1600" s="126" t="s">
        <v>506</v>
      </c>
      <c r="E1600" s="130">
        <v>27.55</v>
      </c>
      <c r="F1600" s="129">
        <f t="shared" si="74"/>
        <v>1.71912E-2</v>
      </c>
      <c r="G1600" t="str">
        <f>_xlfn.XLOOKUP(D1600,'[1]2050 BAU Mapping to T &amp; C'!$A$3:$A$52,'[1]2050 BAU Mapping to T &amp; C'!$B$3:$B$52)</f>
        <v>Legumes</v>
      </c>
      <c r="H1600" s="129">
        <f>_xlfn.XLOOKUP(G1600,'[1]T&amp;C emissions for 2050 analysis'!$B$3:$B$23,'[1]T&amp;C emissions for 2050 analysis'!$C$3:$C$23)</f>
        <v>7.3333333333333334E-2</v>
      </c>
      <c r="I1600" s="27">
        <f t="shared" si="72"/>
        <v>1.260688E-3</v>
      </c>
      <c r="J1600" s="129">
        <f t="shared" si="73"/>
        <v>2.0203333333333333</v>
      </c>
    </row>
    <row r="1601" spans="1:10" hidden="1" x14ac:dyDescent="0.35">
      <c r="A1601" s="126" t="s">
        <v>463</v>
      </c>
      <c r="B1601" t="str">
        <f>_xlfn.XLOOKUP(A1601,'[1]2050Pop'!$A$7:$A$143,'[1]2050Pop'!$D$7:$D$143)</f>
        <v>SSA</v>
      </c>
      <c r="C1601" s="127">
        <f>1000*_xlfn.XLOOKUP(A1601,'[1]2050Pop'!$A$7:$A$143,'[1]2050Pop'!$C$7:$C$143)</f>
        <v>1792</v>
      </c>
      <c r="D1601" s="126" t="s">
        <v>506</v>
      </c>
      <c r="E1601" s="128">
        <v>38.225999999999999</v>
      </c>
      <c r="F1601" s="129">
        <f t="shared" si="74"/>
        <v>6.8500991999999997E-2</v>
      </c>
      <c r="G1601" t="str">
        <f>_xlfn.XLOOKUP(D1601,'[1]2050 BAU Mapping to T &amp; C'!$A$3:$A$52,'[1]2050 BAU Mapping to T &amp; C'!$B$3:$B$52)</f>
        <v>Legumes</v>
      </c>
      <c r="H1601" s="129">
        <f>_xlfn.XLOOKUP(G1601,'[1]T&amp;C emissions for 2050 analysis'!$B$3:$B$23,'[1]T&amp;C emissions for 2050 analysis'!$C$3:$C$23)</f>
        <v>7.3333333333333334E-2</v>
      </c>
      <c r="I1601" s="27">
        <f t="shared" si="72"/>
        <v>5.0234060799999999E-3</v>
      </c>
      <c r="J1601" s="129">
        <f t="shared" si="73"/>
        <v>2.8032399999999997</v>
      </c>
    </row>
    <row r="1602" spans="1:10" hidden="1" x14ac:dyDescent="0.35">
      <c r="A1602" s="126" t="s">
        <v>464</v>
      </c>
      <c r="B1602" t="str">
        <f>_xlfn.XLOOKUP(A1602,'[1]2050Pop'!$A$7:$A$143,'[1]2050Pop'!$D$7:$D$143)</f>
        <v>Euro/AU/NZ</v>
      </c>
      <c r="C1602" s="127">
        <f>1000*_xlfn.XLOOKUP(A1602,'[1]2050Pop'!$A$7:$A$143,'[1]2050Pop'!$C$7:$C$143)</f>
        <v>11881</v>
      </c>
      <c r="D1602" s="126" t="s">
        <v>506</v>
      </c>
      <c r="E1602" s="128">
        <v>16.483000000000001</v>
      </c>
      <c r="F1602" s="129">
        <f t="shared" si="74"/>
        <v>0.19583452300000001</v>
      </c>
      <c r="G1602" t="str">
        <f>_xlfn.XLOOKUP(D1602,'[1]2050 BAU Mapping to T &amp; C'!$A$3:$A$52,'[1]2050 BAU Mapping to T &amp; C'!$B$3:$B$52)</f>
        <v>Legumes</v>
      </c>
      <c r="H1602" s="129">
        <f>_xlfn.XLOOKUP(G1602,'[1]T&amp;C emissions for 2050 analysis'!$B$3:$B$23,'[1]T&amp;C emissions for 2050 analysis'!$C$3:$C$23)</f>
        <v>7.3333333333333334E-2</v>
      </c>
      <c r="I1602" s="27">
        <f t="shared" si="72"/>
        <v>1.4361198353333333E-2</v>
      </c>
      <c r="J1602" s="129">
        <f t="shared" si="73"/>
        <v>1.2087533333333333</v>
      </c>
    </row>
    <row r="1603" spans="1:10" hidden="1" x14ac:dyDescent="0.35">
      <c r="A1603" s="126" t="s">
        <v>483</v>
      </c>
      <c r="B1603" t="str">
        <f>_xlfn.XLOOKUP(A1603,'[1]2050Pop'!$A$7:$A$143,'[1]2050Pop'!$D$7:$D$143)</f>
        <v>APAC</v>
      </c>
      <c r="C1603" s="127">
        <f>1000*_xlfn.XLOOKUP(A1603,'[1]2050Pop'!$A$7:$A$143,'[1]2050Pop'!$C$7:$C$143)</f>
        <v>14288</v>
      </c>
      <c r="D1603" s="126" t="s">
        <v>506</v>
      </c>
      <c r="E1603" s="128">
        <v>7.3869999999999996</v>
      </c>
      <c r="F1603" s="129">
        <f t="shared" si="74"/>
        <v>0.105545456</v>
      </c>
      <c r="G1603" t="str">
        <f>_xlfn.XLOOKUP(D1603,'[1]2050 BAU Mapping to T &amp; C'!$A$3:$A$52,'[1]2050 BAU Mapping to T &amp; C'!$B$3:$B$52)</f>
        <v>Legumes</v>
      </c>
      <c r="H1603" s="129">
        <f>_xlfn.XLOOKUP(G1603,'[1]T&amp;C emissions for 2050 analysis'!$B$3:$B$23,'[1]T&amp;C emissions for 2050 analysis'!$C$3:$C$23)</f>
        <v>7.3333333333333334E-2</v>
      </c>
      <c r="I1603" s="27">
        <f t="shared" si="72"/>
        <v>7.7400001066666663E-3</v>
      </c>
      <c r="J1603" s="129">
        <f t="shared" si="73"/>
        <v>0.54171333333333327</v>
      </c>
    </row>
    <row r="1604" spans="1:10" hidden="1" x14ac:dyDescent="0.35">
      <c r="A1604" s="126" t="s">
        <v>465</v>
      </c>
      <c r="B1604" t="str">
        <f>_xlfn.XLOOKUP(A1604,'[1]2050Pop'!$A$7:$A$143,'[1]2050Pop'!$D$7:$D$143)</f>
        <v>APAC</v>
      </c>
      <c r="C1604" s="127">
        <f>1000*_xlfn.XLOOKUP(A1604,'[1]2050Pop'!$A$7:$A$143,'[1]2050Pop'!$C$7:$C$143)</f>
        <v>62452</v>
      </c>
      <c r="D1604" s="126" t="s">
        <v>506</v>
      </c>
      <c r="E1604" s="128">
        <v>10.673999999999999</v>
      </c>
      <c r="F1604" s="129">
        <f t="shared" si="74"/>
        <v>0.66661264799999997</v>
      </c>
      <c r="G1604" t="str">
        <f>_xlfn.XLOOKUP(D1604,'[1]2050 BAU Mapping to T &amp; C'!$A$3:$A$52,'[1]2050 BAU Mapping to T &amp; C'!$B$3:$B$52)</f>
        <v>Legumes</v>
      </c>
      <c r="H1604" s="129">
        <f>_xlfn.XLOOKUP(G1604,'[1]T&amp;C emissions for 2050 analysis'!$B$3:$B$23,'[1]T&amp;C emissions for 2050 analysis'!$C$3:$C$23)</f>
        <v>7.3333333333333334E-2</v>
      </c>
      <c r="I1604" s="27">
        <f t="shared" ref="I1604:I1667" si="75">F1604*H1604</f>
        <v>4.8884927519999996E-2</v>
      </c>
      <c r="J1604" s="129">
        <f t="shared" ref="J1604:J1667" si="76">E1604*H1604</f>
        <v>0.78276000000000001</v>
      </c>
    </row>
    <row r="1605" spans="1:10" hidden="1" x14ac:dyDescent="0.35">
      <c r="A1605" s="126" t="s">
        <v>466</v>
      </c>
      <c r="B1605" t="str">
        <f>_xlfn.XLOOKUP(A1605,'[1]2050Pop'!$A$7:$A$143,'[1]2050Pop'!$D$7:$D$143)</f>
        <v>SSA</v>
      </c>
      <c r="C1605" s="127">
        <f>1000*_xlfn.XLOOKUP(A1605,'[1]2050Pop'!$A$7:$A$143,'[1]2050Pop'!$C$7:$C$143)</f>
        <v>15681</v>
      </c>
      <c r="D1605" s="126" t="s">
        <v>506</v>
      </c>
      <c r="E1605" s="128">
        <v>58.433999999999997</v>
      </c>
      <c r="F1605" s="129">
        <f t="shared" ref="F1605:F1668" si="77">C1605*E1605/1000000</f>
        <v>0.91630355399999996</v>
      </c>
      <c r="G1605" t="str">
        <f>_xlfn.XLOOKUP(D1605,'[1]2050 BAU Mapping to T &amp; C'!$A$3:$A$52,'[1]2050 BAU Mapping to T &amp; C'!$B$3:$B$52)</f>
        <v>Legumes</v>
      </c>
      <c r="H1605" s="129">
        <f>_xlfn.XLOOKUP(G1605,'[1]T&amp;C emissions for 2050 analysis'!$B$3:$B$23,'[1]T&amp;C emissions for 2050 analysis'!$C$3:$C$23)</f>
        <v>7.3333333333333334E-2</v>
      </c>
      <c r="I1605" s="27">
        <f t="shared" si="75"/>
        <v>6.7195593959999994E-2</v>
      </c>
      <c r="J1605" s="129">
        <f t="shared" si="76"/>
        <v>4.2851599999999994</v>
      </c>
    </row>
    <row r="1606" spans="1:10" hidden="1" x14ac:dyDescent="0.35">
      <c r="A1606" s="126" t="s">
        <v>467</v>
      </c>
      <c r="B1606" t="str">
        <f>_xlfn.XLOOKUP(A1606,'[1]2050Pop'!$A$7:$A$143,'[1]2050Pop'!$D$7:$D$143)</f>
        <v>LatAm &amp; RSA</v>
      </c>
      <c r="C1606" s="127">
        <f>1000*_xlfn.XLOOKUP(A1606,'[1]2050Pop'!$A$7:$A$143,'[1]2050Pop'!$C$7:$C$143)</f>
        <v>1291</v>
      </c>
      <c r="D1606" s="126" t="s">
        <v>506</v>
      </c>
      <c r="E1606" s="128">
        <v>26.363</v>
      </c>
      <c r="F1606" s="129">
        <f t="shared" si="77"/>
        <v>3.4034633000000002E-2</v>
      </c>
      <c r="G1606" t="str">
        <f>_xlfn.XLOOKUP(D1606,'[1]2050 BAU Mapping to T &amp; C'!$A$3:$A$52,'[1]2050 BAU Mapping to T &amp; C'!$B$3:$B$52)</f>
        <v>Legumes</v>
      </c>
      <c r="H1606" s="129">
        <f>_xlfn.XLOOKUP(G1606,'[1]T&amp;C emissions for 2050 analysis'!$B$3:$B$23,'[1]T&amp;C emissions for 2050 analysis'!$C$3:$C$23)</f>
        <v>7.3333333333333334E-2</v>
      </c>
      <c r="I1606" s="27">
        <f t="shared" si="75"/>
        <v>2.4958730866666669E-3</v>
      </c>
      <c r="J1606" s="129">
        <f t="shared" si="76"/>
        <v>1.9332866666666666</v>
      </c>
    </row>
    <row r="1607" spans="1:10" hidden="1" x14ac:dyDescent="0.35">
      <c r="A1607" s="126" t="s">
        <v>468</v>
      </c>
      <c r="B1607" t="str">
        <f>_xlfn.XLOOKUP(A1607,'[1]2050Pop'!$A$7:$A$143,'[1]2050Pop'!$D$7:$D$143)</f>
        <v>MENA</v>
      </c>
      <c r="C1607" s="127">
        <f>1000*_xlfn.XLOOKUP(A1607,'[1]2050Pop'!$A$7:$A$143,'[1]2050Pop'!$C$7:$C$143)</f>
        <v>13476</v>
      </c>
      <c r="D1607" s="126" t="s">
        <v>506</v>
      </c>
      <c r="E1607" s="128">
        <v>6.827</v>
      </c>
      <c r="F1607" s="129">
        <f t="shared" si="77"/>
        <v>9.2000652000000002E-2</v>
      </c>
      <c r="G1607" t="str">
        <f>_xlfn.XLOOKUP(D1607,'[1]2050 BAU Mapping to T &amp; C'!$A$3:$A$52,'[1]2050 BAU Mapping to T &amp; C'!$B$3:$B$52)</f>
        <v>Legumes</v>
      </c>
      <c r="H1607" s="129">
        <f>_xlfn.XLOOKUP(G1607,'[1]T&amp;C emissions for 2050 analysis'!$B$3:$B$23,'[1]T&amp;C emissions for 2050 analysis'!$C$3:$C$23)</f>
        <v>7.3333333333333334E-2</v>
      </c>
      <c r="I1607" s="27">
        <f t="shared" si="75"/>
        <v>6.7467144799999998E-3</v>
      </c>
      <c r="J1607" s="129">
        <f t="shared" si="76"/>
        <v>0.50064666666666668</v>
      </c>
    </row>
    <row r="1608" spans="1:10" hidden="1" x14ac:dyDescent="0.35">
      <c r="A1608" s="126" t="s">
        <v>469</v>
      </c>
      <c r="B1608" t="str">
        <f>_xlfn.XLOOKUP(A1608,'[1]2050Pop'!$A$7:$A$143,'[1]2050Pop'!$D$7:$D$143)</f>
        <v>MENA</v>
      </c>
      <c r="C1608" s="127">
        <f>1000*_xlfn.XLOOKUP(A1608,'[1]2050Pop'!$A$7:$A$143,'[1]2050Pop'!$C$7:$C$143)</f>
        <v>95819</v>
      </c>
      <c r="D1608" s="126" t="s">
        <v>506</v>
      </c>
      <c r="E1608" s="128">
        <v>15.946</v>
      </c>
      <c r="F1608" s="129">
        <f t="shared" si="77"/>
        <v>1.527929774</v>
      </c>
      <c r="G1608" t="str">
        <f>_xlfn.XLOOKUP(D1608,'[1]2050 BAU Mapping to T &amp; C'!$A$3:$A$52,'[1]2050 BAU Mapping to T &amp; C'!$B$3:$B$52)</f>
        <v>Legumes</v>
      </c>
      <c r="H1608" s="129">
        <f>_xlfn.XLOOKUP(G1608,'[1]T&amp;C emissions for 2050 analysis'!$B$3:$B$23,'[1]T&amp;C emissions for 2050 analysis'!$C$3:$C$23)</f>
        <v>7.3333333333333334E-2</v>
      </c>
      <c r="I1608" s="27">
        <f t="shared" si="75"/>
        <v>0.11204818342666667</v>
      </c>
      <c r="J1608" s="129">
        <f t="shared" si="76"/>
        <v>1.1693733333333334</v>
      </c>
    </row>
    <row r="1609" spans="1:10" hidden="1" x14ac:dyDescent="0.35">
      <c r="A1609" s="126" t="s">
        <v>470</v>
      </c>
      <c r="B1609" t="str">
        <f>_xlfn.XLOOKUP(A1609,'[1]2050Pop'!$A$7:$A$143,'[1]2050Pop'!$D$7:$D$143)</f>
        <v>SSA</v>
      </c>
      <c r="C1609" s="127">
        <f>1000*_xlfn.XLOOKUP(A1609,'[1]2050Pop'!$A$7:$A$143,'[1]2050Pop'!$C$7:$C$143)</f>
        <v>101873</v>
      </c>
      <c r="D1609" s="126" t="s">
        <v>506</v>
      </c>
      <c r="E1609" s="128">
        <v>70.688999999999993</v>
      </c>
      <c r="F1609" s="129">
        <f t="shared" si="77"/>
        <v>7.2013004969999992</v>
      </c>
      <c r="G1609" t="str">
        <f>_xlfn.XLOOKUP(D1609,'[1]2050 BAU Mapping to T &amp; C'!$A$3:$A$52,'[1]2050 BAU Mapping to T &amp; C'!$B$3:$B$52)</f>
        <v>Legumes</v>
      </c>
      <c r="H1609" s="129">
        <f>_xlfn.XLOOKUP(G1609,'[1]T&amp;C emissions for 2050 analysis'!$B$3:$B$23,'[1]T&amp;C emissions for 2050 analysis'!$C$3:$C$23)</f>
        <v>7.3333333333333334E-2</v>
      </c>
      <c r="I1609" s="27">
        <f t="shared" si="75"/>
        <v>0.52809536977999993</v>
      </c>
      <c r="J1609" s="129">
        <f t="shared" si="76"/>
        <v>5.1838599999999992</v>
      </c>
    </row>
    <row r="1610" spans="1:10" hidden="1" x14ac:dyDescent="0.35">
      <c r="A1610" s="126" t="s">
        <v>471</v>
      </c>
      <c r="B1610" t="str">
        <f>_xlfn.XLOOKUP(A1610,'[1]2050Pop'!$A$7:$A$143,'[1]2050Pop'!$D$7:$D$143)</f>
        <v>Euro/AU/NZ</v>
      </c>
      <c r="C1610" s="127">
        <f>1000*_xlfn.XLOOKUP(A1610,'[1]2050Pop'!$A$7:$A$143,'[1]2050Pop'!$C$7:$C$143)</f>
        <v>35117</v>
      </c>
      <c r="D1610" s="126" t="s">
        <v>506</v>
      </c>
      <c r="E1610" s="130">
        <v>12.34</v>
      </c>
      <c r="F1610" s="129">
        <f t="shared" si="77"/>
        <v>0.43334377999999996</v>
      </c>
      <c r="G1610" t="str">
        <f>_xlfn.XLOOKUP(D1610,'[1]2050 BAU Mapping to T &amp; C'!$A$3:$A$52,'[1]2050 BAU Mapping to T &amp; C'!$B$3:$B$52)</f>
        <v>Legumes</v>
      </c>
      <c r="H1610" s="129">
        <f>_xlfn.XLOOKUP(G1610,'[1]T&amp;C emissions for 2050 analysis'!$B$3:$B$23,'[1]T&amp;C emissions for 2050 analysis'!$C$3:$C$23)</f>
        <v>7.3333333333333334E-2</v>
      </c>
      <c r="I1610" s="27">
        <f t="shared" si="75"/>
        <v>3.1778543866666661E-2</v>
      </c>
      <c r="J1610" s="129">
        <f t="shared" si="76"/>
        <v>0.90493333333333337</v>
      </c>
    </row>
    <row r="1611" spans="1:10" hidden="1" x14ac:dyDescent="0.35">
      <c r="A1611" s="126" t="s">
        <v>472</v>
      </c>
      <c r="B1611" t="str">
        <f>_xlfn.XLOOKUP(A1611,'[1]2050Pop'!$A$7:$A$143,'[1]2050Pop'!$D$7:$D$143)</f>
        <v>Euro/AU/NZ</v>
      </c>
      <c r="C1611" s="127">
        <f>1000*_xlfn.XLOOKUP(A1611,'[1]2050Pop'!$A$7:$A$143,'[1]2050Pop'!$C$7:$C$143)</f>
        <v>75361</v>
      </c>
      <c r="D1611" s="126" t="s">
        <v>506</v>
      </c>
      <c r="E1611" s="128">
        <v>28.678000000000001</v>
      </c>
      <c r="F1611" s="129">
        <f t="shared" si="77"/>
        <v>2.1612027579999999</v>
      </c>
      <c r="G1611" t="str">
        <f>_xlfn.XLOOKUP(D1611,'[1]2050 BAU Mapping to T &amp; C'!$A$3:$A$52,'[1]2050 BAU Mapping to T &amp; C'!$B$3:$B$52)</f>
        <v>Legumes</v>
      </c>
      <c r="H1611" s="129">
        <f>_xlfn.XLOOKUP(G1611,'[1]T&amp;C emissions for 2050 analysis'!$B$3:$B$23,'[1]T&amp;C emissions for 2050 analysis'!$C$3:$C$23)</f>
        <v>7.3333333333333334E-2</v>
      </c>
      <c r="I1611" s="27">
        <f t="shared" si="75"/>
        <v>0.15848820225333332</v>
      </c>
      <c r="J1611" s="129">
        <f t="shared" si="76"/>
        <v>2.1030533333333334</v>
      </c>
    </row>
    <row r="1612" spans="1:10" hidden="1" x14ac:dyDescent="0.35">
      <c r="A1612" s="126" t="s">
        <v>473</v>
      </c>
      <c r="B1612" t="str">
        <f>_xlfn.XLOOKUP(A1612,'[1]2050Pop'!$A$7:$A$143,'[1]2050Pop'!$D$7:$D$143)</f>
        <v>SSA</v>
      </c>
      <c r="C1612" s="127">
        <f>1000*_xlfn.XLOOKUP(A1612,'[1]2050Pop'!$A$7:$A$143,'[1]2050Pop'!$C$7:$C$143)</f>
        <v>137136</v>
      </c>
      <c r="D1612" s="126" t="s">
        <v>506</v>
      </c>
      <c r="E1612" s="128">
        <v>103.63200000000001</v>
      </c>
      <c r="F1612" s="129">
        <f t="shared" si="77"/>
        <v>14.211677952000002</v>
      </c>
      <c r="G1612" t="str">
        <f>_xlfn.XLOOKUP(D1612,'[1]2050 BAU Mapping to T &amp; C'!$A$3:$A$52,'[1]2050 BAU Mapping to T &amp; C'!$B$3:$B$52)</f>
        <v>Legumes</v>
      </c>
      <c r="H1612" s="129">
        <f>_xlfn.XLOOKUP(G1612,'[1]T&amp;C emissions for 2050 analysis'!$B$3:$B$23,'[1]T&amp;C emissions for 2050 analysis'!$C$3:$C$23)</f>
        <v>7.3333333333333334E-2</v>
      </c>
      <c r="I1612" s="27">
        <f t="shared" si="75"/>
        <v>1.0421897164800002</v>
      </c>
      <c r="J1612" s="129">
        <f t="shared" si="76"/>
        <v>7.5996800000000002</v>
      </c>
    </row>
    <row r="1613" spans="1:10" hidden="1" x14ac:dyDescent="0.35">
      <c r="A1613" s="126" t="s">
        <v>474</v>
      </c>
      <c r="B1613" t="str">
        <f>_xlfn.XLOOKUP(A1613,'[1]2050Pop'!$A$7:$A$143,'[1]2050Pop'!$D$7:$D$143)</f>
        <v>NAm</v>
      </c>
      <c r="C1613" s="127">
        <f>1000*_xlfn.XLOOKUP(A1613,'[1]2050Pop'!$A$7:$A$143,'[1]2050Pop'!$C$7:$C$143)</f>
        <v>388865</v>
      </c>
      <c r="D1613" s="126" t="s">
        <v>506</v>
      </c>
      <c r="E1613" s="128">
        <v>52.209000000000003</v>
      </c>
      <c r="F1613" s="129">
        <f t="shared" si="77"/>
        <v>20.302252785</v>
      </c>
      <c r="G1613" t="str">
        <f>_xlfn.XLOOKUP(D1613,'[1]2050 BAU Mapping to T &amp; C'!$A$3:$A$52,'[1]2050 BAU Mapping to T &amp; C'!$B$3:$B$52)</f>
        <v>Legumes</v>
      </c>
      <c r="H1613" s="129">
        <f>_xlfn.XLOOKUP(G1613,'[1]T&amp;C emissions for 2050 analysis'!$B$3:$B$23,'[1]T&amp;C emissions for 2050 analysis'!$C$3:$C$23)</f>
        <v>7.3333333333333334E-2</v>
      </c>
      <c r="I1613" s="27">
        <f t="shared" si="75"/>
        <v>1.4888318709000001</v>
      </c>
      <c r="J1613" s="129">
        <f t="shared" si="76"/>
        <v>3.8286600000000002</v>
      </c>
    </row>
    <row r="1614" spans="1:10" hidden="1" x14ac:dyDescent="0.35">
      <c r="A1614" s="126" t="s">
        <v>475</v>
      </c>
      <c r="B1614" t="str">
        <f>_xlfn.XLOOKUP(A1614,'[1]2050Pop'!$A$7:$A$143,'[1]2050Pop'!$D$7:$D$143)</f>
        <v>LatAm &amp; RSA</v>
      </c>
      <c r="C1614" s="127">
        <f>1000*_xlfn.XLOOKUP(A1614,'[1]2050Pop'!$A$7:$A$143,'[1]2050Pop'!$C$7:$C$143)</f>
        <v>3667</v>
      </c>
      <c r="D1614" s="126" t="s">
        <v>506</v>
      </c>
      <c r="E1614" s="128">
        <v>12.926</v>
      </c>
      <c r="F1614" s="129">
        <f t="shared" si="77"/>
        <v>4.7399641999999999E-2</v>
      </c>
      <c r="G1614" t="str">
        <f>_xlfn.XLOOKUP(D1614,'[1]2050 BAU Mapping to T &amp; C'!$A$3:$A$52,'[1]2050 BAU Mapping to T &amp; C'!$B$3:$B$52)</f>
        <v>Legumes</v>
      </c>
      <c r="H1614" s="129">
        <f>_xlfn.XLOOKUP(G1614,'[1]T&amp;C emissions for 2050 analysis'!$B$3:$B$23,'[1]T&amp;C emissions for 2050 analysis'!$C$3:$C$23)</f>
        <v>7.3333333333333334E-2</v>
      </c>
      <c r="I1614" s="27">
        <f t="shared" si="75"/>
        <v>3.4759737466666667E-3</v>
      </c>
      <c r="J1614" s="129">
        <f t="shared" si="76"/>
        <v>0.94790666666666668</v>
      </c>
    </row>
    <row r="1615" spans="1:10" hidden="1" x14ac:dyDescent="0.35">
      <c r="A1615" s="126" t="s">
        <v>476</v>
      </c>
      <c r="B1615" t="str">
        <f>_xlfn.XLOOKUP(A1615,'[1]2050Pop'!$A$7:$A$143,'[1]2050Pop'!$D$7:$D$143)</f>
        <v>LatAm &amp; RSA</v>
      </c>
      <c r="C1615" s="127">
        <f>1000*_xlfn.XLOOKUP(A1615,'[1]2050Pop'!$A$7:$A$143,'[1]2050Pop'!$C$7:$C$143)</f>
        <v>41562</v>
      </c>
      <c r="D1615" s="126" t="s">
        <v>506</v>
      </c>
      <c r="E1615" s="128">
        <v>1.0369999999999999</v>
      </c>
      <c r="F1615" s="129">
        <f t="shared" si="77"/>
        <v>4.3099793999999997E-2</v>
      </c>
      <c r="G1615" t="str">
        <f>_xlfn.XLOOKUP(D1615,'[1]2050 BAU Mapping to T &amp; C'!$A$3:$A$52,'[1]2050 BAU Mapping to T &amp; C'!$B$3:$B$52)</f>
        <v>Legumes</v>
      </c>
      <c r="H1615" s="129">
        <f>_xlfn.XLOOKUP(G1615,'[1]T&amp;C emissions for 2050 analysis'!$B$3:$B$23,'[1]T&amp;C emissions for 2050 analysis'!$C$3:$C$23)</f>
        <v>7.3333333333333334E-2</v>
      </c>
      <c r="I1615" s="27">
        <f t="shared" si="75"/>
        <v>3.1606515599999999E-3</v>
      </c>
      <c r="J1615" s="129">
        <f t="shared" si="76"/>
        <v>7.6046666666666665E-2</v>
      </c>
    </row>
    <row r="1616" spans="1:10" hidden="1" x14ac:dyDescent="0.35">
      <c r="A1616" s="126" t="s">
        <v>477</v>
      </c>
      <c r="B1616" t="str">
        <f>_xlfn.XLOOKUP(A1616,'[1]2050Pop'!$A$7:$A$143,'[1]2050Pop'!$D$7:$D$143)</f>
        <v>APAC</v>
      </c>
      <c r="C1616" s="127">
        <f>1000*_xlfn.XLOOKUP(A1616,'[1]2050Pop'!$A$7:$A$143,'[1]2050Pop'!$C$7:$C$143)</f>
        <v>112783</v>
      </c>
      <c r="D1616" s="126" t="s">
        <v>506</v>
      </c>
      <c r="E1616" s="128">
        <v>53.140999999999998</v>
      </c>
      <c r="F1616" s="129">
        <f t="shared" si="77"/>
        <v>5.993401403</v>
      </c>
      <c r="G1616" t="str">
        <f>_xlfn.XLOOKUP(D1616,'[1]2050 BAU Mapping to T &amp; C'!$A$3:$A$52,'[1]2050 BAU Mapping to T &amp; C'!$B$3:$B$52)</f>
        <v>Legumes</v>
      </c>
      <c r="H1616" s="129">
        <f>_xlfn.XLOOKUP(G1616,'[1]T&amp;C emissions for 2050 analysis'!$B$3:$B$23,'[1]T&amp;C emissions for 2050 analysis'!$C$3:$C$23)</f>
        <v>7.3333333333333334E-2</v>
      </c>
      <c r="I1616" s="27">
        <f t="shared" si="75"/>
        <v>0.43951610288666665</v>
      </c>
      <c r="J1616" s="129">
        <f t="shared" si="76"/>
        <v>3.8970066666666665</v>
      </c>
    </row>
    <row r="1617" spans="1:10" hidden="1" x14ac:dyDescent="0.35">
      <c r="A1617" s="126" t="s">
        <v>478</v>
      </c>
      <c r="B1617" t="str">
        <f>_xlfn.XLOOKUP(A1617,'[1]2050Pop'!$A$7:$A$143,'[1]2050Pop'!$D$7:$D$143)</f>
        <v>MENA</v>
      </c>
      <c r="C1617" s="127">
        <f>1000*_xlfn.XLOOKUP(A1617,'[1]2050Pop'!$A$7:$A$143,'[1]2050Pop'!$C$7:$C$143)</f>
        <v>47170</v>
      </c>
      <c r="D1617" s="126" t="s">
        <v>506</v>
      </c>
      <c r="E1617" s="128">
        <v>3.8460000000000001</v>
      </c>
      <c r="F1617" s="129">
        <f t="shared" si="77"/>
        <v>0.18141582000000001</v>
      </c>
      <c r="G1617" t="str">
        <f>_xlfn.XLOOKUP(D1617,'[1]2050 BAU Mapping to T &amp; C'!$A$3:$A$52,'[1]2050 BAU Mapping to T &amp; C'!$B$3:$B$52)</f>
        <v>Legumes</v>
      </c>
      <c r="H1617" s="129">
        <f>_xlfn.XLOOKUP(G1617,'[1]T&amp;C emissions for 2050 analysis'!$B$3:$B$23,'[1]T&amp;C emissions for 2050 analysis'!$C$3:$C$23)</f>
        <v>7.3333333333333334E-2</v>
      </c>
      <c r="I1617" s="27">
        <f t="shared" si="75"/>
        <v>1.33038268E-2</v>
      </c>
      <c r="J1617" s="129">
        <f t="shared" si="76"/>
        <v>0.28204000000000001</v>
      </c>
    </row>
    <row r="1618" spans="1:10" hidden="1" x14ac:dyDescent="0.35">
      <c r="A1618" s="126" t="s">
        <v>494</v>
      </c>
      <c r="B1618" t="str">
        <f>_xlfn.XLOOKUP(A1618,'[1]2050Pop'!$A$7:$A$143,'[1]2050Pop'!$D$7:$D$143)</f>
        <v>SSA</v>
      </c>
      <c r="C1618" s="127">
        <f>1000*_xlfn.XLOOKUP(A1618,'[1]2050Pop'!$A$7:$A$143,'[1]2050Pop'!$C$7:$C$143)</f>
        <v>42975</v>
      </c>
      <c r="D1618" s="126" t="s">
        <v>506</v>
      </c>
      <c r="E1618" s="130">
        <v>80.459999999999994</v>
      </c>
      <c r="F1618" s="129">
        <f t="shared" si="77"/>
        <v>3.4577684999999994</v>
      </c>
      <c r="G1618" t="str">
        <f>_xlfn.XLOOKUP(D1618,'[1]2050 BAU Mapping to T &amp; C'!$A$3:$A$52,'[1]2050 BAU Mapping to T &amp; C'!$B$3:$B$52)</f>
        <v>Legumes</v>
      </c>
      <c r="H1618" s="129">
        <f>_xlfn.XLOOKUP(G1618,'[1]T&amp;C emissions for 2050 analysis'!$B$3:$B$23,'[1]T&amp;C emissions for 2050 analysis'!$C$3:$C$23)</f>
        <v>7.3333333333333334E-2</v>
      </c>
      <c r="I1618" s="27">
        <f t="shared" si="75"/>
        <v>0.25356968999999996</v>
      </c>
      <c r="J1618" s="129">
        <f t="shared" si="76"/>
        <v>5.9003999999999994</v>
      </c>
    </row>
    <row r="1619" spans="1:10" hidden="1" x14ac:dyDescent="0.35">
      <c r="A1619" s="126" t="s">
        <v>479</v>
      </c>
      <c r="B1619" t="str">
        <f>_xlfn.XLOOKUP(A1619,'[1]2050Pop'!$A$7:$A$143,'[1]2050Pop'!$D$7:$D$143)</f>
        <v>SSA</v>
      </c>
      <c r="C1619" s="127">
        <f>1000*_xlfn.XLOOKUP(A1619,'[1]2050Pop'!$A$7:$A$143,'[1]2050Pop'!$C$7:$C$143)</f>
        <v>29615</v>
      </c>
      <c r="D1619" s="126" t="s">
        <v>506</v>
      </c>
      <c r="E1619" s="130">
        <v>33.53</v>
      </c>
      <c r="F1619" s="129">
        <f t="shared" si="77"/>
        <v>0.99299095000000004</v>
      </c>
      <c r="G1619" t="str">
        <f>_xlfn.XLOOKUP(D1619,'[1]2050 BAU Mapping to T &amp; C'!$A$3:$A$52,'[1]2050 BAU Mapping to T &amp; C'!$B$3:$B$52)</f>
        <v>Legumes</v>
      </c>
      <c r="H1619" s="129">
        <f>_xlfn.XLOOKUP(G1619,'[1]T&amp;C emissions for 2050 analysis'!$B$3:$B$23,'[1]T&amp;C emissions for 2050 analysis'!$C$3:$C$23)</f>
        <v>7.3333333333333334E-2</v>
      </c>
      <c r="I1619" s="27">
        <f t="shared" si="75"/>
        <v>7.2819336333333332E-2</v>
      </c>
      <c r="J1619" s="129">
        <f t="shared" si="76"/>
        <v>2.4588666666666668</v>
      </c>
    </row>
    <row r="1620" spans="1:10" hidden="1" x14ac:dyDescent="0.35">
      <c r="A1620" s="126" t="s">
        <v>355</v>
      </c>
      <c r="B1620" t="str">
        <f>_xlfn.XLOOKUP(A1620,'[1]2050Pop'!$A$7:$A$143,'[1]2050Pop'!$D$7:$D$143)</f>
        <v>India/South Asia</v>
      </c>
      <c r="C1620" s="127">
        <f>1000*_xlfn.XLOOKUP(A1620,'[1]2050Pop'!$A$7:$A$143,'[1]2050Pop'!$C$7:$C$143)</f>
        <v>55955</v>
      </c>
      <c r="D1620" s="126" t="s">
        <v>507</v>
      </c>
      <c r="E1620" s="128">
        <v>165.13300000000001</v>
      </c>
      <c r="F1620" s="129">
        <f t="shared" si="77"/>
        <v>9.2400170150000012</v>
      </c>
      <c r="G1620" t="str">
        <f>_xlfn.XLOOKUP(D1620,'[1]2050 BAU Mapping to T &amp; C'!$A$3:$A$52,'[1]2050 BAU Mapping to T &amp; C'!$B$3:$B$52)</f>
        <v>Rice</v>
      </c>
      <c r="H1620" s="129">
        <f>_xlfn.XLOOKUP(G1620,'[1]T&amp;C emissions for 2050 analysis'!$B$3:$B$23,'[1]T&amp;C emissions for 2050 analysis'!$C$3:$C$23)</f>
        <v>0.51333333333333331</v>
      </c>
      <c r="I1620" s="27">
        <f t="shared" si="75"/>
        <v>4.7432087343666671</v>
      </c>
      <c r="J1620" s="129">
        <f t="shared" si="76"/>
        <v>84.76827333333334</v>
      </c>
    </row>
    <row r="1621" spans="1:10" hidden="1" x14ac:dyDescent="0.35">
      <c r="A1621" s="126" t="s">
        <v>357</v>
      </c>
      <c r="B1621" t="str">
        <f>_xlfn.XLOOKUP(A1621,'[1]2050Pop'!$A$7:$A$143,'[1]2050Pop'!$D$7:$D$143)</f>
        <v>Euro/AU/NZ</v>
      </c>
      <c r="C1621" s="127">
        <f>1000*_xlfn.XLOOKUP(A1621,'[1]2050Pop'!$A$7:$A$143,'[1]2050Pop'!$C$7:$C$143)</f>
        <v>2710</v>
      </c>
      <c r="D1621" s="126" t="s">
        <v>507</v>
      </c>
      <c r="E1621" s="128">
        <v>70.242999999999995</v>
      </c>
      <c r="F1621" s="129">
        <f t="shared" si="77"/>
        <v>0.19035853</v>
      </c>
      <c r="G1621" t="str">
        <f>_xlfn.XLOOKUP(D1621,'[1]2050 BAU Mapping to T &amp; C'!$A$3:$A$52,'[1]2050 BAU Mapping to T &amp; C'!$B$3:$B$52)</f>
        <v>Rice</v>
      </c>
      <c r="H1621" s="129">
        <f>_xlfn.XLOOKUP(G1621,'[1]T&amp;C emissions for 2050 analysis'!$B$3:$B$23,'[1]T&amp;C emissions for 2050 analysis'!$C$3:$C$23)</f>
        <v>0.51333333333333331</v>
      </c>
      <c r="I1621" s="27">
        <f t="shared" si="75"/>
        <v>9.7717378733333332E-2</v>
      </c>
      <c r="J1621" s="129">
        <f t="shared" si="76"/>
        <v>36.058073333333326</v>
      </c>
    </row>
    <row r="1622" spans="1:10" hidden="1" x14ac:dyDescent="0.35">
      <c r="A1622" s="126" t="s">
        <v>358</v>
      </c>
      <c r="B1622" t="str">
        <f>_xlfn.XLOOKUP(A1622,'[1]2050Pop'!$A$7:$A$143,'[1]2050Pop'!$D$7:$D$143)</f>
        <v>MENA</v>
      </c>
      <c r="C1622" s="127">
        <f>1000*_xlfn.XLOOKUP(A1622,'[1]2050Pop'!$A$7:$A$143,'[1]2050Pop'!$C$7:$C$143)</f>
        <v>56461</v>
      </c>
      <c r="D1622" s="126" t="s">
        <v>507</v>
      </c>
      <c r="E1622" s="128">
        <v>29.184000000000001</v>
      </c>
      <c r="F1622" s="129">
        <f t="shared" si="77"/>
        <v>1.6477578239999999</v>
      </c>
      <c r="G1622" t="str">
        <f>_xlfn.XLOOKUP(D1622,'[1]2050 BAU Mapping to T &amp; C'!$A$3:$A$52,'[1]2050 BAU Mapping to T &amp; C'!$B$3:$B$52)</f>
        <v>Rice</v>
      </c>
      <c r="H1622" s="129">
        <f>_xlfn.XLOOKUP(G1622,'[1]T&amp;C emissions for 2050 analysis'!$B$3:$B$23,'[1]T&amp;C emissions for 2050 analysis'!$C$3:$C$23)</f>
        <v>0.51333333333333331</v>
      </c>
      <c r="I1622" s="27">
        <f t="shared" si="75"/>
        <v>0.84584901631999987</v>
      </c>
      <c r="J1622" s="129">
        <f t="shared" si="76"/>
        <v>14.981120000000001</v>
      </c>
    </row>
    <row r="1623" spans="1:10" hidden="1" x14ac:dyDescent="0.35">
      <c r="A1623" s="126" t="s">
        <v>359</v>
      </c>
      <c r="B1623" t="str">
        <f>_xlfn.XLOOKUP(A1623,'[1]2050Pop'!$A$7:$A$143,'[1]2050Pop'!$D$7:$D$143)</f>
        <v>SSA</v>
      </c>
      <c r="C1623" s="127">
        <f>1000*_xlfn.XLOOKUP(A1623,'[1]2050Pop'!$A$7:$A$143,'[1]2050Pop'!$C$7:$C$143)</f>
        <v>65473</v>
      </c>
      <c r="D1623" s="126" t="s">
        <v>507</v>
      </c>
      <c r="E1623" s="128">
        <v>89.650999999999996</v>
      </c>
      <c r="F1623" s="129">
        <f t="shared" si="77"/>
        <v>5.8697199229999999</v>
      </c>
      <c r="G1623" t="str">
        <f>_xlfn.XLOOKUP(D1623,'[1]2050 BAU Mapping to T &amp; C'!$A$3:$A$52,'[1]2050 BAU Mapping to T &amp; C'!$B$3:$B$52)</f>
        <v>Rice</v>
      </c>
      <c r="H1623" s="129">
        <f>_xlfn.XLOOKUP(G1623,'[1]T&amp;C emissions for 2050 analysis'!$B$3:$B$23,'[1]T&amp;C emissions for 2050 analysis'!$C$3:$C$23)</f>
        <v>0.51333333333333331</v>
      </c>
      <c r="I1623" s="27">
        <f t="shared" si="75"/>
        <v>3.0131228938066665</v>
      </c>
      <c r="J1623" s="129">
        <f t="shared" si="76"/>
        <v>46.020846666666664</v>
      </c>
    </row>
    <row r="1624" spans="1:10" hidden="1" x14ac:dyDescent="0.35">
      <c r="A1624" s="126" t="s">
        <v>360</v>
      </c>
      <c r="B1624" t="str">
        <f>_xlfn.XLOOKUP(A1624,'[1]2050Pop'!$A$7:$A$143,'[1]2050Pop'!$D$7:$D$143)</f>
        <v>LatAm &amp; RSA</v>
      </c>
      <c r="C1624" s="127">
        <f>1000*_xlfn.XLOOKUP(A1624,'[1]2050Pop'!$A$7:$A$143,'[1]2050Pop'!$C$7:$C$143)</f>
        <v>55445</v>
      </c>
      <c r="D1624" s="126" t="s">
        <v>507</v>
      </c>
      <c r="E1624" s="128">
        <v>93.811000000000007</v>
      </c>
      <c r="F1624" s="129">
        <f t="shared" si="77"/>
        <v>5.2013508950000009</v>
      </c>
      <c r="G1624" t="str">
        <f>_xlfn.XLOOKUP(D1624,'[1]2050 BAU Mapping to T &amp; C'!$A$3:$A$52,'[1]2050 BAU Mapping to T &amp; C'!$B$3:$B$52)</f>
        <v>Rice</v>
      </c>
      <c r="H1624" s="129">
        <f>_xlfn.XLOOKUP(G1624,'[1]T&amp;C emissions for 2050 analysis'!$B$3:$B$23,'[1]T&amp;C emissions for 2050 analysis'!$C$3:$C$23)</f>
        <v>0.51333333333333331</v>
      </c>
      <c r="I1624" s="27">
        <f t="shared" si="75"/>
        <v>2.670026792766667</v>
      </c>
      <c r="J1624" s="129">
        <f t="shared" si="76"/>
        <v>48.156313333333337</v>
      </c>
    </row>
    <row r="1625" spans="1:10" hidden="1" x14ac:dyDescent="0.35">
      <c r="A1625" s="126" t="s">
        <v>361</v>
      </c>
      <c r="B1625" t="str">
        <f>_xlfn.XLOOKUP(A1625,'[1]2050Pop'!$A$7:$A$143,'[1]2050Pop'!$D$7:$D$143)</f>
        <v>MENA</v>
      </c>
      <c r="C1625" s="127">
        <f>1000*_xlfn.XLOOKUP(A1625,'[1]2050Pop'!$A$7:$A$143,'[1]2050Pop'!$C$7:$C$143)</f>
        <v>2729</v>
      </c>
      <c r="D1625" s="126" t="s">
        <v>507</v>
      </c>
      <c r="E1625" s="128">
        <v>36.695</v>
      </c>
      <c r="F1625" s="129">
        <f t="shared" si="77"/>
        <v>0.100140655</v>
      </c>
      <c r="G1625" t="str">
        <f>_xlfn.XLOOKUP(D1625,'[1]2050 BAU Mapping to T &amp; C'!$A$3:$A$52,'[1]2050 BAU Mapping to T &amp; C'!$B$3:$B$52)</f>
        <v>Rice</v>
      </c>
      <c r="H1625" s="129">
        <f>_xlfn.XLOOKUP(G1625,'[1]T&amp;C emissions for 2050 analysis'!$B$3:$B$23,'[1]T&amp;C emissions for 2050 analysis'!$C$3:$C$23)</f>
        <v>0.51333333333333331</v>
      </c>
      <c r="I1625" s="27">
        <f t="shared" si="75"/>
        <v>5.1405536233333327E-2</v>
      </c>
      <c r="J1625" s="129">
        <f t="shared" si="76"/>
        <v>18.836766666666666</v>
      </c>
    </row>
    <row r="1626" spans="1:10" hidden="1" x14ac:dyDescent="0.35">
      <c r="A1626" s="126" t="s">
        <v>362</v>
      </c>
      <c r="B1626" t="str">
        <f>_xlfn.XLOOKUP(A1626,'[1]2050Pop'!$A$7:$A$143,'[1]2050Pop'!$D$7:$D$143)</f>
        <v>Euro/AU/NZ</v>
      </c>
      <c r="C1626" s="127">
        <f>1000*_xlfn.XLOOKUP(A1626,'[1]2050Pop'!$A$7:$A$143,'[1]2050Pop'!$C$7:$C$143)</f>
        <v>33496</v>
      </c>
      <c r="D1626" s="126" t="s">
        <v>507</v>
      </c>
      <c r="E1626" s="128">
        <v>115.10899999999999</v>
      </c>
      <c r="F1626" s="129">
        <f t="shared" si="77"/>
        <v>3.8556910639999997</v>
      </c>
      <c r="G1626" t="str">
        <f>_xlfn.XLOOKUP(D1626,'[1]2050 BAU Mapping to T &amp; C'!$A$3:$A$52,'[1]2050 BAU Mapping to T &amp; C'!$B$3:$B$52)</f>
        <v>Rice</v>
      </c>
      <c r="H1626" s="129">
        <f>_xlfn.XLOOKUP(G1626,'[1]T&amp;C emissions for 2050 analysis'!$B$3:$B$23,'[1]T&amp;C emissions for 2050 analysis'!$C$3:$C$23)</f>
        <v>0.51333333333333331</v>
      </c>
      <c r="I1626" s="27">
        <f t="shared" si="75"/>
        <v>1.9792547461866665</v>
      </c>
      <c r="J1626" s="129">
        <f t="shared" si="76"/>
        <v>59.089286666666659</v>
      </c>
    </row>
    <row r="1627" spans="1:10" hidden="1" x14ac:dyDescent="0.35">
      <c r="A1627" s="126" t="s">
        <v>363</v>
      </c>
      <c r="B1627" t="str">
        <f>_xlfn.XLOOKUP(A1627,'[1]2050Pop'!$A$7:$A$143,'[1]2050Pop'!$D$7:$D$143)</f>
        <v>Euro/AU/NZ</v>
      </c>
      <c r="C1627" s="127">
        <f>1000*_xlfn.XLOOKUP(A1627,'[1]2050Pop'!$A$7:$A$143,'[1]2050Pop'!$C$7:$C$143)</f>
        <v>8846</v>
      </c>
      <c r="D1627" s="126" t="s">
        <v>507</v>
      </c>
      <c r="E1627" s="128">
        <v>42.780999999999999</v>
      </c>
      <c r="F1627" s="129">
        <f t="shared" si="77"/>
        <v>0.37844072599999995</v>
      </c>
      <c r="G1627" t="str">
        <f>_xlfn.XLOOKUP(D1627,'[1]2050 BAU Mapping to T &amp; C'!$A$3:$A$52,'[1]2050 BAU Mapping to T &amp; C'!$B$3:$B$52)</f>
        <v>Rice</v>
      </c>
      <c r="H1627" s="129">
        <f>_xlfn.XLOOKUP(G1627,'[1]T&amp;C emissions for 2050 analysis'!$B$3:$B$23,'[1]T&amp;C emissions for 2050 analysis'!$C$3:$C$23)</f>
        <v>0.51333333333333331</v>
      </c>
      <c r="I1627" s="27">
        <f t="shared" si="75"/>
        <v>0.19426623934666662</v>
      </c>
      <c r="J1627" s="129">
        <f t="shared" si="76"/>
        <v>21.96091333333333</v>
      </c>
    </row>
    <row r="1628" spans="1:10" hidden="1" x14ac:dyDescent="0.35">
      <c r="A1628" s="126" t="s">
        <v>364</v>
      </c>
      <c r="B1628" t="str">
        <f>_xlfn.XLOOKUP(A1628,'[1]2050Pop'!$A$7:$A$143,'[1]2050Pop'!$D$7:$D$143)</f>
        <v>MENA</v>
      </c>
      <c r="C1628" s="127">
        <f>1000*_xlfn.XLOOKUP(A1628,'[1]2050Pop'!$A$7:$A$143,'[1]2050Pop'!$C$7:$C$143)</f>
        <v>10963</v>
      </c>
      <c r="D1628" s="126" t="s">
        <v>507</v>
      </c>
      <c r="E1628" s="128">
        <v>23.420999999999999</v>
      </c>
      <c r="F1628" s="129">
        <f t="shared" si="77"/>
        <v>0.25676442299999996</v>
      </c>
      <c r="G1628" t="str">
        <f>_xlfn.XLOOKUP(D1628,'[1]2050 BAU Mapping to T &amp; C'!$A$3:$A$52,'[1]2050 BAU Mapping to T &amp; C'!$B$3:$B$52)</f>
        <v>Rice</v>
      </c>
      <c r="H1628" s="129">
        <f>_xlfn.XLOOKUP(G1628,'[1]T&amp;C emissions for 2050 analysis'!$B$3:$B$23,'[1]T&amp;C emissions for 2050 analysis'!$C$3:$C$23)</f>
        <v>0.51333333333333331</v>
      </c>
      <c r="I1628" s="27">
        <f t="shared" si="75"/>
        <v>0.13180573713999996</v>
      </c>
      <c r="J1628" s="129">
        <f t="shared" si="76"/>
        <v>12.022779999999999</v>
      </c>
    </row>
    <row r="1629" spans="1:10" hidden="1" x14ac:dyDescent="0.35">
      <c r="A1629" s="126" t="s">
        <v>365</v>
      </c>
      <c r="B1629" t="str">
        <f>_xlfn.XLOOKUP(A1629,'[1]2050Pop'!$A$7:$A$143,'[1]2050Pop'!$D$7:$D$143)</f>
        <v>India/South Asia</v>
      </c>
      <c r="C1629" s="127">
        <f>1000*_xlfn.XLOOKUP(A1629,'[1]2050Pop'!$A$7:$A$143,'[1]2050Pop'!$C$7:$C$143)</f>
        <v>202209</v>
      </c>
      <c r="D1629" s="126" t="s">
        <v>507</v>
      </c>
      <c r="E1629" s="128">
        <v>1927.8330000000001</v>
      </c>
      <c r="F1629" s="129">
        <f t="shared" si="77"/>
        <v>389.82518309699998</v>
      </c>
      <c r="G1629" t="str">
        <f>_xlfn.XLOOKUP(D1629,'[1]2050 BAU Mapping to T &amp; C'!$A$3:$A$52,'[1]2050 BAU Mapping to T &amp; C'!$B$3:$B$52)</f>
        <v>Rice</v>
      </c>
      <c r="H1629" s="129">
        <f>_xlfn.XLOOKUP(G1629,'[1]T&amp;C emissions for 2050 analysis'!$B$3:$B$23,'[1]T&amp;C emissions for 2050 analysis'!$C$3:$C$23)</f>
        <v>0.51333333333333331</v>
      </c>
      <c r="I1629" s="27">
        <f t="shared" si="75"/>
        <v>200.11026065645999</v>
      </c>
      <c r="J1629" s="129">
        <f t="shared" si="76"/>
        <v>989.62094000000002</v>
      </c>
    </row>
    <row r="1630" spans="1:10" hidden="1" x14ac:dyDescent="0.35">
      <c r="A1630" s="126" t="s">
        <v>366</v>
      </c>
      <c r="B1630" t="str">
        <f>_xlfn.XLOOKUP(A1630,'[1]2050Pop'!$A$7:$A$143,'[1]2050Pop'!$D$7:$D$143)</f>
        <v>Euro/AU/NZ</v>
      </c>
      <c r="C1630" s="127">
        <f>1000*_xlfn.XLOOKUP(A1630,'[1]2050Pop'!$A$7:$A$143,'[1]2050Pop'!$C$7:$C$143)</f>
        <v>8125</v>
      </c>
      <c r="D1630" s="126" t="s">
        <v>507</v>
      </c>
      <c r="E1630" s="128">
        <v>31.032</v>
      </c>
      <c r="F1630" s="129">
        <f t="shared" si="77"/>
        <v>0.252135</v>
      </c>
      <c r="G1630" t="str">
        <f>_xlfn.XLOOKUP(D1630,'[1]2050 BAU Mapping to T &amp; C'!$A$3:$A$52,'[1]2050 BAU Mapping to T &amp; C'!$B$3:$B$52)</f>
        <v>Rice</v>
      </c>
      <c r="H1630" s="129">
        <f>_xlfn.XLOOKUP(G1630,'[1]T&amp;C emissions for 2050 analysis'!$B$3:$B$23,'[1]T&amp;C emissions for 2050 analysis'!$C$3:$C$23)</f>
        <v>0.51333333333333331</v>
      </c>
      <c r="I1630" s="27">
        <f t="shared" si="75"/>
        <v>0.1294293</v>
      </c>
      <c r="J1630" s="129">
        <f t="shared" si="76"/>
        <v>15.92976</v>
      </c>
    </row>
    <row r="1631" spans="1:10" hidden="1" x14ac:dyDescent="0.35">
      <c r="A1631" s="126" t="s">
        <v>367</v>
      </c>
      <c r="B1631" t="str">
        <f>_xlfn.XLOOKUP(A1631,'[1]2050Pop'!$A$7:$A$143,'[1]2050Pop'!$D$7:$D$143)</f>
        <v>Euro/AU/NZ</v>
      </c>
      <c r="C1631" s="127">
        <f>1000*_xlfn.XLOOKUP(A1631,'[1]2050Pop'!$A$7:$A$143,'[1]2050Pop'!$C$7:$C$143)</f>
        <v>12527</v>
      </c>
      <c r="D1631" s="126" t="s">
        <v>507</v>
      </c>
      <c r="E1631" s="128">
        <v>101.88200000000001</v>
      </c>
      <c r="F1631" s="129">
        <f t="shared" si="77"/>
        <v>1.2762758140000001</v>
      </c>
      <c r="G1631" t="str">
        <f>_xlfn.XLOOKUP(D1631,'[1]2050 BAU Mapping to T &amp; C'!$A$3:$A$52,'[1]2050 BAU Mapping to T &amp; C'!$B$3:$B$52)</f>
        <v>Rice</v>
      </c>
      <c r="H1631" s="129">
        <f>_xlfn.XLOOKUP(G1631,'[1]T&amp;C emissions for 2050 analysis'!$B$3:$B$23,'[1]T&amp;C emissions for 2050 analysis'!$C$3:$C$23)</f>
        <v>0.51333333333333331</v>
      </c>
      <c r="I1631" s="27">
        <f t="shared" si="75"/>
        <v>0.65515491785333335</v>
      </c>
      <c r="J1631" s="129">
        <f t="shared" si="76"/>
        <v>52.299426666666669</v>
      </c>
    </row>
    <row r="1632" spans="1:10" hidden="1" x14ac:dyDescent="0.35">
      <c r="A1632" s="126" t="s">
        <v>368</v>
      </c>
      <c r="B1632" t="str">
        <f>_xlfn.XLOOKUP(A1632,'[1]2050Pop'!$A$7:$A$143,'[1]2050Pop'!$D$7:$D$143)</f>
        <v>SSA</v>
      </c>
      <c r="C1632" s="127">
        <f>1000*_xlfn.XLOOKUP(A1632,'[1]2050Pop'!$A$7:$A$143,'[1]2050Pop'!$C$7:$C$143)</f>
        <v>22549</v>
      </c>
      <c r="D1632" s="126" t="s">
        <v>507</v>
      </c>
      <c r="E1632" s="128">
        <v>684.64499999999998</v>
      </c>
      <c r="F1632" s="129">
        <f t="shared" si="77"/>
        <v>15.438060105</v>
      </c>
      <c r="G1632" t="str">
        <f>_xlfn.XLOOKUP(D1632,'[1]2050 BAU Mapping to T &amp; C'!$A$3:$A$52,'[1]2050 BAU Mapping to T &amp; C'!$B$3:$B$52)</f>
        <v>Rice</v>
      </c>
      <c r="H1632" s="129">
        <f>_xlfn.XLOOKUP(G1632,'[1]T&amp;C emissions for 2050 analysis'!$B$3:$B$23,'[1]T&amp;C emissions for 2050 analysis'!$C$3:$C$23)</f>
        <v>0.51333333333333331</v>
      </c>
      <c r="I1632" s="27">
        <f t="shared" si="75"/>
        <v>7.9248708538999999</v>
      </c>
      <c r="J1632" s="129">
        <f t="shared" si="76"/>
        <v>351.4511</v>
      </c>
    </row>
    <row r="1633" spans="1:10" hidden="1" x14ac:dyDescent="0.35">
      <c r="A1633" s="126" t="s">
        <v>369</v>
      </c>
      <c r="B1633" t="str">
        <f>_xlfn.XLOOKUP(A1633,'[1]2050Pop'!$A$7:$A$143,'[1]2050Pop'!$D$7:$D$143)</f>
        <v>LatAm &amp; RSA</v>
      </c>
      <c r="C1633" s="127">
        <f>1000*_xlfn.XLOOKUP(A1633,'[1]2050Pop'!$A$7:$A$143,'[1]2050Pop'!$C$7:$C$143)</f>
        <v>15963</v>
      </c>
      <c r="D1633" s="126" t="s">
        <v>507</v>
      </c>
      <c r="E1633" s="128">
        <v>316.39600000000002</v>
      </c>
      <c r="F1633" s="129">
        <f t="shared" si="77"/>
        <v>5.0506293480000002</v>
      </c>
      <c r="G1633" t="str">
        <f>_xlfn.XLOOKUP(D1633,'[1]2050 BAU Mapping to T &amp; C'!$A$3:$A$52,'[1]2050 BAU Mapping to T &amp; C'!$B$3:$B$52)</f>
        <v>Rice</v>
      </c>
      <c r="H1633" s="129">
        <f>_xlfn.XLOOKUP(G1633,'[1]T&amp;C emissions for 2050 analysis'!$B$3:$B$23,'[1]T&amp;C emissions for 2050 analysis'!$C$3:$C$23)</f>
        <v>0.51333333333333331</v>
      </c>
      <c r="I1633" s="27">
        <f t="shared" si="75"/>
        <v>2.59265639864</v>
      </c>
      <c r="J1633" s="129">
        <f t="shared" si="76"/>
        <v>162.41661333333334</v>
      </c>
    </row>
    <row r="1634" spans="1:10" hidden="1" x14ac:dyDescent="0.35">
      <c r="A1634" s="126" t="s">
        <v>370</v>
      </c>
      <c r="B1634" t="str">
        <f>_xlfn.XLOOKUP(A1634,'[1]2050Pop'!$A$7:$A$143,'[1]2050Pop'!$D$7:$D$143)</f>
        <v>Euro/AU/NZ</v>
      </c>
      <c r="C1634" s="127">
        <f>1000*_xlfn.XLOOKUP(A1634,'[1]2050Pop'!$A$7:$A$143,'[1]2050Pop'!$C$7:$C$143)</f>
        <v>3069</v>
      </c>
      <c r="D1634" s="126" t="s">
        <v>507</v>
      </c>
      <c r="E1634" s="128">
        <v>21.568000000000001</v>
      </c>
      <c r="F1634" s="129">
        <f t="shared" si="77"/>
        <v>6.6192192000000011E-2</v>
      </c>
      <c r="G1634" t="str">
        <f>_xlfn.XLOOKUP(D1634,'[1]2050 BAU Mapping to T &amp; C'!$A$3:$A$52,'[1]2050 BAU Mapping to T &amp; C'!$B$3:$B$52)</f>
        <v>Rice</v>
      </c>
      <c r="H1634" s="129">
        <f>_xlfn.XLOOKUP(G1634,'[1]T&amp;C emissions for 2050 analysis'!$B$3:$B$23,'[1]T&amp;C emissions for 2050 analysis'!$C$3:$C$23)</f>
        <v>0.51333333333333331</v>
      </c>
      <c r="I1634" s="27">
        <f t="shared" si="75"/>
        <v>3.3978658560000007E-2</v>
      </c>
      <c r="J1634" s="129">
        <f t="shared" si="76"/>
        <v>11.071573333333333</v>
      </c>
    </row>
    <row r="1635" spans="1:10" hidden="1" x14ac:dyDescent="0.35">
      <c r="A1635" s="126" t="s">
        <v>371</v>
      </c>
      <c r="B1635" t="str">
        <f>_xlfn.XLOOKUP(A1635,'[1]2050Pop'!$A$7:$A$143,'[1]2050Pop'!$D$7:$D$143)</f>
        <v>SSA</v>
      </c>
      <c r="C1635" s="127">
        <f>1000*_xlfn.XLOOKUP(A1635,'[1]2050Pop'!$A$7:$A$143,'[1]2050Pop'!$C$7:$C$143)</f>
        <v>3389</v>
      </c>
      <c r="D1635" s="126" t="s">
        <v>507</v>
      </c>
      <c r="E1635" s="128">
        <v>118.042</v>
      </c>
      <c r="F1635" s="129">
        <f t="shared" si="77"/>
        <v>0.400044338</v>
      </c>
      <c r="G1635" t="str">
        <f>_xlfn.XLOOKUP(D1635,'[1]2050 BAU Mapping to T &amp; C'!$A$3:$A$52,'[1]2050 BAU Mapping to T &amp; C'!$B$3:$B$52)</f>
        <v>Rice</v>
      </c>
      <c r="H1635" s="129">
        <f>_xlfn.XLOOKUP(G1635,'[1]T&amp;C emissions for 2050 analysis'!$B$3:$B$23,'[1]T&amp;C emissions for 2050 analysis'!$C$3:$C$23)</f>
        <v>0.51333333333333331</v>
      </c>
      <c r="I1635" s="27">
        <f t="shared" si="75"/>
        <v>0.20535609350666664</v>
      </c>
      <c r="J1635" s="129">
        <f t="shared" si="76"/>
        <v>60.594893333333331</v>
      </c>
    </row>
    <row r="1636" spans="1:10" hidden="1" x14ac:dyDescent="0.35">
      <c r="A1636" s="126" t="s">
        <v>372</v>
      </c>
      <c r="B1636" t="str">
        <f>_xlfn.XLOOKUP(A1636,'[1]2050Pop'!$A$7:$A$143,'[1]2050Pop'!$D$7:$D$143)</f>
        <v>LatAm &amp; RSA</v>
      </c>
      <c r="C1636" s="127">
        <f>1000*_xlfn.XLOOKUP(A1636,'[1]2050Pop'!$A$7:$A$143,'[1]2050Pop'!$C$7:$C$143)</f>
        <v>238270</v>
      </c>
      <c r="D1636" s="126" t="s">
        <v>507</v>
      </c>
      <c r="E1636" s="128">
        <v>371.39100000000002</v>
      </c>
      <c r="F1636" s="129">
        <f t="shared" si="77"/>
        <v>88.491333570000009</v>
      </c>
      <c r="G1636" t="str">
        <f>_xlfn.XLOOKUP(D1636,'[1]2050 BAU Mapping to T &amp; C'!$A$3:$A$52,'[1]2050 BAU Mapping to T &amp; C'!$B$3:$B$52)</f>
        <v>Rice</v>
      </c>
      <c r="H1636" s="129">
        <f>_xlfn.XLOOKUP(G1636,'[1]T&amp;C emissions for 2050 analysis'!$B$3:$B$23,'[1]T&amp;C emissions for 2050 analysis'!$C$3:$C$23)</f>
        <v>0.51333333333333331</v>
      </c>
      <c r="I1636" s="27">
        <f t="shared" si="75"/>
        <v>45.4255512326</v>
      </c>
      <c r="J1636" s="129">
        <f t="shared" si="76"/>
        <v>190.64738</v>
      </c>
    </row>
    <row r="1637" spans="1:10" hidden="1" x14ac:dyDescent="0.35">
      <c r="A1637" s="126" t="s">
        <v>373</v>
      </c>
      <c r="B1637" t="str">
        <f>_xlfn.XLOOKUP(A1637,'[1]2050Pop'!$A$7:$A$143,'[1]2050Pop'!$D$7:$D$143)</f>
        <v>Euro/AU/NZ</v>
      </c>
      <c r="C1637" s="127">
        <f>1000*_xlfn.XLOOKUP(A1637,'[1]2050Pop'!$A$7:$A$143,'[1]2050Pop'!$C$7:$C$143)</f>
        <v>5154</v>
      </c>
      <c r="D1637" s="126" t="s">
        <v>507</v>
      </c>
      <c r="E1637" s="128">
        <v>28.904</v>
      </c>
      <c r="F1637" s="129">
        <f t="shared" si="77"/>
        <v>0.14897121599999999</v>
      </c>
      <c r="G1637" t="str">
        <f>_xlfn.XLOOKUP(D1637,'[1]2050 BAU Mapping to T &amp; C'!$A$3:$A$52,'[1]2050 BAU Mapping to T &amp; C'!$B$3:$B$52)</f>
        <v>Rice</v>
      </c>
      <c r="H1637" s="129">
        <f>_xlfn.XLOOKUP(G1637,'[1]T&amp;C emissions for 2050 analysis'!$B$3:$B$23,'[1]T&amp;C emissions for 2050 analysis'!$C$3:$C$23)</f>
        <v>0.51333333333333331</v>
      </c>
      <c r="I1637" s="27">
        <f t="shared" si="75"/>
        <v>7.647189087999999E-2</v>
      </c>
      <c r="J1637" s="129">
        <f t="shared" si="76"/>
        <v>14.837386666666665</v>
      </c>
    </row>
    <row r="1638" spans="1:10" hidden="1" x14ac:dyDescent="0.35">
      <c r="A1638" s="126" t="s">
        <v>487</v>
      </c>
      <c r="B1638" t="str">
        <f>_xlfn.XLOOKUP(A1638,'[1]2050Pop'!$A$7:$A$143,'[1]2050Pop'!$D$7:$D$143)</f>
        <v>SSA</v>
      </c>
      <c r="C1638" s="127">
        <f>1000*_xlfn.XLOOKUP(A1638,'[1]2050Pop'!$A$7:$A$143,'[1]2050Pop'!$C$7:$C$143)</f>
        <v>42789</v>
      </c>
      <c r="D1638" s="126" t="s">
        <v>507</v>
      </c>
      <c r="E1638" s="128">
        <v>265.85300000000001</v>
      </c>
      <c r="F1638" s="129">
        <f t="shared" si="77"/>
        <v>11.375584017000001</v>
      </c>
      <c r="G1638" t="str">
        <f>_xlfn.XLOOKUP(D1638,'[1]2050 BAU Mapping to T &amp; C'!$A$3:$A$52,'[1]2050 BAU Mapping to T &amp; C'!$B$3:$B$52)</f>
        <v>Rice</v>
      </c>
      <c r="H1638" s="129">
        <f>_xlfn.XLOOKUP(G1638,'[1]T&amp;C emissions for 2050 analysis'!$B$3:$B$23,'[1]T&amp;C emissions for 2050 analysis'!$C$3:$C$23)</f>
        <v>0.51333333333333331</v>
      </c>
      <c r="I1638" s="27">
        <f t="shared" si="75"/>
        <v>5.8394664620600008</v>
      </c>
      <c r="J1638" s="129">
        <f t="shared" si="76"/>
        <v>136.47120666666666</v>
      </c>
    </row>
    <row r="1639" spans="1:10" hidden="1" x14ac:dyDescent="0.35">
      <c r="A1639" s="126" t="s">
        <v>374</v>
      </c>
      <c r="B1639" t="str">
        <f>_xlfn.XLOOKUP(A1639,'[1]2050Pop'!$A$7:$A$143,'[1]2050Pop'!$D$7:$D$143)</f>
        <v>APAC</v>
      </c>
      <c r="C1639" s="127">
        <f>1000*_xlfn.XLOOKUP(A1639,'[1]2050Pop'!$A$7:$A$143,'[1]2050Pop'!$C$7:$C$143)</f>
        <v>22545</v>
      </c>
      <c r="D1639" s="126" t="s">
        <v>507</v>
      </c>
      <c r="E1639" s="128">
        <v>1469.508</v>
      </c>
      <c r="F1639" s="129">
        <f t="shared" si="77"/>
        <v>33.130057860000001</v>
      </c>
      <c r="G1639" t="str">
        <f>_xlfn.XLOOKUP(D1639,'[1]2050 BAU Mapping to T &amp; C'!$A$3:$A$52,'[1]2050 BAU Mapping to T &amp; C'!$B$3:$B$52)</f>
        <v>Rice</v>
      </c>
      <c r="H1639" s="129">
        <f>_xlfn.XLOOKUP(G1639,'[1]T&amp;C emissions for 2050 analysis'!$B$3:$B$23,'[1]T&amp;C emissions for 2050 analysis'!$C$3:$C$23)</f>
        <v>0.51333333333333331</v>
      </c>
      <c r="I1639" s="27">
        <f t="shared" si="75"/>
        <v>17.006763034799999</v>
      </c>
      <c r="J1639" s="129">
        <f t="shared" si="76"/>
        <v>754.34744000000001</v>
      </c>
    </row>
    <row r="1640" spans="1:10" hidden="1" x14ac:dyDescent="0.35">
      <c r="A1640" s="126" t="s">
        <v>375</v>
      </c>
      <c r="B1640" t="str">
        <f>_xlfn.XLOOKUP(A1640,'[1]2050Pop'!$A$7:$A$143,'[1]2050Pop'!$D$7:$D$143)</f>
        <v>SSA</v>
      </c>
      <c r="C1640" s="127">
        <f>1000*_xlfn.XLOOKUP(A1640,'[1]2050Pop'!$A$7:$A$143,'[1]2050Pop'!$C$7:$C$143)</f>
        <v>48362</v>
      </c>
      <c r="D1640" s="126" t="s">
        <v>507</v>
      </c>
      <c r="E1640" s="128">
        <v>336.30599999999998</v>
      </c>
      <c r="F1640" s="129">
        <f t="shared" si="77"/>
        <v>16.264430772000001</v>
      </c>
      <c r="G1640" t="str">
        <f>_xlfn.XLOOKUP(D1640,'[1]2050 BAU Mapping to T &amp; C'!$A$3:$A$52,'[1]2050 BAU Mapping to T &amp; C'!$B$3:$B$52)</f>
        <v>Rice</v>
      </c>
      <c r="H1640" s="129">
        <f>_xlfn.XLOOKUP(G1640,'[1]T&amp;C emissions for 2050 analysis'!$B$3:$B$23,'[1]T&amp;C emissions for 2050 analysis'!$C$3:$C$23)</f>
        <v>0.51333333333333331</v>
      </c>
      <c r="I1640" s="27">
        <f t="shared" si="75"/>
        <v>8.3490744629599991</v>
      </c>
      <c r="J1640" s="129">
        <f t="shared" si="76"/>
        <v>172.63707999999997</v>
      </c>
    </row>
    <row r="1641" spans="1:10" hidden="1" x14ac:dyDescent="0.35">
      <c r="A1641" s="126" t="s">
        <v>376</v>
      </c>
      <c r="B1641" t="str">
        <f>_xlfn.XLOOKUP(A1641,'[1]2050Pop'!$A$7:$A$143,'[1]2050Pop'!$D$7:$D$143)</f>
        <v>NAm</v>
      </c>
      <c r="C1641" s="127">
        <f>1000*_xlfn.XLOOKUP(A1641,'[1]2050Pop'!$A$7:$A$143,'[1]2050Pop'!$C$7:$C$143)</f>
        <v>44136</v>
      </c>
      <c r="D1641" s="126" t="s">
        <v>507</v>
      </c>
      <c r="E1641" s="128">
        <v>131.74600000000001</v>
      </c>
      <c r="F1641" s="129">
        <f t="shared" si="77"/>
        <v>5.8147414560000001</v>
      </c>
      <c r="G1641" t="str">
        <f>_xlfn.XLOOKUP(D1641,'[1]2050 BAU Mapping to T &amp; C'!$A$3:$A$52,'[1]2050 BAU Mapping to T &amp; C'!$B$3:$B$52)</f>
        <v>Rice</v>
      </c>
      <c r="H1641" s="129">
        <f>_xlfn.XLOOKUP(G1641,'[1]T&amp;C emissions for 2050 analysis'!$B$3:$B$23,'[1]T&amp;C emissions for 2050 analysis'!$C$3:$C$23)</f>
        <v>0.51333333333333331</v>
      </c>
      <c r="I1641" s="27">
        <f t="shared" si="75"/>
        <v>2.9849006140799998</v>
      </c>
      <c r="J1641" s="129">
        <f t="shared" si="76"/>
        <v>67.629613333333339</v>
      </c>
    </row>
    <row r="1642" spans="1:10" hidden="1" x14ac:dyDescent="0.35">
      <c r="A1642" s="126" t="s">
        <v>377</v>
      </c>
      <c r="B1642" t="str">
        <f>_xlfn.XLOOKUP(A1642,'[1]2050Pop'!$A$7:$A$143,'[1]2050Pop'!$D$7:$D$143)</f>
        <v>SSA</v>
      </c>
      <c r="C1642" s="127">
        <f>1000*_xlfn.XLOOKUP(A1642,'[1]2050Pop'!$A$7:$A$143,'[1]2050Pop'!$C$7:$C$143)</f>
        <v>8782</v>
      </c>
      <c r="D1642" s="126" t="s">
        <v>507</v>
      </c>
      <c r="E1642" s="128">
        <v>108.242</v>
      </c>
      <c r="F1642" s="129">
        <f t="shared" si="77"/>
        <v>0.9505812440000001</v>
      </c>
      <c r="G1642" t="str">
        <f>_xlfn.XLOOKUP(D1642,'[1]2050 BAU Mapping to T &amp; C'!$A$3:$A$52,'[1]2050 BAU Mapping to T &amp; C'!$B$3:$B$52)</f>
        <v>Rice</v>
      </c>
      <c r="H1642" s="129">
        <f>_xlfn.XLOOKUP(G1642,'[1]T&amp;C emissions for 2050 analysis'!$B$3:$B$23,'[1]T&amp;C emissions for 2050 analysis'!$C$3:$C$23)</f>
        <v>0.51333333333333331</v>
      </c>
      <c r="I1642" s="27">
        <f t="shared" si="75"/>
        <v>0.48796503858666668</v>
      </c>
      <c r="J1642" s="129">
        <f t="shared" si="76"/>
        <v>55.564226666666663</v>
      </c>
    </row>
    <row r="1643" spans="1:10" hidden="1" x14ac:dyDescent="0.35">
      <c r="A1643" s="126" t="s">
        <v>488</v>
      </c>
      <c r="B1643" t="str">
        <f>_xlfn.XLOOKUP(A1643,'[1]2050Pop'!$A$7:$A$143,'[1]2050Pop'!$D$7:$D$143)</f>
        <v>SSA</v>
      </c>
      <c r="C1643" s="127">
        <f>1000*_xlfn.XLOOKUP(A1643,'[1]2050Pop'!$A$7:$A$143,'[1]2050Pop'!$C$7:$C$143)</f>
        <v>35131</v>
      </c>
      <c r="D1643" s="126" t="s">
        <v>507</v>
      </c>
      <c r="E1643" s="128">
        <v>127.14400000000001</v>
      </c>
      <c r="F1643" s="129">
        <f t="shared" si="77"/>
        <v>4.4666958640000001</v>
      </c>
      <c r="G1643" t="str">
        <f>_xlfn.XLOOKUP(D1643,'[1]2050 BAU Mapping to T &amp; C'!$A$3:$A$52,'[1]2050 BAU Mapping to T &amp; C'!$B$3:$B$52)</f>
        <v>Rice</v>
      </c>
      <c r="H1643" s="129">
        <f>_xlfn.XLOOKUP(G1643,'[1]T&amp;C emissions for 2050 analysis'!$B$3:$B$23,'[1]T&amp;C emissions for 2050 analysis'!$C$3:$C$23)</f>
        <v>0.51333333333333331</v>
      </c>
      <c r="I1643" s="27">
        <f t="shared" si="75"/>
        <v>2.2929038768533334</v>
      </c>
      <c r="J1643" s="129">
        <f t="shared" si="76"/>
        <v>65.267253333333329</v>
      </c>
    </row>
    <row r="1644" spans="1:10" hidden="1" x14ac:dyDescent="0.35">
      <c r="A1644" s="126" t="s">
        <v>378</v>
      </c>
      <c r="B1644" t="str">
        <f>_xlfn.XLOOKUP(A1644,'[1]2050Pop'!$A$7:$A$143,'[1]2050Pop'!$D$7:$D$143)</f>
        <v>LatAm &amp; RSA</v>
      </c>
      <c r="C1644" s="127">
        <f>1000*_xlfn.XLOOKUP(A1644,'[1]2050Pop'!$A$7:$A$143,'[1]2050Pop'!$C$7:$C$143)</f>
        <v>21601</v>
      </c>
      <c r="D1644" s="126" t="s">
        <v>507</v>
      </c>
      <c r="E1644" s="128">
        <v>93.313000000000002</v>
      </c>
      <c r="F1644" s="129">
        <f t="shared" si="77"/>
        <v>2.0156541130000001</v>
      </c>
      <c r="G1644" t="str">
        <f>_xlfn.XLOOKUP(D1644,'[1]2050 BAU Mapping to T &amp; C'!$A$3:$A$52,'[1]2050 BAU Mapping to T &amp; C'!$B$3:$B$52)</f>
        <v>Rice</v>
      </c>
      <c r="H1644" s="129">
        <f>_xlfn.XLOOKUP(G1644,'[1]T&amp;C emissions for 2050 analysis'!$B$3:$B$23,'[1]T&amp;C emissions for 2050 analysis'!$C$3:$C$23)</f>
        <v>0.51333333333333331</v>
      </c>
      <c r="I1644" s="27">
        <f t="shared" si="75"/>
        <v>1.0347024446733333</v>
      </c>
      <c r="J1644" s="129">
        <f t="shared" si="76"/>
        <v>47.90067333333333</v>
      </c>
    </row>
    <row r="1645" spans="1:10" hidden="1" x14ac:dyDescent="0.35">
      <c r="A1645" s="126" t="s">
        <v>379</v>
      </c>
      <c r="B1645" t="str">
        <f>_xlfn.XLOOKUP(A1645,'[1]2050Pop'!$A$7:$A$143,'[1]2050Pop'!$D$7:$D$143)</f>
        <v>Greater China</v>
      </c>
      <c r="C1645" s="127">
        <f>1000*_xlfn.XLOOKUP(A1645,'[1]2050Pop'!$A$7:$A$143,'[1]2050Pop'!$C$7:$C$143)</f>
        <v>8148</v>
      </c>
      <c r="D1645" s="126" t="s">
        <v>507</v>
      </c>
      <c r="E1645" s="128">
        <v>461.16300000000001</v>
      </c>
      <c r="F1645" s="129">
        <f t="shared" si="77"/>
        <v>3.7575561240000002</v>
      </c>
      <c r="G1645" t="str">
        <f>_xlfn.XLOOKUP(D1645,'[1]2050 BAU Mapping to T &amp; C'!$A$3:$A$52,'[1]2050 BAU Mapping to T &amp; C'!$B$3:$B$52)</f>
        <v>Rice</v>
      </c>
      <c r="H1645" s="129">
        <f>_xlfn.XLOOKUP(G1645,'[1]T&amp;C emissions for 2050 analysis'!$B$3:$B$23,'[1]T&amp;C emissions for 2050 analysis'!$C$3:$C$23)</f>
        <v>0.51333333333333331</v>
      </c>
      <c r="I1645" s="27">
        <f t="shared" si="75"/>
        <v>1.9288788103200001</v>
      </c>
      <c r="J1645" s="129">
        <f t="shared" si="76"/>
        <v>236.73033999999998</v>
      </c>
    </row>
    <row r="1646" spans="1:10" hidden="1" x14ac:dyDescent="0.35">
      <c r="A1646" s="126" t="s">
        <v>380</v>
      </c>
      <c r="B1646" t="str">
        <f>_xlfn.XLOOKUP(A1646,'[1]2050Pop'!$A$7:$A$143,'[1]2050Pop'!$D$7:$D$143)</f>
        <v>Greater China</v>
      </c>
      <c r="C1646" s="127">
        <f>1000*_xlfn.XLOOKUP(A1646,'[1]2050Pop'!$A$7:$A$143,'[1]2050Pop'!$C$7:$C$143)</f>
        <v>1348056</v>
      </c>
      <c r="D1646" s="126" t="s">
        <v>507</v>
      </c>
      <c r="E1646" s="128">
        <v>805.21299999999997</v>
      </c>
      <c r="F1646" s="129">
        <f t="shared" si="77"/>
        <v>1085.472215928</v>
      </c>
      <c r="G1646" t="str">
        <f>_xlfn.XLOOKUP(D1646,'[1]2050 BAU Mapping to T &amp; C'!$A$3:$A$52,'[1]2050 BAU Mapping to T &amp; C'!$B$3:$B$52)</f>
        <v>Rice</v>
      </c>
      <c r="H1646" s="129">
        <f>_xlfn.XLOOKUP(G1646,'[1]T&amp;C emissions for 2050 analysis'!$B$3:$B$23,'[1]T&amp;C emissions for 2050 analysis'!$C$3:$C$23)</f>
        <v>0.51333333333333331</v>
      </c>
      <c r="I1646" s="27">
        <f t="shared" si="75"/>
        <v>557.20907084303997</v>
      </c>
      <c r="J1646" s="129">
        <f t="shared" si="76"/>
        <v>413.34267333333332</v>
      </c>
    </row>
    <row r="1647" spans="1:10" hidden="1" x14ac:dyDescent="0.35">
      <c r="A1647" s="126" t="s">
        <v>381</v>
      </c>
      <c r="B1647" t="str">
        <f>_xlfn.XLOOKUP(A1647,'[1]2050Pop'!$A$7:$A$143,'[1]2050Pop'!$D$7:$D$143)</f>
        <v>Greater China</v>
      </c>
      <c r="C1647" s="127">
        <f>1000*_xlfn.XLOOKUP(A1647,'[1]2050Pop'!$A$7:$A$143,'[1]2050Pop'!$C$7:$C$143)</f>
        <v>20778</v>
      </c>
      <c r="D1647" s="126" t="s">
        <v>507</v>
      </c>
      <c r="E1647" s="130">
        <v>469.81</v>
      </c>
      <c r="F1647" s="129">
        <f t="shared" si="77"/>
        <v>9.76171218</v>
      </c>
      <c r="G1647" t="str">
        <f>_xlfn.XLOOKUP(D1647,'[1]2050 BAU Mapping to T &amp; C'!$A$3:$A$52,'[1]2050 BAU Mapping to T &amp; C'!$B$3:$B$52)</f>
        <v>Rice</v>
      </c>
      <c r="H1647" s="129">
        <f>_xlfn.XLOOKUP(G1647,'[1]T&amp;C emissions for 2050 analysis'!$B$3:$B$23,'[1]T&amp;C emissions for 2050 analysis'!$C$3:$C$23)</f>
        <v>0.51333333333333331</v>
      </c>
      <c r="I1647" s="27">
        <f t="shared" si="75"/>
        <v>5.0110122523999996</v>
      </c>
      <c r="J1647" s="129">
        <f t="shared" si="76"/>
        <v>241.16913333333332</v>
      </c>
    </row>
    <row r="1648" spans="1:10" hidden="1" x14ac:dyDescent="0.35">
      <c r="A1648" s="126" t="s">
        <v>382</v>
      </c>
      <c r="B1648" t="str">
        <f>_xlfn.XLOOKUP(A1648,'[1]2050Pop'!$A$7:$A$143,'[1]2050Pop'!$D$7:$D$143)</f>
        <v>LatAm &amp; RSA</v>
      </c>
      <c r="C1648" s="127">
        <f>1000*_xlfn.XLOOKUP(A1648,'[1]2050Pop'!$A$7:$A$143,'[1]2050Pop'!$C$7:$C$143)</f>
        <v>54927</v>
      </c>
      <c r="D1648" s="126" t="s">
        <v>507</v>
      </c>
      <c r="E1648" s="128">
        <v>319.29300000000001</v>
      </c>
      <c r="F1648" s="129">
        <f t="shared" si="77"/>
        <v>17.537806611000001</v>
      </c>
      <c r="G1648" t="str">
        <f>_xlfn.XLOOKUP(D1648,'[1]2050 BAU Mapping to T &amp; C'!$A$3:$A$52,'[1]2050 BAU Mapping to T &amp; C'!$B$3:$B$52)</f>
        <v>Rice</v>
      </c>
      <c r="H1648" s="129">
        <f>_xlfn.XLOOKUP(G1648,'[1]T&amp;C emissions for 2050 analysis'!$B$3:$B$23,'[1]T&amp;C emissions for 2050 analysis'!$C$3:$C$23)</f>
        <v>0.51333333333333331</v>
      </c>
      <c r="I1648" s="27">
        <f t="shared" si="75"/>
        <v>9.0027407269799991</v>
      </c>
      <c r="J1648" s="129">
        <f t="shared" si="76"/>
        <v>163.90374</v>
      </c>
    </row>
    <row r="1649" spans="1:10" hidden="1" x14ac:dyDescent="0.35">
      <c r="A1649" s="126" t="s">
        <v>383</v>
      </c>
      <c r="B1649" t="str">
        <f>_xlfn.XLOOKUP(A1649,'[1]2050Pop'!$A$7:$A$143,'[1]2050Pop'!$D$7:$D$143)</f>
        <v>LatAm &amp; RSA</v>
      </c>
      <c r="C1649" s="127">
        <f>1000*_xlfn.XLOOKUP(A1649,'[1]2050Pop'!$A$7:$A$143,'[1]2050Pop'!$C$7:$C$143)</f>
        <v>5759</v>
      </c>
      <c r="D1649" s="126" t="s">
        <v>507</v>
      </c>
      <c r="E1649" s="128">
        <v>465.82799999999997</v>
      </c>
      <c r="F1649" s="129">
        <f t="shared" si="77"/>
        <v>2.6827034520000002</v>
      </c>
      <c r="G1649" t="str">
        <f>_xlfn.XLOOKUP(D1649,'[1]2050 BAU Mapping to T &amp; C'!$A$3:$A$52,'[1]2050 BAU Mapping to T &amp; C'!$B$3:$B$52)</f>
        <v>Rice</v>
      </c>
      <c r="H1649" s="129">
        <f>_xlfn.XLOOKUP(G1649,'[1]T&amp;C emissions for 2050 analysis'!$B$3:$B$23,'[1]T&amp;C emissions for 2050 analysis'!$C$3:$C$23)</f>
        <v>0.51333333333333331</v>
      </c>
      <c r="I1649" s="27">
        <f t="shared" si="75"/>
        <v>1.3771211053600001</v>
      </c>
      <c r="J1649" s="129">
        <f t="shared" si="76"/>
        <v>239.12503999999998</v>
      </c>
    </row>
    <row r="1650" spans="1:10" hidden="1" x14ac:dyDescent="0.35">
      <c r="A1650" s="126" t="s">
        <v>384</v>
      </c>
      <c r="B1650" t="str">
        <f>_xlfn.XLOOKUP(A1650,'[1]2050Pop'!$A$7:$A$143,'[1]2050Pop'!$D$7:$D$143)</f>
        <v>SSA</v>
      </c>
      <c r="C1650" s="127">
        <f>1000*_xlfn.XLOOKUP(A1650,'[1]2050Pop'!$A$7:$A$143,'[1]2050Pop'!$C$7:$C$143)</f>
        <v>48797</v>
      </c>
      <c r="D1650" s="126" t="s">
        <v>507</v>
      </c>
      <c r="E1650" s="128">
        <v>766.16899999999998</v>
      </c>
      <c r="F1650" s="129">
        <f t="shared" si="77"/>
        <v>37.386748692999994</v>
      </c>
      <c r="G1650" t="str">
        <f>_xlfn.XLOOKUP(D1650,'[1]2050 BAU Mapping to T &amp; C'!$A$3:$A$52,'[1]2050 BAU Mapping to T &amp; C'!$B$3:$B$52)</f>
        <v>Rice</v>
      </c>
      <c r="H1650" s="129">
        <f>_xlfn.XLOOKUP(G1650,'[1]T&amp;C emissions for 2050 analysis'!$B$3:$B$23,'[1]T&amp;C emissions for 2050 analysis'!$C$3:$C$23)</f>
        <v>0.51333333333333331</v>
      </c>
      <c r="I1650" s="27">
        <f t="shared" si="75"/>
        <v>19.191864329073329</v>
      </c>
      <c r="J1650" s="129">
        <f t="shared" si="76"/>
        <v>393.30008666666663</v>
      </c>
    </row>
    <row r="1651" spans="1:10" hidden="1" x14ac:dyDescent="0.35">
      <c r="A1651" s="126" t="s">
        <v>385</v>
      </c>
      <c r="B1651" t="str">
        <f>_xlfn.XLOOKUP(A1651,'[1]2050Pop'!$A$7:$A$143,'[1]2050Pop'!$D$7:$D$143)</f>
        <v>Euro/AU/NZ</v>
      </c>
      <c r="C1651" s="127">
        <f>1000*_xlfn.XLOOKUP(A1651,'[1]2050Pop'!$A$7:$A$143,'[1]2050Pop'!$C$7:$C$143)</f>
        <v>3554</v>
      </c>
      <c r="D1651" s="126" t="s">
        <v>507</v>
      </c>
      <c r="E1651" s="128">
        <v>29.254999999999999</v>
      </c>
      <c r="F1651" s="129">
        <f t="shared" si="77"/>
        <v>0.10397226999999999</v>
      </c>
      <c r="G1651" t="str">
        <f>_xlfn.XLOOKUP(D1651,'[1]2050 BAU Mapping to T &amp; C'!$A$3:$A$52,'[1]2050 BAU Mapping to T &amp; C'!$B$3:$B$52)</f>
        <v>Rice</v>
      </c>
      <c r="H1651" s="129">
        <f>_xlfn.XLOOKUP(G1651,'[1]T&amp;C emissions for 2050 analysis'!$B$3:$B$23,'[1]T&amp;C emissions for 2050 analysis'!$C$3:$C$23)</f>
        <v>0.51333333333333331</v>
      </c>
      <c r="I1651" s="27">
        <f t="shared" si="75"/>
        <v>5.3372431933333325E-2</v>
      </c>
      <c r="J1651" s="129">
        <f t="shared" si="76"/>
        <v>15.017566666666665</v>
      </c>
    </row>
    <row r="1652" spans="1:10" hidden="1" x14ac:dyDescent="0.35">
      <c r="A1652" s="126" t="s">
        <v>386</v>
      </c>
      <c r="B1652" t="str">
        <f>_xlfn.XLOOKUP(A1652,'[1]2050Pop'!$A$7:$A$143,'[1]2050Pop'!$D$7:$D$143)</f>
        <v>LatAm &amp; RSA</v>
      </c>
      <c r="C1652" s="127">
        <f>1000*_xlfn.XLOOKUP(A1652,'[1]2050Pop'!$A$7:$A$143,'[1]2050Pop'!$C$7:$C$143)</f>
        <v>10339</v>
      </c>
      <c r="D1652" s="126" t="s">
        <v>507</v>
      </c>
      <c r="E1652" s="128">
        <v>745.52499999999998</v>
      </c>
      <c r="F1652" s="129">
        <f t="shared" si="77"/>
        <v>7.7079829749999993</v>
      </c>
      <c r="G1652" t="str">
        <f>_xlfn.XLOOKUP(D1652,'[1]2050 BAU Mapping to T &amp; C'!$A$3:$A$52,'[1]2050 BAU Mapping to T &amp; C'!$B$3:$B$52)</f>
        <v>Rice</v>
      </c>
      <c r="H1652" s="129">
        <f>_xlfn.XLOOKUP(G1652,'[1]T&amp;C emissions for 2050 analysis'!$B$3:$B$23,'[1]T&amp;C emissions for 2050 analysis'!$C$3:$C$23)</f>
        <v>0.51333333333333331</v>
      </c>
      <c r="I1652" s="27">
        <f t="shared" si="75"/>
        <v>3.9567645938333329</v>
      </c>
      <c r="J1652" s="129">
        <f t="shared" si="76"/>
        <v>382.70283333333333</v>
      </c>
    </row>
    <row r="1653" spans="1:10" hidden="1" x14ac:dyDescent="0.35">
      <c r="A1653" s="126" t="s">
        <v>387</v>
      </c>
      <c r="B1653" t="str">
        <f>_xlfn.XLOOKUP(A1653,'[1]2050Pop'!$A$7:$A$143,'[1]2050Pop'!$D$7:$D$143)</f>
        <v>Euro/AU/NZ</v>
      </c>
      <c r="C1653" s="127">
        <f>1000*_xlfn.XLOOKUP(A1653,'[1]2050Pop'!$A$7:$A$143,'[1]2050Pop'!$C$7:$C$143)</f>
        <v>9965</v>
      </c>
      <c r="D1653" s="126" t="s">
        <v>507</v>
      </c>
      <c r="E1653" s="128">
        <v>49.426000000000002</v>
      </c>
      <c r="F1653" s="129">
        <f t="shared" si="77"/>
        <v>0.49253009000000003</v>
      </c>
      <c r="G1653" t="str">
        <f>_xlfn.XLOOKUP(D1653,'[1]2050 BAU Mapping to T &amp; C'!$A$3:$A$52,'[1]2050 BAU Mapping to T &amp; C'!$B$3:$B$52)</f>
        <v>Rice</v>
      </c>
      <c r="H1653" s="129">
        <f>_xlfn.XLOOKUP(G1653,'[1]T&amp;C emissions for 2050 analysis'!$B$3:$B$23,'[1]T&amp;C emissions for 2050 analysis'!$C$3:$C$23)</f>
        <v>0.51333333333333331</v>
      </c>
      <c r="I1653" s="27">
        <f t="shared" si="75"/>
        <v>0.25283211286666668</v>
      </c>
      <c r="J1653" s="129">
        <f t="shared" si="76"/>
        <v>25.372013333333332</v>
      </c>
    </row>
    <row r="1654" spans="1:10" hidden="1" x14ac:dyDescent="0.35">
      <c r="A1654" s="126" t="s">
        <v>481</v>
      </c>
      <c r="B1654" t="str">
        <f>_xlfn.XLOOKUP(A1654,'[1]2050Pop'!$A$7:$A$143,'[1]2050Pop'!$D$7:$D$143)</f>
        <v>APAC</v>
      </c>
      <c r="C1654" s="127">
        <f>1000*_xlfn.XLOOKUP(A1654,'[1]2050Pop'!$A$7:$A$143,'[1]2050Pop'!$C$7:$C$143)</f>
        <v>26907</v>
      </c>
      <c r="D1654" s="126" t="s">
        <v>507</v>
      </c>
      <c r="E1654" s="130">
        <v>869.26</v>
      </c>
      <c r="F1654" s="129">
        <f t="shared" si="77"/>
        <v>23.389178820000001</v>
      </c>
      <c r="G1654" t="str">
        <f>_xlfn.XLOOKUP(D1654,'[1]2050 BAU Mapping to T &amp; C'!$A$3:$A$52,'[1]2050 BAU Mapping to T &amp; C'!$B$3:$B$52)</f>
        <v>Rice</v>
      </c>
      <c r="H1654" s="129">
        <f>_xlfn.XLOOKUP(G1654,'[1]T&amp;C emissions for 2050 analysis'!$B$3:$B$23,'[1]T&amp;C emissions for 2050 analysis'!$C$3:$C$23)</f>
        <v>0.51333333333333331</v>
      </c>
      <c r="I1654" s="27">
        <f t="shared" si="75"/>
        <v>12.006445127600001</v>
      </c>
      <c r="J1654" s="129">
        <f t="shared" si="76"/>
        <v>446.22013333333331</v>
      </c>
    </row>
    <row r="1655" spans="1:10" hidden="1" x14ac:dyDescent="0.35">
      <c r="A1655" s="126" t="s">
        <v>388</v>
      </c>
      <c r="B1655" t="str">
        <f>_xlfn.XLOOKUP(A1655,'[1]2050Pop'!$A$7:$A$143,'[1]2050Pop'!$D$7:$D$143)</f>
        <v>Euro/AU/NZ</v>
      </c>
      <c r="C1655" s="127">
        <f>1000*_xlfn.XLOOKUP(A1655,'[1]2050Pop'!$A$7:$A$143,'[1]2050Pop'!$C$7:$C$143)</f>
        <v>6299</v>
      </c>
      <c r="D1655" s="126" t="s">
        <v>507</v>
      </c>
      <c r="E1655" s="130">
        <v>59.65</v>
      </c>
      <c r="F1655" s="129">
        <f t="shared" si="77"/>
        <v>0.37573534999999997</v>
      </c>
      <c r="G1655" t="str">
        <f>_xlfn.XLOOKUP(D1655,'[1]2050 BAU Mapping to T &amp; C'!$A$3:$A$52,'[1]2050 BAU Mapping to T &amp; C'!$B$3:$B$52)</f>
        <v>Rice</v>
      </c>
      <c r="H1655" s="129">
        <f>_xlfn.XLOOKUP(G1655,'[1]T&amp;C emissions for 2050 analysis'!$B$3:$B$23,'[1]T&amp;C emissions for 2050 analysis'!$C$3:$C$23)</f>
        <v>0.51333333333333331</v>
      </c>
      <c r="I1655" s="27">
        <f t="shared" si="75"/>
        <v>0.19287747966666663</v>
      </c>
      <c r="J1655" s="129">
        <f t="shared" si="76"/>
        <v>30.620333333333331</v>
      </c>
    </row>
    <row r="1656" spans="1:10" hidden="1" x14ac:dyDescent="0.35">
      <c r="A1656" s="126" t="s">
        <v>389</v>
      </c>
      <c r="B1656" t="str">
        <f>_xlfn.XLOOKUP(A1656,'[1]2050Pop'!$A$7:$A$143,'[1]2050Pop'!$D$7:$D$143)</f>
        <v>LatAm &amp; RSA</v>
      </c>
      <c r="C1656" s="127">
        <f>1000*_xlfn.XLOOKUP(A1656,'[1]2050Pop'!$A$7:$A$143,'[1]2050Pop'!$C$7:$C$143)</f>
        <v>13238</v>
      </c>
      <c r="D1656" s="126" t="s">
        <v>507</v>
      </c>
      <c r="E1656" s="128">
        <v>522.11400000000003</v>
      </c>
      <c r="F1656" s="129">
        <f t="shared" si="77"/>
        <v>6.9117451320000001</v>
      </c>
      <c r="G1656" t="str">
        <f>_xlfn.XLOOKUP(D1656,'[1]2050 BAU Mapping to T &amp; C'!$A$3:$A$52,'[1]2050 BAU Mapping to T &amp; C'!$B$3:$B$52)</f>
        <v>Rice</v>
      </c>
      <c r="H1656" s="129">
        <f>_xlfn.XLOOKUP(G1656,'[1]T&amp;C emissions for 2050 analysis'!$B$3:$B$23,'[1]T&amp;C emissions for 2050 analysis'!$C$3:$C$23)</f>
        <v>0.51333333333333331</v>
      </c>
      <c r="I1656" s="27">
        <f t="shared" si="75"/>
        <v>3.5480291677599998</v>
      </c>
      <c r="J1656" s="129">
        <f t="shared" si="76"/>
        <v>268.01852000000002</v>
      </c>
    </row>
    <row r="1657" spans="1:10" hidden="1" x14ac:dyDescent="0.35">
      <c r="A1657" s="126" t="s">
        <v>390</v>
      </c>
      <c r="B1657" t="str">
        <f>_xlfn.XLOOKUP(A1657,'[1]2050Pop'!$A$7:$A$143,'[1]2050Pop'!$D$7:$D$143)</f>
        <v>LatAm &amp; RSA</v>
      </c>
      <c r="C1657" s="127">
        <f>1000*_xlfn.XLOOKUP(A1657,'[1]2050Pop'!$A$7:$A$143,'[1]2050Pop'!$C$7:$C$143)</f>
        <v>23013</v>
      </c>
      <c r="D1657" s="126" t="s">
        <v>507</v>
      </c>
      <c r="E1657" s="128">
        <v>445.49900000000002</v>
      </c>
      <c r="F1657" s="129">
        <f t="shared" si="77"/>
        <v>10.252268487</v>
      </c>
      <c r="G1657" t="str">
        <f>_xlfn.XLOOKUP(D1657,'[1]2050 BAU Mapping to T &amp; C'!$A$3:$A$52,'[1]2050 BAU Mapping to T &amp; C'!$B$3:$B$52)</f>
        <v>Rice</v>
      </c>
      <c r="H1657" s="129">
        <f>_xlfn.XLOOKUP(G1657,'[1]T&amp;C emissions for 2050 analysis'!$B$3:$B$23,'[1]T&amp;C emissions for 2050 analysis'!$C$3:$C$23)</f>
        <v>0.51333333333333331</v>
      </c>
      <c r="I1657" s="27">
        <f t="shared" si="75"/>
        <v>5.2628311566599999</v>
      </c>
      <c r="J1657" s="129">
        <f t="shared" si="76"/>
        <v>228.68948666666668</v>
      </c>
    </row>
    <row r="1658" spans="1:10" hidden="1" x14ac:dyDescent="0.35">
      <c r="A1658" s="126" t="s">
        <v>391</v>
      </c>
      <c r="B1658" t="str">
        <f>_xlfn.XLOOKUP(A1658,'[1]2050Pop'!$A$7:$A$143,'[1]2050Pop'!$D$7:$D$143)</f>
        <v>MENA</v>
      </c>
      <c r="C1658" s="127">
        <f>1000*_xlfn.XLOOKUP(A1658,'[1]2050Pop'!$A$7:$A$143,'[1]2050Pop'!$C$7:$C$143)</f>
        <v>151111</v>
      </c>
      <c r="D1658" s="126" t="s">
        <v>507</v>
      </c>
      <c r="E1658" s="128">
        <v>467.42200000000003</v>
      </c>
      <c r="F1658" s="129">
        <f t="shared" si="77"/>
        <v>70.632605842000004</v>
      </c>
      <c r="G1658" t="str">
        <f>_xlfn.XLOOKUP(D1658,'[1]2050 BAU Mapping to T &amp; C'!$A$3:$A$52,'[1]2050 BAU Mapping to T &amp; C'!$B$3:$B$52)</f>
        <v>Rice</v>
      </c>
      <c r="H1658" s="129">
        <f>_xlfn.XLOOKUP(G1658,'[1]T&amp;C emissions for 2050 analysis'!$B$3:$B$23,'[1]T&amp;C emissions for 2050 analysis'!$C$3:$C$23)</f>
        <v>0.51333333333333331</v>
      </c>
      <c r="I1658" s="27">
        <f t="shared" si="75"/>
        <v>36.258070998893331</v>
      </c>
      <c r="J1658" s="129">
        <f t="shared" si="76"/>
        <v>239.94329333333334</v>
      </c>
    </row>
    <row r="1659" spans="1:10" hidden="1" x14ac:dyDescent="0.35">
      <c r="A1659" s="126" t="s">
        <v>392</v>
      </c>
      <c r="B1659" t="str">
        <f>_xlfn.XLOOKUP(A1659,'[1]2050Pop'!$A$7:$A$143,'[1]2050Pop'!$D$7:$D$143)</f>
        <v>LatAm &amp; RSA</v>
      </c>
      <c r="C1659" s="127">
        <f>1000*_xlfn.XLOOKUP(A1659,'[1]2050Pop'!$A$7:$A$143,'[1]2050Pop'!$C$7:$C$143)</f>
        <v>6390</v>
      </c>
      <c r="D1659" s="126" t="s">
        <v>507</v>
      </c>
      <c r="E1659" s="128">
        <v>123.319</v>
      </c>
      <c r="F1659" s="129">
        <f t="shared" si="77"/>
        <v>0.78800840999999999</v>
      </c>
      <c r="G1659" t="str">
        <f>_xlfn.XLOOKUP(D1659,'[1]2050 BAU Mapping to T &amp; C'!$A$3:$A$52,'[1]2050 BAU Mapping to T &amp; C'!$B$3:$B$52)</f>
        <v>Rice</v>
      </c>
      <c r="H1659" s="129">
        <f>_xlfn.XLOOKUP(G1659,'[1]T&amp;C emissions for 2050 analysis'!$B$3:$B$23,'[1]T&amp;C emissions for 2050 analysis'!$C$3:$C$23)</f>
        <v>0.51333333333333331</v>
      </c>
      <c r="I1659" s="27">
        <f t="shared" si="75"/>
        <v>0.4045109838</v>
      </c>
      <c r="J1659" s="129">
        <f t="shared" si="76"/>
        <v>63.303753333333333</v>
      </c>
    </row>
    <row r="1660" spans="1:10" hidden="1" x14ac:dyDescent="0.35">
      <c r="A1660" s="126" t="s">
        <v>393</v>
      </c>
      <c r="B1660" t="str">
        <f>_xlfn.XLOOKUP(A1660,'[1]2050Pop'!$A$7:$A$143,'[1]2050Pop'!$D$7:$D$143)</f>
        <v>Euro/AU/NZ</v>
      </c>
      <c r="C1660" s="127">
        <f>1000*_xlfn.XLOOKUP(A1660,'[1]2050Pop'!$A$7:$A$143,'[1]2050Pop'!$C$7:$C$143)</f>
        <v>1129</v>
      </c>
      <c r="D1660" s="126" t="s">
        <v>507</v>
      </c>
      <c r="E1660" s="128">
        <v>27.004999999999999</v>
      </c>
      <c r="F1660" s="129">
        <f t="shared" si="77"/>
        <v>3.0488645000000002E-2</v>
      </c>
      <c r="G1660" t="str">
        <f>_xlfn.XLOOKUP(D1660,'[1]2050 BAU Mapping to T &amp; C'!$A$3:$A$52,'[1]2050 BAU Mapping to T &amp; C'!$B$3:$B$52)</f>
        <v>Rice</v>
      </c>
      <c r="H1660" s="129">
        <f>_xlfn.XLOOKUP(G1660,'[1]T&amp;C emissions for 2050 analysis'!$B$3:$B$23,'[1]T&amp;C emissions for 2050 analysis'!$C$3:$C$23)</f>
        <v>0.51333333333333331</v>
      </c>
      <c r="I1660" s="27">
        <f t="shared" si="75"/>
        <v>1.5650837766666668E-2</v>
      </c>
      <c r="J1660" s="129">
        <f t="shared" si="76"/>
        <v>13.862566666666666</v>
      </c>
    </row>
    <row r="1661" spans="1:10" hidden="1" x14ac:dyDescent="0.35">
      <c r="A1661" s="126" t="s">
        <v>394</v>
      </c>
      <c r="B1661" t="str">
        <f>_xlfn.XLOOKUP(A1661,'[1]2050Pop'!$A$7:$A$143,'[1]2050Pop'!$D$7:$D$143)</f>
        <v>SSA</v>
      </c>
      <c r="C1661" s="127">
        <f>1000*_xlfn.XLOOKUP(A1661,'[1]2050Pop'!$A$7:$A$143,'[1]2050Pop'!$C$7:$C$143)</f>
        <v>188455</v>
      </c>
      <c r="D1661" s="126" t="s">
        <v>507</v>
      </c>
      <c r="E1661" s="128">
        <v>23.577999999999999</v>
      </c>
      <c r="F1661" s="129">
        <f t="shared" si="77"/>
        <v>4.4433919900000003</v>
      </c>
      <c r="G1661" t="str">
        <f>_xlfn.XLOOKUP(D1661,'[1]2050 BAU Mapping to T &amp; C'!$A$3:$A$52,'[1]2050 BAU Mapping to T &amp; C'!$B$3:$B$52)</f>
        <v>Rice</v>
      </c>
      <c r="H1661" s="129">
        <f>_xlfn.XLOOKUP(G1661,'[1]T&amp;C emissions for 2050 analysis'!$B$3:$B$23,'[1]T&amp;C emissions for 2050 analysis'!$C$3:$C$23)</f>
        <v>0.51333333333333331</v>
      </c>
      <c r="I1661" s="27">
        <f t="shared" si="75"/>
        <v>2.2809412215333333</v>
      </c>
      <c r="J1661" s="129">
        <f t="shared" si="76"/>
        <v>12.103373333333332</v>
      </c>
    </row>
    <row r="1662" spans="1:10" hidden="1" x14ac:dyDescent="0.35">
      <c r="A1662" s="126" t="s">
        <v>395</v>
      </c>
      <c r="B1662" t="str">
        <f>_xlfn.XLOOKUP(A1662,'[1]2050Pop'!$A$7:$A$143,'[1]2050Pop'!$D$7:$D$143)</f>
        <v>Euro/AU/NZ</v>
      </c>
      <c r="C1662" s="127">
        <f>1000*_xlfn.XLOOKUP(A1662,'[1]2050Pop'!$A$7:$A$143,'[1]2050Pop'!$C$7:$C$143)</f>
        <v>5752</v>
      </c>
      <c r="D1662" s="126" t="s">
        <v>507</v>
      </c>
      <c r="E1662" s="128">
        <v>50.139000000000003</v>
      </c>
      <c r="F1662" s="129">
        <f t="shared" si="77"/>
        <v>0.28839952800000002</v>
      </c>
      <c r="G1662" t="str">
        <f>_xlfn.XLOOKUP(D1662,'[1]2050 BAU Mapping to T &amp; C'!$A$3:$A$52,'[1]2050 BAU Mapping to T &amp; C'!$B$3:$B$52)</f>
        <v>Rice</v>
      </c>
      <c r="H1662" s="129">
        <f>_xlfn.XLOOKUP(G1662,'[1]T&amp;C emissions for 2050 analysis'!$B$3:$B$23,'[1]T&amp;C emissions for 2050 analysis'!$C$3:$C$23)</f>
        <v>0.51333333333333331</v>
      </c>
      <c r="I1662" s="27">
        <f t="shared" si="75"/>
        <v>0.14804509103999999</v>
      </c>
      <c r="J1662" s="129">
        <f t="shared" si="76"/>
        <v>25.738019999999999</v>
      </c>
    </row>
    <row r="1663" spans="1:10" hidden="1" x14ac:dyDescent="0.35">
      <c r="A1663" s="126" t="s">
        <v>396</v>
      </c>
      <c r="B1663" t="str">
        <f>_xlfn.XLOOKUP(A1663,'[1]2050Pop'!$A$7:$A$143,'[1]2050Pop'!$D$7:$D$143)</f>
        <v>Euro/AU/NZ</v>
      </c>
      <c r="C1663" s="127">
        <f>1000*_xlfn.XLOOKUP(A1663,'[1]2050Pop'!$A$7:$A$143,'[1]2050Pop'!$C$7:$C$143)</f>
        <v>71137</v>
      </c>
      <c r="D1663" s="126" t="s">
        <v>507</v>
      </c>
      <c r="E1663" s="128">
        <v>63.957000000000001</v>
      </c>
      <c r="F1663" s="129">
        <f t="shared" si="77"/>
        <v>4.5497091090000001</v>
      </c>
      <c r="G1663" t="str">
        <f>_xlfn.XLOOKUP(D1663,'[1]2050 BAU Mapping to T &amp; C'!$A$3:$A$52,'[1]2050 BAU Mapping to T &amp; C'!$B$3:$B$52)</f>
        <v>Rice</v>
      </c>
      <c r="H1663" s="129">
        <f>_xlfn.XLOOKUP(G1663,'[1]T&amp;C emissions for 2050 analysis'!$B$3:$B$23,'[1]T&amp;C emissions for 2050 analysis'!$C$3:$C$23)</f>
        <v>0.51333333333333331</v>
      </c>
      <c r="I1663" s="27">
        <f t="shared" si="75"/>
        <v>2.3355173426199998</v>
      </c>
      <c r="J1663" s="129">
        <f t="shared" si="76"/>
        <v>32.83126</v>
      </c>
    </row>
    <row r="1664" spans="1:10" hidden="1" x14ac:dyDescent="0.35">
      <c r="A1664" s="126" t="s">
        <v>397</v>
      </c>
      <c r="B1664" t="str">
        <f>_xlfn.XLOOKUP(A1664,'[1]2050Pop'!$A$7:$A$143,'[1]2050Pop'!$D$7:$D$143)</f>
        <v>SSA</v>
      </c>
      <c r="C1664" s="127">
        <f>1000*_xlfn.XLOOKUP(A1664,'[1]2050Pop'!$A$7:$A$143,'[1]2050Pop'!$C$7:$C$143)</f>
        <v>3164</v>
      </c>
      <c r="D1664" s="126" t="s">
        <v>507</v>
      </c>
      <c r="E1664" s="128">
        <v>442.41800000000001</v>
      </c>
      <c r="F1664" s="129">
        <f t="shared" si="77"/>
        <v>1.3998105519999999</v>
      </c>
      <c r="G1664" t="str">
        <f>_xlfn.XLOOKUP(D1664,'[1]2050 BAU Mapping to T &amp; C'!$A$3:$A$52,'[1]2050 BAU Mapping to T &amp; C'!$B$3:$B$52)</f>
        <v>Rice</v>
      </c>
      <c r="H1664" s="129">
        <f>_xlfn.XLOOKUP(G1664,'[1]T&amp;C emissions for 2050 analysis'!$B$3:$B$23,'[1]T&amp;C emissions for 2050 analysis'!$C$3:$C$23)</f>
        <v>0.51333333333333331</v>
      </c>
      <c r="I1664" s="27">
        <f t="shared" si="75"/>
        <v>0.7185694166933333</v>
      </c>
      <c r="J1664" s="129">
        <f t="shared" si="76"/>
        <v>227.10790666666665</v>
      </c>
    </row>
    <row r="1665" spans="1:10" hidden="1" x14ac:dyDescent="0.35">
      <c r="A1665" s="126" t="s">
        <v>489</v>
      </c>
      <c r="B1665" t="str">
        <f>_xlfn.XLOOKUP(A1665,'[1]2050Pop'!$A$7:$A$143,'[1]2050Pop'!$D$7:$D$143)</f>
        <v>SSA</v>
      </c>
      <c r="C1665" s="127">
        <f>1000*_xlfn.XLOOKUP(A1665,'[1]2050Pop'!$A$7:$A$143,'[1]2050Pop'!$C$7:$C$143)</f>
        <v>4981</v>
      </c>
      <c r="D1665" s="126" t="s">
        <v>507</v>
      </c>
      <c r="E1665" s="128">
        <v>843.00699999999995</v>
      </c>
      <c r="F1665" s="129">
        <f t="shared" si="77"/>
        <v>4.1990178669999993</v>
      </c>
      <c r="G1665" t="str">
        <f>_xlfn.XLOOKUP(D1665,'[1]2050 BAU Mapping to T &amp; C'!$A$3:$A$52,'[1]2050 BAU Mapping to T &amp; C'!$B$3:$B$52)</f>
        <v>Rice</v>
      </c>
      <c r="H1665" s="129">
        <f>_xlfn.XLOOKUP(G1665,'[1]T&amp;C emissions for 2050 analysis'!$B$3:$B$23,'[1]T&amp;C emissions for 2050 analysis'!$C$3:$C$23)</f>
        <v>0.51333333333333331</v>
      </c>
      <c r="I1665" s="27">
        <f t="shared" si="75"/>
        <v>2.1554958383933327</v>
      </c>
      <c r="J1665" s="129">
        <f t="shared" si="76"/>
        <v>432.74359333333331</v>
      </c>
    </row>
    <row r="1666" spans="1:10" hidden="1" x14ac:dyDescent="0.35">
      <c r="A1666" s="126" t="s">
        <v>398</v>
      </c>
      <c r="B1666" t="str">
        <f>_xlfn.XLOOKUP(A1666,'[1]2050Pop'!$A$7:$A$143,'[1]2050Pop'!$D$7:$D$143)</f>
        <v>MENA</v>
      </c>
      <c r="C1666" s="127">
        <f>1000*_xlfn.XLOOKUP(A1666,'[1]2050Pop'!$A$7:$A$143,'[1]2050Pop'!$C$7:$C$143)</f>
        <v>3483</v>
      </c>
      <c r="D1666" s="126" t="s">
        <v>507</v>
      </c>
      <c r="E1666" s="128">
        <v>24.957999999999998</v>
      </c>
      <c r="F1666" s="129">
        <f t="shared" si="77"/>
        <v>8.692871399999999E-2</v>
      </c>
      <c r="G1666" t="str">
        <f>_xlfn.XLOOKUP(D1666,'[1]2050 BAU Mapping to T &amp; C'!$A$3:$A$52,'[1]2050 BAU Mapping to T &amp; C'!$B$3:$B$52)</f>
        <v>Rice</v>
      </c>
      <c r="H1666" s="129">
        <f>_xlfn.XLOOKUP(G1666,'[1]T&amp;C emissions for 2050 analysis'!$B$3:$B$23,'[1]T&amp;C emissions for 2050 analysis'!$C$3:$C$23)</f>
        <v>0.51333333333333331</v>
      </c>
      <c r="I1666" s="27">
        <f t="shared" si="75"/>
        <v>4.4623406519999992E-2</v>
      </c>
      <c r="J1666" s="129">
        <f t="shared" si="76"/>
        <v>12.811773333333331</v>
      </c>
    </row>
    <row r="1667" spans="1:10" hidden="1" x14ac:dyDescent="0.35">
      <c r="A1667" s="126" t="s">
        <v>399</v>
      </c>
      <c r="B1667" t="str">
        <f>_xlfn.XLOOKUP(A1667,'[1]2050Pop'!$A$7:$A$143,'[1]2050Pop'!$D$7:$D$143)</f>
        <v>Euro/AU/NZ</v>
      </c>
      <c r="C1667" s="127">
        <f>1000*_xlfn.XLOOKUP(A1667,'[1]2050Pop'!$A$7:$A$143,'[1]2050Pop'!$C$7:$C$143)</f>
        <v>74513</v>
      </c>
      <c r="D1667" s="126" t="s">
        <v>507</v>
      </c>
      <c r="E1667" s="128">
        <v>40.095999999999997</v>
      </c>
      <c r="F1667" s="129">
        <f t="shared" si="77"/>
        <v>2.9876732479999997</v>
      </c>
      <c r="G1667" t="str">
        <f>_xlfn.XLOOKUP(D1667,'[1]2050 BAU Mapping to T &amp; C'!$A$3:$A$52,'[1]2050 BAU Mapping to T &amp; C'!$B$3:$B$52)</f>
        <v>Rice</v>
      </c>
      <c r="H1667" s="129">
        <f>_xlfn.XLOOKUP(G1667,'[1]T&amp;C emissions for 2050 analysis'!$B$3:$B$23,'[1]T&amp;C emissions for 2050 analysis'!$C$3:$C$23)</f>
        <v>0.51333333333333331</v>
      </c>
      <c r="I1667" s="27">
        <f t="shared" si="75"/>
        <v>1.5336722673066665</v>
      </c>
      <c r="J1667" s="129">
        <f t="shared" si="76"/>
        <v>20.582613333333331</v>
      </c>
    </row>
    <row r="1668" spans="1:10" hidden="1" x14ac:dyDescent="0.35">
      <c r="A1668" s="126" t="s">
        <v>400</v>
      </c>
      <c r="B1668" t="str">
        <f>_xlfn.XLOOKUP(A1668,'[1]2050Pop'!$A$7:$A$143,'[1]2050Pop'!$D$7:$D$143)</f>
        <v>SSA</v>
      </c>
      <c r="C1668" s="127">
        <f>1000*_xlfn.XLOOKUP(A1668,'[1]2050Pop'!$A$7:$A$143,'[1]2050Pop'!$C$7:$C$143)</f>
        <v>50071</v>
      </c>
      <c r="D1668" s="126" t="s">
        <v>507</v>
      </c>
      <c r="E1668" s="128">
        <v>366.29599999999999</v>
      </c>
      <c r="F1668" s="129">
        <f t="shared" si="77"/>
        <v>18.340807015999999</v>
      </c>
      <c r="G1668" t="str">
        <f>_xlfn.XLOOKUP(D1668,'[1]2050 BAU Mapping to T &amp; C'!$A$3:$A$52,'[1]2050 BAU Mapping to T &amp; C'!$B$3:$B$52)</f>
        <v>Rice</v>
      </c>
      <c r="H1668" s="129">
        <f>_xlfn.XLOOKUP(G1668,'[1]T&amp;C emissions for 2050 analysis'!$B$3:$B$23,'[1]T&amp;C emissions for 2050 analysis'!$C$3:$C$23)</f>
        <v>0.51333333333333331</v>
      </c>
      <c r="I1668" s="27">
        <f t="shared" ref="I1668:I1731" si="78">F1668*H1668</f>
        <v>9.4149476015466664</v>
      </c>
      <c r="J1668" s="129">
        <f t="shared" ref="J1668:J1731" si="79">E1668*H1668</f>
        <v>188.03194666666664</v>
      </c>
    </row>
    <row r="1669" spans="1:10" hidden="1" x14ac:dyDescent="0.35">
      <c r="A1669" s="126" t="s">
        <v>401</v>
      </c>
      <c r="B1669" t="str">
        <f>_xlfn.XLOOKUP(A1669,'[1]2050Pop'!$A$7:$A$143,'[1]2050Pop'!$D$7:$D$143)</f>
        <v>Euro/AU/NZ</v>
      </c>
      <c r="C1669" s="127">
        <f>1000*_xlfn.XLOOKUP(A1669,'[1]2050Pop'!$A$7:$A$143,'[1]2050Pop'!$C$7:$C$143)</f>
        <v>9705</v>
      </c>
      <c r="D1669" s="126" t="s">
        <v>507</v>
      </c>
      <c r="E1669" s="128">
        <v>66.977000000000004</v>
      </c>
      <c r="F1669" s="129">
        <f t="shared" ref="F1669:F1732" si="80">C1669*E1669/1000000</f>
        <v>0.65001178500000001</v>
      </c>
      <c r="G1669" t="str">
        <f>_xlfn.XLOOKUP(D1669,'[1]2050 BAU Mapping to T &amp; C'!$A$3:$A$52,'[1]2050 BAU Mapping to T &amp; C'!$B$3:$B$52)</f>
        <v>Rice</v>
      </c>
      <c r="H1669" s="129">
        <f>_xlfn.XLOOKUP(G1669,'[1]T&amp;C emissions for 2050 analysis'!$B$3:$B$23,'[1]T&amp;C emissions for 2050 analysis'!$C$3:$C$23)</f>
        <v>0.51333333333333331</v>
      </c>
      <c r="I1669" s="27">
        <f t="shared" si="78"/>
        <v>0.33367271630000001</v>
      </c>
      <c r="J1669" s="129">
        <f t="shared" si="79"/>
        <v>34.381526666666666</v>
      </c>
    </row>
    <row r="1670" spans="1:10" hidden="1" x14ac:dyDescent="0.35">
      <c r="A1670" s="126" t="s">
        <v>402</v>
      </c>
      <c r="B1670" t="str">
        <f>_xlfn.XLOOKUP(A1670,'[1]2050Pop'!$A$7:$A$143,'[1]2050Pop'!$D$7:$D$143)</f>
        <v>LatAm &amp; RSA</v>
      </c>
      <c r="C1670" s="127">
        <f>1000*_xlfn.XLOOKUP(A1670,'[1]2050Pop'!$A$7:$A$143,'[1]2050Pop'!$C$7:$C$143)</f>
        <v>27754</v>
      </c>
      <c r="D1670" s="126" t="s">
        <v>507</v>
      </c>
      <c r="E1670" s="128">
        <v>66.742000000000004</v>
      </c>
      <c r="F1670" s="129">
        <f t="shared" si="80"/>
        <v>1.8523574680000001</v>
      </c>
      <c r="G1670" t="str">
        <f>_xlfn.XLOOKUP(D1670,'[1]2050 BAU Mapping to T &amp; C'!$A$3:$A$52,'[1]2050 BAU Mapping to T &amp; C'!$B$3:$B$52)</f>
        <v>Rice</v>
      </c>
      <c r="H1670" s="129">
        <f>_xlfn.XLOOKUP(G1670,'[1]T&amp;C emissions for 2050 analysis'!$B$3:$B$23,'[1]T&amp;C emissions for 2050 analysis'!$C$3:$C$23)</f>
        <v>0.51333333333333331</v>
      </c>
      <c r="I1670" s="27">
        <f t="shared" si="78"/>
        <v>0.9508768335733333</v>
      </c>
      <c r="J1670" s="129">
        <f t="shared" si="79"/>
        <v>34.260893333333335</v>
      </c>
    </row>
    <row r="1671" spans="1:10" hidden="1" x14ac:dyDescent="0.35">
      <c r="A1671" s="126" t="s">
        <v>403</v>
      </c>
      <c r="B1671" t="str">
        <f>_xlfn.XLOOKUP(A1671,'[1]2050Pop'!$A$7:$A$143,'[1]2050Pop'!$D$7:$D$143)</f>
        <v>SSA</v>
      </c>
      <c r="C1671" s="127">
        <f>1000*_xlfn.XLOOKUP(A1671,'[1]2050Pop'!$A$7:$A$143,'[1]2050Pop'!$C$7:$C$143)</f>
        <v>27486</v>
      </c>
      <c r="D1671" s="126" t="s">
        <v>507</v>
      </c>
      <c r="E1671" s="128">
        <v>1213.098</v>
      </c>
      <c r="F1671" s="129">
        <f t="shared" si="80"/>
        <v>33.343211627999999</v>
      </c>
      <c r="G1671" t="str">
        <f>_xlfn.XLOOKUP(D1671,'[1]2050 BAU Mapping to T &amp; C'!$A$3:$A$52,'[1]2050 BAU Mapping to T &amp; C'!$B$3:$B$52)</f>
        <v>Rice</v>
      </c>
      <c r="H1671" s="129">
        <f>_xlfn.XLOOKUP(G1671,'[1]T&amp;C emissions for 2050 analysis'!$B$3:$B$23,'[1]T&amp;C emissions for 2050 analysis'!$C$3:$C$23)</f>
        <v>0.51333333333333331</v>
      </c>
      <c r="I1671" s="27">
        <f t="shared" si="78"/>
        <v>17.116181969039999</v>
      </c>
      <c r="J1671" s="129">
        <f t="shared" si="79"/>
        <v>622.72363999999993</v>
      </c>
    </row>
    <row r="1672" spans="1:10" hidden="1" x14ac:dyDescent="0.35">
      <c r="A1672" s="126" t="s">
        <v>404</v>
      </c>
      <c r="B1672" t="str">
        <f>_xlfn.XLOOKUP(A1672,'[1]2050Pop'!$A$7:$A$143,'[1]2050Pop'!$D$7:$D$143)</f>
        <v>LatAm &amp; RSA</v>
      </c>
      <c r="C1672" s="127">
        <f>1000*_xlfn.XLOOKUP(A1672,'[1]2050Pop'!$A$7:$A$143,'[1]2050Pop'!$C$7:$C$143)</f>
        <v>806</v>
      </c>
      <c r="D1672" s="126" t="s">
        <v>507</v>
      </c>
      <c r="E1672" s="128">
        <v>764.52700000000004</v>
      </c>
      <c r="F1672" s="129">
        <f t="shared" si="80"/>
        <v>0.61620876199999997</v>
      </c>
      <c r="G1672" t="str">
        <f>_xlfn.XLOOKUP(D1672,'[1]2050 BAU Mapping to T &amp; C'!$A$3:$A$52,'[1]2050 BAU Mapping to T &amp; C'!$B$3:$B$52)</f>
        <v>Rice</v>
      </c>
      <c r="H1672" s="129">
        <f>_xlfn.XLOOKUP(G1672,'[1]T&amp;C emissions for 2050 analysis'!$B$3:$B$23,'[1]T&amp;C emissions for 2050 analysis'!$C$3:$C$23)</f>
        <v>0.51333333333333331</v>
      </c>
      <c r="I1672" s="27">
        <f t="shared" si="78"/>
        <v>0.31632049782666666</v>
      </c>
      <c r="J1672" s="129">
        <f t="shared" si="79"/>
        <v>392.45719333333335</v>
      </c>
    </row>
    <row r="1673" spans="1:10" hidden="1" x14ac:dyDescent="0.35">
      <c r="A1673" s="126" t="s">
        <v>405</v>
      </c>
      <c r="B1673" t="str">
        <f>_xlfn.XLOOKUP(A1673,'[1]2050Pop'!$A$7:$A$143,'[1]2050Pop'!$D$7:$D$143)</f>
        <v>LatAm &amp; RSA</v>
      </c>
      <c r="C1673" s="127">
        <f>1000*_xlfn.XLOOKUP(A1673,'[1]2050Pop'!$A$7:$A$143,'[1]2050Pop'!$C$7:$C$143)</f>
        <v>14189</v>
      </c>
      <c r="D1673" s="126" t="s">
        <v>507</v>
      </c>
      <c r="E1673" s="128">
        <v>444.72300000000001</v>
      </c>
      <c r="F1673" s="129">
        <f t="shared" si="80"/>
        <v>6.3101746470000002</v>
      </c>
      <c r="G1673" t="str">
        <f>_xlfn.XLOOKUP(D1673,'[1]2050 BAU Mapping to T &amp; C'!$A$3:$A$52,'[1]2050 BAU Mapping to T &amp; C'!$B$3:$B$52)</f>
        <v>Rice</v>
      </c>
      <c r="H1673" s="129">
        <f>_xlfn.XLOOKUP(G1673,'[1]T&amp;C emissions for 2050 analysis'!$B$3:$B$23,'[1]T&amp;C emissions for 2050 analysis'!$C$3:$C$23)</f>
        <v>0.51333333333333331</v>
      </c>
      <c r="I1673" s="27">
        <f t="shared" si="78"/>
        <v>3.2392229854600001</v>
      </c>
      <c r="J1673" s="129">
        <f t="shared" si="79"/>
        <v>228.29113999999998</v>
      </c>
    </row>
    <row r="1674" spans="1:10" hidden="1" x14ac:dyDescent="0.35">
      <c r="A1674" s="126" t="s">
        <v>406</v>
      </c>
      <c r="B1674" t="str">
        <f>_xlfn.XLOOKUP(A1674,'[1]2050Pop'!$A$7:$A$143,'[1]2050Pop'!$D$7:$D$143)</f>
        <v>LatAm &amp; RSA</v>
      </c>
      <c r="C1674" s="127">
        <f>1000*_xlfn.XLOOKUP(A1674,'[1]2050Pop'!$A$7:$A$143,'[1]2050Pop'!$C$7:$C$143)</f>
        <v>11217</v>
      </c>
      <c r="D1674" s="126" t="s">
        <v>507</v>
      </c>
      <c r="E1674" s="128">
        <v>175.232</v>
      </c>
      <c r="F1674" s="129">
        <f t="shared" si="80"/>
        <v>1.9655773439999999</v>
      </c>
      <c r="G1674" t="str">
        <f>_xlfn.XLOOKUP(D1674,'[1]2050 BAU Mapping to T &amp; C'!$A$3:$A$52,'[1]2050 BAU Mapping to T &amp; C'!$B$3:$B$52)</f>
        <v>Rice</v>
      </c>
      <c r="H1674" s="129">
        <f>_xlfn.XLOOKUP(G1674,'[1]T&amp;C emissions for 2050 analysis'!$B$3:$B$23,'[1]T&amp;C emissions for 2050 analysis'!$C$3:$C$23)</f>
        <v>0.51333333333333331</v>
      </c>
      <c r="I1674" s="27">
        <f t="shared" si="78"/>
        <v>1.00899636992</v>
      </c>
      <c r="J1674" s="129">
        <f t="shared" si="79"/>
        <v>89.952426666666668</v>
      </c>
    </row>
    <row r="1675" spans="1:10" hidden="1" x14ac:dyDescent="0.35">
      <c r="A1675" s="126" t="s">
        <v>407</v>
      </c>
      <c r="B1675" t="str">
        <f>_xlfn.XLOOKUP(A1675,'[1]2050Pop'!$A$7:$A$143,'[1]2050Pop'!$D$7:$D$143)</f>
        <v>Euro/AU/NZ</v>
      </c>
      <c r="C1675" s="127">
        <f>1000*_xlfn.XLOOKUP(A1675,'[1]2050Pop'!$A$7:$A$143,'[1]2050Pop'!$C$7:$C$143)</f>
        <v>8318</v>
      </c>
      <c r="D1675" s="126" t="s">
        <v>507</v>
      </c>
      <c r="E1675" s="128">
        <v>25.751000000000001</v>
      </c>
      <c r="F1675" s="129">
        <f t="shared" si="80"/>
        <v>0.21419681800000001</v>
      </c>
      <c r="G1675" t="str">
        <f>_xlfn.XLOOKUP(D1675,'[1]2050 BAU Mapping to T &amp; C'!$A$3:$A$52,'[1]2050 BAU Mapping to T &amp; C'!$B$3:$B$52)</f>
        <v>Rice</v>
      </c>
      <c r="H1675" s="129">
        <f>_xlfn.XLOOKUP(G1675,'[1]T&amp;C emissions for 2050 analysis'!$B$3:$B$23,'[1]T&amp;C emissions for 2050 analysis'!$C$3:$C$23)</f>
        <v>0.51333333333333331</v>
      </c>
      <c r="I1675" s="27">
        <f t="shared" si="78"/>
        <v>0.10995436657333334</v>
      </c>
      <c r="J1675" s="129">
        <f t="shared" si="79"/>
        <v>13.218846666666666</v>
      </c>
    </row>
    <row r="1676" spans="1:10" hidden="1" x14ac:dyDescent="0.35">
      <c r="A1676" s="126" t="s">
        <v>408</v>
      </c>
      <c r="B1676" t="str">
        <f>_xlfn.XLOOKUP(A1676,'[1]2050Pop'!$A$7:$A$143,'[1]2050Pop'!$D$7:$D$143)</f>
        <v>India/South Asia</v>
      </c>
      <c r="C1676" s="127">
        <f>1000*_xlfn.XLOOKUP(A1676,'[1]2050Pop'!$A$7:$A$143,'[1]2050Pop'!$C$7:$C$143)</f>
        <v>1705333</v>
      </c>
      <c r="D1676" s="126" t="s">
        <v>507</v>
      </c>
      <c r="E1676" s="128">
        <v>797.02599999999995</v>
      </c>
      <c r="F1676" s="129">
        <f t="shared" si="80"/>
        <v>1359.1947396579999</v>
      </c>
      <c r="G1676" t="str">
        <f>_xlfn.XLOOKUP(D1676,'[1]2050 BAU Mapping to T &amp; C'!$A$3:$A$52,'[1]2050 BAU Mapping to T &amp; C'!$B$3:$B$52)</f>
        <v>Rice</v>
      </c>
      <c r="H1676" s="129">
        <f>_xlfn.XLOOKUP(G1676,'[1]T&amp;C emissions for 2050 analysis'!$B$3:$B$23,'[1]T&amp;C emissions for 2050 analysis'!$C$3:$C$23)</f>
        <v>0.51333333333333331</v>
      </c>
      <c r="I1676" s="27">
        <f t="shared" si="78"/>
        <v>697.71996635777327</v>
      </c>
      <c r="J1676" s="129">
        <f t="shared" si="79"/>
        <v>409.14001333333329</v>
      </c>
    </row>
    <row r="1677" spans="1:10" hidden="1" x14ac:dyDescent="0.35">
      <c r="A1677" s="126" t="s">
        <v>409</v>
      </c>
      <c r="B1677" t="str">
        <f>_xlfn.XLOOKUP(A1677,'[1]2050Pop'!$A$7:$A$143,'[1]2050Pop'!$D$7:$D$143)</f>
        <v>APAC</v>
      </c>
      <c r="C1677" s="127">
        <f>1000*_xlfn.XLOOKUP(A1677,'[1]2050Pop'!$A$7:$A$143,'[1]2050Pop'!$C$7:$C$143)</f>
        <v>322237</v>
      </c>
      <c r="D1677" s="126" t="s">
        <v>507</v>
      </c>
      <c r="E1677" s="128">
        <v>1318.6849999999999</v>
      </c>
      <c r="F1677" s="129">
        <f t="shared" si="80"/>
        <v>424.92909834499994</v>
      </c>
      <c r="G1677" t="str">
        <f>_xlfn.XLOOKUP(D1677,'[1]2050 BAU Mapping to T &amp; C'!$A$3:$A$52,'[1]2050 BAU Mapping to T &amp; C'!$B$3:$B$52)</f>
        <v>Rice</v>
      </c>
      <c r="H1677" s="129">
        <f>_xlfn.XLOOKUP(G1677,'[1]T&amp;C emissions for 2050 analysis'!$B$3:$B$23,'[1]T&amp;C emissions for 2050 analysis'!$C$3:$C$23)</f>
        <v>0.51333333333333331</v>
      </c>
      <c r="I1677" s="27">
        <f t="shared" si="78"/>
        <v>218.13027048376662</v>
      </c>
      <c r="J1677" s="129">
        <f t="shared" si="79"/>
        <v>676.92496666666659</v>
      </c>
    </row>
    <row r="1678" spans="1:10" hidden="1" x14ac:dyDescent="0.35">
      <c r="A1678" s="126" t="s">
        <v>410</v>
      </c>
      <c r="B1678" t="str">
        <f>_xlfn.XLOOKUP(A1678,'[1]2050Pop'!$A$7:$A$143,'[1]2050Pop'!$D$7:$D$143)</f>
        <v>India/South Asia</v>
      </c>
      <c r="C1678" s="127">
        <f>1000*_xlfn.XLOOKUP(A1678,'[1]2050Pop'!$A$7:$A$143,'[1]2050Pop'!$C$7:$C$143)</f>
        <v>92219</v>
      </c>
      <c r="D1678" s="126" t="s">
        <v>507</v>
      </c>
      <c r="E1678" s="128">
        <v>293.57900000000001</v>
      </c>
      <c r="F1678" s="129">
        <f t="shared" si="80"/>
        <v>27.073561801</v>
      </c>
      <c r="G1678" t="str">
        <f>_xlfn.XLOOKUP(D1678,'[1]2050 BAU Mapping to T &amp; C'!$A$3:$A$52,'[1]2050 BAU Mapping to T &amp; C'!$B$3:$B$52)</f>
        <v>Rice</v>
      </c>
      <c r="H1678" s="129">
        <f>_xlfn.XLOOKUP(G1678,'[1]T&amp;C emissions for 2050 analysis'!$B$3:$B$23,'[1]T&amp;C emissions for 2050 analysis'!$C$3:$C$23)</f>
        <v>0.51333333333333331</v>
      </c>
      <c r="I1678" s="27">
        <f t="shared" si="78"/>
        <v>13.897761724513332</v>
      </c>
      <c r="J1678" s="129">
        <f t="shared" si="79"/>
        <v>150.70388666666668</v>
      </c>
    </row>
    <row r="1679" spans="1:10" hidden="1" x14ac:dyDescent="0.35">
      <c r="A1679" s="126" t="s">
        <v>411</v>
      </c>
      <c r="B1679" t="str">
        <f>_xlfn.XLOOKUP(A1679,'[1]2050Pop'!$A$7:$A$143,'[1]2050Pop'!$D$7:$D$143)</f>
        <v>MENA</v>
      </c>
      <c r="C1679" s="127">
        <f>1000*_xlfn.XLOOKUP(A1679,'[1]2050Pop'!$A$7:$A$143,'[1]2050Pop'!$C$7:$C$143)</f>
        <v>83652</v>
      </c>
      <c r="D1679" s="126" t="s">
        <v>507</v>
      </c>
      <c r="E1679" s="128">
        <v>425.24700000000001</v>
      </c>
      <c r="F1679" s="129">
        <f t="shared" si="80"/>
        <v>35.572762044000001</v>
      </c>
      <c r="G1679" t="str">
        <f>_xlfn.XLOOKUP(D1679,'[1]2050 BAU Mapping to T &amp; C'!$A$3:$A$52,'[1]2050 BAU Mapping to T &amp; C'!$B$3:$B$52)</f>
        <v>Rice</v>
      </c>
      <c r="H1679" s="129">
        <f>_xlfn.XLOOKUP(G1679,'[1]T&amp;C emissions for 2050 analysis'!$B$3:$B$23,'[1]T&amp;C emissions for 2050 analysis'!$C$3:$C$23)</f>
        <v>0.51333333333333331</v>
      </c>
      <c r="I1679" s="27">
        <f t="shared" si="78"/>
        <v>18.260684515920001</v>
      </c>
      <c r="J1679" s="129">
        <f t="shared" si="79"/>
        <v>218.29346000000001</v>
      </c>
    </row>
    <row r="1680" spans="1:10" hidden="1" x14ac:dyDescent="0.35">
      <c r="A1680" s="126" t="s">
        <v>412</v>
      </c>
      <c r="B1680" t="str">
        <f>_xlfn.XLOOKUP(A1680,'[1]2050Pop'!$A$7:$A$143,'[1]2050Pop'!$D$7:$D$143)</f>
        <v>Euro/AU/NZ</v>
      </c>
      <c r="C1680" s="127">
        <f>1000*_xlfn.XLOOKUP(A1680,'[1]2050Pop'!$A$7:$A$143,'[1]2050Pop'!$C$7:$C$143)</f>
        <v>5789</v>
      </c>
      <c r="D1680" s="126" t="s">
        <v>507</v>
      </c>
      <c r="E1680" s="128">
        <v>35.290999999999997</v>
      </c>
      <c r="F1680" s="129">
        <f t="shared" si="80"/>
        <v>0.204299599</v>
      </c>
      <c r="G1680" t="str">
        <f>_xlfn.XLOOKUP(D1680,'[1]2050 BAU Mapping to T &amp; C'!$A$3:$A$52,'[1]2050 BAU Mapping to T &amp; C'!$B$3:$B$52)</f>
        <v>Rice</v>
      </c>
      <c r="H1680" s="129">
        <f>_xlfn.XLOOKUP(G1680,'[1]T&amp;C emissions for 2050 analysis'!$B$3:$B$23,'[1]T&amp;C emissions for 2050 analysis'!$C$3:$C$23)</f>
        <v>0.51333333333333331</v>
      </c>
      <c r="I1680" s="27">
        <f t="shared" si="78"/>
        <v>0.10487379415333332</v>
      </c>
      <c r="J1680" s="129">
        <f t="shared" si="79"/>
        <v>18.116046666666666</v>
      </c>
    </row>
    <row r="1681" spans="1:10" hidden="1" x14ac:dyDescent="0.35">
      <c r="A1681" s="126" t="s">
        <v>413</v>
      </c>
      <c r="B1681" t="str">
        <f>_xlfn.XLOOKUP(A1681,'[1]2050Pop'!$A$7:$A$143,'[1]2050Pop'!$D$7:$D$143)</f>
        <v>MENA</v>
      </c>
      <c r="C1681" s="127">
        <f>1000*_xlfn.XLOOKUP(A1681,'[1]2050Pop'!$A$7:$A$143,'[1]2050Pop'!$C$7:$C$143)</f>
        <v>12610</v>
      </c>
      <c r="D1681" s="126" t="s">
        <v>507</v>
      </c>
      <c r="E1681" s="128">
        <v>155.98400000000001</v>
      </c>
      <c r="F1681" s="129">
        <f t="shared" si="80"/>
        <v>1.9669582400000003</v>
      </c>
      <c r="G1681" t="str">
        <f>_xlfn.XLOOKUP(D1681,'[1]2050 BAU Mapping to T &amp; C'!$A$3:$A$52,'[1]2050 BAU Mapping to T &amp; C'!$B$3:$B$52)</f>
        <v>Rice</v>
      </c>
      <c r="H1681" s="129">
        <f>_xlfn.XLOOKUP(G1681,'[1]T&amp;C emissions for 2050 analysis'!$B$3:$B$23,'[1]T&amp;C emissions for 2050 analysis'!$C$3:$C$23)</f>
        <v>0.51333333333333331</v>
      </c>
      <c r="I1681" s="27">
        <f t="shared" si="78"/>
        <v>1.0097052298666667</v>
      </c>
      <c r="J1681" s="129">
        <f t="shared" si="79"/>
        <v>80.071786666666668</v>
      </c>
    </row>
    <row r="1682" spans="1:10" hidden="1" x14ac:dyDescent="0.35">
      <c r="A1682" s="126" t="s">
        <v>414</v>
      </c>
      <c r="B1682" t="str">
        <f>_xlfn.XLOOKUP(A1682,'[1]2050Pop'!$A$7:$A$143,'[1]2050Pop'!$D$7:$D$143)</f>
        <v>Euro/AU/NZ</v>
      </c>
      <c r="C1682" s="127">
        <f>1000*_xlfn.XLOOKUP(A1682,'[1]2050Pop'!$A$7:$A$143,'[1]2050Pop'!$C$7:$C$143)</f>
        <v>56513</v>
      </c>
      <c r="D1682" s="126" t="s">
        <v>507</v>
      </c>
      <c r="E1682" s="128">
        <v>63.070999999999998</v>
      </c>
      <c r="F1682" s="129">
        <f t="shared" si="80"/>
        <v>3.5643314230000001</v>
      </c>
      <c r="G1682" t="str">
        <f>_xlfn.XLOOKUP(D1682,'[1]2050 BAU Mapping to T &amp; C'!$A$3:$A$52,'[1]2050 BAU Mapping to T &amp; C'!$B$3:$B$52)</f>
        <v>Rice</v>
      </c>
      <c r="H1682" s="129">
        <f>_xlfn.XLOOKUP(G1682,'[1]T&amp;C emissions for 2050 analysis'!$B$3:$B$23,'[1]T&amp;C emissions for 2050 analysis'!$C$3:$C$23)</f>
        <v>0.51333333333333331</v>
      </c>
      <c r="I1682" s="27">
        <f t="shared" si="78"/>
        <v>1.8296901304733333</v>
      </c>
      <c r="J1682" s="129">
        <f t="shared" si="79"/>
        <v>32.376446666666666</v>
      </c>
    </row>
    <row r="1683" spans="1:10" hidden="1" x14ac:dyDescent="0.35">
      <c r="A1683" s="126" t="s">
        <v>415</v>
      </c>
      <c r="B1683" t="str">
        <f>_xlfn.XLOOKUP(A1683,'[1]2050Pop'!$A$7:$A$143,'[1]2050Pop'!$D$7:$D$143)</f>
        <v>LatAm &amp; RSA</v>
      </c>
      <c r="C1683" s="127">
        <f>1000*_xlfn.XLOOKUP(A1683,'[1]2050Pop'!$A$7:$A$143,'[1]2050Pop'!$C$7:$C$143)</f>
        <v>2710</v>
      </c>
      <c r="D1683" s="126" t="s">
        <v>507</v>
      </c>
      <c r="E1683" s="128">
        <v>313.07299999999998</v>
      </c>
      <c r="F1683" s="129">
        <f t="shared" si="80"/>
        <v>0.84842782999999999</v>
      </c>
      <c r="G1683" t="str">
        <f>_xlfn.XLOOKUP(D1683,'[1]2050 BAU Mapping to T &amp; C'!$A$3:$A$52,'[1]2050 BAU Mapping to T &amp; C'!$B$3:$B$52)</f>
        <v>Rice</v>
      </c>
      <c r="H1683" s="129">
        <f>_xlfn.XLOOKUP(G1683,'[1]T&amp;C emissions for 2050 analysis'!$B$3:$B$23,'[1]T&amp;C emissions for 2050 analysis'!$C$3:$C$23)</f>
        <v>0.51333333333333331</v>
      </c>
      <c r="I1683" s="27">
        <f t="shared" si="78"/>
        <v>0.43552628606666666</v>
      </c>
      <c r="J1683" s="129">
        <f t="shared" si="79"/>
        <v>160.71080666666666</v>
      </c>
    </row>
    <row r="1684" spans="1:10" hidden="1" x14ac:dyDescent="0.35">
      <c r="A1684" s="126" t="s">
        <v>416</v>
      </c>
      <c r="B1684" t="str">
        <f>_xlfn.XLOOKUP(A1684,'[1]2050Pop'!$A$7:$A$143,'[1]2050Pop'!$D$7:$D$143)</f>
        <v>APAC</v>
      </c>
      <c r="C1684" s="127">
        <f>1000*_xlfn.XLOOKUP(A1684,'[1]2050Pop'!$A$7:$A$143,'[1]2050Pop'!$C$7:$C$143)</f>
        <v>107411</v>
      </c>
      <c r="D1684" s="126" t="s">
        <v>507</v>
      </c>
      <c r="E1684" s="128">
        <v>657.72699999999998</v>
      </c>
      <c r="F1684" s="129">
        <f t="shared" si="80"/>
        <v>70.647114796999986</v>
      </c>
      <c r="G1684" t="str">
        <f>_xlfn.XLOOKUP(D1684,'[1]2050 BAU Mapping to T &amp; C'!$A$3:$A$52,'[1]2050 BAU Mapping to T &amp; C'!$B$3:$B$52)</f>
        <v>Rice</v>
      </c>
      <c r="H1684" s="129">
        <f>_xlfn.XLOOKUP(G1684,'[1]T&amp;C emissions for 2050 analysis'!$B$3:$B$23,'[1]T&amp;C emissions for 2050 analysis'!$C$3:$C$23)</f>
        <v>0.51333333333333331</v>
      </c>
      <c r="I1684" s="27">
        <f t="shared" si="78"/>
        <v>36.265518929126657</v>
      </c>
      <c r="J1684" s="129">
        <f t="shared" si="79"/>
        <v>337.63319333333328</v>
      </c>
    </row>
    <row r="1685" spans="1:10" hidden="1" x14ac:dyDescent="0.35">
      <c r="A1685" s="126" t="s">
        <v>417</v>
      </c>
      <c r="B1685" t="str">
        <f>_xlfn.XLOOKUP(A1685,'[1]2050Pop'!$A$7:$A$143,'[1]2050Pop'!$D$7:$D$143)</f>
        <v>MENA</v>
      </c>
      <c r="C1685" s="127">
        <f>1000*_xlfn.XLOOKUP(A1685,'[1]2050Pop'!$A$7:$A$143,'[1]2050Pop'!$C$7:$C$143)</f>
        <v>11717</v>
      </c>
      <c r="D1685" s="126" t="s">
        <v>507</v>
      </c>
      <c r="E1685" s="128">
        <v>230.60400000000001</v>
      </c>
      <c r="F1685" s="129">
        <f t="shared" si="80"/>
        <v>2.7019870679999998</v>
      </c>
      <c r="G1685" t="str">
        <f>_xlfn.XLOOKUP(D1685,'[1]2050 BAU Mapping to T &amp; C'!$A$3:$A$52,'[1]2050 BAU Mapping to T &amp; C'!$B$3:$B$52)</f>
        <v>Rice</v>
      </c>
      <c r="H1685" s="129">
        <f>_xlfn.XLOOKUP(G1685,'[1]T&amp;C emissions for 2050 analysis'!$B$3:$B$23,'[1]T&amp;C emissions for 2050 analysis'!$C$3:$C$23)</f>
        <v>0.51333333333333331</v>
      </c>
      <c r="I1685" s="27">
        <f t="shared" si="78"/>
        <v>1.3870200282399998</v>
      </c>
      <c r="J1685" s="129">
        <f t="shared" si="79"/>
        <v>118.37672000000001</v>
      </c>
    </row>
    <row r="1686" spans="1:10" hidden="1" x14ac:dyDescent="0.35">
      <c r="A1686" s="126" t="s">
        <v>418</v>
      </c>
      <c r="B1686" t="str">
        <f>_xlfn.XLOOKUP(A1686,'[1]2050Pop'!$A$7:$A$143,'[1]2050Pop'!$D$7:$D$143)</f>
        <v>APAC</v>
      </c>
      <c r="C1686" s="127">
        <f>1000*_xlfn.XLOOKUP(A1686,'[1]2050Pop'!$A$7:$A$143,'[1]2050Pop'!$C$7:$C$143)</f>
        <v>22447</v>
      </c>
      <c r="D1686" s="126" t="s">
        <v>507</v>
      </c>
      <c r="E1686" s="128">
        <v>85.457999999999998</v>
      </c>
      <c r="F1686" s="129">
        <f t="shared" si="80"/>
        <v>1.9182757260000001</v>
      </c>
      <c r="G1686" t="str">
        <f>_xlfn.XLOOKUP(D1686,'[1]2050 BAU Mapping to T &amp; C'!$A$3:$A$52,'[1]2050 BAU Mapping to T &amp; C'!$B$3:$B$52)</f>
        <v>Rice</v>
      </c>
      <c r="H1686" s="129">
        <f>_xlfn.XLOOKUP(G1686,'[1]T&amp;C emissions for 2050 analysis'!$B$3:$B$23,'[1]T&amp;C emissions for 2050 analysis'!$C$3:$C$23)</f>
        <v>0.51333333333333331</v>
      </c>
      <c r="I1686" s="27">
        <f t="shared" si="78"/>
        <v>0.98471487268000002</v>
      </c>
      <c r="J1686" s="129">
        <f t="shared" si="79"/>
        <v>43.86844</v>
      </c>
    </row>
    <row r="1687" spans="1:10" hidden="1" x14ac:dyDescent="0.35">
      <c r="A1687" s="126" t="s">
        <v>419</v>
      </c>
      <c r="B1687" t="str">
        <f>_xlfn.XLOOKUP(A1687,'[1]2050Pop'!$A$7:$A$143,'[1]2050Pop'!$D$7:$D$143)</f>
        <v>SSA</v>
      </c>
      <c r="C1687" s="127">
        <f>1000*_xlfn.XLOOKUP(A1687,'[1]2050Pop'!$A$7:$A$143,'[1]2050Pop'!$C$7:$C$143)</f>
        <v>95505</v>
      </c>
      <c r="D1687" s="126" t="s">
        <v>507</v>
      </c>
      <c r="E1687" s="128">
        <v>150.512</v>
      </c>
      <c r="F1687" s="129">
        <f t="shared" si="80"/>
        <v>14.374648560000001</v>
      </c>
      <c r="G1687" t="str">
        <f>_xlfn.XLOOKUP(D1687,'[1]2050 BAU Mapping to T &amp; C'!$A$3:$A$52,'[1]2050 BAU Mapping to T &amp; C'!$B$3:$B$52)</f>
        <v>Rice</v>
      </c>
      <c r="H1687" s="129">
        <f>_xlfn.XLOOKUP(G1687,'[1]T&amp;C emissions for 2050 analysis'!$B$3:$B$23,'[1]T&amp;C emissions for 2050 analysis'!$C$3:$C$23)</f>
        <v>0.51333333333333331</v>
      </c>
      <c r="I1687" s="27">
        <f t="shared" si="78"/>
        <v>7.3789862607999996</v>
      </c>
      <c r="J1687" s="129">
        <f t="shared" si="79"/>
        <v>77.262826666666669</v>
      </c>
    </row>
    <row r="1688" spans="1:10" hidden="1" x14ac:dyDescent="0.35">
      <c r="A1688" s="126" t="s">
        <v>420</v>
      </c>
      <c r="B1688" t="str">
        <f>_xlfn.XLOOKUP(A1688,'[1]2050Pop'!$A$7:$A$143,'[1]2050Pop'!$D$7:$D$143)</f>
        <v>APAC</v>
      </c>
      <c r="C1688" s="127">
        <f>1000*_xlfn.XLOOKUP(A1688,'[1]2050Pop'!$A$7:$A$143,'[1]2050Pop'!$C$7:$C$143)</f>
        <v>8248</v>
      </c>
      <c r="D1688" s="126" t="s">
        <v>507</v>
      </c>
      <c r="E1688" s="128">
        <v>71.837000000000003</v>
      </c>
      <c r="F1688" s="129">
        <f t="shared" si="80"/>
        <v>0.59251157600000004</v>
      </c>
      <c r="G1688" t="str">
        <f>_xlfn.XLOOKUP(D1688,'[1]2050 BAU Mapping to T &amp; C'!$A$3:$A$52,'[1]2050 BAU Mapping to T &amp; C'!$B$3:$B$52)</f>
        <v>Rice</v>
      </c>
      <c r="H1688" s="129">
        <f>_xlfn.XLOOKUP(G1688,'[1]T&amp;C emissions for 2050 analysis'!$B$3:$B$23,'[1]T&amp;C emissions for 2050 analysis'!$C$3:$C$23)</f>
        <v>0.51333333333333331</v>
      </c>
      <c r="I1688" s="27">
        <f t="shared" si="78"/>
        <v>0.30415594234666665</v>
      </c>
      <c r="J1688" s="129">
        <f t="shared" si="79"/>
        <v>36.876326666666664</v>
      </c>
    </row>
    <row r="1689" spans="1:10" hidden="1" x14ac:dyDescent="0.35">
      <c r="A1689" s="126" t="s">
        <v>421</v>
      </c>
      <c r="B1689" t="str">
        <f>_xlfn.XLOOKUP(A1689,'[1]2050Pop'!$A$7:$A$143,'[1]2050Pop'!$D$7:$D$143)</f>
        <v>APAC</v>
      </c>
      <c r="C1689" s="127">
        <f>1000*_xlfn.XLOOKUP(A1689,'[1]2050Pop'!$A$7:$A$143,'[1]2050Pop'!$C$7:$C$143)</f>
        <v>10172</v>
      </c>
      <c r="D1689" s="126" t="s">
        <v>507</v>
      </c>
      <c r="E1689" s="128">
        <v>1350.845</v>
      </c>
      <c r="F1689" s="129">
        <f t="shared" si="80"/>
        <v>13.74079534</v>
      </c>
      <c r="G1689" t="str">
        <f>_xlfn.XLOOKUP(D1689,'[1]2050 BAU Mapping to T &amp; C'!$A$3:$A$52,'[1]2050 BAU Mapping to T &amp; C'!$B$3:$B$52)</f>
        <v>Rice</v>
      </c>
      <c r="H1689" s="129">
        <f>_xlfn.XLOOKUP(G1689,'[1]T&amp;C emissions for 2050 analysis'!$B$3:$B$23,'[1]T&amp;C emissions for 2050 analysis'!$C$3:$C$23)</f>
        <v>0.51333333333333331</v>
      </c>
      <c r="I1689" s="27">
        <f t="shared" si="78"/>
        <v>7.0536082745333326</v>
      </c>
      <c r="J1689" s="129">
        <f t="shared" si="79"/>
        <v>693.43376666666666</v>
      </c>
    </row>
    <row r="1690" spans="1:10" hidden="1" x14ac:dyDescent="0.35">
      <c r="A1690" s="126" t="s">
        <v>422</v>
      </c>
      <c r="B1690" t="str">
        <f>_xlfn.XLOOKUP(A1690,'[1]2050Pop'!$A$7:$A$143,'[1]2050Pop'!$D$7:$D$143)</f>
        <v>Euro/AU/NZ</v>
      </c>
      <c r="C1690" s="127">
        <f>1000*_xlfn.XLOOKUP(A1690,'[1]2050Pop'!$A$7:$A$143,'[1]2050Pop'!$C$7:$C$143)</f>
        <v>1593</v>
      </c>
      <c r="D1690" s="126" t="s">
        <v>507</v>
      </c>
      <c r="E1690" s="128">
        <v>28.635999999999999</v>
      </c>
      <c r="F1690" s="129">
        <f t="shared" si="80"/>
        <v>4.5617148000000003E-2</v>
      </c>
      <c r="G1690" t="str">
        <f>_xlfn.XLOOKUP(D1690,'[1]2050 BAU Mapping to T &amp; C'!$A$3:$A$52,'[1]2050 BAU Mapping to T &amp; C'!$B$3:$B$52)</f>
        <v>Rice</v>
      </c>
      <c r="H1690" s="129">
        <f>_xlfn.XLOOKUP(G1690,'[1]T&amp;C emissions for 2050 analysis'!$B$3:$B$23,'[1]T&amp;C emissions for 2050 analysis'!$C$3:$C$23)</f>
        <v>0.51333333333333331</v>
      </c>
      <c r="I1690" s="27">
        <f t="shared" si="78"/>
        <v>2.3416802640000001E-2</v>
      </c>
      <c r="J1690" s="129">
        <f t="shared" si="79"/>
        <v>14.699813333333331</v>
      </c>
    </row>
    <row r="1691" spans="1:10" hidden="1" x14ac:dyDescent="0.35">
      <c r="A1691" s="126" t="s">
        <v>423</v>
      </c>
      <c r="B1691" t="str">
        <f>_xlfn.XLOOKUP(A1691,'[1]2050Pop'!$A$7:$A$143,'[1]2050Pop'!$D$7:$D$143)</f>
        <v>MENA</v>
      </c>
      <c r="C1691" s="127">
        <f>1000*_xlfn.XLOOKUP(A1691,'[1]2050Pop'!$A$7:$A$143,'[1]2050Pop'!$C$7:$C$143)</f>
        <v>5610</v>
      </c>
      <c r="D1691" s="126" t="s">
        <v>507</v>
      </c>
      <c r="E1691" s="128">
        <v>124.315</v>
      </c>
      <c r="F1691" s="129">
        <f t="shared" si="80"/>
        <v>0.69740714999999998</v>
      </c>
      <c r="G1691" t="str">
        <f>_xlfn.XLOOKUP(D1691,'[1]2050 BAU Mapping to T &amp; C'!$A$3:$A$52,'[1]2050 BAU Mapping to T &amp; C'!$B$3:$B$52)</f>
        <v>Rice</v>
      </c>
      <c r="H1691" s="129">
        <f>_xlfn.XLOOKUP(G1691,'[1]T&amp;C emissions for 2050 analysis'!$B$3:$B$23,'[1]T&amp;C emissions for 2050 analysis'!$C$3:$C$23)</f>
        <v>0.51333333333333331</v>
      </c>
      <c r="I1691" s="27">
        <f t="shared" si="78"/>
        <v>0.35800233699999995</v>
      </c>
      <c r="J1691" s="129">
        <f t="shared" si="79"/>
        <v>63.815033333333332</v>
      </c>
    </row>
    <row r="1692" spans="1:10" hidden="1" x14ac:dyDescent="0.35">
      <c r="A1692" s="126" t="s">
        <v>424</v>
      </c>
      <c r="B1692" t="str">
        <f>_xlfn.XLOOKUP(A1692,'[1]2050Pop'!$A$7:$A$143,'[1]2050Pop'!$D$7:$D$143)</f>
        <v>SSA</v>
      </c>
      <c r="C1692" s="127">
        <f>1000*_xlfn.XLOOKUP(A1692,'[1]2050Pop'!$A$7:$A$143,'[1]2050Pop'!$C$7:$C$143)</f>
        <v>2987</v>
      </c>
      <c r="D1692" s="126" t="s">
        <v>507</v>
      </c>
      <c r="E1692" s="128">
        <v>73.685000000000002</v>
      </c>
      <c r="F1692" s="129">
        <f t="shared" si="80"/>
        <v>0.22009709499999999</v>
      </c>
      <c r="G1692" t="str">
        <f>_xlfn.XLOOKUP(D1692,'[1]2050 BAU Mapping to T &amp; C'!$A$3:$A$52,'[1]2050 BAU Mapping to T &amp; C'!$B$3:$B$52)</f>
        <v>Rice</v>
      </c>
      <c r="H1692" s="129">
        <f>_xlfn.XLOOKUP(G1692,'[1]T&amp;C emissions for 2050 analysis'!$B$3:$B$23,'[1]T&amp;C emissions for 2050 analysis'!$C$3:$C$23)</f>
        <v>0.51333333333333331</v>
      </c>
      <c r="I1692" s="27">
        <f t="shared" si="78"/>
        <v>0.11298317543333332</v>
      </c>
      <c r="J1692" s="129">
        <f t="shared" si="79"/>
        <v>37.824966666666668</v>
      </c>
    </row>
    <row r="1693" spans="1:10" hidden="1" x14ac:dyDescent="0.35">
      <c r="A1693" s="126" t="s">
        <v>425</v>
      </c>
      <c r="B1693" t="str">
        <f>_xlfn.XLOOKUP(A1693,'[1]2050Pop'!$A$7:$A$143,'[1]2050Pop'!$D$7:$D$143)</f>
        <v>SSA</v>
      </c>
      <c r="C1693" s="127">
        <f>1000*_xlfn.XLOOKUP(A1693,'[1]2050Pop'!$A$7:$A$143,'[1]2050Pop'!$C$7:$C$143)</f>
        <v>9436</v>
      </c>
      <c r="D1693" s="126" t="s">
        <v>507</v>
      </c>
      <c r="E1693" s="128">
        <v>1184.2370000000001</v>
      </c>
      <c r="F1693" s="129">
        <f t="shared" si="80"/>
        <v>11.174460332000001</v>
      </c>
      <c r="G1693" t="str">
        <f>_xlfn.XLOOKUP(D1693,'[1]2050 BAU Mapping to T &amp; C'!$A$3:$A$52,'[1]2050 BAU Mapping to T &amp; C'!$B$3:$B$52)</f>
        <v>Rice</v>
      </c>
      <c r="H1693" s="129">
        <f>_xlfn.XLOOKUP(G1693,'[1]T&amp;C emissions for 2050 analysis'!$B$3:$B$23,'[1]T&amp;C emissions for 2050 analysis'!$C$3:$C$23)</f>
        <v>0.51333333333333331</v>
      </c>
      <c r="I1693" s="27">
        <f t="shared" si="78"/>
        <v>5.7362229704266667</v>
      </c>
      <c r="J1693" s="129">
        <f t="shared" si="79"/>
        <v>607.90832666666665</v>
      </c>
    </row>
    <row r="1694" spans="1:10" hidden="1" x14ac:dyDescent="0.35">
      <c r="A1694" s="126" t="s">
        <v>426</v>
      </c>
      <c r="B1694" t="str">
        <f>_xlfn.XLOOKUP(A1694,'[1]2050Pop'!$A$7:$A$143,'[1]2050Pop'!$D$7:$D$143)</f>
        <v>Euro/AU/NZ</v>
      </c>
      <c r="C1694" s="127">
        <f>1000*_xlfn.XLOOKUP(A1694,'[1]2050Pop'!$A$7:$A$143,'[1]2050Pop'!$C$7:$C$143)</f>
        <v>2375</v>
      </c>
      <c r="D1694" s="126" t="s">
        <v>507</v>
      </c>
      <c r="E1694" s="128">
        <v>32.926000000000002</v>
      </c>
      <c r="F1694" s="129">
        <f t="shared" si="80"/>
        <v>7.8199249999999998E-2</v>
      </c>
      <c r="G1694" t="str">
        <f>_xlfn.XLOOKUP(D1694,'[1]2050 BAU Mapping to T &amp; C'!$A$3:$A$52,'[1]2050 BAU Mapping to T &amp; C'!$B$3:$B$52)</f>
        <v>Rice</v>
      </c>
      <c r="H1694" s="129">
        <f>_xlfn.XLOOKUP(G1694,'[1]T&amp;C emissions for 2050 analysis'!$B$3:$B$23,'[1]T&amp;C emissions for 2050 analysis'!$C$3:$C$23)</f>
        <v>0.51333333333333331</v>
      </c>
      <c r="I1694" s="27">
        <f t="shared" si="78"/>
        <v>4.0142281666666661E-2</v>
      </c>
      <c r="J1694" s="129">
        <f t="shared" si="79"/>
        <v>16.902013333333333</v>
      </c>
    </row>
    <row r="1695" spans="1:10" hidden="1" x14ac:dyDescent="0.35">
      <c r="A1695" s="126" t="s">
        <v>427</v>
      </c>
      <c r="B1695" t="str">
        <f>_xlfn.XLOOKUP(A1695,'[1]2050Pop'!$A$7:$A$143,'[1]2050Pop'!$D$7:$D$143)</f>
        <v>SSA</v>
      </c>
      <c r="C1695" s="127">
        <f>1000*_xlfn.XLOOKUP(A1695,'[1]2050Pop'!$A$7:$A$143,'[1]2050Pop'!$C$7:$C$143)</f>
        <v>55294</v>
      </c>
      <c r="D1695" s="126" t="s">
        <v>507</v>
      </c>
      <c r="E1695" s="128">
        <v>1485.191</v>
      </c>
      <c r="F1695" s="129">
        <f t="shared" si="80"/>
        <v>82.122151153999994</v>
      </c>
      <c r="G1695" t="str">
        <f>_xlfn.XLOOKUP(D1695,'[1]2050 BAU Mapping to T &amp; C'!$A$3:$A$52,'[1]2050 BAU Mapping to T &amp; C'!$B$3:$B$52)</f>
        <v>Rice</v>
      </c>
      <c r="H1695" s="129">
        <f>_xlfn.XLOOKUP(G1695,'[1]T&amp;C emissions for 2050 analysis'!$B$3:$B$23,'[1]T&amp;C emissions for 2050 analysis'!$C$3:$C$23)</f>
        <v>0.51333333333333331</v>
      </c>
      <c r="I1695" s="27">
        <f t="shared" si="78"/>
        <v>42.15603759238666</v>
      </c>
      <c r="J1695" s="129">
        <f t="shared" si="79"/>
        <v>762.39804666666669</v>
      </c>
    </row>
    <row r="1696" spans="1:10" hidden="1" x14ac:dyDescent="0.35">
      <c r="A1696" s="126" t="s">
        <v>428</v>
      </c>
      <c r="B1696" t="str">
        <f>_xlfn.XLOOKUP(A1696,'[1]2050Pop'!$A$7:$A$143,'[1]2050Pop'!$D$7:$D$143)</f>
        <v>SSA</v>
      </c>
      <c r="C1696" s="127">
        <f>1000*_xlfn.XLOOKUP(A1696,'[1]2050Pop'!$A$7:$A$143,'[1]2050Pop'!$C$7:$C$143)</f>
        <v>43155</v>
      </c>
      <c r="D1696" s="126" t="s">
        <v>507</v>
      </c>
      <c r="E1696" s="128">
        <v>72.813000000000002</v>
      </c>
      <c r="F1696" s="129">
        <f t="shared" si="80"/>
        <v>3.1422450150000003</v>
      </c>
      <c r="G1696" t="str">
        <f>_xlfn.XLOOKUP(D1696,'[1]2050 BAU Mapping to T &amp; C'!$A$3:$A$52,'[1]2050 BAU Mapping to T &amp; C'!$B$3:$B$52)</f>
        <v>Rice</v>
      </c>
      <c r="H1696" s="129">
        <f>_xlfn.XLOOKUP(G1696,'[1]T&amp;C emissions for 2050 analysis'!$B$3:$B$23,'[1]T&amp;C emissions for 2050 analysis'!$C$3:$C$23)</f>
        <v>0.51333333333333331</v>
      </c>
      <c r="I1696" s="27">
        <f t="shared" si="78"/>
        <v>1.6130191077</v>
      </c>
      <c r="J1696" s="129">
        <f t="shared" si="79"/>
        <v>37.377339999999997</v>
      </c>
    </row>
    <row r="1697" spans="1:10" hidden="1" x14ac:dyDescent="0.35">
      <c r="A1697" s="126" t="s">
        <v>429</v>
      </c>
      <c r="B1697" t="str">
        <f>_xlfn.XLOOKUP(A1697,'[1]2050Pop'!$A$7:$A$143,'[1]2050Pop'!$D$7:$D$143)</f>
        <v>APAC</v>
      </c>
      <c r="C1697" s="127">
        <f>1000*_xlfn.XLOOKUP(A1697,'[1]2050Pop'!$A$7:$A$143,'[1]2050Pop'!$C$7:$C$143)</f>
        <v>40725</v>
      </c>
      <c r="D1697" s="126" t="s">
        <v>507</v>
      </c>
      <c r="E1697" s="128">
        <v>801.66899999999998</v>
      </c>
      <c r="F1697" s="129">
        <f t="shared" si="80"/>
        <v>32.647970024999999</v>
      </c>
      <c r="G1697" t="str">
        <f>_xlfn.XLOOKUP(D1697,'[1]2050 BAU Mapping to T &amp; C'!$A$3:$A$52,'[1]2050 BAU Mapping to T &amp; C'!$B$3:$B$52)</f>
        <v>Rice</v>
      </c>
      <c r="H1697" s="129">
        <f>_xlfn.XLOOKUP(G1697,'[1]T&amp;C emissions for 2050 analysis'!$B$3:$B$23,'[1]T&amp;C emissions for 2050 analysis'!$C$3:$C$23)</f>
        <v>0.51333333333333331</v>
      </c>
      <c r="I1697" s="27">
        <f t="shared" si="78"/>
        <v>16.759291279499998</v>
      </c>
      <c r="J1697" s="129">
        <f t="shared" si="79"/>
        <v>411.52341999999999</v>
      </c>
    </row>
    <row r="1698" spans="1:10" hidden="1" x14ac:dyDescent="0.35">
      <c r="A1698" s="126" t="s">
        <v>430</v>
      </c>
      <c r="B1698" t="str">
        <f>_xlfn.XLOOKUP(A1698,'[1]2050Pop'!$A$7:$A$143,'[1]2050Pop'!$D$7:$D$143)</f>
        <v>SSA</v>
      </c>
      <c r="C1698" s="127">
        <f>1000*_xlfn.XLOOKUP(A1698,'[1]2050Pop'!$A$7:$A$143,'[1]2050Pop'!$C$7:$C$143)</f>
        <v>45404</v>
      </c>
      <c r="D1698" s="126" t="s">
        <v>507</v>
      </c>
      <c r="E1698" s="128">
        <v>775.03499999999997</v>
      </c>
      <c r="F1698" s="129">
        <f t="shared" si="80"/>
        <v>35.189689139999999</v>
      </c>
      <c r="G1698" t="str">
        <f>_xlfn.XLOOKUP(D1698,'[1]2050 BAU Mapping to T &amp; C'!$A$3:$A$52,'[1]2050 BAU Mapping to T &amp; C'!$B$3:$B$52)</f>
        <v>Rice</v>
      </c>
      <c r="H1698" s="129">
        <f>_xlfn.XLOOKUP(G1698,'[1]T&amp;C emissions for 2050 analysis'!$B$3:$B$23,'[1]T&amp;C emissions for 2050 analysis'!$C$3:$C$23)</f>
        <v>0.51333333333333331</v>
      </c>
      <c r="I1698" s="27">
        <f t="shared" si="78"/>
        <v>18.064040425199998</v>
      </c>
      <c r="J1698" s="129">
        <f t="shared" si="79"/>
        <v>397.85129999999998</v>
      </c>
    </row>
    <row r="1699" spans="1:10" hidden="1" x14ac:dyDescent="0.35">
      <c r="A1699" s="126" t="s">
        <v>431</v>
      </c>
      <c r="B1699" t="str">
        <f>_xlfn.XLOOKUP(A1699,'[1]2050Pop'!$A$7:$A$143,'[1]2050Pop'!$D$7:$D$143)</f>
        <v>SSA</v>
      </c>
      <c r="C1699" s="127">
        <f>1000*_xlfn.XLOOKUP(A1699,'[1]2050Pop'!$A$7:$A$143,'[1]2050Pop'!$C$7:$C$143)</f>
        <v>8048.9999999999991</v>
      </c>
      <c r="D1699" s="126" t="s">
        <v>507</v>
      </c>
      <c r="E1699" s="128">
        <v>573.69899999999996</v>
      </c>
      <c r="F1699" s="129">
        <f t="shared" si="80"/>
        <v>4.6177032509999991</v>
      </c>
      <c r="G1699" t="str">
        <f>_xlfn.XLOOKUP(D1699,'[1]2050 BAU Mapping to T &amp; C'!$A$3:$A$52,'[1]2050 BAU Mapping to T &amp; C'!$B$3:$B$52)</f>
        <v>Rice</v>
      </c>
      <c r="H1699" s="129">
        <f>_xlfn.XLOOKUP(G1699,'[1]T&amp;C emissions for 2050 analysis'!$B$3:$B$23,'[1]T&amp;C emissions for 2050 analysis'!$C$3:$C$23)</f>
        <v>0.51333333333333331</v>
      </c>
      <c r="I1699" s="27">
        <f t="shared" si="78"/>
        <v>2.3704210021799996</v>
      </c>
      <c r="J1699" s="129">
        <f t="shared" si="79"/>
        <v>294.49881999999997</v>
      </c>
    </row>
    <row r="1700" spans="1:10" hidden="1" x14ac:dyDescent="0.35">
      <c r="A1700" s="126" t="s">
        <v>432</v>
      </c>
      <c r="B1700" t="str">
        <f>_xlfn.XLOOKUP(A1700,'[1]2050Pop'!$A$7:$A$143,'[1]2050Pop'!$D$7:$D$143)</f>
        <v>SSA</v>
      </c>
      <c r="C1700" s="127">
        <f>1000*_xlfn.XLOOKUP(A1700,'[1]2050Pop'!$A$7:$A$143,'[1]2050Pop'!$C$7:$C$143)</f>
        <v>1249</v>
      </c>
      <c r="D1700" s="126" t="s">
        <v>507</v>
      </c>
      <c r="E1700" s="128">
        <v>532.21699999999998</v>
      </c>
      <c r="F1700" s="129">
        <f t="shared" si="80"/>
        <v>0.66473903299999992</v>
      </c>
      <c r="G1700" t="str">
        <f>_xlfn.XLOOKUP(D1700,'[1]2050 BAU Mapping to T &amp; C'!$A$3:$A$52,'[1]2050 BAU Mapping to T &amp; C'!$B$3:$B$52)</f>
        <v>Rice</v>
      </c>
      <c r="H1700" s="129">
        <f>_xlfn.XLOOKUP(G1700,'[1]T&amp;C emissions for 2050 analysis'!$B$3:$B$23,'[1]T&amp;C emissions for 2050 analysis'!$C$3:$C$23)</f>
        <v>0.51333333333333331</v>
      </c>
      <c r="I1700" s="27">
        <f t="shared" si="78"/>
        <v>0.34123270360666663</v>
      </c>
      <c r="J1700" s="129">
        <f t="shared" si="79"/>
        <v>273.20472666666666</v>
      </c>
    </row>
    <row r="1701" spans="1:10" hidden="1" x14ac:dyDescent="0.35">
      <c r="A1701" s="126" t="s">
        <v>433</v>
      </c>
      <c r="B1701" t="str">
        <f>_xlfn.XLOOKUP(A1701,'[1]2050Pop'!$A$7:$A$143,'[1]2050Pop'!$D$7:$D$143)</f>
        <v>LatAm &amp; RSA</v>
      </c>
      <c r="C1701" s="127">
        <f>1000*_xlfn.XLOOKUP(A1701,'[1]2050Pop'!$A$7:$A$143,'[1]2050Pop'!$C$7:$C$143)</f>
        <v>163754</v>
      </c>
      <c r="D1701" s="126" t="s">
        <v>507</v>
      </c>
      <c r="E1701" s="128">
        <v>73.570999999999998</v>
      </c>
      <c r="F1701" s="129">
        <f t="shared" si="80"/>
        <v>12.047545533999999</v>
      </c>
      <c r="G1701" t="str">
        <f>_xlfn.XLOOKUP(D1701,'[1]2050 BAU Mapping to T &amp; C'!$A$3:$A$52,'[1]2050 BAU Mapping to T &amp; C'!$B$3:$B$52)</f>
        <v>Rice</v>
      </c>
      <c r="H1701" s="129">
        <f>_xlfn.XLOOKUP(G1701,'[1]T&amp;C emissions for 2050 analysis'!$B$3:$B$23,'[1]T&amp;C emissions for 2050 analysis'!$C$3:$C$23)</f>
        <v>0.51333333333333331</v>
      </c>
      <c r="I1701" s="27">
        <f t="shared" si="78"/>
        <v>6.1844067074533324</v>
      </c>
      <c r="J1701" s="129">
        <f t="shared" si="79"/>
        <v>37.766446666666667</v>
      </c>
    </row>
    <row r="1702" spans="1:10" hidden="1" x14ac:dyDescent="0.35">
      <c r="A1702" s="126" t="s">
        <v>434</v>
      </c>
      <c r="B1702" t="str">
        <f>_xlfn.XLOOKUP(A1702,'[1]2050Pop'!$A$7:$A$143,'[1]2050Pop'!$D$7:$D$143)</f>
        <v>APAC</v>
      </c>
      <c r="C1702" s="127">
        <f>1000*_xlfn.XLOOKUP(A1702,'[1]2050Pop'!$A$7:$A$143,'[1]2050Pop'!$C$7:$C$143)</f>
        <v>4027.9999999999995</v>
      </c>
      <c r="D1702" s="126" t="s">
        <v>507</v>
      </c>
      <c r="E1702" s="128">
        <v>87.888999999999996</v>
      </c>
      <c r="F1702" s="129">
        <f t="shared" si="80"/>
        <v>0.35401689199999992</v>
      </c>
      <c r="G1702" t="str">
        <f>_xlfn.XLOOKUP(D1702,'[1]2050 BAU Mapping to T &amp; C'!$A$3:$A$52,'[1]2050 BAU Mapping to T &amp; C'!$B$3:$B$52)</f>
        <v>Rice</v>
      </c>
      <c r="H1702" s="129">
        <f>_xlfn.XLOOKUP(G1702,'[1]T&amp;C emissions for 2050 analysis'!$B$3:$B$23,'[1]T&amp;C emissions for 2050 analysis'!$C$3:$C$23)</f>
        <v>0.51333333333333331</v>
      </c>
      <c r="I1702" s="27">
        <f t="shared" si="78"/>
        <v>0.18172867122666661</v>
      </c>
      <c r="J1702" s="129">
        <f t="shared" si="79"/>
        <v>45.116353333333329</v>
      </c>
    </row>
    <row r="1703" spans="1:10" hidden="1" x14ac:dyDescent="0.35">
      <c r="A1703" s="126" t="s">
        <v>435</v>
      </c>
      <c r="B1703" t="str">
        <f>_xlfn.XLOOKUP(A1703,'[1]2050Pop'!$A$7:$A$143,'[1]2050Pop'!$D$7:$D$143)</f>
        <v>MENA</v>
      </c>
      <c r="C1703" s="127">
        <f>1000*_xlfn.XLOOKUP(A1703,'[1]2050Pop'!$A$7:$A$143,'[1]2050Pop'!$C$7:$C$143)</f>
        <v>43696</v>
      </c>
      <c r="D1703" s="126" t="s">
        <v>507</v>
      </c>
      <c r="E1703" s="130">
        <v>13.06</v>
      </c>
      <c r="F1703" s="129">
        <f t="shared" si="80"/>
        <v>0.57066976000000003</v>
      </c>
      <c r="G1703" t="str">
        <f>_xlfn.XLOOKUP(D1703,'[1]2050 BAU Mapping to T &amp; C'!$A$3:$A$52,'[1]2050 BAU Mapping to T &amp; C'!$B$3:$B$52)</f>
        <v>Rice</v>
      </c>
      <c r="H1703" s="129">
        <f>_xlfn.XLOOKUP(G1703,'[1]T&amp;C emissions for 2050 analysis'!$B$3:$B$23,'[1]T&amp;C emissions for 2050 analysis'!$C$3:$C$23)</f>
        <v>0.51333333333333331</v>
      </c>
      <c r="I1703" s="27">
        <f t="shared" si="78"/>
        <v>0.29294381013333332</v>
      </c>
      <c r="J1703" s="129">
        <f t="shared" si="79"/>
        <v>6.7041333333333331</v>
      </c>
    </row>
    <row r="1704" spans="1:10" hidden="1" x14ac:dyDescent="0.35">
      <c r="A1704" s="126" t="s">
        <v>436</v>
      </c>
      <c r="B1704" t="str">
        <f>_xlfn.XLOOKUP(A1704,'[1]2050Pop'!$A$7:$A$143,'[1]2050Pop'!$D$7:$D$143)</f>
        <v>SSA</v>
      </c>
      <c r="C1704" s="127">
        <f>1000*_xlfn.XLOOKUP(A1704,'[1]2050Pop'!$A$7:$A$143,'[1]2050Pop'!$C$7:$C$143)</f>
        <v>65544</v>
      </c>
      <c r="D1704" s="126" t="s">
        <v>507</v>
      </c>
      <c r="E1704" s="128">
        <v>262.137</v>
      </c>
      <c r="F1704" s="129">
        <f t="shared" si="80"/>
        <v>17.181507528000001</v>
      </c>
      <c r="G1704" t="str">
        <f>_xlfn.XLOOKUP(D1704,'[1]2050 BAU Mapping to T &amp; C'!$A$3:$A$52,'[1]2050 BAU Mapping to T &amp; C'!$B$3:$B$52)</f>
        <v>Rice</v>
      </c>
      <c r="H1704" s="129">
        <f>_xlfn.XLOOKUP(G1704,'[1]T&amp;C emissions for 2050 analysis'!$B$3:$B$23,'[1]T&amp;C emissions for 2050 analysis'!$C$3:$C$23)</f>
        <v>0.51333333333333331</v>
      </c>
      <c r="I1704" s="27">
        <f t="shared" si="78"/>
        <v>8.8198405310400005</v>
      </c>
      <c r="J1704" s="129">
        <f t="shared" si="79"/>
        <v>134.56366</v>
      </c>
    </row>
    <row r="1705" spans="1:10" hidden="1" x14ac:dyDescent="0.35">
      <c r="A1705" s="126" t="s">
        <v>490</v>
      </c>
      <c r="B1705" t="str">
        <f>_xlfn.XLOOKUP(A1705,'[1]2050Pop'!$A$7:$A$143,'[1]2050Pop'!$D$7:$D$143)</f>
        <v>APAC</v>
      </c>
      <c r="C1705" s="127">
        <f>1000*_xlfn.XLOOKUP(A1705,'[1]2050Pop'!$A$7:$A$143,'[1]2050Pop'!$C$7:$C$143)</f>
        <v>63575</v>
      </c>
      <c r="D1705" s="126" t="s">
        <v>507</v>
      </c>
      <c r="E1705" s="128">
        <v>1185.4949999999999</v>
      </c>
      <c r="F1705" s="129">
        <f t="shared" si="80"/>
        <v>75.367844625000004</v>
      </c>
      <c r="G1705" t="str">
        <f>_xlfn.XLOOKUP(D1705,'[1]2050 BAU Mapping to T &amp; C'!$A$3:$A$52,'[1]2050 BAU Mapping to T &amp; C'!$B$3:$B$52)</f>
        <v>Rice</v>
      </c>
      <c r="H1705" s="129">
        <f>_xlfn.XLOOKUP(G1705,'[1]T&amp;C emissions for 2050 analysis'!$B$3:$B$23,'[1]T&amp;C emissions for 2050 analysis'!$C$3:$C$23)</f>
        <v>0.51333333333333331</v>
      </c>
      <c r="I1705" s="27">
        <f t="shared" si="78"/>
        <v>38.688826907500001</v>
      </c>
      <c r="J1705" s="129">
        <f t="shared" si="79"/>
        <v>608.55409999999995</v>
      </c>
    </row>
    <row r="1706" spans="1:10" hidden="1" x14ac:dyDescent="0.35">
      <c r="A1706" s="126" t="s">
        <v>437</v>
      </c>
      <c r="B1706" t="str">
        <f>_xlfn.XLOOKUP(A1706,'[1]2050Pop'!$A$7:$A$143,'[1]2050Pop'!$D$7:$D$143)</f>
        <v>SSA</v>
      </c>
      <c r="C1706" s="127">
        <f>1000*_xlfn.XLOOKUP(A1706,'[1]2050Pop'!$A$7:$A$143,'[1]2050Pop'!$C$7:$C$143)</f>
        <v>4322</v>
      </c>
      <c r="D1706" s="126" t="s">
        <v>507</v>
      </c>
      <c r="E1706" s="128">
        <v>69.694999999999993</v>
      </c>
      <c r="F1706" s="129">
        <f t="shared" si="80"/>
        <v>0.30122178999999999</v>
      </c>
      <c r="G1706" t="str">
        <f>_xlfn.XLOOKUP(D1706,'[1]2050 BAU Mapping to T &amp; C'!$A$3:$A$52,'[1]2050 BAU Mapping to T &amp; C'!$B$3:$B$52)</f>
        <v>Rice</v>
      </c>
      <c r="H1706" s="129">
        <f>_xlfn.XLOOKUP(G1706,'[1]T&amp;C emissions for 2050 analysis'!$B$3:$B$23,'[1]T&amp;C emissions for 2050 analysis'!$C$3:$C$23)</f>
        <v>0.51333333333333331</v>
      </c>
      <c r="I1706" s="27">
        <f t="shared" si="78"/>
        <v>0.15462718553333332</v>
      </c>
      <c r="J1706" s="129">
        <f t="shared" si="79"/>
        <v>35.77676666666666</v>
      </c>
    </row>
    <row r="1707" spans="1:10" hidden="1" x14ac:dyDescent="0.35">
      <c r="A1707" s="126" t="s">
        <v>438</v>
      </c>
      <c r="B1707" t="str">
        <f>_xlfn.XLOOKUP(A1707,'[1]2050Pop'!$A$7:$A$143,'[1]2050Pop'!$D$7:$D$143)</f>
        <v>India/South Asia</v>
      </c>
      <c r="C1707" s="127">
        <f>1000*_xlfn.XLOOKUP(A1707,'[1]2050Pop'!$A$7:$A$143,'[1]2050Pop'!$C$7:$C$143)</f>
        <v>36159</v>
      </c>
      <c r="D1707" s="126" t="s">
        <v>507</v>
      </c>
      <c r="E1707" s="128">
        <v>940.72699999999998</v>
      </c>
      <c r="F1707" s="129">
        <f t="shared" si="80"/>
        <v>34.015747593</v>
      </c>
      <c r="G1707" t="str">
        <f>_xlfn.XLOOKUP(D1707,'[1]2050 BAU Mapping to T &amp; C'!$A$3:$A$52,'[1]2050 BAU Mapping to T &amp; C'!$B$3:$B$52)</f>
        <v>Rice</v>
      </c>
      <c r="H1707" s="129">
        <f>_xlfn.XLOOKUP(G1707,'[1]T&amp;C emissions for 2050 analysis'!$B$3:$B$23,'[1]T&amp;C emissions for 2050 analysis'!$C$3:$C$23)</f>
        <v>0.51333333333333331</v>
      </c>
      <c r="I1707" s="27">
        <f t="shared" si="78"/>
        <v>17.46141709774</v>
      </c>
      <c r="J1707" s="129">
        <f t="shared" si="79"/>
        <v>482.90652666666665</v>
      </c>
    </row>
    <row r="1708" spans="1:10" hidden="1" x14ac:dyDescent="0.35">
      <c r="A1708" s="126" t="s">
        <v>439</v>
      </c>
      <c r="B1708" t="str">
        <f>_xlfn.XLOOKUP(A1708,'[1]2050Pop'!$A$7:$A$143,'[1]2050Pop'!$D$7:$D$143)</f>
        <v>Euro/AU/NZ</v>
      </c>
      <c r="C1708" s="127">
        <f>1000*_xlfn.XLOOKUP(A1708,'[1]2050Pop'!$A$7:$A$143,'[1]2050Pop'!$C$7:$C$143)</f>
        <v>17602</v>
      </c>
      <c r="D1708" s="126" t="s">
        <v>507</v>
      </c>
      <c r="E1708" s="128">
        <v>33.625</v>
      </c>
      <c r="F1708" s="129">
        <f t="shared" si="80"/>
        <v>0.59186724999999996</v>
      </c>
      <c r="G1708" t="str">
        <f>_xlfn.XLOOKUP(D1708,'[1]2050 BAU Mapping to T &amp; C'!$A$3:$A$52,'[1]2050 BAU Mapping to T &amp; C'!$B$3:$B$52)</f>
        <v>Rice</v>
      </c>
      <c r="H1708" s="129">
        <f>_xlfn.XLOOKUP(G1708,'[1]T&amp;C emissions for 2050 analysis'!$B$3:$B$23,'[1]T&amp;C emissions for 2050 analysis'!$C$3:$C$23)</f>
        <v>0.51333333333333331</v>
      </c>
      <c r="I1708" s="27">
        <f t="shared" si="78"/>
        <v>0.30382518833333327</v>
      </c>
      <c r="J1708" s="129">
        <f t="shared" si="79"/>
        <v>17.260833333333334</v>
      </c>
    </row>
    <row r="1709" spans="1:10" hidden="1" x14ac:dyDescent="0.35">
      <c r="A1709" s="126" t="s">
        <v>440</v>
      </c>
      <c r="B1709" t="str">
        <f>_xlfn.XLOOKUP(A1709,'[1]2050Pop'!$A$7:$A$143,'[1]2050Pop'!$D$7:$D$143)</f>
        <v>Euro/AU/NZ</v>
      </c>
      <c r="C1709" s="127">
        <f>1000*_xlfn.XLOOKUP(A1709,'[1]2050Pop'!$A$7:$A$143,'[1]2050Pop'!$C$7:$C$143)</f>
        <v>5607</v>
      </c>
      <c r="D1709" s="126" t="s">
        <v>507</v>
      </c>
      <c r="E1709" s="128">
        <v>98.161000000000001</v>
      </c>
      <c r="F1709" s="129">
        <f t="shared" si="80"/>
        <v>0.55038872699999997</v>
      </c>
      <c r="G1709" t="str">
        <f>_xlfn.XLOOKUP(D1709,'[1]2050 BAU Mapping to T &amp; C'!$A$3:$A$52,'[1]2050 BAU Mapping to T &amp; C'!$B$3:$B$52)</f>
        <v>Rice</v>
      </c>
      <c r="H1709" s="129">
        <f>_xlfn.XLOOKUP(G1709,'[1]T&amp;C emissions for 2050 analysis'!$B$3:$B$23,'[1]T&amp;C emissions for 2050 analysis'!$C$3:$C$23)</f>
        <v>0.51333333333333331</v>
      </c>
      <c r="I1709" s="27">
        <f t="shared" si="78"/>
        <v>0.28253287985999997</v>
      </c>
      <c r="J1709" s="129">
        <f t="shared" si="79"/>
        <v>50.389313333333334</v>
      </c>
    </row>
    <row r="1710" spans="1:10" hidden="1" x14ac:dyDescent="0.35">
      <c r="A1710" s="126" t="s">
        <v>441</v>
      </c>
      <c r="B1710" t="str">
        <f>_xlfn.XLOOKUP(A1710,'[1]2050Pop'!$A$7:$A$143,'[1]2050Pop'!$D$7:$D$143)</f>
        <v>LatAm &amp; RSA</v>
      </c>
      <c r="C1710" s="127">
        <f>1000*_xlfn.XLOOKUP(A1710,'[1]2050Pop'!$A$7:$A$143,'[1]2050Pop'!$C$7:$C$143)</f>
        <v>7863</v>
      </c>
      <c r="D1710" s="126" t="s">
        <v>507</v>
      </c>
      <c r="E1710" s="128">
        <v>456.392</v>
      </c>
      <c r="F1710" s="129">
        <f t="shared" si="80"/>
        <v>3.5886102960000001</v>
      </c>
      <c r="G1710" t="str">
        <f>_xlfn.XLOOKUP(D1710,'[1]2050 BAU Mapping to T &amp; C'!$A$3:$A$52,'[1]2050 BAU Mapping to T &amp; C'!$B$3:$B$52)</f>
        <v>Rice</v>
      </c>
      <c r="H1710" s="129">
        <f>_xlfn.XLOOKUP(G1710,'[1]T&amp;C emissions for 2050 analysis'!$B$3:$B$23,'[1]T&amp;C emissions for 2050 analysis'!$C$3:$C$23)</f>
        <v>0.51333333333333331</v>
      </c>
      <c r="I1710" s="27">
        <f t="shared" si="78"/>
        <v>1.84215328528</v>
      </c>
      <c r="J1710" s="129">
        <f t="shared" si="79"/>
        <v>234.28122666666664</v>
      </c>
    </row>
    <row r="1711" spans="1:10" hidden="1" x14ac:dyDescent="0.35">
      <c r="A1711" s="126" t="s">
        <v>482</v>
      </c>
      <c r="B1711" t="str">
        <f>_xlfn.XLOOKUP(A1711,'[1]2050Pop'!$A$7:$A$143,'[1]2050Pop'!$D$7:$D$143)</f>
        <v>SSA</v>
      </c>
      <c r="C1711" s="127">
        <f>1000*_xlfn.XLOOKUP(A1711,'[1]2050Pop'!$A$7:$A$143,'[1]2050Pop'!$C$7:$C$143)</f>
        <v>72238</v>
      </c>
      <c r="D1711" s="126" t="s">
        <v>507</v>
      </c>
      <c r="E1711" s="128">
        <v>143.042</v>
      </c>
      <c r="F1711" s="129">
        <f t="shared" si="80"/>
        <v>10.333067995999999</v>
      </c>
      <c r="G1711" t="str">
        <f>_xlfn.XLOOKUP(D1711,'[1]2050 BAU Mapping to T &amp; C'!$A$3:$A$52,'[1]2050 BAU Mapping to T &amp; C'!$B$3:$B$52)</f>
        <v>Rice</v>
      </c>
      <c r="H1711" s="129">
        <f>_xlfn.XLOOKUP(G1711,'[1]T&amp;C emissions for 2050 analysis'!$B$3:$B$23,'[1]T&amp;C emissions for 2050 analysis'!$C$3:$C$23)</f>
        <v>0.51333333333333331</v>
      </c>
      <c r="I1711" s="27">
        <f t="shared" si="78"/>
        <v>5.3043082379466657</v>
      </c>
      <c r="J1711" s="129">
        <f t="shared" si="79"/>
        <v>73.42822666666666</v>
      </c>
    </row>
    <row r="1712" spans="1:10" hidden="1" x14ac:dyDescent="0.35">
      <c r="A1712" s="126" t="s">
        <v>491</v>
      </c>
      <c r="B1712" t="str">
        <f>_xlfn.XLOOKUP(A1712,'[1]2050Pop'!$A$7:$A$143,'[1]2050Pop'!$D$7:$D$143)</f>
        <v>SSA</v>
      </c>
      <c r="C1712" s="127">
        <f>1000*_xlfn.XLOOKUP(A1712,'[1]2050Pop'!$A$7:$A$143,'[1]2050Pop'!$C$7:$C$143)</f>
        <v>398508</v>
      </c>
      <c r="D1712" s="126" t="s">
        <v>507</v>
      </c>
      <c r="E1712" s="128">
        <v>366.06400000000002</v>
      </c>
      <c r="F1712" s="129">
        <f t="shared" si="80"/>
        <v>145.87943251199999</v>
      </c>
      <c r="G1712" t="str">
        <f>_xlfn.XLOOKUP(D1712,'[1]2050 BAU Mapping to T &amp; C'!$A$3:$A$52,'[1]2050 BAU Mapping to T &amp; C'!$B$3:$B$52)</f>
        <v>Rice</v>
      </c>
      <c r="H1712" s="129">
        <f>_xlfn.XLOOKUP(G1712,'[1]T&amp;C emissions for 2050 analysis'!$B$3:$B$23,'[1]T&amp;C emissions for 2050 analysis'!$C$3:$C$23)</f>
        <v>0.51333333333333331</v>
      </c>
      <c r="I1712" s="27">
        <f t="shared" si="78"/>
        <v>74.884775356159992</v>
      </c>
      <c r="J1712" s="129">
        <f t="shared" si="79"/>
        <v>187.91285333333335</v>
      </c>
    </row>
    <row r="1713" spans="1:10" hidden="1" x14ac:dyDescent="0.35">
      <c r="A1713" s="126" t="s">
        <v>442</v>
      </c>
      <c r="B1713" t="str">
        <f>_xlfn.XLOOKUP(A1713,'[1]2050Pop'!$A$7:$A$143,'[1]2050Pop'!$D$7:$D$143)</f>
        <v>Euro/AU/NZ</v>
      </c>
      <c r="C1713" s="127">
        <f>1000*_xlfn.XLOOKUP(A1713,'[1]2050Pop'!$A$7:$A$143,'[1]2050Pop'!$C$7:$C$143)</f>
        <v>6658</v>
      </c>
      <c r="D1713" s="126" t="s">
        <v>507</v>
      </c>
      <c r="E1713" s="128">
        <v>50.689</v>
      </c>
      <c r="F1713" s="129">
        <f t="shared" si="80"/>
        <v>0.33748736200000001</v>
      </c>
      <c r="G1713" t="str">
        <f>_xlfn.XLOOKUP(D1713,'[1]2050 BAU Mapping to T &amp; C'!$A$3:$A$52,'[1]2050 BAU Mapping to T &amp; C'!$B$3:$B$52)</f>
        <v>Rice</v>
      </c>
      <c r="H1713" s="129">
        <f>_xlfn.XLOOKUP(G1713,'[1]T&amp;C emissions for 2050 analysis'!$B$3:$B$23,'[1]T&amp;C emissions for 2050 analysis'!$C$3:$C$23)</f>
        <v>0.51333333333333331</v>
      </c>
      <c r="I1713" s="27">
        <f t="shared" si="78"/>
        <v>0.17324351249333333</v>
      </c>
      <c r="J1713" s="129">
        <f t="shared" si="79"/>
        <v>26.020353333333333</v>
      </c>
    </row>
    <row r="1714" spans="1:10" hidden="1" x14ac:dyDescent="0.35">
      <c r="A1714" s="126" t="s">
        <v>443</v>
      </c>
      <c r="B1714" t="str">
        <f>_xlfn.XLOOKUP(A1714,'[1]2050Pop'!$A$7:$A$143,'[1]2050Pop'!$D$7:$D$143)</f>
        <v>India/South Asia</v>
      </c>
      <c r="C1714" s="127">
        <f>1000*_xlfn.XLOOKUP(A1714,'[1]2050Pop'!$A$7:$A$143,'[1]2050Pop'!$C$7:$C$143)</f>
        <v>309640</v>
      </c>
      <c r="D1714" s="126" t="s">
        <v>507</v>
      </c>
      <c r="E1714" s="128">
        <v>153.089</v>
      </c>
      <c r="F1714" s="129">
        <f t="shared" si="80"/>
        <v>47.402477959999999</v>
      </c>
      <c r="G1714" t="str">
        <f>_xlfn.XLOOKUP(D1714,'[1]2050 BAU Mapping to T &amp; C'!$A$3:$A$52,'[1]2050 BAU Mapping to T &amp; C'!$B$3:$B$52)</f>
        <v>Rice</v>
      </c>
      <c r="H1714" s="129">
        <f>_xlfn.XLOOKUP(G1714,'[1]T&amp;C emissions for 2050 analysis'!$B$3:$B$23,'[1]T&amp;C emissions for 2050 analysis'!$C$3:$C$23)</f>
        <v>0.51333333333333331</v>
      </c>
      <c r="I1714" s="27">
        <f t="shared" si="78"/>
        <v>24.333272019466666</v>
      </c>
      <c r="J1714" s="129">
        <f t="shared" si="79"/>
        <v>78.58568666666666</v>
      </c>
    </row>
    <row r="1715" spans="1:10" hidden="1" x14ac:dyDescent="0.35">
      <c r="A1715" s="126" t="s">
        <v>444</v>
      </c>
      <c r="B1715" t="str">
        <f>_xlfn.XLOOKUP(A1715,'[1]2050Pop'!$A$7:$A$143,'[1]2050Pop'!$D$7:$D$143)</f>
        <v>LatAm &amp; RSA</v>
      </c>
      <c r="C1715" s="127">
        <f>1000*_xlfn.XLOOKUP(A1715,'[1]2050Pop'!$A$7:$A$143,'[1]2050Pop'!$C$7:$C$143)</f>
        <v>5599</v>
      </c>
      <c r="D1715" s="126" t="s">
        <v>507</v>
      </c>
      <c r="E1715" s="128">
        <v>656.57799999999997</v>
      </c>
      <c r="F1715" s="129">
        <f t="shared" si="80"/>
        <v>3.6761802220000002</v>
      </c>
      <c r="G1715" t="str">
        <f>_xlfn.XLOOKUP(D1715,'[1]2050 BAU Mapping to T &amp; C'!$A$3:$A$52,'[1]2050 BAU Mapping to T &amp; C'!$B$3:$B$52)</f>
        <v>Rice</v>
      </c>
      <c r="H1715" s="129">
        <f>_xlfn.XLOOKUP(G1715,'[1]T&amp;C emissions for 2050 analysis'!$B$3:$B$23,'[1]T&amp;C emissions for 2050 analysis'!$C$3:$C$23)</f>
        <v>0.51333333333333331</v>
      </c>
      <c r="I1715" s="27">
        <f t="shared" si="78"/>
        <v>1.8871058472933333</v>
      </c>
      <c r="J1715" s="129">
        <f t="shared" si="79"/>
        <v>337.04337333333331</v>
      </c>
    </row>
    <row r="1716" spans="1:10" hidden="1" x14ac:dyDescent="0.35">
      <c r="A1716" s="126" t="s">
        <v>445</v>
      </c>
      <c r="B1716" t="str">
        <f>_xlfn.XLOOKUP(A1716,'[1]2050Pop'!$A$7:$A$143,'[1]2050Pop'!$D$7:$D$143)</f>
        <v>LatAm &amp; RSA</v>
      </c>
      <c r="C1716" s="127">
        <f>1000*_xlfn.XLOOKUP(A1716,'[1]2050Pop'!$A$7:$A$143,'[1]2050Pop'!$C$7:$C$143)</f>
        <v>8895</v>
      </c>
      <c r="D1716" s="126" t="s">
        <v>507</v>
      </c>
      <c r="E1716" s="128">
        <v>67.587999999999994</v>
      </c>
      <c r="F1716" s="129">
        <f t="shared" si="80"/>
        <v>0.6011952599999999</v>
      </c>
      <c r="G1716" t="str">
        <f>_xlfn.XLOOKUP(D1716,'[1]2050 BAU Mapping to T &amp; C'!$A$3:$A$52,'[1]2050 BAU Mapping to T &amp; C'!$B$3:$B$52)</f>
        <v>Rice</v>
      </c>
      <c r="H1716" s="129">
        <f>_xlfn.XLOOKUP(G1716,'[1]T&amp;C emissions for 2050 analysis'!$B$3:$B$23,'[1]T&amp;C emissions for 2050 analysis'!$C$3:$C$23)</f>
        <v>0.51333333333333331</v>
      </c>
      <c r="I1716" s="27">
        <f t="shared" si="78"/>
        <v>0.30861356679999991</v>
      </c>
      <c r="J1716" s="129">
        <f t="shared" si="79"/>
        <v>34.695173333333329</v>
      </c>
    </row>
    <row r="1717" spans="1:10" hidden="1" x14ac:dyDescent="0.35">
      <c r="A1717" s="126" t="s">
        <v>446</v>
      </c>
      <c r="B1717" t="str">
        <f>_xlfn.XLOOKUP(A1717,'[1]2050Pop'!$A$7:$A$143,'[1]2050Pop'!$D$7:$D$143)</f>
        <v>LatAm &amp; RSA</v>
      </c>
      <c r="C1717" s="127">
        <f>1000*_xlfn.XLOOKUP(A1717,'[1]2050Pop'!$A$7:$A$143,'[1]2050Pop'!$C$7:$C$143)</f>
        <v>41899</v>
      </c>
      <c r="D1717" s="126" t="s">
        <v>507</v>
      </c>
      <c r="E1717" s="128">
        <v>596.87300000000005</v>
      </c>
      <c r="F1717" s="129">
        <f t="shared" si="80"/>
        <v>25.008381827000004</v>
      </c>
      <c r="G1717" t="str">
        <f>_xlfn.XLOOKUP(D1717,'[1]2050 BAU Mapping to T &amp; C'!$A$3:$A$52,'[1]2050 BAU Mapping to T &amp; C'!$B$3:$B$52)</f>
        <v>Rice</v>
      </c>
      <c r="H1717" s="129">
        <f>_xlfn.XLOOKUP(G1717,'[1]T&amp;C emissions for 2050 analysis'!$B$3:$B$23,'[1]T&amp;C emissions for 2050 analysis'!$C$3:$C$23)</f>
        <v>0.51333333333333331</v>
      </c>
      <c r="I1717" s="27">
        <f t="shared" si="78"/>
        <v>12.837636004526669</v>
      </c>
      <c r="J1717" s="129">
        <f t="shared" si="79"/>
        <v>306.39480666666668</v>
      </c>
    </row>
    <row r="1718" spans="1:10" hidden="1" x14ac:dyDescent="0.35">
      <c r="A1718" s="126" t="s">
        <v>447</v>
      </c>
      <c r="B1718" t="str">
        <f>_xlfn.XLOOKUP(A1718,'[1]2050Pop'!$A$7:$A$143,'[1]2050Pop'!$D$7:$D$143)</f>
        <v>APAC</v>
      </c>
      <c r="C1718" s="127">
        <f>1000*_xlfn.XLOOKUP(A1718,'[1]2050Pop'!$A$7:$A$143,'[1]2050Pop'!$C$7:$C$143)</f>
        <v>148260</v>
      </c>
      <c r="D1718" s="126" t="s">
        <v>507</v>
      </c>
      <c r="E1718" s="128">
        <v>1217.5930000000001</v>
      </c>
      <c r="F1718" s="129">
        <f t="shared" si="80"/>
        <v>180.52033818000001</v>
      </c>
      <c r="G1718" t="str">
        <f>_xlfn.XLOOKUP(D1718,'[1]2050 BAU Mapping to T &amp; C'!$A$3:$A$52,'[1]2050 BAU Mapping to T &amp; C'!$B$3:$B$52)</f>
        <v>Rice</v>
      </c>
      <c r="H1718" s="129">
        <f>_xlfn.XLOOKUP(G1718,'[1]T&amp;C emissions for 2050 analysis'!$B$3:$B$23,'[1]T&amp;C emissions for 2050 analysis'!$C$3:$C$23)</f>
        <v>0.51333333333333331</v>
      </c>
      <c r="I1718" s="27">
        <f t="shared" si="78"/>
        <v>92.667106932400003</v>
      </c>
      <c r="J1718" s="129">
        <f t="shared" si="79"/>
        <v>625.03107333333332</v>
      </c>
    </row>
    <row r="1719" spans="1:10" hidden="1" x14ac:dyDescent="0.35">
      <c r="A1719" s="126" t="s">
        <v>448</v>
      </c>
      <c r="B1719" t="str">
        <f>_xlfn.XLOOKUP(A1719,'[1]2050Pop'!$A$7:$A$143,'[1]2050Pop'!$D$7:$D$143)</f>
        <v>Euro/AU/NZ</v>
      </c>
      <c r="C1719" s="127">
        <f>1000*_xlfn.XLOOKUP(A1719,'[1]2050Pop'!$A$7:$A$143,'[1]2050Pop'!$C$7:$C$143)</f>
        <v>33136</v>
      </c>
      <c r="D1719" s="126" t="s">
        <v>507</v>
      </c>
      <c r="E1719" s="128">
        <v>14.276999999999999</v>
      </c>
      <c r="F1719" s="129">
        <f t="shared" si="80"/>
        <v>0.47308267199999998</v>
      </c>
      <c r="G1719" t="str">
        <f>_xlfn.XLOOKUP(D1719,'[1]2050 BAU Mapping to T &amp; C'!$A$3:$A$52,'[1]2050 BAU Mapping to T &amp; C'!$B$3:$B$52)</f>
        <v>Rice</v>
      </c>
      <c r="H1719" s="129">
        <f>_xlfn.XLOOKUP(G1719,'[1]T&amp;C emissions for 2050 analysis'!$B$3:$B$23,'[1]T&amp;C emissions for 2050 analysis'!$C$3:$C$23)</f>
        <v>0.51333333333333331</v>
      </c>
      <c r="I1719" s="27">
        <f t="shared" si="78"/>
        <v>0.24284910495999998</v>
      </c>
      <c r="J1719" s="129">
        <f t="shared" si="79"/>
        <v>7.3288599999999988</v>
      </c>
    </row>
    <row r="1720" spans="1:10" hidden="1" x14ac:dyDescent="0.35">
      <c r="A1720" s="126" t="s">
        <v>449</v>
      </c>
      <c r="B1720" t="str">
        <f>_xlfn.XLOOKUP(A1720,'[1]2050Pop'!$A$7:$A$143,'[1]2050Pop'!$D$7:$D$143)</f>
        <v>Euro/AU/NZ</v>
      </c>
      <c r="C1720" s="127">
        <f>1000*_xlfn.XLOOKUP(A1720,'[1]2050Pop'!$A$7:$A$143,'[1]2050Pop'!$C$7:$C$143)</f>
        <v>9216</v>
      </c>
      <c r="D1720" s="126" t="s">
        <v>507</v>
      </c>
      <c r="E1720" s="128">
        <v>190.63300000000001</v>
      </c>
      <c r="F1720" s="129">
        <f t="shared" si="80"/>
        <v>1.7568737280000002</v>
      </c>
      <c r="G1720" t="str">
        <f>_xlfn.XLOOKUP(D1720,'[1]2050 BAU Mapping to T &amp; C'!$A$3:$A$52,'[1]2050 BAU Mapping to T &amp; C'!$B$3:$B$52)</f>
        <v>Rice</v>
      </c>
      <c r="H1720" s="129">
        <f>_xlfn.XLOOKUP(G1720,'[1]T&amp;C emissions for 2050 analysis'!$B$3:$B$23,'[1]T&amp;C emissions for 2050 analysis'!$C$3:$C$23)</f>
        <v>0.51333333333333331</v>
      </c>
      <c r="I1720" s="27">
        <f t="shared" si="78"/>
        <v>0.90186184704000005</v>
      </c>
      <c r="J1720" s="129">
        <f t="shared" si="79"/>
        <v>97.858273333333329</v>
      </c>
    </row>
    <row r="1721" spans="1:10" hidden="1" x14ac:dyDescent="0.35">
      <c r="A1721" s="126" t="s">
        <v>450</v>
      </c>
      <c r="B1721" t="str">
        <f>_xlfn.XLOOKUP(A1721,'[1]2050Pop'!$A$7:$A$143,'[1]2050Pop'!$D$7:$D$143)</f>
        <v>APAC</v>
      </c>
      <c r="C1721" s="127">
        <f>1000*_xlfn.XLOOKUP(A1721,'[1]2050Pop'!$A$7:$A$143,'[1]2050Pop'!$C$7:$C$143)</f>
        <v>50593</v>
      </c>
      <c r="D1721" s="126" t="s">
        <v>507</v>
      </c>
      <c r="E1721" s="128">
        <v>916.59699999999998</v>
      </c>
      <c r="F1721" s="129">
        <f t="shared" si="80"/>
        <v>46.373392021000001</v>
      </c>
      <c r="G1721" t="str">
        <f>_xlfn.XLOOKUP(D1721,'[1]2050 BAU Mapping to T &amp; C'!$A$3:$A$52,'[1]2050 BAU Mapping to T &amp; C'!$B$3:$B$52)</f>
        <v>Rice</v>
      </c>
      <c r="H1721" s="129">
        <f>_xlfn.XLOOKUP(G1721,'[1]T&amp;C emissions for 2050 analysis'!$B$3:$B$23,'[1]T&amp;C emissions for 2050 analysis'!$C$3:$C$23)</f>
        <v>0.51333333333333331</v>
      </c>
      <c r="I1721" s="27">
        <f t="shared" si="78"/>
        <v>23.805007904113332</v>
      </c>
      <c r="J1721" s="129">
        <f t="shared" si="79"/>
        <v>470.51979333333333</v>
      </c>
    </row>
    <row r="1722" spans="1:10" hidden="1" x14ac:dyDescent="0.35">
      <c r="A1722" s="126" t="s">
        <v>451</v>
      </c>
      <c r="B1722" t="str">
        <f>_xlfn.XLOOKUP(A1722,'[1]2050Pop'!$A$7:$A$143,'[1]2050Pop'!$D$7:$D$143)</f>
        <v>Euro/AU/NZ</v>
      </c>
      <c r="C1722" s="127">
        <f>1000*_xlfn.XLOOKUP(A1722,'[1]2050Pop'!$A$7:$A$143,'[1]2050Pop'!$C$7:$C$143)</f>
        <v>3243</v>
      </c>
      <c r="D1722" s="126" t="s">
        <v>507</v>
      </c>
      <c r="E1722" s="128">
        <v>38.853000000000002</v>
      </c>
      <c r="F1722" s="129">
        <f t="shared" si="80"/>
        <v>0.12600027900000002</v>
      </c>
      <c r="G1722" t="str">
        <f>_xlfn.XLOOKUP(D1722,'[1]2050 BAU Mapping to T &amp; C'!$A$3:$A$52,'[1]2050 BAU Mapping to T &amp; C'!$B$3:$B$52)</f>
        <v>Rice</v>
      </c>
      <c r="H1722" s="129">
        <f>_xlfn.XLOOKUP(G1722,'[1]T&amp;C emissions for 2050 analysis'!$B$3:$B$23,'[1]T&amp;C emissions for 2050 analysis'!$C$3:$C$23)</f>
        <v>0.51333333333333331</v>
      </c>
      <c r="I1722" s="27">
        <f t="shared" si="78"/>
        <v>6.4680143220000014E-2</v>
      </c>
      <c r="J1722" s="129">
        <f t="shared" si="79"/>
        <v>19.94454</v>
      </c>
    </row>
    <row r="1723" spans="1:10" hidden="1" x14ac:dyDescent="0.35">
      <c r="A1723" s="126" t="s">
        <v>452</v>
      </c>
      <c r="B1723" t="str">
        <f>_xlfn.XLOOKUP(A1723,'[1]2050Pop'!$A$7:$A$143,'[1]2050Pop'!$D$7:$D$143)</f>
        <v>SSA</v>
      </c>
      <c r="C1723" s="127">
        <f>1000*_xlfn.XLOOKUP(A1723,'[1]2050Pop'!$A$7:$A$143,'[1]2050Pop'!$C$7:$C$143)</f>
        <v>10732</v>
      </c>
      <c r="D1723" s="126" t="s">
        <v>507</v>
      </c>
      <c r="E1723" s="128">
        <v>203.10499999999999</v>
      </c>
      <c r="F1723" s="129">
        <f t="shared" si="80"/>
        <v>2.17972286</v>
      </c>
      <c r="G1723" t="str">
        <f>_xlfn.XLOOKUP(D1723,'[1]2050 BAU Mapping to T &amp; C'!$A$3:$A$52,'[1]2050 BAU Mapping to T &amp; C'!$B$3:$B$52)</f>
        <v>Rice</v>
      </c>
      <c r="H1723" s="129">
        <f>_xlfn.XLOOKUP(G1723,'[1]T&amp;C emissions for 2050 analysis'!$B$3:$B$23,'[1]T&amp;C emissions for 2050 analysis'!$C$3:$C$23)</f>
        <v>0.51333333333333331</v>
      </c>
      <c r="I1723" s="27">
        <f t="shared" si="78"/>
        <v>1.1189244014666666</v>
      </c>
      <c r="J1723" s="129">
        <f t="shared" si="79"/>
        <v>104.26056666666666</v>
      </c>
    </row>
    <row r="1724" spans="1:10" hidden="1" x14ac:dyDescent="0.35">
      <c r="A1724" s="126" t="s">
        <v>453</v>
      </c>
      <c r="B1724" t="str">
        <f>_xlfn.XLOOKUP(A1724,'[1]2050Pop'!$A$7:$A$143,'[1]2050Pop'!$D$7:$D$143)</f>
        <v>Euro/AU/NZ</v>
      </c>
      <c r="C1724" s="127">
        <f>1000*_xlfn.XLOOKUP(A1724,'[1]2050Pop'!$A$7:$A$143,'[1]2050Pop'!$C$7:$C$143)</f>
        <v>15207</v>
      </c>
      <c r="D1724" s="126" t="s">
        <v>507</v>
      </c>
      <c r="E1724" s="128">
        <v>28.567</v>
      </c>
      <c r="F1724" s="129">
        <f t="shared" si="80"/>
        <v>0.43441836900000003</v>
      </c>
      <c r="G1724" t="str">
        <f>_xlfn.XLOOKUP(D1724,'[1]2050 BAU Mapping to T &amp; C'!$A$3:$A$52,'[1]2050 BAU Mapping to T &amp; C'!$B$3:$B$52)</f>
        <v>Rice</v>
      </c>
      <c r="H1724" s="129">
        <f>_xlfn.XLOOKUP(G1724,'[1]T&amp;C emissions for 2050 analysis'!$B$3:$B$23,'[1]T&amp;C emissions for 2050 analysis'!$C$3:$C$23)</f>
        <v>0.51333333333333331</v>
      </c>
      <c r="I1724" s="27">
        <f t="shared" si="78"/>
        <v>0.22300142942000001</v>
      </c>
      <c r="J1724" s="129">
        <f t="shared" si="79"/>
        <v>14.664393333333333</v>
      </c>
    </row>
    <row r="1725" spans="1:10" hidden="1" x14ac:dyDescent="0.35">
      <c r="A1725" s="126" t="s">
        <v>454</v>
      </c>
      <c r="B1725" t="str">
        <f>_xlfn.XLOOKUP(A1725,'[1]2050Pop'!$A$7:$A$143,'[1]2050Pop'!$D$7:$D$143)</f>
        <v>Euro/AU/NZ</v>
      </c>
      <c r="C1725" s="127">
        <f>1000*_xlfn.XLOOKUP(A1725,'[1]2050Pop'!$A$7:$A$143,'[1]2050Pop'!$C$7:$C$143)</f>
        <v>128598.99999999999</v>
      </c>
      <c r="D1725" s="126" t="s">
        <v>507</v>
      </c>
      <c r="E1725" s="128">
        <v>45.463000000000001</v>
      </c>
      <c r="F1725" s="129">
        <f t="shared" si="80"/>
        <v>5.8464963369999996</v>
      </c>
      <c r="G1725" t="str">
        <f>_xlfn.XLOOKUP(D1725,'[1]2050 BAU Mapping to T &amp; C'!$A$3:$A$52,'[1]2050 BAU Mapping to T &amp; C'!$B$3:$B$52)</f>
        <v>Rice</v>
      </c>
      <c r="H1725" s="129">
        <f>_xlfn.XLOOKUP(G1725,'[1]T&amp;C emissions for 2050 analysis'!$B$3:$B$23,'[1]T&amp;C emissions for 2050 analysis'!$C$3:$C$23)</f>
        <v>0.51333333333333331</v>
      </c>
      <c r="I1725" s="27">
        <f t="shared" si="78"/>
        <v>3.0012014529933331</v>
      </c>
      <c r="J1725" s="129">
        <f t="shared" si="79"/>
        <v>23.337673333333331</v>
      </c>
    </row>
    <row r="1726" spans="1:10" hidden="1" x14ac:dyDescent="0.35">
      <c r="A1726" s="126" t="s">
        <v>455</v>
      </c>
      <c r="B1726" t="str">
        <f>_xlfn.XLOOKUP(A1726,'[1]2050Pop'!$A$7:$A$143,'[1]2050Pop'!$D$7:$D$143)</f>
        <v>SSA</v>
      </c>
      <c r="C1726" s="127">
        <f>1000*_xlfn.XLOOKUP(A1726,'[1]2050Pop'!$A$7:$A$143,'[1]2050Pop'!$C$7:$C$143)</f>
        <v>21187</v>
      </c>
      <c r="D1726" s="126" t="s">
        <v>507</v>
      </c>
      <c r="E1726" s="128">
        <v>100.369</v>
      </c>
      <c r="F1726" s="129">
        <f t="shared" si="80"/>
        <v>2.1265180030000002</v>
      </c>
      <c r="G1726" t="str">
        <f>_xlfn.XLOOKUP(D1726,'[1]2050 BAU Mapping to T &amp; C'!$A$3:$A$52,'[1]2050 BAU Mapping to T &amp; C'!$B$3:$B$52)</f>
        <v>Rice</v>
      </c>
      <c r="H1726" s="129">
        <f>_xlfn.XLOOKUP(G1726,'[1]T&amp;C emissions for 2050 analysis'!$B$3:$B$23,'[1]T&amp;C emissions for 2050 analysis'!$C$3:$C$23)</f>
        <v>0.51333333333333331</v>
      </c>
      <c r="I1726" s="27">
        <f t="shared" si="78"/>
        <v>1.0916125748733334</v>
      </c>
      <c r="J1726" s="129">
        <f t="shared" si="79"/>
        <v>51.522753333333334</v>
      </c>
    </row>
    <row r="1727" spans="1:10" hidden="1" x14ac:dyDescent="0.35">
      <c r="A1727" s="126" t="s">
        <v>456</v>
      </c>
      <c r="B1727" t="str">
        <f>_xlfn.XLOOKUP(A1727,'[1]2050Pop'!$A$7:$A$143,'[1]2050Pop'!$D$7:$D$143)</f>
        <v>MENA</v>
      </c>
      <c r="C1727" s="127">
        <f>1000*_xlfn.XLOOKUP(A1727,'[1]2050Pop'!$A$7:$A$143,'[1]2050Pop'!$C$7:$C$143)</f>
        <v>46059</v>
      </c>
      <c r="D1727" s="126" t="s">
        <v>507</v>
      </c>
      <c r="E1727" s="130">
        <v>428.92</v>
      </c>
      <c r="F1727" s="129">
        <f t="shared" si="80"/>
        <v>19.755626280000001</v>
      </c>
      <c r="G1727" t="str">
        <f>_xlfn.XLOOKUP(D1727,'[1]2050 BAU Mapping to T &amp; C'!$A$3:$A$52,'[1]2050 BAU Mapping to T &amp; C'!$B$3:$B$52)</f>
        <v>Rice</v>
      </c>
      <c r="H1727" s="129">
        <f>_xlfn.XLOOKUP(G1727,'[1]T&amp;C emissions for 2050 analysis'!$B$3:$B$23,'[1]T&amp;C emissions for 2050 analysis'!$C$3:$C$23)</f>
        <v>0.51333333333333331</v>
      </c>
      <c r="I1727" s="27">
        <f t="shared" si="78"/>
        <v>10.1412214904</v>
      </c>
      <c r="J1727" s="129">
        <f t="shared" si="79"/>
        <v>220.17893333333333</v>
      </c>
    </row>
    <row r="1728" spans="1:10" hidden="1" x14ac:dyDescent="0.35">
      <c r="A1728" s="126" t="s">
        <v>457</v>
      </c>
      <c r="B1728" t="str">
        <f>_xlfn.XLOOKUP(A1728,'[1]2050Pop'!$A$7:$A$143,'[1]2050Pop'!$D$7:$D$143)</f>
        <v>SSA</v>
      </c>
      <c r="C1728" s="127">
        <f>1000*_xlfn.XLOOKUP(A1728,'[1]2050Pop'!$A$7:$A$143,'[1]2050Pop'!$C$7:$C$143)</f>
        <v>36223</v>
      </c>
      <c r="D1728" s="126" t="s">
        <v>507</v>
      </c>
      <c r="E1728" s="130">
        <v>918.37</v>
      </c>
      <c r="F1728" s="129">
        <f t="shared" si="80"/>
        <v>33.266116510000003</v>
      </c>
      <c r="G1728" t="str">
        <f>_xlfn.XLOOKUP(D1728,'[1]2050 BAU Mapping to T &amp; C'!$A$3:$A$52,'[1]2050 BAU Mapping to T &amp; C'!$B$3:$B$52)</f>
        <v>Rice</v>
      </c>
      <c r="H1728" s="129">
        <f>_xlfn.XLOOKUP(G1728,'[1]T&amp;C emissions for 2050 analysis'!$B$3:$B$23,'[1]T&amp;C emissions for 2050 analysis'!$C$3:$C$23)</f>
        <v>0.51333333333333331</v>
      </c>
      <c r="I1728" s="27">
        <f t="shared" si="78"/>
        <v>17.076606475133335</v>
      </c>
      <c r="J1728" s="129">
        <f t="shared" si="79"/>
        <v>471.42993333333334</v>
      </c>
    </row>
    <row r="1729" spans="1:10" hidden="1" x14ac:dyDescent="0.35">
      <c r="A1729" s="126" t="s">
        <v>458</v>
      </c>
      <c r="B1729" t="str">
        <f>_xlfn.XLOOKUP(A1729,'[1]2050Pop'!$A$7:$A$143,'[1]2050Pop'!$D$7:$D$143)</f>
        <v>Euro/AU/NZ</v>
      </c>
      <c r="C1729" s="127">
        <f>1000*_xlfn.XLOOKUP(A1729,'[1]2050Pop'!$A$7:$A$143,'[1]2050Pop'!$C$7:$C$143)</f>
        <v>7331</v>
      </c>
      <c r="D1729" s="126" t="s">
        <v>507</v>
      </c>
      <c r="E1729" s="128">
        <v>15.231</v>
      </c>
      <c r="F1729" s="129">
        <f t="shared" si="80"/>
        <v>0.111658461</v>
      </c>
      <c r="G1729" t="str">
        <f>_xlfn.XLOOKUP(D1729,'[1]2050 BAU Mapping to T &amp; C'!$A$3:$A$52,'[1]2050 BAU Mapping to T &amp; C'!$B$3:$B$52)</f>
        <v>Rice</v>
      </c>
      <c r="H1729" s="129">
        <f>_xlfn.XLOOKUP(G1729,'[1]T&amp;C emissions for 2050 analysis'!$B$3:$B$23,'[1]T&amp;C emissions for 2050 analysis'!$C$3:$C$23)</f>
        <v>0.51333333333333331</v>
      </c>
      <c r="I1729" s="27">
        <f t="shared" si="78"/>
        <v>5.7318009980000001E-2</v>
      </c>
      <c r="J1729" s="129">
        <f t="shared" si="79"/>
        <v>7.8185799999999999</v>
      </c>
    </row>
    <row r="1730" spans="1:10" hidden="1" x14ac:dyDescent="0.35">
      <c r="A1730" s="126" t="s">
        <v>492</v>
      </c>
      <c r="B1730" t="str">
        <f>_xlfn.XLOOKUP(A1730,'[1]2050Pop'!$A$7:$A$143,'[1]2050Pop'!$D$7:$D$143)</f>
        <v>SSA</v>
      </c>
      <c r="C1730" s="127">
        <f>1000*_xlfn.XLOOKUP(A1730,'[1]2050Pop'!$A$7:$A$143,'[1]2050Pop'!$C$7:$C$143)</f>
        <v>11392</v>
      </c>
      <c r="D1730" s="126" t="s">
        <v>507</v>
      </c>
      <c r="E1730" s="128">
        <v>1202.729</v>
      </c>
      <c r="F1730" s="129">
        <f t="shared" si="80"/>
        <v>13.701488768000001</v>
      </c>
      <c r="G1730" t="str">
        <f>_xlfn.XLOOKUP(D1730,'[1]2050 BAU Mapping to T &amp; C'!$A$3:$A$52,'[1]2050 BAU Mapping to T &amp; C'!$B$3:$B$52)</f>
        <v>Rice</v>
      </c>
      <c r="H1730" s="129">
        <f>_xlfn.XLOOKUP(G1730,'[1]T&amp;C emissions for 2050 analysis'!$B$3:$B$23,'[1]T&amp;C emissions for 2050 analysis'!$C$3:$C$23)</f>
        <v>0.51333333333333331</v>
      </c>
      <c r="I1730" s="27">
        <f t="shared" si="78"/>
        <v>7.0334309009066667</v>
      </c>
      <c r="J1730" s="129">
        <f t="shared" si="79"/>
        <v>617.40088666666668</v>
      </c>
    </row>
    <row r="1731" spans="1:10" hidden="1" x14ac:dyDescent="0.35">
      <c r="A1731" s="126" t="s">
        <v>459</v>
      </c>
      <c r="B1731" t="str">
        <f>_xlfn.XLOOKUP(A1731,'[1]2050Pop'!$A$7:$A$143,'[1]2050Pop'!$D$7:$D$143)</f>
        <v>Euro/AU/NZ</v>
      </c>
      <c r="C1731" s="127">
        <f>1000*_xlfn.XLOOKUP(A1731,'[1]2050Pop'!$A$7:$A$143,'[1]2050Pop'!$C$7:$C$143)</f>
        <v>4892</v>
      </c>
      <c r="D1731" s="126" t="s">
        <v>507</v>
      </c>
      <c r="E1731" s="128">
        <v>25.841999999999999</v>
      </c>
      <c r="F1731" s="129">
        <f t="shared" si="80"/>
        <v>0.126419064</v>
      </c>
      <c r="G1731" t="str">
        <f>_xlfn.XLOOKUP(D1731,'[1]2050 BAU Mapping to T &amp; C'!$A$3:$A$52,'[1]2050 BAU Mapping to T &amp; C'!$B$3:$B$52)</f>
        <v>Rice</v>
      </c>
      <c r="H1731" s="129">
        <f>_xlfn.XLOOKUP(G1731,'[1]T&amp;C emissions for 2050 analysis'!$B$3:$B$23,'[1]T&amp;C emissions for 2050 analysis'!$C$3:$C$23)</f>
        <v>0.51333333333333331</v>
      </c>
      <c r="I1731" s="27">
        <f t="shared" si="78"/>
        <v>6.4895119520000002E-2</v>
      </c>
      <c r="J1731" s="129">
        <f t="shared" si="79"/>
        <v>13.265559999999999</v>
      </c>
    </row>
    <row r="1732" spans="1:10" hidden="1" x14ac:dyDescent="0.35">
      <c r="A1732" s="126" t="s">
        <v>460</v>
      </c>
      <c r="B1732" t="str">
        <f>_xlfn.XLOOKUP(A1732,'[1]2050Pop'!$A$7:$A$143,'[1]2050Pop'!$D$7:$D$143)</f>
        <v>LatAm &amp; RSA</v>
      </c>
      <c r="C1732" s="127">
        <f>1000*_xlfn.XLOOKUP(A1732,'[1]2050Pop'!$A$7:$A$143,'[1]2050Pop'!$C$7:$C$143)</f>
        <v>65540</v>
      </c>
      <c r="D1732" s="126" t="s">
        <v>507</v>
      </c>
      <c r="E1732" s="128">
        <v>211.55600000000001</v>
      </c>
      <c r="F1732" s="129">
        <f t="shared" si="80"/>
        <v>13.86538024</v>
      </c>
      <c r="G1732" t="str">
        <f>_xlfn.XLOOKUP(D1732,'[1]2050 BAU Mapping to T &amp; C'!$A$3:$A$52,'[1]2050 BAU Mapping to T &amp; C'!$B$3:$B$52)</f>
        <v>Rice</v>
      </c>
      <c r="H1732" s="129">
        <f>_xlfn.XLOOKUP(G1732,'[1]T&amp;C emissions for 2050 analysis'!$B$3:$B$23,'[1]T&amp;C emissions for 2050 analysis'!$C$3:$C$23)</f>
        <v>0.51333333333333331</v>
      </c>
      <c r="I1732" s="27">
        <f t="shared" ref="I1732:I1795" si="81">F1732*H1732</f>
        <v>7.1175618565333334</v>
      </c>
      <c r="J1732" s="129">
        <f t="shared" ref="J1732:J1795" si="82">E1732*H1732</f>
        <v>108.59874666666667</v>
      </c>
    </row>
    <row r="1733" spans="1:10" hidden="1" x14ac:dyDescent="0.35">
      <c r="A1733" s="126" t="s">
        <v>461</v>
      </c>
      <c r="B1733" t="str">
        <f>_xlfn.XLOOKUP(A1733,'[1]2050Pop'!$A$7:$A$143,'[1]2050Pop'!$D$7:$D$143)</f>
        <v>Euro/AU/NZ</v>
      </c>
      <c r="C1733" s="127">
        <f>1000*_xlfn.XLOOKUP(A1733,'[1]2050Pop'!$A$7:$A$143,'[1]2050Pop'!$C$7:$C$143)</f>
        <v>44840</v>
      </c>
      <c r="D1733" s="126" t="s">
        <v>507</v>
      </c>
      <c r="E1733" s="128">
        <v>98.778000000000006</v>
      </c>
      <c r="F1733" s="129">
        <f t="shared" ref="F1733:F1796" si="83">C1733*E1733/1000000</f>
        <v>4.4292055200000009</v>
      </c>
      <c r="G1733" t="str">
        <f>_xlfn.XLOOKUP(D1733,'[1]2050 BAU Mapping to T &amp; C'!$A$3:$A$52,'[1]2050 BAU Mapping to T &amp; C'!$B$3:$B$52)</f>
        <v>Rice</v>
      </c>
      <c r="H1733" s="129">
        <f>_xlfn.XLOOKUP(G1733,'[1]T&amp;C emissions for 2050 analysis'!$B$3:$B$23,'[1]T&amp;C emissions for 2050 analysis'!$C$3:$C$23)</f>
        <v>0.51333333333333331</v>
      </c>
      <c r="I1733" s="27">
        <f t="shared" si="81"/>
        <v>2.2736588336000003</v>
      </c>
      <c r="J1733" s="129">
        <f t="shared" si="82"/>
        <v>50.706040000000002</v>
      </c>
    </row>
    <row r="1734" spans="1:10" hidden="1" x14ac:dyDescent="0.35">
      <c r="A1734" s="126" t="s">
        <v>493</v>
      </c>
      <c r="B1734" t="str">
        <f>_xlfn.XLOOKUP(A1734,'[1]2050Pop'!$A$7:$A$143,'[1]2050Pop'!$D$7:$D$143)</f>
        <v>India/South Asia</v>
      </c>
      <c r="C1734" s="127">
        <f>1000*_xlfn.XLOOKUP(A1734,'[1]2050Pop'!$A$7:$A$143,'[1]2050Pop'!$C$7:$C$143)</f>
        <v>20836</v>
      </c>
      <c r="D1734" s="126" t="s">
        <v>507</v>
      </c>
      <c r="E1734" s="130">
        <v>1035.8599999999999</v>
      </c>
      <c r="F1734" s="129">
        <f t="shared" si="83"/>
        <v>21.583178959999998</v>
      </c>
      <c r="G1734" t="str">
        <f>_xlfn.XLOOKUP(D1734,'[1]2050 BAU Mapping to T &amp; C'!$A$3:$A$52,'[1]2050 BAU Mapping to T &amp; C'!$B$3:$B$52)</f>
        <v>Rice</v>
      </c>
      <c r="H1734" s="129">
        <f>_xlfn.XLOOKUP(G1734,'[1]T&amp;C emissions for 2050 analysis'!$B$3:$B$23,'[1]T&amp;C emissions for 2050 analysis'!$C$3:$C$23)</f>
        <v>0.51333333333333331</v>
      </c>
      <c r="I1734" s="27">
        <f t="shared" si="81"/>
        <v>11.079365199466665</v>
      </c>
      <c r="J1734" s="129">
        <f t="shared" si="82"/>
        <v>531.74146666666661</v>
      </c>
    </row>
    <row r="1735" spans="1:10" hidden="1" x14ac:dyDescent="0.35">
      <c r="A1735" s="126" t="s">
        <v>462</v>
      </c>
      <c r="B1735" t="str">
        <f>_xlfn.XLOOKUP(A1735,'[1]2050Pop'!$A$7:$A$143,'[1]2050Pop'!$D$7:$D$143)</f>
        <v>LatAm &amp; RSA</v>
      </c>
      <c r="C1735" s="127">
        <f>1000*_xlfn.XLOOKUP(A1735,'[1]2050Pop'!$A$7:$A$143,'[1]2050Pop'!$C$7:$C$143)</f>
        <v>624</v>
      </c>
      <c r="D1735" s="126" t="s">
        <v>507</v>
      </c>
      <c r="E1735" s="128">
        <v>700.49800000000005</v>
      </c>
      <c r="F1735" s="129">
        <f t="shared" si="83"/>
        <v>0.43711075200000005</v>
      </c>
      <c r="G1735" t="str">
        <f>_xlfn.XLOOKUP(D1735,'[1]2050 BAU Mapping to T &amp; C'!$A$3:$A$52,'[1]2050 BAU Mapping to T &amp; C'!$B$3:$B$52)</f>
        <v>Rice</v>
      </c>
      <c r="H1735" s="129">
        <f>_xlfn.XLOOKUP(G1735,'[1]T&amp;C emissions for 2050 analysis'!$B$3:$B$23,'[1]T&amp;C emissions for 2050 analysis'!$C$3:$C$23)</f>
        <v>0.51333333333333331</v>
      </c>
      <c r="I1735" s="27">
        <f t="shared" si="81"/>
        <v>0.22438351936000001</v>
      </c>
      <c r="J1735" s="129">
        <f t="shared" si="82"/>
        <v>359.58897333333334</v>
      </c>
    </row>
    <row r="1736" spans="1:10" hidden="1" x14ac:dyDescent="0.35">
      <c r="A1736" s="126" t="s">
        <v>463</v>
      </c>
      <c r="B1736" t="str">
        <f>_xlfn.XLOOKUP(A1736,'[1]2050Pop'!$A$7:$A$143,'[1]2050Pop'!$D$7:$D$143)</f>
        <v>SSA</v>
      </c>
      <c r="C1736" s="127">
        <f>1000*_xlfn.XLOOKUP(A1736,'[1]2050Pop'!$A$7:$A$143,'[1]2050Pop'!$C$7:$C$143)</f>
        <v>1792</v>
      </c>
      <c r="D1736" s="126" t="s">
        <v>507</v>
      </c>
      <c r="E1736" s="128">
        <v>261.245</v>
      </c>
      <c r="F1736" s="129">
        <f t="shared" si="83"/>
        <v>0.46815104000000002</v>
      </c>
      <c r="G1736" t="str">
        <f>_xlfn.XLOOKUP(D1736,'[1]2050 BAU Mapping to T &amp; C'!$A$3:$A$52,'[1]2050 BAU Mapping to T &amp; C'!$B$3:$B$52)</f>
        <v>Rice</v>
      </c>
      <c r="H1736" s="129">
        <f>_xlfn.XLOOKUP(G1736,'[1]T&amp;C emissions for 2050 analysis'!$B$3:$B$23,'[1]T&amp;C emissions for 2050 analysis'!$C$3:$C$23)</f>
        <v>0.51333333333333331</v>
      </c>
      <c r="I1736" s="27">
        <f t="shared" si="81"/>
        <v>0.24031753386666665</v>
      </c>
      <c r="J1736" s="129">
        <f t="shared" si="82"/>
        <v>134.10576666666665</v>
      </c>
    </row>
    <row r="1737" spans="1:10" hidden="1" x14ac:dyDescent="0.35">
      <c r="A1737" s="126" t="s">
        <v>464</v>
      </c>
      <c r="B1737" t="str">
        <f>_xlfn.XLOOKUP(A1737,'[1]2050Pop'!$A$7:$A$143,'[1]2050Pop'!$D$7:$D$143)</f>
        <v>Euro/AU/NZ</v>
      </c>
      <c r="C1737" s="127">
        <f>1000*_xlfn.XLOOKUP(A1737,'[1]2050Pop'!$A$7:$A$143,'[1]2050Pop'!$C$7:$C$143)</f>
        <v>11881</v>
      </c>
      <c r="D1737" s="126" t="s">
        <v>507</v>
      </c>
      <c r="E1737" s="128">
        <v>69.266999999999996</v>
      </c>
      <c r="F1737" s="129">
        <f t="shared" si="83"/>
        <v>0.82296122699999996</v>
      </c>
      <c r="G1737" t="str">
        <f>_xlfn.XLOOKUP(D1737,'[1]2050 BAU Mapping to T &amp; C'!$A$3:$A$52,'[1]2050 BAU Mapping to T &amp; C'!$B$3:$B$52)</f>
        <v>Rice</v>
      </c>
      <c r="H1737" s="129">
        <f>_xlfn.XLOOKUP(G1737,'[1]T&amp;C emissions for 2050 analysis'!$B$3:$B$23,'[1]T&amp;C emissions for 2050 analysis'!$C$3:$C$23)</f>
        <v>0.51333333333333331</v>
      </c>
      <c r="I1737" s="27">
        <f t="shared" si="81"/>
        <v>0.42245342985999995</v>
      </c>
      <c r="J1737" s="129">
        <f t="shared" si="82"/>
        <v>35.557059999999993</v>
      </c>
    </row>
    <row r="1738" spans="1:10" hidden="1" x14ac:dyDescent="0.35">
      <c r="A1738" s="126" t="s">
        <v>483</v>
      </c>
      <c r="B1738" t="str">
        <f>_xlfn.XLOOKUP(A1738,'[1]2050Pop'!$A$7:$A$143,'[1]2050Pop'!$D$7:$D$143)</f>
        <v>APAC</v>
      </c>
      <c r="C1738" s="127">
        <f>1000*_xlfn.XLOOKUP(A1738,'[1]2050Pop'!$A$7:$A$143,'[1]2050Pop'!$C$7:$C$143)</f>
        <v>14288</v>
      </c>
      <c r="D1738" s="126" t="s">
        <v>507</v>
      </c>
      <c r="E1738" s="128">
        <v>86.370999999999995</v>
      </c>
      <c r="F1738" s="129">
        <f t="shared" si="83"/>
        <v>1.2340688479999999</v>
      </c>
      <c r="G1738" t="str">
        <f>_xlfn.XLOOKUP(D1738,'[1]2050 BAU Mapping to T &amp; C'!$A$3:$A$52,'[1]2050 BAU Mapping to T &amp; C'!$B$3:$B$52)</f>
        <v>Rice</v>
      </c>
      <c r="H1738" s="129">
        <f>_xlfn.XLOOKUP(G1738,'[1]T&amp;C emissions for 2050 analysis'!$B$3:$B$23,'[1]T&amp;C emissions for 2050 analysis'!$C$3:$C$23)</f>
        <v>0.51333333333333331</v>
      </c>
      <c r="I1738" s="27">
        <f t="shared" si="81"/>
        <v>0.63348867530666664</v>
      </c>
      <c r="J1738" s="129">
        <f t="shared" si="82"/>
        <v>44.337113333333328</v>
      </c>
    </row>
    <row r="1739" spans="1:10" hidden="1" x14ac:dyDescent="0.35">
      <c r="A1739" s="126" t="s">
        <v>465</v>
      </c>
      <c r="B1739" t="str">
        <f>_xlfn.XLOOKUP(A1739,'[1]2050Pop'!$A$7:$A$143,'[1]2050Pop'!$D$7:$D$143)</f>
        <v>APAC</v>
      </c>
      <c r="C1739" s="127">
        <f>1000*_xlfn.XLOOKUP(A1739,'[1]2050Pop'!$A$7:$A$143,'[1]2050Pop'!$C$7:$C$143)</f>
        <v>62452</v>
      </c>
      <c r="D1739" s="126" t="s">
        <v>507</v>
      </c>
      <c r="E1739" s="130">
        <v>1122.58</v>
      </c>
      <c r="F1739" s="129">
        <f t="shared" si="83"/>
        <v>70.107366159999998</v>
      </c>
      <c r="G1739" t="str">
        <f>_xlfn.XLOOKUP(D1739,'[1]2050 BAU Mapping to T &amp; C'!$A$3:$A$52,'[1]2050 BAU Mapping to T &amp; C'!$B$3:$B$52)</f>
        <v>Rice</v>
      </c>
      <c r="H1739" s="129">
        <f>_xlfn.XLOOKUP(G1739,'[1]T&amp;C emissions for 2050 analysis'!$B$3:$B$23,'[1]T&amp;C emissions for 2050 analysis'!$C$3:$C$23)</f>
        <v>0.51333333333333331</v>
      </c>
      <c r="I1739" s="27">
        <f t="shared" si="81"/>
        <v>35.988447962133328</v>
      </c>
      <c r="J1739" s="129">
        <f t="shared" si="82"/>
        <v>576.25773333333325</v>
      </c>
    </row>
    <row r="1740" spans="1:10" hidden="1" x14ac:dyDescent="0.35">
      <c r="A1740" s="126" t="s">
        <v>466</v>
      </c>
      <c r="B1740" t="str">
        <f>_xlfn.XLOOKUP(A1740,'[1]2050Pop'!$A$7:$A$143,'[1]2050Pop'!$D$7:$D$143)</f>
        <v>SSA</v>
      </c>
      <c r="C1740" s="127">
        <f>1000*_xlfn.XLOOKUP(A1740,'[1]2050Pop'!$A$7:$A$143,'[1]2050Pop'!$C$7:$C$143)</f>
        <v>15681</v>
      </c>
      <c r="D1740" s="126" t="s">
        <v>507</v>
      </c>
      <c r="E1740" s="128">
        <v>354.67500000000001</v>
      </c>
      <c r="F1740" s="129">
        <f t="shared" si="83"/>
        <v>5.5616586749999994</v>
      </c>
      <c r="G1740" t="str">
        <f>_xlfn.XLOOKUP(D1740,'[1]2050 BAU Mapping to T &amp; C'!$A$3:$A$52,'[1]2050 BAU Mapping to T &amp; C'!$B$3:$B$52)</f>
        <v>Rice</v>
      </c>
      <c r="H1740" s="129">
        <f>_xlfn.XLOOKUP(G1740,'[1]T&amp;C emissions for 2050 analysis'!$B$3:$B$23,'[1]T&amp;C emissions for 2050 analysis'!$C$3:$C$23)</f>
        <v>0.51333333333333331</v>
      </c>
      <c r="I1740" s="27">
        <f t="shared" si="81"/>
        <v>2.8549847864999998</v>
      </c>
      <c r="J1740" s="129">
        <f t="shared" si="82"/>
        <v>182.06649999999999</v>
      </c>
    </row>
    <row r="1741" spans="1:10" hidden="1" x14ac:dyDescent="0.35">
      <c r="A1741" s="126" t="s">
        <v>467</v>
      </c>
      <c r="B1741" t="str">
        <f>_xlfn.XLOOKUP(A1741,'[1]2050Pop'!$A$7:$A$143,'[1]2050Pop'!$D$7:$D$143)</f>
        <v>LatAm &amp; RSA</v>
      </c>
      <c r="C1741" s="127">
        <f>1000*_xlfn.XLOOKUP(A1741,'[1]2050Pop'!$A$7:$A$143,'[1]2050Pop'!$C$7:$C$143)</f>
        <v>1291</v>
      </c>
      <c r="D1741" s="126" t="s">
        <v>507</v>
      </c>
      <c r="E1741" s="128">
        <v>226.22499999999999</v>
      </c>
      <c r="F1741" s="129">
        <f t="shared" si="83"/>
        <v>0.29205647499999998</v>
      </c>
      <c r="G1741" t="str">
        <f>_xlfn.XLOOKUP(D1741,'[1]2050 BAU Mapping to T &amp; C'!$A$3:$A$52,'[1]2050 BAU Mapping to T &amp; C'!$B$3:$B$52)</f>
        <v>Rice</v>
      </c>
      <c r="H1741" s="129">
        <f>_xlfn.XLOOKUP(G1741,'[1]T&amp;C emissions for 2050 analysis'!$B$3:$B$23,'[1]T&amp;C emissions for 2050 analysis'!$C$3:$C$23)</f>
        <v>0.51333333333333331</v>
      </c>
      <c r="I1741" s="27">
        <f t="shared" si="81"/>
        <v>0.14992232383333332</v>
      </c>
      <c r="J1741" s="129">
        <f t="shared" si="82"/>
        <v>116.12883333333332</v>
      </c>
    </row>
    <row r="1742" spans="1:10" hidden="1" x14ac:dyDescent="0.35">
      <c r="A1742" s="126" t="s">
        <v>468</v>
      </c>
      <c r="B1742" t="str">
        <f>_xlfn.XLOOKUP(A1742,'[1]2050Pop'!$A$7:$A$143,'[1]2050Pop'!$D$7:$D$143)</f>
        <v>MENA</v>
      </c>
      <c r="C1742" s="127">
        <f>1000*_xlfn.XLOOKUP(A1742,'[1]2050Pop'!$A$7:$A$143,'[1]2050Pop'!$C$7:$C$143)</f>
        <v>13476</v>
      </c>
      <c r="D1742" s="126" t="s">
        <v>507</v>
      </c>
      <c r="E1742" s="128">
        <v>13.125</v>
      </c>
      <c r="F1742" s="129">
        <f t="shared" si="83"/>
        <v>0.17687249999999999</v>
      </c>
      <c r="G1742" t="str">
        <f>_xlfn.XLOOKUP(D1742,'[1]2050 BAU Mapping to T &amp; C'!$A$3:$A$52,'[1]2050 BAU Mapping to T &amp; C'!$B$3:$B$52)</f>
        <v>Rice</v>
      </c>
      <c r="H1742" s="129">
        <f>_xlfn.XLOOKUP(G1742,'[1]T&amp;C emissions for 2050 analysis'!$B$3:$B$23,'[1]T&amp;C emissions for 2050 analysis'!$C$3:$C$23)</f>
        <v>0.51333333333333331</v>
      </c>
      <c r="I1742" s="27">
        <f t="shared" si="81"/>
        <v>9.0794549999999988E-2</v>
      </c>
      <c r="J1742" s="129">
        <f t="shared" si="82"/>
        <v>6.7374999999999998</v>
      </c>
    </row>
    <row r="1743" spans="1:10" hidden="1" x14ac:dyDescent="0.35">
      <c r="A1743" s="126" t="s">
        <v>469</v>
      </c>
      <c r="B1743" t="str">
        <f>_xlfn.XLOOKUP(A1743,'[1]2050Pop'!$A$7:$A$143,'[1]2050Pop'!$D$7:$D$143)</f>
        <v>MENA</v>
      </c>
      <c r="C1743" s="127">
        <f>1000*_xlfn.XLOOKUP(A1743,'[1]2050Pop'!$A$7:$A$143,'[1]2050Pop'!$C$7:$C$143)</f>
        <v>95819</v>
      </c>
      <c r="D1743" s="126" t="s">
        <v>507</v>
      </c>
      <c r="E1743" s="128">
        <v>95.239000000000004</v>
      </c>
      <c r="F1743" s="129">
        <f t="shared" si="83"/>
        <v>9.1257057410000009</v>
      </c>
      <c r="G1743" t="str">
        <f>_xlfn.XLOOKUP(D1743,'[1]2050 BAU Mapping to T &amp; C'!$A$3:$A$52,'[1]2050 BAU Mapping to T &amp; C'!$B$3:$B$52)</f>
        <v>Rice</v>
      </c>
      <c r="H1743" s="129">
        <f>_xlfn.XLOOKUP(G1743,'[1]T&amp;C emissions for 2050 analysis'!$B$3:$B$23,'[1]T&amp;C emissions for 2050 analysis'!$C$3:$C$23)</f>
        <v>0.51333333333333331</v>
      </c>
      <c r="I1743" s="27">
        <f t="shared" si="81"/>
        <v>4.6845289470466671</v>
      </c>
      <c r="J1743" s="129">
        <f t="shared" si="82"/>
        <v>48.889353333333332</v>
      </c>
    </row>
    <row r="1744" spans="1:10" hidden="1" x14ac:dyDescent="0.35">
      <c r="A1744" s="126" t="s">
        <v>484</v>
      </c>
      <c r="B1744" t="str">
        <f>_xlfn.XLOOKUP(A1744,'[1]2050Pop'!$A$7:$A$143,'[1]2050Pop'!$D$7:$D$143)</f>
        <v>APAC</v>
      </c>
      <c r="C1744" s="127">
        <f>1000*_xlfn.XLOOKUP(A1744,'[1]2050Pop'!$A$7:$A$143,'[1]2050Pop'!$C$7:$C$143)</f>
        <v>6555</v>
      </c>
      <c r="D1744" s="126" t="s">
        <v>507</v>
      </c>
      <c r="E1744" s="128">
        <v>112.55200000000001</v>
      </c>
      <c r="F1744" s="129">
        <f t="shared" si="83"/>
        <v>0.73777835999999997</v>
      </c>
      <c r="G1744" t="str">
        <f>_xlfn.XLOOKUP(D1744,'[1]2050 BAU Mapping to T &amp; C'!$A$3:$A$52,'[1]2050 BAU Mapping to T &amp; C'!$B$3:$B$52)</f>
        <v>Rice</v>
      </c>
      <c r="H1744" s="129">
        <f>_xlfn.XLOOKUP(G1744,'[1]T&amp;C emissions for 2050 analysis'!$B$3:$B$23,'[1]T&amp;C emissions for 2050 analysis'!$C$3:$C$23)</f>
        <v>0.51333333333333331</v>
      </c>
      <c r="I1744" s="27">
        <f t="shared" si="81"/>
        <v>0.37872622479999996</v>
      </c>
      <c r="J1744" s="129">
        <f t="shared" si="82"/>
        <v>57.776693333333334</v>
      </c>
    </row>
    <row r="1745" spans="1:10" hidden="1" x14ac:dyDescent="0.35">
      <c r="A1745" s="126" t="s">
        <v>470</v>
      </c>
      <c r="B1745" t="str">
        <f>_xlfn.XLOOKUP(A1745,'[1]2050Pop'!$A$7:$A$143,'[1]2050Pop'!$D$7:$D$143)</f>
        <v>SSA</v>
      </c>
      <c r="C1745" s="127">
        <f>1000*_xlfn.XLOOKUP(A1745,'[1]2050Pop'!$A$7:$A$143,'[1]2050Pop'!$C$7:$C$143)</f>
        <v>101873</v>
      </c>
      <c r="D1745" s="126" t="s">
        <v>507</v>
      </c>
      <c r="E1745" s="128">
        <v>65.067999999999998</v>
      </c>
      <c r="F1745" s="129">
        <f t="shared" si="83"/>
        <v>6.6286723639999998</v>
      </c>
      <c r="G1745" t="str">
        <f>_xlfn.XLOOKUP(D1745,'[1]2050 BAU Mapping to T &amp; C'!$A$3:$A$52,'[1]2050 BAU Mapping to T &amp; C'!$B$3:$B$52)</f>
        <v>Rice</v>
      </c>
      <c r="H1745" s="129">
        <f>_xlfn.XLOOKUP(G1745,'[1]T&amp;C emissions for 2050 analysis'!$B$3:$B$23,'[1]T&amp;C emissions for 2050 analysis'!$C$3:$C$23)</f>
        <v>0.51333333333333331</v>
      </c>
      <c r="I1745" s="27">
        <f t="shared" si="81"/>
        <v>3.4027184801866666</v>
      </c>
      <c r="J1745" s="129">
        <f t="shared" si="82"/>
        <v>33.401573333333332</v>
      </c>
    </row>
    <row r="1746" spans="1:10" hidden="1" x14ac:dyDescent="0.35">
      <c r="A1746" s="126" t="s">
        <v>471</v>
      </c>
      <c r="B1746" t="str">
        <f>_xlfn.XLOOKUP(A1746,'[1]2050Pop'!$A$7:$A$143,'[1]2050Pop'!$D$7:$D$143)</f>
        <v>Euro/AU/NZ</v>
      </c>
      <c r="C1746" s="127">
        <f>1000*_xlfn.XLOOKUP(A1746,'[1]2050Pop'!$A$7:$A$143,'[1]2050Pop'!$C$7:$C$143)</f>
        <v>35117</v>
      </c>
      <c r="D1746" s="126" t="s">
        <v>507</v>
      </c>
      <c r="E1746" s="128">
        <v>33.521999999999998</v>
      </c>
      <c r="F1746" s="129">
        <f t="shared" si="83"/>
        <v>1.1771920739999999</v>
      </c>
      <c r="G1746" t="str">
        <f>_xlfn.XLOOKUP(D1746,'[1]2050 BAU Mapping to T &amp; C'!$A$3:$A$52,'[1]2050 BAU Mapping to T &amp; C'!$B$3:$B$52)</f>
        <v>Rice</v>
      </c>
      <c r="H1746" s="129">
        <f>_xlfn.XLOOKUP(G1746,'[1]T&amp;C emissions for 2050 analysis'!$B$3:$B$23,'[1]T&amp;C emissions for 2050 analysis'!$C$3:$C$23)</f>
        <v>0.51333333333333331</v>
      </c>
      <c r="I1746" s="27">
        <f t="shared" si="81"/>
        <v>0.60429193131999992</v>
      </c>
      <c r="J1746" s="129">
        <f t="shared" si="82"/>
        <v>17.20796</v>
      </c>
    </row>
    <row r="1747" spans="1:10" hidden="1" x14ac:dyDescent="0.35">
      <c r="A1747" s="126" t="s">
        <v>472</v>
      </c>
      <c r="B1747" t="str">
        <f>_xlfn.XLOOKUP(A1747,'[1]2050Pop'!$A$7:$A$143,'[1]2050Pop'!$D$7:$D$143)</f>
        <v>Euro/AU/NZ</v>
      </c>
      <c r="C1747" s="127">
        <f>1000*_xlfn.XLOOKUP(A1747,'[1]2050Pop'!$A$7:$A$143,'[1]2050Pop'!$C$7:$C$143)</f>
        <v>75361</v>
      </c>
      <c r="D1747" s="126" t="s">
        <v>507</v>
      </c>
      <c r="E1747" s="128">
        <v>83.438000000000002</v>
      </c>
      <c r="F1747" s="129">
        <f t="shared" si="83"/>
        <v>6.2879711179999997</v>
      </c>
      <c r="G1747" t="str">
        <f>_xlfn.XLOOKUP(D1747,'[1]2050 BAU Mapping to T &amp; C'!$A$3:$A$52,'[1]2050 BAU Mapping to T &amp; C'!$B$3:$B$52)</f>
        <v>Rice</v>
      </c>
      <c r="H1747" s="129">
        <f>_xlfn.XLOOKUP(G1747,'[1]T&amp;C emissions for 2050 analysis'!$B$3:$B$23,'[1]T&amp;C emissions for 2050 analysis'!$C$3:$C$23)</f>
        <v>0.51333333333333331</v>
      </c>
      <c r="I1747" s="27">
        <f t="shared" si="81"/>
        <v>3.2278251739066666</v>
      </c>
      <c r="J1747" s="129">
        <f t="shared" si="82"/>
        <v>42.831506666666662</v>
      </c>
    </row>
    <row r="1748" spans="1:10" hidden="1" x14ac:dyDescent="0.35">
      <c r="A1748" s="126" t="s">
        <v>473</v>
      </c>
      <c r="B1748" t="str">
        <f>_xlfn.XLOOKUP(A1748,'[1]2050Pop'!$A$7:$A$143,'[1]2050Pop'!$D$7:$D$143)</f>
        <v>SSA</v>
      </c>
      <c r="C1748" s="127">
        <f>1000*_xlfn.XLOOKUP(A1748,'[1]2050Pop'!$A$7:$A$143,'[1]2050Pop'!$C$7:$C$143)</f>
        <v>137136</v>
      </c>
      <c r="D1748" s="126" t="s">
        <v>507</v>
      </c>
      <c r="E1748" s="128">
        <v>248.60400000000001</v>
      </c>
      <c r="F1748" s="129">
        <f t="shared" si="83"/>
        <v>34.092558144000002</v>
      </c>
      <c r="G1748" t="str">
        <f>_xlfn.XLOOKUP(D1748,'[1]2050 BAU Mapping to T &amp; C'!$A$3:$A$52,'[1]2050 BAU Mapping to T &amp; C'!$B$3:$B$52)</f>
        <v>Rice</v>
      </c>
      <c r="H1748" s="129">
        <f>_xlfn.XLOOKUP(G1748,'[1]T&amp;C emissions for 2050 analysis'!$B$3:$B$23,'[1]T&amp;C emissions for 2050 analysis'!$C$3:$C$23)</f>
        <v>0.51333333333333331</v>
      </c>
      <c r="I1748" s="27">
        <f t="shared" si="81"/>
        <v>17.500846513919999</v>
      </c>
      <c r="J1748" s="129">
        <f t="shared" si="82"/>
        <v>127.61672</v>
      </c>
    </row>
    <row r="1749" spans="1:10" hidden="1" x14ac:dyDescent="0.35">
      <c r="A1749" s="126" t="s">
        <v>474</v>
      </c>
      <c r="B1749" t="str">
        <f>_xlfn.XLOOKUP(A1749,'[1]2050Pop'!$A$7:$A$143,'[1]2050Pop'!$D$7:$D$143)</f>
        <v>NAm</v>
      </c>
      <c r="C1749" s="127">
        <f>1000*_xlfn.XLOOKUP(A1749,'[1]2050Pop'!$A$7:$A$143,'[1]2050Pop'!$C$7:$C$143)</f>
        <v>388865</v>
      </c>
      <c r="D1749" s="126" t="s">
        <v>507</v>
      </c>
      <c r="E1749" s="128">
        <v>80.558999999999997</v>
      </c>
      <c r="F1749" s="129">
        <f t="shared" si="83"/>
        <v>31.326575535</v>
      </c>
      <c r="G1749" t="str">
        <f>_xlfn.XLOOKUP(D1749,'[1]2050 BAU Mapping to T &amp; C'!$A$3:$A$52,'[1]2050 BAU Mapping to T &amp; C'!$B$3:$B$52)</f>
        <v>Rice</v>
      </c>
      <c r="H1749" s="129">
        <f>_xlfn.XLOOKUP(G1749,'[1]T&amp;C emissions for 2050 analysis'!$B$3:$B$23,'[1]T&amp;C emissions for 2050 analysis'!$C$3:$C$23)</f>
        <v>0.51333333333333331</v>
      </c>
      <c r="I1749" s="27">
        <f t="shared" si="81"/>
        <v>16.080975441299998</v>
      </c>
      <c r="J1749" s="129">
        <f t="shared" si="82"/>
        <v>41.353619999999999</v>
      </c>
    </row>
    <row r="1750" spans="1:10" hidden="1" x14ac:dyDescent="0.35">
      <c r="A1750" s="126" t="s">
        <v>475</v>
      </c>
      <c r="B1750" t="str">
        <f>_xlfn.XLOOKUP(A1750,'[1]2050Pop'!$A$7:$A$143,'[1]2050Pop'!$D$7:$D$143)</f>
        <v>LatAm &amp; RSA</v>
      </c>
      <c r="C1750" s="127">
        <f>1000*_xlfn.XLOOKUP(A1750,'[1]2050Pop'!$A$7:$A$143,'[1]2050Pop'!$C$7:$C$143)</f>
        <v>3667</v>
      </c>
      <c r="D1750" s="126" t="s">
        <v>507</v>
      </c>
      <c r="E1750" s="128">
        <v>143.215</v>
      </c>
      <c r="F1750" s="129">
        <f t="shared" si="83"/>
        <v>0.52516940499999998</v>
      </c>
      <c r="G1750" t="str">
        <f>_xlfn.XLOOKUP(D1750,'[1]2050 BAU Mapping to T &amp; C'!$A$3:$A$52,'[1]2050 BAU Mapping to T &amp; C'!$B$3:$B$52)</f>
        <v>Rice</v>
      </c>
      <c r="H1750" s="129">
        <f>_xlfn.XLOOKUP(G1750,'[1]T&amp;C emissions for 2050 analysis'!$B$3:$B$23,'[1]T&amp;C emissions for 2050 analysis'!$C$3:$C$23)</f>
        <v>0.51333333333333331</v>
      </c>
      <c r="I1750" s="27">
        <f t="shared" si="81"/>
        <v>0.26958696123333331</v>
      </c>
      <c r="J1750" s="129">
        <f t="shared" si="82"/>
        <v>73.51703333333333</v>
      </c>
    </row>
    <row r="1751" spans="1:10" hidden="1" x14ac:dyDescent="0.35">
      <c r="A1751" s="126" t="s">
        <v>485</v>
      </c>
      <c r="B1751" t="str">
        <f>_xlfn.XLOOKUP(A1751,'[1]2050Pop'!$A$7:$A$143,'[1]2050Pop'!$D$7:$D$143)</f>
        <v>APAC</v>
      </c>
      <c r="C1751" s="127">
        <f>1000*_xlfn.XLOOKUP(A1751,'[1]2050Pop'!$A$7:$A$143,'[1]2050Pop'!$C$7:$C$143)</f>
        <v>37126</v>
      </c>
      <c r="D1751" s="126" t="s">
        <v>507</v>
      </c>
      <c r="E1751" s="128">
        <v>44.259</v>
      </c>
      <c r="F1751" s="129">
        <f t="shared" si="83"/>
        <v>1.6431596340000001</v>
      </c>
      <c r="G1751" t="str">
        <f>_xlfn.XLOOKUP(D1751,'[1]2050 BAU Mapping to T &amp; C'!$A$3:$A$52,'[1]2050 BAU Mapping to T &amp; C'!$B$3:$B$52)</f>
        <v>Rice</v>
      </c>
      <c r="H1751" s="129">
        <f>_xlfn.XLOOKUP(G1751,'[1]T&amp;C emissions for 2050 analysis'!$B$3:$B$23,'[1]T&amp;C emissions for 2050 analysis'!$C$3:$C$23)</f>
        <v>0.51333333333333331</v>
      </c>
      <c r="I1751" s="27">
        <f t="shared" si="81"/>
        <v>0.84348861212000004</v>
      </c>
      <c r="J1751" s="129">
        <f t="shared" si="82"/>
        <v>22.719619999999999</v>
      </c>
    </row>
    <row r="1752" spans="1:10" hidden="1" x14ac:dyDescent="0.35">
      <c r="A1752" s="126" t="s">
        <v>476</v>
      </c>
      <c r="B1752" t="str">
        <f>_xlfn.XLOOKUP(A1752,'[1]2050Pop'!$A$7:$A$143,'[1]2050Pop'!$D$7:$D$143)</f>
        <v>LatAm &amp; RSA</v>
      </c>
      <c r="C1752" s="127">
        <f>1000*_xlfn.XLOOKUP(A1752,'[1]2050Pop'!$A$7:$A$143,'[1]2050Pop'!$C$7:$C$143)</f>
        <v>41562</v>
      </c>
      <c r="D1752" s="126" t="s">
        <v>507</v>
      </c>
      <c r="E1752" s="128">
        <v>270.37400000000002</v>
      </c>
      <c r="F1752" s="129">
        <f t="shared" si="83"/>
        <v>11.237284188</v>
      </c>
      <c r="G1752" t="str">
        <f>_xlfn.XLOOKUP(D1752,'[1]2050 BAU Mapping to T &amp; C'!$A$3:$A$52,'[1]2050 BAU Mapping to T &amp; C'!$B$3:$B$52)</f>
        <v>Rice</v>
      </c>
      <c r="H1752" s="129">
        <f>_xlfn.XLOOKUP(G1752,'[1]T&amp;C emissions for 2050 analysis'!$B$3:$B$23,'[1]T&amp;C emissions for 2050 analysis'!$C$3:$C$23)</f>
        <v>0.51333333333333331</v>
      </c>
      <c r="I1752" s="27">
        <f t="shared" si="81"/>
        <v>5.7684725498400002</v>
      </c>
      <c r="J1752" s="129">
        <f t="shared" si="82"/>
        <v>138.79198666666667</v>
      </c>
    </row>
    <row r="1753" spans="1:10" hidden="1" x14ac:dyDescent="0.35">
      <c r="A1753" s="126" t="s">
        <v>477</v>
      </c>
      <c r="B1753" t="str">
        <f>_xlfn.XLOOKUP(A1753,'[1]2050Pop'!$A$7:$A$143,'[1]2050Pop'!$D$7:$D$143)</f>
        <v>APAC</v>
      </c>
      <c r="C1753" s="127">
        <f>1000*_xlfn.XLOOKUP(A1753,'[1]2050Pop'!$A$7:$A$143,'[1]2050Pop'!$C$7:$C$143)</f>
        <v>112783</v>
      </c>
      <c r="D1753" s="126" t="s">
        <v>507</v>
      </c>
      <c r="E1753" s="128">
        <v>1311.9559999999999</v>
      </c>
      <c r="F1753" s="129">
        <f t="shared" si="83"/>
        <v>147.96633354799997</v>
      </c>
      <c r="G1753" t="str">
        <f>_xlfn.XLOOKUP(D1753,'[1]2050 BAU Mapping to T &amp; C'!$A$3:$A$52,'[1]2050 BAU Mapping to T &amp; C'!$B$3:$B$52)</f>
        <v>Rice</v>
      </c>
      <c r="H1753" s="129">
        <f>_xlfn.XLOOKUP(G1753,'[1]T&amp;C emissions for 2050 analysis'!$B$3:$B$23,'[1]T&amp;C emissions for 2050 analysis'!$C$3:$C$23)</f>
        <v>0.51333333333333331</v>
      </c>
      <c r="I1753" s="27">
        <f t="shared" si="81"/>
        <v>75.956051221306652</v>
      </c>
      <c r="J1753" s="129">
        <f t="shared" si="82"/>
        <v>673.47074666666663</v>
      </c>
    </row>
    <row r="1754" spans="1:10" hidden="1" x14ac:dyDescent="0.35">
      <c r="A1754" s="126" t="s">
        <v>478</v>
      </c>
      <c r="B1754" t="str">
        <f>_xlfn.XLOOKUP(A1754,'[1]2050Pop'!$A$7:$A$143,'[1]2050Pop'!$D$7:$D$143)</f>
        <v>MENA</v>
      </c>
      <c r="C1754" s="127">
        <f>1000*_xlfn.XLOOKUP(A1754,'[1]2050Pop'!$A$7:$A$143,'[1]2050Pop'!$C$7:$C$143)</f>
        <v>47170</v>
      </c>
      <c r="D1754" s="126" t="s">
        <v>507</v>
      </c>
      <c r="E1754" s="128">
        <v>196.227</v>
      </c>
      <c r="F1754" s="129">
        <f t="shared" si="83"/>
        <v>9.2560275900000004</v>
      </c>
      <c r="G1754" t="str">
        <f>_xlfn.XLOOKUP(D1754,'[1]2050 BAU Mapping to T &amp; C'!$A$3:$A$52,'[1]2050 BAU Mapping to T &amp; C'!$B$3:$B$52)</f>
        <v>Rice</v>
      </c>
      <c r="H1754" s="129">
        <f>_xlfn.XLOOKUP(G1754,'[1]T&amp;C emissions for 2050 analysis'!$B$3:$B$23,'[1]T&amp;C emissions for 2050 analysis'!$C$3:$C$23)</f>
        <v>0.51333333333333331</v>
      </c>
      <c r="I1754" s="27">
        <f t="shared" si="81"/>
        <v>4.7514274961999998</v>
      </c>
      <c r="J1754" s="129">
        <f t="shared" si="82"/>
        <v>100.72986</v>
      </c>
    </row>
    <row r="1755" spans="1:10" hidden="1" x14ac:dyDescent="0.35">
      <c r="A1755" s="126" t="s">
        <v>494</v>
      </c>
      <c r="B1755" t="str">
        <f>_xlfn.XLOOKUP(A1755,'[1]2050Pop'!$A$7:$A$143,'[1]2050Pop'!$D$7:$D$143)</f>
        <v>SSA</v>
      </c>
      <c r="C1755" s="127">
        <f>1000*_xlfn.XLOOKUP(A1755,'[1]2050Pop'!$A$7:$A$143,'[1]2050Pop'!$C$7:$C$143)</f>
        <v>42975</v>
      </c>
      <c r="D1755" s="126" t="s">
        <v>507</v>
      </c>
      <c r="E1755" s="128">
        <v>43.956000000000003</v>
      </c>
      <c r="F1755" s="129">
        <f t="shared" si="83"/>
        <v>1.8890091</v>
      </c>
      <c r="G1755" t="str">
        <f>_xlfn.XLOOKUP(D1755,'[1]2050 BAU Mapping to T &amp; C'!$A$3:$A$52,'[1]2050 BAU Mapping to T &amp; C'!$B$3:$B$52)</f>
        <v>Rice</v>
      </c>
      <c r="H1755" s="129">
        <f>_xlfn.XLOOKUP(G1755,'[1]T&amp;C emissions for 2050 analysis'!$B$3:$B$23,'[1]T&amp;C emissions for 2050 analysis'!$C$3:$C$23)</f>
        <v>0.51333333333333331</v>
      </c>
      <c r="I1755" s="27">
        <f t="shared" si="81"/>
        <v>0.96969133799999996</v>
      </c>
      <c r="J1755" s="129">
        <f t="shared" si="82"/>
        <v>22.564080000000001</v>
      </c>
    </row>
    <row r="1756" spans="1:10" hidden="1" x14ac:dyDescent="0.35">
      <c r="A1756" s="126" t="s">
        <v>479</v>
      </c>
      <c r="B1756" t="str">
        <f>_xlfn.XLOOKUP(A1756,'[1]2050Pop'!$A$7:$A$143,'[1]2050Pop'!$D$7:$D$143)</f>
        <v>SSA</v>
      </c>
      <c r="C1756" s="127">
        <f>1000*_xlfn.XLOOKUP(A1756,'[1]2050Pop'!$A$7:$A$143,'[1]2050Pop'!$C$7:$C$143)</f>
        <v>29615</v>
      </c>
      <c r="D1756" s="126" t="s">
        <v>507</v>
      </c>
      <c r="E1756" s="128">
        <v>145.07599999999999</v>
      </c>
      <c r="F1756" s="129">
        <f t="shared" si="83"/>
        <v>4.2964257400000001</v>
      </c>
      <c r="G1756" t="str">
        <f>_xlfn.XLOOKUP(D1756,'[1]2050 BAU Mapping to T &amp; C'!$A$3:$A$52,'[1]2050 BAU Mapping to T &amp; C'!$B$3:$B$52)</f>
        <v>Rice</v>
      </c>
      <c r="H1756" s="129">
        <f>_xlfn.XLOOKUP(G1756,'[1]T&amp;C emissions for 2050 analysis'!$B$3:$B$23,'[1]T&amp;C emissions for 2050 analysis'!$C$3:$C$23)</f>
        <v>0.51333333333333331</v>
      </c>
      <c r="I1756" s="27">
        <f t="shared" si="81"/>
        <v>2.2054985465333332</v>
      </c>
      <c r="J1756" s="129">
        <f t="shared" si="82"/>
        <v>74.472346666666667</v>
      </c>
    </row>
    <row r="1757" spans="1:10" hidden="1" x14ac:dyDescent="0.35">
      <c r="A1757" s="126" t="s">
        <v>355</v>
      </c>
      <c r="B1757" t="str">
        <f>_xlfn.XLOOKUP(A1757,'[1]2050Pop'!$A$7:$A$143,'[1]2050Pop'!$D$7:$D$143)</f>
        <v>India/South Asia</v>
      </c>
      <c r="C1757" s="127">
        <f>1000*_xlfn.XLOOKUP(A1757,'[1]2050Pop'!$A$7:$A$143,'[1]2050Pop'!$C$7:$C$143)</f>
        <v>55955</v>
      </c>
      <c r="D1757" s="126" t="s">
        <v>508</v>
      </c>
      <c r="E1757" s="128">
        <v>2.5569999999999999</v>
      </c>
      <c r="F1757" s="129">
        <f t="shared" si="83"/>
        <v>0.14307693499999999</v>
      </c>
      <c r="G1757" t="str">
        <f>_xlfn.XLOOKUP(D1757,'[1]2050 BAU Mapping to T &amp; C'!$A$3:$A$52,'[1]2050 BAU Mapping to T &amp; C'!$B$3:$B$52)</f>
        <v xml:space="preserve">Other cereals </v>
      </c>
      <c r="H1757" s="129">
        <f>_xlfn.XLOOKUP(G1757,'[1]T&amp;C emissions for 2050 analysis'!$B$3:$B$23,'[1]T&amp;C emissions for 2050 analysis'!$C$3:$C$23)</f>
        <v>0.18333333333333335</v>
      </c>
      <c r="I1757" s="27">
        <f t="shared" si="81"/>
        <v>2.6230771416666666E-2</v>
      </c>
      <c r="J1757" s="129">
        <f t="shared" si="82"/>
        <v>0.46878333333333339</v>
      </c>
    </row>
    <row r="1758" spans="1:10" hidden="1" x14ac:dyDescent="0.35">
      <c r="A1758" s="126" t="s">
        <v>359</v>
      </c>
      <c r="B1758" t="str">
        <f>_xlfn.XLOOKUP(A1758,'[1]2050Pop'!$A$7:$A$143,'[1]2050Pop'!$D$7:$D$143)</f>
        <v>SSA</v>
      </c>
      <c r="C1758" s="127">
        <f>1000*_xlfn.XLOOKUP(A1758,'[1]2050Pop'!$A$7:$A$143,'[1]2050Pop'!$C$7:$C$143)</f>
        <v>65473</v>
      </c>
      <c r="D1758" s="126" t="s">
        <v>508</v>
      </c>
      <c r="E1758" s="131">
        <v>11.6</v>
      </c>
      <c r="F1758" s="129">
        <f t="shared" si="83"/>
        <v>0.75948679999999991</v>
      </c>
      <c r="G1758" t="str">
        <f>_xlfn.XLOOKUP(D1758,'[1]2050 BAU Mapping to T &amp; C'!$A$3:$A$52,'[1]2050 BAU Mapping to T &amp; C'!$B$3:$B$52)</f>
        <v xml:space="preserve">Other cereals </v>
      </c>
      <c r="H1758" s="129">
        <f>_xlfn.XLOOKUP(G1758,'[1]T&amp;C emissions for 2050 analysis'!$B$3:$B$23,'[1]T&amp;C emissions for 2050 analysis'!$C$3:$C$23)</f>
        <v>0.18333333333333335</v>
      </c>
      <c r="I1758" s="27">
        <f t="shared" si="81"/>
        <v>0.13923924666666665</v>
      </c>
      <c r="J1758" s="129">
        <f t="shared" si="82"/>
        <v>2.1266666666666669</v>
      </c>
    </row>
    <row r="1759" spans="1:10" hidden="1" x14ac:dyDescent="0.35">
      <c r="A1759" s="126" t="s">
        <v>365</v>
      </c>
      <c r="B1759" t="str">
        <f>_xlfn.XLOOKUP(A1759,'[1]2050Pop'!$A$7:$A$143,'[1]2050Pop'!$D$7:$D$143)</f>
        <v>India/South Asia</v>
      </c>
      <c r="C1759" s="127">
        <f>1000*_xlfn.XLOOKUP(A1759,'[1]2050Pop'!$A$7:$A$143,'[1]2050Pop'!$C$7:$C$143)</f>
        <v>202209</v>
      </c>
      <c r="D1759" s="126" t="s">
        <v>508</v>
      </c>
      <c r="E1759" s="128">
        <v>1.012</v>
      </c>
      <c r="F1759" s="129">
        <f t="shared" si="83"/>
        <v>0.20463550799999999</v>
      </c>
      <c r="G1759" t="str">
        <f>_xlfn.XLOOKUP(D1759,'[1]2050 BAU Mapping to T &amp; C'!$A$3:$A$52,'[1]2050 BAU Mapping to T &amp; C'!$B$3:$B$52)</f>
        <v xml:space="preserve">Other cereals </v>
      </c>
      <c r="H1759" s="129">
        <f>_xlfn.XLOOKUP(G1759,'[1]T&amp;C emissions for 2050 analysis'!$B$3:$B$23,'[1]T&amp;C emissions for 2050 analysis'!$C$3:$C$23)</f>
        <v>0.18333333333333335</v>
      </c>
      <c r="I1759" s="27">
        <f t="shared" si="81"/>
        <v>3.75165098E-2</v>
      </c>
      <c r="J1759" s="129">
        <f t="shared" si="82"/>
        <v>0.18553333333333336</v>
      </c>
    </row>
    <row r="1760" spans="1:10" hidden="1" x14ac:dyDescent="0.35">
      <c r="A1760" s="126" t="s">
        <v>368</v>
      </c>
      <c r="B1760" t="str">
        <f>_xlfn.XLOOKUP(A1760,'[1]2050Pop'!$A$7:$A$143,'[1]2050Pop'!$D$7:$D$143)</f>
        <v>SSA</v>
      </c>
      <c r="C1760" s="127">
        <f>1000*_xlfn.XLOOKUP(A1760,'[1]2050Pop'!$A$7:$A$143,'[1]2050Pop'!$C$7:$C$143)</f>
        <v>22549</v>
      </c>
      <c r="D1760" s="126" t="s">
        <v>508</v>
      </c>
      <c r="E1760" s="128">
        <v>13.193</v>
      </c>
      <c r="F1760" s="129">
        <f t="shared" si="83"/>
        <v>0.297488957</v>
      </c>
      <c r="G1760" t="str">
        <f>_xlfn.XLOOKUP(D1760,'[1]2050 BAU Mapping to T &amp; C'!$A$3:$A$52,'[1]2050 BAU Mapping to T &amp; C'!$B$3:$B$52)</f>
        <v xml:space="preserve">Other cereals </v>
      </c>
      <c r="H1760" s="129">
        <f>_xlfn.XLOOKUP(G1760,'[1]T&amp;C emissions for 2050 analysis'!$B$3:$B$23,'[1]T&amp;C emissions for 2050 analysis'!$C$3:$C$23)</f>
        <v>0.18333333333333335</v>
      </c>
      <c r="I1760" s="27">
        <f t="shared" si="81"/>
        <v>5.4539642116666669E-2</v>
      </c>
      <c r="J1760" s="129">
        <f t="shared" si="82"/>
        <v>2.4187166666666666</v>
      </c>
    </row>
    <row r="1761" spans="1:10" hidden="1" x14ac:dyDescent="0.35">
      <c r="A1761" s="126" t="s">
        <v>371</v>
      </c>
      <c r="B1761" t="str">
        <f>_xlfn.XLOOKUP(A1761,'[1]2050Pop'!$A$7:$A$143,'[1]2050Pop'!$D$7:$D$143)</f>
        <v>SSA</v>
      </c>
      <c r="C1761" s="127">
        <f>1000*_xlfn.XLOOKUP(A1761,'[1]2050Pop'!$A$7:$A$143,'[1]2050Pop'!$C$7:$C$143)</f>
        <v>3389</v>
      </c>
      <c r="D1761" s="126" t="s">
        <v>508</v>
      </c>
      <c r="E1761" s="128">
        <v>5.9539999999999997</v>
      </c>
      <c r="F1761" s="129">
        <f t="shared" si="83"/>
        <v>2.0178106000000001E-2</v>
      </c>
      <c r="G1761" t="str">
        <f>_xlfn.XLOOKUP(D1761,'[1]2050 BAU Mapping to T &amp; C'!$A$3:$A$52,'[1]2050 BAU Mapping to T &amp; C'!$B$3:$B$52)</f>
        <v xml:space="preserve">Other cereals </v>
      </c>
      <c r="H1761" s="129">
        <f>_xlfn.XLOOKUP(G1761,'[1]T&amp;C emissions for 2050 analysis'!$B$3:$B$23,'[1]T&amp;C emissions for 2050 analysis'!$C$3:$C$23)</f>
        <v>0.18333333333333335</v>
      </c>
      <c r="I1761" s="27">
        <f t="shared" si="81"/>
        <v>3.699319433333334E-3</v>
      </c>
      <c r="J1761" s="129">
        <f t="shared" si="82"/>
        <v>1.0915666666666668</v>
      </c>
    </row>
    <row r="1762" spans="1:10" hidden="1" x14ac:dyDescent="0.35">
      <c r="A1762" s="126" t="s">
        <v>487</v>
      </c>
      <c r="B1762" t="str">
        <f>_xlfn.XLOOKUP(A1762,'[1]2050Pop'!$A$7:$A$143,'[1]2050Pop'!$D$7:$D$143)</f>
        <v>SSA</v>
      </c>
      <c r="C1762" s="127">
        <f>1000*_xlfn.XLOOKUP(A1762,'[1]2050Pop'!$A$7:$A$143,'[1]2050Pop'!$C$7:$C$143)</f>
        <v>42789</v>
      </c>
      <c r="D1762" s="126" t="s">
        <v>508</v>
      </c>
      <c r="E1762" s="128">
        <v>425.88099999999997</v>
      </c>
      <c r="F1762" s="129">
        <f t="shared" si="83"/>
        <v>18.223022108999999</v>
      </c>
      <c r="G1762" t="str">
        <f>_xlfn.XLOOKUP(D1762,'[1]2050 BAU Mapping to T &amp; C'!$A$3:$A$52,'[1]2050 BAU Mapping to T &amp; C'!$B$3:$B$52)</f>
        <v xml:space="preserve">Other cereals </v>
      </c>
      <c r="H1762" s="129">
        <f>_xlfn.XLOOKUP(G1762,'[1]T&amp;C emissions for 2050 analysis'!$B$3:$B$23,'[1]T&amp;C emissions for 2050 analysis'!$C$3:$C$23)</f>
        <v>0.18333333333333335</v>
      </c>
      <c r="I1762" s="27">
        <f t="shared" si="81"/>
        <v>3.34088738665</v>
      </c>
      <c r="J1762" s="129">
        <f t="shared" si="82"/>
        <v>78.078183333333328</v>
      </c>
    </row>
    <row r="1763" spans="1:10" hidden="1" x14ac:dyDescent="0.35">
      <c r="A1763" s="126" t="s">
        <v>375</v>
      </c>
      <c r="B1763" t="str">
        <f>_xlfn.XLOOKUP(A1763,'[1]2050Pop'!$A$7:$A$143,'[1]2050Pop'!$D$7:$D$143)</f>
        <v>SSA</v>
      </c>
      <c r="C1763" s="127">
        <f>1000*_xlfn.XLOOKUP(A1763,'[1]2050Pop'!$A$7:$A$143,'[1]2050Pop'!$C$7:$C$143)</f>
        <v>48362</v>
      </c>
      <c r="D1763" s="126" t="s">
        <v>508</v>
      </c>
      <c r="E1763" s="128">
        <v>33.959000000000003</v>
      </c>
      <c r="F1763" s="129">
        <f t="shared" si="83"/>
        <v>1.642325158</v>
      </c>
      <c r="G1763" t="str">
        <f>_xlfn.XLOOKUP(D1763,'[1]2050 BAU Mapping to T &amp; C'!$A$3:$A$52,'[1]2050 BAU Mapping to T &amp; C'!$B$3:$B$52)</f>
        <v xml:space="preserve">Other cereals </v>
      </c>
      <c r="H1763" s="129">
        <f>_xlfn.XLOOKUP(G1763,'[1]T&amp;C emissions for 2050 analysis'!$B$3:$B$23,'[1]T&amp;C emissions for 2050 analysis'!$C$3:$C$23)</f>
        <v>0.18333333333333335</v>
      </c>
      <c r="I1763" s="27">
        <f t="shared" si="81"/>
        <v>0.30109294563333339</v>
      </c>
      <c r="J1763" s="129">
        <f t="shared" si="82"/>
        <v>6.2258166666666677</v>
      </c>
    </row>
    <row r="1764" spans="1:10" hidden="1" x14ac:dyDescent="0.35">
      <c r="A1764" s="126" t="s">
        <v>377</v>
      </c>
      <c r="B1764" t="str">
        <f>_xlfn.XLOOKUP(A1764,'[1]2050Pop'!$A$7:$A$143,'[1]2050Pop'!$D$7:$D$143)</f>
        <v>SSA</v>
      </c>
      <c r="C1764" s="127">
        <f>1000*_xlfn.XLOOKUP(A1764,'[1]2050Pop'!$A$7:$A$143,'[1]2050Pop'!$C$7:$C$143)</f>
        <v>8782</v>
      </c>
      <c r="D1764" s="126" t="s">
        <v>508</v>
      </c>
      <c r="E1764" s="128">
        <v>20.978000000000002</v>
      </c>
      <c r="F1764" s="129">
        <f t="shared" si="83"/>
        <v>0.184228796</v>
      </c>
      <c r="G1764" t="str">
        <f>_xlfn.XLOOKUP(D1764,'[1]2050 BAU Mapping to T &amp; C'!$A$3:$A$52,'[1]2050 BAU Mapping to T &amp; C'!$B$3:$B$52)</f>
        <v xml:space="preserve">Other cereals </v>
      </c>
      <c r="H1764" s="129">
        <f>_xlfn.XLOOKUP(G1764,'[1]T&amp;C emissions for 2050 analysis'!$B$3:$B$23,'[1]T&amp;C emissions for 2050 analysis'!$C$3:$C$23)</f>
        <v>0.18333333333333335</v>
      </c>
      <c r="I1764" s="27">
        <f t="shared" si="81"/>
        <v>3.3775279266666666E-2</v>
      </c>
      <c r="J1764" s="129">
        <f t="shared" si="82"/>
        <v>3.8459666666666674</v>
      </c>
    </row>
    <row r="1765" spans="1:10" hidden="1" x14ac:dyDescent="0.35">
      <c r="A1765" s="126" t="s">
        <v>488</v>
      </c>
      <c r="B1765" t="str">
        <f>_xlfn.XLOOKUP(A1765,'[1]2050Pop'!$A$7:$A$143,'[1]2050Pop'!$D$7:$D$143)</f>
        <v>SSA</v>
      </c>
      <c r="C1765" s="127">
        <f>1000*_xlfn.XLOOKUP(A1765,'[1]2050Pop'!$A$7:$A$143,'[1]2050Pop'!$C$7:$C$143)</f>
        <v>35131</v>
      </c>
      <c r="D1765" s="126" t="s">
        <v>508</v>
      </c>
      <c r="E1765" s="128">
        <v>270.55200000000002</v>
      </c>
      <c r="F1765" s="129">
        <f t="shared" si="83"/>
        <v>9.5047623120000004</v>
      </c>
      <c r="G1765" t="str">
        <f>_xlfn.XLOOKUP(D1765,'[1]2050 BAU Mapping to T &amp; C'!$A$3:$A$52,'[1]2050 BAU Mapping to T &amp; C'!$B$3:$B$52)</f>
        <v xml:space="preserve">Other cereals </v>
      </c>
      <c r="H1765" s="129">
        <f>_xlfn.XLOOKUP(G1765,'[1]T&amp;C emissions for 2050 analysis'!$B$3:$B$23,'[1]T&amp;C emissions for 2050 analysis'!$C$3:$C$23)</f>
        <v>0.18333333333333335</v>
      </c>
      <c r="I1765" s="27">
        <f t="shared" si="81"/>
        <v>1.7425397572000003</v>
      </c>
      <c r="J1765" s="129">
        <f t="shared" si="82"/>
        <v>49.601200000000006</v>
      </c>
    </row>
    <row r="1766" spans="1:10" hidden="1" x14ac:dyDescent="0.35">
      <c r="A1766" s="126" t="s">
        <v>380</v>
      </c>
      <c r="B1766" t="str">
        <f>_xlfn.XLOOKUP(A1766,'[1]2050Pop'!$A$7:$A$143,'[1]2050Pop'!$D$7:$D$143)</f>
        <v>Greater China</v>
      </c>
      <c r="C1766" s="127">
        <f>1000*_xlfn.XLOOKUP(A1766,'[1]2050Pop'!$A$7:$A$143,'[1]2050Pop'!$C$7:$C$143)</f>
        <v>1348056</v>
      </c>
      <c r="D1766" s="126" t="s">
        <v>508</v>
      </c>
      <c r="E1766" s="128">
        <v>3.4740000000000002</v>
      </c>
      <c r="F1766" s="129">
        <f t="shared" si="83"/>
        <v>4.6831465440000004</v>
      </c>
      <c r="G1766" t="str">
        <f>_xlfn.XLOOKUP(D1766,'[1]2050 BAU Mapping to T &amp; C'!$A$3:$A$52,'[1]2050 BAU Mapping to T &amp; C'!$B$3:$B$52)</f>
        <v xml:space="preserve">Other cereals </v>
      </c>
      <c r="H1766" s="129">
        <f>_xlfn.XLOOKUP(G1766,'[1]T&amp;C emissions for 2050 analysis'!$B$3:$B$23,'[1]T&amp;C emissions for 2050 analysis'!$C$3:$C$23)</f>
        <v>0.18333333333333335</v>
      </c>
      <c r="I1766" s="27">
        <f t="shared" si="81"/>
        <v>0.85857686640000019</v>
      </c>
      <c r="J1766" s="129">
        <f t="shared" si="82"/>
        <v>0.63690000000000013</v>
      </c>
    </row>
    <row r="1767" spans="1:10" hidden="1" x14ac:dyDescent="0.35">
      <c r="A1767" s="126" t="s">
        <v>381</v>
      </c>
      <c r="B1767" t="str">
        <f>_xlfn.XLOOKUP(A1767,'[1]2050Pop'!$A$7:$A$143,'[1]2050Pop'!$D$7:$D$143)</f>
        <v>Greater China</v>
      </c>
      <c r="C1767" s="127">
        <f>1000*_xlfn.XLOOKUP(A1767,'[1]2050Pop'!$A$7:$A$143,'[1]2050Pop'!$C$7:$C$143)</f>
        <v>20778</v>
      </c>
      <c r="D1767" s="126" t="s">
        <v>508</v>
      </c>
      <c r="E1767" s="128">
        <v>1.075</v>
      </c>
      <c r="F1767" s="129">
        <f t="shared" si="83"/>
        <v>2.2336349999999998E-2</v>
      </c>
      <c r="G1767" t="str">
        <f>_xlfn.XLOOKUP(D1767,'[1]2050 BAU Mapping to T &amp; C'!$A$3:$A$52,'[1]2050 BAU Mapping to T &amp; C'!$B$3:$B$52)</f>
        <v xml:space="preserve">Other cereals </v>
      </c>
      <c r="H1767" s="129">
        <f>_xlfn.XLOOKUP(G1767,'[1]T&amp;C emissions for 2050 analysis'!$B$3:$B$23,'[1]T&amp;C emissions for 2050 analysis'!$C$3:$C$23)</f>
        <v>0.18333333333333335</v>
      </c>
      <c r="I1767" s="27">
        <f t="shared" si="81"/>
        <v>4.0949975000000001E-3</v>
      </c>
      <c r="J1767" s="129">
        <f t="shared" si="82"/>
        <v>0.19708333333333333</v>
      </c>
    </row>
    <row r="1768" spans="1:10" hidden="1" x14ac:dyDescent="0.35">
      <c r="A1768" s="126" t="s">
        <v>384</v>
      </c>
      <c r="B1768" t="str">
        <f>_xlfn.XLOOKUP(A1768,'[1]2050Pop'!$A$7:$A$143,'[1]2050Pop'!$D$7:$D$143)</f>
        <v>SSA</v>
      </c>
      <c r="C1768" s="127">
        <f>1000*_xlfn.XLOOKUP(A1768,'[1]2050Pop'!$A$7:$A$143,'[1]2050Pop'!$C$7:$C$143)</f>
        <v>48797</v>
      </c>
      <c r="D1768" s="126" t="s">
        <v>508</v>
      </c>
      <c r="E1768" s="128">
        <v>11.347</v>
      </c>
      <c r="F1768" s="129">
        <f t="shared" si="83"/>
        <v>0.55369955900000001</v>
      </c>
      <c r="G1768" t="str">
        <f>_xlfn.XLOOKUP(D1768,'[1]2050 BAU Mapping to T &amp; C'!$A$3:$A$52,'[1]2050 BAU Mapping to T &amp; C'!$B$3:$B$52)</f>
        <v xml:space="preserve">Other cereals </v>
      </c>
      <c r="H1768" s="129">
        <f>_xlfn.XLOOKUP(G1768,'[1]T&amp;C emissions for 2050 analysis'!$B$3:$B$23,'[1]T&amp;C emissions for 2050 analysis'!$C$3:$C$23)</f>
        <v>0.18333333333333335</v>
      </c>
      <c r="I1768" s="27">
        <f t="shared" si="81"/>
        <v>0.10151158581666668</v>
      </c>
      <c r="J1768" s="129">
        <f t="shared" si="82"/>
        <v>2.0802833333333335</v>
      </c>
    </row>
    <row r="1769" spans="1:10" hidden="1" x14ac:dyDescent="0.35">
      <c r="A1769" s="126" t="s">
        <v>481</v>
      </c>
      <c r="B1769" t="str">
        <f>_xlfn.XLOOKUP(A1769,'[1]2050Pop'!$A$7:$A$143,'[1]2050Pop'!$D$7:$D$143)</f>
        <v>APAC</v>
      </c>
      <c r="C1769" s="127">
        <f>1000*_xlfn.XLOOKUP(A1769,'[1]2050Pop'!$A$7:$A$143,'[1]2050Pop'!$C$7:$C$143)</f>
        <v>26907</v>
      </c>
      <c r="D1769" s="126" t="s">
        <v>508</v>
      </c>
      <c r="E1769" s="128">
        <v>9.8930000000000007</v>
      </c>
      <c r="F1769" s="129">
        <f t="shared" si="83"/>
        <v>0.26619095100000001</v>
      </c>
      <c r="G1769" t="str">
        <f>_xlfn.XLOOKUP(D1769,'[1]2050 BAU Mapping to T &amp; C'!$A$3:$A$52,'[1]2050 BAU Mapping to T &amp; C'!$B$3:$B$52)</f>
        <v xml:space="preserve">Other cereals </v>
      </c>
      <c r="H1769" s="129">
        <f>_xlfn.XLOOKUP(G1769,'[1]T&amp;C emissions for 2050 analysis'!$B$3:$B$23,'[1]T&amp;C emissions for 2050 analysis'!$C$3:$C$23)</f>
        <v>0.18333333333333335</v>
      </c>
      <c r="I1769" s="27">
        <f t="shared" si="81"/>
        <v>4.8801674350000004E-2</v>
      </c>
      <c r="J1769" s="129">
        <f t="shared" si="82"/>
        <v>1.8137166666666669</v>
      </c>
    </row>
    <row r="1770" spans="1:10" hidden="1" x14ac:dyDescent="0.35">
      <c r="A1770" s="126" t="s">
        <v>394</v>
      </c>
      <c r="B1770" t="str">
        <f>_xlfn.XLOOKUP(A1770,'[1]2050Pop'!$A$7:$A$143,'[1]2050Pop'!$D$7:$D$143)</f>
        <v>SSA</v>
      </c>
      <c r="C1770" s="127">
        <f>1000*_xlfn.XLOOKUP(A1770,'[1]2050Pop'!$A$7:$A$143,'[1]2050Pop'!$C$7:$C$143)</f>
        <v>188455</v>
      </c>
      <c r="D1770" s="126" t="s">
        <v>508</v>
      </c>
      <c r="E1770" s="128">
        <v>44.433999999999997</v>
      </c>
      <c r="F1770" s="129">
        <f t="shared" si="83"/>
        <v>8.3738094699999994</v>
      </c>
      <c r="G1770" t="str">
        <f>_xlfn.XLOOKUP(D1770,'[1]2050 BAU Mapping to T &amp; C'!$A$3:$A$52,'[1]2050 BAU Mapping to T &amp; C'!$B$3:$B$52)</f>
        <v xml:space="preserve">Other cereals </v>
      </c>
      <c r="H1770" s="129">
        <f>_xlfn.XLOOKUP(G1770,'[1]T&amp;C emissions for 2050 analysis'!$B$3:$B$23,'[1]T&amp;C emissions for 2050 analysis'!$C$3:$C$23)</f>
        <v>0.18333333333333335</v>
      </c>
      <c r="I1770" s="27">
        <f t="shared" si="81"/>
        <v>1.5351984028333334</v>
      </c>
      <c r="J1770" s="129">
        <f t="shared" si="82"/>
        <v>8.146233333333333</v>
      </c>
    </row>
    <row r="1771" spans="1:10" hidden="1" x14ac:dyDescent="0.35">
      <c r="A1771" s="126" t="s">
        <v>489</v>
      </c>
      <c r="B1771" t="str">
        <f>_xlfn.XLOOKUP(A1771,'[1]2050Pop'!$A$7:$A$143,'[1]2050Pop'!$D$7:$D$143)</f>
        <v>SSA</v>
      </c>
      <c r="C1771" s="127">
        <f>1000*_xlfn.XLOOKUP(A1771,'[1]2050Pop'!$A$7:$A$143,'[1]2050Pop'!$C$7:$C$143)</f>
        <v>4981</v>
      </c>
      <c r="D1771" s="126" t="s">
        <v>508</v>
      </c>
      <c r="E1771" s="130">
        <v>473.69</v>
      </c>
      <c r="F1771" s="129">
        <f t="shared" si="83"/>
        <v>2.35944989</v>
      </c>
      <c r="G1771" t="str">
        <f>_xlfn.XLOOKUP(D1771,'[1]2050 BAU Mapping to T &amp; C'!$A$3:$A$52,'[1]2050 BAU Mapping to T &amp; C'!$B$3:$B$52)</f>
        <v xml:space="preserve">Other cereals </v>
      </c>
      <c r="H1771" s="129">
        <f>_xlfn.XLOOKUP(G1771,'[1]T&amp;C emissions for 2050 analysis'!$B$3:$B$23,'[1]T&amp;C emissions for 2050 analysis'!$C$3:$C$23)</f>
        <v>0.18333333333333335</v>
      </c>
      <c r="I1771" s="27">
        <f t="shared" si="81"/>
        <v>0.4325658131666667</v>
      </c>
      <c r="J1771" s="129">
        <f t="shared" si="82"/>
        <v>86.843166666666676</v>
      </c>
    </row>
    <row r="1772" spans="1:10" hidden="1" x14ac:dyDescent="0.35">
      <c r="A1772" s="126" t="s">
        <v>399</v>
      </c>
      <c r="B1772" t="str">
        <f>_xlfn.XLOOKUP(A1772,'[1]2050Pop'!$A$7:$A$143,'[1]2050Pop'!$D$7:$D$143)</f>
        <v>Euro/AU/NZ</v>
      </c>
      <c r="C1772" s="127">
        <f>1000*_xlfn.XLOOKUP(A1772,'[1]2050Pop'!$A$7:$A$143,'[1]2050Pop'!$C$7:$C$143)</f>
        <v>74513</v>
      </c>
      <c r="D1772" s="126" t="s">
        <v>508</v>
      </c>
      <c r="E1772" s="128">
        <v>0.61699999999999999</v>
      </c>
      <c r="F1772" s="129">
        <f t="shared" si="83"/>
        <v>4.5974520999999997E-2</v>
      </c>
      <c r="G1772" t="str">
        <f>_xlfn.XLOOKUP(D1772,'[1]2050 BAU Mapping to T &amp; C'!$A$3:$A$52,'[1]2050 BAU Mapping to T &amp; C'!$B$3:$B$52)</f>
        <v xml:space="preserve">Other cereals </v>
      </c>
      <c r="H1772" s="129">
        <f>_xlfn.XLOOKUP(G1772,'[1]T&amp;C emissions for 2050 analysis'!$B$3:$B$23,'[1]T&amp;C emissions for 2050 analysis'!$C$3:$C$23)</f>
        <v>0.18333333333333335</v>
      </c>
      <c r="I1772" s="27">
        <f t="shared" si="81"/>
        <v>8.4286621833333328E-3</v>
      </c>
      <c r="J1772" s="129">
        <f t="shared" si="82"/>
        <v>0.11311666666666667</v>
      </c>
    </row>
    <row r="1773" spans="1:10" hidden="1" x14ac:dyDescent="0.35">
      <c r="A1773" s="126" t="s">
        <v>400</v>
      </c>
      <c r="B1773" t="str">
        <f>_xlfn.XLOOKUP(A1773,'[1]2050Pop'!$A$7:$A$143,'[1]2050Pop'!$D$7:$D$143)</f>
        <v>SSA</v>
      </c>
      <c r="C1773" s="127">
        <f>1000*_xlfn.XLOOKUP(A1773,'[1]2050Pop'!$A$7:$A$143,'[1]2050Pop'!$C$7:$C$143)</f>
        <v>50071</v>
      </c>
      <c r="D1773" s="126" t="s">
        <v>508</v>
      </c>
      <c r="E1773" s="128">
        <v>43.337000000000003</v>
      </c>
      <c r="F1773" s="129">
        <f t="shared" si="83"/>
        <v>2.1699269270000001</v>
      </c>
      <c r="G1773" t="str">
        <f>_xlfn.XLOOKUP(D1773,'[1]2050 BAU Mapping to T &amp; C'!$A$3:$A$52,'[1]2050 BAU Mapping to T &amp; C'!$B$3:$B$52)</f>
        <v xml:space="preserve">Other cereals </v>
      </c>
      <c r="H1773" s="129">
        <f>_xlfn.XLOOKUP(G1773,'[1]T&amp;C emissions for 2050 analysis'!$B$3:$B$23,'[1]T&amp;C emissions for 2050 analysis'!$C$3:$C$23)</f>
        <v>0.18333333333333335</v>
      </c>
      <c r="I1773" s="27">
        <f t="shared" si="81"/>
        <v>0.3978199366166667</v>
      </c>
      <c r="J1773" s="129">
        <f t="shared" si="82"/>
        <v>7.9451166666666682</v>
      </c>
    </row>
    <row r="1774" spans="1:10" hidden="1" x14ac:dyDescent="0.35">
      <c r="A1774" s="126" t="s">
        <v>403</v>
      </c>
      <c r="B1774" t="str">
        <f>_xlfn.XLOOKUP(A1774,'[1]2050Pop'!$A$7:$A$143,'[1]2050Pop'!$D$7:$D$143)</f>
        <v>SSA</v>
      </c>
      <c r="C1774" s="127">
        <f>1000*_xlfn.XLOOKUP(A1774,'[1]2050Pop'!$A$7:$A$143,'[1]2050Pop'!$C$7:$C$143)</f>
        <v>27486</v>
      </c>
      <c r="D1774" s="126" t="s">
        <v>508</v>
      </c>
      <c r="E1774" s="128">
        <v>3.4430000000000001</v>
      </c>
      <c r="F1774" s="129">
        <f t="shared" si="83"/>
        <v>9.4634297999999992E-2</v>
      </c>
      <c r="G1774" t="str">
        <f>_xlfn.XLOOKUP(D1774,'[1]2050 BAU Mapping to T &amp; C'!$A$3:$A$52,'[1]2050 BAU Mapping to T &amp; C'!$B$3:$B$52)</f>
        <v xml:space="preserve">Other cereals </v>
      </c>
      <c r="H1774" s="129">
        <f>_xlfn.XLOOKUP(G1774,'[1]T&amp;C emissions for 2050 analysis'!$B$3:$B$23,'[1]T&amp;C emissions for 2050 analysis'!$C$3:$C$23)</f>
        <v>0.18333333333333335</v>
      </c>
      <c r="I1774" s="27">
        <f t="shared" si="81"/>
        <v>1.73496213E-2</v>
      </c>
      <c r="J1774" s="129">
        <f t="shared" si="82"/>
        <v>0.63121666666666676</v>
      </c>
    </row>
    <row r="1775" spans="1:10" hidden="1" x14ac:dyDescent="0.35">
      <c r="A1775" s="126" t="s">
        <v>408</v>
      </c>
      <c r="B1775" t="str">
        <f>_xlfn.XLOOKUP(A1775,'[1]2050Pop'!$A$7:$A$143,'[1]2050Pop'!$D$7:$D$143)</f>
        <v>India/South Asia</v>
      </c>
      <c r="C1775" s="127">
        <f>1000*_xlfn.XLOOKUP(A1775,'[1]2050Pop'!$A$7:$A$143,'[1]2050Pop'!$C$7:$C$143)</f>
        <v>1705333</v>
      </c>
      <c r="D1775" s="126" t="s">
        <v>508</v>
      </c>
      <c r="E1775" s="130">
        <v>64.88</v>
      </c>
      <c r="F1775" s="129">
        <f t="shared" si="83"/>
        <v>110.64200503999999</v>
      </c>
      <c r="G1775" t="str">
        <f>_xlfn.XLOOKUP(D1775,'[1]2050 BAU Mapping to T &amp; C'!$A$3:$A$52,'[1]2050 BAU Mapping to T &amp; C'!$B$3:$B$52)</f>
        <v xml:space="preserve">Other cereals </v>
      </c>
      <c r="H1775" s="129">
        <f>_xlfn.XLOOKUP(G1775,'[1]T&amp;C emissions for 2050 analysis'!$B$3:$B$23,'[1]T&amp;C emissions for 2050 analysis'!$C$3:$C$23)</f>
        <v>0.18333333333333335</v>
      </c>
      <c r="I1775" s="27">
        <f t="shared" si="81"/>
        <v>20.284367590666665</v>
      </c>
      <c r="J1775" s="129">
        <f t="shared" si="82"/>
        <v>11.894666666666668</v>
      </c>
    </row>
    <row r="1776" spans="1:10" hidden="1" x14ac:dyDescent="0.35">
      <c r="A1776" s="126" t="s">
        <v>409</v>
      </c>
      <c r="B1776" t="str">
        <f>_xlfn.XLOOKUP(A1776,'[1]2050Pop'!$A$7:$A$143,'[1]2050Pop'!$D$7:$D$143)</f>
        <v>APAC</v>
      </c>
      <c r="C1776" s="127">
        <f>1000*_xlfn.XLOOKUP(A1776,'[1]2050Pop'!$A$7:$A$143,'[1]2050Pop'!$C$7:$C$143)</f>
        <v>322237</v>
      </c>
      <c r="D1776" s="126" t="s">
        <v>508</v>
      </c>
      <c r="E1776" s="128">
        <v>0.84699999999999998</v>
      </c>
      <c r="F1776" s="129">
        <f t="shared" si="83"/>
        <v>0.27293473899999998</v>
      </c>
      <c r="G1776" t="str">
        <f>_xlfn.XLOOKUP(D1776,'[1]2050 BAU Mapping to T &amp; C'!$A$3:$A$52,'[1]2050 BAU Mapping to T &amp; C'!$B$3:$B$52)</f>
        <v xml:space="preserve">Other cereals </v>
      </c>
      <c r="H1776" s="129">
        <f>_xlfn.XLOOKUP(G1776,'[1]T&amp;C emissions for 2050 analysis'!$B$3:$B$23,'[1]T&amp;C emissions for 2050 analysis'!$C$3:$C$23)</f>
        <v>0.18333333333333335</v>
      </c>
      <c r="I1776" s="27">
        <f t="shared" si="81"/>
        <v>5.0038035483333333E-2</v>
      </c>
      <c r="J1776" s="129">
        <f t="shared" si="82"/>
        <v>0.15528333333333333</v>
      </c>
    </row>
    <row r="1777" spans="1:10" hidden="1" x14ac:dyDescent="0.35">
      <c r="A1777" s="126" t="s">
        <v>418</v>
      </c>
      <c r="B1777" t="str">
        <f>_xlfn.XLOOKUP(A1777,'[1]2050Pop'!$A$7:$A$143,'[1]2050Pop'!$D$7:$D$143)</f>
        <v>APAC</v>
      </c>
      <c r="C1777" s="127">
        <f>1000*_xlfn.XLOOKUP(A1777,'[1]2050Pop'!$A$7:$A$143,'[1]2050Pop'!$C$7:$C$143)</f>
        <v>22447</v>
      </c>
      <c r="D1777" s="126" t="s">
        <v>508</v>
      </c>
      <c r="E1777" s="128">
        <v>1.841</v>
      </c>
      <c r="F1777" s="129">
        <f t="shared" si="83"/>
        <v>4.1324926999999997E-2</v>
      </c>
      <c r="G1777" t="str">
        <f>_xlfn.XLOOKUP(D1777,'[1]2050 BAU Mapping to T &amp; C'!$A$3:$A$52,'[1]2050 BAU Mapping to T &amp; C'!$B$3:$B$52)</f>
        <v xml:space="preserve">Other cereals </v>
      </c>
      <c r="H1777" s="129">
        <f>_xlfn.XLOOKUP(G1777,'[1]T&amp;C emissions for 2050 analysis'!$B$3:$B$23,'[1]T&amp;C emissions for 2050 analysis'!$C$3:$C$23)</f>
        <v>0.18333333333333335</v>
      </c>
      <c r="I1777" s="27">
        <f t="shared" si="81"/>
        <v>7.5762366166666666E-3</v>
      </c>
      <c r="J1777" s="129">
        <f t="shared" si="82"/>
        <v>0.33751666666666669</v>
      </c>
    </row>
    <row r="1778" spans="1:10" hidden="1" x14ac:dyDescent="0.35">
      <c r="A1778" s="126" t="s">
        <v>419</v>
      </c>
      <c r="B1778" t="str">
        <f>_xlfn.XLOOKUP(A1778,'[1]2050Pop'!$A$7:$A$143,'[1]2050Pop'!$D$7:$D$143)</f>
        <v>SSA</v>
      </c>
      <c r="C1778" s="127">
        <f>1000*_xlfn.XLOOKUP(A1778,'[1]2050Pop'!$A$7:$A$143,'[1]2050Pop'!$C$7:$C$143)</f>
        <v>95505</v>
      </c>
      <c r="D1778" s="126" t="s">
        <v>508</v>
      </c>
      <c r="E1778" s="128">
        <v>7.3620000000000001</v>
      </c>
      <c r="F1778" s="129">
        <f t="shared" si="83"/>
        <v>0.70310781000000011</v>
      </c>
      <c r="G1778" t="str">
        <f>_xlfn.XLOOKUP(D1778,'[1]2050 BAU Mapping to T &amp; C'!$A$3:$A$52,'[1]2050 BAU Mapping to T &amp; C'!$B$3:$B$52)</f>
        <v xml:space="preserve">Other cereals </v>
      </c>
      <c r="H1778" s="129">
        <f>_xlfn.XLOOKUP(G1778,'[1]T&amp;C emissions for 2050 analysis'!$B$3:$B$23,'[1]T&amp;C emissions for 2050 analysis'!$C$3:$C$23)</f>
        <v>0.18333333333333335</v>
      </c>
      <c r="I1778" s="27">
        <f t="shared" si="81"/>
        <v>0.12890309850000004</v>
      </c>
      <c r="J1778" s="129">
        <f t="shared" si="82"/>
        <v>1.3497000000000001</v>
      </c>
    </row>
    <row r="1779" spans="1:10" hidden="1" x14ac:dyDescent="0.35">
      <c r="A1779" s="126" t="s">
        <v>428</v>
      </c>
      <c r="B1779" t="str">
        <f>_xlfn.XLOOKUP(A1779,'[1]2050Pop'!$A$7:$A$143,'[1]2050Pop'!$D$7:$D$143)</f>
        <v>SSA</v>
      </c>
      <c r="C1779" s="127">
        <f>1000*_xlfn.XLOOKUP(A1779,'[1]2050Pop'!$A$7:$A$143,'[1]2050Pop'!$C$7:$C$143)</f>
        <v>43155</v>
      </c>
      <c r="D1779" s="126" t="s">
        <v>508</v>
      </c>
      <c r="E1779" s="128">
        <v>16.838999999999999</v>
      </c>
      <c r="F1779" s="129">
        <f t="shared" si="83"/>
        <v>0.72668704499999992</v>
      </c>
      <c r="G1779" t="str">
        <f>_xlfn.XLOOKUP(D1779,'[1]2050 BAU Mapping to T &amp; C'!$A$3:$A$52,'[1]2050 BAU Mapping to T &amp; C'!$B$3:$B$52)</f>
        <v xml:space="preserve">Other cereals </v>
      </c>
      <c r="H1779" s="129">
        <f>_xlfn.XLOOKUP(G1779,'[1]T&amp;C emissions for 2050 analysis'!$B$3:$B$23,'[1]T&amp;C emissions for 2050 analysis'!$C$3:$C$23)</f>
        <v>0.18333333333333335</v>
      </c>
      <c r="I1779" s="27">
        <f t="shared" si="81"/>
        <v>0.13322595825</v>
      </c>
      <c r="J1779" s="129">
        <f t="shared" si="82"/>
        <v>3.0871499999999998</v>
      </c>
    </row>
    <row r="1780" spans="1:10" hidden="1" x14ac:dyDescent="0.35">
      <c r="A1780" s="126" t="s">
        <v>430</v>
      </c>
      <c r="B1780" t="str">
        <f>_xlfn.XLOOKUP(A1780,'[1]2050Pop'!$A$7:$A$143,'[1]2050Pop'!$D$7:$D$143)</f>
        <v>SSA</v>
      </c>
      <c r="C1780" s="127">
        <f>1000*_xlfn.XLOOKUP(A1780,'[1]2050Pop'!$A$7:$A$143,'[1]2050Pop'!$C$7:$C$143)</f>
        <v>45404</v>
      </c>
      <c r="D1780" s="126" t="s">
        <v>508</v>
      </c>
      <c r="E1780" s="128">
        <v>510.47500000000002</v>
      </c>
      <c r="F1780" s="129">
        <f t="shared" si="83"/>
        <v>23.177606900000001</v>
      </c>
      <c r="G1780" t="str">
        <f>_xlfn.XLOOKUP(D1780,'[1]2050 BAU Mapping to T &amp; C'!$A$3:$A$52,'[1]2050 BAU Mapping to T &amp; C'!$B$3:$B$52)</f>
        <v xml:space="preserve">Other cereals </v>
      </c>
      <c r="H1780" s="129">
        <f>_xlfn.XLOOKUP(G1780,'[1]T&amp;C emissions for 2050 analysis'!$B$3:$B$23,'[1]T&amp;C emissions for 2050 analysis'!$C$3:$C$23)</f>
        <v>0.18333333333333335</v>
      </c>
      <c r="I1780" s="27">
        <f t="shared" si="81"/>
        <v>4.2492279316666668</v>
      </c>
      <c r="J1780" s="129">
        <f t="shared" si="82"/>
        <v>93.587083333333339</v>
      </c>
    </row>
    <row r="1781" spans="1:10" hidden="1" x14ac:dyDescent="0.35">
      <c r="A1781" s="126" t="s">
        <v>431</v>
      </c>
      <c r="B1781" t="str">
        <f>_xlfn.XLOOKUP(A1781,'[1]2050Pop'!$A$7:$A$143,'[1]2050Pop'!$D$7:$D$143)</f>
        <v>SSA</v>
      </c>
      <c r="C1781" s="127">
        <f>1000*_xlfn.XLOOKUP(A1781,'[1]2050Pop'!$A$7:$A$143,'[1]2050Pop'!$C$7:$C$143)</f>
        <v>8048.9999999999991</v>
      </c>
      <c r="D1781" s="126" t="s">
        <v>508</v>
      </c>
      <c r="E1781" s="128">
        <v>5.4329999999999998</v>
      </c>
      <c r="F1781" s="129">
        <f t="shared" si="83"/>
        <v>4.3730216999999995E-2</v>
      </c>
      <c r="G1781" t="str">
        <f>_xlfn.XLOOKUP(D1781,'[1]2050 BAU Mapping to T &amp; C'!$A$3:$A$52,'[1]2050 BAU Mapping to T &amp; C'!$B$3:$B$52)</f>
        <v xml:space="preserve">Other cereals </v>
      </c>
      <c r="H1781" s="129">
        <f>_xlfn.XLOOKUP(G1781,'[1]T&amp;C emissions for 2050 analysis'!$B$3:$B$23,'[1]T&amp;C emissions for 2050 analysis'!$C$3:$C$23)</f>
        <v>0.18333333333333335</v>
      </c>
      <c r="I1781" s="27">
        <f t="shared" si="81"/>
        <v>8.0172064499999997E-3</v>
      </c>
      <c r="J1781" s="129">
        <f t="shared" si="82"/>
        <v>0.9960500000000001</v>
      </c>
    </row>
    <row r="1782" spans="1:10" hidden="1" x14ac:dyDescent="0.35">
      <c r="A1782" s="126" t="s">
        <v>435</v>
      </c>
      <c r="B1782" t="str">
        <f>_xlfn.XLOOKUP(A1782,'[1]2050Pop'!$A$7:$A$143,'[1]2050Pop'!$D$7:$D$143)</f>
        <v>MENA</v>
      </c>
      <c r="C1782" s="127">
        <f>1000*_xlfn.XLOOKUP(A1782,'[1]2050Pop'!$A$7:$A$143,'[1]2050Pop'!$C$7:$C$143)</f>
        <v>43696</v>
      </c>
      <c r="D1782" s="126" t="s">
        <v>508</v>
      </c>
      <c r="E1782" s="130">
        <v>1.02</v>
      </c>
      <c r="F1782" s="129">
        <f t="shared" si="83"/>
        <v>4.4569919999999999E-2</v>
      </c>
      <c r="G1782" t="str">
        <f>_xlfn.XLOOKUP(D1782,'[1]2050 BAU Mapping to T &amp; C'!$A$3:$A$52,'[1]2050 BAU Mapping to T &amp; C'!$B$3:$B$52)</f>
        <v xml:space="preserve">Other cereals </v>
      </c>
      <c r="H1782" s="129">
        <f>_xlfn.XLOOKUP(G1782,'[1]T&amp;C emissions for 2050 analysis'!$B$3:$B$23,'[1]T&amp;C emissions for 2050 analysis'!$C$3:$C$23)</f>
        <v>0.18333333333333335</v>
      </c>
      <c r="I1782" s="27">
        <f t="shared" si="81"/>
        <v>8.171152000000001E-3</v>
      </c>
      <c r="J1782" s="129">
        <f t="shared" si="82"/>
        <v>0.18700000000000003</v>
      </c>
    </row>
    <row r="1783" spans="1:10" hidden="1" x14ac:dyDescent="0.35">
      <c r="A1783" s="126" t="s">
        <v>436</v>
      </c>
      <c r="B1783" t="str">
        <f>_xlfn.XLOOKUP(A1783,'[1]2050Pop'!$A$7:$A$143,'[1]2050Pop'!$D$7:$D$143)</f>
        <v>SSA</v>
      </c>
      <c r="C1783" s="127">
        <f>1000*_xlfn.XLOOKUP(A1783,'[1]2050Pop'!$A$7:$A$143,'[1]2050Pop'!$C$7:$C$143)</f>
        <v>65544</v>
      </c>
      <c r="D1783" s="126" t="s">
        <v>508</v>
      </c>
      <c r="E1783" s="128">
        <v>11.127000000000001</v>
      </c>
      <c r="F1783" s="129">
        <f t="shared" si="83"/>
        <v>0.72930808800000002</v>
      </c>
      <c r="G1783" t="str">
        <f>_xlfn.XLOOKUP(D1783,'[1]2050 BAU Mapping to T &amp; C'!$A$3:$A$52,'[1]2050 BAU Mapping to T &amp; C'!$B$3:$B$52)</f>
        <v xml:space="preserve">Other cereals </v>
      </c>
      <c r="H1783" s="129">
        <f>_xlfn.XLOOKUP(G1783,'[1]T&amp;C emissions for 2050 analysis'!$B$3:$B$23,'[1]T&amp;C emissions for 2050 analysis'!$C$3:$C$23)</f>
        <v>0.18333333333333335</v>
      </c>
      <c r="I1783" s="27">
        <f t="shared" si="81"/>
        <v>0.13370648280000003</v>
      </c>
      <c r="J1783" s="129">
        <f t="shared" si="82"/>
        <v>2.0399500000000002</v>
      </c>
    </row>
    <row r="1784" spans="1:10" hidden="1" x14ac:dyDescent="0.35">
      <c r="A1784" s="126" t="s">
        <v>490</v>
      </c>
      <c r="B1784" t="str">
        <f>_xlfn.XLOOKUP(A1784,'[1]2050Pop'!$A$7:$A$143,'[1]2050Pop'!$D$7:$D$143)</f>
        <v>APAC</v>
      </c>
      <c r="C1784" s="127">
        <f>1000*_xlfn.XLOOKUP(A1784,'[1]2050Pop'!$A$7:$A$143,'[1]2050Pop'!$C$7:$C$143)</f>
        <v>63575</v>
      </c>
      <c r="D1784" s="126" t="s">
        <v>508</v>
      </c>
      <c r="E1784" s="128">
        <v>3.3780000000000001</v>
      </c>
      <c r="F1784" s="129">
        <f t="shared" si="83"/>
        <v>0.21475635000000001</v>
      </c>
      <c r="G1784" t="str">
        <f>_xlfn.XLOOKUP(D1784,'[1]2050 BAU Mapping to T &amp; C'!$A$3:$A$52,'[1]2050 BAU Mapping to T &amp; C'!$B$3:$B$52)</f>
        <v xml:space="preserve">Other cereals </v>
      </c>
      <c r="H1784" s="129">
        <f>_xlfn.XLOOKUP(G1784,'[1]T&amp;C emissions for 2050 analysis'!$B$3:$B$23,'[1]T&amp;C emissions for 2050 analysis'!$C$3:$C$23)</f>
        <v>0.18333333333333335</v>
      </c>
      <c r="I1784" s="27">
        <f t="shared" si="81"/>
        <v>3.9371997500000006E-2</v>
      </c>
      <c r="J1784" s="129">
        <f t="shared" si="82"/>
        <v>0.61930000000000007</v>
      </c>
    </row>
    <row r="1785" spans="1:10" hidden="1" x14ac:dyDescent="0.35">
      <c r="A1785" s="126" t="s">
        <v>437</v>
      </c>
      <c r="B1785" t="str">
        <f>_xlfn.XLOOKUP(A1785,'[1]2050Pop'!$A$7:$A$143,'[1]2050Pop'!$D$7:$D$143)</f>
        <v>SSA</v>
      </c>
      <c r="C1785" s="127">
        <f>1000*_xlfn.XLOOKUP(A1785,'[1]2050Pop'!$A$7:$A$143,'[1]2050Pop'!$C$7:$C$143)</f>
        <v>4322</v>
      </c>
      <c r="D1785" s="126" t="s">
        <v>508</v>
      </c>
      <c r="E1785" s="128">
        <v>156.68199999999999</v>
      </c>
      <c r="F1785" s="129">
        <f t="shared" si="83"/>
        <v>0.67717960399999988</v>
      </c>
      <c r="G1785" t="str">
        <f>_xlfn.XLOOKUP(D1785,'[1]2050 BAU Mapping to T &amp; C'!$A$3:$A$52,'[1]2050 BAU Mapping to T &amp; C'!$B$3:$B$52)</f>
        <v xml:space="preserve">Other cereals </v>
      </c>
      <c r="H1785" s="129">
        <f>_xlfn.XLOOKUP(G1785,'[1]T&amp;C emissions for 2050 analysis'!$B$3:$B$23,'[1]T&amp;C emissions for 2050 analysis'!$C$3:$C$23)</f>
        <v>0.18333333333333335</v>
      </c>
      <c r="I1785" s="27">
        <f t="shared" si="81"/>
        <v>0.12414959406666666</v>
      </c>
      <c r="J1785" s="129">
        <f t="shared" si="82"/>
        <v>28.725033333333332</v>
      </c>
    </row>
    <row r="1786" spans="1:10" hidden="1" x14ac:dyDescent="0.35">
      <c r="A1786" s="126" t="s">
        <v>438</v>
      </c>
      <c r="B1786" t="str">
        <f>_xlfn.XLOOKUP(A1786,'[1]2050Pop'!$A$7:$A$143,'[1]2050Pop'!$D$7:$D$143)</f>
        <v>India/South Asia</v>
      </c>
      <c r="C1786" s="127">
        <f>1000*_xlfn.XLOOKUP(A1786,'[1]2050Pop'!$A$7:$A$143,'[1]2050Pop'!$C$7:$C$143)</f>
        <v>36159</v>
      </c>
      <c r="D1786" s="126" t="s">
        <v>508</v>
      </c>
      <c r="E1786" s="128">
        <v>78.358000000000004</v>
      </c>
      <c r="F1786" s="129">
        <f t="shared" si="83"/>
        <v>2.833346922</v>
      </c>
      <c r="G1786" t="str">
        <f>_xlfn.XLOOKUP(D1786,'[1]2050 BAU Mapping to T &amp; C'!$A$3:$A$52,'[1]2050 BAU Mapping to T &amp; C'!$B$3:$B$52)</f>
        <v xml:space="preserve">Other cereals </v>
      </c>
      <c r="H1786" s="129">
        <f>_xlfn.XLOOKUP(G1786,'[1]T&amp;C emissions for 2050 analysis'!$B$3:$B$23,'[1]T&amp;C emissions for 2050 analysis'!$C$3:$C$23)</f>
        <v>0.18333333333333335</v>
      </c>
      <c r="I1786" s="27">
        <f t="shared" si="81"/>
        <v>0.5194469357</v>
      </c>
      <c r="J1786" s="129">
        <f t="shared" si="82"/>
        <v>14.365633333333335</v>
      </c>
    </row>
    <row r="1787" spans="1:10" hidden="1" x14ac:dyDescent="0.35">
      <c r="A1787" s="126" t="s">
        <v>482</v>
      </c>
      <c r="B1787" t="str">
        <f>_xlfn.XLOOKUP(A1787,'[1]2050Pop'!$A$7:$A$143,'[1]2050Pop'!$D$7:$D$143)</f>
        <v>SSA</v>
      </c>
      <c r="C1787" s="127">
        <f>1000*_xlfn.XLOOKUP(A1787,'[1]2050Pop'!$A$7:$A$143,'[1]2050Pop'!$C$7:$C$143)</f>
        <v>72238</v>
      </c>
      <c r="D1787" s="126" t="s">
        <v>508</v>
      </c>
      <c r="E1787" s="128">
        <v>1066.9290000000001</v>
      </c>
      <c r="F1787" s="129">
        <f t="shared" si="83"/>
        <v>77.072817102000016</v>
      </c>
      <c r="G1787" t="str">
        <f>_xlfn.XLOOKUP(D1787,'[1]2050 BAU Mapping to T &amp; C'!$A$3:$A$52,'[1]2050 BAU Mapping to T &amp; C'!$B$3:$B$52)</f>
        <v xml:space="preserve">Other cereals </v>
      </c>
      <c r="H1787" s="129">
        <f>_xlfn.XLOOKUP(G1787,'[1]T&amp;C emissions for 2050 analysis'!$B$3:$B$23,'[1]T&amp;C emissions for 2050 analysis'!$C$3:$C$23)</f>
        <v>0.18333333333333335</v>
      </c>
      <c r="I1787" s="27">
        <f t="shared" si="81"/>
        <v>14.130016468700004</v>
      </c>
      <c r="J1787" s="129">
        <f t="shared" si="82"/>
        <v>195.60365000000004</v>
      </c>
    </row>
    <row r="1788" spans="1:10" hidden="1" x14ac:dyDescent="0.35">
      <c r="A1788" s="126" t="s">
        <v>491</v>
      </c>
      <c r="B1788" t="str">
        <f>_xlfn.XLOOKUP(A1788,'[1]2050Pop'!$A$7:$A$143,'[1]2050Pop'!$D$7:$D$143)</f>
        <v>SSA</v>
      </c>
      <c r="C1788" s="127">
        <f>1000*_xlfn.XLOOKUP(A1788,'[1]2050Pop'!$A$7:$A$143,'[1]2050Pop'!$C$7:$C$143)</f>
        <v>398508</v>
      </c>
      <c r="D1788" s="126" t="s">
        <v>508</v>
      </c>
      <c r="E1788" s="128">
        <v>198.45400000000001</v>
      </c>
      <c r="F1788" s="129">
        <f t="shared" si="83"/>
        <v>79.085506632000005</v>
      </c>
      <c r="G1788" t="str">
        <f>_xlfn.XLOOKUP(D1788,'[1]2050 BAU Mapping to T &amp; C'!$A$3:$A$52,'[1]2050 BAU Mapping to T &amp; C'!$B$3:$B$52)</f>
        <v xml:space="preserve">Other cereals </v>
      </c>
      <c r="H1788" s="129">
        <f>_xlfn.XLOOKUP(G1788,'[1]T&amp;C emissions for 2050 analysis'!$B$3:$B$23,'[1]T&amp;C emissions for 2050 analysis'!$C$3:$C$23)</f>
        <v>0.18333333333333335</v>
      </c>
      <c r="I1788" s="27">
        <f t="shared" si="81"/>
        <v>14.499009549200002</v>
      </c>
      <c r="J1788" s="129">
        <f t="shared" si="82"/>
        <v>36.383233333333337</v>
      </c>
    </row>
    <row r="1789" spans="1:10" hidden="1" x14ac:dyDescent="0.35">
      <c r="A1789" s="126" t="s">
        <v>443</v>
      </c>
      <c r="B1789" t="str">
        <f>_xlfn.XLOOKUP(A1789,'[1]2050Pop'!$A$7:$A$143,'[1]2050Pop'!$D$7:$D$143)</f>
        <v>India/South Asia</v>
      </c>
      <c r="C1789" s="127">
        <f>1000*_xlfn.XLOOKUP(A1789,'[1]2050Pop'!$A$7:$A$143,'[1]2050Pop'!$C$7:$C$143)</f>
        <v>309640</v>
      </c>
      <c r="D1789" s="126" t="s">
        <v>508</v>
      </c>
      <c r="E1789" s="128">
        <v>7.1760000000000002</v>
      </c>
      <c r="F1789" s="129">
        <f t="shared" si="83"/>
        <v>2.2219766400000003</v>
      </c>
      <c r="G1789" t="str">
        <f>_xlfn.XLOOKUP(D1789,'[1]2050 BAU Mapping to T &amp; C'!$A$3:$A$52,'[1]2050 BAU Mapping to T &amp; C'!$B$3:$B$52)</f>
        <v xml:space="preserve">Other cereals </v>
      </c>
      <c r="H1789" s="129">
        <f>_xlfn.XLOOKUP(G1789,'[1]T&amp;C emissions for 2050 analysis'!$B$3:$B$23,'[1]T&amp;C emissions for 2050 analysis'!$C$3:$C$23)</f>
        <v>0.18333333333333335</v>
      </c>
      <c r="I1789" s="27">
        <f t="shared" si="81"/>
        <v>0.40736238400000008</v>
      </c>
      <c r="J1789" s="129">
        <f t="shared" si="82"/>
        <v>1.3156000000000001</v>
      </c>
    </row>
    <row r="1790" spans="1:10" hidden="1" x14ac:dyDescent="0.35">
      <c r="A1790" s="126" t="s">
        <v>450</v>
      </c>
      <c r="B1790" t="str">
        <f>_xlfn.XLOOKUP(A1790,'[1]2050Pop'!$A$7:$A$143,'[1]2050Pop'!$D$7:$D$143)</f>
        <v>APAC</v>
      </c>
      <c r="C1790" s="127">
        <f>1000*_xlfn.XLOOKUP(A1790,'[1]2050Pop'!$A$7:$A$143,'[1]2050Pop'!$C$7:$C$143)</f>
        <v>50593</v>
      </c>
      <c r="D1790" s="126" t="s">
        <v>508</v>
      </c>
      <c r="E1790" s="128">
        <v>1.4419999999999999</v>
      </c>
      <c r="F1790" s="129">
        <f t="shared" si="83"/>
        <v>7.2955106000000006E-2</v>
      </c>
      <c r="G1790" t="str">
        <f>_xlfn.XLOOKUP(D1790,'[1]2050 BAU Mapping to T &amp; C'!$A$3:$A$52,'[1]2050 BAU Mapping to T &amp; C'!$B$3:$B$52)</f>
        <v xml:space="preserve">Other cereals </v>
      </c>
      <c r="H1790" s="129">
        <f>_xlfn.XLOOKUP(G1790,'[1]T&amp;C emissions for 2050 analysis'!$B$3:$B$23,'[1]T&amp;C emissions for 2050 analysis'!$C$3:$C$23)</f>
        <v>0.18333333333333335</v>
      </c>
      <c r="I1790" s="27">
        <f t="shared" si="81"/>
        <v>1.3375102766666669E-2</v>
      </c>
      <c r="J1790" s="129">
        <f t="shared" si="82"/>
        <v>0.26436666666666669</v>
      </c>
    </row>
    <row r="1791" spans="1:10" hidden="1" x14ac:dyDescent="0.35">
      <c r="A1791" s="126" t="s">
        <v>454</v>
      </c>
      <c r="B1791" t="str">
        <f>_xlfn.XLOOKUP(A1791,'[1]2050Pop'!$A$7:$A$143,'[1]2050Pop'!$D$7:$D$143)</f>
        <v>Euro/AU/NZ</v>
      </c>
      <c r="C1791" s="127">
        <f>1000*_xlfn.XLOOKUP(A1791,'[1]2050Pop'!$A$7:$A$143,'[1]2050Pop'!$C$7:$C$143)</f>
        <v>128598.99999999999</v>
      </c>
      <c r="D1791" s="126" t="s">
        <v>508</v>
      </c>
      <c r="E1791" s="130">
        <v>6.17</v>
      </c>
      <c r="F1791" s="129">
        <f t="shared" si="83"/>
        <v>0.79345582999999997</v>
      </c>
      <c r="G1791" t="str">
        <f>_xlfn.XLOOKUP(D1791,'[1]2050 BAU Mapping to T &amp; C'!$A$3:$A$52,'[1]2050 BAU Mapping to T &amp; C'!$B$3:$B$52)</f>
        <v xml:space="preserve">Other cereals </v>
      </c>
      <c r="H1791" s="129">
        <f>_xlfn.XLOOKUP(G1791,'[1]T&amp;C emissions for 2050 analysis'!$B$3:$B$23,'[1]T&amp;C emissions for 2050 analysis'!$C$3:$C$23)</f>
        <v>0.18333333333333335</v>
      </c>
      <c r="I1791" s="27">
        <f t="shared" si="81"/>
        <v>0.14546690216666666</v>
      </c>
      <c r="J1791" s="129">
        <f t="shared" si="82"/>
        <v>1.1311666666666667</v>
      </c>
    </row>
    <row r="1792" spans="1:10" hidden="1" x14ac:dyDescent="0.35">
      <c r="A1792" s="126" t="s">
        <v>455</v>
      </c>
      <c r="B1792" t="str">
        <f>_xlfn.XLOOKUP(A1792,'[1]2050Pop'!$A$7:$A$143,'[1]2050Pop'!$D$7:$D$143)</f>
        <v>SSA</v>
      </c>
      <c r="C1792" s="127">
        <f>1000*_xlfn.XLOOKUP(A1792,'[1]2050Pop'!$A$7:$A$143,'[1]2050Pop'!$C$7:$C$143)</f>
        <v>21187</v>
      </c>
      <c r="D1792" s="126" t="s">
        <v>508</v>
      </c>
      <c r="E1792" s="128">
        <v>6.2089999999999996</v>
      </c>
      <c r="F1792" s="129">
        <f t="shared" si="83"/>
        <v>0.13155008299999998</v>
      </c>
      <c r="G1792" t="str">
        <f>_xlfn.XLOOKUP(D1792,'[1]2050 BAU Mapping to T &amp; C'!$A$3:$A$52,'[1]2050 BAU Mapping to T &amp; C'!$B$3:$B$52)</f>
        <v xml:space="preserve">Other cereals </v>
      </c>
      <c r="H1792" s="129">
        <f>_xlfn.XLOOKUP(G1792,'[1]T&amp;C emissions for 2050 analysis'!$B$3:$B$23,'[1]T&amp;C emissions for 2050 analysis'!$C$3:$C$23)</f>
        <v>0.18333333333333335</v>
      </c>
      <c r="I1792" s="27">
        <f t="shared" si="81"/>
        <v>2.4117515216666666E-2</v>
      </c>
      <c r="J1792" s="129">
        <f t="shared" si="82"/>
        <v>1.1383166666666666</v>
      </c>
    </row>
    <row r="1793" spans="1:10" hidden="1" x14ac:dyDescent="0.35">
      <c r="A1793" s="126" t="s">
        <v>456</v>
      </c>
      <c r="B1793" t="str">
        <f>_xlfn.XLOOKUP(A1793,'[1]2050Pop'!$A$7:$A$143,'[1]2050Pop'!$D$7:$D$143)</f>
        <v>MENA</v>
      </c>
      <c r="C1793" s="127">
        <f>1000*_xlfn.XLOOKUP(A1793,'[1]2050Pop'!$A$7:$A$143,'[1]2050Pop'!$C$7:$C$143)</f>
        <v>46059</v>
      </c>
      <c r="D1793" s="126" t="s">
        <v>508</v>
      </c>
      <c r="E1793" s="128">
        <v>3.3130000000000002</v>
      </c>
      <c r="F1793" s="129">
        <f t="shared" si="83"/>
        <v>0.15259346700000001</v>
      </c>
      <c r="G1793" t="str">
        <f>_xlfn.XLOOKUP(D1793,'[1]2050 BAU Mapping to T &amp; C'!$A$3:$A$52,'[1]2050 BAU Mapping to T &amp; C'!$B$3:$B$52)</f>
        <v xml:space="preserve">Other cereals </v>
      </c>
      <c r="H1793" s="129">
        <f>_xlfn.XLOOKUP(G1793,'[1]T&amp;C emissions for 2050 analysis'!$B$3:$B$23,'[1]T&amp;C emissions for 2050 analysis'!$C$3:$C$23)</f>
        <v>0.18333333333333335</v>
      </c>
      <c r="I1793" s="27">
        <f t="shared" si="81"/>
        <v>2.7975468950000006E-2</v>
      </c>
      <c r="J1793" s="129">
        <f t="shared" si="82"/>
        <v>0.60738333333333339</v>
      </c>
    </row>
    <row r="1794" spans="1:10" hidden="1" x14ac:dyDescent="0.35">
      <c r="A1794" s="126" t="s">
        <v>457</v>
      </c>
      <c r="B1794" t="str">
        <f>_xlfn.XLOOKUP(A1794,'[1]2050Pop'!$A$7:$A$143,'[1]2050Pop'!$D$7:$D$143)</f>
        <v>SSA</v>
      </c>
      <c r="C1794" s="127">
        <f>1000*_xlfn.XLOOKUP(A1794,'[1]2050Pop'!$A$7:$A$143,'[1]2050Pop'!$C$7:$C$143)</f>
        <v>36223</v>
      </c>
      <c r="D1794" s="126" t="s">
        <v>508</v>
      </c>
      <c r="E1794" s="128">
        <v>222.88900000000001</v>
      </c>
      <c r="F1794" s="129">
        <f t="shared" si="83"/>
        <v>8.0737082470000008</v>
      </c>
      <c r="G1794" t="str">
        <f>_xlfn.XLOOKUP(D1794,'[1]2050 BAU Mapping to T &amp; C'!$A$3:$A$52,'[1]2050 BAU Mapping to T &amp; C'!$B$3:$B$52)</f>
        <v xml:space="preserve">Other cereals </v>
      </c>
      <c r="H1794" s="129">
        <f>_xlfn.XLOOKUP(G1794,'[1]T&amp;C emissions for 2050 analysis'!$B$3:$B$23,'[1]T&amp;C emissions for 2050 analysis'!$C$3:$C$23)</f>
        <v>0.18333333333333335</v>
      </c>
      <c r="I1794" s="27">
        <f t="shared" si="81"/>
        <v>1.4801798452833337</v>
      </c>
      <c r="J1794" s="129">
        <f t="shared" si="82"/>
        <v>40.862983333333339</v>
      </c>
    </row>
    <row r="1795" spans="1:10" hidden="1" x14ac:dyDescent="0.35">
      <c r="A1795" s="126" t="s">
        <v>492</v>
      </c>
      <c r="B1795" t="str">
        <f>_xlfn.XLOOKUP(A1795,'[1]2050Pop'!$A$7:$A$143,'[1]2050Pop'!$D$7:$D$143)</f>
        <v>SSA</v>
      </c>
      <c r="C1795" s="127">
        <f>1000*_xlfn.XLOOKUP(A1795,'[1]2050Pop'!$A$7:$A$143,'[1]2050Pop'!$C$7:$C$143)</f>
        <v>11392</v>
      </c>
      <c r="D1795" s="126" t="s">
        <v>508</v>
      </c>
      <c r="E1795" s="128">
        <v>45.453000000000003</v>
      </c>
      <c r="F1795" s="129">
        <f t="shared" si="83"/>
        <v>0.51780057600000007</v>
      </c>
      <c r="G1795" t="str">
        <f>_xlfn.XLOOKUP(D1795,'[1]2050 BAU Mapping to T &amp; C'!$A$3:$A$52,'[1]2050 BAU Mapping to T &amp; C'!$B$3:$B$52)</f>
        <v xml:space="preserve">Other cereals </v>
      </c>
      <c r="H1795" s="129">
        <f>_xlfn.XLOOKUP(G1795,'[1]T&amp;C emissions for 2050 analysis'!$B$3:$B$23,'[1]T&amp;C emissions for 2050 analysis'!$C$3:$C$23)</f>
        <v>0.18333333333333335</v>
      </c>
      <c r="I1795" s="27">
        <f t="shared" si="81"/>
        <v>9.4930105600000023E-2</v>
      </c>
      <c r="J1795" s="129">
        <f t="shared" si="82"/>
        <v>8.3330500000000018</v>
      </c>
    </row>
    <row r="1796" spans="1:10" hidden="1" x14ac:dyDescent="0.35">
      <c r="A1796" s="126" t="s">
        <v>460</v>
      </c>
      <c r="B1796" t="str">
        <f>_xlfn.XLOOKUP(A1796,'[1]2050Pop'!$A$7:$A$143,'[1]2050Pop'!$D$7:$D$143)</f>
        <v>LatAm &amp; RSA</v>
      </c>
      <c r="C1796" s="127">
        <f>1000*_xlfn.XLOOKUP(A1796,'[1]2050Pop'!$A$7:$A$143,'[1]2050Pop'!$C$7:$C$143)</f>
        <v>65540</v>
      </c>
      <c r="D1796" s="126" t="s">
        <v>508</v>
      </c>
      <c r="E1796" s="128">
        <v>0.72299999999999998</v>
      </c>
      <c r="F1796" s="129">
        <f t="shared" si="83"/>
        <v>4.7385419999999998E-2</v>
      </c>
      <c r="G1796" t="str">
        <f>_xlfn.XLOOKUP(D1796,'[1]2050 BAU Mapping to T &amp; C'!$A$3:$A$52,'[1]2050 BAU Mapping to T &amp; C'!$B$3:$B$52)</f>
        <v xml:space="preserve">Other cereals </v>
      </c>
      <c r="H1796" s="129">
        <f>_xlfn.XLOOKUP(G1796,'[1]T&amp;C emissions for 2050 analysis'!$B$3:$B$23,'[1]T&amp;C emissions for 2050 analysis'!$C$3:$C$23)</f>
        <v>0.18333333333333335</v>
      </c>
      <c r="I1796" s="27">
        <f t="shared" ref="I1796:I1859" si="84">F1796*H1796</f>
        <v>8.6873269999999999E-3</v>
      </c>
      <c r="J1796" s="129">
        <f t="shared" ref="J1796:J1859" si="85">E1796*H1796</f>
        <v>0.13255</v>
      </c>
    </row>
    <row r="1797" spans="1:10" hidden="1" x14ac:dyDescent="0.35">
      <c r="A1797" s="126" t="s">
        <v>493</v>
      </c>
      <c r="B1797" t="str">
        <f>_xlfn.XLOOKUP(A1797,'[1]2050Pop'!$A$7:$A$143,'[1]2050Pop'!$D$7:$D$143)</f>
        <v>India/South Asia</v>
      </c>
      <c r="C1797" s="127">
        <f>1000*_xlfn.XLOOKUP(A1797,'[1]2050Pop'!$A$7:$A$143,'[1]2050Pop'!$C$7:$C$143)</f>
        <v>20836</v>
      </c>
      <c r="D1797" s="126" t="s">
        <v>508</v>
      </c>
      <c r="E1797" s="128">
        <v>3.2029999999999998</v>
      </c>
      <c r="F1797" s="129">
        <f t="shared" ref="F1797:F1860" si="86">C1797*E1797/1000000</f>
        <v>6.6737707999999993E-2</v>
      </c>
      <c r="G1797" t="str">
        <f>_xlfn.XLOOKUP(D1797,'[1]2050 BAU Mapping to T &amp; C'!$A$3:$A$52,'[1]2050 BAU Mapping to T &amp; C'!$B$3:$B$52)</f>
        <v xml:space="preserve">Other cereals </v>
      </c>
      <c r="H1797" s="129">
        <f>_xlfn.XLOOKUP(G1797,'[1]T&amp;C emissions for 2050 analysis'!$B$3:$B$23,'[1]T&amp;C emissions for 2050 analysis'!$C$3:$C$23)</f>
        <v>0.18333333333333335</v>
      </c>
      <c r="I1797" s="27">
        <f t="shared" si="84"/>
        <v>1.2235246466666667E-2</v>
      </c>
      <c r="J1797" s="129">
        <f t="shared" si="85"/>
        <v>0.58721666666666672</v>
      </c>
    </row>
    <row r="1798" spans="1:10" hidden="1" x14ac:dyDescent="0.35">
      <c r="A1798" s="126" t="s">
        <v>466</v>
      </c>
      <c r="B1798" t="str">
        <f>_xlfn.XLOOKUP(A1798,'[1]2050Pop'!$A$7:$A$143,'[1]2050Pop'!$D$7:$D$143)</f>
        <v>SSA</v>
      </c>
      <c r="C1798" s="127">
        <f>1000*_xlfn.XLOOKUP(A1798,'[1]2050Pop'!$A$7:$A$143,'[1]2050Pop'!$C$7:$C$143)</f>
        <v>15681</v>
      </c>
      <c r="D1798" s="126" t="s">
        <v>508</v>
      </c>
      <c r="E1798" s="128">
        <v>46.534999999999997</v>
      </c>
      <c r="F1798" s="129">
        <f t="shared" si="86"/>
        <v>0.72971533499999996</v>
      </c>
      <c r="G1798" t="str">
        <f>_xlfn.XLOOKUP(D1798,'[1]2050 BAU Mapping to T &amp; C'!$A$3:$A$52,'[1]2050 BAU Mapping to T &amp; C'!$B$3:$B$52)</f>
        <v xml:space="preserve">Other cereals </v>
      </c>
      <c r="H1798" s="129">
        <f>_xlfn.XLOOKUP(G1798,'[1]T&amp;C emissions for 2050 analysis'!$B$3:$B$23,'[1]T&amp;C emissions for 2050 analysis'!$C$3:$C$23)</f>
        <v>0.18333333333333335</v>
      </c>
      <c r="I1798" s="27">
        <f t="shared" si="84"/>
        <v>0.13378114475</v>
      </c>
      <c r="J1798" s="129">
        <f t="shared" si="85"/>
        <v>8.5314166666666669</v>
      </c>
    </row>
    <row r="1799" spans="1:10" hidden="1" x14ac:dyDescent="0.35">
      <c r="A1799" s="126" t="s">
        <v>470</v>
      </c>
      <c r="B1799" t="str">
        <f>_xlfn.XLOOKUP(A1799,'[1]2050Pop'!$A$7:$A$143,'[1]2050Pop'!$D$7:$D$143)</f>
        <v>SSA</v>
      </c>
      <c r="C1799" s="127">
        <f>1000*_xlfn.XLOOKUP(A1799,'[1]2050Pop'!$A$7:$A$143,'[1]2050Pop'!$C$7:$C$143)</f>
        <v>101873</v>
      </c>
      <c r="D1799" s="126" t="s">
        <v>508</v>
      </c>
      <c r="E1799" s="130">
        <v>49.33</v>
      </c>
      <c r="F1799" s="129">
        <f t="shared" si="86"/>
        <v>5.02539509</v>
      </c>
      <c r="G1799" t="str">
        <f>_xlfn.XLOOKUP(D1799,'[1]2050 BAU Mapping to T &amp; C'!$A$3:$A$52,'[1]2050 BAU Mapping to T &amp; C'!$B$3:$B$52)</f>
        <v xml:space="preserve">Other cereals </v>
      </c>
      <c r="H1799" s="129">
        <f>_xlfn.XLOOKUP(G1799,'[1]T&amp;C emissions for 2050 analysis'!$B$3:$B$23,'[1]T&amp;C emissions for 2050 analysis'!$C$3:$C$23)</f>
        <v>0.18333333333333335</v>
      </c>
      <c r="I1799" s="27">
        <f t="shared" si="84"/>
        <v>0.92132243316666673</v>
      </c>
      <c r="J1799" s="129">
        <f t="shared" si="85"/>
        <v>9.0438333333333336</v>
      </c>
    </row>
    <row r="1800" spans="1:10" hidden="1" x14ac:dyDescent="0.35">
      <c r="A1800" s="126" t="s">
        <v>471</v>
      </c>
      <c r="B1800" t="str">
        <f>_xlfn.XLOOKUP(A1800,'[1]2050Pop'!$A$7:$A$143,'[1]2050Pop'!$D$7:$D$143)</f>
        <v>Euro/AU/NZ</v>
      </c>
      <c r="C1800" s="127">
        <f>1000*_xlfn.XLOOKUP(A1800,'[1]2050Pop'!$A$7:$A$143,'[1]2050Pop'!$C$7:$C$143)</f>
        <v>35117</v>
      </c>
      <c r="D1800" s="126" t="s">
        <v>508</v>
      </c>
      <c r="E1800" s="128">
        <v>8.2230000000000008</v>
      </c>
      <c r="F1800" s="129">
        <f t="shared" si="86"/>
        <v>0.28876709100000003</v>
      </c>
      <c r="G1800" t="str">
        <f>_xlfn.XLOOKUP(D1800,'[1]2050 BAU Mapping to T &amp; C'!$A$3:$A$52,'[1]2050 BAU Mapping to T &amp; C'!$B$3:$B$52)</f>
        <v xml:space="preserve">Other cereals </v>
      </c>
      <c r="H1800" s="129">
        <f>_xlfn.XLOOKUP(G1800,'[1]T&amp;C emissions for 2050 analysis'!$B$3:$B$23,'[1]T&amp;C emissions for 2050 analysis'!$C$3:$C$23)</f>
        <v>0.18333333333333335</v>
      </c>
      <c r="I1800" s="27">
        <f t="shared" si="84"/>
        <v>5.2940633350000009E-2</v>
      </c>
      <c r="J1800" s="129">
        <f t="shared" si="85"/>
        <v>1.5075500000000002</v>
      </c>
    </row>
    <row r="1801" spans="1:10" hidden="1" x14ac:dyDescent="0.35">
      <c r="A1801" s="126" t="s">
        <v>473</v>
      </c>
      <c r="B1801" t="str">
        <f>_xlfn.XLOOKUP(A1801,'[1]2050Pop'!$A$7:$A$143,'[1]2050Pop'!$D$7:$D$143)</f>
        <v>SSA</v>
      </c>
      <c r="C1801" s="127">
        <f>1000*_xlfn.XLOOKUP(A1801,'[1]2050Pop'!$A$7:$A$143,'[1]2050Pop'!$C$7:$C$143)</f>
        <v>137136</v>
      </c>
      <c r="D1801" s="126" t="s">
        <v>508</v>
      </c>
      <c r="E1801" s="128">
        <v>23.558</v>
      </c>
      <c r="F1801" s="129">
        <f t="shared" si="86"/>
        <v>3.2306498879999999</v>
      </c>
      <c r="G1801" t="str">
        <f>_xlfn.XLOOKUP(D1801,'[1]2050 BAU Mapping to T &amp; C'!$A$3:$A$52,'[1]2050 BAU Mapping to T &amp; C'!$B$3:$B$52)</f>
        <v xml:space="preserve">Other cereals </v>
      </c>
      <c r="H1801" s="129">
        <f>_xlfn.XLOOKUP(G1801,'[1]T&amp;C emissions for 2050 analysis'!$B$3:$B$23,'[1]T&amp;C emissions for 2050 analysis'!$C$3:$C$23)</f>
        <v>0.18333333333333335</v>
      </c>
      <c r="I1801" s="27">
        <f t="shared" si="84"/>
        <v>0.59228581280000003</v>
      </c>
      <c r="J1801" s="129">
        <f t="shared" si="85"/>
        <v>4.3189666666666673</v>
      </c>
    </row>
    <row r="1802" spans="1:10" hidden="1" x14ac:dyDescent="0.35">
      <c r="A1802" s="126" t="s">
        <v>478</v>
      </c>
      <c r="B1802" t="str">
        <f>_xlfn.XLOOKUP(A1802,'[1]2050Pop'!$A$7:$A$143,'[1]2050Pop'!$D$7:$D$143)</f>
        <v>MENA</v>
      </c>
      <c r="C1802" s="127">
        <f>1000*_xlfn.XLOOKUP(A1802,'[1]2050Pop'!$A$7:$A$143,'[1]2050Pop'!$C$7:$C$143)</f>
        <v>47170</v>
      </c>
      <c r="D1802" s="126" t="s">
        <v>508</v>
      </c>
      <c r="E1802" s="128">
        <v>28.327999999999999</v>
      </c>
      <c r="F1802" s="129">
        <f t="shared" si="86"/>
        <v>1.33623176</v>
      </c>
      <c r="G1802" t="str">
        <f>_xlfn.XLOOKUP(D1802,'[1]2050 BAU Mapping to T &amp; C'!$A$3:$A$52,'[1]2050 BAU Mapping to T &amp; C'!$B$3:$B$52)</f>
        <v xml:space="preserve">Other cereals </v>
      </c>
      <c r="H1802" s="129">
        <f>_xlfn.XLOOKUP(G1802,'[1]T&amp;C emissions for 2050 analysis'!$B$3:$B$23,'[1]T&amp;C emissions for 2050 analysis'!$C$3:$C$23)</f>
        <v>0.18333333333333335</v>
      </c>
      <c r="I1802" s="27">
        <f t="shared" si="84"/>
        <v>0.24497582266666668</v>
      </c>
      <c r="J1802" s="129">
        <f t="shared" si="85"/>
        <v>5.1934666666666667</v>
      </c>
    </row>
    <row r="1803" spans="1:10" hidden="1" x14ac:dyDescent="0.35">
      <c r="A1803" s="126" t="s">
        <v>494</v>
      </c>
      <c r="B1803" t="str">
        <f>_xlfn.XLOOKUP(A1803,'[1]2050Pop'!$A$7:$A$143,'[1]2050Pop'!$D$7:$D$143)</f>
        <v>SSA</v>
      </c>
      <c r="C1803" s="127">
        <f>1000*_xlfn.XLOOKUP(A1803,'[1]2050Pop'!$A$7:$A$143,'[1]2050Pop'!$C$7:$C$143)</f>
        <v>42975</v>
      </c>
      <c r="D1803" s="126" t="s">
        <v>508</v>
      </c>
      <c r="E1803" s="128">
        <v>6.657</v>
      </c>
      <c r="F1803" s="129">
        <f t="shared" si="86"/>
        <v>0.28608457500000001</v>
      </c>
      <c r="G1803" t="str">
        <f>_xlfn.XLOOKUP(D1803,'[1]2050 BAU Mapping to T &amp; C'!$A$3:$A$52,'[1]2050 BAU Mapping to T &amp; C'!$B$3:$B$52)</f>
        <v xml:space="preserve">Other cereals </v>
      </c>
      <c r="H1803" s="129">
        <f>_xlfn.XLOOKUP(G1803,'[1]T&amp;C emissions for 2050 analysis'!$B$3:$B$23,'[1]T&amp;C emissions for 2050 analysis'!$C$3:$C$23)</f>
        <v>0.18333333333333335</v>
      </c>
      <c r="I1803" s="27">
        <f t="shared" si="84"/>
        <v>5.2448838750000004E-2</v>
      </c>
      <c r="J1803" s="129">
        <f t="shared" si="85"/>
        <v>1.22045</v>
      </c>
    </row>
    <row r="1804" spans="1:10" hidden="1" x14ac:dyDescent="0.35">
      <c r="A1804" s="126" t="s">
        <v>479</v>
      </c>
      <c r="B1804" t="str">
        <f>_xlfn.XLOOKUP(A1804,'[1]2050Pop'!$A$7:$A$143,'[1]2050Pop'!$D$7:$D$143)</f>
        <v>SSA</v>
      </c>
      <c r="C1804" s="127">
        <f>1000*_xlfn.XLOOKUP(A1804,'[1]2050Pop'!$A$7:$A$143,'[1]2050Pop'!$C$7:$C$143)</f>
        <v>29615</v>
      </c>
      <c r="D1804" s="126" t="s">
        <v>508</v>
      </c>
      <c r="E1804" s="128">
        <v>22.960999999999999</v>
      </c>
      <c r="F1804" s="129">
        <f t="shared" si="86"/>
        <v>0.679990015</v>
      </c>
      <c r="G1804" t="str">
        <f>_xlfn.XLOOKUP(D1804,'[1]2050 BAU Mapping to T &amp; C'!$A$3:$A$52,'[1]2050 BAU Mapping to T &amp; C'!$B$3:$B$52)</f>
        <v xml:space="preserve">Other cereals </v>
      </c>
      <c r="H1804" s="129">
        <f>_xlfn.XLOOKUP(G1804,'[1]T&amp;C emissions for 2050 analysis'!$B$3:$B$23,'[1]T&amp;C emissions for 2050 analysis'!$C$3:$C$23)</f>
        <v>0.18333333333333335</v>
      </c>
      <c r="I1804" s="27">
        <f t="shared" si="84"/>
        <v>0.12466483608333334</v>
      </c>
      <c r="J1804" s="129">
        <f t="shared" si="85"/>
        <v>4.2095166666666666</v>
      </c>
    </row>
    <row r="1805" spans="1:10" hidden="1" x14ac:dyDescent="0.35">
      <c r="A1805" s="126" t="s">
        <v>355</v>
      </c>
      <c r="B1805" t="str">
        <f>_xlfn.XLOOKUP(A1805,'[1]2050Pop'!$A$7:$A$143,'[1]2050Pop'!$D$7:$D$143)</f>
        <v>India/South Asia</v>
      </c>
      <c r="C1805" s="127">
        <f>1000*_xlfn.XLOOKUP(A1805,'[1]2050Pop'!$A$7:$A$143,'[1]2050Pop'!$C$7:$C$143)</f>
        <v>55955</v>
      </c>
      <c r="D1805" s="126" t="s">
        <v>509</v>
      </c>
      <c r="E1805" s="128">
        <v>3.4929999999999999</v>
      </c>
      <c r="F1805" s="129">
        <f t="shared" si="86"/>
        <v>0.195450815</v>
      </c>
      <c r="G1805" t="str">
        <f>_xlfn.XLOOKUP(D1805,'[1]2050 BAU Mapping to T &amp; C'!$A$3:$A$52,'[1]2050 BAU Mapping to T &amp; C'!$B$3:$B$52)</f>
        <v xml:space="preserve">Oil crops </v>
      </c>
      <c r="H1805" s="129">
        <f>_xlfn.XLOOKUP(G1805,'[1]T&amp;C emissions for 2050 analysis'!$B$3:$B$23,'[1]T&amp;C emissions for 2050 analysis'!$C$3:$C$23)</f>
        <v>0.18333333333333335</v>
      </c>
      <c r="I1805" s="27">
        <f t="shared" si="84"/>
        <v>3.5832649416666668E-2</v>
      </c>
      <c r="J1805" s="129">
        <f t="shared" si="85"/>
        <v>0.64038333333333342</v>
      </c>
    </row>
    <row r="1806" spans="1:10" hidden="1" x14ac:dyDescent="0.35">
      <c r="A1806" s="126" t="s">
        <v>357</v>
      </c>
      <c r="B1806" t="str">
        <f>_xlfn.XLOOKUP(A1806,'[1]2050Pop'!$A$7:$A$143,'[1]2050Pop'!$D$7:$D$143)</f>
        <v>Euro/AU/NZ</v>
      </c>
      <c r="C1806" s="127">
        <f>1000*_xlfn.XLOOKUP(A1806,'[1]2050Pop'!$A$7:$A$143,'[1]2050Pop'!$C$7:$C$143)</f>
        <v>2710</v>
      </c>
      <c r="D1806" s="126" t="s">
        <v>509</v>
      </c>
      <c r="E1806" s="130">
        <v>28.98</v>
      </c>
      <c r="F1806" s="129">
        <f t="shared" si="86"/>
        <v>7.8535800000000003E-2</v>
      </c>
      <c r="G1806" t="str">
        <f>_xlfn.XLOOKUP(D1806,'[1]2050 BAU Mapping to T &amp; C'!$A$3:$A$52,'[1]2050 BAU Mapping to T &amp; C'!$B$3:$B$52)</f>
        <v xml:space="preserve">Oil crops </v>
      </c>
      <c r="H1806" s="129">
        <f>_xlfn.XLOOKUP(G1806,'[1]T&amp;C emissions for 2050 analysis'!$B$3:$B$23,'[1]T&amp;C emissions for 2050 analysis'!$C$3:$C$23)</f>
        <v>0.18333333333333335</v>
      </c>
      <c r="I1806" s="27">
        <f t="shared" si="84"/>
        <v>1.4398230000000001E-2</v>
      </c>
      <c r="J1806" s="129">
        <f t="shared" si="85"/>
        <v>5.3130000000000006</v>
      </c>
    </row>
    <row r="1807" spans="1:10" hidden="1" x14ac:dyDescent="0.35">
      <c r="A1807" s="126" t="s">
        <v>358</v>
      </c>
      <c r="B1807" t="str">
        <f>_xlfn.XLOOKUP(A1807,'[1]2050Pop'!$A$7:$A$143,'[1]2050Pop'!$D$7:$D$143)</f>
        <v>MENA</v>
      </c>
      <c r="C1807" s="127">
        <f>1000*_xlfn.XLOOKUP(A1807,'[1]2050Pop'!$A$7:$A$143,'[1]2050Pop'!$C$7:$C$143)</f>
        <v>56461</v>
      </c>
      <c r="D1807" s="126" t="s">
        <v>509</v>
      </c>
      <c r="E1807" s="128">
        <v>60.232999999999997</v>
      </c>
      <c r="F1807" s="129">
        <f t="shared" si="86"/>
        <v>3.4008154129999997</v>
      </c>
      <c r="G1807" t="str">
        <f>_xlfn.XLOOKUP(D1807,'[1]2050 BAU Mapping to T &amp; C'!$A$3:$A$52,'[1]2050 BAU Mapping to T &amp; C'!$B$3:$B$52)</f>
        <v xml:space="preserve">Oil crops </v>
      </c>
      <c r="H1807" s="129">
        <f>_xlfn.XLOOKUP(G1807,'[1]T&amp;C emissions for 2050 analysis'!$B$3:$B$23,'[1]T&amp;C emissions for 2050 analysis'!$C$3:$C$23)</f>
        <v>0.18333333333333335</v>
      </c>
      <c r="I1807" s="27">
        <f t="shared" si="84"/>
        <v>0.62348282571666669</v>
      </c>
      <c r="J1807" s="129">
        <f t="shared" si="85"/>
        <v>11.042716666666667</v>
      </c>
    </row>
    <row r="1808" spans="1:10" hidden="1" x14ac:dyDescent="0.35">
      <c r="A1808" s="126" t="s">
        <v>359</v>
      </c>
      <c r="B1808" t="str">
        <f>_xlfn.XLOOKUP(A1808,'[1]2050Pop'!$A$7:$A$143,'[1]2050Pop'!$D$7:$D$143)</f>
        <v>SSA</v>
      </c>
      <c r="C1808" s="127">
        <f>1000*_xlfn.XLOOKUP(A1808,'[1]2050Pop'!$A$7:$A$143,'[1]2050Pop'!$C$7:$C$143)</f>
        <v>65473</v>
      </c>
      <c r="D1808" s="126" t="s">
        <v>509</v>
      </c>
      <c r="E1808" s="130">
        <v>24.66</v>
      </c>
      <c r="F1808" s="129">
        <f t="shared" si="86"/>
        <v>1.6145641799999999</v>
      </c>
      <c r="G1808" t="str">
        <f>_xlfn.XLOOKUP(D1808,'[1]2050 BAU Mapping to T &amp; C'!$A$3:$A$52,'[1]2050 BAU Mapping to T &amp; C'!$B$3:$B$52)</f>
        <v xml:space="preserve">Oil crops </v>
      </c>
      <c r="H1808" s="129">
        <f>_xlfn.XLOOKUP(G1808,'[1]T&amp;C emissions for 2050 analysis'!$B$3:$B$23,'[1]T&amp;C emissions for 2050 analysis'!$C$3:$C$23)</f>
        <v>0.18333333333333335</v>
      </c>
      <c r="I1808" s="27">
        <f t="shared" si="84"/>
        <v>0.29600343299999998</v>
      </c>
      <c r="J1808" s="129">
        <f t="shared" si="85"/>
        <v>4.5210000000000008</v>
      </c>
    </row>
    <row r="1809" spans="1:10" hidden="1" x14ac:dyDescent="0.35">
      <c r="A1809" s="126" t="s">
        <v>362</v>
      </c>
      <c r="B1809" t="str">
        <f>_xlfn.XLOOKUP(A1809,'[1]2050Pop'!$A$7:$A$143,'[1]2050Pop'!$D$7:$D$143)</f>
        <v>Euro/AU/NZ</v>
      </c>
      <c r="C1809" s="127">
        <f>1000*_xlfn.XLOOKUP(A1809,'[1]2050Pop'!$A$7:$A$143,'[1]2050Pop'!$C$7:$C$143)</f>
        <v>33496</v>
      </c>
      <c r="D1809" s="126" t="s">
        <v>509</v>
      </c>
      <c r="E1809" s="130">
        <v>28.12</v>
      </c>
      <c r="F1809" s="129">
        <f t="shared" si="86"/>
        <v>0.94190752</v>
      </c>
      <c r="G1809" t="str">
        <f>_xlfn.XLOOKUP(D1809,'[1]2050 BAU Mapping to T &amp; C'!$A$3:$A$52,'[1]2050 BAU Mapping to T &amp; C'!$B$3:$B$52)</f>
        <v xml:space="preserve">Oil crops </v>
      </c>
      <c r="H1809" s="129">
        <f>_xlfn.XLOOKUP(G1809,'[1]T&amp;C emissions for 2050 analysis'!$B$3:$B$23,'[1]T&amp;C emissions for 2050 analysis'!$C$3:$C$23)</f>
        <v>0.18333333333333335</v>
      </c>
      <c r="I1809" s="27">
        <f t="shared" si="84"/>
        <v>0.17268304533333334</v>
      </c>
      <c r="J1809" s="129">
        <f t="shared" si="85"/>
        <v>5.155333333333334</v>
      </c>
    </row>
    <row r="1810" spans="1:10" hidden="1" x14ac:dyDescent="0.35">
      <c r="A1810" s="126" t="s">
        <v>363</v>
      </c>
      <c r="B1810" t="str">
        <f>_xlfn.XLOOKUP(A1810,'[1]2050Pop'!$A$7:$A$143,'[1]2050Pop'!$D$7:$D$143)</f>
        <v>Euro/AU/NZ</v>
      </c>
      <c r="C1810" s="127">
        <f>1000*_xlfn.XLOOKUP(A1810,'[1]2050Pop'!$A$7:$A$143,'[1]2050Pop'!$C$7:$C$143)</f>
        <v>8846</v>
      </c>
      <c r="D1810" s="126" t="s">
        <v>509</v>
      </c>
      <c r="E1810" s="128">
        <v>57.131999999999998</v>
      </c>
      <c r="F1810" s="129">
        <f t="shared" si="86"/>
        <v>0.50538967199999996</v>
      </c>
      <c r="G1810" t="str">
        <f>_xlfn.XLOOKUP(D1810,'[1]2050 BAU Mapping to T &amp; C'!$A$3:$A$52,'[1]2050 BAU Mapping to T &amp; C'!$B$3:$B$52)</f>
        <v xml:space="preserve">Oil crops </v>
      </c>
      <c r="H1810" s="129">
        <f>_xlfn.XLOOKUP(G1810,'[1]T&amp;C emissions for 2050 analysis'!$B$3:$B$23,'[1]T&amp;C emissions for 2050 analysis'!$C$3:$C$23)</f>
        <v>0.18333333333333335</v>
      </c>
      <c r="I1810" s="27">
        <f t="shared" si="84"/>
        <v>9.2654773199999999E-2</v>
      </c>
      <c r="J1810" s="129">
        <f t="shared" si="85"/>
        <v>10.4742</v>
      </c>
    </row>
    <row r="1811" spans="1:10" hidden="1" x14ac:dyDescent="0.35">
      <c r="A1811" s="126" t="s">
        <v>366</v>
      </c>
      <c r="B1811" t="str">
        <f>_xlfn.XLOOKUP(A1811,'[1]2050Pop'!$A$7:$A$143,'[1]2050Pop'!$D$7:$D$143)</f>
        <v>Euro/AU/NZ</v>
      </c>
      <c r="C1811" s="127">
        <f>1000*_xlfn.XLOOKUP(A1811,'[1]2050Pop'!$A$7:$A$143,'[1]2050Pop'!$C$7:$C$143)</f>
        <v>8125</v>
      </c>
      <c r="D1811" s="126" t="s">
        <v>509</v>
      </c>
      <c r="E1811" s="128">
        <v>1.8779999999999999</v>
      </c>
      <c r="F1811" s="129">
        <f t="shared" si="86"/>
        <v>1.525875E-2</v>
      </c>
      <c r="G1811" t="str">
        <f>_xlfn.XLOOKUP(D1811,'[1]2050 BAU Mapping to T &amp; C'!$A$3:$A$52,'[1]2050 BAU Mapping to T &amp; C'!$B$3:$B$52)</f>
        <v xml:space="preserve">Oil crops </v>
      </c>
      <c r="H1811" s="129">
        <f>_xlfn.XLOOKUP(G1811,'[1]T&amp;C emissions for 2050 analysis'!$B$3:$B$23,'[1]T&amp;C emissions for 2050 analysis'!$C$3:$C$23)</f>
        <v>0.18333333333333335</v>
      </c>
      <c r="I1811" s="27">
        <f t="shared" si="84"/>
        <v>2.7974375E-3</v>
      </c>
      <c r="J1811" s="129">
        <f t="shared" si="85"/>
        <v>0.34429999999999999</v>
      </c>
    </row>
    <row r="1812" spans="1:10" hidden="1" x14ac:dyDescent="0.35">
      <c r="A1812" s="126" t="s">
        <v>367</v>
      </c>
      <c r="B1812" t="str">
        <f>_xlfn.XLOOKUP(A1812,'[1]2050Pop'!$A$7:$A$143,'[1]2050Pop'!$D$7:$D$143)</f>
        <v>Euro/AU/NZ</v>
      </c>
      <c r="C1812" s="127">
        <f>1000*_xlfn.XLOOKUP(A1812,'[1]2050Pop'!$A$7:$A$143,'[1]2050Pop'!$C$7:$C$143)</f>
        <v>12527</v>
      </c>
      <c r="D1812" s="126" t="s">
        <v>509</v>
      </c>
      <c r="E1812" s="128">
        <v>61.177999999999997</v>
      </c>
      <c r="F1812" s="129">
        <f t="shared" si="86"/>
        <v>0.76637680600000002</v>
      </c>
      <c r="G1812" t="str">
        <f>_xlfn.XLOOKUP(D1812,'[1]2050 BAU Mapping to T &amp; C'!$A$3:$A$52,'[1]2050 BAU Mapping to T &amp; C'!$B$3:$B$52)</f>
        <v xml:space="preserve">Oil crops </v>
      </c>
      <c r="H1812" s="129">
        <f>_xlfn.XLOOKUP(G1812,'[1]T&amp;C emissions for 2050 analysis'!$B$3:$B$23,'[1]T&amp;C emissions for 2050 analysis'!$C$3:$C$23)</f>
        <v>0.18333333333333335</v>
      </c>
      <c r="I1812" s="27">
        <f t="shared" si="84"/>
        <v>0.14050241443333336</v>
      </c>
      <c r="J1812" s="129">
        <f t="shared" si="85"/>
        <v>11.215966666666667</v>
      </c>
    </row>
    <row r="1813" spans="1:10" hidden="1" x14ac:dyDescent="0.35">
      <c r="A1813" s="126" t="s">
        <v>368</v>
      </c>
      <c r="B1813" t="str">
        <f>_xlfn.XLOOKUP(A1813,'[1]2050Pop'!$A$7:$A$143,'[1]2050Pop'!$D$7:$D$143)</f>
        <v>SSA</v>
      </c>
      <c r="C1813" s="127">
        <f>1000*_xlfn.XLOOKUP(A1813,'[1]2050Pop'!$A$7:$A$143,'[1]2050Pop'!$C$7:$C$143)</f>
        <v>22549</v>
      </c>
      <c r="D1813" s="126" t="s">
        <v>509</v>
      </c>
      <c r="E1813" s="128">
        <v>7.8959999999999999</v>
      </c>
      <c r="F1813" s="129">
        <f t="shared" si="86"/>
        <v>0.17804690400000001</v>
      </c>
      <c r="G1813" t="str">
        <f>_xlfn.XLOOKUP(D1813,'[1]2050 BAU Mapping to T &amp; C'!$A$3:$A$52,'[1]2050 BAU Mapping to T &amp; C'!$B$3:$B$52)</f>
        <v xml:space="preserve">Oil crops </v>
      </c>
      <c r="H1813" s="129">
        <f>_xlfn.XLOOKUP(G1813,'[1]T&amp;C emissions for 2050 analysis'!$B$3:$B$23,'[1]T&amp;C emissions for 2050 analysis'!$C$3:$C$23)</f>
        <v>0.18333333333333335</v>
      </c>
      <c r="I1813" s="27">
        <f t="shared" si="84"/>
        <v>3.2641932400000004E-2</v>
      </c>
      <c r="J1813" s="129">
        <f t="shared" si="85"/>
        <v>1.4476</v>
      </c>
    </row>
    <row r="1814" spans="1:10" hidden="1" x14ac:dyDescent="0.35">
      <c r="A1814" s="126" t="s">
        <v>369</v>
      </c>
      <c r="B1814" t="str">
        <f>_xlfn.XLOOKUP(A1814,'[1]2050Pop'!$A$7:$A$143,'[1]2050Pop'!$D$7:$D$143)</f>
        <v>LatAm &amp; RSA</v>
      </c>
      <c r="C1814" s="127">
        <f>1000*_xlfn.XLOOKUP(A1814,'[1]2050Pop'!$A$7:$A$143,'[1]2050Pop'!$C$7:$C$143)</f>
        <v>15963</v>
      </c>
      <c r="D1814" s="126" t="s">
        <v>509</v>
      </c>
      <c r="E1814" s="128">
        <v>5.3689999999999998</v>
      </c>
      <c r="F1814" s="129">
        <f t="shared" si="86"/>
        <v>8.5705347000000001E-2</v>
      </c>
      <c r="G1814" t="str">
        <f>_xlfn.XLOOKUP(D1814,'[1]2050 BAU Mapping to T &amp; C'!$A$3:$A$52,'[1]2050 BAU Mapping to T &amp; C'!$B$3:$B$52)</f>
        <v xml:space="preserve">Oil crops </v>
      </c>
      <c r="H1814" s="129">
        <f>_xlfn.XLOOKUP(G1814,'[1]T&amp;C emissions for 2050 analysis'!$B$3:$B$23,'[1]T&amp;C emissions for 2050 analysis'!$C$3:$C$23)</f>
        <v>0.18333333333333335</v>
      </c>
      <c r="I1814" s="27">
        <f t="shared" si="84"/>
        <v>1.5712646950000003E-2</v>
      </c>
      <c r="J1814" s="129">
        <f t="shared" si="85"/>
        <v>0.98431666666666673</v>
      </c>
    </row>
    <row r="1815" spans="1:10" hidden="1" x14ac:dyDescent="0.35">
      <c r="A1815" s="126" t="s">
        <v>371</v>
      </c>
      <c r="B1815" t="str">
        <f>_xlfn.XLOOKUP(A1815,'[1]2050Pop'!$A$7:$A$143,'[1]2050Pop'!$D$7:$D$143)</f>
        <v>SSA</v>
      </c>
      <c r="C1815" s="127">
        <f>1000*_xlfn.XLOOKUP(A1815,'[1]2050Pop'!$A$7:$A$143,'[1]2050Pop'!$C$7:$C$143)</f>
        <v>3389</v>
      </c>
      <c r="D1815" s="126" t="s">
        <v>509</v>
      </c>
      <c r="E1815" s="128">
        <v>32.548999999999999</v>
      </c>
      <c r="F1815" s="129">
        <f t="shared" si="86"/>
        <v>0.110308561</v>
      </c>
      <c r="G1815" t="str">
        <f>_xlfn.XLOOKUP(D1815,'[1]2050 BAU Mapping to T &amp; C'!$A$3:$A$52,'[1]2050 BAU Mapping to T &amp; C'!$B$3:$B$52)</f>
        <v xml:space="preserve">Oil crops </v>
      </c>
      <c r="H1815" s="129">
        <f>_xlfn.XLOOKUP(G1815,'[1]T&amp;C emissions for 2050 analysis'!$B$3:$B$23,'[1]T&amp;C emissions for 2050 analysis'!$C$3:$C$23)</f>
        <v>0.18333333333333335</v>
      </c>
      <c r="I1815" s="27">
        <f t="shared" si="84"/>
        <v>2.0223236183333333E-2</v>
      </c>
      <c r="J1815" s="129">
        <f t="shared" si="85"/>
        <v>5.967316666666667</v>
      </c>
    </row>
    <row r="1816" spans="1:10" hidden="1" x14ac:dyDescent="0.35">
      <c r="A1816" s="126" t="s">
        <v>373</v>
      </c>
      <c r="B1816" t="str">
        <f>_xlfn.XLOOKUP(A1816,'[1]2050Pop'!$A$7:$A$143,'[1]2050Pop'!$D$7:$D$143)</f>
        <v>Euro/AU/NZ</v>
      </c>
      <c r="C1816" s="127">
        <f>1000*_xlfn.XLOOKUP(A1816,'[1]2050Pop'!$A$7:$A$143,'[1]2050Pop'!$C$7:$C$143)</f>
        <v>5154</v>
      </c>
      <c r="D1816" s="126" t="s">
        <v>509</v>
      </c>
      <c r="E1816" s="130">
        <v>15.42</v>
      </c>
      <c r="F1816" s="129">
        <f t="shared" si="86"/>
        <v>7.9474679999999992E-2</v>
      </c>
      <c r="G1816" t="str">
        <f>_xlfn.XLOOKUP(D1816,'[1]2050 BAU Mapping to T &amp; C'!$A$3:$A$52,'[1]2050 BAU Mapping to T &amp; C'!$B$3:$B$52)</f>
        <v xml:space="preserve">Oil crops </v>
      </c>
      <c r="H1816" s="129">
        <f>_xlfn.XLOOKUP(G1816,'[1]T&amp;C emissions for 2050 analysis'!$B$3:$B$23,'[1]T&amp;C emissions for 2050 analysis'!$C$3:$C$23)</f>
        <v>0.18333333333333335</v>
      </c>
      <c r="I1816" s="27">
        <f t="shared" si="84"/>
        <v>1.4570358E-2</v>
      </c>
      <c r="J1816" s="129">
        <f t="shared" si="85"/>
        <v>2.8270000000000004</v>
      </c>
    </row>
    <row r="1817" spans="1:10" hidden="1" x14ac:dyDescent="0.35">
      <c r="A1817" s="126" t="s">
        <v>487</v>
      </c>
      <c r="B1817" t="str">
        <f>_xlfn.XLOOKUP(A1817,'[1]2050Pop'!$A$7:$A$143,'[1]2050Pop'!$D$7:$D$143)</f>
        <v>SSA</v>
      </c>
      <c r="C1817" s="127">
        <f>1000*_xlfn.XLOOKUP(A1817,'[1]2050Pop'!$A$7:$A$143,'[1]2050Pop'!$C$7:$C$143)</f>
        <v>42789</v>
      </c>
      <c r="D1817" s="126" t="s">
        <v>509</v>
      </c>
      <c r="E1817" s="128">
        <v>10.785</v>
      </c>
      <c r="F1817" s="129">
        <f t="shared" si="86"/>
        <v>0.46147936499999997</v>
      </c>
      <c r="G1817" t="str">
        <f>_xlfn.XLOOKUP(D1817,'[1]2050 BAU Mapping to T &amp; C'!$A$3:$A$52,'[1]2050 BAU Mapping to T &amp; C'!$B$3:$B$52)</f>
        <v xml:space="preserve">Oil crops </v>
      </c>
      <c r="H1817" s="129">
        <f>_xlfn.XLOOKUP(G1817,'[1]T&amp;C emissions for 2050 analysis'!$B$3:$B$23,'[1]T&amp;C emissions for 2050 analysis'!$C$3:$C$23)</f>
        <v>0.18333333333333335</v>
      </c>
      <c r="I1817" s="27">
        <f t="shared" si="84"/>
        <v>8.4604550250000007E-2</v>
      </c>
      <c r="J1817" s="129">
        <f t="shared" si="85"/>
        <v>1.9772500000000002</v>
      </c>
    </row>
    <row r="1818" spans="1:10" hidden="1" x14ac:dyDescent="0.35">
      <c r="A1818" s="126" t="s">
        <v>374</v>
      </c>
      <c r="B1818" t="str">
        <f>_xlfn.XLOOKUP(A1818,'[1]2050Pop'!$A$7:$A$143,'[1]2050Pop'!$D$7:$D$143)</f>
        <v>APAC</v>
      </c>
      <c r="C1818" s="127">
        <f>1000*_xlfn.XLOOKUP(A1818,'[1]2050Pop'!$A$7:$A$143,'[1]2050Pop'!$C$7:$C$143)</f>
        <v>22545</v>
      </c>
      <c r="D1818" s="126" t="s">
        <v>509</v>
      </c>
      <c r="E1818" s="128">
        <v>11.518000000000001</v>
      </c>
      <c r="F1818" s="129">
        <f t="shared" si="86"/>
        <v>0.25967331000000005</v>
      </c>
      <c r="G1818" t="str">
        <f>_xlfn.XLOOKUP(D1818,'[1]2050 BAU Mapping to T &amp; C'!$A$3:$A$52,'[1]2050 BAU Mapping to T &amp; C'!$B$3:$B$52)</f>
        <v xml:space="preserve">Oil crops </v>
      </c>
      <c r="H1818" s="129">
        <f>_xlfn.XLOOKUP(G1818,'[1]T&amp;C emissions for 2050 analysis'!$B$3:$B$23,'[1]T&amp;C emissions for 2050 analysis'!$C$3:$C$23)</f>
        <v>0.18333333333333335</v>
      </c>
      <c r="I1818" s="27">
        <f t="shared" si="84"/>
        <v>4.7606773500000012E-2</v>
      </c>
      <c r="J1818" s="129">
        <f t="shared" si="85"/>
        <v>2.1116333333333337</v>
      </c>
    </row>
    <row r="1819" spans="1:10" hidden="1" x14ac:dyDescent="0.35">
      <c r="A1819" s="126" t="s">
        <v>375</v>
      </c>
      <c r="B1819" t="str">
        <f>_xlfn.XLOOKUP(A1819,'[1]2050Pop'!$A$7:$A$143,'[1]2050Pop'!$D$7:$D$143)</f>
        <v>SSA</v>
      </c>
      <c r="C1819" s="127">
        <f>1000*_xlfn.XLOOKUP(A1819,'[1]2050Pop'!$A$7:$A$143,'[1]2050Pop'!$C$7:$C$143)</f>
        <v>48362</v>
      </c>
      <c r="D1819" s="126" t="s">
        <v>509</v>
      </c>
      <c r="E1819" s="128">
        <v>14.484</v>
      </c>
      <c r="F1819" s="129">
        <f t="shared" si="86"/>
        <v>0.70047520799999996</v>
      </c>
      <c r="G1819" t="str">
        <f>_xlfn.XLOOKUP(D1819,'[1]2050 BAU Mapping to T &amp; C'!$A$3:$A$52,'[1]2050 BAU Mapping to T &amp; C'!$B$3:$B$52)</f>
        <v xml:space="preserve">Oil crops </v>
      </c>
      <c r="H1819" s="129">
        <f>_xlfn.XLOOKUP(G1819,'[1]T&amp;C emissions for 2050 analysis'!$B$3:$B$23,'[1]T&amp;C emissions for 2050 analysis'!$C$3:$C$23)</f>
        <v>0.18333333333333335</v>
      </c>
      <c r="I1819" s="27">
        <f t="shared" si="84"/>
        <v>0.1284204548</v>
      </c>
      <c r="J1819" s="129">
        <f t="shared" si="85"/>
        <v>2.6554000000000002</v>
      </c>
    </row>
    <row r="1820" spans="1:10" hidden="1" x14ac:dyDescent="0.35">
      <c r="A1820" s="126" t="s">
        <v>377</v>
      </c>
      <c r="B1820" t="str">
        <f>_xlfn.XLOOKUP(A1820,'[1]2050Pop'!$A$7:$A$143,'[1]2050Pop'!$D$7:$D$143)</f>
        <v>SSA</v>
      </c>
      <c r="C1820" s="127">
        <f>1000*_xlfn.XLOOKUP(A1820,'[1]2050Pop'!$A$7:$A$143,'[1]2050Pop'!$C$7:$C$143)</f>
        <v>8782</v>
      </c>
      <c r="D1820" s="126" t="s">
        <v>509</v>
      </c>
      <c r="E1820" s="128">
        <v>1.579</v>
      </c>
      <c r="F1820" s="129">
        <f t="shared" si="86"/>
        <v>1.3866778E-2</v>
      </c>
      <c r="G1820" t="str">
        <f>_xlfn.XLOOKUP(D1820,'[1]2050 BAU Mapping to T &amp; C'!$A$3:$A$52,'[1]2050 BAU Mapping to T &amp; C'!$B$3:$B$52)</f>
        <v xml:space="preserve">Oil crops </v>
      </c>
      <c r="H1820" s="129">
        <f>_xlfn.XLOOKUP(G1820,'[1]T&amp;C emissions for 2050 analysis'!$B$3:$B$23,'[1]T&amp;C emissions for 2050 analysis'!$C$3:$C$23)</f>
        <v>0.18333333333333335</v>
      </c>
      <c r="I1820" s="27">
        <f t="shared" si="84"/>
        <v>2.5422426333333334E-3</v>
      </c>
      <c r="J1820" s="129">
        <f t="shared" si="85"/>
        <v>0.28948333333333337</v>
      </c>
    </row>
    <row r="1821" spans="1:10" hidden="1" x14ac:dyDescent="0.35">
      <c r="A1821" s="126" t="s">
        <v>488</v>
      </c>
      <c r="B1821" t="str">
        <f>_xlfn.XLOOKUP(A1821,'[1]2050Pop'!$A$7:$A$143,'[1]2050Pop'!$D$7:$D$143)</f>
        <v>SSA</v>
      </c>
      <c r="C1821" s="127">
        <f>1000*_xlfn.XLOOKUP(A1821,'[1]2050Pop'!$A$7:$A$143,'[1]2050Pop'!$C$7:$C$143)</f>
        <v>35131</v>
      </c>
      <c r="D1821" s="126" t="s">
        <v>509</v>
      </c>
      <c r="E1821" s="128">
        <v>4.1680000000000001</v>
      </c>
      <c r="F1821" s="129">
        <f t="shared" si="86"/>
        <v>0.146426008</v>
      </c>
      <c r="G1821" t="str">
        <f>_xlfn.XLOOKUP(D1821,'[1]2050 BAU Mapping to T &amp; C'!$A$3:$A$52,'[1]2050 BAU Mapping to T &amp; C'!$B$3:$B$52)</f>
        <v xml:space="preserve">Oil crops </v>
      </c>
      <c r="H1821" s="129">
        <f>_xlfn.XLOOKUP(G1821,'[1]T&amp;C emissions for 2050 analysis'!$B$3:$B$23,'[1]T&amp;C emissions for 2050 analysis'!$C$3:$C$23)</f>
        <v>0.18333333333333335</v>
      </c>
      <c r="I1821" s="27">
        <f t="shared" si="84"/>
        <v>2.6844768133333335E-2</v>
      </c>
      <c r="J1821" s="129">
        <f t="shared" si="85"/>
        <v>0.76413333333333344</v>
      </c>
    </row>
    <row r="1822" spans="1:10" hidden="1" x14ac:dyDescent="0.35">
      <c r="A1822" s="126" t="s">
        <v>378</v>
      </c>
      <c r="B1822" t="str">
        <f>_xlfn.XLOOKUP(A1822,'[1]2050Pop'!$A$7:$A$143,'[1]2050Pop'!$D$7:$D$143)</f>
        <v>LatAm &amp; RSA</v>
      </c>
      <c r="C1822" s="127">
        <f>1000*_xlfn.XLOOKUP(A1822,'[1]2050Pop'!$A$7:$A$143,'[1]2050Pop'!$C$7:$C$143)</f>
        <v>21601</v>
      </c>
      <c r="D1822" s="126" t="s">
        <v>509</v>
      </c>
      <c r="E1822" s="128">
        <v>2.9929999999999999</v>
      </c>
      <c r="F1822" s="129">
        <f t="shared" si="86"/>
        <v>6.4651792999999999E-2</v>
      </c>
      <c r="G1822" t="str">
        <f>_xlfn.XLOOKUP(D1822,'[1]2050 BAU Mapping to T &amp; C'!$A$3:$A$52,'[1]2050 BAU Mapping to T &amp; C'!$B$3:$B$52)</f>
        <v xml:space="preserve">Oil crops </v>
      </c>
      <c r="H1822" s="129">
        <f>_xlfn.XLOOKUP(G1822,'[1]T&amp;C emissions for 2050 analysis'!$B$3:$B$23,'[1]T&amp;C emissions for 2050 analysis'!$C$3:$C$23)</f>
        <v>0.18333333333333335</v>
      </c>
      <c r="I1822" s="27">
        <f t="shared" si="84"/>
        <v>1.1852828716666668E-2</v>
      </c>
      <c r="J1822" s="129">
        <f t="shared" si="85"/>
        <v>0.54871666666666674</v>
      </c>
    </row>
    <row r="1823" spans="1:10" hidden="1" x14ac:dyDescent="0.35">
      <c r="A1823" s="126" t="s">
        <v>379</v>
      </c>
      <c r="B1823" t="str">
        <f>_xlfn.XLOOKUP(A1823,'[1]2050Pop'!$A$7:$A$143,'[1]2050Pop'!$D$7:$D$143)</f>
        <v>Greater China</v>
      </c>
      <c r="C1823" s="127">
        <f>1000*_xlfn.XLOOKUP(A1823,'[1]2050Pop'!$A$7:$A$143,'[1]2050Pop'!$C$7:$C$143)</f>
        <v>8148</v>
      </c>
      <c r="D1823" s="126" t="s">
        <v>509</v>
      </c>
      <c r="E1823" s="128">
        <v>29.266999999999999</v>
      </c>
      <c r="F1823" s="129">
        <f t="shared" si="86"/>
        <v>0.23846751599999999</v>
      </c>
      <c r="G1823" t="str">
        <f>_xlfn.XLOOKUP(D1823,'[1]2050 BAU Mapping to T &amp; C'!$A$3:$A$52,'[1]2050 BAU Mapping to T &amp; C'!$B$3:$B$52)</f>
        <v xml:space="preserve">Oil crops </v>
      </c>
      <c r="H1823" s="129">
        <f>_xlfn.XLOOKUP(G1823,'[1]T&amp;C emissions for 2050 analysis'!$B$3:$B$23,'[1]T&amp;C emissions for 2050 analysis'!$C$3:$C$23)</f>
        <v>0.18333333333333335</v>
      </c>
      <c r="I1823" s="27">
        <f t="shared" si="84"/>
        <v>4.37190446E-2</v>
      </c>
      <c r="J1823" s="129">
        <f t="shared" si="85"/>
        <v>5.3656166666666669</v>
      </c>
    </row>
    <row r="1824" spans="1:10" hidden="1" x14ac:dyDescent="0.35">
      <c r="A1824" s="126" t="s">
        <v>380</v>
      </c>
      <c r="B1824" t="str">
        <f>_xlfn.XLOOKUP(A1824,'[1]2050Pop'!$A$7:$A$143,'[1]2050Pop'!$D$7:$D$143)</f>
        <v>Greater China</v>
      </c>
      <c r="C1824" s="127">
        <f>1000*_xlfn.XLOOKUP(A1824,'[1]2050Pop'!$A$7:$A$143,'[1]2050Pop'!$C$7:$C$143)</f>
        <v>1348056</v>
      </c>
      <c r="D1824" s="126" t="s">
        <v>509</v>
      </c>
      <c r="E1824" s="128">
        <v>3.129</v>
      </c>
      <c r="F1824" s="129">
        <f t="shared" si="86"/>
        <v>4.2180672240000003</v>
      </c>
      <c r="G1824" t="str">
        <f>_xlfn.XLOOKUP(D1824,'[1]2050 BAU Mapping to T &amp; C'!$A$3:$A$52,'[1]2050 BAU Mapping to T &amp; C'!$B$3:$B$52)</f>
        <v xml:space="preserve">Oil crops </v>
      </c>
      <c r="H1824" s="129">
        <f>_xlfn.XLOOKUP(G1824,'[1]T&amp;C emissions for 2050 analysis'!$B$3:$B$23,'[1]T&amp;C emissions for 2050 analysis'!$C$3:$C$23)</f>
        <v>0.18333333333333335</v>
      </c>
      <c r="I1824" s="27">
        <f t="shared" si="84"/>
        <v>0.77331232440000008</v>
      </c>
      <c r="J1824" s="129">
        <f t="shared" si="85"/>
        <v>0.57364999999999999</v>
      </c>
    </row>
    <row r="1825" spans="1:10" hidden="1" x14ac:dyDescent="0.35">
      <c r="A1825" s="126" t="s">
        <v>381</v>
      </c>
      <c r="B1825" t="str">
        <f>_xlfn.XLOOKUP(A1825,'[1]2050Pop'!$A$7:$A$143,'[1]2050Pop'!$D$7:$D$143)</f>
        <v>Greater China</v>
      </c>
      <c r="C1825" s="127">
        <f>1000*_xlfn.XLOOKUP(A1825,'[1]2050Pop'!$A$7:$A$143,'[1]2050Pop'!$C$7:$C$143)</f>
        <v>20778</v>
      </c>
      <c r="D1825" s="126" t="s">
        <v>509</v>
      </c>
      <c r="E1825" s="128">
        <v>5.9329999999999998</v>
      </c>
      <c r="F1825" s="129">
        <f t="shared" si="86"/>
        <v>0.12327587399999999</v>
      </c>
      <c r="G1825" t="str">
        <f>_xlfn.XLOOKUP(D1825,'[1]2050 BAU Mapping to T &amp; C'!$A$3:$A$52,'[1]2050 BAU Mapping to T &amp; C'!$B$3:$B$52)</f>
        <v xml:space="preserve">Oil crops </v>
      </c>
      <c r="H1825" s="129">
        <f>_xlfn.XLOOKUP(G1825,'[1]T&amp;C emissions for 2050 analysis'!$B$3:$B$23,'[1]T&amp;C emissions for 2050 analysis'!$C$3:$C$23)</f>
        <v>0.18333333333333335</v>
      </c>
      <c r="I1825" s="27">
        <f t="shared" si="84"/>
        <v>2.2600576900000002E-2</v>
      </c>
      <c r="J1825" s="129">
        <f t="shared" si="85"/>
        <v>1.0877166666666667</v>
      </c>
    </row>
    <row r="1826" spans="1:10" hidden="1" x14ac:dyDescent="0.35">
      <c r="A1826" s="126" t="s">
        <v>384</v>
      </c>
      <c r="B1826" t="str">
        <f>_xlfn.XLOOKUP(A1826,'[1]2050Pop'!$A$7:$A$143,'[1]2050Pop'!$D$7:$D$143)</f>
        <v>SSA</v>
      </c>
      <c r="C1826" s="127">
        <f>1000*_xlfn.XLOOKUP(A1826,'[1]2050Pop'!$A$7:$A$143,'[1]2050Pop'!$C$7:$C$143)</f>
        <v>48797</v>
      </c>
      <c r="D1826" s="126" t="s">
        <v>509</v>
      </c>
      <c r="E1826" s="128">
        <v>16.459</v>
      </c>
      <c r="F1826" s="129">
        <f t="shared" si="86"/>
        <v>0.80314982299999993</v>
      </c>
      <c r="G1826" t="str">
        <f>_xlfn.XLOOKUP(D1826,'[1]2050 BAU Mapping to T &amp; C'!$A$3:$A$52,'[1]2050 BAU Mapping to T &amp; C'!$B$3:$B$52)</f>
        <v xml:space="preserve">Oil crops </v>
      </c>
      <c r="H1826" s="129">
        <f>_xlfn.XLOOKUP(G1826,'[1]T&amp;C emissions for 2050 analysis'!$B$3:$B$23,'[1]T&amp;C emissions for 2050 analysis'!$C$3:$C$23)</f>
        <v>0.18333333333333335</v>
      </c>
      <c r="I1826" s="27">
        <f t="shared" si="84"/>
        <v>0.14724413421666666</v>
      </c>
      <c r="J1826" s="129">
        <f t="shared" si="85"/>
        <v>3.0174833333333333</v>
      </c>
    </row>
    <row r="1827" spans="1:10" hidden="1" x14ac:dyDescent="0.35">
      <c r="A1827" s="126" t="s">
        <v>385</v>
      </c>
      <c r="B1827" t="str">
        <f>_xlfn.XLOOKUP(A1827,'[1]2050Pop'!$A$7:$A$143,'[1]2050Pop'!$D$7:$D$143)</f>
        <v>Euro/AU/NZ</v>
      </c>
      <c r="C1827" s="127">
        <f>1000*_xlfn.XLOOKUP(A1827,'[1]2050Pop'!$A$7:$A$143,'[1]2050Pop'!$C$7:$C$143)</f>
        <v>3554</v>
      </c>
      <c r="D1827" s="126" t="s">
        <v>509</v>
      </c>
      <c r="E1827" s="128">
        <v>10.707000000000001</v>
      </c>
      <c r="F1827" s="129">
        <f t="shared" si="86"/>
        <v>3.8052678E-2</v>
      </c>
      <c r="G1827" t="str">
        <f>_xlfn.XLOOKUP(D1827,'[1]2050 BAU Mapping to T &amp; C'!$A$3:$A$52,'[1]2050 BAU Mapping to T &amp; C'!$B$3:$B$52)</f>
        <v xml:space="preserve">Oil crops </v>
      </c>
      <c r="H1827" s="129">
        <f>_xlfn.XLOOKUP(G1827,'[1]T&amp;C emissions for 2050 analysis'!$B$3:$B$23,'[1]T&amp;C emissions for 2050 analysis'!$C$3:$C$23)</f>
        <v>0.18333333333333335</v>
      </c>
      <c r="I1827" s="27">
        <f t="shared" si="84"/>
        <v>6.9763243000000004E-3</v>
      </c>
      <c r="J1827" s="129">
        <f t="shared" si="85"/>
        <v>1.9629500000000002</v>
      </c>
    </row>
    <row r="1828" spans="1:10" hidden="1" x14ac:dyDescent="0.35">
      <c r="A1828" s="126" t="s">
        <v>386</v>
      </c>
      <c r="B1828" t="str">
        <f>_xlfn.XLOOKUP(A1828,'[1]2050Pop'!$A$7:$A$143,'[1]2050Pop'!$D$7:$D$143)</f>
        <v>LatAm &amp; RSA</v>
      </c>
      <c r="C1828" s="127">
        <f>1000*_xlfn.XLOOKUP(A1828,'[1]2050Pop'!$A$7:$A$143,'[1]2050Pop'!$C$7:$C$143)</f>
        <v>10339</v>
      </c>
      <c r="D1828" s="126" t="s">
        <v>509</v>
      </c>
      <c r="E1828" s="128">
        <v>3.556</v>
      </c>
      <c r="F1828" s="129">
        <f t="shared" si="86"/>
        <v>3.6765484000000001E-2</v>
      </c>
      <c r="G1828" t="str">
        <f>_xlfn.XLOOKUP(D1828,'[1]2050 BAU Mapping to T &amp; C'!$A$3:$A$52,'[1]2050 BAU Mapping to T &amp; C'!$B$3:$B$52)</f>
        <v xml:space="preserve">Oil crops </v>
      </c>
      <c r="H1828" s="129">
        <f>_xlfn.XLOOKUP(G1828,'[1]T&amp;C emissions for 2050 analysis'!$B$3:$B$23,'[1]T&amp;C emissions for 2050 analysis'!$C$3:$C$23)</f>
        <v>0.18333333333333335</v>
      </c>
      <c r="I1828" s="27">
        <f t="shared" si="84"/>
        <v>6.7403387333333344E-3</v>
      </c>
      <c r="J1828" s="129">
        <f t="shared" si="85"/>
        <v>0.65193333333333336</v>
      </c>
    </row>
    <row r="1829" spans="1:10" hidden="1" x14ac:dyDescent="0.35">
      <c r="A1829" s="126" t="s">
        <v>387</v>
      </c>
      <c r="B1829" t="str">
        <f>_xlfn.XLOOKUP(A1829,'[1]2050Pop'!$A$7:$A$143,'[1]2050Pop'!$D$7:$D$143)</f>
        <v>Euro/AU/NZ</v>
      </c>
      <c r="C1829" s="127">
        <f>1000*_xlfn.XLOOKUP(A1829,'[1]2050Pop'!$A$7:$A$143,'[1]2050Pop'!$C$7:$C$143)</f>
        <v>9965</v>
      </c>
      <c r="D1829" s="126" t="s">
        <v>509</v>
      </c>
      <c r="E1829" s="130">
        <v>4.08</v>
      </c>
      <c r="F1829" s="129">
        <f t="shared" si="86"/>
        <v>4.0657199999999998E-2</v>
      </c>
      <c r="G1829" t="str">
        <f>_xlfn.XLOOKUP(D1829,'[1]2050 BAU Mapping to T &amp; C'!$A$3:$A$52,'[1]2050 BAU Mapping to T &amp; C'!$B$3:$B$52)</f>
        <v xml:space="preserve">Oil crops </v>
      </c>
      <c r="H1829" s="129">
        <f>_xlfn.XLOOKUP(G1829,'[1]T&amp;C emissions for 2050 analysis'!$B$3:$B$23,'[1]T&amp;C emissions for 2050 analysis'!$C$3:$C$23)</f>
        <v>0.18333333333333335</v>
      </c>
      <c r="I1829" s="27">
        <f t="shared" si="84"/>
        <v>7.4538199999999999E-3</v>
      </c>
      <c r="J1829" s="129">
        <f t="shared" si="85"/>
        <v>0.74800000000000011</v>
      </c>
    </row>
    <row r="1830" spans="1:10" hidden="1" x14ac:dyDescent="0.35">
      <c r="A1830" s="126" t="s">
        <v>388</v>
      </c>
      <c r="B1830" t="str">
        <f>_xlfn.XLOOKUP(A1830,'[1]2050Pop'!$A$7:$A$143,'[1]2050Pop'!$D$7:$D$143)</f>
        <v>Euro/AU/NZ</v>
      </c>
      <c r="C1830" s="127">
        <f>1000*_xlfn.XLOOKUP(A1830,'[1]2050Pop'!$A$7:$A$143,'[1]2050Pop'!$C$7:$C$143)</f>
        <v>6299</v>
      </c>
      <c r="D1830" s="126" t="s">
        <v>509</v>
      </c>
      <c r="E1830" s="130">
        <v>20.45</v>
      </c>
      <c r="F1830" s="129">
        <f t="shared" si="86"/>
        <v>0.12881455</v>
      </c>
      <c r="G1830" t="str">
        <f>_xlfn.XLOOKUP(D1830,'[1]2050 BAU Mapping to T &amp; C'!$A$3:$A$52,'[1]2050 BAU Mapping to T &amp; C'!$B$3:$B$52)</f>
        <v xml:space="preserve">Oil crops </v>
      </c>
      <c r="H1830" s="129">
        <f>_xlfn.XLOOKUP(G1830,'[1]T&amp;C emissions for 2050 analysis'!$B$3:$B$23,'[1]T&amp;C emissions for 2050 analysis'!$C$3:$C$23)</f>
        <v>0.18333333333333335</v>
      </c>
      <c r="I1830" s="27">
        <f t="shared" si="84"/>
        <v>2.3616000833333334E-2</v>
      </c>
      <c r="J1830" s="129">
        <f t="shared" si="85"/>
        <v>3.749166666666667</v>
      </c>
    </row>
    <row r="1831" spans="1:10" hidden="1" x14ac:dyDescent="0.35">
      <c r="A1831" s="126" t="s">
        <v>389</v>
      </c>
      <c r="B1831" t="str">
        <f>_xlfn.XLOOKUP(A1831,'[1]2050Pop'!$A$7:$A$143,'[1]2050Pop'!$D$7:$D$143)</f>
        <v>LatAm &amp; RSA</v>
      </c>
      <c r="C1831" s="127">
        <f>1000*_xlfn.XLOOKUP(A1831,'[1]2050Pop'!$A$7:$A$143,'[1]2050Pop'!$C$7:$C$143)</f>
        <v>13238</v>
      </c>
      <c r="D1831" s="126" t="s">
        <v>509</v>
      </c>
      <c r="E1831" s="128">
        <v>5.3890000000000002</v>
      </c>
      <c r="F1831" s="129">
        <f t="shared" si="86"/>
        <v>7.1339582000000012E-2</v>
      </c>
      <c r="G1831" t="str">
        <f>_xlfn.XLOOKUP(D1831,'[1]2050 BAU Mapping to T &amp; C'!$A$3:$A$52,'[1]2050 BAU Mapping to T &amp; C'!$B$3:$B$52)</f>
        <v xml:space="preserve">Oil crops </v>
      </c>
      <c r="H1831" s="129">
        <f>_xlfn.XLOOKUP(G1831,'[1]T&amp;C emissions for 2050 analysis'!$B$3:$B$23,'[1]T&amp;C emissions for 2050 analysis'!$C$3:$C$23)</f>
        <v>0.18333333333333335</v>
      </c>
      <c r="I1831" s="27">
        <f t="shared" si="84"/>
        <v>1.307892336666667E-2</v>
      </c>
      <c r="J1831" s="129">
        <f t="shared" si="85"/>
        <v>0.98798333333333344</v>
      </c>
    </row>
    <row r="1832" spans="1:10" hidden="1" x14ac:dyDescent="0.35">
      <c r="A1832" s="126" t="s">
        <v>391</v>
      </c>
      <c r="B1832" t="str">
        <f>_xlfn.XLOOKUP(A1832,'[1]2050Pop'!$A$7:$A$143,'[1]2050Pop'!$D$7:$D$143)</f>
        <v>MENA</v>
      </c>
      <c r="C1832" s="127">
        <f>1000*_xlfn.XLOOKUP(A1832,'[1]2050Pop'!$A$7:$A$143,'[1]2050Pop'!$C$7:$C$143)</f>
        <v>151111</v>
      </c>
      <c r="D1832" s="126" t="s">
        <v>509</v>
      </c>
      <c r="E1832" s="128">
        <v>8.2460000000000004</v>
      </c>
      <c r="F1832" s="129">
        <f t="shared" si="86"/>
        <v>1.2460613060000001</v>
      </c>
      <c r="G1832" t="str">
        <f>_xlfn.XLOOKUP(D1832,'[1]2050 BAU Mapping to T &amp; C'!$A$3:$A$52,'[1]2050 BAU Mapping to T &amp; C'!$B$3:$B$52)</f>
        <v xml:space="preserve">Oil crops </v>
      </c>
      <c r="H1832" s="129">
        <f>_xlfn.XLOOKUP(G1832,'[1]T&amp;C emissions for 2050 analysis'!$B$3:$B$23,'[1]T&amp;C emissions for 2050 analysis'!$C$3:$C$23)</f>
        <v>0.18333333333333335</v>
      </c>
      <c r="I1832" s="27">
        <f t="shared" si="84"/>
        <v>0.22844457276666671</v>
      </c>
      <c r="J1832" s="129">
        <f t="shared" si="85"/>
        <v>1.5117666666666669</v>
      </c>
    </row>
    <row r="1833" spans="1:10" hidden="1" x14ac:dyDescent="0.35">
      <c r="A1833" s="126" t="s">
        <v>392</v>
      </c>
      <c r="B1833" t="str">
        <f>_xlfn.XLOOKUP(A1833,'[1]2050Pop'!$A$7:$A$143,'[1]2050Pop'!$D$7:$D$143)</f>
        <v>LatAm &amp; RSA</v>
      </c>
      <c r="C1833" s="127">
        <f>1000*_xlfn.XLOOKUP(A1833,'[1]2050Pop'!$A$7:$A$143,'[1]2050Pop'!$C$7:$C$143)</f>
        <v>6390</v>
      </c>
      <c r="D1833" s="126" t="s">
        <v>509</v>
      </c>
      <c r="E1833" s="128">
        <v>31.846</v>
      </c>
      <c r="F1833" s="129">
        <f t="shared" si="86"/>
        <v>0.20349594000000001</v>
      </c>
      <c r="G1833" t="str">
        <f>_xlfn.XLOOKUP(D1833,'[1]2050 BAU Mapping to T &amp; C'!$A$3:$A$52,'[1]2050 BAU Mapping to T &amp; C'!$B$3:$B$52)</f>
        <v xml:space="preserve">Oil crops </v>
      </c>
      <c r="H1833" s="129">
        <f>_xlfn.XLOOKUP(G1833,'[1]T&amp;C emissions for 2050 analysis'!$B$3:$B$23,'[1]T&amp;C emissions for 2050 analysis'!$C$3:$C$23)</f>
        <v>0.18333333333333335</v>
      </c>
      <c r="I1833" s="27">
        <f t="shared" si="84"/>
        <v>3.7307589000000009E-2</v>
      </c>
      <c r="J1833" s="129">
        <f t="shared" si="85"/>
        <v>5.8384333333333336</v>
      </c>
    </row>
    <row r="1834" spans="1:10" hidden="1" x14ac:dyDescent="0.35">
      <c r="A1834" s="126" t="s">
        <v>393</v>
      </c>
      <c r="B1834" t="str">
        <f>_xlfn.XLOOKUP(A1834,'[1]2050Pop'!$A$7:$A$143,'[1]2050Pop'!$D$7:$D$143)</f>
        <v>Euro/AU/NZ</v>
      </c>
      <c r="C1834" s="127">
        <f>1000*_xlfn.XLOOKUP(A1834,'[1]2050Pop'!$A$7:$A$143,'[1]2050Pop'!$C$7:$C$143)</f>
        <v>1129</v>
      </c>
      <c r="D1834" s="126" t="s">
        <v>509</v>
      </c>
      <c r="E1834" s="128">
        <v>91.915999999999997</v>
      </c>
      <c r="F1834" s="129">
        <f t="shared" si="86"/>
        <v>0.10377316399999999</v>
      </c>
      <c r="G1834" t="str">
        <f>_xlfn.XLOOKUP(D1834,'[1]2050 BAU Mapping to T &amp; C'!$A$3:$A$52,'[1]2050 BAU Mapping to T &amp; C'!$B$3:$B$52)</f>
        <v xml:space="preserve">Oil crops </v>
      </c>
      <c r="H1834" s="129">
        <f>_xlfn.XLOOKUP(G1834,'[1]T&amp;C emissions for 2050 analysis'!$B$3:$B$23,'[1]T&amp;C emissions for 2050 analysis'!$C$3:$C$23)</f>
        <v>0.18333333333333335</v>
      </c>
      <c r="I1834" s="27">
        <f t="shared" si="84"/>
        <v>1.9025080066666665E-2</v>
      </c>
      <c r="J1834" s="129">
        <f t="shared" si="85"/>
        <v>16.851266666666668</v>
      </c>
    </row>
    <row r="1835" spans="1:10" hidden="1" x14ac:dyDescent="0.35">
      <c r="A1835" s="126" t="s">
        <v>394</v>
      </c>
      <c r="B1835" t="str">
        <f>_xlfn.XLOOKUP(A1835,'[1]2050Pop'!$A$7:$A$143,'[1]2050Pop'!$D$7:$D$143)</f>
        <v>SSA</v>
      </c>
      <c r="C1835" s="127">
        <f>1000*_xlfn.XLOOKUP(A1835,'[1]2050Pop'!$A$7:$A$143,'[1]2050Pop'!$C$7:$C$143)</f>
        <v>188455</v>
      </c>
      <c r="D1835" s="126" t="s">
        <v>509</v>
      </c>
      <c r="E1835" s="130">
        <v>29.88</v>
      </c>
      <c r="F1835" s="129">
        <f t="shared" si="86"/>
        <v>5.6310353999999991</v>
      </c>
      <c r="G1835" t="str">
        <f>_xlfn.XLOOKUP(D1835,'[1]2050 BAU Mapping to T &amp; C'!$A$3:$A$52,'[1]2050 BAU Mapping to T &amp; C'!$B$3:$B$52)</f>
        <v xml:space="preserve">Oil crops </v>
      </c>
      <c r="H1835" s="129">
        <f>_xlfn.XLOOKUP(G1835,'[1]T&amp;C emissions for 2050 analysis'!$B$3:$B$23,'[1]T&amp;C emissions for 2050 analysis'!$C$3:$C$23)</f>
        <v>0.18333333333333335</v>
      </c>
      <c r="I1835" s="27">
        <f t="shared" si="84"/>
        <v>1.03235649</v>
      </c>
      <c r="J1835" s="129">
        <f t="shared" si="85"/>
        <v>5.4780000000000006</v>
      </c>
    </row>
    <row r="1836" spans="1:10" hidden="1" x14ac:dyDescent="0.35">
      <c r="A1836" s="126" t="s">
        <v>395</v>
      </c>
      <c r="B1836" t="str">
        <f>_xlfn.XLOOKUP(A1836,'[1]2050Pop'!$A$7:$A$143,'[1]2050Pop'!$D$7:$D$143)</f>
        <v>Euro/AU/NZ</v>
      </c>
      <c r="C1836" s="127">
        <f>1000*_xlfn.XLOOKUP(A1836,'[1]2050Pop'!$A$7:$A$143,'[1]2050Pop'!$C$7:$C$143)</f>
        <v>5752</v>
      </c>
      <c r="D1836" s="126" t="s">
        <v>509</v>
      </c>
      <c r="E1836" s="128">
        <v>15.975</v>
      </c>
      <c r="F1836" s="129">
        <f t="shared" si="86"/>
        <v>9.1888200000000003E-2</v>
      </c>
      <c r="G1836" t="str">
        <f>_xlfn.XLOOKUP(D1836,'[1]2050 BAU Mapping to T &amp; C'!$A$3:$A$52,'[1]2050 BAU Mapping to T &amp; C'!$B$3:$B$52)</f>
        <v xml:space="preserve">Oil crops </v>
      </c>
      <c r="H1836" s="129">
        <f>_xlfn.XLOOKUP(G1836,'[1]T&amp;C emissions for 2050 analysis'!$B$3:$B$23,'[1]T&amp;C emissions for 2050 analysis'!$C$3:$C$23)</f>
        <v>0.18333333333333335</v>
      </c>
      <c r="I1836" s="27">
        <f t="shared" si="84"/>
        <v>1.6846170000000001E-2</v>
      </c>
      <c r="J1836" s="129">
        <f t="shared" si="85"/>
        <v>2.92875</v>
      </c>
    </row>
    <row r="1837" spans="1:10" hidden="1" x14ac:dyDescent="0.35">
      <c r="A1837" s="126" t="s">
        <v>396</v>
      </c>
      <c r="B1837" t="str">
        <f>_xlfn.XLOOKUP(A1837,'[1]2050Pop'!$A$7:$A$143,'[1]2050Pop'!$D$7:$D$143)</f>
        <v>Euro/AU/NZ</v>
      </c>
      <c r="C1837" s="127">
        <f>1000*_xlfn.XLOOKUP(A1837,'[1]2050Pop'!$A$7:$A$143,'[1]2050Pop'!$C$7:$C$143)</f>
        <v>71137</v>
      </c>
      <c r="D1837" s="126" t="s">
        <v>509</v>
      </c>
      <c r="E1837" s="128">
        <v>50.680999999999997</v>
      </c>
      <c r="F1837" s="129">
        <f t="shared" si="86"/>
        <v>3.6052942969999999</v>
      </c>
      <c r="G1837" t="str">
        <f>_xlfn.XLOOKUP(D1837,'[1]2050 BAU Mapping to T &amp; C'!$A$3:$A$52,'[1]2050 BAU Mapping to T &amp; C'!$B$3:$B$52)</f>
        <v xml:space="preserve">Oil crops </v>
      </c>
      <c r="H1837" s="129">
        <f>_xlfn.XLOOKUP(G1837,'[1]T&amp;C emissions for 2050 analysis'!$B$3:$B$23,'[1]T&amp;C emissions for 2050 analysis'!$C$3:$C$23)</f>
        <v>0.18333333333333335</v>
      </c>
      <c r="I1837" s="27">
        <f t="shared" si="84"/>
        <v>0.66097062111666671</v>
      </c>
      <c r="J1837" s="129">
        <f t="shared" si="85"/>
        <v>9.2915166666666664</v>
      </c>
    </row>
    <row r="1838" spans="1:10" hidden="1" x14ac:dyDescent="0.35">
      <c r="A1838" s="126" t="s">
        <v>397</v>
      </c>
      <c r="B1838" t="str">
        <f>_xlfn.XLOOKUP(A1838,'[1]2050Pop'!$A$7:$A$143,'[1]2050Pop'!$D$7:$D$143)</f>
        <v>SSA</v>
      </c>
      <c r="C1838" s="127">
        <f>1000*_xlfn.XLOOKUP(A1838,'[1]2050Pop'!$A$7:$A$143,'[1]2050Pop'!$C$7:$C$143)</f>
        <v>3164</v>
      </c>
      <c r="D1838" s="126" t="s">
        <v>509</v>
      </c>
      <c r="E1838" s="128">
        <v>74.394999999999996</v>
      </c>
      <c r="F1838" s="129">
        <f t="shared" si="86"/>
        <v>0.23538577999999999</v>
      </c>
      <c r="G1838" t="str">
        <f>_xlfn.XLOOKUP(D1838,'[1]2050 BAU Mapping to T &amp; C'!$A$3:$A$52,'[1]2050 BAU Mapping to T &amp; C'!$B$3:$B$52)</f>
        <v xml:space="preserve">Oil crops </v>
      </c>
      <c r="H1838" s="129">
        <f>_xlfn.XLOOKUP(G1838,'[1]T&amp;C emissions for 2050 analysis'!$B$3:$B$23,'[1]T&amp;C emissions for 2050 analysis'!$C$3:$C$23)</f>
        <v>0.18333333333333335</v>
      </c>
      <c r="I1838" s="27">
        <f t="shared" si="84"/>
        <v>4.3154059666666668E-2</v>
      </c>
      <c r="J1838" s="129">
        <f t="shared" si="85"/>
        <v>13.639083333333334</v>
      </c>
    </row>
    <row r="1839" spans="1:10" hidden="1" x14ac:dyDescent="0.35">
      <c r="A1839" s="126" t="s">
        <v>489</v>
      </c>
      <c r="B1839" t="str">
        <f>_xlfn.XLOOKUP(A1839,'[1]2050Pop'!$A$7:$A$143,'[1]2050Pop'!$D$7:$D$143)</f>
        <v>SSA</v>
      </c>
      <c r="C1839" s="127">
        <f>1000*_xlfn.XLOOKUP(A1839,'[1]2050Pop'!$A$7:$A$143,'[1]2050Pop'!$C$7:$C$143)</f>
        <v>4981</v>
      </c>
      <c r="D1839" s="126" t="s">
        <v>509</v>
      </c>
      <c r="E1839" s="128">
        <v>109.389</v>
      </c>
      <c r="F1839" s="129">
        <f t="shared" si="86"/>
        <v>0.54486660899999995</v>
      </c>
      <c r="G1839" t="str">
        <f>_xlfn.XLOOKUP(D1839,'[1]2050 BAU Mapping to T &amp; C'!$A$3:$A$52,'[1]2050 BAU Mapping to T &amp; C'!$B$3:$B$52)</f>
        <v xml:space="preserve">Oil crops </v>
      </c>
      <c r="H1839" s="129">
        <f>_xlfn.XLOOKUP(G1839,'[1]T&amp;C emissions for 2050 analysis'!$B$3:$B$23,'[1]T&amp;C emissions for 2050 analysis'!$C$3:$C$23)</f>
        <v>0.18333333333333335</v>
      </c>
      <c r="I1839" s="27">
        <f t="shared" si="84"/>
        <v>9.9892211649999993E-2</v>
      </c>
      <c r="J1839" s="129">
        <f t="shared" si="85"/>
        <v>20.054650000000002</v>
      </c>
    </row>
    <row r="1840" spans="1:10" hidden="1" x14ac:dyDescent="0.35">
      <c r="A1840" s="126" t="s">
        <v>398</v>
      </c>
      <c r="B1840" t="str">
        <f>_xlfn.XLOOKUP(A1840,'[1]2050Pop'!$A$7:$A$143,'[1]2050Pop'!$D$7:$D$143)</f>
        <v>MENA</v>
      </c>
      <c r="C1840" s="127">
        <f>1000*_xlfn.XLOOKUP(A1840,'[1]2050Pop'!$A$7:$A$143,'[1]2050Pop'!$C$7:$C$143)</f>
        <v>3483</v>
      </c>
      <c r="D1840" s="126" t="s">
        <v>509</v>
      </c>
      <c r="E1840" s="128">
        <v>54.582999999999998</v>
      </c>
      <c r="F1840" s="129">
        <f t="shared" si="86"/>
        <v>0.190112589</v>
      </c>
      <c r="G1840" t="str">
        <f>_xlfn.XLOOKUP(D1840,'[1]2050 BAU Mapping to T &amp; C'!$A$3:$A$52,'[1]2050 BAU Mapping to T &amp; C'!$B$3:$B$52)</f>
        <v xml:space="preserve">Oil crops </v>
      </c>
      <c r="H1840" s="129">
        <f>_xlfn.XLOOKUP(G1840,'[1]T&amp;C emissions for 2050 analysis'!$B$3:$B$23,'[1]T&amp;C emissions for 2050 analysis'!$C$3:$C$23)</f>
        <v>0.18333333333333335</v>
      </c>
      <c r="I1840" s="27">
        <f t="shared" si="84"/>
        <v>3.4853974650000001E-2</v>
      </c>
      <c r="J1840" s="129">
        <f t="shared" si="85"/>
        <v>10.006883333333334</v>
      </c>
    </row>
    <row r="1841" spans="1:10" hidden="1" x14ac:dyDescent="0.35">
      <c r="A1841" s="126" t="s">
        <v>399</v>
      </c>
      <c r="B1841" t="str">
        <f>_xlfn.XLOOKUP(A1841,'[1]2050Pop'!$A$7:$A$143,'[1]2050Pop'!$D$7:$D$143)</f>
        <v>Euro/AU/NZ</v>
      </c>
      <c r="C1841" s="127">
        <f>1000*_xlfn.XLOOKUP(A1841,'[1]2050Pop'!$A$7:$A$143,'[1]2050Pop'!$C$7:$C$143)</f>
        <v>74513</v>
      </c>
      <c r="D1841" s="126" t="s">
        <v>509</v>
      </c>
      <c r="E1841" s="128">
        <v>15.404999999999999</v>
      </c>
      <c r="F1841" s="129">
        <f t="shared" si="86"/>
        <v>1.1478727649999998</v>
      </c>
      <c r="G1841" t="str">
        <f>_xlfn.XLOOKUP(D1841,'[1]2050 BAU Mapping to T &amp; C'!$A$3:$A$52,'[1]2050 BAU Mapping to T &amp; C'!$B$3:$B$52)</f>
        <v xml:space="preserve">Oil crops </v>
      </c>
      <c r="H1841" s="129">
        <f>_xlfn.XLOOKUP(G1841,'[1]T&amp;C emissions for 2050 analysis'!$B$3:$B$23,'[1]T&amp;C emissions for 2050 analysis'!$C$3:$C$23)</f>
        <v>0.18333333333333335</v>
      </c>
      <c r="I1841" s="27">
        <f t="shared" si="84"/>
        <v>0.21044334024999997</v>
      </c>
      <c r="J1841" s="129">
        <f t="shared" si="85"/>
        <v>2.8242500000000001</v>
      </c>
    </row>
    <row r="1842" spans="1:10" hidden="1" x14ac:dyDescent="0.35">
      <c r="A1842" s="126" t="s">
        <v>400</v>
      </c>
      <c r="B1842" t="str">
        <f>_xlfn.XLOOKUP(A1842,'[1]2050Pop'!$A$7:$A$143,'[1]2050Pop'!$D$7:$D$143)</f>
        <v>SSA</v>
      </c>
      <c r="C1842" s="127">
        <f>1000*_xlfn.XLOOKUP(A1842,'[1]2050Pop'!$A$7:$A$143,'[1]2050Pop'!$C$7:$C$143)</f>
        <v>50071</v>
      </c>
      <c r="D1842" s="126" t="s">
        <v>509</v>
      </c>
      <c r="E1842" s="128">
        <v>39.362000000000002</v>
      </c>
      <c r="F1842" s="129">
        <f t="shared" si="86"/>
        <v>1.9708947020000001</v>
      </c>
      <c r="G1842" t="str">
        <f>_xlfn.XLOOKUP(D1842,'[1]2050 BAU Mapping to T &amp; C'!$A$3:$A$52,'[1]2050 BAU Mapping to T &amp; C'!$B$3:$B$52)</f>
        <v xml:space="preserve">Oil crops </v>
      </c>
      <c r="H1842" s="129">
        <f>_xlfn.XLOOKUP(G1842,'[1]T&amp;C emissions for 2050 analysis'!$B$3:$B$23,'[1]T&amp;C emissions for 2050 analysis'!$C$3:$C$23)</f>
        <v>0.18333333333333335</v>
      </c>
      <c r="I1842" s="27">
        <f t="shared" si="84"/>
        <v>0.36133069536666673</v>
      </c>
      <c r="J1842" s="129">
        <f t="shared" si="85"/>
        <v>7.2163666666666675</v>
      </c>
    </row>
    <row r="1843" spans="1:10" hidden="1" x14ac:dyDescent="0.35">
      <c r="A1843" s="126" t="s">
        <v>402</v>
      </c>
      <c r="B1843" t="str">
        <f>_xlfn.XLOOKUP(A1843,'[1]2050Pop'!$A$7:$A$143,'[1]2050Pop'!$D$7:$D$143)</f>
        <v>LatAm &amp; RSA</v>
      </c>
      <c r="C1843" s="127">
        <f>1000*_xlfn.XLOOKUP(A1843,'[1]2050Pop'!$A$7:$A$143,'[1]2050Pop'!$C$7:$C$143)</f>
        <v>27754</v>
      </c>
      <c r="D1843" s="126" t="s">
        <v>509</v>
      </c>
      <c r="E1843" s="128">
        <v>6.5679999999999996</v>
      </c>
      <c r="F1843" s="129">
        <f t="shared" si="86"/>
        <v>0.182288272</v>
      </c>
      <c r="G1843" t="str">
        <f>_xlfn.XLOOKUP(D1843,'[1]2050 BAU Mapping to T &amp; C'!$A$3:$A$52,'[1]2050 BAU Mapping to T &amp; C'!$B$3:$B$52)</f>
        <v xml:space="preserve">Oil crops </v>
      </c>
      <c r="H1843" s="129">
        <f>_xlfn.XLOOKUP(G1843,'[1]T&amp;C emissions for 2050 analysis'!$B$3:$B$23,'[1]T&amp;C emissions for 2050 analysis'!$C$3:$C$23)</f>
        <v>0.18333333333333335</v>
      </c>
      <c r="I1843" s="27">
        <f t="shared" si="84"/>
        <v>3.3419516533333339E-2</v>
      </c>
      <c r="J1843" s="129">
        <f t="shared" si="85"/>
        <v>1.2041333333333333</v>
      </c>
    </row>
    <row r="1844" spans="1:10" hidden="1" x14ac:dyDescent="0.35">
      <c r="A1844" s="126" t="s">
        <v>403</v>
      </c>
      <c r="B1844" t="str">
        <f>_xlfn.XLOOKUP(A1844,'[1]2050Pop'!$A$7:$A$143,'[1]2050Pop'!$D$7:$D$143)</f>
        <v>SSA</v>
      </c>
      <c r="C1844" s="127">
        <f>1000*_xlfn.XLOOKUP(A1844,'[1]2050Pop'!$A$7:$A$143,'[1]2050Pop'!$C$7:$C$143)</f>
        <v>27486</v>
      </c>
      <c r="D1844" s="126" t="s">
        <v>509</v>
      </c>
      <c r="E1844" s="128">
        <v>17.920999999999999</v>
      </c>
      <c r="F1844" s="129">
        <f t="shared" si="86"/>
        <v>0.49257660599999997</v>
      </c>
      <c r="G1844" t="str">
        <f>_xlfn.XLOOKUP(D1844,'[1]2050 BAU Mapping to T &amp; C'!$A$3:$A$52,'[1]2050 BAU Mapping to T &amp; C'!$B$3:$B$52)</f>
        <v xml:space="preserve">Oil crops </v>
      </c>
      <c r="H1844" s="129">
        <f>_xlfn.XLOOKUP(G1844,'[1]T&amp;C emissions for 2050 analysis'!$B$3:$B$23,'[1]T&amp;C emissions for 2050 analysis'!$C$3:$C$23)</f>
        <v>0.18333333333333335</v>
      </c>
      <c r="I1844" s="27">
        <f t="shared" si="84"/>
        <v>9.0305711100000005E-2</v>
      </c>
      <c r="J1844" s="129">
        <f t="shared" si="85"/>
        <v>3.2855166666666666</v>
      </c>
    </row>
    <row r="1845" spans="1:10" hidden="1" x14ac:dyDescent="0.35">
      <c r="A1845" s="126" t="s">
        <v>405</v>
      </c>
      <c r="B1845" t="str">
        <f>_xlfn.XLOOKUP(A1845,'[1]2050Pop'!$A$7:$A$143,'[1]2050Pop'!$D$7:$D$143)</f>
        <v>LatAm &amp; RSA</v>
      </c>
      <c r="C1845" s="127">
        <f>1000*_xlfn.XLOOKUP(A1845,'[1]2050Pop'!$A$7:$A$143,'[1]2050Pop'!$C$7:$C$143)</f>
        <v>14189</v>
      </c>
      <c r="D1845" s="126" t="s">
        <v>509</v>
      </c>
      <c r="E1845" s="128">
        <v>102.47799999999999</v>
      </c>
      <c r="F1845" s="129">
        <f t="shared" si="86"/>
        <v>1.454060342</v>
      </c>
      <c r="G1845" t="str">
        <f>_xlfn.XLOOKUP(D1845,'[1]2050 BAU Mapping to T &amp; C'!$A$3:$A$52,'[1]2050 BAU Mapping to T &amp; C'!$B$3:$B$52)</f>
        <v xml:space="preserve">Oil crops </v>
      </c>
      <c r="H1845" s="129">
        <f>_xlfn.XLOOKUP(G1845,'[1]T&amp;C emissions for 2050 analysis'!$B$3:$B$23,'[1]T&amp;C emissions for 2050 analysis'!$C$3:$C$23)</f>
        <v>0.18333333333333335</v>
      </c>
      <c r="I1845" s="27">
        <f t="shared" si="84"/>
        <v>0.26657772936666668</v>
      </c>
      <c r="J1845" s="129">
        <f t="shared" si="85"/>
        <v>18.787633333333332</v>
      </c>
    </row>
    <row r="1846" spans="1:10" hidden="1" x14ac:dyDescent="0.35">
      <c r="A1846" s="126" t="s">
        <v>407</v>
      </c>
      <c r="B1846" t="str">
        <f>_xlfn.XLOOKUP(A1846,'[1]2050Pop'!$A$7:$A$143,'[1]2050Pop'!$D$7:$D$143)</f>
        <v>Euro/AU/NZ</v>
      </c>
      <c r="C1846" s="127">
        <f>1000*_xlfn.XLOOKUP(A1846,'[1]2050Pop'!$A$7:$A$143,'[1]2050Pop'!$C$7:$C$143)</f>
        <v>8318</v>
      </c>
      <c r="D1846" s="126" t="s">
        <v>509</v>
      </c>
      <c r="E1846" s="130">
        <v>2.68</v>
      </c>
      <c r="F1846" s="129">
        <f t="shared" si="86"/>
        <v>2.2292240000000001E-2</v>
      </c>
      <c r="G1846" t="str">
        <f>_xlfn.XLOOKUP(D1846,'[1]2050 BAU Mapping to T &amp; C'!$A$3:$A$52,'[1]2050 BAU Mapping to T &amp; C'!$B$3:$B$52)</f>
        <v xml:space="preserve">Oil crops </v>
      </c>
      <c r="H1846" s="129">
        <f>_xlfn.XLOOKUP(G1846,'[1]T&amp;C emissions for 2050 analysis'!$B$3:$B$23,'[1]T&amp;C emissions for 2050 analysis'!$C$3:$C$23)</f>
        <v>0.18333333333333335</v>
      </c>
      <c r="I1846" s="27">
        <f t="shared" si="84"/>
        <v>4.0869106666666672E-3</v>
      </c>
      <c r="J1846" s="129">
        <f t="shared" si="85"/>
        <v>0.4913333333333334</v>
      </c>
    </row>
    <row r="1847" spans="1:10" hidden="1" x14ac:dyDescent="0.35">
      <c r="A1847" s="126" t="s">
        <v>408</v>
      </c>
      <c r="B1847" t="str">
        <f>_xlfn.XLOOKUP(A1847,'[1]2050Pop'!$A$7:$A$143,'[1]2050Pop'!$D$7:$D$143)</f>
        <v>India/South Asia</v>
      </c>
      <c r="C1847" s="127">
        <f>1000*_xlfn.XLOOKUP(A1847,'[1]2050Pop'!$A$7:$A$143,'[1]2050Pop'!$C$7:$C$143)</f>
        <v>1705333</v>
      </c>
      <c r="D1847" s="126" t="s">
        <v>509</v>
      </c>
      <c r="E1847" s="128">
        <v>3.2850000000000001</v>
      </c>
      <c r="F1847" s="129">
        <f t="shared" si="86"/>
        <v>5.6020189050000004</v>
      </c>
      <c r="G1847" t="str">
        <f>_xlfn.XLOOKUP(D1847,'[1]2050 BAU Mapping to T &amp; C'!$A$3:$A$52,'[1]2050 BAU Mapping to T &amp; C'!$B$3:$B$52)</f>
        <v xml:space="preserve">Oil crops </v>
      </c>
      <c r="H1847" s="129">
        <f>_xlfn.XLOOKUP(G1847,'[1]T&amp;C emissions for 2050 analysis'!$B$3:$B$23,'[1]T&amp;C emissions for 2050 analysis'!$C$3:$C$23)</f>
        <v>0.18333333333333335</v>
      </c>
      <c r="I1847" s="27">
        <f t="shared" si="84"/>
        <v>1.0270367992500002</v>
      </c>
      <c r="J1847" s="129">
        <f t="shared" si="85"/>
        <v>0.60225000000000006</v>
      </c>
    </row>
    <row r="1848" spans="1:10" hidden="1" x14ac:dyDescent="0.35">
      <c r="A1848" s="126" t="s">
        <v>410</v>
      </c>
      <c r="B1848" t="str">
        <f>_xlfn.XLOOKUP(A1848,'[1]2050Pop'!$A$7:$A$143,'[1]2050Pop'!$D$7:$D$143)</f>
        <v>India/South Asia</v>
      </c>
      <c r="C1848" s="127">
        <f>1000*_xlfn.XLOOKUP(A1848,'[1]2050Pop'!$A$7:$A$143,'[1]2050Pop'!$C$7:$C$143)</f>
        <v>92219</v>
      </c>
      <c r="D1848" s="126" t="s">
        <v>509</v>
      </c>
      <c r="E1848" s="128">
        <v>1.3440000000000001</v>
      </c>
      <c r="F1848" s="129">
        <f t="shared" si="86"/>
        <v>0.12394233600000001</v>
      </c>
      <c r="G1848" t="str">
        <f>_xlfn.XLOOKUP(D1848,'[1]2050 BAU Mapping to T &amp; C'!$A$3:$A$52,'[1]2050 BAU Mapping to T &amp; C'!$B$3:$B$52)</f>
        <v xml:space="preserve">Oil crops </v>
      </c>
      <c r="H1848" s="129">
        <f>_xlfn.XLOOKUP(G1848,'[1]T&amp;C emissions for 2050 analysis'!$B$3:$B$23,'[1]T&amp;C emissions for 2050 analysis'!$C$3:$C$23)</f>
        <v>0.18333333333333335</v>
      </c>
      <c r="I1848" s="27">
        <f t="shared" si="84"/>
        <v>2.2722761600000006E-2</v>
      </c>
      <c r="J1848" s="129">
        <f t="shared" si="85"/>
        <v>0.24640000000000004</v>
      </c>
    </row>
    <row r="1849" spans="1:10" hidden="1" x14ac:dyDescent="0.35">
      <c r="A1849" s="126" t="s">
        <v>413</v>
      </c>
      <c r="B1849" t="str">
        <f>_xlfn.XLOOKUP(A1849,'[1]2050Pop'!$A$7:$A$143,'[1]2050Pop'!$D$7:$D$143)</f>
        <v>MENA</v>
      </c>
      <c r="C1849" s="127">
        <f>1000*_xlfn.XLOOKUP(A1849,'[1]2050Pop'!$A$7:$A$143,'[1]2050Pop'!$C$7:$C$143)</f>
        <v>12610</v>
      </c>
      <c r="D1849" s="126" t="s">
        <v>509</v>
      </c>
      <c r="E1849" s="128">
        <v>55.366999999999997</v>
      </c>
      <c r="F1849" s="129">
        <f t="shared" si="86"/>
        <v>0.69817786999999998</v>
      </c>
      <c r="G1849" t="str">
        <f>_xlfn.XLOOKUP(D1849,'[1]2050 BAU Mapping to T &amp; C'!$A$3:$A$52,'[1]2050 BAU Mapping to T &amp; C'!$B$3:$B$52)</f>
        <v xml:space="preserve">Oil crops </v>
      </c>
      <c r="H1849" s="129">
        <f>_xlfn.XLOOKUP(G1849,'[1]T&amp;C emissions for 2050 analysis'!$B$3:$B$23,'[1]T&amp;C emissions for 2050 analysis'!$C$3:$C$23)</f>
        <v>0.18333333333333335</v>
      </c>
      <c r="I1849" s="27">
        <f t="shared" si="84"/>
        <v>0.12799927616666668</v>
      </c>
      <c r="J1849" s="129">
        <f t="shared" si="85"/>
        <v>10.150616666666666</v>
      </c>
    </row>
    <row r="1850" spans="1:10" hidden="1" x14ac:dyDescent="0.35">
      <c r="A1850" s="126" t="s">
        <v>414</v>
      </c>
      <c r="B1850" t="str">
        <f>_xlfn.XLOOKUP(A1850,'[1]2050Pop'!$A$7:$A$143,'[1]2050Pop'!$D$7:$D$143)</f>
        <v>Euro/AU/NZ</v>
      </c>
      <c r="C1850" s="127">
        <f>1000*_xlfn.XLOOKUP(A1850,'[1]2050Pop'!$A$7:$A$143,'[1]2050Pop'!$C$7:$C$143)</f>
        <v>56513</v>
      </c>
      <c r="D1850" s="126" t="s">
        <v>509</v>
      </c>
      <c r="E1850" s="128">
        <v>1.716</v>
      </c>
      <c r="F1850" s="129">
        <f t="shared" si="86"/>
        <v>9.6976308000000011E-2</v>
      </c>
      <c r="G1850" t="str">
        <f>_xlfn.XLOOKUP(D1850,'[1]2050 BAU Mapping to T &amp; C'!$A$3:$A$52,'[1]2050 BAU Mapping to T &amp; C'!$B$3:$B$52)</f>
        <v xml:space="preserve">Oil crops </v>
      </c>
      <c r="H1850" s="129">
        <f>_xlfn.XLOOKUP(G1850,'[1]T&amp;C emissions for 2050 analysis'!$B$3:$B$23,'[1]T&amp;C emissions for 2050 analysis'!$C$3:$C$23)</f>
        <v>0.18333333333333335</v>
      </c>
      <c r="I1850" s="27">
        <f t="shared" si="84"/>
        <v>1.7778989800000002E-2</v>
      </c>
      <c r="J1850" s="129">
        <f t="shared" si="85"/>
        <v>0.31460000000000005</v>
      </c>
    </row>
    <row r="1851" spans="1:10" hidden="1" x14ac:dyDescent="0.35">
      <c r="A1851" s="126" t="s">
        <v>416</v>
      </c>
      <c r="B1851" t="str">
        <f>_xlfn.XLOOKUP(A1851,'[1]2050Pop'!$A$7:$A$143,'[1]2050Pop'!$D$7:$D$143)</f>
        <v>APAC</v>
      </c>
      <c r="C1851" s="127">
        <f>1000*_xlfn.XLOOKUP(A1851,'[1]2050Pop'!$A$7:$A$143,'[1]2050Pop'!$C$7:$C$143)</f>
        <v>107411</v>
      </c>
      <c r="D1851" s="126" t="s">
        <v>509</v>
      </c>
      <c r="E1851" s="128">
        <v>2.448</v>
      </c>
      <c r="F1851" s="129">
        <f t="shared" si="86"/>
        <v>0.26294212799999994</v>
      </c>
      <c r="G1851" t="str">
        <f>_xlfn.XLOOKUP(D1851,'[1]2050 BAU Mapping to T &amp; C'!$A$3:$A$52,'[1]2050 BAU Mapping to T &amp; C'!$B$3:$B$52)</f>
        <v xml:space="preserve">Oil crops </v>
      </c>
      <c r="H1851" s="129">
        <f>_xlfn.XLOOKUP(G1851,'[1]T&amp;C emissions for 2050 analysis'!$B$3:$B$23,'[1]T&amp;C emissions for 2050 analysis'!$C$3:$C$23)</f>
        <v>0.18333333333333335</v>
      </c>
      <c r="I1851" s="27">
        <f t="shared" si="84"/>
        <v>4.8206056799999994E-2</v>
      </c>
      <c r="J1851" s="129">
        <f t="shared" si="85"/>
        <v>0.44880000000000003</v>
      </c>
    </row>
    <row r="1852" spans="1:10" hidden="1" x14ac:dyDescent="0.35">
      <c r="A1852" s="126" t="s">
        <v>417</v>
      </c>
      <c r="B1852" t="str">
        <f>_xlfn.XLOOKUP(A1852,'[1]2050Pop'!$A$7:$A$143,'[1]2050Pop'!$D$7:$D$143)</f>
        <v>MENA</v>
      </c>
      <c r="C1852" s="127">
        <f>1000*_xlfn.XLOOKUP(A1852,'[1]2050Pop'!$A$7:$A$143,'[1]2050Pop'!$C$7:$C$143)</f>
        <v>11717</v>
      </c>
      <c r="D1852" s="126" t="s">
        <v>509</v>
      </c>
      <c r="E1852" s="128">
        <v>5.3789999999999996</v>
      </c>
      <c r="F1852" s="129">
        <f t="shared" si="86"/>
        <v>6.3025742999999995E-2</v>
      </c>
      <c r="G1852" t="str">
        <f>_xlfn.XLOOKUP(D1852,'[1]2050 BAU Mapping to T &amp; C'!$A$3:$A$52,'[1]2050 BAU Mapping to T &amp; C'!$B$3:$B$52)</f>
        <v xml:space="preserve">Oil crops </v>
      </c>
      <c r="H1852" s="129">
        <f>_xlfn.XLOOKUP(G1852,'[1]T&amp;C emissions for 2050 analysis'!$B$3:$B$23,'[1]T&amp;C emissions for 2050 analysis'!$C$3:$C$23)</f>
        <v>0.18333333333333335</v>
      </c>
      <c r="I1852" s="27">
        <f t="shared" si="84"/>
        <v>1.155471955E-2</v>
      </c>
      <c r="J1852" s="129">
        <f t="shared" si="85"/>
        <v>0.98614999999999997</v>
      </c>
    </row>
    <row r="1853" spans="1:10" hidden="1" x14ac:dyDescent="0.35">
      <c r="A1853" s="126" t="s">
        <v>418</v>
      </c>
      <c r="B1853" t="str">
        <f>_xlfn.XLOOKUP(A1853,'[1]2050Pop'!$A$7:$A$143,'[1]2050Pop'!$D$7:$D$143)</f>
        <v>APAC</v>
      </c>
      <c r="C1853" s="127">
        <f>1000*_xlfn.XLOOKUP(A1853,'[1]2050Pop'!$A$7:$A$143,'[1]2050Pop'!$C$7:$C$143)</f>
        <v>22447</v>
      </c>
      <c r="D1853" s="126" t="s">
        <v>509</v>
      </c>
      <c r="E1853" s="130">
        <v>11.27</v>
      </c>
      <c r="F1853" s="129">
        <f t="shared" si="86"/>
        <v>0.25297768999999998</v>
      </c>
      <c r="G1853" t="str">
        <f>_xlfn.XLOOKUP(D1853,'[1]2050 BAU Mapping to T &amp; C'!$A$3:$A$52,'[1]2050 BAU Mapping to T &amp; C'!$B$3:$B$52)</f>
        <v xml:space="preserve">Oil crops </v>
      </c>
      <c r="H1853" s="129">
        <f>_xlfn.XLOOKUP(G1853,'[1]T&amp;C emissions for 2050 analysis'!$B$3:$B$23,'[1]T&amp;C emissions for 2050 analysis'!$C$3:$C$23)</f>
        <v>0.18333333333333335</v>
      </c>
      <c r="I1853" s="27">
        <f t="shared" si="84"/>
        <v>4.6379243166666667E-2</v>
      </c>
      <c r="J1853" s="129">
        <f t="shared" si="85"/>
        <v>2.0661666666666667</v>
      </c>
    </row>
    <row r="1854" spans="1:10" hidden="1" x14ac:dyDescent="0.35">
      <c r="A1854" s="126" t="s">
        <v>419</v>
      </c>
      <c r="B1854" t="str">
        <f>_xlfn.XLOOKUP(A1854,'[1]2050Pop'!$A$7:$A$143,'[1]2050Pop'!$D$7:$D$143)</f>
        <v>SSA</v>
      </c>
      <c r="C1854" s="127">
        <f>1000*_xlfn.XLOOKUP(A1854,'[1]2050Pop'!$A$7:$A$143,'[1]2050Pop'!$C$7:$C$143)</f>
        <v>95505</v>
      </c>
      <c r="D1854" s="126" t="s">
        <v>509</v>
      </c>
      <c r="E1854" s="128">
        <v>26.765999999999998</v>
      </c>
      <c r="F1854" s="129">
        <f t="shared" si="86"/>
        <v>2.5562868299999995</v>
      </c>
      <c r="G1854" t="str">
        <f>_xlfn.XLOOKUP(D1854,'[1]2050 BAU Mapping to T &amp; C'!$A$3:$A$52,'[1]2050 BAU Mapping to T &amp; C'!$B$3:$B$52)</f>
        <v xml:space="preserve">Oil crops </v>
      </c>
      <c r="H1854" s="129">
        <f>_xlfn.XLOOKUP(G1854,'[1]T&amp;C emissions for 2050 analysis'!$B$3:$B$23,'[1]T&amp;C emissions for 2050 analysis'!$C$3:$C$23)</f>
        <v>0.18333333333333335</v>
      </c>
      <c r="I1854" s="27">
        <f t="shared" si="84"/>
        <v>0.46865258549999994</v>
      </c>
      <c r="J1854" s="129">
        <f t="shared" si="85"/>
        <v>4.9070999999999998</v>
      </c>
    </row>
    <row r="1855" spans="1:10" hidden="1" x14ac:dyDescent="0.35">
      <c r="A1855" s="126" t="s">
        <v>420</v>
      </c>
      <c r="B1855" t="str">
        <f>_xlfn.XLOOKUP(A1855,'[1]2050Pop'!$A$7:$A$143,'[1]2050Pop'!$D$7:$D$143)</f>
        <v>APAC</v>
      </c>
      <c r="C1855" s="127">
        <f>1000*_xlfn.XLOOKUP(A1855,'[1]2050Pop'!$A$7:$A$143,'[1]2050Pop'!$C$7:$C$143)</f>
        <v>8248</v>
      </c>
      <c r="D1855" s="126" t="s">
        <v>509</v>
      </c>
      <c r="E1855" s="128">
        <v>22.861000000000001</v>
      </c>
      <c r="F1855" s="129">
        <f t="shared" si="86"/>
        <v>0.188557528</v>
      </c>
      <c r="G1855" t="str">
        <f>_xlfn.XLOOKUP(D1855,'[1]2050 BAU Mapping to T &amp; C'!$A$3:$A$52,'[1]2050 BAU Mapping to T &amp; C'!$B$3:$B$52)</f>
        <v xml:space="preserve">Oil crops </v>
      </c>
      <c r="H1855" s="129">
        <f>_xlfn.XLOOKUP(G1855,'[1]T&amp;C emissions for 2050 analysis'!$B$3:$B$23,'[1]T&amp;C emissions for 2050 analysis'!$C$3:$C$23)</f>
        <v>0.18333333333333335</v>
      </c>
      <c r="I1855" s="27">
        <f t="shared" si="84"/>
        <v>3.4568880133333334E-2</v>
      </c>
      <c r="J1855" s="129">
        <f t="shared" si="85"/>
        <v>4.1911833333333339</v>
      </c>
    </row>
    <row r="1856" spans="1:10" hidden="1" x14ac:dyDescent="0.35">
      <c r="A1856" s="126" t="s">
        <v>421</v>
      </c>
      <c r="B1856" t="str">
        <f>_xlfn.XLOOKUP(A1856,'[1]2050Pop'!$A$7:$A$143,'[1]2050Pop'!$D$7:$D$143)</f>
        <v>APAC</v>
      </c>
      <c r="C1856" s="127">
        <f>1000*_xlfn.XLOOKUP(A1856,'[1]2050Pop'!$A$7:$A$143,'[1]2050Pop'!$C$7:$C$143)</f>
        <v>10172</v>
      </c>
      <c r="D1856" s="126" t="s">
        <v>509</v>
      </c>
      <c r="E1856" s="128">
        <v>1.5980000000000001</v>
      </c>
      <c r="F1856" s="129">
        <f t="shared" si="86"/>
        <v>1.6254856000000002E-2</v>
      </c>
      <c r="G1856" t="str">
        <f>_xlfn.XLOOKUP(D1856,'[1]2050 BAU Mapping to T &amp; C'!$A$3:$A$52,'[1]2050 BAU Mapping to T &amp; C'!$B$3:$B$52)</f>
        <v xml:space="preserve">Oil crops </v>
      </c>
      <c r="H1856" s="129">
        <f>_xlfn.XLOOKUP(G1856,'[1]T&amp;C emissions for 2050 analysis'!$B$3:$B$23,'[1]T&amp;C emissions for 2050 analysis'!$C$3:$C$23)</f>
        <v>0.18333333333333335</v>
      </c>
      <c r="I1856" s="27">
        <f t="shared" si="84"/>
        <v>2.9800569333333338E-3</v>
      </c>
      <c r="J1856" s="129">
        <f t="shared" si="85"/>
        <v>0.29296666666666671</v>
      </c>
    </row>
    <row r="1857" spans="1:10" hidden="1" x14ac:dyDescent="0.35">
      <c r="A1857" s="126" t="s">
        <v>422</v>
      </c>
      <c r="B1857" t="str">
        <f>_xlfn.XLOOKUP(A1857,'[1]2050Pop'!$A$7:$A$143,'[1]2050Pop'!$D$7:$D$143)</f>
        <v>Euro/AU/NZ</v>
      </c>
      <c r="C1857" s="127">
        <f>1000*_xlfn.XLOOKUP(A1857,'[1]2050Pop'!$A$7:$A$143,'[1]2050Pop'!$C$7:$C$143)</f>
        <v>1593</v>
      </c>
      <c r="D1857" s="126" t="s">
        <v>509</v>
      </c>
      <c r="E1857" s="128">
        <v>12.359</v>
      </c>
      <c r="F1857" s="129">
        <f t="shared" si="86"/>
        <v>1.9687886999999998E-2</v>
      </c>
      <c r="G1857" t="str">
        <f>_xlfn.XLOOKUP(D1857,'[1]2050 BAU Mapping to T &amp; C'!$A$3:$A$52,'[1]2050 BAU Mapping to T &amp; C'!$B$3:$B$52)</f>
        <v xml:space="preserve">Oil crops </v>
      </c>
      <c r="H1857" s="129">
        <f>_xlfn.XLOOKUP(G1857,'[1]T&amp;C emissions for 2050 analysis'!$B$3:$B$23,'[1]T&amp;C emissions for 2050 analysis'!$C$3:$C$23)</f>
        <v>0.18333333333333335</v>
      </c>
      <c r="I1857" s="27">
        <f t="shared" si="84"/>
        <v>3.6094459499999999E-3</v>
      </c>
      <c r="J1857" s="129">
        <f t="shared" si="85"/>
        <v>2.2658166666666668</v>
      </c>
    </row>
    <row r="1858" spans="1:10" hidden="1" x14ac:dyDescent="0.35">
      <c r="A1858" s="126" t="s">
        <v>423</v>
      </c>
      <c r="B1858" t="str">
        <f>_xlfn.XLOOKUP(A1858,'[1]2050Pop'!$A$7:$A$143,'[1]2050Pop'!$D$7:$D$143)</f>
        <v>MENA</v>
      </c>
      <c r="C1858" s="127">
        <f>1000*_xlfn.XLOOKUP(A1858,'[1]2050Pop'!$A$7:$A$143,'[1]2050Pop'!$C$7:$C$143)</f>
        <v>5610</v>
      </c>
      <c r="D1858" s="126" t="s">
        <v>509</v>
      </c>
      <c r="E1858" s="128">
        <v>43.076999999999998</v>
      </c>
      <c r="F1858" s="129">
        <f t="shared" si="86"/>
        <v>0.24166197</v>
      </c>
      <c r="G1858" t="str">
        <f>_xlfn.XLOOKUP(D1858,'[1]2050 BAU Mapping to T &amp; C'!$A$3:$A$52,'[1]2050 BAU Mapping to T &amp; C'!$B$3:$B$52)</f>
        <v xml:space="preserve">Oil crops </v>
      </c>
      <c r="H1858" s="129">
        <f>_xlfn.XLOOKUP(G1858,'[1]T&amp;C emissions for 2050 analysis'!$B$3:$B$23,'[1]T&amp;C emissions for 2050 analysis'!$C$3:$C$23)</f>
        <v>0.18333333333333335</v>
      </c>
      <c r="I1858" s="27">
        <f t="shared" si="84"/>
        <v>4.4304694500000005E-2</v>
      </c>
      <c r="J1858" s="129">
        <f t="shared" si="85"/>
        <v>7.8974500000000001</v>
      </c>
    </row>
    <row r="1859" spans="1:10" hidden="1" x14ac:dyDescent="0.35">
      <c r="A1859" s="126" t="s">
        <v>424</v>
      </c>
      <c r="B1859" t="str">
        <f>_xlfn.XLOOKUP(A1859,'[1]2050Pop'!$A$7:$A$143,'[1]2050Pop'!$D$7:$D$143)</f>
        <v>SSA</v>
      </c>
      <c r="C1859" s="127">
        <f>1000*_xlfn.XLOOKUP(A1859,'[1]2050Pop'!$A$7:$A$143,'[1]2050Pop'!$C$7:$C$143)</f>
        <v>2987</v>
      </c>
      <c r="D1859" s="126" t="s">
        <v>509</v>
      </c>
      <c r="E1859" s="128">
        <v>22.407</v>
      </c>
      <c r="F1859" s="129">
        <f t="shared" si="86"/>
        <v>6.6929709000000004E-2</v>
      </c>
      <c r="G1859" t="str">
        <f>_xlfn.XLOOKUP(D1859,'[1]2050 BAU Mapping to T &amp; C'!$A$3:$A$52,'[1]2050 BAU Mapping to T &amp; C'!$B$3:$B$52)</f>
        <v xml:space="preserve">Oil crops </v>
      </c>
      <c r="H1859" s="129">
        <f>_xlfn.XLOOKUP(G1859,'[1]T&amp;C emissions for 2050 analysis'!$B$3:$B$23,'[1]T&amp;C emissions for 2050 analysis'!$C$3:$C$23)</f>
        <v>0.18333333333333335</v>
      </c>
      <c r="I1859" s="27">
        <f t="shared" si="84"/>
        <v>1.2270446650000003E-2</v>
      </c>
      <c r="J1859" s="129">
        <f t="shared" si="85"/>
        <v>4.1079500000000007</v>
      </c>
    </row>
    <row r="1860" spans="1:10" hidden="1" x14ac:dyDescent="0.35">
      <c r="A1860" s="126" t="s">
        <v>425</v>
      </c>
      <c r="B1860" t="str">
        <f>_xlfn.XLOOKUP(A1860,'[1]2050Pop'!$A$7:$A$143,'[1]2050Pop'!$D$7:$D$143)</f>
        <v>SSA</v>
      </c>
      <c r="C1860" s="127">
        <f>1000*_xlfn.XLOOKUP(A1860,'[1]2050Pop'!$A$7:$A$143,'[1]2050Pop'!$C$7:$C$143)</f>
        <v>9436</v>
      </c>
      <c r="D1860" s="126" t="s">
        <v>509</v>
      </c>
      <c r="E1860" s="128">
        <v>53.491999999999997</v>
      </c>
      <c r="F1860" s="129">
        <f t="shared" si="86"/>
        <v>0.50475051199999998</v>
      </c>
      <c r="G1860" t="str">
        <f>_xlfn.XLOOKUP(D1860,'[1]2050 BAU Mapping to T &amp; C'!$A$3:$A$52,'[1]2050 BAU Mapping to T &amp; C'!$B$3:$B$52)</f>
        <v xml:space="preserve">Oil crops </v>
      </c>
      <c r="H1860" s="129">
        <f>_xlfn.XLOOKUP(G1860,'[1]T&amp;C emissions for 2050 analysis'!$B$3:$B$23,'[1]T&amp;C emissions for 2050 analysis'!$C$3:$C$23)</f>
        <v>0.18333333333333335</v>
      </c>
      <c r="I1860" s="27">
        <f t="shared" ref="I1860:I1923" si="87">F1860*H1860</f>
        <v>9.253759386666667E-2</v>
      </c>
      <c r="J1860" s="129">
        <f t="shared" ref="J1860:J1923" si="88">E1860*H1860</f>
        <v>9.8068666666666662</v>
      </c>
    </row>
    <row r="1861" spans="1:10" hidden="1" x14ac:dyDescent="0.35">
      <c r="A1861" s="126" t="s">
        <v>426</v>
      </c>
      <c r="B1861" t="str">
        <f>_xlfn.XLOOKUP(A1861,'[1]2050Pop'!$A$7:$A$143,'[1]2050Pop'!$D$7:$D$143)</f>
        <v>Euro/AU/NZ</v>
      </c>
      <c r="C1861" s="127">
        <f>1000*_xlfn.XLOOKUP(A1861,'[1]2050Pop'!$A$7:$A$143,'[1]2050Pop'!$C$7:$C$143)</f>
        <v>2375</v>
      </c>
      <c r="D1861" s="126" t="s">
        <v>509</v>
      </c>
      <c r="E1861" s="128">
        <v>7.0270000000000001</v>
      </c>
      <c r="F1861" s="129">
        <f t="shared" ref="F1861:F1924" si="89">C1861*E1861/1000000</f>
        <v>1.6689124999999999E-2</v>
      </c>
      <c r="G1861" t="str">
        <f>_xlfn.XLOOKUP(D1861,'[1]2050 BAU Mapping to T &amp; C'!$A$3:$A$52,'[1]2050 BAU Mapping to T &amp; C'!$B$3:$B$52)</f>
        <v xml:space="preserve">Oil crops </v>
      </c>
      <c r="H1861" s="129">
        <f>_xlfn.XLOOKUP(G1861,'[1]T&amp;C emissions for 2050 analysis'!$B$3:$B$23,'[1]T&amp;C emissions for 2050 analysis'!$C$3:$C$23)</f>
        <v>0.18333333333333335</v>
      </c>
      <c r="I1861" s="27">
        <f t="shared" si="87"/>
        <v>3.0596729166666669E-3</v>
      </c>
      <c r="J1861" s="129">
        <f t="shared" si="88"/>
        <v>1.2882833333333334</v>
      </c>
    </row>
    <row r="1862" spans="1:10" hidden="1" x14ac:dyDescent="0.35">
      <c r="A1862" s="126" t="s">
        <v>427</v>
      </c>
      <c r="B1862" t="str">
        <f>_xlfn.XLOOKUP(A1862,'[1]2050Pop'!$A$7:$A$143,'[1]2050Pop'!$D$7:$D$143)</f>
        <v>SSA</v>
      </c>
      <c r="C1862" s="127">
        <f>1000*_xlfn.XLOOKUP(A1862,'[1]2050Pop'!$A$7:$A$143,'[1]2050Pop'!$C$7:$C$143)</f>
        <v>55294</v>
      </c>
      <c r="D1862" s="126" t="s">
        <v>509</v>
      </c>
      <c r="E1862" s="128">
        <v>10.670999999999999</v>
      </c>
      <c r="F1862" s="129">
        <f t="shared" si="89"/>
        <v>0.59004227399999998</v>
      </c>
      <c r="G1862" t="str">
        <f>_xlfn.XLOOKUP(D1862,'[1]2050 BAU Mapping to T &amp; C'!$A$3:$A$52,'[1]2050 BAU Mapping to T &amp; C'!$B$3:$B$52)</f>
        <v xml:space="preserve">Oil crops </v>
      </c>
      <c r="H1862" s="129">
        <f>_xlfn.XLOOKUP(G1862,'[1]T&amp;C emissions for 2050 analysis'!$B$3:$B$23,'[1]T&amp;C emissions for 2050 analysis'!$C$3:$C$23)</f>
        <v>0.18333333333333335</v>
      </c>
      <c r="I1862" s="27">
        <f t="shared" si="87"/>
        <v>0.1081744169</v>
      </c>
      <c r="J1862" s="129">
        <f t="shared" si="88"/>
        <v>1.95635</v>
      </c>
    </row>
    <row r="1863" spans="1:10" hidden="1" x14ac:dyDescent="0.35">
      <c r="A1863" s="126" t="s">
        <v>428</v>
      </c>
      <c r="B1863" t="str">
        <f>_xlfn.XLOOKUP(A1863,'[1]2050Pop'!$A$7:$A$143,'[1]2050Pop'!$D$7:$D$143)</f>
        <v>SSA</v>
      </c>
      <c r="C1863" s="127">
        <f>1000*_xlfn.XLOOKUP(A1863,'[1]2050Pop'!$A$7:$A$143,'[1]2050Pop'!$C$7:$C$143)</f>
        <v>43155</v>
      </c>
      <c r="D1863" s="126" t="s">
        <v>509</v>
      </c>
      <c r="E1863" s="128">
        <v>6.8079999999999998</v>
      </c>
      <c r="F1863" s="129">
        <f t="shared" si="89"/>
        <v>0.29379924000000002</v>
      </c>
      <c r="G1863" t="str">
        <f>_xlfn.XLOOKUP(D1863,'[1]2050 BAU Mapping to T &amp; C'!$A$3:$A$52,'[1]2050 BAU Mapping to T &amp; C'!$B$3:$B$52)</f>
        <v xml:space="preserve">Oil crops </v>
      </c>
      <c r="H1863" s="129">
        <f>_xlfn.XLOOKUP(G1863,'[1]T&amp;C emissions for 2050 analysis'!$B$3:$B$23,'[1]T&amp;C emissions for 2050 analysis'!$C$3:$C$23)</f>
        <v>0.18333333333333335</v>
      </c>
      <c r="I1863" s="27">
        <f t="shared" si="87"/>
        <v>5.386319400000001E-2</v>
      </c>
      <c r="J1863" s="129">
        <f t="shared" si="88"/>
        <v>1.2481333333333333</v>
      </c>
    </row>
    <row r="1864" spans="1:10" hidden="1" x14ac:dyDescent="0.35">
      <c r="A1864" s="126" t="s">
        <v>429</v>
      </c>
      <c r="B1864" t="str">
        <f>_xlfn.XLOOKUP(A1864,'[1]2050Pop'!$A$7:$A$143,'[1]2050Pop'!$D$7:$D$143)</f>
        <v>APAC</v>
      </c>
      <c r="C1864" s="127">
        <f>1000*_xlfn.XLOOKUP(A1864,'[1]2050Pop'!$A$7:$A$143,'[1]2050Pop'!$C$7:$C$143)</f>
        <v>40725</v>
      </c>
      <c r="D1864" s="126" t="s">
        <v>509</v>
      </c>
      <c r="E1864" s="128">
        <v>44.901000000000003</v>
      </c>
      <c r="F1864" s="129">
        <f t="shared" si="89"/>
        <v>1.8285932250000001</v>
      </c>
      <c r="G1864" t="str">
        <f>_xlfn.XLOOKUP(D1864,'[1]2050 BAU Mapping to T &amp; C'!$A$3:$A$52,'[1]2050 BAU Mapping to T &amp; C'!$B$3:$B$52)</f>
        <v xml:space="preserve">Oil crops </v>
      </c>
      <c r="H1864" s="129">
        <f>_xlfn.XLOOKUP(G1864,'[1]T&amp;C emissions for 2050 analysis'!$B$3:$B$23,'[1]T&amp;C emissions for 2050 analysis'!$C$3:$C$23)</f>
        <v>0.18333333333333335</v>
      </c>
      <c r="I1864" s="27">
        <f t="shared" si="87"/>
        <v>0.33524209125000004</v>
      </c>
      <c r="J1864" s="129">
        <f t="shared" si="88"/>
        <v>8.2318500000000014</v>
      </c>
    </row>
    <row r="1865" spans="1:10" hidden="1" x14ac:dyDescent="0.35">
      <c r="A1865" s="126" t="s">
        <v>430</v>
      </c>
      <c r="B1865" t="str">
        <f>_xlfn.XLOOKUP(A1865,'[1]2050Pop'!$A$7:$A$143,'[1]2050Pop'!$D$7:$D$143)</f>
        <v>SSA</v>
      </c>
      <c r="C1865" s="127">
        <f>1000*_xlfn.XLOOKUP(A1865,'[1]2050Pop'!$A$7:$A$143,'[1]2050Pop'!$C$7:$C$143)</f>
        <v>45404</v>
      </c>
      <c r="D1865" s="126" t="s">
        <v>509</v>
      </c>
      <c r="E1865" s="128">
        <v>66.436999999999998</v>
      </c>
      <c r="F1865" s="129">
        <f t="shared" si="89"/>
        <v>3.016505548</v>
      </c>
      <c r="G1865" t="str">
        <f>_xlfn.XLOOKUP(D1865,'[1]2050 BAU Mapping to T &amp; C'!$A$3:$A$52,'[1]2050 BAU Mapping to T &amp; C'!$B$3:$B$52)</f>
        <v xml:space="preserve">Oil crops </v>
      </c>
      <c r="H1865" s="129">
        <f>_xlfn.XLOOKUP(G1865,'[1]T&amp;C emissions for 2050 analysis'!$B$3:$B$23,'[1]T&amp;C emissions for 2050 analysis'!$C$3:$C$23)</f>
        <v>0.18333333333333335</v>
      </c>
      <c r="I1865" s="27">
        <f t="shared" si="87"/>
        <v>0.55302601713333344</v>
      </c>
      <c r="J1865" s="129">
        <f t="shared" si="88"/>
        <v>12.180116666666667</v>
      </c>
    </row>
    <row r="1866" spans="1:10" hidden="1" x14ac:dyDescent="0.35">
      <c r="A1866" s="126" t="s">
        <v>431</v>
      </c>
      <c r="B1866" t="str">
        <f>_xlfn.XLOOKUP(A1866,'[1]2050Pop'!$A$7:$A$143,'[1]2050Pop'!$D$7:$D$143)</f>
        <v>SSA</v>
      </c>
      <c r="C1866" s="127">
        <f>1000*_xlfn.XLOOKUP(A1866,'[1]2050Pop'!$A$7:$A$143,'[1]2050Pop'!$C$7:$C$143)</f>
        <v>8048.9999999999991</v>
      </c>
      <c r="D1866" s="126" t="s">
        <v>509</v>
      </c>
      <c r="E1866" s="128">
        <v>24.161000000000001</v>
      </c>
      <c r="F1866" s="129">
        <f t="shared" si="89"/>
        <v>0.19447188900000001</v>
      </c>
      <c r="G1866" t="str">
        <f>_xlfn.XLOOKUP(D1866,'[1]2050 BAU Mapping to T &amp; C'!$A$3:$A$52,'[1]2050 BAU Mapping to T &amp; C'!$B$3:$B$52)</f>
        <v xml:space="preserve">Oil crops </v>
      </c>
      <c r="H1866" s="129">
        <f>_xlfn.XLOOKUP(G1866,'[1]T&amp;C emissions for 2050 analysis'!$B$3:$B$23,'[1]T&amp;C emissions for 2050 analysis'!$C$3:$C$23)</f>
        <v>0.18333333333333335</v>
      </c>
      <c r="I1866" s="27">
        <f t="shared" si="87"/>
        <v>3.5653179650000005E-2</v>
      </c>
      <c r="J1866" s="129">
        <f t="shared" si="88"/>
        <v>4.4295166666666672</v>
      </c>
    </row>
    <row r="1867" spans="1:10" hidden="1" x14ac:dyDescent="0.35">
      <c r="A1867" s="126" t="s">
        <v>432</v>
      </c>
      <c r="B1867" t="str">
        <f>_xlfn.XLOOKUP(A1867,'[1]2050Pop'!$A$7:$A$143,'[1]2050Pop'!$D$7:$D$143)</f>
        <v>SSA</v>
      </c>
      <c r="C1867" s="127">
        <f>1000*_xlfn.XLOOKUP(A1867,'[1]2050Pop'!$A$7:$A$143,'[1]2050Pop'!$C$7:$C$143)</f>
        <v>1249</v>
      </c>
      <c r="D1867" s="126" t="s">
        <v>509</v>
      </c>
      <c r="E1867" s="130">
        <v>44.09</v>
      </c>
      <c r="F1867" s="129">
        <f t="shared" si="89"/>
        <v>5.5068410000000005E-2</v>
      </c>
      <c r="G1867" t="str">
        <f>_xlfn.XLOOKUP(D1867,'[1]2050 BAU Mapping to T &amp; C'!$A$3:$A$52,'[1]2050 BAU Mapping to T &amp; C'!$B$3:$B$52)</f>
        <v xml:space="preserve">Oil crops </v>
      </c>
      <c r="H1867" s="129">
        <f>_xlfn.XLOOKUP(G1867,'[1]T&amp;C emissions for 2050 analysis'!$B$3:$B$23,'[1]T&amp;C emissions for 2050 analysis'!$C$3:$C$23)</f>
        <v>0.18333333333333335</v>
      </c>
      <c r="I1867" s="27">
        <f t="shared" si="87"/>
        <v>1.0095875166666669E-2</v>
      </c>
      <c r="J1867" s="129">
        <f t="shared" si="88"/>
        <v>8.0831666666666688</v>
      </c>
    </row>
    <row r="1868" spans="1:10" hidden="1" x14ac:dyDescent="0.35">
      <c r="A1868" s="126" t="s">
        <v>433</v>
      </c>
      <c r="B1868" t="str">
        <f>_xlfn.XLOOKUP(A1868,'[1]2050Pop'!$A$7:$A$143,'[1]2050Pop'!$D$7:$D$143)</f>
        <v>LatAm &amp; RSA</v>
      </c>
      <c r="C1868" s="127">
        <f>1000*_xlfn.XLOOKUP(A1868,'[1]2050Pop'!$A$7:$A$143,'[1]2050Pop'!$C$7:$C$143)</f>
        <v>163754</v>
      </c>
      <c r="D1868" s="126" t="s">
        <v>509</v>
      </c>
      <c r="E1868" s="130">
        <v>9.2200000000000006</v>
      </c>
      <c r="F1868" s="129">
        <f t="shared" si="89"/>
        <v>1.5098118800000002</v>
      </c>
      <c r="G1868" t="str">
        <f>_xlfn.XLOOKUP(D1868,'[1]2050 BAU Mapping to T &amp; C'!$A$3:$A$52,'[1]2050 BAU Mapping to T &amp; C'!$B$3:$B$52)</f>
        <v xml:space="preserve">Oil crops </v>
      </c>
      <c r="H1868" s="129">
        <f>_xlfn.XLOOKUP(G1868,'[1]T&amp;C emissions for 2050 analysis'!$B$3:$B$23,'[1]T&amp;C emissions for 2050 analysis'!$C$3:$C$23)</f>
        <v>0.18333333333333335</v>
      </c>
      <c r="I1868" s="27">
        <f t="shared" si="87"/>
        <v>0.27679884466666671</v>
      </c>
      <c r="J1868" s="129">
        <f t="shared" si="88"/>
        <v>1.6903333333333337</v>
      </c>
    </row>
    <row r="1869" spans="1:10" hidden="1" x14ac:dyDescent="0.35">
      <c r="A1869" s="126" t="s">
        <v>434</v>
      </c>
      <c r="B1869" t="str">
        <f>_xlfn.XLOOKUP(A1869,'[1]2050Pop'!$A$7:$A$143,'[1]2050Pop'!$D$7:$D$143)</f>
        <v>APAC</v>
      </c>
      <c r="C1869" s="127">
        <f>1000*_xlfn.XLOOKUP(A1869,'[1]2050Pop'!$A$7:$A$143,'[1]2050Pop'!$C$7:$C$143)</f>
        <v>4027.9999999999995</v>
      </c>
      <c r="D1869" s="126" t="s">
        <v>509</v>
      </c>
      <c r="E1869" s="128">
        <v>43.600999999999999</v>
      </c>
      <c r="F1869" s="129">
        <f t="shared" si="89"/>
        <v>0.17562482799999998</v>
      </c>
      <c r="G1869" t="str">
        <f>_xlfn.XLOOKUP(D1869,'[1]2050 BAU Mapping to T &amp; C'!$A$3:$A$52,'[1]2050 BAU Mapping to T &amp; C'!$B$3:$B$52)</f>
        <v xml:space="preserve">Oil crops </v>
      </c>
      <c r="H1869" s="129">
        <f>_xlfn.XLOOKUP(G1869,'[1]T&amp;C emissions for 2050 analysis'!$B$3:$B$23,'[1]T&amp;C emissions for 2050 analysis'!$C$3:$C$23)</f>
        <v>0.18333333333333335</v>
      </c>
      <c r="I1869" s="27">
        <f t="shared" si="87"/>
        <v>3.2197885133333333E-2</v>
      </c>
      <c r="J1869" s="129">
        <f t="shared" si="88"/>
        <v>7.9935166666666673</v>
      </c>
    </row>
    <row r="1870" spans="1:10" hidden="1" x14ac:dyDescent="0.35">
      <c r="A1870" s="126" t="s">
        <v>435</v>
      </c>
      <c r="B1870" t="str">
        <f>_xlfn.XLOOKUP(A1870,'[1]2050Pop'!$A$7:$A$143,'[1]2050Pop'!$D$7:$D$143)</f>
        <v>MENA</v>
      </c>
      <c r="C1870" s="127">
        <f>1000*_xlfn.XLOOKUP(A1870,'[1]2050Pop'!$A$7:$A$143,'[1]2050Pop'!$C$7:$C$143)</f>
        <v>43696</v>
      </c>
      <c r="D1870" s="126" t="s">
        <v>509</v>
      </c>
      <c r="E1870" s="128">
        <v>12.455</v>
      </c>
      <c r="F1870" s="129">
        <f t="shared" si="89"/>
        <v>0.54423368000000005</v>
      </c>
      <c r="G1870" t="str">
        <f>_xlfn.XLOOKUP(D1870,'[1]2050 BAU Mapping to T &amp; C'!$A$3:$A$52,'[1]2050 BAU Mapping to T &amp; C'!$B$3:$B$52)</f>
        <v xml:space="preserve">Oil crops </v>
      </c>
      <c r="H1870" s="129">
        <f>_xlfn.XLOOKUP(G1870,'[1]T&amp;C emissions for 2050 analysis'!$B$3:$B$23,'[1]T&amp;C emissions for 2050 analysis'!$C$3:$C$23)</f>
        <v>0.18333333333333335</v>
      </c>
      <c r="I1870" s="27">
        <f t="shared" si="87"/>
        <v>9.9776174666666689E-2</v>
      </c>
      <c r="J1870" s="129">
        <f t="shared" si="88"/>
        <v>2.2834166666666667</v>
      </c>
    </row>
    <row r="1871" spans="1:10" hidden="1" x14ac:dyDescent="0.35">
      <c r="A1871" s="126" t="s">
        <v>436</v>
      </c>
      <c r="B1871" t="str">
        <f>_xlfn.XLOOKUP(A1871,'[1]2050Pop'!$A$7:$A$143,'[1]2050Pop'!$D$7:$D$143)</f>
        <v>SSA</v>
      </c>
      <c r="C1871" s="127">
        <f>1000*_xlfn.XLOOKUP(A1871,'[1]2050Pop'!$A$7:$A$143,'[1]2050Pop'!$C$7:$C$143)</f>
        <v>65544</v>
      </c>
      <c r="D1871" s="126" t="s">
        <v>509</v>
      </c>
      <c r="E1871" s="128">
        <v>20.361000000000001</v>
      </c>
      <c r="F1871" s="129">
        <f t="shared" si="89"/>
        <v>1.334541384</v>
      </c>
      <c r="G1871" t="str">
        <f>_xlfn.XLOOKUP(D1871,'[1]2050 BAU Mapping to T &amp; C'!$A$3:$A$52,'[1]2050 BAU Mapping to T &amp; C'!$B$3:$B$52)</f>
        <v xml:space="preserve">Oil crops </v>
      </c>
      <c r="H1871" s="129">
        <f>_xlfn.XLOOKUP(G1871,'[1]T&amp;C emissions for 2050 analysis'!$B$3:$B$23,'[1]T&amp;C emissions for 2050 analysis'!$C$3:$C$23)</f>
        <v>0.18333333333333335</v>
      </c>
      <c r="I1871" s="27">
        <f t="shared" si="87"/>
        <v>0.24466592040000001</v>
      </c>
      <c r="J1871" s="129">
        <f t="shared" si="88"/>
        <v>3.7328500000000004</v>
      </c>
    </row>
    <row r="1872" spans="1:10" hidden="1" x14ac:dyDescent="0.35">
      <c r="A1872" s="126" t="s">
        <v>490</v>
      </c>
      <c r="B1872" t="str">
        <f>_xlfn.XLOOKUP(A1872,'[1]2050Pop'!$A$7:$A$143,'[1]2050Pop'!$D$7:$D$143)</f>
        <v>APAC</v>
      </c>
      <c r="C1872" s="127">
        <f>1000*_xlfn.XLOOKUP(A1872,'[1]2050Pop'!$A$7:$A$143,'[1]2050Pop'!$C$7:$C$143)</f>
        <v>63575</v>
      </c>
      <c r="D1872" s="126" t="s">
        <v>509</v>
      </c>
      <c r="E1872" s="128">
        <v>1.5640000000000001</v>
      </c>
      <c r="F1872" s="129">
        <f t="shared" si="89"/>
        <v>9.94313E-2</v>
      </c>
      <c r="G1872" t="str">
        <f>_xlfn.XLOOKUP(D1872,'[1]2050 BAU Mapping to T &amp; C'!$A$3:$A$52,'[1]2050 BAU Mapping to T &amp; C'!$B$3:$B$52)</f>
        <v xml:space="preserve">Oil crops </v>
      </c>
      <c r="H1872" s="129">
        <f>_xlfn.XLOOKUP(G1872,'[1]T&amp;C emissions for 2050 analysis'!$B$3:$B$23,'[1]T&amp;C emissions for 2050 analysis'!$C$3:$C$23)</f>
        <v>0.18333333333333335</v>
      </c>
      <c r="I1872" s="27">
        <f t="shared" si="87"/>
        <v>1.8229071666666669E-2</v>
      </c>
      <c r="J1872" s="129">
        <f t="shared" si="88"/>
        <v>0.28673333333333334</v>
      </c>
    </row>
    <row r="1873" spans="1:10" hidden="1" x14ac:dyDescent="0.35">
      <c r="A1873" s="126" t="s">
        <v>437</v>
      </c>
      <c r="B1873" t="str">
        <f>_xlfn.XLOOKUP(A1873,'[1]2050Pop'!$A$7:$A$143,'[1]2050Pop'!$D$7:$D$143)</f>
        <v>SSA</v>
      </c>
      <c r="C1873" s="127">
        <f>1000*_xlfn.XLOOKUP(A1873,'[1]2050Pop'!$A$7:$A$143,'[1]2050Pop'!$C$7:$C$143)</f>
        <v>4322</v>
      </c>
      <c r="D1873" s="126" t="s">
        <v>509</v>
      </c>
      <c r="E1873" s="128">
        <v>46.366999999999997</v>
      </c>
      <c r="F1873" s="129">
        <f t="shared" si="89"/>
        <v>0.20039817400000001</v>
      </c>
      <c r="G1873" t="str">
        <f>_xlfn.XLOOKUP(D1873,'[1]2050 BAU Mapping to T &amp; C'!$A$3:$A$52,'[1]2050 BAU Mapping to T &amp; C'!$B$3:$B$52)</f>
        <v xml:space="preserve">Oil crops </v>
      </c>
      <c r="H1873" s="129">
        <f>_xlfn.XLOOKUP(G1873,'[1]T&amp;C emissions for 2050 analysis'!$B$3:$B$23,'[1]T&amp;C emissions for 2050 analysis'!$C$3:$C$23)</f>
        <v>0.18333333333333335</v>
      </c>
      <c r="I1873" s="27">
        <f t="shared" si="87"/>
        <v>3.6739665233333337E-2</v>
      </c>
      <c r="J1873" s="129">
        <f t="shared" si="88"/>
        <v>8.5006166666666676</v>
      </c>
    </row>
    <row r="1874" spans="1:10" hidden="1" x14ac:dyDescent="0.35">
      <c r="A1874" s="126" t="s">
        <v>438</v>
      </c>
      <c r="B1874" t="str">
        <f>_xlfn.XLOOKUP(A1874,'[1]2050Pop'!$A$7:$A$143,'[1]2050Pop'!$D$7:$D$143)</f>
        <v>India/South Asia</v>
      </c>
      <c r="C1874" s="127">
        <f>1000*_xlfn.XLOOKUP(A1874,'[1]2050Pop'!$A$7:$A$143,'[1]2050Pop'!$C$7:$C$143)</f>
        <v>36159</v>
      </c>
      <c r="D1874" s="126" t="s">
        <v>509</v>
      </c>
      <c r="E1874" s="128">
        <v>79.677999999999997</v>
      </c>
      <c r="F1874" s="129">
        <f t="shared" si="89"/>
        <v>2.8810768019999995</v>
      </c>
      <c r="G1874" t="str">
        <f>_xlfn.XLOOKUP(D1874,'[1]2050 BAU Mapping to T &amp; C'!$A$3:$A$52,'[1]2050 BAU Mapping to T &amp; C'!$B$3:$B$52)</f>
        <v xml:space="preserve">Oil crops </v>
      </c>
      <c r="H1874" s="129">
        <f>_xlfn.XLOOKUP(G1874,'[1]T&amp;C emissions for 2050 analysis'!$B$3:$B$23,'[1]T&amp;C emissions for 2050 analysis'!$C$3:$C$23)</f>
        <v>0.18333333333333335</v>
      </c>
      <c r="I1874" s="27">
        <f t="shared" si="87"/>
        <v>0.52819741369999995</v>
      </c>
      <c r="J1874" s="129">
        <f t="shared" si="88"/>
        <v>14.607633333333334</v>
      </c>
    </row>
    <row r="1875" spans="1:10" hidden="1" x14ac:dyDescent="0.35">
      <c r="A1875" s="126" t="s">
        <v>440</v>
      </c>
      <c r="B1875" t="str">
        <f>_xlfn.XLOOKUP(A1875,'[1]2050Pop'!$A$7:$A$143,'[1]2050Pop'!$D$7:$D$143)</f>
        <v>Euro/AU/NZ</v>
      </c>
      <c r="C1875" s="127">
        <f>1000*_xlfn.XLOOKUP(A1875,'[1]2050Pop'!$A$7:$A$143,'[1]2050Pop'!$C$7:$C$143)</f>
        <v>5607</v>
      </c>
      <c r="D1875" s="126" t="s">
        <v>509</v>
      </c>
      <c r="E1875" s="128">
        <v>19.780999999999999</v>
      </c>
      <c r="F1875" s="129">
        <f t="shared" si="89"/>
        <v>0.11091206699999999</v>
      </c>
      <c r="G1875" t="str">
        <f>_xlfn.XLOOKUP(D1875,'[1]2050 BAU Mapping to T &amp; C'!$A$3:$A$52,'[1]2050 BAU Mapping to T &amp; C'!$B$3:$B$52)</f>
        <v xml:space="preserve">Oil crops </v>
      </c>
      <c r="H1875" s="129">
        <f>_xlfn.XLOOKUP(G1875,'[1]T&amp;C emissions for 2050 analysis'!$B$3:$B$23,'[1]T&amp;C emissions for 2050 analysis'!$C$3:$C$23)</f>
        <v>0.18333333333333335</v>
      </c>
      <c r="I1875" s="27">
        <f t="shared" si="87"/>
        <v>2.0333878949999998E-2</v>
      </c>
      <c r="J1875" s="129">
        <f t="shared" si="88"/>
        <v>3.6265166666666668</v>
      </c>
    </row>
    <row r="1876" spans="1:10" hidden="1" x14ac:dyDescent="0.35">
      <c r="A1876" s="126" t="s">
        <v>441</v>
      </c>
      <c r="B1876" t="str">
        <f>_xlfn.XLOOKUP(A1876,'[1]2050Pop'!$A$7:$A$143,'[1]2050Pop'!$D$7:$D$143)</f>
        <v>LatAm &amp; RSA</v>
      </c>
      <c r="C1876" s="127">
        <f>1000*_xlfn.XLOOKUP(A1876,'[1]2050Pop'!$A$7:$A$143,'[1]2050Pop'!$C$7:$C$143)</f>
        <v>7863</v>
      </c>
      <c r="D1876" s="126" t="s">
        <v>509</v>
      </c>
      <c r="E1876" s="128">
        <v>38.298999999999999</v>
      </c>
      <c r="F1876" s="129">
        <f t="shared" si="89"/>
        <v>0.301145037</v>
      </c>
      <c r="G1876" t="str">
        <f>_xlfn.XLOOKUP(D1876,'[1]2050 BAU Mapping to T &amp; C'!$A$3:$A$52,'[1]2050 BAU Mapping to T &amp; C'!$B$3:$B$52)</f>
        <v xml:space="preserve">Oil crops </v>
      </c>
      <c r="H1876" s="129">
        <f>_xlfn.XLOOKUP(G1876,'[1]T&amp;C emissions for 2050 analysis'!$B$3:$B$23,'[1]T&amp;C emissions for 2050 analysis'!$C$3:$C$23)</f>
        <v>0.18333333333333335</v>
      </c>
      <c r="I1876" s="27">
        <f t="shared" si="87"/>
        <v>5.5209923450000004E-2</v>
      </c>
      <c r="J1876" s="129">
        <f t="shared" si="88"/>
        <v>7.0214833333333342</v>
      </c>
    </row>
    <row r="1877" spans="1:10" hidden="1" x14ac:dyDescent="0.35">
      <c r="A1877" s="126" t="s">
        <v>482</v>
      </c>
      <c r="B1877" t="str">
        <f>_xlfn.XLOOKUP(A1877,'[1]2050Pop'!$A$7:$A$143,'[1]2050Pop'!$D$7:$D$143)</f>
        <v>SSA</v>
      </c>
      <c r="C1877" s="127">
        <f>1000*_xlfn.XLOOKUP(A1877,'[1]2050Pop'!$A$7:$A$143,'[1]2050Pop'!$C$7:$C$143)</f>
        <v>72238</v>
      </c>
      <c r="D1877" s="126" t="s">
        <v>509</v>
      </c>
      <c r="E1877" s="131">
        <v>22.2</v>
      </c>
      <c r="F1877" s="129">
        <f t="shared" si="89"/>
        <v>1.6036835999999999</v>
      </c>
      <c r="G1877" t="str">
        <f>_xlfn.XLOOKUP(D1877,'[1]2050 BAU Mapping to T &amp; C'!$A$3:$A$52,'[1]2050 BAU Mapping to T &amp; C'!$B$3:$B$52)</f>
        <v xml:space="preserve">Oil crops </v>
      </c>
      <c r="H1877" s="129">
        <f>_xlfn.XLOOKUP(G1877,'[1]T&amp;C emissions for 2050 analysis'!$B$3:$B$23,'[1]T&amp;C emissions for 2050 analysis'!$C$3:$C$23)</f>
        <v>0.18333333333333335</v>
      </c>
      <c r="I1877" s="27">
        <f t="shared" si="87"/>
        <v>0.29400865999999998</v>
      </c>
      <c r="J1877" s="129">
        <f t="shared" si="88"/>
        <v>4.07</v>
      </c>
    </row>
    <row r="1878" spans="1:10" hidden="1" x14ac:dyDescent="0.35">
      <c r="A1878" s="126" t="s">
        <v>491</v>
      </c>
      <c r="B1878" t="str">
        <f>_xlfn.XLOOKUP(A1878,'[1]2050Pop'!$A$7:$A$143,'[1]2050Pop'!$D$7:$D$143)</f>
        <v>SSA</v>
      </c>
      <c r="C1878" s="127">
        <f>1000*_xlfn.XLOOKUP(A1878,'[1]2050Pop'!$A$7:$A$143,'[1]2050Pop'!$C$7:$C$143)</f>
        <v>398508</v>
      </c>
      <c r="D1878" s="126" t="s">
        <v>509</v>
      </c>
      <c r="E1878" s="128">
        <v>39.127000000000002</v>
      </c>
      <c r="F1878" s="129">
        <f t="shared" si="89"/>
        <v>15.592422516000001</v>
      </c>
      <c r="G1878" t="str">
        <f>_xlfn.XLOOKUP(D1878,'[1]2050 BAU Mapping to T &amp; C'!$A$3:$A$52,'[1]2050 BAU Mapping to T &amp; C'!$B$3:$B$52)</f>
        <v xml:space="preserve">Oil crops </v>
      </c>
      <c r="H1878" s="129">
        <f>_xlfn.XLOOKUP(G1878,'[1]T&amp;C emissions for 2050 analysis'!$B$3:$B$23,'[1]T&amp;C emissions for 2050 analysis'!$C$3:$C$23)</f>
        <v>0.18333333333333335</v>
      </c>
      <c r="I1878" s="27">
        <f t="shared" si="87"/>
        <v>2.8586107946000006</v>
      </c>
      <c r="J1878" s="129">
        <f t="shared" si="88"/>
        <v>7.1732833333333348</v>
      </c>
    </row>
    <row r="1879" spans="1:10" hidden="1" x14ac:dyDescent="0.35">
      <c r="A1879" s="126" t="s">
        <v>442</v>
      </c>
      <c r="B1879" t="str">
        <f>_xlfn.XLOOKUP(A1879,'[1]2050Pop'!$A$7:$A$143,'[1]2050Pop'!$D$7:$D$143)</f>
        <v>Euro/AU/NZ</v>
      </c>
      <c r="C1879" s="127">
        <f>1000*_xlfn.XLOOKUP(A1879,'[1]2050Pop'!$A$7:$A$143,'[1]2050Pop'!$C$7:$C$143)</f>
        <v>6658</v>
      </c>
      <c r="D1879" s="126" t="s">
        <v>509</v>
      </c>
      <c r="E1879" s="128">
        <v>10.215999999999999</v>
      </c>
      <c r="F1879" s="129">
        <f t="shared" si="89"/>
        <v>6.8018127999999997E-2</v>
      </c>
      <c r="G1879" t="str">
        <f>_xlfn.XLOOKUP(D1879,'[1]2050 BAU Mapping to T &amp; C'!$A$3:$A$52,'[1]2050 BAU Mapping to T &amp; C'!$B$3:$B$52)</f>
        <v xml:space="preserve">Oil crops </v>
      </c>
      <c r="H1879" s="129">
        <f>_xlfn.XLOOKUP(G1879,'[1]T&amp;C emissions for 2050 analysis'!$B$3:$B$23,'[1]T&amp;C emissions for 2050 analysis'!$C$3:$C$23)</f>
        <v>0.18333333333333335</v>
      </c>
      <c r="I1879" s="27">
        <f t="shared" si="87"/>
        <v>1.2469990133333334E-2</v>
      </c>
      <c r="J1879" s="129">
        <f t="shared" si="88"/>
        <v>1.8729333333333333</v>
      </c>
    </row>
    <row r="1880" spans="1:10" hidden="1" x14ac:dyDescent="0.35">
      <c r="A1880" s="126" t="s">
        <v>444</v>
      </c>
      <c r="B1880" t="str">
        <f>_xlfn.XLOOKUP(A1880,'[1]2050Pop'!$A$7:$A$143,'[1]2050Pop'!$D$7:$D$143)</f>
        <v>LatAm &amp; RSA</v>
      </c>
      <c r="C1880" s="127">
        <f>1000*_xlfn.XLOOKUP(A1880,'[1]2050Pop'!$A$7:$A$143,'[1]2050Pop'!$C$7:$C$143)</f>
        <v>5599</v>
      </c>
      <c r="D1880" s="126" t="s">
        <v>509</v>
      </c>
      <c r="E1880" s="128">
        <v>22.117000000000001</v>
      </c>
      <c r="F1880" s="129">
        <f t="shared" si="89"/>
        <v>0.123833083</v>
      </c>
      <c r="G1880" t="str">
        <f>_xlfn.XLOOKUP(D1880,'[1]2050 BAU Mapping to T &amp; C'!$A$3:$A$52,'[1]2050 BAU Mapping to T &amp; C'!$B$3:$B$52)</f>
        <v xml:space="preserve">Oil crops </v>
      </c>
      <c r="H1880" s="129">
        <f>_xlfn.XLOOKUP(G1880,'[1]T&amp;C emissions for 2050 analysis'!$B$3:$B$23,'[1]T&amp;C emissions for 2050 analysis'!$C$3:$C$23)</f>
        <v>0.18333333333333335</v>
      </c>
      <c r="I1880" s="27">
        <f t="shared" si="87"/>
        <v>2.2702731883333334E-2</v>
      </c>
      <c r="J1880" s="129">
        <f t="shared" si="88"/>
        <v>4.0547833333333339</v>
      </c>
    </row>
    <row r="1881" spans="1:10" hidden="1" x14ac:dyDescent="0.35">
      <c r="A1881" s="126" t="s">
        <v>445</v>
      </c>
      <c r="B1881" t="str">
        <f>_xlfn.XLOOKUP(A1881,'[1]2050Pop'!$A$7:$A$143,'[1]2050Pop'!$D$7:$D$143)</f>
        <v>LatAm &amp; RSA</v>
      </c>
      <c r="C1881" s="127">
        <f>1000*_xlfn.XLOOKUP(A1881,'[1]2050Pop'!$A$7:$A$143,'[1]2050Pop'!$C$7:$C$143)</f>
        <v>8895</v>
      </c>
      <c r="D1881" s="126" t="s">
        <v>509</v>
      </c>
      <c r="E1881" s="128">
        <v>17.245000000000001</v>
      </c>
      <c r="F1881" s="129">
        <f t="shared" si="89"/>
        <v>0.15339427500000002</v>
      </c>
      <c r="G1881" t="str">
        <f>_xlfn.XLOOKUP(D1881,'[1]2050 BAU Mapping to T &amp; C'!$A$3:$A$52,'[1]2050 BAU Mapping to T &amp; C'!$B$3:$B$52)</f>
        <v xml:space="preserve">Oil crops </v>
      </c>
      <c r="H1881" s="129">
        <f>_xlfn.XLOOKUP(G1881,'[1]T&amp;C emissions for 2050 analysis'!$B$3:$B$23,'[1]T&amp;C emissions for 2050 analysis'!$C$3:$C$23)</f>
        <v>0.18333333333333335</v>
      </c>
      <c r="I1881" s="27">
        <f t="shared" si="87"/>
        <v>2.8122283750000008E-2</v>
      </c>
      <c r="J1881" s="129">
        <f t="shared" si="88"/>
        <v>3.1615833333333336</v>
      </c>
    </row>
    <row r="1882" spans="1:10" hidden="1" x14ac:dyDescent="0.35">
      <c r="A1882" s="126" t="s">
        <v>446</v>
      </c>
      <c r="B1882" t="str">
        <f>_xlfn.XLOOKUP(A1882,'[1]2050Pop'!$A$7:$A$143,'[1]2050Pop'!$D$7:$D$143)</f>
        <v>LatAm &amp; RSA</v>
      </c>
      <c r="C1882" s="127">
        <f>1000*_xlfn.XLOOKUP(A1882,'[1]2050Pop'!$A$7:$A$143,'[1]2050Pop'!$C$7:$C$143)</f>
        <v>41899</v>
      </c>
      <c r="D1882" s="126" t="s">
        <v>509</v>
      </c>
      <c r="E1882" s="128">
        <v>2.835</v>
      </c>
      <c r="F1882" s="129">
        <f t="shared" si="89"/>
        <v>0.118783665</v>
      </c>
      <c r="G1882" t="str">
        <f>_xlfn.XLOOKUP(D1882,'[1]2050 BAU Mapping to T &amp; C'!$A$3:$A$52,'[1]2050 BAU Mapping to T &amp; C'!$B$3:$B$52)</f>
        <v xml:space="preserve">Oil crops </v>
      </c>
      <c r="H1882" s="129">
        <f>_xlfn.XLOOKUP(G1882,'[1]T&amp;C emissions for 2050 analysis'!$B$3:$B$23,'[1]T&amp;C emissions for 2050 analysis'!$C$3:$C$23)</f>
        <v>0.18333333333333335</v>
      </c>
      <c r="I1882" s="27">
        <f t="shared" si="87"/>
        <v>2.1777005250000002E-2</v>
      </c>
      <c r="J1882" s="129">
        <f t="shared" si="88"/>
        <v>0.51975000000000005</v>
      </c>
    </row>
    <row r="1883" spans="1:10" hidden="1" x14ac:dyDescent="0.35">
      <c r="A1883" s="126" t="s">
        <v>447</v>
      </c>
      <c r="B1883" t="str">
        <f>_xlfn.XLOOKUP(A1883,'[1]2050Pop'!$A$7:$A$143,'[1]2050Pop'!$D$7:$D$143)</f>
        <v>APAC</v>
      </c>
      <c r="C1883" s="127">
        <f>1000*_xlfn.XLOOKUP(A1883,'[1]2050Pop'!$A$7:$A$143,'[1]2050Pop'!$C$7:$C$143)</f>
        <v>148260</v>
      </c>
      <c r="D1883" s="126" t="s">
        <v>509</v>
      </c>
      <c r="E1883" s="128">
        <v>2.2509999999999999</v>
      </c>
      <c r="F1883" s="129">
        <f t="shared" si="89"/>
        <v>0.33373326000000003</v>
      </c>
      <c r="G1883" t="str">
        <f>_xlfn.XLOOKUP(D1883,'[1]2050 BAU Mapping to T &amp; C'!$A$3:$A$52,'[1]2050 BAU Mapping to T &amp; C'!$B$3:$B$52)</f>
        <v xml:space="preserve">Oil crops </v>
      </c>
      <c r="H1883" s="129">
        <f>_xlfn.XLOOKUP(G1883,'[1]T&amp;C emissions for 2050 analysis'!$B$3:$B$23,'[1]T&amp;C emissions for 2050 analysis'!$C$3:$C$23)</f>
        <v>0.18333333333333335</v>
      </c>
      <c r="I1883" s="27">
        <f t="shared" si="87"/>
        <v>6.1184431000000011E-2</v>
      </c>
      <c r="J1883" s="129">
        <f t="shared" si="88"/>
        <v>0.41268333333333335</v>
      </c>
    </row>
    <row r="1884" spans="1:10" hidden="1" x14ac:dyDescent="0.35">
      <c r="A1884" s="126" t="s">
        <v>448</v>
      </c>
      <c r="B1884" t="str">
        <f>_xlfn.XLOOKUP(A1884,'[1]2050Pop'!$A$7:$A$143,'[1]2050Pop'!$D$7:$D$143)</f>
        <v>Euro/AU/NZ</v>
      </c>
      <c r="C1884" s="127">
        <f>1000*_xlfn.XLOOKUP(A1884,'[1]2050Pop'!$A$7:$A$143,'[1]2050Pop'!$C$7:$C$143)</f>
        <v>33136</v>
      </c>
      <c r="D1884" s="126" t="s">
        <v>509</v>
      </c>
      <c r="E1884" s="128">
        <v>20.074999999999999</v>
      </c>
      <c r="F1884" s="129">
        <f t="shared" si="89"/>
        <v>0.66520519999999994</v>
      </c>
      <c r="G1884" t="str">
        <f>_xlfn.XLOOKUP(D1884,'[1]2050 BAU Mapping to T &amp; C'!$A$3:$A$52,'[1]2050 BAU Mapping to T &amp; C'!$B$3:$B$52)</f>
        <v xml:space="preserve">Oil crops </v>
      </c>
      <c r="H1884" s="129">
        <f>_xlfn.XLOOKUP(G1884,'[1]T&amp;C emissions for 2050 analysis'!$B$3:$B$23,'[1]T&amp;C emissions for 2050 analysis'!$C$3:$C$23)</f>
        <v>0.18333333333333335</v>
      </c>
      <c r="I1884" s="27">
        <f t="shared" si="87"/>
        <v>0.12195428666666666</v>
      </c>
      <c r="J1884" s="129">
        <f t="shared" si="88"/>
        <v>3.6804166666666669</v>
      </c>
    </row>
    <row r="1885" spans="1:10" hidden="1" x14ac:dyDescent="0.35">
      <c r="A1885" s="126" t="s">
        <v>449</v>
      </c>
      <c r="B1885" t="str">
        <f>_xlfn.XLOOKUP(A1885,'[1]2050Pop'!$A$7:$A$143,'[1]2050Pop'!$D$7:$D$143)</f>
        <v>Euro/AU/NZ</v>
      </c>
      <c r="C1885" s="127">
        <f>1000*_xlfn.XLOOKUP(A1885,'[1]2050Pop'!$A$7:$A$143,'[1]2050Pop'!$C$7:$C$143)</f>
        <v>9216</v>
      </c>
      <c r="D1885" s="126" t="s">
        <v>509</v>
      </c>
      <c r="E1885" s="128">
        <v>8.0630000000000006</v>
      </c>
      <c r="F1885" s="129">
        <f t="shared" si="89"/>
        <v>7.4308608000000012E-2</v>
      </c>
      <c r="G1885" t="str">
        <f>_xlfn.XLOOKUP(D1885,'[1]2050 BAU Mapping to T &amp; C'!$A$3:$A$52,'[1]2050 BAU Mapping to T &amp; C'!$B$3:$B$52)</f>
        <v xml:space="preserve">Oil crops </v>
      </c>
      <c r="H1885" s="129">
        <f>_xlfn.XLOOKUP(G1885,'[1]T&amp;C emissions for 2050 analysis'!$B$3:$B$23,'[1]T&amp;C emissions for 2050 analysis'!$C$3:$C$23)</f>
        <v>0.18333333333333335</v>
      </c>
      <c r="I1885" s="27">
        <f t="shared" si="87"/>
        <v>1.3623244800000003E-2</v>
      </c>
      <c r="J1885" s="129">
        <f t="shared" si="88"/>
        <v>1.478216666666667</v>
      </c>
    </row>
    <row r="1886" spans="1:10" hidden="1" x14ac:dyDescent="0.35">
      <c r="A1886" s="126" t="s">
        <v>450</v>
      </c>
      <c r="B1886" t="str">
        <f>_xlfn.XLOOKUP(A1886,'[1]2050Pop'!$A$7:$A$143,'[1]2050Pop'!$D$7:$D$143)</f>
        <v>APAC</v>
      </c>
      <c r="C1886" s="127">
        <f>1000*_xlfn.XLOOKUP(A1886,'[1]2050Pop'!$A$7:$A$143,'[1]2050Pop'!$C$7:$C$143)</f>
        <v>50593</v>
      </c>
      <c r="D1886" s="126" t="s">
        <v>509</v>
      </c>
      <c r="E1886" s="128">
        <v>37.890999999999998</v>
      </c>
      <c r="F1886" s="129">
        <f t="shared" si="89"/>
        <v>1.9170193629999999</v>
      </c>
      <c r="G1886" t="str">
        <f>_xlfn.XLOOKUP(D1886,'[1]2050 BAU Mapping to T &amp; C'!$A$3:$A$52,'[1]2050 BAU Mapping to T &amp; C'!$B$3:$B$52)</f>
        <v xml:space="preserve">Oil crops </v>
      </c>
      <c r="H1886" s="129">
        <f>_xlfn.XLOOKUP(G1886,'[1]T&amp;C emissions for 2050 analysis'!$B$3:$B$23,'[1]T&amp;C emissions for 2050 analysis'!$C$3:$C$23)</f>
        <v>0.18333333333333335</v>
      </c>
      <c r="I1886" s="27">
        <f t="shared" si="87"/>
        <v>0.35145354988333333</v>
      </c>
      <c r="J1886" s="129">
        <f t="shared" si="88"/>
        <v>6.9466833333333335</v>
      </c>
    </row>
    <row r="1887" spans="1:10" hidden="1" x14ac:dyDescent="0.35">
      <c r="A1887" s="126" t="s">
        <v>452</v>
      </c>
      <c r="B1887" t="str">
        <f>_xlfn.XLOOKUP(A1887,'[1]2050Pop'!$A$7:$A$143,'[1]2050Pop'!$D$7:$D$143)</f>
        <v>SSA</v>
      </c>
      <c r="C1887" s="127">
        <f>1000*_xlfn.XLOOKUP(A1887,'[1]2050Pop'!$A$7:$A$143,'[1]2050Pop'!$C$7:$C$143)</f>
        <v>10732</v>
      </c>
      <c r="D1887" s="126" t="s">
        <v>509</v>
      </c>
      <c r="E1887" s="131">
        <v>32</v>
      </c>
      <c r="F1887" s="129">
        <f t="shared" si="89"/>
        <v>0.34342400000000001</v>
      </c>
      <c r="G1887" t="str">
        <f>_xlfn.XLOOKUP(D1887,'[1]2050 BAU Mapping to T &amp; C'!$A$3:$A$52,'[1]2050 BAU Mapping to T &amp; C'!$B$3:$B$52)</f>
        <v xml:space="preserve">Oil crops </v>
      </c>
      <c r="H1887" s="129">
        <f>_xlfn.XLOOKUP(G1887,'[1]T&amp;C emissions for 2050 analysis'!$B$3:$B$23,'[1]T&amp;C emissions for 2050 analysis'!$C$3:$C$23)</f>
        <v>0.18333333333333335</v>
      </c>
      <c r="I1887" s="27">
        <f t="shared" si="87"/>
        <v>6.2961066666666676E-2</v>
      </c>
      <c r="J1887" s="129">
        <f t="shared" si="88"/>
        <v>5.8666666666666671</v>
      </c>
    </row>
    <row r="1888" spans="1:10" hidden="1" x14ac:dyDescent="0.35">
      <c r="A1888" s="126" t="s">
        <v>454</v>
      </c>
      <c r="B1888" t="str">
        <f>_xlfn.XLOOKUP(A1888,'[1]2050Pop'!$A$7:$A$143,'[1]2050Pop'!$D$7:$D$143)</f>
        <v>Euro/AU/NZ</v>
      </c>
      <c r="C1888" s="127">
        <f>1000*_xlfn.XLOOKUP(A1888,'[1]2050Pop'!$A$7:$A$143,'[1]2050Pop'!$C$7:$C$143)</f>
        <v>128598.99999999999</v>
      </c>
      <c r="D1888" s="126" t="s">
        <v>509</v>
      </c>
      <c r="E1888" s="128">
        <v>4.5839999999999996</v>
      </c>
      <c r="F1888" s="129">
        <f t="shared" si="89"/>
        <v>0.58949781599999984</v>
      </c>
      <c r="G1888" t="str">
        <f>_xlfn.XLOOKUP(D1888,'[1]2050 BAU Mapping to T &amp; C'!$A$3:$A$52,'[1]2050 BAU Mapping to T &amp; C'!$B$3:$B$52)</f>
        <v xml:space="preserve">Oil crops </v>
      </c>
      <c r="H1888" s="129">
        <f>_xlfn.XLOOKUP(G1888,'[1]T&amp;C emissions for 2050 analysis'!$B$3:$B$23,'[1]T&amp;C emissions for 2050 analysis'!$C$3:$C$23)</f>
        <v>0.18333333333333335</v>
      </c>
      <c r="I1888" s="27">
        <f t="shared" si="87"/>
        <v>0.10807459959999997</v>
      </c>
      <c r="J1888" s="129">
        <f t="shared" si="88"/>
        <v>0.84040000000000004</v>
      </c>
    </row>
    <row r="1889" spans="1:10" hidden="1" x14ac:dyDescent="0.35">
      <c r="A1889" s="126" t="s">
        <v>455</v>
      </c>
      <c r="B1889" t="str">
        <f>_xlfn.XLOOKUP(A1889,'[1]2050Pop'!$A$7:$A$143,'[1]2050Pop'!$D$7:$D$143)</f>
        <v>SSA</v>
      </c>
      <c r="C1889" s="127">
        <f>1000*_xlfn.XLOOKUP(A1889,'[1]2050Pop'!$A$7:$A$143,'[1]2050Pop'!$C$7:$C$143)</f>
        <v>21187</v>
      </c>
      <c r="D1889" s="126" t="s">
        <v>509</v>
      </c>
      <c r="E1889" s="128">
        <v>14.368</v>
      </c>
      <c r="F1889" s="129">
        <f t="shared" si="89"/>
        <v>0.30441481599999998</v>
      </c>
      <c r="G1889" t="str">
        <f>_xlfn.XLOOKUP(D1889,'[1]2050 BAU Mapping to T &amp; C'!$A$3:$A$52,'[1]2050 BAU Mapping to T &amp; C'!$B$3:$B$52)</f>
        <v xml:space="preserve">Oil crops </v>
      </c>
      <c r="H1889" s="129">
        <f>_xlfn.XLOOKUP(G1889,'[1]T&amp;C emissions for 2050 analysis'!$B$3:$B$23,'[1]T&amp;C emissions for 2050 analysis'!$C$3:$C$23)</f>
        <v>0.18333333333333335</v>
      </c>
      <c r="I1889" s="27">
        <f t="shared" si="87"/>
        <v>5.5809382933333332E-2</v>
      </c>
      <c r="J1889" s="129">
        <f t="shared" si="88"/>
        <v>2.6341333333333337</v>
      </c>
    </row>
    <row r="1890" spans="1:10" hidden="1" x14ac:dyDescent="0.35">
      <c r="A1890" s="126" t="s">
        <v>456</v>
      </c>
      <c r="B1890" t="str">
        <f>_xlfn.XLOOKUP(A1890,'[1]2050Pop'!$A$7:$A$143,'[1]2050Pop'!$D$7:$D$143)</f>
        <v>MENA</v>
      </c>
      <c r="C1890" s="127">
        <f>1000*_xlfn.XLOOKUP(A1890,'[1]2050Pop'!$A$7:$A$143,'[1]2050Pop'!$C$7:$C$143)</f>
        <v>46059</v>
      </c>
      <c r="D1890" s="126" t="s">
        <v>509</v>
      </c>
      <c r="E1890" s="128">
        <v>83.751999999999995</v>
      </c>
      <c r="F1890" s="129">
        <f t="shared" si="89"/>
        <v>3.8575333679999999</v>
      </c>
      <c r="G1890" t="str">
        <f>_xlfn.XLOOKUP(D1890,'[1]2050 BAU Mapping to T &amp; C'!$A$3:$A$52,'[1]2050 BAU Mapping to T &amp; C'!$B$3:$B$52)</f>
        <v xml:space="preserve">Oil crops </v>
      </c>
      <c r="H1890" s="129">
        <f>_xlfn.XLOOKUP(G1890,'[1]T&amp;C emissions for 2050 analysis'!$B$3:$B$23,'[1]T&amp;C emissions for 2050 analysis'!$C$3:$C$23)</f>
        <v>0.18333333333333335</v>
      </c>
      <c r="I1890" s="27">
        <f t="shared" si="87"/>
        <v>0.70721445080000001</v>
      </c>
      <c r="J1890" s="129">
        <f t="shared" si="88"/>
        <v>15.354533333333334</v>
      </c>
    </row>
    <row r="1891" spans="1:10" hidden="1" x14ac:dyDescent="0.35">
      <c r="A1891" s="126" t="s">
        <v>457</v>
      </c>
      <c r="B1891" t="str">
        <f>_xlfn.XLOOKUP(A1891,'[1]2050Pop'!$A$7:$A$143,'[1]2050Pop'!$D$7:$D$143)</f>
        <v>SSA</v>
      </c>
      <c r="C1891" s="127">
        <f>1000*_xlfn.XLOOKUP(A1891,'[1]2050Pop'!$A$7:$A$143,'[1]2050Pop'!$C$7:$C$143)</f>
        <v>36223</v>
      </c>
      <c r="D1891" s="126" t="s">
        <v>509</v>
      </c>
      <c r="E1891" s="128">
        <v>25.805</v>
      </c>
      <c r="F1891" s="129">
        <f t="shared" si="89"/>
        <v>0.93473451500000004</v>
      </c>
      <c r="G1891" t="str">
        <f>_xlfn.XLOOKUP(D1891,'[1]2050 BAU Mapping to T &amp; C'!$A$3:$A$52,'[1]2050 BAU Mapping to T &amp; C'!$B$3:$B$52)</f>
        <v xml:space="preserve">Oil crops </v>
      </c>
      <c r="H1891" s="129">
        <f>_xlfn.XLOOKUP(G1891,'[1]T&amp;C emissions for 2050 analysis'!$B$3:$B$23,'[1]T&amp;C emissions for 2050 analysis'!$C$3:$C$23)</f>
        <v>0.18333333333333335</v>
      </c>
      <c r="I1891" s="27">
        <f t="shared" si="87"/>
        <v>0.1713679944166667</v>
      </c>
      <c r="J1891" s="129">
        <f t="shared" si="88"/>
        <v>4.7309166666666673</v>
      </c>
    </row>
    <row r="1892" spans="1:10" hidden="1" x14ac:dyDescent="0.35">
      <c r="A1892" s="126" t="s">
        <v>458</v>
      </c>
      <c r="B1892" t="str">
        <f>_xlfn.XLOOKUP(A1892,'[1]2050Pop'!$A$7:$A$143,'[1]2050Pop'!$D$7:$D$143)</f>
        <v>Euro/AU/NZ</v>
      </c>
      <c r="C1892" s="127">
        <f>1000*_xlfn.XLOOKUP(A1892,'[1]2050Pop'!$A$7:$A$143,'[1]2050Pop'!$C$7:$C$143)</f>
        <v>7331</v>
      </c>
      <c r="D1892" s="126" t="s">
        <v>509</v>
      </c>
      <c r="E1892" s="128">
        <v>8.8970000000000002</v>
      </c>
      <c r="F1892" s="129">
        <f t="shared" si="89"/>
        <v>6.5223906999999998E-2</v>
      </c>
      <c r="G1892" t="str">
        <f>_xlfn.XLOOKUP(D1892,'[1]2050 BAU Mapping to T &amp; C'!$A$3:$A$52,'[1]2050 BAU Mapping to T &amp; C'!$B$3:$B$52)</f>
        <v xml:space="preserve">Oil crops </v>
      </c>
      <c r="H1892" s="129">
        <f>_xlfn.XLOOKUP(G1892,'[1]T&amp;C emissions for 2050 analysis'!$B$3:$B$23,'[1]T&amp;C emissions for 2050 analysis'!$C$3:$C$23)</f>
        <v>0.18333333333333335</v>
      </c>
      <c r="I1892" s="27">
        <f t="shared" si="87"/>
        <v>1.1957716283333334E-2</v>
      </c>
      <c r="J1892" s="129">
        <f t="shared" si="88"/>
        <v>1.6311166666666668</v>
      </c>
    </row>
    <row r="1893" spans="1:10" hidden="1" x14ac:dyDescent="0.35">
      <c r="A1893" s="126" t="s">
        <v>492</v>
      </c>
      <c r="B1893" t="str">
        <f>_xlfn.XLOOKUP(A1893,'[1]2050Pop'!$A$7:$A$143,'[1]2050Pop'!$D$7:$D$143)</f>
        <v>SSA</v>
      </c>
      <c r="C1893" s="127">
        <f>1000*_xlfn.XLOOKUP(A1893,'[1]2050Pop'!$A$7:$A$143,'[1]2050Pop'!$C$7:$C$143)</f>
        <v>11392</v>
      </c>
      <c r="D1893" s="126" t="s">
        <v>509</v>
      </c>
      <c r="E1893" s="128">
        <v>23.041</v>
      </c>
      <c r="F1893" s="129">
        <f t="shared" si="89"/>
        <v>0.26248307199999998</v>
      </c>
      <c r="G1893" t="str">
        <f>_xlfn.XLOOKUP(D1893,'[1]2050 BAU Mapping to T &amp; C'!$A$3:$A$52,'[1]2050 BAU Mapping to T &amp; C'!$B$3:$B$52)</f>
        <v xml:space="preserve">Oil crops </v>
      </c>
      <c r="H1893" s="129">
        <f>_xlfn.XLOOKUP(G1893,'[1]T&amp;C emissions for 2050 analysis'!$B$3:$B$23,'[1]T&amp;C emissions for 2050 analysis'!$C$3:$C$23)</f>
        <v>0.18333333333333335</v>
      </c>
      <c r="I1893" s="27">
        <f t="shared" si="87"/>
        <v>4.8121896533333333E-2</v>
      </c>
      <c r="J1893" s="129">
        <f t="shared" si="88"/>
        <v>4.2241833333333334</v>
      </c>
    </row>
    <row r="1894" spans="1:10" hidden="1" x14ac:dyDescent="0.35">
      <c r="A1894" s="126" t="s">
        <v>460</v>
      </c>
      <c r="B1894" t="str">
        <f>_xlfn.XLOOKUP(A1894,'[1]2050Pop'!$A$7:$A$143,'[1]2050Pop'!$D$7:$D$143)</f>
        <v>LatAm &amp; RSA</v>
      </c>
      <c r="C1894" s="127">
        <f>1000*_xlfn.XLOOKUP(A1894,'[1]2050Pop'!$A$7:$A$143,'[1]2050Pop'!$C$7:$C$143)</f>
        <v>65540</v>
      </c>
      <c r="D1894" s="126" t="s">
        <v>509</v>
      </c>
      <c r="E1894" s="128">
        <v>2.581</v>
      </c>
      <c r="F1894" s="129">
        <f t="shared" si="89"/>
        <v>0.16915874</v>
      </c>
      <c r="G1894" t="str">
        <f>_xlfn.XLOOKUP(D1894,'[1]2050 BAU Mapping to T &amp; C'!$A$3:$A$52,'[1]2050 BAU Mapping to T &amp; C'!$B$3:$B$52)</f>
        <v xml:space="preserve">Oil crops </v>
      </c>
      <c r="H1894" s="129">
        <f>_xlfn.XLOOKUP(G1894,'[1]T&amp;C emissions for 2050 analysis'!$B$3:$B$23,'[1]T&amp;C emissions for 2050 analysis'!$C$3:$C$23)</f>
        <v>0.18333333333333335</v>
      </c>
      <c r="I1894" s="27">
        <f t="shared" si="87"/>
        <v>3.1012435666666671E-2</v>
      </c>
      <c r="J1894" s="129">
        <f t="shared" si="88"/>
        <v>0.47318333333333334</v>
      </c>
    </row>
    <row r="1895" spans="1:10" hidden="1" x14ac:dyDescent="0.35">
      <c r="A1895" s="126" t="s">
        <v>461</v>
      </c>
      <c r="B1895" t="str">
        <f>_xlfn.XLOOKUP(A1895,'[1]2050Pop'!$A$7:$A$143,'[1]2050Pop'!$D$7:$D$143)</f>
        <v>Euro/AU/NZ</v>
      </c>
      <c r="C1895" s="127">
        <f>1000*_xlfn.XLOOKUP(A1895,'[1]2050Pop'!$A$7:$A$143,'[1]2050Pop'!$C$7:$C$143)</f>
        <v>44840</v>
      </c>
      <c r="D1895" s="126" t="s">
        <v>509</v>
      </c>
      <c r="E1895" s="128">
        <v>1.1579999999999999</v>
      </c>
      <c r="F1895" s="129">
        <f t="shared" si="89"/>
        <v>5.1924719999999994E-2</v>
      </c>
      <c r="G1895" t="str">
        <f>_xlfn.XLOOKUP(D1895,'[1]2050 BAU Mapping to T &amp; C'!$A$3:$A$52,'[1]2050 BAU Mapping to T &amp; C'!$B$3:$B$52)</f>
        <v xml:space="preserve">Oil crops </v>
      </c>
      <c r="H1895" s="129">
        <f>_xlfn.XLOOKUP(G1895,'[1]T&amp;C emissions for 2050 analysis'!$B$3:$B$23,'[1]T&amp;C emissions for 2050 analysis'!$C$3:$C$23)</f>
        <v>0.18333333333333335</v>
      </c>
      <c r="I1895" s="27">
        <f t="shared" si="87"/>
        <v>9.519531999999999E-3</v>
      </c>
      <c r="J1895" s="129">
        <f t="shared" si="88"/>
        <v>0.21229999999999999</v>
      </c>
    </row>
    <row r="1896" spans="1:10" hidden="1" x14ac:dyDescent="0.35">
      <c r="A1896" s="126" t="s">
        <v>462</v>
      </c>
      <c r="B1896" t="str">
        <f>_xlfn.XLOOKUP(A1896,'[1]2050Pop'!$A$7:$A$143,'[1]2050Pop'!$D$7:$D$143)</f>
        <v>LatAm &amp; RSA</v>
      </c>
      <c r="C1896" s="127">
        <f>1000*_xlfn.XLOOKUP(A1896,'[1]2050Pop'!$A$7:$A$143,'[1]2050Pop'!$C$7:$C$143)</f>
        <v>624</v>
      </c>
      <c r="D1896" s="126" t="s">
        <v>509</v>
      </c>
      <c r="E1896" s="128">
        <v>11.074999999999999</v>
      </c>
      <c r="F1896" s="129">
        <f t="shared" si="89"/>
        <v>6.9107999999999991E-3</v>
      </c>
      <c r="G1896" t="str">
        <f>_xlfn.XLOOKUP(D1896,'[1]2050 BAU Mapping to T &amp; C'!$A$3:$A$52,'[1]2050 BAU Mapping to T &amp; C'!$B$3:$B$52)</f>
        <v xml:space="preserve">Oil crops </v>
      </c>
      <c r="H1896" s="129">
        <f>_xlfn.XLOOKUP(G1896,'[1]T&amp;C emissions for 2050 analysis'!$B$3:$B$23,'[1]T&amp;C emissions for 2050 analysis'!$C$3:$C$23)</f>
        <v>0.18333333333333335</v>
      </c>
      <c r="I1896" s="27">
        <f t="shared" si="87"/>
        <v>1.26698E-3</v>
      </c>
      <c r="J1896" s="129">
        <f t="shared" si="88"/>
        <v>2.0304166666666665</v>
      </c>
    </row>
    <row r="1897" spans="1:10" hidden="1" x14ac:dyDescent="0.35">
      <c r="A1897" s="126" t="s">
        <v>463</v>
      </c>
      <c r="B1897" t="str">
        <f>_xlfn.XLOOKUP(A1897,'[1]2050Pop'!$A$7:$A$143,'[1]2050Pop'!$D$7:$D$143)</f>
        <v>SSA</v>
      </c>
      <c r="C1897" s="127">
        <f>1000*_xlfn.XLOOKUP(A1897,'[1]2050Pop'!$A$7:$A$143,'[1]2050Pop'!$C$7:$C$143)</f>
        <v>1792</v>
      </c>
      <c r="D1897" s="126" t="s">
        <v>509</v>
      </c>
      <c r="E1897" s="128">
        <v>2.6880000000000002</v>
      </c>
      <c r="F1897" s="129">
        <f t="shared" si="89"/>
        <v>4.8168960000000011E-3</v>
      </c>
      <c r="G1897" t="str">
        <f>_xlfn.XLOOKUP(D1897,'[1]2050 BAU Mapping to T &amp; C'!$A$3:$A$52,'[1]2050 BAU Mapping to T &amp; C'!$B$3:$B$52)</f>
        <v xml:space="preserve">Oil crops </v>
      </c>
      <c r="H1897" s="129">
        <f>_xlfn.XLOOKUP(G1897,'[1]T&amp;C emissions for 2050 analysis'!$B$3:$B$23,'[1]T&amp;C emissions for 2050 analysis'!$C$3:$C$23)</f>
        <v>0.18333333333333335</v>
      </c>
      <c r="I1897" s="27">
        <f t="shared" si="87"/>
        <v>8.8309760000000032E-4</v>
      </c>
      <c r="J1897" s="129">
        <f t="shared" si="88"/>
        <v>0.49280000000000007</v>
      </c>
    </row>
    <row r="1898" spans="1:10" hidden="1" x14ac:dyDescent="0.35">
      <c r="A1898" s="126" t="s">
        <v>464</v>
      </c>
      <c r="B1898" t="str">
        <f>_xlfn.XLOOKUP(A1898,'[1]2050Pop'!$A$7:$A$143,'[1]2050Pop'!$D$7:$D$143)</f>
        <v>Euro/AU/NZ</v>
      </c>
      <c r="C1898" s="127">
        <f>1000*_xlfn.XLOOKUP(A1898,'[1]2050Pop'!$A$7:$A$143,'[1]2050Pop'!$C$7:$C$143)</f>
        <v>11881</v>
      </c>
      <c r="D1898" s="126" t="s">
        <v>509</v>
      </c>
      <c r="E1898" s="128">
        <v>60.280999999999999</v>
      </c>
      <c r="F1898" s="129">
        <f t="shared" si="89"/>
        <v>0.71619856100000001</v>
      </c>
      <c r="G1898" t="str">
        <f>_xlfn.XLOOKUP(D1898,'[1]2050 BAU Mapping to T &amp; C'!$A$3:$A$52,'[1]2050 BAU Mapping to T &amp; C'!$B$3:$B$52)</f>
        <v xml:space="preserve">Oil crops </v>
      </c>
      <c r="H1898" s="129">
        <f>_xlfn.XLOOKUP(G1898,'[1]T&amp;C emissions for 2050 analysis'!$B$3:$B$23,'[1]T&amp;C emissions for 2050 analysis'!$C$3:$C$23)</f>
        <v>0.18333333333333335</v>
      </c>
      <c r="I1898" s="27">
        <f t="shared" si="87"/>
        <v>0.13130306951666668</v>
      </c>
      <c r="J1898" s="129">
        <f t="shared" si="88"/>
        <v>11.051516666666668</v>
      </c>
    </row>
    <row r="1899" spans="1:10" hidden="1" x14ac:dyDescent="0.35">
      <c r="A1899" s="126" t="s">
        <v>483</v>
      </c>
      <c r="B1899" t="str">
        <f>_xlfn.XLOOKUP(A1899,'[1]2050Pop'!$A$7:$A$143,'[1]2050Pop'!$D$7:$D$143)</f>
        <v>APAC</v>
      </c>
      <c r="C1899" s="127">
        <f>1000*_xlfn.XLOOKUP(A1899,'[1]2050Pop'!$A$7:$A$143,'[1]2050Pop'!$C$7:$C$143)</f>
        <v>14288</v>
      </c>
      <c r="D1899" s="126" t="s">
        <v>509</v>
      </c>
      <c r="E1899" s="128">
        <v>30.433</v>
      </c>
      <c r="F1899" s="129">
        <f t="shared" si="89"/>
        <v>0.43482670399999995</v>
      </c>
      <c r="G1899" t="str">
        <f>_xlfn.XLOOKUP(D1899,'[1]2050 BAU Mapping to T &amp; C'!$A$3:$A$52,'[1]2050 BAU Mapping to T &amp; C'!$B$3:$B$52)</f>
        <v xml:space="preserve">Oil crops </v>
      </c>
      <c r="H1899" s="129">
        <f>_xlfn.XLOOKUP(G1899,'[1]T&amp;C emissions for 2050 analysis'!$B$3:$B$23,'[1]T&amp;C emissions for 2050 analysis'!$C$3:$C$23)</f>
        <v>0.18333333333333335</v>
      </c>
      <c r="I1899" s="27">
        <f t="shared" si="87"/>
        <v>7.971822906666666E-2</v>
      </c>
      <c r="J1899" s="129">
        <f t="shared" si="88"/>
        <v>5.5793833333333334</v>
      </c>
    </row>
    <row r="1900" spans="1:10" hidden="1" x14ac:dyDescent="0.35">
      <c r="A1900" s="126" t="s">
        <v>466</v>
      </c>
      <c r="B1900" t="str">
        <f>_xlfn.XLOOKUP(A1900,'[1]2050Pop'!$A$7:$A$143,'[1]2050Pop'!$D$7:$D$143)</f>
        <v>SSA</v>
      </c>
      <c r="C1900" s="127">
        <f>1000*_xlfn.XLOOKUP(A1900,'[1]2050Pop'!$A$7:$A$143,'[1]2050Pop'!$C$7:$C$143)</f>
        <v>15681</v>
      </c>
      <c r="D1900" s="126" t="s">
        <v>509</v>
      </c>
      <c r="E1900" s="128">
        <v>24.190999999999999</v>
      </c>
      <c r="F1900" s="129">
        <f t="shared" si="89"/>
        <v>0.37933907099999997</v>
      </c>
      <c r="G1900" t="str">
        <f>_xlfn.XLOOKUP(D1900,'[1]2050 BAU Mapping to T &amp; C'!$A$3:$A$52,'[1]2050 BAU Mapping to T &amp; C'!$B$3:$B$52)</f>
        <v xml:space="preserve">Oil crops </v>
      </c>
      <c r="H1900" s="129">
        <f>_xlfn.XLOOKUP(G1900,'[1]T&amp;C emissions for 2050 analysis'!$B$3:$B$23,'[1]T&amp;C emissions for 2050 analysis'!$C$3:$C$23)</f>
        <v>0.18333333333333335</v>
      </c>
      <c r="I1900" s="27">
        <f t="shared" si="87"/>
        <v>6.954549635E-2</v>
      </c>
      <c r="J1900" s="129">
        <f t="shared" si="88"/>
        <v>4.4350166666666668</v>
      </c>
    </row>
    <row r="1901" spans="1:10" hidden="1" x14ac:dyDescent="0.35">
      <c r="A1901" s="126" t="s">
        <v>468</v>
      </c>
      <c r="B1901" t="str">
        <f>_xlfn.XLOOKUP(A1901,'[1]2050Pop'!$A$7:$A$143,'[1]2050Pop'!$D$7:$D$143)</f>
        <v>MENA</v>
      </c>
      <c r="C1901" s="127">
        <f>1000*_xlfn.XLOOKUP(A1901,'[1]2050Pop'!$A$7:$A$143,'[1]2050Pop'!$C$7:$C$143)</f>
        <v>13476</v>
      </c>
      <c r="D1901" s="126" t="s">
        <v>509</v>
      </c>
      <c r="E1901" s="128">
        <v>4.734</v>
      </c>
      <c r="F1901" s="129">
        <f t="shared" si="89"/>
        <v>6.3795383999999997E-2</v>
      </c>
      <c r="G1901" t="str">
        <f>_xlfn.XLOOKUP(D1901,'[1]2050 BAU Mapping to T &amp; C'!$A$3:$A$52,'[1]2050 BAU Mapping to T &amp; C'!$B$3:$B$52)</f>
        <v xml:space="preserve">Oil crops </v>
      </c>
      <c r="H1901" s="129">
        <f>_xlfn.XLOOKUP(G1901,'[1]T&amp;C emissions for 2050 analysis'!$B$3:$B$23,'[1]T&amp;C emissions for 2050 analysis'!$C$3:$C$23)</f>
        <v>0.18333333333333335</v>
      </c>
      <c r="I1901" s="27">
        <f t="shared" si="87"/>
        <v>1.1695820400000001E-2</v>
      </c>
      <c r="J1901" s="129">
        <f t="shared" si="88"/>
        <v>0.86790000000000012</v>
      </c>
    </row>
    <row r="1902" spans="1:10" hidden="1" x14ac:dyDescent="0.35">
      <c r="A1902" s="126" t="s">
        <v>469</v>
      </c>
      <c r="B1902" t="str">
        <f>_xlfn.XLOOKUP(A1902,'[1]2050Pop'!$A$7:$A$143,'[1]2050Pop'!$D$7:$D$143)</f>
        <v>MENA</v>
      </c>
      <c r="C1902" s="127">
        <f>1000*_xlfn.XLOOKUP(A1902,'[1]2050Pop'!$A$7:$A$143,'[1]2050Pop'!$C$7:$C$143)</f>
        <v>95819</v>
      </c>
      <c r="D1902" s="126" t="s">
        <v>509</v>
      </c>
      <c r="E1902" s="128">
        <v>11.401</v>
      </c>
      <c r="F1902" s="129">
        <f t="shared" si="89"/>
        <v>1.0924324190000001</v>
      </c>
      <c r="G1902" t="str">
        <f>_xlfn.XLOOKUP(D1902,'[1]2050 BAU Mapping to T &amp; C'!$A$3:$A$52,'[1]2050 BAU Mapping to T &amp; C'!$B$3:$B$52)</f>
        <v xml:space="preserve">Oil crops </v>
      </c>
      <c r="H1902" s="129">
        <f>_xlfn.XLOOKUP(G1902,'[1]T&amp;C emissions for 2050 analysis'!$B$3:$B$23,'[1]T&amp;C emissions for 2050 analysis'!$C$3:$C$23)</f>
        <v>0.18333333333333335</v>
      </c>
      <c r="I1902" s="27">
        <f t="shared" si="87"/>
        <v>0.20027927681666671</v>
      </c>
      <c r="J1902" s="129">
        <f t="shared" si="88"/>
        <v>2.0901833333333335</v>
      </c>
    </row>
    <row r="1903" spans="1:10" hidden="1" x14ac:dyDescent="0.35">
      <c r="A1903" s="126" t="s">
        <v>484</v>
      </c>
      <c r="B1903" t="str">
        <f>_xlfn.XLOOKUP(A1903,'[1]2050Pop'!$A$7:$A$143,'[1]2050Pop'!$D$7:$D$143)</f>
        <v>APAC</v>
      </c>
      <c r="C1903" s="127">
        <f>1000*_xlfn.XLOOKUP(A1903,'[1]2050Pop'!$A$7:$A$143,'[1]2050Pop'!$C$7:$C$143)</f>
        <v>6555</v>
      </c>
      <c r="D1903" s="126" t="s">
        <v>509</v>
      </c>
      <c r="E1903" s="128">
        <v>51.966000000000001</v>
      </c>
      <c r="F1903" s="129">
        <f t="shared" si="89"/>
        <v>0.34063713000000001</v>
      </c>
      <c r="G1903" t="str">
        <f>_xlfn.XLOOKUP(D1903,'[1]2050 BAU Mapping to T &amp; C'!$A$3:$A$52,'[1]2050 BAU Mapping to T &amp; C'!$B$3:$B$52)</f>
        <v xml:space="preserve">Oil crops </v>
      </c>
      <c r="H1903" s="129">
        <f>_xlfn.XLOOKUP(G1903,'[1]T&amp;C emissions for 2050 analysis'!$B$3:$B$23,'[1]T&amp;C emissions for 2050 analysis'!$C$3:$C$23)</f>
        <v>0.18333333333333335</v>
      </c>
      <c r="I1903" s="27">
        <f t="shared" si="87"/>
        <v>6.2450140500000008E-2</v>
      </c>
      <c r="J1903" s="129">
        <f t="shared" si="88"/>
        <v>9.5271000000000008</v>
      </c>
    </row>
    <row r="1904" spans="1:10" hidden="1" x14ac:dyDescent="0.35">
      <c r="A1904" s="126" t="s">
        <v>470</v>
      </c>
      <c r="B1904" t="str">
        <f>_xlfn.XLOOKUP(A1904,'[1]2050Pop'!$A$7:$A$143,'[1]2050Pop'!$D$7:$D$143)</f>
        <v>SSA</v>
      </c>
      <c r="C1904" s="127">
        <f>1000*_xlfn.XLOOKUP(A1904,'[1]2050Pop'!$A$7:$A$143,'[1]2050Pop'!$C$7:$C$143)</f>
        <v>101873</v>
      </c>
      <c r="D1904" s="126" t="s">
        <v>509</v>
      </c>
      <c r="E1904" s="128">
        <v>23.265999999999998</v>
      </c>
      <c r="F1904" s="129">
        <f t="shared" si="89"/>
        <v>2.3701772179999998</v>
      </c>
      <c r="G1904" t="str">
        <f>_xlfn.XLOOKUP(D1904,'[1]2050 BAU Mapping to T &amp; C'!$A$3:$A$52,'[1]2050 BAU Mapping to T &amp; C'!$B$3:$B$52)</f>
        <v xml:space="preserve">Oil crops </v>
      </c>
      <c r="H1904" s="129">
        <f>_xlfn.XLOOKUP(G1904,'[1]T&amp;C emissions for 2050 analysis'!$B$3:$B$23,'[1]T&amp;C emissions for 2050 analysis'!$C$3:$C$23)</f>
        <v>0.18333333333333335</v>
      </c>
      <c r="I1904" s="27">
        <f t="shared" si="87"/>
        <v>0.43453248996666666</v>
      </c>
      <c r="J1904" s="129">
        <f t="shared" si="88"/>
        <v>4.2654333333333332</v>
      </c>
    </row>
    <row r="1905" spans="1:10" hidden="1" x14ac:dyDescent="0.35">
      <c r="A1905" s="126" t="s">
        <v>471</v>
      </c>
      <c r="B1905" t="str">
        <f>_xlfn.XLOOKUP(A1905,'[1]2050Pop'!$A$7:$A$143,'[1]2050Pop'!$D$7:$D$143)</f>
        <v>Euro/AU/NZ</v>
      </c>
      <c r="C1905" s="127">
        <f>1000*_xlfn.XLOOKUP(A1905,'[1]2050Pop'!$A$7:$A$143,'[1]2050Pop'!$C$7:$C$143)</f>
        <v>35117</v>
      </c>
      <c r="D1905" s="126" t="s">
        <v>509</v>
      </c>
      <c r="E1905" s="128">
        <v>9.2530000000000001</v>
      </c>
      <c r="F1905" s="129">
        <f t="shared" si="89"/>
        <v>0.32493760100000002</v>
      </c>
      <c r="G1905" t="str">
        <f>_xlfn.XLOOKUP(D1905,'[1]2050 BAU Mapping to T &amp; C'!$A$3:$A$52,'[1]2050 BAU Mapping to T &amp; C'!$B$3:$B$52)</f>
        <v xml:space="preserve">Oil crops </v>
      </c>
      <c r="H1905" s="129">
        <f>_xlfn.XLOOKUP(G1905,'[1]T&amp;C emissions for 2050 analysis'!$B$3:$B$23,'[1]T&amp;C emissions for 2050 analysis'!$C$3:$C$23)</f>
        <v>0.18333333333333335</v>
      </c>
      <c r="I1905" s="27">
        <f t="shared" si="87"/>
        <v>5.9571893516666675E-2</v>
      </c>
      <c r="J1905" s="129">
        <f t="shared" si="88"/>
        <v>1.6963833333333336</v>
      </c>
    </row>
    <row r="1906" spans="1:10" hidden="1" x14ac:dyDescent="0.35">
      <c r="A1906" s="126" t="s">
        <v>472</v>
      </c>
      <c r="B1906" t="str">
        <f>_xlfn.XLOOKUP(A1906,'[1]2050Pop'!$A$7:$A$143,'[1]2050Pop'!$D$7:$D$143)</f>
        <v>Euro/AU/NZ</v>
      </c>
      <c r="C1906" s="127">
        <f>1000*_xlfn.XLOOKUP(A1906,'[1]2050Pop'!$A$7:$A$143,'[1]2050Pop'!$C$7:$C$143)</f>
        <v>75361</v>
      </c>
      <c r="D1906" s="126" t="s">
        <v>509</v>
      </c>
      <c r="E1906" s="128">
        <v>13.923999999999999</v>
      </c>
      <c r="F1906" s="129">
        <f t="shared" si="89"/>
        <v>1.049326564</v>
      </c>
      <c r="G1906" t="str">
        <f>_xlfn.XLOOKUP(D1906,'[1]2050 BAU Mapping to T &amp; C'!$A$3:$A$52,'[1]2050 BAU Mapping to T &amp; C'!$B$3:$B$52)</f>
        <v xml:space="preserve">Oil crops </v>
      </c>
      <c r="H1906" s="129">
        <f>_xlfn.XLOOKUP(G1906,'[1]T&amp;C emissions for 2050 analysis'!$B$3:$B$23,'[1]T&amp;C emissions for 2050 analysis'!$C$3:$C$23)</f>
        <v>0.18333333333333335</v>
      </c>
      <c r="I1906" s="27">
        <f t="shared" si="87"/>
        <v>0.19237653673333335</v>
      </c>
      <c r="J1906" s="129">
        <f t="shared" si="88"/>
        <v>2.5527333333333333</v>
      </c>
    </row>
    <row r="1907" spans="1:10" hidden="1" x14ac:dyDescent="0.35">
      <c r="A1907" s="126" t="s">
        <v>473</v>
      </c>
      <c r="B1907" t="str">
        <f>_xlfn.XLOOKUP(A1907,'[1]2050Pop'!$A$7:$A$143,'[1]2050Pop'!$D$7:$D$143)</f>
        <v>SSA</v>
      </c>
      <c r="C1907" s="127">
        <f>1000*_xlfn.XLOOKUP(A1907,'[1]2050Pop'!$A$7:$A$143,'[1]2050Pop'!$C$7:$C$143)</f>
        <v>137136</v>
      </c>
      <c r="D1907" s="126" t="s">
        <v>509</v>
      </c>
      <c r="E1907" s="128">
        <v>20.643000000000001</v>
      </c>
      <c r="F1907" s="129">
        <f t="shared" si="89"/>
        <v>2.8308984480000001</v>
      </c>
      <c r="G1907" t="str">
        <f>_xlfn.XLOOKUP(D1907,'[1]2050 BAU Mapping to T &amp; C'!$A$3:$A$52,'[1]2050 BAU Mapping to T &amp; C'!$B$3:$B$52)</f>
        <v xml:space="preserve">Oil crops </v>
      </c>
      <c r="H1907" s="129">
        <f>_xlfn.XLOOKUP(G1907,'[1]T&amp;C emissions for 2050 analysis'!$B$3:$B$23,'[1]T&amp;C emissions for 2050 analysis'!$C$3:$C$23)</f>
        <v>0.18333333333333335</v>
      </c>
      <c r="I1907" s="27">
        <f t="shared" si="87"/>
        <v>0.51899804880000011</v>
      </c>
      <c r="J1907" s="129">
        <f t="shared" si="88"/>
        <v>3.7845500000000003</v>
      </c>
    </row>
    <row r="1908" spans="1:10" hidden="1" x14ac:dyDescent="0.35">
      <c r="A1908" s="126" t="s">
        <v>474</v>
      </c>
      <c r="B1908" t="str">
        <f>_xlfn.XLOOKUP(A1908,'[1]2050Pop'!$A$7:$A$143,'[1]2050Pop'!$D$7:$D$143)</f>
        <v>NAm</v>
      </c>
      <c r="C1908" s="127">
        <f>1000*_xlfn.XLOOKUP(A1908,'[1]2050Pop'!$A$7:$A$143,'[1]2050Pop'!$C$7:$C$143)</f>
        <v>388865</v>
      </c>
      <c r="D1908" s="126" t="s">
        <v>509</v>
      </c>
      <c r="E1908" s="128">
        <v>3.0409999999999999</v>
      </c>
      <c r="F1908" s="129">
        <f t="shared" si="89"/>
        <v>1.1825384650000001</v>
      </c>
      <c r="G1908" t="str">
        <f>_xlfn.XLOOKUP(D1908,'[1]2050 BAU Mapping to T &amp; C'!$A$3:$A$52,'[1]2050 BAU Mapping to T &amp; C'!$B$3:$B$52)</f>
        <v xml:space="preserve">Oil crops </v>
      </c>
      <c r="H1908" s="129">
        <f>_xlfn.XLOOKUP(G1908,'[1]T&amp;C emissions for 2050 analysis'!$B$3:$B$23,'[1]T&amp;C emissions for 2050 analysis'!$C$3:$C$23)</f>
        <v>0.18333333333333335</v>
      </c>
      <c r="I1908" s="27">
        <f t="shared" si="87"/>
        <v>0.21679871858333338</v>
      </c>
      <c r="J1908" s="129">
        <f t="shared" si="88"/>
        <v>0.55751666666666666</v>
      </c>
    </row>
    <row r="1909" spans="1:10" hidden="1" x14ac:dyDescent="0.35">
      <c r="A1909" s="126" t="s">
        <v>475</v>
      </c>
      <c r="B1909" t="str">
        <f>_xlfn.XLOOKUP(A1909,'[1]2050Pop'!$A$7:$A$143,'[1]2050Pop'!$D$7:$D$143)</f>
        <v>LatAm &amp; RSA</v>
      </c>
      <c r="C1909" s="127">
        <f>1000*_xlfn.XLOOKUP(A1909,'[1]2050Pop'!$A$7:$A$143,'[1]2050Pop'!$C$7:$C$143)</f>
        <v>3667</v>
      </c>
      <c r="D1909" s="126" t="s">
        <v>509</v>
      </c>
      <c r="E1909" s="128">
        <v>61.192999999999998</v>
      </c>
      <c r="F1909" s="129">
        <f t="shared" si="89"/>
        <v>0.22439473099999999</v>
      </c>
      <c r="G1909" t="str">
        <f>_xlfn.XLOOKUP(D1909,'[1]2050 BAU Mapping to T &amp; C'!$A$3:$A$52,'[1]2050 BAU Mapping to T &amp; C'!$B$3:$B$52)</f>
        <v xml:space="preserve">Oil crops </v>
      </c>
      <c r="H1909" s="129">
        <f>_xlfn.XLOOKUP(G1909,'[1]T&amp;C emissions for 2050 analysis'!$B$3:$B$23,'[1]T&amp;C emissions for 2050 analysis'!$C$3:$C$23)</f>
        <v>0.18333333333333335</v>
      </c>
      <c r="I1909" s="27">
        <f t="shared" si="87"/>
        <v>4.1139034016666666E-2</v>
      </c>
      <c r="J1909" s="129">
        <f t="shared" si="88"/>
        <v>11.218716666666667</v>
      </c>
    </row>
    <row r="1910" spans="1:10" hidden="1" x14ac:dyDescent="0.35">
      <c r="A1910" s="126" t="s">
        <v>485</v>
      </c>
      <c r="B1910" t="str">
        <f>_xlfn.XLOOKUP(A1910,'[1]2050Pop'!$A$7:$A$143,'[1]2050Pop'!$D$7:$D$143)</f>
        <v>APAC</v>
      </c>
      <c r="C1910" s="127">
        <f>1000*_xlfn.XLOOKUP(A1910,'[1]2050Pop'!$A$7:$A$143,'[1]2050Pop'!$C$7:$C$143)</f>
        <v>37126</v>
      </c>
      <c r="D1910" s="126" t="s">
        <v>509</v>
      </c>
      <c r="E1910" s="128">
        <v>5.9089999999999998</v>
      </c>
      <c r="F1910" s="129">
        <f t="shared" si="89"/>
        <v>0.21937753399999999</v>
      </c>
      <c r="G1910" t="str">
        <f>_xlfn.XLOOKUP(D1910,'[1]2050 BAU Mapping to T &amp; C'!$A$3:$A$52,'[1]2050 BAU Mapping to T &amp; C'!$B$3:$B$52)</f>
        <v xml:space="preserve">Oil crops </v>
      </c>
      <c r="H1910" s="129">
        <f>_xlfn.XLOOKUP(G1910,'[1]T&amp;C emissions for 2050 analysis'!$B$3:$B$23,'[1]T&amp;C emissions for 2050 analysis'!$C$3:$C$23)</f>
        <v>0.18333333333333335</v>
      </c>
      <c r="I1910" s="27">
        <f t="shared" si="87"/>
        <v>4.0219214566666668E-2</v>
      </c>
      <c r="J1910" s="129">
        <f t="shared" si="88"/>
        <v>1.0833166666666667</v>
      </c>
    </row>
    <row r="1911" spans="1:10" hidden="1" x14ac:dyDescent="0.35">
      <c r="A1911" s="126" t="s">
        <v>477</v>
      </c>
      <c r="B1911" t="str">
        <f>_xlfn.XLOOKUP(A1911,'[1]2050Pop'!$A$7:$A$143,'[1]2050Pop'!$D$7:$D$143)</f>
        <v>APAC</v>
      </c>
      <c r="C1911" s="127">
        <f>1000*_xlfn.XLOOKUP(A1911,'[1]2050Pop'!$A$7:$A$143,'[1]2050Pop'!$C$7:$C$143)</f>
        <v>112783</v>
      </c>
      <c r="D1911" s="126" t="s">
        <v>509</v>
      </c>
      <c r="E1911" s="128">
        <v>12.202999999999999</v>
      </c>
      <c r="F1911" s="129">
        <f t="shared" si="89"/>
        <v>1.3762909489999999</v>
      </c>
      <c r="G1911" t="str">
        <f>_xlfn.XLOOKUP(D1911,'[1]2050 BAU Mapping to T &amp; C'!$A$3:$A$52,'[1]2050 BAU Mapping to T &amp; C'!$B$3:$B$52)</f>
        <v xml:space="preserve">Oil crops </v>
      </c>
      <c r="H1911" s="129">
        <f>_xlfn.XLOOKUP(G1911,'[1]T&amp;C emissions for 2050 analysis'!$B$3:$B$23,'[1]T&amp;C emissions for 2050 analysis'!$C$3:$C$23)</f>
        <v>0.18333333333333335</v>
      </c>
      <c r="I1911" s="27">
        <f t="shared" si="87"/>
        <v>0.25232000731666665</v>
      </c>
      <c r="J1911" s="129">
        <f t="shared" si="88"/>
        <v>2.2372166666666669</v>
      </c>
    </row>
    <row r="1912" spans="1:10" hidden="1" x14ac:dyDescent="0.35">
      <c r="A1912" s="126" t="s">
        <v>478</v>
      </c>
      <c r="B1912" t="str">
        <f>_xlfn.XLOOKUP(A1912,'[1]2050Pop'!$A$7:$A$143,'[1]2050Pop'!$D$7:$D$143)</f>
        <v>MENA</v>
      </c>
      <c r="C1912" s="127">
        <f>1000*_xlfn.XLOOKUP(A1912,'[1]2050Pop'!$A$7:$A$143,'[1]2050Pop'!$C$7:$C$143)</f>
        <v>47170</v>
      </c>
      <c r="D1912" s="126" t="s">
        <v>509</v>
      </c>
      <c r="E1912" s="128">
        <v>45.676000000000002</v>
      </c>
      <c r="F1912" s="129">
        <f t="shared" si="89"/>
        <v>2.15453692</v>
      </c>
      <c r="G1912" t="str">
        <f>_xlfn.XLOOKUP(D1912,'[1]2050 BAU Mapping to T &amp; C'!$A$3:$A$52,'[1]2050 BAU Mapping to T &amp; C'!$B$3:$B$52)</f>
        <v xml:space="preserve">Oil crops </v>
      </c>
      <c r="H1912" s="129">
        <f>_xlfn.XLOOKUP(G1912,'[1]T&amp;C emissions for 2050 analysis'!$B$3:$B$23,'[1]T&amp;C emissions for 2050 analysis'!$C$3:$C$23)</f>
        <v>0.18333333333333335</v>
      </c>
      <c r="I1912" s="27">
        <f t="shared" si="87"/>
        <v>0.39499843533333334</v>
      </c>
      <c r="J1912" s="129">
        <f t="shared" si="88"/>
        <v>8.3739333333333352</v>
      </c>
    </row>
    <row r="1913" spans="1:10" hidden="1" x14ac:dyDescent="0.35">
      <c r="A1913" s="126" t="s">
        <v>494</v>
      </c>
      <c r="B1913" t="str">
        <f>_xlfn.XLOOKUP(A1913,'[1]2050Pop'!$A$7:$A$143,'[1]2050Pop'!$D$7:$D$143)</f>
        <v>SSA</v>
      </c>
      <c r="C1913" s="127">
        <f>1000*_xlfn.XLOOKUP(A1913,'[1]2050Pop'!$A$7:$A$143,'[1]2050Pop'!$C$7:$C$143)</f>
        <v>42975</v>
      </c>
      <c r="D1913" s="126" t="s">
        <v>509</v>
      </c>
      <c r="E1913" s="128">
        <v>24.844999999999999</v>
      </c>
      <c r="F1913" s="129">
        <f t="shared" si="89"/>
        <v>1.0677138749999999</v>
      </c>
      <c r="G1913" t="str">
        <f>_xlfn.XLOOKUP(D1913,'[1]2050 BAU Mapping to T &amp; C'!$A$3:$A$52,'[1]2050 BAU Mapping to T &amp; C'!$B$3:$B$52)</f>
        <v xml:space="preserve">Oil crops </v>
      </c>
      <c r="H1913" s="129">
        <f>_xlfn.XLOOKUP(G1913,'[1]T&amp;C emissions for 2050 analysis'!$B$3:$B$23,'[1]T&amp;C emissions for 2050 analysis'!$C$3:$C$23)</f>
        <v>0.18333333333333335</v>
      </c>
      <c r="I1913" s="27">
        <f t="shared" si="87"/>
        <v>0.19574754375</v>
      </c>
      <c r="J1913" s="129">
        <f t="shared" si="88"/>
        <v>4.5549166666666672</v>
      </c>
    </row>
    <row r="1914" spans="1:10" hidden="1" x14ac:dyDescent="0.35">
      <c r="A1914" s="126" t="s">
        <v>479</v>
      </c>
      <c r="B1914" t="str">
        <f>_xlfn.XLOOKUP(A1914,'[1]2050Pop'!$A$7:$A$143,'[1]2050Pop'!$D$7:$D$143)</f>
        <v>SSA</v>
      </c>
      <c r="C1914" s="127">
        <f>1000*_xlfn.XLOOKUP(A1914,'[1]2050Pop'!$A$7:$A$143,'[1]2050Pop'!$C$7:$C$143)</f>
        <v>29615</v>
      </c>
      <c r="D1914" s="126" t="s">
        <v>509</v>
      </c>
      <c r="E1914" s="128">
        <v>16.478999999999999</v>
      </c>
      <c r="F1914" s="129">
        <f t="shared" si="89"/>
        <v>0.48802558499999998</v>
      </c>
      <c r="G1914" t="str">
        <f>_xlfn.XLOOKUP(D1914,'[1]2050 BAU Mapping to T &amp; C'!$A$3:$A$52,'[1]2050 BAU Mapping to T &amp; C'!$B$3:$B$52)</f>
        <v xml:space="preserve">Oil crops </v>
      </c>
      <c r="H1914" s="129">
        <f>_xlfn.XLOOKUP(G1914,'[1]T&amp;C emissions for 2050 analysis'!$B$3:$B$23,'[1]T&amp;C emissions for 2050 analysis'!$C$3:$C$23)</f>
        <v>0.18333333333333335</v>
      </c>
      <c r="I1914" s="27">
        <f t="shared" si="87"/>
        <v>8.9471357250000008E-2</v>
      </c>
      <c r="J1914" s="129">
        <f t="shared" si="88"/>
        <v>3.02115</v>
      </c>
    </row>
    <row r="1915" spans="1:10" hidden="1" x14ac:dyDescent="0.35">
      <c r="A1915" s="126" t="s">
        <v>357</v>
      </c>
      <c r="B1915" t="str">
        <f>_xlfn.XLOOKUP(A1915,'[1]2050Pop'!$A$7:$A$143,'[1]2050Pop'!$D$7:$D$143)</f>
        <v>Euro/AU/NZ</v>
      </c>
      <c r="C1915" s="127">
        <f>1000*_xlfn.XLOOKUP(A1915,'[1]2050Pop'!$A$7:$A$143,'[1]2050Pop'!$C$7:$C$143)</f>
        <v>2710</v>
      </c>
      <c r="D1915" s="126" t="s">
        <v>510</v>
      </c>
      <c r="E1915" s="128">
        <v>14.211</v>
      </c>
      <c r="F1915" s="129">
        <f t="shared" si="89"/>
        <v>3.851181E-2</v>
      </c>
      <c r="G1915" t="str">
        <f>_xlfn.XLOOKUP(D1915,'[1]2050 BAU Mapping to T &amp; C'!$A$3:$A$52,'[1]2050 BAU Mapping to T &amp; C'!$B$3:$B$52)</f>
        <v xml:space="preserve">Oil crops </v>
      </c>
      <c r="H1915" s="129">
        <f>_xlfn.XLOOKUP(G1915,'[1]T&amp;C emissions for 2050 analysis'!$B$3:$B$23,'[1]T&amp;C emissions for 2050 analysis'!$C$3:$C$23)</f>
        <v>0.18333333333333335</v>
      </c>
      <c r="I1915" s="27">
        <f t="shared" si="87"/>
        <v>7.0604985000000007E-3</v>
      </c>
      <c r="J1915" s="129">
        <f t="shared" si="88"/>
        <v>2.6053500000000001</v>
      </c>
    </row>
    <row r="1916" spans="1:10" hidden="1" x14ac:dyDescent="0.35">
      <c r="A1916" s="126" t="s">
        <v>358</v>
      </c>
      <c r="B1916" t="str">
        <f>_xlfn.XLOOKUP(A1916,'[1]2050Pop'!$A$7:$A$143,'[1]2050Pop'!$D$7:$D$143)</f>
        <v>MENA</v>
      </c>
      <c r="C1916" s="127">
        <f>1000*_xlfn.XLOOKUP(A1916,'[1]2050Pop'!$A$7:$A$143,'[1]2050Pop'!$C$7:$C$143)</f>
        <v>56461</v>
      </c>
      <c r="D1916" s="126" t="s">
        <v>510</v>
      </c>
      <c r="E1916" s="128">
        <v>42.997</v>
      </c>
      <c r="F1916" s="129">
        <f t="shared" si="89"/>
        <v>2.4276536170000003</v>
      </c>
      <c r="G1916" t="str">
        <f>_xlfn.XLOOKUP(D1916,'[1]2050 BAU Mapping to T &amp; C'!$A$3:$A$52,'[1]2050 BAU Mapping to T &amp; C'!$B$3:$B$52)</f>
        <v xml:space="preserve">Oil crops </v>
      </c>
      <c r="H1916" s="129">
        <f>_xlfn.XLOOKUP(G1916,'[1]T&amp;C emissions for 2050 analysis'!$B$3:$B$23,'[1]T&amp;C emissions for 2050 analysis'!$C$3:$C$23)</f>
        <v>0.18333333333333335</v>
      </c>
      <c r="I1916" s="27">
        <f t="shared" si="87"/>
        <v>0.44506982978333343</v>
      </c>
      <c r="J1916" s="129">
        <f t="shared" si="88"/>
        <v>7.8827833333333341</v>
      </c>
    </row>
    <row r="1917" spans="1:10" hidden="1" x14ac:dyDescent="0.35">
      <c r="A1917" s="126" t="s">
        <v>359</v>
      </c>
      <c r="B1917" t="str">
        <f>_xlfn.XLOOKUP(A1917,'[1]2050Pop'!$A$7:$A$143,'[1]2050Pop'!$D$7:$D$143)</f>
        <v>SSA</v>
      </c>
      <c r="C1917" s="127">
        <f>1000*_xlfn.XLOOKUP(A1917,'[1]2050Pop'!$A$7:$A$143,'[1]2050Pop'!$C$7:$C$143)</f>
        <v>65473</v>
      </c>
      <c r="D1917" s="126" t="s">
        <v>510</v>
      </c>
      <c r="E1917" s="128">
        <v>5.4720000000000004</v>
      </c>
      <c r="F1917" s="129">
        <f t="shared" si="89"/>
        <v>0.35826825600000006</v>
      </c>
      <c r="G1917" t="str">
        <f>_xlfn.XLOOKUP(D1917,'[1]2050 BAU Mapping to T &amp; C'!$A$3:$A$52,'[1]2050 BAU Mapping to T &amp; C'!$B$3:$B$52)</f>
        <v xml:space="preserve">Oil crops </v>
      </c>
      <c r="H1917" s="129">
        <f>_xlfn.XLOOKUP(G1917,'[1]T&amp;C emissions for 2050 analysis'!$B$3:$B$23,'[1]T&amp;C emissions for 2050 analysis'!$C$3:$C$23)</f>
        <v>0.18333333333333335</v>
      </c>
      <c r="I1917" s="27">
        <f t="shared" si="87"/>
        <v>6.568251360000002E-2</v>
      </c>
      <c r="J1917" s="129">
        <f t="shared" si="88"/>
        <v>1.0032000000000001</v>
      </c>
    </row>
    <row r="1918" spans="1:10" hidden="1" x14ac:dyDescent="0.35">
      <c r="A1918" s="126" t="s">
        <v>360</v>
      </c>
      <c r="B1918" t="str">
        <f>_xlfn.XLOOKUP(A1918,'[1]2050Pop'!$A$7:$A$143,'[1]2050Pop'!$D$7:$D$143)</f>
        <v>LatAm &amp; RSA</v>
      </c>
      <c r="C1918" s="127">
        <f>1000*_xlfn.XLOOKUP(A1918,'[1]2050Pop'!$A$7:$A$143,'[1]2050Pop'!$C$7:$C$143)</f>
        <v>55445</v>
      </c>
      <c r="D1918" s="126" t="s">
        <v>510</v>
      </c>
      <c r="E1918" s="128">
        <v>2.8140000000000001</v>
      </c>
      <c r="F1918" s="129">
        <f t="shared" si="89"/>
        <v>0.15602223000000001</v>
      </c>
      <c r="G1918" t="str">
        <f>_xlfn.XLOOKUP(D1918,'[1]2050 BAU Mapping to T &amp; C'!$A$3:$A$52,'[1]2050 BAU Mapping to T &amp; C'!$B$3:$B$52)</f>
        <v xml:space="preserve">Oil crops </v>
      </c>
      <c r="H1918" s="129">
        <f>_xlfn.XLOOKUP(G1918,'[1]T&amp;C emissions for 2050 analysis'!$B$3:$B$23,'[1]T&amp;C emissions for 2050 analysis'!$C$3:$C$23)</f>
        <v>0.18333333333333335</v>
      </c>
      <c r="I1918" s="27">
        <f t="shared" si="87"/>
        <v>2.8604075500000003E-2</v>
      </c>
      <c r="J1918" s="129">
        <f t="shared" si="88"/>
        <v>0.51590000000000003</v>
      </c>
    </row>
    <row r="1919" spans="1:10" hidden="1" x14ac:dyDescent="0.35">
      <c r="A1919" s="126" t="s">
        <v>361</v>
      </c>
      <c r="B1919" t="str">
        <f>_xlfn.XLOOKUP(A1919,'[1]2050Pop'!$A$7:$A$143,'[1]2050Pop'!$D$7:$D$143)</f>
        <v>MENA</v>
      </c>
      <c r="C1919" s="127">
        <f>1000*_xlfn.XLOOKUP(A1919,'[1]2050Pop'!$A$7:$A$143,'[1]2050Pop'!$C$7:$C$143)</f>
        <v>2729</v>
      </c>
      <c r="D1919" s="126" t="s">
        <v>510</v>
      </c>
      <c r="E1919" s="128">
        <v>1.0409999999999999</v>
      </c>
      <c r="F1919" s="129">
        <f t="shared" si="89"/>
        <v>2.8408889999999997E-3</v>
      </c>
      <c r="G1919" t="str">
        <f>_xlfn.XLOOKUP(D1919,'[1]2050 BAU Mapping to T &amp; C'!$A$3:$A$52,'[1]2050 BAU Mapping to T &amp; C'!$B$3:$B$52)</f>
        <v xml:space="preserve">Oil crops </v>
      </c>
      <c r="H1919" s="129">
        <f>_xlfn.XLOOKUP(G1919,'[1]T&amp;C emissions for 2050 analysis'!$B$3:$B$23,'[1]T&amp;C emissions for 2050 analysis'!$C$3:$C$23)</f>
        <v>0.18333333333333335</v>
      </c>
      <c r="I1919" s="27">
        <f t="shared" si="87"/>
        <v>5.2082965E-4</v>
      </c>
      <c r="J1919" s="129">
        <f t="shared" si="88"/>
        <v>0.19084999999999999</v>
      </c>
    </row>
    <row r="1920" spans="1:10" hidden="1" x14ac:dyDescent="0.35">
      <c r="A1920" s="126" t="s">
        <v>362</v>
      </c>
      <c r="B1920" t="str">
        <f>_xlfn.XLOOKUP(A1920,'[1]2050Pop'!$A$7:$A$143,'[1]2050Pop'!$D$7:$D$143)</f>
        <v>Euro/AU/NZ</v>
      </c>
      <c r="C1920" s="127">
        <f>1000*_xlfn.XLOOKUP(A1920,'[1]2050Pop'!$A$7:$A$143,'[1]2050Pop'!$C$7:$C$143)</f>
        <v>33496</v>
      </c>
      <c r="D1920" s="126" t="s">
        <v>510</v>
      </c>
      <c r="E1920" s="128">
        <v>40.984999999999999</v>
      </c>
      <c r="F1920" s="129">
        <f t="shared" si="89"/>
        <v>1.3728335600000001</v>
      </c>
      <c r="G1920" t="str">
        <f>_xlfn.XLOOKUP(D1920,'[1]2050 BAU Mapping to T &amp; C'!$A$3:$A$52,'[1]2050 BAU Mapping to T &amp; C'!$B$3:$B$52)</f>
        <v xml:space="preserve">Oil crops </v>
      </c>
      <c r="H1920" s="129">
        <f>_xlfn.XLOOKUP(G1920,'[1]T&amp;C emissions for 2050 analysis'!$B$3:$B$23,'[1]T&amp;C emissions for 2050 analysis'!$C$3:$C$23)</f>
        <v>0.18333333333333335</v>
      </c>
      <c r="I1920" s="27">
        <f t="shared" si="87"/>
        <v>0.25168615266666672</v>
      </c>
      <c r="J1920" s="129">
        <f t="shared" si="88"/>
        <v>7.5139166666666668</v>
      </c>
    </row>
    <row r="1921" spans="1:10" hidden="1" x14ac:dyDescent="0.35">
      <c r="A1921" s="126" t="s">
        <v>363</v>
      </c>
      <c r="B1921" t="str">
        <f>_xlfn.XLOOKUP(A1921,'[1]2050Pop'!$A$7:$A$143,'[1]2050Pop'!$D$7:$D$143)</f>
        <v>Euro/AU/NZ</v>
      </c>
      <c r="C1921" s="127">
        <f>1000*_xlfn.XLOOKUP(A1921,'[1]2050Pop'!$A$7:$A$143,'[1]2050Pop'!$C$7:$C$143)</f>
        <v>8846</v>
      </c>
      <c r="D1921" s="126" t="s">
        <v>510</v>
      </c>
      <c r="E1921" s="128">
        <v>24.408000000000001</v>
      </c>
      <c r="F1921" s="129">
        <f t="shared" si="89"/>
        <v>0.21591316800000002</v>
      </c>
      <c r="G1921" t="str">
        <f>_xlfn.XLOOKUP(D1921,'[1]2050 BAU Mapping to T &amp; C'!$A$3:$A$52,'[1]2050 BAU Mapping to T &amp; C'!$B$3:$B$52)</f>
        <v xml:space="preserve">Oil crops </v>
      </c>
      <c r="H1921" s="129">
        <f>_xlfn.XLOOKUP(G1921,'[1]T&amp;C emissions for 2050 analysis'!$B$3:$B$23,'[1]T&amp;C emissions for 2050 analysis'!$C$3:$C$23)</f>
        <v>0.18333333333333335</v>
      </c>
      <c r="I1921" s="27">
        <f t="shared" si="87"/>
        <v>3.9584080800000004E-2</v>
      </c>
      <c r="J1921" s="129">
        <f t="shared" si="88"/>
        <v>4.474800000000001</v>
      </c>
    </row>
    <row r="1922" spans="1:10" hidden="1" x14ac:dyDescent="0.35">
      <c r="A1922" s="126" t="s">
        <v>364</v>
      </c>
      <c r="B1922" t="str">
        <f>_xlfn.XLOOKUP(A1922,'[1]2050Pop'!$A$7:$A$143,'[1]2050Pop'!$D$7:$D$143)</f>
        <v>MENA</v>
      </c>
      <c r="C1922" s="127">
        <f>1000*_xlfn.XLOOKUP(A1922,'[1]2050Pop'!$A$7:$A$143,'[1]2050Pop'!$C$7:$C$143)</f>
        <v>10963</v>
      </c>
      <c r="D1922" s="126" t="s">
        <v>510</v>
      </c>
      <c r="E1922" s="128">
        <v>3.6909999999999998</v>
      </c>
      <c r="F1922" s="129">
        <f t="shared" si="89"/>
        <v>4.0464432999999994E-2</v>
      </c>
      <c r="G1922" t="str">
        <f>_xlfn.XLOOKUP(D1922,'[1]2050 BAU Mapping to T &amp; C'!$A$3:$A$52,'[1]2050 BAU Mapping to T &amp; C'!$B$3:$B$52)</f>
        <v xml:space="preserve">Oil crops </v>
      </c>
      <c r="H1922" s="129">
        <f>_xlfn.XLOOKUP(G1922,'[1]T&amp;C emissions for 2050 analysis'!$B$3:$B$23,'[1]T&amp;C emissions for 2050 analysis'!$C$3:$C$23)</f>
        <v>0.18333333333333335</v>
      </c>
      <c r="I1922" s="27">
        <f t="shared" si="87"/>
        <v>7.4184793833333325E-3</v>
      </c>
      <c r="J1922" s="129">
        <f t="shared" si="88"/>
        <v>0.6766833333333333</v>
      </c>
    </row>
    <row r="1923" spans="1:10" hidden="1" x14ac:dyDescent="0.35">
      <c r="A1923" s="126" t="s">
        <v>366</v>
      </c>
      <c r="B1923" t="str">
        <f>_xlfn.XLOOKUP(A1923,'[1]2050Pop'!$A$7:$A$143,'[1]2050Pop'!$D$7:$D$143)</f>
        <v>Euro/AU/NZ</v>
      </c>
      <c r="C1923" s="127">
        <f>1000*_xlfn.XLOOKUP(A1923,'[1]2050Pop'!$A$7:$A$143,'[1]2050Pop'!$C$7:$C$143)</f>
        <v>8125</v>
      </c>
      <c r="D1923" s="126" t="s">
        <v>510</v>
      </c>
      <c r="E1923" s="128">
        <v>1.637</v>
      </c>
      <c r="F1923" s="129">
        <f t="shared" si="89"/>
        <v>1.3300625E-2</v>
      </c>
      <c r="G1923" t="str">
        <f>_xlfn.XLOOKUP(D1923,'[1]2050 BAU Mapping to T &amp; C'!$A$3:$A$52,'[1]2050 BAU Mapping to T &amp; C'!$B$3:$B$52)</f>
        <v xml:space="preserve">Oil crops </v>
      </c>
      <c r="H1923" s="129">
        <f>_xlfn.XLOOKUP(G1923,'[1]T&amp;C emissions for 2050 analysis'!$B$3:$B$23,'[1]T&amp;C emissions for 2050 analysis'!$C$3:$C$23)</f>
        <v>0.18333333333333335</v>
      </c>
      <c r="I1923" s="27">
        <f t="shared" si="87"/>
        <v>2.4384479166666669E-3</v>
      </c>
      <c r="J1923" s="129">
        <f t="shared" si="88"/>
        <v>0.3001166666666667</v>
      </c>
    </row>
    <row r="1924" spans="1:10" hidden="1" x14ac:dyDescent="0.35">
      <c r="A1924" s="126" t="s">
        <v>367</v>
      </c>
      <c r="B1924" t="str">
        <f>_xlfn.XLOOKUP(A1924,'[1]2050Pop'!$A$7:$A$143,'[1]2050Pop'!$D$7:$D$143)</f>
        <v>Euro/AU/NZ</v>
      </c>
      <c r="C1924" s="127">
        <f>1000*_xlfn.XLOOKUP(A1924,'[1]2050Pop'!$A$7:$A$143,'[1]2050Pop'!$C$7:$C$143)</f>
        <v>12527</v>
      </c>
      <c r="D1924" s="126" t="s">
        <v>510</v>
      </c>
      <c r="E1924" s="128">
        <v>35.555</v>
      </c>
      <c r="F1924" s="129">
        <f t="shared" si="89"/>
        <v>0.44539748499999998</v>
      </c>
      <c r="G1924" t="str">
        <f>_xlfn.XLOOKUP(D1924,'[1]2050 BAU Mapping to T &amp; C'!$A$3:$A$52,'[1]2050 BAU Mapping to T &amp; C'!$B$3:$B$52)</f>
        <v xml:space="preserve">Oil crops </v>
      </c>
      <c r="H1924" s="129">
        <f>_xlfn.XLOOKUP(G1924,'[1]T&amp;C emissions for 2050 analysis'!$B$3:$B$23,'[1]T&amp;C emissions for 2050 analysis'!$C$3:$C$23)</f>
        <v>0.18333333333333335</v>
      </c>
      <c r="I1924" s="27">
        <f t="shared" ref="I1924:I1987" si="90">F1924*H1924</f>
        <v>8.1656205583333336E-2</v>
      </c>
      <c r="J1924" s="129">
        <f t="shared" ref="J1924:J1987" si="91">E1924*H1924</f>
        <v>6.518416666666667</v>
      </c>
    </row>
    <row r="1925" spans="1:10" hidden="1" x14ac:dyDescent="0.35">
      <c r="A1925" s="126" t="s">
        <v>369</v>
      </c>
      <c r="B1925" t="str">
        <f>_xlfn.XLOOKUP(A1925,'[1]2050Pop'!$A$7:$A$143,'[1]2050Pop'!$D$7:$D$143)</f>
        <v>LatAm &amp; RSA</v>
      </c>
      <c r="C1925" s="127">
        <f>1000*_xlfn.XLOOKUP(A1925,'[1]2050Pop'!$A$7:$A$143,'[1]2050Pop'!$C$7:$C$143)</f>
        <v>15963</v>
      </c>
      <c r="D1925" s="126" t="s">
        <v>510</v>
      </c>
      <c r="E1925" s="128">
        <v>1.2769999999999999</v>
      </c>
      <c r="F1925" s="129">
        <f t="shared" ref="F1925:F1988" si="92">C1925*E1925/1000000</f>
        <v>2.0384751E-2</v>
      </c>
      <c r="G1925" t="str">
        <f>_xlfn.XLOOKUP(D1925,'[1]2050 BAU Mapping to T &amp; C'!$A$3:$A$52,'[1]2050 BAU Mapping to T &amp; C'!$B$3:$B$52)</f>
        <v xml:space="preserve">Oil crops </v>
      </c>
      <c r="H1925" s="129">
        <f>_xlfn.XLOOKUP(G1925,'[1]T&amp;C emissions for 2050 analysis'!$B$3:$B$23,'[1]T&amp;C emissions for 2050 analysis'!$C$3:$C$23)</f>
        <v>0.18333333333333335</v>
      </c>
      <c r="I1925" s="27">
        <f t="shared" si="90"/>
        <v>3.7372043500000004E-3</v>
      </c>
      <c r="J1925" s="129">
        <f t="shared" si="91"/>
        <v>0.23411666666666667</v>
      </c>
    </row>
    <row r="1926" spans="1:10" hidden="1" x14ac:dyDescent="0.35">
      <c r="A1926" s="126" t="s">
        <v>370</v>
      </c>
      <c r="B1926" t="str">
        <f>_xlfn.XLOOKUP(A1926,'[1]2050Pop'!$A$7:$A$143,'[1]2050Pop'!$D$7:$D$143)</f>
        <v>Euro/AU/NZ</v>
      </c>
      <c r="C1926" s="127">
        <f>1000*_xlfn.XLOOKUP(A1926,'[1]2050Pop'!$A$7:$A$143,'[1]2050Pop'!$C$7:$C$143)</f>
        <v>3069</v>
      </c>
      <c r="D1926" s="126" t="s">
        <v>510</v>
      </c>
      <c r="E1926" s="128">
        <v>5.9489999999999998</v>
      </c>
      <c r="F1926" s="129">
        <f t="shared" si="92"/>
        <v>1.8257480999999999E-2</v>
      </c>
      <c r="G1926" t="str">
        <f>_xlfn.XLOOKUP(D1926,'[1]2050 BAU Mapping to T &amp; C'!$A$3:$A$52,'[1]2050 BAU Mapping to T &amp; C'!$B$3:$B$52)</f>
        <v xml:space="preserve">Oil crops </v>
      </c>
      <c r="H1926" s="129">
        <f>_xlfn.XLOOKUP(G1926,'[1]T&amp;C emissions for 2050 analysis'!$B$3:$B$23,'[1]T&amp;C emissions for 2050 analysis'!$C$3:$C$23)</f>
        <v>0.18333333333333335</v>
      </c>
      <c r="I1926" s="27">
        <f t="shared" si="90"/>
        <v>3.34720485E-3</v>
      </c>
      <c r="J1926" s="129">
        <f t="shared" si="91"/>
        <v>1.0906500000000001</v>
      </c>
    </row>
    <row r="1927" spans="1:10" hidden="1" x14ac:dyDescent="0.35">
      <c r="A1927" s="126" t="s">
        <v>371</v>
      </c>
      <c r="B1927" t="str">
        <f>_xlfn.XLOOKUP(A1927,'[1]2050Pop'!$A$7:$A$143,'[1]2050Pop'!$D$7:$D$143)</f>
        <v>SSA</v>
      </c>
      <c r="C1927" s="127">
        <f>1000*_xlfn.XLOOKUP(A1927,'[1]2050Pop'!$A$7:$A$143,'[1]2050Pop'!$C$7:$C$143)</f>
        <v>3389</v>
      </c>
      <c r="D1927" s="126" t="s">
        <v>510</v>
      </c>
      <c r="E1927" s="128">
        <v>4.2039999999999997</v>
      </c>
      <c r="F1927" s="129">
        <f t="shared" si="92"/>
        <v>1.4247355999999999E-2</v>
      </c>
      <c r="G1927" t="str">
        <f>_xlfn.XLOOKUP(D1927,'[1]2050 BAU Mapping to T &amp; C'!$A$3:$A$52,'[1]2050 BAU Mapping to T &amp; C'!$B$3:$B$52)</f>
        <v xml:space="preserve">Oil crops </v>
      </c>
      <c r="H1927" s="129">
        <f>_xlfn.XLOOKUP(G1927,'[1]T&amp;C emissions for 2050 analysis'!$B$3:$B$23,'[1]T&amp;C emissions for 2050 analysis'!$C$3:$C$23)</f>
        <v>0.18333333333333335</v>
      </c>
      <c r="I1927" s="27">
        <f t="shared" si="90"/>
        <v>2.6120152666666667E-3</v>
      </c>
      <c r="J1927" s="129">
        <f t="shared" si="91"/>
        <v>0.77073333333333338</v>
      </c>
    </row>
    <row r="1928" spans="1:10" hidden="1" x14ac:dyDescent="0.35">
      <c r="A1928" s="126" t="s">
        <v>372</v>
      </c>
      <c r="B1928" t="str">
        <f>_xlfn.XLOOKUP(A1928,'[1]2050Pop'!$A$7:$A$143,'[1]2050Pop'!$D$7:$D$143)</f>
        <v>LatAm &amp; RSA</v>
      </c>
      <c r="C1928" s="127">
        <f>1000*_xlfn.XLOOKUP(A1928,'[1]2050Pop'!$A$7:$A$143,'[1]2050Pop'!$C$7:$C$143)</f>
        <v>238270</v>
      </c>
      <c r="D1928" s="126" t="s">
        <v>510</v>
      </c>
      <c r="E1928" s="130">
        <v>10.89</v>
      </c>
      <c r="F1928" s="129">
        <f t="shared" si="92"/>
        <v>2.5947603000000004</v>
      </c>
      <c r="G1928" t="str">
        <f>_xlfn.XLOOKUP(D1928,'[1]2050 BAU Mapping to T &amp; C'!$A$3:$A$52,'[1]2050 BAU Mapping to T &amp; C'!$B$3:$B$52)</f>
        <v xml:space="preserve">Oil crops </v>
      </c>
      <c r="H1928" s="129">
        <f>_xlfn.XLOOKUP(G1928,'[1]T&amp;C emissions for 2050 analysis'!$B$3:$B$23,'[1]T&amp;C emissions for 2050 analysis'!$C$3:$C$23)</f>
        <v>0.18333333333333335</v>
      </c>
      <c r="I1928" s="27">
        <f t="shared" si="90"/>
        <v>0.47570605500000013</v>
      </c>
      <c r="J1928" s="129">
        <f t="shared" si="91"/>
        <v>1.9965000000000002</v>
      </c>
    </row>
    <row r="1929" spans="1:10" hidden="1" x14ac:dyDescent="0.35">
      <c r="A1929" s="126" t="s">
        <v>373</v>
      </c>
      <c r="B1929" t="str">
        <f>_xlfn.XLOOKUP(A1929,'[1]2050Pop'!$A$7:$A$143,'[1]2050Pop'!$D$7:$D$143)</f>
        <v>Euro/AU/NZ</v>
      </c>
      <c r="C1929" s="127">
        <f>1000*_xlfn.XLOOKUP(A1929,'[1]2050Pop'!$A$7:$A$143,'[1]2050Pop'!$C$7:$C$143)</f>
        <v>5154</v>
      </c>
      <c r="D1929" s="126" t="s">
        <v>510</v>
      </c>
      <c r="E1929" s="128">
        <v>9.3070000000000004</v>
      </c>
      <c r="F1929" s="129">
        <f t="shared" si="92"/>
        <v>4.7968277999999996E-2</v>
      </c>
      <c r="G1929" t="str">
        <f>_xlfn.XLOOKUP(D1929,'[1]2050 BAU Mapping to T &amp; C'!$A$3:$A$52,'[1]2050 BAU Mapping to T &amp; C'!$B$3:$B$52)</f>
        <v xml:space="preserve">Oil crops </v>
      </c>
      <c r="H1929" s="129">
        <f>_xlfn.XLOOKUP(G1929,'[1]T&amp;C emissions for 2050 analysis'!$B$3:$B$23,'[1]T&amp;C emissions for 2050 analysis'!$C$3:$C$23)</f>
        <v>0.18333333333333335</v>
      </c>
      <c r="I1929" s="27">
        <f t="shared" si="90"/>
        <v>8.7941843000000006E-3</v>
      </c>
      <c r="J1929" s="129">
        <f t="shared" si="91"/>
        <v>1.7062833333333336</v>
      </c>
    </row>
    <row r="1930" spans="1:10" hidden="1" x14ac:dyDescent="0.35">
      <c r="A1930" s="126" t="s">
        <v>487</v>
      </c>
      <c r="B1930" t="str">
        <f>_xlfn.XLOOKUP(A1930,'[1]2050Pop'!$A$7:$A$143,'[1]2050Pop'!$D$7:$D$143)</f>
        <v>SSA</v>
      </c>
      <c r="C1930" s="127">
        <f>1000*_xlfn.XLOOKUP(A1930,'[1]2050Pop'!$A$7:$A$143,'[1]2050Pop'!$C$7:$C$143)</f>
        <v>42789</v>
      </c>
      <c r="D1930" s="126" t="s">
        <v>510</v>
      </c>
      <c r="E1930" s="128">
        <v>1.5669999999999999</v>
      </c>
      <c r="F1930" s="129">
        <f t="shared" si="92"/>
        <v>6.7050363000000002E-2</v>
      </c>
      <c r="G1930" t="str">
        <f>_xlfn.XLOOKUP(D1930,'[1]2050 BAU Mapping to T &amp; C'!$A$3:$A$52,'[1]2050 BAU Mapping to T &amp; C'!$B$3:$B$52)</f>
        <v xml:space="preserve">Oil crops </v>
      </c>
      <c r="H1930" s="129">
        <f>_xlfn.XLOOKUP(G1930,'[1]T&amp;C emissions for 2050 analysis'!$B$3:$B$23,'[1]T&amp;C emissions for 2050 analysis'!$C$3:$C$23)</f>
        <v>0.18333333333333335</v>
      </c>
      <c r="I1930" s="27">
        <f t="shared" si="90"/>
        <v>1.2292566550000002E-2</v>
      </c>
      <c r="J1930" s="129">
        <f t="shared" si="91"/>
        <v>0.28728333333333333</v>
      </c>
    </row>
    <row r="1931" spans="1:10" hidden="1" x14ac:dyDescent="0.35">
      <c r="A1931" s="126" t="s">
        <v>374</v>
      </c>
      <c r="B1931" t="str">
        <f>_xlfn.XLOOKUP(A1931,'[1]2050Pop'!$A$7:$A$143,'[1]2050Pop'!$D$7:$D$143)</f>
        <v>APAC</v>
      </c>
      <c r="C1931" s="127">
        <f>1000*_xlfn.XLOOKUP(A1931,'[1]2050Pop'!$A$7:$A$143,'[1]2050Pop'!$C$7:$C$143)</f>
        <v>22545</v>
      </c>
      <c r="D1931" s="126" t="s">
        <v>510</v>
      </c>
      <c r="E1931" s="128">
        <v>1.6739999999999999</v>
      </c>
      <c r="F1931" s="129">
        <f t="shared" si="92"/>
        <v>3.7740330000000002E-2</v>
      </c>
      <c r="G1931" t="str">
        <f>_xlfn.XLOOKUP(D1931,'[1]2050 BAU Mapping to T &amp; C'!$A$3:$A$52,'[1]2050 BAU Mapping to T &amp; C'!$B$3:$B$52)</f>
        <v xml:space="preserve">Oil crops </v>
      </c>
      <c r="H1931" s="129">
        <f>_xlfn.XLOOKUP(G1931,'[1]T&amp;C emissions for 2050 analysis'!$B$3:$B$23,'[1]T&amp;C emissions for 2050 analysis'!$C$3:$C$23)</f>
        <v>0.18333333333333335</v>
      </c>
      <c r="I1931" s="27">
        <f t="shared" si="90"/>
        <v>6.9190605000000009E-3</v>
      </c>
      <c r="J1931" s="129">
        <f t="shared" si="91"/>
        <v>0.30690000000000001</v>
      </c>
    </row>
    <row r="1932" spans="1:10" hidden="1" x14ac:dyDescent="0.35">
      <c r="A1932" s="126" t="s">
        <v>376</v>
      </c>
      <c r="B1932" t="str">
        <f>_xlfn.XLOOKUP(A1932,'[1]2050Pop'!$A$7:$A$143,'[1]2050Pop'!$D$7:$D$143)</f>
        <v>NAm</v>
      </c>
      <c r="C1932" s="127">
        <f>1000*_xlfn.XLOOKUP(A1932,'[1]2050Pop'!$A$7:$A$143,'[1]2050Pop'!$C$7:$C$143)</f>
        <v>44136</v>
      </c>
      <c r="D1932" s="126" t="s">
        <v>510</v>
      </c>
      <c r="E1932" s="128">
        <v>26.443999999999999</v>
      </c>
      <c r="F1932" s="129">
        <f t="shared" si="92"/>
        <v>1.1671323839999999</v>
      </c>
      <c r="G1932" t="str">
        <f>_xlfn.XLOOKUP(D1932,'[1]2050 BAU Mapping to T &amp; C'!$A$3:$A$52,'[1]2050 BAU Mapping to T &amp; C'!$B$3:$B$52)</f>
        <v xml:space="preserve">Oil crops </v>
      </c>
      <c r="H1932" s="129">
        <f>_xlfn.XLOOKUP(G1932,'[1]T&amp;C emissions for 2050 analysis'!$B$3:$B$23,'[1]T&amp;C emissions for 2050 analysis'!$C$3:$C$23)</f>
        <v>0.18333333333333335</v>
      </c>
      <c r="I1932" s="27">
        <f t="shared" si="90"/>
        <v>0.2139742704</v>
      </c>
      <c r="J1932" s="129">
        <f t="shared" si="91"/>
        <v>4.848066666666667</v>
      </c>
    </row>
    <row r="1933" spans="1:10" hidden="1" x14ac:dyDescent="0.35">
      <c r="A1933" s="126" t="s">
        <v>377</v>
      </c>
      <c r="B1933" t="str">
        <f>_xlfn.XLOOKUP(A1933,'[1]2050Pop'!$A$7:$A$143,'[1]2050Pop'!$D$7:$D$143)</f>
        <v>SSA</v>
      </c>
      <c r="C1933" s="127">
        <f>1000*_xlfn.XLOOKUP(A1933,'[1]2050Pop'!$A$7:$A$143,'[1]2050Pop'!$C$7:$C$143)</f>
        <v>8782</v>
      </c>
      <c r="D1933" s="126" t="s">
        <v>510</v>
      </c>
      <c r="E1933" s="128">
        <v>2.754</v>
      </c>
      <c r="F1933" s="129">
        <f t="shared" si="92"/>
        <v>2.4185628000000001E-2</v>
      </c>
      <c r="G1933" t="str">
        <f>_xlfn.XLOOKUP(D1933,'[1]2050 BAU Mapping to T &amp; C'!$A$3:$A$52,'[1]2050 BAU Mapping to T &amp; C'!$B$3:$B$52)</f>
        <v xml:space="preserve">Oil crops </v>
      </c>
      <c r="H1933" s="129">
        <f>_xlfn.XLOOKUP(G1933,'[1]T&amp;C emissions for 2050 analysis'!$B$3:$B$23,'[1]T&amp;C emissions for 2050 analysis'!$C$3:$C$23)</f>
        <v>0.18333333333333335</v>
      </c>
      <c r="I1933" s="27">
        <f t="shared" si="90"/>
        <v>4.4340318000000009E-3</v>
      </c>
      <c r="J1933" s="129">
        <f t="shared" si="91"/>
        <v>0.50490000000000002</v>
      </c>
    </row>
    <row r="1934" spans="1:10" hidden="1" x14ac:dyDescent="0.35">
      <c r="A1934" s="126" t="s">
        <v>378</v>
      </c>
      <c r="B1934" t="str">
        <f>_xlfn.XLOOKUP(A1934,'[1]2050Pop'!$A$7:$A$143,'[1]2050Pop'!$D$7:$D$143)</f>
        <v>LatAm &amp; RSA</v>
      </c>
      <c r="C1934" s="127">
        <f>1000*_xlfn.XLOOKUP(A1934,'[1]2050Pop'!$A$7:$A$143,'[1]2050Pop'!$C$7:$C$143)</f>
        <v>21601</v>
      </c>
      <c r="D1934" s="126" t="s">
        <v>510</v>
      </c>
      <c r="E1934" s="128">
        <v>1.677</v>
      </c>
      <c r="F1934" s="129">
        <f t="shared" si="92"/>
        <v>3.6224877000000003E-2</v>
      </c>
      <c r="G1934" t="str">
        <f>_xlfn.XLOOKUP(D1934,'[1]2050 BAU Mapping to T &amp; C'!$A$3:$A$52,'[1]2050 BAU Mapping to T &amp; C'!$B$3:$B$52)</f>
        <v xml:space="preserve">Oil crops </v>
      </c>
      <c r="H1934" s="129">
        <f>_xlfn.XLOOKUP(G1934,'[1]T&amp;C emissions for 2050 analysis'!$B$3:$B$23,'[1]T&amp;C emissions for 2050 analysis'!$C$3:$C$23)</f>
        <v>0.18333333333333335</v>
      </c>
      <c r="I1934" s="27">
        <f t="shared" si="90"/>
        <v>6.6412274500000012E-3</v>
      </c>
      <c r="J1934" s="129">
        <f t="shared" si="91"/>
        <v>0.30745000000000006</v>
      </c>
    </row>
    <row r="1935" spans="1:10" hidden="1" x14ac:dyDescent="0.35">
      <c r="A1935" s="126" t="s">
        <v>379</v>
      </c>
      <c r="B1935" t="str">
        <f>_xlfn.XLOOKUP(A1935,'[1]2050Pop'!$A$7:$A$143,'[1]2050Pop'!$D$7:$D$143)</f>
        <v>Greater China</v>
      </c>
      <c r="C1935" s="127">
        <f>1000*_xlfn.XLOOKUP(A1935,'[1]2050Pop'!$A$7:$A$143,'[1]2050Pop'!$C$7:$C$143)</f>
        <v>8148</v>
      </c>
      <c r="D1935" s="126" t="s">
        <v>510</v>
      </c>
      <c r="E1935" s="128">
        <v>14.523999999999999</v>
      </c>
      <c r="F1935" s="129">
        <f t="shared" si="92"/>
        <v>0.118341552</v>
      </c>
      <c r="G1935" t="str">
        <f>_xlfn.XLOOKUP(D1935,'[1]2050 BAU Mapping to T &amp; C'!$A$3:$A$52,'[1]2050 BAU Mapping to T &amp; C'!$B$3:$B$52)</f>
        <v xml:space="preserve">Oil crops </v>
      </c>
      <c r="H1935" s="129">
        <f>_xlfn.XLOOKUP(G1935,'[1]T&amp;C emissions for 2050 analysis'!$B$3:$B$23,'[1]T&amp;C emissions for 2050 analysis'!$C$3:$C$23)</f>
        <v>0.18333333333333335</v>
      </c>
      <c r="I1935" s="27">
        <f t="shared" si="90"/>
        <v>2.1695951200000001E-2</v>
      </c>
      <c r="J1935" s="129">
        <f t="shared" si="91"/>
        <v>2.6627333333333332</v>
      </c>
    </row>
    <row r="1936" spans="1:10" hidden="1" x14ac:dyDescent="0.35">
      <c r="A1936" s="126" t="s">
        <v>380</v>
      </c>
      <c r="B1936" t="str">
        <f>_xlfn.XLOOKUP(A1936,'[1]2050Pop'!$A$7:$A$143,'[1]2050Pop'!$D$7:$D$143)</f>
        <v>Greater China</v>
      </c>
      <c r="C1936" s="127">
        <f>1000*_xlfn.XLOOKUP(A1936,'[1]2050Pop'!$A$7:$A$143,'[1]2050Pop'!$C$7:$C$143)</f>
        <v>1348056</v>
      </c>
      <c r="D1936" s="126" t="s">
        <v>510</v>
      </c>
      <c r="E1936" s="128">
        <v>1.3640000000000001</v>
      </c>
      <c r="F1936" s="129">
        <f t="shared" si="92"/>
        <v>1.8387483840000001</v>
      </c>
      <c r="G1936" t="str">
        <f>_xlfn.XLOOKUP(D1936,'[1]2050 BAU Mapping to T &amp; C'!$A$3:$A$52,'[1]2050 BAU Mapping to T &amp; C'!$B$3:$B$52)</f>
        <v xml:space="preserve">Oil crops </v>
      </c>
      <c r="H1936" s="129">
        <f>_xlfn.XLOOKUP(G1936,'[1]T&amp;C emissions for 2050 analysis'!$B$3:$B$23,'[1]T&amp;C emissions for 2050 analysis'!$C$3:$C$23)</f>
        <v>0.18333333333333335</v>
      </c>
      <c r="I1936" s="27">
        <f t="shared" si="90"/>
        <v>0.33710387040000006</v>
      </c>
      <c r="J1936" s="129">
        <f t="shared" si="91"/>
        <v>0.25006666666666671</v>
      </c>
    </row>
    <row r="1937" spans="1:10" hidden="1" x14ac:dyDescent="0.35">
      <c r="A1937" s="126" t="s">
        <v>381</v>
      </c>
      <c r="B1937" t="str">
        <f>_xlfn.XLOOKUP(A1937,'[1]2050Pop'!$A$7:$A$143,'[1]2050Pop'!$D$7:$D$143)</f>
        <v>Greater China</v>
      </c>
      <c r="C1937" s="127">
        <f>1000*_xlfn.XLOOKUP(A1937,'[1]2050Pop'!$A$7:$A$143,'[1]2050Pop'!$C$7:$C$143)</f>
        <v>20778</v>
      </c>
      <c r="D1937" s="126" t="s">
        <v>510</v>
      </c>
      <c r="E1937" s="128">
        <v>6.5830000000000002</v>
      </c>
      <c r="F1937" s="129">
        <f t="shared" si="92"/>
        <v>0.13678157399999999</v>
      </c>
      <c r="G1937" t="str">
        <f>_xlfn.XLOOKUP(D1937,'[1]2050 BAU Mapping to T &amp; C'!$A$3:$A$52,'[1]2050 BAU Mapping to T &amp; C'!$B$3:$B$52)</f>
        <v xml:space="preserve">Oil crops </v>
      </c>
      <c r="H1937" s="129">
        <f>_xlfn.XLOOKUP(G1937,'[1]T&amp;C emissions for 2050 analysis'!$B$3:$B$23,'[1]T&amp;C emissions for 2050 analysis'!$C$3:$C$23)</f>
        <v>0.18333333333333335</v>
      </c>
      <c r="I1937" s="27">
        <f t="shared" si="90"/>
        <v>2.5076621899999998E-2</v>
      </c>
      <c r="J1937" s="129">
        <f t="shared" si="91"/>
        <v>1.2068833333333335</v>
      </c>
    </row>
    <row r="1938" spans="1:10" hidden="1" x14ac:dyDescent="0.35">
      <c r="A1938" s="126" t="s">
        <v>382</v>
      </c>
      <c r="B1938" t="str">
        <f>_xlfn.XLOOKUP(A1938,'[1]2050Pop'!$A$7:$A$143,'[1]2050Pop'!$D$7:$D$143)</f>
        <v>LatAm &amp; RSA</v>
      </c>
      <c r="C1938" s="127">
        <f>1000*_xlfn.XLOOKUP(A1938,'[1]2050Pop'!$A$7:$A$143,'[1]2050Pop'!$C$7:$C$143)</f>
        <v>54927</v>
      </c>
      <c r="D1938" s="126" t="s">
        <v>510</v>
      </c>
      <c r="E1938" s="128">
        <v>3.1930000000000001</v>
      </c>
      <c r="F1938" s="129">
        <f t="shared" si="92"/>
        <v>0.175381911</v>
      </c>
      <c r="G1938" t="str">
        <f>_xlfn.XLOOKUP(D1938,'[1]2050 BAU Mapping to T &amp; C'!$A$3:$A$52,'[1]2050 BAU Mapping to T &amp; C'!$B$3:$B$52)</f>
        <v xml:space="preserve">Oil crops </v>
      </c>
      <c r="H1938" s="129">
        <f>_xlfn.XLOOKUP(G1938,'[1]T&amp;C emissions for 2050 analysis'!$B$3:$B$23,'[1]T&amp;C emissions for 2050 analysis'!$C$3:$C$23)</f>
        <v>0.18333333333333335</v>
      </c>
      <c r="I1938" s="27">
        <f t="shared" si="90"/>
        <v>3.2153350350000005E-2</v>
      </c>
      <c r="J1938" s="129">
        <f t="shared" si="91"/>
        <v>0.58538333333333337</v>
      </c>
    </row>
    <row r="1939" spans="1:10" hidden="1" x14ac:dyDescent="0.35">
      <c r="A1939" s="126" t="s">
        <v>383</v>
      </c>
      <c r="B1939" t="str">
        <f>_xlfn.XLOOKUP(A1939,'[1]2050Pop'!$A$7:$A$143,'[1]2050Pop'!$D$7:$D$143)</f>
        <v>LatAm &amp; RSA</v>
      </c>
      <c r="C1939" s="127">
        <f>1000*_xlfn.XLOOKUP(A1939,'[1]2050Pop'!$A$7:$A$143,'[1]2050Pop'!$C$7:$C$143)</f>
        <v>5759</v>
      </c>
      <c r="D1939" s="126" t="s">
        <v>510</v>
      </c>
      <c r="E1939" s="128">
        <v>11.236000000000001</v>
      </c>
      <c r="F1939" s="129">
        <f t="shared" si="92"/>
        <v>6.4708124000000006E-2</v>
      </c>
      <c r="G1939" t="str">
        <f>_xlfn.XLOOKUP(D1939,'[1]2050 BAU Mapping to T &amp; C'!$A$3:$A$52,'[1]2050 BAU Mapping to T &amp; C'!$B$3:$B$52)</f>
        <v xml:space="preserve">Oil crops </v>
      </c>
      <c r="H1939" s="129">
        <f>_xlfn.XLOOKUP(G1939,'[1]T&amp;C emissions for 2050 analysis'!$B$3:$B$23,'[1]T&amp;C emissions for 2050 analysis'!$C$3:$C$23)</f>
        <v>0.18333333333333335</v>
      </c>
      <c r="I1939" s="27">
        <f t="shared" si="90"/>
        <v>1.1863156066666668E-2</v>
      </c>
      <c r="J1939" s="129">
        <f t="shared" si="91"/>
        <v>2.0599333333333338</v>
      </c>
    </row>
    <row r="1940" spans="1:10" hidden="1" x14ac:dyDescent="0.35">
      <c r="A1940" s="126" t="s">
        <v>384</v>
      </c>
      <c r="B1940" t="str">
        <f>_xlfn.XLOOKUP(A1940,'[1]2050Pop'!$A$7:$A$143,'[1]2050Pop'!$D$7:$D$143)</f>
        <v>SSA</v>
      </c>
      <c r="C1940" s="127">
        <f>1000*_xlfn.XLOOKUP(A1940,'[1]2050Pop'!$A$7:$A$143,'[1]2050Pop'!$C$7:$C$143)</f>
        <v>48797</v>
      </c>
      <c r="D1940" s="126" t="s">
        <v>510</v>
      </c>
      <c r="E1940" s="128">
        <v>1.871</v>
      </c>
      <c r="F1940" s="129">
        <f t="shared" si="92"/>
        <v>9.1299187000000004E-2</v>
      </c>
      <c r="G1940" t="str">
        <f>_xlfn.XLOOKUP(D1940,'[1]2050 BAU Mapping to T &amp; C'!$A$3:$A$52,'[1]2050 BAU Mapping to T &amp; C'!$B$3:$B$52)</f>
        <v xml:space="preserve">Oil crops </v>
      </c>
      <c r="H1940" s="129">
        <f>_xlfn.XLOOKUP(G1940,'[1]T&amp;C emissions for 2050 analysis'!$B$3:$B$23,'[1]T&amp;C emissions for 2050 analysis'!$C$3:$C$23)</f>
        <v>0.18333333333333335</v>
      </c>
      <c r="I1940" s="27">
        <f t="shared" si="90"/>
        <v>1.6738184283333336E-2</v>
      </c>
      <c r="J1940" s="129">
        <f t="shared" si="91"/>
        <v>0.34301666666666669</v>
      </c>
    </row>
    <row r="1941" spans="1:10" hidden="1" x14ac:dyDescent="0.35">
      <c r="A1941" s="126" t="s">
        <v>385</v>
      </c>
      <c r="B1941" t="str">
        <f>_xlfn.XLOOKUP(A1941,'[1]2050Pop'!$A$7:$A$143,'[1]2050Pop'!$D$7:$D$143)</f>
        <v>Euro/AU/NZ</v>
      </c>
      <c r="C1941" s="127">
        <f>1000*_xlfn.XLOOKUP(A1941,'[1]2050Pop'!$A$7:$A$143,'[1]2050Pop'!$C$7:$C$143)</f>
        <v>3554</v>
      </c>
      <c r="D1941" s="126" t="s">
        <v>510</v>
      </c>
      <c r="E1941" s="128">
        <v>19.446999999999999</v>
      </c>
      <c r="F1941" s="129">
        <f t="shared" si="92"/>
        <v>6.9114637999999992E-2</v>
      </c>
      <c r="G1941" t="str">
        <f>_xlfn.XLOOKUP(D1941,'[1]2050 BAU Mapping to T &amp; C'!$A$3:$A$52,'[1]2050 BAU Mapping to T &amp; C'!$B$3:$B$52)</f>
        <v xml:space="preserve">Oil crops </v>
      </c>
      <c r="H1941" s="129">
        <f>_xlfn.XLOOKUP(G1941,'[1]T&amp;C emissions for 2050 analysis'!$B$3:$B$23,'[1]T&amp;C emissions for 2050 analysis'!$C$3:$C$23)</f>
        <v>0.18333333333333335</v>
      </c>
      <c r="I1941" s="27">
        <f t="shared" si="90"/>
        <v>1.2671016966666667E-2</v>
      </c>
      <c r="J1941" s="129">
        <f t="shared" si="91"/>
        <v>3.5652833333333334</v>
      </c>
    </row>
    <row r="1942" spans="1:10" hidden="1" x14ac:dyDescent="0.35">
      <c r="A1942" s="126" t="s">
        <v>386</v>
      </c>
      <c r="B1942" t="str">
        <f>_xlfn.XLOOKUP(A1942,'[1]2050Pop'!$A$7:$A$143,'[1]2050Pop'!$D$7:$D$143)</f>
        <v>LatAm &amp; RSA</v>
      </c>
      <c r="C1942" s="127">
        <f>1000*_xlfn.XLOOKUP(A1942,'[1]2050Pop'!$A$7:$A$143,'[1]2050Pop'!$C$7:$C$143)</f>
        <v>10339</v>
      </c>
      <c r="D1942" s="126" t="s">
        <v>510</v>
      </c>
      <c r="E1942" s="128">
        <v>1.329</v>
      </c>
      <c r="F1942" s="129">
        <f t="shared" si="92"/>
        <v>1.3740530999999999E-2</v>
      </c>
      <c r="G1942" t="str">
        <f>_xlfn.XLOOKUP(D1942,'[1]2050 BAU Mapping to T &amp; C'!$A$3:$A$52,'[1]2050 BAU Mapping to T &amp; C'!$B$3:$B$52)</f>
        <v xml:space="preserve">Oil crops </v>
      </c>
      <c r="H1942" s="129">
        <f>_xlfn.XLOOKUP(G1942,'[1]T&amp;C emissions for 2050 analysis'!$B$3:$B$23,'[1]T&amp;C emissions for 2050 analysis'!$C$3:$C$23)</f>
        <v>0.18333333333333335</v>
      </c>
      <c r="I1942" s="27">
        <f t="shared" si="90"/>
        <v>2.51909735E-3</v>
      </c>
      <c r="J1942" s="129">
        <f t="shared" si="91"/>
        <v>0.24365000000000001</v>
      </c>
    </row>
    <row r="1943" spans="1:10" hidden="1" x14ac:dyDescent="0.35">
      <c r="A1943" s="126" t="s">
        <v>387</v>
      </c>
      <c r="B1943" t="str">
        <f>_xlfn.XLOOKUP(A1943,'[1]2050Pop'!$A$7:$A$143,'[1]2050Pop'!$D$7:$D$143)</f>
        <v>Euro/AU/NZ</v>
      </c>
      <c r="C1943" s="127">
        <f>1000*_xlfn.XLOOKUP(A1943,'[1]2050Pop'!$A$7:$A$143,'[1]2050Pop'!$C$7:$C$143)</f>
        <v>9965</v>
      </c>
      <c r="D1943" s="126" t="s">
        <v>510</v>
      </c>
      <c r="E1943" s="128">
        <v>10.840999999999999</v>
      </c>
      <c r="F1943" s="129">
        <f t="shared" si="92"/>
        <v>0.10803056499999998</v>
      </c>
      <c r="G1943" t="str">
        <f>_xlfn.XLOOKUP(D1943,'[1]2050 BAU Mapping to T &amp; C'!$A$3:$A$52,'[1]2050 BAU Mapping to T &amp; C'!$B$3:$B$52)</f>
        <v xml:space="preserve">Oil crops </v>
      </c>
      <c r="H1943" s="129">
        <f>_xlfn.XLOOKUP(G1943,'[1]T&amp;C emissions for 2050 analysis'!$B$3:$B$23,'[1]T&amp;C emissions for 2050 analysis'!$C$3:$C$23)</f>
        <v>0.18333333333333335</v>
      </c>
      <c r="I1943" s="27">
        <f t="shared" si="90"/>
        <v>1.9805603583333331E-2</v>
      </c>
      <c r="J1943" s="129">
        <f t="shared" si="91"/>
        <v>1.9875166666666666</v>
      </c>
    </row>
    <row r="1944" spans="1:10" hidden="1" x14ac:dyDescent="0.35">
      <c r="A1944" s="126" t="s">
        <v>388</v>
      </c>
      <c r="B1944" t="str">
        <f>_xlfn.XLOOKUP(A1944,'[1]2050Pop'!$A$7:$A$143,'[1]2050Pop'!$D$7:$D$143)</f>
        <v>Euro/AU/NZ</v>
      </c>
      <c r="C1944" s="127">
        <f>1000*_xlfn.XLOOKUP(A1944,'[1]2050Pop'!$A$7:$A$143,'[1]2050Pop'!$C$7:$C$143)</f>
        <v>6299</v>
      </c>
      <c r="D1944" s="126" t="s">
        <v>510</v>
      </c>
      <c r="E1944" s="128">
        <v>34.692</v>
      </c>
      <c r="F1944" s="129">
        <f t="shared" si="92"/>
        <v>0.21852490799999999</v>
      </c>
      <c r="G1944" t="str">
        <f>_xlfn.XLOOKUP(D1944,'[1]2050 BAU Mapping to T &amp; C'!$A$3:$A$52,'[1]2050 BAU Mapping to T &amp; C'!$B$3:$B$52)</f>
        <v xml:space="preserve">Oil crops </v>
      </c>
      <c r="H1944" s="129">
        <f>_xlfn.XLOOKUP(G1944,'[1]T&amp;C emissions for 2050 analysis'!$B$3:$B$23,'[1]T&amp;C emissions for 2050 analysis'!$C$3:$C$23)</f>
        <v>0.18333333333333335</v>
      </c>
      <c r="I1944" s="27">
        <f t="shared" si="90"/>
        <v>4.0062899800000003E-2</v>
      </c>
      <c r="J1944" s="129">
        <f t="shared" si="91"/>
        <v>6.3602000000000007</v>
      </c>
    </row>
    <row r="1945" spans="1:10" hidden="1" x14ac:dyDescent="0.35">
      <c r="A1945" s="126" t="s">
        <v>389</v>
      </c>
      <c r="B1945" t="str">
        <f>_xlfn.XLOOKUP(A1945,'[1]2050Pop'!$A$7:$A$143,'[1]2050Pop'!$D$7:$D$143)</f>
        <v>LatAm &amp; RSA</v>
      </c>
      <c r="C1945" s="127">
        <f>1000*_xlfn.XLOOKUP(A1945,'[1]2050Pop'!$A$7:$A$143,'[1]2050Pop'!$C$7:$C$143)</f>
        <v>13238</v>
      </c>
      <c r="D1945" s="126" t="s">
        <v>510</v>
      </c>
      <c r="E1945" s="128">
        <v>6.2640000000000002</v>
      </c>
      <c r="F1945" s="129">
        <f t="shared" si="92"/>
        <v>8.2922832000000016E-2</v>
      </c>
      <c r="G1945" t="str">
        <f>_xlfn.XLOOKUP(D1945,'[1]2050 BAU Mapping to T &amp; C'!$A$3:$A$52,'[1]2050 BAU Mapping to T &amp; C'!$B$3:$B$52)</f>
        <v xml:space="preserve">Oil crops </v>
      </c>
      <c r="H1945" s="129">
        <f>_xlfn.XLOOKUP(G1945,'[1]T&amp;C emissions for 2050 analysis'!$B$3:$B$23,'[1]T&amp;C emissions for 2050 analysis'!$C$3:$C$23)</f>
        <v>0.18333333333333335</v>
      </c>
      <c r="I1945" s="27">
        <f t="shared" si="90"/>
        <v>1.5202519200000004E-2</v>
      </c>
      <c r="J1945" s="129">
        <f t="shared" si="91"/>
        <v>1.1484000000000001</v>
      </c>
    </row>
    <row r="1946" spans="1:10" hidden="1" x14ac:dyDescent="0.35">
      <c r="A1946" s="126" t="s">
        <v>390</v>
      </c>
      <c r="B1946" t="str">
        <f>_xlfn.XLOOKUP(A1946,'[1]2050Pop'!$A$7:$A$143,'[1]2050Pop'!$D$7:$D$143)</f>
        <v>LatAm &amp; RSA</v>
      </c>
      <c r="C1946" s="127">
        <f>1000*_xlfn.XLOOKUP(A1946,'[1]2050Pop'!$A$7:$A$143,'[1]2050Pop'!$C$7:$C$143)</f>
        <v>23013</v>
      </c>
      <c r="D1946" s="126" t="s">
        <v>510</v>
      </c>
      <c r="E1946" s="128">
        <v>3.1349999999999998</v>
      </c>
      <c r="F1946" s="129">
        <f t="shared" si="92"/>
        <v>7.2145754999999992E-2</v>
      </c>
      <c r="G1946" t="str">
        <f>_xlfn.XLOOKUP(D1946,'[1]2050 BAU Mapping to T &amp; C'!$A$3:$A$52,'[1]2050 BAU Mapping to T &amp; C'!$B$3:$B$52)</f>
        <v xml:space="preserve">Oil crops </v>
      </c>
      <c r="H1946" s="129">
        <f>_xlfn.XLOOKUP(G1946,'[1]T&amp;C emissions for 2050 analysis'!$B$3:$B$23,'[1]T&amp;C emissions for 2050 analysis'!$C$3:$C$23)</f>
        <v>0.18333333333333335</v>
      </c>
      <c r="I1946" s="27">
        <f t="shared" si="90"/>
        <v>1.322672175E-2</v>
      </c>
      <c r="J1946" s="129">
        <f t="shared" si="91"/>
        <v>0.57474999999999998</v>
      </c>
    </row>
    <row r="1947" spans="1:10" hidden="1" x14ac:dyDescent="0.35">
      <c r="A1947" s="126" t="s">
        <v>391</v>
      </c>
      <c r="B1947" t="str">
        <f>_xlfn.XLOOKUP(A1947,'[1]2050Pop'!$A$7:$A$143,'[1]2050Pop'!$D$7:$D$143)</f>
        <v>MENA</v>
      </c>
      <c r="C1947" s="127">
        <f>1000*_xlfn.XLOOKUP(A1947,'[1]2050Pop'!$A$7:$A$143,'[1]2050Pop'!$C$7:$C$143)</f>
        <v>151111</v>
      </c>
      <c r="D1947" s="126" t="s">
        <v>510</v>
      </c>
      <c r="E1947" s="128">
        <v>2.3959999999999999</v>
      </c>
      <c r="F1947" s="129">
        <f t="shared" si="92"/>
        <v>0.36206195600000002</v>
      </c>
      <c r="G1947" t="str">
        <f>_xlfn.XLOOKUP(D1947,'[1]2050 BAU Mapping to T &amp; C'!$A$3:$A$52,'[1]2050 BAU Mapping to T &amp; C'!$B$3:$B$52)</f>
        <v xml:space="preserve">Oil crops </v>
      </c>
      <c r="H1947" s="129">
        <f>_xlfn.XLOOKUP(G1947,'[1]T&amp;C emissions for 2050 analysis'!$B$3:$B$23,'[1]T&amp;C emissions for 2050 analysis'!$C$3:$C$23)</f>
        <v>0.18333333333333335</v>
      </c>
      <c r="I1947" s="27">
        <f t="shared" si="90"/>
        <v>6.6378025266666682E-2</v>
      </c>
      <c r="J1947" s="129">
        <f t="shared" si="91"/>
        <v>0.43926666666666669</v>
      </c>
    </row>
    <row r="1948" spans="1:10" hidden="1" x14ac:dyDescent="0.35">
      <c r="A1948" s="126" t="s">
        <v>392</v>
      </c>
      <c r="B1948" t="str">
        <f>_xlfn.XLOOKUP(A1948,'[1]2050Pop'!$A$7:$A$143,'[1]2050Pop'!$D$7:$D$143)</f>
        <v>LatAm &amp; RSA</v>
      </c>
      <c r="C1948" s="127">
        <f>1000*_xlfn.XLOOKUP(A1948,'[1]2050Pop'!$A$7:$A$143,'[1]2050Pop'!$C$7:$C$143)</f>
        <v>6390</v>
      </c>
      <c r="D1948" s="126" t="s">
        <v>510</v>
      </c>
      <c r="E1948" s="128">
        <v>10.949</v>
      </c>
      <c r="F1948" s="129">
        <f t="shared" si="92"/>
        <v>6.9964109999999996E-2</v>
      </c>
      <c r="G1948" t="str">
        <f>_xlfn.XLOOKUP(D1948,'[1]2050 BAU Mapping to T &amp; C'!$A$3:$A$52,'[1]2050 BAU Mapping to T &amp; C'!$B$3:$B$52)</f>
        <v xml:space="preserve">Oil crops </v>
      </c>
      <c r="H1948" s="129">
        <f>_xlfn.XLOOKUP(G1948,'[1]T&amp;C emissions for 2050 analysis'!$B$3:$B$23,'[1]T&amp;C emissions for 2050 analysis'!$C$3:$C$23)</f>
        <v>0.18333333333333335</v>
      </c>
      <c r="I1948" s="27">
        <f t="shared" si="90"/>
        <v>1.28267535E-2</v>
      </c>
      <c r="J1948" s="129">
        <f t="shared" si="91"/>
        <v>2.0073166666666666</v>
      </c>
    </row>
    <row r="1949" spans="1:10" hidden="1" x14ac:dyDescent="0.35">
      <c r="A1949" s="126" t="s">
        <v>393</v>
      </c>
      <c r="B1949" t="str">
        <f>_xlfn.XLOOKUP(A1949,'[1]2050Pop'!$A$7:$A$143,'[1]2050Pop'!$D$7:$D$143)</f>
        <v>Euro/AU/NZ</v>
      </c>
      <c r="C1949" s="127">
        <f>1000*_xlfn.XLOOKUP(A1949,'[1]2050Pop'!$A$7:$A$143,'[1]2050Pop'!$C$7:$C$143)</f>
        <v>1129</v>
      </c>
      <c r="D1949" s="126" t="s">
        <v>510</v>
      </c>
      <c r="E1949" s="128">
        <v>9.7319999999999993</v>
      </c>
      <c r="F1949" s="129">
        <f t="shared" si="92"/>
        <v>1.0987428E-2</v>
      </c>
      <c r="G1949" t="str">
        <f>_xlfn.XLOOKUP(D1949,'[1]2050 BAU Mapping to T &amp; C'!$A$3:$A$52,'[1]2050 BAU Mapping to T &amp; C'!$B$3:$B$52)</f>
        <v xml:space="preserve">Oil crops </v>
      </c>
      <c r="H1949" s="129">
        <f>_xlfn.XLOOKUP(G1949,'[1]T&amp;C emissions for 2050 analysis'!$B$3:$B$23,'[1]T&amp;C emissions for 2050 analysis'!$C$3:$C$23)</f>
        <v>0.18333333333333335</v>
      </c>
      <c r="I1949" s="27">
        <f t="shared" si="90"/>
        <v>2.0143618000000004E-3</v>
      </c>
      <c r="J1949" s="129">
        <f t="shared" si="91"/>
        <v>1.7842</v>
      </c>
    </row>
    <row r="1950" spans="1:10" hidden="1" x14ac:dyDescent="0.35">
      <c r="A1950" s="126" t="s">
        <v>395</v>
      </c>
      <c r="B1950" t="str">
        <f>_xlfn.XLOOKUP(A1950,'[1]2050Pop'!$A$7:$A$143,'[1]2050Pop'!$D$7:$D$143)</f>
        <v>Euro/AU/NZ</v>
      </c>
      <c r="C1950" s="127">
        <f>1000*_xlfn.XLOOKUP(A1950,'[1]2050Pop'!$A$7:$A$143,'[1]2050Pop'!$C$7:$C$143)</f>
        <v>5752</v>
      </c>
      <c r="D1950" s="126" t="s">
        <v>510</v>
      </c>
      <c r="E1950" s="128">
        <v>12.907999999999999</v>
      </c>
      <c r="F1950" s="129">
        <f t="shared" si="92"/>
        <v>7.4246815999999993E-2</v>
      </c>
      <c r="G1950" t="str">
        <f>_xlfn.XLOOKUP(D1950,'[1]2050 BAU Mapping to T &amp; C'!$A$3:$A$52,'[1]2050 BAU Mapping to T &amp; C'!$B$3:$B$52)</f>
        <v xml:space="preserve">Oil crops </v>
      </c>
      <c r="H1950" s="129">
        <f>_xlfn.XLOOKUP(G1950,'[1]T&amp;C emissions for 2050 analysis'!$B$3:$B$23,'[1]T&amp;C emissions for 2050 analysis'!$C$3:$C$23)</f>
        <v>0.18333333333333335</v>
      </c>
      <c r="I1950" s="27">
        <f t="shared" si="90"/>
        <v>1.3611916266666666E-2</v>
      </c>
      <c r="J1950" s="129">
        <f t="shared" si="91"/>
        <v>2.3664666666666667</v>
      </c>
    </row>
    <row r="1951" spans="1:10" hidden="1" x14ac:dyDescent="0.35">
      <c r="A1951" s="126" t="s">
        <v>396</v>
      </c>
      <c r="B1951" t="str">
        <f>_xlfn.XLOOKUP(A1951,'[1]2050Pop'!$A$7:$A$143,'[1]2050Pop'!$D$7:$D$143)</f>
        <v>Euro/AU/NZ</v>
      </c>
      <c r="C1951" s="127">
        <f>1000*_xlfn.XLOOKUP(A1951,'[1]2050Pop'!$A$7:$A$143,'[1]2050Pop'!$C$7:$C$143)</f>
        <v>71137</v>
      </c>
      <c r="D1951" s="126" t="s">
        <v>510</v>
      </c>
      <c r="E1951" s="128">
        <v>45.243000000000002</v>
      </c>
      <c r="F1951" s="129">
        <f t="shared" si="92"/>
        <v>3.218451291</v>
      </c>
      <c r="G1951" t="str">
        <f>_xlfn.XLOOKUP(D1951,'[1]2050 BAU Mapping to T &amp; C'!$A$3:$A$52,'[1]2050 BAU Mapping to T &amp; C'!$B$3:$B$52)</f>
        <v xml:space="preserve">Oil crops </v>
      </c>
      <c r="H1951" s="129">
        <f>_xlfn.XLOOKUP(G1951,'[1]T&amp;C emissions for 2050 analysis'!$B$3:$B$23,'[1]T&amp;C emissions for 2050 analysis'!$C$3:$C$23)</f>
        <v>0.18333333333333335</v>
      </c>
      <c r="I1951" s="27">
        <f t="shared" si="90"/>
        <v>0.59004940335</v>
      </c>
      <c r="J1951" s="129">
        <f t="shared" si="91"/>
        <v>8.294550000000001</v>
      </c>
    </row>
    <row r="1952" spans="1:10" hidden="1" x14ac:dyDescent="0.35">
      <c r="A1952" s="126" t="s">
        <v>397</v>
      </c>
      <c r="B1952" t="str">
        <f>_xlfn.XLOOKUP(A1952,'[1]2050Pop'!$A$7:$A$143,'[1]2050Pop'!$D$7:$D$143)</f>
        <v>SSA</v>
      </c>
      <c r="C1952" s="127">
        <f>1000*_xlfn.XLOOKUP(A1952,'[1]2050Pop'!$A$7:$A$143,'[1]2050Pop'!$C$7:$C$143)</f>
        <v>3164</v>
      </c>
      <c r="D1952" s="126" t="s">
        <v>510</v>
      </c>
      <c r="E1952" s="128">
        <v>2.367</v>
      </c>
      <c r="F1952" s="129">
        <f t="shared" si="92"/>
        <v>7.4891879999999999E-3</v>
      </c>
      <c r="G1952" t="str">
        <f>_xlfn.XLOOKUP(D1952,'[1]2050 BAU Mapping to T &amp; C'!$A$3:$A$52,'[1]2050 BAU Mapping to T &amp; C'!$B$3:$B$52)</f>
        <v xml:space="preserve">Oil crops </v>
      </c>
      <c r="H1952" s="129">
        <f>_xlfn.XLOOKUP(G1952,'[1]T&amp;C emissions for 2050 analysis'!$B$3:$B$23,'[1]T&amp;C emissions for 2050 analysis'!$C$3:$C$23)</f>
        <v>0.18333333333333335</v>
      </c>
      <c r="I1952" s="27">
        <f t="shared" si="90"/>
        <v>1.3730178000000001E-3</v>
      </c>
      <c r="J1952" s="129">
        <f t="shared" si="91"/>
        <v>0.43395000000000006</v>
      </c>
    </row>
    <row r="1953" spans="1:10" hidden="1" x14ac:dyDescent="0.35">
      <c r="A1953" s="126" t="s">
        <v>489</v>
      </c>
      <c r="B1953" t="str">
        <f>_xlfn.XLOOKUP(A1953,'[1]2050Pop'!$A$7:$A$143,'[1]2050Pop'!$D$7:$D$143)</f>
        <v>SSA</v>
      </c>
      <c r="C1953" s="127">
        <f>1000*_xlfn.XLOOKUP(A1953,'[1]2050Pop'!$A$7:$A$143,'[1]2050Pop'!$C$7:$C$143)</f>
        <v>4981</v>
      </c>
      <c r="D1953" s="126" t="s">
        <v>510</v>
      </c>
      <c r="E1953" s="128">
        <v>1.7989999999999999</v>
      </c>
      <c r="F1953" s="129">
        <f t="shared" si="92"/>
        <v>8.9608190000000001E-3</v>
      </c>
      <c r="G1953" t="str">
        <f>_xlfn.XLOOKUP(D1953,'[1]2050 BAU Mapping to T &amp; C'!$A$3:$A$52,'[1]2050 BAU Mapping to T &amp; C'!$B$3:$B$52)</f>
        <v xml:space="preserve">Oil crops </v>
      </c>
      <c r="H1953" s="129">
        <f>_xlfn.XLOOKUP(G1953,'[1]T&amp;C emissions for 2050 analysis'!$B$3:$B$23,'[1]T&amp;C emissions for 2050 analysis'!$C$3:$C$23)</f>
        <v>0.18333333333333335</v>
      </c>
      <c r="I1953" s="27">
        <f t="shared" si="90"/>
        <v>1.6428168166666669E-3</v>
      </c>
      <c r="J1953" s="129">
        <f t="shared" si="91"/>
        <v>0.3298166666666667</v>
      </c>
    </row>
    <row r="1954" spans="1:10" hidden="1" x14ac:dyDescent="0.35">
      <c r="A1954" s="126" t="s">
        <v>398</v>
      </c>
      <c r="B1954" t="str">
        <f>_xlfn.XLOOKUP(A1954,'[1]2050Pop'!$A$7:$A$143,'[1]2050Pop'!$D$7:$D$143)</f>
        <v>MENA</v>
      </c>
      <c r="C1954" s="127">
        <f>1000*_xlfn.XLOOKUP(A1954,'[1]2050Pop'!$A$7:$A$143,'[1]2050Pop'!$C$7:$C$143)</f>
        <v>3483</v>
      </c>
      <c r="D1954" s="126" t="s">
        <v>510</v>
      </c>
      <c r="E1954" s="128">
        <v>1.012</v>
      </c>
      <c r="F1954" s="129">
        <f t="shared" si="92"/>
        <v>3.5247959999999997E-3</v>
      </c>
      <c r="G1954" t="str">
        <f>_xlfn.XLOOKUP(D1954,'[1]2050 BAU Mapping to T &amp; C'!$A$3:$A$52,'[1]2050 BAU Mapping to T &amp; C'!$B$3:$B$52)</f>
        <v xml:space="preserve">Oil crops </v>
      </c>
      <c r="H1954" s="129">
        <f>_xlfn.XLOOKUP(G1954,'[1]T&amp;C emissions for 2050 analysis'!$B$3:$B$23,'[1]T&amp;C emissions for 2050 analysis'!$C$3:$C$23)</f>
        <v>0.18333333333333335</v>
      </c>
      <c r="I1954" s="27">
        <f t="shared" si="90"/>
        <v>6.4621260000000005E-4</v>
      </c>
      <c r="J1954" s="129">
        <f t="shared" si="91"/>
        <v>0.18553333333333336</v>
      </c>
    </row>
    <row r="1955" spans="1:10" hidden="1" x14ac:dyDescent="0.35">
      <c r="A1955" s="126" t="s">
        <v>399</v>
      </c>
      <c r="B1955" t="str">
        <f>_xlfn.XLOOKUP(A1955,'[1]2050Pop'!$A$7:$A$143,'[1]2050Pop'!$D$7:$D$143)</f>
        <v>Euro/AU/NZ</v>
      </c>
      <c r="C1955" s="127">
        <f>1000*_xlfn.XLOOKUP(A1955,'[1]2050Pop'!$A$7:$A$143,'[1]2050Pop'!$C$7:$C$143)</f>
        <v>74513</v>
      </c>
      <c r="D1955" s="126" t="s">
        <v>510</v>
      </c>
      <c r="E1955" s="128">
        <v>19.771999999999998</v>
      </c>
      <c r="F1955" s="129">
        <f t="shared" si="92"/>
        <v>1.4732710359999999</v>
      </c>
      <c r="G1955" t="str">
        <f>_xlfn.XLOOKUP(D1955,'[1]2050 BAU Mapping to T &amp; C'!$A$3:$A$52,'[1]2050 BAU Mapping to T &amp; C'!$B$3:$B$52)</f>
        <v xml:space="preserve">Oil crops </v>
      </c>
      <c r="H1955" s="129">
        <f>_xlfn.XLOOKUP(G1955,'[1]T&amp;C emissions for 2050 analysis'!$B$3:$B$23,'[1]T&amp;C emissions for 2050 analysis'!$C$3:$C$23)</f>
        <v>0.18333333333333335</v>
      </c>
      <c r="I1955" s="27">
        <f t="shared" si="90"/>
        <v>0.27009968993333333</v>
      </c>
      <c r="J1955" s="129">
        <f t="shared" si="91"/>
        <v>3.6248666666666667</v>
      </c>
    </row>
    <row r="1956" spans="1:10" hidden="1" x14ac:dyDescent="0.35">
      <c r="A1956" s="126" t="s">
        <v>400</v>
      </c>
      <c r="B1956" t="str">
        <f>_xlfn.XLOOKUP(A1956,'[1]2050Pop'!$A$7:$A$143,'[1]2050Pop'!$D$7:$D$143)</f>
        <v>SSA</v>
      </c>
      <c r="C1956" s="127">
        <f>1000*_xlfn.XLOOKUP(A1956,'[1]2050Pop'!$A$7:$A$143,'[1]2050Pop'!$C$7:$C$143)</f>
        <v>50071</v>
      </c>
      <c r="D1956" s="126" t="s">
        <v>510</v>
      </c>
      <c r="E1956" s="128">
        <v>1.716</v>
      </c>
      <c r="F1956" s="129">
        <f t="shared" si="92"/>
        <v>8.5921836000000001E-2</v>
      </c>
      <c r="G1956" t="str">
        <f>_xlfn.XLOOKUP(D1956,'[1]2050 BAU Mapping to T &amp; C'!$A$3:$A$52,'[1]2050 BAU Mapping to T &amp; C'!$B$3:$B$52)</f>
        <v xml:space="preserve">Oil crops </v>
      </c>
      <c r="H1956" s="129">
        <f>_xlfn.XLOOKUP(G1956,'[1]T&amp;C emissions for 2050 analysis'!$B$3:$B$23,'[1]T&amp;C emissions for 2050 analysis'!$C$3:$C$23)</f>
        <v>0.18333333333333335</v>
      </c>
      <c r="I1956" s="27">
        <f t="shared" si="90"/>
        <v>1.57523366E-2</v>
      </c>
      <c r="J1956" s="129">
        <f t="shared" si="91"/>
        <v>0.31460000000000005</v>
      </c>
    </row>
    <row r="1957" spans="1:10" hidden="1" x14ac:dyDescent="0.35">
      <c r="A1957" s="126" t="s">
        <v>401</v>
      </c>
      <c r="B1957" t="str">
        <f>_xlfn.XLOOKUP(A1957,'[1]2050Pop'!$A$7:$A$143,'[1]2050Pop'!$D$7:$D$143)</f>
        <v>Euro/AU/NZ</v>
      </c>
      <c r="C1957" s="127">
        <f>1000*_xlfn.XLOOKUP(A1957,'[1]2050Pop'!$A$7:$A$143,'[1]2050Pop'!$C$7:$C$143)</f>
        <v>9705</v>
      </c>
      <c r="D1957" s="126" t="s">
        <v>510</v>
      </c>
      <c r="E1957" s="128">
        <v>347.99099999999999</v>
      </c>
      <c r="F1957" s="129">
        <f t="shared" si="92"/>
        <v>3.3772526549999999</v>
      </c>
      <c r="G1957" t="str">
        <f>_xlfn.XLOOKUP(D1957,'[1]2050 BAU Mapping to T &amp; C'!$A$3:$A$52,'[1]2050 BAU Mapping to T &amp; C'!$B$3:$B$52)</f>
        <v xml:space="preserve">Oil crops </v>
      </c>
      <c r="H1957" s="129">
        <f>_xlfn.XLOOKUP(G1957,'[1]T&amp;C emissions for 2050 analysis'!$B$3:$B$23,'[1]T&amp;C emissions for 2050 analysis'!$C$3:$C$23)</f>
        <v>0.18333333333333335</v>
      </c>
      <c r="I1957" s="27">
        <f t="shared" si="90"/>
        <v>0.61916298675000003</v>
      </c>
      <c r="J1957" s="129">
        <f t="shared" si="91"/>
        <v>63.798349999999999</v>
      </c>
    </row>
    <row r="1958" spans="1:10" hidden="1" x14ac:dyDescent="0.35">
      <c r="A1958" s="126" t="s">
        <v>402</v>
      </c>
      <c r="B1958" t="str">
        <f>_xlfn.XLOOKUP(A1958,'[1]2050Pop'!$A$7:$A$143,'[1]2050Pop'!$D$7:$D$143)</f>
        <v>LatAm &amp; RSA</v>
      </c>
      <c r="C1958" s="127">
        <f>1000*_xlfn.XLOOKUP(A1958,'[1]2050Pop'!$A$7:$A$143,'[1]2050Pop'!$C$7:$C$143)</f>
        <v>27754</v>
      </c>
      <c r="D1958" s="126" t="s">
        <v>510</v>
      </c>
      <c r="E1958" s="128">
        <v>2.3860000000000001</v>
      </c>
      <c r="F1958" s="129">
        <f t="shared" si="92"/>
        <v>6.6221044000000007E-2</v>
      </c>
      <c r="G1958" t="str">
        <f>_xlfn.XLOOKUP(D1958,'[1]2050 BAU Mapping to T &amp; C'!$A$3:$A$52,'[1]2050 BAU Mapping to T &amp; C'!$B$3:$B$52)</f>
        <v xml:space="preserve">Oil crops </v>
      </c>
      <c r="H1958" s="129">
        <f>_xlfn.XLOOKUP(G1958,'[1]T&amp;C emissions for 2050 analysis'!$B$3:$B$23,'[1]T&amp;C emissions for 2050 analysis'!$C$3:$C$23)</f>
        <v>0.18333333333333335</v>
      </c>
      <c r="I1958" s="27">
        <f t="shared" si="90"/>
        <v>1.2140524733333335E-2</v>
      </c>
      <c r="J1958" s="129">
        <f t="shared" si="91"/>
        <v>0.4374333333333334</v>
      </c>
    </row>
    <row r="1959" spans="1:10" hidden="1" x14ac:dyDescent="0.35">
      <c r="A1959" s="126" t="s">
        <v>404</v>
      </c>
      <c r="B1959" t="str">
        <f>_xlfn.XLOOKUP(A1959,'[1]2050Pop'!$A$7:$A$143,'[1]2050Pop'!$D$7:$D$143)</f>
        <v>LatAm &amp; RSA</v>
      </c>
      <c r="C1959" s="127">
        <f>1000*_xlfn.XLOOKUP(A1959,'[1]2050Pop'!$A$7:$A$143,'[1]2050Pop'!$C$7:$C$143)</f>
        <v>806</v>
      </c>
      <c r="D1959" s="126" t="s">
        <v>510</v>
      </c>
      <c r="E1959" s="128">
        <v>3.3090000000000002</v>
      </c>
      <c r="F1959" s="129">
        <f t="shared" si="92"/>
        <v>2.6670540000000003E-3</v>
      </c>
      <c r="G1959" t="str">
        <f>_xlfn.XLOOKUP(D1959,'[1]2050 BAU Mapping to T &amp; C'!$A$3:$A$52,'[1]2050 BAU Mapping to T &amp; C'!$B$3:$B$52)</f>
        <v xml:space="preserve">Oil crops </v>
      </c>
      <c r="H1959" s="129">
        <f>_xlfn.XLOOKUP(G1959,'[1]T&amp;C emissions for 2050 analysis'!$B$3:$B$23,'[1]T&amp;C emissions for 2050 analysis'!$C$3:$C$23)</f>
        <v>0.18333333333333335</v>
      </c>
      <c r="I1959" s="27">
        <f t="shared" si="90"/>
        <v>4.8895990000000005E-4</v>
      </c>
      <c r="J1959" s="129">
        <f t="shared" si="91"/>
        <v>0.60665000000000013</v>
      </c>
    </row>
    <row r="1960" spans="1:10" hidden="1" x14ac:dyDescent="0.35">
      <c r="A1960" s="126" t="s">
        <v>406</v>
      </c>
      <c r="B1960" t="str">
        <f>_xlfn.XLOOKUP(A1960,'[1]2050Pop'!$A$7:$A$143,'[1]2050Pop'!$D$7:$D$143)</f>
        <v>LatAm &amp; RSA</v>
      </c>
      <c r="C1960" s="127">
        <f>1000*_xlfn.XLOOKUP(A1960,'[1]2050Pop'!$A$7:$A$143,'[1]2050Pop'!$C$7:$C$143)</f>
        <v>11217</v>
      </c>
      <c r="D1960" s="126" t="s">
        <v>510</v>
      </c>
      <c r="E1960" s="128">
        <v>2.198</v>
      </c>
      <c r="F1960" s="129">
        <f t="shared" si="92"/>
        <v>2.4654966E-2</v>
      </c>
      <c r="G1960" t="str">
        <f>_xlfn.XLOOKUP(D1960,'[1]2050 BAU Mapping to T &amp; C'!$A$3:$A$52,'[1]2050 BAU Mapping to T &amp; C'!$B$3:$B$52)</f>
        <v xml:space="preserve">Oil crops </v>
      </c>
      <c r="H1960" s="129">
        <f>_xlfn.XLOOKUP(G1960,'[1]T&amp;C emissions for 2050 analysis'!$B$3:$B$23,'[1]T&amp;C emissions for 2050 analysis'!$C$3:$C$23)</f>
        <v>0.18333333333333335</v>
      </c>
      <c r="I1960" s="27">
        <f t="shared" si="90"/>
        <v>4.5200771000000004E-3</v>
      </c>
      <c r="J1960" s="129">
        <f t="shared" si="91"/>
        <v>0.4029666666666667</v>
      </c>
    </row>
    <row r="1961" spans="1:10" hidden="1" x14ac:dyDescent="0.35">
      <c r="A1961" s="126" t="s">
        <v>407</v>
      </c>
      <c r="B1961" t="str">
        <f>_xlfn.XLOOKUP(A1961,'[1]2050Pop'!$A$7:$A$143,'[1]2050Pop'!$D$7:$D$143)</f>
        <v>Euro/AU/NZ</v>
      </c>
      <c r="C1961" s="127">
        <f>1000*_xlfn.XLOOKUP(A1961,'[1]2050Pop'!$A$7:$A$143,'[1]2050Pop'!$C$7:$C$143)</f>
        <v>8318</v>
      </c>
      <c r="D1961" s="126" t="s">
        <v>510</v>
      </c>
      <c r="E1961" s="128">
        <v>6.6180000000000003</v>
      </c>
      <c r="F1961" s="129">
        <f t="shared" si="92"/>
        <v>5.5048524000000001E-2</v>
      </c>
      <c r="G1961" t="str">
        <f>_xlfn.XLOOKUP(D1961,'[1]2050 BAU Mapping to T &amp; C'!$A$3:$A$52,'[1]2050 BAU Mapping to T &amp; C'!$B$3:$B$52)</f>
        <v xml:space="preserve">Oil crops </v>
      </c>
      <c r="H1961" s="129">
        <f>_xlfn.XLOOKUP(G1961,'[1]T&amp;C emissions for 2050 analysis'!$B$3:$B$23,'[1]T&amp;C emissions for 2050 analysis'!$C$3:$C$23)</f>
        <v>0.18333333333333335</v>
      </c>
      <c r="I1961" s="27">
        <f t="shared" si="90"/>
        <v>1.0092229400000001E-2</v>
      </c>
      <c r="J1961" s="129">
        <f t="shared" si="91"/>
        <v>1.2133000000000003</v>
      </c>
    </row>
    <row r="1962" spans="1:10" hidden="1" x14ac:dyDescent="0.35">
      <c r="A1962" s="126" t="s">
        <v>410</v>
      </c>
      <c r="B1962" t="str">
        <f>_xlfn.XLOOKUP(A1962,'[1]2050Pop'!$A$7:$A$143,'[1]2050Pop'!$D$7:$D$143)</f>
        <v>India/South Asia</v>
      </c>
      <c r="C1962" s="127">
        <f>1000*_xlfn.XLOOKUP(A1962,'[1]2050Pop'!$A$7:$A$143,'[1]2050Pop'!$C$7:$C$143)</f>
        <v>92219</v>
      </c>
      <c r="D1962" s="126" t="s">
        <v>510</v>
      </c>
      <c r="E1962" s="128">
        <v>2.343</v>
      </c>
      <c r="F1962" s="129">
        <f t="shared" si="92"/>
        <v>0.216069117</v>
      </c>
      <c r="G1962" t="str">
        <f>_xlfn.XLOOKUP(D1962,'[1]2050 BAU Mapping to T &amp; C'!$A$3:$A$52,'[1]2050 BAU Mapping to T &amp; C'!$B$3:$B$52)</f>
        <v xml:space="preserve">Oil crops </v>
      </c>
      <c r="H1962" s="129">
        <f>_xlfn.XLOOKUP(G1962,'[1]T&amp;C emissions for 2050 analysis'!$B$3:$B$23,'[1]T&amp;C emissions for 2050 analysis'!$C$3:$C$23)</f>
        <v>0.18333333333333335</v>
      </c>
      <c r="I1962" s="27">
        <f t="shared" si="90"/>
        <v>3.9612671450000005E-2</v>
      </c>
      <c r="J1962" s="129">
        <f t="shared" si="91"/>
        <v>0.42955000000000004</v>
      </c>
    </row>
    <row r="1963" spans="1:10" hidden="1" x14ac:dyDescent="0.35">
      <c r="A1963" s="126" t="s">
        <v>411</v>
      </c>
      <c r="B1963" t="str">
        <f>_xlfn.XLOOKUP(A1963,'[1]2050Pop'!$A$7:$A$143,'[1]2050Pop'!$D$7:$D$143)</f>
        <v>MENA</v>
      </c>
      <c r="C1963" s="127">
        <f>1000*_xlfn.XLOOKUP(A1963,'[1]2050Pop'!$A$7:$A$143,'[1]2050Pop'!$C$7:$C$143)</f>
        <v>83652</v>
      </c>
      <c r="D1963" s="126" t="s">
        <v>510</v>
      </c>
      <c r="E1963" s="128">
        <v>1.359</v>
      </c>
      <c r="F1963" s="129">
        <f t="shared" si="92"/>
        <v>0.113683068</v>
      </c>
      <c r="G1963" t="str">
        <f>_xlfn.XLOOKUP(D1963,'[1]2050 BAU Mapping to T &amp; C'!$A$3:$A$52,'[1]2050 BAU Mapping to T &amp; C'!$B$3:$B$52)</f>
        <v xml:space="preserve">Oil crops </v>
      </c>
      <c r="H1963" s="129">
        <f>_xlfn.XLOOKUP(G1963,'[1]T&amp;C emissions for 2050 analysis'!$B$3:$B$23,'[1]T&amp;C emissions for 2050 analysis'!$C$3:$C$23)</f>
        <v>0.18333333333333335</v>
      </c>
      <c r="I1963" s="27">
        <f t="shared" si="90"/>
        <v>2.0841895800000003E-2</v>
      </c>
      <c r="J1963" s="129">
        <f t="shared" si="91"/>
        <v>0.24915000000000001</v>
      </c>
    </row>
    <row r="1964" spans="1:10" hidden="1" x14ac:dyDescent="0.35">
      <c r="A1964" s="126" t="s">
        <v>412</v>
      </c>
      <c r="B1964" t="str">
        <f>_xlfn.XLOOKUP(A1964,'[1]2050Pop'!$A$7:$A$143,'[1]2050Pop'!$D$7:$D$143)</f>
        <v>Euro/AU/NZ</v>
      </c>
      <c r="C1964" s="127">
        <f>1000*_xlfn.XLOOKUP(A1964,'[1]2050Pop'!$A$7:$A$143,'[1]2050Pop'!$C$7:$C$143)</f>
        <v>5789</v>
      </c>
      <c r="D1964" s="126" t="s">
        <v>510</v>
      </c>
      <c r="E1964" s="128">
        <v>33.234000000000002</v>
      </c>
      <c r="F1964" s="129">
        <f t="shared" si="92"/>
        <v>0.19239162600000001</v>
      </c>
      <c r="G1964" t="str">
        <f>_xlfn.XLOOKUP(D1964,'[1]2050 BAU Mapping to T &amp; C'!$A$3:$A$52,'[1]2050 BAU Mapping to T &amp; C'!$B$3:$B$52)</f>
        <v xml:space="preserve">Oil crops </v>
      </c>
      <c r="H1964" s="129">
        <f>_xlfn.XLOOKUP(G1964,'[1]T&amp;C emissions for 2050 analysis'!$B$3:$B$23,'[1]T&amp;C emissions for 2050 analysis'!$C$3:$C$23)</f>
        <v>0.18333333333333335</v>
      </c>
      <c r="I1964" s="27">
        <f t="shared" si="90"/>
        <v>3.5271798100000001E-2</v>
      </c>
      <c r="J1964" s="129">
        <f t="shared" si="91"/>
        <v>6.0929000000000011</v>
      </c>
    </row>
    <row r="1965" spans="1:10" hidden="1" x14ac:dyDescent="0.35">
      <c r="A1965" s="126" t="s">
        <v>413</v>
      </c>
      <c r="B1965" t="str">
        <f>_xlfn.XLOOKUP(A1965,'[1]2050Pop'!$A$7:$A$143,'[1]2050Pop'!$D$7:$D$143)</f>
        <v>MENA</v>
      </c>
      <c r="C1965" s="127">
        <f>1000*_xlfn.XLOOKUP(A1965,'[1]2050Pop'!$A$7:$A$143,'[1]2050Pop'!$C$7:$C$143)</f>
        <v>12610</v>
      </c>
      <c r="D1965" s="126" t="s">
        <v>510</v>
      </c>
      <c r="E1965" s="128">
        <v>60.613999999999997</v>
      </c>
      <c r="F1965" s="129">
        <f t="shared" si="92"/>
        <v>0.7643425399999999</v>
      </c>
      <c r="G1965" t="str">
        <f>_xlfn.XLOOKUP(D1965,'[1]2050 BAU Mapping to T &amp; C'!$A$3:$A$52,'[1]2050 BAU Mapping to T &amp; C'!$B$3:$B$52)</f>
        <v xml:space="preserve">Oil crops </v>
      </c>
      <c r="H1965" s="129">
        <f>_xlfn.XLOOKUP(G1965,'[1]T&amp;C emissions for 2050 analysis'!$B$3:$B$23,'[1]T&amp;C emissions for 2050 analysis'!$C$3:$C$23)</f>
        <v>0.18333333333333335</v>
      </c>
      <c r="I1965" s="27">
        <f t="shared" si="90"/>
        <v>0.14012946566666665</v>
      </c>
      <c r="J1965" s="129">
        <f t="shared" si="91"/>
        <v>11.112566666666668</v>
      </c>
    </row>
    <row r="1966" spans="1:10" hidden="1" x14ac:dyDescent="0.35">
      <c r="A1966" s="126" t="s">
        <v>414</v>
      </c>
      <c r="B1966" t="str">
        <f>_xlfn.XLOOKUP(A1966,'[1]2050Pop'!$A$7:$A$143,'[1]2050Pop'!$D$7:$D$143)</f>
        <v>Euro/AU/NZ</v>
      </c>
      <c r="C1966" s="127">
        <f>1000*_xlfn.XLOOKUP(A1966,'[1]2050Pop'!$A$7:$A$143,'[1]2050Pop'!$C$7:$C$143)</f>
        <v>56513</v>
      </c>
      <c r="D1966" s="126" t="s">
        <v>510</v>
      </c>
      <c r="E1966" s="128">
        <v>291.68799999999999</v>
      </c>
      <c r="F1966" s="129">
        <f t="shared" si="92"/>
        <v>16.484163943999999</v>
      </c>
      <c r="G1966" t="str">
        <f>_xlfn.XLOOKUP(D1966,'[1]2050 BAU Mapping to T &amp; C'!$A$3:$A$52,'[1]2050 BAU Mapping to T &amp; C'!$B$3:$B$52)</f>
        <v xml:space="preserve">Oil crops </v>
      </c>
      <c r="H1966" s="129">
        <f>_xlfn.XLOOKUP(G1966,'[1]T&amp;C emissions for 2050 analysis'!$B$3:$B$23,'[1]T&amp;C emissions for 2050 analysis'!$C$3:$C$23)</f>
        <v>0.18333333333333335</v>
      </c>
      <c r="I1966" s="27">
        <f t="shared" si="90"/>
        <v>3.0220967230666669</v>
      </c>
      <c r="J1966" s="129">
        <f t="shared" si="91"/>
        <v>53.476133333333337</v>
      </c>
    </row>
    <row r="1967" spans="1:10" hidden="1" x14ac:dyDescent="0.35">
      <c r="A1967" s="126" t="s">
        <v>415</v>
      </c>
      <c r="B1967" t="str">
        <f>_xlfn.XLOOKUP(A1967,'[1]2050Pop'!$A$7:$A$143,'[1]2050Pop'!$D$7:$D$143)</f>
        <v>LatAm &amp; RSA</v>
      </c>
      <c r="C1967" s="127">
        <f>1000*_xlfn.XLOOKUP(A1967,'[1]2050Pop'!$A$7:$A$143,'[1]2050Pop'!$C$7:$C$143)</f>
        <v>2710</v>
      </c>
      <c r="D1967" s="126" t="s">
        <v>510</v>
      </c>
      <c r="E1967" s="128">
        <v>2.8730000000000002</v>
      </c>
      <c r="F1967" s="129">
        <f t="shared" si="92"/>
        <v>7.7858300000000005E-3</v>
      </c>
      <c r="G1967" t="str">
        <f>_xlfn.XLOOKUP(D1967,'[1]2050 BAU Mapping to T &amp; C'!$A$3:$A$52,'[1]2050 BAU Mapping to T &amp; C'!$B$3:$B$52)</f>
        <v xml:space="preserve">Oil crops </v>
      </c>
      <c r="H1967" s="129">
        <f>_xlfn.XLOOKUP(G1967,'[1]T&amp;C emissions for 2050 analysis'!$B$3:$B$23,'[1]T&amp;C emissions for 2050 analysis'!$C$3:$C$23)</f>
        <v>0.18333333333333335</v>
      </c>
      <c r="I1967" s="27">
        <f t="shared" si="90"/>
        <v>1.4274021666666669E-3</v>
      </c>
      <c r="J1967" s="129">
        <f t="shared" si="91"/>
        <v>0.52671666666666672</v>
      </c>
    </row>
    <row r="1968" spans="1:10" hidden="1" x14ac:dyDescent="0.35">
      <c r="A1968" s="126" t="s">
        <v>416</v>
      </c>
      <c r="B1968" t="str">
        <f>_xlfn.XLOOKUP(A1968,'[1]2050Pop'!$A$7:$A$143,'[1]2050Pop'!$D$7:$D$143)</f>
        <v>APAC</v>
      </c>
      <c r="C1968" s="127">
        <f>1000*_xlfn.XLOOKUP(A1968,'[1]2050Pop'!$A$7:$A$143,'[1]2050Pop'!$C$7:$C$143)</f>
        <v>107411</v>
      </c>
      <c r="D1968" s="126" t="s">
        <v>510</v>
      </c>
      <c r="E1968" s="128">
        <v>9.2479999999999993</v>
      </c>
      <c r="F1968" s="129">
        <f t="shared" si="92"/>
        <v>0.99333692799999995</v>
      </c>
      <c r="G1968" t="str">
        <f>_xlfn.XLOOKUP(D1968,'[1]2050 BAU Mapping to T &amp; C'!$A$3:$A$52,'[1]2050 BAU Mapping to T &amp; C'!$B$3:$B$52)</f>
        <v xml:space="preserve">Oil crops </v>
      </c>
      <c r="H1968" s="129">
        <f>_xlfn.XLOOKUP(G1968,'[1]T&amp;C emissions for 2050 analysis'!$B$3:$B$23,'[1]T&amp;C emissions for 2050 analysis'!$C$3:$C$23)</f>
        <v>0.18333333333333335</v>
      </c>
      <c r="I1968" s="27">
        <f t="shared" si="90"/>
        <v>0.18211177013333335</v>
      </c>
      <c r="J1968" s="129">
        <f t="shared" si="91"/>
        <v>1.6954666666666667</v>
      </c>
    </row>
    <row r="1969" spans="1:10" hidden="1" x14ac:dyDescent="0.35">
      <c r="A1969" s="126" t="s">
        <v>417</v>
      </c>
      <c r="B1969" t="str">
        <f>_xlfn.XLOOKUP(A1969,'[1]2050Pop'!$A$7:$A$143,'[1]2050Pop'!$D$7:$D$143)</f>
        <v>MENA</v>
      </c>
      <c r="C1969" s="127">
        <f>1000*_xlfn.XLOOKUP(A1969,'[1]2050Pop'!$A$7:$A$143,'[1]2050Pop'!$C$7:$C$143)</f>
        <v>11717</v>
      </c>
      <c r="D1969" s="126" t="s">
        <v>510</v>
      </c>
      <c r="E1969" s="128">
        <v>91.444999999999993</v>
      </c>
      <c r="F1969" s="129">
        <f t="shared" si="92"/>
        <v>1.071461065</v>
      </c>
      <c r="G1969" t="str">
        <f>_xlfn.XLOOKUP(D1969,'[1]2050 BAU Mapping to T &amp; C'!$A$3:$A$52,'[1]2050 BAU Mapping to T &amp; C'!$B$3:$B$52)</f>
        <v xml:space="preserve">Oil crops </v>
      </c>
      <c r="H1969" s="129">
        <f>_xlfn.XLOOKUP(G1969,'[1]T&amp;C emissions for 2050 analysis'!$B$3:$B$23,'[1]T&amp;C emissions for 2050 analysis'!$C$3:$C$23)</f>
        <v>0.18333333333333335</v>
      </c>
      <c r="I1969" s="27">
        <f t="shared" si="90"/>
        <v>0.19643452858333335</v>
      </c>
      <c r="J1969" s="129">
        <f t="shared" si="91"/>
        <v>16.764916666666668</v>
      </c>
    </row>
    <row r="1970" spans="1:10" hidden="1" x14ac:dyDescent="0.35">
      <c r="A1970" s="126" t="s">
        <v>418</v>
      </c>
      <c r="B1970" t="str">
        <f>_xlfn.XLOOKUP(A1970,'[1]2050Pop'!$A$7:$A$143,'[1]2050Pop'!$D$7:$D$143)</f>
        <v>APAC</v>
      </c>
      <c r="C1970" s="127">
        <f>1000*_xlfn.XLOOKUP(A1970,'[1]2050Pop'!$A$7:$A$143,'[1]2050Pop'!$C$7:$C$143)</f>
        <v>22447</v>
      </c>
      <c r="D1970" s="126" t="s">
        <v>510</v>
      </c>
      <c r="E1970" s="130">
        <v>1.31</v>
      </c>
      <c r="F1970" s="129">
        <f t="shared" si="92"/>
        <v>2.9405569999999999E-2</v>
      </c>
      <c r="G1970" t="str">
        <f>_xlfn.XLOOKUP(D1970,'[1]2050 BAU Mapping to T &amp; C'!$A$3:$A$52,'[1]2050 BAU Mapping to T &amp; C'!$B$3:$B$52)</f>
        <v xml:space="preserve">Oil crops </v>
      </c>
      <c r="H1970" s="129">
        <f>_xlfn.XLOOKUP(G1970,'[1]T&amp;C emissions for 2050 analysis'!$B$3:$B$23,'[1]T&amp;C emissions for 2050 analysis'!$C$3:$C$23)</f>
        <v>0.18333333333333335</v>
      </c>
      <c r="I1970" s="27">
        <f t="shared" si="90"/>
        <v>5.3910211666666668E-3</v>
      </c>
      <c r="J1970" s="129">
        <f t="shared" si="91"/>
        <v>0.24016666666666669</v>
      </c>
    </row>
    <row r="1971" spans="1:10" hidden="1" x14ac:dyDescent="0.35">
      <c r="A1971" s="126" t="s">
        <v>422</v>
      </c>
      <c r="B1971" t="str">
        <f>_xlfn.XLOOKUP(A1971,'[1]2050Pop'!$A$7:$A$143,'[1]2050Pop'!$D$7:$D$143)</f>
        <v>Euro/AU/NZ</v>
      </c>
      <c r="C1971" s="127">
        <f>1000*_xlfn.XLOOKUP(A1971,'[1]2050Pop'!$A$7:$A$143,'[1]2050Pop'!$C$7:$C$143)</f>
        <v>1593</v>
      </c>
      <c r="D1971" s="126" t="s">
        <v>510</v>
      </c>
      <c r="E1971" s="128">
        <v>18.855</v>
      </c>
      <c r="F1971" s="129">
        <f t="shared" si="92"/>
        <v>3.0036014999999999E-2</v>
      </c>
      <c r="G1971" t="str">
        <f>_xlfn.XLOOKUP(D1971,'[1]2050 BAU Mapping to T &amp; C'!$A$3:$A$52,'[1]2050 BAU Mapping to T &amp; C'!$B$3:$B$52)</f>
        <v xml:space="preserve">Oil crops </v>
      </c>
      <c r="H1971" s="129">
        <f>_xlfn.XLOOKUP(G1971,'[1]T&amp;C emissions for 2050 analysis'!$B$3:$B$23,'[1]T&amp;C emissions for 2050 analysis'!$C$3:$C$23)</f>
        <v>0.18333333333333335</v>
      </c>
      <c r="I1971" s="27">
        <f t="shared" si="90"/>
        <v>5.5066027500000007E-3</v>
      </c>
      <c r="J1971" s="129">
        <f t="shared" si="91"/>
        <v>3.4567500000000004</v>
      </c>
    </row>
    <row r="1972" spans="1:10" hidden="1" x14ac:dyDescent="0.35">
      <c r="A1972" s="126" t="s">
        <v>423</v>
      </c>
      <c r="B1972" t="str">
        <f>_xlfn.XLOOKUP(A1972,'[1]2050Pop'!$A$7:$A$143,'[1]2050Pop'!$D$7:$D$143)</f>
        <v>MENA</v>
      </c>
      <c r="C1972" s="127">
        <f>1000*_xlfn.XLOOKUP(A1972,'[1]2050Pop'!$A$7:$A$143,'[1]2050Pop'!$C$7:$C$143)</f>
        <v>5610</v>
      </c>
      <c r="D1972" s="126" t="s">
        <v>510</v>
      </c>
      <c r="E1972" s="128">
        <v>85.245000000000005</v>
      </c>
      <c r="F1972" s="129">
        <f t="shared" si="92"/>
        <v>0.47822445000000002</v>
      </c>
      <c r="G1972" t="str">
        <f>_xlfn.XLOOKUP(D1972,'[1]2050 BAU Mapping to T &amp; C'!$A$3:$A$52,'[1]2050 BAU Mapping to T &amp; C'!$B$3:$B$52)</f>
        <v xml:space="preserve">Oil crops </v>
      </c>
      <c r="H1972" s="129">
        <f>_xlfn.XLOOKUP(G1972,'[1]T&amp;C emissions for 2050 analysis'!$B$3:$B$23,'[1]T&amp;C emissions for 2050 analysis'!$C$3:$C$23)</f>
        <v>0.18333333333333335</v>
      </c>
      <c r="I1972" s="27">
        <f t="shared" si="90"/>
        <v>8.7674482500000012E-2</v>
      </c>
      <c r="J1972" s="129">
        <f t="shared" si="91"/>
        <v>15.628250000000001</v>
      </c>
    </row>
    <row r="1973" spans="1:10" hidden="1" x14ac:dyDescent="0.35">
      <c r="A1973" s="126" t="s">
        <v>425</v>
      </c>
      <c r="B1973" t="str">
        <f>_xlfn.XLOOKUP(A1973,'[1]2050Pop'!$A$7:$A$143,'[1]2050Pop'!$D$7:$D$143)</f>
        <v>SSA</v>
      </c>
      <c r="C1973" s="127">
        <f>1000*_xlfn.XLOOKUP(A1973,'[1]2050Pop'!$A$7:$A$143,'[1]2050Pop'!$C$7:$C$143)</f>
        <v>9436</v>
      </c>
      <c r="D1973" s="126" t="s">
        <v>510</v>
      </c>
      <c r="E1973" s="128">
        <v>2.1520000000000001</v>
      </c>
      <c r="F1973" s="129">
        <f t="shared" si="92"/>
        <v>2.0306272E-2</v>
      </c>
      <c r="G1973" t="str">
        <f>_xlfn.XLOOKUP(D1973,'[1]2050 BAU Mapping to T &amp; C'!$A$3:$A$52,'[1]2050 BAU Mapping to T &amp; C'!$B$3:$B$52)</f>
        <v xml:space="preserve">Oil crops </v>
      </c>
      <c r="H1973" s="129">
        <f>_xlfn.XLOOKUP(G1973,'[1]T&amp;C emissions for 2050 analysis'!$B$3:$B$23,'[1]T&amp;C emissions for 2050 analysis'!$C$3:$C$23)</f>
        <v>0.18333333333333335</v>
      </c>
      <c r="I1973" s="27">
        <f t="shared" si="90"/>
        <v>3.7228165333333335E-3</v>
      </c>
      <c r="J1973" s="129">
        <f t="shared" si="91"/>
        <v>0.3945333333333334</v>
      </c>
    </row>
    <row r="1974" spans="1:10" hidden="1" x14ac:dyDescent="0.35">
      <c r="A1974" s="126" t="s">
        <v>426</v>
      </c>
      <c r="B1974" t="str">
        <f>_xlfn.XLOOKUP(A1974,'[1]2050Pop'!$A$7:$A$143,'[1]2050Pop'!$D$7:$D$143)</f>
        <v>Euro/AU/NZ</v>
      </c>
      <c r="C1974" s="127">
        <f>1000*_xlfn.XLOOKUP(A1974,'[1]2050Pop'!$A$7:$A$143,'[1]2050Pop'!$C$7:$C$143)</f>
        <v>2375</v>
      </c>
      <c r="D1974" s="126" t="s">
        <v>510</v>
      </c>
      <c r="E1974" s="128">
        <v>7.1470000000000002</v>
      </c>
      <c r="F1974" s="129">
        <f t="shared" si="92"/>
        <v>1.6974125E-2</v>
      </c>
      <c r="G1974" t="str">
        <f>_xlfn.XLOOKUP(D1974,'[1]2050 BAU Mapping to T &amp; C'!$A$3:$A$52,'[1]2050 BAU Mapping to T &amp; C'!$B$3:$B$52)</f>
        <v xml:space="preserve">Oil crops </v>
      </c>
      <c r="H1974" s="129">
        <f>_xlfn.XLOOKUP(G1974,'[1]T&amp;C emissions for 2050 analysis'!$B$3:$B$23,'[1]T&amp;C emissions for 2050 analysis'!$C$3:$C$23)</f>
        <v>0.18333333333333335</v>
      </c>
      <c r="I1974" s="27">
        <f t="shared" si="90"/>
        <v>3.1119229166666667E-3</v>
      </c>
      <c r="J1974" s="129">
        <f t="shared" si="91"/>
        <v>1.3102833333333335</v>
      </c>
    </row>
    <row r="1975" spans="1:10" hidden="1" x14ac:dyDescent="0.35">
      <c r="A1975" s="126" t="s">
        <v>429</v>
      </c>
      <c r="B1975" t="str">
        <f>_xlfn.XLOOKUP(A1975,'[1]2050Pop'!$A$7:$A$143,'[1]2050Pop'!$D$7:$D$143)</f>
        <v>APAC</v>
      </c>
      <c r="C1975" s="127">
        <f>1000*_xlfn.XLOOKUP(A1975,'[1]2050Pop'!$A$7:$A$143,'[1]2050Pop'!$C$7:$C$143)</f>
        <v>40725</v>
      </c>
      <c r="D1975" s="126" t="s">
        <v>510</v>
      </c>
      <c r="E1975" s="128">
        <v>1.702</v>
      </c>
      <c r="F1975" s="129">
        <f t="shared" si="92"/>
        <v>6.9313949999999999E-2</v>
      </c>
      <c r="G1975" t="str">
        <f>_xlfn.XLOOKUP(D1975,'[1]2050 BAU Mapping to T &amp; C'!$A$3:$A$52,'[1]2050 BAU Mapping to T &amp; C'!$B$3:$B$52)</f>
        <v xml:space="preserve">Oil crops </v>
      </c>
      <c r="H1975" s="129">
        <f>_xlfn.XLOOKUP(G1975,'[1]T&amp;C emissions for 2050 analysis'!$B$3:$B$23,'[1]T&amp;C emissions for 2050 analysis'!$C$3:$C$23)</f>
        <v>0.18333333333333335</v>
      </c>
      <c r="I1975" s="27">
        <f t="shared" si="90"/>
        <v>1.2707557500000001E-2</v>
      </c>
      <c r="J1975" s="129">
        <f t="shared" si="91"/>
        <v>0.31203333333333333</v>
      </c>
    </row>
    <row r="1976" spans="1:10" hidden="1" x14ac:dyDescent="0.35">
      <c r="A1976" s="126" t="s">
        <v>430</v>
      </c>
      <c r="B1976" t="str">
        <f>_xlfn.XLOOKUP(A1976,'[1]2050Pop'!$A$7:$A$143,'[1]2050Pop'!$D$7:$D$143)</f>
        <v>SSA</v>
      </c>
      <c r="C1976" s="127">
        <f>1000*_xlfn.XLOOKUP(A1976,'[1]2050Pop'!$A$7:$A$143,'[1]2050Pop'!$C$7:$C$143)</f>
        <v>45404</v>
      </c>
      <c r="D1976" s="126" t="s">
        <v>510</v>
      </c>
      <c r="E1976" s="128">
        <v>1.2410000000000001</v>
      </c>
      <c r="F1976" s="129">
        <f t="shared" si="92"/>
        <v>5.6346364000000003E-2</v>
      </c>
      <c r="G1976" t="str">
        <f>_xlfn.XLOOKUP(D1976,'[1]2050 BAU Mapping to T &amp; C'!$A$3:$A$52,'[1]2050 BAU Mapping to T &amp; C'!$B$3:$B$52)</f>
        <v xml:space="preserve">Oil crops </v>
      </c>
      <c r="H1976" s="129">
        <f>_xlfn.XLOOKUP(G1976,'[1]T&amp;C emissions for 2050 analysis'!$B$3:$B$23,'[1]T&amp;C emissions for 2050 analysis'!$C$3:$C$23)</f>
        <v>0.18333333333333335</v>
      </c>
      <c r="I1976" s="27">
        <f t="shared" si="90"/>
        <v>1.0330166733333335E-2</v>
      </c>
      <c r="J1976" s="129">
        <f t="shared" si="91"/>
        <v>0.2275166666666667</v>
      </c>
    </row>
    <row r="1977" spans="1:10" hidden="1" x14ac:dyDescent="0.35">
      <c r="A1977" s="126" t="s">
        <v>431</v>
      </c>
      <c r="B1977" t="str">
        <f>_xlfn.XLOOKUP(A1977,'[1]2050Pop'!$A$7:$A$143,'[1]2050Pop'!$D$7:$D$143)</f>
        <v>SSA</v>
      </c>
      <c r="C1977" s="127">
        <f>1000*_xlfn.XLOOKUP(A1977,'[1]2050Pop'!$A$7:$A$143,'[1]2050Pop'!$C$7:$C$143)</f>
        <v>8048.9999999999991</v>
      </c>
      <c r="D1977" s="126" t="s">
        <v>510</v>
      </c>
      <c r="E1977" s="128">
        <v>1.708</v>
      </c>
      <c r="F1977" s="129">
        <f t="shared" si="92"/>
        <v>1.3747691999999997E-2</v>
      </c>
      <c r="G1977" t="str">
        <f>_xlfn.XLOOKUP(D1977,'[1]2050 BAU Mapping to T &amp; C'!$A$3:$A$52,'[1]2050 BAU Mapping to T &amp; C'!$B$3:$B$52)</f>
        <v xml:space="preserve">Oil crops </v>
      </c>
      <c r="H1977" s="129">
        <f>_xlfn.XLOOKUP(G1977,'[1]T&amp;C emissions for 2050 analysis'!$B$3:$B$23,'[1]T&amp;C emissions for 2050 analysis'!$C$3:$C$23)</f>
        <v>0.18333333333333335</v>
      </c>
      <c r="I1977" s="27">
        <f t="shared" si="90"/>
        <v>2.5204101999999995E-3</v>
      </c>
      <c r="J1977" s="129">
        <f t="shared" si="91"/>
        <v>0.31313333333333337</v>
      </c>
    </row>
    <row r="1978" spans="1:10" hidden="1" x14ac:dyDescent="0.35">
      <c r="A1978" s="126" t="s">
        <v>432</v>
      </c>
      <c r="B1978" t="str">
        <f>_xlfn.XLOOKUP(A1978,'[1]2050Pop'!$A$7:$A$143,'[1]2050Pop'!$D$7:$D$143)</f>
        <v>SSA</v>
      </c>
      <c r="C1978" s="127">
        <f>1000*_xlfn.XLOOKUP(A1978,'[1]2050Pop'!$A$7:$A$143,'[1]2050Pop'!$C$7:$C$143)</f>
        <v>1249</v>
      </c>
      <c r="D1978" s="126" t="s">
        <v>510</v>
      </c>
      <c r="E1978" s="128">
        <v>20.577000000000002</v>
      </c>
      <c r="F1978" s="129">
        <f t="shared" si="92"/>
        <v>2.5700673000000004E-2</v>
      </c>
      <c r="G1978" t="str">
        <f>_xlfn.XLOOKUP(D1978,'[1]2050 BAU Mapping to T &amp; C'!$A$3:$A$52,'[1]2050 BAU Mapping to T &amp; C'!$B$3:$B$52)</f>
        <v xml:space="preserve">Oil crops </v>
      </c>
      <c r="H1978" s="129">
        <f>_xlfn.XLOOKUP(G1978,'[1]T&amp;C emissions for 2050 analysis'!$B$3:$B$23,'[1]T&amp;C emissions for 2050 analysis'!$C$3:$C$23)</f>
        <v>0.18333333333333335</v>
      </c>
      <c r="I1978" s="27">
        <f t="shared" si="90"/>
        <v>4.7117900500000011E-3</v>
      </c>
      <c r="J1978" s="129">
        <f t="shared" si="91"/>
        <v>3.7724500000000005</v>
      </c>
    </row>
    <row r="1979" spans="1:10" hidden="1" x14ac:dyDescent="0.35">
      <c r="A1979" s="126" t="s">
        <v>433</v>
      </c>
      <c r="B1979" t="str">
        <f>_xlfn.XLOOKUP(A1979,'[1]2050Pop'!$A$7:$A$143,'[1]2050Pop'!$D$7:$D$143)</f>
        <v>LatAm &amp; RSA</v>
      </c>
      <c r="C1979" s="127">
        <f>1000*_xlfn.XLOOKUP(A1979,'[1]2050Pop'!$A$7:$A$143,'[1]2050Pop'!$C$7:$C$143)</f>
        <v>163754</v>
      </c>
      <c r="D1979" s="126" t="s">
        <v>510</v>
      </c>
      <c r="E1979" s="128">
        <v>3.782</v>
      </c>
      <c r="F1979" s="129">
        <f t="shared" si="92"/>
        <v>0.61931762800000001</v>
      </c>
      <c r="G1979" t="str">
        <f>_xlfn.XLOOKUP(D1979,'[1]2050 BAU Mapping to T &amp; C'!$A$3:$A$52,'[1]2050 BAU Mapping to T &amp; C'!$B$3:$B$52)</f>
        <v xml:space="preserve">Oil crops </v>
      </c>
      <c r="H1979" s="129">
        <f>_xlfn.XLOOKUP(G1979,'[1]T&amp;C emissions for 2050 analysis'!$B$3:$B$23,'[1]T&amp;C emissions for 2050 analysis'!$C$3:$C$23)</f>
        <v>0.18333333333333335</v>
      </c>
      <c r="I1979" s="27">
        <f t="shared" si="90"/>
        <v>0.11354156513333334</v>
      </c>
      <c r="J1979" s="129">
        <f t="shared" si="91"/>
        <v>0.69336666666666669</v>
      </c>
    </row>
    <row r="1980" spans="1:10" hidden="1" x14ac:dyDescent="0.35">
      <c r="A1980" s="126" t="s">
        <v>434</v>
      </c>
      <c r="B1980" t="str">
        <f>_xlfn.XLOOKUP(A1980,'[1]2050Pop'!$A$7:$A$143,'[1]2050Pop'!$D$7:$D$143)</f>
        <v>APAC</v>
      </c>
      <c r="C1980" s="127">
        <f>1000*_xlfn.XLOOKUP(A1980,'[1]2050Pop'!$A$7:$A$143,'[1]2050Pop'!$C$7:$C$143)</f>
        <v>4027.9999999999995</v>
      </c>
      <c r="D1980" s="126" t="s">
        <v>510</v>
      </c>
      <c r="E1980" s="130">
        <v>1.1399999999999999</v>
      </c>
      <c r="F1980" s="129">
        <f t="shared" si="92"/>
        <v>4.5919199999999993E-3</v>
      </c>
      <c r="G1980" t="str">
        <f>_xlfn.XLOOKUP(D1980,'[1]2050 BAU Mapping to T &amp; C'!$A$3:$A$52,'[1]2050 BAU Mapping to T &amp; C'!$B$3:$B$52)</f>
        <v xml:space="preserve">Oil crops </v>
      </c>
      <c r="H1980" s="129">
        <f>_xlfn.XLOOKUP(G1980,'[1]T&amp;C emissions for 2050 analysis'!$B$3:$B$23,'[1]T&amp;C emissions for 2050 analysis'!$C$3:$C$23)</f>
        <v>0.18333333333333335</v>
      </c>
      <c r="I1980" s="27">
        <f t="shared" si="90"/>
        <v>8.4185199999999992E-4</v>
      </c>
      <c r="J1980" s="129">
        <f t="shared" si="91"/>
        <v>0.20899999999999999</v>
      </c>
    </row>
    <row r="1981" spans="1:10" hidden="1" x14ac:dyDescent="0.35">
      <c r="A1981" s="126" t="s">
        <v>435</v>
      </c>
      <c r="B1981" t="str">
        <f>_xlfn.XLOOKUP(A1981,'[1]2050Pop'!$A$7:$A$143,'[1]2050Pop'!$D$7:$D$143)</f>
        <v>MENA</v>
      </c>
      <c r="C1981" s="127">
        <f>1000*_xlfn.XLOOKUP(A1981,'[1]2050Pop'!$A$7:$A$143,'[1]2050Pop'!$C$7:$C$143)</f>
        <v>43696</v>
      </c>
      <c r="D1981" s="126" t="s">
        <v>510</v>
      </c>
      <c r="E1981" s="128">
        <v>89.111999999999995</v>
      </c>
      <c r="F1981" s="129">
        <f t="shared" si="92"/>
        <v>3.8938379519999997</v>
      </c>
      <c r="G1981" t="str">
        <f>_xlfn.XLOOKUP(D1981,'[1]2050 BAU Mapping to T &amp; C'!$A$3:$A$52,'[1]2050 BAU Mapping to T &amp; C'!$B$3:$B$52)</f>
        <v xml:space="preserve">Oil crops </v>
      </c>
      <c r="H1981" s="129">
        <f>_xlfn.XLOOKUP(G1981,'[1]T&amp;C emissions for 2050 analysis'!$B$3:$B$23,'[1]T&amp;C emissions for 2050 analysis'!$C$3:$C$23)</f>
        <v>0.18333333333333335</v>
      </c>
      <c r="I1981" s="27">
        <f t="shared" si="90"/>
        <v>0.71387029120000001</v>
      </c>
      <c r="J1981" s="129">
        <f t="shared" si="91"/>
        <v>16.337199999999999</v>
      </c>
    </row>
    <row r="1982" spans="1:10" hidden="1" x14ac:dyDescent="0.35">
      <c r="A1982" s="126" t="s">
        <v>436</v>
      </c>
      <c r="B1982" t="str">
        <f>_xlfn.XLOOKUP(A1982,'[1]2050Pop'!$A$7:$A$143,'[1]2050Pop'!$D$7:$D$143)</f>
        <v>SSA</v>
      </c>
      <c r="C1982" s="127">
        <f>1000*_xlfn.XLOOKUP(A1982,'[1]2050Pop'!$A$7:$A$143,'[1]2050Pop'!$C$7:$C$143)</f>
        <v>65544</v>
      </c>
      <c r="D1982" s="126" t="s">
        <v>510</v>
      </c>
      <c r="E1982" s="128">
        <v>1.6140000000000001</v>
      </c>
      <c r="F1982" s="129">
        <f t="shared" si="92"/>
        <v>0.105788016</v>
      </c>
      <c r="G1982" t="str">
        <f>_xlfn.XLOOKUP(D1982,'[1]2050 BAU Mapping to T &amp; C'!$A$3:$A$52,'[1]2050 BAU Mapping to T &amp; C'!$B$3:$B$52)</f>
        <v xml:space="preserve">Oil crops </v>
      </c>
      <c r="H1982" s="129">
        <f>_xlfn.XLOOKUP(G1982,'[1]T&amp;C emissions for 2050 analysis'!$B$3:$B$23,'[1]T&amp;C emissions for 2050 analysis'!$C$3:$C$23)</f>
        <v>0.18333333333333335</v>
      </c>
      <c r="I1982" s="27">
        <f t="shared" si="90"/>
        <v>1.9394469600000002E-2</v>
      </c>
      <c r="J1982" s="129">
        <f t="shared" si="91"/>
        <v>0.29590000000000005</v>
      </c>
    </row>
    <row r="1983" spans="1:10" hidden="1" x14ac:dyDescent="0.35">
      <c r="A1983" s="126" t="s">
        <v>437</v>
      </c>
      <c r="B1983" t="str">
        <f>_xlfn.XLOOKUP(A1983,'[1]2050Pop'!$A$7:$A$143,'[1]2050Pop'!$D$7:$D$143)</f>
        <v>SSA</v>
      </c>
      <c r="C1983" s="127">
        <f>1000*_xlfn.XLOOKUP(A1983,'[1]2050Pop'!$A$7:$A$143,'[1]2050Pop'!$C$7:$C$143)</f>
        <v>4322</v>
      </c>
      <c r="D1983" s="126" t="s">
        <v>510</v>
      </c>
      <c r="E1983" s="128">
        <v>3.1360000000000001</v>
      </c>
      <c r="F1983" s="129">
        <f t="shared" si="92"/>
        <v>1.3553792000000002E-2</v>
      </c>
      <c r="G1983" t="str">
        <f>_xlfn.XLOOKUP(D1983,'[1]2050 BAU Mapping to T &amp; C'!$A$3:$A$52,'[1]2050 BAU Mapping to T &amp; C'!$B$3:$B$52)</f>
        <v xml:space="preserve">Oil crops </v>
      </c>
      <c r="H1983" s="129">
        <f>_xlfn.XLOOKUP(G1983,'[1]T&amp;C emissions for 2050 analysis'!$B$3:$B$23,'[1]T&amp;C emissions for 2050 analysis'!$C$3:$C$23)</f>
        <v>0.18333333333333335</v>
      </c>
      <c r="I1983" s="27">
        <f t="shared" si="90"/>
        <v>2.4848618666666674E-3</v>
      </c>
      <c r="J1983" s="129">
        <f t="shared" si="91"/>
        <v>0.57493333333333341</v>
      </c>
    </row>
    <row r="1984" spans="1:10" hidden="1" x14ac:dyDescent="0.35">
      <c r="A1984" s="126" t="s">
        <v>439</v>
      </c>
      <c r="B1984" t="str">
        <f>_xlfn.XLOOKUP(A1984,'[1]2050Pop'!$A$7:$A$143,'[1]2050Pop'!$D$7:$D$143)</f>
        <v>Euro/AU/NZ</v>
      </c>
      <c r="C1984" s="127">
        <f>1000*_xlfn.XLOOKUP(A1984,'[1]2050Pop'!$A$7:$A$143,'[1]2050Pop'!$C$7:$C$143)</f>
        <v>17602</v>
      </c>
      <c r="D1984" s="126" t="s">
        <v>510</v>
      </c>
      <c r="E1984" s="128">
        <v>28.754999999999999</v>
      </c>
      <c r="F1984" s="129">
        <f t="shared" si="92"/>
        <v>0.50614550999999997</v>
      </c>
      <c r="G1984" t="str">
        <f>_xlfn.XLOOKUP(D1984,'[1]2050 BAU Mapping to T &amp; C'!$A$3:$A$52,'[1]2050 BAU Mapping to T &amp; C'!$B$3:$B$52)</f>
        <v xml:space="preserve">Oil crops </v>
      </c>
      <c r="H1984" s="129">
        <f>_xlfn.XLOOKUP(G1984,'[1]T&amp;C emissions for 2050 analysis'!$B$3:$B$23,'[1]T&amp;C emissions for 2050 analysis'!$C$3:$C$23)</f>
        <v>0.18333333333333335</v>
      </c>
      <c r="I1984" s="27">
        <f t="shared" si="90"/>
        <v>9.27933435E-2</v>
      </c>
      <c r="J1984" s="129">
        <f t="shared" si="91"/>
        <v>5.2717499999999999</v>
      </c>
    </row>
    <row r="1985" spans="1:10" hidden="1" x14ac:dyDescent="0.35">
      <c r="A1985" s="126" t="s">
        <v>440</v>
      </c>
      <c r="B1985" t="str">
        <f>_xlfn.XLOOKUP(A1985,'[1]2050Pop'!$A$7:$A$143,'[1]2050Pop'!$D$7:$D$143)</f>
        <v>Euro/AU/NZ</v>
      </c>
      <c r="C1985" s="127">
        <f>1000*_xlfn.XLOOKUP(A1985,'[1]2050Pop'!$A$7:$A$143,'[1]2050Pop'!$C$7:$C$143)</f>
        <v>5607</v>
      </c>
      <c r="D1985" s="126" t="s">
        <v>510</v>
      </c>
      <c r="E1985" s="128">
        <v>25.690999999999999</v>
      </c>
      <c r="F1985" s="129">
        <f t="shared" si="92"/>
        <v>0.144049437</v>
      </c>
      <c r="G1985" t="str">
        <f>_xlfn.XLOOKUP(D1985,'[1]2050 BAU Mapping to T &amp; C'!$A$3:$A$52,'[1]2050 BAU Mapping to T &amp; C'!$B$3:$B$52)</f>
        <v xml:space="preserve">Oil crops </v>
      </c>
      <c r="H1985" s="129">
        <f>_xlfn.XLOOKUP(G1985,'[1]T&amp;C emissions for 2050 analysis'!$B$3:$B$23,'[1]T&amp;C emissions for 2050 analysis'!$C$3:$C$23)</f>
        <v>0.18333333333333335</v>
      </c>
      <c r="I1985" s="27">
        <f t="shared" si="90"/>
        <v>2.6409063450000003E-2</v>
      </c>
      <c r="J1985" s="129">
        <f t="shared" si="91"/>
        <v>4.7100166666666672</v>
      </c>
    </row>
    <row r="1986" spans="1:10" hidden="1" x14ac:dyDescent="0.35">
      <c r="A1986" s="126" t="s">
        <v>441</v>
      </c>
      <c r="B1986" t="str">
        <f>_xlfn.XLOOKUP(A1986,'[1]2050Pop'!$A$7:$A$143,'[1]2050Pop'!$D$7:$D$143)</f>
        <v>LatAm &amp; RSA</v>
      </c>
      <c r="C1986" s="127">
        <f>1000*_xlfn.XLOOKUP(A1986,'[1]2050Pop'!$A$7:$A$143,'[1]2050Pop'!$C$7:$C$143)</f>
        <v>7863</v>
      </c>
      <c r="D1986" s="126" t="s">
        <v>510</v>
      </c>
      <c r="E1986" s="128">
        <v>2.6930000000000001</v>
      </c>
      <c r="F1986" s="129">
        <f t="shared" si="92"/>
        <v>2.1175059E-2</v>
      </c>
      <c r="G1986" t="str">
        <f>_xlfn.XLOOKUP(D1986,'[1]2050 BAU Mapping to T &amp; C'!$A$3:$A$52,'[1]2050 BAU Mapping to T &amp; C'!$B$3:$B$52)</f>
        <v xml:space="preserve">Oil crops </v>
      </c>
      <c r="H1986" s="129">
        <f>_xlfn.XLOOKUP(G1986,'[1]T&amp;C emissions for 2050 analysis'!$B$3:$B$23,'[1]T&amp;C emissions for 2050 analysis'!$C$3:$C$23)</f>
        <v>0.18333333333333335</v>
      </c>
      <c r="I1986" s="27">
        <f t="shared" si="90"/>
        <v>3.8820941500000003E-3</v>
      </c>
      <c r="J1986" s="129">
        <f t="shared" si="91"/>
        <v>0.49371666666666669</v>
      </c>
    </row>
    <row r="1987" spans="1:10" hidden="1" x14ac:dyDescent="0.35">
      <c r="A1987" s="126" t="s">
        <v>442</v>
      </c>
      <c r="B1987" t="str">
        <f>_xlfn.XLOOKUP(A1987,'[1]2050Pop'!$A$7:$A$143,'[1]2050Pop'!$D$7:$D$143)</f>
        <v>Euro/AU/NZ</v>
      </c>
      <c r="C1987" s="127">
        <f>1000*_xlfn.XLOOKUP(A1987,'[1]2050Pop'!$A$7:$A$143,'[1]2050Pop'!$C$7:$C$143)</f>
        <v>6658</v>
      </c>
      <c r="D1987" s="126" t="s">
        <v>510</v>
      </c>
      <c r="E1987" s="128">
        <v>20.039000000000001</v>
      </c>
      <c r="F1987" s="129">
        <f t="shared" si="92"/>
        <v>0.13341966200000002</v>
      </c>
      <c r="G1987" t="str">
        <f>_xlfn.XLOOKUP(D1987,'[1]2050 BAU Mapping to T &amp; C'!$A$3:$A$52,'[1]2050 BAU Mapping to T &amp; C'!$B$3:$B$52)</f>
        <v xml:space="preserve">Oil crops </v>
      </c>
      <c r="H1987" s="129">
        <f>_xlfn.XLOOKUP(G1987,'[1]T&amp;C emissions for 2050 analysis'!$B$3:$B$23,'[1]T&amp;C emissions for 2050 analysis'!$C$3:$C$23)</f>
        <v>0.18333333333333335</v>
      </c>
      <c r="I1987" s="27">
        <f t="shared" si="90"/>
        <v>2.4460271366666671E-2</v>
      </c>
      <c r="J1987" s="129">
        <f t="shared" si="91"/>
        <v>3.6738166666666672</v>
      </c>
    </row>
    <row r="1988" spans="1:10" hidden="1" x14ac:dyDescent="0.35">
      <c r="A1988" s="126" t="s">
        <v>444</v>
      </c>
      <c r="B1988" t="str">
        <f>_xlfn.XLOOKUP(A1988,'[1]2050Pop'!$A$7:$A$143,'[1]2050Pop'!$D$7:$D$143)</f>
        <v>LatAm &amp; RSA</v>
      </c>
      <c r="C1988" s="127">
        <f>1000*_xlfn.XLOOKUP(A1988,'[1]2050Pop'!$A$7:$A$143,'[1]2050Pop'!$C$7:$C$143)</f>
        <v>5599</v>
      </c>
      <c r="D1988" s="126" t="s">
        <v>510</v>
      </c>
      <c r="E1988" s="128">
        <v>7.9640000000000004</v>
      </c>
      <c r="F1988" s="129">
        <f t="shared" si="92"/>
        <v>4.4590436000000004E-2</v>
      </c>
      <c r="G1988" t="str">
        <f>_xlfn.XLOOKUP(D1988,'[1]2050 BAU Mapping to T &amp; C'!$A$3:$A$52,'[1]2050 BAU Mapping to T &amp; C'!$B$3:$B$52)</f>
        <v xml:space="preserve">Oil crops </v>
      </c>
      <c r="H1988" s="129">
        <f>_xlfn.XLOOKUP(G1988,'[1]T&amp;C emissions for 2050 analysis'!$B$3:$B$23,'[1]T&amp;C emissions for 2050 analysis'!$C$3:$C$23)</f>
        <v>0.18333333333333335</v>
      </c>
      <c r="I1988" s="27">
        <f t="shared" ref="I1988:I2051" si="93">F1988*H1988</f>
        <v>8.1749132666666686E-3</v>
      </c>
      <c r="J1988" s="129">
        <f t="shared" ref="J1988:J2051" si="94">E1988*H1988</f>
        <v>1.4600666666666668</v>
      </c>
    </row>
    <row r="1989" spans="1:10" hidden="1" x14ac:dyDescent="0.35">
      <c r="A1989" s="126" t="s">
        <v>445</v>
      </c>
      <c r="B1989" t="str">
        <f>_xlfn.XLOOKUP(A1989,'[1]2050Pop'!$A$7:$A$143,'[1]2050Pop'!$D$7:$D$143)</f>
        <v>LatAm &amp; RSA</v>
      </c>
      <c r="C1989" s="127">
        <f>1000*_xlfn.XLOOKUP(A1989,'[1]2050Pop'!$A$7:$A$143,'[1]2050Pop'!$C$7:$C$143)</f>
        <v>8895</v>
      </c>
      <c r="D1989" s="126" t="s">
        <v>510</v>
      </c>
      <c r="E1989" s="128">
        <v>2.3490000000000002</v>
      </c>
      <c r="F1989" s="129">
        <f t="shared" ref="F1989:F2052" si="95">C1989*E1989/1000000</f>
        <v>2.0894355000000003E-2</v>
      </c>
      <c r="G1989" t="str">
        <f>_xlfn.XLOOKUP(D1989,'[1]2050 BAU Mapping to T &amp; C'!$A$3:$A$52,'[1]2050 BAU Mapping to T &amp; C'!$B$3:$B$52)</f>
        <v xml:space="preserve">Oil crops </v>
      </c>
      <c r="H1989" s="129">
        <f>_xlfn.XLOOKUP(G1989,'[1]T&amp;C emissions for 2050 analysis'!$B$3:$B$23,'[1]T&amp;C emissions for 2050 analysis'!$C$3:$C$23)</f>
        <v>0.18333333333333335</v>
      </c>
      <c r="I1989" s="27">
        <f t="shared" si="93"/>
        <v>3.830631750000001E-3</v>
      </c>
      <c r="J1989" s="129">
        <f t="shared" si="94"/>
        <v>0.43065000000000009</v>
      </c>
    </row>
    <row r="1990" spans="1:10" hidden="1" x14ac:dyDescent="0.35">
      <c r="A1990" s="126" t="s">
        <v>446</v>
      </c>
      <c r="B1990" t="str">
        <f>_xlfn.XLOOKUP(A1990,'[1]2050Pop'!$A$7:$A$143,'[1]2050Pop'!$D$7:$D$143)</f>
        <v>LatAm &amp; RSA</v>
      </c>
      <c r="C1990" s="127">
        <f>1000*_xlfn.XLOOKUP(A1990,'[1]2050Pop'!$A$7:$A$143,'[1]2050Pop'!$C$7:$C$143)</f>
        <v>41899</v>
      </c>
      <c r="D1990" s="126" t="s">
        <v>510</v>
      </c>
      <c r="E1990" s="128">
        <v>1.6479999999999999</v>
      </c>
      <c r="F1990" s="129">
        <f t="shared" si="95"/>
        <v>6.9049552E-2</v>
      </c>
      <c r="G1990" t="str">
        <f>_xlfn.XLOOKUP(D1990,'[1]2050 BAU Mapping to T &amp; C'!$A$3:$A$52,'[1]2050 BAU Mapping to T &amp; C'!$B$3:$B$52)</f>
        <v xml:space="preserve">Oil crops </v>
      </c>
      <c r="H1990" s="129">
        <f>_xlfn.XLOOKUP(G1990,'[1]T&amp;C emissions for 2050 analysis'!$B$3:$B$23,'[1]T&amp;C emissions for 2050 analysis'!$C$3:$C$23)</f>
        <v>0.18333333333333335</v>
      </c>
      <c r="I1990" s="27">
        <f t="shared" si="93"/>
        <v>1.2659084533333335E-2</v>
      </c>
      <c r="J1990" s="129">
        <f t="shared" si="94"/>
        <v>0.30213333333333336</v>
      </c>
    </row>
    <row r="1991" spans="1:10" hidden="1" x14ac:dyDescent="0.35">
      <c r="A1991" s="126" t="s">
        <v>447</v>
      </c>
      <c r="B1991" t="str">
        <f>_xlfn.XLOOKUP(A1991,'[1]2050Pop'!$A$7:$A$143,'[1]2050Pop'!$D$7:$D$143)</f>
        <v>APAC</v>
      </c>
      <c r="C1991" s="127">
        <f>1000*_xlfn.XLOOKUP(A1991,'[1]2050Pop'!$A$7:$A$143,'[1]2050Pop'!$C$7:$C$143)</f>
        <v>148260</v>
      </c>
      <c r="D1991" s="126" t="s">
        <v>510</v>
      </c>
      <c r="E1991" s="128">
        <v>1.9630000000000001</v>
      </c>
      <c r="F1991" s="129">
        <f t="shared" si="95"/>
        <v>0.29103437999999998</v>
      </c>
      <c r="G1991" t="str">
        <f>_xlfn.XLOOKUP(D1991,'[1]2050 BAU Mapping to T &amp; C'!$A$3:$A$52,'[1]2050 BAU Mapping to T &amp; C'!$B$3:$B$52)</f>
        <v xml:space="preserve">Oil crops </v>
      </c>
      <c r="H1991" s="129">
        <f>_xlfn.XLOOKUP(G1991,'[1]T&amp;C emissions for 2050 analysis'!$B$3:$B$23,'[1]T&amp;C emissions for 2050 analysis'!$C$3:$C$23)</f>
        <v>0.18333333333333335</v>
      </c>
      <c r="I1991" s="27">
        <f t="shared" si="93"/>
        <v>5.3356303000000001E-2</v>
      </c>
      <c r="J1991" s="129">
        <f t="shared" si="94"/>
        <v>0.35988333333333339</v>
      </c>
    </row>
    <row r="1992" spans="1:10" hidden="1" x14ac:dyDescent="0.35">
      <c r="A1992" s="126" t="s">
        <v>448</v>
      </c>
      <c r="B1992" t="str">
        <f>_xlfn.XLOOKUP(A1992,'[1]2050Pop'!$A$7:$A$143,'[1]2050Pop'!$D$7:$D$143)</f>
        <v>Euro/AU/NZ</v>
      </c>
      <c r="C1992" s="127">
        <f>1000*_xlfn.XLOOKUP(A1992,'[1]2050Pop'!$A$7:$A$143,'[1]2050Pop'!$C$7:$C$143)</f>
        <v>33136</v>
      </c>
      <c r="D1992" s="126" t="s">
        <v>510</v>
      </c>
      <c r="E1992" s="128">
        <v>7.9169999999999998</v>
      </c>
      <c r="F1992" s="129">
        <f t="shared" si="95"/>
        <v>0.262337712</v>
      </c>
      <c r="G1992" t="str">
        <f>_xlfn.XLOOKUP(D1992,'[1]2050 BAU Mapping to T &amp; C'!$A$3:$A$52,'[1]2050 BAU Mapping to T &amp; C'!$B$3:$B$52)</f>
        <v xml:space="preserve">Oil crops </v>
      </c>
      <c r="H1992" s="129">
        <f>_xlfn.XLOOKUP(G1992,'[1]T&amp;C emissions for 2050 analysis'!$B$3:$B$23,'[1]T&amp;C emissions for 2050 analysis'!$C$3:$C$23)</f>
        <v>0.18333333333333335</v>
      </c>
      <c r="I1992" s="27">
        <f t="shared" si="93"/>
        <v>4.8095247200000003E-2</v>
      </c>
      <c r="J1992" s="129">
        <f t="shared" si="94"/>
        <v>1.4514500000000001</v>
      </c>
    </row>
    <row r="1993" spans="1:10" hidden="1" x14ac:dyDescent="0.35">
      <c r="A1993" s="126" t="s">
        <v>449</v>
      </c>
      <c r="B1993" t="str">
        <f>_xlfn.XLOOKUP(A1993,'[1]2050Pop'!$A$7:$A$143,'[1]2050Pop'!$D$7:$D$143)</f>
        <v>Euro/AU/NZ</v>
      </c>
      <c r="C1993" s="127">
        <f>1000*_xlfn.XLOOKUP(A1993,'[1]2050Pop'!$A$7:$A$143,'[1]2050Pop'!$C$7:$C$143)</f>
        <v>9216</v>
      </c>
      <c r="D1993" s="126" t="s">
        <v>510</v>
      </c>
      <c r="E1993" s="128">
        <v>175.53700000000001</v>
      </c>
      <c r="F1993" s="129">
        <f t="shared" si="95"/>
        <v>1.6177489920000001</v>
      </c>
      <c r="G1993" t="str">
        <f>_xlfn.XLOOKUP(D1993,'[1]2050 BAU Mapping to T &amp; C'!$A$3:$A$52,'[1]2050 BAU Mapping to T &amp; C'!$B$3:$B$52)</f>
        <v xml:space="preserve">Oil crops </v>
      </c>
      <c r="H1993" s="129">
        <f>_xlfn.XLOOKUP(G1993,'[1]T&amp;C emissions for 2050 analysis'!$B$3:$B$23,'[1]T&amp;C emissions for 2050 analysis'!$C$3:$C$23)</f>
        <v>0.18333333333333335</v>
      </c>
      <c r="I1993" s="27">
        <f t="shared" si="93"/>
        <v>0.29658731520000003</v>
      </c>
      <c r="J1993" s="129">
        <f t="shared" si="94"/>
        <v>32.181783333333335</v>
      </c>
    </row>
    <row r="1994" spans="1:10" hidden="1" x14ac:dyDescent="0.35">
      <c r="A1994" s="126" t="s">
        <v>450</v>
      </c>
      <c r="B1994" t="str">
        <f>_xlfn.XLOOKUP(A1994,'[1]2050Pop'!$A$7:$A$143,'[1]2050Pop'!$D$7:$D$143)</f>
        <v>APAC</v>
      </c>
      <c r="C1994" s="127">
        <f>1000*_xlfn.XLOOKUP(A1994,'[1]2050Pop'!$A$7:$A$143,'[1]2050Pop'!$C$7:$C$143)</f>
        <v>50593</v>
      </c>
      <c r="D1994" s="126" t="s">
        <v>510</v>
      </c>
      <c r="E1994" s="128">
        <v>8.4809999999999999</v>
      </c>
      <c r="F1994" s="129">
        <f t="shared" si="95"/>
        <v>0.429079233</v>
      </c>
      <c r="G1994" t="str">
        <f>_xlfn.XLOOKUP(D1994,'[1]2050 BAU Mapping to T &amp; C'!$A$3:$A$52,'[1]2050 BAU Mapping to T &amp; C'!$B$3:$B$52)</f>
        <v xml:space="preserve">Oil crops </v>
      </c>
      <c r="H1994" s="129">
        <f>_xlfn.XLOOKUP(G1994,'[1]T&amp;C emissions for 2050 analysis'!$B$3:$B$23,'[1]T&amp;C emissions for 2050 analysis'!$C$3:$C$23)</f>
        <v>0.18333333333333335</v>
      </c>
      <c r="I1994" s="27">
        <f t="shared" si="93"/>
        <v>7.8664526050000003E-2</v>
      </c>
      <c r="J1994" s="129">
        <f t="shared" si="94"/>
        <v>1.5548500000000001</v>
      </c>
    </row>
    <row r="1995" spans="1:10" hidden="1" x14ac:dyDescent="0.35">
      <c r="A1995" s="126" t="s">
        <v>451</v>
      </c>
      <c r="B1995" t="str">
        <f>_xlfn.XLOOKUP(A1995,'[1]2050Pop'!$A$7:$A$143,'[1]2050Pop'!$D$7:$D$143)</f>
        <v>Euro/AU/NZ</v>
      </c>
      <c r="C1995" s="127">
        <f>1000*_xlfn.XLOOKUP(A1995,'[1]2050Pop'!$A$7:$A$143,'[1]2050Pop'!$C$7:$C$143)</f>
        <v>3243</v>
      </c>
      <c r="D1995" s="126" t="s">
        <v>510</v>
      </c>
      <c r="E1995" s="128">
        <v>0.96699999999999997</v>
      </c>
      <c r="F1995" s="129">
        <f t="shared" si="95"/>
        <v>3.1359809999999999E-3</v>
      </c>
      <c r="G1995" t="str">
        <f>_xlfn.XLOOKUP(D1995,'[1]2050 BAU Mapping to T &amp; C'!$A$3:$A$52,'[1]2050 BAU Mapping to T &amp; C'!$B$3:$B$52)</f>
        <v xml:space="preserve">Oil crops </v>
      </c>
      <c r="H1995" s="129">
        <f>_xlfn.XLOOKUP(G1995,'[1]T&amp;C emissions for 2050 analysis'!$B$3:$B$23,'[1]T&amp;C emissions for 2050 analysis'!$C$3:$C$23)</f>
        <v>0.18333333333333335</v>
      </c>
      <c r="I1995" s="27">
        <f t="shared" si="93"/>
        <v>5.7492985000000003E-4</v>
      </c>
      <c r="J1995" s="129">
        <f t="shared" si="94"/>
        <v>0.17728333333333335</v>
      </c>
    </row>
    <row r="1996" spans="1:10" hidden="1" x14ac:dyDescent="0.35">
      <c r="A1996" s="126" t="s">
        <v>452</v>
      </c>
      <c r="B1996" t="str">
        <f>_xlfn.XLOOKUP(A1996,'[1]2050Pop'!$A$7:$A$143,'[1]2050Pop'!$D$7:$D$143)</f>
        <v>SSA</v>
      </c>
      <c r="C1996" s="127">
        <f>1000*_xlfn.XLOOKUP(A1996,'[1]2050Pop'!$A$7:$A$143,'[1]2050Pop'!$C$7:$C$143)</f>
        <v>10732</v>
      </c>
      <c r="D1996" s="126" t="s">
        <v>510</v>
      </c>
      <c r="E1996" s="128">
        <v>2.202</v>
      </c>
      <c r="F1996" s="129">
        <f t="shared" si="95"/>
        <v>2.3631863999999999E-2</v>
      </c>
      <c r="G1996" t="str">
        <f>_xlfn.XLOOKUP(D1996,'[1]2050 BAU Mapping to T &amp; C'!$A$3:$A$52,'[1]2050 BAU Mapping to T &amp; C'!$B$3:$B$52)</f>
        <v xml:space="preserve">Oil crops </v>
      </c>
      <c r="H1996" s="129">
        <f>_xlfn.XLOOKUP(G1996,'[1]T&amp;C emissions for 2050 analysis'!$B$3:$B$23,'[1]T&amp;C emissions for 2050 analysis'!$C$3:$C$23)</f>
        <v>0.18333333333333335</v>
      </c>
      <c r="I1996" s="27">
        <f t="shared" si="93"/>
        <v>4.3325083999999998E-3</v>
      </c>
      <c r="J1996" s="129">
        <f t="shared" si="94"/>
        <v>0.4037</v>
      </c>
    </row>
    <row r="1997" spans="1:10" hidden="1" x14ac:dyDescent="0.35">
      <c r="A1997" s="126" t="s">
        <v>453</v>
      </c>
      <c r="B1997" t="str">
        <f>_xlfn.XLOOKUP(A1997,'[1]2050Pop'!$A$7:$A$143,'[1]2050Pop'!$D$7:$D$143)</f>
        <v>Euro/AU/NZ</v>
      </c>
      <c r="C1997" s="127">
        <f>1000*_xlfn.XLOOKUP(A1997,'[1]2050Pop'!$A$7:$A$143,'[1]2050Pop'!$C$7:$C$143)</f>
        <v>15207</v>
      </c>
      <c r="D1997" s="126" t="s">
        <v>510</v>
      </c>
      <c r="E1997" s="128">
        <v>6.1379999999999999</v>
      </c>
      <c r="F1997" s="129">
        <f t="shared" si="95"/>
        <v>9.3340565999999986E-2</v>
      </c>
      <c r="G1997" t="str">
        <f>_xlfn.XLOOKUP(D1997,'[1]2050 BAU Mapping to T &amp; C'!$A$3:$A$52,'[1]2050 BAU Mapping to T &amp; C'!$B$3:$B$52)</f>
        <v xml:space="preserve">Oil crops </v>
      </c>
      <c r="H1997" s="129">
        <f>_xlfn.XLOOKUP(G1997,'[1]T&amp;C emissions for 2050 analysis'!$B$3:$B$23,'[1]T&amp;C emissions for 2050 analysis'!$C$3:$C$23)</f>
        <v>0.18333333333333335</v>
      </c>
      <c r="I1997" s="27">
        <f t="shared" si="93"/>
        <v>1.7112437099999999E-2</v>
      </c>
      <c r="J1997" s="129">
        <f t="shared" si="94"/>
        <v>1.1253</v>
      </c>
    </row>
    <row r="1998" spans="1:10" hidden="1" x14ac:dyDescent="0.35">
      <c r="A1998" s="126" t="s">
        <v>454</v>
      </c>
      <c r="B1998" t="str">
        <f>_xlfn.XLOOKUP(A1998,'[1]2050Pop'!$A$7:$A$143,'[1]2050Pop'!$D$7:$D$143)</f>
        <v>Euro/AU/NZ</v>
      </c>
      <c r="C1998" s="127">
        <f>1000*_xlfn.XLOOKUP(A1998,'[1]2050Pop'!$A$7:$A$143,'[1]2050Pop'!$C$7:$C$143)</f>
        <v>128598.99999999999</v>
      </c>
      <c r="D1998" s="126" t="s">
        <v>510</v>
      </c>
      <c r="E1998" s="128">
        <v>4.3289999999999997</v>
      </c>
      <c r="F1998" s="129">
        <f t="shared" si="95"/>
        <v>0.55670507099999988</v>
      </c>
      <c r="G1998" t="str">
        <f>_xlfn.XLOOKUP(D1998,'[1]2050 BAU Mapping to T &amp; C'!$A$3:$A$52,'[1]2050 BAU Mapping to T &amp; C'!$B$3:$B$52)</f>
        <v xml:space="preserve">Oil crops </v>
      </c>
      <c r="H1998" s="129">
        <f>_xlfn.XLOOKUP(G1998,'[1]T&amp;C emissions for 2050 analysis'!$B$3:$B$23,'[1]T&amp;C emissions for 2050 analysis'!$C$3:$C$23)</f>
        <v>0.18333333333333335</v>
      </c>
      <c r="I1998" s="27">
        <f t="shared" si="93"/>
        <v>0.10206259634999999</v>
      </c>
      <c r="J1998" s="129">
        <f t="shared" si="94"/>
        <v>0.79364999999999997</v>
      </c>
    </row>
    <row r="1999" spans="1:10" hidden="1" x14ac:dyDescent="0.35">
      <c r="A1999" s="126" t="s">
        <v>456</v>
      </c>
      <c r="B1999" t="str">
        <f>_xlfn.XLOOKUP(A1999,'[1]2050Pop'!$A$7:$A$143,'[1]2050Pop'!$D$7:$D$143)</f>
        <v>MENA</v>
      </c>
      <c r="C1999" s="127">
        <f>1000*_xlfn.XLOOKUP(A1999,'[1]2050Pop'!$A$7:$A$143,'[1]2050Pop'!$C$7:$C$143)</f>
        <v>46059</v>
      </c>
      <c r="D1999" s="126" t="s">
        <v>510</v>
      </c>
      <c r="E1999" s="128">
        <v>25.081</v>
      </c>
      <c r="F1999" s="129">
        <f t="shared" si="95"/>
        <v>1.1552057789999999</v>
      </c>
      <c r="G1999" t="str">
        <f>_xlfn.XLOOKUP(D1999,'[1]2050 BAU Mapping to T &amp; C'!$A$3:$A$52,'[1]2050 BAU Mapping to T &amp; C'!$B$3:$B$52)</f>
        <v xml:space="preserve">Oil crops </v>
      </c>
      <c r="H1999" s="129">
        <f>_xlfn.XLOOKUP(G1999,'[1]T&amp;C emissions for 2050 analysis'!$B$3:$B$23,'[1]T&amp;C emissions for 2050 analysis'!$C$3:$C$23)</f>
        <v>0.18333333333333335</v>
      </c>
      <c r="I1999" s="27">
        <f t="shared" si="93"/>
        <v>0.21178772614999999</v>
      </c>
      <c r="J1999" s="129">
        <f t="shared" si="94"/>
        <v>4.598183333333334</v>
      </c>
    </row>
    <row r="2000" spans="1:10" hidden="1" x14ac:dyDescent="0.35">
      <c r="A2000" s="126" t="s">
        <v>457</v>
      </c>
      <c r="B2000" t="str">
        <f>_xlfn.XLOOKUP(A2000,'[1]2050Pop'!$A$7:$A$143,'[1]2050Pop'!$D$7:$D$143)</f>
        <v>SSA</v>
      </c>
      <c r="C2000" s="127">
        <f>1000*_xlfn.XLOOKUP(A2000,'[1]2050Pop'!$A$7:$A$143,'[1]2050Pop'!$C$7:$C$143)</f>
        <v>36223</v>
      </c>
      <c r="D2000" s="126" t="s">
        <v>510</v>
      </c>
      <c r="E2000" s="128">
        <v>1.4359999999999999</v>
      </c>
      <c r="F2000" s="129">
        <f t="shared" si="95"/>
        <v>5.2016227999999998E-2</v>
      </c>
      <c r="G2000" t="str">
        <f>_xlfn.XLOOKUP(D2000,'[1]2050 BAU Mapping to T &amp; C'!$A$3:$A$52,'[1]2050 BAU Mapping to T &amp; C'!$B$3:$B$52)</f>
        <v xml:space="preserve">Oil crops </v>
      </c>
      <c r="H2000" s="129">
        <f>_xlfn.XLOOKUP(G2000,'[1]T&amp;C emissions for 2050 analysis'!$B$3:$B$23,'[1]T&amp;C emissions for 2050 analysis'!$C$3:$C$23)</f>
        <v>0.18333333333333335</v>
      </c>
      <c r="I2000" s="27">
        <f t="shared" si="93"/>
        <v>9.5363084666666674E-3</v>
      </c>
      <c r="J2000" s="129">
        <f t="shared" si="94"/>
        <v>0.2632666666666667</v>
      </c>
    </row>
    <row r="2001" spans="1:10" hidden="1" x14ac:dyDescent="0.35">
      <c r="A2001" s="126" t="s">
        <v>458</v>
      </c>
      <c r="B2001" t="str">
        <f>_xlfn.XLOOKUP(A2001,'[1]2050Pop'!$A$7:$A$143,'[1]2050Pop'!$D$7:$D$143)</f>
        <v>Euro/AU/NZ</v>
      </c>
      <c r="C2001" s="127">
        <f>1000*_xlfn.XLOOKUP(A2001,'[1]2050Pop'!$A$7:$A$143,'[1]2050Pop'!$C$7:$C$143)</f>
        <v>7331</v>
      </c>
      <c r="D2001" s="126" t="s">
        <v>510</v>
      </c>
      <c r="E2001" s="128">
        <v>2.0230000000000001</v>
      </c>
      <c r="F2001" s="129">
        <f t="shared" si="95"/>
        <v>1.4830613000000001E-2</v>
      </c>
      <c r="G2001" t="str">
        <f>_xlfn.XLOOKUP(D2001,'[1]2050 BAU Mapping to T &amp; C'!$A$3:$A$52,'[1]2050 BAU Mapping to T &amp; C'!$B$3:$B$52)</f>
        <v xml:space="preserve">Oil crops </v>
      </c>
      <c r="H2001" s="129">
        <f>_xlfn.XLOOKUP(G2001,'[1]T&amp;C emissions for 2050 analysis'!$B$3:$B$23,'[1]T&amp;C emissions for 2050 analysis'!$C$3:$C$23)</f>
        <v>0.18333333333333335</v>
      </c>
      <c r="I2001" s="27">
        <f t="shared" si="93"/>
        <v>2.7189457166666669E-3</v>
      </c>
      <c r="J2001" s="129">
        <f t="shared" si="94"/>
        <v>0.3708833333333334</v>
      </c>
    </row>
    <row r="2002" spans="1:10" hidden="1" x14ac:dyDescent="0.35">
      <c r="A2002" s="126" t="s">
        <v>459</v>
      </c>
      <c r="B2002" t="str">
        <f>_xlfn.XLOOKUP(A2002,'[1]2050Pop'!$A$7:$A$143,'[1]2050Pop'!$D$7:$D$143)</f>
        <v>Euro/AU/NZ</v>
      </c>
      <c r="C2002" s="127">
        <f>1000*_xlfn.XLOOKUP(A2002,'[1]2050Pop'!$A$7:$A$143,'[1]2050Pop'!$C$7:$C$143)</f>
        <v>4892</v>
      </c>
      <c r="D2002" s="126" t="s">
        <v>510</v>
      </c>
      <c r="E2002" s="128">
        <v>6.7430000000000003</v>
      </c>
      <c r="F2002" s="129">
        <f t="shared" si="95"/>
        <v>3.2986755999999999E-2</v>
      </c>
      <c r="G2002" t="str">
        <f>_xlfn.XLOOKUP(D2002,'[1]2050 BAU Mapping to T &amp; C'!$A$3:$A$52,'[1]2050 BAU Mapping to T &amp; C'!$B$3:$B$52)</f>
        <v xml:space="preserve">Oil crops </v>
      </c>
      <c r="H2002" s="129">
        <f>_xlfn.XLOOKUP(G2002,'[1]T&amp;C emissions for 2050 analysis'!$B$3:$B$23,'[1]T&amp;C emissions for 2050 analysis'!$C$3:$C$23)</f>
        <v>0.18333333333333335</v>
      </c>
      <c r="I2002" s="27">
        <f t="shared" si="93"/>
        <v>6.0475719333333332E-3</v>
      </c>
      <c r="J2002" s="129">
        <f t="shared" si="94"/>
        <v>1.2362166666666667</v>
      </c>
    </row>
    <row r="2003" spans="1:10" hidden="1" x14ac:dyDescent="0.35">
      <c r="A2003" s="126" t="s">
        <v>460</v>
      </c>
      <c r="B2003" t="str">
        <f>_xlfn.XLOOKUP(A2003,'[1]2050Pop'!$A$7:$A$143,'[1]2050Pop'!$D$7:$D$143)</f>
        <v>LatAm &amp; RSA</v>
      </c>
      <c r="C2003" s="127">
        <f>1000*_xlfn.XLOOKUP(A2003,'[1]2050Pop'!$A$7:$A$143,'[1]2050Pop'!$C$7:$C$143)</f>
        <v>65540</v>
      </c>
      <c r="D2003" s="126" t="s">
        <v>510</v>
      </c>
      <c r="E2003" s="130">
        <v>2.25</v>
      </c>
      <c r="F2003" s="129">
        <f t="shared" si="95"/>
        <v>0.14746500000000001</v>
      </c>
      <c r="G2003" t="str">
        <f>_xlfn.XLOOKUP(D2003,'[1]2050 BAU Mapping to T &amp; C'!$A$3:$A$52,'[1]2050 BAU Mapping to T &amp; C'!$B$3:$B$52)</f>
        <v xml:space="preserve">Oil crops </v>
      </c>
      <c r="H2003" s="129">
        <f>_xlfn.XLOOKUP(G2003,'[1]T&amp;C emissions for 2050 analysis'!$B$3:$B$23,'[1]T&amp;C emissions for 2050 analysis'!$C$3:$C$23)</f>
        <v>0.18333333333333335</v>
      </c>
      <c r="I2003" s="27">
        <f t="shared" si="93"/>
        <v>2.7035250000000004E-2</v>
      </c>
      <c r="J2003" s="129">
        <f t="shared" si="94"/>
        <v>0.41250000000000003</v>
      </c>
    </row>
    <row r="2004" spans="1:10" hidden="1" x14ac:dyDescent="0.35">
      <c r="A2004" s="126" t="s">
        <v>461</v>
      </c>
      <c r="B2004" t="str">
        <f>_xlfn.XLOOKUP(A2004,'[1]2050Pop'!$A$7:$A$143,'[1]2050Pop'!$D$7:$D$143)</f>
        <v>Euro/AU/NZ</v>
      </c>
      <c r="C2004" s="127">
        <f>1000*_xlfn.XLOOKUP(A2004,'[1]2050Pop'!$A$7:$A$143,'[1]2050Pop'!$C$7:$C$143)</f>
        <v>44840</v>
      </c>
      <c r="D2004" s="126" t="s">
        <v>510</v>
      </c>
      <c r="E2004" s="128">
        <v>267.81200000000001</v>
      </c>
      <c r="F2004" s="129">
        <f t="shared" si="95"/>
        <v>12.008690080000001</v>
      </c>
      <c r="G2004" t="str">
        <f>_xlfn.XLOOKUP(D2004,'[1]2050 BAU Mapping to T &amp; C'!$A$3:$A$52,'[1]2050 BAU Mapping to T &amp; C'!$B$3:$B$52)</f>
        <v xml:space="preserve">Oil crops </v>
      </c>
      <c r="H2004" s="129">
        <f>_xlfn.XLOOKUP(G2004,'[1]T&amp;C emissions for 2050 analysis'!$B$3:$B$23,'[1]T&amp;C emissions for 2050 analysis'!$C$3:$C$23)</f>
        <v>0.18333333333333335</v>
      </c>
      <c r="I2004" s="27">
        <f t="shared" si="93"/>
        <v>2.2015931813333336</v>
      </c>
      <c r="J2004" s="129">
        <f t="shared" si="94"/>
        <v>49.098866666666673</v>
      </c>
    </row>
    <row r="2005" spans="1:10" hidden="1" x14ac:dyDescent="0.35">
      <c r="A2005" s="126" t="s">
        <v>462</v>
      </c>
      <c r="B2005" t="str">
        <f>_xlfn.XLOOKUP(A2005,'[1]2050Pop'!$A$7:$A$143,'[1]2050Pop'!$D$7:$D$143)</f>
        <v>LatAm &amp; RSA</v>
      </c>
      <c r="C2005" s="127">
        <f>1000*_xlfn.XLOOKUP(A2005,'[1]2050Pop'!$A$7:$A$143,'[1]2050Pop'!$C$7:$C$143)</f>
        <v>624</v>
      </c>
      <c r="D2005" s="126" t="s">
        <v>510</v>
      </c>
      <c r="E2005" s="128">
        <v>3.5110000000000001</v>
      </c>
      <c r="F2005" s="129">
        <f t="shared" si="95"/>
        <v>2.1908639999999998E-3</v>
      </c>
      <c r="G2005" t="str">
        <f>_xlfn.XLOOKUP(D2005,'[1]2050 BAU Mapping to T &amp; C'!$A$3:$A$52,'[1]2050 BAU Mapping to T &amp; C'!$B$3:$B$52)</f>
        <v xml:space="preserve">Oil crops </v>
      </c>
      <c r="H2005" s="129">
        <f>_xlfn.XLOOKUP(G2005,'[1]T&amp;C emissions for 2050 analysis'!$B$3:$B$23,'[1]T&amp;C emissions for 2050 analysis'!$C$3:$C$23)</f>
        <v>0.18333333333333335</v>
      </c>
      <c r="I2005" s="27">
        <f t="shared" si="93"/>
        <v>4.0165840000000002E-4</v>
      </c>
      <c r="J2005" s="129">
        <f t="shared" si="94"/>
        <v>0.64368333333333339</v>
      </c>
    </row>
    <row r="2006" spans="1:10" hidden="1" x14ac:dyDescent="0.35">
      <c r="A2006" s="126" t="s">
        <v>463</v>
      </c>
      <c r="B2006" t="str">
        <f>_xlfn.XLOOKUP(A2006,'[1]2050Pop'!$A$7:$A$143,'[1]2050Pop'!$D$7:$D$143)</f>
        <v>SSA</v>
      </c>
      <c r="C2006" s="127">
        <f>1000*_xlfn.XLOOKUP(A2006,'[1]2050Pop'!$A$7:$A$143,'[1]2050Pop'!$C$7:$C$143)</f>
        <v>1792</v>
      </c>
      <c r="D2006" s="126" t="s">
        <v>510</v>
      </c>
      <c r="E2006" s="128">
        <v>1.171</v>
      </c>
      <c r="F2006" s="129">
        <f t="shared" si="95"/>
        <v>2.0984320000000003E-3</v>
      </c>
      <c r="G2006" t="str">
        <f>_xlfn.XLOOKUP(D2006,'[1]2050 BAU Mapping to T &amp; C'!$A$3:$A$52,'[1]2050 BAU Mapping to T &amp; C'!$B$3:$B$52)</f>
        <v xml:space="preserve">Oil crops </v>
      </c>
      <c r="H2006" s="129">
        <f>_xlfn.XLOOKUP(G2006,'[1]T&amp;C emissions for 2050 analysis'!$B$3:$B$23,'[1]T&amp;C emissions for 2050 analysis'!$C$3:$C$23)</f>
        <v>0.18333333333333335</v>
      </c>
      <c r="I2006" s="27">
        <f t="shared" si="93"/>
        <v>3.8471253333333344E-4</v>
      </c>
      <c r="J2006" s="129">
        <f t="shared" si="94"/>
        <v>0.21468333333333336</v>
      </c>
    </row>
    <row r="2007" spans="1:10" hidden="1" x14ac:dyDescent="0.35">
      <c r="A2007" s="126" t="s">
        <v>464</v>
      </c>
      <c r="B2007" t="str">
        <f>_xlfn.XLOOKUP(A2007,'[1]2050Pop'!$A$7:$A$143,'[1]2050Pop'!$D$7:$D$143)</f>
        <v>Euro/AU/NZ</v>
      </c>
      <c r="C2007" s="127">
        <f>1000*_xlfn.XLOOKUP(A2007,'[1]2050Pop'!$A$7:$A$143,'[1]2050Pop'!$C$7:$C$143)</f>
        <v>11881</v>
      </c>
      <c r="D2007" s="126" t="s">
        <v>510</v>
      </c>
      <c r="E2007" s="128">
        <v>28.948</v>
      </c>
      <c r="F2007" s="129">
        <f t="shared" si="95"/>
        <v>0.343931188</v>
      </c>
      <c r="G2007" t="str">
        <f>_xlfn.XLOOKUP(D2007,'[1]2050 BAU Mapping to T &amp; C'!$A$3:$A$52,'[1]2050 BAU Mapping to T &amp; C'!$B$3:$B$52)</f>
        <v xml:space="preserve">Oil crops </v>
      </c>
      <c r="H2007" s="129">
        <f>_xlfn.XLOOKUP(G2007,'[1]T&amp;C emissions for 2050 analysis'!$B$3:$B$23,'[1]T&amp;C emissions for 2050 analysis'!$C$3:$C$23)</f>
        <v>0.18333333333333335</v>
      </c>
      <c r="I2007" s="27">
        <f t="shared" si="93"/>
        <v>6.3054051133333344E-2</v>
      </c>
      <c r="J2007" s="129">
        <f t="shared" si="94"/>
        <v>5.3071333333333337</v>
      </c>
    </row>
    <row r="2008" spans="1:10" hidden="1" x14ac:dyDescent="0.35">
      <c r="A2008" s="126" t="s">
        <v>465</v>
      </c>
      <c r="B2008" t="str">
        <f>_xlfn.XLOOKUP(A2008,'[1]2050Pop'!$A$7:$A$143,'[1]2050Pop'!$D$7:$D$143)</f>
        <v>APAC</v>
      </c>
      <c r="C2008" s="127">
        <f>1000*_xlfn.XLOOKUP(A2008,'[1]2050Pop'!$A$7:$A$143,'[1]2050Pop'!$C$7:$C$143)</f>
        <v>62452</v>
      </c>
      <c r="D2008" s="126" t="s">
        <v>510</v>
      </c>
      <c r="E2008" s="128">
        <v>2.7759999999999998</v>
      </c>
      <c r="F2008" s="129">
        <f t="shared" si="95"/>
        <v>0.17336675199999999</v>
      </c>
      <c r="G2008" t="str">
        <f>_xlfn.XLOOKUP(D2008,'[1]2050 BAU Mapping to T &amp; C'!$A$3:$A$52,'[1]2050 BAU Mapping to T &amp; C'!$B$3:$B$52)</f>
        <v xml:space="preserve">Oil crops </v>
      </c>
      <c r="H2008" s="129">
        <f>_xlfn.XLOOKUP(G2008,'[1]T&amp;C emissions for 2050 analysis'!$B$3:$B$23,'[1]T&amp;C emissions for 2050 analysis'!$C$3:$C$23)</f>
        <v>0.18333333333333335</v>
      </c>
      <c r="I2008" s="27">
        <f t="shared" si="93"/>
        <v>3.1783904533333331E-2</v>
      </c>
      <c r="J2008" s="129">
        <f t="shared" si="94"/>
        <v>0.50893333333333335</v>
      </c>
    </row>
    <row r="2009" spans="1:10" hidden="1" x14ac:dyDescent="0.35">
      <c r="A2009" s="126" t="s">
        <v>467</v>
      </c>
      <c r="B2009" t="str">
        <f>_xlfn.XLOOKUP(A2009,'[1]2050Pop'!$A$7:$A$143,'[1]2050Pop'!$D$7:$D$143)</f>
        <v>LatAm &amp; RSA</v>
      </c>
      <c r="C2009" s="127">
        <f>1000*_xlfn.XLOOKUP(A2009,'[1]2050Pop'!$A$7:$A$143,'[1]2050Pop'!$C$7:$C$143)</f>
        <v>1291</v>
      </c>
      <c r="D2009" s="126" t="s">
        <v>510</v>
      </c>
      <c r="E2009" s="130">
        <v>7.92</v>
      </c>
      <c r="F2009" s="129">
        <f t="shared" si="95"/>
        <v>1.022472E-2</v>
      </c>
      <c r="G2009" t="str">
        <f>_xlfn.XLOOKUP(D2009,'[1]2050 BAU Mapping to T &amp; C'!$A$3:$A$52,'[1]2050 BAU Mapping to T &amp; C'!$B$3:$B$52)</f>
        <v xml:space="preserve">Oil crops </v>
      </c>
      <c r="H2009" s="129">
        <f>_xlfn.XLOOKUP(G2009,'[1]T&amp;C emissions for 2050 analysis'!$B$3:$B$23,'[1]T&amp;C emissions for 2050 analysis'!$C$3:$C$23)</f>
        <v>0.18333333333333335</v>
      </c>
      <c r="I2009" s="27">
        <f t="shared" si="93"/>
        <v>1.8745320000000002E-3</v>
      </c>
      <c r="J2009" s="129">
        <f t="shared" si="94"/>
        <v>1.4520000000000002</v>
      </c>
    </row>
    <row r="2010" spans="1:10" hidden="1" x14ac:dyDescent="0.35">
      <c r="A2010" s="126" t="s">
        <v>468</v>
      </c>
      <c r="B2010" t="str">
        <f>_xlfn.XLOOKUP(A2010,'[1]2050Pop'!$A$7:$A$143,'[1]2050Pop'!$D$7:$D$143)</f>
        <v>MENA</v>
      </c>
      <c r="C2010" s="127">
        <f>1000*_xlfn.XLOOKUP(A2010,'[1]2050Pop'!$A$7:$A$143,'[1]2050Pop'!$C$7:$C$143)</f>
        <v>13476</v>
      </c>
      <c r="D2010" s="126" t="s">
        <v>510</v>
      </c>
      <c r="E2010" s="128">
        <v>94.088999999999999</v>
      </c>
      <c r="F2010" s="129">
        <f t="shared" si="95"/>
        <v>1.267943364</v>
      </c>
      <c r="G2010" t="str">
        <f>_xlfn.XLOOKUP(D2010,'[1]2050 BAU Mapping to T &amp; C'!$A$3:$A$52,'[1]2050 BAU Mapping to T &amp; C'!$B$3:$B$52)</f>
        <v xml:space="preserve">Oil crops </v>
      </c>
      <c r="H2010" s="129">
        <f>_xlfn.XLOOKUP(G2010,'[1]T&amp;C emissions for 2050 analysis'!$B$3:$B$23,'[1]T&amp;C emissions for 2050 analysis'!$C$3:$C$23)</f>
        <v>0.18333333333333335</v>
      </c>
      <c r="I2010" s="27">
        <f t="shared" si="93"/>
        <v>0.23245628340000002</v>
      </c>
      <c r="J2010" s="129">
        <f t="shared" si="94"/>
        <v>17.249650000000003</v>
      </c>
    </row>
    <row r="2011" spans="1:10" hidden="1" x14ac:dyDescent="0.35">
      <c r="A2011" s="126" t="s">
        <v>469</v>
      </c>
      <c r="B2011" t="str">
        <f>_xlfn.XLOOKUP(A2011,'[1]2050Pop'!$A$7:$A$143,'[1]2050Pop'!$D$7:$D$143)</f>
        <v>MENA</v>
      </c>
      <c r="C2011" s="127">
        <f>1000*_xlfn.XLOOKUP(A2011,'[1]2050Pop'!$A$7:$A$143,'[1]2050Pop'!$C$7:$C$143)</f>
        <v>95819</v>
      </c>
      <c r="D2011" s="126" t="s">
        <v>510</v>
      </c>
      <c r="E2011" s="128">
        <v>58.838999999999999</v>
      </c>
      <c r="F2011" s="129">
        <f t="shared" si="95"/>
        <v>5.6378941409999994</v>
      </c>
      <c r="G2011" t="str">
        <f>_xlfn.XLOOKUP(D2011,'[1]2050 BAU Mapping to T &amp; C'!$A$3:$A$52,'[1]2050 BAU Mapping to T &amp; C'!$B$3:$B$52)</f>
        <v xml:space="preserve">Oil crops </v>
      </c>
      <c r="H2011" s="129">
        <f>_xlfn.XLOOKUP(G2011,'[1]T&amp;C emissions for 2050 analysis'!$B$3:$B$23,'[1]T&amp;C emissions for 2050 analysis'!$C$3:$C$23)</f>
        <v>0.18333333333333335</v>
      </c>
      <c r="I2011" s="27">
        <f t="shared" si="93"/>
        <v>1.0336139258499999</v>
      </c>
      <c r="J2011" s="129">
        <f t="shared" si="94"/>
        <v>10.78715</v>
      </c>
    </row>
    <row r="2012" spans="1:10" hidden="1" x14ac:dyDescent="0.35">
      <c r="A2012" s="126" t="s">
        <v>471</v>
      </c>
      <c r="B2012" t="str">
        <f>_xlfn.XLOOKUP(A2012,'[1]2050Pop'!$A$7:$A$143,'[1]2050Pop'!$D$7:$D$143)</f>
        <v>Euro/AU/NZ</v>
      </c>
      <c r="C2012" s="127">
        <f>1000*_xlfn.XLOOKUP(A2012,'[1]2050Pop'!$A$7:$A$143,'[1]2050Pop'!$C$7:$C$143)</f>
        <v>35117</v>
      </c>
      <c r="D2012" s="126" t="s">
        <v>510</v>
      </c>
      <c r="E2012" s="128">
        <v>2.6890000000000001</v>
      </c>
      <c r="F2012" s="129">
        <f t="shared" si="95"/>
        <v>9.4429612999999996E-2</v>
      </c>
      <c r="G2012" t="str">
        <f>_xlfn.XLOOKUP(D2012,'[1]2050 BAU Mapping to T &amp; C'!$A$3:$A$52,'[1]2050 BAU Mapping to T &amp; C'!$B$3:$B$52)</f>
        <v xml:space="preserve">Oil crops </v>
      </c>
      <c r="H2012" s="129">
        <f>_xlfn.XLOOKUP(G2012,'[1]T&amp;C emissions for 2050 analysis'!$B$3:$B$23,'[1]T&amp;C emissions for 2050 analysis'!$C$3:$C$23)</f>
        <v>0.18333333333333335</v>
      </c>
      <c r="I2012" s="27">
        <f t="shared" si="93"/>
        <v>1.7312095716666667E-2</v>
      </c>
      <c r="J2012" s="129">
        <f t="shared" si="94"/>
        <v>0.49298333333333338</v>
      </c>
    </row>
    <row r="2013" spans="1:10" hidden="1" x14ac:dyDescent="0.35">
      <c r="A2013" s="126" t="s">
        <v>472</v>
      </c>
      <c r="B2013" t="str">
        <f>_xlfn.XLOOKUP(A2013,'[1]2050Pop'!$A$7:$A$143,'[1]2050Pop'!$D$7:$D$143)</f>
        <v>Euro/AU/NZ</v>
      </c>
      <c r="C2013" s="127">
        <f>1000*_xlfn.XLOOKUP(A2013,'[1]2050Pop'!$A$7:$A$143,'[1]2050Pop'!$C$7:$C$143)</f>
        <v>75361</v>
      </c>
      <c r="D2013" s="126" t="s">
        <v>510</v>
      </c>
      <c r="E2013" s="128">
        <v>23.603000000000002</v>
      </c>
      <c r="F2013" s="129">
        <f t="shared" si="95"/>
        <v>1.7787456830000001</v>
      </c>
      <c r="G2013" t="str">
        <f>_xlfn.XLOOKUP(D2013,'[1]2050 BAU Mapping to T &amp; C'!$A$3:$A$52,'[1]2050 BAU Mapping to T &amp; C'!$B$3:$B$52)</f>
        <v xml:space="preserve">Oil crops </v>
      </c>
      <c r="H2013" s="129">
        <f>_xlfn.XLOOKUP(G2013,'[1]T&amp;C emissions for 2050 analysis'!$B$3:$B$23,'[1]T&amp;C emissions for 2050 analysis'!$C$3:$C$23)</f>
        <v>0.18333333333333335</v>
      </c>
      <c r="I2013" s="27">
        <f t="shared" si="93"/>
        <v>0.32610337521666671</v>
      </c>
      <c r="J2013" s="129">
        <f t="shared" si="94"/>
        <v>4.3272166666666676</v>
      </c>
    </row>
    <row r="2014" spans="1:10" hidden="1" x14ac:dyDescent="0.35">
      <c r="A2014" s="126" t="s">
        <v>474</v>
      </c>
      <c r="B2014" t="str">
        <f>_xlfn.XLOOKUP(A2014,'[1]2050Pop'!$A$7:$A$143,'[1]2050Pop'!$D$7:$D$143)</f>
        <v>NAm</v>
      </c>
      <c r="C2014" s="127">
        <f>1000*_xlfn.XLOOKUP(A2014,'[1]2050Pop'!$A$7:$A$143,'[1]2050Pop'!$C$7:$C$143)</f>
        <v>388865</v>
      </c>
      <c r="D2014" s="126" t="s">
        <v>510</v>
      </c>
      <c r="E2014" s="128">
        <v>25.751000000000001</v>
      </c>
      <c r="F2014" s="129">
        <f t="shared" si="95"/>
        <v>10.013662614999999</v>
      </c>
      <c r="G2014" t="str">
        <f>_xlfn.XLOOKUP(D2014,'[1]2050 BAU Mapping to T &amp; C'!$A$3:$A$52,'[1]2050 BAU Mapping to T &amp; C'!$B$3:$B$52)</f>
        <v xml:space="preserve">Oil crops </v>
      </c>
      <c r="H2014" s="129">
        <f>_xlfn.XLOOKUP(G2014,'[1]T&amp;C emissions for 2050 analysis'!$B$3:$B$23,'[1]T&amp;C emissions for 2050 analysis'!$C$3:$C$23)</f>
        <v>0.18333333333333335</v>
      </c>
      <c r="I2014" s="27">
        <f t="shared" si="93"/>
        <v>1.8358381460833333</v>
      </c>
      <c r="J2014" s="129">
        <f t="shared" si="94"/>
        <v>4.7210166666666673</v>
      </c>
    </row>
    <row r="2015" spans="1:10" hidden="1" x14ac:dyDescent="0.35">
      <c r="A2015" s="126" t="s">
        <v>475</v>
      </c>
      <c r="B2015" t="str">
        <f>_xlfn.XLOOKUP(A2015,'[1]2050Pop'!$A$7:$A$143,'[1]2050Pop'!$D$7:$D$143)</f>
        <v>LatAm &amp; RSA</v>
      </c>
      <c r="C2015" s="127">
        <f>1000*_xlfn.XLOOKUP(A2015,'[1]2050Pop'!$A$7:$A$143,'[1]2050Pop'!$C$7:$C$143)</f>
        <v>3667</v>
      </c>
      <c r="D2015" s="126" t="s">
        <v>510</v>
      </c>
      <c r="E2015" s="128">
        <v>8.8239999999999998</v>
      </c>
      <c r="F2015" s="129">
        <f t="shared" si="95"/>
        <v>3.2357608000000003E-2</v>
      </c>
      <c r="G2015" t="str">
        <f>_xlfn.XLOOKUP(D2015,'[1]2050 BAU Mapping to T &amp; C'!$A$3:$A$52,'[1]2050 BAU Mapping to T &amp; C'!$B$3:$B$52)</f>
        <v xml:space="preserve">Oil crops </v>
      </c>
      <c r="H2015" s="129">
        <f>_xlfn.XLOOKUP(G2015,'[1]T&amp;C emissions for 2050 analysis'!$B$3:$B$23,'[1]T&amp;C emissions for 2050 analysis'!$C$3:$C$23)</f>
        <v>0.18333333333333335</v>
      </c>
      <c r="I2015" s="27">
        <f t="shared" si="93"/>
        <v>5.9322281333333343E-3</v>
      </c>
      <c r="J2015" s="129">
        <f t="shared" si="94"/>
        <v>1.6177333333333335</v>
      </c>
    </row>
    <row r="2016" spans="1:10" hidden="1" x14ac:dyDescent="0.35">
      <c r="A2016" s="126" t="s">
        <v>476</v>
      </c>
      <c r="B2016" t="str">
        <f>_xlfn.XLOOKUP(A2016,'[1]2050Pop'!$A$7:$A$143,'[1]2050Pop'!$D$7:$D$143)</f>
        <v>LatAm &amp; RSA</v>
      </c>
      <c r="C2016" s="127">
        <f>1000*_xlfn.XLOOKUP(A2016,'[1]2050Pop'!$A$7:$A$143,'[1]2050Pop'!$C$7:$C$143)</f>
        <v>41562</v>
      </c>
      <c r="D2016" s="126" t="s">
        <v>510</v>
      </c>
      <c r="E2016" s="128">
        <v>6.7119999999999997</v>
      </c>
      <c r="F2016" s="129">
        <f t="shared" si="95"/>
        <v>0.27896414399999997</v>
      </c>
      <c r="G2016" t="str">
        <f>_xlfn.XLOOKUP(D2016,'[1]2050 BAU Mapping to T &amp; C'!$A$3:$A$52,'[1]2050 BAU Mapping to T &amp; C'!$B$3:$B$52)</f>
        <v xml:space="preserve">Oil crops </v>
      </c>
      <c r="H2016" s="129">
        <f>_xlfn.XLOOKUP(G2016,'[1]T&amp;C emissions for 2050 analysis'!$B$3:$B$23,'[1]T&amp;C emissions for 2050 analysis'!$C$3:$C$23)</f>
        <v>0.18333333333333335</v>
      </c>
      <c r="I2016" s="27">
        <f t="shared" si="93"/>
        <v>5.1143426399999997E-2</v>
      </c>
      <c r="J2016" s="129">
        <f t="shared" si="94"/>
        <v>1.2305333333333335</v>
      </c>
    </row>
    <row r="2017" spans="1:10" hidden="1" x14ac:dyDescent="0.35">
      <c r="A2017" s="126" t="s">
        <v>478</v>
      </c>
      <c r="B2017" t="str">
        <f>_xlfn.XLOOKUP(A2017,'[1]2050Pop'!$A$7:$A$143,'[1]2050Pop'!$D$7:$D$143)</f>
        <v>MENA</v>
      </c>
      <c r="C2017" s="127">
        <f>1000*_xlfn.XLOOKUP(A2017,'[1]2050Pop'!$A$7:$A$143,'[1]2050Pop'!$C$7:$C$143)</f>
        <v>47170</v>
      </c>
      <c r="D2017" s="126" t="s">
        <v>510</v>
      </c>
      <c r="E2017" s="128">
        <v>3.8530000000000002</v>
      </c>
      <c r="F2017" s="129">
        <f t="shared" si="95"/>
        <v>0.18174601000000001</v>
      </c>
      <c r="G2017" t="str">
        <f>_xlfn.XLOOKUP(D2017,'[1]2050 BAU Mapping to T &amp; C'!$A$3:$A$52,'[1]2050 BAU Mapping to T &amp; C'!$B$3:$B$52)</f>
        <v xml:space="preserve">Oil crops </v>
      </c>
      <c r="H2017" s="129">
        <f>_xlfn.XLOOKUP(G2017,'[1]T&amp;C emissions for 2050 analysis'!$B$3:$B$23,'[1]T&amp;C emissions for 2050 analysis'!$C$3:$C$23)</f>
        <v>0.18333333333333335</v>
      </c>
      <c r="I2017" s="27">
        <f t="shared" si="93"/>
        <v>3.3320101833333338E-2</v>
      </c>
      <c r="J2017" s="129">
        <f t="shared" si="94"/>
        <v>0.70638333333333347</v>
      </c>
    </row>
    <row r="2018" spans="1:10" hidden="1" x14ac:dyDescent="0.35">
      <c r="A2018" s="126" t="s">
        <v>357</v>
      </c>
      <c r="B2018" t="str">
        <f>_xlfn.XLOOKUP(A2018,'[1]2050Pop'!$A$7:$A$143,'[1]2050Pop'!$D$7:$D$143)</f>
        <v>Euro/AU/NZ</v>
      </c>
      <c r="C2018" s="127">
        <f>1000*_xlfn.XLOOKUP(A2018,'[1]2050Pop'!$A$7:$A$143,'[1]2050Pop'!$C$7:$C$143)</f>
        <v>2710</v>
      </c>
      <c r="D2018" s="126" t="s">
        <v>511</v>
      </c>
      <c r="E2018" s="130">
        <v>78.930000000000007</v>
      </c>
      <c r="F2018" s="129">
        <f t="shared" si="95"/>
        <v>0.21390030000000002</v>
      </c>
      <c r="G2018" t="str">
        <f>_xlfn.XLOOKUP(D2018,'[1]2050 BAU Mapping to T &amp; C'!$A$3:$A$52,'[1]2050 BAU Mapping to T &amp; C'!$B$3:$B$52)</f>
        <v>Tropical Fruits</v>
      </c>
      <c r="H2018" s="129">
        <f>_xlfn.XLOOKUP(G2018,'[1]T&amp;C emissions for 2050 analysis'!$B$3:$B$23,'[1]T&amp;C emissions for 2050 analysis'!$C$3:$C$23)</f>
        <v>0.51333333333333331</v>
      </c>
      <c r="I2018" s="27">
        <f t="shared" si="93"/>
        <v>0.109802154</v>
      </c>
      <c r="J2018" s="129">
        <f t="shared" si="94"/>
        <v>40.517400000000002</v>
      </c>
    </row>
    <row r="2019" spans="1:10" hidden="1" x14ac:dyDescent="0.35">
      <c r="A2019" s="126" t="s">
        <v>358</v>
      </c>
      <c r="B2019" t="str">
        <f>_xlfn.XLOOKUP(A2019,'[1]2050Pop'!$A$7:$A$143,'[1]2050Pop'!$D$7:$D$143)</f>
        <v>MENA</v>
      </c>
      <c r="C2019" s="127">
        <f>1000*_xlfn.XLOOKUP(A2019,'[1]2050Pop'!$A$7:$A$143,'[1]2050Pop'!$C$7:$C$143)</f>
        <v>56461</v>
      </c>
      <c r="D2019" s="126" t="s">
        <v>511</v>
      </c>
      <c r="E2019" s="128">
        <v>11.398999999999999</v>
      </c>
      <c r="F2019" s="129">
        <f t="shared" si="95"/>
        <v>0.64359893899999987</v>
      </c>
      <c r="G2019" t="str">
        <f>_xlfn.XLOOKUP(D2019,'[1]2050 BAU Mapping to T &amp; C'!$A$3:$A$52,'[1]2050 BAU Mapping to T &amp; C'!$B$3:$B$52)</f>
        <v>Tropical Fruits</v>
      </c>
      <c r="H2019" s="129">
        <f>_xlfn.XLOOKUP(G2019,'[1]T&amp;C emissions for 2050 analysis'!$B$3:$B$23,'[1]T&amp;C emissions for 2050 analysis'!$C$3:$C$23)</f>
        <v>0.51333333333333331</v>
      </c>
      <c r="I2019" s="27">
        <f t="shared" si="93"/>
        <v>0.33038078868666659</v>
      </c>
      <c r="J2019" s="129">
        <f t="shared" si="94"/>
        <v>5.8514866666666663</v>
      </c>
    </row>
    <row r="2020" spans="1:10" hidden="1" x14ac:dyDescent="0.35">
      <c r="A2020" s="126" t="s">
        <v>360</v>
      </c>
      <c r="B2020" t="str">
        <f>_xlfn.XLOOKUP(A2020,'[1]2050Pop'!$A$7:$A$143,'[1]2050Pop'!$D$7:$D$143)</f>
        <v>LatAm &amp; RSA</v>
      </c>
      <c r="C2020" s="127">
        <f>1000*_xlfn.XLOOKUP(A2020,'[1]2050Pop'!$A$7:$A$143,'[1]2050Pop'!$C$7:$C$143)</f>
        <v>55445</v>
      </c>
      <c r="D2020" s="126" t="s">
        <v>511</v>
      </c>
      <c r="E2020" s="128">
        <v>1.276</v>
      </c>
      <c r="F2020" s="129">
        <f t="shared" si="95"/>
        <v>7.0747820000000003E-2</v>
      </c>
      <c r="G2020" t="str">
        <f>_xlfn.XLOOKUP(D2020,'[1]2050 BAU Mapping to T &amp; C'!$A$3:$A$52,'[1]2050 BAU Mapping to T &amp; C'!$B$3:$B$52)</f>
        <v>Tropical Fruits</v>
      </c>
      <c r="H2020" s="129">
        <f>_xlfn.XLOOKUP(G2020,'[1]T&amp;C emissions for 2050 analysis'!$B$3:$B$23,'[1]T&amp;C emissions for 2050 analysis'!$C$3:$C$23)</f>
        <v>0.51333333333333331</v>
      </c>
      <c r="I2020" s="27">
        <f t="shared" si="93"/>
        <v>3.6317214266666668E-2</v>
      </c>
      <c r="J2020" s="129">
        <f t="shared" si="94"/>
        <v>0.65501333333333334</v>
      </c>
    </row>
    <row r="2021" spans="1:10" hidden="1" x14ac:dyDescent="0.35">
      <c r="A2021" s="126" t="s">
        <v>361</v>
      </c>
      <c r="B2021" t="str">
        <f>_xlfn.XLOOKUP(A2021,'[1]2050Pop'!$A$7:$A$143,'[1]2050Pop'!$D$7:$D$143)</f>
        <v>MENA</v>
      </c>
      <c r="C2021" s="127">
        <f>1000*_xlfn.XLOOKUP(A2021,'[1]2050Pop'!$A$7:$A$143,'[1]2050Pop'!$C$7:$C$143)</f>
        <v>2729</v>
      </c>
      <c r="D2021" s="126" t="s">
        <v>511</v>
      </c>
      <c r="E2021" s="128">
        <v>4.0659999999999998</v>
      </c>
      <c r="F2021" s="129">
        <f t="shared" si="95"/>
        <v>1.1096113999999999E-2</v>
      </c>
      <c r="G2021" t="str">
        <f>_xlfn.XLOOKUP(D2021,'[1]2050 BAU Mapping to T &amp; C'!$A$3:$A$52,'[1]2050 BAU Mapping to T &amp; C'!$B$3:$B$52)</f>
        <v>Tropical Fruits</v>
      </c>
      <c r="H2021" s="129">
        <f>_xlfn.XLOOKUP(G2021,'[1]T&amp;C emissions for 2050 analysis'!$B$3:$B$23,'[1]T&amp;C emissions for 2050 analysis'!$C$3:$C$23)</f>
        <v>0.51333333333333331</v>
      </c>
      <c r="I2021" s="27">
        <f t="shared" si="93"/>
        <v>5.6960051866666661E-3</v>
      </c>
      <c r="J2021" s="129">
        <f t="shared" si="94"/>
        <v>2.0872133333333331</v>
      </c>
    </row>
    <row r="2022" spans="1:10" hidden="1" x14ac:dyDescent="0.35">
      <c r="A2022" s="126" t="s">
        <v>362</v>
      </c>
      <c r="B2022" t="str">
        <f>_xlfn.XLOOKUP(A2022,'[1]2050Pop'!$A$7:$A$143,'[1]2050Pop'!$D$7:$D$143)</f>
        <v>Euro/AU/NZ</v>
      </c>
      <c r="C2022" s="127">
        <f>1000*_xlfn.XLOOKUP(A2022,'[1]2050Pop'!$A$7:$A$143,'[1]2050Pop'!$C$7:$C$143)</f>
        <v>33496</v>
      </c>
      <c r="D2022" s="126" t="s">
        <v>511</v>
      </c>
      <c r="E2022" s="128">
        <v>8.0739999999999998</v>
      </c>
      <c r="F2022" s="129">
        <f t="shared" si="95"/>
        <v>0.27044670399999998</v>
      </c>
      <c r="G2022" t="str">
        <f>_xlfn.XLOOKUP(D2022,'[1]2050 BAU Mapping to T &amp; C'!$A$3:$A$52,'[1]2050 BAU Mapping to T &amp; C'!$B$3:$B$52)</f>
        <v>Tropical Fruits</v>
      </c>
      <c r="H2022" s="129">
        <f>_xlfn.XLOOKUP(G2022,'[1]T&amp;C emissions for 2050 analysis'!$B$3:$B$23,'[1]T&amp;C emissions for 2050 analysis'!$C$3:$C$23)</f>
        <v>0.51333333333333331</v>
      </c>
      <c r="I2022" s="27">
        <f t="shared" si="93"/>
        <v>0.13882930805333332</v>
      </c>
      <c r="J2022" s="129">
        <f t="shared" si="94"/>
        <v>4.1446533333333333</v>
      </c>
    </row>
    <row r="2023" spans="1:10" hidden="1" x14ac:dyDescent="0.35">
      <c r="A2023" s="126" t="s">
        <v>363</v>
      </c>
      <c r="B2023" t="str">
        <f>_xlfn.XLOOKUP(A2023,'[1]2050Pop'!$A$7:$A$143,'[1]2050Pop'!$D$7:$D$143)</f>
        <v>Euro/AU/NZ</v>
      </c>
      <c r="C2023" s="127">
        <f>1000*_xlfn.XLOOKUP(A2023,'[1]2050Pop'!$A$7:$A$143,'[1]2050Pop'!$C$7:$C$143)</f>
        <v>8846</v>
      </c>
      <c r="D2023" s="126" t="s">
        <v>511</v>
      </c>
      <c r="E2023" s="128">
        <v>2.3450000000000002</v>
      </c>
      <c r="F2023" s="129">
        <f t="shared" si="95"/>
        <v>2.0743870000000001E-2</v>
      </c>
      <c r="G2023" t="str">
        <f>_xlfn.XLOOKUP(D2023,'[1]2050 BAU Mapping to T &amp; C'!$A$3:$A$52,'[1]2050 BAU Mapping to T &amp; C'!$B$3:$B$52)</f>
        <v>Tropical Fruits</v>
      </c>
      <c r="H2023" s="129">
        <f>_xlfn.XLOOKUP(G2023,'[1]T&amp;C emissions for 2050 analysis'!$B$3:$B$23,'[1]T&amp;C emissions for 2050 analysis'!$C$3:$C$23)</f>
        <v>0.51333333333333331</v>
      </c>
      <c r="I2023" s="27">
        <f t="shared" si="93"/>
        <v>1.0648519933333333E-2</v>
      </c>
      <c r="J2023" s="129">
        <f t="shared" si="94"/>
        <v>1.2037666666666667</v>
      </c>
    </row>
    <row r="2024" spans="1:10" hidden="1" x14ac:dyDescent="0.35">
      <c r="A2024" s="126" t="s">
        <v>366</v>
      </c>
      <c r="B2024" t="str">
        <f>_xlfn.XLOOKUP(A2024,'[1]2050Pop'!$A$7:$A$143,'[1]2050Pop'!$D$7:$D$143)</f>
        <v>Euro/AU/NZ</v>
      </c>
      <c r="C2024" s="127">
        <f>1000*_xlfn.XLOOKUP(A2024,'[1]2050Pop'!$A$7:$A$143,'[1]2050Pop'!$C$7:$C$143)</f>
        <v>8125</v>
      </c>
      <c r="D2024" s="126" t="s">
        <v>511</v>
      </c>
      <c r="E2024" s="128">
        <v>1.3240000000000001</v>
      </c>
      <c r="F2024" s="129">
        <f t="shared" si="95"/>
        <v>1.07575E-2</v>
      </c>
      <c r="G2024" t="str">
        <f>_xlfn.XLOOKUP(D2024,'[1]2050 BAU Mapping to T &amp; C'!$A$3:$A$52,'[1]2050 BAU Mapping to T &amp; C'!$B$3:$B$52)</f>
        <v>Tropical Fruits</v>
      </c>
      <c r="H2024" s="129">
        <f>_xlfn.XLOOKUP(G2024,'[1]T&amp;C emissions for 2050 analysis'!$B$3:$B$23,'[1]T&amp;C emissions for 2050 analysis'!$C$3:$C$23)</f>
        <v>0.51333333333333331</v>
      </c>
      <c r="I2024" s="27">
        <f t="shared" si="93"/>
        <v>5.5221833333333331E-3</v>
      </c>
      <c r="J2024" s="129">
        <f t="shared" si="94"/>
        <v>0.67965333333333333</v>
      </c>
    </row>
    <row r="2025" spans="1:10" hidden="1" x14ac:dyDescent="0.35">
      <c r="A2025" s="126" t="s">
        <v>367</v>
      </c>
      <c r="B2025" t="str">
        <f>_xlfn.XLOOKUP(A2025,'[1]2050Pop'!$A$7:$A$143,'[1]2050Pop'!$D$7:$D$143)</f>
        <v>Euro/AU/NZ</v>
      </c>
      <c r="C2025" s="127">
        <f>1000*_xlfn.XLOOKUP(A2025,'[1]2050Pop'!$A$7:$A$143,'[1]2050Pop'!$C$7:$C$143)</f>
        <v>12527</v>
      </c>
      <c r="D2025" s="126" t="s">
        <v>511</v>
      </c>
      <c r="E2025" s="128">
        <v>2.3090000000000002</v>
      </c>
      <c r="F2025" s="129">
        <f t="shared" si="95"/>
        <v>2.8924843000000002E-2</v>
      </c>
      <c r="G2025" t="str">
        <f>_xlfn.XLOOKUP(D2025,'[1]2050 BAU Mapping to T &amp; C'!$A$3:$A$52,'[1]2050 BAU Mapping to T &amp; C'!$B$3:$B$52)</f>
        <v>Tropical Fruits</v>
      </c>
      <c r="H2025" s="129">
        <f>_xlfn.XLOOKUP(G2025,'[1]T&amp;C emissions for 2050 analysis'!$B$3:$B$23,'[1]T&amp;C emissions for 2050 analysis'!$C$3:$C$23)</f>
        <v>0.51333333333333331</v>
      </c>
      <c r="I2025" s="27">
        <f t="shared" si="93"/>
        <v>1.4848086073333334E-2</v>
      </c>
      <c r="J2025" s="129">
        <f t="shared" si="94"/>
        <v>1.1852866666666666</v>
      </c>
    </row>
    <row r="2026" spans="1:10" hidden="1" x14ac:dyDescent="0.35">
      <c r="A2026" s="126" t="s">
        <v>370</v>
      </c>
      <c r="B2026" t="str">
        <f>_xlfn.XLOOKUP(A2026,'[1]2050Pop'!$A$7:$A$143,'[1]2050Pop'!$D$7:$D$143)</f>
        <v>Euro/AU/NZ</v>
      </c>
      <c r="C2026" s="127">
        <f>1000*_xlfn.XLOOKUP(A2026,'[1]2050Pop'!$A$7:$A$143,'[1]2050Pop'!$C$7:$C$143)</f>
        <v>3069</v>
      </c>
      <c r="D2026" s="126" t="s">
        <v>511</v>
      </c>
      <c r="E2026" s="128">
        <v>1.3879999999999999</v>
      </c>
      <c r="F2026" s="129">
        <f t="shared" si="95"/>
        <v>4.2597720000000002E-3</v>
      </c>
      <c r="G2026" t="str">
        <f>_xlfn.XLOOKUP(D2026,'[1]2050 BAU Mapping to T &amp; C'!$A$3:$A$52,'[1]2050 BAU Mapping to T &amp; C'!$B$3:$B$52)</f>
        <v>Tropical Fruits</v>
      </c>
      <c r="H2026" s="129">
        <f>_xlfn.XLOOKUP(G2026,'[1]T&amp;C emissions for 2050 analysis'!$B$3:$B$23,'[1]T&amp;C emissions for 2050 analysis'!$C$3:$C$23)</f>
        <v>0.51333333333333331</v>
      </c>
      <c r="I2026" s="27">
        <f t="shared" si="93"/>
        <v>2.1866829600000002E-3</v>
      </c>
      <c r="J2026" s="129">
        <f t="shared" si="94"/>
        <v>0.71250666666666662</v>
      </c>
    </row>
    <row r="2027" spans="1:10" hidden="1" x14ac:dyDescent="0.35">
      <c r="A2027" s="126" t="s">
        <v>372</v>
      </c>
      <c r="B2027" t="str">
        <f>_xlfn.XLOOKUP(A2027,'[1]2050Pop'!$A$7:$A$143,'[1]2050Pop'!$D$7:$D$143)</f>
        <v>LatAm &amp; RSA</v>
      </c>
      <c r="C2027" s="127">
        <f>1000*_xlfn.XLOOKUP(A2027,'[1]2050Pop'!$A$7:$A$143,'[1]2050Pop'!$C$7:$C$143)</f>
        <v>238270</v>
      </c>
      <c r="D2027" s="126" t="s">
        <v>511</v>
      </c>
      <c r="E2027" s="128">
        <v>2.1059999999999999</v>
      </c>
      <c r="F2027" s="129">
        <f t="shared" si="95"/>
        <v>0.50179662000000003</v>
      </c>
      <c r="G2027" t="str">
        <f>_xlfn.XLOOKUP(D2027,'[1]2050 BAU Mapping to T &amp; C'!$A$3:$A$52,'[1]2050 BAU Mapping to T &amp; C'!$B$3:$B$52)</f>
        <v>Tropical Fruits</v>
      </c>
      <c r="H2027" s="129">
        <f>_xlfn.XLOOKUP(G2027,'[1]T&amp;C emissions for 2050 analysis'!$B$3:$B$23,'[1]T&amp;C emissions for 2050 analysis'!$C$3:$C$23)</f>
        <v>0.51333333333333331</v>
      </c>
      <c r="I2027" s="27">
        <f t="shared" si="93"/>
        <v>0.25758893160000002</v>
      </c>
      <c r="J2027" s="129">
        <f t="shared" si="94"/>
        <v>1.0810799999999998</v>
      </c>
    </row>
    <row r="2028" spans="1:10" hidden="1" x14ac:dyDescent="0.35">
      <c r="A2028" s="126" t="s">
        <v>373</v>
      </c>
      <c r="B2028" t="str">
        <f>_xlfn.XLOOKUP(A2028,'[1]2050Pop'!$A$7:$A$143,'[1]2050Pop'!$D$7:$D$143)</f>
        <v>Euro/AU/NZ</v>
      </c>
      <c r="C2028" s="127">
        <f>1000*_xlfn.XLOOKUP(A2028,'[1]2050Pop'!$A$7:$A$143,'[1]2050Pop'!$C$7:$C$143)</f>
        <v>5154</v>
      </c>
      <c r="D2028" s="126" t="s">
        <v>511</v>
      </c>
      <c r="E2028" s="128">
        <v>10.353999999999999</v>
      </c>
      <c r="F2028" s="129">
        <f t="shared" si="95"/>
        <v>5.3364515999999994E-2</v>
      </c>
      <c r="G2028" t="str">
        <f>_xlfn.XLOOKUP(D2028,'[1]2050 BAU Mapping to T &amp; C'!$A$3:$A$52,'[1]2050 BAU Mapping to T &amp; C'!$B$3:$B$52)</f>
        <v>Tropical Fruits</v>
      </c>
      <c r="H2028" s="129">
        <f>_xlfn.XLOOKUP(G2028,'[1]T&amp;C emissions for 2050 analysis'!$B$3:$B$23,'[1]T&amp;C emissions for 2050 analysis'!$C$3:$C$23)</f>
        <v>0.51333333333333331</v>
      </c>
      <c r="I2028" s="27">
        <f t="shared" si="93"/>
        <v>2.7393784879999994E-2</v>
      </c>
      <c r="J2028" s="129">
        <f t="shared" si="94"/>
        <v>5.3150533333333323</v>
      </c>
    </row>
    <row r="2029" spans="1:10" hidden="1" x14ac:dyDescent="0.35">
      <c r="A2029" s="126" t="s">
        <v>376</v>
      </c>
      <c r="B2029" t="str">
        <f>_xlfn.XLOOKUP(A2029,'[1]2050Pop'!$A$7:$A$143,'[1]2050Pop'!$D$7:$D$143)</f>
        <v>NAm</v>
      </c>
      <c r="C2029" s="127">
        <f>1000*_xlfn.XLOOKUP(A2029,'[1]2050Pop'!$A$7:$A$143,'[1]2050Pop'!$C$7:$C$143)</f>
        <v>44136</v>
      </c>
      <c r="D2029" s="126" t="s">
        <v>511</v>
      </c>
      <c r="E2029" s="128">
        <v>2.3490000000000002</v>
      </c>
      <c r="F2029" s="129">
        <f t="shared" si="95"/>
        <v>0.10367546400000001</v>
      </c>
      <c r="G2029" t="str">
        <f>_xlfn.XLOOKUP(D2029,'[1]2050 BAU Mapping to T &amp; C'!$A$3:$A$52,'[1]2050 BAU Mapping to T &amp; C'!$B$3:$B$52)</f>
        <v>Tropical Fruits</v>
      </c>
      <c r="H2029" s="129">
        <f>_xlfn.XLOOKUP(G2029,'[1]T&amp;C emissions for 2050 analysis'!$B$3:$B$23,'[1]T&amp;C emissions for 2050 analysis'!$C$3:$C$23)</f>
        <v>0.51333333333333331</v>
      </c>
      <c r="I2029" s="27">
        <f t="shared" si="93"/>
        <v>5.3220071520000002E-2</v>
      </c>
      <c r="J2029" s="129">
        <f t="shared" si="94"/>
        <v>1.2058200000000001</v>
      </c>
    </row>
    <row r="2030" spans="1:10" hidden="1" x14ac:dyDescent="0.35">
      <c r="A2030" s="126" t="s">
        <v>378</v>
      </c>
      <c r="B2030" t="str">
        <f>_xlfn.XLOOKUP(A2030,'[1]2050Pop'!$A$7:$A$143,'[1]2050Pop'!$D$7:$D$143)</f>
        <v>LatAm &amp; RSA</v>
      </c>
      <c r="C2030" s="127">
        <f>1000*_xlfn.XLOOKUP(A2030,'[1]2050Pop'!$A$7:$A$143,'[1]2050Pop'!$C$7:$C$143)</f>
        <v>21601</v>
      </c>
      <c r="D2030" s="126" t="s">
        <v>511</v>
      </c>
      <c r="E2030" s="128">
        <v>5.6280000000000001</v>
      </c>
      <c r="F2030" s="129">
        <f t="shared" si="95"/>
        <v>0.12157042799999999</v>
      </c>
      <c r="G2030" t="str">
        <f>_xlfn.XLOOKUP(D2030,'[1]2050 BAU Mapping to T &amp; C'!$A$3:$A$52,'[1]2050 BAU Mapping to T &amp; C'!$B$3:$B$52)</f>
        <v>Tropical Fruits</v>
      </c>
      <c r="H2030" s="129">
        <f>_xlfn.XLOOKUP(G2030,'[1]T&amp;C emissions for 2050 analysis'!$B$3:$B$23,'[1]T&amp;C emissions for 2050 analysis'!$C$3:$C$23)</f>
        <v>0.51333333333333331</v>
      </c>
      <c r="I2030" s="27">
        <f t="shared" si="93"/>
        <v>6.2406153039999995E-2</v>
      </c>
      <c r="J2030" s="129">
        <f t="shared" si="94"/>
        <v>2.8890400000000001</v>
      </c>
    </row>
    <row r="2031" spans="1:10" hidden="1" x14ac:dyDescent="0.35">
      <c r="A2031" s="126" t="s">
        <v>385</v>
      </c>
      <c r="B2031" t="str">
        <f>_xlfn.XLOOKUP(A2031,'[1]2050Pop'!$A$7:$A$143,'[1]2050Pop'!$D$7:$D$143)</f>
        <v>Euro/AU/NZ</v>
      </c>
      <c r="C2031" s="127">
        <f>1000*_xlfn.XLOOKUP(A2031,'[1]2050Pop'!$A$7:$A$143,'[1]2050Pop'!$C$7:$C$143)</f>
        <v>3554</v>
      </c>
      <c r="D2031" s="126" t="s">
        <v>511</v>
      </c>
      <c r="E2031" s="128">
        <v>42.072000000000003</v>
      </c>
      <c r="F2031" s="129">
        <f t="shared" si="95"/>
        <v>0.14952388799999999</v>
      </c>
      <c r="G2031" t="str">
        <f>_xlfn.XLOOKUP(D2031,'[1]2050 BAU Mapping to T &amp; C'!$A$3:$A$52,'[1]2050 BAU Mapping to T &amp; C'!$B$3:$B$52)</f>
        <v>Tropical Fruits</v>
      </c>
      <c r="H2031" s="129">
        <f>_xlfn.XLOOKUP(G2031,'[1]T&amp;C emissions for 2050 analysis'!$B$3:$B$23,'[1]T&amp;C emissions for 2050 analysis'!$C$3:$C$23)</f>
        <v>0.51333333333333331</v>
      </c>
      <c r="I2031" s="27">
        <f t="shared" si="93"/>
        <v>7.6755595839999996E-2</v>
      </c>
      <c r="J2031" s="129">
        <f t="shared" si="94"/>
        <v>21.596959999999999</v>
      </c>
    </row>
    <row r="2032" spans="1:10" hidden="1" x14ac:dyDescent="0.35">
      <c r="A2032" s="126" t="s">
        <v>387</v>
      </c>
      <c r="B2032" t="str">
        <f>_xlfn.XLOOKUP(A2032,'[1]2050Pop'!$A$7:$A$143,'[1]2050Pop'!$D$7:$D$143)</f>
        <v>Euro/AU/NZ</v>
      </c>
      <c r="C2032" s="127">
        <f>1000*_xlfn.XLOOKUP(A2032,'[1]2050Pop'!$A$7:$A$143,'[1]2050Pop'!$C$7:$C$143)</f>
        <v>9965</v>
      </c>
      <c r="D2032" s="126" t="s">
        <v>511</v>
      </c>
      <c r="E2032" s="128">
        <v>2.6160000000000001</v>
      </c>
      <c r="F2032" s="129">
        <f t="shared" si="95"/>
        <v>2.6068440000000002E-2</v>
      </c>
      <c r="G2032" t="str">
        <f>_xlfn.XLOOKUP(D2032,'[1]2050 BAU Mapping to T &amp; C'!$A$3:$A$52,'[1]2050 BAU Mapping to T &amp; C'!$B$3:$B$52)</f>
        <v>Tropical Fruits</v>
      </c>
      <c r="H2032" s="129">
        <f>_xlfn.XLOOKUP(G2032,'[1]T&amp;C emissions for 2050 analysis'!$B$3:$B$23,'[1]T&amp;C emissions for 2050 analysis'!$C$3:$C$23)</f>
        <v>0.51333333333333331</v>
      </c>
      <c r="I2032" s="27">
        <f t="shared" si="93"/>
        <v>1.3381799200000001E-2</v>
      </c>
      <c r="J2032" s="129">
        <f t="shared" si="94"/>
        <v>1.3428800000000001</v>
      </c>
    </row>
    <row r="2033" spans="1:10" hidden="1" x14ac:dyDescent="0.35">
      <c r="A2033" s="126" t="s">
        <v>388</v>
      </c>
      <c r="B2033" t="str">
        <f>_xlfn.XLOOKUP(A2033,'[1]2050Pop'!$A$7:$A$143,'[1]2050Pop'!$D$7:$D$143)</f>
        <v>Euro/AU/NZ</v>
      </c>
      <c r="C2033" s="127">
        <f>1000*_xlfn.XLOOKUP(A2033,'[1]2050Pop'!$A$7:$A$143,'[1]2050Pop'!$C$7:$C$143)</f>
        <v>6299</v>
      </c>
      <c r="D2033" s="126" t="s">
        <v>511</v>
      </c>
      <c r="E2033" s="128">
        <v>2.3340000000000001</v>
      </c>
      <c r="F2033" s="129">
        <f t="shared" si="95"/>
        <v>1.4701865999999999E-2</v>
      </c>
      <c r="G2033" t="str">
        <f>_xlfn.XLOOKUP(D2033,'[1]2050 BAU Mapping to T &amp; C'!$A$3:$A$52,'[1]2050 BAU Mapping to T &amp; C'!$B$3:$B$52)</f>
        <v>Tropical Fruits</v>
      </c>
      <c r="H2033" s="129">
        <f>_xlfn.XLOOKUP(G2033,'[1]T&amp;C emissions for 2050 analysis'!$B$3:$B$23,'[1]T&amp;C emissions for 2050 analysis'!$C$3:$C$23)</f>
        <v>0.51333333333333331</v>
      </c>
      <c r="I2033" s="27">
        <f t="shared" si="93"/>
        <v>7.5469578799999991E-3</v>
      </c>
      <c r="J2033" s="129">
        <f t="shared" si="94"/>
        <v>1.1981200000000001</v>
      </c>
    </row>
    <row r="2034" spans="1:10" hidden="1" x14ac:dyDescent="0.35">
      <c r="A2034" s="126" t="s">
        <v>391</v>
      </c>
      <c r="B2034" t="str">
        <f>_xlfn.XLOOKUP(A2034,'[1]2050Pop'!$A$7:$A$143,'[1]2050Pop'!$D$7:$D$143)</f>
        <v>MENA</v>
      </c>
      <c r="C2034" s="127">
        <f>1000*_xlfn.XLOOKUP(A2034,'[1]2050Pop'!$A$7:$A$143,'[1]2050Pop'!$C$7:$C$143)</f>
        <v>151111</v>
      </c>
      <c r="D2034" s="126" t="s">
        <v>511</v>
      </c>
      <c r="E2034" s="128">
        <v>27.396000000000001</v>
      </c>
      <c r="F2034" s="129">
        <f t="shared" si="95"/>
        <v>4.1398369559999999</v>
      </c>
      <c r="G2034" t="str">
        <f>_xlfn.XLOOKUP(D2034,'[1]2050 BAU Mapping to T &amp; C'!$A$3:$A$52,'[1]2050 BAU Mapping to T &amp; C'!$B$3:$B$52)</f>
        <v>Tropical Fruits</v>
      </c>
      <c r="H2034" s="129">
        <f>_xlfn.XLOOKUP(G2034,'[1]T&amp;C emissions for 2050 analysis'!$B$3:$B$23,'[1]T&amp;C emissions for 2050 analysis'!$C$3:$C$23)</f>
        <v>0.51333333333333331</v>
      </c>
      <c r="I2034" s="27">
        <f t="shared" si="93"/>
        <v>2.1251163040799996</v>
      </c>
      <c r="J2034" s="129">
        <f t="shared" si="94"/>
        <v>14.063279999999999</v>
      </c>
    </row>
    <row r="2035" spans="1:10" hidden="1" x14ac:dyDescent="0.35">
      <c r="A2035" s="126" t="s">
        <v>393</v>
      </c>
      <c r="B2035" t="str">
        <f>_xlfn.XLOOKUP(A2035,'[1]2050Pop'!$A$7:$A$143,'[1]2050Pop'!$D$7:$D$143)</f>
        <v>Euro/AU/NZ</v>
      </c>
      <c r="C2035" s="127">
        <f>1000*_xlfn.XLOOKUP(A2035,'[1]2050Pop'!$A$7:$A$143,'[1]2050Pop'!$C$7:$C$143)</f>
        <v>1129</v>
      </c>
      <c r="D2035" s="126" t="s">
        <v>511</v>
      </c>
      <c r="E2035" s="128">
        <v>1.8140000000000001</v>
      </c>
      <c r="F2035" s="129">
        <f t="shared" si="95"/>
        <v>2.0480059999999998E-3</v>
      </c>
      <c r="G2035" t="str">
        <f>_xlfn.XLOOKUP(D2035,'[1]2050 BAU Mapping to T &amp; C'!$A$3:$A$52,'[1]2050 BAU Mapping to T &amp; C'!$B$3:$B$52)</f>
        <v>Tropical Fruits</v>
      </c>
      <c r="H2035" s="129">
        <f>_xlfn.XLOOKUP(G2035,'[1]T&amp;C emissions for 2050 analysis'!$B$3:$B$23,'[1]T&amp;C emissions for 2050 analysis'!$C$3:$C$23)</f>
        <v>0.51333333333333331</v>
      </c>
      <c r="I2035" s="27">
        <f t="shared" si="93"/>
        <v>1.0513097466666665E-3</v>
      </c>
      <c r="J2035" s="129">
        <f t="shared" si="94"/>
        <v>0.93118666666666661</v>
      </c>
    </row>
    <row r="2036" spans="1:10" hidden="1" x14ac:dyDescent="0.35">
      <c r="A2036" s="126" t="s">
        <v>395</v>
      </c>
      <c r="B2036" t="str">
        <f>_xlfn.XLOOKUP(A2036,'[1]2050Pop'!$A$7:$A$143,'[1]2050Pop'!$D$7:$D$143)</f>
        <v>Euro/AU/NZ</v>
      </c>
      <c r="C2036" s="127">
        <f>1000*_xlfn.XLOOKUP(A2036,'[1]2050Pop'!$A$7:$A$143,'[1]2050Pop'!$C$7:$C$143)</f>
        <v>5752</v>
      </c>
      <c r="D2036" s="126" t="s">
        <v>511</v>
      </c>
      <c r="E2036" s="130">
        <v>2.34</v>
      </c>
      <c r="F2036" s="129">
        <f t="shared" si="95"/>
        <v>1.3459679999999998E-2</v>
      </c>
      <c r="G2036" t="str">
        <f>_xlfn.XLOOKUP(D2036,'[1]2050 BAU Mapping to T &amp; C'!$A$3:$A$52,'[1]2050 BAU Mapping to T &amp; C'!$B$3:$B$52)</f>
        <v>Tropical Fruits</v>
      </c>
      <c r="H2036" s="129">
        <f>_xlfn.XLOOKUP(G2036,'[1]T&amp;C emissions for 2050 analysis'!$B$3:$B$23,'[1]T&amp;C emissions for 2050 analysis'!$C$3:$C$23)</f>
        <v>0.51333333333333331</v>
      </c>
      <c r="I2036" s="27">
        <f t="shared" si="93"/>
        <v>6.9093023999999984E-3</v>
      </c>
      <c r="J2036" s="129">
        <f t="shared" si="94"/>
        <v>1.2011999999999998</v>
      </c>
    </row>
    <row r="2037" spans="1:10" hidden="1" x14ac:dyDescent="0.35">
      <c r="A2037" s="126" t="s">
        <v>396</v>
      </c>
      <c r="B2037" t="str">
        <f>_xlfn.XLOOKUP(A2037,'[1]2050Pop'!$A$7:$A$143,'[1]2050Pop'!$D$7:$D$143)</f>
        <v>Euro/AU/NZ</v>
      </c>
      <c r="C2037" s="127">
        <f>1000*_xlfn.XLOOKUP(A2037,'[1]2050Pop'!$A$7:$A$143,'[1]2050Pop'!$C$7:$C$143)</f>
        <v>71137</v>
      </c>
      <c r="D2037" s="126" t="s">
        <v>511</v>
      </c>
      <c r="E2037" s="128">
        <v>4.6559999999999997</v>
      </c>
      <c r="F2037" s="129">
        <f t="shared" si="95"/>
        <v>0.33121387199999996</v>
      </c>
      <c r="G2037" t="str">
        <f>_xlfn.XLOOKUP(D2037,'[1]2050 BAU Mapping to T &amp; C'!$A$3:$A$52,'[1]2050 BAU Mapping to T &amp; C'!$B$3:$B$52)</f>
        <v>Tropical Fruits</v>
      </c>
      <c r="H2037" s="129">
        <f>_xlfn.XLOOKUP(G2037,'[1]T&amp;C emissions for 2050 analysis'!$B$3:$B$23,'[1]T&amp;C emissions for 2050 analysis'!$C$3:$C$23)</f>
        <v>0.51333333333333331</v>
      </c>
      <c r="I2037" s="27">
        <f t="shared" si="93"/>
        <v>0.17002312095999997</v>
      </c>
      <c r="J2037" s="129">
        <f t="shared" si="94"/>
        <v>2.3900799999999998</v>
      </c>
    </row>
    <row r="2038" spans="1:10" hidden="1" x14ac:dyDescent="0.35">
      <c r="A2038" s="126" t="s">
        <v>398</v>
      </c>
      <c r="B2038" t="str">
        <f>_xlfn.XLOOKUP(A2038,'[1]2050Pop'!$A$7:$A$143,'[1]2050Pop'!$D$7:$D$143)</f>
        <v>MENA</v>
      </c>
      <c r="C2038" s="127">
        <f>1000*_xlfn.XLOOKUP(A2038,'[1]2050Pop'!$A$7:$A$143,'[1]2050Pop'!$C$7:$C$143)</f>
        <v>3483</v>
      </c>
      <c r="D2038" s="126" t="s">
        <v>511</v>
      </c>
      <c r="E2038" s="128">
        <v>1.4530000000000001</v>
      </c>
      <c r="F2038" s="129">
        <f t="shared" si="95"/>
        <v>5.0607990000000004E-3</v>
      </c>
      <c r="G2038" t="str">
        <f>_xlfn.XLOOKUP(D2038,'[1]2050 BAU Mapping to T &amp; C'!$A$3:$A$52,'[1]2050 BAU Mapping to T &amp; C'!$B$3:$B$52)</f>
        <v>Tropical Fruits</v>
      </c>
      <c r="H2038" s="129">
        <f>_xlfn.XLOOKUP(G2038,'[1]T&amp;C emissions for 2050 analysis'!$B$3:$B$23,'[1]T&amp;C emissions for 2050 analysis'!$C$3:$C$23)</f>
        <v>0.51333333333333331</v>
      </c>
      <c r="I2038" s="27">
        <f t="shared" si="93"/>
        <v>2.59787682E-3</v>
      </c>
      <c r="J2038" s="129">
        <f t="shared" si="94"/>
        <v>0.74587333333333328</v>
      </c>
    </row>
    <row r="2039" spans="1:10" hidden="1" x14ac:dyDescent="0.35">
      <c r="A2039" s="126" t="s">
        <v>399</v>
      </c>
      <c r="B2039" t="str">
        <f>_xlfn.XLOOKUP(A2039,'[1]2050Pop'!$A$7:$A$143,'[1]2050Pop'!$D$7:$D$143)</f>
        <v>Euro/AU/NZ</v>
      </c>
      <c r="C2039" s="127">
        <f>1000*_xlfn.XLOOKUP(A2039,'[1]2050Pop'!$A$7:$A$143,'[1]2050Pop'!$C$7:$C$143)</f>
        <v>74513</v>
      </c>
      <c r="D2039" s="126" t="s">
        <v>511</v>
      </c>
      <c r="E2039" s="128">
        <v>2.3290000000000002</v>
      </c>
      <c r="F2039" s="129">
        <f t="shared" si="95"/>
        <v>0.17354077700000001</v>
      </c>
      <c r="G2039" t="str">
        <f>_xlfn.XLOOKUP(D2039,'[1]2050 BAU Mapping to T &amp; C'!$A$3:$A$52,'[1]2050 BAU Mapping to T &amp; C'!$B$3:$B$52)</f>
        <v>Tropical Fruits</v>
      </c>
      <c r="H2039" s="129">
        <f>_xlfn.XLOOKUP(G2039,'[1]T&amp;C emissions for 2050 analysis'!$B$3:$B$23,'[1]T&amp;C emissions for 2050 analysis'!$C$3:$C$23)</f>
        <v>0.51333333333333331</v>
      </c>
      <c r="I2039" s="27">
        <f t="shared" si="93"/>
        <v>8.9084265526666664E-2</v>
      </c>
      <c r="J2039" s="129">
        <f t="shared" si="94"/>
        <v>1.1955533333333335</v>
      </c>
    </row>
    <row r="2040" spans="1:10" hidden="1" x14ac:dyDescent="0.35">
      <c r="A2040" s="126" t="s">
        <v>401</v>
      </c>
      <c r="B2040" t="str">
        <f>_xlfn.XLOOKUP(A2040,'[1]2050Pop'!$A$7:$A$143,'[1]2050Pop'!$D$7:$D$143)</f>
        <v>Euro/AU/NZ</v>
      </c>
      <c r="C2040" s="127">
        <f>1000*_xlfn.XLOOKUP(A2040,'[1]2050Pop'!$A$7:$A$143,'[1]2050Pop'!$C$7:$C$143)</f>
        <v>9705</v>
      </c>
      <c r="D2040" s="126" t="s">
        <v>511</v>
      </c>
      <c r="E2040" s="128">
        <v>48.021999999999998</v>
      </c>
      <c r="F2040" s="129">
        <f t="shared" si="95"/>
        <v>0.46605351</v>
      </c>
      <c r="G2040" t="str">
        <f>_xlfn.XLOOKUP(D2040,'[1]2050 BAU Mapping to T &amp; C'!$A$3:$A$52,'[1]2050 BAU Mapping to T &amp; C'!$B$3:$B$52)</f>
        <v>Tropical Fruits</v>
      </c>
      <c r="H2040" s="129">
        <f>_xlfn.XLOOKUP(G2040,'[1]T&amp;C emissions for 2050 analysis'!$B$3:$B$23,'[1]T&amp;C emissions for 2050 analysis'!$C$3:$C$23)</f>
        <v>0.51333333333333331</v>
      </c>
      <c r="I2040" s="27">
        <f t="shared" si="93"/>
        <v>0.23924080179999999</v>
      </c>
      <c r="J2040" s="129">
        <f t="shared" si="94"/>
        <v>24.651293333333332</v>
      </c>
    </row>
    <row r="2041" spans="1:10" hidden="1" x14ac:dyDescent="0.35">
      <c r="A2041" s="126" t="s">
        <v>407</v>
      </c>
      <c r="B2041" t="str">
        <f>_xlfn.XLOOKUP(A2041,'[1]2050Pop'!$A$7:$A$143,'[1]2050Pop'!$D$7:$D$143)</f>
        <v>Euro/AU/NZ</v>
      </c>
      <c r="C2041" s="127">
        <f>1000*_xlfn.XLOOKUP(A2041,'[1]2050Pop'!$A$7:$A$143,'[1]2050Pop'!$C$7:$C$143)</f>
        <v>8318</v>
      </c>
      <c r="D2041" s="126" t="s">
        <v>511</v>
      </c>
      <c r="E2041" s="128">
        <v>1.2929999999999999</v>
      </c>
      <c r="F2041" s="129">
        <f t="shared" si="95"/>
        <v>1.0755173999999999E-2</v>
      </c>
      <c r="G2041" t="str">
        <f>_xlfn.XLOOKUP(D2041,'[1]2050 BAU Mapping to T &amp; C'!$A$3:$A$52,'[1]2050 BAU Mapping to T &amp; C'!$B$3:$B$52)</f>
        <v>Tropical Fruits</v>
      </c>
      <c r="H2041" s="129">
        <f>_xlfn.XLOOKUP(G2041,'[1]T&amp;C emissions for 2050 analysis'!$B$3:$B$23,'[1]T&amp;C emissions for 2050 analysis'!$C$3:$C$23)</f>
        <v>0.51333333333333331</v>
      </c>
      <c r="I2041" s="27">
        <f t="shared" si="93"/>
        <v>5.5209893199999992E-3</v>
      </c>
      <c r="J2041" s="129">
        <f t="shared" si="94"/>
        <v>0.66373999999999989</v>
      </c>
    </row>
    <row r="2042" spans="1:10" hidden="1" x14ac:dyDescent="0.35">
      <c r="A2042" s="126" t="s">
        <v>410</v>
      </c>
      <c r="B2042" t="str">
        <f>_xlfn.XLOOKUP(A2042,'[1]2050Pop'!$A$7:$A$143,'[1]2050Pop'!$D$7:$D$143)</f>
        <v>India/South Asia</v>
      </c>
      <c r="C2042" s="127">
        <f>1000*_xlfn.XLOOKUP(A2042,'[1]2050Pop'!$A$7:$A$143,'[1]2050Pop'!$C$7:$C$143)</f>
        <v>92219</v>
      </c>
      <c r="D2042" s="126" t="s">
        <v>511</v>
      </c>
      <c r="E2042" s="130">
        <v>1.27</v>
      </c>
      <c r="F2042" s="129">
        <f t="shared" si="95"/>
        <v>0.11711813</v>
      </c>
      <c r="G2042" t="str">
        <f>_xlfn.XLOOKUP(D2042,'[1]2050 BAU Mapping to T &amp; C'!$A$3:$A$52,'[1]2050 BAU Mapping to T &amp; C'!$B$3:$B$52)</f>
        <v>Tropical Fruits</v>
      </c>
      <c r="H2042" s="129">
        <f>_xlfn.XLOOKUP(G2042,'[1]T&amp;C emissions for 2050 analysis'!$B$3:$B$23,'[1]T&amp;C emissions for 2050 analysis'!$C$3:$C$23)</f>
        <v>0.51333333333333331</v>
      </c>
      <c r="I2042" s="27">
        <f t="shared" si="93"/>
        <v>6.0120640066666661E-2</v>
      </c>
      <c r="J2042" s="129">
        <f t="shared" si="94"/>
        <v>0.65193333333333336</v>
      </c>
    </row>
    <row r="2043" spans="1:10" hidden="1" x14ac:dyDescent="0.35">
      <c r="A2043" s="126" t="s">
        <v>411</v>
      </c>
      <c r="B2043" t="str">
        <f>_xlfn.XLOOKUP(A2043,'[1]2050Pop'!$A$7:$A$143,'[1]2050Pop'!$D$7:$D$143)</f>
        <v>MENA</v>
      </c>
      <c r="C2043" s="127">
        <f>1000*_xlfn.XLOOKUP(A2043,'[1]2050Pop'!$A$7:$A$143,'[1]2050Pop'!$C$7:$C$143)</f>
        <v>83652</v>
      </c>
      <c r="D2043" s="126" t="s">
        <v>511</v>
      </c>
      <c r="E2043" s="128">
        <v>2.871</v>
      </c>
      <c r="F2043" s="129">
        <f t="shared" si="95"/>
        <v>0.24016489199999999</v>
      </c>
      <c r="G2043" t="str">
        <f>_xlfn.XLOOKUP(D2043,'[1]2050 BAU Mapping to T &amp; C'!$A$3:$A$52,'[1]2050 BAU Mapping to T &amp; C'!$B$3:$B$52)</f>
        <v>Tropical Fruits</v>
      </c>
      <c r="H2043" s="129">
        <f>_xlfn.XLOOKUP(G2043,'[1]T&amp;C emissions for 2050 analysis'!$B$3:$B$23,'[1]T&amp;C emissions for 2050 analysis'!$C$3:$C$23)</f>
        <v>0.51333333333333331</v>
      </c>
      <c r="I2043" s="27">
        <f t="shared" si="93"/>
        <v>0.12328464455999999</v>
      </c>
      <c r="J2043" s="129">
        <f t="shared" si="94"/>
        <v>1.4737799999999999</v>
      </c>
    </row>
    <row r="2044" spans="1:10" hidden="1" x14ac:dyDescent="0.35">
      <c r="A2044" s="126" t="s">
        <v>412</v>
      </c>
      <c r="B2044" t="str">
        <f>_xlfn.XLOOKUP(A2044,'[1]2050Pop'!$A$7:$A$143,'[1]2050Pop'!$D$7:$D$143)</f>
        <v>Euro/AU/NZ</v>
      </c>
      <c r="C2044" s="127">
        <f>1000*_xlfn.XLOOKUP(A2044,'[1]2050Pop'!$A$7:$A$143,'[1]2050Pop'!$C$7:$C$143)</f>
        <v>5789</v>
      </c>
      <c r="D2044" s="126" t="s">
        <v>511</v>
      </c>
      <c r="E2044" s="128">
        <v>3.1150000000000002</v>
      </c>
      <c r="F2044" s="129">
        <f t="shared" si="95"/>
        <v>1.8032735000000001E-2</v>
      </c>
      <c r="G2044" t="str">
        <f>_xlfn.XLOOKUP(D2044,'[1]2050 BAU Mapping to T &amp; C'!$A$3:$A$52,'[1]2050 BAU Mapping to T &amp; C'!$B$3:$B$52)</f>
        <v>Tropical Fruits</v>
      </c>
      <c r="H2044" s="129">
        <f>_xlfn.XLOOKUP(G2044,'[1]T&amp;C emissions for 2050 analysis'!$B$3:$B$23,'[1]T&amp;C emissions for 2050 analysis'!$C$3:$C$23)</f>
        <v>0.51333333333333331</v>
      </c>
      <c r="I2044" s="27">
        <f t="shared" si="93"/>
        <v>9.2568039666666661E-3</v>
      </c>
      <c r="J2044" s="129">
        <f t="shared" si="94"/>
        <v>1.5990333333333333</v>
      </c>
    </row>
    <row r="2045" spans="1:10" hidden="1" x14ac:dyDescent="0.35">
      <c r="A2045" s="126" t="s">
        <v>413</v>
      </c>
      <c r="B2045" t="str">
        <f>_xlfn.XLOOKUP(A2045,'[1]2050Pop'!$A$7:$A$143,'[1]2050Pop'!$D$7:$D$143)</f>
        <v>MENA</v>
      </c>
      <c r="C2045" s="127">
        <f>1000*_xlfn.XLOOKUP(A2045,'[1]2050Pop'!$A$7:$A$143,'[1]2050Pop'!$C$7:$C$143)</f>
        <v>12610</v>
      </c>
      <c r="D2045" s="126" t="s">
        <v>511</v>
      </c>
      <c r="E2045" s="128">
        <v>5.0010000000000003</v>
      </c>
      <c r="F2045" s="129">
        <f t="shared" si="95"/>
        <v>6.3062610000000005E-2</v>
      </c>
      <c r="G2045" t="str">
        <f>_xlfn.XLOOKUP(D2045,'[1]2050 BAU Mapping to T &amp; C'!$A$3:$A$52,'[1]2050 BAU Mapping to T &amp; C'!$B$3:$B$52)</f>
        <v>Tropical Fruits</v>
      </c>
      <c r="H2045" s="129">
        <f>_xlfn.XLOOKUP(G2045,'[1]T&amp;C emissions for 2050 analysis'!$B$3:$B$23,'[1]T&amp;C emissions for 2050 analysis'!$C$3:$C$23)</f>
        <v>0.51333333333333331</v>
      </c>
      <c r="I2045" s="27">
        <f t="shared" si="93"/>
        <v>3.2372139799999998E-2</v>
      </c>
      <c r="J2045" s="129">
        <f t="shared" si="94"/>
        <v>2.56718</v>
      </c>
    </row>
    <row r="2046" spans="1:10" hidden="1" x14ac:dyDescent="0.35">
      <c r="A2046" s="126" t="s">
        <v>414</v>
      </c>
      <c r="B2046" t="str">
        <f>_xlfn.XLOOKUP(A2046,'[1]2050Pop'!$A$7:$A$143,'[1]2050Pop'!$D$7:$D$143)</f>
        <v>Euro/AU/NZ</v>
      </c>
      <c r="C2046" s="127">
        <f>1000*_xlfn.XLOOKUP(A2046,'[1]2050Pop'!$A$7:$A$143,'[1]2050Pop'!$C$7:$C$143)</f>
        <v>56513</v>
      </c>
      <c r="D2046" s="126" t="s">
        <v>511</v>
      </c>
      <c r="E2046" s="130">
        <v>11.22</v>
      </c>
      <c r="F2046" s="129">
        <f t="shared" si="95"/>
        <v>0.63407585999999994</v>
      </c>
      <c r="G2046" t="str">
        <f>_xlfn.XLOOKUP(D2046,'[1]2050 BAU Mapping to T &amp; C'!$A$3:$A$52,'[1]2050 BAU Mapping to T &amp; C'!$B$3:$B$52)</f>
        <v>Tropical Fruits</v>
      </c>
      <c r="H2046" s="129">
        <f>_xlfn.XLOOKUP(G2046,'[1]T&amp;C emissions for 2050 analysis'!$B$3:$B$23,'[1]T&amp;C emissions for 2050 analysis'!$C$3:$C$23)</f>
        <v>0.51333333333333331</v>
      </c>
      <c r="I2046" s="27">
        <f t="shared" si="93"/>
        <v>0.32549227479999993</v>
      </c>
      <c r="J2046" s="129">
        <f t="shared" si="94"/>
        <v>5.7595999999999998</v>
      </c>
    </row>
    <row r="2047" spans="1:10" hidden="1" x14ac:dyDescent="0.35">
      <c r="A2047" s="126" t="s">
        <v>417</v>
      </c>
      <c r="B2047" t="str">
        <f>_xlfn.XLOOKUP(A2047,'[1]2050Pop'!$A$7:$A$143,'[1]2050Pop'!$D$7:$D$143)</f>
        <v>MENA</v>
      </c>
      <c r="C2047" s="127">
        <f>1000*_xlfn.XLOOKUP(A2047,'[1]2050Pop'!$A$7:$A$143,'[1]2050Pop'!$C$7:$C$143)</f>
        <v>11717</v>
      </c>
      <c r="D2047" s="126" t="s">
        <v>511</v>
      </c>
      <c r="E2047" s="130">
        <v>16.73</v>
      </c>
      <c r="F2047" s="129">
        <f t="shared" si="95"/>
        <v>0.19602541000000001</v>
      </c>
      <c r="G2047" t="str">
        <f>_xlfn.XLOOKUP(D2047,'[1]2050 BAU Mapping to T &amp; C'!$A$3:$A$52,'[1]2050 BAU Mapping to T &amp; C'!$B$3:$B$52)</f>
        <v>Tropical Fruits</v>
      </c>
      <c r="H2047" s="129">
        <f>_xlfn.XLOOKUP(G2047,'[1]T&amp;C emissions for 2050 analysis'!$B$3:$B$23,'[1]T&amp;C emissions for 2050 analysis'!$C$3:$C$23)</f>
        <v>0.51333333333333331</v>
      </c>
      <c r="I2047" s="27">
        <f t="shared" si="93"/>
        <v>0.10062637713333333</v>
      </c>
      <c r="J2047" s="129">
        <f t="shared" si="94"/>
        <v>8.5880666666666663</v>
      </c>
    </row>
    <row r="2048" spans="1:10" hidden="1" x14ac:dyDescent="0.35">
      <c r="A2048" s="126" t="s">
        <v>418</v>
      </c>
      <c r="B2048" t="str">
        <f>_xlfn.XLOOKUP(A2048,'[1]2050Pop'!$A$7:$A$143,'[1]2050Pop'!$D$7:$D$143)</f>
        <v>APAC</v>
      </c>
      <c r="C2048" s="127">
        <f>1000*_xlfn.XLOOKUP(A2048,'[1]2050Pop'!$A$7:$A$143,'[1]2050Pop'!$C$7:$C$143)</f>
        <v>22447</v>
      </c>
      <c r="D2048" s="126" t="s">
        <v>511</v>
      </c>
      <c r="E2048" s="128">
        <v>1.411</v>
      </c>
      <c r="F2048" s="129">
        <f t="shared" si="95"/>
        <v>3.1672717000000003E-2</v>
      </c>
      <c r="G2048" t="str">
        <f>_xlfn.XLOOKUP(D2048,'[1]2050 BAU Mapping to T &amp; C'!$A$3:$A$52,'[1]2050 BAU Mapping to T &amp; C'!$B$3:$B$52)</f>
        <v>Tropical Fruits</v>
      </c>
      <c r="H2048" s="129">
        <f>_xlfn.XLOOKUP(G2048,'[1]T&amp;C emissions for 2050 analysis'!$B$3:$B$23,'[1]T&amp;C emissions for 2050 analysis'!$C$3:$C$23)</f>
        <v>0.51333333333333331</v>
      </c>
      <c r="I2048" s="27">
        <f t="shared" si="93"/>
        <v>1.6258661393333335E-2</v>
      </c>
      <c r="J2048" s="129">
        <f t="shared" si="94"/>
        <v>0.72431333333333336</v>
      </c>
    </row>
    <row r="2049" spans="1:10" hidden="1" x14ac:dyDescent="0.35">
      <c r="A2049" s="126" t="s">
        <v>422</v>
      </c>
      <c r="B2049" t="str">
        <f>_xlfn.XLOOKUP(A2049,'[1]2050Pop'!$A$7:$A$143,'[1]2050Pop'!$D$7:$D$143)</f>
        <v>Euro/AU/NZ</v>
      </c>
      <c r="C2049" s="127">
        <f>1000*_xlfn.XLOOKUP(A2049,'[1]2050Pop'!$A$7:$A$143,'[1]2050Pop'!$C$7:$C$143)</f>
        <v>1593</v>
      </c>
      <c r="D2049" s="126" t="s">
        <v>511</v>
      </c>
      <c r="E2049" s="128">
        <v>4.3929999999999998</v>
      </c>
      <c r="F2049" s="129">
        <f t="shared" si="95"/>
        <v>6.9980490000000001E-3</v>
      </c>
      <c r="G2049" t="str">
        <f>_xlfn.XLOOKUP(D2049,'[1]2050 BAU Mapping to T &amp; C'!$A$3:$A$52,'[1]2050 BAU Mapping to T &amp; C'!$B$3:$B$52)</f>
        <v>Tropical Fruits</v>
      </c>
      <c r="H2049" s="129">
        <f>_xlfn.XLOOKUP(G2049,'[1]T&amp;C emissions for 2050 analysis'!$B$3:$B$23,'[1]T&amp;C emissions for 2050 analysis'!$C$3:$C$23)</f>
        <v>0.51333333333333331</v>
      </c>
      <c r="I2049" s="27">
        <f t="shared" si="93"/>
        <v>3.59233182E-3</v>
      </c>
      <c r="J2049" s="129">
        <f t="shared" si="94"/>
        <v>2.2550733333333333</v>
      </c>
    </row>
    <row r="2050" spans="1:10" hidden="1" x14ac:dyDescent="0.35">
      <c r="A2050" s="126" t="s">
        <v>423</v>
      </c>
      <c r="B2050" t="str">
        <f>_xlfn.XLOOKUP(A2050,'[1]2050Pop'!$A$7:$A$143,'[1]2050Pop'!$D$7:$D$143)</f>
        <v>MENA</v>
      </c>
      <c r="C2050" s="127">
        <f>1000*_xlfn.XLOOKUP(A2050,'[1]2050Pop'!$A$7:$A$143,'[1]2050Pop'!$C$7:$C$143)</f>
        <v>5610</v>
      </c>
      <c r="D2050" s="126" t="s">
        <v>511</v>
      </c>
      <c r="E2050" s="128">
        <v>16.655999999999999</v>
      </c>
      <c r="F2050" s="129">
        <f t="shared" si="95"/>
        <v>9.3440159999999994E-2</v>
      </c>
      <c r="G2050" t="str">
        <f>_xlfn.XLOOKUP(D2050,'[1]2050 BAU Mapping to T &amp; C'!$A$3:$A$52,'[1]2050 BAU Mapping to T &amp; C'!$B$3:$B$52)</f>
        <v>Tropical Fruits</v>
      </c>
      <c r="H2050" s="129">
        <f>_xlfn.XLOOKUP(G2050,'[1]T&amp;C emissions for 2050 analysis'!$B$3:$B$23,'[1]T&amp;C emissions for 2050 analysis'!$C$3:$C$23)</f>
        <v>0.51333333333333331</v>
      </c>
      <c r="I2050" s="27">
        <f t="shared" si="93"/>
        <v>4.7965948799999998E-2</v>
      </c>
      <c r="J2050" s="129">
        <f t="shared" si="94"/>
        <v>8.5500799999999995</v>
      </c>
    </row>
    <row r="2051" spans="1:10" hidden="1" x14ac:dyDescent="0.35">
      <c r="A2051" s="126" t="s">
        <v>426</v>
      </c>
      <c r="B2051" t="str">
        <f>_xlfn.XLOOKUP(A2051,'[1]2050Pop'!$A$7:$A$143,'[1]2050Pop'!$D$7:$D$143)</f>
        <v>Euro/AU/NZ</v>
      </c>
      <c r="C2051" s="127">
        <f>1000*_xlfn.XLOOKUP(A2051,'[1]2050Pop'!$A$7:$A$143,'[1]2050Pop'!$C$7:$C$143)</f>
        <v>2375</v>
      </c>
      <c r="D2051" s="126" t="s">
        <v>511</v>
      </c>
      <c r="E2051" s="128">
        <v>1.5489999999999999</v>
      </c>
      <c r="F2051" s="129">
        <f t="shared" si="95"/>
        <v>3.6788749999999999E-3</v>
      </c>
      <c r="G2051" t="str">
        <f>_xlfn.XLOOKUP(D2051,'[1]2050 BAU Mapping to T &amp; C'!$A$3:$A$52,'[1]2050 BAU Mapping to T &amp; C'!$B$3:$B$52)</f>
        <v>Tropical Fruits</v>
      </c>
      <c r="H2051" s="129">
        <f>_xlfn.XLOOKUP(G2051,'[1]T&amp;C emissions for 2050 analysis'!$B$3:$B$23,'[1]T&amp;C emissions for 2050 analysis'!$C$3:$C$23)</f>
        <v>0.51333333333333331</v>
      </c>
      <c r="I2051" s="27">
        <f t="shared" si="93"/>
        <v>1.8884891666666665E-3</v>
      </c>
      <c r="J2051" s="129">
        <f t="shared" si="94"/>
        <v>0.79515333333333327</v>
      </c>
    </row>
    <row r="2052" spans="1:10" hidden="1" x14ac:dyDescent="0.35">
      <c r="A2052" s="126" t="s">
        <v>433</v>
      </c>
      <c r="B2052" t="str">
        <f>_xlfn.XLOOKUP(A2052,'[1]2050Pop'!$A$7:$A$143,'[1]2050Pop'!$D$7:$D$143)</f>
        <v>LatAm &amp; RSA</v>
      </c>
      <c r="C2052" s="127">
        <f>1000*_xlfn.XLOOKUP(A2052,'[1]2050Pop'!$A$7:$A$143,'[1]2050Pop'!$C$7:$C$143)</f>
        <v>163754</v>
      </c>
      <c r="D2052" s="126" t="s">
        <v>511</v>
      </c>
      <c r="E2052" s="128">
        <v>1.272</v>
      </c>
      <c r="F2052" s="129">
        <f t="shared" si="95"/>
        <v>0.20829508799999999</v>
      </c>
      <c r="G2052" t="str">
        <f>_xlfn.XLOOKUP(D2052,'[1]2050 BAU Mapping to T &amp; C'!$A$3:$A$52,'[1]2050 BAU Mapping to T &amp; C'!$B$3:$B$52)</f>
        <v>Tropical Fruits</v>
      </c>
      <c r="H2052" s="129">
        <f>_xlfn.XLOOKUP(G2052,'[1]T&amp;C emissions for 2050 analysis'!$B$3:$B$23,'[1]T&amp;C emissions for 2050 analysis'!$C$3:$C$23)</f>
        <v>0.51333333333333331</v>
      </c>
      <c r="I2052" s="27">
        <f t="shared" ref="I2052:I2115" si="96">F2052*H2052</f>
        <v>0.10692481183999999</v>
      </c>
      <c r="J2052" s="129">
        <f t="shared" ref="J2052:J2115" si="97">E2052*H2052</f>
        <v>0.65295999999999998</v>
      </c>
    </row>
    <row r="2053" spans="1:10" hidden="1" x14ac:dyDescent="0.35">
      <c r="A2053" s="126" t="s">
        <v>435</v>
      </c>
      <c r="B2053" t="str">
        <f>_xlfn.XLOOKUP(A2053,'[1]2050Pop'!$A$7:$A$143,'[1]2050Pop'!$D$7:$D$143)</f>
        <v>MENA</v>
      </c>
      <c r="C2053" s="127">
        <f>1000*_xlfn.XLOOKUP(A2053,'[1]2050Pop'!$A$7:$A$143,'[1]2050Pop'!$C$7:$C$143)</f>
        <v>43696</v>
      </c>
      <c r="D2053" s="126" t="s">
        <v>511</v>
      </c>
      <c r="E2053" s="128">
        <v>10.233000000000001</v>
      </c>
      <c r="F2053" s="129">
        <f t="shared" ref="F2053:F2116" si="98">C2053*E2053/1000000</f>
        <v>0.44714116799999998</v>
      </c>
      <c r="G2053" t="str">
        <f>_xlfn.XLOOKUP(D2053,'[1]2050 BAU Mapping to T &amp; C'!$A$3:$A$52,'[1]2050 BAU Mapping to T &amp; C'!$B$3:$B$52)</f>
        <v>Tropical Fruits</v>
      </c>
      <c r="H2053" s="129">
        <f>_xlfn.XLOOKUP(G2053,'[1]T&amp;C emissions for 2050 analysis'!$B$3:$B$23,'[1]T&amp;C emissions for 2050 analysis'!$C$3:$C$23)</f>
        <v>0.51333333333333331</v>
      </c>
      <c r="I2053" s="27">
        <f t="shared" si="96"/>
        <v>0.22953246623999998</v>
      </c>
      <c r="J2053" s="129">
        <f t="shared" si="97"/>
        <v>5.2529399999999997</v>
      </c>
    </row>
    <row r="2054" spans="1:10" hidden="1" x14ac:dyDescent="0.35">
      <c r="A2054" s="126" t="s">
        <v>439</v>
      </c>
      <c r="B2054" t="str">
        <f>_xlfn.XLOOKUP(A2054,'[1]2050Pop'!$A$7:$A$143,'[1]2050Pop'!$D$7:$D$143)</f>
        <v>Euro/AU/NZ</v>
      </c>
      <c r="C2054" s="127">
        <f>1000*_xlfn.XLOOKUP(A2054,'[1]2050Pop'!$A$7:$A$143,'[1]2050Pop'!$C$7:$C$143)</f>
        <v>17602</v>
      </c>
      <c r="D2054" s="126" t="s">
        <v>511</v>
      </c>
      <c r="E2054" s="128">
        <v>1.222</v>
      </c>
      <c r="F2054" s="129">
        <f t="shared" si="98"/>
        <v>2.1509644000000001E-2</v>
      </c>
      <c r="G2054" t="str">
        <f>_xlfn.XLOOKUP(D2054,'[1]2050 BAU Mapping to T &amp; C'!$A$3:$A$52,'[1]2050 BAU Mapping to T &amp; C'!$B$3:$B$52)</f>
        <v>Tropical Fruits</v>
      </c>
      <c r="H2054" s="129">
        <f>_xlfn.XLOOKUP(G2054,'[1]T&amp;C emissions for 2050 analysis'!$B$3:$B$23,'[1]T&amp;C emissions for 2050 analysis'!$C$3:$C$23)</f>
        <v>0.51333333333333331</v>
      </c>
      <c r="I2054" s="27">
        <f t="shared" si="96"/>
        <v>1.1041617253333334E-2</v>
      </c>
      <c r="J2054" s="129">
        <f t="shared" si="97"/>
        <v>0.62729333333333326</v>
      </c>
    </row>
    <row r="2055" spans="1:10" hidden="1" x14ac:dyDescent="0.35">
      <c r="A2055" s="126" t="s">
        <v>440</v>
      </c>
      <c r="B2055" t="str">
        <f>_xlfn.XLOOKUP(A2055,'[1]2050Pop'!$A$7:$A$143,'[1]2050Pop'!$D$7:$D$143)</f>
        <v>Euro/AU/NZ</v>
      </c>
      <c r="C2055" s="127">
        <f>1000*_xlfn.XLOOKUP(A2055,'[1]2050Pop'!$A$7:$A$143,'[1]2050Pop'!$C$7:$C$143)</f>
        <v>5607</v>
      </c>
      <c r="D2055" s="126" t="s">
        <v>511</v>
      </c>
      <c r="E2055" s="128">
        <v>1.224</v>
      </c>
      <c r="F2055" s="129">
        <f t="shared" si="98"/>
        <v>6.8629679999999997E-3</v>
      </c>
      <c r="G2055" t="str">
        <f>_xlfn.XLOOKUP(D2055,'[1]2050 BAU Mapping to T &amp; C'!$A$3:$A$52,'[1]2050 BAU Mapping to T &amp; C'!$B$3:$B$52)</f>
        <v>Tropical Fruits</v>
      </c>
      <c r="H2055" s="129">
        <f>_xlfn.XLOOKUP(G2055,'[1]T&amp;C emissions for 2050 analysis'!$B$3:$B$23,'[1]T&amp;C emissions for 2050 analysis'!$C$3:$C$23)</f>
        <v>0.51333333333333331</v>
      </c>
      <c r="I2055" s="27">
        <f t="shared" si="96"/>
        <v>3.5229902399999996E-3</v>
      </c>
      <c r="J2055" s="129">
        <f t="shared" si="97"/>
        <v>0.62831999999999999</v>
      </c>
    </row>
    <row r="2056" spans="1:10" hidden="1" x14ac:dyDescent="0.35">
      <c r="A2056" s="126" t="s">
        <v>442</v>
      </c>
      <c r="B2056" t="str">
        <f>_xlfn.XLOOKUP(A2056,'[1]2050Pop'!$A$7:$A$143,'[1]2050Pop'!$D$7:$D$143)</f>
        <v>Euro/AU/NZ</v>
      </c>
      <c r="C2056" s="127">
        <f>1000*_xlfn.XLOOKUP(A2056,'[1]2050Pop'!$A$7:$A$143,'[1]2050Pop'!$C$7:$C$143)</f>
        <v>6658</v>
      </c>
      <c r="D2056" s="126" t="s">
        <v>511</v>
      </c>
      <c r="E2056" s="128">
        <v>1.923</v>
      </c>
      <c r="F2056" s="129">
        <f t="shared" si="98"/>
        <v>1.2803334000000001E-2</v>
      </c>
      <c r="G2056" t="str">
        <f>_xlfn.XLOOKUP(D2056,'[1]2050 BAU Mapping to T &amp; C'!$A$3:$A$52,'[1]2050 BAU Mapping to T &amp; C'!$B$3:$B$52)</f>
        <v>Tropical Fruits</v>
      </c>
      <c r="H2056" s="129">
        <f>_xlfn.XLOOKUP(G2056,'[1]T&amp;C emissions for 2050 analysis'!$B$3:$B$23,'[1]T&amp;C emissions for 2050 analysis'!$C$3:$C$23)</f>
        <v>0.51333333333333331</v>
      </c>
      <c r="I2056" s="27">
        <f t="shared" si="96"/>
        <v>6.5723781200000006E-3</v>
      </c>
      <c r="J2056" s="129">
        <f t="shared" si="97"/>
        <v>0.98714000000000002</v>
      </c>
    </row>
    <row r="2057" spans="1:10" hidden="1" x14ac:dyDescent="0.35">
      <c r="A2057" s="126" t="s">
        <v>446</v>
      </c>
      <c r="B2057" t="str">
        <f>_xlfn.XLOOKUP(A2057,'[1]2050Pop'!$A$7:$A$143,'[1]2050Pop'!$D$7:$D$143)</f>
        <v>LatAm &amp; RSA</v>
      </c>
      <c r="C2057" s="127">
        <f>1000*_xlfn.XLOOKUP(A2057,'[1]2050Pop'!$A$7:$A$143,'[1]2050Pop'!$C$7:$C$143)</f>
        <v>41899</v>
      </c>
      <c r="D2057" s="126" t="s">
        <v>511</v>
      </c>
      <c r="E2057" s="130">
        <v>9.5399999999999991</v>
      </c>
      <c r="F2057" s="129">
        <f t="shared" si="98"/>
        <v>0.39971645999999994</v>
      </c>
      <c r="G2057" t="str">
        <f>_xlfn.XLOOKUP(D2057,'[1]2050 BAU Mapping to T &amp; C'!$A$3:$A$52,'[1]2050 BAU Mapping to T &amp; C'!$B$3:$B$52)</f>
        <v>Tropical Fruits</v>
      </c>
      <c r="H2057" s="129">
        <f>_xlfn.XLOOKUP(G2057,'[1]T&amp;C emissions for 2050 analysis'!$B$3:$B$23,'[1]T&amp;C emissions for 2050 analysis'!$C$3:$C$23)</f>
        <v>0.51333333333333331</v>
      </c>
      <c r="I2057" s="27">
        <f t="shared" si="96"/>
        <v>0.20518778279999997</v>
      </c>
      <c r="J2057" s="129">
        <f t="shared" si="97"/>
        <v>4.8971999999999989</v>
      </c>
    </row>
    <row r="2058" spans="1:10" hidden="1" x14ac:dyDescent="0.35">
      <c r="A2058" s="126" t="s">
        <v>448</v>
      </c>
      <c r="B2058" t="str">
        <f>_xlfn.XLOOKUP(A2058,'[1]2050Pop'!$A$7:$A$143,'[1]2050Pop'!$D$7:$D$143)</f>
        <v>Euro/AU/NZ</v>
      </c>
      <c r="C2058" s="127">
        <f>1000*_xlfn.XLOOKUP(A2058,'[1]2050Pop'!$A$7:$A$143,'[1]2050Pop'!$C$7:$C$143)</f>
        <v>33136</v>
      </c>
      <c r="D2058" s="126" t="s">
        <v>511</v>
      </c>
      <c r="E2058" s="128">
        <v>1.1579999999999999</v>
      </c>
      <c r="F2058" s="129">
        <f t="shared" si="98"/>
        <v>3.8371487999999995E-2</v>
      </c>
      <c r="G2058" t="str">
        <f>_xlfn.XLOOKUP(D2058,'[1]2050 BAU Mapping to T &amp; C'!$A$3:$A$52,'[1]2050 BAU Mapping to T &amp; C'!$B$3:$B$52)</f>
        <v>Tropical Fruits</v>
      </c>
      <c r="H2058" s="129">
        <f>_xlfn.XLOOKUP(G2058,'[1]T&amp;C emissions for 2050 analysis'!$B$3:$B$23,'[1]T&amp;C emissions for 2050 analysis'!$C$3:$C$23)</f>
        <v>0.51333333333333331</v>
      </c>
      <c r="I2058" s="27">
        <f t="shared" si="96"/>
        <v>1.9697363839999996E-2</v>
      </c>
      <c r="J2058" s="129">
        <f t="shared" si="97"/>
        <v>0.59443999999999997</v>
      </c>
    </row>
    <row r="2059" spans="1:10" hidden="1" x14ac:dyDescent="0.35">
      <c r="A2059" s="126" t="s">
        <v>449</v>
      </c>
      <c r="B2059" t="str">
        <f>_xlfn.XLOOKUP(A2059,'[1]2050Pop'!$A$7:$A$143,'[1]2050Pop'!$D$7:$D$143)</f>
        <v>Euro/AU/NZ</v>
      </c>
      <c r="C2059" s="127">
        <f>1000*_xlfn.XLOOKUP(A2059,'[1]2050Pop'!$A$7:$A$143,'[1]2050Pop'!$C$7:$C$143)</f>
        <v>9216</v>
      </c>
      <c r="D2059" s="126" t="s">
        <v>511</v>
      </c>
      <c r="E2059" s="128">
        <v>4.6280000000000001</v>
      </c>
      <c r="F2059" s="129">
        <f t="shared" si="98"/>
        <v>4.2651648E-2</v>
      </c>
      <c r="G2059" t="str">
        <f>_xlfn.XLOOKUP(D2059,'[1]2050 BAU Mapping to T &amp; C'!$A$3:$A$52,'[1]2050 BAU Mapping to T &amp; C'!$B$3:$B$52)</f>
        <v>Tropical Fruits</v>
      </c>
      <c r="H2059" s="129">
        <f>_xlfn.XLOOKUP(G2059,'[1]T&amp;C emissions for 2050 analysis'!$B$3:$B$23,'[1]T&amp;C emissions for 2050 analysis'!$C$3:$C$23)</f>
        <v>0.51333333333333331</v>
      </c>
      <c r="I2059" s="27">
        <f t="shared" si="96"/>
        <v>2.1894512639999999E-2</v>
      </c>
      <c r="J2059" s="129">
        <f t="shared" si="97"/>
        <v>2.3757066666666664</v>
      </c>
    </row>
    <row r="2060" spans="1:10" hidden="1" x14ac:dyDescent="0.35">
      <c r="A2060" s="126" t="s">
        <v>451</v>
      </c>
      <c r="B2060" t="str">
        <f>_xlfn.XLOOKUP(A2060,'[1]2050Pop'!$A$7:$A$143,'[1]2050Pop'!$D$7:$D$143)</f>
        <v>Euro/AU/NZ</v>
      </c>
      <c r="C2060" s="127">
        <f>1000*_xlfn.XLOOKUP(A2060,'[1]2050Pop'!$A$7:$A$143,'[1]2050Pop'!$C$7:$C$143)</f>
        <v>3243</v>
      </c>
      <c r="D2060" s="126" t="s">
        <v>511</v>
      </c>
      <c r="E2060" s="128">
        <v>3.0169999999999999</v>
      </c>
      <c r="F2060" s="129">
        <f t="shared" si="98"/>
        <v>9.7841309999999997E-3</v>
      </c>
      <c r="G2060" t="str">
        <f>_xlfn.XLOOKUP(D2060,'[1]2050 BAU Mapping to T &amp; C'!$A$3:$A$52,'[1]2050 BAU Mapping to T &amp; C'!$B$3:$B$52)</f>
        <v>Tropical Fruits</v>
      </c>
      <c r="H2060" s="129">
        <f>_xlfn.XLOOKUP(G2060,'[1]T&amp;C emissions for 2050 analysis'!$B$3:$B$23,'[1]T&amp;C emissions for 2050 analysis'!$C$3:$C$23)</f>
        <v>0.51333333333333331</v>
      </c>
      <c r="I2060" s="27">
        <f t="shared" si="96"/>
        <v>5.0225205799999994E-3</v>
      </c>
      <c r="J2060" s="129">
        <f t="shared" si="97"/>
        <v>1.5487266666666666</v>
      </c>
    </row>
    <row r="2061" spans="1:10" hidden="1" x14ac:dyDescent="0.35">
      <c r="A2061" s="126" t="s">
        <v>453</v>
      </c>
      <c r="B2061" t="str">
        <f>_xlfn.XLOOKUP(A2061,'[1]2050Pop'!$A$7:$A$143,'[1]2050Pop'!$D$7:$D$143)</f>
        <v>Euro/AU/NZ</v>
      </c>
      <c r="C2061" s="127">
        <f>1000*_xlfn.XLOOKUP(A2061,'[1]2050Pop'!$A$7:$A$143,'[1]2050Pop'!$C$7:$C$143)</f>
        <v>15207</v>
      </c>
      <c r="D2061" s="126" t="s">
        <v>511</v>
      </c>
      <c r="E2061" s="128">
        <v>4.2430000000000003</v>
      </c>
      <c r="F2061" s="129">
        <f t="shared" si="98"/>
        <v>6.4523301000000005E-2</v>
      </c>
      <c r="G2061" t="str">
        <f>_xlfn.XLOOKUP(D2061,'[1]2050 BAU Mapping to T &amp; C'!$A$3:$A$52,'[1]2050 BAU Mapping to T &amp; C'!$B$3:$B$52)</f>
        <v>Tropical Fruits</v>
      </c>
      <c r="H2061" s="129">
        <f>_xlfn.XLOOKUP(G2061,'[1]T&amp;C emissions for 2050 analysis'!$B$3:$B$23,'[1]T&amp;C emissions for 2050 analysis'!$C$3:$C$23)</f>
        <v>0.51333333333333331</v>
      </c>
      <c r="I2061" s="27">
        <f t="shared" si="96"/>
        <v>3.3121961179999999E-2</v>
      </c>
      <c r="J2061" s="129">
        <f t="shared" si="97"/>
        <v>2.1780733333333333</v>
      </c>
    </row>
    <row r="2062" spans="1:10" hidden="1" x14ac:dyDescent="0.35">
      <c r="A2062" s="126" t="s">
        <v>454</v>
      </c>
      <c r="B2062" t="str">
        <f>_xlfn.XLOOKUP(A2062,'[1]2050Pop'!$A$7:$A$143,'[1]2050Pop'!$D$7:$D$143)</f>
        <v>Euro/AU/NZ</v>
      </c>
      <c r="C2062" s="127">
        <f>1000*_xlfn.XLOOKUP(A2062,'[1]2050Pop'!$A$7:$A$143,'[1]2050Pop'!$C$7:$C$143)</f>
        <v>128598.99999999999</v>
      </c>
      <c r="D2062" s="126" t="s">
        <v>511</v>
      </c>
      <c r="E2062" s="128">
        <v>4.0010000000000003</v>
      </c>
      <c r="F2062" s="129">
        <f t="shared" si="98"/>
        <v>0.51452459900000003</v>
      </c>
      <c r="G2062" t="str">
        <f>_xlfn.XLOOKUP(D2062,'[1]2050 BAU Mapping to T &amp; C'!$A$3:$A$52,'[1]2050 BAU Mapping to T &amp; C'!$B$3:$B$52)</f>
        <v>Tropical Fruits</v>
      </c>
      <c r="H2062" s="129">
        <f>_xlfn.XLOOKUP(G2062,'[1]T&amp;C emissions for 2050 analysis'!$B$3:$B$23,'[1]T&amp;C emissions for 2050 analysis'!$C$3:$C$23)</f>
        <v>0.51333333333333331</v>
      </c>
      <c r="I2062" s="27">
        <f t="shared" si="96"/>
        <v>0.26412262748666665</v>
      </c>
      <c r="J2062" s="129">
        <f t="shared" si="97"/>
        <v>2.0538466666666668</v>
      </c>
    </row>
    <row r="2063" spans="1:10" hidden="1" x14ac:dyDescent="0.35">
      <c r="A2063" s="126" t="s">
        <v>456</v>
      </c>
      <c r="B2063" t="str">
        <f>_xlfn.XLOOKUP(A2063,'[1]2050Pop'!$A$7:$A$143,'[1]2050Pop'!$D$7:$D$143)</f>
        <v>MENA</v>
      </c>
      <c r="C2063" s="127">
        <f>1000*_xlfn.XLOOKUP(A2063,'[1]2050Pop'!$A$7:$A$143,'[1]2050Pop'!$C$7:$C$143)</f>
        <v>46059</v>
      </c>
      <c r="D2063" s="126" t="s">
        <v>511</v>
      </c>
      <c r="E2063" s="128">
        <v>2.5419999999999998</v>
      </c>
      <c r="F2063" s="129">
        <f t="shared" si="98"/>
        <v>0.11708197799999999</v>
      </c>
      <c r="G2063" t="str">
        <f>_xlfn.XLOOKUP(D2063,'[1]2050 BAU Mapping to T &amp; C'!$A$3:$A$52,'[1]2050 BAU Mapping to T &amp; C'!$B$3:$B$52)</f>
        <v>Tropical Fruits</v>
      </c>
      <c r="H2063" s="129">
        <f>_xlfn.XLOOKUP(G2063,'[1]T&amp;C emissions for 2050 analysis'!$B$3:$B$23,'[1]T&amp;C emissions for 2050 analysis'!$C$3:$C$23)</f>
        <v>0.51333333333333331</v>
      </c>
      <c r="I2063" s="27">
        <f t="shared" si="96"/>
        <v>6.0102082039999991E-2</v>
      </c>
      <c r="J2063" s="129">
        <f t="shared" si="97"/>
        <v>1.3048933333333332</v>
      </c>
    </row>
    <row r="2064" spans="1:10" hidden="1" x14ac:dyDescent="0.35">
      <c r="A2064" s="126" t="s">
        <v>459</v>
      </c>
      <c r="B2064" t="str">
        <f>_xlfn.XLOOKUP(A2064,'[1]2050Pop'!$A$7:$A$143,'[1]2050Pop'!$D$7:$D$143)</f>
        <v>Euro/AU/NZ</v>
      </c>
      <c r="C2064" s="127">
        <f>1000*_xlfn.XLOOKUP(A2064,'[1]2050Pop'!$A$7:$A$143,'[1]2050Pop'!$C$7:$C$143)</f>
        <v>4892</v>
      </c>
      <c r="D2064" s="126" t="s">
        <v>511</v>
      </c>
      <c r="E2064" s="130">
        <v>1.31</v>
      </c>
      <c r="F2064" s="129">
        <f t="shared" si="98"/>
        <v>6.40852E-3</v>
      </c>
      <c r="G2064" t="str">
        <f>_xlfn.XLOOKUP(D2064,'[1]2050 BAU Mapping to T &amp; C'!$A$3:$A$52,'[1]2050 BAU Mapping to T &amp; C'!$B$3:$B$52)</f>
        <v>Tropical Fruits</v>
      </c>
      <c r="H2064" s="129">
        <f>_xlfn.XLOOKUP(G2064,'[1]T&amp;C emissions for 2050 analysis'!$B$3:$B$23,'[1]T&amp;C emissions for 2050 analysis'!$C$3:$C$23)</f>
        <v>0.51333333333333331</v>
      </c>
      <c r="I2064" s="27">
        <f t="shared" si="96"/>
        <v>3.2897069333333332E-3</v>
      </c>
      <c r="J2064" s="129">
        <f t="shared" si="97"/>
        <v>0.67246666666666666</v>
      </c>
    </row>
    <row r="2065" spans="1:10" hidden="1" x14ac:dyDescent="0.35">
      <c r="A2065" s="126" t="s">
        <v>461</v>
      </c>
      <c r="B2065" t="str">
        <f>_xlfn.XLOOKUP(A2065,'[1]2050Pop'!$A$7:$A$143,'[1]2050Pop'!$D$7:$D$143)</f>
        <v>Euro/AU/NZ</v>
      </c>
      <c r="C2065" s="127">
        <f>1000*_xlfn.XLOOKUP(A2065,'[1]2050Pop'!$A$7:$A$143,'[1]2050Pop'!$C$7:$C$143)</f>
        <v>44840</v>
      </c>
      <c r="D2065" s="126" t="s">
        <v>511</v>
      </c>
      <c r="E2065" s="128">
        <v>9.2530000000000001</v>
      </c>
      <c r="F2065" s="129">
        <f t="shared" si="98"/>
        <v>0.41490452</v>
      </c>
      <c r="G2065" t="str">
        <f>_xlfn.XLOOKUP(D2065,'[1]2050 BAU Mapping to T &amp; C'!$A$3:$A$52,'[1]2050 BAU Mapping to T &amp; C'!$B$3:$B$52)</f>
        <v>Tropical Fruits</v>
      </c>
      <c r="H2065" s="129">
        <f>_xlfn.XLOOKUP(G2065,'[1]T&amp;C emissions for 2050 analysis'!$B$3:$B$23,'[1]T&amp;C emissions for 2050 analysis'!$C$3:$C$23)</f>
        <v>0.51333333333333331</v>
      </c>
      <c r="I2065" s="27">
        <f t="shared" si="96"/>
        <v>0.21298432026666667</v>
      </c>
      <c r="J2065" s="129">
        <f t="shared" si="97"/>
        <v>4.7498733333333334</v>
      </c>
    </row>
    <row r="2066" spans="1:10" hidden="1" x14ac:dyDescent="0.35">
      <c r="A2066" s="126" t="s">
        <v>464</v>
      </c>
      <c r="B2066" t="str">
        <f>_xlfn.XLOOKUP(A2066,'[1]2050Pop'!$A$7:$A$143,'[1]2050Pop'!$D$7:$D$143)</f>
        <v>Euro/AU/NZ</v>
      </c>
      <c r="C2066" s="127">
        <f>1000*_xlfn.XLOOKUP(A2066,'[1]2050Pop'!$A$7:$A$143,'[1]2050Pop'!$C$7:$C$143)</f>
        <v>11881</v>
      </c>
      <c r="D2066" s="126" t="s">
        <v>511</v>
      </c>
      <c r="E2066" s="128">
        <v>3.7280000000000002</v>
      </c>
      <c r="F2066" s="129">
        <f t="shared" si="98"/>
        <v>4.4292368000000006E-2</v>
      </c>
      <c r="G2066" t="str">
        <f>_xlfn.XLOOKUP(D2066,'[1]2050 BAU Mapping to T &amp; C'!$A$3:$A$52,'[1]2050 BAU Mapping to T &amp; C'!$B$3:$B$52)</f>
        <v>Tropical Fruits</v>
      </c>
      <c r="H2066" s="129">
        <f>_xlfn.XLOOKUP(G2066,'[1]T&amp;C emissions for 2050 analysis'!$B$3:$B$23,'[1]T&amp;C emissions for 2050 analysis'!$C$3:$C$23)</f>
        <v>0.51333333333333331</v>
      </c>
      <c r="I2066" s="27">
        <f t="shared" si="96"/>
        <v>2.273674890666667E-2</v>
      </c>
      <c r="J2066" s="129">
        <f t="shared" si="97"/>
        <v>1.9137066666666667</v>
      </c>
    </row>
    <row r="2067" spans="1:10" hidden="1" x14ac:dyDescent="0.35">
      <c r="A2067" s="126" t="s">
        <v>468</v>
      </c>
      <c r="B2067" t="str">
        <f>_xlfn.XLOOKUP(A2067,'[1]2050Pop'!$A$7:$A$143,'[1]2050Pop'!$D$7:$D$143)</f>
        <v>MENA</v>
      </c>
      <c r="C2067" s="127">
        <f>1000*_xlfn.XLOOKUP(A2067,'[1]2050Pop'!$A$7:$A$143,'[1]2050Pop'!$C$7:$C$143)</f>
        <v>13476</v>
      </c>
      <c r="D2067" s="126" t="s">
        <v>511</v>
      </c>
      <c r="E2067" s="130">
        <v>7.39</v>
      </c>
      <c r="F2067" s="129">
        <f t="shared" si="98"/>
        <v>9.9587640000000005E-2</v>
      </c>
      <c r="G2067" t="str">
        <f>_xlfn.XLOOKUP(D2067,'[1]2050 BAU Mapping to T &amp; C'!$A$3:$A$52,'[1]2050 BAU Mapping to T &amp; C'!$B$3:$B$52)</f>
        <v>Tropical Fruits</v>
      </c>
      <c r="H2067" s="129">
        <f>_xlfn.XLOOKUP(G2067,'[1]T&amp;C emissions for 2050 analysis'!$B$3:$B$23,'[1]T&amp;C emissions for 2050 analysis'!$C$3:$C$23)</f>
        <v>0.51333333333333331</v>
      </c>
      <c r="I2067" s="27">
        <f t="shared" si="96"/>
        <v>5.1121655199999998E-2</v>
      </c>
      <c r="J2067" s="129">
        <f t="shared" si="97"/>
        <v>3.793533333333333</v>
      </c>
    </row>
    <row r="2068" spans="1:10" hidden="1" x14ac:dyDescent="0.35">
      <c r="A2068" s="126" t="s">
        <v>469</v>
      </c>
      <c r="B2068" t="str">
        <f>_xlfn.XLOOKUP(A2068,'[1]2050Pop'!$A$7:$A$143,'[1]2050Pop'!$D$7:$D$143)</f>
        <v>MENA</v>
      </c>
      <c r="C2068" s="127">
        <f>1000*_xlfn.XLOOKUP(A2068,'[1]2050Pop'!$A$7:$A$143,'[1]2050Pop'!$C$7:$C$143)</f>
        <v>95819</v>
      </c>
      <c r="D2068" s="126" t="s">
        <v>511</v>
      </c>
      <c r="E2068" s="128">
        <v>42.536000000000001</v>
      </c>
      <c r="F2068" s="129">
        <f t="shared" si="98"/>
        <v>4.0757569839999999</v>
      </c>
      <c r="G2068" t="str">
        <f>_xlfn.XLOOKUP(D2068,'[1]2050 BAU Mapping to T &amp; C'!$A$3:$A$52,'[1]2050 BAU Mapping to T &amp; C'!$B$3:$B$52)</f>
        <v>Tropical Fruits</v>
      </c>
      <c r="H2068" s="129">
        <f>_xlfn.XLOOKUP(G2068,'[1]T&amp;C emissions for 2050 analysis'!$B$3:$B$23,'[1]T&amp;C emissions for 2050 analysis'!$C$3:$C$23)</f>
        <v>0.51333333333333331</v>
      </c>
      <c r="I2068" s="27">
        <f t="shared" si="96"/>
        <v>2.0922219184533333</v>
      </c>
      <c r="J2068" s="129">
        <f t="shared" si="97"/>
        <v>21.835146666666667</v>
      </c>
    </row>
    <row r="2069" spans="1:10" hidden="1" x14ac:dyDescent="0.35">
      <c r="A2069" s="126" t="s">
        <v>471</v>
      </c>
      <c r="B2069" t="str">
        <f>_xlfn.XLOOKUP(A2069,'[1]2050Pop'!$A$7:$A$143,'[1]2050Pop'!$D$7:$D$143)</f>
        <v>Euro/AU/NZ</v>
      </c>
      <c r="C2069" s="127">
        <f>1000*_xlfn.XLOOKUP(A2069,'[1]2050Pop'!$A$7:$A$143,'[1]2050Pop'!$C$7:$C$143)</f>
        <v>35117</v>
      </c>
      <c r="D2069" s="126" t="s">
        <v>511</v>
      </c>
      <c r="E2069" s="128">
        <v>1.3839999999999999</v>
      </c>
      <c r="F2069" s="129">
        <f t="shared" si="98"/>
        <v>4.8601928000000003E-2</v>
      </c>
      <c r="G2069" t="str">
        <f>_xlfn.XLOOKUP(D2069,'[1]2050 BAU Mapping to T &amp; C'!$A$3:$A$52,'[1]2050 BAU Mapping to T &amp; C'!$B$3:$B$52)</f>
        <v>Tropical Fruits</v>
      </c>
      <c r="H2069" s="129">
        <f>_xlfn.XLOOKUP(G2069,'[1]T&amp;C emissions for 2050 analysis'!$B$3:$B$23,'[1]T&amp;C emissions for 2050 analysis'!$C$3:$C$23)</f>
        <v>0.51333333333333331</v>
      </c>
      <c r="I2069" s="27">
        <f t="shared" si="96"/>
        <v>2.4948989706666667E-2</v>
      </c>
      <c r="J2069" s="129">
        <f t="shared" si="97"/>
        <v>0.71045333333333327</v>
      </c>
    </row>
    <row r="2070" spans="1:10" hidden="1" x14ac:dyDescent="0.35">
      <c r="A2070" s="126" t="s">
        <v>472</v>
      </c>
      <c r="B2070" t="str">
        <f>_xlfn.XLOOKUP(A2070,'[1]2050Pop'!$A$7:$A$143,'[1]2050Pop'!$D$7:$D$143)</f>
        <v>Euro/AU/NZ</v>
      </c>
      <c r="C2070" s="127">
        <f>1000*_xlfn.XLOOKUP(A2070,'[1]2050Pop'!$A$7:$A$143,'[1]2050Pop'!$C$7:$C$143)</f>
        <v>75361</v>
      </c>
      <c r="D2070" s="126" t="s">
        <v>511</v>
      </c>
      <c r="E2070" s="128">
        <v>2.3370000000000002</v>
      </c>
      <c r="F2070" s="129">
        <f t="shared" si="98"/>
        <v>0.17611865700000001</v>
      </c>
      <c r="G2070" t="str">
        <f>_xlfn.XLOOKUP(D2070,'[1]2050 BAU Mapping to T &amp; C'!$A$3:$A$52,'[1]2050 BAU Mapping to T &amp; C'!$B$3:$B$52)</f>
        <v>Tropical Fruits</v>
      </c>
      <c r="H2070" s="129">
        <f>_xlfn.XLOOKUP(G2070,'[1]T&amp;C emissions for 2050 analysis'!$B$3:$B$23,'[1]T&amp;C emissions for 2050 analysis'!$C$3:$C$23)</f>
        <v>0.51333333333333331</v>
      </c>
      <c r="I2070" s="27">
        <f t="shared" si="96"/>
        <v>9.0407577259999997E-2</v>
      </c>
      <c r="J2070" s="129">
        <f t="shared" si="97"/>
        <v>1.1996599999999999</v>
      </c>
    </row>
    <row r="2071" spans="1:10" hidden="1" x14ac:dyDescent="0.35">
      <c r="A2071" s="126" t="s">
        <v>474</v>
      </c>
      <c r="B2071" t="str">
        <f>_xlfn.XLOOKUP(A2071,'[1]2050Pop'!$A$7:$A$143,'[1]2050Pop'!$D$7:$D$143)</f>
        <v>NAm</v>
      </c>
      <c r="C2071" s="127">
        <f>1000*_xlfn.XLOOKUP(A2071,'[1]2050Pop'!$A$7:$A$143,'[1]2050Pop'!$C$7:$C$143)</f>
        <v>388865</v>
      </c>
      <c r="D2071" s="126" t="s">
        <v>511</v>
      </c>
      <c r="E2071" s="128">
        <v>2.3370000000000002</v>
      </c>
      <c r="F2071" s="129">
        <f t="shared" si="98"/>
        <v>0.9087775050000001</v>
      </c>
      <c r="G2071" t="str">
        <f>_xlfn.XLOOKUP(D2071,'[1]2050 BAU Mapping to T &amp; C'!$A$3:$A$52,'[1]2050 BAU Mapping to T &amp; C'!$B$3:$B$52)</f>
        <v>Tropical Fruits</v>
      </c>
      <c r="H2071" s="129">
        <f>_xlfn.XLOOKUP(G2071,'[1]T&amp;C emissions for 2050 analysis'!$B$3:$B$23,'[1]T&amp;C emissions for 2050 analysis'!$C$3:$C$23)</f>
        <v>0.51333333333333331</v>
      </c>
      <c r="I2071" s="27">
        <f t="shared" si="96"/>
        <v>0.46650578590000003</v>
      </c>
      <c r="J2071" s="129">
        <f t="shared" si="97"/>
        <v>1.1996599999999999</v>
      </c>
    </row>
    <row r="2072" spans="1:10" hidden="1" x14ac:dyDescent="0.35">
      <c r="A2072" s="126" t="s">
        <v>475</v>
      </c>
      <c r="B2072" t="str">
        <f>_xlfn.XLOOKUP(A2072,'[1]2050Pop'!$A$7:$A$143,'[1]2050Pop'!$D$7:$D$143)</f>
        <v>LatAm &amp; RSA</v>
      </c>
      <c r="C2072" s="127">
        <f>1000*_xlfn.XLOOKUP(A2072,'[1]2050Pop'!$A$7:$A$143,'[1]2050Pop'!$C$7:$C$143)</f>
        <v>3667</v>
      </c>
      <c r="D2072" s="126" t="s">
        <v>511</v>
      </c>
      <c r="E2072" s="128">
        <v>17.481000000000002</v>
      </c>
      <c r="F2072" s="129">
        <f t="shared" si="98"/>
        <v>6.4102827000000001E-2</v>
      </c>
      <c r="G2072" t="str">
        <f>_xlfn.XLOOKUP(D2072,'[1]2050 BAU Mapping to T &amp; C'!$A$3:$A$52,'[1]2050 BAU Mapping to T &amp; C'!$B$3:$B$52)</f>
        <v>Tropical Fruits</v>
      </c>
      <c r="H2072" s="129">
        <f>_xlfn.XLOOKUP(G2072,'[1]T&amp;C emissions for 2050 analysis'!$B$3:$B$23,'[1]T&amp;C emissions for 2050 analysis'!$C$3:$C$23)</f>
        <v>0.51333333333333331</v>
      </c>
      <c r="I2072" s="27">
        <f t="shared" si="96"/>
        <v>3.290611786E-2</v>
      </c>
      <c r="J2072" s="129">
        <f t="shared" si="97"/>
        <v>8.9735800000000001</v>
      </c>
    </row>
    <row r="2073" spans="1:10" hidden="1" x14ac:dyDescent="0.35">
      <c r="A2073" s="126" t="s">
        <v>476</v>
      </c>
      <c r="B2073" t="str">
        <f>_xlfn.XLOOKUP(A2073,'[1]2050Pop'!$A$7:$A$143,'[1]2050Pop'!$D$7:$D$143)</f>
        <v>LatAm &amp; RSA</v>
      </c>
      <c r="C2073" s="127">
        <f>1000*_xlfn.XLOOKUP(A2073,'[1]2050Pop'!$A$7:$A$143,'[1]2050Pop'!$C$7:$C$143)</f>
        <v>41562</v>
      </c>
      <c r="D2073" s="126" t="s">
        <v>511</v>
      </c>
      <c r="E2073" s="128">
        <v>1.3440000000000001</v>
      </c>
      <c r="F2073" s="129">
        <f t="shared" si="98"/>
        <v>5.5859328E-2</v>
      </c>
      <c r="G2073" t="str">
        <f>_xlfn.XLOOKUP(D2073,'[1]2050 BAU Mapping to T &amp; C'!$A$3:$A$52,'[1]2050 BAU Mapping to T &amp; C'!$B$3:$B$52)</f>
        <v>Tropical Fruits</v>
      </c>
      <c r="H2073" s="129">
        <f>_xlfn.XLOOKUP(G2073,'[1]T&amp;C emissions for 2050 analysis'!$B$3:$B$23,'[1]T&amp;C emissions for 2050 analysis'!$C$3:$C$23)</f>
        <v>0.51333333333333331</v>
      </c>
      <c r="I2073" s="27">
        <f t="shared" si="96"/>
        <v>2.8674455039999998E-2</v>
      </c>
      <c r="J2073" s="129">
        <f t="shared" si="97"/>
        <v>0.68991999999999998</v>
      </c>
    </row>
    <row r="2074" spans="1:10" hidden="1" x14ac:dyDescent="0.35">
      <c r="A2074" s="126" t="s">
        <v>357</v>
      </c>
      <c r="B2074" t="str">
        <f>_xlfn.XLOOKUP(A2074,'[1]2050Pop'!$A$7:$A$143,'[1]2050Pop'!$D$7:$D$143)</f>
        <v>Euro/AU/NZ</v>
      </c>
      <c r="C2074" s="127">
        <f>1000*_xlfn.XLOOKUP(A2074,'[1]2050Pop'!$A$7:$A$143,'[1]2050Pop'!$C$7:$C$143)</f>
        <v>2710</v>
      </c>
      <c r="D2074" s="126" t="s">
        <v>512</v>
      </c>
      <c r="E2074" s="128">
        <v>5.4329999999999998</v>
      </c>
      <c r="F2074" s="129">
        <f t="shared" si="98"/>
        <v>1.4723430000000001E-2</v>
      </c>
      <c r="G2074" t="str">
        <f>_xlfn.XLOOKUP(D2074,'[1]2050 BAU Mapping to T &amp; C'!$A$3:$A$52,'[1]2050 BAU Mapping to T &amp; C'!$B$3:$B$52)</f>
        <v xml:space="preserve">Other cereals </v>
      </c>
      <c r="H2074" s="129">
        <f>_xlfn.XLOOKUP(G2074,'[1]T&amp;C emissions for 2050 analysis'!$B$3:$B$23,'[1]T&amp;C emissions for 2050 analysis'!$C$3:$C$23)</f>
        <v>0.18333333333333335</v>
      </c>
      <c r="I2074" s="27">
        <f t="shared" si="96"/>
        <v>2.6992955000000006E-3</v>
      </c>
      <c r="J2074" s="129">
        <f t="shared" si="97"/>
        <v>0.9960500000000001</v>
      </c>
    </row>
    <row r="2075" spans="1:10" hidden="1" x14ac:dyDescent="0.35">
      <c r="A2075" s="126" t="s">
        <v>360</v>
      </c>
      <c r="B2075" t="str">
        <f>_xlfn.XLOOKUP(A2075,'[1]2050Pop'!$A$7:$A$143,'[1]2050Pop'!$D$7:$D$143)</f>
        <v>LatAm &amp; RSA</v>
      </c>
      <c r="C2075" s="127">
        <f>1000*_xlfn.XLOOKUP(A2075,'[1]2050Pop'!$A$7:$A$143,'[1]2050Pop'!$C$7:$C$143)</f>
        <v>55445</v>
      </c>
      <c r="D2075" s="126" t="s">
        <v>512</v>
      </c>
      <c r="E2075" s="128">
        <v>7.3760000000000003</v>
      </c>
      <c r="F2075" s="129">
        <f t="shared" si="98"/>
        <v>0.40896231999999999</v>
      </c>
      <c r="G2075" t="str">
        <f>_xlfn.XLOOKUP(D2075,'[1]2050 BAU Mapping to T &amp; C'!$A$3:$A$52,'[1]2050 BAU Mapping to T &amp; C'!$B$3:$B$52)</f>
        <v xml:space="preserve">Other cereals </v>
      </c>
      <c r="H2075" s="129">
        <f>_xlfn.XLOOKUP(G2075,'[1]T&amp;C emissions for 2050 analysis'!$B$3:$B$23,'[1]T&amp;C emissions for 2050 analysis'!$C$3:$C$23)</f>
        <v>0.18333333333333335</v>
      </c>
      <c r="I2075" s="27">
        <f t="shared" si="96"/>
        <v>7.4976425333333332E-2</v>
      </c>
      <c r="J2075" s="129">
        <f t="shared" si="97"/>
        <v>1.3522666666666667</v>
      </c>
    </row>
    <row r="2076" spans="1:10" hidden="1" x14ac:dyDescent="0.35">
      <c r="A2076" s="126" t="s">
        <v>361</v>
      </c>
      <c r="B2076" t="str">
        <f>_xlfn.XLOOKUP(A2076,'[1]2050Pop'!$A$7:$A$143,'[1]2050Pop'!$D$7:$D$143)</f>
        <v>MENA</v>
      </c>
      <c r="C2076" s="127">
        <f>1000*_xlfn.XLOOKUP(A2076,'[1]2050Pop'!$A$7:$A$143,'[1]2050Pop'!$C$7:$C$143)</f>
        <v>2729</v>
      </c>
      <c r="D2076" s="126" t="s">
        <v>512</v>
      </c>
      <c r="E2076" s="130">
        <v>29.99</v>
      </c>
      <c r="F2076" s="129">
        <f t="shared" si="98"/>
        <v>8.1842709999999985E-2</v>
      </c>
      <c r="G2076" t="str">
        <f>_xlfn.XLOOKUP(D2076,'[1]2050 BAU Mapping to T &amp; C'!$A$3:$A$52,'[1]2050 BAU Mapping to T &amp; C'!$B$3:$B$52)</f>
        <v xml:space="preserve">Other cereals </v>
      </c>
      <c r="H2076" s="129">
        <f>_xlfn.XLOOKUP(G2076,'[1]T&amp;C emissions for 2050 analysis'!$B$3:$B$23,'[1]T&amp;C emissions for 2050 analysis'!$C$3:$C$23)</f>
        <v>0.18333333333333335</v>
      </c>
      <c r="I2076" s="27">
        <f t="shared" si="96"/>
        <v>1.5004496833333332E-2</v>
      </c>
      <c r="J2076" s="129">
        <f t="shared" si="97"/>
        <v>5.4981666666666671</v>
      </c>
    </row>
    <row r="2077" spans="1:10" hidden="1" x14ac:dyDescent="0.35">
      <c r="A2077" s="126" t="s">
        <v>362</v>
      </c>
      <c r="B2077" t="str">
        <f>_xlfn.XLOOKUP(A2077,'[1]2050Pop'!$A$7:$A$143,'[1]2050Pop'!$D$7:$D$143)</f>
        <v>Euro/AU/NZ</v>
      </c>
      <c r="C2077" s="127">
        <f>1000*_xlfn.XLOOKUP(A2077,'[1]2050Pop'!$A$7:$A$143,'[1]2050Pop'!$C$7:$C$143)</f>
        <v>33496</v>
      </c>
      <c r="D2077" s="126" t="s">
        <v>512</v>
      </c>
      <c r="E2077" s="128">
        <v>12.382</v>
      </c>
      <c r="F2077" s="129">
        <f t="shared" si="98"/>
        <v>0.41474747200000001</v>
      </c>
      <c r="G2077" t="str">
        <f>_xlfn.XLOOKUP(D2077,'[1]2050 BAU Mapping to T &amp; C'!$A$3:$A$52,'[1]2050 BAU Mapping to T &amp; C'!$B$3:$B$52)</f>
        <v xml:space="preserve">Other cereals </v>
      </c>
      <c r="H2077" s="129">
        <f>_xlfn.XLOOKUP(G2077,'[1]T&amp;C emissions for 2050 analysis'!$B$3:$B$23,'[1]T&amp;C emissions for 2050 analysis'!$C$3:$C$23)</f>
        <v>0.18333333333333335</v>
      </c>
      <c r="I2077" s="27">
        <f t="shared" si="96"/>
        <v>7.6037036533333338E-2</v>
      </c>
      <c r="J2077" s="129">
        <f t="shared" si="97"/>
        <v>2.2700333333333336</v>
      </c>
    </row>
    <row r="2078" spans="1:10" hidden="1" x14ac:dyDescent="0.35">
      <c r="A2078" s="126" t="s">
        <v>363</v>
      </c>
      <c r="B2078" t="str">
        <f>_xlfn.XLOOKUP(A2078,'[1]2050Pop'!$A$7:$A$143,'[1]2050Pop'!$D$7:$D$143)</f>
        <v>Euro/AU/NZ</v>
      </c>
      <c r="C2078" s="127">
        <f>1000*_xlfn.XLOOKUP(A2078,'[1]2050Pop'!$A$7:$A$143,'[1]2050Pop'!$C$7:$C$143)</f>
        <v>8846</v>
      </c>
      <c r="D2078" s="126" t="s">
        <v>512</v>
      </c>
      <c r="E2078" s="130">
        <v>106.63</v>
      </c>
      <c r="F2078" s="129">
        <f t="shared" si="98"/>
        <v>0.94324898000000001</v>
      </c>
      <c r="G2078" t="str">
        <f>_xlfn.XLOOKUP(D2078,'[1]2050 BAU Mapping to T &amp; C'!$A$3:$A$52,'[1]2050 BAU Mapping to T &amp; C'!$B$3:$B$52)</f>
        <v xml:space="preserve">Other cereals </v>
      </c>
      <c r="H2078" s="129">
        <f>_xlfn.XLOOKUP(G2078,'[1]T&amp;C emissions for 2050 analysis'!$B$3:$B$23,'[1]T&amp;C emissions for 2050 analysis'!$C$3:$C$23)</f>
        <v>0.18333333333333335</v>
      </c>
      <c r="I2078" s="27">
        <f t="shared" si="96"/>
        <v>0.17292897966666668</v>
      </c>
      <c r="J2078" s="129">
        <f t="shared" si="97"/>
        <v>19.548833333333334</v>
      </c>
    </row>
    <row r="2079" spans="1:10" hidden="1" x14ac:dyDescent="0.35">
      <c r="A2079" s="126" t="s">
        <v>364</v>
      </c>
      <c r="B2079" t="str">
        <f>_xlfn.XLOOKUP(A2079,'[1]2050Pop'!$A$7:$A$143,'[1]2050Pop'!$D$7:$D$143)</f>
        <v>MENA</v>
      </c>
      <c r="C2079" s="127">
        <f>1000*_xlfn.XLOOKUP(A2079,'[1]2050Pop'!$A$7:$A$143,'[1]2050Pop'!$C$7:$C$143)</f>
        <v>10963</v>
      </c>
      <c r="D2079" s="126" t="s">
        <v>512</v>
      </c>
      <c r="E2079" s="128">
        <v>12.071999999999999</v>
      </c>
      <c r="F2079" s="129">
        <f t="shared" si="98"/>
        <v>0.13234533599999998</v>
      </c>
      <c r="G2079" t="str">
        <f>_xlfn.XLOOKUP(D2079,'[1]2050 BAU Mapping to T &amp; C'!$A$3:$A$52,'[1]2050 BAU Mapping to T &amp; C'!$B$3:$B$52)</f>
        <v xml:space="preserve">Other cereals </v>
      </c>
      <c r="H2079" s="129">
        <f>_xlfn.XLOOKUP(G2079,'[1]T&amp;C emissions for 2050 analysis'!$B$3:$B$23,'[1]T&amp;C emissions for 2050 analysis'!$C$3:$C$23)</f>
        <v>0.18333333333333335</v>
      </c>
      <c r="I2079" s="27">
        <f t="shared" si="96"/>
        <v>2.4263311599999997E-2</v>
      </c>
      <c r="J2079" s="129">
        <f t="shared" si="97"/>
        <v>2.2132000000000001</v>
      </c>
    </row>
    <row r="2080" spans="1:10" hidden="1" x14ac:dyDescent="0.35">
      <c r="A2080" s="126" t="s">
        <v>366</v>
      </c>
      <c r="B2080" t="str">
        <f>_xlfn.XLOOKUP(A2080,'[1]2050Pop'!$A$7:$A$143,'[1]2050Pop'!$D$7:$D$143)</f>
        <v>Euro/AU/NZ</v>
      </c>
      <c r="C2080" s="127">
        <f>1000*_xlfn.XLOOKUP(A2080,'[1]2050Pop'!$A$7:$A$143,'[1]2050Pop'!$C$7:$C$143)</f>
        <v>8125</v>
      </c>
      <c r="D2080" s="126" t="s">
        <v>512</v>
      </c>
      <c r="E2080" s="128">
        <v>309.57799999999997</v>
      </c>
      <c r="F2080" s="129">
        <f t="shared" si="98"/>
        <v>2.51532125</v>
      </c>
      <c r="G2080" t="str">
        <f>_xlfn.XLOOKUP(D2080,'[1]2050 BAU Mapping to T &amp; C'!$A$3:$A$52,'[1]2050 BAU Mapping to T &amp; C'!$B$3:$B$52)</f>
        <v xml:space="preserve">Other cereals </v>
      </c>
      <c r="H2080" s="129">
        <f>_xlfn.XLOOKUP(G2080,'[1]T&amp;C emissions for 2050 analysis'!$B$3:$B$23,'[1]T&amp;C emissions for 2050 analysis'!$C$3:$C$23)</f>
        <v>0.18333333333333335</v>
      </c>
      <c r="I2080" s="27">
        <f t="shared" si="96"/>
        <v>0.4611422291666667</v>
      </c>
      <c r="J2080" s="129">
        <f t="shared" si="97"/>
        <v>56.755966666666666</v>
      </c>
    </row>
    <row r="2081" spans="1:10" hidden="1" x14ac:dyDescent="0.35">
      <c r="A2081" s="126" t="s">
        <v>367</v>
      </c>
      <c r="B2081" t="str">
        <f>_xlfn.XLOOKUP(A2081,'[1]2050Pop'!$A$7:$A$143,'[1]2050Pop'!$D$7:$D$143)</f>
        <v>Euro/AU/NZ</v>
      </c>
      <c r="C2081" s="127">
        <f>1000*_xlfn.XLOOKUP(A2081,'[1]2050Pop'!$A$7:$A$143,'[1]2050Pop'!$C$7:$C$143)</f>
        <v>12527</v>
      </c>
      <c r="D2081" s="126" t="s">
        <v>512</v>
      </c>
      <c r="E2081" s="128">
        <v>7.4530000000000003</v>
      </c>
      <c r="F2081" s="129">
        <f t="shared" si="98"/>
        <v>9.3363731000000005E-2</v>
      </c>
      <c r="G2081" t="str">
        <f>_xlfn.XLOOKUP(D2081,'[1]2050 BAU Mapping to T &amp; C'!$A$3:$A$52,'[1]2050 BAU Mapping to T &amp; C'!$B$3:$B$52)</f>
        <v xml:space="preserve">Other cereals </v>
      </c>
      <c r="H2081" s="129">
        <f>_xlfn.XLOOKUP(G2081,'[1]T&amp;C emissions for 2050 analysis'!$B$3:$B$23,'[1]T&amp;C emissions for 2050 analysis'!$C$3:$C$23)</f>
        <v>0.18333333333333335</v>
      </c>
      <c r="I2081" s="27">
        <f t="shared" si="96"/>
        <v>1.7116684016666668E-2</v>
      </c>
      <c r="J2081" s="129">
        <f t="shared" si="97"/>
        <v>1.3663833333333335</v>
      </c>
    </row>
    <row r="2082" spans="1:10" hidden="1" x14ac:dyDescent="0.35">
      <c r="A2082" s="126" t="s">
        <v>368</v>
      </c>
      <c r="B2082" t="str">
        <f>_xlfn.XLOOKUP(A2082,'[1]2050Pop'!$A$7:$A$143,'[1]2050Pop'!$D$7:$D$143)</f>
        <v>SSA</v>
      </c>
      <c r="C2082" s="127">
        <f>1000*_xlfn.XLOOKUP(A2082,'[1]2050Pop'!$A$7:$A$143,'[1]2050Pop'!$C$7:$C$143)</f>
        <v>22549</v>
      </c>
      <c r="D2082" s="126" t="s">
        <v>512</v>
      </c>
      <c r="E2082" s="130">
        <v>1.66</v>
      </c>
      <c r="F2082" s="129">
        <f t="shared" si="98"/>
        <v>3.7431339999999994E-2</v>
      </c>
      <c r="G2082" t="str">
        <f>_xlfn.XLOOKUP(D2082,'[1]2050 BAU Mapping to T &amp; C'!$A$3:$A$52,'[1]2050 BAU Mapping to T &amp; C'!$B$3:$B$52)</f>
        <v xml:space="preserve">Other cereals </v>
      </c>
      <c r="H2082" s="129">
        <f>_xlfn.XLOOKUP(G2082,'[1]T&amp;C emissions for 2050 analysis'!$B$3:$B$23,'[1]T&amp;C emissions for 2050 analysis'!$C$3:$C$23)</f>
        <v>0.18333333333333335</v>
      </c>
      <c r="I2082" s="27">
        <f t="shared" si="96"/>
        <v>6.8624123333333323E-3</v>
      </c>
      <c r="J2082" s="129">
        <f t="shared" si="97"/>
        <v>0.30433333333333334</v>
      </c>
    </row>
    <row r="2083" spans="1:10" hidden="1" x14ac:dyDescent="0.35">
      <c r="A2083" s="126" t="s">
        <v>369</v>
      </c>
      <c r="B2083" t="str">
        <f>_xlfn.XLOOKUP(A2083,'[1]2050Pop'!$A$7:$A$143,'[1]2050Pop'!$D$7:$D$143)</f>
        <v>LatAm &amp; RSA</v>
      </c>
      <c r="C2083" s="127">
        <f>1000*_xlfn.XLOOKUP(A2083,'[1]2050Pop'!$A$7:$A$143,'[1]2050Pop'!$C$7:$C$143)</f>
        <v>15963</v>
      </c>
      <c r="D2083" s="126" t="s">
        <v>512</v>
      </c>
      <c r="E2083" s="128">
        <v>22.288</v>
      </c>
      <c r="F2083" s="129">
        <f t="shared" si="98"/>
        <v>0.355783344</v>
      </c>
      <c r="G2083" t="str">
        <f>_xlfn.XLOOKUP(D2083,'[1]2050 BAU Mapping to T &amp; C'!$A$3:$A$52,'[1]2050 BAU Mapping to T &amp; C'!$B$3:$B$52)</f>
        <v xml:space="preserve">Other cereals </v>
      </c>
      <c r="H2083" s="129">
        <f>_xlfn.XLOOKUP(G2083,'[1]T&amp;C emissions for 2050 analysis'!$B$3:$B$23,'[1]T&amp;C emissions for 2050 analysis'!$C$3:$C$23)</f>
        <v>0.18333333333333335</v>
      </c>
      <c r="I2083" s="27">
        <f t="shared" si="96"/>
        <v>6.5226946399999999E-2</v>
      </c>
      <c r="J2083" s="129">
        <f t="shared" si="97"/>
        <v>4.0861333333333336</v>
      </c>
    </row>
    <row r="2084" spans="1:10" hidden="1" x14ac:dyDescent="0.35">
      <c r="A2084" s="126" t="s">
        <v>370</v>
      </c>
      <c r="B2084" t="str">
        <f>_xlfn.XLOOKUP(A2084,'[1]2050Pop'!$A$7:$A$143,'[1]2050Pop'!$D$7:$D$143)</f>
        <v>Euro/AU/NZ</v>
      </c>
      <c r="C2084" s="127">
        <f>1000*_xlfn.XLOOKUP(A2084,'[1]2050Pop'!$A$7:$A$143,'[1]2050Pop'!$C$7:$C$143)</f>
        <v>3069</v>
      </c>
      <c r="D2084" s="126" t="s">
        <v>512</v>
      </c>
      <c r="E2084" s="128">
        <v>13.647</v>
      </c>
      <c r="F2084" s="129">
        <f t="shared" si="98"/>
        <v>4.1882643000000004E-2</v>
      </c>
      <c r="G2084" t="str">
        <f>_xlfn.XLOOKUP(D2084,'[1]2050 BAU Mapping to T &amp; C'!$A$3:$A$52,'[1]2050 BAU Mapping to T &amp; C'!$B$3:$B$52)</f>
        <v xml:space="preserve">Other cereals </v>
      </c>
      <c r="H2084" s="129">
        <f>_xlfn.XLOOKUP(G2084,'[1]T&amp;C emissions for 2050 analysis'!$B$3:$B$23,'[1]T&amp;C emissions for 2050 analysis'!$C$3:$C$23)</f>
        <v>0.18333333333333335</v>
      </c>
      <c r="I2084" s="27">
        <f t="shared" si="96"/>
        <v>7.6784845500000014E-3</v>
      </c>
      <c r="J2084" s="129">
        <f t="shared" si="97"/>
        <v>2.5019500000000003</v>
      </c>
    </row>
    <row r="2085" spans="1:10" hidden="1" x14ac:dyDescent="0.35">
      <c r="A2085" s="126" t="s">
        <v>371</v>
      </c>
      <c r="B2085" t="str">
        <f>_xlfn.XLOOKUP(A2085,'[1]2050Pop'!$A$7:$A$143,'[1]2050Pop'!$D$7:$D$143)</f>
        <v>SSA</v>
      </c>
      <c r="C2085" s="127">
        <f>1000*_xlfn.XLOOKUP(A2085,'[1]2050Pop'!$A$7:$A$143,'[1]2050Pop'!$C$7:$C$143)</f>
        <v>3389</v>
      </c>
      <c r="D2085" s="126" t="s">
        <v>512</v>
      </c>
      <c r="E2085" s="128">
        <v>68.638000000000005</v>
      </c>
      <c r="F2085" s="129">
        <f t="shared" si="98"/>
        <v>0.23261418200000003</v>
      </c>
      <c r="G2085" t="str">
        <f>_xlfn.XLOOKUP(D2085,'[1]2050 BAU Mapping to T &amp; C'!$A$3:$A$52,'[1]2050 BAU Mapping to T &amp; C'!$B$3:$B$52)</f>
        <v xml:space="preserve">Other cereals </v>
      </c>
      <c r="H2085" s="129">
        <f>_xlfn.XLOOKUP(G2085,'[1]T&amp;C emissions for 2050 analysis'!$B$3:$B$23,'[1]T&amp;C emissions for 2050 analysis'!$C$3:$C$23)</f>
        <v>0.18333333333333335</v>
      </c>
      <c r="I2085" s="27">
        <f t="shared" si="96"/>
        <v>4.2645933366666673E-2</v>
      </c>
      <c r="J2085" s="129">
        <f t="shared" si="97"/>
        <v>12.583633333333335</v>
      </c>
    </row>
    <row r="2086" spans="1:10" hidden="1" x14ac:dyDescent="0.35">
      <c r="A2086" s="126" t="s">
        <v>372</v>
      </c>
      <c r="B2086" t="str">
        <f>_xlfn.XLOOKUP(A2086,'[1]2050Pop'!$A$7:$A$143,'[1]2050Pop'!$D$7:$D$143)</f>
        <v>LatAm &amp; RSA</v>
      </c>
      <c r="C2086" s="127">
        <f>1000*_xlfn.XLOOKUP(A2086,'[1]2050Pop'!$A$7:$A$143,'[1]2050Pop'!$C$7:$C$143)</f>
        <v>238270</v>
      </c>
      <c r="D2086" s="126" t="s">
        <v>512</v>
      </c>
      <c r="E2086" s="128">
        <v>16.411000000000001</v>
      </c>
      <c r="F2086" s="129">
        <f t="shared" si="98"/>
        <v>3.91024897</v>
      </c>
      <c r="G2086" t="str">
        <f>_xlfn.XLOOKUP(D2086,'[1]2050 BAU Mapping to T &amp; C'!$A$3:$A$52,'[1]2050 BAU Mapping to T &amp; C'!$B$3:$B$52)</f>
        <v xml:space="preserve">Other cereals </v>
      </c>
      <c r="H2086" s="129">
        <f>_xlfn.XLOOKUP(G2086,'[1]T&amp;C emissions for 2050 analysis'!$B$3:$B$23,'[1]T&amp;C emissions for 2050 analysis'!$C$3:$C$23)</f>
        <v>0.18333333333333335</v>
      </c>
      <c r="I2086" s="27">
        <f t="shared" si="96"/>
        <v>0.71687897783333343</v>
      </c>
      <c r="J2086" s="129">
        <f t="shared" si="97"/>
        <v>3.0086833333333338</v>
      </c>
    </row>
    <row r="2087" spans="1:10" hidden="1" x14ac:dyDescent="0.35">
      <c r="A2087" s="126" t="s">
        <v>373</v>
      </c>
      <c r="B2087" t="str">
        <f>_xlfn.XLOOKUP(A2087,'[1]2050Pop'!$A$7:$A$143,'[1]2050Pop'!$D$7:$D$143)</f>
        <v>Euro/AU/NZ</v>
      </c>
      <c r="C2087" s="127">
        <f>1000*_xlfn.XLOOKUP(A2087,'[1]2050Pop'!$A$7:$A$143,'[1]2050Pop'!$C$7:$C$143)</f>
        <v>5154</v>
      </c>
      <c r="D2087" s="126" t="s">
        <v>512</v>
      </c>
      <c r="E2087" s="128">
        <v>5.5990000000000002</v>
      </c>
      <c r="F2087" s="129">
        <f t="shared" si="98"/>
        <v>2.8857246000000003E-2</v>
      </c>
      <c r="G2087" t="str">
        <f>_xlfn.XLOOKUP(D2087,'[1]2050 BAU Mapping to T &amp; C'!$A$3:$A$52,'[1]2050 BAU Mapping to T &amp; C'!$B$3:$B$52)</f>
        <v xml:space="preserve">Other cereals </v>
      </c>
      <c r="H2087" s="129">
        <f>_xlfn.XLOOKUP(G2087,'[1]T&amp;C emissions for 2050 analysis'!$B$3:$B$23,'[1]T&amp;C emissions for 2050 analysis'!$C$3:$C$23)</f>
        <v>0.18333333333333335</v>
      </c>
      <c r="I2087" s="27">
        <f t="shared" si="96"/>
        <v>5.2904951000000006E-3</v>
      </c>
      <c r="J2087" s="129">
        <f t="shared" si="97"/>
        <v>1.0264833333333334</v>
      </c>
    </row>
    <row r="2088" spans="1:10" hidden="1" x14ac:dyDescent="0.35">
      <c r="A2088" s="126" t="s">
        <v>487</v>
      </c>
      <c r="B2088" t="str">
        <f>_xlfn.XLOOKUP(A2088,'[1]2050Pop'!$A$7:$A$143,'[1]2050Pop'!$D$7:$D$143)</f>
        <v>SSA</v>
      </c>
      <c r="C2088" s="127">
        <f>1000*_xlfn.XLOOKUP(A2088,'[1]2050Pop'!$A$7:$A$143,'[1]2050Pop'!$C$7:$C$143)</f>
        <v>42789</v>
      </c>
      <c r="D2088" s="126" t="s">
        <v>512</v>
      </c>
      <c r="E2088" s="128">
        <v>15.545999999999999</v>
      </c>
      <c r="F2088" s="129">
        <f t="shared" si="98"/>
        <v>0.66519779400000001</v>
      </c>
      <c r="G2088" t="str">
        <f>_xlfn.XLOOKUP(D2088,'[1]2050 BAU Mapping to T &amp; C'!$A$3:$A$52,'[1]2050 BAU Mapping to T &amp; C'!$B$3:$B$52)</f>
        <v xml:space="preserve">Other cereals </v>
      </c>
      <c r="H2088" s="129">
        <f>_xlfn.XLOOKUP(G2088,'[1]T&amp;C emissions for 2050 analysis'!$B$3:$B$23,'[1]T&amp;C emissions for 2050 analysis'!$C$3:$C$23)</f>
        <v>0.18333333333333335</v>
      </c>
      <c r="I2088" s="27">
        <f t="shared" si="96"/>
        <v>0.12195292890000001</v>
      </c>
      <c r="J2088" s="129">
        <f t="shared" si="97"/>
        <v>2.8501000000000003</v>
      </c>
    </row>
    <row r="2089" spans="1:10" hidden="1" x14ac:dyDescent="0.35">
      <c r="A2089" s="126" t="s">
        <v>374</v>
      </c>
      <c r="B2089" t="str">
        <f>_xlfn.XLOOKUP(A2089,'[1]2050Pop'!$A$7:$A$143,'[1]2050Pop'!$D$7:$D$143)</f>
        <v>APAC</v>
      </c>
      <c r="C2089" s="127">
        <f>1000*_xlfn.XLOOKUP(A2089,'[1]2050Pop'!$A$7:$A$143,'[1]2050Pop'!$C$7:$C$143)</f>
        <v>22545</v>
      </c>
      <c r="D2089" s="126" t="s">
        <v>512</v>
      </c>
      <c r="E2089" s="128">
        <v>1.6779999999999999</v>
      </c>
      <c r="F2089" s="129">
        <f t="shared" si="98"/>
        <v>3.7830510000000005E-2</v>
      </c>
      <c r="G2089" t="str">
        <f>_xlfn.XLOOKUP(D2089,'[1]2050 BAU Mapping to T &amp; C'!$A$3:$A$52,'[1]2050 BAU Mapping to T &amp; C'!$B$3:$B$52)</f>
        <v xml:space="preserve">Other cereals </v>
      </c>
      <c r="H2089" s="129">
        <f>_xlfn.XLOOKUP(G2089,'[1]T&amp;C emissions for 2050 analysis'!$B$3:$B$23,'[1]T&amp;C emissions for 2050 analysis'!$C$3:$C$23)</f>
        <v>0.18333333333333335</v>
      </c>
      <c r="I2089" s="27">
        <f t="shared" si="96"/>
        <v>6.9355935000000018E-3</v>
      </c>
      <c r="J2089" s="129">
        <f t="shared" si="97"/>
        <v>0.30763333333333337</v>
      </c>
    </row>
    <row r="2090" spans="1:10" hidden="1" x14ac:dyDescent="0.35">
      <c r="A2090" s="126" t="s">
        <v>376</v>
      </c>
      <c r="B2090" t="str">
        <f>_xlfn.XLOOKUP(A2090,'[1]2050Pop'!$A$7:$A$143,'[1]2050Pop'!$D$7:$D$143)</f>
        <v>NAm</v>
      </c>
      <c r="C2090" s="127">
        <f>1000*_xlfn.XLOOKUP(A2090,'[1]2050Pop'!$A$7:$A$143,'[1]2050Pop'!$C$7:$C$143)</f>
        <v>44136</v>
      </c>
      <c r="D2090" s="126" t="s">
        <v>512</v>
      </c>
      <c r="E2090" s="128">
        <v>20.268999999999998</v>
      </c>
      <c r="F2090" s="129">
        <f t="shared" si="98"/>
        <v>0.89459258399999997</v>
      </c>
      <c r="G2090" t="str">
        <f>_xlfn.XLOOKUP(D2090,'[1]2050 BAU Mapping to T &amp; C'!$A$3:$A$52,'[1]2050 BAU Mapping to T &amp; C'!$B$3:$B$52)</f>
        <v xml:space="preserve">Other cereals </v>
      </c>
      <c r="H2090" s="129">
        <f>_xlfn.XLOOKUP(G2090,'[1]T&amp;C emissions for 2050 analysis'!$B$3:$B$23,'[1]T&amp;C emissions for 2050 analysis'!$C$3:$C$23)</f>
        <v>0.18333333333333335</v>
      </c>
      <c r="I2090" s="27">
        <f t="shared" si="96"/>
        <v>0.16400864040000002</v>
      </c>
      <c r="J2090" s="129">
        <f t="shared" si="97"/>
        <v>3.7159833333333334</v>
      </c>
    </row>
    <row r="2091" spans="1:10" hidden="1" x14ac:dyDescent="0.35">
      <c r="A2091" s="126" t="s">
        <v>488</v>
      </c>
      <c r="B2091" t="str">
        <f>_xlfn.XLOOKUP(A2091,'[1]2050Pop'!$A$7:$A$143,'[1]2050Pop'!$D$7:$D$143)</f>
        <v>SSA</v>
      </c>
      <c r="C2091" s="127">
        <f>1000*_xlfn.XLOOKUP(A2091,'[1]2050Pop'!$A$7:$A$143,'[1]2050Pop'!$C$7:$C$143)</f>
        <v>35131</v>
      </c>
      <c r="D2091" s="126" t="s">
        <v>512</v>
      </c>
      <c r="E2091" s="128">
        <v>349.94099999999997</v>
      </c>
      <c r="F2091" s="129">
        <f t="shared" si="98"/>
        <v>12.293777271</v>
      </c>
      <c r="G2091" t="str">
        <f>_xlfn.XLOOKUP(D2091,'[1]2050 BAU Mapping to T &amp; C'!$A$3:$A$52,'[1]2050 BAU Mapping to T &amp; C'!$B$3:$B$52)</f>
        <v xml:space="preserve">Other cereals </v>
      </c>
      <c r="H2091" s="129">
        <f>_xlfn.XLOOKUP(G2091,'[1]T&amp;C emissions for 2050 analysis'!$B$3:$B$23,'[1]T&amp;C emissions for 2050 analysis'!$C$3:$C$23)</f>
        <v>0.18333333333333335</v>
      </c>
      <c r="I2091" s="27">
        <f t="shared" si="96"/>
        <v>2.2538591663500003</v>
      </c>
      <c r="J2091" s="129">
        <f t="shared" si="97"/>
        <v>64.155850000000001</v>
      </c>
    </row>
    <row r="2092" spans="1:10" hidden="1" x14ac:dyDescent="0.35">
      <c r="A2092" s="126" t="s">
        <v>378</v>
      </c>
      <c r="B2092" t="str">
        <f>_xlfn.XLOOKUP(A2092,'[1]2050Pop'!$A$7:$A$143,'[1]2050Pop'!$D$7:$D$143)</f>
        <v>LatAm &amp; RSA</v>
      </c>
      <c r="C2092" s="127">
        <f>1000*_xlfn.XLOOKUP(A2092,'[1]2050Pop'!$A$7:$A$143,'[1]2050Pop'!$C$7:$C$143)</f>
        <v>21601</v>
      </c>
      <c r="D2092" s="126" t="s">
        <v>512</v>
      </c>
      <c r="E2092" s="128">
        <v>26.469000000000001</v>
      </c>
      <c r="F2092" s="129">
        <f t="shared" si="98"/>
        <v>0.57175686900000011</v>
      </c>
      <c r="G2092" t="str">
        <f>_xlfn.XLOOKUP(D2092,'[1]2050 BAU Mapping to T &amp; C'!$A$3:$A$52,'[1]2050 BAU Mapping to T &amp; C'!$B$3:$B$52)</f>
        <v xml:space="preserve">Other cereals </v>
      </c>
      <c r="H2092" s="129">
        <f>_xlfn.XLOOKUP(G2092,'[1]T&amp;C emissions for 2050 analysis'!$B$3:$B$23,'[1]T&amp;C emissions for 2050 analysis'!$C$3:$C$23)</f>
        <v>0.18333333333333335</v>
      </c>
      <c r="I2092" s="27">
        <f t="shared" si="96"/>
        <v>0.10482209265000003</v>
      </c>
      <c r="J2092" s="129">
        <f t="shared" si="97"/>
        <v>4.8526500000000006</v>
      </c>
    </row>
    <row r="2093" spans="1:10" hidden="1" x14ac:dyDescent="0.35">
      <c r="A2093" s="126" t="s">
        <v>379</v>
      </c>
      <c r="B2093" t="str">
        <f>_xlfn.XLOOKUP(A2093,'[1]2050Pop'!$A$7:$A$143,'[1]2050Pop'!$D$7:$D$143)</f>
        <v>Greater China</v>
      </c>
      <c r="C2093" s="127">
        <f>1000*_xlfn.XLOOKUP(A2093,'[1]2050Pop'!$A$7:$A$143,'[1]2050Pop'!$C$7:$C$143)</f>
        <v>8148</v>
      </c>
      <c r="D2093" s="126" t="s">
        <v>512</v>
      </c>
      <c r="E2093" s="128">
        <v>29.821000000000002</v>
      </c>
      <c r="F2093" s="129">
        <f t="shared" si="98"/>
        <v>0.24298150800000001</v>
      </c>
      <c r="G2093" t="str">
        <f>_xlfn.XLOOKUP(D2093,'[1]2050 BAU Mapping to T &amp; C'!$A$3:$A$52,'[1]2050 BAU Mapping to T &amp; C'!$B$3:$B$52)</f>
        <v xml:space="preserve">Other cereals </v>
      </c>
      <c r="H2093" s="129">
        <f>_xlfn.XLOOKUP(G2093,'[1]T&amp;C emissions for 2050 analysis'!$B$3:$B$23,'[1]T&amp;C emissions for 2050 analysis'!$C$3:$C$23)</f>
        <v>0.18333333333333335</v>
      </c>
      <c r="I2093" s="27">
        <f t="shared" si="96"/>
        <v>4.4546609800000005E-2</v>
      </c>
      <c r="J2093" s="129">
        <f t="shared" si="97"/>
        <v>5.4671833333333337</v>
      </c>
    </row>
    <row r="2094" spans="1:10" hidden="1" x14ac:dyDescent="0.35">
      <c r="A2094" s="126" t="s">
        <v>380</v>
      </c>
      <c r="B2094" t="str">
        <f>_xlfn.XLOOKUP(A2094,'[1]2050Pop'!$A$7:$A$143,'[1]2050Pop'!$D$7:$D$143)</f>
        <v>Greater China</v>
      </c>
      <c r="C2094" s="127">
        <f>1000*_xlfn.XLOOKUP(A2094,'[1]2050Pop'!$A$7:$A$143,'[1]2050Pop'!$C$7:$C$143)</f>
        <v>1348056</v>
      </c>
      <c r="D2094" s="126" t="s">
        <v>512</v>
      </c>
      <c r="E2094" s="128">
        <v>4.4660000000000002</v>
      </c>
      <c r="F2094" s="129">
        <f t="shared" si="98"/>
        <v>6.0204180960000002</v>
      </c>
      <c r="G2094" t="str">
        <f>_xlfn.XLOOKUP(D2094,'[1]2050 BAU Mapping to T &amp; C'!$A$3:$A$52,'[1]2050 BAU Mapping to T &amp; C'!$B$3:$B$52)</f>
        <v xml:space="preserve">Other cereals </v>
      </c>
      <c r="H2094" s="129">
        <f>_xlfn.XLOOKUP(G2094,'[1]T&amp;C emissions for 2050 analysis'!$B$3:$B$23,'[1]T&amp;C emissions for 2050 analysis'!$C$3:$C$23)</f>
        <v>0.18333333333333335</v>
      </c>
      <c r="I2094" s="27">
        <f t="shared" si="96"/>
        <v>1.1037433176000002</v>
      </c>
      <c r="J2094" s="129">
        <f t="shared" si="97"/>
        <v>0.81876666666666675</v>
      </c>
    </row>
    <row r="2095" spans="1:10" hidden="1" x14ac:dyDescent="0.35">
      <c r="A2095" s="126" t="s">
        <v>381</v>
      </c>
      <c r="B2095" t="str">
        <f>_xlfn.XLOOKUP(A2095,'[1]2050Pop'!$A$7:$A$143,'[1]2050Pop'!$D$7:$D$143)</f>
        <v>Greater China</v>
      </c>
      <c r="C2095" s="127">
        <f>1000*_xlfn.XLOOKUP(A2095,'[1]2050Pop'!$A$7:$A$143,'[1]2050Pop'!$C$7:$C$143)</f>
        <v>20778</v>
      </c>
      <c r="D2095" s="126" t="s">
        <v>512</v>
      </c>
      <c r="E2095" s="128">
        <v>14.773</v>
      </c>
      <c r="F2095" s="129">
        <f t="shared" si="98"/>
        <v>0.30695339399999999</v>
      </c>
      <c r="G2095" t="str">
        <f>_xlfn.XLOOKUP(D2095,'[1]2050 BAU Mapping to T &amp; C'!$A$3:$A$52,'[1]2050 BAU Mapping to T &amp; C'!$B$3:$B$52)</f>
        <v xml:space="preserve">Other cereals </v>
      </c>
      <c r="H2095" s="129">
        <f>_xlfn.XLOOKUP(G2095,'[1]T&amp;C emissions for 2050 analysis'!$B$3:$B$23,'[1]T&amp;C emissions for 2050 analysis'!$C$3:$C$23)</f>
        <v>0.18333333333333335</v>
      </c>
      <c r="I2095" s="27">
        <f t="shared" si="96"/>
        <v>5.6274788900000004E-2</v>
      </c>
      <c r="J2095" s="129">
        <f t="shared" si="97"/>
        <v>2.7083833333333334</v>
      </c>
    </row>
    <row r="2096" spans="1:10" hidden="1" x14ac:dyDescent="0.35">
      <c r="A2096" s="126" t="s">
        <v>382</v>
      </c>
      <c r="B2096" t="str">
        <f>_xlfn.XLOOKUP(A2096,'[1]2050Pop'!$A$7:$A$143,'[1]2050Pop'!$D$7:$D$143)</f>
        <v>LatAm &amp; RSA</v>
      </c>
      <c r="C2096" s="127">
        <f>1000*_xlfn.XLOOKUP(A2096,'[1]2050Pop'!$A$7:$A$143,'[1]2050Pop'!$C$7:$C$143)</f>
        <v>54927</v>
      </c>
      <c r="D2096" s="126" t="s">
        <v>512</v>
      </c>
      <c r="E2096" s="128">
        <v>1.4119999999999999</v>
      </c>
      <c r="F2096" s="129">
        <f t="shared" si="98"/>
        <v>7.7556923999999999E-2</v>
      </c>
      <c r="G2096" t="str">
        <f>_xlfn.XLOOKUP(D2096,'[1]2050 BAU Mapping to T &amp; C'!$A$3:$A$52,'[1]2050 BAU Mapping to T &amp; C'!$B$3:$B$52)</f>
        <v xml:space="preserve">Other cereals </v>
      </c>
      <c r="H2096" s="129">
        <f>_xlfn.XLOOKUP(G2096,'[1]T&amp;C emissions for 2050 analysis'!$B$3:$B$23,'[1]T&amp;C emissions for 2050 analysis'!$C$3:$C$23)</f>
        <v>0.18333333333333335</v>
      </c>
      <c r="I2096" s="27">
        <f t="shared" si="96"/>
        <v>1.4218769400000001E-2</v>
      </c>
      <c r="J2096" s="129">
        <f t="shared" si="97"/>
        <v>0.25886666666666669</v>
      </c>
    </row>
    <row r="2097" spans="1:10" hidden="1" x14ac:dyDescent="0.35">
      <c r="A2097" s="126" t="s">
        <v>383</v>
      </c>
      <c r="B2097" t="str">
        <f>_xlfn.XLOOKUP(A2097,'[1]2050Pop'!$A$7:$A$143,'[1]2050Pop'!$D$7:$D$143)</f>
        <v>LatAm &amp; RSA</v>
      </c>
      <c r="C2097" s="127">
        <f>1000*_xlfn.XLOOKUP(A2097,'[1]2050Pop'!$A$7:$A$143,'[1]2050Pop'!$C$7:$C$143)</f>
        <v>5759</v>
      </c>
      <c r="D2097" s="126" t="s">
        <v>512</v>
      </c>
      <c r="E2097" s="128">
        <v>10.462999999999999</v>
      </c>
      <c r="F2097" s="129">
        <f t="shared" si="98"/>
        <v>6.0256416999999993E-2</v>
      </c>
      <c r="G2097" t="str">
        <f>_xlfn.XLOOKUP(D2097,'[1]2050 BAU Mapping to T &amp; C'!$A$3:$A$52,'[1]2050 BAU Mapping to T &amp; C'!$B$3:$B$52)</f>
        <v xml:space="preserve">Other cereals </v>
      </c>
      <c r="H2097" s="129">
        <f>_xlfn.XLOOKUP(G2097,'[1]T&amp;C emissions for 2050 analysis'!$B$3:$B$23,'[1]T&amp;C emissions for 2050 analysis'!$C$3:$C$23)</f>
        <v>0.18333333333333335</v>
      </c>
      <c r="I2097" s="27">
        <f t="shared" si="96"/>
        <v>1.1047009783333332E-2</v>
      </c>
      <c r="J2097" s="129">
        <f t="shared" si="97"/>
        <v>1.9182166666666667</v>
      </c>
    </row>
    <row r="2098" spans="1:10" hidden="1" x14ac:dyDescent="0.35">
      <c r="A2098" s="126" t="s">
        <v>384</v>
      </c>
      <c r="B2098" t="str">
        <f>_xlfn.XLOOKUP(A2098,'[1]2050Pop'!$A$7:$A$143,'[1]2050Pop'!$D$7:$D$143)</f>
        <v>SSA</v>
      </c>
      <c r="C2098" s="127">
        <f>1000*_xlfn.XLOOKUP(A2098,'[1]2050Pop'!$A$7:$A$143,'[1]2050Pop'!$C$7:$C$143)</f>
        <v>48797</v>
      </c>
      <c r="D2098" s="126" t="s">
        <v>512</v>
      </c>
      <c r="E2098" s="128">
        <v>11.425000000000001</v>
      </c>
      <c r="F2098" s="129">
        <f t="shared" si="98"/>
        <v>0.55750572499999995</v>
      </c>
      <c r="G2098" t="str">
        <f>_xlfn.XLOOKUP(D2098,'[1]2050 BAU Mapping to T &amp; C'!$A$3:$A$52,'[1]2050 BAU Mapping to T &amp; C'!$B$3:$B$52)</f>
        <v xml:space="preserve">Other cereals </v>
      </c>
      <c r="H2098" s="129">
        <f>_xlfn.XLOOKUP(G2098,'[1]T&amp;C emissions for 2050 analysis'!$B$3:$B$23,'[1]T&amp;C emissions for 2050 analysis'!$C$3:$C$23)</f>
        <v>0.18333333333333335</v>
      </c>
      <c r="I2098" s="27">
        <f t="shared" si="96"/>
        <v>0.10220938291666666</v>
      </c>
      <c r="J2098" s="129">
        <f t="shared" si="97"/>
        <v>2.0945833333333335</v>
      </c>
    </row>
    <row r="2099" spans="1:10" hidden="1" x14ac:dyDescent="0.35">
      <c r="A2099" s="126" t="s">
        <v>385</v>
      </c>
      <c r="B2099" t="str">
        <f>_xlfn.XLOOKUP(A2099,'[1]2050Pop'!$A$7:$A$143,'[1]2050Pop'!$D$7:$D$143)</f>
        <v>Euro/AU/NZ</v>
      </c>
      <c r="C2099" s="127">
        <f>1000*_xlfn.XLOOKUP(A2099,'[1]2050Pop'!$A$7:$A$143,'[1]2050Pop'!$C$7:$C$143)</f>
        <v>3554</v>
      </c>
      <c r="D2099" s="126" t="s">
        <v>512</v>
      </c>
      <c r="E2099" s="128">
        <v>13.355</v>
      </c>
      <c r="F2099" s="129">
        <f t="shared" si="98"/>
        <v>4.7463669999999999E-2</v>
      </c>
      <c r="G2099" t="str">
        <f>_xlfn.XLOOKUP(D2099,'[1]2050 BAU Mapping to T &amp; C'!$A$3:$A$52,'[1]2050 BAU Mapping to T &amp; C'!$B$3:$B$52)</f>
        <v xml:space="preserve">Other cereals </v>
      </c>
      <c r="H2099" s="129">
        <f>_xlfn.XLOOKUP(G2099,'[1]T&amp;C emissions for 2050 analysis'!$B$3:$B$23,'[1]T&amp;C emissions for 2050 analysis'!$C$3:$C$23)</f>
        <v>0.18333333333333335</v>
      </c>
      <c r="I2099" s="27">
        <f t="shared" si="96"/>
        <v>8.7016728333333335E-3</v>
      </c>
      <c r="J2099" s="129">
        <f t="shared" si="97"/>
        <v>2.4484166666666671</v>
      </c>
    </row>
    <row r="2100" spans="1:10" hidden="1" x14ac:dyDescent="0.35">
      <c r="A2100" s="126" t="s">
        <v>387</v>
      </c>
      <c r="B2100" t="str">
        <f>_xlfn.XLOOKUP(A2100,'[1]2050Pop'!$A$7:$A$143,'[1]2050Pop'!$D$7:$D$143)</f>
        <v>Euro/AU/NZ</v>
      </c>
      <c r="C2100" s="127">
        <f>1000*_xlfn.XLOOKUP(A2100,'[1]2050Pop'!$A$7:$A$143,'[1]2050Pop'!$C$7:$C$143)</f>
        <v>9965</v>
      </c>
      <c r="D2100" s="126" t="s">
        <v>512</v>
      </c>
      <c r="E2100" s="128">
        <v>92.899000000000001</v>
      </c>
      <c r="F2100" s="129">
        <f t="shared" si="98"/>
        <v>0.92573853500000003</v>
      </c>
      <c r="G2100" t="str">
        <f>_xlfn.XLOOKUP(D2100,'[1]2050 BAU Mapping to T &amp; C'!$A$3:$A$52,'[1]2050 BAU Mapping to T &amp; C'!$B$3:$B$52)</f>
        <v xml:space="preserve">Other cereals </v>
      </c>
      <c r="H2100" s="129">
        <f>_xlfn.XLOOKUP(G2100,'[1]T&amp;C emissions for 2050 analysis'!$B$3:$B$23,'[1]T&amp;C emissions for 2050 analysis'!$C$3:$C$23)</f>
        <v>0.18333333333333335</v>
      </c>
      <c r="I2100" s="27">
        <f t="shared" si="96"/>
        <v>0.16971873141666668</v>
      </c>
      <c r="J2100" s="129">
        <f t="shared" si="97"/>
        <v>17.031483333333334</v>
      </c>
    </row>
    <row r="2101" spans="1:10" hidden="1" x14ac:dyDescent="0.35">
      <c r="A2101" s="126" t="s">
        <v>481</v>
      </c>
      <c r="B2101" t="str">
        <f>_xlfn.XLOOKUP(A2101,'[1]2050Pop'!$A$7:$A$143,'[1]2050Pop'!$D$7:$D$143)</f>
        <v>APAC</v>
      </c>
      <c r="C2101" s="127">
        <f>1000*_xlfn.XLOOKUP(A2101,'[1]2050Pop'!$A$7:$A$143,'[1]2050Pop'!$C$7:$C$143)</f>
        <v>26907</v>
      </c>
      <c r="D2101" s="126" t="s">
        <v>512</v>
      </c>
      <c r="E2101" s="128">
        <v>25.132000000000001</v>
      </c>
      <c r="F2101" s="129">
        <f t="shared" si="98"/>
        <v>0.67622672400000006</v>
      </c>
      <c r="G2101" t="str">
        <f>_xlfn.XLOOKUP(D2101,'[1]2050 BAU Mapping to T &amp; C'!$A$3:$A$52,'[1]2050 BAU Mapping to T &amp; C'!$B$3:$B$52)</f>
        <v xml:space="preserve">Other cereals </v>
      </c>
      <c r="H2101" s="129">
        <f>_xlfn.XLOOKUP(G2101,'[1]T&amp;C emissions for 2050 analysis'!$B$3:$B$23,'[1]T&amp;C emissions for 2050 analysis'!$C$3:$C$23)</f>
        <v>0.18333333333333335</v>
      </c>
      <c r="I2101" s="27">
        <f t="shared" si="96"/>
        <v>0.12397489940000002</v>
      </c>
      <c r="J2101" s="129">
        <f t="shared" si="97"/>
        <v>4.6075333333333344</v>
      </c>
    </row>
    <row r="2102" spans="1:10" hidden="1" x14ac:dyDescent="0.35">
      <c r="A2102" s="126" t="s">
        <v>388</v>
      </c>
      <c r="B2102" t="str">
        <f>_xlfn.XLOOKUP(A2102,'[1]2050Pop'!$A$7:$A$143,'[1]2050Pop'!$D$7:$D$143)</f>
        <v>Euro/AU/NZ</v>
      </c>
      <c r="C2102" s="127">
        <f>1000*_xlfn.XLOOKUP(A2102,'[1]2050Pop'!$A$7:$A$143,'[1]2050Pop'!$C$7:$C$143)</f>
        <v>6299</v>
      </c>
      <c r="D2102" s="126" t="s">
        <v>512</v>
      </c>
      <c r="E2102" s="130">
        <v>162.16</v>
      </c>
      <c r="F2102" s="129">
        <f t="shared" si="98"/>
        <v>1.0214458399999999</v>
      </c>
      <c r="G2102" t="str">
        <f>_xlfn.XLOOKUP(D2102,'[1]2050 BAU Mapping to T &amp; C'!$A$3:$A$52,'[1]2050 BAU Mapping to T &amp; C'!$B$3:$B$52)</f>
        <v xml:space="preserve">Other cereals </v>
      </c>
      <c r="H2102" s="129">
        <f>_xlfn.XLOOKUP(G2102,'[1]T&amp;C emissions for 2050 analysis'!$B$3:$B$23,'[1]T&amp;C emissions for 2050 analysis'!$C$3:$C$23)</f>
        <v>0.18333333333333335</v>
      </c>
      <c r="I2102" s="27">
        <f t="shared" si="96"/>
        <v>0.18726507066666667</v>
      </c>
      <c r="J2102" s="129">
        <f t="shared" si="97"/>
        <v>29.729333333333336</v>
      </c>
    </row>
    <row r="2103" spans="1:10" hidden="1" x14ac:dyDescent="0.35">
      <c r="A2103" s="126" t="s">
        <v>389</v>
      </c>
      <c r="B2103" t="str">
        <f>_xlfn.XLOOKUP(A2103,'[1]2050Pop'!$A$7:$A$143,'[1]2050Pop'!$D$7:$D$143)</f>
        <v>LatAm &amp; RSA</v>
      </c>
      <c r="C2103" s="127">
        <f>1000*_xlfn.XLOOKUP(A2103,'[1]2050Pop'!$A$7:$A$143,'[1]2050Pop'!$C$7:$C$143)</f>
        <v>13238</v>
      </c>
      <c r="D2103" s="126" t="s">
        <v>512</v>
      </c>
      <c r="E2103" s="128">
        <v>1.018</v>
      </c>
      <c r="F2103" s="129">
        <f t="shared" si="98"/>
        <v>1.3476284E-2</v>
      </c>
      <c r="G2103" t="str">
        <f>_xlfn.XLOOKUP(D2103,'[1]2050 BAU Mapping to T &amp; C'!$A$3:$A$52,'[1]2050 BAU Mapping to T &amp; C'!$B$3:$B$52)</f>
        <v xml:space="preserve">Other cereals </v>
      </c>
      <c r="H2103" s="129">
        <f>_xlfn.XLOOKUP(G2103,'[1]T&amp;C emissions for 2050 analysis'!$B$3:$B$23,'[1]T&amp;C emissions for 2050 analysis'!$C$3:$C$23)</f>
        <v>0.18333333333333335</v>
      </c>
      <c r="I2103" s="27">
        <f t="shared" si="96"/>
        <v>2.4706520666666668E-3</v>
      </c>
      <c r="J2103" s="129">
        <f t="shared" si="97"/>
        <v>0.18663333333333335</v>
      </c>
    </row>
    <row r="2104" spans="1:10" hidden="1" x14ac:dyDescent="0.35">
      <c r="A2104" s="126" t="s">
        <v>390</v>
      </c>
      <c r="B2104" t="str">
        <f>_xlfn.XLOOKUP(A2104,'[1]2050Pop'!$A$7:$A$143,'[1]2050Pop'!$D$7:$D$143)</f>
        <v>LatAm &amp; RSA</v>
      </c>
      <c r="C2104" s="127">
        <f>1000*_xlfn.XLOOKUP(A2104,'[1]2050Pop'!$A$7:$A$143,'[1]2050Pop'!$C$7:$C$143)</f>
        <v>23013</v>
      </c>
      <c r="D2104" s="126" t="s">
        <v>512</v>
      </c>
      <c r="E2104" s="128">
        <v>18.542000000000002</v>
      </c>
      <c r="F2104" s="129">
        <f t="shared" si="98"/>
        <v>0.42670704600000003</v>
      </c>
      <c r="G2104" t="str">
        <f>_xlfn.XLOOKUP(D2104,'[1]2050 BAU Mapping to T &amp; C'!$A$3:$A$52,'[1]2050 BAU Mapping to T &amp; C'!$B$3:$B$52)</f>
        <v xml:space="preserve">Other cereals </v>
      </c>
      <c r="H2104" s="129">
        <f>_xlfn.XLOOKUP(G2104,'[1]T&amp;C emissions for 2050 analysis'!$B$3:$B$23,'[1]T&amp;C emissions for 2050 analysis'!$C$3:$C$23)</f>
        <v>0.18333333333333335</v>
      </c>
      <c r="I2104" s="27">
        <f t="shared" si="96"/>
        <v>7.8229625100000019E-2</v>
      </c>
      <c r="J2104" s="129">
        <f t="shared" si="97"/>
        <v>3.3993666666666673</v>
      </c>
    </row>
    <row r="2105" spans="1:10" hidden="1" x14ac:dyDescent="0.35">
      <c r="A2105" s="126" t="s">
        <v>392</v>
      </c>
      <c r="B2105" t="str">
        <f>_xlfn.XLOOKUP(A2105,'[1]2050Pop'!$A$7:$A$143,'[1]2050Pop'!$D$7:$D$143)</f>
        <v>LatAm &amp; RSA</v>
      </c>
      <c r="C2105" s="127">
        <f>1000*_xlfn.XLOOKUP(A2105,'[1]2050Pop'!$A$7:$A$143,'[1]2050Pop'!$C$7:$C$143)</f>
        <v>6390</v>
      </c>
      <c r="D2105" s="126" t="s">
        <v>512</v>
      </c>
      <c r="E2105" s="128">
        <v>4.5590000000000002</v>
      </c>
      <c r="F2105" s="129">
        <f t="shared" si="98"/>
        <v>2.9132010000000003E-2</v>
      </c>
      <c r="G2105" t="str">
        <f>_xlfn.XLOOKUP(D2105,'[1]2050 BAU Mapping to T &amp; C'!$A$3:$A$52,'[1]2050 BAU Mapping to T &amp; C'!$B$3:$B$52)</f>
        <v xml:space="preserve">Other cereals </v>
      </c>
      <c r="H2105" s="129">
        <f>_xlfn.XLOOKUP(G2105,'[1]T&amp;C emissions for 2050 analysis'!$B$3:$B$23,'[1]T&amp;C emissions for 2050 analysis'!$C$3:$C$23)</f>
        <v>0.18333333333333335</v>
      </c>
      <c r="I2105" s="27">
        <f t="shared" si="96"/>
        <v>5.340868500000001E-3</v>
      </c>
      <c r="J2105" s="129">
        <f t="shared" si="97"/>
        <v>0.83581666666666676</v>
      </c>
    </row>
    <row r="2106" spans="1:10" hidden="1" x14ac:dyDescent="0.35">
      <c r="A2106" s="126" t="s">
        <v>393</v>
      </c>
      <c r="B2106" t="str">
        <f>_xlfn.XLOOKUP(A2106,'[1]2050Pop'!$A$7:$A$143,'[1]2050Pop'!$D$7:$D$143)</f>
        <v>Euro/AU/NZ</v>
      </c>
      <c r="C2106" s="127">
        <f>1000*_xlfn.XLOOKUP(A2106,'[1]2050Pop'!$A$7:$A$143,'[1]2050Pop'!$C$7:$C$143)</f>
        <v>1129</v>
      </c>
      <c r="D2106" s="126" t="s">
        <v>512</v>
      </c>
      <c r="E2106" s="128">
        <v>163.53200000000001</v>
      </c>
      <c r="F2106" s="129">
        <f t="shared" si="98"/>
        <v>0.18462762800000002</v>
      </c>
      <c r="G2106" t="str">
        <f>_xlfn.XLOOKUP(D2106,'[1]2050 BAU Mapping to T &amp; C'!$A$3:$A$52,'[1]2050 BAU Mapping to T &amp; C'!$B$3:$B$52)</f>
        <v xml:space="preserve">Other cereals </v>
      </c>
      <c r="H2106" s="129">
        <f>_xlfn.XLOOKUP(G2106,'[1]T&amp;C emissions for 2050 analysis'!$B$3:$B$23,'[1]T&amp;C emissions for 2050 analysis'!$C$3:$C$23)</f>
        <v>0.18333333333333335</v>
      </c>
      <c r="I2106" s="27">
        <f t="shared" si="96"/>
        <v>3.3848398466666672E-2</v>
      </c>
      <c r="J2106" s="129">
        <f t="shared" si="97"/>
        <v>29.980866666666671</v>
      </c>
    </row>
    <row r="2107" spans="1:10" hidden="1" x14ac:dyDescent="0.35">
      <c r="A2107" s="126" t="s">
        <v>394</v>
      </c>
      <c r="B2107" t="str">
        <f>_xlfn.XLOOKUP(A2107,'[1]2050Pop'!$A$7:$A$143,'[1]2050Pop'!$D$7:$D$143)</f>
        <v>SSA</v>
      </c>
      <c r="C2107" s="127">
        <f>1000*_xlfn.XLOOKUP(A2107,'[1]2050Pop'!$A$7:$A$143,'[1]2050Pop'!$C$7:$C$143)</f>
        <v>188455</v>
      </c>
      <c r="D2107" s="126" t="s">
        <v>512</v>
      </c>
      <c r="E2107" s="128">
        <v>346.21899999999999</v>
      </c>
      <c r="F2107" s="129">
        <f t="shared" si="98"/>
        <v>65.246701645000002</v>
      </c>
      <c r="G2107" t="str">
        <f>_xlfn.XLOOKUP(D2107,'[1]2050 BAU Mapping to T &amp; C'!$A$3:$A$52,'[1]2050 BAU Mapping to T &amp; C'!$B$3:$B$52)</f>
        <v xml:space="preserve">Other cereals </v>
      </c>
      <c r="H2107" s="129">
        <f>_xlfn.XLOOKUP(G2107,'[1]T&amp;C emissions for 2050 analysis'!$B$3:$B$23,'[1]T&amp;C emissions for 2050 analysis'!$C$3:$C$23)</f>
        <v>0.18333333333333335</v>
      </c>
      <c r="I2107" s="27">
        <f t="shared" si="96"/>
        <v>11.961895301583334</v>
      </c>
      <c r="J2107" s="129">
        <f t="shared" si="97"/>
        <v>63.473483333333334</v>
      </c>
    </row>
    <row r="2108" spans="1:10" hidden="1" x14ac:dyDescent="0.35">
      <c r="A2108" s="126" t="s">
        <v>395</v>
      </c>
      <c r="B2108" t="str">
        <f>_xlfn.XLOOKUP(A2108,'[1]2050Pop'!$A$7:$A$143,'[1]2050Pop'!$D$7:$D$143)</f>
        <v>Euro/AU/NZ</v>
      </c>
      <c r="C2108" s="127">
        <f>1000*_xlfn.XLOOKUP(A2108,'[1]2050Pop'!$A$7:$A$143,'[1]2050Pop'!$C$7:$C$143)</f>
        <v>5752</v>
      </c>
      <c r="D2108" s="126" t="s">
        <v>512</v>
      </c>
      <c r="E2108" s="128">
        <v>194.524</v>
      </c>
      <c r="F2108" s="129">
        <f t="shared" si="98"/>
        <v>1.118902048</v>
      </c>
      <c r="G2108" t="str">
        <f>_xlfn.XLOOKUP(D2108,'[1]2050 BAU Mapping to T &amp; C'!$A$3:$A$52,'[1]2050 BAU Mapping to T &amp; C'!$B$3:$B$52)</f>
        <v xml:space="preserve">Other cereals </v>
      </c>
      <c r="H2108" s="129">
        <f>_xlfn.XLOOKUP(G2108,'[1]T&amp;C emissions for 2050 analysis'!$B$3:$B$23,'[1]T&amp;C emissions for 2050 analysis'!$C$3:$C$23)</f>
        <v>0.18333333333333335</v>
      </c>
      <c r="I2108" s="27">
        <f t="shared" si="96"/>
        <v>0.20513204213333336</v>
      </c>
      <c r="J2108" s="129">
        <f t="shared" si="97"/>
        <v>35.662733333333335</v>
      </c>
    </row>
    <row r="2109" spans="1:10" hidden="1" x14ac:dyDescent="0.35">
      <c r="A2109" s="126" t="s">
        <v>396</v>
      </c>
      <c r="B2109" t="str">
        <f>_xlfn.XLOOKUP(A2109,'[1]2050Pop'!$A$7:$A$143,'[1]2050Pop'!$D$7:$D$143)</f>
        <v>Euro/AU/NZ</v>
      </c>
      <c r="C2109" s="127">
        <f>1000*_xlfn.XLOOKUP(A2109,'[1]2050Pop'!$A$7:$A$143,'[1]2050Pop'!$C$7:$C$143)</f>
        <v>71137</v>
      </c>
      <c r="D2109" s="126" t="s">
        <v>512</v>
      </c>
      <c r="E2109" s="128">
        <v>13.356999999999999</v>
      </c>
      <c r="F2109" s="129">
        <f t="shared" si="98"/>
        <v>0.95017690899999996</v>
      </c>
      <c r="G2109" t="str">
        <f>_xlfn.XLOOKUP(D2109,'[1]2050 BAU Mapping to T &amp; C'!$A$3:$A$52,'[1]2050 BAU Mapping to T &amp; C'!$B$3:$B$52)</f>
        <v xml:space="preserve">Other cereals </v>
      </c>
      <c r="H2109" s="129">
        <f>_xlfn.XLOOKUP(G2109,'[1]T&amp;C emissions for 2050 analysis'!$B$3:$B$23,'[1]T&amp;C emissions for 2050 analysis'!$C$3:$C$23)</f>
        <v>0.18333333333333335</v>
      </c>
      <c r="I2109" s="27">
        <f t="shared" si="96"/>
        <v>0.17419909998333333</v>
      </c>
      <c r="J2109" s="129">
        <f t="shared" si="97"/>
        <v>2.4487833333333335</v>
      </c>
    </row>
    <row r="2110" spans="1:10" hidden="1" x14ac:dyDescent="0.35">
      <c r="A2110" s="126" t="s">
        <v>397</v>
      </c>
      <c r="B2110" t="str">
        <f>_xlfn.XLOOKUP(A2110,'[1]2050Pop'!$A$7:$A$143,'[1]2050Pop'!$D$7:$D$143)</f>
        <v>SSA</v>
      </c>
      <c r="C2110" s="127">
        <f>1000*_xlfn.XLOOKUP(A2110,'[1]2050Pop'!$A$7:$A$143,'[1]2050Pop'!$C$7:$C$143)</f>
        <v>3164</v>
      </c>
      <c r="D2110" s="126" t="s">
        <v>512</v>
      </c>
      <c r="E2110" s="128">
        <v>1.111</v>
      </c>
      <c r="F2110" s="129">
        <f t="shared" si="98"/>
        <v>3.5152040000000001E-3</v>
      </c>
      <c r="G2110" t="str">
        <f>_xlfn.XLOOKUP(D2110,'[1]2050 BAU Mapping to T &amp; C'!$A$3:$A$52,'[1]2050 BAU Mapping to T &amp; C'!$B$3:$B$52)</f>
        <v xml:space="preserve">Other cereals </v>
      </c>
      <c r="H2110" s="129">
        <f>_xlfn.XLOOKUP(G2110,'[1]T&amp;C emissions for 2050 analysis'!$B$3:$B$23,'[1]T&amp;C emissions for 2050 analysis'!$C$3:$C$23)</f>
        <v>0.18333333333333335</v>
      </c>
      <c r="I2110" s="27">
        <f t="shared" si="96"/>
        <v>6.4445406666666669E-4</v>
      </c>
      <c r="J2110" s="129">
        <f t="shared" si="97"/>
        <v>0.20368333333333336</v>
      </c>
    </row>
    <row r="2111" spans="1:10" hidden="1" x14ac:dyDescent="0.35">
      <c r="A2111" s="126" t="s">
        <v>489</v>
      </c>
      <c r="B2111" t="str">
        <f>_xlfn.XLOOKUP(A2111,'[1]2050Pop'!$A$7:$A$143,'[1]2050Pop'!$D$7:$D$143)</f>
        <v>SSA</v>
      </c>
      <c r="C2111" s="127">
        <f>1000*_xlfn.XLOOKUP(A2111,'[1]2050Pop'!$A$7:$A$143,'[1]2050Pop'!$C$7:$C$143)</f>
        <v>4981</v>
      </c>
      <c r="D2111" s="126" t="s">
        <v>512</v>
      </c>
      <c r="E2111" s="128">
        <v>21.216999999999999</v>
      </c>
      <c r="F2111" s="129">
        <f t="shared" si="98"/>
        <v>0.10568187699999999</v>
      </c>
      <c r="G2111" t="str">
        <f>_xlfn.XLOOKUP(D2111,'[1]2050 BAU Mapping to T &amp; C'!$A$3:$A$52,'[1]2050 BAU Mapping to T &amp; C'!$B$3:$B$52)</f>
        <v xml:space="preserve">Other cereals </v>
      </c>
      <c r="H2111" s="129">
        <f>_xlfn.XLOOKUP(G2111,'[1]T&amp;C emissions for 2050 analysis'!$B$3:$B$23,'[1]T&amp;C emissions for 2050 analysis'!$C$3:$C$23)</f>
        <v>0.18333333333333335</v>
      </c>
      <c r="I2111" s="27">
        <f t="shared" si="96"/>
        <v>1.9375010783333334E-2</v>
      </c>
      <c r="J2111" s="129">
        <f t="shared" si="97"/>
        <v>3.8897833333333334</v>
      </c>
    </row>
    <row r="2112" spans="1:10" hidden="1" x14ac:dyDescent="0.35">
      <c r="A2112" s="126" t="s">
        <v>398</v>
      </c>
      <c r="B2112" t="str">
        <f>_xlfn.XLOOKUP(A2112,'[1]2050Pop'!$A$7:$A$143,'[1]2050Pop'!$D$7:$D$143)</f>
        <v>MENA</v>
      </c>
      <c r="C2112" s="127">
        <f>1000*_xlfn.XLOOKUP(A2112,'[1]2050Pop'!$A$7:$A$143,'[1]2050Pop'!$C$7:$C$143)</f>
        <v>3483</v>
      </c>
      <c r="D2112" s="126" t="s">
        <v>512</v>
      </c>
      <c r="E2112" s="128">
        <v>46.335000000000001</v>
      </c>
      <c r="F2112" s="129">
        <f t="shared" si="98"/>
        <v>0.16138480499999999</v>
      </c>
      <c r="G2112" t="str">
        <f>_xlfn.XLOOKUP(D2112,'[1]2050 BAU Mapping to T &amp; C'!$A$3:$A$52,'[1]2050 BAU Mapping to T &amp; C'!$B$3:$B$52)</f>
        <v xml:space="preserve">Other cereals </v>
      </c>
      <c r="H2112" s="129">
        <f>_xlfn.XLOOKUP(G2112,'[1]T&amp;C emissions for 2050 analysis'!$B$3:$B$23,'[1]T&amp;C emissions for 2050 analysis'!$C$3:$C$23)</f>
        <v>0.18333333333333335</v>
      </c>
      <c r="I2112" s="27">
        <f t="shared" si="96"/>
        <v>2.958721425E-2</v>
      </c>
      <c r="J2112" s="129">
        <f t="shared" si="97"/>
        <v>8.4947500000000016</v>
      </c>
    </row>
    <row r="2113" spans="1:10" hidden="1" x14ac:dyDescent="0.35">
      <c r="A2113" s="126" t="s">
        <v>399</v>
      </c>
      <c r="B2113" t="str">
        <f>_xlfn.XLOOKUP(A2113,'[1]2050Pop'!$A$7:$A$143,'[1]2050Pop'!$D$7:$D$143)</f>
        <v>Euro/AU/NZ</v>
      </c>
      <c r="C2113" s="127">
        <f>1000*_xlfn.XLOOKUP(A2113,'[1]2050Pop'!$A$7:$A$143,'[1]2050Pop'!$C$7:$C$143)</f>
        <v>74513</v>
      </c>
      <c r="D2113" s="126" t="s">
        <v>512</v>
      </c>
      <c r="E2113" s="128">
        <v>99.331000000000003</v>
      </c>
      <c r="F2113" s="129">
        <f t="shared" si="98"/>
        <v>7.4014508030000004</v>
      </c>
      <c r="G2113" t="str">
        <f>_xlfn.XLOOKUP(D2113,'[1]2050 BAU Mapping to T &amp; C'!$A$3:$A$52,'[1]2050 BAU Mapping to T &amp; C'!$B$3:$B$52)</f>
        <v xml:space="preserve">Other cereals </v>
      </c>
      <c r="H2113" s="129">
        <f>_xlfn.XLOOKUP(G2113,'[1]T&amp;C emissions for 2050 analysis'!$B$3:$B$23,'[1]T&amp;C emissions for 2050 analysis'!$C$3:$C$23)</f>
        <v>0.18333333333333335</v>
      </c>
      <c r="I2113" s="27">
        <f t="shared" si="96"/>
        <v>1.3569326472166667</v>
      </c>
      <c r="J2113" s="129">
        <f t="shared" si="97"/>
        <v>18.210683333333336</v>
      </c>
    </row>
    <row r="2114" spans="1:10" hidden="1" x14ac:dyDescent="0.35">
      <c r="A2114" s="126" t="s">
        <v>400</v>
      </c>
      <c r="B2114" t="str">
        <f>_xlfn.XLOOKUP(A2114,'[1]2050Pop'!$A$7:$A$143,'[1]2050Pop'!$D$7:$D$143)</f>
        <v>SSA</v>
      </c>
      <c r="C2114" s="127">
        <f>1000*_xlfn.XLOOKUP(A2114,'[1]2050Pop'!$A$7:$A$143,'[1]2050Pop'!$C$7:$C$143)</f>
        <v>50071</v>
      </c>
      <c r="D2114" s="126" t="s">
        <v>512</v>
      </c>
      <c r="E2114" s="128">
        <v>2.3250000000000002</v>
      </c>
      <c r="F2114" s="129">
        <f t="shared" si="98"/>
        <v>0.11641507500000001</v>
      </c>
      <c r="G2114" t="str">
        <f>_xlfn.XLOOKUP(D2114,'[1]2050 BAU Mapping to T &amp; C'!$A$3:$A$52,'[1]2050 BAU Mapping to T &amp; C'!$B$3:$B$52)</f>
        <v xml:space="preserve">Other cereals </v>
      </c>
      <c r="H2114" s="129">
        <f>_xlfn.XLOOKUP(G2114,'[1]T&amp;C emissions for 2050 analysis'!$B$3:$B$23,'[1]T&amp;C emissions for 2050 analysis'!$C$3:$C$23)</f>
        <v>0.18333333333333335</v>
      </c>
      <c r="I2114" s="27">
        <f t="shared" si="96"/>
        <v>2.1342763750000004E-2</v>
      </c>
      <c r="J2114" s="129">
        <f t="shared" si="97"/>
        <v>0.42625000000000007</v>
      </c>
    </row>
    <row r="2115" spans="1:10" hidden="1" x14ac:dyDescent="0.35">
      <c r="A2115" s="126" t="s">
        <v>401</v>
      </c>
      <c r="B2115" t="str">
        <f>_xlfn.XLOOKUP(A2115,'[1]2050Pop'!$A$7:$A$143,'[1]2050Pop'!$D$7:$D$143)</f>
        <v>Euro/AU/NZ</v>
      </c>
      <c r="C2115" s="127">
        <f>1000*_xlfn.XLOOKUP(A2115,'[1]2050Pop'!$A$7:$A$143,'[1]2050Pop'!$C$7:$C$143)</f>
        <v>9705</v>
      </c>
      <c r="D2115" s="126" t="s">
        <v>512</v>
      </c>
      <c r="E2115" s="128">
        <v>13.907</v>
      </c>
      <c r="F2115" s="129">
        <f t="shared" si="98"/>
        <v>0.134967435</v>
      </c>
      <c r="G2115" t="str">
        <f>_xlfn.XLOOKUP(D2115,'[1]2050 BAU Mapping to T &amp; C'!$A$3:$A$52,'[1]2050 BAU Mapping to T &amp; C'!$B$3:$B$52)</f>
        <v xml:space="preserve">Other cereals </v>
      </c>
      <c r="H2115" s="129">
        <f>_xlfn.XLOOKUP(G2115,'[1]T&amp;C emissions for 2050 analysis'!$B$3:$B$23,'[1]T&amp;C emissions for 2050 analysis'!$C$3:$C$23)</f>
        <v>0.18333333333333335</v>
      </c>
      <c r="I2115" s="27">
        <f t="shared" si="96"/>
        <v>2.474402975E-2</v>
      </c>
      <c r="J2115" s="129">
        <f t="shared" si="97"/>
        <v>2.5496166666666671</v>
      </c>
    </row>
    <row r="2116" spans="1:10" hidden="1" x14ac:dyDescent="0.35">
      <c r="A2116" s="126" t="s">
        <v>402</v>
      </c>
      <c r="B2116" t="str">
        <f>_xlfn.XLOOKUP(A2116,'[1]2050Pop'!$A$7:$A$143,'[1]2050Pop'!$D$7:$D$143)</f>
        <v>LatAm &amp; RSA</v>
      </c>
      <c r="C2116" s="127">
        <f>1000*_xlfn.XLOOKUP(A2116,'[1]2050Pop'!$A$7:$A$143,'[1]2050Pop'!$C$7:$C$143)</f>
        <v>27754</v>
      </c>
      <c r="D2116" s="126" t="s">
        <v>512</v>
      </c>
      <c r="E2116" s="128">
        <v>10.429</v>
      </c>
      <c r="F2116" s="129">
        <f t="shared" si="98"/>
        <v>0.28944646600000001</v>
      </c>
      <c r="G2116" t="str">
        <f>_xlfn.XLOOKUP(D2116,'[1]2050 BAU Mapping to T &amp; C'!$A$3:$A$52,'[1]2050 BAU Mapping to T &amp; C'!$B$3:$B$52)</f>
        <v xml:space="preserve">Other cereals </v>
      </c>
      <c r="H2116" s="129">
        <f>_xlfn.XLOOKUP(G2116,'[1]T&amp;C emissions for 2050 analysis'!$B$3:$B$23,'[1]T&amp;C emissions for 2050 analysis'!$C$3:$C$23)</f>
        <v>0.18333333333333335</v>
      </c>
      <c r="I2116" s="27">
        <f t="shared" ref="I2116:I2179" si="99">F2116*H2116</f>
        <v>5.3065185433333342E-2</v>
      </c>
      <c r="J2116" s="129">
        <f t="shared" ref="J2116:J2179" si="100">E2116*H2116</f>
        <v>1.9119833333333336</v>
      </c>
    </row>
    <row r="2117" spans="1:10" hidden="1" x14ac:dyDescent="0.35">
      <c r="A2117" s="126" t="s">
        <v>403</v>
      </c>
      <c r="B2117" t="str">
        <f>_xlfn.XLOOKUP(A2117,'[1]2050Pop'!$A$7:$A$143,'[1]2050Pop'!$D$7:$D$143)</f>
        <v>SSA</v>
      </c>
      <c r="C2117" s="127">
        <f>1000*_xlfn.XLOOKUP(A2117,'[1]2050Pop'!$A$7:$A$143,'[1]2050Pop'!$C$7:$C$143)</f>
        <v>27486</v>
      </c>
      <c r="D2117" s="126" t="s">
        <v>512</v>
      </c>
      <c r="E2117" s="128">
        <v>65.838999999999999</v>
      </c>
      <c r="F2117" s="129">
        <f t="shared" ref="F2117:F2180" si="101">C2117*E2117/1000000</f>
        <v>1.809650754</v>
      </c>
      <c r="G2117" t="str">
        <f>_xlfn.XLOOKUP(D2117,'[1]2050 BAU Mapping to T &amp; C'!$A$3:$A$52,'[1]2050 BAU Mapping to T &amp; C'!$B$3:$B$52)</f>
        <v xml:space="preserve">Other cereals </v>
      </c>
      <c r="H2117" s="129">
        <f>_xlfn.XLOOKUP(G2117,'[1]T&amp;C emissions for 2050 analysis'!$B$3:$B$23,'[1]T&amp;C emissions for 2050 analysis'!$C$3:$C$23)</f>
        <v>0.18333333333333335</v>
      </c>
      <c r="I2117" s="27">
        <f t="shared" si="99"/>
        <v>0.33176930490000001</v>
      </c>
      <c r="J2117" s="129">
        <f t="shared" si="100"/>
        <v>12.070483333333334</v>
      </c>
    </row>
    <row r="2118" spans="1:10" hidden="1" x14ac:dyDescent="0.35">
      <c r="A2118" s="126" t="s">
        <v>404</v>
      </c>
      <c r="B2118" t="str">
        <f>_xlfn.XLOOKUP(A2118,'[1]2050Pop'!$A$7:$A$143,'[1]2050Pop'!$D$7:$D$143)</f>
        <v>LatAm &amp; RSA</v>
      </c>
      <c r="C2118" s="127">
        <f>1000*_xlfn.XLOOKUP(A2118,'[1]2050Pop'!$A$7:$A$143,'[1]2050Pop'!$C$7:$C$143)</f>
        <v>806</v>
      </c>
      <c r="D2118" s="126" t="s">
        <v>512</v>
      </c>
      <c r="E2118" s="130">
        <v>11.91</v>
      </c>
      <c r="F2118" s="129">
        <f t="shared" si="101"/>
        <v>9.5994600000000006E-3</v>
      </c>
      <c r="G2118" t="str">
        <f>_xlfn.XLOOKUP(D2118,'[1]2050 BAU Mapping to T &amp; C'!$A$3:$A$52,'[1]2050 BAU Mapping to T &amp; C'!$B$3:$B$52)</f>
        <v xml:space="preserve">Other cereals </v>
      </c>
      <c r="H2118" s="129">
        <f>_xlfn.XLOOKUP(G2118,'[1]T&amp;C emissions for 2050 analysis'!$B$3:$B$23,'[1]T&amp;C emissions for 2050 analysis'!$C$3:$C$23)</f>
        <v>0.18333333333333335</v>
      </c>
      <c r="I2118" s="27">
        <f t="shared" si="99"/>
        <v>1.7599010000000003E-3</v>
      </c>
      <c r="J2118" s="129">
        <f t="shared" si="100"/>
        <v>2.1835</v>
      </c>
    </row>
    <row r="2119" spans="1:10" hidden="1" x14ac:dyDescent="0.35">
      <c r="A2119" s="126" t="s">
        <v>405</v>
      </c>
      <c r="B2119" t="str">
        <f>_xlfn.XLOOKUP(A2119,'[1]2050Pop'!$A$7:$A$143,'[1]2050Pop'!$D$7:$D$143)</f>
        <v>LatAm &amp; RSA</v>
      </c>
      <c r="C2119" s="127">
        <f>1000*_xlfn.XLOOKUP(A2119,'[1]2050Pop'!$A$7:$A$143,'[1]2050Pop'!$C$7:$C$143)</f>
        <v>14189</v>
      </c>
      <c r="D2119" s="126" t="s">
        <v>512</v>
      </c>
      <c r="E2119" s="128">
        <v>1.2889999999999999</v>
      </c>
      <c r="F2119" s="129">
        <f t="shared" si="101"/>
        <v>1.8289620999999999E-2</v>
      </c>
      <c r="G2119" t="str">
        <f>_xlfn.XLOOKUP(D2119,'[1]2050 BAU Mapping to T &amp; C'!$A$3:$A$52,'[1]2050 BAU Mapping to T &amp; C'!$B$3:$B$52)</f>
        <v xml:space="preserve">Other cereals </v>
      </c>
      <c r="H2119" s="129">
        <f>_xlfn.XLOOKUP(G2119,'[1]T&amp;C emissions for 2050 analysis'!$B$3:$B$23,'[1]T&amp;C emissions for 2050 analysis'!$C$3:$C$23)</f>
        <v>0.18333333333333335</v>
      </c>
      <c r="I2119" s="27">
        <f t="shared" si="99"/>
        <v>3.3530971833333335E-3</v>
      </c>
      <c r="J2119" s="129">
        <f t="shared" si="100"/>
        <v>0.23631666666666667</v>
      </c>
    </row>
    <row r="2120" spans="1:10" hidden="1" x14ac:dyDescent="0.35">
      <c r="A2120" s="126" t="s">
        <v>406</v>
      </c>
      <c r="B2120" t="str">
        <f>_xlfn.XLOOKUP(A2120,'[1]2050Pop'!$A$7:$A$143,'[1]2050Pop'!$D$7:$D$143)</f>
        <v>LatAm &amp; RSA</v>
      </c>
      <c r="C2120" s="127">
        <f>1000*_xlfn.XLOOKUP(A2120,'[1]2050Pop'!$A$7:$A$143,'[1]2050Pop'!$C$7:$C$143)</f>
        <v>11217</v>
      </c>
      <c r="D2120" s="126" t="s">
        <v>512</v>
      </c>
      <c r="E2120" s="128">
        <v>12.657</v>
      </c>
      <c r="F2120" s="129">
        <f t="shared" si="101"/>
        <v>0.14197356899999999</v>
      </c>
      <c r="G2120" t="str">
        <f>_xlfn.XLOOKUP(D2120,'[1]2050 BAU Mapping to T &amp; C'!$A$3:$A$52,'[1]2050 BAU Mapping to T &amp; C'!$B$3:$B$52)</f>
        <v xml:space="preserve">Other cereals </v>
      </c>
      <c r="H2120" s="129">
        <f>_xlfn.XLOOKUP(G2120,'[1]T&amp;C emissions for 2050 analysis'!$B$3:$B$23,'[1]T&amp;C emissions for 2050 analysis'!$C$3:$C$23)</f>
        <v>0.18333333333333335</v>
      </c>
      <c r="I2120" s="27">
        <f t="shared" si="99"/>
        <v>2.6028487650000001E-2</v>
      </c>
      <c r="J2120" s="129">
        <f t="shared" si="100"/>
        <v>2.3204500000000001</v>
      </c>
    </row>
    <row r="2121" spans="1:10" hidden="1" x14ac:dyDescent="0.35">
      <c r="A2121" s="126" t="s">
        <v>407</v>
      </c>
      <c r="B2121" t="str">
        <f>_xlfn.XLOOKUP(A2121,'[1]2050Pop'!$A$7:$A$143,'[1]2050Pop'!$D$7:$D$143)</f>
        <v>Euro/AU/NZ</v>
      </c>
      <c r="C2121" s="127">
        <f>1000*_xlfn.XLOOKUP(A2121,'[1]2050Pop'!$A$7:$A$143,'[1]2050Pop'!$C$7:$C$143)</f>
        <v>8318</v>
      </c>
      <c r="D2121" s="126" t="s">
        <v>512</v>
      </c>
      <c r="E2121" s="128">
        <v>14.336</v>
      </c>
      <c r="F2121" s="129">
        <f t="shared" si="101"/>
        <v>0.119246848</v>
      </c>
      <c r="G2121" t="str">
        <f>_xlfn.XLOOKUP(D2121,'[1]2050 BAU Mapping to T &amp; C'!$A$3:$A$52,'[1]2050 BAU Mapping to T &amp; C'!$B$3:$B$52)</f>
        <v xml:space="preserve">Other cereals </v>
      </c>
      <c r="H2121" s="129">
        <f>_xlfn.XLOOKUP(G2121,'[1]T&amp;C emissions for 2050 analysis'!$B$3:$B$23,'[1]T&amp;C emissions for 2050 analysis'!$C$3:$C$23)</f>
        <v>0.18333333333333335</v>
      </c>
      <c r="I2121" s="27">
        <f t="shared" si="99"/>
        <v>2.1861922133333336E-2</v>
      </c>
      <c r="J2121" s="129">
        <f t="shared" si="100"/>
        <v>2.6282666666666668</v>
      </c>
    </row>
    <row r="2122" spans="1:10" hidden="1" x14ac:dyDescent="0.35">
      <c r="A2122" s="126" t="s">
        <v>412</v>
      </c>
      <c r="B2122" t="str">
        <f>_xlfn.XLOOKUP(A2122,'[1]2050Pop'!$A$7:$A$143,'[1]2050Pop'!$D$7:$D$143)</f>
        <v>Euro/AU/NZ</v>
      </c>
      <c r="C2122" s="127">
        <f>1000*_xlfn.XLOOKUP(A2122,'[1]2050Pop'!$A$7:$A$143,'[1]2050Pop'!$C$7:$C$143)</f>
        <v>5789</v>
      </c>
      <c r="D2122" s="126" t="s">
        <v>512</v>
      </c>
      <c r="E2122" s="128">
        <v>33.037999999999997</v>
      </c>
      <c r="F2122" s="129">
        <f t="shared" si="101"/>
        <v>0.19125698199999999</v>
      </c>
      <c r="G2122" t="str">
        <f>_xlfn.XLOOKUP(D2122,'[1]2050 BAU Mapping to T &amp; C'!$A$3:$A$52,'[1]2050 BAU Mapping to T &amp; C'!$B$3:$B$52)</f>
        <v xml:space="preserve">Other cereals </v>
      </c>
      <c r="H2122" s="129">
        <f>_xlfn.XLOOKUP(G2122,'[1]T&amp;C emissions for 2050 analysis'!$B$3:$B$23,'[1]T&amp;C emissions for 2050 analysis'!$C$3:$C$23)</f>
        <v>0.18333333333333335</v>
      </c>
      <c r="I2122" s="27">
        <f t="shared" si="99"/>
        <v>3.5063780033333332E-2</v>
      </c>
      <c r="J2122" s="129">
        <f t="shared" si="100"/>
        <v>6.0569666666666668</v>
      </c>
    </row>
    <row r="2123" spans="1:10" hidden="1" x14ac:dyDescent="0.35">
      <c r="A2123" s="126" t="s">
        <v>413</v>
      </c>
      <c r="B2123" t="str">
        <f>_xlfn.XLOOKUP(A2123,'[1]2050Pop'!$A$7:$A$143,'[1]2050Pop'!$D$7:$D$143)</f>
        <v>MENA</v>
      </c>
      <c r="C2123" s="127">
        <f>1000*_xlfn.XLOOKUP(A2123,'[1]2050Pop'!$A$7:$A$143,'[1]2050Pop'!$C$7:$C$143)</f>
        <v>12610</v>
      </c>
      <c r="D2123" s="126" t="s">
        <v>512</v>
      </c>
      <c r="E2123" s="128">
        <v>9.5440000000000005</v>
      </c>
      <c r="F2123" s="129">
        <f t="shared" si="101"/>
        <v>0.12034984000000001</v>
      </c>
      <c r="G2123" t="str">
        <f>_xlfn.XLOOKUP(D2123,'[1]2050 BAU Mapping to T &amp; C'!$A$3:$A$52,'[1]2050 BAU Mapping to T &amp; C'!$B$3:$B$52)</f>
        <v xml:space="preserve">Other cereals </v>
      </c>
      <c r="H2123" s="129">
        <f>_xlfn.XLOOKUP(G2123,'[1]T&amp;C emissions for 2050 analysis'!$B$3:$B$23,'[1]T&amp;C emissions for 2050 analysis'!$C$3:$C$23)</f>
        <v>0.18333333333333335</v>
      </c>
      <c r="I2123" s="27">
        <f t="shared" si="99"/>
        <v>2.2064137333333338E-2</v>
      </c>
      <c r="J2123" s="129">
        <f t="shared" si="100"/>
        <v>1.7497333333333336</v>
      </c>
    </row>
    <row r="2124" spans="1:10" hidden="1" x14ac:dyDescent="0.35">
      <c r="A2124" s="126" t="s">
        <v>414</v>
      </c>
      <c r="B2124" t="str">
        <f>_xlfn.XLOOKUP(A2124,'[1]2050Pop'!$A$7:$A$143,'[1]2050Pop'!$D$7:$D$143)</f>
        <v>Euro/AU/NZ</v>
      </c>
      <c r="C2124" s="127">
        <f>1000*_xlfn.XLOOKUP(A2124,'[1]2050Pop'!$A$7:$A$143,'[1]2050Pop'!$C$7:$C$143)</f>
        <v>56513</v>
      </c>
      <c r="D2124" s="126" t="s">
        <v>512</v>
      </c>
      <c r="E2124" s="128">
        <v>8.5329999999999995</v>
      </c>
      <c r="F2124" s="129">
        <f t="shared" si="101"/>
        <v>0.48222542899999993</v>
      </c>
      <c r="G2124" t="str">
        <f>_xlfn.XLOOKUP(D2124,'[1]2050 BAU Mapping to T &amp; C'!$A$3:$A$52,'[1]2050 BAU Mapping to T &amp; C'!$B$3:$B$52)</f>
        <v xml:space="preserve">Other cereals </v>
      </c>
      <c r="H2124" s="129">
        <f>_xlfn.XLOOKUP(G2124,'[1]T&amp;C emissions for 2050 analysis'!$B$3:$B$23,'[1]T&amp;C emissions for 2050 analysis'!$C$3:$C$23)</f>
        <v>0.18333333333333335</v>
      </c>
      <c r="I2124" s="27">
        <f t="shared" si="99"/>
        <v>8.8407995316666654E-2</v>
      </c>
      <c r="J2124" s="129">
        <f t="shared" si="100"/>
        <v>1.5643833333333335</v>
      </c>
    </row>
    <row r="2125" spans="1:10" hidden="1" x14ac:dyDescent="0.35">
      <c r="A2125" s="126" t="s">
        <v>415</v>
      </c>
      <c r="B2125" t="str">
        <f>_xlfn.XLOOKUP(A2125,'[1]2050Pop'!$A$7:$A$143,'[1]2050Pop'!$D$7:$D$143)</f>
        <v>LatAm &amp; RSA</v>
      </c>
      <c r="C2125" s="127">
        <f>1000*_xlfn.XLOOKUP(A2125,'[1]2050Pop'!$A$7:$A$143,'[1]2050Pop'!$C$7:$C$143)</f>
        <v>2710</v>
      </c>
      <c r="D2125" s="126" t="s">
        <v>512</v>
      </c>
      <c r="E2125" s="128">
        <v>10.586</v>
      </c>
      <c r="F2125" s="129">
        <f t="shared" si="101"/>
        <v>2.8688060000000001E-2</v>
      </c>
      <c r="G2125" t="str">
        <f>_xlfn.XLOOKUP(D2125,'[1]2050 BAU Mapping to T &amp; C'!$A$3:$A$52,'[1]2050 BAU Mapping to T &amp; C'!$B$3:$B$52)</f>
        <v xml:space="preserve">Other cereals </v>
      </c>
      <c r="H2125" s="129">
        <f>_xlfn.XLOOKUP(G2125,'[1]T&amp;C emissions for 2050 analysis'!$B$3:$B$23,'[1]T&amp;C emissions for 2050 analysis'!$C$3:$C$23)</f>
        <v>0.18333333333333335</v>
      </c>
      <c r="I2125" s="27">
        <f t="shared" si="99"/>
        <v>5.2594776666666674E-3</v>
      </c>
      <c r="J2125" s="129">
        <f t="shared" si="100"/>
        <v>1.940766666666667</v>
      </c>
    </row>
    <row r="2126" spans="1:10" hidden="1" x14ac:dyDescent="0.35">
      <c r="A2126" s="126" t="s">
        <v>416</v>
      </c>
      <c r="B2126" t="str">
        <f>_xlfn.XLOOKUP(A2126,'[1]2050Pop'!$A$7:$A$143,'[1]2050Pop'!$D$7:$D$143)</f>
        <v>APAC</v>
      </c>
      <c r="C2126" s="127">
        <f>1000*_xlfn.XLOOKUP(A2126,'[1]2050Pop'!$A$7:$A$143,'[1]2050Pop'!$C$7:$C$143)</f>
        <v>107411</v>
      </c>
      <c r="D2126" s="126" t="s">
        <v>512</v>
      </c>
      <c r="E2126" s="128">
        <v>8.3689999999999998</v>
      </c>
      <c r="F2126" s="129">
        <f t="shared" si="101"/>
        <v>0.89892265900000001</v>
      </c>
      <c r="G2126" t="str">
        <f>_xlfn.XLOOKUP(D2126,'[1]2050 BAU Mapping to T &amp; C'!$A$3:$A$52,'[1]2050 BAU Mapping to T &amp; C'!$B$3:$B$52)</f>
        <v xml:space="preserve">Other cereals </v>
      </c>
      <c r="H2126" s="129">
        <f>_xlfn.XLOOKUP(G2126,'[1]T&amp;C emissions for 2050 analysis'!$B$3:$B$23,'[1]T&amp;C emissions for 2050 analysis'!$C$3:$C$23)</f>
        <v>0.18333333333333335</v>
      </c>
      <c r="I2126" s="27">
        <f t="shared" si="99"/>
        <v>0.16480248748333334</v>
      </c>
      <c r="J2126" s="129">
        <f t="shared" si="100"/>
        <v>1.5343166666666668</v>
      </c>
    </row>
    <row r="2127" spans="1:10" hidden="1" x14ac:dyDescent="0.35">
      <c r="A2127" s="126" t="s">
        <v>417</v>
      </c>
      <c r="B2127" t="str">
        <f>_xlfn.XLOOKUP(A2127,'[1]2050Pop'!$A$7:$A$143,'[1]2050Pop'!$D$7:$D$143)</f>
        <v>MENA</v>
      </c>
      <c r="C2127" s="127">
        <f>1000*_xlfn.XLOOKUP(A2127,'[1]2050Pop'!$A$7:$A$143,'[1]2050Pop'!$C$7:$C$143)</f>
        <v>11717</v>
      </c>
      <c r="D2127" s="126" t="s">
        <v>512</v>
      </c>
      <c r="E2127" s="128">
        <v>1.071</v>
      </c>
      <c r="F2127" s="129">
        <f t="shared" si="101"/>
        <v>1.2548907E-2</v>
      </c>
      <c r="G2127" t="str">
        <f>_xlfn.XLOOKUP(D2127,'[1]2050 BAU Mapping to T &amp; C'!$A$3:$A$52,'[1]2050 BAU Mapping to T &amp; C'!$B$3:$B$52)</f>
        <v xml:space="preserve">Other cereals </v>
      </c>
      <c r="H2127" s="129">
        <f>_xlfn.XLOOKUP(G2127,'[1]T&amp;C emissions for 2050 analysis'!$B$3:$B$23,'[1]T&amp;C emissions for 2050 analysis'!$C$3:$C$23)</f>
        <v>0.18333333333333335</v>
      </c>
      <c r="I2127" s="27">
        <f t="shared" si="99"/>
        <v>2.30063295E-3</v>
      </c>
      <c r="J2127" s="129">
        <f t="shared" si="100"/>
        <v>0.19635</v>
      </c>
    </row>
    <row r="2128" spans="1:10" hidden="1" x14ac:dyDescent="0.35">
      <c r="A2128" s="126" t="s">
        <v>418</v>
      </c>
      <c r="B2128" t="str">
        <f>_xlfn.XLOOKUP(A2128,'[1]2050Pop'!$A$7:$A$143,'[1]2050Pop'!$D$7:$D$143)</f>
        <v>APAC</v>
      </c>
      <c r="C2128" s="127">
        <f>1000*_xlfn.XLOOKUP(A2128,'[1]2050Pop'!$A$7:$A$143,'[1]2050Pop'!$C$7:$C$143)</f>
        <v>22447</v>
      </c>
      <c r="D2128" s="126" t="s">
        <v>512</v>
      </c>
      <c r="E2128" s="128">
        <v>36.155000000000001</v>
      </c>
      <c r="F2128" s="129">
        <f t="shared" si="101"/>
        <v>0.81157128500000009</v>
      </c>
      <c r="G2128" t="str">
        <f>_xlfn.XLOOKUP(D2128,'[1]2050 BAU Mapping to T &amp; C'!$A$3:$A$52,'[1]2050 BAU Mapping to T &amp; C'!$B$3:$B$52)</f>
        <v xml:space="preserve">Other cereals </v>
      </c>
      <c r="H2128" s="129">
        <f>_xlfn.XLOOKUP(G2128,'[1]T&amp;C emissions for 2050 analysis'!$B$3:$B$23,'[1]T&amp;C emissions for 2050 analysis'!$C$3:$C$23)</f>
        <v>0.18333333333333335</v>
      </c>
      <c r="I2128" s="27">
        <f t="shared" si="99"/>
        <v>0.14878806891666668</v>
      </c>
      <c r="J2128" s="129">
        <f t="shared" si="100"/>
        <v>6.6284166666666673</v>
      </c>
    </row>
    <row r="2129" spans="1:10" hidden="1" x14ac:dyDescent="0.35">
      <c r="A2129" s="126" t="s">
        <v>419</v>
      </c>
      <c r="B2129" t="str">
        <f>_xlfn.XLOOKUP(A2129,'[1]2050Pop'!$A$7:$A$143,'[1]2050Pop'!$D$7:$D$143)</f>
        <v>SSA</v>
      </c>
      <c r="C2129" s="127">
        <f>1000*_xlfn.XLOOKUP(A2129,'[1]2050Pop'!$A$7:$A$143,'[1]2050Pop'!$C$7:$C$143)</f>
        <v>95505</v>
      </c>
      <c r="D2129" s="126" t="s">
        <v>512</v>
      </c>
      <c r="E2129" s="128">
        <v>8.641</v>
      </c>
      <c r="F2129" s="129">
        <f t="shared" si="101"/>
        <v>0.82525870499999998</v>
      </c>
      <c r="G2129" t="str">
        <f>_xlfn.XLOOKUP(D2129,'[1]2050 BAU Mapping to T &amp; C'!$A$3:$A$52,'[1]2050 BAU Mapping to T &amp; C'!$B$3:$B$52)</f>
        <v xml:space="preserve">Other cereals </v>
      </c>
      <c r="H2129" s="129">
        <f>_xlfn.XLOOKUP(G2129,'[1]T&amp;C emissions for 2050 analysis'!$B$3:$B$23,'[1]T&amp;C emissions for 2050 analysis'!$C$3:$C$23)</f>
        <v>0.18333333333333335</v>
      </c>
      <c r="I2129" s="27">
        <f t="shared" si="99"/>
        <v>0.15129742925</v>
      </c>
      <c r="J2129" s="129">
        <f t="shared" si="100"/>
        <v>1.5841833333333335</v>
      </c>
    </row>
    <row r="2130" spans="1:10" hidden="1" x14ac:dyDescent="0.35">
      <c r="A2130" s="126" t="s">
        <v>420</v>
      </c>
      <c r="B2130" t="str">
        <f>_xlfn.XLOOKUP(A2130,'[1]2050Pop'!$A$7:$A$143,'[1]2050Pop'!$D$7:$D$143)</f>
        <v>APAC</v>
      </c>
      <c r="C2130" s="127">
        <f>1000*_xlfn.XLOOKUP(A2130,'[1]2050Pop'!$A$7:$A$143,'[1]2050Pop'!$C$7:$C$143)</f>
        <v>8248</v>
      </c>
      <c r="D2130" s="126" t="s">
        <v>512</v>
      </c>
      <c r="E2130" s="128">
        <v>6.7190000000000003</v>
      </c>
      <c r="F2130" s="129">
        <f t="shared" si="101"/>
        <v>5.5418312000000004E-2</v>
      </c>
      <c r="G2130" t="str">
        <f>_xlfn.XLOOKUP(D2130,'[1]2050 BAU Mapping to T &amp; C'!$A$3:$A$52,'[1]2050 BAU Mapping to T &amp; C'!$B$3:$B$52)</f>
        <v xml:space="preserve">Other cereals </v>
      </c>
      <c r="H2130" s="129">
        <f>_xlfn.XLOOKUP(G2130,'[1]T&amp;C emissions for 2050 analysis'!$B$3:$B$23,'[1]T&amp;C emissions for 2050 analysis'!$C$3:$C$23)</f>
        <v>0.18333333333333335</v>
      </c>
      <c r="I2130" s="27">
        <f t="shared" si="99"/>
        <v>1.0160023866666668E-2</v>
      </c>
      <c r="J2130" s="129">
        <f t="shared" si="100"/>
        <v>1.2318166666666668</v>
      </c>
    </row>
    <row r="2131" spans="1:10" hidden="1" x14ac:dyDescent="0.35">
      <c r="A2131" s="126" t="s">
        <v>421</v>
      </c>
      <c r="B2131" t="str">
        <f>_xlfn.XLOOKUP(A2131,'[1]2050Pop'!$A$7:$A$143,'[1]2050Pop'!$D$7:$D$143)</f>
        <v>APAC</v>
      </c>
      <c r="C2131" s="127">
        <f>1000*_xlfn.XLOOKUP(A2131,'[1]2050Pop'!$A$7:$A$143,'[1]2050Pop'!$C$7:$C$143)</f>
        <v>10172</v>
      </c>
      <c r="D2131" s="126" t="s">
        <v>512</v>
      </c>
      <c r="E2131" s="128">
        <v>2.0249999999999999</v>
      </c>
      <c r="F2131" s="129">
        <f t="shared" si="101"/>
        <v>2.05983E-2</v>
      </c>
      <c r="G2131" t="str">
        <f>_xlfn.XLOOKUP(D2131,'[1]2050 BAU Mapping to T &amp; C'!$A$3:$A$52,'[1]2050 BAU Mapping to T &amp; C'!$B$3:$B$52)</f>
        <v xml:space="preserve">Other cereals </v>
      </c>
      <c r="H2131" s="129">
        <f>_xlfn.XLOOKUP(G2131,'[1]T&amp;C emissions for 2050 analysis'!$B$3:$B$23,'[1]T&amp;C emissions for 2050 analysis'!$C$3:$C$23)</f>
        <v>0.18333333333333335</v>
      </c>
      <c r="I2131" s="27">
        <f t="shared" si="99"/>
        <v>3.7763550000000003E-3</v>
      </c>
      <c r="J2131" s="129">
        <f t="shared" si="100"/>
        <v>0.37125000000000002</v>
      </c>
    </row>
    <row r="2132" spans="1:10" hidden="1" x14ac:dyDescent="0.35">
      <c r="A2132" s="126" t="s">
        <v>422</v>
      </c>
      <c r="B2132" t="str">
        <f>_xlfn.XLOOKUP(A2132,'[1]2050Pop'!$A$7:$A$143,'[1]2050Pop'!$D$7:$D$143)</f>
        <v>Euro/AU/NZ</v>
      </c>
      <c r="C2132" s="127">
        <f>1000*_xlfn.XLOOKUP(A2132,'[1]2050Pop'!$A$7:$A$143,'[1]2050Pop'!$C$7:$C$143)</f>
        <v>1593</v>
      </c>
      <c r="D2132" s="126" t="s">
        <v>512</v>
      </c>
      <c r="E2132" s="128">
        <v>185.19200000000001</v>
      </c>
      <c r="F2132" s="129">
        <f t="shared" si="101"/>
        <v>0.29501085600000004</v>
      </c>
      <c r="G2132" t="str">
        <f>_xlfn.XLOOKUP(D2132,'[1]2050 BAU Mapping to T &amp; C'!$A$3:$A$52,'[1]2050 BAU Mapping to T &amp; C'!$B$3:$B$52)</f>
        <v xml:space="preserve">Other cereals </v>
      </c>
      <c r="H2132" s="129">
        <f>_xlfn.XLOOKUP(G2132,'[1]T&amp;C emissions for 2050 analysis'!$B$3:$B$23,'[1]T&amp;C emissions for 2050 analysis'!$C$3:$C$23)</f>
        <v>0.18333333333333335</v>
      </c>
      <c r="I2132" s="27">
        <f t="shared" si="99"/>
        <v>5.4085323600000013E-2</v>
      </c>
      <c r="J2132" s="129">
        <f t="shared" si="100"/>
        <v>33.951866666666668</v>
      </c>
    </row>
    <row r="2133" spans="1:10" hidden="1" x14ac:dyDescent="0.35">
      <c r="A2133" s="126" t="s">
        <v>423</v>
      </c>
      <c r="B2133" t="str">
        <f>_xlfn.XLOOKUP(A2133,'[1]2050Pop'!$A$7:$A$143,'[1]2050Pop'!$D$7:$D$143)</f>
        <v>MENA</v>
      </c>
      <c r="C2133" s="127">
        <f>1000*_xlfn.XLOOKUP(A2133,'[1]2050Pop'!$A$7:$A$143,'[1]2050Pop'!$C$7:$C$143)</f>
        <v>5610</v>
      </c>
      <c r="D2133" s="126" t="s">
        <v>512</v>
      </c>
      <c r="E2133" s="128">
        <v>1.081</v>
      </c>
      <c r="F2133" s="129">
        <f t="shared" si="101"/>
        <v>6.0644100000000001E-3</v>
      </c>
      <c r="G2133" t="str">
        <f>_xlfn.XLOOKUP(D2133,'[1]2050 BAU Mapping to T &amp; C'!$A$3:$A$52,'[1]2050 BAU Mapping to T &amp; C'!$B$3:$B$52)</f>
        <v xml:space="preserve">Other cereals </v>
      </c>
      <c r="H2133" s="129">
        <f>_xlfn.XLOOKUP(G2133,'[1]T&amp;C emissions for 2050 analysis'!$B$3:$B$23,'[1]T&amp;C emissions for 2050 analysis'!$C$3:$C$23)</f>
        <v>0.18333333333333335</v>
      </c>
      <c r="I2133" s="27">
        <f t="shared" si="99"/>
        <v>1.1118085000000001E-3</v>
      </c>
      <c r="J2133" s="129">
        <f t="shared" si="100"/>
        <v>0.19818333333333335</v>
      </c>
    </row>
    <row r="2134" spans="1:10" hidden="1" x14ac:dyDescent="0.35">
      <c r="A2134" s="126" t="s">
        <v>424</v>
      </c>
      <c r="B2134" t="str">
        <f>_xlfn.XLOOKUP(A2134,'[1]2050Pop'!$A$7:$A$143,'[1]2050Pop'!$D$7:$D$143)</f>
        <v>SSA</v>
      </c>
      <c r="C2134" s="127">
        <f>1000*_xlfn.XLOOKUP(A2134,'[1]2050Pop'!$A$7:$A$143,'[1]2050Pop'!$C$7:$C$143)</f>
        <v>2987</v>
      </c>
      <c r="D2134" s="126" t="s">
        <v>512</v>
      </c>
      <c r="E2134" s="128">
        <v>49.680999999999997</v>
      </c>
      <c r="F2134" s="129">
        <f t="shared" si="101"/>
        <v>0.14839714700000001</v>
      </c>
      <c r="G2134" t="str">
        <f>_xlfn.XLOOKUP(D2134,'[1]2050 BAU Mapping to T &amp; C'!$A$3:$A$52,'[1]2050 BAU Mapping to T &amp; C'!$B$3:$B$52)</f>
        <v xml:space="preserve">Other cereals </v>
      </c>
      <c r="H2134" s="129">
        <f>_xlfn.XLOOKUP(G2134,'[1]T&amp;C emissions for 2050 analysis'!$B$3:$B$23,'[1]T&amp;C emissions for 2050 analysis'!$C$3:$C$23)</f>
        <v>0.18333333333333335</v>
      </c>
      <c r="I2134" s="27">
        <f t="shared" si="99"/>
        <v>2.7206143616666671E-2</v>
      </c>
      <c r="J2134" s="129">
        <f t="shared" si="100"/>
        <v>9.1081833333333329</v>
      </c>
    </row>
    <row r="2135" spans="1:10" hidden="1" x14ac:dyDescent="0.35">
      <c r="A2135" s="126" t="s">
        <v>425</v>
      </c>
      <c r="B2135" t="str">
        <f>_xlfn.XLOOKUP(A2135,'[1]2050Pop'!$A$7:$A$143,'[1]2050Pop'!$D$7:$D$143)</f>
        <v>SSA</v>
      </c>
      <c r="C2135" s="127">
        <f>1000*_xlfn.XLOOKUP(A2135,'[1]2050Pop'!$A$7:$A$143,'[1]2050Pop'!$C$7:$C$143)</f>
        <v>9436</v>
      </c>
      <c r="D2135" s="126" t="s">
        <v>512</v>
      </c>
      <c r="E2135" s="130">
        <v>2.0299999999999998</v>
      </c>
      <c r="F2135" s="129">
        <f t="shared" si="101"/>
        <v>1.9155079999999998E-2</v>
      </c>
      <c r="G2135" t="str">
        <f>_xlfn.XLOOKUP(D2135,'[1]2050 BAU Mapping to T &amp; C'!$A$3:$A$52,'[1]2050 BAU Mapping to T &amp; C'!$B$3:$B$52)</f>
        <v xml:space="preserve">Other cereals </v>
      </c>
      <c r="H2135" s="129">
        <f>_xlfn.XLOOKUP(G2135,'[1]T&amp;C emissions for 2050 analysis'!$B$3:$B$23,'[1]T&amp;C emissions for 2050 analysis'!$C$3:$C$23)</f>
        <v>0.18333333333333335</v>
      </c>
      <c r="I2135" s="27">
        <f t="shared" si="99"/>
        <v>3.5117646666666664E-3</v>
      </c>
      <c r="J2135" s="129">
        <f t="shared" si="100"/>
        <v>0.37216666666666665</v>
      </c>
    </row>
    <row r="2136" spans="1:10" hidden="1" x14ac:dyDescent="0.35">
      <c r="A2136" s="126" t="s">
        <v>426</v>
      </c>
      <c r="B2136" t="str">
        <f>_xlfn.XLOOKUP(A2136,'[1]2050Pop'!$A$7:$A$143,'[1]2050Pop'!$D$7:$D$143)</f>
        <v>Euro/AU/NZ</v>
      </c>
      <c r="C2136" s="127">
        <f>1000*_xlfn.XLOOKUP(A2136,'[1]2050Pop'!$A$7:$A$143,'[1]2050Pop'!$C$7:$C$143)</f>
        <v>2375</v>
      </c>
      <c r="D2136" s="126" t="s">
        <v>512</v>
      </c>
      <c r="E2136" s="128">
        <v>125.009</v>
      </c>
      <c r="F2136" s="129">
        <f t="shared" si="101"/>
        <v>0.29689637499999999</v>
      </c>
      <c r="G2136" t="str">
        <f>_xlfn.XLOOKUP(D2136,'[1]2050 BAU Mapping to T &amp; C'!$A$3:$A$52,'[1]2050 BAU Mapping to T &amp; C'!$B$3:$B$52)</f>
        <v xml:space="preserve">Other cereals </v>
      </c>
      <c r="H2136" s="129">
        <f>_xlfn.XLOOKUP(G2136,'[1]T&amp;C emissions for 2050 analysis'!$B$3:$B$23,'[1]T&amp;C emissions for 2050 analysis'!$C$3:$C$23)</f>
        <v>0.18333333333333335</v>
      </c>
      <c r="I2136" s="27">
        <f t="shared" si="99"/>
        <v>5.4431002083333332E-2</v>
      </c>
      <c r="J2136" s="129">
        <f t="shared" si="100"/>
        <v>22.918316666666669</v>
      </c>
    </row>
    <row r="2137" spans="1:10" hidden="1" x14ac:dyDescent="0.35">
      <c r="A2137" s="126" t="s">
        <v>427</v>
      </c>
      <c r="B2137" t="str">
        <f>_xlfn.XLOOKUP(A2137,'[1]2050Pop'!$A$7:$A$143,'[1]2050Pop'!$D$7:$D$143)</f>
        <v>SSA</v>
      </c>
      <c r="C2137" s="127">
        <f>1000*_xlfn.XLOOKUP(A2137,'[1]2050Pop'!$A$7:$A$143,'[1]2050Pop'!$C$7:$C$143)</f>
        <v>55294</v>
      </c>
      <c r="D2137" s="126" t="s">
        <v>512</v>
      </c>
      <c r="E2137" s="128">
        <v>1.599</v>
      </c>
      <c r="F2137" s="129">
        <f t="shared" si="101"/>
        <v>8.8415105999999993E-2</v>
      </c>
      <c r="G2137" t="str">
        <f>_xlfn.XLOOKUP(D2137,'[1]2050 BAU Mapping to T &amp; C'!$A$3:$A$52,'[1]2050 BAU Mapping to T &amp; C'!$B$3:$B$52)</f>
        <v xml:space="preserve">Other cereals </v>
      </c>
      <c r="H2137" s="129">
        <f>_xlfn.XLOOKUP(G2137,'[1]T&amp;C emissions for 2050 analysis'!$B$3:$B$23,'[1]T&amp;C emissions for 2050 analysis'!$C$3:$C$23)</f>
        <v>0.18333333333333335</v>
      </c>
      <c r="I2137" s="27">
        <f t="shared" si="99"/>
        <v>1.6209436099999999E-2</v>
      </c>
      <c r="J2137" s="129">
        <f t="shared" si="100"/>
        <v>0.29315000000000002</v>
      </c>
    </row>
    <row r="2138" spans="1:10" hidden="1" x14ac:dyDescent="0.35">
      <c r="A2138" s="126" t="s">
        <v>429</v>
      </c>
      <c r="B2138" t="str">
        <f>_xlfn.XLOOKUP(A2138,'[1]2050Pop'!$A$7:$A$143,'[1]2050Pop'!$D$7:$D$143)</f>
        <v>APAC</v>
      </c>
      <c r="C2138" s="127">
        <f>1000*_xlfn.XLOOKUP(A2138,'[1]2050Pop'!$A$7:$A$143,'[1]2050Pop'!$C$7:$C$143)</f>
        <v>40725</v>
      </c>
      <c r="D2138" s="126" t="s">
        <v>512</v>
      </c>
      <c r="E2138" s="128">
        <v>18.963999999999999</v>
      </c>
      <c r="F2138" s="129">
        <f t="shared" si="101"/>
        <v>0.77230889999999985</v>
      </c>
      <c r="G2138" t="str">
        <f>_xlfn.XLOOKUP(D2138,'[1]2050 BAU Mapping to T &amp; C'!$A$3:$A$52,'[1]2050 BAU Mapping to T &amp; C'!$B$3:$B$52)</f>
        <v xml:space="preserve">Other cereals </v>
      </c>
      <c r="H2138" s="129">
        <f>_xlfn.XLOOKUP(G2138,'[1]T&amp;C emissions for 2050 analysis'!$B$3:$B$23,'[1]T&amp;C emissions for 2050 analysis'!$C$3:$C$23)</f>
        <v>0.18333333333333335</v>
      </c>
      <c r="I2138" s="27">
        <f t="shared" si="99"/>
        <v>0.14158996499999998</v>
      </c>
      <c r="J2138" s="129">
        <f t="shared" si="100"/>
        <v>3.4767333333333332</v>
      </c>
    </row>
    <row r="2139" spans="1:10" hidden="1" x14ac:dyDescent="0.35">
      <c r="A2139" s="126" t="s">
        <v>430</v>
      </c>
      <c r="B2139" t="str">
        <f>_xlfn.XLOOKUP(A2139,'[1]2050Pop'!$A$7:$A$143,'[1]2050Pop'!$D$7:$D$143)</f>
        <v>SSA</v>
      </c>
      <c r="C2139" s="127">
        <f>1000*_xlfn.XLOOKUP(A2139,'[1]2050Pop'!$A$7:$A$143,'[1]2050Pop'!$C$7:$C$143)</f>
        <v>45404</v>
      </c>
      <c r="D2139" s="126" t="s">
        <v>512</v>
      </c>
      <c r="E2139" s="128">
        <v>26.736000000000001</v>
      </c>
      <c r="F2139" s="129">
        <f t="shared" si="101"/>
        <v>1.2139213440000001</v>
      </c>
      <c r="G2139" t="str">
        <f>_xlfn.XLOOKUP(D2139,'[1]2050 BAU Mapping to T &amp; C'!$A$3:$A$52,'[1]2050 BAU Mapping to T &amp; C'!$B$3:$B$52)</f>
        <v xml:space="preserve">Other cereals </v>
      </c>
      <c r="H2139" s="129">
        <f>_xlfn.XLOOKUP(G2139,'[1]T&amp;C emissions for 2050 analysis'!$B$3:$B$23,'[1]T&amp;C emissions for 2050 analysis'!$C$3:$C$23)</f>
        <v>0.18333333333333335</v>
      </c>
      <c r="I2139" s="27">
        <f t="shared" si="99"/>
        <v>0.22255224640000004</v>
      </c>
      <c r="J2139" s="129">
        <f t="shared" si="100"/>
        <v>4.9016000000000002</v>
      </c>
    </row>
    <row r="2140" spans="1:10" hidden="1" x14ac:dyDescent="0.35">
      <c r="A2140" s="126" t="s">
        <v>431</v>
      </c>
      <c r="B2140" t="str">
        <f>_xlfn.XLOOKUP(A2140,'[1]2050Pop'!$A$7:$A$143,'[1]2050Pop'!$D$7:$D$143)</f>
        <v>SSA</v>
      </c>
      <c r="C2140" s="127">
        <f>1000*_xlfn.XLOOKUP(A2140,'[1]2050Pop'!$A$7:$A$143,'[1]2050Pop'!$C$7:$C$143)</f>
        <v>8048.9999999999991</v>
      </c>
      <c r="D2140" s="126" t="s">
        <v>512</v>
      </c>
      <c r="E2140" s="128">
        <v>7.5010000000000003</v>
      </c>
      <c r="F2140" s="129">
        <f t="shared" si="101"/>
        <v>6.0375549000000001E-2</v>
      </c>
      <c r="G2140" t="str">
        <f>_xlfn.XLOOKUP(D2140,'[1]2050 BAU Mapping to T &amp; C'!$A$3:$A$52,'[1]2050 BAU Mapping to T &amp; C'!$B$3:$B$52)</f>
        <v xml:space="preserve">Other cereals </v>
      </c>
      <c r="H2140" s="129">
        <f>_xlfn.XLOOKUP(G2140,'[1]T&amp;C emissions for 2050 analysis'!$B$3:$B$23,'[1]T&amp;C emissions for 2050 analysis'!$C$3:$C$23)</f>
        <v>0.18333333333333335</v>
      </c>
      <c r="I2140" s="27">
        <f t="shared" si="99"/>
        <v>1.1068850650000002E-2</v>
      </c>
      <c r="J2140" s="129">
        <f t="shared" si="100"/>
        <v>1.3751833333333334</v>
      </c>
    </row>
    <row r="2141" spans="1:10" hidden="1" x14ac:dyDescent="0.35">
      <c r="A2141" s="126" t="s">
        <v>432</v>
      </c>
      <c r="B2141" t="str">
        <f>_xlfn.XLOOKUP(A2141,'[1]2050Pop'!$A$7:$A$143,'[1]2050Pop'!$D$7:$D$143)</f>
        <v>SSA</v>
      </c>
      <c r="C2141" s="127">
        <f>1000*_xlfn.XLOOKUP(A2141,'[1]2050Pop'!$A$7:$A$143,'[1]2050Pop'!$C$7:$C$143)</f>
        <v>1249</v>
      </c>
      <c r="D2141" s="126" t="s">
        <v>512</v>
      </c>
      <c r="E2141" s="128">
        <v>3.726</v>
      </c>
      <c r="F2141" s="129">
        <f t="shared" si="101"/>
        <v>4.6537740000000003E-3</v>
      </c>
      <c r="G2141" t="str">
        <f>_xlfn.XLOOKUP(D2141,'[1]2050 BAU Mapping to T &amp; C'!$A$3:$A$52,'[1]2050 BAU Mapping to T &amp; C'!$B$3:$B$52)</f>
        <v xml:space="preserve">Other cereals </v>
      </c>
      <c r="H2141" s="129">
        <f>_xlfn.XLOOKUP(G2141,'[1]T&amp;C emissions for 2050 analysis'!$B$3:$B$23,'[1]T&amp;C emissions for 2050 analysis'!$C$3:$C$23)</f>
        <v>0.18333333333333335</v>
      </c>
      <c r="I2141" s="27">
        <f t="shared" si="99"/>
        <v>8.5319190000000009E-4</v>
      </c>
      <c r="J2141" s="129">
        <f t="shared" si="100"/>
        <v>0.68310000000000004</v>
      </c>
    </row>
    <row r="2142" spans="1:10" hidden="1" x14ac:dyDescent="0.35">
      <c r="A2142" s="126" t="s">
        <v>433</v>
      </c>
      <c r="B2142" t="str">
        <f>_xlfn.XLOOKUP(A2142,'[1]2050Pop'!$A$7:$A$143,'[1]2050Pop'!$D$7:$D$143)</f>
        <v>LatAm &amp; RSA</v>
      </c>
      <c r="C2142" s="127">
        <f>1000*_xlfn.XLOOKUP(A2142,'[1]2050Pop'!$A$7:$A$143,'[1]2050Pop'!$C$7:$C$143)</f>
        <v>163754</v>
      </c>
      <c r="D2142" s="126" t="s">
        <v>512</v>
      </c>
      <c r="E2142" s="128">
        <v>16.087</v>
      </c>
      <c r="F2142" s="129">
        <f t="shared" si="101"/>
        <v>2.6343105979999999</v>
      </c>
      <c r="G2142" t="str">
        <f>_xlfn.XLOOKUP(D2142,'[1]2050 BAU Mapping to T &amp; C'!$A$3:$A$52,'[1]2050 BAU Mapping to T &amp; C'!$B$3:$B$52)</f>
        <v xml:space="preserve">Other cereals </v>
      </c>
      <c r="H2142" s="129">
        <f>_xlfn.XLOOKUP(G2142,'[1]T&amp;C emissions for 2050 analysis'!$B$3:$B$23,'[1]T&amp;C emissions for 2050 analysis'!$C$3:$C$23)</f>
        <v>0.18333333333333335</v>
      </c>
      <c r="I2142" s="27">
        <f t="shared" si="99"/>
        <v>0.48295694296666669</v>
      </c>
      <c r="J2142" s="129">
        <f t="shared" si="100"/>
        <v>2.9492833333333337</v>
      </c>
    </row>
    <row r="2143" spans="1:10" hidden="1" x14ac:dyDescent="0.35">
      <c r="A2143" s="126" t="s">
        <v>434</v>
      </c>
      <c r="B2143" t="str">
        <f>_xlfn.XLOOKUP(A2143,'[1]2050Pop'!$A$7:$A$143,'[1]2050Pop'!$D$7:$D$143)</f>
        <v>APAC</v>
      </c>
      <c r="C2143" s="127">
        <f>1000*_xlfn.XLOOKUP(A2143,'[1]2050Pop'!$A$7:$A$143,'[1]2050Pop'!$C$7:$C$143)</f>
        <v>4027.9999999999995</v>
      </c>
      <c r="D2143" s="126" t="s">
        <v>512</v>
      </c>
      <c r="E2143" s="128">
        <v>6.093</v>
      </c>
      <c r="F2143" s="129">
        <f t="shared" si="101"/>
        <v>2.4542603999999996E-2</v>
      </c>
      <c r="G2143" t="str">
        <f>_xlfn.XLOOKUP(D2143,'[1]2050 BAU Mapping to T &amp; C'!$A$3:$A$52,'[1]2050 BAU Mapping to T &amp; C'!$B$3:$B$52)</f>
        <v xml:space="preserve">Other cereals </v>
      </c>
      <c r="H2143" s="129">
        <f>_xlfn.XLOOKUP(G2143,'[1]T&amp;C emissions for 2050 analysis'!$B$3:$B$23,'[1]T&amp;C emissions for 2050 analysis'!$C$3:$C$23)</f>
        <v>0.18333333333333335</v>
      </c>
      <c r="I2143" s="27">
        <f t="shared" si="99"/>
        <v>4.4994773999999993E-3</v>
      </c>
      <c r="J2143" s="129">
        <f t="shared" si="100"/>
        <v>1.1170500000000001</v>
      </c>
    </row>
    <row r="2144" spans="1:10" hidden="1" x14ac:dyDescent="0.35">
      <c r="A2144" s="126" t="s">
        <v>435</v>
      </c>
      <c r="B2144" t="str">
        <f>_xlfn.XLOOKUP(A2144,'[1]2050Pop'!$A$7:$A$143,'[1]2050Pop'!$D$7:$D$143)</f>
        <v>MENA</v>
      </c>
      <c r="C2144" s="127">
        <f>1000*_xlfn.XLOOKUP(A2144,'[1]2050Pop'!$A$7:$A$143,'[1]2050Pop'!$C$7:$C$143)</f>
        <v>43696</v>
      </c>
      <c r="D2144" s="126" t="s">
        <v>512</v>
      </c>
      <c r="E2144" s="128">
        <v>1.0009999999999999</v>
      </c>
      <c r="F2144" s="129">
        <f t="shared" si="101"/>
        <v>4.3739695999999995E-2</v>
      </c>
      <c r="G2144" t="str">
        <f>_xlfn.XLOOKUP(D2144,'[1]2050 BAU Mapping to T &amp; C'!$A$3:$A$52,'[1]2050 BAU Mapping to T &amp; C'!$B$3:$B$52)</f>
        <v xml:space="preserve">Other cereals </v>
      </c>
      <c r="H2144" s="129">
        <f>_xlfn.XLOOKUP(G2144,'[1]T&amp;C emissions for 2050 analysis'!$B$3:$B$23,'[1]T&amp;C emissions for 2050 analysis'!$C$3:$C$23)</f>
        <v>0.18333333333333335</v>
      </c>
      <c r="I2144" s="27">
        <f t="shared" si="99"/>
        <v>8.0189442666666663E-3</v>
      </c>
      <c r="J2144" s="129">
        <f t="shared" si="100"/>
        <v>0.18351666666666666</v>
      </c>
    </row>
    <row r="2145" spans="1:10" hidden="1" x14ac:dyDescent="0.35">
      <c r="A2145" s="126" t="s">
        <v>436</v>
      </c>
      <c r="B2145" t="str">
        <f>_xlfn.XLOOKUP(A2145,'[1]2050Pop'!$A$7:$A$143,'[1]2050Pop'!$D$7:$D$143)</f>
        <v>SSA</v>
      </c>
      <c r="C2145" s="127">
        <f>1000*_xlfn.XLOOKUP(A2145,'[1]2050Pop'!$A$7:$A$143,'[1]2050Pop'!$C$7:$C$143)</f>
        <v>65544</v>
      </c>
      <c r="D2145" s="126" t="s">
        <v>512</v>
      </c>
      <c r="E2145" s="128">
        <v>3.0339999999999998</v>
      </c>
      <c r="F2145" s="129">
        <f t="shared" si="101"/>
        <v>0.198860496</v>
      </c>
      <c r="G2145" t="str">
        <f>_xlfn.XLOOKUP(D2145,'[1]2050 BAU Mapping to T &amp; C'!$A$3:$A$52,'[1]2050 BAU Mapping to T &amp; C'!$B$3:$B$52)</f>
        <v xml:space="preserve">Other cereals </v>
      </c>
      <c r="H2145" s="129">
        <f>_xlfn.XLOOKUP(G2145,'[1]T&amp;C emissions for 2050 analysis'!$B$3:$B$23,'[1]T&amp;C emissions for 2050 analysis'!$C$3:$C$23)</f>
        <v>0.18333333333333335</v>
      </c>
      <c r="I2145" s="27">
        <f t="shared" si="99"/>
        <v>3.6457757600000001E-2</v>
      </c>
      <c r="J2145" s="129">
        <f t="shared" si="100"/>
        <v>0.55623333333333336</v>
      </c>
    </row>
    <row r="2146" spans="1:10" hidden="1" x14ac:dyDescent="0.35">
      <c r="A2146" s="126" t="s">
        <v>490</v>
      </c>
      <c r="B2146" t="str">
        <f>_xlfn.XLOOKUP(A2146,'[1]2050Pop'!$A$7:$A$143,'[1]2050Pop'!$D$7:$D$143)</f>
        <v>APAC</v>
      </c>
      <c r="C2146" s="127">
        <f>1000*_xlfn.XLOOKUP(A2146,'[1]2050Pop'!$A$7:$A$143,'[1]2050Pop'!$C$7:$C$143)</f>
        <v>63575</v>
      </c>
      <c r="D2146" s="126" t="s">
        <v>512</v>
      </c>
      <c r="E2146" s="128">
        <v>2.7639999999999998</v>
      </c>
      <c r="F2146" s="129">
        <f t="shared" si="101"/>
        <v>0.1757213</v>
      </c>
      <c r="G2146" t="str">
        <f>_xlfn.XLOOKUP(D2146,'[1]2050 BAU Mapping to T &amp; C'!$A$3:$A$52,'[1]2050 BAU Mapping to T &amp; C'!$B$3:$B$52)</f>
        <v xml:space="preserve">Other cereals </v>
      </c>
      <c r="H2146" s="129">
        <f>_xlfn.XLOOKUP(G2146,'[1]T&amp;C emissions for 2050 analysis'!$B$3:$B$23,'[1]T&amp;C emissions for 2050 analysis'!$C$3:$C$23)</f>
        <v>0.18333333333333335</v>
      </c>
      <c r="I2146" s="27">
        <f t="shared" si="99"/>
        <v>3.2215571666666672E-2</v>
      </c>
      <c r="J2146" s="129">
        <f t="shared" si="100"/>
        <v>0.50673333333333337</v>
      </c>
    </row>
    <row r="2147" spans="1:10" hidden="1" x14ac:dyDescent="0.35">
      <c r="A2147" s="126" t="s">
        <v>437</v>
      </c>
      <c r="B2147" t="str">
        <f>_xlfn.XLOOKUP(A2147,'[1]2050Pop'!$A$7:$A$143,'[1]2050Pop'!$D$7:$D$143)</f>
        <v>SSA</v>
      </c>
      <c r="C2147" s="127">
        <f>1000*_xlfn.XLOOKUP(A2147,'[1]2050Pop'!$A$7:$A$143,'[1]2050Pop'!$C$7:$C$143)</f>
        <v>4322</v>
      </c>
      <c r="D2147" s="126" t="s">
        <v>512</v>
      </c>
      <c r="E2147" s="128">
        <v>21.547000000000001</v>
      </c>
      <c r="F2147" s="129">
        <f t="shared" si="101"/>
        <v>9.3126133999999999E-2</v>
      </c>
      <c r="G2147" t="str">
        <f>_xlfn.XLOOKUP(D2147,'[1]2050 BAU Mapping to T &amp; C'!$A$3:$A$52,'[1]2050 BAU Mapping to T &amp; C'!$B$3:$B$52)</f>
        <v xml:space="preserve">Other cereals </v>
      </c>
      <c r="H2147" s="129">
        <f>_xlfn.XLOOKUP(G2147,'[1]T&amp;C emissions for 2050 analysis'!$B$3:$B$23,'[1]T&amp;C emissions for 2050 analysis'!$C$3:$C$23)</f>
        <v>0.18333333333333335</v>
      </c>
      <c r="I2147" s="27">
        <f t="shared" si="99"/>
        <v>1.7073124566666667E-2</v>
      </c>
      <c r="J2147" s="129">
        <f t="shared" si="100"/>
        <v>3.9502833333333336</v>
      </c>
    </row>
    <row r="2148" spans="1:10" hidden="1" x14ac:dyDescent="0.35">
      <c r="A2148" s="126" t="s">
        <v>438</v>
      </c>
      <c r="B2148" t="str">
        <f>_xlfn.XLOOKUP(A2148,'[1]2050Pop'!$A$7:$A$143,'[1]2050Pop'!$D$7:$D$143)</f>
        <v>India/South Asia</v>
      </c>
      <c r="C2148" s="127">
        <f>1000*_xlfn.XLOOKUP(A2148,'[1]2050Pop'!$A$7:$A$143,'[1]2050Pop'!$C$7:$C$143)</f>
        <v>36159</v>
      </c>
      <c r="D2148" s="126" t="s">
        <v>512</v>
      </c>
      <c r="E2148" s="128">
        <v>6.6139999999999999</v>
      </c>
      <c r="F2148" s="129">
        <f t="shared" si="101"/>
        <v>0.23915562599999998</v>
      </c>
      <c r="G2148" t="str">
        <f>_xlfn.XLOOKUP(D2148,'[1]2050 BAU Mapping to T &amp; C'!$A$3:$A$52,'[1]2050 BAU Mapping to T &amp; C'!$B$3:$B$52)</f>
        <v xml:space="preserve">Other cereals </v>
      </c>
      <c r="H2148" s="129">
        <f>_xlfn.XLOOKUP(G2148,'[1]T&amp;C emissions for 2050 analysis'!$B$3:$B$23,'[1]T&amp;C emissions for 2050 analysis'!$C$3:$C$23)</f>
        <v>0.18333333333333335</v>
      </c>
      <c r="I2148" s="27">
        <f t="shared" si="99"/>
        <v>4.3845198100000003E-2</v>
      </c>
      <c r="J2148" s="129">
        <f t="shared" si="100"/>
        <v>1.2125666666666668</v>
      </c>
    </row>
    <row r="2149" spans="1:10" hidden="1" x14ac:dyDescent="0.35">
      <c r="A2149" s="126" t="s">
        <v>439</v>
      </c>
      <c r="B2149" t="str">
        <f>_xlfn.XLOOKUP(A2149,'[1]2050Pop'!$A$7:$A$143,'[1]2050Pop'!$D$7:$D$143)</f>
        <v>Euro/AU/NZ</v>
      </c>
      <c r="C2149" s="127">
        <f>1000*_xlfn.XLOOKUP(A2149,'[1]2050Pop'!$A$7:$A$143,'[1]2050Pop'!$C$7:$C$143)</f>
        <v>17602</v>
      </c>
      <c r="D2149" s="126" t="s">
        <v>512</v>
      </c>
      <c r="E2149" s="128">
        <v>99.882000000000005</v>
      </c>
      <c r="F2149" s="129">
        <f t="shared" si="101"/>
        <v>1.7581229640000002</v>
      </c>
      <c r="G2149" t="str">
        <f>_xlfn.XLOOKUP(D2149,'[1]2050 BAU Mapping to T &amp; C'!$A$3:$A$52,'[1]2050 BAU Mapping to T &amp; C'!$B$3:$B$52)</f>
        <v xml:space="preserve">Other cereals </v>
      </c>
      <c r="H2149" s="129">
        <f>_xlfn.XLOOKUP(G2149,'[1]T&amp;C emissions for 2050 analysis'!$B$3:$B$23,'[1]T&amp;C emissions for 2050 analysis'!$C$3:$C$23)</f>
        <v>0.18333333333333335</v>
      </c>
      <c r="I2149" s="27">
        <f t="shared" si="99"/>
        <v>0.32232254340000005</v>
      </c>
      <c r="J2149" s="129">
        <f t="shared" si="100"/>
        <v>18.311700000000002</v>
      </c>
    </row>
    <row r="2150" spans="1:10" hidden="1" x14ac:dyDescent="0.35">
      <c r="A2150" s="126" t="s">
        <v>440</v>
      </c>
      <c r="B2150" t="str">
        <f>_xlfn.XLOOKUP(A2150,'[1]2050Pop'!$A$7:$A$143,'[1]2050Pop'!$D$7:$D$143)</f>
        <v>Euro/AU/NZ</v>
      </c>
      <c r="C2150" s="127">
        <f>1000*_xlfn.XLOOKUP(A2150,'[1]2050Pop'!$A$7:$A$143,'[1]2050Pop'!$C$7:$C$143)</f>
        <v>5607</v>
      </c>
      <c r="D2150" s="126" t="s">
        <v>512</v>
      </c>
      <c r="E2150" s="128">
        <v>53.064999999999998</v>
      </c>
      <c r="F2150" s="129">
        <f t="shared" si="101"/>
        <v>0.297535455</v>
      </c>
      <c r="G2150" t="str">
        <f>_xlfn.XLOOKUP(D2150,'[1]2050 BAU Mapping to T &amp; C'!$A$3:$A$52,'[1]2050 BAU Mapping to T &amp; C'!$B$3:$B$52)</f>
        <v xml:space="preserve">Other cereals </v>
      </c>
      <c r="H2150" s="129">
        <f>_xlfn.XLOOKUP(G2150,'[1]T&amp;C emissions for 2050 analysis'!$B$3:$B$23,'[1]T&amp;C emissions for 2050 analysis'!$C$3:$C$23)</f>
        <v>0.18333333333333335</v>
      </c>
      <c r="I2150" s="27">
        <f t="shared" si="99"/>
        <v>5.4548166750000009E-2</v>
      </c>
      <c r="J2150" s="129">
        <f t="shared" si="100"/>
        <v>9.7285833333333329</v>
      </c>
    </row>
    <row r="2151" spans="1:10" hidden="1" x14ac:dyDescent="0.35">
      <c r="A2151" s="126" t="s">
        <v>441</v>
      </c>
      <c r="B2151" t="str">
        <f>_xlfn.XLOOKUP(A2151,'[1]2050Pop'!$A$7:$A$143,'[1]2050Pop'!$D$7:$D$143)</f>
        <v>LatAm &amp; RSA</v>
      </c>
      <c r="C2151" s="127">
        <f>1000*_xlfn.XLOOKUP(A2151,'[1]2050Pop'!$A$7:$A$143,'[1]2050Pop'!$C$7:$C$143)</f>
        <v>7863</v>
      </c>
      <c r="D2151" s="126" t="s">
        <v>512</v>
      </c>
      <c r="E2151" s="128">
        <v>12.334</v>
      </c>
      <c r="F2151" s="129">
        <f t="shared" si="101"/>
        <v>9.6982241999999996E-2</v>
      </c>
      <c r="G2151" t="str">
        <f>_xlfn.XLOOKUP(D2151,'[1]2050 BAU Mapping to T &amp; C'!$A$3:$A$52,'[1]2050 BAU Mapping to T &amp; C'!$B$3:$B$52)</f>
        <v xml:space="preserve">Other cereals </v>
      </c>
      <c r="H2151" s="129">
        <f>_xlfn.XLOOKUP(G2151,'[1]T&amp;C emissions for 2050 analysis'!$B$3:$B$23,'[1]T&amp;C emissions for 2050 analysis'!$C$3:$C$23)</f>
        <v>0.18333333333333335</v>
      </c>
      <c r="I2151" s="27">
        <f t="shared" si="99"/>
        <v>1.7780077700000001E-2</v>
      </c>
      <c r="J2151" s="129">
        <f t="shared" si="100"/>
        <v>2.2612333333333337</v>
      </c>
    </row>
    <row r="2152" spans="1:10" hidden="1" x14ac:dyDescent="0.35">
      <c r="A2152" s="126" t="s">
        <v>482</v>
      </c>
      <c r="B2152" t="str">
        <f>_xlfn.XLOOKUP(A2152,'[1]2050Pop'!$A$7:$A$143,'[1]2050Pop'!$D$7:$D$143)</f>
        <v>SSA</v>
      </c>
      <c r="C2152" s="127">
        <f>1000*_xlfn.XLOOKUP(A2152,'[1]2050Pop'!$A$7:$A$143,'[1]2050Pop'!$C$7:$C$143)</f>
        <v>72238</v>
      </c>
      <c r="D2152" s="126" t="s">
        <v>512</v>
      </c>
      <c r="E2152" s="128">
        <v>9.1820000000000004</v>
      </c>
      <c r="F2152" s="129">
        <f t="shared" si="101"/>
        <v>0.66328931599999996</v>
      </c>
      <c r="G2152" t="str">
        <f>_xlfn.XLOOKUP(D2152,'[1]2050 BAU Mapping to T &amp; C'!$A$3:$A$52,'[1]2050 BAU Mapping to T &amp; C'!$B$3:$B$52)</f>
        <v xml:space="preserve">Other cereals </v>
      </c>
      <c r="H2152" s="129">
        <f>_xlfn.XLOOKUP(G2152,'[1]T&amp;C emissions for 2050 analysis'!$B$3:$B$23,'[1]T&amp;C emissions for 2050 analysis'!$C$3:$C$23)</f>
        <v>0.18333333333333335</v>
      </c>
      <c r="I2152" s="27">
        <f t="shared" si="99"/>
        <v>0.12160304126666667</v>
      </c>
      <c r="J2152" s="129">
        <f t="shared" si="100"/>
        <v>1.6833666666666669</v>
      </c>
    </row>
    <row r="2153" spans="1:10" hidden="1" x14ac:dyDescent="0.35">
      <c r="A2153" s="126" t="s">
        <v>491</v>
      </c>
      <c r="B2153" t="str">
        <f>_xlfn.XLOOKUP(A2153,'[1]2050Pop'!$A$7:$A$143,'[1]2050Pop'!$D$7:$D$143)</f>
        <v>SSA</v>
      </c>
      <c r="C2153" s="127">
        <f>1000*_xlfn.XLOOKUP(A2153,'[1]2050Pop'!$A$7:$A$143,'[1]2050Pop'!$C$7:$C$143)</f>
        <v>398508</v>
      </c>
      <c r="D2153" s="126" t="s">
        <v>512</v>
      </c>
      <c r="E2153" s="130">
        <v>6.97</v>
      </c>
      <c r="F2153" s="129">
        <f t="shared" si="101"/>
        <v>2.7776007599999999</v>
      </c>
      <c r="G2153" t="str">
        <f>_xlfn.XLOOKUP(D2153,'[1]2050 BAU Mapping to T &amp; C'!$A$3:$A$52,'[1]2050 BAU Mapping to T &amp; C'!$B$3:$B$52)</f>
        <v xml:space="preserve">Other cereals </v>
      </c>
      <c r="H2153" s="129">
        <f>_xlfn.XLOOKUP(G2153,'[1]T&amp;C emissions for 2050 analysis'!$B$3:$B$23,'[1]T&amp;C emissions for 2050 analysis'!$C$3:$C$23)</f>
        <v>0.18333333333333335</v>
      </c>
      <c r="I2153" s="27">
        <f t="shared" si="99"/>
        <v>0.50922680600000003</v>
      </c>
      <c r="J2153" s="129">
        <f t="shared" si="100"/>
        <v>1.2778333333333334</v>
      </c>
    </row>
    <row r="2154" spans="1:10" hidden="1" x14ac:dyDescent="0.35">
      <c r="A2154" s="126" t="s">
        <v>442</v>
      </c>
      <c r="B2154" t="str">
        <f>_xlfn.XLOOKUP(A2154,'[1]2050Pop'!$A$7:$A$143,'[1]2050Pop'!$D$7:$D$143)</f>
        <v>Euro/AU/NZ</v>
      </c>
      <c r="C2154" s="127">
        <f>1000*_xlfn.XLOOKUP(A2154,'[1]2050Pop'!$A$7:$A$143,'[1]2050Pop'!$C$7:$C$143)</f>
        <v>6658</v>
      </c>
      <c r="D2154" s="126" t="s">
        <v>512</v>
      </c>
      <c r="E2154" s="128">
        <v>74.486000000000004</v>
      </c>
      <c r="F2154" s="129">
        <f t="shared" si="101"/>
        <v>0.49592778799999998</v>
      </c>
      <c r="G2154" t="str">
        <f>_xlfn.XLOOKUP(D2154,'[1]2050 BAU Mapping to T &amp; C'!$A$3:$A$52,'[1]2050 BAU Mapping to T &amp; C'!$B$3:$B$52)</f>
        <v xml:space="preserve">Other cereals </v>
      </c>
      <c r="H2154" s="129">
        <f>_xlfn.XLOOKUP(G2154,'[1]T&amp;C emissions for 2050 analysis'!$B$3:$B$23,'[1]T&amp;C emissions for 2050 analysis'!$C$3:$C$23)</f>
        <v>0.18333333333333335</v>
      </c>
      <c r="I2154" s="27">
        <f t="shared" si="99"/>
        <v>9.092009446666667E-2</v>
      </c>
      <c r="J2154" s="129">
        <f t="shared" si="100"/>
        <v>13.655766666666668</v>
      </c>
    </row>
    <row r="2155" spans="1:10" hidden="1" x14ac:dyDescent="0.35">
      <c r="A2155" s="126" t="s">
        <v>444</v>
      </c>
      <c r="B2155" t="str">
        <f>_xlfn.XLOOKUP(A2155,'[1]2050Pop'!$A$7:$A$143,'[1]2050Pop'!$D$7:$D$143)</f>
        <v>LatAm &amp; RSA</v>
      </c>
      <c r="C2155" s="127">
        <f>1000*_xlfn.XLOOKUP(A2155,'[1]2050Pop'!$A$7:$A$143,'[1]2050Pop'!$C$7:$C$143)</f>
        <v>5599</v>
      </c>
      <c r="D2155" s="126" t="s">
        <v>512</v>
      </c>
      <c r="E2155" s="128">
        <v>11.882</v>
      </c>
      <c r="F2155" s="129">
        <f t="shared" si="101"/>
        <v>6.6527318000000002E-2</v>
      </c>
      <c r="G2155" t="str">
        <f>_xlfn.XLOOKUP(D2155,'[1]2050 BAU Mapping to T &amp; C'!$A$3:$A$52,'[1]2050 BAU Mapping to T &amp; C'!$B$3:$B$52)</f>
        <v xml:space="preserve">Other cereals </v>
      </c>
      <c r="H2155" s="129">
        <f>_xlfn.XLOOKUP(G2155,'[1]T&amp;C emissions for 2050 analysis'!$B$3:$B$23,'[1]T&amp;C emissions for 2050 analysis'!$C$3:$C$23)</f>
        <v>0.18333333333333335</v>
      </c>
      <c r="I2155" s="27">
        <f t="shared" si="99"/>
        <v>1.2196674966666668E-2</v>
      </c>
      <c r="J2155" s="129">
        <f t="shared" si="100"/>
        <v>2.1783666666666668</v>
      </c>
    </row>
    <row r="2156" spans="1:10" hidden="1" x14ac:dyDescent="0.35">
      <c r="A2156" s="126" t="s">
        <v>445</v>
      </c>
      <c r="B2156" t="str">
        <f>_xlfn.XLOOKUP(A2156,'[1]2050Pop'!$A$7:$A$143,'[1]2050Pop'!$D$7:$D$143)</f>
        <v>LatAm &amp; RSA</v>
      </c>
      <c r="C2156" s="127">
        <f>1000*_xlfn.XLOOKUP(A2156,'[1]2050Pop'!$A$7:$A$143,'[1]2050Pop'!$C$7:$C$143)</f>
        <v>8895</v>
      </c>
      <c r="D2156" s="126" t="s">
        <v>512</v>
      </c>
      <c r="E2156" s="128">
        <v>2.101</v>
      </c>
      <c r="F2156" s="129">
        <f t="shared" si="101"/>
        <v>1.8688395E-2</v>
      </c>
      <c r="G2156" t="str">
        <f>_xlfn.XLOOKUP(D2156,'[1]2050 BAU Mapping to T &amp; C'!$A$3:$A$52,'[1]2050 BAU Mapping to T &amp; C'!$B$3:$B$52)</f>
        <v xml:space="preserve">Other cereals </v>
      </c>
      <c r="H2156" s="129">
        <f>_xlfn.XLOOKUP(G2156,'[1]T&amp;C emissions for 2050 analysis'!$B$3:$B$23,'[1]T&amp;C emissions for 2050 analysis'!$C$3:$C$23)</f>
        <v>0.18333333333333335</v>
      </c>
      <c r="I2156" s="27">
        <f t="shared" si="99"/>
        <v>3.4262057500000003E-3</v>
      </c>
      <c r="J2156" s="129">
        <f t="shared" si="100"/>
        <v>0.38518333333333338</v>
      </c>
    </row>
    <row r="2157" spans="1:10" hidden="1" x14ac:dyDescent="0.35">
      <c r="A2157" s="126" t="s">
        <v>446</v>
      </c>
      <c r="B2157" t="str">
        <f>_xlfn.XLOOKUP(A2157,'[1]2050Pop'!$A$7:$A$143,'[1]2050Pop'!$D$7:$D$143)</f>
        <v>LatAm &amp; RSA</v>
      </c>
      <c r="C2157" s="127">
        <f>1000*_xlfn.XLOOKUP(A2157,'[1]2050Pop'!$A$7:$A$143,'[1]2050Pop'!$C$7:$C$143)</f>
        <v>41899</v>
      </c>
      <c r="D2157" s="126" t="s">
        <v>512</v>
      </c>
      <c r="E2157" s="128">
        <v>11.307</v>
      </c>
      <c r="F2157" s="129">
        <f t="shared" si="101"/>
        <v>0.47375199300000004</v>
      </c>
      <c r="G2157" t="str">
        <f>_xlfn.XLOOKUP(D2157,'[1]2050 BAU Mapping to T &amp; C'!$A$3:$A$52,'[1]2050 BAU Mapping to T &amp; C'!$B$3:$B$52)</f>
        <v xml:space="preserve">Other cereals </v>
      </c>
      <c r="H2157" s="129">
        <f>_xlfn.XLOOKUP(G2157,'[1]T&amp;C emissions for 2050 analysis'!$B$3:$B$23,'[1]T&amp;C emissions for 2050 analysis'!$C$3:$C$23)</f>
        <v>0.18333333333333335</v>
      </c>
      <c r="I2157" s="27">
        <f t="shared" si="99"/>
        <v>8.6854532050000016E-2</v>
      </c>
      <c r="J2157" s="129">
        <f t="shared" si="100"/>
        <v>2.0729500000000001</v>
      </c>
    </row>
    <row r="2158" spans="1:10" hidden="1" x14ac:dyDescent="0.35">
      <c r="A2158" s="126" t="s">
        <v>447</v>
      </c>
      <c r="B2158" t="str">
        <f>_xlfn.XLOOKUP(A2158,'[1]2050Pop'!$A$7:$A$143,'[1]2050Pop'!$D$7:$D$143)</f>
        <v>APAC</v>
      </c>
      <c r="C2158" s="127">
        <f>1000*_xlfn.XLOOKUP(A2158,'[1]2050Pop'!$A$7:$A$143,'[1]2050Pop'!$C$7:$C$143)</f>
        <v>148260</v>
      </c>
      <c r="D2158" s="126" t="s">
        <v>512</v>
      </c>
      <c r="E2158" s="128">
        <v>1.726</v>
      </c>
      <c r="F2158" s="129">
        <f t="shared" si="101"/>
        <v>0.25589676</v>
      </c>
      <c r="G2158" t="str">
        <f>_xlfn.XLOOKUP(D2158,'[1]2050 BAU Mapping to T &amp; C'!$A$3:$A$52,'[1]2050 BAU Mapping to T &amp; C'!$B$3:$B$52)</f>
        <v xml:space="preserve">Other cereals </v>
      </c>
      <c r="H2158" s="129">
        <f>_xlfn.XLOOKUP(G2158,'[1]T&amp;C emissions for 2050 analysis'!$B$3:$B$23,'[1]T&amp;C emissions for 2050 analysis'!$C$3:$C$23)</f>
        <v>0.18333333333333335</v>
      </c>
      <c r="I2158" s="27">
        <f t="shared" si="99"/>
        <v>4.6914406000000006E-2</v>
      </c>
      <c r="J2158" s="129">
        <f t="shared" si="100"/>
        <v>0.31643333333333334</v>
      </c>
    </row>
    <row r="2159" spans="1:10" hidden="1" x14ac:dyDescent="0.35">
      <c r="A2159" s="126" t="s">
        <v>448</v>
      </c>
      <c r="B2159" t="str">
        <f>_xlfn.XLOOKUP(A2159,'[1]2050Pop'!$A$7:$A$143,'[1]2050Pop'!$D$7:$D$143)</f>
        <v>Euro/AU/NZ</v>
      </c>
      <c r="C2159" s="127">
        <f>1000*_xlfn.XLOOKUP(A2159,'[1]2050Pop'!$A$7:$A$143,'[1]2050Pop'!$C$7:$C$143)</f>
        <v>33136</v>
      </c>
      <c r="D2159" s="126" t="s">
        <v>512</v>
      </c>
      <c r="E2159" s="128">
        <v>266.74299999999999</v>
      </c>
      <c r="F2159" s="129">
        <f t="shared" si="101"/>
        <v>8.8387960480000007</v>
      </c>
      <c r="G2159" t="str">
        <f>_xlfn.XLOOKUP(D2159,'[1]2050 BAU Mapping to T &amp; C'!$A$3:$A$52,'[1]2050 BAU Mapping to T &amp; C'!$B$3:$B$52)</f>
        <v xml:space="preserve">Other cereals </v>
      </c>
      <c r="H2159" s="129">
        <f>_xlfn.XLOOKUP(G2159,'[1]T&amp;C emissions for 2050 analysis'!$B$3:$B$23,'[1]T&amp;C emissions for 2050 analysis'!$C$3:$C$23)</f>
        <v>0.18333333333333335</v>
      </c>
      <c r="I2159" s="27">
        <f t="shared" si="99"/>
        <v>1.6204459421333337</v>
      </c>
      <c r="J2159" s="129">
        <f t="shared" si="100"/>
        <v>48.902883333333335</v>
      </c>
    </row>
    <row r="2160" spans="1:10" hidden="1" x14ac:dyDescent="0.35">
      <c r="A2160" s="126" t="s">
        <v>449</v>
      </c>
      <c r="B2160" t="str">
        <f>_xlfn.XLOOKUP(A2160,'[1]2050Pop'!$A$7:$A$143,'[1]2050Pop'!$D$7:$D$143)</f>
        <v>Euro/AU/NZ</v>
      </c>
      <c r="C2160" s="127">
        <f>1000*_xlfn.XLOOKUP(A2160,'[1]2050Pop'!$A$7:$A$143,'[1]2050Pop'!$C$7:$C$143)</f>
        <v>9216</v>
      </c>
      <c r="D2160" s="126" t="s">
        <v>512</v>
      </c>
      <c r="E2160" s="128">
        <v>37.061</v>
      </c>
      <c r="F2160" s="129">
        <f t="shared" si="101"/>
        <v>0.34155417599999999</v>
      </c>
      <c r="G2160" t="str">
        <f>_xlfn.XLOOKUP(D2160,'[1]2050 BAU Mapping to T &amp; C'!$A$3:$A$52,'[1]2050 BAU Mapping to T &amp; C'!$B$3:$B$52)</f>
        <v xml:space="preserve">Other cereals </v>
      </c>
      <c r="H2160" s="129">
        <f>_xlfn.XLOOKUP(G2160,'[1]T&amp;C emissions for 2050 analysis'!$B$3:$B$23,'[1]T&amp;C emissions for 2050 analysis'!$C$3:$C$23)</f>
        <v>0.18333333333333335</v>
      </c>
      <c r="I2160" s="27">
        <f t="shared" si="99"/>
        <v>6.26182656E-2</v>
      </c>
      <c r="J2160" s="129">
        <f t="shared" si="100"/>
        <v>6.7945166666666674</v>
      </c>
    </row>
    <row r="2161" spans="1:10" hidden="1" x14ac:dyDescent="0.35">
      <c r="A2161" s="126" t="s">
        <v>451</v>
      </c>
      <c r="B2161" t="str">
        <f>_xlfn.XLOOKUP(A2161,'[1]2050Pop'!$A$7:$A$143,'[1]2050Pop'!$D$7:$D$143)</f>
        <v>Euro/AU/NZ</v>
      </c>
      <c r="C2161" s="127">
        <f>1000*_xlfn.XLOOKUP(A2161,'[1]2050Pop'!$A$7:$A$143,'[1]2050Pop'!$C$7:$C$143)</f>
        <v>3243</v>
      </c>
      <c r="D2161" s="126" t="s">
        <v>512</v>
      </c>
      <c r="E2161" s="128">
        <v>12.827999999999999</v>
      </c>
      <c r="F2161" s="129">
        <f t="shared" si="101"/>
        <v>4.1601203999999996E-2</v>
      </c>
      <c r="G2161" t="str">
        <f>_xlfn.XLOOKUP(D2161,'[1]2050 BAU Mapping to T &amp; C'!$A$3:$A$52,'[1]2050 BAU Mapping to T &amp; C'!$B$3:$B$52)</f>
        <v xml:space="preserve">Other cereals </v>
      </c>
      <c r="H2161" s="129">
        <f>_xlfn.XLOOKUP(G2161,'[1]T&amp;C emissions for 2050 analysis'!$B$3:$B$23,'[1]T&amp;C emissions for 2050 analysis'!$C$3:$C$23)</f>
        <v>0.18333333333333335</v>
      </c>
      <c r="I2161" s="27">
        <f t="shared" si="99"/>
        <v>7.6268873999999999E-3</v>
      </c>
      <c r="J2161" s="129">
        <f t="shared" si="100"/>
        <v>2.3517999999999999</v>
      </c>
    </row>
    <row r="2162" spans="1:10" hidden="1" x14ac:dyDescent="0.35">
      <c r="A2162" s="126" t="s">
        <v>452</v>
      </c>
      <c r="B2162" t="str">
        <f>_xlfn.XLOOKUP(A2162,'[1]2050Pop'!$A$7:$A$143,'[1]2050Pop'!$D$7:$D$143)</f>
        <v>SSA</v>
      </c>
      <c r="C2162" s="127">
        <f>1000*_xlfn.XLOOKUP(A2162,'[1]2050Pop'!$A$7:$A$143,'[1]2050Pop'!$C$7:$C$143)</f>
        <v>10732</v>
      </c>
      <c r="D2162" s="126" t="s">
        <v>512</v>
      </c>
      <c r="E2162" s="128">
        <v>1.974</v>
      </c>
      <c r="F2162" s="129">
        <f t="shared" si="101"/>
        <v>2.1184968000000002E-2</v>
      </c>
      <c r="G2162" t="str">
        <f>_xlfn.XLOOKUP(D2162,'[1]2050 BAU Mapping to T &amp; C'!$A$3:$A$52,'[1]2050 BAU Mapping to T &amp; C'!$B$3:$B$52)</f>
        <v xml:space="preserve">Other cereals </v>
      </c>
      <c r="H2162" s="129">
        <f>_xlfn.XLOOKUP(G2162,'[1]T&amp;C emissions for 2050 analysis'!$B$3:$B$23,'[1]T&amp;C emissions for 2050 analysis'!$C$3:$C$23)</f>
        <v>0.18333333333333335</v>
      </c>
      <c r="I2162" s="27">
        <f t="shared" si="99"/>
        <v>3.8839108000000007E-3</v>
      </c>
      <c r="J2162" s="129">
        <f t="shared" si="100"/>
        <v>0.3619</v>
      </c>
    </row>
    <row r="2163" spans="1:10" hidden="1" x14ac:dyDescent="0.35">
      <c r="A2163" s="126" t="s">
        <v>453</v>
      </c>
      <c r="B2163" t="str">
        <f>_xlfn.XLOOKUP(A2163,'[1]2050Pop'!$A$7:$A$143,'[1]2050Pop'!$D$7:$D$143)</f>
        <v>Euro/AU/NZ</v>
      </c>
      <c r="C2163" s="127">
        <f>1000*_xlfn.XLOOKUP(A2163,'[1]2050Pop'!$A$7:$A$143,'[1]2050Pop'!$C$7:$C$143)</f>
        <v>15207</v>
      </c>
      <c r="D2163" s="126" t="s">
        <v>512</v>
      </c>
      <c r="E2163" s="128">
        <v>17.951000000000001</v>
      </c>
      <c r="F2163" s="129">
        <f t="shared" si="101"/>
        <v>0.27298085700000002</v>
      </c>
      <c r="G2163" t="str">
        <f>_xlfn.XLOOKUP(D2163,'[1]2050 BAU Mapping to T &amp; C'!$A$3:$A$52,'[1]2050 BAU Mapping to T &amp; C'!$B$3:$B$52)</f>
        <v xml:space="preserve">Other cereals </v>
      </c>
      <c r="H2163" s="129">
        <f>_xlfn.XLOOKUP(G2163,'[1]T&amp;C emissions for 2050 analysis'!$B$3:$B$23,'[1]T&amp;C emissions for 2050 analysis'!$C$3:$C$23)</f>
        <v>0.18333333333333335</v>
      </c>
      <c r="I2163" s="27">
        <f t="shared" si="99"/>
        <v>5.0046490450000009E-2</v>
      </c>
      <c r="J2163" s="129">
        <f t="shared" si="100"/>
        <v>3.2910166666666671</v>
      </c>
    </row>
    <row r="2164" spans="1:10" hidden="1" x14ac:dyDescent="0.35">
      <c r="A2164" s="126" t="s">
        <v>454</v>
      </c>
      <c r="B2164" t="str">
        <f>_xlfn.XLOOKUP(A2164,'[1]2050Pop'!$A$7:$A$143,'[1]2050Pop'!$D$7:$D$143)</f>
        <v>Euro/AU/NZ</v>
      </c>
      <c r="C2164" s="127">
        <f>1000*_xlfn.XLOOKUP(A2164,'[1]2050Pop'!$A$7:$A$143,'[1]2050Pop'!$C$7:$C$143)</f>
        <v>128598.99999999999</v>
      </c>
      <c r="D2164" s="126" t="s">
        <v>512</v>
      </c>
      <c r="E2164" s="128">
        <v>68.391000000000005</v>
      </c>
      <c r="F2164" s="129">
        <f t="shared" si="101"/>
        <v>8.7950142089999996</v>
      </c>
      <c r="G2164" t="str">
        <f>_xlfn.XLOOKUP(D2164,'[1]2050 BAU Mapping to T &amp; C'!$A$3:$A$52,'[1]2050 BAU Mapping to T &amp; C'!$B$3:$B$52)</f>
        <v xml:space="preserve">Other cereals </v>
      </c>
      <c r="H2164" s="129">
        <f>_xlfn.XLOOKUP(G2164,'[1]T&amp;C emissions for 2050 analysis'!$B$3:$B$23,'[1]T&amp;C emissions for 2050 analysis'!$C$3:$C$23)</f>
        <v>0.18333333333333335</v>
      </c>
      <c r="I2164" s="27">
        <f t="shared" si="99"/>
        <v>1.6124192716500001</v>
      </c>
      <c r="J2164" s="129">
        <f t="shared" si="100"/>
        <v>12.538350000000001</v>
      </c>
    </row>
    <row r="2165" spans="1:10" hidden="1" x14ac:dyDescent="0.35">
      <c r="A2165" s="126" t="s">
        <v>455</v>
      </c>
      <c r="B2165" t="str">
        <f>_xlfn.XLOOKUP(A2165,'[1]2050Pop'!$A$7:$A$143,'[1]2050Pop'!$D$7:$D$143)</f>
        <v>SSA</v>
      </c>
      <c r="C2165" s="127">
        <f>1000*_xlfn.XLOOKUP(A2165,'[1]2050Pop'!$A$7:$A$143,'[1]2050Pop'!$C$7:$C$143)</f>
        <v>21187</v>
      </c>
      <c r="D2165" s="126" t="s">
        <v>512</v>
      </c>
      <c r="E2165" s="128">
        <v>1.6040000000000001</v>
      </c>
      <c r="F2165" s="129">
        <f t="shared" si="101"/>
        <v>3.3983948000000007E-2</v>
      </c>
      <c r="G2165" t="str">
        <f>_xlfn.XLOOKUP(D2165,'[1]2050 BAU Mapping to T &amp; C'!$A$3:$A$52,'[1]2050 BAU Mapping to T &amp; C'!$B$3:$B$52)</f>
        <v xml:space="preserve">Other cereals </v>
      </c>
      <c r="H2165" s="129">
        <f>_xlfn.XLOOKUP(G2165,'[1]T&amp;C emissions for 2050 analysis'!$B$3:$B$23,'[1]T&amp;C emissions for 2050 analysis'!$C$3:$C$23)</f>
        <v>0.18333333333333335</v>
      </c>
      <c r="I2165" s="27">
        <f t="shared" si="99"/>
        <v>6.2303904666666686E-3</v>
      </c>
      <c r="J2165" s="129">
        <f t="shared" si="100"/>
        <v>0.2940666666666667</v>
      </c>
    </row>
    <row r="2166" spans="1:10" hidden="1" x14ac:dyDescent="0.35">
      <c r="A2166" s="126" t="s">
        <v>456</v>
      </c>
      <c r="B2166" t="str">
        <f>_xlfn.XLOOKUP(A2166,'[1]2050Pop'!$A$7:$A$143,'[1]2050Pop'!$D$7:$D$143)</f>
        <v>MENA</v>
      </c>
      <c r="C2166" s="127">
        <f>1000*_xlfn.XLOOKUP(A2166,'[1]2050Pop'!$A$7:$A$143,'[1]2050Pop'!$C$7:$C$143)</f>
        <v>46059</v>
      </c>
      <c r="D2166" s="126" t="s">
        <v>512</v>
      </c>
      <c r="E2166" s="128">
        <v>26.719000000000001</v>
      </c>
      <c r="F2166" s="129">
        <f t="shared" si="101"/>
        <v>1.230650421</v>
      </c>
      <c r="G2166" t="str">
        <f>_xlfn.XLOOKUP(D2166,'[1]2050 BAU Mapping to T &amp; C'!$A$3:$A$52,'[1]2050 BAU Mapping to T &amp; C'!$B$3:$B$52)</f>
        <v xml:space="preserve">Other cereals </v>
      </c>
      <c r="H2166" s="129">
        <f>_xlfn.XLOOKUP(G2166,'[1]T&amp;C emissions for 2050 analysis'!$B$3:$B$23,'[1]T&amp;C emissions for 2050 analysis'!$C$3:$C$23)</f>
        <v>0.18333333333333335</v>
      </c>
      <c r="I2166" s="27">
        <f t="shared" si="99"/>
        <v>0.22561924385000001</v>
      </c>
      <c r="J2166" s="129">
        <f t="shared" si="100"/>
        <v>4.898483333333334</v>
      </c>
    </row>
    <row r="2167" spans="1:10" hidden="1" x14ac:dyDescent="0.35">
      <c r="A2167" s="126" t="s">
        <v>457</v>
      </c>
      <c r="B2167" t="str">
        <f>_xlfn.XLOOKUP(A2167,'[1]2050Pop'!$A$7:$A$143,'[1]2050Pop'!$D$7:$D$143)</f>
        <v>SSA</v>
      </c>
      <c r="C2167" s="127">
        <f>1000*_xlfn.XLOOKUP(A2167,'[1]2050Pop'!$A$7:$A$143,'[1]2050Pop'!$C$7:$C$143)</f>
        <v>36223</v>
      </c>
      <c r="D2167" s="126" t="s">
        <v>512</v>
      </c>
      <c r="E2167" s="130">
        <v>2.5499999999999998</v>
      </c>
      <c r="F2167" s="129">
        <f t="shared" si="101"/>
        <v>9.2368649999999997E-2</v>
      </c>
      <c r="G2167" t="str">
        <f>_xlfn.XLOOKUP(D2167,'[1]2050 BAU Mapping to T &amp; C'!$A$3:$A$52,'[1]2050 BAU Mapping to T &amp; C'!$B$3:$B$52)</f>
        <v xml:space="preserve">Other cereals </v>
      </c>
      <c r="H2167" s="129">
        <f>_xlfn.XLOOKUP(G2167,'[1]T&amp;C emissions for 2050 analysis'!$B$3:$B$23,'[1]T&amp;C emissions for 2050 analysis'!$C$3:$C$23)</f>
        <v>0.18333333333333335</v>
      </c>
      <c r="I2167" s="27">
        <f t="shared" si="99"/>
        <v>1.69342525E-2</v>
      </c>
      <c r="J2167" s="129">
        <f t="shared" si="100"/>
        <v>0.46750000000000003</v>
      </c>
    </row>
    <row r="2168" spans="1:10" hidden="1" x14ac:dyDescent="0.35">
      <c r="A2168" s="126" t="s">
        <v>458</v>
      </c>
      <c r="B2168" t="str">
        <f>_xlfn.XLOOKUP(A2168,'[1]2050Pop'!$A$7:$A$143,'[1]2050Pop'!$D$7:$D$143)</f>
        <v>Euro/AU/NZ</v>
      </c>
      <c r="C2168" s="127">
        <f>1000*_xlfn.XLOOKUP(A2168,'[1]2050Pop'!$A$7:$A$143,'[1]2050Pop'!$C$7:$C$143)</f>
        <v>7331</v>
      </c>
      <c r="D2168" s="126" t="s">
        <v>512</v>
      </c>
      <c r="E2168" s="128">
        <v>21.571999999999999</v>
      </c>
      <c r="F2168" s="129">
        <f t="shared" si="101"/>
        <v>0.158144332</v>
      </c>
      <c r="G2168" t="str">
        <f>_xlfn.XLOOKUP(D2168,'[1]2050 BAU Mapping to T &amp; C'!$A$3:$A$52,'[1]2050 BAU Mapping to T &amp; C'!$B$3:$B$52)</f>
        <v xml:space="preserve">Other cereals </v>
      </c>
      <c r="H2168" s="129">
        <f>_xlfn.XLOOKUP(G2168,'[1]T&amp;C emissions for 2050 analysis'!$B$3:$B$23,'[1]T&amp;C emissions for 2050 analysis'!$C$3:$C$23)</f>
        <v>0.18333333333333335</v>
      </c>
      <c r="I2168" s="27">
        <f t="shared" si="99"/>
        <v>2.8993127533333336E-2</v>
      </c>
      <c r="J2168" s="129">
        <f t="shared" si="100"/>
        <v>3.9548666666666668</v>
      </c>
    </row>
    <row r="2169" spans="1:10" hidden="1" x14ac:dyDescent="0.35">
      <c r="A2169" s="126" t="s">
        <v>492</v>
      </c>
      <c r="B2169" t="str">
        <f>_xlfn.XLOOKUP(A2169,'[1]2050Pop'!$A$7:$A$143,'[1]2050Pop'!$D$7:$D$143)</f>
        <v>SSA</v>
      </c>
      <c r="C2169" s="127">
        <f>1000*_xlfn.XLOOKUP(A2169,'[1]2050Pop'!$A$7:$A$143,'[1]2050Pop'!$C$7:$C$143)</f>
        <v>11392</v>
      </c>
      <c r="D2169" s="126" t="s">
        <v>512</v>
      </c>
      <c r="E2169" s="128">
        <v>15.493</v>
      </c>
      <c r="F2169" s="129">
        <f t="shared" si="101"/>
        <v>0.17649625599999999</v>
      </c>
      <c r="G2169" t="str">
        <f>_xlfn.XLOOKUP(D2169,'[1]2050 BAU Mapping to T &amp; C'!$A$3:$A$52,'[1]2050 BAU Mapping to T &amp; C'!$B$3:$B$52)</f>
        <v xml:space="preserve">Other cereals </v>
      </c>
      <c r="H2169" s="129">
        <f>_xlfn.XLOOKUP(G2169,'[1]T&amp;C emissions for 2050 analysis'!$B$3:$B$23,'[1]T&amp;C emissions for 2050 analysis'!$C$3:$C$23)</f>
        <v>0.18333333333333335</v>
      </c>
      <c r="I2169" s="27">
        <f t="shared" si="99"/>
        <v>3.2357646933333331E-2</v>
      </c>
      <c r="J2169" s="129">
        <f t="shared" si="100"/>
        <v>2.8403833333333335</v>
      </c>
    </row>
    <row r="2170" spans="1:10" hidden="1" x14ac:dyDescent="0.35">
      <c r="A2170" s="126" t="s">
        <v>459</v>
      </c>
      <c r="B2170" t="str">
        <f>_xlfn.XLOOKUP(A2170,'[1]2050Pop'!$A$7:$A$143,'[1]2050Pop'!$D$7:$D$143)</f>
        <v>Euro/AU/NZ</v>
      </c>
      <c r="C2170" s="127">
        <f>1000*_xlfn.XLOOKUP(A2170,'[1]2050Pop'!$A$7:$A$143,'[1]2050Pop'!$C$7:$C$143)</f>
        <v>4892</v>
      </c>
      <c r="D2170" s="126" t="s">
        <v>512</v>
      </c>
      <c r="E2170" s="128">
        <v>51.045999999999999</v>
      </c>
      <c r="F2170" s="129">
        <f t="shared" si="101"/>
        <v>0.24971703200000001</v>
      </c>
      <c r="G2170" t="str">
        <f>_xlfn.XLOOKUP(D2170,'[1]2050 BAU Mapping to T &amp; C'!$A$3:$A$52,'[1]2050 BAU Mapping to T &amp; C'!$B$3:$B$52)</f>
        <v xml:space="preserve">Other cereals </v>
      </c>
      <c r="H2170" s="129">
        <f>_xlfn.XLOOKUP(G2170,'[1]T&amp;C emissions for 2050 analysis'!$B$3:$B$23,'[1]T&amp;C emissions for 2050 analysis'!$C$3:$C$23)</f>
        <v>0.18333333333333335</v>
      </c>
      <c r="I2170" s="27">
        <f t="shared" si="99"/>
        <v>4.5781455866666675E-2</v>
      </c>
      <c r="J2170" s="129">
        <f t="shared" si="100"/>
        <v>9.358433333333334</v>
      </c>
    </row>
    <row r="2171" spans="1:10" hidden="1" x14ac:dyDescent="0.35">
      <c r="A2171" s="126" t="s">
        <v>460</v>
      </c>
      <c r="B2171" t="str">
        <f>_xlfn.XLOOKUP(A2171,'[1]2050Pop'!$A$7:$A$143,'[1]2050Pop'!$D$7:$D$143)</f>
        <v>LatAm &amp; RSA</v>
      </c>
      <c r="C2171" s="127">
        <f>1000*_xlfn.XLOOKUP(A2171,'[1]2050Pop'!$A$7:$A$143,'[1]2050Pop'!$C$7:$C$143)</f>
        <v>65540</v>
      </c>
      <c r="D2171" s="126" t="s">
        <v>512</v>
      </c>
      <c r="E2171" s="128">
        <v>9.8539999999999992</v>
      </c>
      <c r="F2171" s="129">
        <f t="shared" si="101"/>
        <v>0.64583115999999996</v>
      </c>
      <c r="G2171" t="str">
        <f>_xlfn.XLOOKUP(D2171,'[1]2050 BAU Mapping to T &amp; C'!$A$3:$A$52,'[1]2050 BAU Mapping to T &amp; C'!$B$3:$B$52)</f>
        <v xml:space="preserve">Other cereals </v>
      </c>
      <c r="H2171" s="129">
        <f>_xlfn.XLOOKUP(G2171,'[1]T&amp;C emissions for 2050 analysis'!$B$3:$B$23,'[1]T&amp;C emissions for 2050 analysis'!$C$3:$C$23)</f>
        <v>0.18333333333333335</v>
      </c>
      <c r="I2171" s="27">
        <f t="shared" si="99"/>
        <v>0.11840237933333334</v>
      </c>
      <c r="J2171" s="129">
        <f t="shared" si="100"/>
        <v>1.8065666666666667</v>
      </c>
    </row>
    <row r="2172" spans="1:10" hidden="1" x14ac:dyDescent="0.35">
      <c r="A2172" s="126" t="s">
        <v>461</v>
      </c>
      <c r="B2172" t="str">
        <f>_xlfn.XLOOKUP(A2172,'[1]2050Pop'!$A$7:$A$143,'[1]2050Pop'!$D$7:$D$143)</f>
        <v>Euro/AU/NZ</v>
      </c>
      <c r="C2172" s="127">
        <f>1000*_xlfn.XLOOKUP(A2172,'[1]2050Pop'!$A$7:$A$143,'[1]2050Pop'!$C$7:$C$143)</f>
        <v>44840</v>
      </c>
      <c r="D2172" s="126" t="s">
        <v>512</v>
      </c>
      <c r="E2172" s="128">
        <v>7.407</v>
      </c>
      <c r="F2172" s="129">
        <f t="shared" si="101"/>
        <v>0.33212987999999999</v>
      </c>
      <c r="G2172" t="str">
        <f>_xlfn.XLOOKUP(D2172,'[1]2050 BAU Mapping to T &amp; C'!$A$3:$A$52,'[1]2050 BAU Mapping to T &amp; C'!$B$3:$B$52)</f>
        <v xml:space="preserve">Other cereals </v>
      </c>
      <c r="H2172" s="129">
        <f>_xlfn.XLOOKUP(G2172,'[1]T&amp;C emissions for 2050 analysis'!$B$3:$B$23,'[1]T&amp;C emissions for 2050 analysis'!$C$3:$C$23)</f>
        <v>0.18333333333333335</v>
      </c>
      <c r="I2172" s="27">
        <f t="shared" si="99"/>
        <v>6.0890478000000005E-2</v>
      </c>
      <c r="J2172" s="129">
        <f t="shared" si="100"/>
        <v>1.3579500000000002</v>
      </c>
    </row>
    <row r="2173" spans="1:10" hidden="1" x14ac:dyDescent="0.35">
      <c r="A2173" s="126" t="s">
        <v>462</v>
      </c>
      <c r="B2173" t="str">
        <f>_xlfn.XLOOKUP(A2173,'[1]2050Pop'!$A$7:$A$143,'[1]2050Pop'!$D$7:$D$143)</f>
        <v>LatAm &amp; RSA</v>
      </c>
      <c r="C2173" s="127">
        <f>1000*_xlfn.XLOOKUP(A2173,'[1]2050Pop'!$A$7:$A$143,'[1]2050Pop'!$C$7:$C$143)</f>
        <v>624</v>
      </c>
      <c r="D2173" s="126" t="s">
        <v>512</v>
      </c>
      <c r="E2173" s="130">
        <v>7.84</v>
      </c>
      <c r="F2173" s="129">
        <f t="shared" si="101"/>
        <v>4.8921599999999996E-3</v>
      </c>
      <c r="G2173" t="str">
        <f>_xlfn.XLOOKUP(D2173,'[1]2050 BAU Mapping to T &amp; C'!$A$3:$A$52,'[1]2050 BAU Mapping to T &amp; C'!$B$3:$B$52)</f>
        <v xml:space="preserve">Other cereals </v>
      </c>
      <c r="H2173" s="129">
        <f>_xlfn.XLOOKUP(G2173,'[1]T&amp;C emissions for 2050 analysis'!$B$3:$B$23,'[1]T&amp;C emissions for 2050 analysis'!$C$3:$C$23)</f>
        <v>0.18333333333333335</v>
      </c>
      <c r="I2173" s="27">
        <f t="shared" si="99"/>
        <v>8.96896E-4</v>
      </c>
      <c r="J2173" s="129">
        <f t="shared" si="100"/>
        <v>1.4373333333333334</v>
      </c>
    </row>
    <row r="2174" spans="1:10" hidden="1" x14ac:dyDescent="0.35">
      <c r="A2174" s="126" t="s">
        <v>463</v>
      </c>
      <c r="B2174" t="str">
        <f>_xlfn.XLOOKUP(A2174,'[1]2050Pop'!$A$7:$A$143,'[1]2050Pop'!$D$7:$D$143)</f>
        <v>SSA</v>
      </c>
      <c r="C2174" s="127">
        <f>1000*_xlfn.XLOOKUP(A2174,'[1]2050Pop'!$A$7:$A$143,'[1]2050Pop'!$C$7:$C$143)</f>
        <v>1792</v>
      </c>
      <c r="D2174" s="126" t="s">
        <v>512</v>
      </c>
      <c r="E2174" s="128">
        <v>2.891</v>
      </c>
      <c r="F2174" s="129">
        <f t="shared" si="101"/>
        <v>5.1806720000000007E-3</v>
      </c>
      <c r="G2174" t="str">
        <f>_xlfn.XLOOKUP(D2174,'[1]2050 BAU Mapping to T &amp; C'!$A$3:$A$52,'[1]2050 BAU Mapping to T &amp; C'!$B$3:$B$52)</f>
        <v xml:space="preserve">Other cereals </v>
      </c>
      <c r="H2174" s="129">
        <f>_xlfn.XLOOKUP(G2174,'[1]T&amp;C emissions for 2050 analysis'!$B$3:$B$23,'[1]T&amp;C emissions for 2050 analysis'!$C$3:$C$23)</f>
        <v>0.18333333333333335</v>
      </c>
      <c r="I2174" s="27">
        <f t="shared" si="99"/>
        <v>9.4978986666666685E-4</v>
      </c>
      <c r="J2174" s="129">
        <f t="shared" si="100"/>
        <v>0.53001666666666669</v>
      </c>
    </row>
    <row r="2175" spans="1:10" hidden="1" x14ac:dyDescent="0.35">
      <c r="A2175" s="126" t="s">
        <v>464</v>
      </c>
      <c r="B2175" t="str">
        <f>_xlfn.XLOOKUP(A2175,'[1]2050Pop'!$A$7:$A$143,'[1]2050Pop'!$D$7:$D$143)</f>
        <v>Euro/AU/NZ</v>
      </c>
      <c r="C2175" s="127">
        <f>1000*_xlfn.XLOOKUP(A2175,'[1]2050Pop'!$A$7:$A$143,'[1]2050Pop'!$C$7:$C$143)</f>
        <v>11881</v>
      </c>
      <c r="D2175" s="126" t="s">
        <v>512</v>
      </c>
      <c r="E2175" s="128">
        <v>99.293000000000006</v>
      </c>
      <c r="F2175" s="129">
        <f t="shared" si="101"/>
        <v>1.1797001330000001</v>
      </c>
      <c r="G2175" t="str">
        <f>_xlfn.XLOOKUP(D2175,'[1]2050 BAU Mapping to T &amp; C'!$A$3:$A$52,'[1]2050 BAU Mapping to T &amp; C'!$B$3:$B$52)</f>
        <v xml:space="preserve">Other cereals </v>
      </c>
      <c r="H2175" s="129">
        <f>_xlfn.XLOOKUP(G2175,'[1]T&amp;C emissions for 2050 analysis'!$B$3:$B$23,'[1]T&amp;C emissions for 2050 analysis'!$C$3:$C$23)</f>
        <v>0.18333333333333335</v>
      </c>
      <c r="I2175" s="27">
        <f t="shared" si="99"/>
        <v>0.2162783577166667</v>
      </c>
      <c r="J2175" s="129">
        <f t="shared" si="100"/>
        <v>18.203716666666669</v>
      </c>
    </row>
    <row r="2176" spans="1:10" hidden="1" x14ac:dyDescent="0.35">
      <c r="A2176" s="126" t="s">
        <v>483</v>
      </c>
      <c r="B2176" t="str">
        <f>_xlfn.XLOOKUP(A2176,'[1]2050Pop'!$A$7:$A$143,'[1]2050Pop'!$D$7:$D$143)</f>
        <v>APAC</v>
      </c>
      <c r="C2176" s="127">
        <f>1000*_xlfn.XLOOKUP(A2176,'[1]2050Pop'!$A$7:$A$143,'[1]2050Pop'!$C$7:$C$143)</f>
        <v>14288</v>
      </c>
      <c r="D2176" s="126" t="s">
        <v>512</v>
      </c>
      <c r="E2176" s="128">
        <v>1.129</v>
      </c>
      <c r="F2176" s="129">
        <f t="shared" si="101"/>
        <v>1.6131151999999999E-2</v>
      </c>
      <c r="G2176" t="str">
        <f>_xlfn.XLOOKUP(D2176,'[1]2050 BAU Mapping to T &amp; C'!$A$3:$A$52,'[1]2050 BAU Mapping to T &amp; C'!$B$3:$B$52)</f>
        <v xml:space="preserve">Other cereals </v>
      </c>
      <c r="H2176" s="129">
        <f>_xlfn.XLOOKUP(G2176,'[1]T&amp;C emissions for 2050 analysis'!$B$3:$B$23,'[1]T&amp;C emissions for 2050 analysis'!$C$3:$C$23)</f>
        <v>0.18333333333333335</v>
      </c>
      <c r="I2176" s="27">
        <f t="shared" si="99"/>
        <v>2.9573778666666666E-3</v>
      </c>
      <c r="J2176" s="129">
        <f t="shared" si="100"/>
        <v>0.20698333333333335</v>
      </c>
    </row>
    <row r="2177" spans="1:10" hidden="1" x14ac:dyDescent="0.35">
      <c r="A2177" s="126" t="s">
        <v>466</v>
      </c>
      <c r="B2177" t="str">
        <f>_xlfn.XLOOKUP(A2177,'[1]2050Pop'!$A$7:$A$143,'[1]2050Pop'!$D$7:$D$143)</f>
        <v>SSA</v>
      </c>
      <c r="C2177" s="127">
        <f>1000*_xlfn.XLOOKUP(A2177,'[1]2050Pop'!$A$7:$A$143,'[1]2050Pop'!$C$7:$C$143)</f>
        <v>15681</v>
      </c>
      <c r="D2177" s="126" t="s">
        <v>512</v>
      </c>
      <c r="E2177" s="128">
        <v>3.9769999999999999</v>
      </c>
      <c r="F2177" s="129">
        <f t="shared" si="101"/>
        <v>6.2363336999999998E-2</v>
      </c>
      <c r="G2177" t="str">
        <f>_xlfn.XLOOKUP(D2177,'[1]2050 BAU Mapping to T &amp; C'!$A$3:$A$52,'[1]2050 BAU Mapping to T &amp; C'!$B$3:$B$52)</f>
        <v xml:space="preserve">Other cereals </v>
      </c>
      <c r="H2177" s="129">
        <f>_xlfn.XLOOKUP(G2177,'[1]T&amp;C emissions for 2050 analysis'!$B$3:$B$23,'[1]T&amp;C emissions for 2050 analysis'!$C$3:$C$23)</f>
        <v>0.18333333333333335</v>
      </c>
      <c r="I2177" s="27">
        <f t="shared" si="99"/>
        <v>1.1433278450000001E-2</v>
      </c>
      <c r="J2177" s="129">
        <f t="shared" si="100"/>
        <v>0.72911666666666675</v>
      </c>
    </row>
    <row r="2178" spans="1:10" hidden="1" x14ac:dyDescent="0.35">
      <c r="A2178" s="126" t="s">
        <v>467</v>
      </c>
      <c r="B2178" t="str">
        <f>_xlfn.XLOOKUP(A2178,'[1]2050Pop'!$A$7:$A$143,'[1]2050Pop'!$D$7:$D$143)</f>
        <v>LatAm &amp; RSA</v>
      </c>
      <c r="C2178" s="127">
        <f>1000*_xlfn.XLOOKUP(A2178,'[1]2050Pop'!$A$7:$A$143,'[1]2050Pop'!$C$7:$C$143)</f>
        <v>1291</v>
      </c>
      <c r="D2178" s="126" t="s">
        <v>512</v>
      </c>
      <c r="E2178" s="128">
        <v>19.524000000000001</v>
      </c>
      <c r="F2178" s="129">
        <f t="shared" si="101"/>
        <v>2.5205484E-2</v>
      </c>
      <c r="G2178" t="str">
        <f>_xlfn.XLOOKUP(D2178,'[1]2050 BAU Mapping to T &amp; C'!$A$3:$A$52,'[1]2050 BAU Mapping to T &amp; C'!$B$3:$B$52)</f>
        <v xml:space="preserve">Other cereals </v>
      </c>
      <c r="H2178" s="129">
        <f>_xlfn.XLOOKUP(G2178,'[1]T&amp;C emissions for 2050 analysis'!$B$3:$B$23,'[1]T&amp;C emissions for 2050 analysis'!$C$3:$C$23)</f>
        <v>0.18333333333333335</v>
      </c>
      <c r="I2178" s="27">
        <f t="shared" si="99"/>
        <v>4.6210054000000002E-3</v>
      </c>
      <c r="J2178" s="129">
        <f t="shared" si="100"/>
        <v>3.5794000000000006</v>
      </c>
    </row>
    <row r="2179" spans="1:10" hidden="1" x14ac:dyDescent="0.35">
      <c r="A2179" s="126" t="s">
        <v>468</v>
      </c>
      <c r="B2179" t="str">
        <f>_xlfn.XLOOKUP(A2179,'[1]2050Pop'!$A$7:$A$143,'[1]2050Pop'!$D$7:$D$143)</f>
        <v>MENA</v>
      </c>
      <c r="C2179" s="127">
        <f>1000*_xlfn.XLOOKUP(A2179,'[1]2050Pop'!$A$7:$A$143,'[1]2050Pop'!$C$7:$C$143)</f>
        <v>13476</v>
      </c>
      <c r="D2179" s="126" t="s">
        <v>512</v>
      </c>
      <c r="E2179" s="128">
        <v>7.3689999999999998</v>
      </c>
      <c r="F2179" s="129">
        <f t="shared" si="101"/>
        <v>9.9304643999999997E-2</v>
      </c>
      <c r="G2179" t="str">
        <f>_xlfn.XLOOKUP(D2179,'[1]2050 BAU Mapping to T &amp; C'!$A$3:$A$52,'[1]2050 BAU Mapping to T &amp; C'!$B$3:$B$52)</f>
        <v xml:space="preserve">Other cereals </v>
      </c>
      <c r="H2179" s="129">
        <f>_xlfn.XLOOKUP(G2179,'[1]T&amp;C emissions for 2050 analysis'!$B$3:$B$23,'[1]T&amp;C emissions for 2050 analysis'!$C$3:$C$23)</f>
        <v>0.18333333333333335</v>
      </c>
      <c r="I2179" s="27">
        <f t="shared" si="99"/>
        <v>1.82058514E-2</v>
      </c>
      <c r="J2179" s="129">
        <f t="shared" si="100"/>
        <v>1.3509833333333334</v>
      </c>
    </row>
    <row r="2180" spans="1:10" hidden="1" x14ac:dyDescent="0.35">
      <c r="A2180" s="126" t="s">
        <v>469</v>
      </c>
      <c r="B2180" t="str">
        <f>_xlfn.XLOOKUP(A2180,'[1]2050Pop'!$A$7:$A$143,'[1]2050Pop'!$D$7:$D$143)</f>
        <v>MENA</v>
      </c>
      <c r="C2180" s="127">
        <f>1000*_xlfn.XLOOKUP(A2180,'[1]2050Pop'!$A$7:$A$143,'[1]2050Pop'!$C$7:$C$143)</f>
        <v>95819</v>
      </c>
      <c r="D2180" s="126" t="s">
        <v>512</v>
      </c>
      <c r="E2180" s="128">
        <v>25.827999999999999</v>
      </c>
      <c r="F2180" s="129">
        <f t="shared" si="101"/>
        <v>2.474813132</v>
      </c>
      <c r="G2180" t="str">
        <f>_xlfn.XLOOKUP(D2180,'[1]2050 BAU Mapping to T &amp; C'!$A$3:$A$52,'[1]2050 BAU Mapping to T &amp; C'!$B$3:$B$52)</f>
        <v xml:space="preserve">Other cereals </v>
      </c>
      <c r="H2180" s="129">
        <f>_xlfn.XLOOKUP(G2180,'[1]T&amp;C emissions for 2050 analysis'!$B$3:$B$23,'[1]T&amp;C emissions for 2050 analysis'!$C$3:$C$23)</f>
        <v>0.18333333333333335</v>
      </c>
      <c r="I2180" s="27">
        <f t="shared" ref="I2180:I2243" si="102">F2180*H2180</f>
        <v>0.45371574086666672</v>
      </c>
      <c r="J2180" s="129">
        <f t="shared" ref="J2180:J2243" si="103">E2180*H2180</f>
        <v>4.7351333333333336</v>
      </c>
    </row>
    <row r="2181" spans="1:10" hidden="1" x14ac:dyDescent="0.35">
      <c r="A2181" s="126" t="s">
        <v>470</v>
      </c>
      <c r="B2181" t="str">
        <f>_xlfn.XLOOKUP(A2181,'[1]2050Pop'!$A$7:$A$143,'[1]2050Pop'!$D$7:$D$143)</f>
        <v>SSA</v>
      </c>
      <c r="C2181" s="127">
        <f>1000*_xlfn.XLOOKUP(A2181,'[1]2050Pop'!$A$7:$A$143,'[1]2050Pop'!$C$7:$C$143)</f>
        <v>101873</v>
      </c>
      <c r="D2181" s="126" t="s">
        <v>512</v>
      </c>
      <c r="E2181" s="128">
        <v>1.9370000000000001</v>
      </c>
      <c r="F2181" s="129">
        <f t="shared" ref="F2181:F2244" si="104">C2181*E2181/1000000</f>
        <v>0.19732800100000003</v>
      </c>
      <c r="G2181" t="str">
        <f>_xlfn.XLOOKUP(D2181,'[1]2050 BAU Mapping to T &amp; C'!$A$3:$A$52,'[1]2050 BAU Mapping to T &amp; C'!$B$3:$B$52)</f>
        <v xml:space="preserve">Other cereals </v>
      </c>
      <c r="H2181" s="129">
        <f>_xlfn.XLOOKUP(G2181,'[1]T&amp;C emissions for 2050 analysis'!$B$3:$B$23,'[1]T&amp;C emissions for 2050 analysis'!$C$3:$C$23)</f>
        <v>0.18333333333333335</v>
      </c>
      <c r="I2181" s="27">
        <f t="shared" si="102"/>
        <v>3.6176800183333344E-2</v>
      </c>
      <c r="J2181" s="129">
        <f t="shared" si="103"/>
        <v>0.35511666666666669</v>
      </c>
    </row>
    <row r="2182" spans="1:10" hidden="1" x14ac:dyDescent="0.35">
      <c r="A2182" s="126" t="s">
        <v>471</v>
      </c>
      <c r="B2182" t="str">
        <f>_xlfn.XLOOKUP(A2182,'[1]2050Pop'!$A$7:$A$143,'[1]2050Pop'!$D$7:$D$143)</f>
        <v>Euro/AU/NZ</v>
      </c>
      <c r="C2182" s="127">
        <f>1000*_xlfn.XLOOKUP(A2182,'[1]2050Pop'!$A$7:$A$143,'[1]2050Pop'!$C$7:$C$143)</f>
        <v>35117</v>
      </c>
      <c r="D2182" s="126" t="s">
        <v>512</v>
      </c>
      <c r="E2182" s="128">
        <v>98.343999999999994</v>
      </c>
      <c r="F2182" s="129">
        <f t="shared" si="104"/>
        <v>3.4535462479999999</v>
      </c>
      <c r="G2182" t="str">
        <f>_xlfn.XLOOKUP(D2182,'[1]2050 BAU Mapping to T &amp; C'!$A$3:$A$52,'[1]2050 BAU Mapping to T &amp; C'!$B$3:$B$52)</f>
        <v xml:space="preserve">Other cereals </v>
      </c>
      <c r="H2182" s="129">
        <f>_xlfn.XLOOKUP(G2182,'[1]T&amp;C emissions for 2050 analysis'!$B$3:$B$23,'[1]T&amp;C emissions for 2050 analysis'!$C$3:$C$23)</f>
        <v>0.18333333333333335</v>
      </c>
      <c r="I2182" s="27">
        <f t="shared" si="102"/>
        <v>0.6331501454666667</v>
      </c>
      <c r="J2182" s="129">
        <f t="shared" si="103"/>
        <v>18.029733333333333</v>
      </c>
    </row>
    <row r="2183" spans="1:10" hidden="1" x14ac:dyDescent="0.35">
      <c r="A2183" s="126" t="s">
        <v>472</v>
      </c>
      <c r="B2183" t="str">
        <f>_xlfn.XLOOKUP(A2183,'[1]2050Pop'!$A$7:$A$143,'[1]2050Pop'!$D$7:$D$143)</f>
        <v>Euro/AU/NZ</v>
      </c>
      <c r="C2183" s="127">
        <f>1000*_xlfn.XLOOKUP(A2183,'[1]2050Pop'!$A$7:$A$143,'[1]2050Pop'!$C$7:$C$143)</f>
        <v>75361</v>
      </c>
      <c r="D2183" s="126" t="s">
        <v>512</v>
      </c>
      <c r="E2183" s="128">
        <v>45.872</v>
      </c>
      <c r="F2183" s="129">
        <f t="shared" si="104"/>
        <v>3.4569597919999997</v>
      </c>
      <c r="G2183" t="str">
        <f>_xlfn.XLOOKUP(D2183,'[1]2050 BAU Mapping to T &amp; C'!$A$3:$A$52,'[1]2050 BAU Mapping to T &amp; C'!$B$3:$B$52)</f>
        <v xml:space="preserve">Other cereals </v>
      </c>
      <c r="H2183" s="129">
        <f>_xlfn.XLOOKUP(G2183,'[1]T&amp;C emissions for 2050 analysis'!$B$3:$B$23,'[1]T&amp;C emissions for 2050 analysis'!$C$3:$C$23)</f>
        <v>0.18333333333333335</v>
      </c>
      <c r="I2183" s="27">
        <f t="shared" si="102"/>
        <v>0.63377596186666663</v>
      </c>
      <c r="J2183" s="129">
        <f t="shared" si="103"/>
        <v>8.4098666666666677</v>
      </c>
    </row>
    <row r="2184" spans="1:10" hidden="1" x14ac:dyDescent="0.35">
      <c r="A2184" s="126" t="s">
        <v>473</v>
      </c>
      <c r="B2184" t="str">
        <f>_xlfn.XLOOKUP(A2184,'[1]2050Pop'!$A$7:$A$143,'[1]2050Pop'!$D$7:$D$143)</f>
        <v>SSA</v>
      </c>
      <c r="C2184" s="127">
        <f>1000*_xlfn.XLOOKUP(A2184,'[1]2050Pop'!$A$7:$A$143,'[1]2050Pop'!$C$7:$C$143)</f>
        <v>137136</v>
      </c>
      <c r="D2184" s="126" t="s">
        <v>512</v>
      </c>
      <c r="E2184" s="128">
        <v>5.6529999999999996</v>
      </c>
      <c r="F2184" s="129">
        <f t="shared" si="104"/>
        <v>0.77522980799999996</v>
      </c>
      <c r="G2184" t="str">
        <f>_xlfn.XLOOKUP(D2184,'[1]2050 BAU Mapping to T &amp; C'!$A$3:$A$52,'[1]2050 BAU Mapping to T &amp; C'!$B$3:$B$52)</f>
        <v xml:space="preserve">Other cereals </v>
      </c>
      <c r="H2184" s="129">
        <f>_xlfn.XLOOKUP(G2184,'[1]T&amp;C emissions for 2050 analysis'!$B$3:$B$23,'[1]T&amp;C emissions for 2050 analysis'!$C$3:$C$23)</f>
        <v>0.18333333333333335</v>
      </c>
      <c r="I2184" s="27">
        <f t="shared" si="102"/>
        <v>0.14212546480000002</v>
      </c>
      <c r="J2184" s="129">
        <f t="shared" si="103"/>
        <v>1.0363833333333334</v>
      </c>
    </row>
    <row r="2185" spans="1:10" hidden="1" x14ac:dyDescent="0.35">
      <c r="A2185" s="126" t="s">
        <v>474</v>
      </c>
      <c r="B2185" t="str">
        <f>_xlfn.XLOOKUP(A2185,'[1]2050Pop'!$A$7:$A$143,'[1]2050Pop'!$D$7:$D$143)</f>
        <v>NAm</v>
      </c>
      <c r="C2185" s="127">
        <f>1000*_xlfn.XLOOKUP(A2185,'[1]2050Pop'!$A$7:$A$143,'[1]2050Pop'!$C$7:$C$143)</f>
        <v>388865</v>
      </c>
      <c r="D2185" s="126" t="s">
        <v>512</v>
      </c>
      <c r="E2185" s="128">
        <v>28.242999999999999</v>
      </c>
      <c r="F2185" s="129">
        <f t="shared" si="104"/>
        <v>10.982714195</v>
      </c>
      <c r="G2185" t="str">
        <f>_xlfn.XLOOKUP(D2185,'[1]2050 BAU Mapping to T &amp; C'!$A$3:$A$52,'[1]2050 BAU Mapping to T &amp; C'!$B$3:$B$52)</f>
        <v xml:space="preserve">Other cereals </v>
      </c>
      <c r="H2185" s="129">
        <f>_xlfn.XLOOKUP(G2185,'[1]T&amp;C emissions for 2050 analysis'!$B$3:$B$23,'[1]T&amp;C emissions for 2050 analysis'!$C$3:$C$23)</f>
        <v>0.18333333333333335</v>
      </c>
      <c r="I2185" s="27">
        <f t="shared" si="102"/>
        <v>2.0134976024166669</v>
      </c>
      <c r="J2185" s="129">
        <f t="shared" si="103"/>
        <v>5.1778833333333338</v>
      </c>
    </row>
    <row r="2186" spans="1:10" hidden="1" x14ac:dyDescent="0.35">
      <c r="A2186" s="126" t="s">
        <v>475</v>
      </c>
      <c r="B2186" t="str">
        <f>_xlfn.XLOOKUP(A2186,'[1]2050Pop'!$A$7:$A$143,'[1]2050Pop'!$D$7:$D$143)</f>
        <v>LatAm &amp; RSA</v>
      </c>
      <c r="C2186" s="127">
        <f>1000*_xlfn.XLOOKUP(A2186,'[1]2050Pop'!$A$7:$A$143,'[1]2050Pop'!$C$7:$C$143)</f>
        <v>3667</v>
      </c>
      <c r="D2186" s="126" t="s">
        <v>512</v>
      </c>
      <c r="E2186" s="128">
        <v>111.21899999999999</v>
      </c>
      <c r="F2186" s="129">
        <f t="shared" si="104"/>
        <v>0.40784007299999997</v>
      </c>
      <c r="G2186" t="str">
        <f>_xlfn.XLOOKUP(D2186,'[1]2050 BAU Mapping to T &amp; C'!$A$3:$A$52,'[1]2050 BAU Mapping to T &amp; C'!$B$3:$B$52)</f>
        <v xml:space="preserve">Other cereals </v>
      </c>
      <c r="H2186" s="129">
        <f>_xlfn.XLOOKUP(G2186,'[1]T&amp;C emissions for 2050 analysis'!$B$3:$B$23,'[1]T&amp;C emissions for 2050 analysis'!$C$3:$C$23)</f>
        <v>0.18333333333333335</v>
      </c>
      <c r="I2186" s="27">
        <f t="shared" si="102"/>
        <v>7.4770680049999996E-2</v>
      </c>
      <c r="J2186" s="129">
        <f t="shared" si="103"/>
        <v>20.390150000000002</v>
      </c>
    </row>
    <row r="2187" spans="1:10" hidden="1" x14ac:dyDescent="0.35">
      <c r="A2187" s="126" t="s">
        <v>485</v>
      </c>
      <c r="B2187" t="str">
        <f>_xlfn.XLOOKUP(A2187,'[1]2050Pop'!$A$7:$A$143,'[1]2050Pop'!$D$7:$D$143)</f>
        <v>APAC</v>
      </c>
      <c r="C2187" s="127">
        <f>1000*_xlfn.XLOOKUP(A2187,'[1]2050Pop'!$A$7:$A$143,'[1]2050Pop'!$C$7:$C$143)</f>
        <v>37126</v>
      </c>
      <c r="D2187" s="126" t="s">
        <v>512</v>
      </c>
      <c r="E2187" s="131">
        <v>5.5</v>
      </c>
      <c r="F2187" s="129">
        <f t="shared" si="104"/>
        <v>0.20419300000000001</v>
      </c>
      <c r="G2187" t="str">
        <f>_xlfn.XLOOKUP(D2187,'[1]2050 BAU Mapping to T &amp; C'!$A$3:$A$52,'[1]2050 BAU Mapping to T &amp; C'!$B$3:$B$52)</f>
        <v xml:space="preserve">Other cereals </v>
      </c>
      <c r="H2187" s="129">
        <f>_xlfn.XLOOKUP(G2187,'[1]T&amp;C emissions for 2050 analysis'!$B$3:$B$23,'[1]T&amp;C emissions for 2050 analysis'!$C$3:$C$23)</f>
        <v>0.18333333333333335</v>
      </c>
      <c r="I2187" s="27">
        <f t="shared" si="102"/>
        <v>3.7435383333333336E-2</v>
      </c>
      <c r="J2187" s="129">
        <f t="shared" si="103"/>
        <v>1.0083333333333333</v>
      </c>
    </row>
    <row r="2188" spans="1:10" hidden="1" x14ac:dyDescent="0.35">
      <c r="A2188" s="126" t="s">
        <v>476</v>
      </c>
      <c r="B2188" t="str">
        <f>_xlfn.XLOOKUP(A2188,'[1]2050Pop'!$A$7:$A$143,'[1]2050Pop'!$D$7:$D$143)</f>
        <v>LatAm &amp; RSA</v>
      </c>
      <c r="C2188" s="127">
        <f>1000*_xlfn.XLOOKUP(A2188,'[1]2050Pop'!$A$7:$A$143,'[1]2050Pop'!$C$7:$C$143)</f>
        <v>41562</v>
      </c>
      <c r="D2188" s="126" t="s">
        <v>512</v>
      </c>
      <c r="E2188" s="128">
        <v>11.759</v>
      </c>
      <c r="F2188" s="129">
        <f t="shared" si="104"/>
        <v>0.48872755800000001</v>
      </c>
      <c r="G2188" t="str">
        <f>_xlfn.XLOOKUP(D2188,'[1]2050 BAU Mapping to T &amp; C'!$A$3:$A$52,'[1]2050 BAU Mapping to T &amp; C'!$B$3:$B$52)</f>
        <v xml:space="preserve">Other cereals </v>
      </c>
      <c r="H2188" s="129">
        <f>_xlfn.XLOOKUP(G2188,'[1]T&amp;C emissions for 2050 analysis'!$B$3:$B$23,'[1]T&amp;C emissions for 2050 analysis'!$C$3:$C$23)</f>
        <v>0.18333333333333335</v>
      </c>
      <c r="I2188" s="27">
        <f t="shared" si="102"/>
        <v>8.960005230000001E-2</v>
      </c>
      <c r="J2188" s="129">
        <f t="shared" si="103"/>
        <v>2.1558166666666669</v>
      </c>
    </row>
    <row r="2189" spans="1:10" hidden="1" x14ac:dyDescent="0.35">
      <c r="A2189" s="126" t="s">
        <v>477</v>
      </c>
      <c r="B2189" t="str">
        <f>_xlfn.XLOOKUP(A2189,'[1]2050Pop'!$A$7:$A$143,'[1]2050Pop'!$D$7:$D$143)</f>
        <v>APAC</v>
      </c>
      <c r="C2189" s="127">
        <f>1000*_xlfn.XLOOKUP(A2189,'[1]2050Pop'!$A$7:$A$143,'[1]2050Pop'!$C$7:$C$143)</f>
        <v>112783</v>
      </c>
      <c r="D2189" s="126" t="s">
        <v>512</v>
      </c>
      <c r="E2189" s="128">
        <v>1.0129999999999999</v>
      </c>
      <c r="F2189" s="129">
        <f t="shared" si="104"/>
        <v>0.11424917899999999</v>
      </c>
      <c r="G2189" t="str">
        <f>_xlfn.XLOOKUP(D2189,'[1]2050 BAU Mapping to T &amp; C'!$A$3:$A$52,'[1]2050 BAU Mapping to T &amp; C'!$B$3:$B$52)</f>
        <v xml:space="preserve">Other cereals </v>
      </c>
      <c r="H2189" s="129">
        <f>_xlfn.XLOOKUP(G2189,'[1]T&amp;C emissions for 2050 analysis'!$B$3:$B$23,'[1]T&amp;C emissions for 2050 analysis'!$C$3:$C$23)</f>
        <v>0.18333333333333335</v>
      </c>
      <c r="I2189" s="27">
        <f t="shared" si="102"/>
        <v>2.0945682816666669E-2</v>
      </c>
      <c r="J2189" s="129">
        <f t="shared" si="103"/>
        <v>0.18571666666666667</v>
      </c>
    </row>
    <row r="2190" spans="1:10" hidden="1" x14ac:dyDescent="0.35">
      <c r="A2190" s="126" t="s">
        <v>478</v>
      </c>
      <c r="B2190" t="str">
        <f>_xlfn.XLOOKUP(A2190,'[1]2050Pop'!$A$7:$A$143,'[1]2050Pop'!$D$7:$D$143)</f>
        <v>MENA</v>
      </c>
      <c r="C2190" s="127">
        <f>1000*_xlfn.XLOOKUP(A2190,'[1]2050Pop'!$A$7:$A$143,'[1]2050Pop'!$C$7:$C$143)</f>
        <v>47170</v>
      </c>
      <c r="D2190" s="126" t="s">
        <v>512</v>
      </c>
      <c r="E2190" s="128">
        <v>1.448</v>
      </c>
      <c r="F2190" s="129">
        <f t="shared" si="104"/>
        <v>6.8302160000000001E-2</v>
      </c>
      <c r="G2190" t="str">
        <f>_xlfn.XLOOKUP(D2190,'[1]2050 BAU Mapping to T &amp; C'!$A$3:$A$52,'[1]2050 BAU Mapping to T &amp; C'!$B$3:$B$52)</f>
        <v xml:space="preserve">Other cereals </v>
      </c>
      <c r="H2190" s="129">
        <f>_xlfn.XLOOKUP(G2190,'[1]T&amp;C emissions for 2050 analysis'!$B$3:$B$23,'[1]T&amp;C emissions for 2050 analysis'!$C$3:$C$23)</f>
        <v>0.18333333333333335</v>
      </c>
      <c r="I2190" s="27">
        <f t="shared" si="102"/>
        <v>1.2522062666666669E-2</v>
      </c>
      <c r="J2190" s="129">
        <f t="shared" si="103"/>
        <v>0.26546666666666668</v>
      </c>
    </row>
    <row r="2191" spans="1:10" hidden="1" x14ac:dyDescent="0.35">
      <c r="A2191" s="126" t="s">
        <v>479</v>
      </c>
      <c r="B2191" t="str">
        <f>_xlfn.XLOOKUP(A2191,'[1]2050Pop'!$A$7:$A$143,'[1]2050Pop'!$D$7:$D$143)</f>
        <v>SSA</v>
      </c>
      <c r="C2191" s="127">
        <f>1000*_xlfn.XLOOKUP(A2191,'[1]2050Pop'!$A$7:$A$143,'[1]2050Pop'!$C$7:$C$143)</f>
        <v>29615</v>
      </c>
      <c r="D2191" s="126" t="s">
        <v>512</v>
      </c>
      <c r="E2191" s="128">
        <v>3.3149999999999999</v>
      </c>
      <c r="F2191" s="129">
        <f t="shared" si="104"/>
        <v>9.8173724999999989E-2</v>
      </c>
      <c r="G2191" t="str">
        <f>_xlfn.XLOOKUP(D2191,'[1]2050 BAU Mapping to T &amp; C'!$A$3:$A$52,'[1]2050 BAU Mapping to T &amp; C'!$B$3:$B$52)</f>
        <v xml:space="preserve">Other cereals </v>
      </c>
      <c r="H2191" s="129">
        <f>_xlfn.XLOOKUP(G2191,'[1]T&amp;C emissions for 2050 analysis'!$B$3:$B$23,'[1]T&amp;C emissions for 2050 analysis'!$C$3:$C$23)</f>
        <v>0.18333333333333335</v>
      </c>
      <c r="I2191" s="27">
        <f t="shared" si="102"/>
        <v>1.7998516249999999E-2</v>
      </c>
      <c r="J2191" s="129">
        <f t="shared" si="103"/>
        <v>0.60775000000000001</v>
      </c>
    </row>
    <row r="2192" spans="1:10" hidden="1" x14ac:dyDescent="0.35">
      <c r="A2192" s="126" t="s">
        <v>355</v>
      </c>
      <c r="B2192" t="str">
        <f>_xlfn.XLOOKUP(A2192,'[1]2050Pop'!$A$7:$A$143,'[1]2050Pop'!$D$7:$D$143)</f>
        <v>India/South Asia</v>
      </c>
      <c r="C2192" s="127">
        <f>1000*_xlfn.XLOOKUP(A2192,'[1]2050Pop'!$A$7:$A$143,'[1]2050Pop'!$C$7:$C$143)</f>
        <v>55955</v>
      </c>
      <c r="D2192" s="126" t="s">
        <v>513</v>
      </c>
      <c r="E2192" s="128">
        <v>19.143999999999998</v>
      </c>
      <c r="F2192" s="129">
        <f t="shared" si="104"/>
        <v>1.0712025199999999</v>
      </c>
      <c r="G2192" t="str">
        <f>_xlfn.XLOOKUP(D2192,'[1]2050 BAU Mapping to T &amp; C'!$A$3:$A$52,'[1]2050 BAU Mapping to T &amp; C'!$B$3:$B$52)</f>
        <v>Other veg</v>
      </c>
      <c r="H2192" s="129">
        <f>_xlfn.XLOOKUP(G2192,'[1]T&amp;C emissions for 2050 analysis'!$B$3:$B$23,'[1]T&amp;C emissions for 2050 analysis'!$C$3:$C$23)</f>
        <v>0.26766666666666666</v>
      </c>
      <c r="I2192" s="27">
        <f t="shared" si="102"/>
        <v>0.28672520785333333</v>
      </c>
      <c r="J2192" s="129">
        <f t="shared" si="103"/>
        <v>5.1242106666666665</v>
      </c>
    </row>
    <row r="2193" spans="1:10" hidden="1" x14ac:dyDescent="0.35">
      <c r="A2193" s="126" t="s">
        <v>357</v>
      </c>
      <c r="B2193" t="str">
        <f>_xlfn.XLOOKUP(A2193,'[1]2050Pop'!$A$7:$A$143,'[1]2050Pop'!$D$7:$D$143)</f>
        <v>Euro/AU/NZ</v>
      </c>
      <c r="C2193" s="127">
        <f>1000*_xlfn.XLOOKUP(A2193,'[1]2050Pop'!$A$7:$A$143,'[1]2050Pop'!$C$7:$C$143)</f>
        <v>2710</v>
      </c>
      <c r="D2193" s="126" t="s">
        <v>513</v>
      </c>
      <c r="E2193" s="128">
        <v>23.914999999999999</v>
      </c>
      <c r="F2193" s="129">
        <f t="shared" si="104"/>
        <v>6.4809649999999996E-2</v>
      </c>
      <c r="G2193" t="str">
        <f>_xlfn.XLOOKUP(D2193,'[1]2050 BAU Mapping to T &amp; C'!$A$3:$A$52,'[1]2050 BAU Mapping to T &amp; C'!$B$3:$B$52)</f>
        <v>Other veg</v>
      </c>
      <c r="H2193" s="129">
        <f>_xlfn.XLOOKUP(G2193,'[1]T&amp;C emissions for 2050 analysis'!$B$3:$B$23,'[1]T&amp;C emissions for 2050 analysis'!$C$3:$C$23)</f>
        <v>0.26766666666666666</v>
      </c>
      <c r="I2193" s="27">
        <f t="shared" si="102"/>
        <v>1.7347382983333333E-2</v>
      </c>
      <c r="J2193" s="129">
        <f t="shared" si="103"/>
        <v>6.4012483333333332</v>
      </c>
    </row>
    <row r="2194" spans="1:10" hidden="1" x14ac:dyDescent="0.35">
      <c r="A2194" s="126" t="s">
        <v>358</v>
      </c>
      <c r="B2194" t="str">
        <f>_xlfn.XLOOKUP(A2194,'[1]2050Pop'!$A$7:$A$143,'[1]2050Pop'!$D$7:$D$143)</f>
        <v>MENA</v>
      </c>
      <c r="C2194" s="127">
        <f>1000*_xlfn.XLOOKUP(A2194,'[1]2050Pop'!$A$7:$A$143,'[1]2050Pop'!$C$7:$C$143)</f>
        <v>56461</v>
      </c>
      <c r="D2194" s="126" t="s">
        <v>513</v>
      </c>
      <c r="E2194" s="128">
        <v>17.396999999999998</v>
      </c>
      <c r="F2194" s="129">
        <f t="shared" si="104"/>
        <v>0.98225201699999987</v>
      </c>
      <c r="G2194" t="str">
        <f>_xlfn.XLOOKUP(D2194,'[1]2050 BAU Mapping to T &amp; C'!$A$3:$A$52,'[1]2050 BAU Mapping to T &amp; C'!$B$3:$B$52)</f>
        <v>Other veg</v>
      </c>
      <c r="H2194" s="129">
        <f>_xlfn.XLOOKUP(G2194,'[1]T&amp;C emissions for 2050 analysis'!$B$3:$B$23,'[1]T&amp;C emissions for 2050 analysis'!$C$3:$C$23)</f>
        <v>0.26766666666666666</v>
      </c>
      <c r="I2194" s="27">
        <f t="shared" si="102"/>
        <v>0.26291612321699998</v>
      </c>
      <c r="J2194" s="129">
        <f t="shared" si="103"/>
        <v>4.6565969999999997</v>
      </c>
    </row>
    <row r="2195" spans="1:10" hidden="1" x14ac:dyDescent="0.35">
      <c r="A2195" s="126" t="s">
        <v>360</v>
      </c>
      <c r="B2195" t="str">
        <f>_xlfn.XLOOKUP(A2195,'[1]2050Pop'!$A$7:$A$143,'[1]2050Pop'!$D$7:$D$143)</f>
        <v>LatAm &amp; RSA</v>
      </c>
      <c r="C2195" s="127">
        <f>1000*_xlfn.XLOOKUP(A2195,'[1]2050Pop'!$A$7:$A$143,'[1]2050Pop'!$C$7:$C$143)</f>
        <v>55445</v>
      </c>
      <c r="D2195" s="126" t="s">
        <v>513</v>
      </c>
      <c r="E2195" s="128">
        <v>4.3289999999999997</v>
      </c>
      <c r="F2195" s="129">
        <f t="shared" si="104"/>
        <v>0.24002140499999999</v>
      </c>
      <c r="G2195" t="str">
        <f>_xlfn.XLOOKUP(D2195,'[1]2050 BAU Mapping to T &amp; C'!$A$3:$A$52,'[1]2050 BAU Mapping to T &amp; C'!$B$3:$B$52)</f>
        <v>Other veg</v>
      </c>
      <c r="H2195" s="129">
        <f>_xlfn.XLOOKUP(G2195,'[1]T&amp;C emissions for 2050 analysis'!$B$3:$B$23,'[1]T&amp;C emissions for 2050 analysis'!$C$3:$C$23)</f>
        <v>0.26766666666666666</v>
      </c>
      <c r="I2195" s="27">
        <f t="shared" si="102"/>
        <v>6.4245729404999993E-2</v>
      </c>
      <c r="J2195" s="129">
        <f t="shared" si="103"/>
        <v>1.1587289999999999</v>
      </c>
    </row>
    <row r="2196" spans="1:10" hidden="1" x14ac:dyDescent="0.35">
      <c r="A2196" s="126" t="s">
        <v>361</v>
      </c>
      <c r="B2196" t="str">
        <f>_xlfn.XLOOKUP(A2196,'[1]2050Pop'!$A$7:$A$143,'[1]2050Pop'!$D$7:$D$143)</f>
        <v>MENA</v>
      </c>
      <c r="C2196" s="127">
        <f>1000*_xlfn.XLOOKUP(A2196,'[1]2050Pop'!$A$7:$A$143,'[1]2050Pop'!$C$7:$C$143)</f>
        <v>2729</v>
      </c>
      <c r="D2196" s="126" t="s">
        <v>513</v>
      </c>
      <c r="E2196" s="130">
        <v>14.44</v>
      </c>
      <c r="F2196" s="129">
        <f t="shared" si="104"/>
        <v>3.9406759999999999E-2</v>
      </c>
      <c r="G2196" t="str">
        <f>_xlfn.XLOOKUP(D2196,'[1]2050 BAU Mapping to T &amp; C'!$A$3:$A$52,'[1]2050 BAU Mapping to T &amp; C'!$B$3:$B$52)</f>
        <v>Other veg</v>
      </c>
      <c r="H2196" s="129">
        <f>_xlfn.XLOOKUP(G2196,'[1]T&amp;C emissions for 2050 analysis'!$B$3:$B$23,'[1]T&amp;C emissions for 2050 analysis'!$C$3:$C$23)</f>
        <v>0.26766666666666666</v>
      </c>
      <c r="I2196" s="27">
        <f t="shared" si="102"/>
        <v>1.0547876093333334E-2</v>
      </c>
      <c r="J2196" s="129">
        <f t="shared" si="103"/>
        <v>3.8651066666666667</v>
      </c>
    </row>
    <row r="2197" spans="1:10" hidden="1" x14ac:dyDescent="0.35">
      <c r="A2197" s="126" t="s">
        <v>362</v>
      </c>
      <c r="B2197" t="str">
        <f>_xlfn.XLOOKUP(A2197,'[1]2050Pop'!$A$7:$A$143,'[1]2050Pop'!$D$7:$D$143)</f>
        <v>Euro/AU/NZ</v>
      </c>
      <c r="C2197" s="127">
        <f>1000*_xlfn.XLOOKUP(A2197,'[1]2050Pop'!$A$7:$A$143,'[1]2050Pop'!$C$7:$C$143)</f>
        <v>33496</v>
      </c>
      <c r="D2197" s="126" t="s">
        <v>513</v>
      </c>
      <c r="E2197" s="130">
        <v>46.35</v>
      </c>
      <c r="F2197" s="129">
        <f t="shared" si="104"/>
        <v>1.5525396</v>
      </c>
      <c r="G2197" t="str">
        <f>_xlfn.XLOOKUP(D2197,'[1]2050 BAU Mapping to T &amp; C'!$A$3:$A$52,'[1]2050 BAU Mapping to T &amp; C'!$B$3:$B$52)</f>
        <v>Other veg</v>
      </c>
      <c r="H2197" s="129">
        <f>_xlfn.XLOOKUP(G2197,'[1]T&amp;C emissions for 2050 analysis'!$B$3:$B$23,'[1]T&amp;C emissions for 2050 analysis'!$C$3:$C$23)</f>
        <v>0.26766666666666666</v>
      </c>
      <c r="I2197" s="27">
        <f t="shared" si="102"/>
        <v>0.41556309959999999</v>
      </c>
      <c r="J2197" s="129">
        <f t="shared" si="103"/>
        <v>12.40635</v>
      </c>
    </row>
    <row r="2198" spans="1:10" hidden="1" x14ac:dyDescent="0.35">
      <c r="A2198" s="126" t="s">
        <v>363</v>
      </c>
      <c r="B2198" t="str">
        <f>_xlfn.XLOOKUP(A2198,'[1]2050Pop'!$A$7:$A$143,'[1]2050Pop'!$D$7:$D$143)</f>
        <v>Euro/AU/NZ</v>
      </c>
      <c r="C2198" s="127">
        <f>1000*_xlfn.XLOOKUP(A2198,'[1]2050Pop'!$A$7:$A$143,'[1]2050Pop'!$C$7:$C$143)</f>
        <v>8846</v>
      </c>
      <c r="D2198" s="126" t="s">
        <v>513</v>
      </c>
      <c r="E2198" s="128">
        <v>39.704000000000001</v>
      </c>
      <c r="F2198" s="129">
        <f t="shared" si="104"/>
        <v>0.35122158400000003</v>
      </c>
      <c r="G2198" t="str">
        <f>_xlfn.XLOOKUP(D2198,'[1]2050 BAU Mapping to T &amp; C'!$A$3:$A$52,'[1]2050 BAU Mapping to T &amp; C'!$B$3:$B$52)</f>
        <v>Other veg</v>
      </c>
      <c r="H2198" s="129">
        <f>_xlfn.XLOOKUP(G2198,'[1]T&amp;C emissions for 2050 analysis'!$B$3:$B$23,'[1]T&amp;C emissions for 2050 analysis'!$C$3:$C$23)</f>
        <v>0.26766666666666666</v>
      </c>
      <c r="I2198" s="27">
        <f t="shared" si="102"/>
        <v>9.4010310650666673E-2</v>
      </c>
      <c r="J2198" s="129">
        <f t="shared" si="103"/>
        <v>10.627437333333333</v>
      </c>
    </row>
    <row r="2199" spans="1:10" hidden="1" x14ac:dyDescent="0.35">
      <c r="A2199" s="126" t="s">
        <v>364</v>
      </c>
      <c r="B2199" t="str">
        <f>_xlfn.XLOOKUP(A2199,'[1]2050Pop'!$A$7:$A$143,'[1]2050Pop'!$D$7:$D$143)</f>
        <v>MENA</v>
      </c>
      <c r="C2199" s="127">
        <f>1000*_xlfn.XLOOKUP(A2199,'[1]2050Pop'!$A$7:$A$143,'[1]2050Pop'!$C$7:$C$143)</f>
        <v>10963</v>
      </c>
      <c r="D2199" s="126" t="s">
        <v>513</v>
      </c>
      <c r="E2199" s="128">
        <v>21.425999999999998</v>
      </c>
      <c r="F2199" s="129">
        <f t="shared" si="104"/>
        <v>0.23489323799999998</v>
      </c>
      <c r="G2199" t="str">
        <f>_xlfn.XLOOKUP(D2199,'[1]2050 BAU Mapping to T &amp; C'!$A$3:$A$52,'[1]2050 BAU Mapping to T &amp; C'!$B$3:$B$52)</f>
        <v>Other veg</v>
      </c>
      <c r="H2199" s="129">
        <f>_xlfn.XLOOKUP(G2199,'[1]T&amp;C emissions for 2050 analysis'!$B$3:$B$23,'[1]T&amp;C emissions for 2050 analysis'!$C$3:$C$23)</f>
        <v>0.26766666666666666</v>
      </c>
      <c r="I2199" s="27">
        <f t="shared" si="102"/>
        <v>6.2873090037999999E-2</v>
      </c>
      <c r="J2199" s="129">
        <f t="shared" si="103"/>
        <v>5.7350259999999995</v>
      </c>
    </row>
    <row r="2200" spans="1:10" hidden="1" x14ac:dyDescent="0.35">
      <c r="A2200" s="126" t="s">
        <v>365</v>
      </c>
      <c r="B2200" t="str">
        <f>_xlfn.XLOOKUP(A2200,'[1]2050Pop'!$A$7:$A$143,'[1]2050Pop'!$D$7:$D$143)</f>
        <v>India/South Asia</v>
      </c>
      <c r="C2200" s="127">
        <f>1000*_xlfn.XLOOKUP(A2200,'[1]2050Pop'!$A$7:$A$143,'[1]2050Pop'!$C$7:$C$143)</f>
        <v>202209</v>
      </c>
      <c r="D2200" s="126" t="s">
        <v>513</v>
      </c>
      <c r="E2200" s="128">
        <v>32.853000000000002</v>
      </c>
      <c r="F2200" s="129">
        <f t="shared" si="104"/>
        <v>6.6431722770000006</v>
      </c>
      <c r="G2200" t="str">
        <f>_xlfn.XLOOKUP(D2200,'[1]2050 BAU Mapping to T &amp; C'!$A$3:$A$52,'[1]2050 BAU Mapping to T &amp; C'!$B$3:$B$52)</f>
        <v>Other veg</v>
      </c>
      <c r="H2200" s="129">
        <f>_xlfn.XLOOKUP(G2200,'[1]T&amp;C emissions for 2050 analysis'!$B$3:$B$23,'[1]T&amp;C emissions for 2050 analysis'!$C$3:$C$23)</f>
        <v>0.26766666666666666</v>
      </c>
      <c r="I2200" s="27">
        <f t="shared" si="102"/>
        <v>1.7781557794770002</v>
      </c>
      <c r="J2200" s="129">
        <f t="shared" si="103"/>
        <v>8.7936530000000008</v>
      </c>
    </row>
    <row r="2201" spans="1:10" hidden="1" x14ac:dyDescent="0.35">
      <c r="A2201" s="126" t="s">
        <v>366</v>
      </c>
      <c r="B2201" t="str">
        <f>_xlfn.XLOOKUP(A2201,'[1]2050Pop'!$A$7:$A$143,'[1]2050Pop'!$D$7:$D$143)</f>
        <v>Euro/AU/NZ</v>
      </c>
      <c r="C2201" s="127">
        <f>1000*_xlfn.XLOOKUP(A2201,'[1]2050Pop'!$A$7:$A$143,'[1]2050Pop'!$C$7:$C$143)</f>
        <v>8125</v>
      </c>
      <c r="D2201" s="126" t="s">
        <v>513</v>
      </c>
      <c r="E2201" s="128">
        <v>21.402999999999999</v>
      </c>
      <c r="F2201" s="129">
        <f t="shared" si="104"/>
        <v>0.17389937499999999</v>
      </c>
      <c r="G2201" t="str">
        <f>_xlfn.XLOOKUP(D2201,'[1]2050 BAU Mapping to T &amp; C'!$A$3:$A$52,'[1]2050 BAU Mapping to T &amp; C'!$B$3:$B$52)</f>
        <v>Other veg</v>
      </c>
      <c r="H2201" s="129">
        <f>_xlfn.XLOOKUP(G2201,'[1]T&amp;C emissions for 2050 analysis'!$B$3:$B$23,'[1]T&amp;C emissions for 2050 analysis'!$C$3:$C$23)</f>
        <v>0.26766666666666666</v>
      </c>
      <c r="I2201" s="27">
        <f t="shared" si="102"/>
        <v>4.6547066041666668E-2</v>
      </c>
      <c r="J2201" s="129">
        <f t="shared" si="103"/>
        <v>5.7288696666666663</v>
      </c>
    </row>
    <row r="2202" spans="1:10" hidden="1" x14ac:dyDescent="0.35">
      <c r="A2202" s="126" t="s">
        <v>367</v>
      </c>
      <c r="B2202" t="str">
        <f>_xlfn.XLOOKUP(A2202,'[1]2050Pop'!$A$7:$A$143,'[1]2050Pop'!$D$7:$D$143)</f>
        <v>Euro/AU/NZ</v>
      </c>
      <c r="C2202" s="127">
        <f>1000*_xlfn.XLOOKUP(A2202,'[1]2050Pop'!$A$7:$A$143,'[1]2050Pop'!$C$7:$C$143)</f>
        <v>12527</v>
      </c>
      <c r="D2202" s="126" t="s">
        <v>513</v>
      </c>
      <c r="E2202" s="128">
        <v>44.279000000000003</v>
      </c>
      <c r="F2202" s="129">
        <f t="shared" si="104"/>
        <v>0.5546830330000001</v>
      </c>
      <c r="G2202" t="str">
        <f>_xlfn.XLOOKUP(D2202,'[1]2050 BAU Mapping to T &amp; C'!$A$3:$A$52,'[1]2050 BAU Mapping to T &amp; C'!$B$3:$B$52)</f>
        <v>Other veg</v>
      </c>
      <c r="H2202" s="129">
        <f>_xlfn.XLOOKUP(G2202,'[1]T&amp;C emissions for 2050 analysis'!$B$3:$B$23,'[1]T&amp;C emissions for 2050 analysis'!$C$3:$C$23)</f>
        <v>0.26766666666666666</v>
      </c>
      <c r="I2202" s="27">
        <f t="shared" si="102"/>
        <v>0.14847015849966669</v>
      </c>
      <c r="J2202" s="129">
        <f t="shared" si="103"/>
        <v>11.852012333333334</v>
      </c>
    </row>
    <row r="2203" spans="1:10" hidden="1" x14ac:dyDescent="0.35">
      <c r="A2203" s="126" t="s">
        <v>368</v>
      </c>
      <c r="B2203" t="str">
        <f>_xlfn.XLOOKUP(A2203,'[1]2050Pop'!$A$7:$A$143,'[1]2050Pop'!$D$7:$D$143)</f>
        <v>SSA</v>
      </c>
      <c r="C2203" s="127">
        <f>1000*_xlfn.XLOOKUP(A2203,'[1]2050Pop'!$A$7:$A$143,'[1]2050Pop'!$C$7:$C$143)</f>
        <v>22549</v>
      </c>
      <c r="D2203" s="126" t="s">
        <v>513</v>
      </c>
      <c r="E2203" s="128">
        <v>100.57299999999999</v>
      </c>
      <c r="F2203" s="129">
        <f t="shared" si="104"/>
        <v>2.2678205770000002</v>
      </c>
      <c r="G2203" t="str">
        <f>_xlfn.XLOOKUP(D2203,'[1]2050 BAU Mapping to T &amp; C'!$A$3:$A$52,'[1]2050 BAU Mapping to T &amp; C'!$B$3:$B$52)</f>
        <v>Other veg</v>
      </c>
      <c r="H2203" s="129">
        <f>_xlfn.XLOOKUP(G2203,'[1]T&amp;C emissions for 2050 analysis'!$B$3:$B$23,'[1]T&amp;C emissions for 2050 analysis'!$C$3:$C$23)</f>
        <v>0.26766666666666666</v>
      </c>
      <c r="I2203" s="27">
        <f t="shared" si="102"/>
        <v>0.60701997444366673</v>
      </c>
      <c r="J2203" s="129">
        <f t="shared" si="103"/>
        <v>26.920039666666664</v>
      </c>
    </row>
    <row r="2204" spans="1:10" hidden="1" x14ac:dyDescent="0.35">
      <c r="A2204" s="126" t="s">
        <v>369</v>
      </c>
      <c r="B2204" t="str">
        <f>_xlfn.XLOOKUP(A2204,'[1]2050Pop'!$A$7:$A$143,'[1]2050Pop'!$D$7:$D$143)</f>
        <v>LatAm &amp; RSA</v>
      </c>
      <c r="C2204" s="127">
        <f>1000*_xlfn.XLOOKUP(A2204,'[1]2050Pop'!$A$7:$A$143,'[1]2050Pop'!$C$7:$C$143)</f>
        <v>15963</v>
      </c>
      <c r="D2204" s="126" t="s">
        <v>513</v>
      </c>
      <c r="E2204" s="128">
        <v>38.451999999999998</v>
      </c>
      <c r="F2204" s="129">
        <f t="shared" si="104"/>
        <v>0.6138092759999999</v>
      </c>
      <c r="G2204" t="str">
        <f>_xlfn.XLOOKUP(D2204,'[1]2050 BAU Mapping to T &amp; C'!$A$3:$A$52,'[1]2050 BAU Mapping to T &amp; C'!$B$3:$B$52)</f>
        <v>Other veg</v>
      </c>
      <c r="H2204" s="129">
        <f>_xlfn.XLOOKUP(G2204,'[1]T&amp;C emissions for 2050 analysis'!$B$3:$B$23,'[1]T&amp;C emissions for 2050 analysis'!$C$3:$C$23)</f>
        <v>0.26766666666666666</v>
      </c>
      <c r="I2204" s="27">
        <f t="shared" si="102"/>
        <v>0.16429628287599998</v>
      </c>
      <c r="J2204" s="129">
        <f t="shared" si="103"/>
        <v>10.292318666666667</v>
      </c>
    </row>
    <row r="2205" spans="1:10" hidden="1" x14ac:dyDescent="0.35">
      <c r="A2205" s="126" t="s">
        <v>370</v>
      </c>
      <c r="B2205" t="str">
        <f>_xlfn.XLOOKUP(A2205,'[1]2050Pop'!$A$7:$A$143,'[1]2050Pop'!$D$7:$D$143)</f>
        <v>Euro/AU/NZ</v>
      </c>
      <c r="C2205" s="127">
        <f>1000*_xlfn.XLOOKUP(A2205,'[1]2050Pop'!$A$7:$A$143,'[1]2050Pop'!$C$7:$C$143)</f>
        <v>3069</v>
      </c>
      <c r="D2205" s="126" t="s">
        <v>513</v>
      </c>
      <c r="E2205" s="128">
        <v>78.628</v>
      </c>
      <c r="F2205" s="129">
        <f t="shared" si="104"/>
        <v>0.24130933199999999</v>
      </c>
      <c r="G2205" t="str">
        <f>_xlfn.XLOOKUP(D2205,'[1]2050 BAU Mapping to T &amp; C'!$A$3:$A$52,'[1]2050 BAU Mapping to T &amp; C'!$B$3:$B$52)</f>
        <v>Other veg</v>
      </c>
      <c r="H2205" s="129">
        <f>_xlfn.XLOOKUP(G2205,'[1]T&amp;C emissions for 2050 analysis'!$B$3:$B$23,'[1]T&amp;C emissions for 2050 analysis'!$C$3:$C$23)</f>
        <v>0.26766666666666666</v>
      </c>
      <c r="I2205" s="27">
        <f t="shared" si="102"/>
        <v>6.4590464532E-2</v>
      </c>
      <c r="J2205" s="129">
        <f t="shared" si="103"/>
        <v>21.046094666666665</v>
      </c>
    </row>
    <row r="2206" spans="1:10" hidden="1" x14ac:dyDescent="0.35">
      <c r="A2206" s="126" t="s">
        <v>371</v>
      </c>
      <c r="B2206" t="str">
        <f>_xlfn.XLOOKUP(A2206,'[1]2050Pop'!$A$7:$A$143,'[1]2050Pop'!$D$7:$D$143)</f>
        <v>SSA</v>
      </c>
      <c r="C2206" s="127">
        <f>1000*_xlfn.XLOOKUP(A2206,'[1]2050Pop'!$A$7:$A$143,'[1]2050Pop'!$C$7:$C$143)</f>
        <v>3389</v>
      </c>
      <c r="D2206" s="126" t="s">
        <v>513</v>
      </c>
      <c r="E2206" s="128">
        <v>20.686</v>
      </c>
      <c r="F2206" s="129">
        <f t="shared" si="104"/>
        <v>7.0104854000000008E-2</v>
      </c>
      <c r="G2206" t="str">
        <f>_xlfn.XLOOKUP(D2206,'[1]2050 BAU Mapping to T &amp; C'!$A$3:$A$52,'[1]2050 BAU Mapping to T &amp; C'!$B$3:$B$52)</f>
        <v>Other veg</v>
      </c>
      <c r="H2206" s="129">
        <f>_xlfn.XLOOKUP(G2206,'[1]T&amp;C emissions for 2050 analysis'!$B$3:$B$23,'[1]T&amp;C emissions for 2050 analysis'!$C$3:$C$23)</f>
        <v>0.26766666666666666</v>
      </c>
      <c r="I2206" s="27">
        <f t="shared" si="102"/>
        <v>1.8764732587333334E-2</v>
      </c>
      <c r="J2206" s="129">
        <f t="shared" si="103"/>
        <v>5.5369526666666662</v>
      </c>
    </row>
    <row r="2207" spans="1:10" hidden="1" x14ac:dyDescent="0.35">
      <c r="A2207" s="126" t="s">
        <v>372</v>
      </c>
      <c r="B2207" t="str">
        <f>_xlfn.XLOOKUP(A2207,'[1]2050Pop'!$A$7:$A$143,'[1]2050Pop'!$D$7:$D$143)</f>
        <v>LatAm &amp; RSA</v>
      </c>
      <c r="C2207" s="127">
        <f>1000*_xlfn.XLOOKUP(A2207,'[1]2050Pop'!$A$7:$A$143,'[1]2050Pop'!$C$7:$C$143)</f>
        <v>238270</v>
      </c>
      <c r="D2207" s="126" t="s">
        <v>513</v>
      </c>
      <c r="E2207" s="128">
        <v>5.0190000000000001</v>
      </c>
      <c r="F2207" s="129">
        <f t="shared" si="104"/>
        <v>1.1958771300000002</v>
      </c>
      <c r="G2207" t="str">
        <f>_xlfn.XLOOKUP(D2207,'[1]2050 BAU Mapping to T &amp; C'!$A$3:$A$52,'[1]2050 BAU Mapping to T &amp; C'!$B$3:$B$52)</f>
        <v>Other veg</v>
      </c>
      <c r="H2207" s="129">
        <f>_xlfn.XLOOKUP(G2207,'[1]T&amp;C emissions for 2050 analysis'!$B$3:$B$23,'[1]T&amp;C emissions for 2050 analysis'!$C$3:$C$23)</f>
        <v>0.26766666666666666</v>
      </c>
      <c r="I2207" s="27">
        <f t="shared" si="102"/>
        <v>0.32009644513000002</v>
      </c>
      <c r="J2207" s="129">
        <f t="shared" si="103"/>
        <v>1.3434189999999999</v>
      </c>
    </row>
    <row r="2208" spans="1:10" hidden="1" x14ac:dyDescent="0.35">
      <c r="A2208" s="126" t="s">
        <v>373</v>
      </c>
      <c r="B2208" t="str">
        <f>_xlfn.XLOOKUP(A2208,'[1]2050Pop'!$A$7:$A$143,'[1]2050Pop'!$D$7:$D$143)</f>
        <v>Euro/AU/NZ</v>
      </c>
      <c r="C2208" s="127">
        <f>1000*_xlfn.XLOOKUP(A2208,'[1]2050Pop'!$A$7:$A$143,'[1]2050Pop'!$C$7:$C$143)</f>
        <v>5154</v>
      </c>
      <c r="D2208" s="126" t="s">
        <v>513</v>
      </c>
      <c r="E2208" s="128">
        <v>24.207000000000001</v>
      </c>
      <c r="F2208" s="129">
        <f t="shared" si="104"/>
        <v>0.12476287799999999</v>
      </c>
      <c r="G2208" t="str">
        <f>_xlfn.XLOOKUP(D2208,'[1]2050 BAU Mapping to T &amp; C'!$A$3:$A$52,'[1]2050 BAU Mapping to T &amp; C'!$B$3:$B$52)</f>
        <v>Other veg</v>
      </c>
      <c r="H2208" s="129">
        <f>_xlfn.XLOOKUP(G2208,'[1]T&amp;C emissions for 2050 analysis'!$B$3:$B$23,'[1]T&amp;C emissions for 2050 analysis'!$C$3:$C$23)</f>
        <v>0.26766666666666666</v>
      </c>
      <c r="I2208" s="27">
        <f t="shared" si="102"/>
        <v>3.3394863678E-2</v>
      </c>
      <c r="J2208" s="129">
        <f t="shared" si="103"/>
        <v>6.4794070000000001</v>
      </c>
    </row>
    <row r="2209" spans="1:10" hidden="1" x14ac:dyDescent="0.35">
      <c r="A2209" s="126" t="s">
        <v>487</v>
      </c>
      <c r="B2209" t="str">
        <f>_xlfn.XLOOKUP(A2209,'[1]2050Pop'!$A$7:$A$143,'[1]2050Pop'!$D$7:$D$143)</f>
        <v>SSA</v>
      </c>
      <c r="C2209" s="127">
        <f>1000*_xlfn.XLOOKUP(A2209,'[1]2050Pop'!$A$7:$A$143,'[1]2050Pop'!$C$7:$C$143)</f>
        <v>42789</v>
      </c>
      <c r="D2209" s="126" t="s">
        <v>513</v>
      </c>
      <c r="E2209" s="128">
        <v>11.292999999999999</v>
      </c>
      <c r="F2209" s="129">
        <f t="shared" si="104"/>
        <v>0.48321617699999997</v>
      </c>
      <c r="G2209" t="str">
        <f>_xlfn.XLOOKUP(D2209,'[1]2050 BAU Mapping to T &amp; C'!$A$3:$A$52,'[1]2050 BAU Mapping to T &amp; C'!$B$3:$B$52)</f>
        <v>Other veg</v>
      </c>
      <c r="H2209" s="129">
        <f>_xlfn.XLOOKUP(G2209,'[1]T&amp;C emissions for 2050 analysis'!$B$3:$B$23,'[1]T&amp;C emissions for 2050 analysis'!$C$3:$C$23)</f>
        <v>0.26766666666666666</v>
      </c>
      <c r="I2209" s="27">
        <f t="shared" si="102"/>
        <v>0.12934086337699999</v>
      </c>
      <c r="J2209" s="129">
        <f t="shared" si="103"/>
        <v>3.0227596666666665</v>
      </c>
    </row>
    <row r="2210" spans="1:10" hidden="1" x14ac:dyDescent="0.35">
      <c r="A2210" s="126" t="s">
        <v>374</v>
      </c>
      <c r="B2210" t="str">
        <f>_xlfn.XLOOKUP(A2210,'[1]2050Pop'!$A$7:$A$143,'[1]2050Pop'!$D$7:$D$143)</f>
        <v>APAC</v>
      </c>
      <c r="C2210" s="127">
        <f>1000*_xlfn.XLOOKUP(A2210,'[1]2050Pop'!$A$7:$A$143,'[1]2050Pop'!$C$7:$C$143)</f>
        <v>22545</v>
      </c>
      <c r="D2210" s="126" t="s">
        <v>513</v>
      </c>
      <c r="E2210" s="130">
        <v>9.09</v>
      </c>
      <c r="F2210" s="129">
        <f t="shared" si="104"/>
        <v>0.20493404999999998</v>
      </c>
      <c r="G2210" t="str">
        <f>_xlfn.XLOOKUP(D2210,'[1]2050 BAU Mapping to T &amp; C'!$A$3:$A$52,'[1]2050 BAU Mapping to T &amp; C'!$B$3:$B$52)</f>
        <v>Other veg</v>
      </c>
      <c r="H2210" s="129">
        <f>_xlfn.XLOOKUP(G2210,'[1]T&amp;C emissions for 2050 analysis'!$B$3:$B$23,'[1]T&amp;C emissions for 2050 analysis'!$C$3:$C$23)</f>
        <v>0.26766666666666666</v>
      </c>
      <c r="I2210" s="27">
        <f t="shared" si="102"/>
        <v>5.4854014049999997E-2</v>
      </c>
      <c r="J2210" s="129">
        <f t="shared" si="103"/>
        <v>2.43309</v>
      </c>
    </row>
    <row r="2211" spans="1:10" hidden="1" x14ac:dyDescent="0.35">
      <c r="A2211" s="126" t="s">
        <v>375</v>
      </c>
      <c r="B2211" t="str">
        <f>_xlfn.XLOOKUP(A2211,'[1]2050Pop'!$A$7:$A$143,'[1]2050Pop'!$D$7:$D$143)</f>
        <v>SSA</v>
      </c>
      <c r="C2211" s="127">
        <f>1000*_xlfn.XLOOKUP(A2211,'[1]2050Pop'!$A$7:$A$143,'[1]2050Pop'!$C$7:$C$143)</f>
        <v>48362</v>
      </c>
      <c r="D2211" s="126" t="s">
        <v>513</v>
      </c>
      <c r="E2211" s="128">
        <v>40.322000000000003</v>
      </c>
      <c r="F2211" s="129">
        <f t="shared" si="104"/>
        <v>1.9500525640000002</v>
      </c>
      <c r="G2211" t="str">
        <f>_xlfn.XLOOKUP(D2211,'[1]2050 BAU Mapping to T &amp; C'!$A$3:$A$52,'[1]2050 BAU Mapping to T &amp; C'!$B$3:$B$52)</f>
        <v>Other veg</v>
      </c>
      <c r="H2211" s="129">
        <f>_xlfn.XLOOKUP(G2211,'[1]T&amp;C emissions for 2050 analysis'!$B$3:$B$23,'[1]T&amp;C emissions for 2050 analysis'!$C$3:$C$23)</f>
        <v>0.26766666666666666</v>
      </c>
      <c r="I2211" s="27">
        <f t="shared" si="102"/>
        <v>0.52196406963066666</v>
      </c>
      <c r="J2211" s="129">
        <f t="shared" si="103"/>
        <v>10.792855333333334</v>
      </c>
    </row>
    <row r="2212" spans="1:10" hidden="1" x14ac:dyDescent="0.35">
      <c r="A2212" s="126" t="s">
        <v>376</v>
      </c>
      <c r="B2212" t="str">
        <f>_xlfn.XLOOKUP(A2212,'[1]2050Pop'!$A$7:$A$143,'[1]2050Pop'!$D$7:$D$143)</f>
        <v>NAm</v>
      </c>
      <c r="C2212" s="127">
        <f>1000*_xlfn.XLOOKUP(A2212,'[1]2050Pop'!$A$7:$A$143,'[1]2050Pop'!$C$7:$C$143)</f>
        <v>44136</v>
      </c>
      <c r="D2212" s="126" t="s">
        <v>513</v>
      </c>
      <c r="E2212" s="128">
        <v>43.110999999999997</v>
      </c>
      <c r="F2212" s="129">
        <f t="shared" si="104"/>
        <v>1.9027470959999999</v>
      </c>
      <c r="G2212" t="str">
        <f>_xlfn.XLOOKUP(D2212,'[1]2050 BAU Mapping to T &amp; C'!$A$3:$A$52,'[1]2050 BAU Mapping to T &amp; C'!$B$3:$B$52)</f>
        <v>Other veg</v>
      </c>
      <c r="H2212" s="129">
        <f>_xlfn.XLOOKUP(G2212,'[1]T&amp;C emissions for 2050 analysis'!$B$3:$B$23,'[1]T&amp;C emissions for 2050 analysis'!$C$3:$C$23)</f>
        <v>0.26766666666666666</v>
      </c>
      <c r="I2212" s="27">
        <f t="shared" si="102"/>
        <v>0.50930197269599997</v>
      </c>
      <c r="J2212" s="129">
        <f t="shared" si="103"/>
        <v>11.539377666666665</v>
      </c>
    </row>
    <row r="2213" spans="1:10" hidden="1" x14ac:dyDescent="0.35">
      <c r="A2213" s="126" t="s">
        <v>378</v>
      </c>
      <c r="B2213" t="str">
        <f>_xlfn.XLOOKUP(A2213,'[1]2050Pop'!$A$7:$A$143,'[1]2050Pop'!$D$7:$D$143)</f>
        <v>LatAm &amp; RSA</v>
      </c>
      <c r="C2213" s="127">
        <f>1000*_xlfn.XLOOKUP(A2213,'[1]2050Pop'!$A$7:$A$143,'[1]2050Pop'!$C$7:$C$143)</f>
        <v>21601</v>
      </c>
      <c r="D2213" s="126" t="s">
        <v>513</v>
      </c>
      <c r="E2213" s="128">
        <v>9.8680000000000003</v>
      </c>
      <c r="F2213" s="129">
        <f t="shared" si="104"/>
        <v>0.213158668</v>
      </c>
      <c r="G2213" t="str">
        <f>_xlfn.XLOOKUP(D2213,'[1]2050 BAU Mapping to T &amp; C'!$A$3:$A$52,'[1]2050 BAU Mapping to T &amp; C'!$B$3:$B$52)</f>
        <v>Other veg</v>
      </c>
      <c r="H2213" s="129">
        <f>_xlfn.XLOOKUP(G2213,'[1]T&amp;C emissions for 2050 analysis'!$B$3:$B$23,'[1]T&amp;C emissions for 2050 analysis'!$C$3:$C$23)</f>
        <v>0.26766666666666666</v>
      </c>
      <c r="I2213" s="27">
        <f t="shared" si="102"/>
        <v>5.7055470134666664E-2</v>
      </c>
      <c r="J2213" s="129">
        <f t="shared" si="103"/>
        <v>2.6413346666666668</v>
      </c>
    </row>
    <row r="2214" spans="1:10" hidden="1" x14ac:dyDescent="0.35">
      <c r="A2214" s="126" t="s">
        <v>379</v>
      </c>
      <c r="B2214" t="str">
        <f>_xlfn.XLOOKUP(A2214,'[1]2050Pop'!$A$7:$A$143,'[1]2050Pop'!$D$7:$D$143)</f>
        <v>Greater China</v>
      </c>
      <c r="C2214" s="127">
        <f>1000*_xlfn.XLOOKUP(A2214,'[1]2050Pop'!$A$7:$A$143,'[1]2050Pop'!$C$7:$C$143)</f>
        <v>8148</v>
      </c>
      <c r="D2214" s="126" t="s">
        <v>513</v>
      </c>
      <c r="E2214" s="128">
        <v>97.971000000000004</v>
      </c>
      <c r="F2214" s="129">
        <f t="shared" si="104"/>
        <v>0.79826770800000002</v>
      </c>
      <c r="G2214" t="str">
        <f>_xlfn.XLOOKUP(D2214,'[1]2050 BAU Mapping to T &amp; C'!$A$3:$A$52,'[1]2050 BAU Mapping to T &amp; C'!$B$3:$B$52)</f>
        <v>Other veg</v>
      </c>
      <c r="H2214" s="129">
        <f>_xlfn.XLOOKUP(G2214,'[1]T&amp;C emissions for 2050 analysis'!$B$3:$B$23,'[1]T&amp;C emissions for 2050 analysis'!$C$3:$C$23)</f>
        <v>0.26766666666666666</v>
      </c>
      <c r="I2214" s="27">
        <f t="shared" si="102"/>
        <v>0.21366965650800002</v>
      </c>
      <c r="J2214" s="129">
        <f t="shared" si="103"/>
        <v>26.223571</v>
      </c>
    </row>
    <row r="2215" spans="1:10" hidden="1" x14ac:dyDescent="0.35">
      <c r="A2215" s="126" t="s">
        <v>380</v>
      </c>
      <c r="B2215" t="str">
        <f>_xlfn.XLOOKUP(A2215,'[1]2050Pop'!$A$7:$A$143,'[1]2050Pop'!$D$7:$D$143)</f>
        <v>Greater China</v>
      </c>
      <c r="C2215" s="127">
        <f>1000*_xlfn.XLOOKUP(A2215,'[1]2050Pop'!$A$7:$A$143,'[1]2050Pop'!$C$7:$C$143)</f>
        <v>1348056</v>
      </c>
      <c r="D2215" s="126" t="s">
        <v>513</v>
      </c>
      <c r="E2215" s="128">
        <v>19.306999999999999</v>
      </c>
      <c r="F2215" s="129">
        <f t="shared" si="104"/>
        <v>26.026917191999999</v>
      </c>
      <c r="G2215" t="str">
        <f>_xlfn.XLOOKUP(D2215,'[1]2050 BAU Mapping to T &amp; C'!$A$3:$A$52,'[1]2050 BAU Mapping to T &amp; C'!$B$3:$B$52)</f>
        <v>Other veg</v>
      </c>
      <c r="H2215" s="129">
        <f>_xlfn.XLOOKUP(G2215,'[1]T&amp;C emissions for 2050 analysis'!$B$3:$B$23,'[1]T&amp;C emissions for 2050 analysis'!$C$3:$C$23)</f>
        <v>0.26766666666666666</v>
      </c>
      <c r="I2215" s="27">
        <f t="shared" si="102"/>
        <v>6.9665381683919998</v>
      </c>
      <c r="J2215" s="129">
        <f t="shared" si="103"/>
        <v>5.1678403333333325</v>
      </c>
    </row>
    <row r="2216" spans="1:10" hidden="1" x14ac:dyDescent="0.35">
      <c r="A2216" s="126" t="s">
        <v>381</v>
      </c>
      <c r="B2216" t="str">
        <f>_xlfn.XLOOKUP(A2216,'[1]2050Pop'!$A$7:$A$143,'[1]2050Pop'!$D$7:$D$143)</f>
        <v>Greater China</v>
      </c>
      <c r="C2216" s="127">
        <f>1000*_xlfn.XLOOKUP(A2216,'[1]2050Pop'!$A$7:$A$143,'[1]2050Pop'!$C$7:$C$143)</f>
        <v>20778</v>
      </c>
      <c r="D2216" s="126" t="s">
        <v>513</v>
      </c>
      <c r="E2216" s="128">
        <v>60.677999999999997</v>
      </c>
      <c r="F2216" s="129">
        <f t="shared" si="104"/>
        <v>1.260767484</v>
      </c>
      <c r="G2216" t="str">
        <f>_xlfn.XLOOKUP(D2216,'[1]2050 BAU Mapping to T &amp; C'!$A$3:$A$52,'[1]2050 BAU Mapping to T &amp; C'!$B$3:$B$52)</f>
        <v>Other veg</v>
      </c>
      <c r="H2216" s="129">
        <f>_xlfn.XLOOKUP(G2216,'[1]T&amp;C emissions for 2050 analysis'!$B$3:$B$23,'[1]T&amp;C emissions for 2050 analysis'!$C$3:$C$23)</f>
        <v>0.26766666666666666</v>
      </c>
      <c r="I2216" s="27">
        <f t="shared" si="102"/>
        <v>0.33746542988400002</v>
      </c>
      <c r="J2216" s="129">
        <f t="shared" si="103"/>
        <v>16.241478000000001</v>
      </c>
    </row>
    <row r="2217" spans="1:10" hidden="1" x14ac:dyDescent="0.35">
      <c r="A2217" s="126" t="s">
        <v>382</v>
      </c>
      <c r="B2217" t="str">
        <f>_xlfn.XLOOKUP(A2217,'[1]2050Pop'!$A$7:$A$143,'[1]2050Pop'!$D$7:$D$143)</f>
        <v>LatAm &amp; RSA</v>
      </c>
      <c r="C2217" s="127">
        <f>1000*_xlfn.XLOOKUP(A2217,'[1]2050Pop'!$A$7:$A$143,'[1]2050Pop'!$C$7:$C$143)</f>
        <v>54927</v>
      </c>
      <c r="D2217" s="126" t="s">
        <v>513</v>
      </c>
      <c r="E2217" s="128">
        <v>4.4130000000000003</v>
      </c>
      <c r="F2217" s="129">
        <f t="shared" si="104"/>
        <v>0.24239285100000002</v>
      </c>
      <c r="G2217" t="str">
        <f>_xlfn.XLOOKUP(D2217,'[1]2050 BAU Mapping to T &amp; C'!$A$3:$A$52,'[1]2050 BAU Mapping to T &amp; C'!$B$3:$B$52)</f>
        <v>Other veg</v>
      </c>
      <c r="H2217" s="129">
        <f>_xlfn.XLOOKUP(G2217,'[1]T&amp;C emissions for 2050 analysis'!$B$3:$B$23,'[1]T&amp;C emissions for 2050 analysis'!$C$3:$C$23)</f>
        <v>0.26766666666666666</v>
      </c>
      <c r="I2217" s="27">
        <f t="shared" si="102"/>
        <v>6.4880486451000002E-2</v>
      </c>
      <c r="J2217" s="129">
        <f t="shared" si="103"/>
        <v>1.1812130000000001</v>
      </c>
    </row>
    <row r="2218" spans="1:10" hidden="1" x14ac:dyDescent="0.35">
      <c r="A2218" s="126" t="s">
        <v>383</v>
      </c>
      <c r="B2218" t="str">
        <f>_xlfn.XLOOKUP(A2218,'[1]2050Pop'!$A$7:$A$143,'[1]2050Pop'!$D$7:$D$143)</f>
        <v>LatAm &amp; RSA</v>
      </c>
      <c r="C2218" s="127">
        <f>1000*_xlfn.XLOOKUP(A2218,'[1]2050Pop'!$A$7:$A$143,'[1]2050Pop'!$C$7:$C$143)</f>
        <v>5759</v>
      </c>
      <c r="D2218" s="126" t="s">
        <v>513</v>
      </c>
      <c r="E2218" s="128">
        <v>10.644</v>
      </c>
      <c r="F2218" s="129">
        <f t="shared" si="104"/>
        <v>6.1298796000000003E-2</v>
      </c>
      <c r="G2218" t="str">
        <f>_xlfn.XLOOKUP(D2218,'[1]2050 BAU Mapping to T &amp; C'!$A$3:$A$52,'[1]2050 BAU Mapping to T &amp; C'!$B$3:$B$52)</f>
        <v>Other veg</v>
      </c>
      <c r="H2218" s="129">
        <f>_xlfn.XLOOKUP(G2218,'[1]T&amp;C emissions for 2050 analysis'!$B$3:$B$23,'[1]T&amp;C emissions for 2050 analysis'!$C$3:$C$23)</f>
        <v>0.26766666666666666</v>
      </c>
      <c r="I2218" s="27">
        <f t="shared" si="102"/>
        <v>1.6407644395999999E-2</v>
      </c>
      <c r="J2218" s="129">
        <f t="shared" si="103"/>
        <v>2.8490440000000001</v>
      </c>
    </row>
    <row r="2219" spans="1:10" hidden="1" x14ac:dyDescent="0.35">
      <c r="A2219" s="126" t="s">
        <v>384</v>
      </c>
      <c r="B2219" t="str">
        <f>_xlfn.XLOOKUP(A2219,'[1]2050Pop'!$A$7:$A$143,'[1]2050Pop'!$D$7:$D$143)</f>
        <v>SSA</v>
      </c>
      <c r="C2219" s="127">
        <f>1000*_xlfn.XLOOKUP(A2219,'[1]2050Pop'!$A$7:$A$143,'[1]2050Pop'!$C$7:$C$143)</f>
        <v>48797</v>
      </c>
      <c r="D2219" s="126" t="s">
        <v>513</v>
      </c>
      <c r="E2219" s="128">
        <v>79.947000000000003</v>
      </c>
      <c r="F2219" s="129">
        <f t="shared" si="104"/>
        <v>3.9011737590000002</v>
      </c>
      <c r="G2219" t="str">
        <f>_xlfn.XLOOKUP(D2219,'[1]2050 BAU Mapping to T &amp; C'!$A$3:$A$52,'[1]2050 BAU Mapping to T &amp; C'!$B$3:$B$52)</f>
        <v>Other veg</v>
      </c>
      <c r="H2219" s="129">
        <f>_xlfn.XLOOKUP(G2219,'[1]T&amp;C emissions for 2050 analysis'!$B$3:$B$23,'[1]T&amp;C emissions for 2050 analysis'!$C$3:$C$23)</f>
        <v>0.26766666666666666</v>
      </c>
      <c r="I2219" s="27">
        <f t="shared" si="102"/>
        <v>1.044214176159</v>
      </c>
      <c r="J2219" s="129">
        <f t="shared" si="103"/>
        <v>21.399146999999999</v>
      </c>
    </row>
    <row r="2220" spans="1:10" hidden="1" x14ac:dyDescent="0.35">
      <c r="A2220" s="126" t="s">
        <v>385</v>
      </c>
      <c r="B2220" t="str">
        <f>_xlfn.XLOOKUP(A2220,'[1]2050Pop'!$A$7:$A$143,'[1]2050Pop'!$D$7:$D$143)</f>
        <v>Euro/AU/NZ</v>
      </c>
      <c r="C2220" s="127">
        <f>1000*_xlfn.XLOOKUP(A2220,'[1]2050Pop'!$A$7:$A$143,'[1]2050Pop'!$C$7:$C$143)</f>
        <v>3554</v>
      </c>
      <c r="D2220" s="126" t="s">
        <v>513</v>
      </c>
      <c r="E2220" s="128">
        <v>22.896000000000001</v>
      </c>
      <c r="F2220" s="129">
        <f t="shared" si="104"/>
        <v>8.1372384000000006E-2</v>
      </c>
      <c r="G2220" t="str">
        <f>_xlfn.XLOOKUP(D2220,'[1]2050 BAU Mapping to T &amp; C'!$A$3:$A$52,'[1]2050 BAU Mapping to T &amp; C'!$B$3:$B$52)</f>
        <v>Other veg</v>
      </c>
      <c r="H2220" s="129">
        <f>_xlfn.XLOOKUP(G2220,'[1]T&amp;C emissions for 2050 analysis'!$B$3:$B$23,'[1]T&amp;C emissions for 2050 analysis'!$C$3:$C$23)</f>
        <v>0.26766666666666666</v>
      </c>
      <c r="I2220" s="27">
        <f t="shared" si="102"/>
        <v>2.1780674784E-2</v>
      </c>
      <c r="J2220" s="129">
        <f t="shared" si="103"/>
        <v>6.1284960000000002</v>
      </c>
    </row>
    <row r="2221" spans="1:10" hidden="1" x14ac:dyDescent="0.35">
      <c r="A2221" s="126" t="s">
        <v>386</v>
      </c>
      <c r="B2221" t="str">
        <f>_xlfn.XLOOKUP(A2221,'[1]2050Pop'!$A$7:$A$143,'[1]2050Pop'!$D$7:$D$143)</f>
        <v>LatAm &amp; RSA</v>
      </c>
      <c r="C2221" s="127">
        <f>1000*_xlfn.XLOOKUP(A2221,'[1]2050Pop'!$A$7:$A$143,'[1]2050Pop'!$C$7:$C$143)</f>
        <v>10339</v>
      </c>
      <c r="D2221" s="126" t="s">
        <v>513</v>
      </c>
      <c r="E2221" s="128">
        <v>0.86699999999999999</v>
      </c>
      <c r="F2221" s="129">
        <f t="shared" si="104"/>
        <v>8.9639130000000004E-3</v>
      </c>
      <c r="G2221" t="str">
        <f>_xlfn.XLOOKUP(D2221,'[1]2050 BAU Mapping to T &amp; C'!$A$3:$A$52,'[1]2050 BAU Mapping to T &amp; C'!$B$3:$B$52)</f>
        <v>Other veg</v>
      </c>
      <c r="H2221" s="129">
        <f>_xlfn.XLOOKUP(G2221,'[1]T&amp;C emissions for 2050 analysis'!$B$3:$B$23,'[1]T&amp;C emissions for 2050 analysis'!$C$3:$C$23)</f>
        <v>0.26766666666666666</v>
      </c>
      <c r="I2221" s="27">
        <f t="shared" si="102"/>
        <v>2.399340713E-3</v>
      </c>
      <c r="J2221" s="129">
        <f t="shared" si="103"/>
        <v>0.232067</v>
      </c>
    </row>
    <row r="2222" spans="1:10" hidden="1" x14ac:dyDescent="0.35">
      <c r="A2222" s="126" t="s">
        <v>387</v>
      </c>
      <c r="B2222" t="str">
        <f>_xlfn.XLOOKUP(A2222,'[1]2050Pop'!$A$7:$A$143,'[1]2050Pop'!$D$7:$D$143)</f>
        <v>Euro/AU/NZ</v>
      </c>
      <c r="C2222" s="127">
        <f>1000*_xlfn.XLOOKUP(A2222,'[1]2050Pop'!$A$7:$A$143,'[1]2050Pop'!$C$7:$C$143)</f>
        <v>9965</v>
      </c>
      <c r="D2222" s="126" t="s">
        <v>513</v>
      </c>
      <c r="E2222" s="128">
        <v>20.035</v>
      </c>
      <c r="F2222" s="129">
        <f t="shared" si="104"/>
        <v>0.199648775</v>
      </c>
      <c r="G2222" t="str">
        <f>_xlfn.XLOOKUP(D2222,'[1]2050 BAU Mapping to T &amp; C'!$A$3:$A$52,'[1]2050 BAU Mapping to T &amp; C'!$B$3:$B$52)</f>
        <v>Other veg</v>
      </c>
      <c r="H2222" s="129">
        <f>_xlfn.XLOOKUP(G2222,'[1]T&amp;C emissions for 2050 analysis'!$B$3:$B$23,'[1]T&amp;C emissions for 2050 analysis'!$C$3:$C$23)</f>
        <v>0.26766666666666666</v>
      </c>
      <c r="I2222" s="27">
        <f t="shared" si="102"/>
        <v>5.3439322108333333E-2</v>
      </c>
      <c r="J2222" s="129">
        <f t="shared" si="103"/>
        <v>5.3627016666666663</v>
      </c>
    </row>
    <row r="2223" spans="1:10" hidden="1" x14ac:dyDescent="0.35">
      <c r="A2223" s="126" t="s">
        <v>481</v>
      </c>
      <c r="B2223" t="str">
        <f>_xlfn.XLOOKUP(A2223,'[1]2050Pop'!$A$7:$A$143,'[1]2050Pop'!$D$7:$D$143)</f>
        <v>APAC</v>
      </c>
      <c r="C2223" s="127">
        <f>1000*_xlfn.XLOOKUP(A2223,'[1]2050Pop'!$A$7:$A$143,'[1]2050Pop'!$C$7:$C$143)</f>
        <v>26907</v>
      </c>
      <c r="D2223" s="126" t="s">
        <v>513</v>
      </c>
      <c r="E2223" s="128">
        <v>2.8980000000000001</v>
      </c>
      <c r="F2223" s="129">
        <f t="shared" si="104"/>
        <v>7.7976485999999998E-2</v>
      </c>
      <c r="G2223" t="str">
        <f>_xlfn.XLOOKUP(D2223,'[1]2050 BAU Mapping to T &amp; C'!$A$3:$A$52,'[1]2050 BAU Mapping to T &amp; C'!$B$3:$B$52)</f>
        <v>Other veg</v>
      </c>
      <c r="H2223" s="129">
        <f>_xlfn.XLOOKUP(G2223,'[1]T&amp;C emissions for 2050 analysis'!$B$3:$B$23,'[1]T&amp;C emissions for 2050 analysis'!$C$3:$C$23)</f>
        <v>0.26766666666666666</v>
      </c>
      <c r="I2223" s="27">
        <f t="shared" si="102"/>
        <v>2.0871706085999999E-2</v>
      </c>
      <c r="J2223" s="129">
        <f t="shared" si="103"/>
        <v>0.775698</v>
      </c>
    </row>
    <row r="2224" spans="1:10" hidden="1" x14ac:dyDescent="0.35">
      <c r="A2224" s="126" t="s">
        <v>388</v>
      </c>
      <c r="B2224" t="str">
        <f>_xlfn.XLOOKUP(A2224,'[1]2050Pop'!$A$7:$A$143,'[1]2050Pop'!$D$7:$D$143)</f>
        <v>Euro/AU/NZ</v>
      </c>
      <c r="C2224" s="127">
        <f>1000*_xlfn.XLOOKUP(A2224,'[1]2050Pop'!$A$7:$A$143,'[1]2050Pop'!$C$7:$C$143)</f>
        <v>6299</v>
      </c>
      <c r="D2224" s="126" t="s">
        <v>513</v>
      </c>
      <c r="E2224" s="128">
        <v>45.274999999999999</v>
      </c>
      <c r="F2224" s="129">
        <f t="shared" si="104"/>
        <v>0.28518722499999999</v>
      </c>
      <c r="G2224" t="str">
        <f>_xlfn.XLOOKUP(D2224,'[1]2050 BAU Mapping to T &amp; C'!$A$3:$A$52,'[1]2050 BAU Mapping to T &amp; C'!$B$3:$B$52)</f>
        <v>Other veg</v>
      </c>
      <c r="H2224" s="129">
        <f>_xlfn.XLOOKUP(G2224,'[1]T&amp;C emissions for 2050 analysis'!$B$3:$B$23,'[1]T&amp;C emissions for 2050 analysis'!$C$3:$C$23)</f>
        <v>0.26766666666666666</v>
      </c>
      <c r="I2224" s="27">
        <f t="shared" si="102"/>
        <v>7.6335113891666667E-2</v>
      </c>
      <c r="J2224" s="129">
        <f t="shared" si="103"/>
        <v>12.118608333333333</v>
      </c>
    </row>
    <row r="2225" spans="1:10" hidden="1" x14ac:dyDescent="0.35">
      <c r="A2225" s="126" t="s">
        <v>389</v>
      </c>
      <c r="B2225" t="str">
        <f>_xlfn.XLOOKUP(A2225,'[1]2050Pop'!$A$7:$A$143,'[1]2050Pop'!$D$7:$D$143)</f>
        <v>LatAm &amp; RSA</v>
      </c>
      <c r="C2225" s="127">
        <f>1000*_xlfn.XLOOKUP(A2225,'[1]2050Pop'!$A$7:$A$143,'[1]2050Pop'!$C$7:$C$143)</f>
        <v>13238</v>
      </c>
      <c r="D2225" s="126" t="s">
        <v>513</v>
      </c>
      <c r="E2225" s="128">
        <v>2.9609999999999999</v>
      </c>
      <c r="F2225" s="129">
        <f t="shared" si="104"/>
        <v>3.9197717999999999E-2</v>
      </c>
      <c r="G2225" t="str">
        <f>_xlfn.XLOOKUP(D2225,'[1]2050 BAU Mapping to T &amp; C'!$A$3:$A$52,'[1]2050 BAU Mapping to T &amp; C'!$B$3:$B$52)</f>
        <v>Other veg</v>
      </c>
      <c r="H2225" s="129">
        <f>_xlfn.XLOOKUP(G2225,'[1]T&amp;C emissions for 2050 analysis'!$B$3:$B$23,'[1]T&amp;C emissions for 2050 analysis'!$C$3:$C$23)</f>
        <v>0.26766666666666666</v>
      </c>
      <c r="I2225" s="27">
        <f t="shared" si="102"/>
        <v>1.0491922518E-2</v>
      </c>
      <c r="J2225" s="129">
        <f t="shared" si="103"/>
        <v>0.79256099999999996</v>
      </c>
    </row>
    <row r="2226" spans="1:10" hidden="1" x14ac:dyDescent="0.35">
      <c r="A2226" s="126" t="s">
        <v>390</v>
      </c>
      <c r="B2226" t="str">
        <f>_xlfn.XLOOKUP(A2226,'[1]2050Pop'!$A$7:$A$143,'[1]2050Pop'!$D$7:$D$143)</f>
        <v>LatAm &amp; RSA</v>
      </c>
      <c r="C2226" s="127">
        <f>1000*_xlfn.XLOOKUP(A2226,'[1]2050Pop'!$A$7:$A$143,'[1]2050Pop'!$C$7:$C$143)</f>
        <v>23013</v>
      </c>
      <c r="D2226" s="126" t="s">
        <v>513</v>
      </c>
      <c r="E2226" s="128">
        <v>3.2090000000000001</v>
      </c>
      <c r="F2226" s="129">
        <f t="shared" si="104"/>
        <v>7.3848717000000008E-2</v>
      </c>
      <c r="G2226" t="str">
        <f>_xlfn.XLOOKUP(D2226,'[1]2050 BAU Mapping to T &amp; C'!$A$3:$A$52,'[1]2050 BAU Mapping to T &amp; C'!$B$3:$B$52)</f>
        <v>Other veg</v>
      </c>
      <c r="H2226" s="129">
        <f>_xlfn.XLOOKUP(G2226,'[1]T&amp;C emissions for 2050 analysis'!$B$3:$B$23,'[1]T&amp;C emissions for 2050 analysis'!$C$3:$C$23)</f>
        <v>0.26766666666666666</v>
      </c>
      <c r="I2226" s="27">
        <f t="shared" si="102"/>
        <v>1.9766839917000002E-2</v>
      </c>
      <c r="J2226" s="129">
        <f t="shared" si="103"/>
        <v>0.85894233333333336</v>
      </c>
    </row>
    <row r="2227" spans="1:10" hidden="1" x14ac:dyDescent="0.35">
      <c r="A2227" s="126" t="s">
        <v>391</v>
      </c>
      <c r="B2227" t="str">
        <f>_xlfn.XLOOKUP(A2227,'[1]2050Pop'!$A$7:$A$143,'[1]2050Pop'!$D$7:$D$143)</f>
        <v>MENA</v>
      </c>
      <c r="C2227" s="127">
        <f>1000*_xlfn.XLOOKUP(A2227,'[1]2050Pop'!$A$7:$A$143,'[1]2050Pop'!$C$7:$C$143)</f>
        <v>151111</v>
      </c>
      <c r="D2227" s="126" t="s">
        <v>513</v>
      </c>
      <c r="E2227" s="128">
        <v>17.827000000000002</v>
      </c>
      <c r="F2227" s="129">
        <f t="shared" si="104"/>
        <v>2.6938557970000003</v>
      </c>
      <c r="G2227" t="str">
        <f>_xlfn.XLOOKUP(D2227,'[1]2050 BAU Mapping to T &amp; C'!$A$3:$A$52,'[1]2050 BAU Mapping to T &amp; C'!$B$3:$B$52)</f>
        <v>Other veg</v>
      </c>
      <c r="H2227" s="129">
        <f>_xlfn.XLOOKUP(G2227,'[1]T&amp;C emissions for 2050 analysis'!$B$3:$B$23,'[1]T&amp;C emissions for 2050 analysis'!$C$3:$C$23)</f>
        <v>0.26766666666666666</v>
      </c>
      <c r="I2227" s="27">
        <f t="shared" si="102"/>
        <v>0.72105540166366677</v>
      </c>
      <c r="J2227" s="129">
        <f t="shared" si="103"/>
        <v>4.7716936666666667</v>
      </c>
    </row>
    <row r="2228" spans="1:10" hidden="1" x14ac:dyDescent="0.35">
      <c r="A2228" s="126" t="s">
        <v>392</v>
      </c>
      <c r="B2228" t="str">
        <f>_xlfn.XLOOKUP(A2228,'[1]2050Pop'!$A$7:$A$143,'[1]2050Pop'!$D$7:$D$143)</f>
        <v>LatAm &amp; RSA</v>
      </c>
      <c r="C2228" s="127">
        <f>1000*_xlfn.XLOOKUP(A2228,'[1]2050Pop'!$A$7:$A$143,'[1]2050Pop'!$C$7:$C$143)</f>
        <v>6390</v>
      </c>
      <c r="D2228" s="126" t="s">
        <v>513</v>
      </c>
      <c r="E2228" s="128">
        <v>3.5680000000000001</v>
      </c>
      <c r="F2228" s="129">
        <f t="shared" si="104"/>
        <v>2.279952E-2</v>
      </c>
      <c r="G2228" t="str">
        <f>_xlfn.XLOOKUP(D2228,'[1]2050 BAU Mapping to T &amp; C'!$A$3:$A$52,'[1]2050 BAU Mapping to T &amp; C'!$B$3:$B$52)</f>
        <v>Other veg</v>
      </c>
      <c r="H2228" s="129">
        <f>_xlfn.XLOOKUP(G2228,'[1]T&amp;C emissions for 2050 analysis'!$B$3:$B$23,'[1]T&amp;C emissions for 2050 analysis'!$C$3:$C$23)</f>
        <v>0.26766666666666666</v>
      </c>
      <c r="I2228" s="27">
        <f t="shared" si="102"/>
        <v>6.1026715200000001E-3</v>
      </c>
      <c r="J2228" s="129">
        <f t="shared" si="103"/>
        <v>0.9550346666666667</v>
      </c>
    </row>
    <row r="2229" spans="1:10" hidden="1" x14ac:dyDescent="0.35">
      <c r="A2229" s="126" t="s">
        <v>393</v>
      </c>
      <c r="B2229" t="str">
        <f>_xlfn.XLOOKUP(A2229,'[1]2050Pop'!$A$7:$A$143,'[1]2050Pop'!$D$7:$D$143)</f>
        <v>Euro/AU/NZ</v>
      </c>
      <c r="C2229" s="127">
        <f>1000*_xlfn.XLOOKUP(A2229,'[1]2050Pop'!$A$7:$A$143,'[1]2050Pop'!$C$7:$C$143)</f>
        <v>1129</v>
      </c>
      <c r="D2229" s="126" t="s">
        <v>513</v>
      </c>
      <c r="E2229" s="128">
        <v>29.494</v>
      </c>
      <c r="F2229" s="129">
        <f t="shared" si="104"/>
        <v>3.3298726000000001E-2</v>
      </c>
      <c r="G2229" t="str">
        <f>_xlfn.XLOOKUP(D2229,'[1]2050 BAU Mapping to T &amp; C'!$A$3:$A$52,'[1]2050 BAU Mapping to T &amp; C'!$B$3:$B$52)</f>
        <v>Other veg</v>
      </c>
      <c r="H2229" s="129">
        <f>_xlfn.XLOOKUP(G2229,'[1]T&amp;C emissions for 2050 analysis'!$B$3:$B$23,'[1]T&amp;C emissions for 2050 analysis'!$C$3:$C$23)</f>
        <v>0.26766666666666666</v>
      </c>
      <c r="I2229" s="27">
        <f t="shared" si="102"/>
        <v>8.9129589926666662E-3</v>
      </c>
      <c r="J2229" s="129">
        <f t="shared" si="103"/>
        <v>7.8945606666666661</v>
      </c>
    </row>
    <row r="2230" spans="1:10" hidden="1" x14ac:dyDescent="0.35">
      <c r="A2230" s="126" t="s">
        <v>394</v>
      </c>
      <c r="B2230" t="str">
        <f>_xlfn.XLOOKUP(A2230,'[1]2050Pop'!$A$7:$A$143,'[1]2050Pop'!$D$7:$D$143)</f>
        <v>SSA</v>
      </c>
      <c r="C2230" s="127">
        <f>1000*_xlfn.XLOOKUP(A2230,'[1]2050Pop'!$A$7:$A$143,'[1]2050Pop'!$C$7:$C$143)</f>
        <v>188455</v>
      </c>
      <c r="D2230" s="126" t="s">
        <v>513</v>
      </c>
      <c r="E2230" s="128">
        <v>17.681000000000001</v>
      </c>
      <c r="F2230" s="129">
        <f t="shared" si="104"/>
        <v>3.3320728549999998</v>
      </c>
      <c r="G2230" t="str">
        <f>_xlfn.XLOOKUP(D2230,'[1]2050 BAU Mapping to T &amp; C'!$A$3:$A$52,'[1]2050 BAU Mapping to T &amp; C'!$B$3:$B$52)</f>
        <v>Other veg</v>
      </c>
      <c r="H2230" s="129">
        <f>_xlfn.XLOOKUP(G2230,'[1]T&amp;C emissions for 2050 analysis'!$B$3:$B$23,'[1]T&amp;C emissions for 2050 analysis'!$C$3:$C$23)</f>
        <v>0.26766666666666666</v>
      </c>
      <c r="I2230" s="27">
        <f t="shared" si="102"/>
        <v>0.89188483418833331</v>
      </c>
      <c r="J2230" s="129">
        <f t="shared" si="103"/>
        <v>4.7326143333333333</v>
      </c>
    </row>
    <row r="2231" spans="1:10" hidden="1" x14ac:dyDescent="0.35">
      <c r="A2231" s="126" t="s">
        <v>395</v>
      </c>
      <c r="B2231" t="str">
        <f>_xlfn.XLOOKUP(A2231,'[1]2050Pop'!$A$7:$A$143,'[1]2050Pop'!$D$7:$D$143)</f>
        <v>Euro/AU/NZ</v>
      </c>
      <c r="C2231" s="127">
        <f>1000*_xlfn.XLOOKUP(A2231,'[1]2050Pop'!$A$7:$A$143,'[1]2050Pop'!$C$7:$C$143)</f>
        <v>5752</v>
      </c>
      <c r="D2231" s="126" t="s">
        <v>513</v>
      </c>
      <c r="E2231" s="128">
        <v>15.787000000000001</v>
      </c>
      <c r="F2231" s="129">
        <f t="shared" si="104"/>
        <v>9.0806824000000008E-2</v>
      </c>
      <c r="G2231" t="str">
        <f>_xlfn.XLOOKUP(D2231,'[1]2050 BAU Mapping to T &amp; C'!$A$3:$A$52,'[1]2050 BAU Mapping to T &amp; C'!$B$3:$B$52)</f>
        <v>Other veg</v>
      </c>
      <c r="H2231" s="129">
        <f>_xlfn.XLOOKUP(G2231,'[1]T&amp;C emissions for 2050 analysis'!$B$3:$B$23,'[1]T&amp;C emissions for 2050 analysis'!$C$3:$C$23)</f>
        <v>0.26766666666666666</v>
      </c>
      <c r="I2231" s="27">
        <f t="shared" si="102"/>
        <v>2.4305959890666667E-2</v>
      </c>
      <c r="J2231" s="129">
        <f t="shared" si="103"/>
        <v>4.2256536666666671</v>
      </c>
    </row>
    <row r="2232" spans="1:10" hidden="1" x14ac:dyDescent="0.35">
      <c r="A2232" s="126" t="s">
        <v>396</v>
      </c>
      <c r="B2232" t="str">
        <f>_xlfn.XLOOKUP(A2232,'[1]2050Pop'!$A$7:$A$143,'[1]2050Pop'!$D$7:$D$143)</f>
        <v>Euro/AU/NZ</v>
      </c>
      <c r="C2232" s="127">
        <f>1000*_xlfn.XLOOKUP(A2232,'[1]2050Pop'!$A$7:$A$143,'[1]2050Pop'!$C$7:$C$143)</f>
        <v>71137</v>
      </c>
      <c r="D2232" s="126" t="s">
        <v>513</v>
      </c>
      <c r="E2232" s="128">
        <v>24.294</v>
      </c>
      <c r="F2232" s="129">
        <f t="shared" si="104"/>
        <v>1.7282022779999999</v>
      </c>
      <c r="G2232" t="str">
        <f>_xlfn.XLOOKUP(D2232,'[1]2050 BAU Mapping to T &amp; C'!$A$3:$A$52,'[1]2050 BAU Mapping to T &amp; C'!$B$3:$B$52)</f>
        <v>Other veg</v>
      </c>
      <c r="H2232" s="129">
        <f>_xlfn.XLOOKUP(G2232,'[1]T&amp;C emissions for 2050 analysis'!$B$3:$B$23,'[1]T&amp;C emissions for 2050 analysis'!$C$3:$C$23)</f>
        <v>0.26766666666666666</v>
      </c>
      <c r="I2232" s="27">
        <f t="shared" si="102"/>
        <v>0.462582143078</v>
      </c>
      <c r="J2232" s="129">
        <f t="shared" si="103"/>
        <v>6.502694</v>
      </c>
    </row>
    <row r="2233" spans="1:10" hidden="1" x14ac:dyDescent="0.35">
      <c r="A2233" s="126" t="s">
        <v>489</v>
      </c>
      <c r="B2233" t="str">
        <f>_xlfn.XLOOKUP(A2233,'[1]2050Pop'!$A$7:$A$143,'[1]2050Pop'!$D$7:$D$143)</f>
        <v>SSA</v>
      </c>
      <c r="C2233" s="127">
        <f>1000*_xlfn.XLOOKUP(A2233,'[1]2050Pop'!$A$7:$A$143,'[1]2050Pop'!$C$7:$C$143)</f>
        <v>4981</v>
      </c>
      <c r="D2233" s="126" t="s">
        <v>513</v>
      </c>
      <c r="E2233" s="128">
        <v>6.6219999999999999</v>
      </c>
      <c r="F2233" s="129">
        <f t="shared" si="104"/>
        <v>3.2984182000000001E-2</v>
      </c>
      <c r="G2233" t="str">
        <f>_xlfn.XLOOKUP(D2233,'[1]2050 BAU Mapping to T &amp; C'!$A$3:$A$52,'[1]2050 BAU Mapping to T &amp; C'!$B$3:$B$52)</f>
        <v>Other veg</v>
      </c>
      <c r="H2233" s="129">
        <f>_xlfn.XLOOKUP(G2233,'[1]T&amp;C emissions for 2050 analysis'!$B$3:$B$23,'[1]T&amp;C emissions for 2050 analysis'!$C$3:$C$23)</f>
        <v>0.26766666666666666</v>
      </c>
      <c r="I2233" s="27">
        <f t="shared" si="102"/>
        <v>8.8287660486666662E-3</v>
      </c>
      <c r="J2233" s="129">
        <f t="shared" si="103"/>
        <v>1.7724886666666666</v>
      </c>
    </row>
    <row r="2234" spans="1:10" hidden="1" x14ac:dyDescent="0.35">
      <c r="A2234" s="126" t="s">
        <v>398</v>
      </c>
      <c r="B2234" t="str">
        <f>_xlfn.XLOOKUP(A2234,'[1]2050Pop'!$A$7:$A$143,'[1]2050Pop'!$D$7:$D$143)</f>
        <v>MENA</v>
      </c>
      <c r="C2234" s="127">
        <f>1000*_xlfn.XLOOKUP(A2234,'[1]2050Pop'!$A$7:$A$143,'[1]2050Pop'!$C$7:$C$143)</f>
        <v>3483</v>
      </c>
      <c r="D2234" s="126" t="s">
        <v>513</v>
      </c>
      <c r="E2234" s="128">
        <v>20.155000000000001</v>
      </c>
      <c r="F2234" s="129">
        <f t="shared" si="104"/>
        <v>7.0199865E-2</v>
      </c>
      <c r="G2234" t="str">
        <f>_xlfn.XLOOKUP(D2234,'[1]2050 BAU Mapping to T &amp; C'!$A$3:$A$52,'[1]2050 BAU Mapping to T &amp; C'!$B$3:$B$52)</f>
        <v>Other veg</v>
      </c>
      <c r="H2234" s="129">
        <f>_xlfn.XLOOKUP(G2234,'[1]T&amp;C emissions for 2050 analysis'!$B$3:$B$23,'[1]T&amp;C emissions for 2050 analysis'!$C$3:$C$23)</f>
        <v>0.26766666666666666</v>
      </c>
      <c r="I2234" s="27">
        <f t="shared" si="102"/>
        <v>1.8790163865000001E-2</v>
      </c>
      <c r="J2234" s="129">
        <f t="shared" si="103"/>
        <v>5.3948216666666671</v>
      </c>
    </row>
    <row r="2235" spans="1:10" hidden="1" x14ac:dyDescent="0.35">
      <c r="A2235" s="126" t="s">
        <v>399</v>
      </c>
      <c r="B2235" t="str">
        <f>_xlfn.XLOOKUP(A2235,'[1]2050Pop'!$A$7:$A$143,'[1]2050Pop'!$D$7:$D$143)</f>
        <v>Euro/AU/NZ</v>
      </c>
      <c r="C2235" s="127">
        <f>1000*_xlfn.XLOOKUP(A2235,'[1]2050Pop'!$A$7:$A$143,'[1]2050Pop'!$C$7:$C$143)</f>
        <v>74513</v>
      </c>
      <c r="D2235" s="126" t="s">
        <v>513</v>
      </c>
      <c r="E2235" s="128">
        <v>45.454999999999998</v>
      </c>
      <c r="F2235" s="129">
        <f t="shared" si="104"/>
        <v>3.3869884150000003</v>
      </c>
      <c r="G2235" t="str">
        <f>_xlfn.XLOOKUP(D2235,'[1]2050 BAU Mapping to T &amp; C'!$A$3:$A$52,'[1]2050 BAU Mapping to T &amp; C'!$B$3:$B$52)</f>
        <v>Other veg</v>
      </c>
      <c r="H2235" s="129">
        <f>_xlfn.XLOOKUP(G2235,'[1]T&amp;C emissions for 2050 analysis'!$B$3:$B$23,'[1]T&amp;C emissions for 2050 analysis'!$C$3:$C$23)</f>
        <v>0.26766666666666666</v>
      </c>
      <c r="I2235" s="27">
        <f t="shared" si="102"/>
        <v>0.9065838990816667</v>
      </c>
      <c r="J2235" s="129">
        <f t="shared" si="103"/>
        <v>12.166788333333333</v>
      </c>
    </row>
    <row r="2236" spans="1:10" hidden="1" x14ac:dyDescent="0.35">
      <c r="A2236" s="126" t="s">
        <v>400</v>
      </c>
      <c r="B2236" t="str">
        <f>_xlfn.XLOOKUP(A2236,'[1]2050Pop'!$A$7:$A$143,'[1]2050Pop'!$D$7:$D$143)</f>
        <v>SSA</v>
      </c>
      <c r="C2236" s="127">
        <f>1000*_xlfn.XLOOKUP(A2236,'[1]2050Pop'!$A$7:$A$143,'[1]2050Pop'!$C$7:$C$143)</f>
        <v>50071</v>
      </c>
      <c r="D2236" s="126" t="s">
        <v>513</v>
      </c>
      <c r="E2236" s="128">
        <v>51.137</v>
      </c>
      <c r="F2236" s="129">
        <f t="shared" si="104"/>
        <v>2.5604807269999998</v>
      </c>
      <c r="G2236" t="str">
        <f>_xlfn.XLOOKUP(D2236,'[1]2050 BAU Mapping to T &amp; C'!$A$3:$A$52,'[1]2050 BAU Mapping to T &amp; C'!$B$3:$B$52)</f>
        <v>Other veg</v>
      </c>
      <c r="H2236" s="129">
        <f>_xlfn.XLOOKUP(G2236,'[1]T&amp;C emissions for 2050 analysis'!$B$3:$B$23,'[1]T&amp;C emissions for 2050 analysis'!$C$3:$C$23)</f>
        <v>0.26766666666666666</v>
      </c>
      <c r="I2236" s="27">
        <f t="shared" si="102"/>
        <v>0.68535534126033326</v>
      </c>
      <c r="J2236" s="129">
        <f t="shared" si="103"/>
        <v>13.687670333333333</v>
      </c>
    </row>
    <row r="2237" spans="1:10" hidden="1" x14ac:dyDescent="0.35">
      <c r="A2237" s="126" t="s">
        <v>401</v>
      </c>
      <c r="B2237" t="str">
        <f>_xlfn.XLOOKUP(A2237,'[1]2050Pop'!$A$7:$A$143,'[1]2050Pop'!$D$7:$D$143)</f>
        <v>Euro/AU/NZ</v>
      </c>
      <c r="C2237" s="127">
        <f>1000*_xlfn.XLOOKUP(A2237,'[1]2050Pop'!$A$7:$A$143,'[1]2050Pop'!$C$7:$C$143)</f>
        <v>9705</v>
      </c>
      <c r="D2237" s="126" t="s">
        <v>513</v>
      </c>
      <c r="E2237" s="128">
        <v>54.515999999999998</v>
      </c>
      <c r="F2237" s="129">
        <f t="shared" si="104"/>
        <v>0.52907778000000005</v>
      </c>
      <c r="G2237" t="str">
        <f>_xlfn.XLOOKUP(D2237,'[1]2050 BAU Mapping to T &amp; C'!$A$3:$A$52,'[1]2050 BAU Mapping to T &amp; C'!$B$3:$B$52)</f>
        <v>Other veg</v>
      </c>
      <c r="H2237" s="129">
        <f>_xlfn.XLOOKUP(G2237,'[1]T&amp;C emissions for 2050 analysis'!$B$3:$B$23,'[1]T&amp;C emissions for 2050 analysis'!$C$3:$C$23)</f>
        <v>0.26766666666666666</v>
      </c>
      <c r="I2237" s="27">
        <f t="shared" si="102"/>
        <v>0.14161648578000002</v>
      </c>
      <c r="J2237" s="129">
        <f t="shared" si="103"/>
        <v>14.592115999999999</v>
      </c>
    </row>
    <row r="2238" spans="1:10" hidden="1" x14ac:dyDescent="0.35">
      <c r="A2238" s="126" t="s">
        <v>402</v>
      </c>
      <c r="B2238" t="str">
        <f>_xlfn.XLOOKUP(A2238,'[1]2050Pop'!$A$7:$A$143,'[1]2050Pop'!$D$7:$D$143)</f>
        <v>LatAm &amp; RSA</v>
      </c>
      <c r="C2238" s="127">
        <f>1000*_xlfn.XLOOKUP(A2238,'[1]2050Pop'!$A$7:$A$143,'[1]2050Pop'!$C$7:$C$143)</f>
        <v>27754</v>
      </c>
      <c r="D2238" s="126" t="s">
        <v>513</v>
      </c>
      <c r="E2238" s="128">
        <v>10.077</v>
      </c>
      <c r="F2238" s="129">
        <f t="shared" si="104"/>
        <v>0.27967705800000003</v>
      </c>
      <c r="G2238" t="str">
        <f>_xlfn.XLOOKUP(D2238,'[1]2050 BAU Mapping to T &amp; C'!$A$3:$A$52,'[1]2050 BAU Mapping to T &amp; C'!$B$3:$B$52)</f>
        <v>Other veg</v>
      </c>
      <c r="H2238" s="129">
        <f>_xlfn.XLOOKUP(G2238,'[1]T&amp;C emissions for 2050 analysis'!$B$3:$B$23,'[1]T&amp;C emissions for 2050 analysis'!$C$3:$C$23)</f>
        <v>0.26766666666666666</v>
      </c>
      <c r="I2238" s="27">
        <f t="shared" si="102"/>
        <v>7.4860225858000007E-2</v>
      </c>
      <c r="J2238" s="129">
        <f t="shared" si="103"/>
        <v>2.6972770000000001</v>
      </c>
    </row>
    <row r="2239" spans="1:10" hidden="1" x14ac:dyDescent="0.35">
      <c r="A2239" s="126" t="s">
        <v>403</v>
      </c>
      <c r="B2239" t="str">
        <f>_xlfn.XLOOKUP(A2239,'[1]2050Pop'!$A$7:$A$143,'[1]2050Pop'!$D$7:$D$143)</f>
        <v>SSA</v>
      </c>
      <c r="C2239" s="127">
        <f>1000*_xlfn.XLOOKUP(A2239,'[1]2050Pop'!$A$7:$A$143,'[1]2050Pop'!$C$7:$C$143)</f>
        <v>27486</v>
      </c>
      <c r="D2239" s="126" t="s">
        <v>513</v>
      </c>
      <c r="E2239" s="128">
        <v>0.97199999999999998</v>
      </c>
      <c r="F2239" s="129">
        <f t="shared" si="104"/>
        <v>2.6716391999999999E-2</v>
      </c>
      <c r="G2239" t="str">
        <f>_xlfn.XLOOKUP(D2239,'[1]2050 BAU Mapping to T &amp; C'!$A$3:$A$52,'[1]2050 BAU Mapping to T &amp; C'!$B$3:$B$52)</f>
        <v>Other veg</v>
      </c>
      <c r="H2239" s="129">
        <f>_xlfn.XLOOKUP(G2239,'[1]T&amp;C emissions for 2050 analysis'!$B$3:$B$23,'[1]T&amp;C emissions for 2050 analysis'!$C$3:$C$23)</f>
        <v>0.26766666666666666</v>
      </c>
      <c r="I2239" s="27">
        <f t="shared" si="102"/>
        <v>7.1510875919999998E-3</v>
      </c>
      <c r="J2239" s="129">
        <f t="shared" si="103"/>
        <v>0.26017200000000001</v>
      </c>
    </row>
    <row r="2240" spans="1:10" hidden="1" x14ac:dyDescent="0.35">
      <c r="A2240" s="126" t="s">
        <v>404</v>
      </c>
      <c r="B2240" t="str">
        <f>_xlfn.XLOOKUP(A2240,'[1]2050Pop'!$A$7:$A$143,'[1]2050Pop'!$D$7:$D$143)</f>
        <v>LatAm &amp; RSA</v>
      </c>
      <c r="C2240" s="127">
        <f>1000*_xlfn.XLOOKUP(A2240,'[1]2050Pop'!$A$7:$A$143,'[1]2050Pop'!$C$7:$C$143)</f>
        <v>806</v>
      </c>
      <c r="D2240" s="126" t="s">
        <v>513</v>
      </c>
      <c r="E2240" s="130">
        <v>41.44</v>
      </c>
      <c r="F2240" s="129">
        <f t="shared" si="104"/>
        <v>3.3400640000000002E-2</v>
      </c>
      <c r="G2240" t="str">
        <f>_xlfn.XLOOKUP(D2240,'[1]2050 BAU Mapping to T &amp; C'!$A$3:$A$52,'[1]2050 BAU Mapping to T &amp; C'!$B$3:$B$52)</f>
        <v>Other veg</v>
      </c>
      <c r="H2240" s="129">
        <f>_xlfn.XLOOKUP(G2240,'[1]T&amp;C emissions for 2050 analysis'!$B$3:$B$23,'[1]T&amp;C emissions for 2050 analysis'!$C$3:$C$23)</f>
        <v>0.26766666666666666</v>
      </c>
      <c r="I2240" s="27">
        <f t="shared" si="102"/>
        <v>8.9402379733333343E-3</v>
      </c>
      <c r="J2240" s="129">
        <f t="shared" si="103"/>
        <v>11.092106666666666</v>
      </c>
    </row>
    <row r="2241" spans="1:10" hidden="1" x14ac:dyDescent="0.35">
      <c r="A2241" s="126" t="s">
        <v>406</v>
      </c>
      <c r="B2241" t="str">
        <f>_xlfn.XLOOKUP(A2241,'[1]2050Pop'!$A$7:$A$143,'[1]2050Pop'!$D$7:$D$143)</f>
        <v>LatAm &amp; RSA</v>
      </c>
      <c r="C2241" s="127">
        <f>1000*_xlfn.XLOOKUP(A2241,'[1]2050Pop'!$A$7:$A$143,'[1]2050Pop'!$C$7:$C$143)</f>
        <v>11217</v>
      </c>
      <c r="D2241" s="126" t="s">
        <v>513</v>
      </c>
      <c r="E2241" s="128">
        <v>3.3279999999999998</v>
      </c>
      <c r="F2241" s="129">
        <f t="shared" si="104"/>
        <v>3.7330176E-2</v>
      </c>
      <c r="G2241" t="str">
        <f>_xlfn.XLOOKUP(D2241,'[1]2050 BAU Mapping to T &amp; C'!$A$3:$A$52,'[1]2050 BAU Mapping to T &amp; C'!$B$3:$B$52)</f>
        <v>Other veg</v>
      </c>
      <c r="H2241" s="129">
        <f>_xlfn.XLOOKUP(G2241,'[1]T&amp;C emissions for 2050 analysis'!$B$3:$B$23,'[1]T&amp;C emissions for 2050 analysis'!$C$3:$C$23)</f>
        <v>0.26766666666666666</v>
      </c>
      <c r="I2241" s="27">
        <f t="shared" si="102"/>
        <v>9.9920437759999994E-3</v>
      </c>
      <c r="J2241" s="129">
        <f t="shared" si="103"/>
        <v>0.89079466666666662</v>
      </c>
    </row>
    <row r="2242" spans="1:10" hidden="1" x14ac:dyDescent="0.35">
      <c r="A2242" s="126" t="s">
        <v>407</v>
      </c>
      <c r="B2242" t="str">
        <f>_xlfn.XLOOKUP(A2242,'[1]2050Pop'!$A$7:$A$143,'[1]2050Pop'!$D$7:$D$143)</f>
        <v>Euro/AU/NZ</v>
      </c>
      <c r="C2242" s="127">
        <f>1000*_xlfn.XLOOKUP(A2242,'[1]2050Pop'!$A$7:$A$143,'[1]2050Pop'!$C$7:$C$143)</f>
        <v>8318</v>
      </c>
      <c r="D2242" s="126" t="s">
        <v>513</v>
      </c>
      <c r="E2242" s="128">
        <v>8.8770000000000007</v>
      </c>
      <c r="F2242" s="129">
        <f t="shared" si="104"/>
        <v>7.3838885999999992E-2</v>
      </c>
      <c r="G2242" t="str">
        <f>_xlfn.XLOOKUP(D2242,'[1]2050 BAU Mapping to T &amp; C'!$A$3:$A$52,'[1]2050 BAU Mapping to T &amp; C'!$B$3:$B$52)</f>
        <v>Other veg</v>
      </c>
      <c r="H2242" s="129">
        <f>_xlfn.XLOOKUP(G2242,'[1]T&amp;C emissions for 2050 analysis'!$B$3:$B$23,'[1]T&amp;C emissions for 2050 analysis'!$C$3:$C$23)</f>
        <v>0.26766666666666666</v>
      </c>
      <c r="I2242" s="27">
        <f t="shared" si="102"/>
        <v>1.9764208485999999E-2</v>
      </c>
      <c r="J2242" s="129">
        <f t="shared" si="103"/>
        <v>2.376077</v>
      </c>
    </row>
    <row r="2243" spans="1:10" hidden="1" x14ac:dyDescent="0.35">
      <c r="A2243" s="126" t="s">
        <v>408</v>
      </c>
      <c r="B2243" t="str">
        <f>_xlfn.XLOOKUP(A2243,'[1]2050Pop'!$A$7:$A$143,'[1]2050Pop'!$D$7:$D$143)</f>
        <v>India/South Asia</v>
      </c>
      <c r="C2243" s="127">
        <f>1000*_xlfn.XLOOKUP(A2243,'[1]2050Pop'!$A$7:$A$143,'[1]2050Pop'!$C$7:$C$143)</f>
        <v>1705333</v>
      </c>
      <c r="D2243" s="126" t="s">
        <v>513</v>
      </c>
      <c r="E2243" s="128">
        <v>32.027000000000001</v>
      </c>
      <c r="F2243" s="129">
        <f t="shared" si="104"/>
        <v>54.616699991000004</v>
      </c>
      <c r="G2243" t="str">
        <f>_xlfn.XLOOKUP(D2243,'[1]2050 BAU Mapping to T &amp; C'!$A$3:$A$52,'[1]2050 BAU Mapping to T &amp; C'!$B$3:$B$52)</f>
        <v>Other veg</v>
      </c>
      <c r="H2243" s="129">
        <f>_xlfn.XLOOKUP(G2243,'[1]T&amp;C emissions for 2050 analysis'!$B$3:$B$23,'[1]T&amp;C emissions for 2050 analysis'!$C$3:$C$23)</f>
        <v>0.26766666666666666</v>
      </c>
      <c r="I2243" s="27">
        <f t="shared" si="102"/>
        <v>14.619070030924334</v>
      </c>
      <c r="J2243" s="129">
        <f t="shared" si="103"/>
        <v>8.5725603333333336</v>
      </c>
    </row>
    <row r="2244" spans="1:10" hidden="1" x14ac:dyDescent="0.35">
      <c r="A2244" s="126" t="s">
        <v>409</v>
      </c>
      <c r="B2244" t="str">
        <f>_xlfn.XLOOKUP(A2244,'[1]2050Pop'!$A$7:$A$143,'[1]2050Pop'!$D$7:$D$143)</f>
        <v>APAC</v>
      </c>
      <c r="C2244" s="127">
        <f>1000*_xlfn.XLOOKUP(A2244,'[1]2050Pop'!$A$7:$A$143,'[1]2050Pop'!$C$7:$C$143)</f>
        <v>322237</v>
      </c>
      <c r="D2244" s="126" t="s">
        <v>513</v>
      </c>
      <c r="E2244" s="128">
        <v>15.315</v>
      </c>
      <c r="F2244" s="129">
        <f t="shared" si="104"/>
        <v>4.9350596549999999</v>
      </c>
      <c r="G2244" t="str">
        <f>_xlfn.XLOOKUP(D2244,'[1]2050 BAU Mapping to T &amp; C'!$A$3:$A$52,'[1]2050 BAU Mapping to T &amp; C'!$B$3:$B$52)</f>
        <v>Other veg</v>
      </c>
      <c r="H2244" s="129">
        <f>_xlfn.XLOOKUP(G2244,'[1]T&amp;C emissions for 2050 analysis'!$B$3:$B$23,'[1]T&amp;C emissions for 2050 analysis'!$C$3:$C$23)</f>
        <v>0.26766666666666666</v>
      </c>
      <c r="I2244" s="27">
        <f t="shared" ref="I2244:I2307" si="105">F2244*H2244</f>
        <v>1.320950967655</v>
      </c>
      <c r="J2244" s="129">
        <f t="shared" ref="J2244:J2307" si="106">E2244*H2244</f>
        <v>4.0993149999999998</v>
      </c>
    </row>
    <row r="2245" spans="1:10" hidden="1" x14ac:dyDescent="0.35">
      <c r="A2245" s="126" t="s">
        <v>410</v>
      </c>
      <c r="B2245" t="str">
        <f>_xlfn.XLOOKUP(A2245,'[1]2050Pop'!$A$7:$A$143,'[1]2050Pop'!$D$7:$D$143)</f>
        <v>India/South Asia</v>
      </c>
      <c r="C2245" s="127">
        <f>1000*_xlfn.XLOOKUP(A2245,'[1]2050Pop'!$A$7:$A$143,'[1]2050Pop'!$C$7:$C$143)</f>
        <v>92219</v>
      </c>
      <c r="D2245" s="126" t="s">
        <v>513</v>
      </c>
      <c r="E2245" s="128">
        <v>88.406000000000006</v>
      </c>
      <c r="F2245" s="129">
        <f t="shared" ref="F2245:F2308" si="107">C2245*E2245/1000000</f>
        <v>8.1527129140000003</v>
      </c>
      <c r="G2245" t="str">
        <f>_xlfn.XLOOKUP(D2245,'[1]2050 BAU Mapping to T &amp; C'!$A$3:$A$52,'[1]2050 BAU Mapping to T &amp; C'!$B$3:$B$52)</f>
        <v>Other veg</v>
      </c>
      <c r="H2245" s="129">
        <f>_xlfn.XLOOKUP(G2245,'[1]T&amp;C emissions for 2050 analysis'!$B$3:$B$23,'[1]T&amp;C emissions for 2050 analysis'!$C$3:$C$23)</f>
        <v>0.26766666666666666</v>
      </c>
      <c r="I2245" s="27">
        <f t="shared" si="105"/>
        <v>2.1822094899806666</v>
      </c>
      <c r="J2245" s="129">
        <f t="shared" si="106"/>
        <v>23.663339333333333</v>
      </c>
    </row>
    <row r="2246" spans="1:10" hidden="1" x14ac:dyDescent="0.35">
      <c r="A2246" s="126" t="s">
        <v>411</v>
      </c>
      <c r="B2246" t="str">
        <f>_xlfn.XLOOKUP(A2246,'[1]2050Pop'!$A$7:$A$143,'[1]2050Pop'!$D$7:$D$143)</f>
        <v>MENA</v>
      </c>
      <c r="C2246" s="127">
        <f>1000*_xlfn.XLOOKUP(A2246,'[1]2050Pop'!$A$7:$A$143,'[1]2050Pop'!$C$7:$C$143)</f>
        <v>83652</v>
      </c>
      <c r="D2246" s="126" t="s">
        <v>513</v>
      </c>
      <c r="E2246" s="130">
        <v>1.88</v>
      </c>
      <c r="F2246" s="129">
        <f t="shared" si="107"/>
        <v>0.15726575999999998</v>
      </c>
      <c r="G2246" t="str">
        <f>_xlfn.XLOOKUP(D2246,'[1]2050 BAU Mapping to T &amp; C'!$A$3:$A$52,'[1]2050 BAU Mapping to T &amp; C'!$B$3:$B$52)</f>
        <v>Other veg</v>
      </c>
      <c r="H2246" s="129">
        <f>_xlfn.XLOOKUP(G2246,'[1]T&amp;C emissions for 2050 analysis'!$B$3:$B$23,'[1]T&amp;C emissions for 2050 analysis'!$C$3:$C$23)</f>
        <v>0.26766666666666666</v>
      </c>
      <c r="I2246" s="27">
        <f t="shared" si="105"/>
        <v>4.2094801759999995E-2</v>
      </c>
      <c r="J2246" s="129">
        <f t="shared" si="106"/>
        <v>0.50321333333333329</v>
      </c>
    </row>
    <row r="2247" spans="1:10" hidden="1" x14ac:dyDescent="0.35">
      <c r="A2247" s="126" t="s">
        <v>412</v>
      </c>
      <c r="B2247" t="str">
        <f>_xlfn.XLOOKUP(A2247,'[1]2050Pop'!$A$7:$A$143,'[1]2050Pop'!$D$7:$D$143)</f>
        <v>Euro/AU/NZ</v>
      </c>
      <c r="C2247" s="127">
        <f>1000*_xlfn.XLOOKUP(A2247,'[1]2050Pop'!$A$7:$A$143,'[1]2050Pop'!$C$7:$C$143)</f>
        <v>5789</v>
      </c>
      <c r="D2247" s="126" t="s">
        <v>513</v>
      </c>
      <c r="E2247" s="128">
        <v>20.347000000000001</v>
      </c>
      <c r="F2247" s="129">
        <f t="shared" si="107"/>
        <v>0.11778878300000001</v>
      </c>
      <c r="G2247" t="str">
        <f>_xlfn.XLOOKUP(D2247,'[1]2050 BAU Mapping to T &amp; C'!$A$3:$A$52,'[1]2050 BAU Mapping to T &amp; C'!$B$3:$B$52)</f>
        <v>Other veg</v>
      </c>
      <c r="H2247" s="129">
        <f>_xlfn.XLOOKUP(G2247,'[1]T&amp;C emissions for 2050 analysis'!$B$3:$B$23,'[1]T&amp;C emissions for 2050 analysis'!$C$3:$C$23)</f>
        <v>0.26766666666666666</v>
      </c>
      <c r="I2247" s="27">
        <f t="shared" si="105"/>
        <v>3.1528130916333337E-2</v>
      </c>
      <c r="J2247" s="129">
        <f t="shared" si="106"/>
        <v>5.446213666666667</v>
      </c>
    </row>
    <row r="2248" spans="1:10" hidden="1" x14ac:dyDescent="0.35">
      <c r="A2248" s="126" t="s">
        <v>413</v>
      </c>
      <c r="B2248" t="str">
        <f>_xlfn.XLOOKUP(A2248,'[1]2050Pop'!$A$7:$A$143,'[1]2050Pop'!$D$7:$D$143)</f>
        <v>MENA</v>
      </c>
      <c r="C2248" s="127">
        <f>1000*_xlfn.XLOOKUP(A2248,'[1]2050Pop'!$A$7:$A$143,'[1]2050Pop'!$C$7:$C$143)</f>
        <v>12610</v>
      </c>
      <c r="D2248" s="126" t="s">
        <v>513</v>
      </c>
      <c r="E2248" s="128">
        <v>40.722000000000001</v>
      </c>
      <c r="F2248" s="129">
        <f t="shared" si="107"/>
        <v>0.51350442000000007</v>
      </c>
      <c r="G2248" t="str">
        <f>_xlfn.XLOOKUP(D2248,'[1]2050 BAU Mapping to T &amp; C'!$A$3:$A$52,'[1]2050 BAU Mapping to T &amp; C'!$B$3:$B$52)</f>
        <v>Other veg</v>
      </c>
      <c r="H2248" s="129">
        <f>_xlfn.XLOOKUP(G2248,'[1]T&amp;C emissions for 2050 analysis'!$B$3:$B$23,'[1]T&amp;C emissions for 2050 analysis'!$C$3:$C$23)</f>
        <v>0.26766666666666666</v>
      </c>
      <c r="I2248" s="27">
        <f t="shared" si="105"/>
        <v>0.13744801642000001</v>
      </c>
      <c r="J2248" s="129">
        <f t="shared" si="106"/>
        <v>10.899922</v>
      </c>
    </row>
    <row r="2249" spans="1:10" hidden="1" x14ac:dyDescent="0.35">
      <c r="A2249" s="126" t="s">
        <v>414</v>
      </c>
      <c r="B2249" t="str">
        <f>_xlfn.XLOOKUP(A2249,'[1]2050Pop'!$A$7:$A$143,'[1]2050Pop'!$D$7:$D$143)</f>
        <v>Euro/AU/NZ</v>
      </c>
      <c r="C2249" s="127">
        <f>1000*_xlfn.XLOOKUP(A2249,'[1]2050Pop'!$A$7:$A$143,'[1]2050Pop'!$C$7:$C$143)</f>
        <v>56513</v>
      </c>
      <c r="D2249" s="126" t="s">
        <v>513</v>
      </c>
      <c r="E2249" s="130">
        <v>38.07</v>
      </c>
      <c r="F2249" s="129">
        <f t="shared" si="107"/>
        <v>2.1514499100000002</v>
      </c>
      <c r="G2249" t="str">
        <f>_xlfn.XLOOKUP(D2249,'[1]2050 BAU Mapping to T &amp; C'!$A$3:$A$52,'[1]2050 BAU Mapping to T &amp; C'!$B$3:$B$52)</f>
        <v>Other veg</v>
      </c>
      <c r="H2249" s="129">
        <f>_xlfn.XLOOKUP(G2249,'[1]T&amp;C emissions for 2050 analysis'!$B$3:$B$23,'[1]T&amp;C emissions for 2050 analysis'!$C$3:$C$23)</f>
        <v>0.26766666666666666</v>
      </c>
      <c r="I2249" s="27">
        <f t="shared" si="105"/>
        <v>0.57587142591000007</v>
      </c>
      <c r="J2249" s="129">
        <f t="shared" si="106"/>
        <v>10.19007</v>
      </c>
    </row>
    <row r="2250" spans="1:10" hidden="1" x14ac:dyDescent="0.35">
      <c r="A2250" s="126" t="s">
        <v>415</v>
      </c>
      <c r="B2250" t="str">
        <f>_xlfn.XLOOKUP(A2250,'[1]2050Pop'!$A$7:$A$143,'[1]2050Pop'!$D$7:$D$143)</f>
        <v>LatAm &amp; RSA</v>
      </c>
      <c r="C2250" s="127">
        <f>1000*_xlfn.XLOOKUP(A2250,'[1]2050Pop'!$A$7:$A$143,'[1]2050Pop'!$C$7:$C$143)</f>
        <v>2710</v>
      </c>
      <c r="D2250" s="126" t="s">
        <v>513</v>
      </c>
      <c r="E2250" s="131">
        <v>52.4</v>
      </c>
      <c r="F2250" s="129">
        <f t="shared" si="107"/>
        <v>0.14200399999999999</v>
      </c>
      <c r="G2250" t="str">
        <f>_xlfn.XLOOKUP(D2250,'[1]2050 BAU Mapping to T &amp; C'!$A$3:$A$52,'[1]2050 BAU Mapping to T &amp; C'!$B$3:$B$52)</f>
        <v>Other veg</v>
      </c>
      <c r="H2250" s="129">
        <f>_xlfn.XLOOKUP(G2250,'[1]T&amp;C emissions for 2050 analysis'!$B$3:$B$23,'[1]T&amp;C emissions for 2050 analysis'!$C$3:$C$23)</f>
        <v>0.26766666666666666</v>
      </c>
      <c r="I2250" s="27">
        <f t="shared" si="105"/>
        <v>3.8009737333333328E-2</v>
      </c>
      <c r="J2250" s="129">
        <f t="shared" si="106"/>
        <v>14.025733333333333</v>
      </c>
    </row>
    <row r="2251" spans="1:10" hidden="1" x14ac:dyDescent="0.35">
      <c r="A2251" s="126" t="s">
        <v>416</v>
      </c>
      <c r="B2251" t="str">
        <f>_xlfn.XLOOKUP(A2251,'[1]2050Pop'!$A$7:$A$143,'[1]2050Pop'!$D$7:$D$143)</f>
        <v>APAC</v>
      </c>
      <c r="C2251" s="127">
        <f>1000*_xlfn.XLOOKUP(A2251,'[1]2050Pop'!$A$7:$A$143,'[1]2050Pop'!$C$7:$C$143)</f>
        <v>107411</v>
      </c>
      <c r="D2251" s="126" t="s">
        <v>513</v>
      </c>
      <c r="E2251" s="130">
        <v>20.62</v>
      </c>
      <c r="F2251" s="129">
        <f t="shared" si="107"/>
        <v>2.2148148200000004</v>
      </c>
      <c r="G2251" t="str">
        <f>_xlfn.XLOOKUP(D2251,'[1]2050 BAU Mapping to T &amp; C'!$A$3:$A$52,'[1]2050 BAU Mapping to T &amp; C'!$B$3:$B$52)</f>
        <v>Other veg</v>
      </c>
      <c r="H2251" s="129">
        <f>_xlfn.XLOOKUP(G2251,'[1]T&amp;C emissions for 2050 analysis'!$B$3:$B$23,'[1]T&amp;C emissions for 2050 analysis'!$C$3:$C$23)</f>
        <v>0.26766666666666666</v>
      </c>
      <c r="I2251" s="27">
        <f t="shared" si="105"/>
        <v>0.59283210015333343</v>
      </c>
      <c r="J2251" s="129">
        <f t="shared" si="106"/>
        <v>5.5192866666666669</v>
      </c>
    </row>
    <row r="2252" spans="1:10" hidden="1" x14ac:dyDescent="0.35">
      <c r="A2252" s="126" t="s">
        <v>417</v>
      </c>
      <c r="B2252" t="str">
        <f>_xlfn.XLOOKUP(A2252,'[1]2050Pop'!$A$7:$A$143,'[1]2050Pop'!$D$7:$D$143)</f>
        <v>MENA</v>
      </c>
      <c r="C2252" s="127">
        <f>1000*_xlfn.XLOOKUP(A2252,'[1]2050Pop'!$A$7:$A$143,'[1]2050Pop'!$C$7:$C$143)</f>
        <v>11717</v>
      </c>
      <c r="D2252" s="126" t="s">
        <v>513</v>
      </c>
      <c r="E2252" s="128">
        <v>19.271000000000001</v>
      </c>
      <c r="F2252" s="129">
        <f t="shared" si="107"/>
        <v>0.225798307</v>
      </c>
      <c r="G2252" t="str">
        <f>_xlfn.XLOOKUP(D2252,'[1]2050 BAU Mapping to T &amp; C'!$A$3:$A$52,'[1]2050 BAU Mapping to T &amp; C'!$B$3:$B$52)</f>
        <v>Other veg</v>
      </c>
      <c r="H2252" s="129">
        <f>_xlfn.XLOOKUP(G2252,'[1]T&amp;C emissions for 2050 analysis'!$B$3:$B$23,'[1]T&amp;C emissions for 2050 analysis'!$C$3:$C$23)</f>
        <v>0.26766666666666666</v>
      </c>
      <c r="I2252" s="27">
        <f t="shared" si="105"/>
        <v>6.0438680173666666E-2</v>
      </c>
      <c r="J2252" s="129">
        <f t="shared" si="106"/>
        <v>5.1582043333333338</v>
      </c>
    </row>
    <row r="2253" spans="1:10" hidden="1" x14ac:dyDescent="0.35">
      <c r="A2253" s="126" t="s">
        <v>418</v>
      </c>
      <c r="B2253" t="str">
        <f>_xlfn.XLOOKUP(A2253,'[1]2050Pop'!$A$7:$A$143,'[1]2050Pop'!$D$7:$D$143)</f>
        <v>APAC</v>
      </c>
      <c r="C2253" s="127">
        <f>1000*_xlfn.XLOOKUP(A2253,'[1]2050Pop'!$A$7:$A$143,'[1]2050Pop'!$C$7:$C$143)</f>
        <v>22447</v>
      </c>
      <c r="D2253" s="126" t="s">
        <v>513</v>
      </c>
      <c r="E2253" s="128">
        <v>21.872</v>
      </c>
      <c r="F2253" s="129">
        <f t="shared" si="107"/>
        <v>0.49096078399999998</v>
      </c>
      <c r="G2253" t="str">
        <f>_xlfn.XLOOKUP(D2253,'[1]2050 BAU Mapping to T &amp; C'!$A$3:$A$52,'[1]2050 BAU Mapping to T &amp; C'!$B$3:$B$52)</f>
        <v>Other veg</v>
      </c>
      <c r="H2253" s="129">
        <f>_xlfn.XLOOKUP(G2253,'[1]T&amp;C emissions for 2050 analysis'!$B$3:$B$23,'[1]T&amp;C emissions for 2050 analysis'!$C$3:$C$23)</f>
        <v>0.26766666666666666</v>
      </c>
      <c r="I2253" s="27">
        <f t="shared" si="105"/>
        <v>0.13141383651733332</v>
      </c>
      <c r="J2253" s="129">
        <f t="shared" si="106"/>
        <v>5.8544053333333332</v>
      </c>
    </row>
    <row r="2254" spans="1:10" hidden="1" x14ac:dyDescent="0.35">
      <c r="A2254" s="126" t="s">
        <v>419</v>
      </c>
      <c r="B2254" t="str">
        <f>_xlfn.XLOOKUP(A2254,'[1]2050Pop'!$A$7:$A$143,'[1]2050Pop'!$D$7:$D$143)</f>
        <v>SSA</v>
      </c>
      <c r="C2254" s="127">
        <f>1000*_xlfn.XLOOKUP(A2254,'[1]2050Pop'!$A$7:$A$143,'[1]2050Pop'!$C$7:$C$143)</f>
        <v>95505</v>
      </c>
      <c r="D2254" s="126" t="s">
        <v>513</v>
      </c>
      <c r="E2254" s="128">
        <v>9.8780000000000001</v>
      </c>
      <c r="F2254" s="129">
        <f t="shared" si="107"/>
        <v>0.94339839000000003</v>
      </c>
      <c r="G2254" t="str">
        <f>_xlfn.XLOOKUP(D2254,'[1]2050 BAU Mapping to T &amp; C'!$A$3:$A$52,'[1]2050 BAU Mapping to T &amp; C'!$B$3:$B$52)</f>
        <v>Other veg</v>
      </c>
      <c r="H2254" s="129">
        <f>_xlfn.XLOOKUP(G2254,'[1]T&amp;C emissions for 2050 analysis'!$B$3:$B$23,'[1]T&amp;C emissions for 2050 analysis'!$C$3:$C$23)</f>
        <v>0.26766666666666666</v>
      </c>
      <c r="I2254" s="27">
        <f t="shared" si="105"/>
        <v>0.25251630239</v>
      </c>
      <c r="J2254" s="129">
        <f t="shared" si="106"/>
        <v>2.6440113333333333</v>
      </c>
    </row>
    <row r="2255" spans="1:10" hidden="1" x14ac:dyDescent="0.35">
      <c r="A2255" s="126" t="s">
        <v>420</v>
      </c>
      <c r="B2255" t="str">
        <f>_xlfn.XLOOKUP(A2255,'[1]2050Pop'!$A$7:$A$143,'[1]2050Pop'!$D$7:$D$143)</f>
        <v>APAC</v>
      </c>
      <c r="C2255" s="127">
        <f>1000*_xlfn.XLOOKUP(A2255,'[1]2050Pop'!$A$7:$A$143,'[1]2050Pop'!$C$7:$C$143)</f>
        <v>8248</v>
      </c>
      <c r="D2255" s="126" t="s">
        <v>513</v>
      </c>
      <c r="E2255" s="128">
        <v>20.423999999999999</v>
      </c>
      <c r="F2255" s="129">
        <f t="shared" si="107"/>
        <v>0.168457152</v>
      </c>
      <c r="G2255" t="str">
        <f>_xlfn.XLOOKUP(D2255,'[1]2050 BAU Mapping to T &amp; C'!$A$3:$A$52,'[1]2050 BAU Mapping to T &amp; C'!$B$3:$B$52)</f>
        <v>Other veg</v>
      </c>
      <c r="H2255" s="129">
        <f>_xlfn.XLOOKUP(G2255,'[1]T&amp;C emissions for 2050 analysis'!$B$3:$B$23,'[1]T&amp;C emissions for 2050 analysis'!$C$3:$C$23)</f>
        <v>0.26766666666666666</v>
      </c>
      <c r="I2255" s="27">
        <f t="shared" si="105"/>
        <v>4.5090364351999999E-2</v>
      </c>
      <c r="J2255" s="129">
        <f t="shared" si="106"/>
        <v>5.4668239999999999</v>
      </c>
    </row>
    <row r="2256" spans="1:10" hidden="1" x14ac:dyDescent="0.35">
      <c r="A2256" s="126" t="s">
        <v>421</v>
      </c>
      <c r="B2256" t="str">
        <f>_xlfn.XLOOKUP(A2256,'[1]2050Pop'!$A$7:$A$143,'[1]2050Pop'!$D$7:$D$143)</f>
        <v>APAC</v>
      </c>
      <c r="C2256" s="127">
        <f>1000*_xlfn.XLOOKUP(A2256,'[1]2050Pop'!$A$7:$A$143,'[1]2050Pop'!$C$7:$C$143)</f>
        <v>10172</v>
      </c>
      <c r="D2256" s="126" t="s">
        <v>513</v>
      </c>
      <c r="E2256" s="128">
        <v>23.367000000000001</v>
      </c>
      <c r="F2256" s="129">
        <f t="shared" si="107"/>
        <v>0.237689124</v>
      </c>
      <c r="G2256" t="str">
        <f>_xlfn.XLOOKUP(D2256,'[1]2050 BAU Mapping to T &amp; C'!$A$3:$A$52,'[1]2050 BAU Mapping to T &amp; C'!$B$3:$B$52)</f>
        <v>Other veg</v>
      </c>
      <c r="H2256" s="129">
        <f>_xlfn.XLOOKUP(G2256,'[1]T&amp;C emissions for 2050 analysis'!$B$3:$B$23,'[1]T&amp;C emissions for 2050 analysis'!$C$3:$C$23)</f>
        <v>0.26766666666666666</v>
      </c>
      <c r="I2256" s="27">
        <f t="shared" si="105"/>
        <v>6.3621455524000003E-2</v>
      </c>
      <c r="J2256" s="129">
        <f t="shared" si="106"/>
        <v>6.2545669999999998</v>
      </c>
    </row>
    <row r="2257" spans="1:10" hidden="1" x14ac:dyDescent="0.35">
      <c r="A2257" s="126" t="s">
        <v>422</v>
      </c>
      <c r="B2257" t="str">
        <f>_xlfn.XLOOKUP(A2257,'[1]2050Pop'!$A$7:$A$143,'[1]2050Pop'!$D$7:$D$143)</f>
        <v>Euro/AU/NZ</v>
      </c>
      <c r="C2257" s="127">
        <f>1000*_xlfn.XLOOKUP(A2257,'[1]2050Pop'!$A$7:$A$143,'[1]2050Pop'!$C$7:$C$143)</f>
        <v>1593</v>
      </c>
      <c r="D2257" s="126" t="s">
        <v>513</v>
      </c>
      <c r="E2257" s="128">
        <v>23.283000000000001</v>
      </c>
      <c r="F2257" s="129">
        <f t="shared" si="107"/>
        <v>3.7089819000000003E-2</v>
      </c>
      <c r="G2257" t="str">
        <f>_xlfn.XLOOKUP(D2257,'[1]2050 BAU Mapping to T &amp; C'!$A$3:$A$52,'[1]2050 BAU Mapping to T &amp; C'!$B$3:$B$52)</f>
        <v>Other veg</v>
      </c>
      <c r="H2257" s="129">
        <f>_xlfn.XLOOKUP(G2257,'[1]T&amp;C emissions for 2050 analysis'!$B$3:$B$23,'[1]T&amp;C emissions for 2050 analysis'!$C$3:$C$23)</f>
        <v>0.26766666666666666</v>
      </c>
      <c r="I2257" s="27">
        <f t="shared" si="105"/>
        <v>9.9277082190000008E-3</v>
      </c>
      <c r="J2257" s="129">
        <f t="shared" si="106"/>
        <v>6.2320830000000003</v>
      </c>
    </row>
    <row r="2258" spans="1:10" hidden="1" x14ac:dyDescent="0.35">
      <c r="A2258" s="126" t="s">
        <v>423</v>
      </c>
      <c r="B2258" t="str">
        <f>_xlfn.XLOOKUP(A2258,'[1]2050Pop'!$A$7:$A$143,'[1]2050Pop'!$D$7:$D$143)</f>
        <v>MENA</v>
      </c>
      <c r="C2258" s="127">
        <f>1000*_xlfn.XLOOKUP(A2258,'[1]2050Pop'!$A$7:$A$143,'[1]2050Pop'!$C$7:$C$143)</f>
        <v>5610</v>
      </c>
      <c r="D2258" s="126" t="s">
        <v>513</v>
      </c>
      <c r="E2258" s="128">
        <v>77.953999999999994</v>
      </c>
      <c r="F2258" s="129">
        <f t="shared" si="107"/>
        <v>0.43732193999999996</v>
      </c>
      <c r="G2258" t="str">
        <f>_xlfn.XLOOKUP(D2258,'[1]2050 BAU Mapping to T &amp; C'!$A$3:$A$52,'[1]2050 BAU Mapping to T &amp; C'!$B$3:$B$52)</f>
        <v>Other veg</v>
      </c>
      <c r="H2258" s="129">
        <f>_xlfn.XLOOKUP(G2258,'[1]T&amp;C emissions for 2050 analysis'!$B$3:$B$23,'[1]T&amp;C emissions for 2050 analysis'!$C$3:$C$23)</f>
        <v>0.26766666666666666</v>
      </c>
      <c r="I2258" s="27">
        <f t="shared" si="105"/>
        <v>0.11705650593999999</v>
      </c>
      <c r="J2258" s="129">
        <f t="shared" si="106"/>
        <v>20.86568733333333</v>
      </c>
    </row>
    <row r="2259" spans="1:10" hidden="1" x14ac:dyDescent="0.35">
      <c r="A2259" s="126" t="s">
        <v>424</v>
      </c>
      <c r="B2259" t="str">
        <f>_xlfn.XLOOKUP(A2259,'[1]2050Pop'!$A$7:$A$143,'[1]2050Pop'!$D$7:$D$143)</f>
        <v>SSA</v>
      </c>
      <c r="C2259" s="127">
        <f>1000*_xlfn.XLOOKUP(A2259,'[1]2050Pop'!$A$7:$A$143,'[1]2050Pop'!$C$7:$C$143)</f>
        <v>2987</v>
      </c>
      <c r="D2259" s="126" t="s">
        <v>513</v>
      </c>
      <c r="E2259" s="128">
        <v>7.1219999999999999</v>
      </c>
      <c r="F2259" s="129">
        <f t="shared" si="107"/>
        <v>2.1273414000000001E-2</v>
      </c>
      <c r="G2259" t="str">
        <f>_xlfn.XLOOKUP(D2259,'[1]2050 BAU Mapping to T &amp; C'!$A$3:$A$52,'[1]2050 BAU Mapping to T &amp; C'!$B$3:$B$52)</f>
        <v>Other veg</v>
      </c>
      <c r="H2259" s="129">
        <f>_xlfn.XLOOKUP(G2259,'[1]T&amp;C emissions for 2050 analysis'!$B$3:$B$23,'[1]T&amp;C emissions for 2050 analysis'!$C$3:$C$23)</f>
        <v>0.26766666666666666</v>
      </c>
      <c r="I2259" s="27">
        <f t="shared" si="105"/>
        <v>5.6941838140000004E-3</v>
      </c>
      <c r="J2259" s="129">
        <f t="shared" si="106"/>
        <v>1.9063219999999998</v>
      </c>
    </row>
    <row r="2260" spans="1:10" hidden="1" x14ac:dyDescent="0.35">
      <c r="A2260" s="126" t="s">
        <v>425</v>
      </c>
      <c r="B2260" t="str">
        <f>_xlfn.XLOOKUP(A2260,'[1]2050Pop'!$A$7:$A$143,'[1]2050Pop'!$D$7:$D$143)</f>
        <v>SSA</v>
      </c>
      <c r="C2260" s="127">
        <f>1000*_xlfn.XLOOKUP(A2260,'[1]2050Pop'!$A$7:$A$143,'[1]2050Pop'!$C$7:$C$143)</f>
        <v>9436</v>
      </c>
      <c r="D2260" s="126" t="s">
        <v>513</v>
      </c>
      <c r="E2260" s="128">
        <v>3.7589999999999999</v>
      </c>
      <c r="F2260" s="129">
        <f t="shared" si="107"/>
        <v>3.5469924E-2</v>
      </c>
      <c r="G2260" t="str">
        <f>_xlfn.XLOOKUP(D2260,'[1]2050 BAU Mapping to T &amp; C'!$A$3:$A$52,'[1]2050 BAU Mapping to T &amp; C'!$B$3:$B$52)</f>
        <v>Other veg</v>
      </c>
      <c r="H2260" s="129">
        <f>_xlfn.XLOOKUP(G2260,'[1]T&amp;C emissions for 2050 analysis'!$B$3:$B$23,'[1]T&amp;C emissions for 2050 analysis'!$C$3:$C$23)</f>
        <v>0.26766666666666666</v>
      </c>
      <c r="I2260" s="27">
        <f t="shared" si="105"/>
        <v>9.4941163239999991E-3</v>
      </c>
      <c r="J2260" s="129">
        <f t="shared" si="106"/>
        <v>1.006159</v>
      </c>
    </row>
    <row r="2261" spans="1:10" hidden="1" x14ac:dyDescent="0.35">
      <c r="A2261" s="126" t="s">
        <v>426</v>
      </c>
      <c r="B2261" t="str">
        <f>_xlfn.XLOOKUP(A2261,'[1]2050Pop'!$A$7:$A$143,'[1]2050Pop'!$D$7:$D$143)</f>
        <v>Euro/AU/NZ</v>
      </c>
      <c r="C2261" s="127">
        <f>1000*_xlfn.XLOOKUP(A2261,'[1]2050Pop'!$A$7:$A$143,'[1]2050Pop'!$C$7:$C$143)</f>
        <v>2375</v>
      </c>
      <c r="D2261" s="126" t="s">
        <v>513</v>
      </c>
      <c r="E2261" s="128">
        <v>21.469000000000001</v>
      </c>
      <c r="F2261" s="129">
        <f t="shared" si="107"/>
        <v>5.0988875000000003E-2</v>
      </c>
      <c r="G2261" t="str">
        <f>_xlfn.XLOOKUP(D2261,'[1]2050 BAU Mapping to T &amp; C'!$A$3:$A$52,'[1]2050 BAU Mapping to T &amp; C'!$B$3:$B$52)</f>
        <v>Other veg</v>
      </c>
      <c r="H2261" s="129">
        <f>_xlfn.XLOOKUP(G2261,'[1]T&amp;C emissions for 2050 analysis'!$B$3:$B$23,'[1]T&amp;C emissions for 2050 analysis'!$C$3:$C$23)</f>
        <v>0.26766666666666666</v>
      </c>
      <c r="I2261" s="27">
        <f t="shared" si="105"/>
        <v>1.3648022208333334E-2</v>
      </c>
      <c r="J2261" s="129">
        <f t="shared" si="106"/>
        <v>5.7465356666666665</v>
      </c>
    </row>
    <row r="2262" spans="1:10" hidden="1" x14ac:dyDescent="0.35">
      <c r="A2262" s="126" t="s">
        <v>427</v>
      </c>
      <c r="B2262" t="str">
        <f>_xlfn.XLOOKUP(A2262,'[1]2050Pop'!$A$7:$A$143,'[1]2050Pop'!$D$7:$D$143)</f>
        <v>SSA</v>
      </c>
      <c r="C2262" s="127">
        <f>1000*_xlfn.XLOOKUP(A2262,'[1]2050Pop'!$A$7:$A$143,'[1]2050Pop'!$C$7:$C$143)</f>
        <v>55294</v>
      </c>
      <c r="D2262" s="126" t="s">
        <v>513</v>
      </c>
      <c r="E2262" s="131">
        <v>5.4</v>
      </c>
      <c r="F2262" s="129">
        <f t="shared" si="107"/>
        <v>0.29858760000000001</v>
      </c>
      <c r="G2262" t="str">
        <f>_xlfn.XLOOKUP(D2262,'[1]2050 BAU Mapping to T &amp; C'!$A$3:$A$52,'[1]2050 BAU Mapping to T &amp; C'!$B$3:$B$52)</f>
        <v>Other veg</v>
      </c>
      <c r="H2262" s="129">
        <f>_xlfn.XLOOKUP(G2262,'[1]T&amp;C emissions for 2050 analysis'!$B$3:$B$23,'[1]T&amp;C emissions for 2050 analysis'!$C$3:$C$23)</f>
        <v>0.26766666666666666</v>
      </c>
      <c r="I2262" s="27">
        <f t="shared" si="105"/>
        <v>7.9921947600000001E-2</v>
      </c>
      <c r="J2262" s="129">
        <f t="shared" si="106"/>
        <v>1.4454</v>
      </c>
    </row>
    <row r="2263" spans="1:10" hidden="1" x14ac:dyDescent="0.35">
      <c r="A2263" s="126" t="s">
        <v>428</v>
      </c>
      <c r="B2263" t="str">
        <f>_xlfn.XLOOKUP(A2263,'[1]2050Pop'!$A$7:$A$143,'[1]2050Pop'!$D$7:$D$143)</f>
        <v>SSA</v>
      </c>
      <c r="C2263" s="127">
        <f>1000*_xlfn.XLOOKUP(A2263,'[1]2050Pop'!$A$7:$A$143,'[1]2050Pop'!$C$7:$C$143)</f>
        <v>43155</v>
      </c>
      <c r="D2263" s="126" t="s">
        <v>513</v>
      </c>
      <c r="E2263" s="128">
        <v>3.2850000000000001</v>
      </c>
      <c r="F2263" s="129">
        <f t="shared" si="107"/>
        <v>0.14176417500000002</v>
      </c>
      <c r="G2263" t="str">
        <f>_xlfn.XLOOKUP(D2263,'[1]2050 BAU Mapping to T &amp; C'!$A$3:$A$52,'[1]2050 BAU Mapping to T &amp; C'!$B$3:$B$52)</f>
        <v>Other veg</v>
      </c>
      <c r="H2263" s="129">
        <f>_xlfn.XLOOKUP(G2263,'[1]T&amp;C emissions for 2050 analysis'!$B$3:$B$23,'[1]T&amp;C emissions for 2050 analysis'!$C$3:$C$23)</f>
        <v>0.26766666666666666</v>
      </c>
      <c r="I2263" s="27">
        <f t="shared" si="105"/>
        <v>3.7945544175000005E-2</v>
      </c>
      <c r="J2263" s="129">
        <f t="shared" si="106"/>
        <v>0.87928499999999998</v>
      </c>
    </row>
    <row r="2264" spans="1:10" hidden="1" x14ac:dyDescent="0.35">
      <c r="A2264" s="126" t="s">
        <v>429</v>
      </c>
      <c r="B2264" t="str">
        <f>_xlfn.XLOOKUP(A2264,'[1]2050Pop'!$A$7:$A$143,'[1]2050Pop'!$D$7:$D$143)</f>
        <v>APAC</v>
      </c>
      <c r="C2264" s="127">
        <f>1000*_xlfn.XLOOKUP(A2264,'[1]2050Pop'!$A$7:$A$143,'[1]2050Pop'!$C$7:$C$143)</f>
        <v>40725</v>
      </c>
      <c r="D2264" s="126" t="s">
        <v>513</v>
      </c>
      <c r="E2264" s="128">
        <v>46.838999999999999</v>
      </c>
      <c r="F2264" s="129">
        <f t="shared" si="107"/>
        <v>1.9075182749999999</v>
      </c>
      <c r="G2264" t="str">
        <f>_xlfn.XLOOKUP(D2264,'[1]2050 BAU Mapping to T &amp; C'!$A$3:$A$52,'[1]2050 BAU Mapping to T &amp; C'!$B$3:$B$52)</f>
        <v>Other veg</v>
      </c>
      <c r="H2264" s="129">
        <f>_xlfn.XLOOKUP(G2264,'[1]T&amp;C emissions for 2050 analysis'!$B$3:$B$23,'[1]T&amp;C emissions for 2050 analysis'!$C$3:$C$23)</f>
        <v>0.26766666666666666</v>
      </c>
      <c r="I2264" s="27">
        <f t="shared" si="105"/>
        <v>0.51057905827499994</v>
      </c>
      <c r="J2264" s="129">
        <f t="shared" si="106"/>
        <v>12.537239</v>
      </c>
    </row>
    <row r="2265" spans="1:10" hidden="1" x14ac:dyDescent="0.35">
      <c r="A2265" s="126" t="s">
        <v>430</v>
      </c>
      <c r="B2265" t="str">
        <f>_xlfn.XLOOKUP(A2265,'[1]2050Pop'!$A$7:$A$143,'[1]2050Pop'!$D$7:$D$143)</f>
        <v>SSA</v>
      </c>
      <c r="C2265" s="127">
        <f>1000*_xlfn.XLOOKUP(A2265,'[1]2050Pop'!$A$7:$A$143,'[1]2050Pop'!$C$7:$C$143)</f>
        <v>45404</v>
      </c>
      <c r="D2265" s="126" t="s">
        <v>513</v>
      </c>
      <c r="E2265" s="128">
        <v>4.4059999999999997</v>
      </c>
      <c r="F2265" s="129">
        <f t="shared" si="107"/>
        <v>0.20005002399999997</v>
      </c>
      <c r="G2265" t="str">
        <f>_xlfn.XLOOKUP(D2265,'[1]2050 BAU Mapping to T &amp; C'!$A$3:$A$52,'[1]2050 BAU Mapping to T &amp; C'!$B$3:$B$52)</f>
        <v>Other veg</v>
      </c>
      <c r="H2265" s="129">
        <f>_xlfn.XLOOKUP(G2265,'[1]T&amp;C emissions for 2050 analysis'!$B$3:$B$23,'[1]T&amp;C emissions for 2050 analysis'!$C$3:$C$23)</f>
        <v>0.26766666666666666</v>
      </c>
      <c r="I2265" s="27">
        <f t="shared" si="105"/>
        <v>5.3546723090666659E-2</v>
      </c>
      <c r="J2265" s="129">
        <f t="shared" si="106"/>
        <v>1.1793393333333333</v>
      </c>
    </row>
    <row r="2266" spans="1:10" hidden="1" x14ac:dyDescent="0.35">
      <c r="A2266" s="126" t="s">
        <v>431</v>
      </c>
      <c r="B2266" t="str">
        <f>_xlfn.XLOOKUP(A2266,'[1]2050Pop'!$A$7:$A$143,'[1]2050Pop'!$D$7:$D$143)</f>
        <v>SSA</v>
      </c>
      <c r="C2266" s="127">
        <f>1000*_xlfn.XLOOKUP(A2266,'[1]2050Pop'!$A$7:$A$143,'[1]2050Pop'!$C$7:$C$143)</f>
        <v>8048.9999999999991</v>
      </c>
      <c r="D2266" s="126" t="s">
        <v>513</v>
      </c>
      <c r="E2266" s="128">
        <v>0.94499999999999995</v>
      </c>
      <c r="F2266" s="129">
        <f t="shared" si="107"/>
        <v>7.6063049999999981E-3</v>
      </c>
      <c r="G2266" t="str">
        <f>_xlfn.XLOOKUP(D2266,'[1]2050 BAU Mapping to T &amp; C'!$A$3:$A$52,'[1]2050 BAU Mapping to T &amp; C'!$B$3:$B$52)</f>
        <v>Other veg</v>
      </c>
      <c r="H2266" s="129">
        <f>_xlfn.XLOOKUP(G2266,'[1]T&amp;C emissions for 2050 analysis'!$B$3:$B$23,'[1]T&amp;C emissions for 2050 analysis'!$C$3:$C$23)</f>
        <v>0.26766666666666666</v>
      </c>
      <c r="I2266" s="27">
        <f t="shared" si="105"/>
        <v>2.0359543049999996E-3</v>
      </c>
      <c r="J2266" s="129">
        <f t="shared" si="106"/>
        <v>0.25294499999999998</v>
      </c>
    </row>
    <row r="2267" spans="1:10" hidden="1" x14ac:dyDescent="0.35">
      <c r="A2267" s="126" t="s">
        <v>432</v>
      </c>
      <c r="B2267" t="str">
        <f>_xlfn.XLOOKUP(A2267,'[1]2050Pop'!$A$7:$A$143,'[1]2050Pop'!$D$7:$D$143)</f>
        <v>SSA</v>
      </c>
      <c r="C2267" s="127">
        <f>1000*_xlfn.XLOOKUP(A2267,'[1]2050Pop'!$A$7:$A$143,'[1]2050Pop'!$C$7:$C$143)</f>
        <v>1249</v>
      </c>
      <c r="D2267" s="126" t="s">
        <v>513</v>
      </c>
      <c r="E2267" s="128">
        <v>23.478000000000002</v>
      </c>
      <c r="F2267" s="129">
        <f t="shared" si="107"/>
        <v>2.9324022000000002E-2</v>
      </c>
      <c r="G2267" t="str">
        <f>_xlfn.XLOOKUP(D2267,'[1]2050 BAU Mapping to T &amp; C'!$A$3:$A$52,'[1]2050 BAU Mapping to T &amp; C'!$B$3:$B$52)</f>
        <v>Other veg</v>
      </c>
      <c r="H2267" s="129">
        <f>_xlfn.XLOOKUP(G2267,'[1]T&amp;C emissions for 2050 analysis'!$B$3:$B$23,'[1]T&amp;C emissions for 2050 analysis'!$C$3:$C$23)</f>
        <v>0.26766666666666666</v>
      </c>
      <c r="I2267" s="27">
        <f t="shared" si="105"/>
        <v>7.8490632219999999E-3</v>
      </c>
      <c r="J2267" s="129">
        <f t="shared" si="106"/>
        <v>6.2842780000000005</v>
      </c>
    </row>
    <row r="2268" spans="1:10" hidden="1" x14ac:dyDescent="0.35">
      <c r="A2268" s="126" t="s">
        <v>433</v>
      </c>
      <c r="B2268" t="str">
        <f>_xlfn.XLOOKUP(A2268,'[1]2050Pop'!$A$7:$A$143,'[1]2050Pop'!$D$7:$D$143)</f>
        <v>LatAm &amp; RSA</v>
      </c>
      <c r="C2268" s="127">
        <f>1000*_xlfn.XLOOKUP(A2268,'[1]2050Pop'!$A$7:$A$143,'[1]2050Pop'!$C$7:$C$143)</f>
        <v>163754</v>
      </c>
      <c r="D2268" s="126" t="s">
        <v>513</v>
      </c>
      <c r="E2268" s="128">
        <v>18.111999999999998</v>
      </c>
      <c r="F2268" s="129">
        <f t="shared" si="107"/>
        <v>2.9659124479999996</v>
      </c>
      <c r="G2268" t="str">
        <f>_xlfn.XLOOKUP(D2268,'[1]2050 BAU Mapping to T &amp; C'!$A$3:$A$52,'[1]2050 BAU Mapping to T &amp; C'!$B$3:$B$52)</f>
        <v>Other veg</v>
      </c>
      <c r="H2268" s="129">
        <f>_xlfn.XLOOKUP(G2268,'[1]T&amp;C emissions for 2050 analysis'!$B$3:$B$23,'[1]T&amp;C emissions for 2050 analysis'!$C$3:$C$23)</f>
        <v>0.26766666666666666</v>
      </c>
      <c r="I2268" s="27">
        <f t="shared" si="105"/>
        <v>0.79387589858133323</v>
      </c>
      <c r="J2268" s="129">
        <f t="shared" si="106"/>
        <v>4.8479786666666662</v>
      </c>
    </row>
    <row r="2269" spans="1:10" hidden="1" x14ac:dyDescent="0.35">
      <c r="A2269" s="126" t="s">
        <v>434</v>
      </c>
      <c r="B2269" t="str">
        <f>_xlfn.XLOOKUP(A2269,'[1]2050Pop'!$A$7:$A$143,'[1]2050Pop'!$D$7:$D$143)</f>
        <v>APAC</v>
      </c>
      <c r="C2269" s="127">
        <f>1000*_xlfn.XLOOKUP(A2269,'[1]2050Pop'!$A$7:$A$143,'[1]2050Pop'!$C$7:$C$143)</f>
        <v>4027.9999999999995</v>
      </c>
      <c r="D2269" s="126" t="s">
        <v>513</v>
      </c>
      <c r="E2269" s="128">
        <v>8.9730000000000008</v>
      </c>
      <c r="F2269" s="129">
        <f t="shared" si="107"/>
        <v>3.6143243999999998E-2</v>
      </c>
      <c r="G2269" t="str">
        <f>_xlfn.XLOOKUP(D2269,'[1]2050 BAU Mapping to T &amp; C'!$A$3:$A$52,'[1]2050 BAU Mapping to T &amp; C'!$B$3:$B$52)</f>
        <v>Other veg</v>
      </c>
      <c r="H2269" s="129">
        <f>_xlfn.XLOOKUP(G2269,'[1]T&amp;C emissions for 2050 analysis'!$B$3:$B$23,'[1]T&amp;C emissions for 2050 analysis'!$C$3:$C$23)</f>
        <v>0.26766666666666666</v>
      </c>
      <c r="I2269" s="27">
        <f t="shared" si="105"/>
        <v>9.6743416439999987E-3</v>
      </c>
      <c r="J2269" s="129">
        <f t="shared" si="106"/>
        <v>2.4017730000000004</v>
      </c>
    </row>
    <row r="2270" spans="1:10" hidden="1" x14ac:dyDescent="0.35">
      <c r="A2270" s="126" t="s">
        <v>435</v>
      </c>
      <c r="B2270" t="str">
        <f>_xlfn.XLOOKUP(A2270,'[1]2050Pop'!$A$7:$A$143,'[1]2050Pop'!$D$7:$D$143)</f>
        <v>MENA</v>
      </c>
      <c r="C2270" s="127">
        <f>1000*_xlfn.XLOOKUP(A2270,'[1]2050Pop'!$A$7:$A$143,'[1]2050Pop'!$C$7:$C$143)</f>
        <v>43696</v>
      </c>
      <c r="D2270" s="126" t="s">
        <v>513</v>
      </c>
      <c r="E2270" s="128">
        <v>40.695999999999998</v>
      </c>
      <c r="F2270" s="129">
        <f t="shared" si="107"/>
        <v>1.7782524159999999</v>
      </c>
      <c r="G2270" t="str">
        <f>_xlfn.XLOOKUP(D2270,'[1]2050 BAU Mapping to T &amp; C'!$A$3:$A$52,'[1]2050 BAU Mapping to T &amp; C'!$B$3:$B$52)</f>
        <v>Other veg</v>
      </c>
      <c r="H2270" s="129">
        <f>_xlfn.XLOOKUP(G2270,'[1]T&amp;C emissions for 2050 analysis'!$B$3:$B$23,'[1]T&amp;C emissions for 2050 analysis'!$C$3:$C$23)</f>
        <v>0.26766666666666666</v>
      </c>
      <c r="I2270" s="27">
        <f t="shared" si="105"/>
        <v>0.47597889668266663</v>
      </c>
      <c r="J2270" s="129">
        <f t="shared" si="106"/>
        <v>10.892962666666666</v>
      </c>
    </row>
    <row r="2271" spans="1:10" hidden="1" x14ac:dyDescent="0.35">
      <c r="A2271" s="126" t="s">
        <v>436</v>
      </c>
      <c r="B2271" t="str">
        <f>_xlfn.XLOOKUP(A2271,'[1]2050Pop'!$A$7:$A$143,'[1]2050Pop'!$D$7:$D$143)</f>
        <v>SSA</v>
      </c>
      <c r="C2271" s="127">
        <f>1000*_xlfn.XLOOKUP(A2271,'[1]2050Pop'!$A$7:$A$143,'[1]2050Pop'!$C$7:$C$143)</f>
        <v>65544</v>
      </c>
      <c r="D2271" s="126" t="s">
        <v>513</v>
      </c>
      <c r="E2271" s="130">
        <v>9.7799999999999994</v>
      </c>
      <c r="F2271" s="129">
        <f t="shared" si="107"/>
        <v>0.64102031999999998</v>
      </c>
      <c r="G2271" t="str">
        <f>_xlfn.XLOOKUP(D2271,'[1]2050 BAU Mapping to T &amp; C'!$A$3:$A$52,'[1]2050 BAU Mapping to T &amp; C'!$B$3:$B$52)</f>
        <v>Other veg</v>
      </c>
      <c r="H2271" s="129">
        <f>_xlfn.XLOOKUP(G2271,'[1]T&amp;C emissions for 2050 analysis'!$B$3:$B$23,'[1]T&amp;C emissions for 2050 analysis'!$C$3:$C$23)</f>
        <v>0.26766666666666666</v>
      </c>
      <c r="I2271" s="27">
        <f t="shared" si="105"/>
        <v>0.17157977231999999</v>
      </c>
      <c r="J2271" s="129">
        <f t="shared" si="106"/>
        <v>2.6177799999999998</v>
      </c>
    </row>
    <row r="2272" spans="1:10" hidden="1" x14ac:dyDescent="0.35">
      <c r="A2272" s="126" t="s">
        <v>490</v>
      </c>
      <c r="B2272" t="str">
        <f>_xlfn.XLOOKUP(A2272,'[1]2050Pop'!$A$7:$A$143,'[1]2050Pop'!$D$7:$D$143)</f>
        <v>APAC</v>
      </c>
      <c r="C2272" s="127">
        <f>1000*_xlfn.XLOOKUP(A2272,'[1]2050Pop'!$A$7:$A$143,'[1]2050Pop'!$C$7:$C$143)</f>
        <v>63575</v>
      </c>
      <c r="D2272" s="126" t="s">
        <v>513</v>
      </c>
      <c r="E2272" s="128">
        <v>33.579000000000001</v>
      </c>
      <c r="F2272" s="129">
        <f t="shared" si="107"/>
        <v>2.1347849249999999</v>
      </c>
      <c r="G2272" t="str">
        <f>_xlfn.XLOOKUP(D2272,'[1]2050 BAU Mapping to T &amp; C'!$A$3:$A$52,'[1]2050 BAU Mapping to T &amp; C'!$B$3:$B$52)</f>
        <v>Other veg</v>
      </c>
      <c r="H2272" s="129">
        <f>_xlfn.XLOOKUP(G2272,'[1]T&amp;C emissions for 2050 analysis'!$B$3:$B$23,'[1]T&amp;C emissions for 2050 analysis'!$C$3:$C$23)</f>
        <v>0.26766666666666666</v>
      </c>
      <c r="I2272" s="27">
        <f t="shared" si="105"/>
        <v>0.57141076492499998</v>
      </c>
      <c r="J2272" s="129">
        <f t="shared" si="106"/>
        <v>8.9879789999999993</v>
      </c>
    </row>
    <row r="2273" spans="1:10" hidden="1" x14ac:dyDescent="0.35">
      <c r="A2273" s="126" t="s">
        <v>437</v>
      </c>
      <c r="B2273" t="str">
        <f>_xlfn.XLOOKUP(A2273,'[1]2050Pop'!$A$7:$A$143,'[1]2050Pop'!$D$7:$D$143)</f>
        <v>SSA</v>
      </c>
      <c r="C2273" s="127">
        <f>1000*_xlfn.XLOOKUP(A2273,'[1]2050Pop'!$A$7:$A$143,'[1]2050Pop'!$C$7:$C$143)</f>
        <v>4322</v>
      </c>
      <c r="D2273" s="126" t="s">
        <v>513</v>
      </c>
      <c r="E2273" s="128">
        <v>12.611000000000001</v>
      </c>
      <c r="F2273" s="129">
        <f t="shared" si="107"/>
        <v>5.4504742000000009E-2</v>
      </c>
      <c r="G2273" t="str">
        <f>_xlfn.XLOOKUP(D2273,'[1]2050 BAU Mapping to T &amp; C'!$A$3:$A$52,'[1]2050 BAU Mapping to T &amp; C'!$B$3:$B$52)</f>
        <v>Other veg</v>
      </c>
      <c r="H2273" s="129">
        <f>_xlfn.XLOOKUP(G2273,'[1]T&amp;C emissions for 2050 analysis'!$B$3:$B$23,'[1]T&amp;C emissions for 2050 analysis'!$C$3:$C$23)</f>
        <v>0.26766666666666666</v>
      </c>
      <c r="I2273" s="27">
        <f t="shared" si="105"/>
        <v>1.4589102608666669E-2</v>
      </c>
      <c r="J2273" s="129">
        <f t="shared" si="106"/>
        <v>3.3755443333333335</v>
      </c>
    </row>
    <row r="2274" spans="1:10" hidden="1" x14ac:dyDescent="0.35">
      <c r="A2274" s="126" t="s">
        <v>438</v>
      </c>
      <c r="B2274" t="str">
        <f>_xlfn.XLOOKUP(A2274,'[1]2050Pop'!$A$7:$A$143,'[1]2050Pop'!$D$7:$D$143)</f>
        <v>India/South Asia</v>
      </c>
      <c r="C2274" s="127">
        <f>1000*_xlfn.XLOOKUP(A2274,'[1]2050Pop'!$A$7:$A$143,'[1]2050Pop'!$C$7:$C$143)</f>
        <v>36159</v>
      </c>
      <c r="D2274" s="126" t="s">
        <v>513</v>
      </c>
      <c r="E2274" s="130">
        <v>47.36</v>
      </c>
      <c r="F2274" s="129">
        <f t="shared" si="107"/>
        <v>1.7124902399999999</v>
      </c>
      <c r="G2274" t="str">
        <f>_xlfn.XLOOKUP(D2274,'[1]2050 BAU Mapping to T &amp; C'!$A$3:$A$52,'[1]2050 BAU Mapping to T &amp; C'!$B$3:$B$52)</f>
        <v>Other veg</v>
      </c>
      <c r="H2274" s="129">
        <f>_xlfn.XLOOKUP(G2274,'[1]T&amp;C emissions for 2050 analysis'!$B$3:$B$23,'[1]T&amp;C emissions for 2050 analysis'!$C$3:$C$23)</f>
        <v>0.26766666666666666</v>
      </c>
      <c r="I2274" s="27">
        <f t="shared" si="105"/>
        <v>0.45837655423999996</v>
      </c>
      <c r="J2274" s="129">
        <f t="shared" si="106"/>
        <v>12.676693333333333</v>
      </c>
    </row>
    <row r="2275" spans="1:10" hidden="1" x14ac:dyDescent="0.35">
      <c r="A2275" s="126" t="s">
        <v>439</v>
      </c>
      <c r="B2275" t="str">
        <f>_xlfn.XLOOKUP(A2275,'[1]2050Pop'!$A$7:$A$143,'[1]2050Pop'!$D$7:$D$143)</f>
        <v>Euro/AU/NZ</v>
      </c>
      <c r="C2275" s="127">
        <f>1000*_xlfn.XLOOKUP(A2275,'[1]2050Pop'!$A$7:$A$143,'[1]2050Pop'!$C$7:$C$143)</f>
        <v>17602</v>
      </c>
      <c r="D2275" s="126" t="s">
        <v>513</v>
      </c>
      <c r="E2275" s="128">
        <v>42.962000000000003</v>
      </c>
      <c r="F2275" s="129">
        <f t="shared" si="107"/>
        <v>0.75621712400000007</v>
      </c>
      <c r="G2275" t="str">
        <f>_xlfn.XLOOKUP(D2275,'[1]2050 BAU Mapping to T &amp; C'!$A$3:$A$52,'[1]2050 BAU Mapping to T &amp; C'!$B$3:$B$52)</f>
        <v>Other veg</v>
      </c>
      <c r="H2275" s="129">
        <f>_xlfn.XLOOKUP(G2275,'[1]T&amp;C emissions for 2050 analysis'!$B$3:$B$23,'[1]T&amp;C emissions for 2050 analysis'!$C$3:$C$23)</f>
        <v>0.26766666666666666</v>
      </c>
      <c r="I2275" s="27">
        <f t="shared" si="105"/>
        <v>0.20241411685733335</v>
      </c>
      <c r="J2275" s="129">
        <f t="shared" si="106"/>
        <v>11.499495333333334</v>
      </c>
    </row>
    <row r="2276" spans="1:10" hidden="1" x14ac:dyDescent="0.35">
      <c r="A2276" s="126" t="s">
        <v>440</v>
      </c>
      <c r="B2276" t="str">
        <f>_xlfn.XLOOKUP(A2276,'[1]2050Pop'!$A$7:$A$143,'[1]2050Pop'!$D$7:$D$143)</f>
        <v>Euro/AU/NZ</v>
      </c>
      <c r="C2276" s="127">
        <f>1000*_xlfn.XLOOKUP(A2276,'[1]2050Pop'!$A$7:$A$143,'[1]2050Pop'!$C$7:$C$143)</f>
        <v>5607</v>
      </c>
      <c r="D2276" s="126" t="s">
        <v>513</v>
      </c>
      <c r="E2276" s="128">
        <v>31.471</v>
      </c>
      <c r="F2276" s="129">
        <f t="shared" si="107"/>
        <v>0.176457897</v>
      </c>
      <c r="G2276" t="str">
        <f>_xlfn.XLOOKUP(D2276,'[1]2050 BAU Mapping to T &amp; C'!$A$3:$A$52,'[1]2050 BAU Mapping to T &amp; C'!$B$3:$B$52)</f>
        <v>Other veg</v>
      </c>
      <c r="H2276" s="129">
        <f>_xlfn.XLOOKUP(G2276,'[1]T&amp;C emissions for 2050 analysis'!$B$3:$B$23,'[1]T&amp;C emissions for 2050 analysis'!$C$3:$C$23)</f>
        <v>0.26766666666666666</v>
      </c>
      <c r="I2276" s="27">
        <f t="shared" si="105"/>
        <v>4.7231897097E-2</v>
      </c>
      <c r="J2276" s="129">
        <f t="shared" si="106"/>
        <v>8.4237376666666659</v>
      </c>
    </row>
    <row r="2277" spans="1:10" hidden="1" x14ac:dyDescent="0.35">
      <c r="A2277" s="126" t="s">
        <v>482</v>
      </c>
      <c r="B2277" t="str">
        <f>_xlfn.XLOOKUP(A2277,'[1]2050Pop'!$A$7:$A$143,'[1]2050Pop'!$D$7:$D$143)</f>
        <v>SSA</v>
      </c>
      <c r="C2277" s="127">
        <f>1000*_xlfn.XLOOKUP(A2277,'[1]2050Pop'!$A$7:$A$143,'[1]2050Pop'!$C$7:$C$143)</f>
        <v>72238</v>
      </c>
      <c r="D2277" s="126" t="s">
        <v>513</v>
      </c>
      <c r="E2277" s="128">
        <v>4.7409999999999997</v>
      </c>
      <c r="F2277" s="129">
        <f t="shared" si="107"/>
        <v>0.34248035799999993</v>
      </c>
      <c r="G2277" t="str">
        <f>_xlfn.XLOOKUP(D2277,'[1]2050 BAU Mapping to T &amp; C'!$A$3:$A$52,'[1]2050 BAU Mapping to T &amp; C'!$B$3:$B$52)</f>
        <v>Other veg</v>
      </c>
      <c r="H2277" s="129">
        <f>_xlfn.XLOOKUP(G2277,'[1]T&amp;C emissions for 2050 analysis'!$B$3:$B$23,'[1]T&amp;C emissions for 2050 analysis'!$C$3:$C$23)</f>
        <v>0.26766666666666666</v>
      </c>
      <c r="I2277" s="27">
        <f t="shared" si="105"/>
        <v>9.1670575824666645E-2</v>
      </c>
      <c r="J2277" s="129">
        <f t="shared" si="106"/>
        <v>1.2690076666666665</v>
      </c>
    </row>
    <row r="2278" spans="1:10" hidden="1" x14ac:dyDescent="0.35">
      <c r="A2278" s="126" t="s">
        <v>491</v>
      </c>
      <c r="B2278" t="str">
        <f>_xlfn.XLOOKUP(A2278,'[1]2050Pop'!$A$7:$A$143,'[1]2050Pop'!$D$7:$D$143)</f>
        <v>SSA</v>
      </c>
      <c r="C2278" s="127">
        <f>1000*_xlfn.XLOOKUP(A2278,'[1]2050Pop'!$A$7:$A$143,'[1]2050Pop'!$C$7:$C$143)</f>
        <v>398508</v>
      </c>
      <c r="D2278" s="126" t="s">
        <v>513</v>
      </c>
      <c r="E2278" s="131">
        <v>49.2</v>
      </c>
      <c r="F2278" s="129">
        <f t="shared" si="107"/>
        <v>19.6065936</v>
      </c>
      <c r="G2278" t="str">
        <f>_xlfn.XLOOKUP(D2278,'[1]2050 BAU Mapping to T &amp; C'!$A$3:$A$52,'[1]2050 BAU Mapping to T &amp; C'!$B$3:$B$52)</f>
        <v>Other veg</v>
      </c>
      <c r="H2278" s="129">
        <f>_xlfn.XLOOKUP(G2278,'[1]T&amp;C emissions for 2050 analysis'!$B$3:$B$23,'[1]T&amp;C emissions for 2050 analysis'!$C$3:$C$23)</f>
        <v>0.26766666666666666</v>
      </c>
      <c r="I2278" s="27">
        <f t="shared" si="105"/>
        <v>5.2480315535999997</v>
      </c>
      <c r="J2278" s="129">
        <f t="shared" si="106"/>
        <v>13.1692</v>
      </c>
    </row>
    <row r="2279" spans="1:10" hidden="1" x14ac:dyDescent="0.35">
      <c r="A2279" s="126" t="s">
        <v>442</v>
      </c>
      <c r="B2279" t="str">
        <f>_xlfn.XLOOKUP(A2279,'[1]2050Pop'!$A$7:$A$143,'[1]2050Pop'!$D$7:$D$143)</f>
        <v>Euro/AU/NZ</v>
      </c>
      <c r="C2279" s="127">
        <f>1000*_xlfn.XLOOKUP(A2279,'[1]2050Pop'!$A$7:$A$143,'[1]2050Pop'!$C$7:$C$143)</f>
        <v>6658</v>
      </c>
      <c r="D2279" s="126" t="s">
        <v>513</v>
      </c>
      <c r="E2279" s="128">
        <v>31.117000000000001</v>
      </c>
      <c r="F2279" s="129">
        <f t="shared" si="107"/>
        <v>0.20717698600000001</v>
      </c>
      <c r="G2279" t="str">
        <f>_xlfn.XLOOKUP(D2279,'[1]2050 BAU Mapping to T &amp; C'!$A$3:$A$52,'[1]2050 BAU Mapping to T &amp; C'!$B$3:$B$52)</f>
        <v>Other veg</v>
      </c>
      <c r="H2279" s="129">
        <f>_xlfn.XLOOKUP(G2279,'[1]T&amp;C emissions for 2050 analysis'!$B$3:$B$23,'[1]T&amp;C emissions for 2050 analysis'!$C$3:$C$23)</f>
        <v>0.26766666666666666</v>
      </c>
      <c r="I2279" s="27">
        <f t="shared" si="105"/>
        <v>5.5454373252666667E-2</v>
      </c>
      <c r="J2279" s="129">
        <f t="shared" si="106"/>
        <v>8.3289836666666677</v>
      </c>
    </row>
    <row r="2280" spans="1:10" hidden="1" x14ac:dyDescent="0.35">
      <c r="A2280" s="126" t="s">
        <v>443</v>
      </c>
      <c r="B2280" t="str">
        <f>_xlfn.XLOOKUP(A2280,'[1]2050Pop'!$A$7:$A$143,'[1]2050Pop'!$D$7:$D$143)</f>
        <v>India/South Asia</v>
      </c>
      <c r="C2280" s="127">
        <f>1000*_xlfn.XLOOKUP(A2280,'[1]2050Pop'!$A$7:$A$143,'[1]2050Pop'!$C$7:$C$143)</f>
        <v>309640</v>
      </c>
      <c r="D2280" s="126" t="s">
        <v>513</v>
      </c>
      <c r="E2280" s="128">
        <v>18.053000000000001</v>
      </c>
      <c r="F2280" s="129">
        <f t="shared" si="107"/>
        <v>5.5899309199999996</v>
      </c>
      <c r="G2280" t="str">
        <f>_xlfn.XLOOKUP(D2280,'[1]2050 BAU Mapping to T &amp; C'!$A$3:$A$52,'[1]2050 BAU Mapping to T &amp; C'!$B$3:$B$52)</f>
        <v>Other veg</v>
      </c>
      <c r="H2280" s="129">
        <f>_xlfn.XLOOKUP(G2280,'[1]T&amp;C emissions for 2050 analysis'!$B$3:$B$23,'[1]T&amp;C emissions for 2050 analysis'!$C$3:$C$23)</f>
        <v>0.26766666666666666</v>
      </c>
      <c r="I2280" s="27">
        <f t="shared" si="105"/>
        <v>1.4962381762533332</v>
      </c>
      <c r="J2280" s="129">
        <f t="shared" si="106"/>
        <v>4.8321863333333335</v>
      </c>
    </row>
    <row r="2281" spans="1:10" hidden="1" x14ac:dyDescent="0.35">
      <c r="A2281" s="126" t="s">
        <v>444</v>
      </c>
      <c r="B2281" t="str">
        <f>_xlfn.XLOOKUP(A2281,'[1]2050Pop'!$A$7:$A$143,'[1]2050Pop'!$D$7:$D$143)</f>
        <v>LatAm &amp; RSA</v>
      </c>
      <c r="C2281" s="127">
        <f>1000*_xlfn.XLOOKUP(A2281,'[1]2050Pop'!$A$7:$A$143,'[1]2050Pop'!$C$7:$C$143)</f>
        <v>5599</v>
      </c>
      <c r="D2281" s="126" t="s">
        <v>513</v>
      </c>
      <c r="E2281" s="128">
        <v>5.4690000000000003</v>
      </c>
      <c r="F2281" s="129">
        <f t="shared" si="107"/>
        <v>3.0620931000000001E-2</v>
      </c>
      <c r="G2281" t="str">
        <f>_xlfn.XLOOKUP(D2281,'[1]2050 BAU Mapping to T &amp; C'!$A$3:$A$52,'[1]2050 BAU Mapping to T &amp; C'!$B$3:$B$52)</f>
        <v>Other veg</v>
      </c>
      <c r="H2281" s="129">
        <f>_xlfn.XLOOKUP(G2281,'[1]T&amp;C emissions for 2050 analysis'!$B$3:$B$23,'[1]T&amp;C emissions for 2050 analysis'!$C$3:$C$23)</f>
        <v>0.26766666666666666</v>
      </c>
      <c r="I2281" s="27">
        <f t="shared" si="105"/>
        <v>8.1962025310000006E-3</v>
      </c>
      <c r="J2281" s="129">
        <f t="shared" si="106"/>
        <v>1.4638690000000001</v>
      </c>
    </row>
    <row r="2282" spans="1:10" hidden="1" x14ac:dyDescent="0.35">
      <c r="A2282" s="126" t="s">
        <v>445</v>
      </c>
      <c r="B2282" t="str">
        <f>_xlfn.XLOOKUP(A2282,'[1]2050Pop'!$A$7:$A$143,'[1]2050Pop'!$D$7:$D$143)</f>
        <v>LatAm &amp; RSA</v>
      </c>
      <c r="C2282" s="127">
        <f>1000*_xlfn.XLOOKUP(A2282,'[1]2050Pop'!$A$7:$A$143,'[1]2050Pop'!$C$7:$C$143)</f>
        <v>8895</v>
      </c>
      <c r="D2282" s="126" t="s">
        <v>513</v>
      </c>
      <c r="E2282" s="128">
        <v>0.95399999999999996</v>
      </c>
      <c r="F2282" s="129">
        <f t="shared" si="107"/>
        <v>8.4858299999999998E-3</v>
      </c>
      <c r="G2282" t="str">
        <f>_xlfn.XLOOKUP(D2282,'[1]2050 BAU Mapping to T &amp; C'!$A$3:$A$52,'[1]2050 BAU Mapping to T &amp; C'!$B$3:$B$52)</f>
        <v>Other veg</v>
      </c>
      <c r="H2282" s="129">
        <f>_xlfn.XLOOKUP(G2282,'[1]T&amp;C emissions for 2050 analysis'!$B$3:$B$23,'[1]T&amp;C emissions for 2050 analysis'!$C$3:$C$23)</f>
        <v>0.26766666666666666</v>
      </c>
      <c r="I2282" s="27">
        <f t="shared" si="105"/>
        <v>2.2713738299999999E-3</v>
      </c>
      <c r="J2282" s="129">
        <f t="shared" si="106"/>
        <v>0.25535399999999997</v>
      </c>
    </row>
    <row r="2283" spans="1:10" hidden="1" x14ac:dyDescent="0.35">
      <c r="A2283" s="126" t="s">
        <v>446</v>
      </c>
      <c r="B2283" t="str">
        <f>_xlfn.XLOOKUP(A2283,'[1]2050Pop'!$A$7:$A$143,'[1]2050Pop'!$D$7:$D$143)</f>
        <v>LatAm &amp; RSA</v>
      </c>
      <c r="C2283" s="127">
        <f>1000*_xlfn.XLOOKUP(A2283,'[1]2050Pop'!$A$7:$A$143,'[1]2050Pop'!$C$7:$C$143)</f>
        <v>41899</v>
      </c>
      <c r="D2283" s="126" t="s">
        <v>513</v>
      </c>
      <c r="E2283" s="128">
        <v>36.344999999999999</v>
      </c>
      <c r="F2283" s="129">
        <f t="shared" si="107"/>
        <v>1.5228191550000001</v>
      </c>
      <c r="G2283" t="str">
        <f>_xlfn.XLOOKUP(D2283,'[1]2050 BAU Mapping to T &amp; C'!$A$3:$A$52,'[1]2050 BAU Mapping to T &amp; C'!$B$3:$B$52)</f>
        <v>Other veg</v>
      </c>
      <c r="H2283" s="129">
        <f>_xlfn.XLOOKUP(G2283,'[1]T&amp;C emissions for 2050 analysis'!$B$3:$B$23,'[1]T&amp;C emissions for 2050 analysis'!$C$3:$C$23)</f>
        <v>0.26766666666666666</v>
      </c>
      <c r="I2283" s="27">
        <f t="shared" si="105"/>
        <v>0.40760792715499999</v>
      </c>
      <c r="J2283" s="129">
        <f t="shared" si="106"/>
        <v>9.7283449999999991</v>
      </c>
    </row>
    <row r="2284" spans="1:10" hidden="1" x14ac:dyDescent="0.35">
      <c r="A2284" s="126" t="s">
        <v>447</v>
      </c>
      <c r="B2284" t="str">
        <f>_xlfn.XLOOKUP(A2284,'[1]2050Pop'!$A$7:$A$143,'[1]2050Pop'!$D$7:$D$143)</f>
        <v>APAC</v>
      </c>
      <c r="C2284" s="127">
        <f>1000*_xlfn.XLOOKUP(A2284,'[1]2050Pop'!$A$7:$A$143,'[1]2050Pop'!$C$7:$C$143)</f>
        <v>148260</v>
      </c>
      <c r="D2284" s="126" t="s">
        <v>513</v>
      </c>
      <c r="E2284" s="130">
        <v>9.49</v>
      </c>
      <c r="F2284" s="129">
        <f t="shared" si="107"/>
        <v>1.4069874000000002</v>
      </c>
      <c r="G2284" t="str">
        <f>_xlfn.XLOOKUP(D2284,'[1]2050 BAU Mapping to T &amp; C'!$A$3:$A$52,'[1]2050 BAU Mapping to T &amp; C'!$B$3:$B$52)</f>
        <v>Other veg</v>
      </c>
      <c r="H2284" s="129">
        <f>_xlfn.XLOOKUP(G2284,'[1]T&amp;C emissions for 2050 analysis'!$B$3:$B$23,'[1]T&amp;C emissions for 2050 analysis'!$C$3:$C$23)</f>
        <v>0.26766666666666666</v>
      </c>
      <c r="I2284" s="27">
        <f t="shared" si="105"/>
        <v>0.37660362740000003</v>
      </c>
      <c r="J2284" s="129">
        <f t="shared" si="106"/>
        <v>2.5401566666666668</v>
      </c>
    </row>
    <row r="2285" spans="1:10" hidden="1" x14ac:dyDescent="0.35">
      <c r="A2285" s="126" t="s">
        <v>448</v>
      </c>
      <c r="B2285" t="str">
        <f>_xlfn.XLOOKUP(A2285,'[1]2050Pop'!$A$7:$A$143,'[1]2050Pop'!$D$7:$D$143)</f>
        <v>Euro/AU/NZ</v>
      </c>
      <c r="C2285" s="127">
        <f>1000*_xlfn.XLOOKUP(A2285,'[1]2050Pop'!$A$7:$A$143,'[1]2050Pop'!$C$7:$C$143)</f>
        <v>33136</v>
      </c>
      <c r="D2285" s="126" t="s">
        <v>513</v>
      </c>
      <c r="E2285" s="128">
        <v>13.632999999999999</v>
      </c>
      <c r="F2285" s="129">
        <f t="shared" si="107"/>
        <v>0.45174308800000001</v>
      </c>
      <c r="G2285" t="str">
        <f>_xlfn.XLOOKUP(D2285,'[1]2050 BAU Mapping to T &amp; C'!$A$3:$A$52,'[1]2050 BAU Mapping to T &amp; C'!$B$3:$B$52)</f>
        <v>Other veg</v>
      </c>
      <c r="H2285" s="129">
        <f>_xlfn.XLOOKUP(G2285,'[1]T&amp;C emissions for 2050 analysis'!$B$3:$B$23,'[1]T&amp;C emissions for 2050 analysis'!$C$3:$C$23)</f>
        <v>0.26766666666666666</v>
      </c>
      <c r="I2285" s="27">
        <f t="shared" si="105"/>
        <v>0.12091656655466666</v>
      </c>
      <c r="J2285" s="129">
        <f t="shared" si="106"/>
        <v>3.6490996666666664</v>
      </c>
    </row>
    <row r="2286" spans="1:10" hidden="1" x14ac:dyDescent="0.35">
      <c r="A2286" s="126" t="s">
        <v>449</v>
      </c>
      <c r="B2286" t="str">
        <f>_xlfn.XLOOKUP(A2286,'[1]2050Pop'!$A$7:$A$143,'[1]2050Pop'!$D$7:$D$143)</f>
        <v>Euro/AU/NZ</v>
      </c>
      <c r="C2286" s="127">
        <f>1000*_xlfn.XLOOKUP(A2286,'[1]2050Pop'!$A$7:$A$143,'[1]2050Pop'!$C$7:$C$143)</f>
        <v>9216</v>
      </c>
      <c r="D2286" s="126" t="s">
        <v>513</v>
      </c>
      <c r="E2286" s="128">
        <v>19.943999999999999</v>
      </c>
      <c r="F2286" s="129">
        <f t="shared" si="107"/>
        <v>0.18380390399999999</v>
      </c>
      <c r="G2286" t="str">
        <f>_xlfn.XLOOKUP(D2286,'[1]2050 BAU Mapping to T &amp; C'!$A$3:$A$52,'[1]2050 BAU Mapping to T &amp; C'!$B$3:$B$52)</f>
        <v>Other veg</v>
      </c>
      <c r="H2286" s="129">
        <f>_xlfn.XLOOKUP(G2286,'[1]T&amp;C emissions for 2050 analysis'!$B$3:$B$23,'[1]T&amp;C emissions for 2050 analysis'!$C$3:$C$23)</f>
        <v>0.26766666666666666</v>
      </c>
      <c r="I2286" s="27">
        <f t="shared" si="105"/>
        <v>4.9198178303999994E-2</v>
      </c>
      <c r="J2286" s="129">
        <f t="shared" si="106"/>
        <v>5.3383439999999993</v>
      </c>
    </row>
    <row r="2287" spans="1:10" hidden="1" x14ac:dyDescent="0.35">
      <c r="A2287" s="126" t="s">
        <v>450</v>
      </c>
      <c r="B2287" t="str">
        <f>_xlfn.XLOOKUP(A2287,'[1]2050Pop'!$A$7:$A$143,'[1]2050Pop'!$D$7:$D$143)</f>
        <v>APAC</v>
      </c>
      <c r="C2287" s="127">
        <f>1000*_xlfn.XLOOKUP(A2287,'[1]2050Pop'!$A$7:$A$143,'[1]2050Pop'!$C$7:$C$143)</f>
        <v>50593</v>
      </c>
      <c r="D2287" s="126" t="s">
        <v>513</v>
      </c>
      <c r="E2287" s="128">
        <v>33.435000000000002</v>
      </c>
      <c r="F2287" s="129">
        <f t="shared" si="107"/>
        <v>1.6915769550000002</v>
      </c>
      <c r="G2287" t="str">
        <f>_xlfn.XLOOKUP(D2287,'[1]2050 BAU Mapping to T &amp; C'!$A$3:$A$52,'[1]2050 BAU Mapping to T &amp; C'!$B$3:$B$52)</f>
        <v>Other veg</v>
      </c>
      <c r="H2287" s="129">
        <f>_xlfn.XLOOKUP(G2287,'[1]T&amp;C emissions for 2050 analysis'!$B$3:$B$23,'[1]T&amp;C emissions for 2050 analysis'!$C$3:$C$23)</f>
        <v>0.26766666666666666</v>
      </c>
      <c r="I2287" s="27">
        <f t="shared" si="105"/>
        <v>0.45277876495500002</v>
      </c>
      <c r="J2287" s="129">
        <f t="shared" si="106"/>
        <v>8.9494350000000011</v>
      </c>
    </row>
    <row r="2288" spans="1:10" hidden="1" x14ac:dyDescent="0.35">
      <c r="A2288" s="126" t="s">
        <v>451</v>
      </c>
      <c r="B2288" t="str">
        <f>_xlfn.XLOOKUP(A2288,'[1]2050Pop'!$A$7:$A$143,'[1]2050Pop'!$D$7:$D$143)</f>
        <v>Euro/AU/NZ</v>
      </c>
      <c r="C2288" s="127">
        <f>1000*_xlfn.XLOOKUP(A2288,'[1]2050Pop'!$A$7:$A$143,'[1]2050Pop'!$C$7:$C$143)</f>
        <v>3243</v>
      </c>
      <c r="D2288" s="126" t="s">
        <v>513</v>
      </c>
      <c r="E2288" s="128">
        <v>12.426</v>
      </c>
      <c r="F2288" s="129">
        <f t="shared" si="107"/>
        <v>4.0297518000000004E-2</v>
      </c>
      <c r="G2288" t="str">
        <f>_xlfn.XLOOKUP(D2288,'[1]2050 BAU Mapping to T &amp; C'!$A$3:$A$52,'[1]2050 BAU Mapping to T &amp; C'!$B$3:$B$52)</f>
        <v>Other veg</v>
      </c>
      <c r="H2288" s="129">
        <f>_xlfn.XLOOKUP(G2288,'[1]T&amp;C emissions for 2050 analysis'!$B$3:$B$23,'[1]T&amp;C emissions for 2050 analysis'!$C$3:$C$23)</f>
        <v>0.26766666666666666</v>
      </c>
      <c r="I2288" s="27">
        <f t="shared" si="105"/>
        <v>1.0786302318000001E-2</v>
      </c>
      <c r="J2288" s="129">
        <f t="shared" si="106"/>
        <v>3.3260260000000001</v>
      </c>
    </row>
    <row r="2289" spans="1:10" hidden="1" x14ac:dyDescent="0.35">
      <c r="A2289" s="126" t="s">
        <v>452</v>
      </c>
      <c r="B2289" t="str">
        <f>_xlfn.XLOOKUP(A2289,'[1]2050Pop'!$A$7:$A$143,'[1]2050Pop'!$D$7:$D$143)</f>
        <v>SSA</v>
      </c>
      <c r="C2289" s="127">
        <f>1000*_xlfn.XLOOKUP(A2289,'[1]2050Pop'!$A$7:$A$143,'[1]2050Pop'!$C$7:$C$143)</f>
        <v>10732</v>
      </c>
      <c r="D2289" s="126" t="s">
        <v>513</v>
      </c>
      <c r="E2289" s="128">
        <v>0.94199999999999995</v>
      </c>
      <c r="F2289" s="129">
        <f t="shared" si="107"/>
        <v>1.0109544E-2</v>
      </c>
      <c r="G2289" t="str">
        <f>_xlfn.XLOOKUP(D2289,'[1]2050 BAU Mapping to T &amp; C'!$A$3:$A$52,'[1]2050 BAU Mapping to T &amp; C'!$B$3:$B$52)</f>
        <v>Other veg</v>
      </c>
      <c r="H2289" s="129">
        <f>_xlfn.XLOOKUP(G2289,'[1]T&amp;C emissions for 2050 analysis'!$B$3:$B$23,'[1]T&amp;C emissions for 2050 analysis'!$C$3:$C$23)</f>
        <v>0.26766666666666666</v>
      </c>
      <c r="I2289" s="27">
        <f t="shared" si="105"/>
        <v>2.7059879440000001E-3</v>
      </c>
      <c r="J2289" s="129">
        <f t="shared" si="106"/>
        <v>0.25214199999999998</v>
      </c>
    </row>
    <row r="2290" spans="1:10" hidden="1" x14ac:dyDescent="0.35">
      <c r="A2290" s="126" t="s">
        <v>453</v>
      </c>
      <c r="B2290" t="str">
        <f>_xlfn.XLOOKUP(A2290,'[1]2050Pop'!$A$7:$A$143,'[1]2050Pop'!$D$7:$D$143)</f>
        <v>Euro/AU/NZ</v>
      </c>
      <c r="C2290" s="127">
        <f>1000*_xlfn.XLOOKUP(A2290,'[1]2050Pop'!$A$7:$A$143,'[1]2050Pop'!$C$7:$C$143)</f>
        <v>15207</v>
      </c>
      <c r="D2290" s="126" t="s">
        <v>513</v>
      </c>
      <c r="E2290" s="128">
        <v>29.007000000000001</v>
      </c>
      <c r="F2290" s="129">
        <f t="shared" si="107"/>
        <v>0.44110944900000004</v>
      </c>
      <c r="G2290" t="str">
        <f>_xlfn.XLOOKUP(D2290,'[1]2050 BAU Mapping to T &amp; C'!$A$3:$A$52,'[1]2050 BAU Mapping to T &amp; C'!$B$3:$B$52)</f>
        <v>Other veg</v>
      </c>
      <c r="H2290" s="129">
        <f>_xlfn.XLOOKUP(G2290,'[1]T&amp;C emissions for 2050 analysis'!$B$3:$B$23,'[1]T&amp;C emissions for 2050 analysis'!$C$3:$C$23)</f>
        <v>0.26766666666666666</v>
      </c>
      <c r="I2290" s="27">
        <f t="shared" si="105"/>
        <v>0.11807029584900001</v>
      </c>
      <c r="J2290" s="129">
        <f t="shared" si="106"/>
        <v>7.7642070000000007</v>
      </c>
    </row>
    <row r="2291" spans="1:10" hidden="1" x14ac:dyDescent="0.35">
      <c r="A2291" s="126" t="s">
        <v>454</v>
      </c>
      <c r="B2291" t="str">
        <f>_xlfn.XLOOKUP(A2291,'[1]2050Pop'!$A$7:$A$143,'[1]2050Pop'!$D$7:$D$143)</f>
        <v>Euro/AU/NZ</v>
      </c>
      <c r="C2291" s="127">
        <f>1000*_xlfn.XLOOKUP(A2291,'[1]2050Pop'!$A$7:$A$143,'[1]2050Pop'!$C$7:$C$143)</f>
        <v>128598.99999999999</v>
      </c>
      <c r="D2291" s="126" t="s">
        <v>513</v>
      </c>
      <c r="E2291" s="130">
        <v>7.39</v>
      </c>
      <c r="F2291" s="129">
        <f t="shared" si="107"/>
        <v>0.95034660999999987</v>
      </c>
      <c r="G2291" t="str">
        <f>_xlfn.XLOOKUP(D2291,'[1]2050 BAU Mapping to T &amp; C'!$A$3:$A$52,'[1]2050 BAU Mapping to T &amp; C'!$B$3:$B$52)</f>
        <v>Other veg</v>
      </c>
      <c r="H2291" s="129">
        <f>_xlfn.XLOOKUP(G2291,'[1]T&amp;C emissions for 2050 analysis'!$B$3:$B$23,'[1]T&amp;C emissions for 2050 analysis'!$C$3:$C$23)</f>
        <v>0.26766666666666666</v>
      </c>
      <c r="I2291" s="27">
        <f t="shared" si="105"/>
        <v>0.25437610927666665</v>
      </c>
      <c r="J2291" s="129">
        <f t="shared" si="106"/>
        <v>1.9780566666666666</v>
      </c>
    </row>
    <row r="2292" spans="1:10" hidden="1" x14ac:dyDescent="0.35">
      <c r="A2292" s="126" t="s">
        <v>455</v>
      </c>
      <c r="B2292" t="str">
        <f>_xlfn.XLOOKUP(A2292,'[1]2050Pop'!$A$7:$A$143,'[1]2050Pop'!$D$7:$D$143)</f>
        <v>SSA</v>
      </c>
      <c r="C2292" s="127">
        <f>1000*_xlfn.XLOOKUP(A2292,'[1]2050Pop'!$A$7:$A$143,'[1]2050Pop'!$C$7:$C$143)</f>
        <v>21187</v>
      </c>
      <c r="D2292" s="126" t="s">
        <v>513</v>
      </c>
      <c r="E2292" s="128">
        <v>1.8440000000000001</v>
      </c>
      <c r="F2292" s="129">
        <f t="shared" si="107"/>
        <v>3.9068828E-2</v>
      </c>
      <c r="G2292" t="str">
        <f>_xlfn.XLOOKUP(D2292,'[1]2050 BAU Mapping to T &amp; C'!$A$3:$A$52,'[1]2050 BAU Mapping to T &amp; C'!$B$3:$B$52)</f>
        <v>Other veg</v>
      </c>
      <c r="H2292" s="129">
        <f>_xlfn.XLOOKUP(G2292,'[1]T&amp;C emissions for 2050 analysis'!$B$3:$B$23,'[1]T&amp;C emissions for 2050 analysis'!$C$3:$C$23)</f>
        <v>0.26766666666666666</v>
      </c>
      <c r="I2292" s="27">
        <f t="shared" si="105"/>
        <v>1.0457422961333333E-2</v>
      </c>
      <c r="J2292" s="129">
        <f t="shared" si="106"/>
        <v>0.49357733333333337</v>
      </c>
    </row>
    <row r="2293" spans="1:10" hidden="1" x14ac:dyDescent="0.35">
      <c r="A2293" s="126" t="s">
        <v>456</v>
      </c>
      <c r="B2293" t="str">
        <f>_xlfn.XLOOKUP(A2293,'[1]2050Pop'!$A$7:$A$143,'[1]2050Pop'!$D$7:$D$143)</f>
        <v>MENA</v>
      </c>
      <c r="C2293" s="127">
        <f>1000*_xlfn.XLOOKUP(A2293,'[1]2050Pop'!$A$7:$A$143,'[1]2050Pop'!$C$7:$C$143)</f>
        <v>46059</v>
      </c>
      <c r="D2293" s="126" t="s">
        <v>513</v>
      </c>
      <c r="E2293" s="128">
        <v>43.145000000000003</v>
      </c>
      <c r="F2293" s="129">
        <f t="shared" si="107"/>
        <v>1.9872155550000001</v>
      </c>
      <c r="G2293" t="str">
        <f>_xlfn.XLOOKUP(D2293,'[1]2050 BAU Mapping to T &amp; C'!$A$3:$A$52,'[1]2050 BAU Mapping to T &amp; C'!$B$3:$B$52)</f>
        <v>Other veg</v>
      </c>
      <c r="H2293" s="129">
        <f>_xlfn.XLOOKUP(G2293,'[1]T&amp;C emissions for 2050 analysis'!$B$3:$B$23,'[1]T&amp;C emissions for 2050 analysis'!$C$3:$C$23)</f>
        <v>0.26766666666666666</v>
      </c>
      <c r="I2293" s="27">
        <f t="shared" si="105"/>
        <v>0.53191136355500002</v>
      </c>
      <c r="J2293" s="129">
        <f t="shared" si="106"/>
        <v>11.548478333333334</v>
      </c>
    </row>
    <row r="2294" spans="1:10" hidden="1" x14ac:dyDescent="0.35">
      <c r="A2294" s="126" t="s">
        <v>457</v>
      </c>
      <c r="B2294" t="str">
        <f>_xlfn.XLOOKUP(A2294,'[1]2050Pop'!$A$7:$A$143,'[1]2050Pop'!$D$7:$D$143)</f>
        <v>SSA</v>
      </c>
      <c r="C2294" s="127">
        <f>1000*_xlfn.XLOOKUP(A2294,'[1]2050Pop'!$A$7:$A$143,'[1]2050Pop'!$C$7:$C$143)</f>
        <v>36223</v>
      </c>
      <c r="D2294" s="126" t="s">
        <v>513</v>
      </c>
      <c r="E2294" s="128">
        <v>9.0190000000000001</v>
      </c>
      <c r="F2294" s="129">
        <f t="shared" si="107"/>
        <v>0.32669523700000003</v>
      </c>
      <c r="G2294" t="str">
        <f>_xlfn.XLOOKUP(D2294,'[1]2050 BAU Mapping to T &amp; C'!$A$3:$A$52,'[1]2050 BAU Mapping to T &amp; C'!$B$3:$B$52)</f>
        <v>Other veg</v>
      </c>
      <c r="H2294" s="129">
        <f>_xlfn.XLOOKUP(G2294,'[1]T&amp;C emissions for 2050 analysis'!$B$3:$B$23,'[1]T&amp;C emissions for 2050 analysis'!$C$3:$C$23)</f>
        <v>0.26766666666666666</v>
      </c>
      <c r="I2294" s="27">
        <f t="shared" si="105"/>
        <v>8.744542510366668E-2</v>
      </c>
      <c r="J2294" s="129">
        <f t="shared" si="106"/>
        <v>2.4140856666666668</v>
      </c>
    </row>
    <row r="2295" spans="1:10" hidden="1" x14ac:dyDescent="0.35">
      <c r="A2295" s="126" t="s">
        <v>458</v>
      </c>
      <c r="B2295" t="str">
        <f>_xlfn.XLOOKUP(A2295,'[1]2050Pop'!$A$7:$A$143,'[1]2050Pop'!$D$7:$D$143)</f>
        <v>Euro/AU/NZ</v>
      </c>
      <c r="C2295" s="127">
        <f>1000*_xlfn.XLOOKUP(A2295,'[1]2050Pop'!$A$7:$A$143,'[1]2050Pop'!$C$7:$C$143)</f>
        <v>7331</v>
      </c>
      <c r="D2295" s="126" t="s">
        <v>513</v>
      </c>
      <c r="E2295" s="128">
        <v>19.452000000000002</v>
      </c>
      <c r="F2295" s="129">
        <f t="shared" si="107"/>
        <v>0.14260261200000002</v>
      </c>
      <c r="G2295" t="str">
        <f>_xlfn.XLOOKUP(D2295,'[1]2050 BAU Mapping to T &amp; C'!$A$3:$A$52,'[1]2050 BAU Mapping to T &amp; C'!$B$3:$B$52)</f>
        <v>Other veg</v>
      </c>
      <c r="H2295" s="129">
        <f>_xlfn.XLOOKUP(G2295,'[1]T&amp;C emissions for 2050 analysis'!$B$3:$B$23,'[1]T&amp;C emissions for 2050 analysis'!$C$3:$C$23)</f>
        <v>0.26766666666666666</v>
      </c>
      <c r="I2295" s="27">
        <f t="shared" si="105"/>
        <v>3.8169965812000002E-2</v>
      </c>
      <c r="J2295" s="129">
        <f t="shared" si="106"/>
        <v>5.2066520000000001</v>
      </c>
    </row>
    <row r="2296" spans="1:10" hidden="1" x14ac:dyDescent="0.35">
      <c r="A2296" s="126" t="s">
        <v>492</v>
      </c>
      <c r="B2296" t="str">
        <f>_xlfn.XLOOKUP(A2296,'[1]2050Pop'!$A$7:$A$143,'[1]2050Pop'!$D$7:$D$143)</f>
        <v>SSA</v>
      </c>
      <c r="C2296" s="127">
        <f>1000*_xlfn.XLOOKUP(A2296,'[1]2050Pop'!$A$7:$A$143,'[1]2050Pop'!$C$7:$C$143)</f>
        <v>11392</v>
      </c>
      <c r="D2296" s="126" t="s">
        <v>513</v>
      </c>
      <c r="E2296" s="128">
        <v>19.308</v>
      </c>
      <c r="F2296" s="129">
        <f t="shared" si="107"/>
        <v>0.21995673600000001</v>
      </c>
      <c r="G2296" t="str">
        <f>_xlfn.XLOOKUP(D2296,'[1]2050 BAU Mapping to T &amp; C'!$A$3:$A$52,'[1]2050 BAU Mapping to T &amp; C'!$B$3:$B$52)</f>
        <v>Other veg</v>
      </c>
      <c r="H2296" s="129">
        <f>_xlfn.XLOOKUP(G2296,'[1]T&amp;C emissions for 2050 analysis'!$B$3:$B$23,'[1]T&amp;C emissions for 2050 analysis'!$C$3:$C$23)</f>
        <v>0.26766666666666666</v>
      </c>
      <c r="I2296" s="27">
        <f t="shared" si="105"/>
        <v>5.8875086336000006E-2</v>
      </c>
      <c r="J2296" s="129">
        <f t="shared" si="106"/>
        <v>5.1681080000000001</v>
      </c>
    </row>
    <row r="2297" spans="1:10" hidden="1" x14ac:dyDescent="0.35">
      <c r="A2297" s="126" t="s">
        <v>459</v>
      </c>
      <c r="B2297" t="str">
        <f>_xlfn.XLOOKUP(A2297,'[1]2050Pop'!$A$7:$A$143,'[1]2050Pop'!$D$7:$D$143)</f>
        <v>Euro/AU/NZ</v>
      </c>
      <c r="C2297" s="127">
        <f>1000*_xlfn.XLOOKUP(A2297,'[1]2050Pop'!$A$7:$A$143,'[1]2050Pop'!$C$7:$C$143)</f>
        <v>4892</v>
      </c>
      <c r="D2297" s="126" t="s">
        <v>513</v>
      </c>
      <c r="E2297" s="128">
        <v>19.948</v>
      </c>
      <c r="F2297" s="129">
        <f t="shared" si="107"/>
        <v>9.7585616000000014E-2</v>
      </c>
      <c r="G2297" t="str">
        <f>_xlfn.XLOOKUP(D2297,'[1]2050 BAU Mapping to T &amp; C'!$A$3:$A$52,'[1]2050 BAU Mapping to T &amp; C'!$B$3:$B$52)</f>
        <v>Other veg</v>
      </c>
      <c r="H2297" s="129">
        <f>_xlfn.XLOOKUP(G2297,'[1]T&amp;C emissions for 2050 analysis'!$B$3:$B$23,'[1]T&amp;C emissions for 2050 analysis'!$C$3:$C$23)</f>
        <v>0.26766666666666666</v>
      </c>
      <c r="I2297" s="27">
        <f t="shared" si="105"/>
        <v>2.6120416549333336E-2</v>
      </c>
      <c r="J2297" s="129">
        <f t="shared" si="106"/>
        <v>5.3394146666666664</v>
      </c>
    </row>
    <row r="2298" spans="1:10" hidden="1" x14ac:dyDescent="0.35">
      <c r="A2298" s="126" t="s">
        <v>460</v>
      </c>
      <c r="B2298" t="str">
        <f>_xlfn.XLOOKUP(A2298,'[1]2050Pop'!$A$7:$A$143,'[1]2050Pop'!$D$7:$D$143)</f>
        <v>LatAm &amp; RSA</v>
      </c>
      <c r="C2298" s="127">
        <f>1000*_xlfn.XLOOKUP(A2298,'[1]2050Pop'!$A$7:$A$143,'[1]2050Pop'!$C$7:$C$143)</f>
        <v>65540</v>
      </c>
      <c r="D2298" s="126" t="s">
        <v>513</v>
      </c>
      <c r="E2298" s="128">
        <v>6.0620000000000003</v>
      </c>
      <c r="F2298" s="129">
        <f t="shared" si="107"/>
        <v>0.39730348000000004</v>
      </c>
      <c r="G2298" t="str">
        <f>_xlfn.XLOOKUP(D2298,'[1]2050 BAU Mapping to T &amp; C'!$A$3:$A$52,'[1]2050 BAU Mapping to T &amp; C'!$B$3:$B$52)</f>
        <v>Other veg</v>
      </c>
      <c r="H2298" s="129">
        <f>_xlfn.XLOOKUP(G2298,'[1]T&amp;C emissions for 2050 analysis'!$B$3:$B$23,'[1]T&amp;C emissions for 2050 analysis'!$C$3:$C$23)</f>
        <v>0.26766666666666666</v>
      </c>
      <c r="I2298" s="27">
        <f t="shared" si="105"/>
        <v>0.10634489814666667</v>
      </c>
      <c r="J2298" s="129">
        <f t="shared" si="106"/>
        <v>1.6225953333333334</v>
      </c>
    </row>
    <row r="2299" spans="1:10" hidden="1" x14ac:dyDescent="0.35">
      <c r="A2299" s="126" t="s">
        <v>461</v>
      </c>
      <c r="B2299" t="str">
        <f>_xlfn.XLOOKUP(A2299,'[1]2050Pop'!$A$7:$A$143,'[1]2050Pop'!$D$7:$D$143)</f>
        <v>Euro/AU/NZ</v>
      </c>
      <c r="C2299" s="127">
        <f>1000*_xlfn.XLOOKUP(A2299,'[1]2050Pop'!$A$7:$A$143,'[1]2050Pop'!$C$7:$C$143)</f>
        <v>44840</v>
      </c>
      <c r="D2299" s="126" t="s">
        <v>513</v>
      </c>
      <c r="E2299" s="128">
        <v>33.545000000000002</v>
      </c>
      <c r="F2299" s="129">
        <f t="shared" si="107"/>
        <v>1.5041578</v>
      </c>
      <c r="G2299" t="str">
        <f>_xlfn.XLOOKUP(D2299,'[1]2050 BAU Mapping to T &amp; C'!$A$3:$A$52,'[1]2050 BAU Mapping to T &amp; C'!$B$3:$B$52)</f>
        <v>Other veg</v>
      </c>
      <c r="H2299" s="129">
        <f>_xlfn.XLOOKUP(G2299,'[1]T&amp;C emissions for 2050 analysis'!$B$3:$B$23,'[1]T&amp;C emissions for 2050 analysis'!$C$3:$C$23)</f>
        <v>0.26766666666666666</v>
      </c>
      <c r="I2299" s="27">
        <f t="shared" si="105"/>
        <v>0.40261290446666664</v>
      </c>
      <c r="J2299" s="129">
        <f t="shared" si="106"/>
        <v>8.9788783333333342</v>
      </c>
    </row>
    <row r="2300" spans="1:10" hidden="1" x14ac:dyDescent="0.35">
      <c r="A2300" s="126" t="s">
        <v>493</v>
      </c>
      <c r="B2300" t="str">
        <f>_xlfn.XLOOKUP(A2300,'[1]2050Pop'!$A$7:$A$143,'[1]2050Pop'!$D$7:$D$143)</f>
        <v>India/South Asia</v>
      </c>
      <c r="C2300" s="127">
        <f>1000*_xlfn.XLOOKUP(A2300,'[1]2050Pop'!$A$7:$A$143,'[1]2050Pop'!$C$7:$C$143)</f>
        <v>20836</v>
      </c>
      <c r="D2300" s="126" t="s">
        <v>513</v>
      </c>
      <c r="E2300" s="128">
        <v>46.500999999999998</v>
      </c>
      <c r="F2300" s="129">
        <f t="shared" si="107"/>
        <v>0.96889483599999993</v>
      </c>
      <c r="G2300" t="str">
        <f>_xlfn.XLOOKUP(D2300,'[1]2050 BAU Mapping to T &amp; C'!$A$3:$A$52,'[1]2050 BAU Mapping to T &amp; C'!$B$3:$B$52)</f>
        <v>Other veg</v>
      </c>
      <c r="H2300" s="129">
        <f>_xlfn.XLOOKUP(G2300,'[1]T&amp;C emissions for 2050 analysis'!$B$3:$B$23,'[1]T&amp;C emissions for 2050 analysis'!$C$3:$C$23)</f>
        <v>0.26766666666666666</v>
      </c>
      <c r="I2300" s="27">
        <f t="shared" si="105"/>
        <v>0.25934085110266664</v>
      </c>
      <c r="J2300" s="129">
        <f t="shared" si="106"/>
        <v>12.446767666666666</v>
      </c>
    </row>
    <row r="2301" spans="1:10" hidden="1" x14ac:dyDescent="0.35">
      <c r="A2301" s="126" t="s">
        <v>462</v>
      </c>
      <c r="B2301" t="str">
        <f>_xlfn.XLOOKUP(A2301,'[1]2050Pop'!$A$7:$A$143,'[1]2050Pop'!$D$7:$D$143)</f>
        <v>LatAm &amp; RSA</v>
      </c>
      <c r="C2301" s="127">
        <f>1000*_xlfn.XLOOKUP(A2301,'[1]2050Pop'!$A$7:$A$143,'[1]2050Pop'!$C$7:$C$143)</f>
        <v>624</v>
      </c>
      <c r="D2301" s="126" t="s">
        <v>513</v>
      </c>
      <c r="E2301" s="128">
        <v>5.3019999999999996</v>
      </c>
      <c r="F2301" s="129">
        <f t="shared" si="107"/>
        <v>3.3084479999999999E-3</v>
      </c>
      <c r="G2301" t="str">
        <f>_xlfn.XLOOKUP(D2301,'[1]2050 BAU Mapping to T &amp; C'!$A$3:$A$52,'[1]2050 BAU Mapping to T &amp; C'!$B$3:$B$52)</f>
        <v>Other veg</v>
      </c>
      <c r="H2301" s="129">
        <f>_xlfn.XLOOKUP(G2301,'[1]T&amp;C emissions for 2050 analysis'!$B$3:$B$23,'[1]T&amp;C emissions for 2050 analysis'!$C$3:$C$23)</f>
        <v>0.26766666666666666</v>
      </c>
      <c r="I2301" s="27">
        <f t="shared" si="105"/>
        <v>8.8556124799999997E-4</v>
      </c>
      <c r="J2301" s="129">
        <f t="shared" si="106"/>
        <v>1.4191686666666665</v>
      </c>
    </row>
    <row r="2302" spans="1:10" hidden="1" x14ac:dyDescent="0.35">
      <c r="A2302" s="126" t="s">
        <v>463</v>
      </c>
      <c r="B2302" t="str">
        <f>_xlfn.XLOOKUP(A2302,'[1]2050Pop'!$A$7:$A$143,'[1]2050Pop'!$D$7:$D$143)</f>
        <v>SSA</v>
      </c>
      <c r="C2302" s="127">
        <f>1000*_xlfn.XLOOKUP(A2302,'[1]2050Pop'!$A$7:$A$143,'[1]2050Pop'!$C$7:$C$143)</f>
        <v>1792</v>
      </c>
      <c r="D2302" s="126" t="s">
        <v>513</v>
      </c>
      <c r="E2302" s="128">
        <v>21.968</v>
      </c>
      <c r="F2302" s="129">
        <f t="shared" si="107"/>
        <v>3.9366656E-2</v>
      </c>
      <c r="G2302" t="str">
        <f>_xlfn.XLOOKUP(D2302,'[1]2050 BAU Mapping to T &amp; C'!$A$3:$A$52,'[1]2050 BAU Mapping to T &amp; C'!$B$3:$B$52)</f>
        <v>Other veg</v>
      </c>
      <c r="H2302" s="129">
        <f>_xlfn.XLOOKUP(G2302,'[1]T&amp;C emissions for 2050 analysis'!$B$3:$B$23,'[1]T&amp;C emissions for 2050 analysis'!$C$3:$C$23)</f>
        <v>0.26766666666666666</v>
      </c>
      <c r="I2302" s="27">
        <f t="shared" si="105"/>
        <v>1.0537141589333334E-2</v>
      </c>
      <c r="J2302" s="129">
        <f t="shared" si="106"/>
        <v>5.8801013333333332</v>
      </c>
    </row>
    <row r="2303" spans="1:10" hidden="1" x14ac:dyDescent="0.35">
      <c r="A2303" s="126" t="s">
        <v>464</v>
      </c>
      <c r="B2303" t="str">
        <f>_xlfn.XLOOKUP(A2303,'[1]2050Pop'!$A$7:$A$143,'[1]2050Pop'!$D$7:$D$143)</f>
        <v>Euro/AU/NZ</v>
      </c>
      <c r="C2303" s="127">
        <f>1000*_xlfn.XLOOKUP(A2303,'[1]2050Pop'!$A$7:$A$143,'[1]2050Pop'!$C$7:$C$143)</f>
        <v>11881</v>
      </c>
      <c r="D2303" s="126" t="s">
        <v>513</v>
      </c>
      <c r="E2303" s="128">
        <v>33.701999999999998</v>
      </c>
      <c r="F2303" s="129">
        <f t="shared" si="107"/>
        <v>0.400413462</v>
      </c>
      <c r="G2303" t="str">
        <f>_xlfn.XLOOKUP(D2303,'[1]2050 BAU Mapping to T &amp; C'!$A$3:$A$52,'[1]2050 BAU Mapping to T &amp; C'!$B$3:$B$52)</f>
        <v>Other veg</v>
      </c>
      <c r="H2303" s="129">
        <f>_xlfn.XLOOKUP(G2303,'[1]T&amp;C emissions for 2050 analysis'!$B$3:$B$23,'[1]T&amp;C emissions for 2050 analysis'!$C$3:$C$23)</f>
        <v>0.26766666666666666</v>
      </c>
      <c r="I2303" s="27">
        <f t="shared" si="105"/>
        <v>0.10717733666199999</v>
      </c>
      <c r="J2303" s="129">
        <f t="shared" si="106"/>
        <v>9.0209019999999995</v>
      </c>
    </row>
    <row r="2304" spans="1:10" hidden="1" x14ac:dyDescent="0.35">
      <c r="A2304" s="126" t="s">
        <v>483</v>
      </c>
      <c r="B2304" t="str">
        <f>_xlfn.XLOOKUP(A2304,'[1]2050Pop'!$A$7:$A$143,'[1]2050Pop'!$D$7:$D$143)</f>
        <v>APAC</v>
      </c>
      <c r="C2304" s="127">
        <f>1000*_xlfn.XLOOKUP(A2304,'[1]2050Pop'!$A$7:$A$143,'[1]2050Pop'!$C$7:$C$143)</f>
        <v>14288</v>
      </c>
      <c r="D2304" s="126" t="s">
        <v>513</v>
      </c>
      <c r="E2304" s="128">
        <v>4.923</v>
      </c>
      <c r="F2304" s="129">
        <f t="shared" si="107"/>
        <v>7.0339824000000009E-2</v>
      </c>
      <c r="G2304" t="str">
        <f>_xlfn.XLOOKUP(D2304,'[1]2050 BAU Mapping to T &amp; C'!$A$3:$A$52,'[1]2050 BAU Mapping to T &amp; C'!$B$3:$B$52)</f>
        <v>Other veg</v>
      </c>
      <c r="H2304" s="129">
        <f>_xlfn.XLOOKUP(G2304,'[1]T&amp;C emissions for 2050 analysis'!$B$3:$B$23,'[1]T&amp;C emissions for 2050 analysis'!$C$3:$C$23)</f>
        <v>0.26766666666666666</v>
      </c>
      <c r="I2304" s="27">
        <f t="shared" si="105"/>
        <v>1.8827626224000003E-2</v>
      </c>
      <c r="J2304" s="129">
        <f t="shared" si="106"/>
        <v>1.317723</v>
      </c>
    </row>
    <row r="2305" spans="1:10" hidden="1" x14ac:dyDescent="0.35">
      <c r="A2305" s="126" t="s">
        <v>465</v>
      </c>
      <c r="B2305" t="str">
        <f>_xlfn.XLOOKUP(A2305,'[1]2050Pop'!$A$7:$A$143,'[1]2050Pop'!$D$7:$D$143)</f>
        <v>APAC</v>
      </c>
      <c r="C2305" s="127">
        <f>1000*_xlfn.XLOOKUP(A2305,'[1]2050Pop'!$A$7:$A$143,'[1]2050Pop'!$C$7:$C$143)</f>
        <v>62452</v>
      </c>
      <c r="D2305" s="126" t="s">
        <v>513</v>
      </c>
      <c r="E2305" s="128">
        <v>42.643000000000001</v>
      </c>
      <c r="F2305" s="129">
        <f t="shared" si="107"/>
        <v>2.6631406360000001</v>
      </c>
      <c r="G2305" t="str">
        <f>_xlfn.XLOOKUP(D2305,'[1]2050 BAU Mapping to T &amp; C'!$A$3:$A$52,'[1]2050 BAU Mapping to T &amp; C'!$B$3:$B$52)</f>
        <v>Other veg</v>
      </c>
      <c r="H2305" s="129">
        <f>_xlfn.XLOOKUP(G2305,'[1]T&amp;C emissions for 2050 analysis'!$B$3:$B$23,'[1]T&amp;C emissions for 2050 analysis'!$C$3:$C$23)</f>
        <v>0.26766666666666666</v>
      </c>
      <c r="I2305" s="27">
        <f t="shared" si="105"/>
        <v>0.7128339769026667</v>
      </c>
      <c r="J2305" s="129">
        <f t="shared" si="106"/>
        <v>11.414109666666667</v>
      </c>
    </row>
    <row r="2306" spans="1:10" hidden="1" x14ac:dyDescent="0.35">
      <c r="A2306" s="126" t="s">
        <v>466</v>
      </c>
      <c r="B2306" t="str">
        <f>_xlfn.XLOOKUP(A2306,'[1]2050Pop'!$A$7:$A$143,'[1]2050Pop'!$D$7:$D$143)</f>
        <v>SSA</v>
      </c>
      <c r="C2306" s="127">
        <f>1000*_xlfn.XLOOKUP(A2306,'[1]2050Pop'!$A$7:$A$143,'[1]2050Pop'!$C$7:$C$143)</f>
        <v>15681</v>
      </c>
      <c r="D2306" s="126" t="s">
        <v>513</v>
      </c>
      <c r="E2306" s="128">
        <v>6.024</v>
      </c>
      <c r="F2306" s="129">
        <f t="shared" si="107"/>
        <v>9.4462344000000004E-2</v>
      </c>
      <c r="G2306" t="str">
        <f>_xlfn.XLOOKUP(D2306,'[1]2050 BAU Mapping to T &amp; C'!$A$3:$A$52,'[1]2050 BAU Mapping to T &amp; C'!$B$3:$B$52)</f>
        <v>Other veg</v>
      </c>
      <c r="H2306" s="129">
        <f>_xlfn.XLOOKUP(G2306,'[1]T&amp;C emissions for 2050 analysis'!$B$3:$B$23,'[1]T&amp;C emissions for 2050 analysis'!$C$3:$C$23)</f>
        <v>0.26766666666666666</v>
      </c>
      <c r="I2306" s="27">
        <f t="shared" si="105"/>
        <v>2.5284420744000002E-2</v>
      </c>
      <c r="J2306" s="129">
        <f t="shared" si="106"/>
        <v>1.6124240000000001</v>
      </c>
    </row>
    <row r="2307" spans="1:10" hidden="1" x14ac:dyDescent="0.35">
      <c r="A2307" s="126" t="s">
        <v>467</v>
      </c>
      <c r="B2307" t="str">
        <f>_xlfn.XLOOKUP(A2307,'[1]2050Pop'!$A$7:$A$143,'[1]2050Pop'!$D$7:$D$143)</f>
        <v>LatAm &amp; RSA</v>
      </c>
      <c r="C2307" s="127">
        <f>1000*_xlfn.XLOOKUP(A2307,'[1]2050Pop'!$A$7:$A$143,'[1]2050Pop'!$C$7:$C$143)</f>
        <v>1291</v>
      </c>
      <c r="D2307" s="126" t="s">
        <v>513</v>
      </c>
      <c r="E2307" s="128">
        <v>33.814999999999998</v>
      </c>
      <c r="F2307" s="129">
        <f t="shared" si="107"/>
        <v>4.3655164999999996E-2</v>
      </c>
      <c r="G2307" t="str">
        <f>_xlfn.XLOOKUP(D2307,'[1]2050 BAU Mapping to T &amp; C'!$A$3:$A$52,'[1]2050 BAU Mapping to T &amp; C'!$B$3:$B$52)</f>
        <v>Other veg</v>
      </c>
      <c r="H2307" s="129">
        <f>_xlfn.XLOOKUP(G2307,'[1]T&amp;C emissions for 2050 analysis'!$B$3:$B$23,'[1]T&amp;C emissions for 2050 analysis'!$C$3:$C$23)</f>
        <v>0.26766666666666666</v>
      </c>
      <c r="I2307" s="27">
        <f t="shared" si="105"/>
        <v>1.1685032498333333E-2</v>
      </c>
      <c r="J2307" s="129">
        <f t="shared" si="106"/>
        <v>9.051148333333332</v>
      </c>
    </row>
    <row r="2308" spans="1:10" hidden="1" x14ac:dyDescent="0.35">
      <c r="A2308" s="126" t="s">
        <v>468</v>
      </c>
      <c r="B2308" t="str">
        <f>_xlfn.XLOOKUP(A2308,'[1]2050Pop'!$A$7:$A$143,'[1]2050Pop'!$D$7:$D$143)</f>
        <v>MENA</v>
      </c>
      <c r="C2308" s="127">
        <f>1000*_xlfn.XLOOKUP(A2308,'[1]2050Pop'!$A$7:$A$143,'[1]2050Pop'!$C$7:$C$143)</f>
        <v>13476</v>
      </c>
      <c r="D2308" s="126" t="s">
        <v>513</v>
      </c>
      <c r="E2308" s="131">
        <v>64.8</v>
      </c>
      <c r="F2308" s="129">
        <f t="shared" si="107"/>
        <v>0.87324479999999993</v>
      </c>
      <c r="G2308" t="str">
        <f>_xlfn.XLOOKUP(D2308,'[1]2050 BAU Mapping to T &amp; C'!$A$3:$A$52,'[1]2050 BAU Mapping to T &amp; C'!$B$3:$B$52)</f>
        <v>Other veg</v>
      </c>
      <c r="H2308" s="129">
        <f>_xlfn.XLOOKUP(G2308,'[1]T&amp;C emissions for 2050 analysis'!$B$3:$B$23,'[1]T&amp;C emissions for 2050 analysis'!$C$3:$C$23)</f>
        <v>0.26766666666666666</v>
      </c>
      <c r="I2308" s="27">
        <f t="shared" ref="I2308:I2371" si="108">F2308*H2308</f>
        <v>0.23373852479999999</v>
      </c>
      <c r="J2308" s="129">
        <f t="shared" ref="J2308:J2371" si="109">E2308*H2308</f>
        <v>17.344799999999999</v>
      </c>
    </row>
    <row r="2309" spans="1:10" hidden="1" x14ac:dyDescent="0.35">
      <c r="A2309" s="126" t="s">
        <v>469</v>
      </c>
      <c r="B2309" t="str">
        <f>_xlfn.XLOOKUP(A2309,'[1]2050Pop'!$A$7:$A$143,'[1]2050Pop'!$D$7:$D$143)</f>
        <v>MENA</v>
      </c>
      <c r="C2309" s="127">
        <f>1000*_xlfn.XLOOKUP(A2309,'[1]2050Pop'!$A$7:$A$143,'[1]2050Pop'!$C$7:$C$143)</f>
        <v>95819</v>
      </c>
      <c r="D2309" s="126" t="s">
        <v>513</v>
      </c>
      <c r="E2309" s="128">
        <v>68.813999999999993</v>
      </c>
      <c r="F2309" s="129">
        <f t="shared" ref="F2309:F2372" si="110">C2309*E2309/1000000</f>
        <v>6.5936886659999994</v>
      </c>
      <c r="G2309" t="str">
        <f>_xlfn.XLOOKUP(D2309,'[1]2050 BAU Mapping to T &amp; C'!$A$3:$A$52,'[1]2050 BAU Mapping to T &amp; C'!$B$3:$B$52)</f>
        <v>Other veg</v>
      </c>
      <c r="H2309" s="129">
        <f>_xlfn.XLOOKUP(G2309,'[1]T&amp;C emissions for 2050 analysis'!$B$3:$B$23,'[1]T&amp;C emissions for 2050 analysis'!$C$3:$C$23)</f>
        <v>0.26766666666666666</v>
      </c>
      <c r="I2309" s="27">
        <f t="shared" si="108"/>
        <v>1.7649106662659999</v>
      </c>
      <c r="J2309" s="129">
        <f t="shared" si="109"/>
        <v>18.419213999999997</v>
      </c>
    </row>
    <row r="2310" spans="1:10" hidden="1" x14ac:dyDescent="0.35">
      <c r="A2310" s="126" t="s">
        <v>484</v>
      </c>
      <c r="B2310" t="str">
        <f>_xlfn.XLOOKUP(A2310,'[1]2050Pop'!$A$7:$A$143,'[1]2050Pop'!$D$7:$D$143)</f>
        <v>APAC</v>
      </c>
      <c r="C2310" s="127">
        <f>1000*_xlfn.XLOOKUP(A2310,'[1]2050Pop'!$A$7:$A$143,'[1]2050Pop'!$C$7:$C$143)</f>
        <v>6555</v>
      </c>
      <c r="D2310" s="126" t="s">
        <v>513</v>
      </c>
      <c r="E2310" s="128">
        <v>2.0579999999999998</v>
      </c>
      <c r="F2310" s="129">
        <f t="shared" si="110"/>
        <v>1.3490189999999999E-2</v>
      </c>
      <c r="G2310" t="str">
        <f>_xlfn.XLOOKUP(D2310,'[1]2050 BAU Mapping to T &amp; C'!$A$3:$A$52,'[1]2050 BAU Mapping to T &amp; C'!$B$3:$B$52)</f>
        <v>Other veg</v>
      </c>
      <c r="H2310" s="129">
        <f>_xlfn.XLOOKUP(G2310,'[1]T&amp;C emissions for 2050 analysis'!$B$3:$B$23,'[1]T&amp;C emissions for 2050 analysis'!$C$3:$C$23)</f>
        <v>0.26766666666666666</v>
      </c>
      <c r="I2310" s="27">
        <f t="shared" si="108"/>
        <v>3.6108741899999997E-3</v>
      </c>
      <c r="J2310" s="129">
        <f t="shared" si="109"/>
        <v>0.55085799999999996</v>
      </c>
    </row>
    <row r="2311" spans="1:10" hidden="1" x14ac:dyDescent="0.35">
      <c r="A2311" s="126" t="s">
        <v>470</v>
      </c>
      <c r="B2311" t="str">
        <f>_xlfn.XLOOKUP(A2311,'[1]2050Pop'!$A$7:$A$143,'[1]2050Pop'!$D$7:$D$143)</f>
        <v>SSA</v>
      </c>
      <c r="C2311" s="127">
        <f>1000*_xlfn.XLOOKUP(A2311,'[1]2050Pop'!$A$7:$A$143,'[1]2050Pop'!$C$7:$C$143)</f>
        <v>101873</v>
      </c>
      <c r="D2311" s="126" t="s">
        <v>513</v>
      </c>
      <c r="E2311" s="130">
        <v>0.97</v>
      </c>
      <c r="F2311" s="129">
        <f t="shared" si="110"/>
        <v>9.8816809999999991E-2</v>
      </c>
      <c r="G2311" t="str">
        <f>_xlfn.XLOOKUP(D2311,'[1]2050 BAU Mapping to T &amp; C'!$A$3:$A$52,'[1]2050 BAU Mapping to T &amp; C'!$B$3:$B$52)</f>
        <v>Other veg</v>
      </c>
      <c r="H2311" s="129">
        <f>_xlfn.XLOOKUP(G2311,'[1]T&amp;C emissions for 2050 analysis'!$B$3:$B$23,'[1]T&amp;C emissions for 2050 analysis'!$C$3:$C$23)</f>
        <v>0.26766666666666666</v>
      </c>
      <c r="I2311" s="27">
        <f t="shared" si="108"/>
        <v>2.644996614333333E-2</v>
      </c>
      <c r="J2311" s="129">
        <f t="shared" si="109"/>
        <v>0.25963666666666668</v>
      </c>
    </row>
    <row r="2312" spans="1:10" hidden="1" x14ac:dyDescent="0.35">
      <c r="A2312" s="126" t="s">
        <v>471</v>
      </c>
      <c r="B2312" t="str">
        <f>_xlfn.XLOOKUP(A2312,'[1]2050Pop'!$A$7:$A$143,'[1]2050Pop'!$D$7:$D$143)</f>
        <v>Euro/AU/NZ</v>
      </c>
      <c r="C2312" s="127">
        <f>1000*_xlfn.XLOOKUP(A2312,'[1]2050Pop'!$A$7:$A$143,'[1]2050Pop'!$C$7:$C$143)</f>
        <v>35117</v>
      </c>
      <c r="D2312" s="126" t="s">
        <v>513</v>
      </c>
      <c r="E2312" s="128">
        <v>13.467000000000001</v>
      </c>
      <c r="F2312" s="129">
        <f t="shared" si="110"/>
        <v>0.47292063900000003</v>
      </c>
      <c r="G2312" t="str">
        <f>_xlfn.XLOOKUP(D2312,'[1]2050 BAU Mapping to T &amp; C'!$A$3:$A$52,'[1]2050 BAU Mapping to T &amp; C'!$B$3:$B$52)</f>
        <v>Other veg</v>
      </c>
      <c r="H2312" s="129">
        <f>_xlfn.XLOOKUP(G2312,'[1]T&amp;C emissions for 2050 analysis'!$B$3:$B$23,'[1]T&amp;C emissions for 2050 analysis'!$C$3:$C$23)</f>
        <v>0.26766666666666666</v>
      </c>
      <c r="I2312" s="27">
        <f t="shared" si="108"/>
        <v>0.12658509103900001</v>
      </c>
      <c r="J2312" s="129">
        <f t="shared" si="109"/>
        <v>3.6046670000000001</v>
      </c>
    </row>
    <row r="2313" spans="1:10" hidden="1" x14ac:dyDescent="0.35">
      <c r="A2313" s="126" t="s">
        <v>472</v>
      </c>
      <c r="B2313" t="str">
        <f>_xlfn.XLOOKUP(A2313,'[1]2050Pop'!$A$7:$A$143,'[1]2050Pop'!$D$7:$D$143)</f>
        <v>Euro/AU/NZ</v>
      </c>
      <c r="C2313" s="127">
        <f>1000*_xlfn.XLOOKUP(A2313,'[1]2050Pop'!$A$7:$A$143,'[1]2050Pop'!$C$7:$C$143)</f>
        <v>75361</v>
      </c>
      <c r="D2313" s="126" t="s">
        <v>513</v>
      </c>
      <c r="E2313" s="128">
        <v>19.047000000000001</v>
      </c>
      <c r="F2313" s="129">
        <f t="shared" si="110"/>
        <v>1.4354009669999999</v>
      </c>
      <c r="G2313" t="str">
        <f>_xlfn.XLOOKUP(D2313,'[1]2050 BAU Mapping to T &amp; C'!$A$3:$A$52,'[1]2050 BAU Mapping to T &amp; C'!$B$3:$B$52)</f>
        <v>Other veg</v>
      </c>
      <c r="H2313" s="129">
        <f>_xlfn.XLOOKUP(G2313,'[1]T&amp;C emissions for 2050 analysis'!$B$3:$B$23,'[1]T&amp;C emissions for 2050 analysis'!$C$3:$C$23)</f>
        <v>0.26766666666666666</v>
      </c>
      <c r="I2313" s="27">
        <f t="shared" si="108"/>
        <v>0.38420899216699994</v>
      </c>
      <c r="J2313" s="129">
        <f t="shared" si="109"/>
        <v>5.0982469999999998</v>
      </c>
    </row>
    <row r="2314" spans="1:10" hidden="1" x14ac:dyDescent="0.35">
      <c r="A2314" s="126" t="s">
        <v>473</v>
      </c>
      <c r="B2314" t="str">
        <f>_xlfn.XLOOKUP(A2314,'[1]2050Pop'!$A$7:$A$143,'[1]2050Pop'!$D$7:$D$143)</f>
        <v>SSA</v>
      </c>
      <c r="C2314" s="127">
        <f>1000*_xlfn.XLOOKUP(A2314,'[1]2050Pop'!$A$7:$A$143,'[1]2050Pop'!$C$7:$C$143)</f>
        <v>137136</v>
      </c>
      <c r="D2314" s="126" t="s">
        <v>513</v>
      </c>
      <c r="E2314" s="128">
        <v>4.8319999999999999</v>
      </c>
      <c r="F2314" s="129">
        <f t="shared" si="110"/>
        <v>0.66264115199999996</v>
      </c>
      <c r="G2314" t="str">
        <f>_xlfn.XLOOKUP(D2314,'[1]2050 BAU Mapping to T &amp; C'!$A$3:$A$52,'[1]2050 BAU Mapping to T &amp; C'!$B$3:$B$52)</f>
        <v>Other veg</v>
      </c>
      <c r="H2314" s="129">
        <f>_xlfn.XLOOKUP(G2314,'[1]T&amp;C emissions for 2050 analysis'!$B$3:$B$23,'[1]T&amp;C emissions for 2050 analysis'!$C$3:$C$23)</f>
        <v>0.26766666666666666</v>
      </c>
      <c r="I2314" s="27">
        <f t="shared" si="108"/>
        <v>0.17736694835199998</v>
      </c>
      <c r="J2314" s="129">
        <f t="shared" si="109"/>
        <v>1.2933653333333333</v>
      </c>
    </row>
    <row r="2315" spans="1:10" hidden="1" x14ac:dyDescent="0.35">
      <c r="A2315" s="126" t="s">
        <v>474</v>
      </c>
      <c r="B2315" t="str">
        <f>_xlfn.XLOOKUP(A2315,'[1]2050Pop'!$A$7:$A$143,'[1]2050Pop'!$D$7:$D$143)</f>
        <v>NAm</v>
      </c>
      <c r="C2315" s="127">
        <f>1000*_xlfn.XLOOKUP(A2315,'[1]2050Pop'!$A$7:$A$143,'[1]2050Pop'!$C$7:$C$143)</f>
        <v>388865</v>
      </c>
      <c r="D2315" s="126" t="s">
        <v>513</v>
      </c>
      <c r="E2315" s="128">
        <v>35.646999999999998</v>
      </c>
      <c r="F2315" s="129">
        <f t="shared" si="110"/>
        <v>13.861870654999999</v>
      </c>
      <c r="G2315" t="str">
        <f>_xlfn.XLOOKUP(D2315,'[1]2050 BAU Mapping to T &amp; C'!$A$3:$A$52,'[1]2050 BAU Mapping to T &amp; C'!$B$3:$B$52)</f>
        <v>Other veg</v>
      </c>
      <c r="H2315" s="129">
        <f>_xlfn.XLOOKUP(G2315,'[1]T&amp;C emissions for 2050 analysis'!$B$3:$B$23,'[1]T&amp;C emissions for 2050 analysis'!$C$3:$C$23)</f>
        <v>0.26766666666666666</v>
      </c>
      <c r="I2315" s="27">
        <f t="shared" si="108"/>
        <v>3.7103607119883328</v>
      </c>
      <c r="J2315" s="129">
        <f t="shared" si="109"/>
        <v>9.5415136666666669</v>
      </c>
    </row>
    <row r="2316" spans="1:10" hidden="1" x14ac:dyDescent="0.35">
      <c r="A2316" s="126" t="s">
        <v>475</v>
      </c>
      <c r="B2316" t="str">
        <f>_xlfn.XLOOKUP(A2316,'[1]2050Pop'!$A$7:$A$143,'[1]2050Pop'!$D$7:$D$143)</f>
        <v>LatAm &amp; RSA</v>
      </c>
      <c r="C2316" s="127">
        <f>1000*_xlfn.XLOOKUP(A2316,'[1]2050Pop'!$A$7:$A$143,'[1]2050Pop'!$C$7:$C$143)</f>
        <v>3667</v>
      </c>
      <c r="D2316" s="126" t="s">
        <v>513</v>
      </c>
      <c r="E2316" s="128">
        <v>3.5590000000000002</v>
      </c>
      <c r="F2316" s="129">
        <f t="shared" si="110"/>
        <v>1.3050853000000001E-2</v>
      </c>
      <c r="G2316" t="str">
        <f>_xlfn.XLOOKUP(D2316,'[1]2050 BAU Mapping to T &amp; C'!$A$3:$A$52,'[1]2050 BAU Mapping to T &amp; C'!$B$3:$B$52)</f>
        <v>Other veg</v>
      </c>
      <c r="H2316" s="129">
        <f>_xlfn.XLOOKUP(G2316,'[1]T&amp;C emissions for 2050 analysis'!$B$3:$B$23,'[1]T&amp;C emissions for 2050 analysis'!$C$3:$C$23)</f>
        <v>0.26766666666666666</v>
      </c>
      <c r="I2316" s="27">
        <f t="shared" si="108"/>
        <v>3.4932783196666671E-3</v>
      </c>
      <c r="J2316" s="129">
        <f t="shared" si="109"/>
        <v>0.9526256666666667</v>
      </c>
    </row>
    <row r="2317" spans="1:10" hidden="1" x14ac:dyDescent="0.35">
      <c r="A2317" s="126" t="s">
        <v>485</v>
      </c>
      <c r="B2317" t="str">
        <f>_xlfn.XLOOKUP(A2317,'[1]2050Pop'!$A$7:$A$143,'[1]2050Pop'!$D$7:$D$143)</f>
        <v>APAC</v>
      </c>
      <c r="C2317" s="127">
        <f>1000*_xlfn.XLOOKUP(A2317,'[1]2050Pop'!$A$7:$A$143,'[1]2050Pop'!$C$7:$C$143)</f>
        <v>37126</v>
      </c>
      <c r="D2317" s="126" t="s">
        <v>513</v>
      </c>
      <c r="E2317" s="128">
        <v>10.917999999999999</v>
      </c>
      <c r="F2317" s="129">
        <f t="shared" si="110"/>
        <v>0.40534166799999993</v>
      </c>
      <c r="G2317" t="str">
        <f>_xlfn.XLOOKUP(D2317,'[1]2050 BAU Mapping to T &amp; C'!$A$3:$A$52,'[1]2050 BAU Mapping to T &amp; C'!$B$3:$B$52)</f>
        <v>Other veg</v>
      </c>
      <c r="H2317" s="129">
        <f>_xlfn.XLOOKUP(G2317,'[1]T&amp;C emissions for 2050 analysis'!$B$3:$B$23,'[1]T&amp;C emissions for 2050 analysis'!$C$3:$C$23)</f>
        <v>0.26766666666666666</v>
      </c>
      <c r="I2317" s="27">
        <f t="shared" si="108"/>
        <v>0.10849645313466665</v>
      </c>
      <c r="J2317" s="129">
        <f t="shared" si="109"/>
        <v>2.9223846666666664</v>
      </c>
    </row>
    <row r="2318" spans="1:10" hidden="1" x14ac:dyDescent="0.35">
      <c r="A2318" s="126" t="s">
        <v>476</v>
      </c>
      <c r="B2318" t="str">
        <f>_xlfn.XLOOKUP(A2318,'[1]2050Pop'!$A$7:$A$143,'[1]2050Pop'!$D$7:$D$143)</f>
        <v>LatAm &amp; RSA</v>
      </c>
      <c r="C2318" s="127">
        <f>1000*_xlfn.XLOOKUP(A2318,'[1]2050Pop'!$A$7:$A$143,'[1]2050Pop'!$C$7:$C$143)</f>
        <v>41562</v>
      </c>
      <c r="D2318" s="126" t="s">
        <v>513</v>
      </c>
      <c r="E2318" s="128">
        <v>3.0430000000000001</v>
      </c>
      <c r="F2318" s="129">
        <f t="shared" si="110"/>
        <v>0.12647316600000003</v>
      </c>
      <c r="G2318" t="str">
        <f>_xlfn.XLOOKUP(D2318,'[1]2050 BAU Mapping to T &amp; C'!$A$3:$A$52,'[1]2050 BAU Mapping to T &amp; C'!$B$3:$B$52)</f>
        <v>Other veg</v>
      </c>
      <c r="H2318" s="129">
        <f>_xlfn.XLOOKUP(G2318,'[1]T&amp;C emissions for 2050 analysis'!$B$3:$B$23,'[1]T&amp;C emissions for 2050 analysis'!$C$3:$C$23)</f>
        <v>0.26766666666666666</v>
      </c>
      <c r="I2318" s="27">
        <f t="shared" si="108"/>
        <v>3.3852650766000005E-2</v>
      </c>
      <c r="J2318" s="129">
        <f t="shared" si="109"/>
        <v>0.81450966666666669</v>
      </c>
    </row>
    <row r="2319" spans="1:10" hidden="1" x14ac:dyDescent="0.35">
      <c r="A2319" s="126" t="s">
        <v>477</v>
      </c>
      <c r="B2319" t="str">
        <f>_xlfn.XLOOKUP(A2319,'[1]2050Pop'!$A$7:$A$143,'[1]2050Pop'!$D$7:$D$143)</f>
        <v>APAC</v>
      </c>
      <c r="C2319" s="127">
        <f>1000*_xlfn.XLOOKUP(A2319,'[1]2050Pop'!$A$7:$A$143,'[1]2050Pop'!$C$7:$C$143)</f>
        <v>112783</v>
      </c>
      <c r="D2319" s="126" t="s">
        <v>513</v>
      </c>
      <c r="E2319" s="131">
        <v>29.8</v>
      </c>
      <c r="F2319" s="129">
        <f t="shared" si="110"/>
        <v>3.3609334</v>
      </c>
      <c r="G2319" t="str">
        <f>_xlfn.XLOOKUP(D2319,'[1]2050 BAU Mapping to T &amp; C'!$A$3:$A$52,'[1]2050 BAU Mapping to T &amp; C'!$B$3:$B$52)</f>
        <v>Other veg</v>
      </c>
      <c r="H2319" s="129">
        <f>_xlfn.XLOOKUP(G2319,'[1]T&amp;C emissions for 2050 analysis'!$B$3:$B$23,'[1]T&amp;C emissions for 2050 analysis'!$C$3:$C$23)</f>
        <v>0.26766666666666666</v>
      </c>
      <c r="I2319" s="27">
        <f t="shared" si="108"/>
        <v>0.89960984006666667</v>
      </c>
      <c r="J2319" s="129">
        <f t="shared" si="109"/>
        <v>7.976466666666667</v>
      </c>
    </row>
    <row r="2320" spans="1:10" hidden="1" x14ac:dyDescent="0.35">
      <c r="A2320" s="126" t="s">
        <v>478</v>
      </c>
      <c r="B2320" t="str">
        <f>_xlfn.XLOOKUP(A2320,'[1]2050Pop'!$A$7:$A$143,'[1]2050Pop'!$D$7:$D$143)</f>
        <v>MENA</v>
      </c>
      <c r="C2320" s="127">
        <f>1000*_xlfn.XLOOKUP(A2320,'[1]2050Pop'!$A$7:$A$143,'[1]2050Pop'!$C$7:$C$143)</f>
        <v>47170</v>
      </c>
      <c r="D2320" s="126" t="s">
        <v>513</v>
      </c>
      <c r="E2320" s="128">
        <v>8.1929999999999996</v>
      </c>
      <c r="F2320" s="129">
        <f t="shared" si="110"/>
        <v>0.38646381000000002</v>
      </c>
      <c r="G2320" t="str">
        <f>_xlfn.XLOOKUP(D2320,'[1]2050 BAU Mapping to T &amp; C'!$A$3:$A$52,'[1]2050 BAU Mapping to T &amp; C'!$B$3:$B$52)</f>
        <v>Other veg</v>
      </c>
      <c r="H2320" s="129">
        <f>_xlfn.XLOOKUP(G2320,'[1]T&amp;C emissions for 2050 analysis'!$B$3:$B$23,'[1]T&amp;C emissions for 2050 analysis'!$C$3:$C$23)</f>
        <v>0.26766666666666666</v>
      </c>
      <c r="I2320" s="27">
        <f t="shared" si="108"/>
        <v>0.10344347981</v>
      </c>
      <c r="J2320" s="129">
        <f t="shared" si="109"/>
        <v>2.192993</v>
      </c>
    </row>
    <row r="2321" spans="1:10" hidden="1" x14ac:dyDescent="0.35">
      <c r="A2321" s="126" t="s">
        <v>494</v>
      </c>
      <c r="B2321" t="str">
        <f>_xlfn.XLOOKUP(A2321,'[1]2050Pop'!$A$7:$A$143,'[1]2050Pop'!$D$7:$D$143)</f>
        <v>SSA</v>
      </c>
      <c r="C2321" s="127">
        <f>1000*_xlfn.XLOOKUP(A2321,'[1]2050Pop'!$A$7:$A$143,'[1]2050Pop'!$C$7:$C$143)</f>
        <v>42975</v>
      </c>
      <c r="D2321" s="126" t="s">
        <v>513</v>
      </c>
      <c r="E2321" s="128">
        <v>2.5659999999999998</v>
      </c>
      <c r="F2321" s="129">
        <f t="shared" si="110"/>
        <v>0.11027384999999999</v>
      </c>
      <c r="G2321" t="str">
        <f>_xlfn.XLOOKUP(D2321,'[1]2050 BAU Mapping to T &amp; C'!$A$3:$A$52,'[1]2050 BAU Mapping to T &amp; C'!$B$3:$B$52)</f>
        <v>Other veg</v>
      </c>
      <c r="H2321" s="129">
        <f>_xlfn.XLOOKUP(G2321,'[1]T&amp;C emissions for 2050 analysis'!$B$3:$B$23,'[1]T&amp;C emissions for 2050 analysis'!$C$3:$C$23)</f>
        <v>0.26766666666666666</v>
      </c>
      <c r="I2321" s="27">
        <f t="shared" si="108"/>
        <v>2.9516633849999998E-2</v>
      </c>
      <c r="J2321" s="129">
        <f t="shared" si="109"/>
        <v>0.68683266666666665</v>
      </c>
    </row>
    <row r="2322" spans="1:10" hidden="1" x14ac:dyDescent="0.35">
      <c r="A2322" s="126" t="s">
        <v>479</v>
      </c>
      <c r="B2322" t="str">
        <f>_xlfn.XLOOKUP(A2322,'[1]2050Pop'!$A$7:$A$143,'[1]2050Pop'!$D$7:$D$143)</f>
        <v>SSA</v>
      </c>
      <c r="C2322" s="127">
        <f>1000*_xlfn.XLOOKUP(A2322,'[1]2050Pop'!$A$7:$A$143,'[1]2050Pop'!$C$7:$C$143)</f>
        <v>29615</v>
      </c>
      <c r="D2322" s="126" t="s">
        <v>513</v>
      </c>
      <c r="E2322" s="128">
        <v>11.052</v>
      </c>
      <c r="F2322" s="129">
        <f t="shared" si="110"/>
        <v>0.32730497999999997</v>
      </c>
      <c r="G2322" t="str">
        <f>_xlfn.XLOOKUP(D2322,'[1]2050 BAU Mapping to T &amp; C'!$A$3:$A$52,'[1]2050 BAU Mapping to T &amp; C'!$B$3:$B$52)</f>
        <v>Other veg</v>
      </c>
      <c r="H2322" s="129">
        <f>_xlfn.XLOOKUP(G2322,'[1]T&amp;C emissions for 2050 analysis'!$B$3:$B$23,'[1]T&amp;C emissions for 2050 analysis'!$C$3:$C$23)</f>
        <v>0.26766666666666666</v>
      </c>
      <c r="I2322" s="27">
        <f t="shared" si="108"/>
        <v>8.760863297999999E-2</v>
      </c>
      <c r="J2322" s="129">
        <f t="shared" si="109"/>
        <v>2.9582519999999999</v>
      </c>
    </row>
    <row r="2323" spans="1:10" hidden="1" x14ac:dyDescent="0.35">
      <c r="A2323" s="126" t="s">
        <v>355</v>
      </c>
      <c r="B2323" t="str">
        <f>_xlfn.XLOOKUP(A2323,'[1]2050Pop'!$A$7:$A$143,'[1]2050Pop'!$D$7:$D$143)</f>
        <v>India/South Asia</v>
      </c>
      <c r="C2323" s="127">
        <f>1000*_xlfn.XLOOKUP(A2323,'[1]2050Pop'!$A$7:$A$143,'[1]2050Pop'!$C$7:$C$143)</f>
        <v>55955</v>
      </c>
      <c r="D2323" s="126" t="s">
        <v>514</v>
      </c>
      <c r="E2323" s="128">
        <v>46.884</v>
      </c>
      <c r="F2323" s="129">
        <f t="shared" si="110"/>
        <v>2.6233942200000002</v>
      </c>
      <c r="G2323" t="str">
        <f>_xlfn.XLOOKUP(D2323,'[1]2050 BAU Mapping to T &amp; C'!$A$3:$A$52,'[1]2050 BAU Mapping to T &amp; C'!$B$3:$B$52)</f>
        <v>Other veg</v>
      </c>
      <c r="H2323" s="129">
        <f>_xlfn.XLOOKUP(G2323,'[1]T&amp;C emissions for 2050 analysis'!$B$3:$B$23,'[1]T&amp;C emissions for 2050 analysis'!$C$3:$C$23)</f>
        <v>0.26766666666666666</v>
      </c>
      <c r="I2323" s="27">
        <f t="shared" si="108"/>
        <v>0.7021951862200001</v>
      </c>
      <c r="J2323" s="129">
        <f t="shared" si="109"/>
        <v>12.549284</v>
      </c>
    </row>
    <row r="2324" spans="1:10" hidden="1" x14ac:dyDescent="0.35">
      <c r="A2324" s="126" t="s">
        <v>357</v>
      </c>
      <c r="B2324" t="str">
        <f>_xlfn.XLOOKUP(A2324,'[1]2050Pop'!$A$7:$A$143,'[1]2050Pop'!$D$7:$D$143)</f>
        <v>Euro/AU/NZ</v>
      </c>
      <c r="C2324" s="127">
        <f>1000*_xlfn.XLOOKUP(A2324,'[1]2050Pop'!$A$7:$A$143,'[1]2050Pop'!$C$7:$C$143)</f>
        <v>2710</v>
      </c>
      <c r="D2324" s="126" t="s">
        <v>514</v>
      </c>
      <c r="E2324" s="131">
        <v>214.8</v>
      </c>
      <c r="F2324" s="129">
        <f t="shared" si="110"/>
        <v>0.58210799999999996</v>
      </c>
      <c r="G2324" t="str">
        <f>_xlfn.XLOOKUP(D2324,'[1]2050 BAU Mapping to T &amp; C'!$A$3:$A$52,'[1]2050 BAU Mapping to T &amp; C'!$B$3:$B$52)</f>
        <v>Other veg</v>
      </c>
      <c r="H2324" s="129">
        <f>_xlfn.XLOOKUP(G2324,'[1]T&amp;C emissions for 2050 analysis'!$B$3:$B$23,'[1]T&amp;C emissions for 2050 analysis'!$C$3:$C$23)</f>
        <v>0.26766666666666666</v>
      </c>
      <c r="I2324" s="27">
        <f t="shared" si="108"/>
        <v>0.155810908</v>
      </c>
      <c r="J2324" s="129">
        <f t="shared" si="109"/>
        <v>57.494800000000005</v>
      </c>
    </row>
    <row r="2325" spans="1:10" hidden="1" x14ac:dyDescent="0.35">
      <c r="A2325" s="126" t="s">
        <v>358</v>
      </c>
      <c r="B2325" t="str">
        <f>_xlfn.XLOOKUP(A2325,'[1]2050Pop'!$A$7:$A$143,'[1]2050Pop'!$D$7:$D$143)</f>
        <v>MENA</v>
      </c>
      <c r="C2325" s="127">
        <f>1000*_xlfn.XLOOKUP(A2325,'[1]2050Pop'!$A$7:$A$143,'[1]2050Pop'!$C$7:$C$143)</f>
        <v>56461</v>
      </c>
      <c r="D2325" s="126" t="s">
        <v>514</v>
      </c>
      <c r="E2325" s="128">
        <v>185.06299999999999</v>
      </c>
      <c r="F2325" s="129">
        <f t="shared" si="110"/>
        <v>10.448842042999999</v>
      </c>
      <c r="G2325" t="str">
        <f>_xlfn.XLOOKUP(D2325,'[1]2050 BAU Mapping to T &amp; C'!$A$3:$A$52,'[1]2050 BAU Mapping to T &amp; C'!$B$3:$B$52)</f>
        <v>Other veg</v>
      </c>
      <c r="H2325" s="129">
        <f>_xlfn.XLOOKUP(G2325,'[1]T&amp;C emissions for 2050 analysis'!$B$3:$B$23,'[1]T&amp;C emissions for 2050 analysis'!$C$3:$C$23)</f>
        <v>0.26766666666666666</v>
      </c>
      <c r="I2325" s="27">
        <f t="shared" si="108"/>
        <v>2.7968067201763329</v>
      </c>
      <c r="J2325" s="129">
        <f t="shared" si="109"/>
        <v>49.535196333333332</v>
      </c>
    </row>
    <row r="2326" spans="1:10" hidden="1" x14ac:dyDescent="0.35">
      <c r="A2326" s="126" t="s">
        <v>359</v>
      </c>
      <c r="B2326" t="str">
        <f>_xlfn.XLOOKUP(A2326,'[1]2050Pop'!$A$7:$A$143,'[1]2050Pop'!$D$7:$D$143)</f>
        <v>SSA</v>
      </c>
      <c r="C2326" s="127">
        <f>1000*_xlfn.XLOOKUP(A2326,'[1]2050Pop'!$A$7:$A$143,'[1]2050Pop'!$C$7:$C$143)</f>
        <v>65473</v>
      </c>
      <c r="D2326" s="126" t="s">
        <v>514</v>
      </c>
      <c r="E2326" s="128">
        <v>22.128</v>
      </c>
      <c r="F2326" s="129">
        <f t="shared" si="110"/>
        <v>1.4487865440000001</v>
      </c>
      <c r="G2326" t="str">
        <f>_xlfn.XLOOKUP(D2326,'[1]2050 BAU Mapping to T &amp; C'!$A$3:$A$52,'[1]2050 BAU Mapping to T &amp; C'!$B$3:$B$52)</f>
        <v>Other veg</v>
      </c>
      <c r="H2326" s="129">
        <f>_xlfn.XLOOKUP(G2326,'[1]T&amp;C emissions for 2050 analysis'!$B$3:$B$23,'[1]T&amp;C emissions for 2050 analysis'!$C$3:$C$23)</f>
        <v>0.26766666666666666</v>
      </c>
      <c r="I2326" s="27">
        <f t="shared" si="108"/>
        <v>0.38779186494400003</v>
      </c>
      <c r="J2326" s="129">
        <f t="shared" si="109"/>
        <v>5.9229279999999997</v>
      </c>
    </row>
    <row r="2327" spans="1:10" hidden="1" x14ac:dyDescent="0.35">
      <c r="A2327" s="126" t="s">
        <v>360</v>
      </c>
      <c r="B2327" t="str">
        <f>_xlfn.XLOOKUP(A2327,'[1]2050Pop'!$A$7:$A$143,'[1]2050Pop'!$D$7:$D$143)</f>
        <v>LatAm &amp; RSA</v>
      </c>
      <c r="C2327" s="127">
        <f>1000*_xlfn.XLOOKUP(A2327,'[1]2050Pop'!$A$7:$A$143,'[1]2050Pop'!$C$7:$C$143)</f>
        <v>55445</v>
      </c>
      <c r="D2327" s="126" t="s">
        <v>514</v>
      </c>
      <c r="E2327" s="128">
        <v>43.965000000000003</v>
      </c>
      <c r="F2327" s="129">
        <f t="shared" si="110"/>
        <v>2.4376394250000004</v>
      </c>
      <c r="G2327" t="str">
        <f>_xlfn.XLOOKUP(D2327,'[1]2050 BAU Mapping to T &amp; C'!$A$3:$A$52,'[1]2050 BAU Mapping to T &amp; C'!$B$3:$B$52)</f>
        <v>Other veg</v>
      </c>
      <c r="H2327" s="129">
        <f>_xlfn.XLOOKUP(G2327,'[1]T&amp;C emissions for 2050 analysis'!$B$3:$B$23,'[1]T&amp;C emissions for 2050 analysis'!$C$3:$C$23)</f>
        <v>0.26766666666666666</v>
      </c>
      <c r="I2327" s="27">
        <f t="shared" si="108"/>
        <v>0.65247481942500007</v>
      </c>
      <c r="J2327" s="129">
        <f t="shared" si="109"/>
        <v>11.767965</v>
      </c>
    </row>
    <row r="2328" spans="1:10" hidden="1" x14ac:dyDescent="0.35">
      <c r="A2328" s="126" t="s">
        <v>361</v>
      </c>
      <c r="B2328" t="str">
        <f>_xlfn.XLOOKUP(A2328,'[1]2050Pop'!$A$7:$A$143,'[1]2050Pop'!$D$7:$D$143)</f>
        <v>MENA</v>
      </c>
      <c r="C2328" s="127">
        <f>1000*_xlfn.XLOOKUP(A2328,'[1]2050Pop'!$A$7:$A$143,'[1]2050Pop'!$C$7:$C$143)</f>
        <v>2729</v>
      </c>
      <c r="D2328" s="126" t="s">
        <v>514</v>
      </c>
      <c r="E2328" s="128">
        <v>144.56100000000001</v>
      </c>
      <c r="F2328" s="129">
        <f t="shared" si="110"/>
        <v>0.39450696900000004</v>
      </c>
      <c r="G2328" t="str">
        <f>_xlfn.XLOOKUP(D2328,'[1]2050 BAU Mapping to T &amp; C'!$A$3:$A$52,'[1]2050 BAU Mapping to T &amp; C'!$B$3:$B$52)</f>
        <v>Other veg</v>
      </c>
      <c r="H2328" s="129">
        <f>_xlfn.XLOOKUP(G2328,'[1]T&amp;C emissions for 2050 analysis'!$B$3:$B$23,'[1]T&amp;C emissions for 2050 analysis'!$C$3:$C$23)</f>
        <v>0.26766666666666666</v>
      </c>
      <c r="I2328" s="27">
        <f t="shared" si="108"/>
        <v>0.10559636536900001</v>
      </c>
      <c r="J2328" s="129">
        <f t="shared" si="109"/>
        <v>38.694161000000001</v>
      </c>
    </row>
    <row r="2329" spans="1:10" hidden="1" x14ac:dyDescent="0.35">
      <c r="A2329" s="126" t="s">
        <v>362</v>
      </c>
      <c r="B2329" t="str">
        <f>_xlfn.XLOOKUP(A2329,'[1]2050Pop'!$A$7:$A$143,'[1]2050Pop'!$D$7:$D$143)</f>
        <v>Euro/AU/NZ</v>
      </c>
      <c r="C2329" s="127">
        <f>1000*_xlfn.XLOOKUP(A2329,'[1]2050Pop'!$A$7:$A$143,'[1]2050Pop'!$C$7:$C$143)</f>
        <v>33496</v>
      </c>
      <c r="D2329" s="126" t="s">
        <v>514</v>
      </c>
      <c r="E2329" s="128">
        <v>80.963999999999999</v>
      </c>
      <c r="F2329" s="129">
        <f t="shared" si="110"/>
        <v>2.7119701439999999</v>
      </c>
      <c r="G2329" t="str">
        <f>_xlfn.XLOOKUP(D2329,'[1]2050 BAU Mapping to T &amp; C'!$A$3:$A$52,'[1]2050 BAU Mapping to T &amp; C'!$B$3:$B$52)</f>
        <v>Other veg</v>
      </c>
      <c r="H2329" s="129">
        <f>_xlfn.XLOOKUP(G2329,'[1]T&amp;C emissions for 2050 analysis'!$B$3:$B$23,'[1]T&amp;C emissions for 2050 analysis'!$C$3:$C$23)</f>
        <v>0.26766666666666666</v>
      </c>
      <c r="I2329" s="27">
        <f t="shared" si="108"/>
        <v>0.72590400854399995</v>
      </c>
      <c r="J2329" s="129">
        <f t="shared" si="109"/>
        <v>21.671364000000001</v>
      </c>
    </row>
    <row r="2330" spans="1:10" hidden="1" x14ac:dyDescent="0.35">
      <c r="A2330" s="126" t="s">
        <v>363</v>
      </c>
      <c r="B2330" t="str">
        <f>_xlfn.XLOOKUP(A2330,'[1]2050Pop'!$A$7:$A$143,'[1]2050Pop'!$D$7:$D$143)</f>
        <v>Euro/AU/NZ</v>
      </c>
      <c r="C2330" s="127">
        <f>1000*_xlfn.XLOOKUP(A2330,'[1]2050Pop'!$A$7:$A$143,'[1]2050Pop'!$C$7:$C$143)</f>
        <v>8846</v>
      </c>
      <c r="D2330" s="126" t="s">
        <v>514</v>
      </c>
      <c r="E2330" s="130">
        <v>161.63999999999999</v>
      </c>
      <c r="F2330" s="129">
        <f t="shared" si="110"/>
        <v>1.42986744</v>
      </c>
      <c r="G2330" t="str">
        <f>_xlfn.XLOOKUP(D2330,'[1]2050 BAU Mapping to T &amp; C'!$A$3:$A$52,'[1]2050 BAU Mapping to T &amp; C'!$B$3:$B$52)</f>
        <v>Other veg</v>
      </c>
      <c r="H2330" s="129">
        <f>_xlfn.XLOOKUP(G2330,'[1]T&amp;C emissions for 2050 analysis'!$B$3:$B$23,'[1]T&amp;C emissions for 2050 analysis'!$C$3:$C$23)</f>
        <v>0.26766666666666666</v>
      </c>
      <c r="I2330" s="27">
        <f t="shared" si="108"/>
        <v>0.38272785143999999</v>
      </c>
      <c r="J2330" s="129">
        <f t="shared" si="109"/>
        <v>43.265639999999998</v>
      </c>
    </row>
    <row r="2331" spans="1:10" hidden="1" x14ac:dyDescent="0.35">
      <c r="A2331" s="126" t="s">
        <v>364</v>
      </c>
      <c r="B2331" t="str">
        <f>_xlfn.XLOOKUP(A2331,'[1]2050Pop'!$A$7:$A$143,'[1]2050Pop'!$D$7:$D$143)</f>
        <v>MENA</v>
      </c>
      <c r="C2331" s="127">
        <f>1000*_xlfn.XLOOKUP(A2331,'[1]2050Pop'!$A$7:$A$143,'[1]2050Pop'!$C$7:$C$143)</f>
        <v>10963</v>
      </c>
      <c r="D2331" s="126" t="s">
        <v>514</v>
      </c>
      <c r="E2331" s="128">
        <v>97.262</v>
      </c>
      <c r="F2331" s="129">
        <f t="shared" si="110"/>
        <v>1.0662833060000001</v>
      </c>
      <c r="G2331" t="str">
        <f>_xlfn.XLOOKUP(D2331,'[1]2050 BAU Mapping to T &amp; C'!$A$3:$A$52,'[1]2050 BAU Mapping to T &amp; C'!$B$3:$B$52)</f>
        <v>Other veg</v>
      </c>
      <c r="H2331" s="129">
        <f>_xlfn.XLOOKUP(G2331,'[1]T&amp;C emissions for 2050 analysis'!$B$3:$B$23,'[1]T&amp;C emissions for 2050 analysis'!$C$3:$C$23)</f>
        <v>0.26766666666666666</v>
      </c>
      <c r="I2331" s="27">
        <f t="shared" si="108"/>
        <v>0.28540849823933334</v>
      </c>
      <c r="J2331" s="129">
        <f t="shared" si="109"/>
        <v>26.033795333333334</v>
      </c>
    </row>
    <row r="2332" spans="1:10" hidden="1" x14ac:dyDescent="0.35">
      <c r="A2332" s="126" t="s">
        <v>365</v>
      </c>
      <c r="B2332" t="str">
        <f>_xlfn.XLOOKUP(A2332,'[1]2050Pop'!$A$7:$A$143,'[1]2050Pop'!$D$7:$D$143)</f>
        <v>India/South Asia</v>
      </c>
      <c r="C2332" s="127">
        <f>1000*_xlfn.XLOOKUP(A2332,'[1]2050Pop'!$A$7:$A$143,'[1]2050Pop'!$C$7:$C$143)</f>
        <v>202209</v>
      </c>
      <c r="D2332" s="126" t="s">
        <v>514</v>
      </c>
      <c r="E2332" s="128">
        <v>26.151</v>
      </c>
      <c r="F2332" s="129">
        <f t="shared" si="110"/>
        <v>5.2879675590000002</v>
      </c>
      <c r="G2332" t="str">
        <f>_xlfn.XLOOKUP(D2332,'[1]2050 BAU Mapping to T &amp; C'!$A$3:$A$52,'[1]2050 BAU Mapping to T &amp; C'!$B$3:$B$52)</f>
        <v>Other veg</v>
      </c>
      <c r="H2332" s="129">
        <f>_xlfn.XLOOKUP(G2332,'[1]T&amp;C emissions for 2050 analysis'!$B$3:$B$23,'[1]T&amp;C emissions for 2050 analysis'!$C$3:$C$23)</f>
        <v>0.26766666666666666</v>
      </c>
      <c r="I2332" s="27">
        <f t="shared" si="108"/>
        <v>1.4154126499590001</v>
      </c>
      <c r="J2332" s="129">
        <f t="shared" si="109"/>
        <v>6.9997509999999998</v>
      </c>
    </row>
    <row r="2333" spans="1:10" hidden="1" x14ac:dyDescent="0.35">
      <c r="A2333" s="126" t="s">
        <v>366</v>
      </c>
      <c r="B2333" t="str">
        <f>_xlfn.XLOOKUP(A2333,'[1]2050Pop'!$A$7:$A$143,'[1]2050Pop'!$D$7:$D$143)</f>
        <v>Euro/AU/NZ</v>
      </c>
      <c r="C2333" s="127">
        <f>1000*_xlfn.XLOOKUP(A2333,'[1]2050Pop'!$A$7:$A$143,'[1]2050Pop'!$C$7:$C$143)</f>
        <v>8125</v>
      </c>
      <c r="D2333" s="126" t="s">
        <v>514</v>
      </c>
      <c r="E2333" s="128">
        <v>77.492000000000004</v>
      </c>
      <c r="F2333" s="129">
        <f t="shared" si="110"/>
        <v>0.62962249999999997</v>
      </c>
      <c r="G2333" t="str">
        <f>_xlfn.XLOOKUP(D2333,'[1]2050 BAU Mapping to T &amp; C'!$A$3:$A$52,'[1]2050 BAU Mapping to T &amp; C'!$B$3:$B$52)</f>
        <v>Other veg</v>
      </c>
      <c r="H2333" s="129">
        <f>_xlfn.XLOOKUP(G2333,'[1]T&amp;C emissions for 2050 analysis'!$B$3:$B$23,'[1]T&amp;C emissions for 2050 analysis'!$C$3:$C$23)</f>
        <v>0.26766666666666666</v>
      </c>
      <c r="I2333" s="27">
        <f t="shared" si="108"/>
        <v>0.16852895583333333</v>
      </c>
      <c r="J2333" s="129">
        <f t="shared" si="109"/>
        <v>20.742025333333334</v>
      </c>
    </row>
    <row r="2334" spans="1:10" hidden="1" x14ac:dyDescent="0.35">
      <c r="A2334" s="126" t="s">
        <v>367</v>
      </c>
      <c r="B2334" t="str">
        <f>_xlfn.XLOOKUP(A2334,'[1]2050Pop'!$A$7:$A$143,'[1]2050Pop'!$D$7:$D$143)</f>
        <v>Euro/AU/NZ</v>
      </c>
      <c r="C2334" s="127">
        <f>1000*_xlfn.XLOOKUP(A2334,'[1]2050Pop'!$A$7:$A$143,'[1]2050Pop'!$C$7:$C$143)</f>
        <v>12527</v>
      </c>
      <c r="D2334" s="126" t="s">
        <v>514</v>
      </c>
      <c r="E2334" s="130">
        <v>53.85</v>
      </c>
      <c r="F2334" s="129">
        <f t="shared" si="110"/>
        <v>0.67457895000000012</v>
      </c>
      <c r="G2334" t="str">
        <f>_xlfn.XLOOKUP(D2334,'[1]2050 BAU Mapping to T &amp; C'!$A$3:$A$52,'[1]2050 BAU Mapping to T &amp; C'!$B$3:$B$52)</f>
        <v>Other veg</v>
      </c>
      <c r="H2334" s="129">
        <f>_xlfn.XLOOKUP(G2334,'[1]T&amp;C emissions for 2050 analysis'!$B$3:$B$23,'[1]T&amp;C emissions for 2050 analysis'!$C$3:$C$23)</f>
        <v>0.26766666666666666</v>
      </c>
      <c r="I2334" s="27">
        <f t="shared" si="108"/>
        <v>0.18056229895000003</v>
      </c>
      <c r="J2334" s="129">
        <f t="shared" si="109"/>
        <v>14.41385</v>
      </c>
    </row>
    <row r="2335" spans="1:10" hidden="1" x14ac:dyDescent="0.35">
      <c r="A2335" s="126" t="s">
        <v>368</v>
      </c>
      <c r="B2335" t="str">
        <f>_xlfn.XLOOKUP(A2335,'[1]2050Pop'!$A$7:$A$143,'[1]2050Pop'!$D$7:$D$143)</f>
        <v>SSA</v>
      </c>
      <c r="C2335" s="127">
        <f>1000*_xlfn.XLOOKUP(A2335,'[1]2050Pop'!$A$7:$A$143,'[1]2050Pop'!$C$7:$C$143)</f>
        <v>22549</v>
      </c>
      <c r="D2335" s="126" t="s">
        <v>514</v>
      </c>
      <c r="E2335" s="128">
        <v>56.826999999999998</v>
      </c>
      <c r="F2335" s="129">
        <f t="shared" si="110"/>
        <v>1.281392023</v>
      </c>
      <c r="G2335" t="str">
        <f>_xlfn.XLOOKUP(D2335,'[1]2050 BAU Mapping to T &amp; C'!$A$3:$A$52,'[1]2050 BAU Mapping to T &amp; C'!$B$3:$B$52)</f>
        <v>Other veg</v>
      </c>
      <c r="H2335" s="129">
        <f>_xlfn.XLOOKUP(G2335,'[1]T&amp;C emissions for 2050 analysis'!$B$3:$B$23,'[1]T&amp;C emissions for 2050 analysis'!$C$3:$C$23)</f>
        <v>0.26766666666666666</v>
      </c>
      <c r="I2335" s="27">
        <f t="shared" si="108"/>
        <v>0.34298593148966666</v>
      </c>
      <c r="J2335" s="129">
        <f t="shared" si="109"/>
        <v>15.210693666666666</v>
      </c>
    </row>
    <row r="2336" spans="1:10" hidden="1" x14ac:dyDescent="0.35">
      <c r="A2336" s="126" t="s">
        <v>369</v>
      </c>
      <c r="B2336" t="str">
        <f>_xlfn.XLOOKUP(A2336,'[1]2050Pop'!$A$7:$A$143,'[1]2050Pop'!$D$7:$D$143)</f>
        <v>LatAm &amp; RSA</v>
      </c>
      <c r="C2336" s="127">
        <f>1000*_xlfn.XLOOKUP(A2336,'[1]2050Pop'!$A$7:$A$143,'[1]2050Pop'!$C$7:$C$143)</f>
        <v>15963</v>
      </c>
      <c r="D2336" s="126" t="s">
        <v>514</v>
      </c>
      <c r="E2336" s="128">
        <v>22.678000000000001</v>
      </c>
      <c r="F2336" s="129">
        <f t="shared" si="110"/>
        <v>0.36200891400000001</v>
      </c>
      <c r="G2336" t="str">
        <f>_xlfn.XLOOKUP(D2336,'[1]2050 BAU Mapping to T &amp; C'!$A$3:$A$52,'[1]2050 BAU Mapping to T &amp; C'!$B$3:$B$52)</f>
        <v>Other veg</v>
      </c>
      <c r="H2336" s="129">
        <f>_xlfn.XLOOKUP(G2336,'[1]T&amp;C emissions for 2050 analysis'!$B$3:$B$23,'[1]T&amp;C emissions for 2050 analysis'!$C$3:$C$23)</f>
        <v>0.26766666666666666</v>
      </c>
      <c r="I2336" s="27">
        <f t="shared" si="108"/>
        <v>9.6897719314E-2</v>
      </c>
      <c r="J2336" s="129">
        <f t="shared" si="109"/>
        <v>6.0701446666666667</v>
      </c>
    </row>
    <row r="2337" spans="1:10" hidden="1" x14ac:dyDescent="0.35">
      <c r="A2337" s="126" t="s">
        <v>370</v>
      </c>
      <c r="B2337" t="str">
        <f>_xlfn.XLOOKUP(A2337,'[1]2050Pop'!$A$7:$A$143,'[1]2050Pop'!$D$7:$D$143)</f>
        <v>Euro/AU/NZ</v>
      </c>
      <c r="C2337" s="127">
        <f>1000*_xlfn.XLOOKUP(A2337,'[1]2050Pop'!$A$7:$A$143,'[1]2050Pop'!$C$7:$C$143)</f>
        <v>3069</v>
      </c>
      <c r="D2337" s="126" t="s">
        <v>514</v>
      </c>
      <c r="E2337" s="128">
        <v>119.608</v>
      </c>
      <c r="F2337" s="129">
        <f t="shared" si="110"/>
        <v>0.36707695200000001</v>
      </c>
      <c r="G2337" t="str">
        <f>_xlfn.XLOOKUP(D2337,'[1]2050 BAU Mapping to T &amp; C'!$A$3:$A$52,'[1]2050 BAU Mapping to T &amp; C'!$B$3:$B$52)</f>
        <v>Other veg</v>
      </c>
      <c r="H2337" s="129">
        <f>_xlfn.XLOOKUP(G2337,'[1]T&amp;C emissions for 2050 analysis'!$B$3:$B$23,'[1]T&amp;C emissions for 2050 analysis'!$C$3:$C$23)</f>
        <v>0.26766666666666666</v>
      </c>
      <c r="I2337" s="27">
        <f t="shared" si="108"/>
        <v>9.8254264152000004E-2</v>
      </c>
      <c r="J2337" s="129">
        <f t="shared" si="109"/>
        <v>32.015074666666671</v>
      </c>
    </row>
    <row r="2338" spans="1:10" hidden="1" x14ac:dyDescent="0.35">
      <c r="A2338" s="126" t="s">
        <v>371</v>
      </c>
      <c r="B2338" t="str">
        <f>_xlfn.XLOOKUP(A2338,'[1]2050Pop'!$A$7:$A$143,'[1]2050Pop'!$D$7:$D$143)</f>
        <v>SSA</v>
      </c>
      <c r="C2338" s="127">
        <f>1000*_xlfn.XLOOKUP(A2338,'[1]2050Pop'!$A$7:$A$143,'[1]2050Pop'!$C$7:$C$143)</f>
        <v>3389</v>
      </c>
      <c r="D2338" s="126" t="s">
        <v>514</v>
      </c>
      <c r="E2338" s="128">
        <v>37.222999999999999</v>
      </c>
      <c r="F2338" s="129">
        <f t="shared" si="110"/>
        <v>0.12614874700000001</v>
      </c>
      <c r="G2338" t="str">
        <f>_xlfn.XLOOKUP(D2338,'[1]2050 BAU Mapping to T &amp; C'!$A$3:$A$52,'[1]2050 BAU Mapping to T &amp; C'!$B$3:$B$52)</f>
        <v>Other veg</v>
      </c>
      <c r="H2338" s="129">
        <f>_xlfn.XLOOKUP(G2338,'[1]T&amp;C emissions for 2050 analysis'!$B$3:$B$23,'[1]T&amp;C emissions for 2050 analysis'!$C$3:$C$23)</f>
        <v>0.26766666666666666</v>
      </c>
      <c r="I2338" s="27">
        <f t="shared" si="108"/>
        <v>3.3765814613666671E-2</v>
      </c>
      <c r="J2338" s="129">
        <f t="shared" si="109"/>
        <v>9.9633563333333335</v>
      </c>
    </row>
    <row r="2339" spans="1:10" hidden="1" x14ac:dyDescent="0.35">
      <c r="A2339" s="126" t="s">
        <v>372</v>
      </c>
      <c r="B2339" t="str">
        <f>_xlfn.XLOOKUP(A2339,'[1]2050Pop'!$A$7:$A$143,'[1]2050Pop'!$D$7:$D$143)</f>
        <v>LatAm &amp; RSA</v>
      </c>
      <c r="C2339" s="127">
        <f>1000*_xlfn.XLOOKUP(A2339,'[1]2050Pop'!$A$7:$A$143,'[1]2050Pop'!$C$7:$C$143)</f>
        <v>238270</v>
      </c>
      <c r="D2339" s="126" t="s">
        <v>514</v>
      </c>
      <c r="E2339" s="128">
        <v>55.567</v>
      </c>
      <c r="F2339" s="129">
        <f t="shared" si="110"/>
        <v>13.23994909</v>
      </c>
      <c r="G2339" t="str">
        <f>_xlfn.XLOOKUP(D2339,'[1]2050 BAU Mapping to T &amp; C'!$A$3:$A$52,'[1]2050 BAU Mapping to T &amp; C'!$B$3:$B$52)</f>
        <v>Other veg</v>
      </c>
      <c r="H2339" s="129">
        <f>_xlfn.XLOOKUP(G2339,'[1]T&amp;C emissions for 2050 analysis'!$B$3:$B$23,'[1]T&amp;C emissions for 2050 analysis'!$C$3:$C$23)</f>
        <v>0.26766666666666666</v>
      </c>
      <c r="I2339" s="27">
        <f t="shared" si="108"/>
        <v>3.5438930397566666</v>
      </c>
      <c r="J2339" s="129">
        <f t="shared" si="109"/>
        <v>14.873433666666667</v>
      </c>
    </row>
    <row r="2340" spans="1:10" hidden="1" x14ac:dyDescent="0.35">
      <c r="A2340" s="126" t="s">
        <v>373</v>
      </c>
      <c r="B2340" t="str">
        <f>_xlfn.XLOOKUP(A2340,'[1]2050Pop'!$A$7:$A$143,'[1]2050Pop'!$D$7:$D$143)</f>
        <v>Euro/AU/NZ</v>
      </c>
      <c r="C2340" s="127">
        <f>1000*_xlfn.XLOOKUP(A2340,'[1]2050Pop'!$A$7:$A$143,'[1]2050Pop'!$C$7:$C$143)</f>
        <v>5154</v>
      </c>
      <c r="D2340" s="126" t="s">
        <v>514</v>
      </c>
      <c r="E2340" s="130">
        <v>73.03</v>
      </c>
      <c r="F2340" s="129">
        <f t="shared" si="110"/>
        <v>0.37639662000000002</v>
      </c>
      <c r="G2340" t="str">
        <f>_xlfn.XLOOKUP(D2340,'[1]2050 BAU Mapping to T &amp; C'!$A$3:$A$52,'[1]2050 BAU Mapping to T &amp; C'!$B$3:$B$52)</f>
        <v>Other veg</v>
      </c>
      <c r="H2340" s="129">
        <f>_xlfn.XLOOKUP(G2340,'[1]T&amp;C emissions for 2050 analysis'!$B$3:$B$23,'[1]T&amp;C emissions for 2050 analysis'!$C$3:$C$23)</f>
        <v>0.26766666666666666</v>
      </c>
      <c r="I2340" s="27">
        <f t="shared" si="108"/>
        <v>0.10074882862000001</v>
      </c>
      <c r="J2340" s="129">
        <f t="shared" si="109"/>
        <v>19.547696666666667</v>
      </c>
    </row>
    <row r="2341" spans="1:10" hidden="1" x14ac:dyDescent="0.35">
      <c r="A2341" s="126" t="s">
        <v>487</v>
      </c>
      <c r="B2341" t="str">
        <f>_xlfn.XLOOKUP(A2341,'[1]2050Pop'!$A$7:$A$143,'[1]2050Pop'!$D$7:$D$143)</f>
        <v>SSA</v>
      </c>
      <c r="C2341" s="127">
        <f>1000*_xlfn.XLOOKUP(A2341,'[1]2050Pop'!$A$7:$A$143,'[1]2050Pop'!$C$7:$C$143)</f>
        <v>42789</v>
      </c>
      <c r="D2341" s="126" t="s">
        <v>514</v>
      </c>
      <c r="E2341" s="128">
        <v>7.3220000000000001</v>
      </c>
      <c r="F2341" s="129">
        <f t="shared" si="110"/>
        <v>0.31330105800000002</v>
      </c>
      <c r="G2341" t="str">
        <f>_xlfn.XLOOKUP(D2341,'[1]2050 BAU Mapping to T &amp; C'!$A$3:$A$52,'[1]2050 BAU Mapping to T &amp; C'!$B$3:$B$52)</f>
        <v>Other veg</v>
      </c>
      <c r="H2341" s="129">
        <f>_xlfn.XLOOKUP(G2341,'[1]T&amp;C emissions for 2050 analysis'!$B$3:$B$23,'[1]T&amp;C emissions for 2050 analysis'!$C$3:$C$23)</f>
        <v>0.26766666666666666</v>
      </c>
      <c r="I2341" s="27">
        <f t="shared" si="108"/>
        <v>8.3860249858000002E-2</v>
      </c>
      <c r="J2341" s="129">
        <f t="shared" si="109"/>
        <v>1.9598553333333333</v>
      </c>
    </row>
    <row r="2342" spans="1:10" hidden="1" x14ac:dyDescent="0.35">
      <c r="A2342" s="126" t="s">
        <v>374</v>
      </c>
      <c r="B2342" t="str">
        <f>_xlfn.XLOOKUP(A2342,'[1]2050Pop'!$A$7:$A$143,'[1]2050Pop'!$D$7:$D$143)</f>
        <v>APAC</v>
      </c>
      <c r="C2342" s="127">
        <f>1000*_xlfn.XLOOKUP(A2342,'[1]2050Pop'!$A$7:$A$143,'[1]2050Pop'!$C$7:$C$143)</f>
        <v>22545</v>
      </c>
      <c r="D2342" s="126" t="s">
        <v>514</v>
      </c>
      <c r="E2342" s="128">
        <v>15.638999999999999</v>
      </c>
      <c r="F2342" s="129">
        <f t="shared" si="110"/>
        <v>0.35258125499999998</v>
      </c>
      <c r="G2342" t="str">
        <f>_xlfn.XLOOKUP(D2342,'[1]2050 BAU Mapping to T &amp; C'!$A$3:$A$52,'[1]2050 BAU Mapping to T &amp; C'!$B$3:$B$52)</f>
        <v>Other veg</v>
      </c>
      <c r="H2342" s="129">
        <f>_xlfn.XLOOKUP(G2342,'[1]T&amp;C emissions for 2050 analysis'!$B$3:$B$23,'[1]T&amp;C emissions for 2050 analysis'!$C$3:$C$23)</f>
        <v>0.26766666666666666</v>
      </c>
      <c r="I2342" s="27">
        <f t="shared" si="108"/>
        <v>9.4374249255000001E-2</v>
      </c>
      <c r="J2342" s="129">
        <f t="shared" si="109"/>
        <v>4.1860390000000001</v>
      </c>
    </row>
    <row r="2343" spans="1:10" hidden="1" x14ac:dyDescent="0.35">
      <c r="A2343" s="126" t="s">
        <v>375</v>
      </c>
      <c r="B2343" t="str">
        <f>_xlfn.XLOOKUP(A2343,'[1]2050Pop'!$A$7:$A$143,'[1]2050Pop'!$D$7:$D$143)</f>
        <v>SSA</v>
      </c>
      <c r="C2343" s="127">
        <f>1000*_xlfn.XLOOKUP(A2343,'[1]2050Pop'!$A$7:$A$143,'[1]2050Pop'!$C$7:$C$143)</f>
        <v>48362</v>
      </c>
      <c r="D2343" s="126" t="s">
        <v>514</v>
      </c>
      <c r="E2343" s="130">
        <v>24.28</v>
      </c>
      <c r="F2343" s="129">
        <f t="shared" si="110"/>
        <v>1.17422936</v>
      </c>
      <c r="G2343" t="str">
        <f>_xlfn.XLOOKUP(D2343,'[1]2050 BAU Mapping to T &amp; C'!$A$3:$A$52,'[1]2050 BAU Mapping to T &amp; C'!$B$3:$B$52)</f>
        <v>Other veg</v>
      </c>
      <c r="H2343" s="129">
        <f>_xlfn.XLOOKUP(G2343,'[1]T&amp;C emissions for 2050 analysis'!$B$3:$B$23,'[1]T&amp;C emissions for 2050 analysis'!$C$3:$C$23)</f>
        <v>0.26766666666666666</v>
      </c>
      <c r="I2343" s="27">
        <f t="shared" si="108"/>
        <v>0.31430205869333333</v>
      </c>
      <c r="J2343" s="129">
        <f t="shared" si="109"/>
        <v>6.4989466666666669</v>
      </c>
    </row>
    <row r="2344" spans="1:10" hidden="1" x14ac:dyDescent="0.35">
      <c r="A2344" s="126" t="s">
        <v>376</v>
      </c>
      <c r="B2344" t="str">
        <f>_xlfn.XLOOKUP(A2344,'[1]2050Pop'!$A$7:$A$143,'[1]2050Pop'!$D$7:$D$143)</f>
        <v>NAm</v>
      </c>
      <c r="C2344" s="127">
        <f>1000*_xlfn.XLOOKUP(A2344,'[1]2050Pop'!$A$7:$A$143,'[1]2050Pop'!$C$7:$C$143)</f>
        <v>44136</v>
      </c>
      <c r="D2344" s="126" t="s">
        <v>514</v>
      </c>
      <c r="E2344" s="128">
        <v>89.346999999999994</v>
      </c>
      <c r="F2344" s="129">
        <f t="shared" si="110"/>
        <v>3.9434191919999999</v>
      </c>
      <c r="G2344" t="str">
        <f>_xlfn.XLOOKUP(D2344,'[1]2050 BAU Mapping to T &amp; C'!$A$3:$A$52,'[1]2050 BAU Mapping to T &amp; C'!$B$3:$B$52)</f>
        <v>Other veg</v>
      </c>
      <c r="H2344" s="129">
        <f>_xlfn.XLOOKUP(G2344,'[1]T&amp;C emissions for 2050 analysis'!$B$3:$B$23,'[1]T&amp;C emissions for 2050 analysis'!$C$3:$C$23)</f>
        <v>0.26766666666666666</v>
      </c>
      <c r="I2344" s="27">
        <f t="shared" si="108"/>
        <v>1.055521870392</v>
      </c>
      <c r="J2344" s="129">
        <f t="shared" si="109"/>
        <v>23.915213666666666</v>
      </c>
    </row>
    <row r="2345" spans="1:10" hidden="1" x14ac:dyDescent="0.35">
      <c r="A2345" s="126" t="s">
        <v>377</v>
      </c>
      <c r="B2345" t="str">
        <f>_xlfn.XLOOKUP(A2345,'[1]2050Pop'!$A$7:$A$143,'[1]2050Pop'!$D$7:$D$143)</f>
        <v>SSA</v>
      </c>
      <c r="C2345" s="127">
        <f>1000*_xlfn.XLOOKUP(A2345,'[1]2050Pop'!$A$7:$A$143,'[1]2050Pop'!$C$7:$C$143)</f>
        <v>8782</v>
      </c>
      <c r="D2345" s="126" t="s">
        <v>514</v>
      </c>
      <c r="E2345" s="128">
        <v>10.678000000000001</v>
      </c>
      <c r="F2345" s="129">
        <f t="shared" si="110"/>
        <v>9.3774196000000004E-2</v>
      </c>
      <c r="G2345" t="str">
        <f>_xlfn.XLOOKUP(D2345,'[1]2050 BAU Mapping to T &amp; C'!$A$3:$A$52,'[1]2050 BAU Mapping to T &amp; C'!$B$3:$B$52)</f>
        <v>Other veg</v>
      </c>
      <c r="H2345" s="129">
        <f>_xlfn.XLOOKUP(G2345,'[1]T&amp;C emissions for 2050 analysis'!$B$3:$B$23,'[1]T&amp;C emissions for 2050 analysis'!$C$3:$C$23)</f>
        <v>0.26766666666666666</v>
      </c>
      <c r="I2345" s="27">
        <f t="shared" si="108"/>
        <v>2.5100226462666669E-2</v>
      </c>
      <c r="J2345" s="129">
        <f t="shared" si="109"/>
        <v>2.858144666666667</v>
      </c>
    </row>
    <row r="2346" spans="1:10" hidden="1" x14ac:dyDescent="0.35">
      <c r="A2346" s="126" t="s">
        <v>488</v>
      </c>
      <c r="B2346" t="str">
        <f>_xlfn.XLOOKUP(A2346,'[1]2050Pop'!$A$7:$A$143,'[1]2050Pop'!$D$7:$D$143)</f>
        <v>SSA</v>
      </c>
      <c r="C2346" s="127">
        <f>1000*_xlfn.XLOOKUP(A2346,'[1]2050Pop'!$A$7:$A$143,'[1]2050Pop'!$C$7:$C$143)</f>
        <v>35131</v>
      </c>
      <c r="D2346" s="126" t="s">
        <v>514</v>
      </c>
      <c r="E2346" s="128">
        <v>19.175999999999998</v>
      </c>
      <c r="F2346" s="129">
        <f t="shared" si="110"/>
        <v>0.67367205600000002</v>
      </c>
      <c r="G2346" t="str">
        <f>_xlfn.XLOOKUP(D2346,'[1]2050 BAU Mapping to T &amp; C'!$A$3:$A$52,'[1]2050 BAU Mapping to T &amp; C'!$B$3:$B$52)</f>
        <v>Other veg</v>
      </c>
      <c r="H2346" s="129">
        <f>_xlfn.XLOOKUP(G2346,'[1]T&amp;C emissions for 2050 analysis'!$B$3:$B$23,'[1]T&amp;C emissions for 2050 analysis'!$C$3:$C$23)</f>
        <v>0.26766666666666666</v>
      </c>
      <c r="I2346" s="27">
        <f t="shared" si="108"/>
        <v>0.180319553656</v>
      </c>
      <c r="J2346" s="129">
        <f t="shared" si="109"/>
        <v>5.1327759999999998</v>
      </c>
    </row>
    <row r="2347" spans="1:10" hidden="1" x14ac:dyDescent="0.35">
      <c r="A2347" s="126" t="s">
        <v>378</v>
      </c>
      <c r="B2347" t="str">
        <f>_xlfn.XLOOKUP(A2347,'[1]2050Pop'!$A$7:$A$143,'[1]2050Pop'!$D$7:$D$143)</f>
        <v>LatAm &amp; RSA</v>
      </c>
      <c r="C2347" s="127">
        <f>1000*_xlfn.XLOOKUP(A2347,'[1]2050Pop'!$A$7:$A$143,'[1]2050Pop'!$C$7:$C$143)</f>
        <v>21601</v>
      </c>
      <c r="D2347" s="126" t="s">
        <v>514</v>
      </c>
      <c r="E2347" s="128">
        <v>59.811</v>
      </c>
      <c r="F2347" s="129">
        <f t="shared" si="110"/>
        <v>1.2919774110000002</v>
      </c>
      <c r="G2347" t="str">
        <f>_xlfn.XLOOKUP(D2347,'[1]2050 BAU Mapping to T &amp; C'!$A$3:$A$52,'[1]2050 BAU Mapping to T &amp; C'!$B$3:$B$52)</f>
        <v>Other veg</v>
      </c>
      <c r="H2347" s="129">
        <f>_xlfn.XLOOKUP(G2347,'[1]T&amp;C emissions for 2050 analysis'!$B$3:$B$23,'[1]T&amp;C emissions for 2050 analysis'!$C$3:$C$23)</f>
        <v>0.26766666666666666</v>
      </c>
      <c r="I2347" s="27">
        <f t="shared" si="108"/>
        <v>0.34581928701100006</v>
      </c>
      <c r="J2347" s="129">
        <f t="shared" si="109"/>
        <v>16.009411</v>
      </c>
    </row>
    <row r="2348" spans="1:10" hidden="1" x14ac:dyDescent="0.35">
      <c r="A2348" s="126" t="s">
        <v>379</v>
      </c>
      <c r="B2348" t="str">
        <f>_xlfn.XLOOKUP(A2348,'[1]2050Pop'!$A$7:$A$143,'[1]2050Pop'!$D$7:$D$143)</f>
        <v>Greater China</v>
      </c>
      <c r="C2348" s="127">
        <f>1000*_xlfn.XLOOKUP(A2348,'[1]2050Pop'!$A$7:$A$143,'[1]2050Pop'!$C$7:$C$143)</f>
        <v>8148</v>
      </c>
      <c r="D2348" s="126" t="s">
        <v>514</v>
      </c>
      <c r="E2348" s="128">
        <v>64.108000000000004</v>
      </c>
      <c r="F2348" s="129">
        <f t="shared" si="110"/>
        <v>0.52235198400000005</v>
      </c>
      <c r="G2348" t="str">
        <f>_xlfn.XLOOKUP(D2348,'[1]2050 BAU Mapping to T &amp; C'!$A$3:$A$52,'[1]2050 BAU Mapping to T &amp; C'!$B$3:$B$52)</f>
        <v>Other veg</v>
      </c>
      <c r="H2348" s="129">
        <f>_xlfn.XLOOKUP(G2348,'[1]T&amp;C emissions for 2050 analysis'!$B$3:$B$23,'[1]T&amp;C emissions for 2050 analysis'!$C$3:$C$23)</f>
        <v>0.26766666666666666</v>
      </c>
      <c r="I2348" s="27">
        <f t="shared" si="108"/>
        <v>0.13981621438400002</v>
      </c>
      <c r="J2348" s="129">
        <f t="shared" si="109"/>
        <v>17.159574666666668</v>
      </c>
    </row>
    <row r="2349" spans="1:10" hidden="1" x14ac:dyDescent="0.35">
      <c r="A2349" s="126" t="s">
        <v>380</v>
      </c>
      <c r="B2349" t="str">
        <f>_xlfn.XLOOKUP(A2349,'[1]2050Pop'!$A$7:$A$143,'[1]2050Pop'!$D$7:$D$143)</f>
        <v>Greater China</v>
      </c>
      <c r="C2349" s="127">
        <f>1000*_xlfn.XLOOKUP(A2349,'[1]2050Pop'!$A$7:$A$143,'[1]2050Pop'!$C$7:$C$143)</f>
        <v>1348056</v>
      </c>
      <c r="D2349" s="126" t="s">
        <v>514</v>
      </c>
      <c r="E2349" s="130">
        <v>92.33</v>
      </c>
      <c r="F2349" s="129">
        <f t="shared" si="110"/>
        <v>124.46601048000001</v>
      </c>
      <c r="G2349" t="str">
        <f>_xlfn.XLOOKUP(D2349,'[1]2050 BAU Mapping to T &amp; C'!$A$3:$A$52,'[1]2050 BAU Mapping to T &amp; C'!$B$3:$B$52)</f>
        <v>Other veg</v>
      </c>
      <c r="H2349" s="129">
        <f>_xlfn.XLOOKUP(G2349,'[1]T&amp;C emissions for 2050 analysis'!$B$3:$B$23,'[1]T&amp;C emissions for 2050 analysis'!$C$3:$C$23)</f>
        <v>0.26766666666666666</v>
      </c>
      <c r="I2349" s="27">
        <f t="shared" si="108"/>
        <v>33.315402138480003</v>
      </c>
      <c r="J2349" s="129">
        <f t="shared" si="109"/>
        <v>24.713663333333333</v>
      </c>
    </row>
    <row r="2350" spans="1:10" hidden="1" x14ac:dyDescent="0.35">
      <c r="A2350" s="126" t="s">
        <v>381</v>
      </c>
      <c r="B2350" t="str">
        <f>_xlfn.XLOOKUP(A2350,'[1]2050Pop'!$A$7:$A$143,'[1]2050Pop'!$D$7:$D$143)</f>
        <v>Greater China</v>
      </c>
      <c r="C2350" s="127">
        <f>1000*_xlfn.XLOOKUP(A2350,'[1]2050Pop'!$A$7:$A$143,'[1]2050Pop'!$C$7:$C$143)</f>
        <v>20778</v>
      </c>
      <c r="D2350" s="126" t="s">
        <v>514</v>
      </c>
      <c r="E2350" s="128">
        <v>105.64700000000001</v>
      </c>
      <c r="F2350" s="129">
        <f t="shared" si="110"/>
        <v>2.1951333659999999</v>
      </c>
      <c r="G2350" t="str">
        <f>_xlfn.XLOOKUP(D2350,'[1]2050 BAU Mapping to T &amp; C'!$A$3:$A$52,'[1]2050 BAU Mapping to T &amp; C'!$B$3:$B$52)</f>
        <v>Other veg</v>
      </c>
      <c r="H2350" s="129">
        <f>_xlfn.XLOOKUP(G2350,'[1]T&amp;C emissions for 2050 analysis'!$B$3:$B$23,'[1]T&amp;C emissions for 2050 analysis'!$C$3:$C$23)</f>
        <v>0.26766666666666666</v>
      </c>
      <c r="I2350" s="27">
        <f t="shared" si="108"/>
        <v>0.58756403096599996</v>
      </c>
      <c r="J2350" s="129">
        <f t="shared" si="109"/>
        <v>28.278180333333335</v>
      </c>
    </row>
    <row r="2351" spans="1:10" hidden="1" x14ac:dyDescent="0.35">
      <c r="A2351" s="126" t="s">
        <v>382</v>
      </c>
      <c r="B2351" t="str">
        <f>_xlfn.XLOOKUP(A2351,'[1]2050Pop'!$A$7:$A$143,'[1]2050Pop'!$D$7:$D$143)</f>
        <v>LatAm &amp; RSA</v>
      </c>
      <c r="C2351" s="127">
        <f>1000*_xlfn.XLOOKUP(A2351,'[1]2050Pop'!$A$7:$A$143,'[1]2050Pop'!$C$7:$C$143)</f>
        <v>54927</v>
      </c>
      <c r="D2351" s="126" t="s">
        <v>514</v>
      </c>
      <c r="E2351" s="128">
        <v>72.212999999999994</v>
      </c>
      <c r="F2351" s="129">
        <f t="shared" si="110"/>
        <v>3.966443451</v>
      </c>
      <c r="G2351" t="str">
        <f>_xlfn.XLOOKUP(D2351,'[1]2050 BAU Mapping to T &amp; C'!$A$3:$A$52,'[1]2050 BAU Mapping to T &amp; C'!$B$3:$B$52)</f>
        <v>Other veg</v>
      </c>
      <c r="H2351" s="129">
        <f>_xlfn.XLOOKUP(G2351,'[1]T&amp;C emissions for 2050 analysis'!$B$3:$B$23,'[1]T&amp;C emissions for 2050 analysis'!$C$3:$C$23)</f>
        <v>0.26766666666666666</v>
      </c>
      <c r="I2351" s="27">
        <f t="shared" si="108"/>
        <v>1.0616846970509999</v>
      </c>
      <c r="J2351" s="129">
        <f t="shared" si="109"/>
        <v>19.329013</v>
      </c>
    </row>
    <row r="2352" spans="1:10" hidden="1" x14ac:dyDescent="0.35">
      <c r="A2352" s="126" t="s">
        <v>383</v>
      </c>
      <c r="B2352" t="str">
        <f>_xlfn.XLOOKUP(A2352,'[1]2050Pop'!$A$7:$A$143,'[1]2050Pop'!$D$7:$D$143)</f>
        <v>LatAm &amp; RSA</v>
      </c>
      <c r="C2352" s="127">
        <f>1000*_xlfn.XLOOKUP(A2352,'[1]2050Pop'!$A$7:$A$143,'[1]2050Pop'!$C$7:$C$143)</f>
        <v>5759</v>
      </c>
      <c r="D2352" s="126" t="s">
        <v>514</v>
      </c>
      <c r="E2352" s="128">
        <v>106.46299999999999</v>
      </c>
      <c r="F2352" s="129">
        <f t="shared" si="110"/>
        <v>0.61312041699999997</v>
      </c>
      <c r="G2352" t="str">
        <f>_xlfn.XLOOKUP(D2352,'[1]2050 BAU Mapping to T &amp; C'!$A$3:$A$52,'[1]2050 BAU Mapping to T &amp; C'!$B$3:$B$52)</f>
        <v>Other veg</v>
      </c>
      <c r="H2352" s="129">
        <f>_xlfn.XLOOKUP(G2352,'[1]T&amp;C emissions for 2050 analysis'!$B$3:$B$23,'[1]T&amp;C emissions for 2050 analysis'!$C$3:$C$23)</f>
        <v>0.26766666666666666</v>
      </c>
      <c r="I2352" s="27">
        <f t="shared" si="108"/>
        <v>0.16411189828366665</v>
      </c>
      <c r="J2352" s="129">
        <f t="shared" si="109"/>
        <v>28.496596333333333</v>
      </c>
    </row>
    <row r="2353" spans="1:10" hidden="1" x14ac:dyDescent="0.35">
      <c r="A2353" s="126" t="s">
        <v>384</v>
      </c>
      <c r="B2353" t="str">
        <f>_xlfn.XLOOKUP(A2353,'[1]2050Pop'!$A$7:$A$143,'[1]2050Pop'!$D$7:$D$143)</f>
        <v>SSA</v>
      </c>
      <c r="C2353" s="127">
        <f>1000*_xlfn.XLOOKUP(A2353,'[1]2050Pop'!$A$7:$A$143,'[1]2050Pop'!$C$7:$C$143)</f>
        <v>48797</v>
      </c>
      <c r="D2353" s="126" t="s">
        <v>514</v>
      </c>
      <c r="E2353" s="128">
        <v>11.672000000000001</v>
      </c>
      <c r="F2353" s="129">
        <f t="shared" si="110"/>
        <v>0.56955858400000003</v>
      </c>
      <c r="G2353" t="str">
        <f>_xlfn.XLOOKUP(D2353,'[1]2050 BAU Mapping to T &amp; C'!$A$3:$A$52,'[1]2050 BAU Mapping to T &amp; C'!$B$3:$B$52)</f>
        <v>Other veg</v>
      </c>
      <c r="H2353" s="129">
        <f>_xlfn.XLOOKUP(G2353,'[1]T&amp;C emissions for 2050 analysis'!$B$3:$B$23,'[1]T&amp;C emissions for 2050 analysis'!$C$3:$C$23)</f>
        <v>0.26766666666666666</v>
      </c>
      <c r="I2353" s="27">
        <f t="shared" si="108"/>
        <v>0.15245184765066666</v>
      </c>
      <c r="J2353" s="129">
        <f t="shared" si="109"/>
        <v>3.1242053333333333</v>
      </c>
    </row>
    <row r="2354" spans="1:10" hidden="1" x14ac:dyDescent="0.35">
      <c r="A2354" s="126" t="s">
        <v>385</v>
      </c>
      <c r="B2354" t="str">
        <f>_xlfn.XLOOKUP(A2354,'[1]2050Pop'!$A$7:$A$143,'[1]2050Pop'!$D$7:$D$143)</f>
        <v>Euro/AU/NZ</v>
      </c>
      <c r="C2354" s="127">
        <f>1000*_xlfn.XLOOKUP(A2354,'[1]2050Pop'!$A$7:$A$143,'[1]2050Pop'!$C$7:$C$143)</f>
        <v>3554</v>
      </c>
      <c r="D2354" s="126" t="s">
        <v>514</v>
      </c>
      <c r="E2354" s="128">
        <v>108.85899999999999</v>
      </c>
      <c r="F2354" s="129">
        <f t="shared" si="110"/>
        <v>0.38688488599999998</v>
      </c>
      <c r="G2354" t="str">
        <f>_xlfn.XLOOKUP(D2354,'[1]2050 BAU Mapping to T &amp; C'!$A$3:$A$52,'[1]2050 BAU Mapping to T &amp; C'!$B$3:$B$52)</f>
        <v>Other veg</v>
      </c>
      <c r="H2354" s="129">
        <f>_xlfn.XLOOKUP(G2354,'[1]T&amp;C emissions for 2050 analysis'!$B$3:$B$23,'[1]T&amp;C emissions for 2050 analysis'!$C$3:$C$23)</f>
        <v>0.26766666666666666</v>
      </c>
      <c r="I2354" s="27">
        <f t="shared" si="108"/>
        <v>0.10355618781933333</v>
      </c>
      <c r="J2354" s="129">
        <f t="shared" si="109"/>
        <v>29.137925666666664</v>
      </c>
    </row>
    <row r="2355" spans="1:10" hidden="1" x14ac:dyDescent="0.35">
      <c r="A2355" s="126" t="s">
        <v>386</v>
      </c>
      <c r="B2355" t="str">
        <f>_xlfn.XLOOKUP(A2355,'[1]2050Pop'!$A$7:$A$143,'[1]2050Pop'!$D$7:$D$143)</f>
        <v>LatAm &amp; RSA</v>
      </c>
      <c r="C2355" s="127">
        <f>1000*_xlfn.XLOOKUP(A2355,'[1]2050Pop'!$A$7:$A$143,'[1]2050Pop'!$C$7:$C$143)</f>
        <v>10339</v>
      </c>
      <c r="D2355" s="126" t="s">
        <v>514</v>
      </c>
      <c r="E2355" s="128">
        <v>62.845999999999997</v>
      </c>
      <c r="F2355" s="129">
        <f t="shared" si="110"/>
        <v>0.64976479399999998</v>
      </c>
      <c r="G2355" t="str">
        <f>_xlfn.XLOOKUP(D2355,'[1]2050 BAU Mapping to T &amp; C'!$A$3:$A$52,'[1]2050 BAU Mapping to T &amp; C'!$B$3:$B$52)</f>
        <v>Other veg</v>
      </c>
      <c r="H2355" s="129">
        <f>_xlfn.XLOOKUP(G2355,'[1]T&amp;C emissions for 2050 analysis'!$B$3:$B$23,'[1]T&amp;C emissions for 2050 analysis'!$C$3:$C$23)</f>
        <v>0.26766666666666666</v>
      </c>
      <c r="I2355" s="27">
        <f t="shared" si="108"/>
        <v>0.17392037652733333</v>
      </c>
      <c r="J2355" s="129">
        <f t="shared" si="109"/>
        <v>16.821779333333332</v>
      </c>
    </row>
    <row r="2356" spans="1:10" hidden="1" x14ac:dyDescent="0.35">
      <c r="A2356" s="126" t="s">
        <v>387</v>
      </c>
      <c r="B2356" t="str">
        <f>_xlfn.XLOOKUP(A2356,'[1]2050Pop'!$A$7:$A$143,'[1]2050Pop'!$D$7:$D$143)</f>
        <v>Euro/AU/NZ</v>
      </c>
      <c r="C2356" s="127">
        <f>1000*_xlfn.XLOOKUP(A2356,'[1]2050Pop'!$A$7:$A$143,'[1]2050Pop'!$C$7:$C$143)</f>
        <v>9965</v>
      </c>
      <c r="D2356" s="126" t="s">
        <v>514</v>
      </c>
      <c r="E2356" s="128">
        <v>50.133000000000003</v>
      </c>
      <c r="F2356" s="129">
        <f t="shared" si="110"/>
        <v>0.499575345</v>
      </c>
      <c r="G2356" t="str">
        <f>_xlfn.XLOOKUP(D2356,'[1]2050 BAU Mapping to T &amp; C'!$A$3:$A$52,'[1]2050 BAU Mapping to T &amp; C'!$B$3:$B$52)</f>
        <v>Other veg</v>
      </c>
      <c r="H2356" s="129">
        <f>_xlfn.XLOOKUP(G2356,'[1]T&amp;C emissions for 2050 analysis'!$B$3:$B$23,'[1]T&amp;C emissions for 2050 analysis'!$C$3:$C$23)</f>
        <v>0.26766666666666666</v>
      </c>
      <c r="I2356" s="27">
        <f t="shared" si="108"/>
        <v>0.13371966734499999</v>
      </c>
      <c r="J2356" s="129">
        <f t="shared" si="109"/>
        <v>13.418933000000001</v>
      </c>
    </row>
    <row r="2357" spans="1:10" hidden="1" x14ac:dyDescent="0.35">
      <c r="A2357" s="126" t="s">
        <v>481</v>
      </c>
      <c r="B2357" t="str">
        <f>_xlfn.XLOOKUP(A2357,'[1]2050Pop'!$A$7:$A$143,'[1]2050Pop'!$D$7:$D$143)</f>
        <v>APAC</v>
      </c>
      <c r="C2357" s="127">
        <f>1000*_xlfn.XLOOKUP(A2357,'[1]2050Pop'!$A$7:$A$143,'[1]2050Pop'!$C$7:$C$143)</f>
        <v>26907</v>
      </c>
      <c r="D2357" s="126" t="s">
        <v>514</v>
      </c>
      <c r="E2357" s="128">
        <v>89.409000000000006</v>
      </c>
      <c r="F2357" s="129">
        <f t="shared" si="110"/>
        <v>2.4057279629999999</v>
      </c>
      <c r="G2357" t="str">
        <f>_xlfn.XLOOKUP(D2357,'[1]2050 BAU Mapping to T &amp; C'!$A$3:$A$52,'[1]2050 BAU Mapping to T &amp; C'!$B$3:$B$52)</f>
        <v>Other veg</v>
      </c>
      <c r="H2357" s="129">
        <f>_xlfn.XLOOKUP(G2357,'[1]T&amp;C emissions for 2050 analysis'!$B$3:$B$23,'[1]T&amp;C emissions for 2050 analysis'!$C$3:$C$23)</f>
        <v>0.26766666666666666</v>
      </c>
      <c r="I2357" s="27">
        <f t="shared" si="108"/>
        <v>0.64393318476299999</v>
      </c>
      <c r="J2357" s="129">
        <f t="shared" si="109"/>
        <v>23.931809000000001</v>
      </c>
    </row>
    <row r="2358" spans="1:10" hidden="1" x14ac:dyDescent="0.35">
      <c r="A2358" s="126" t="s">
        <v>388</v>
      </c>
      <c r="B2358" t="str">
        <f>_xlfn.XLOOKUP(A2358,'[1]2050Pop'!$A$7:$A$143,'[1]2050Pop'!$D$7:$D$143)</f>
        <v>Euro/AU/NZ</v>
      </c>
      <c r="C2358" s="127">
        <f>1000*_xlfn.XLOOKUP(A2358,'[1]2050Pop'!$A$7:$A$143,'[1]2050Pop'!$C$7:$C$143)</f>
        <v>6299</v>
      </c>
      <c r="D2358" s="126" t="s">
        <v>514</v>
      </c>
      <c r="E2358" s="128">
        <v>83.575999999999993</v>
      </c>
      <c r="F2358" s="129">
        <f t="shared" si="110"/>
        <v>0.52644522399999993</v>
      </c>
      <c r="G2358" t="str">
        <f>_xlfn.XLOOKUP(D2358,'[1]2050 BAU Mapping to T &amp; C'!$A$3:$A$52,'[1]2050 BAU Mapping to T &amp; C'!$B$3:$B$52)</f>
        <v>Other veg</v>
      </c>
      <c r="H2358" s="129">
        <f>_xlfn.XLOOKUP(G2358,'[1]T&amp;C emissions for 2050 analysis'!$B$3:$B$23,'[1]T&amp;C emissions for 2050 analysis'!$C$3:$C$23)</f>
        <v>0.26766666666666666</v>
      </c>
      <c r="I2358" s="27">
        <f t="shared" si="108"/>
        <v>0.14091183829066664</v>
      </c>
      <c r="J2358" s="129">
        <f t="shared" si="109"/>
        <v>22.370509333333331</v>
      </c>
    </row>
    <row r="2359" spans="1:10" hidden="1" x14ac:dyDescent="0.35">
      <c r="A2359" s="126" t="s">
        <v>389</v>
      </c>
      <c r="B2359" t="str">
        <f>_xlfn.XLOOKUP(A2359,'[1]2050Pop'!$A$7:$A$143,'[1]2050Pop'!$D$7:$D$143)</f>
        <v>LatAm &amp; RSA</v>
      </c>
      <c r="C2359" s="127">
        <f>1000*_xlfn.XLOOKUP(A2359,'[1]2050Pop'!$A$7:$A$143,'[1]2050Pop'!$C$7:$C$143)</f>
        <v>13238</v>
      </c>
      <c r="D2359" s="126" t="s">
        <v>514</v>
      </c>
      <c r="E2359" s="128">
        <v>131.833</v>
      </c>
      <c r="F2359" s="129">
        <f t="shared" si="110"/>
        <v>1.745205254</v>
      </c>
      <c r="G2359" t="str">
        <f>_xlfn.XLOOKUP(D2359,'[1]2050 BAU Mapping to T &amp; C'!$A$3:$A$52,'[1]2050 BAU Mapping to T &amp; C'!$B$3:$B$52)</f>
        <v>Other veg</v>
      </c>
      <c r="H2359" s="129">
        <f>_xlfn.XLOOKUP(G2359,'[1]T&amp;C emissions for 2050 analysis'!$B$3:$B$23,'[1]T&amp;C emissions for 2050 analysis'!$C$3:$C$23)</f>
        <v>0.26766666666666666</v>
      </c>
      <c r="I2359" s="27">
        <f t="shared" si="108"/>
        <v>0.46713327298733331</v>
      </c>
      <c r="J2359" s="129">
        <f t="shared" si="109"/>
        <v>35.287299666666669</v>
      </c>
    </row>
    <row r="2360" spans="1:10" hidden="1" x14ac:dyDescent="0.35">
      <c r="A2360" s="126" t="s">
        <v>390</v>
      </c>
      <c r="B2360" t="str">
        <f>_xlfn.XLOOKUP(A2360,'[1]2050Pop'!$A$7:$A$143,'[1]2050Pop'!$D$7:$D$143)</f>
        <v>LatAm &amp; RSA</v>
      </c>
      <c r="C2360" s="127">
        <f>1000*_xlfn.XLOOKUP(A2360,'[1]2050Pop'!$A$7:$A$143,'[1]2050Pop'!$C$7:$C$143)</f>
        <v>23013</v>
      </c>
      <c r="D2360" s="126" t="s">
        <v>514</v>
      </c>
      <c r="E2360" s="128">
        <v>44.710999999999999</v>
      </c>
      <c r="F2360" s="129">
        <f t="shared" si="110"/>
        <v>1.0289342429999999</v>
      </c>
      <c r="G2360" t="str">
        <f>_xlfn.XLOOKUP(D2360,'[1]2050 BAU Mapping to T &amp; C'!$A$3:$A$52,'[1]2050 BAU Mapping to T &amp; C'!$B$3:$B$52)</f>
        <v>Other veg</v>
      </c>
      <c r="H2360" s="129">
        <f>_xlfn.XLOOKUP(G2360,'[1]T&amp;C emissions for 2050 analysis'!$B$3:$B$23,'[1]T&amp;C emissions for 2050 analysis'!$C$3:$C$23)</f>
        <v>0.26766666666666666</v>
      </c>
      <c r="I2360" s="27">
        <f t="shared" si="108"/>
        <v>0.27541139904299999</v>
      </c>
      <c r="J2360" s="129">
        <f t="shared" si="109"/>
        <v>11.967644333333332</v>
      </c>
    </row>
    <row r="2361" spans="1:10" hidden="1" x14ac:dyDescent="0.35">
      <c r="A2361" s="126" t="s">
        <v>391</v>
      </c>
      <c r="B2361" t="str">
        <f>_xlfn.XLOOKUP(A2361,'[1]2050Pop'!$A$7:$A$143,'[1]2050Pop'!$D$7:$D$143)</f>
        <v>MENA</v>
      </c>
      <c r="C2361" s="127">
        <f>1000*_xlfn.XLOOKUP(A2361,'[1]2050Pop'!$A$7:$A$143,'[1]2050Pop'!$C$7:$C$143)</f>
        <v>151111</v>
      </c>
      <c r="D2361" s="126" t="s">
        <v>514</v>
      </c>
      <c r="E2361" s="128">
        <v>155.208</v>
      </c>
      <c r="F2361" s="129">
        <f t="shared" si="110"/>
        <v>23.453636088</v>
      </c>
      <c r="G2361" t="str">
        <f>_xlfn.XLOOKUP(D2361,'[1]2050 BAU Mapping to T &amp; C'!$A$3:$A$52,'[1]2050 BAU Mapping to T &amp; C'!$B$3:$B$52)</f>
        <v>Other veg</v>
      </c>
      <c r="H2361" s="129">
        <f>_xlfn.XLOOKUP(G2361,'[1]T&amp;C emissions for 2050 analysis'!$B$3:$B$23,'[1]T&amp;C emissions for 2050 analysis'!$C$3:$C$23)</f>
        <v>0.26766666666666666</v>
      </c>
      <c r="I2361" s="27">
        <f t="shared" si="108"/>
        <v>6.2777565928880001</v>
      </c>
      <c r="J2361" s="129">
        <f t="shared" si="109"/>
        <v>41.544007999999998</v>
      </c>
    </row>
    <row r="2362" spans="1:10" hidden="1" x14ac:dyDescent="0.35">
      <c r="A2362" s="126" t="s">
        <v>392</v>
      </c>
      <c r="B2362" t="str">
        <f>_xlfn.XLOOKUP(A2362,'[1]2050Pop'!$A$7:$A$143,'[1]2050Pop'!$D$7:$D$143)</f>
        <v>LatAm &amp; RSA</v>
      </c>
      <c r="C2362" s="127">
        <f>1000*_xlfn.XLOOKUP(A2362,'[1]2050Pop'!$A$7:$A$143,'[1]2050Pop'!$C$7:$C$143)</f>
        <v>6390</v>
      </c>
      <c r="D2362" s="126" t="s">
        <v>514</v>
      </c>
      <c r="E2362" s="128">
        <v>24.637</v>
      </c>
      <c r="F2362" s="129">
        <f t="shared" si="110"/>
        <v>0.15743042999999998</v>
      </c>
      <c r="G2362" t="str">
        <f>_xlfn.XLOOKUP(D2362,'[1]2050 BAU Mapping to T &amp; C'!$A$3:$A$52,'[1]2050 BAU Mapping to T &amp; C'!$B$3:$B$52)</f>
        <v>Other veg</v>
      </c>
      <c r="H2362" s="129">
        <f>_xlfn.XLOOKUP(G2362,'[1]T&amp;C emissions for 2050 analysis'!$B$3:$B$23,'[1]T&amp;C emissions for 2050 analysis'!$C$3:$C$23)</f>
        <v>0.26766666666666666</v>
      </c>
      <c r="I2362" s="27">
        <f t="shared" si="108"/>
        <v>4.2138878429999992E-2</v>
      </c>
      <c r="J2362" s="129">
        <f t="shared" si="109"/>
        <v>6.5945036666666663</v>
      </c>
    </row>
    <row r="2363" spans="1:10" hidden="1" x14ac:dyDescent="0.35">
      <c r="A2363" s="126" t="s">
        <v>393</v>
      </c>
      <c r="B2363" t="str">
        <f>_xlfn.XLOOKUP(A2363,'[1]2050Pop'!$A$7:$A$143,'[1]2050Pop'!$D$7:$D$143)</f>
        <v>Euro/AU/NZ</v>
      </c>
      <c r="C2363" s="127">
        <f>1000*_xlfn.XLOOKUP(A2363,'[1]2050Pop'!$A$7:$A$143,'[1]2050Pop'!$C$7:$C$143)</f>
        <v>1129</v>
      </c>
      <c r="D2363" s="126" t="s">
        <v>514</v>
      </c>
      <c r="E2363" s="128">
        <v>75.997</v>
      </c>
      <c r="F2363" s="129">
        <f t="shared" si="110"/>
        <v>8.5800612999999998E-2</v>
      </c>
      <c r="G2363" t="str">
        <f>_xlfn.XLOOKUP(D2363,'[1]2050 BAU Mapping to T &amp; C'!$A$3:$A$52,'[1]2050 BAU Mapping to T &amp; C'!$B$3:$B$52)</f>
        <v>Other veg</v>
      </c>
      <c r="H2363" s="129">
        <f>_xlfn.XLOOKUP(G2363,'[1]T&amp;C emissions for 2050 analysis'!$B$3:$B$23,'[1]T&amp;C emissions for 2050 analysis'!$C$3:$C$23)</f>
        <v>0.26766666666666666</v>
      </c>
      <c r="I2363" s="27">
        <f t="shared" si="108"/>
        <v>2.2965964079666668E-2</v>
      </c>
      <c r="J2363" s="129">
        <f t="shared" si="109"/>
        <v>20.341863666666665</v>
      </c>
    </row>
    <row r="2364" spans="1:10" hidden="1" x14ac:dyDescent="0.35">
      <c r="A2364" s="126" t="s">
        <v>394</v>
      </c>
      <c r="B2364" t="str">
        <f>_xlfn.XLOOKUP(A2364,'[1]2050Pop'!$A$7:$A$143,'[1]2050Pop'!$D$7:$D$143)</f>
        <v>SSA</v>
      </c>
      <c r="C2364" s="127">
        <f>1000*_xlfn.XLOOKUP(A2364,'[1]2050Pop'!$A$7:$A$143,'[1]2050Pop'!$C$7:$C$143)</f>
        <v>188455</v>
      </c>
      <c r="D2364" s="126" t="s">
        <v>514</v>
      </c>
      <c r="E2364" s="128">
        <v>5.9960000000000004</v>
      </c>
      <c r="F2364" s="129">
        <f t="shared" si="110"/>
        <v>1.1299761800000001</v>
      </c>
      <c r="G2364" t="str">
        <f>_xlfn.XLOOKUP(D2364,'[1]2050 BAU Mapping to T &amp; C'!$A$3:$A$52,'[1]2050 BAU Mapping to T &amp; C'!$B$3:$B$52)</f>
        <v>Other veg</v>
      </c>
      <c r="H2364" s="129">
        <f>_xlfn.XLOOKUP(G2364,'[1]T&amp;C emissions for 2050 analysis'!$B$3:$B$23,'[1]T&amp;C emissions for 2050 analysis'!$C$3:$C$23)</f>
        <v>0.26766666666666666</v>
      </c>
      <c r="I2364" s="27">
        <f t="shared" si="108"/>
        <v>0.30245695751333335</v>
      </c>
      <c r="J2364" s="129">
        <f t="shared" si="109"/>
        <v>1.6049293333333334</v>
      </c>
    </row>
    <row r="2365" spans="1:10" hidden="1" x14ac:dyDescent="0.35">
      <c r="A2365" s="126" t="s">
        <v>395</v>
      </c>
      <c r="B2365" t="str">
        <f>_xlfn.XLOOKUP(A2365,'[1]2050Pop'!$A$7:$A$143,'[1]2050Pop'!$D$7:$D$143)</f>
        <v>Euro/AU/NZ</v>
      </c>
      <c r="C2365" s="127">
        <f>1000*_xlfn.XLOOKUP(A2365,'[1]2050Pop'!$A$7:$A$143,'[1]2050Pop'!$C$7:$C$143)</f>
        <v>5752</v>
      </c>
      <c r="D2365" s="126" t="s">
        <v>514</v>
      </c>
      <c r="E2365" s="128">
        <v>61.182000000000002</v>
      </c>
      <c r="F2365" s="129">
        <f t="shared" si="110"/>
        <v>0.351918864</v>
      </c>
      <c r="G2365" t="str">
        <f>_xlfn.XLOOKUP(D2365,'[1]2050 BAU Mapping to T &amp; C'!$A$3:$A$52,'[1]2050 BAU Mapping to T &amp; C'!$B$3:$B$52)</f>
        <v>Other veg</v>
      </c>
      <c r="H2365" s="129">
        <f>_xlfn.XLOOKUP(G2365,'[1]T&amp;C emissions for 2050 analysis'!$B$3:$B$23,'[1]T&amp;C emissions for 2050 analysis'!$C$3:$C$23)</f>
        <v>0.26766666666666666</v>
      </c>
      <c r="I2365" s="27">
        <f t="shared" si="108"/>
        <v>9.4196949264000004E-2</v>
      </c>
      <c r="J2365" s="129">
        <f t="shared" si="109"/>
        <v>16.376382</v>
      </c>
    </row>
    <row r="2366" spans="1:10" hidden="1" x14ac:dyDescent="0.35">
      <c r="A2366" s="126" t="s">
        <v>396</v>
      </c>
      <c r="B2366" t="str">
        <f>_xlfn.XLOOKUP(A2366,'[1]2050Pop'!$A$7:$A$143,'[1]2050Pop'!$D$7:$D$143)</f>
        <v>Euro/AU/NZ</v>
      </c>
      <c r="C2366" s="127">
        <f>1000*_xlfn.XLOOKUP(A2366,'[1]2050Pop'!$A$7:$A$143,'[1]2050Pop'!$C$7:$C$143)</f>
        <v>71137</v>
      </c>
      <c r="D2366" s="126" t="s">
        <v>514</v>
      </c>
      <c r="E2366" s="130">
        <v>65.36</v>
      </c>
      <c r="F2366" s="129">
        <f t="shared" si="110"/>
        <v>4.6495143200000006</v>
      </c>
      <c r="G2366" t="str">
        <f>_xlfn.XLOOKUP(D2366,'[1]2050 BAU Mapping to T &amp; C'!$A$3:$A$52,'[1]2050 BAU Mapping to T &amp; C'!$B$3:$B$52)</f>
        <v>Other veg</v>
      </c>
      <c r="H2366" s="129">
        <f>_xlfn.XLOOKUP(G2366,'[1]T&amp;C emissions for 2050 analysis'!$B$3:$B$23,'[1]T&amp;C emissions for 2050 analysis'!$C$3:$C$23)</f>
        <v>0.26766666666666666</v>
      </c>
      <c r="I2366" s="27">
        <f t="shared" si="108"/>
        <v>1.2445199996533336</v>
      </c>
      <c r="J2366" s="129">
        <f t="shared" si="109"/>
        <v>17.494693333333334</v>
      </c>
    </row>
    <row r="2367" spans="1:10" hidden="1" x14ac:dyDescent="0.35">
      <c r="A2367" s="126" t="s">
        <v>397</v>
      </c>
      <c r="B2367" t="str">
        <f>_xlfn.XLOOKUP(A2367,'[1]2050Pop'!$A$7:$A$143,'[1]2050Pop'!$D$7:$D$143)</f>
        <v>SSA</v>
      </c>
      <c r="C2367" s="127">
        <f>1000*_xlfn.XLOOKUP(A2367,'[1]2050Pop'!$A$7:$A$143,'[1]2050Pop'!$C$7:$C$143)</f>
        <v>3164</v>
      </c>
      <c r="D2367" s="126" t="s">
        <v>514</v>
      </c>
      <c r="E2367" s="130">
        <v>20.86</v>
      </c>
      <c r="F2367" s="129">
        <f t="shared" si="110"/>
        <v>6.6001039999999997E-2</v>
      </c>
      <c r="G2367" t="str">
        <f>_xlfn.XLOOKUP(D2367,'[1]2050 BAU Mapping to T &amp; C'!$A$3:$A$52,'[1]2050 BAU Mapping to T &amp; C'!$B$3:$B$52)</f>
        <v>Other veg</v>
      </c>
      <c r="H2367" s="129">
        <f>_xlfn.XLOOKUP(G2367,'[1]T&amp;C emissions for 2050 analysis'!$B$3:$B$23,'[1]T&amp;C emissions for 2050 analysis'!$C$3:$C$23)</f>
        <v>0.26766666666666666</v>
      </c>
      <c r="I2367" s="27">
        <f t="shared" si="108"/>
        <v>1.7666278373333334E-2</v>
      </c>
      <c r="J2367" s="129">
        <f t="shared" si="109"/>
        <v>5.5835266666666667</v>
      </c>
    </row>
    <row r="2368" spans="1:10" hidden="1" x14ac:dyDescent="0.35">
      <c r="A2368" s="126" t="s">
        <v>489</v>
      </c>
      <c r="B2368" t="str">
        <f>_xlfn.XLOOKUP(A2368,'[1]2050Pop'!$A$7:$A$143,'[1]2050Pop'!$D$7:$D$143)</f>
        <v>SSA</v>
      </c>
      <c r="C2368" s="127">
        <f>1000*_xlfn.XLOOKUP(A2368,'[1]2050Pop'!$A$7:$A$143,'[1]2050Pop'!$C$7:$C$143)</f>
        <v>4981</v>
      </c>
      <c r="D2368" s="126" t="s">
        <v>514</v>
      </c>
      <c r="E2368" s="128">
        <v>10.339</v>
      </c>
      <c r="F2368" s="129">
        <f t="shared" si="110"/>
        <v>5.1498558999999999E-2</v>
      </c>
      <c r="G2368" t="str">
        <f>_xlfn.XLOOKUP(D2368,'[1]2050 BAU Mapping to T &amp; C'!$A$3:$A$52,'[1]2050 BAU Mapping to T &amp; C'!$B$3:$B$52)</f>
        <v>Other veg</v>
      </c>
      <c r="H2368" s="129">
        <f>_xlfn.XLOOKUP(G2368,'[1]T&amp;C emissions for 2050 analysis'!$B$3:$B$23,'[1]T&amp;C emissions for 2050 analysis'!$C$3:$C$23)</f>
        <v>0.26766666666666666</v>
      </c>
      <c r="I2368" s="27">
        <f t="shared" si="108"/>
        <v>1.3784447625666666E-2</v>
      </c>
      <c r="J2368" s="129">
        <f t="shared" si="109"/>
        <v>2.7674056666666669</v>
      </c>
    </row>
    <row r="2369" spans="1:10" hidden="1" x14ac:dyDescent="0.35">
      <c r="A2369" s="126" t="s">
        <v>398</v>
      </c>
      <c r="B2369" t="str">
        <f>_xlfn.XLOOKUP(A2369,'[1]2050Pop'!$A$7:$A$143,'[1]2050Pop'!$D$7:$D$143)</f>
        <v>MENA</v>
      </c>
      <c r="C2369" s="127">
        <f>1000*_xlfn.XLOOKUP(A2369,'[1]2050Pop'!$A$7:$A$143,'[1]2050Pop'!$C$7:$C$143)</f>
        <v>3483</v>
      </c>
      <c r="D2369" s="126" t="s">
        <v>514</v>
      </c>
      <c r="E2369" s="128">
        <v>41.453000000000003</v>
      </c>
      <c r="F2369" s="129">
        <f t="shared" si="110"/>
        <v>0.144380799</v>
      </c>
      <c r="G2369" t="str">
        <f>_xlfn.XLOOKUP(D2369,'[1]2050 BAU Mapping to T &amp; C'!$A$3:$A$52,'[1]2050 BAU Mapping to T &amp; C'!$B$3:$B$52)</f>
        <v>Other veg</v>
      </c>
      <c r="H2369" s="129">
        <f>_xlfn.XLOOKUP(G2369,'[1]T&amp;C emissions for 2050 analysis'!$B$3:$B$23,'[1]T&amp;C emissions for 2050 analysis'!$C$3:$C$23)</f>
        <v>0.26766666666666666</v>
      </c>
      <c r="I2369" s="27">
        <f t="shared" si="108"/>
        <v>3.8645927199000001E-2</v>
      </c>
      <c r="J2369" s="129">
        <f t="shared" si="109"/>
        <v>11.095586333333333</v>
      </c>
    </row>
    <row r="2370" spans="1:10" hidden="1" x14ac:dyDescent="0.35">
      <c r="A2370" s="126" t="s">
        <v>399</v>
      </c>
      <c r="B2370" t="str">
        <f>_xlfn.XLOOKUP(A2370,'[1]2050Pop'!$A$7:$A$143,'[1]2050Pop'!$D$7:$D$143)</f>
        <v>Euro/AU/NZ</v>
      </c>
      <c r="C2370" s="127">
        <f>1000*_xlfn.XLOOKUP(A2370,'[1]2050Pop'!$A$7:$A$143,'[1]2050Pop'!$C$7:$C$143)</f>
        <v>74513</v>
      </c>
      <c r="D2370" s="126" t="s">
        <v>514</v>
      </c>
      <c r="E2370" s="128">
        <v>78.546000000000006</v>
      </c>
      <c r="F2370" s="129">
        <f t="shared" si="110"/>
        <v>5.8526980980000003</v>
      </c>
      <c r="G2370" t="str">
        <f>_xlfn.XLOOKUP(D2370,'[1]2050 BAU Mapping to T &amp; C'!$A$3:$A$52,'[1]2050 BAU Mapping to T &amp; C'!$B$3:$B$52)</f>
        <v>Other veg</v>
      </c>
      <c r="H2370" s="129">
        <f>_xlfn.XLOOKUP(G2370,'[1]T&amp;C emissions for 2050 analysis'!$B$3:$B$23,'[1]T&amp;C emissions for 2050 analysis'!$C$3:$C$23)</f>
        <v>0.26766666666666666</v>
      </c>
      <c r="I2370" s="27">
        <f t="shared" si="108"/>
        <v>1.5665721908980001</v>
      </c>
      <c r="J2370" s="129">
        <f t="shared" si="109"/>
        <v>21.024146000000002</v>
      </c>
    </row>
    <row r="2371" spans="1:10" hidden="1" x14ac:dyDescent="0.35">
      <c r="A2371" s="126" t="s">
        <v>400</v>
      </c>
      <c r="B2371" t="str">
        <f>_xlfn.XLOOKUP(A2371,'[1]2050Pop'!$A$7:$A$143,'[1]2050Pop'!$D$7:$D$143)</f>
        <v>SSA</v>
      </c>
      <c r="C2371" s="127">
        <f>1000*_xlfn.XLOOKUP(A2371,'[1]2050Pop'!$A$7:$A$143,'[1]2050Pop'!$C$7:$C$143)</f>
        <v>50071</v>
      </c>
      <c r="D2371" s="126" t="s">
        <v>514</v>
      </c>
      <c r="E2371" s="128">
        <v>34.186999999999998</v>
      </c>
      <c r="F2371" s="129">
        <f t="shared" si="110"/>
        <v>1.7117772769999997</v>
      </c>
      <c r="G2371" t="str">
        <f>_xlfn.XLOOKUP(D2371,'[1]2050 BAU Mapping to T &amp; C'!$A$3:$A$52,'[1]2050 BAU Mapping to T &amp; C'!$B$3:$B$52)</f>
        <v>Other veg</v>
      </c>
      <c r="H2371" s="129">
        <f>_xlfn.XLOOKUP(G2371,'[1]T&amp;C emissions for 2050 analysis'!$B$3:$B$23,'[1]T&amp;C emissions for 2050 analysis'!$C$3:$C$23)</f>
        <v>0.26766666666666666</v>
      </c>
      <c r="I2371" s="27">
        <f t="shared" si="108"/>
        <v>0.45818571781033324</v>
      </c>
      <c r="J2371" s="129">
        <f t="shared" si="109"/>
        <v>9.1507203333333322</v>
      </c>
    </row>
    <row r="2372" spans="1:10" hidden="1" x14ac:dyDescent="0.35">
      <c r="A2372" s="126" t="s">
        <v>401</v>
      </c>
      <c r="B2372" t="str">
        <f>_xlfn.XLOOKUP(A2372,'[1]2050Pop'!$A$7:$A$143,'[1]2050Pop'!$D$7:$D$143)</f>
        <v>Euro/AU/NZ</v>
      </c>
      <c r="C2372" s="127">
        <f>1000*_xlfn.XLOOKUP(A2372,'[1]2050Pop'!$A$7:$A$143,'[1]2050Pop'!$C$7:$C$143)</f>
        <v>9705</v>
      </c>
      <c r="D2372" s="126" t="s">
        <v>514</v>
      </c>
      <c r="E2372" s="128">
        <v>112.312</v>
      </c>
      <c r="F2372" s="129">
        <f t="shared" si="110"/>
        <v>1.08998796</v>
      </c>
      <c r="G2372" t="str">
        <f>_xlfn.XLOOKUP(D2372,'[1]2050 BAU Mapping to T &amp; C'!$A$3:$A$52,'[1]2050 BAU Mapping to T &amp; C'!$B$3:$B$52)</f>
        <v>Other veg</v>
      </c>
      <c r="H2372" s="129">
        <f>_xlfn.XLOOKUP(G2372,'[1]T&amp;C emissions for 2050 analysis'!$B$3:$B$23,'[1]T&amp;C emissions for 2050 analysis'!$C$3:$C$23)</f>
        <v>0.26766666666666666</v>
      </c>
      <c r="I2372" s="27">
        <f t="shared" ref="I2372:I2435" si="111">F2372*H2372</f>
        <v>0.29175344395999997</v>
      </c>
      <c r="J2372" s="129">
        <f t="shared" ref="J2372:J2435" si="112">E2372*H2372</f>
        <v>30.062178666666664</v>
      </c>
    </row>
    <row r="2373" spans="1:10" hidden="1" x14ac:dyDescent="0.35">
      <c r="A2373" s="126" t="s">
        <v>402</v>
      </c>
      <c r="B2373" t="str">
        <f>_xlfn.XLOOKUP(A2373,'[1]2050Pop'!$A$7:$A$143,'[1]2050Pop'!$D$7:$D$143)</f>
        <v>LatAm &amp; RSA</v>
      </c>
      <c r="C2373" s="127">
        <f>1000*_xlfn.XLOOKUP(A2373,'[1]2050Pop'!$A$7:$A$143,'[1]2050Pop'!$C$7:$C$143)</f>
        <v>27754</v>
      </c>
      <c r="D2373" s="126" t="s">
        <v>514</v>
      </c>
      <c r="E2373" s="128">
        <v>44.433</v>
      </c>
      <c r="F2373" s="129">
        <f t="shared" ref="F2373:F2436" si="113">C2373*E2373/1000000</f>
        <v>1.2331934820000001</v>
      </c>
      <c r="G2373" t="str">
        <f>_xlfn.XLOOKUP(D2373,'[1]2050 BAU Mapping to T &amp; C'!$A$3:$A$52,'[1]2050 BAU Mapping to T &amp; C'!$B$3:$B$52)</f>
        <v>Other veg</v>
      </c>
      <c r="H2373" s="129">
        <f>_xlfn.XLOOKUP(G2373,'[1]T&amp;C emissions for 2050 analysis'!$B$3:$B$23,'[1]T&amp;C emissions for 2050 analysis'!$C$3:$C$23)</f>
        <v>0.26766666666666666</v>
      </c>
      <c r="I2373" s="27">
        <f t="shared" si="111"/>
        <v>0.33008478868200003</v>
      </c>
      <c r="J2373" s="129">
        <f t="shared" si="112"/>
        <v>11.893233</v>
      </c>
    </row>
    <row r="2374" spans="1:10" hidden="1" x14ac:dyDescent="0.35">
      <c r="A2374" s="126" t="s">
        <v>403</v>
      </c>
      <c r="B2374" t="str">
        <f>_xlfn.XLOOKUP(A2374,'[1]2050Pop'!$A$7:$A$143,'[1]2050Pop'!$D$7:$D$143)</f>
        <v>SSA</v>
      </c>
      <c r="C2374" s="127">
        <f>1000*_xlfn.XLOOKUP(A2374,'[1]2050Pop'!$A$7:$A$143,'[1]2050Pop'!$C$7:$C$143)</f>
        <v>27486</v>
      </c>
      <c r="D2374" s="126" t="s">
        <v>514</v>
      </c>
      <c r="E2374" s="128">
        <v>35.902000000000001</v>
      </c>
      <c r="F2374" s="129">
        <f t="shared" si="113"/>
        <v>0.98680237199999998</v>
      </c>
      <c r="G2374" t="str">
        <f>_xlfn.XLOOKUP(D2374,'[1]2050 BAU Mapping to T &amp; C'!$A$3:$A$52,'[1]2050 BAU Mapping to T &amp; C'!$B$3:$B$52)</f>
        <v>Other veg</v>
      </c>
      <c r="H2374" s="129">
        <f>_xlfn.XLOOKUP(G2374,'[1]T&amp;C emissions for 2050 analysis'!$B$3:$B$23,'[1]T&amp;C emissions for 2050 analysis'!$C$3:$C$23)</f>
        <v>0.26766666666666666</v>
      </c>
      <c r="I2374" s="27">
        <f t="shared" si="111"/>
        <v>0.26413410157200001</v>
      </c>
      <c r="J2374" s="129">
        <f t="shared" si="112"/>
        <v>9.6097686666666675</v>
      </c>
    </row>
    <row r="2375" spans="1:10" hidden="1" x14ac:dyDescent="0.35">
      <c r="A2375" s="126" t="s">
        <v>404</v>
      </c>
      <c r="B2375" t="str">
        <f>_xlfn.XLOOKUP(A2375,'[1]2050Pop'!$A$7:$A$143,'[1]2050Pop'!$D$7:$D$143)</f>
        <v>LatAm &amp; RSA</v>
      </c>
      <c r="C2375" s="127">
        <f>1000*_xlfn.XLOOKUP(A2375,'[1]2050Pop'!$A$7:$A$143,'[1]2050Pop'!$C$7:$C$143)</f>
        <v>806</v>
      </c>
      <c r="D2375" s="126" t="s">
        <v>514</v>
      </c>
      <c r="E2375" s="128">
        <v>26.193999999999999</v>
      </c>
      <c r="F2375" s="129">
        <f t="shared" si="113"/>
        <v>2.1112363999999998E-2</v>
      </c>
      <c r="G2375" t="str">
        <f>_xlfn.XLOOKUP(D2375,'[1]2050 BAU Mapping to T &amp; C'!$A$3:$A$52,'[1]2050 BAU Mapping to T &amp; C'!$B$3:$B$52)</f>
        <v>Other veg</v>
      </c>
      <c r="H2375" s="129">
        <f>_xlfn.XLOOKUP(G2375,'[1]T&amp;C emissions for 2050 analysis'!$B$3:$B$23,'[1]T&amp;C emissions for 2050 analysis'!$C$3:$C$23)</f>
        <v>0.26766666666666666</v>
      </c>
      <c r="I2375" s="27">
        <f t="shared" si="111"/>
        <v>5.6510760973333329E-3</v>
      </c>
      <c r="J2375" s="129">
        <f t="shared" si="112"/>
        <v>7.0112606666666659</v>
      </c>
    </row>
    <row r="2376" spans="1:10" hidden="1" x14ac:dyDescent="0.35">
      <c r="A2376" s="126" t="s">
        <v>405</v>
      </c>
      <c r="B2376" t="str">
        <f>_xlfn.XLOOKUP(A2376,'[1]2050Pop'!$A$7:$A$143,'[1]2050Pop'!$D$7:$D$143)</f>
        <v>LatAm &amp; RSA</v>
      </c>
      <c r="C2376" s="127">
        <f>1000*_xlfn.XLOOKUP(A2376,'[1]2050Pop'!$A$7:$A$143,'[1]2050Pop'!$C$7:$C$143)</f>
        <v>14189</v>
      </c>
      <c r="D2376" s="126" t="s">
        <v>514</v>
      </c>
      <c r="E2376" s="128">
        <v>37.718000000000004</v>
      </c>
      <c r="F2376" s="129">
        <f t="shared" si="113"/>
        <v>0.53518070200000001</v>
      </c>
      <c r="G2376" t="str">
        <f>_xlfn.XLOOKUP(D2376,'[1]2050 BAU Mapping to T &amp; C'!$A$3:$A$52,'[1]2050 BAU Mapping to T &amp; C'!$B$3:$B$52)</f>
        <v>Other veg</v>
      </c>
      <c r="H2376" s="129">
        <f>_xlfn.XLOOKUP(G2376,'[1]T&amp;C emissions for 2050 analysis'!$B$3:$B$23,'[1]T&amp;C emissions for 2050 analysis'!$C$3:$C$23)</f>
        <v>0.26766666666666666</v>
      </c>
      <c r="I2376" s="27">
        <f t="shared" si="111"/>
        <v>0.14325003456866667</v>
      </c>
      <c r="J2376" s="129">
        <f t="shared" si="112"/>
        <v>10.095851333333334</v>
      </c>
    </row>
    <row r="2377" spans="1:10" hidden="1" x14ac:dyDescent="0.35">
      <c r="A2377" s="126" t="s">
        <v>406</v>
      </c>
      <c r="B2377" t="str">
        <f>_xlfn.XLOOKUP(A2377,'[1]2050Pop'!$A$7:$A$143,'[1]2050Pop'!$D$7:$D$143)</f>
        <v>LatAm &amp; RSA</v>
      </c>
      <c r="C2377" s="127">
        <f>1000*_xlfn.XLOOKUP(A2377,'[1]2050Pop'!$A$7:$A$143,'[1]2050Pop'!$C$7:$C$143)</f>
        <v>11217</v>
      </c>
      <c r="D2377" s="126" t="s">
        <v>514</v>
      </c>
      <c r="E2377" s="128">
        <v>26.923999999999999</v>
      </c>
      <c r="F2377" s="129">
        <f t="shared" si="113"/>
        <v>0.30200650799999995</v>
      </c>
      <c r="G2377" t="str">
        <f>_xlfn.XLOOKUP(D2377,'[1]2050 BAU Mapping to T &amp; C'!$A$3:$A$52,'[1]2050 BAU Mapping to T &amp; C'!$B$3:$B$52)</f>
        <v>Other veg</v>
      </c>
      <c r="H2377" s="129">
        <f>_xlfn.XLOOKUP(G2377,'[1]T&amp;C emissions for 2050 analysis'!$B$3:$B$23,'[1]T&amp;C emissions for 2050 analysis'!$C$3:$C$23)</f>
        <v>0.26766666666666666</v>
      </c>
      <c r="I2377" s="27">
        <f t="shared" si="111"/>
        <v>8.0837075307999981E-2</v>
      </c>
      <c r="J2377" s="129">
        <f t="shared" si="112"/>
        <v>7.2066573333333332</v>
      </c>
    </row>
    <row r="2378" spans="1:10" hidden="1" x14ac:dyDescent="0.35">
      <c r="A2378" s="126" t="s">
        <v>407</v>
      </c>
      <c r="B2378" t="str">
        <f>_xlfn.XLOOKUP(A2378,'[1]2050Pop'!$A$7:$A$143,'[1]2050Pop'!$D$7:$D$143)</f>
        <v>Euro/AU/NZ</v>
      </c>
      <c r="C2378" s="127">
        <f>1000*_xlfn.XLOOKUP(A2378,'[1]2050Pop'!$A$7:$A$143,'[1]2050Pop'!$C$7:$C$143)</f>
        <v>8318</v>
      </c>
      <c r="D2378" s="126" t="s">
        <v>514</v>
      </c>
      <c r="E2378" s="128">
        <v>71.822999999999993</v>
      </c>
      <c r="F2378" s="129">
        <f t="shared" si="113"/>
        <v>0.59742371399999994</v>
      </c>
      <c r="G2378" t="str">
        <f>_xlfn.XLOOKUP(D2378,'[1]2050 BAU Mapping to T &amp; C'!$A$3:$A$52,'[1]2050 BAU Mapping to T &amp; C'!$B$3:$B$52)</f>
        <v>Other veg</v>
      </c>
      <c r="H2378" s="129">
        <f>_xlfn.XLOOKUP(G2378,'[1]T&amp;C emissions for 2050 analysis'!$B$3:$B$23,'[1]T&amp;C emissions for 2050 analysis'!$C$3:$C$23)</f>
        <v>0.26766666666666666</v>
      </c>
      <c r="I2378" s="27">
        <f t="shared" si="111"/>
        <v>0.15991041411399998</v>
      </c>
      <c r="J2378" s="129">
        <f t="shared" si="112"/>
        <v>19.224622999999998</v>
      </c>
    </row>
    <row r="2379" spans="1:10" hidden="1" x14ac:dyDescent="0.35">
      <c r="A2379" s="126" t="s">
        <v>408</v>
      </c>
      <c r="B2379" t="str">
        <f>_xlfn.XLOOKUP(A2379,'[1]2050Pop'!$A$7:$A$143,'[1]2050Pop'!$D$7:$D$143)</f>
        <v>India/South Asia</v>
      </c>
      <c r="C2379" s="127">
        <f>1000*_xlfn.XLOOKUP(A2379,'[1]2050Pop'!$A$7:$A$143,'[1]2050Pop'!$C$7:$C$143)</f>
        <v>1705333</v>
      </c>
      <c r="D2379" s="126" t="s">
        <v>514</v>
      </c>
      <c r="E2379" s="128">
        <v>41.728000000000002</v>
      </c>
      <c r="F2379" s="129">
        <f t="shared" si="113"/>
        <v>71.160135424000003</v>
      </c>
      <c r="G2379" t="str">
        <f>_xlfn.XLOOKUP(D2379,'[1]2050 BAU Mapping to T &amp; C'!$A$3:$A$52,'[1]2050 BAU Mapping to T &amp; C'!$B$3:$B$52)</f>
        <v>Other veg</v>
      </c>
      <c r="H2379" s="129">
        <f>_xlfn.XLOOKUP(G2379,'[1]T&amp;C emissions for 2050 analysis'!$B$3:$B$23,'[1]T&amp;C emissions for 2050 analysis'!$C$3:$C$23)</f>
        <v>0.26766666666666666</v>
      </c>
      <c r="I2379" s="27">
        <f t="shared" si="111"/>
        <v>19.047196248490668</v>
      </c>
      <c r="J2379" s="129">
        <f t="shared" si="112"/>
        <v>11.169194666666668</v>
      </c>
    </row>
    <row r="2380" spans="1:10" hidden="1" x14ac:dyDescent="0.35">
      <c r="A2380" s="126" t="s">
        <v>409</v>
      </c>
      <c r="B2380" t="str">
        <f>_xlfn.XLOOKUP(A2380,'[1]2050Pop'!$A$7:$A$143,'[1]2050Pop'!$D$7:$D$143)</f>
        <v>APAC</v>
      </c>
      <c r="C2380" s="127">
        <f>1000*_xlfn.XLOOKUP(A2380,'[1]2050Pop'!$A$7:$A$143,'[1]2050Pop'!$C$7:$C$143)</f>
        <v>322237</v>
      </c>
      <c r="D2380" s="126" t="s">
        <v>514</v>
      </c>
      <c r="E2380" s="130">
        <v>52.67</v>
      </c>
      <c r="F2380" s="129">
        <f t="shared" si="113"/>
        <v>16.97222279</v>
      </c>
      <c r="G2380" t="str">
        <f>_xlfn.XLOOKUP(D2380,'[1]2050 BAU Mapping to T &amp; C'!$A$3:$A$52,'[1]2050 BAU Mapping to T &amp; C'!$B$3:$B$52)</f>
        <v>Other veg</v>
      </c>
      <c r="H2380" s="129">
        <f>_xlfn.XLOOKUP(G2380,'[1]T&amp;C emissions for 2050 analysis'!$B$3:$B$23,'[1]T&amp;C emissions for 2050 analysis'!$C$3:$C$23)</f>
        <v>0.26766666666666666</v>
      </c>
      <c r="I2380" s="27">
        <f t="shared" si="111"/>
        <v>4.5428983001233334</v>
      </c>
      <c r="J2380" s="129">
        <f t="shared" si="112"/>
        <v>14.098003333333333</v>
      </c>
    </row>
    <row r="2381" spans="1:10" hidden="1" x14ac:dyDescent="0.35">
      <c r="A2381" s="126" t="s">
        <v>410</v>
      </c>
      <c r="B2381" t="str">
        <f>_xlfn.XLOOKUP(A2381,'[1]2050Pop'!$A$7:$A$143,'[1]2050Pop'!$D$7:$D$143)</f>
        <v>India/South Asia</v>
      </c>
      <c r="C2381" s="127">
        <f>1000*_xlfn.XLOOKUP(A2381,'[1]2050Pop'!$A$7:$A$143,'[1]2050Pop'!$C$7:$C$143)</f>
        <v>92219</v>
      </c>
      <c r="D2381" s="126" t="s">
        <v>514</v>
      </c>
      <c r="E2381" s="130">
        <v>189.02</v>
      </c>
      <c r="F2381" s="129">
        <f t="shared" si="113"/>
        <v>17.431235380000004</v>
      </c>
      <c r="G2381" t="str">
        <f>_xlfn.XLOOKUP(D2381,'[1]2050 BAU Mapping to T &amp; C'!$A$3:$A$52,'[1]2050 BAU Mapping to T &amp; C'!$B$3:$B$52)</f>
        <v>Other veg</v>
      </c>
      <c r="H2381" s="129">
        <f>_xlfn.XLOOKUP(G2381,'[1]T&amp;C emissions for 2050 analysis'!$B$3:$B$23,'[1]T&amp;C emissions for 2050 analysis'!$C$3:$C$23)</f>
        <v>0.26766666666666666</v>
      </c>
      <c r="I2381" s="27">
        <f t="shared" si="111"/>
        <v>4.6657606700466676</v>
      </c>
      <c r="J2381" s="129">
        <f t="shared" si="112"/>
        <v>50.594353333333338</v>
      </c>
    </row>
    <row r="2382" spans="1:10" hidden="1" x14ac:dyDescent="0.35">
      <c r="A2382" s="126" t="s">
        <v>411</v>
      </c>
      <c r="B2382" t="str">
        <f>_xlfn.XLOOKUP(A2382,'[1]2050Pop'!$A$7:$A$143,'[1]2050Pop'!$D$7:$D$143)</f>
        <v>MENA</v>
      </c>
      <c r="C2382" s="127">
        <f>1000*_xlfn.XLOOKUP(A2382,'[1]2050Pop'!$A$7:$A$143,'[1]2050Pop'!$C$7:$C$143)</f>
        <v>83652</v>
      </c>
      <c r="D2382" s="126" t="s">
        <v>514</v>
      </c>
      <c r="E2382" s="128">
        <v>73.778000000000006</v>
      </c>
      <c r="F2382" s="129">
        <f t="shared" si="113"/>
        <v>6.1716772559999997</v>
      </c>
      <c r="G2382" t="str">
        <f>_xlfn.XLOOKUP(D2382,'[1]2050 BAU Mapping to T &amp; C'!$A$3:$A$52,'[1]2050 BAU Mapping to T &amp; C'!$B$3:$B$52)</f>
        <v>Other veg</v>
      </c>
      <c r="H2382" s="129">
        <f>_xlfn.XLOOKUP(G2382,'[1]T&amp;C emissions for 2050 analysis'!$B$3:$B$23,'[1]T&amp;C emissions for 2050 analysis'!$C$3:$C$23)</f>
        <v>0.26766666666666666</v>
      </c>
      <c r="I2382" s="27">
        <f t="shared" si="111"/>
        <v>1.6519522788559999</v>
      </c>
      <c r="J2382" s="129">
        <f t="shared" si="112"/>
        <v>19.747911333333334</v>
      </c>
    </row>
    <row r="2383" spans="1:10" hidden="1" x14ac:dyDescent="0.35">
      <c r="A2383" s="126" t="s">
        <v>412</v>
      </c>
      <c r="B2383" t="str">
        <f>_xlfn.XLOOKUP(A2383,'[1]2050Pop'!$A$7:$A$143,'[1]2050Pop'!$D$7:$D$143)</f>
        <v>Euro/AU/NZ</v>
      </c>
      <c r="C2383" s="127">
        <f>1000*_xlfn.XLOOKUP(A2383,'[1]2050Pop'!$A$7:$A$143,'[1]2050Pop'!$C$7:$C$143)</f>
        <v>5789</v>
      </c>
      <c r="D2383" s="126" t="s">
        <v>514</v>
      </c>
      <c r="E2383" s="130">
        <v>46.85</v>
      </c>
      <c r="F2383" s="129">
        <f t="shared" si="113"/>
        <v>0.27121465</v>
      </c>
      <c r="G2383" t="str">
        <f>_xlfn.XLOOKUP(D2383,'[1]2050 BAU Mapping to T &amp; C'!$A$3:$A$52,'[1]2050 BAU Mapping to T &amp; C'!$B$3:$B$52)</f>
        <v>Other veg</v>
      </c>
      <c r="H2383" s="129">
        <f>_xlfn.XLOOKUP(G2383,'[1]T&amp;C emissions for 2050 analysis'!$B$3:$B$23,'[1]T&amp;C emissions for 2050 analysis'!$C$3:$C$23)</f>
        <v>0.26766666666666666</v>
      </c>
      <c r="I2383" s="27">
        <f t="shared" si="111"/>
        <v>7.2595121316666664E-2</v>
      </c>
      <c r="J2383" s="129">
        <f t="shared" si="112"/>
        <v>12.540183333333333</v>
      </c>
    </row>
    <row r="2384" spans="1:10" hidden="1" x14ac:dyDescent="0.35">
      <c r="A2384" s="126" t="s">
        <v>413</v>
      </c>
      <c r="B2384" t="str">
        <f>_xlfn.XLOOKUP(A2384,'[1]2050Pop'!$A$7:$A$143,'[1]2050Pop'!$D$7:$D$143)</f>
        <v>MENA</v>
      </c>
      <c r="C2384" s="127">
        <f>1000*_xlfn.XLOOKUP(A2384,'[1]2050Pop'!$A$7:$A$143,'[1]2050Pop'!$C$7:$C$143)</f>
        <v>12610</v>
      </c>
      <c r="D2384" s="126" t="s">
        <v>514</v>
      </c>
      <c r="E2384" s="128">
        <v>153.03700000000001</v>
      </c>
      <c r="F2384" s="129">
        <f t="shared" si="113"/>
        <v>1.9297965700000002</v>
      </c>
      <c r="G2384" t="str">
        <f>_xlfn.XLOOKUP(D2384,'[1]2050 BAU Mapping to T &amp; C'!$A$3:$A$52,'[1]2050 BAU Mapping to T &amp; C'!$B$3:$B$52)</f>
        <v>Other veg</v>
      </c>
      <c r="H2384" s="129">
        <f>_xlfn.XLOOKUP(G2384,'[1]T&amp;C emissions for 2050 analysis'!$B$3:$B$23,'[1]T&amp;C emissions for 2050 analysis'!$C$3:$C$23)</f>
        <v>0.26766666666666666</v>
      </c>
      <c r="I2384" s="27">
        <f t="shared" si="111"/>
        <v>0.51654221523666666</v>
      </c>
      <c r="J2384" s="129">
        <f t="shared" si="112"/>
        <v>40.962903666666669</v>
      </c>
    </row>
    <row r="2385" spans="1:10" hidden="1" x14ac:dyDescent="0.35">
      <c r="A2385" s="126" t="s">
        <v>414</v>
      </c>
      <c r="B2385" t="str">
        <f>_xlfn.XLOOKUP(A2385,'[1]2050Pop'!$A$7:$A$143,'[1]2050Pop'!$D$7:$D$143)</f>
        <v>Euro/AU/NZ</v>
      </c>
      <c r="C2385" s="127">
        <f>1000*_xlfn.XLOOKUP(A2385,'[1]2050Pop'!$A$7:$A$143,'[1]2050Pop'!$C$7:$C$143)</f>
        <v>56513</v>
      </c>
      <c r="D2385" s="126" t="s">
        <v>514</v>
      </c>
      <c r="E2385" s="128">
        <v>114.494</v>
      </c>
      <c r="F2385" s="129">
        <f t="shared" si="113"/>
        <v>6.4703994219999998</v>
      </c>
      <c r="G2385" t="str">
        <f>_xlfn.XLOOKUP(D2385,'[1]2050 BAU Mapping to T &amp; C'!$A$3:$A$52,'[1]2050 BAU Mapping to T &amp; C'!$B$3:$B$52)</f>
        <v>Other veg</v>
      </c>
      <c r="H2385" s="129">
        <f>_xlfn.XLOOKUP(G2385,'[1]T&amp;C emissions for 2050 analysis'!$B$3:$B$23,'[1]T&amp;C emissions for 2050 analysis'!$C$3:$C$23)</f>
        <v>0.26766666666666666</v>
      </c>
      <c r="I2385" s="27">
        <f t="shared" si="111"/>
        <v>1.7319102452886665</v>
      </c>
      <c r="J2385" s="129">
        <f t="shared" si="112"/>
        <v>30.646227333333332</v>
      </c>
    </row>
    <row r="2386" spans="1:10" hidden="1" x14ac:dyDescent="0.35">
      <c r="A2386" s="126" t="s">
        <v>415</v>
      </c>
      <c r="B2386" t="str">
        <f>_xlfn.XLOOKUP(A2386,'[1]2050Pop'!$A$7:$A$143,'[1]2050Pop'!$D$7:$D$143)</f>
        <v>LatAm &amp; RSA</v>
      </c>
      <c r="C2386" s="127">
        <f>1000*_xlfn.XLOOKUP(A2386,'[1]2050Pop'!$A$7:$A$143,'[1]2050Pop'!$C$7:$C$143)</f>
        <v>2710</v>
      </c>
      <c r="D2386" s="126" t="s">
        <v>514</v>
      </c>
      <c r="E2386" s="128">
        <v>28.952000000000002</v>
      </c>
      <c r="F2386" s="129">
        <f t="shared" si="113"/>
        <v>7.8459920000000002E-2</v>
      </c>
      <c r="G2386" t="str">
        <f>_xlfn.XLOOKUP(D2386,'[1]2050 BAU Mapping to T &amp; C'!$A$3:$A$52,'[1]2050 BAU Mapping to T &amp; C'!$B$3:$B$52)</f>
        <v>Other veg</v>
      </c>
      <c r="H2386" s="129">
        <f>_xlfn.XLOOKUP(G2386,'[1]T&amp;C emissions for 2050 analysis'!$B$3:$B$23,'[1]T&amp;C emissions for 2050 analysis'!$C$3:$C$23)</f>
        <v>0.26766666666666666</v>
      </c>
      <c r="I2386" s="27">
        <f t="shared" si="111"/>
        <v>2.1001105253333333E-2</v>
      </c>
      <c r="J2386" s="129">
        <f t="shared" si="112"/>
        <v>7.7494853333333333</v>
      </c>
    </row>
    <row r="2387" spans="1:10" hidden="1" x14ac:dyDescent="0.35">
      <c r="A2387" s="126" t="s">
        <v>416</v>
      </c>
      <c r="B2387" t="str">
        <f>_xlfn.XLOOKUP(A2387,'[1]2050Pop'!$A$7:$A$143,'[1]2050Pop'!$D$7:$D$143)</f>
        <v>APAC</v>
      </c>
      <c r="C2387" s="127">
        <f>1000*_xlfn.XLOOKUP(A2387,'[1]2050Pop'!$A$7:$A$143,'[1]2050Pop'!$C$7:$C$143)</f>
        <v>107411</v>
      </c>
      <c r="D2387" s="126" t="s">
        <v>514</v>
      </c>
      <c r="E2387" s="128">
        <v>31.465</v>
      </c>
      <c r="F2387" s="129">
        <f t="shared" si="113"/>
        <v>3.3796871149999999</v>
      </c>
      <c r="G2387" t="str">
        <f>_xlfn.XLOOKUP(D2387,'[1]2050 BAU Mapping to T &amp; C'!$A$3:$A$52,'[1]2050 BAU Mapping to T &amp; C'!$B$3:$B$52)</f>
        <v>Other veg</v>
      </c>
      <c r="H2387" s="129">
        <f>_xlfn.XLOOKUP(G2387,'[1]T&amp;C emissions for 2050 analysis'!$B$3:$B$23,'[1]T&amp;C emissions for 2050 analysis'!$C$3:$C$23)</f>
        <v>0.26766666666666666</v>
      </c>
      <c r="I2387" s="27">
        <f t="shared" si="111"/>
        <v>0.9046295844483333</v>
      </c>
      <c r="J2387" s="129">
        <f t="shared" si="112"/>
        <v>8.422131666666667</v>
      </c>
    </row>
    <row r="2388" spans="1:10" hidden="1" x14ac:dyDescent="0.35">
      <c r="A2388" s="126" t="s">
        <v>417</v>
      </c>
      <c r="B2388" t="str">
        <f>_xlfn.XLOOKUP(A2388,'[1]2050Pop'!$A$7:$A$143,'[1]2050Pop'!$D$7:$D$143)</f>
        <v>MENA</v>
      </c>
      <c r="C2388" s="127">
        <f>1000*_xlfn.XLOOKUP(A2388,'[1]2050Pop'!$A$7:$A$143,'[1]2050Pop'!$C$7:$C$143)</f>
        <v>11717</v>
      </c>
      <c r="D2388" s="126" t="s">
        <v>514</v>
      </c>
      <c r="E2388" s="128">
        <v>56.749000000000002</v>
      </c>
      <c r="F2388" s="129">
        <f t="shared" si="113"/>
        <v>0.66492803300000003</v>
      </c>
      <c r="G2388" t="str">
        <f>_xlfn.XLOOKUP(D2388,'[1]2050 BAU Mapping to T &amp; C'!$A$3:$A$52,'[1]2050 BAU Mapping to T &amp; C'!$B$3:$B$52)</f>
        <v>Other veg</v>
      </c>
      <c r="H2388" s="129">
        <f>_xlfn.XLOOKUP(G2388,'[1]T&amp;C emissions for 2050 analysis'!$B$3:$B$23,'[1]T&amp;C emissions for 2050 analysis'!$C$3:$C$23)</f>
        <v>0.26766666666666666</v>
      </c>
      <c r="I2388" s="27">
        <f t="shared" si="111"/>
        <v>0.17797907016633335</v>
      </c>
      <c r="J2388" s="129">
        <f t="shared" si="112"/>
        <v>15.189815666666668</v>
      </c>
    </row>
    <row r="2389" spans="1:10" hidden="1" x14ac:dyDescent="0.35">
      <c r="A2389" s="126" t="s">
        <v>418</v>
      </c>
      <c r="B2389" t="str">
        <f>_xlfn.XLOOKUP(A2389,'[1]2050Pop'!$A$7:$A$143,'[1]2050Pop'!$D$7:$D$143)</f>
        <v>APAC</v>
      </c>
      <c r="C2389" s="127">
        <f>1000*_xlfn.XLOOKUP(A2389,'[1]2050Pop'!$A$7:$A$143,'[1]2050Pop'!$C$7:$C$143)</f>
        <v>22447</v>
      </c>
      <c r="D2389" s="126" t="s">
        <v>514</v>
      </c>
      <c r="E2389" s="130">
        <v>119.51</v>
      </c>
      <c r="F2389" s="129">
        <f t="shared" si="113"/>
        <v>2.68264097</v>
      </c>
      <c r="G2389" t="str">
        <f>_xlfn.XLOOKUP(D2389,'[1]2050 BAU Mapping to T &amp; C'!$A$3:$A$52,'[1]2050 BAU Mapping to T &amp; C'!$B$3:$B$52)</f>
        <v>Other veg</v>
      </c>
      <c r="H2389" s="129">
        <f>_xlfn.XLOOKUP(G2389,'[1]T&amp;C emissions for 2050 analysis'!$B$3:$B$23,'[1]T&amp;C emissions for 2050 analysis'!$C$3:$C$23)</f>
        <v>0.26766666666666666</v>
      </c>
      <c r="I2389" s="27">
        <f t="shared" si="111"/>
        <v>0.71805356630333328</v>
      </c>
      <c r="J2389" s="129">
        <f t="shared" si="112"/>
        <v>31.988843333333335</v>
      </c>
    </row>
    <row r="2390" spans="1:10" hidden="1" x14ac:dyDescent="0.35">
      <c r="A2390" s="126" t="s">
        <v>419</v>
      </c>
      <c r="B2390" t="str">
        <f>_xlfn.XLOOKUP(A2390,'[1]2050Pop'!$A$7:$A$143,'[1]2050Pop'!$D$7:$D$143)</f>
        <v>SSA</v>
      </c>
      <c r="C2390" s="127">
        <f>1000*_xlfn.XLOOKUP(A2390,'[1]2050Pop'!$A$7:$A$143,'[1]2050Pop'!$C$7:$C$143)</f>
        <v>95505</v>
      </c>
      <c r="D2390" s="126" t="s">
        <v>514</v>
      </c>
      <c r="E2390" s="128">
        <v>42.247999999999998</v>
      </c>
      <c r="F2390" s="129">
        <f t="shared" si="113"/>
        <v>4.03489524</v>
      </c>
      <c r="G2390" t="str">
        <f>_xlfn.XLOOKUP(D2390,'[1]2050 BAU Mapping to T &amp; C'!$A$3:$A$52,'[1]2050 BAU Mapping to T &amp; C'!$B$3:$B$52)</f>
        <v>Other veg</v>
      </c>
      <c r="H2390" s="129">
        <f>_xlfn.XLOOKUP(G2390,'[1]T&amp;C emissions for 2050 analysis'!$B$3:$B$23,'[1]T&amp;C emissions for 2050 analysis'!$C$3:$C$23)</f>
        <v>0.26766666666666666</v>
      </c>
      <c r="I2390" s="27">
        <f t="shared" si="111"/>
        <v>1.0800069592399999</v>
      </c>
      <c r="J2390" s="129">
        <f t="shared" si="112"/>
        <v>11.308381333333333</v>
      </c>
    </row>
    <row r="2391" spans="1:10" hidden="1" x14ac:dyDescent="0.35">
      <c r="A2391" s="126" t="s">
        <v>420</v>
      </c>
      <c r="B2391" t="str">
        <f>_xlfn.XLOOKUP(A2391,'[1]2050Pop'!$A$7:$A$143,'[1]2050Pop'!$D$7:$D$143)</f>
        <v>APAC</v>
      </c>
      <c r="C2391" s="127">
        <f>1000*_xlfn.XLOOKUP(A2391,'[1]2050Pop'!$A$7:$A$143,'[1]2050Pop'!$C$7:$C$143)</f>
        <v>8248</v>
      </c>
      <c r="D2391" s="126" t="s">
        <v>514</v>
      </c>
      <c r="E2391" s="128">
        <v>42.526000000000003</v>
      </c>
      <c r="F2391" s="129">
        <f t="shared" si="113"/>
        <v>0.35075444800000005</v>
      </c>
      <c r="G2391" t="str">
        <f>_xlfn.XLOOKUP(D2391,'[1]2050 BAU Mapping to T &amp; C'!$A$3:$A$52,'[1]2050 BAU Mapping to T &amp; C'!$B$3:$B$52)</f>
        <v>Other veg</v>
      </c>
      <c r="H2391" s="129">
        <f>_xlfn.XLOOKUP(G2391,'[1]T&amp;C emissions for 2050 analysis'!$B$3:$B$23,'[1]T&amp;C emissions for 2050 analysis'!$C$3:$C$23)</f>
        <v>0.26766666666666666</v>
      </c>
      <c r="I2391" s="27">
        <f t="shared" si="111"/>
        <v>9.3885273914666681E-2</v>
      </c>
      <c r="J2391" s="129">
        <f t="shared" si="112"/>
        <v>11.382792666666667</v>
      </c>
    </row>
    <row r="2392" spans="1:10" hidden="1" x14ac:dyDescent="0.35">
      <c r="A2392" s="126" t="s">
        <v>421</v>
      </c>
      <c r="B2392" t="str">
        <f>_xlfn.XLOOKUP(A2392,'[1]2050Pop'!$A$7:$A$143,'[1]2050Pop'!$D$7:$D$143)</f>
        <v>APAC</v>
      </c>
      <c r="C2392" s="127">
        <f>1000*_xlfn.XLOOKUP(A2392,'[1]2050Pop'!$A$7:$A$143,'[1]2050Pop'!$C$7:$C$143)</f>
        <v>10172</v>
      </c>
      <c r="D2392" s="126" t="s">
        <v>514</v>
      </c>
      <c r="E2392" s="128">
        <v>24.021000000000001</v>
      </c>
      <c r="F2392" s="129">
        <f t="shared" si="113"/>
        <v>0.24434161199999999</v>
      </c>
      <c r="G2392" t="str">
        <f>_xlfn.XLOOKUP(D2392,'[1]2050 BAU Mapping to T &amp; C'!$A$3:$A$52,'[1]2050 BAU Mapping to T &amp; C'!$B$3:$B$52)</f>
        <v>Other veg</v>
      </c>
      <c r="H2392" s="129">
        <f>_xlfn.XLOOKUP(G2392,'[1]T&amp;C emissions for 2050 analysis'!$B$3:$B$23,'[1]T&amp;C emissions for 2050 analysis'!$C$3:$C$23)</f>
        <v>0.26766666666666666</v>
      </c>
      <c r="I2392" s="27">
        <f t="shared" si="111"/>
        <v>6.5402104811999998E-2</v>
      </c>
      <c r="J2392" s="129">
        <f t="shared" si="112"/>
        <v>6.429621</v>
      </c>
    </row>
    <row r="2393" spans="1:10" hidden="1" x14ac:dyDescent="0.35">
      <c r="A2393" s="126" t="s">
        <v>422</v>
      </c>
      <c r="B2393" t="str">
        <f>_xlfn.XLOOKUP(A2393,'[1]2050Pop'!$A$7:$A$143,'[1]2050Pop'!$D$7:$D$143)</f>
        <v>Euro/AU/NZ</v>
      </c>
      <c r="C2393" s="127">
        <f>1000*_xlfn.XLOOKUP(A2393,'[1]2050Pop'!$A$7:$A$143,'[1]2050Pop'!$C$7:$C$143)</f>
        <v>1593</v>
      </c>
      <c r="D2393" s="126" t="s">
        <v>514</v>
      </c>
      <c r="E2393" s="128">
        <v>45.033000000000001</v>
      </c>
      <c r="F2393" s="129">
        <f t="shared" si="113"/>
        <v>7.1737569000000001E-2</v>
      </c>
      <c r="G2393" t="str">
        <f>_xlfn.XLOOKUP(D2393,'[1]2050 BAU Mapping to T &amp; C'!$A$3:$A$52,'[1]2050 BAU Mapping to T &amp; C'!$B$3:$B$52)</f>
        <v>Other veg</v>
      </c>
      <c r="H2393" s="129">
        <f>_xlfn.XLOOKUP(G2393,'[1]T&amp;C emissions for 2050 analysis'!$B$3:$B$23,'[1]T&amp;C emissions for 2050 analysis'!$C$3:$C$23)</f>
        <v>0.26766666666666666</v>
      </c>
      <c r="I2393" s="27">
        <f t="shared" si="111"/>
        <v>1.9201755968999999E-2</v>
      </c>
      <c r="J2393" s="129">
        <f t="shared" si="112"/>
        <v>12.053833000000001</v>
      </c>
    </row>
    <row r="2394" spans="1:10" hidden="1" x14ac:dyDescent="0.35">
      <c r="A2394" s="126" t="s">
        <v>423</v>
      </c>
      <c r="B2394" t="str">
        <f>_xlfn.XLOOKUP(A2394,'[1]2050Pop'!$A$7:$A$143,'[1]2050Pop'!$D$7:$D$143)</f>
        <v>MENA</v>
      </c>
      <c r="C2394" s="127">
        <f>1000*_xlfn.XLOOKUP(A2394,'[1]2050Pop'!$A$7:$A$143,'[1]2050Pop'!$C$7:$C$143)</f>
        <v>5610</v>
      </c>
      <c r="D2394" s="126" t="s">
        <v>514</v>
      </c>
      <c r="E2394" s="128">
        <v>105.874</v>
      </c>
      <c r="F2394" s="129">
        <f t="shared" si="113"/>
        <v>0.59395313999999999</v>
      </c>
      <c r="G2394" t="str">
        <f>_xlfn.XLOOKUP(D2394,'[1]2050 BAU Mapping to T &amp; C'!$A$3:$A$52,'[1]2050 BAU Mapping to T &amp; C'!$B$3:$B$52)</f>
        <v>Other veg</v>
      </c>
      <c r="H2394" s="129">
        <f>_xlfn.XLOOKUP(G2394,'[1]T&amp;C emissions for 2050 analysis'!$B$3:$B$23,'[1]T&amp;C emissions for 2050 analysis'!$C$3:$C$23)</f>
        <v>0.26766666666666666</v>
      </c>
      <c r="I2394" s="27">
        <f t="shared" si="111"/>
        <v>0.15898145714</v>
      </c>
      <c r="J2394" s="129">
        <f t="shared" si="112"/>
        <v>28.338940666666666</v>
      </c>
    </row>
    <row r="2395" spans="1:10" hidden="1" x14ac:dyDescent="0.35">
      <c r="A2395" s="126" t="s">
        <v>424</v>
      </c>
      <c r="B2395" t="str">
        <f>_xlfn.XLOOKUP(A2395,'[1]2050Pop'!$A$7:$A$143,'[1]2050Pop'!$D$7:$D$143)</f>
        <v>SSA</v>
      </c>
      <c r="C2395" s="127">
        <f>1000*_xlfn.XLOOKUP(A2395,'[1]2050Pop'!$A$7:$A$143,'[1]2050Pop'!$C$7:$C$143)</f>
        <v>2987</v>
      </c>
      <c r="D2395" s="126" t="s">
        <v>514</v>
      </c>
      <c r="E2395" s="128">
        <v>27.190999999999999</v>
      </c>
      <c r="F2395" s="129">
        <f t="shared" si="113"/>
        <v>8.1219516999999991E-2</v>
      </c>
      <c r="G2395" t="str">
        <f>_xlfn.XLOOKUP(D2395,'[1]2050 BAU Mapping to T &amp; C'!$A$3:$A$52,'[1]2050 BAU Mapping to T &amp; C'!$B$3:$B$52)</f>
        <v>Other veg</v>
      </c>
      <c r="H2395" s="129">
        <f>_xlfn.XLOOKUP(G2395,'[1]T&amp;C emissions for 2050 analysis'!$B$3:$B$23,'[1]T&amp;C emissions for 2050 analysis'!$C$3:$C$23)</f>
        <v>0.26766666666666666</v>
      </c>
      <c r="I2395" s="27">
        <f t="shared" si="111"/>
        <v>2.1739757383666663E-2</v>
      </c>
      <c r="J2395" s="129">
        <f t="shared" si="112"/>
        <v>7.2781243333333334</v>
      </c>
    </row>
    <row r="2396" spans="1:10" hidden="1" x14ac:dyDescent="0.35">
      <c r="A2396" s="126" t="s">
        <v>425</v>
      </c>
      <c r="B2396" t="str">
        <f>_xlfn.XLOOKUP(A2396,'[1]2050Pop'!$A$7:$A$143,'[1]2050Pop'!$D$7:$D$143)</f>
        <v>SSA</v>
      </c>
      <c r="C2396" s="127">
        <f>1000*_xlfn.XLOOKUP(A2396,'[1]2050Pop'!$A$7:$A$143,'[1]2050Pop'!$C$7:$C$143)</f>
        <v>9436</v>
      </c>
      <c r="D2396" s="126" t="s">
        <v>514</v>
      </c>
      <c r="E2396" s="128">
        <v>4.2050000000000001</v>
      </c>
      <c r="F2396" s="129">
        <f t="shared" si="113"/>
        <v>3.9678379999999999E-2</v>
      </c>
      <c r="G2396" t="str">
        <f>_xlfn.XLOOKUP(D2396,'[1]2050 BAU Mapping to T &amp; C'!$A$3:$A$52,'[1]2050 BAU Mapping to T &amp; C'!$B$3:$B$52)</f>
        <v>Other veg</v>
      </c>
      <c r="H2396" s="129">
        <f>_xlfn.XLOOKUP(G2396,'[1]T&amp;C emissions for 2050 analysis'!$B$3:$B$23,'[1]T&amp;C emissions for 2050 analysis'!$C$3:$C$23)</f>
        <v>0.26766666666666666</v>
      </c>
      <c r="I2396" s="27">
        <f t="shared" si="111"/>
        <v>1.0620579713333333E-2</v>
      </c>
      <c r="J2396" s="129">
        <f t="shared" si="112"/>
        <v>1.1255383333333333</v>
      </c>
    </row>
    <row r="2397" spans="1:10" hidden="1" x14ac:dyDescent="0.35">
      <c r="A2397" s="126" t="s">
        <v>426</v>
      </c>
      <c r="B2397" t="str">
        <f>_xlfn.XLOOKUP(A2397,'[1]2050Pop'!$A$7:$A$143,'[1]2050Pop'!$D$7:$D$143)</f>
        <v>Euro/AU/NZ</v>
      </c>
      <c r="C2397" s="127">
        <f>1000*_xlfn.XLOOKUP(A2397,'[1]2050Pop'!$A$7:$A$143,'[1]2050Pop'!$C$7:$C$143)</f>
        <v>2375</v>
      </c>
      <c r="D2397" s="126" t="s">
        <v>514</v>
      </c>
      <c r="E2397" s="128">
        <v>31.059000000000001</v>
      </c>
      <c r="F2397" s="129">
        <f t="shared" si="113"/>
        <v>7.3765125000000001E-2</v>
      </c>
      <c r="G2397" t="str">
        <f>_xlfn.XLOOKUP(D2397,'[1]2050 BAU Mapping to T &amp; C'!$A$3:$A$52,'[1]2050 BAU Mapping to T &amp; C'!$B$3:$B$52)</f>
        <v>Other veg</v>
      </c>
      <c r="H2397" s="129">
        <f>_xlfn.XLOOKUP(G2397,'[1]T&amp;C emissions for 2050 analysis'!$B$3:$B$23,'[1]T&amp;C emissions for 2050 analysis'!$C$3:$C$23)</f>
        <v>0.26766666666666666</v>
      </c>
      <c r="I2397" s="27">
        <f t="shared" si="111"/>
        <v>1.9744465124999999E-2</v>
      </c>
      <c r="J2397" s="129">
        <f t="shared" si="112"/>
        <v>8.3134589999999999</v>
      </c>
    </row>
    <row r="2398" spans="1:10" hidden="1" x14ac:dyDescent="0.35">
      <c r="A2398" s="126" t="s">
        <v>427</v>
      </c>
      <c r="B2398" t="str">
        <f>_xlfn.XLOOKUP(A2398,'[1]2050Pop'!$A$7:$A$143,'[1]2050Pop'!$D$7:$D$143)</f>
        <v>SSA</v>
      </c>
      <c r="C2398" s="127">
        <f>1000*_xlfn.XLOOKUP(A2398,'[1]2050Pop'!$A$7:$A$143,'[1]2050Pop'!$C$7:$C$143)</f>
        <v>55294</v>
      </c>
      <c r="D2398" s="126" t="s">
        <v>514</v>
      </c>
      <c r="E2398" s="128">
        <v>45.779000000000003</v>
      </c>
      <c r="F2398" s="129">
        <f t="shared" si="113"/>
        <v>2.5313040259999999</v>
      </c>
      <c r="G2398" t="str">
        <f>_xlfn.XLOOKUP(D2398,'[1]2050 BAU Mapping to T &amp; C'!$A$3:$A$52,'[1]2050 BAU Mapping to T &amp; C'!$B$3:$B$52)</f>
        <v>Other veg</v>
      </c>
      <c r="H2398" s="129">
        <f>_xlfn.XLOOKUP(G2398,'[1]T&amp;C emissions for 2050 analysis'!$B$3:$B$23,'[1]T&amp;C emissions for 2050 analysis'!$C$3:$C$23)</f>
        <v>0.26766666666666666</v>
      </c>
      <c r="I2398" s="27">
        <f t="shared" si="111"/>
        <v>0.67754571095933336</v>
      </c>
      <c r="J2398" s="129">
        <f t="shared" si="112"/>
        <v>12.253512333333335</v>
      </c>
    </row>
    <row r="2399" spans="1:10" hidden="1" x14ac:dyDescent="0.35">
      <c r="A2399" s="126" t="s">
        <v>428</v>
      </c>
      <c r="B2399" t="str">
        <f>_xlfn.XLOOKUP(A2399,'[1]2050Pop'!$A$7:$A$143,'[1]2050Pop'!$D$7:$D$143)</f>
        <v>SSA</v>
      </c>
      <c r="C2399" s="127">
        <f>1000*_xlfn.XLOOKUP(A2399,'[1]2050Pop'!$A$7:$A$143,'[1]2050Pop'!$C$7:$C$143)</f>
        <v>43155</v>
      </c>
      <c r="D2399" s="126" t="s">
        <v>514</v>
      </c>
      <c r="E2399" s="128">
        <v>31.539000000000001</v>
      </c>
      <c r="F2399" s="129">
        <f t="shared" si="113"/>
        <v>1.3610655450000002</v>
      </c>
      <c r="G2399" t="str">
        <f>_xlfn.XLOOKUP(D2399,'[1]2050 BAU Mapping to T &amp; C'!$A$3:$A$52,'[1]2050 BAU Mapping to T &amp; C'!$B$3:$B$52)</f>
        <v>Other veg</v>
      </c>
      <c r="H2399" s="129">
        <f>_xlfn.XLOOKUP(G2399,'[1]T&amp;C emissions for 2050 analysis'!$B$3:$B$23,'[1]T&amp;C emissions for 2050 analysis'!$C$3:$C$23)</f>
        <v>0.26766666666666666</v>
      </c>
      <c r="I2399" s="27">
        <f t="shared" si="111"/>
        <v>0.36431187754500005</v>
      </c>
      <c r="J2399" s="129">
        <f t="shared" si="112"/>
        <v>8.4419389999999996</v>
      </c>
    </row>
    <row r="2400" spans="1:10" hidden="1" x14ac:dyDescent="0.35">
      <c r="A2400" s="126" t="s">
        <v>429</v>
      </c>
      <c r="B2400" t="str">
        <f>_xlfn.XLOOKUP(A2400,'[1]2050Pop'!$A$7:$A$143,'[1]2050Pop'!$D$7:$D$143)</f>
        <v>APAC</v>
      </c>
      <c r="C2400" s="127">
        <f>1000*_xlfn.XLOOKUP(A2400,'[1]2050Pop'!$A$7:$A$143,'[1]2050Pop'!$C$7:$C$143)</f>
        <v>40725</v>
      </c>
      <c r="D2400" s="126" t="s">
        <v>514</v>
      </c>
      <c r="E2400" s="128">
        <v>44.421999999999997</v>
      </c>
      <c r="F2400" s="129">
        <f t="shared" si="113"/>
        <v>1.8090859500000001</v>
      </c>
      <c r="G2400" t="str">
        <f>_xlfn.XLOOKUP(D2400,'[1]2050 BAU Mapping to T &amp; C'!$A$3:$A$52,'[1]2050 BAU Mapping to T &amp; C'!$B$3:$B$52)</f>
        <v>Other veg</v>
      </c>
      <c r="H2400" s="129">
        <f>_xlfn.XLOOKUP(G2400,'[1]T&amp;C emissions for 2050 analysis'!$B$3:$B$23,'[1]T&amp;C emissions for 2050 analysis'!$C$3:$C$23)</f>
        <v>0.26766666666666666</v>
      </c>
      <c r="I2400" s="27">
        <f t="shared" si="111"/>
        <v>0.48423200594999999</v>
      </c>
      <c r="J2400" s="129">
        <f t="shared" si="112"/>
        <v>11.890288666666665</v>
      </c>
    </row>
    <row r="2401" spans="1:10" hidden="1" x14ac:dyDescent="0.35">
      <c r="A2401" s="126" t="s">
        <v>430</v>
      </c>
      <c r="B2401" t="str">
        <f>_xlfn.XLOOKUP(A2401,'[1]2050Pop'!$A$7:$A$143,'[1]2050Pop'!$D$7:$D$143)</f>
        <v>SSA</v>
      </c>
      <c r="C2401" s="127">
        <f>1000*_xlfn.XLOOKUP(A2401,'[1]2050Pop'!$A$7:$A$143,'[1]2050Pop'!$C$7:$C$143)</f>
        <v>45404</v>
      </c>
      <c r="D2401" s="126" t="s">
        <v>514</v>
      </c>
      <c r="E2401" s="128">
        <v>18.934999999999999</v>
      </c>
      <c r="F2401" s="129">
        <f t="shared" si="113"/>
        <v>0.85972473999999999</v>
      </c>
      <c r="G2401" t="str">
        <f>_xlfn.XLOOKUP(D2401,'[1]2050 BAU Mapping to T &amp; C'!$A$3:$A$52,'[1]2050 BAU Mapping to T &amp; C'!$B$3:$B$52)</f>
        <v>Other veg</v>
      </c>
      <c r="H2401" s="129">
        <f>_xlfn.XLOOKUP(G2401,'[1]T&amp;C emissions for 2050 analysis'!$B$3:$B$23,'[1]T&amp;C emissions for 2050 analysis'!$C$3:$C$23)</f>
        <v>0.26766666666666666</v>
      </c>
      <c r="I2401" s="27">
        <f t="shared" si="111"/>
        <v>0.23011965540666665</v>
      </c>
      <c r="J2401" s="129">
        <f t="shared" si="112"/>
        <v>5.0682683333333332</v>
      </c>
    </row>
    <row r="2402" spans="1:10" hidden="1" x14ac:dyDescent="0.35">
      <c r="A2402" s="126" t="s">
        <v>431</v>
      </c>
      <c r="B2402" t="str">
        <f>_xlfn.XLOOKUP(A2402,'[1]2050Pop'!$A$7:$A$143,'[1]2050Pop'!$D$7:$D$143)</f>
        <v>SSA</v>
      </c>
      <c r="C2402" s="127">
        <f>1000*_xlfn.XLOOKUP(A2402,'[1]2050Pop'!$A$7:$A$143,'[1]2050Pop'!$C$7:$C$143)</f>
        <v>8048.9999999999991</v>
      </c>
      <c r="D2402" s="126" t="s">
        <v>514</v>
      </c>
      <c r="E2402" s="130">
        <v>40.18</v>
      </c>
      <c r="F2402" s="129">
        <f t="shared" si="113"/>
        <v>0.32340881999999993</v>
      </c>
      <c r="G2402" t="str">
        <f>_xlfn.XLOOKUP(D2402,'[1]2050 BAU Mapping to T &amp; C'!$A$3:$A$52,'[1]2050 BAU Mapping to T &amp; C'!$B$3:$B$52)</f>
        <v>Other veg</v>
      </c>
      <c r="H2402" s="129">
        <f>_xlfn.XLOOKUP(G2402,'[1]T&amp;C emissions for 2050 analysis'!$B$3:$B$23,'[1]T&amp;C emissions for 2050 analysis'!$C$3:$C$23)</f>
        <v>0.26766666666666666</v>
      </c>
      <c r="I2402" s="27">
        <f t="shared" si="111"/>
        <v>8.6565760819999976E-2</v>
      </c>
      <c r="J2402" s="129">
        <f t="shared" si="112"/>
        <v>10.754846666666667</v>
      </c>
    </row>
    <row r="2403" spans="1:10" hidden="1" x14ac:dyDescent="0.35">
      <c r="A2403" s="126" t="s">
        <v>432</v>
      </c>
      <c r="B2403" t="str">
        <f>_xlfn.XLOOKUP(A2403,'[1]2050Pop'!$A$7:$A$143,'[1]2050Pop'!$D$7:$D$143)</f>
        <v>SSA</v>
      </c>
      <c r="C2403" s="127">
        <f>1000*_xlfn.XLOOKUP(A2403,'[1]2050Pop'!$A$7:$A$143,'[1]2050Pop'!$C$7:$C$143)</f>
        <v>1249</v>
      </c>
      <c r="D2403" s="126" t="s">
        <v>514</v>
      </c>
      <c r="E2403" s="128">
        <v>49.576999999999998</v>
      </c>
      <c r="F2403" s="129">
        <f t="shared" si="113"/>
        <v>6.1921672999999997E-2</v>
      </c>
      <c r="G2403" t="str">
        <f>_xlfn.XLOOKUP(D2403,'[1]2050 BAU Mapping to T &amp; C'!$A$3:$A$52,'[1]2050 BAU Mapping to T &amp; C'!$B$3:$B$52)</f>
        <v>Other veg</v>
      </c>
      <c r="H2403" s="129">
        <f>_xlfn.XLOOKUP(G2403,'[1]T&amp;C emissions for 2050 analysis'!$B$3:$B$23,'[1]T&amp;C emissions for 2050 analysis'!$C$3:$C$23)</f>
        <v>0.26766666666666666</v>
      </c>
      <c r="I2403" s="27">
        <f t="shared" si="111"/>
        <v>1.6574367806333333E-2</v>
      </c>
      <c r="J2403" s="129">
        <f t="shared" si="112"/>
        <v>13.270110333333333</v>
      </c>
    </row>
    <row r="2404" spans="1:10" hidden="1" x14ac:dyDescent="0.35">
      <c r="A2404" s="126" t="s">
        <v>433</v>
      </c>
      <c r="B2404" t="str">
        <f>_xlfn.XLOOKUP(A2404,'[1]2050Pop'!$A$7:$A$143,'[1]2050Pop'!$D$7:$D$143)</f>
        <v>LatAm &amp; RSA</v>
      </c>
      <c r="C2404" s="127">
        <f>1000*_xlfn.XLOOKUP(A2404,'[1]2050Pop'!$A$7:$A$143,'[1]2050Pop'!$C$7:$C$143)</f>
        <v>163754</v>
      </c>
      <c r="D2404" s="126" t="s">
        <v>514</v>
      </c>
      <c r="E2404" s="128">
        <v>52.171999999999997</v>
      </c>
      <c r="F2404" s="129">
        <f t="shared" si="113"/>
        <v>8.5433736879999991</v>
      </c>
      <c r="G2404" t="str">
        <f>_xlfn.XLOOKUP(D2404,'[1]2050 BAU Mapping to T &amp; C'!$A$3:$A$52,'[1]2050 BAU Mapping to T &amp; C'!$B$3:$B$52)</f>
        <v>Other veg</v>
      </c>
      <c r="H2404" s="129">
        <f>_xlfn.XLOOKUP(G2404,'[1]T&amp;C emissions for 2050 analysis'!$B$3:$B$23,'[1]T&amp;C emissions for 2050 analysis'!$C$3:$C$23)</f>
        <v>0.26766666666666666</v>
      </c>
      <c r="I2404" s="27">
        <f t="shared" si="111"/>
        <v>2.2867763571546664</v>
      </c>
      <c r="J2404" s="129">
        <f t="shared" si="112"/>
        <v>13.964705333333333</v>
      </c>
    </row>
    <row r="2405" spans="1:10" hidden="1" x14ac:dyDescent="0.35">
      <c r="A2405" s="126" t="s">
        <v>434</v>
      </c>
      <c r="B2405" t="str">
        <f>_xlfn.XLOOKUP(A2405,'[1]2050Pop'!$A$7:$A$143,'[1]2050Pop'!$D$7:$D$143)</f>
        <v>APAC</v>
      </c>
      <c r="C2405" s="127">
        <f>1000*_xlfn.XLOOKUP(A2405,'[1]2050Pop'!$A$7:$A$143,'[1]2050Pop'!$C$7:$C$143)</f>
        <v>4027.9999999999995</v>
      </c>
      <c r="D2405" s="126" t="s">
        <v>514</v>
      </c>
      <c r="E2405" s="128">
        <v>16.347000000000001</v>
      </c>
      <c r="F2405" s="129">
        <f t="shared" si="113"/>
        <v>6.5845715999999999E-2</v>
      </c>
      <c r="G2405" t="str">
        <f>_xlfn.XLOOKUP(D2405,'[1]2050 BAU Mapping to T &amp; C'!$A$3:$A$52,'[1]2050 BAU Mapping to T &amp; C'!$B$3:$B$52)</f>
        <v>Other veg</v>
      </c>
      <c r="H2405" s="129">
        <f>_xlfn.XLOOKUP(G2405,'[1]T&amp;C emissions for 2050 analysis'!$B$3:$B$23,'[1]T&amp;C emissions for 2050 analysis'!$C$3:$C$23)</f>
        <v>0.26766666666666666</v>
      </c>
      <c r="I2405" s="27">
        <f t="shared" si="111"/>
        <v>1.7624703315999999E-2</v>
      </c>
      <c r="J2405" s="129">
        <f t="shared" si="112"/>
        <v>4.3755470000000001</v>
      </c>
    </row>
    <row r="2406" spans="1:10" hidden="1" x14ac:dyDescent="0.35">
      <c r="A2406" s="126" t="s">
        <v>435</v>
      </c>
      <c r="B2406" t="str">
        <f>_xlfn.XLOOKUP(A2406,'[1]2050Pop'!$A$7:$A$143,'[1]2050Pop'!$D$7:$D$143)</f>
        <v>MENA</v>
      </c>
      <c r="C2406" s="127">
        <f>1000*_xlfn.XLOOKUP(A2406,'[1]2050Pop'!$A$7:$A$143,'[1]2050Pop'!$C$7:$C$143)</f>
        <v>43696</v>
      </c>
      <c r="D2406" s="126" t="s">
        <v>514</v>
      </c>
      <c r="E2406" s="128">
        <v>97.429000000000002</v>
      </c>
      <c r="F2406" s="129">
        <f t="shared" si="113"/>
        <v>4.2572575839999995</v>
      </c>
      <c r="G2406" t="str">
        <f>_xlfn.XLOOKUP(D2406,'[1]2050 BAU Mapping to T &amp; C'!$A$3:$A$52,'[1]2050 BAU Mapping to T &amp; C'!$B$3:$B$52)</f>
        <v>Other veg</v>
      </c>
      <c r="H2406" s="129">
        <f>_xlfn.XLOOKUP(G2406,'[1]T&amp;C emissions for 2050 analysis'!$B$3:$B$23,'[1]T&amp;C emissions for 2050 analysis'!$C$3:$C$23)</f>
        <v>0.26766666666666666</v>
      </c>
      <c r="I2406" s="27">
        <f t="shared" si="111"/>
        <v>1.1395259466506664</v>
      </c>
      <c r="J2406" s="129">
        <f t="shared" si="112"/>
        <v>26.078495666666665</v>
      </c>
    </row>
    <row r="2407" spans="1:10" hidden="1" x14ac:dyDescent="0.35">
      <c r="A2407" s="126" t="s">
        <v>436</v>
      </c>
      <c r="B2407" t="str">
        <f>_xlfn.XLOOKUP(A2407,'[1]2050Pop'!$A$7:$A$143,'[1]2050Pop'!$D$7:$D$143)</f>
        <v>SSA</v>
      </c>
      <c r="C2407" s="127">
        <f>1000*_xlfn.XLOOKUP(A2407,'[1]2050Pop'!$A$7:$A$143,'[1]2050Pop'!$C$7:$C$143)</f>
        <v>65544</v>
      </c>
      <c r="D2407" s="126" t="s">
        <v>514</v>
      </c>
      <c r="E2407" s="128">
        <v>14.832000000000001</v>
      </c>
      <c r="F2407" s="129">
        <f t="shared" si="113"/>
        <v>0.97214860800000003</v>
      </c>
      <c r="G2407" t="str">
        <f>_xlfn.XLOOKUP(D2407,'[1]2050 BAU Mapping to T &amp; C'!$A$3:$A$52,'[1]2050 BAU Mapping to T &amp; C'!$B$3:$B$52)</f>
        <v>Other veg</v>
      </c>
      <c r="H2407" s="129">
        <f>_xlfn.XLOOKUP(G2407,'[1]T&amp;C emissions for 2050 analysis'!$B$3:$B$23,'[1]T&amp;C emissions for 2050 analysis'!$C$3:$C$23)</f>
        <v>0.26766666666666666</v>
      </c>
      <c r="I2407" s="27">
        <f t="shared" si="111"/>
        <v>0.260211777408</v>
      </c>
      <c r="J2407" s="129">
        <f t="shared" si="112"/>
        <v>3.9700320000000002</v>
      </c>
    </row>
    <row r="2408" spans="1:10" hidden="1" x14ac:dyDescent="0.35">
      <c r="A2408" s="126" t="s">
        <v>490</v>
      </c>
      <c r="B2408" t="str">
        <f>_xlfn.XLOOKUP(A2408,'[1]2050Pop'!$A$7:$A$143,'[1]2050Pop'!$D$7:$D$143)</f>
        <v>APAC</v>
      </c>
      <c r="C2408" s="127">
        <f>1000*_xlfn.XLOOKUP(A2408,'[1]2050Pop'!$A$7:$A$143,'[1]2050Pop'!$C$7:$C$143)</f>
        <v>63575</v>
      </c>
      <c r="D2408" s="126" t="s">
        <v>514</v>
      </c>
      <c r="E2408" s="128">
        <v>36.268999999999998</v>
      </c>
      <c r="F2408" s="129">
        <f t="shared" si="113"/>
        <v>2.3058016749999997</v>
      </c>
      <c r="G2408" t="str">
        <f>_xlfn.XLOOKUP(D2408,'[1]2050 BAU Mapping to T &amp; C'!$A$3:$A$52,'[1]2050 BAU Mapping to T &amp; C'!$B$3:$B$52)</f>
        <v>Other veg</v>
      </c>
      <c r="H2408" s="129">
        <f>_xlfn.XLOOKUP(G2408,'[1]T&amp;C emissions for 2050 analysis'!$B$3:$B$23,'[1]T&amp;C emissions for 2050 analysis'!$C$3:$C$23)</f>
        <v>0.26766666666666666</v>
      </c>
      <c r="I2408" s="27">
        <f t="shared" si="111"/>
        <v>0.61718624834166658</v>
      </c>
      <c r="J2408" s="129">
        <f t="shared" si="112"/>
        <v>9.708002333333333</v>
      </c>
    </row>
    <row r="2409" spans="1:10" hidden="1" x14ac:dyDescent="0.35">
      <c r="A2409" s="126" t="s">
        <v>437</v>
      </c>
      <c r="B2409" t="str">
        <f>_xlfn.XLOOKUP(A2409,'[1]2050Pop'!$A$7:$A$143,'[1]2050Pop'!$D$7:$D$143)</f>
        <v>SSA</v>
      </c>
      <c r="C2409" s="127">
        <f>1000*_xlfn.XLOOKUP(A2409,'[1]2050Pop'!$A$7:$A$143,'[1]2050Pop'!$C$7:$C$143)</f>
        <v>4322</v>
      </c>
      <c r="D2409" s="126" t="s">
        <v>514</v>
      </c>
      <c r="E2409" s="128">
        <v>49.823</v>
      </c>
      <c r="F2409" s="129">
        <f t="shared" si="113"/>
        <v>0.215335006</v>
      </c>
      <c r="G2409" t="str">
        <f>_xlfn.XLOOKUP(D2409,'[1]2050 BAU Mapping to T &amp; C'!$A$3:$A$52,'[1]2050 BAU Mapping to T &amp; C'!$B$3:$B$52)</f>
        <v>Other veg</v>
      </c>
      <c r="H2409" s="129">
        <f>_xlfn.XLOOKUP(G2409,'[1]T&amp;C emissions for 2050 analysis'!$B$3:$B$23,'[1]T&amp;C emissions for 2050 analysis'!$C$3:$C$23)</f>
        <v>0.26766666666666666</v>
      </c>
      <c r="I2409" s="27">
        <f t="shared" si="111"/>
        <v>5.7638003272666667E-2</v>
      </c>
      <c r="J2409" s="129">
        <f t="shared" si="112"/>
        <v>13.335956333333334</v>
      </c>
    </row>
    <row r="2410" spans="1:10" hidden="1" x14ac:dyDescent="0.35">
      <c r="A2410" s="126" t="s">
        <v>438</v>
      </c>
      <c r="B2410" t="str">
        <f>_xlfn.XLOOKUP(A2410,'[1]2050Pop'!$A$7:$A$143,'[1]2050Pop'!$D$7:$D$143)</f>
        <v>India/South Asia</v>
      </c>
      <c r="C2410" s="127">
        <f>1000*_xlfn.XLOOKUP(A2410,'[1]2050Pop'!$A$7:$A$143,'[1]2050Pop'!$C$7:$C$143)</f>
        <v>36159</v>
      </c>
      <c r="D2410" s="126" t="s">
        <v>514</v>
      </c>
      <c r="E2410" s="128">
        <v>73.992999999999995</v>
      </c>
      <c r="F2410" s="129">
        <f t="shared" si="113"/>
        <v>2.6755128869999996</v>
      </c>
      <c r="G2410" t="str">
        <f>_xlfn.XLOOKUP(D2410,'[1]2050 BAU Mapping to T &amp; C'!$A$3:$A$52,'[1]2050 BAU Mapping to T &amp; C'!$B$3:$B$52)</f>
        <v>Other veg</v>
      </c>
      <c r="H2410" s="129">
        <f>_xlfn.XLOOKUP(G2410,'[1]T&amp;C emissions for 2050 analysis'!$B$3:$B$23,'[1]T&amp;C emissions for 2050 analysis'!$C$3:$C$23)</f>
        <v>0.26766666666666666</v>
      </c>
      <c r="I2410" s="27">
        <f t="shared" si="111"/>
        <v>0.71614561608699989</v>
      </c>
      <c r="J2410" s="129">
        <f t="shared" si="112"/>
        <v>19.805459666666664</v>
      </c>
    </row>
    <row r="2411" spans="1:10" hidden="1" x14ac:dyDescent="0.35">
      <c r="A2411" s="126" t="s">
        <v>439</v>
      </c>
      <c r="B2411" t="str">
        <f>_xlfn.XLOOKUP(A2411,'[1]2050Pop'!$A$7:$A$143,'[1]2050Pop'!$D$7:$D$143)</f>
        <v>Euro/AU/NZ</v>
      </c>
      <c r="C2411" s="127">
        <f>1000*_xlfn.XLOOKUP(A2411,'[1]2050Pop'!$A$7:$A$143,'[1]2050Pop'!$C$7:$C$143)</f>
        <v>17602</v>
      </c>
      <c r="D2411" s="126" t="s">
        <v>514</v>
      </c>
      <c r="E2411" s="128">
        <v>108.884</v>
      </c>
      <c r="F2411" s="129">
        <f t="shared" si="113"/>
        <v>1.916576168</v>
      </c>
      <c r="G2411" t="str">
        <f>_xlfn.XLOOKUP(D2411,'[1]2050 BAU Mapping to T &amp; C'!$A$3:$A$52,'[1]2050 BAU Mapping to T &amp; C'!$B$3:$B$52)</f>
        <v>Other veg</v>
      </c>
      <c r="H2411" s="129">
        <f>_xlfn.XLOOKUP(G2411,'[1]T&amp;C emissions for 2050 analysis'!$B$3:$B$23,'[1]T&amp;C emissions for 2050 analysis'!$C$3:$C$23)</f>
        <v>0.26766666666666666</v>
      </c>
      <c r="I2411" s="27">
        <f t="shared" si="111"/>
        <v>0.51300355430133326</v>
      </c>
      <c r="J2411" s="129">
        <f t="shared" si="112"/>
        <v>29.144617333333333</v>
      </c>
    </row>
    <row r="2412" spans="1:10" hidden="1" x14ac:dyDescent="0.35">
      <c r="A2412" s="126" t="s">
        <v>440</v>
      </c>
      <c r="B2412" t="str">
        <f>_xlfn.XLOOKUP(A2412,'[1]2050Pop'!$A$7:$A$143,'[1]2050Pop'!$D$7:$D$143)</f>
        <v>Euro/AU/NZ</v>
      </c>
      <c r="C2412" s="127">
        <f>1000*_xlfn.XLOOKUP(A2412,'[1]2050Pop'!$A$7:$A$143,'[1]2050Pop'!$C$7:$C$143)</f>
        <v>5607</v>
      </c>
      <c r="D2412" s="126" t="s">
        <v>514</v>
      </c>
      <c r="E2412" s="128">
        <v>101.834</v>
      </c>
      <c r="F2412" s="129">
        <f t="shared" si="113"/>
        <v>0.57098323800000006</v>
      </c>
      <c r="G2412" t="str">
        <f>_xlfn.XLOOKUP(D2412,'[1]2050 BAU Mapping to T &amp; C'!$A$3:$A$52,'[1]2050 BAU Mapping to T &amp; C'!$B$3:$B$52)</f>
        <v>Other veg</v>
      </c>
      <c r="H2412" s="129">
        <f>_xlfn.XLOOKUP(G2412,'[1]T&amp;C emissions for 2050 analysis'!$B$3:$B$23,'[1]T&amp;C emissions for 2050 analysis'!$C$3:$C$23)</f>
        <v>0.26766666666666666</v>
      </c>
      <c r="I2412" s="27">
        <f t="shared" si="111"/>
        <v>0.152833180038</v>
      </c>
      <c r="J2412" s="129">
        <f t="shared" si="112"/>
        <v>27.257567333333334</v>
      </c>
    </row>
    <row r="2413" spans="1:10" hidden="1" x14ac:dyDescent="0.35">
      <c r="A2413" s="126" t="s">
        <v>441</v>
      </c>
      <c r="B2413" t="str">
        <f>_xlfn.XLOOKUP(A2413,'[1]2050Pop'!$A$7:$A$143,'[1]2050Pop'!$D$7:$D$143)</f>
        <v>LatAm &amp; RSA</v>
      </c>
      <c r="C2413" s="127">
        <f>1000*_xlfn.XLOOKUP(A2413,'[1]2050Pop'!$A$7:$A$143,'[1]2050Pop'!$C$7:$C$143)</f>
        <v>7863</v>
      </c>
      <c r="D2413" s="126" t="s">
        <v>514</v>
      </c>
      <c r="E2413" s="128">
        <v>24.071000000000002</v>
      </c>
      <c r="F2413" s="129">
        <f t="shared" si="113"/>
        <v>0.18927027300000002</v>
      </c>
      <c r="G2413" t="str">
        <f>_xlfn.XLOOKUP(D2413,'[1]2050 BAU Mapping to T &amp; C'!$A$3:$A$52,'[1]2050 BAU Mapping to T &amp; C'!$B$3:$B$52)</f>
        <v>Other veg</v>
      </c>
      <c r="H2413" s="129">
        <f>_xlfn.XLOOKUP(G2413,'[1]T&amp;C emissions for 2050 analysis'!$B$3:$B$23,'[1]T&amp;C emissions for 2050 analysis'!$C$3:$C$23)</f>
        <v>0.26766666666666666</v>
      </c>
      <c r="I2413" s="27">
        <f t="shared" si="111"/>
        <v>5.0661343073000006E-2</v>
      </c>
      <c r="J2413" s="129">
        <f t="shared" si="112"/>
        <v>6.4430043333333336</v>
      </c>
    </row>
    <row r="2414" spans="1:10" hidden="1" x14ac:dyDescent="0.35">
      <c r="A2414" s="126" t="s">
        <v>482</v>
      </c>
      <c r="B2414" t="str">
        <f>_xlfn.XLOOKUP(A2414,'[1]2050Pop'!$A$7:$A$143,'[1]2050Pop'!$D$7:$D$143)</f>
        <v>SSA</v>
      </c>
      <c r="C2414" s="127">
        <f>1000*_xlfn.XLOOKUP(A2414,'[1]2050Pop'!$A$7:$A$143,'[1]2050Pop'!$C$7:$C$143)</f>
        <v>72238</v>
      </c>
      <c r="D2414" s="126" t="s">
        <v>514</v>
      </c>
      <c r="E2414" s="130">
        <v>56.01</v>
      </c>
      <c r="F2414" s="129">
        <f t="shared" si="113"/>
        <v>4.0460503799999996</v>
      </c>
      <c r="G2414" t="str">
        <f>_xlfn.XLOOKUP(D2414,'[1]2050 BAU Mapping to T &amp; C'!$A$3:$A$52,'[1]2050 BAU Mapping to T &amp; C'!$B$3:$B$52)</f>
        <v>Other veg</v>
      </c>
      <c r="H2414" s="129">
        <f>_xlfn.XLOOKUP(G2414,'[1]T&amp;C emissions for 2050 analysis'!$B$3:$B$23,'[1]T&amp;C emissions for 2050 analysis'!$C$3:$C$23)</f>
        <v>0.26766666666666666</v>
      </c>
      <c r="I2414" s="27">
        <f t="shared" si="111"/>
        <v>1.0829928183799999</v>
      </c>
      <c r="J2414" s="129">
        <f t="shared" si="112"/>
        <v>14.992009999999999</v>
      </c>
    </row>
    <row r="2415" spans="1:10" hidden="1" x14ac:dyDescent="0.35">
      <c r="A2415" s="126" t="s">
        <v>491</v>
      </c>
      <c r="B2415" t="str">
        <f>_xlfn.XLOOKUP(A2415,'[1]2050Pop'!$A$7:$A$143,'[1]2050Pop'!$D$7:$D$143)</f>
        <v>SSA</v>
      </c>
      <c r="C2415" s="127">
        <f>1000*_xlfn.XLOOKUP(A2415,'[1]2050Pop'!$A$7:$A$143,'[1]2050Pop'!$C$7:$C$143)</f>
        <v>398508</v>
      </c>
      <c r="D2415" s="126" t="s">
        <v>514</v>
      </c>
      <c r="E2415" s="128">
        <v>27.649000000000001</v>
      </c>
      <c r="F2415" s="129">
        <f t="shared" si="113"/>
        <v>11.018347691999999</v>
      </c>
      <c r="G2415" t="str">
        <f>_xlfn.XLOOKUP(D2415,'[1]2050 BAU Mapping to T &amp; C'!$A$3:$A$52,'[1]2050 BAU Mapping to T &amp; C'!$B$3:$B$52)</f>
        <v>Other veg</v>
      </c>
      <c r="H2415" s="129">
        <f>_xlfn.XLOOKUP(G2415,'[1]T&amp;C emissions for 2050 analysis'!$B$3:$B$23,'[1]T&amp;C emissions for 2050 analysis'!$C$3:$C$23)</f>
        <v>0.26766666666666666</v>
      </c>
      <c r="I2415" s="27">
        <f t="shared" si="111"/>
        <v>2.9492443988919996</v>
      </c>
      <c r="J2415" s="129">
        <f t="shared" si="112"/>
        <v>7.4007156666666667</v>
      </c>
    </row>
    <row r="2416" spans="1:10" hidden="1" x14ac:dyDescent="0.35">
      <c r="A2416" s="126" t="s">
        <v>442</v>
      </c>
      <c r="B2416" t="str">
        <f>_xlfn.XLOOKUP(A2416,'[1]2050Pop'!$A$7:$A$143,'[1]2050Pop'!$D$7:$D$143)</f>
        <v>Euro/AU/NZ</v>
      </c>
      <c r="C2416" s="127">
        <f>1000*_xlfn.XLOOKUP(A2416,'[1]2050Pop'!$A$7:$A$143,'[1]2050Pop'!$C$7:$C$143)</f>
        <v>6658</v>
      </c>
      <c r="D2416" s="126" t="s">
        <v>514</v>
      </c>
      <c r="E2416" s="128">
        <v>80.882999999999996</v>
      </c>
      <c r="F2416" s="129">
        <f t="shared" si="113"/>
        <v>0.53851901400000002</v>
      </c>
      <c r="G2416" t="str">
        <f>_xlfn.XLOOKUP(D2416,'[1]2050 BAU Mapping to T &amp; C'!$A$3:$A$52,'[1]2050 BAU Mapping to T &amp; C'!$B$3:$B$52)</f>
        <v>Other veg</v>
      </c>
      <c r="H2416" s="129">
        <f>_xlfn.XLOOKUP(G2416,'[1]T&amp;C emissions for 2050 analysis'!$B$3:$B$23,'[1]T&amp;C emissions for 2050 analysis'!$C$3:$C$23)</f>
        <v>0.26766666666666666</v>
      </c>
      <c r="I2416" s="27">
        <f t="shared" si="111"/>
        <v>0.14414358941399999</v>
      </c>
      <c r="J2416" s="129">
        <f t="shared" si="112"/>
        <v>21.649683</v>
      </c>
    </row>
    <row r="2417" spans="1:10" hidden="1" x14ac:dyDescent="0.35">
      <c r="A2417" s="126" t="s">
        <v>443</v>
      </c>
      <c r="B2417" t="str">
        <f>_xlfn.XLOOKUP(A2417,'[1]2050Pop'!$A$7:$A$143,'[1]2050Pop'!$D$7:$D$143)</f>
        <v>India/South Asia</v>
      </c>
      <c r="C2417" s="127">
        <f>1000*_xlfn.XLOOKUP(A2417,'[1]2050Pop'!$A$7:$A$143,'[1]2050Pop'!$C$7:$C$143)</f>
        <v>309640</v>
      </c>
      <c r="D2417" s="126" t="s">
        <v>514</v>
      </c>
      <c r="E2417" s="128">
        <v>38.890999999999998</v>
      </c>
      <c r="F2417" s="129">
        <f t="shared" si="113"/>
        <v>12.04220924</v>
      </c>
      <c r="G2417" t="str">
        <f>_xlfn.XLOOKUP(D2417,'[1]2050 BAU Mapping to T &amp; C'!$A$3:$A$52,'[1]2050 BAU Mapping to T &amp; C'!$B$3:$B$52)</f>
        <v>Other veg</v>
      </c>
      <c r="H2417" s="129">
        <f>_xlfn.XLOOKUP(G2417,'[1]T&amp;C emissions for 2050 analysis'!$B$3:$B$23,'[1]T&amp;C emissions for 2050 analysis'!$C$3:$C$23)</f>
        <v>0.26766666666666666</v>
      </c>
      <c r="I2417" s="27">
        <f t="shared" si="111"/>
        <v>3.2232980065733332</v>
      </c>
      <c r="J2417" s="129">
        <f t="shared" si="112"/>
        <v>10.409824333333333</v>
      </c>
    </row>
    <row r="2418" spans="1:10" hidden="1" x14ac:dyDescent="0.35">
      <c r="A2418" s="126" t="s">
        <v>444</v>
      </c>
      <c r="B2418" t="str">
        <f>_xlfn.XLOOKUP(A2418,'[1]2050Pop'!$A$7:$A$143,'[1]2050Pop'!$D$7:$D$143)</f>
        <v>LatAm &amp; RSA</v>
      </c>
      <c r="C2418" s="127">
        <f>1000*_xlfn.XLOOKUP(A2418,'[1]2050Pop'!$A$7:$A$143,'[1]2050Pop'!$C$7:$C$143)</f>
        <v>5599</v>
      </c>
      <c r="D2418" s="126" t="s">
        <v>514</v>
      </c>
      <c r="E2418" s="128">
        <v>45.226999999999997</v>
      </c>
      <c r="F2418" s="129">
        <f t="shared" si="113"/>
        <v>0.25322597299999999</v>
      </c>
      <c r="G2418" t="str">
        <f>_xlfn.XLOOKUP(D2418,'[1]2050 BAU Mapping to T &amp; C'!$A$3:$A$52,'[1]2050 BAU Mapping to T &amp; C'!$B$3:$B$52)</f>
        <v>Other veg</v>
      </c>
      <c r="H2418" s="129">
        <f>_xlfn.XLOOKUP(G2418,'[1]T&amp;C emissions for 2050 analysis'!$B$3:$B$23,'[1]T&amp;C emissions for 2050 analysis'!$C$3:$C$23)</f>
        <v>0.26766666666666666</v>
      </c>
      <c r="I2418" s="27">
        <f t="shared" si="111"/>
        <v>6.7780152106333327E-2</v>
      </c>
      <c r="J2418" s="129">
        <f t="shared" si="112"/>
        <v>12.105760333333333</v>
      </c>
    </row>
    <row r="2419" spans="1:10" hidden="1" x14ac:dyDescent="0.35">
      <c r="A2419" s="126" t="s">
        <v>445</v>
      </c>
      <c r="B2419" t="str">
        <f>_xlfn.XLOOKUP(A2419,'[1]2050Pop'!$A$7:$A$143,'[1]2050Pop'!$D$7:$D$143)</f>
        <v>LatAm &amp; RSA</v>
      </c>
      <c r="C2419" s="127">
        <f>1000*_xlfn.XLOOKUP(A2419,'[1]2050Pop'!$A$7:$A$143,'[1]2050Pop'!$C$7:$C$143)</f>
        <v>8895</v>
      </c>
      <c r="D2419" s="126" t="s">
        <v>514</v>
      </c>
      <c r="E2419" s="128">
        <v>29.943000000000001</v>
      </c>
      <c r="F2419" s="129">
        <f t="shared" si="113"/>
        <v>0.26634298499999998</v>
      </c>
      <c r="G2419" t="str">
        <f>_xlfn.XLOOKUP(D2419,'[1]2050 BAU Mapping to T &amp; C'!$A$3:$A$52,'[1]2050 BAU Mapping to T &amp; C'!$B$3:$B$52)</f>
        <v>Other veg</v>
      </c>
      <c r="H2419" s="129">
        <f>_xlfn.XLOOKUP(G2419,'[1]T&amp;C emissions for 2050 analysis'!$B$3:$B$23,'[1]T&amp;C emissions for 2050 analysis'!$C$3:$C$23)</f>
        <v>0.26766666666666666</v>
      </c>
      <c r="I2419" s="27">
        <f t="shared" si="111"/>
        <v>7.1291138984999988E-2</v>
      </c>
      <c r="J2419" s="129">
        <f t="shared" si="112"/>
        <v>8.0147430000000011</v>
      </c>
    </row>
    <row r="2420" spans="1:10" hidden="1" x14ac:dyDescent="0.35">
      <c r="A2420" s="126" t="s">
        <v>446</v>
      </c>
      <c r="B2420" t="str">
        <f>_xlfn.XLOOKUP(A2420,'[1]2050Pop'!$A$7:$A$143,'[1]2050Pop'!$D$7:$D$143)</f>
        <v>LatAm &amp; RSA</v>
      </c>
      <c r="C2420" s="127">
        <f>1000*_xlfn.XLOOKUP(A2420,'[1]2050Pop'!$A$7:$A$143,'[1]2050Pop'!$C$7:$C$143)</f>
        <v>41899</v>
      </c>
      <c r="D2420" s="126" t="s">
        <v>514</v>
      </c>
      <c r="E2420" s="128">
        <v>70.052000000000007</v>
      </c>
      <c r="F2420" s="129">
        <f t="shared" si="113"/>
        <v>2.9351087480000002</v>
      </c>
      <c r="G2420" t="str">
        <f>_xlfn.XLOOKUP(D2420,'[1]2050 BAU Mapping to T &amp; C'!$A$3:$A$52,'[1]2050 BAU Mapping to T &amp; C'!$B$3:$B$52)</f>
        <v>Other veg</v>
      </c>
      <c r="H2420" s="129">
        <f>_xlfn.XLOOKUP(G2420,'[1]T&amp;C emissions for 2050 analysis'!$B$3:$B$23,'[1]T&amp;C emissions for 2050 analysis'!$C$3:$C$23)</f>
        <v>0.26766666666666666</v>
      </c>
      <c r="I2420" s="27">
        <f t="shared" si="111"/>
        <v>0.78563077488133337</v>
      </c>
      <c r="J2420" s="129">
        <f t="shared" si="112"/>
        <v>18.750585333333333</v>
      </c>
    </row>
    <row r="2421" spans="1:10" hidden="1" x14ac:dyDescent="0.35">
      <c r="A2421" s="126" t="s">
        <v>447</v>
      </c>
      <c r="B2421" t="str">
        <f>_xlfn.XLOOKUP(A2421,'[1]2050Pop'!$A$7:$A$143,'[1]2050Pop'!$D$7:$D$143)</f>
        <v>APAC</v>
      </c>
      <c r="C2421" s="127">
        <f>1000*_xlfn.XLOOKUP(A2421,'[1]2050Pop'!$A$7:$A$143,'[1]2050Pop'!$C$7:$C$143)</f>
        <v>148260</v>
      </c>
      <c r="D2421" s="126" t="s">
        <v>514</v>
      </c>
      <c r="E2421" s="128">
        <v>68.125</v>
      </c>
      <c r="F2421" s="129">
        <f t="shared" si="113"/>
        <v>10.1002125</v>
      </c>
      <c r="G2421" t="str">
        <f>_xlfn.XLOOKUP(D2421,'[1]2050 BAU Mapping to T &amp; C'!$A$3:$A$52,'[1]2050 BAU Mapping to T &amp; C'!$B$3:$B$52)</f>
        <v>Other veg</v>
      </c>
      <c r="H2421" s="129">
        <f>_xlfn.XLOOKUP(G2421,'[1]T&amp;C emissions for 2050 analysis'!$B$3:$B$23,'[1]T&amp;C emissions for 2050 analysis'!$C$3:$C$23)</f>
        <v>0.26766666666666666</v>
      </c>
      <c r="I2421" s="27">
        <f t="shared" si="111"/>
        <v>2.7034902124999998</v>
      </c>
      <c r="J2421" s="129">
        <f t="shared" si="112"/>
        <v>18.234791666666666</v>
      </c>
    </row>
    <row r="2422" spans="1:10" hidden="1" x14ac:dyDescent="0.35">
      <c r="A2422" s="126" t="s">
        <v>448</v>
      </c>
      <c r="B2422" t="str">
        <f>_xlfn.XLOOKUP(A2422,'[1]2050Pop'!$A$7:$A$143,'[1]2050Pop'!$D$7:$D$143)</f>
        <v>Euro/AU/NZ</v>
      </c>
      <c r="C2422" s="127">
        <f>1000*_xlfn.XLOOKUP(A2422,'[1]2050Pop'!$A$7:$A$143,'[1]2050Pop'!$C$7:$C$143)</f>
        <v>33136</v>
      </c>
      <c r="D2422" s="126" t="s">
        <v>514</v>
      </c>
      <c r="E2422" s="128">
        <v>61.588999999999999</v>
      </c>
      <c r="F2422" s="129">
        <f t="shared" si="113"/>
        <v>2.0408131040000002</v>
      </c>
      <c r="G2422" t="str">
        <f>_xlfn.XLOOKUP(D2422,'[1]2050 BAU Mapping to T &amp; C'!$A$3:$A$52,'[1]2050 BAU Mapping to T &amp; C'!$B$3:$B$52)</f>
        <v>Other veg</v>
      </c>
      <c r="H2422" s="129">
        <f>_xlfn.XLOOKUP(G2422,'[1]T&amp;C emissions for 2050 analysis'!$B$3:$B$23,'[1]T&amp;C emissions for 2050 analysis'!$C$3:$C$23)</f>
        <v>0.26766666666666666</v>
      </c>
      <c r="I2422" s="27">
        <f t="shared" si="111"/>
        <v>0.54625764083733341</v>
      </c>
      <c r="J2422" s="129">
        <f t="shared" si="112"/>
        <v>16.485322333333333</v>
      </c>
    </row>
    <row r="2423" spans="1:10" hidden="1" x14ac:dyDescent="0.35">
      <c r="A2423" s="126" t="s">
        <v>449</v>
      </c>
      <c r="B2423" t="str">
        <f>_xlfn.XLOOKUP(A2423,'[1]2050Pop'!$A$7:$A$143,'[1]2050Pop'!$D$7:$D$143)</f>
        <v>Euro/AU/NZ</v>
      </c>
      <c r="C2423" s="127">
        <f>1000*_xlfn.XLOOKUP(A2423,'[1]2050Pop'!$A$7:$A$143,'[1]2050Pop'!$C$7:$C$143)</f>
        <v>9216</v>
      </c>
      <c r="D2423" s="126" t="s">
        <v>514</v>
      </c>
      <c r="E2423" s="128">
        <v>98.308000000000007</v>
      </c>
      <c r="F2423" s="129">
        <f t="shared" si="113"/>
        <v>0.90600652800000003</v>
      </c>
      <c r="G2423" t="str">
        <f>_xlfn.XLOOKUP(D2423,'[1]2050 BAU Mapping to T &amp; C'!$A$3:$A$52,'[1]2050 BAU Mapping to T &amp; C'!$B$3:$B$52)</f>
        <v>Other veg</v>
      </c>
      <c r="H2423" s="129">
        <f>_xlfn.XLOOKUP(G2423,'[1]T&amp;C emissions for 2050 analysis'!$B$3:$B$23,'[1]T&amp;C emissions for 2050 analysis'!$C$3:$C$23)</f>
        <v>0.26766666666666666</v>
      </c>
      <c r="I2423" s="27">
        <f t="shared" si="111"/>
        <v>0.24250774732800001</v>
      </c>
      <c r="J2423" s="129">
        <f t="shared" si="112"/>
        <v>26.313774666666667</v>
      </c>
    </row>
    <row r="2424" spans="1:10" hidden="1" x14ac:dyDescent="0.35">
      <c r="A2424" s="126" t="s">
        <v>450</v>
      </c>
      <c r="B2424" t="str">
        <f>_xlfn.XLOOKUP(A2424,'[1]2050Pop'!$A$7:$A$143,'[1]2050Pop'!$D$7:$D$143)</f>
        <v>APAC</v>
      </c>
      <c r="C2424" s="127">
        <f>1000*_xlfn.XLOOKUP(A2424,'[1]2050Pop'!$A$7:$A$143,'[1]2050Pop'!$C$7:$C$143)</f>
        <v>50593</v>
      </c>
      <c r="D2424" s="126" t="s">
        <v>514</v>
      </c>
      <c r="E2424" s="128">
        <v>54.954000000000001</v>
      </c>
      <c r="F2424" s="129">
        <f t="shared" si="113"/>
        <v>2.7802877220000002</v>
      </c>
      <c r="G2424" t="str">
        <f>_xlfn.XLOOKUP(D2424,'[1]2050 BAU Mapping to T &amp; C'!$A$3:$A$52,'[1]2050 BAU Mapping to T &amp; C'!$B$3:$B$52)</f>
        <v>Other veg</v>
      </c>
      <c r="H2424" s="129">
        <f>_xlfn.XLOOKUP(G2424,'[1]T&amp;C emissions for 2050 analysis'!$B$3:$B$23,'[1]T&amp;C emissions for 2050 analysis'!$C$3:$C$23)</f>
        <v>0.26766666666666666</v>
      </c>
      <c r="I2424" s="27">
        <f t="shared" si="111"/>
        <v>0.74419034692200003</v>
      </c>
      <c r="J2424" s="129">
        <f t="shared" si="112"/>
        <v>14.709353999999999</v>
      </c>
    </row>
    <row r="2425" spans="1:10" hidden="1" x14ac:dyDescent="0.35">
      <c r="A2425" s="126" t="s">
        <v>451</v>
      </c>
      <c r="B2425" t="str">
        <f>_xlfn.XLOOKUP(A2425,'[1]2050Pop'!$A$7:$A$143,'[1]2050Pop'!$D$7:$D$143)</f>
        <v>Euro/AU/NZ</v>
      </c>
      <c r="C2425" s="127">
        <f>1000*_xlfn.XLOOKUP(A2425,'[1]2050Pop'!$A$7:$A$143,'[1]2050Pop'!$C$7:$C$143)</f>
        <v>3243</v>
      </c>
      <c r="D2425" s="126" t="s">
        <v>514</v>
      </c>
      <c r="E2425" s="128">
        <v>85.168999999999997</v>
      </c>
      <c r="F2425" s="129">
        <f t="shared" si="113"/>
        <v>0.27620306699999997</v>
      </c>
      <c r="G2425" t="str">
        <f>_xlfn.XLOOKUP(D2425,'[1]2050 BAU Mapping to T &amp; C'!$A$3:$A$52,'[1]2050 BAU Mapping to T &amp; C'!$B$3:$B$52)</f>
        <v>Other veg</v>
      </c>
      <c r="H2425" s="129">
        <f>_xlfn.XLOOKUP(G2425,'[1]T&amp;C emissions for 2050 analysis'!$B$3:$B$23,'[1]T&amp;C emissions for 2050 analysis'!$C$3:$C$23)</f>
        <v>0.26766666666666666</v>
      </c>
      <c r="I2425" s="27">
        <f t="shared" si="111"/>
        <v>7.3930354266999995E-2</v>
      </c>
      <c r="J2425" s="129">
        <f t="shared" si="112"/>
        <v>22.796902333333332</v>
      </c>
    </row>
    <row r="2426" spans="1:10" hidden="1" x14ac:dyDescent="0.35">
      <c r="A2426" s="126" t="s">
        <v>452</v>
      </c>
      <c r="B2426" t="str">
        <f>_xlfn.XLOOKUP(A2426,'[1]2050Pop'!$A$7:$A$143,'[1]2050Pop'!$D$7:$D$143)</f>
        <v>SSA</v>
      </c>
      <c r="C2426" s="127">
        <f>1000*_xlfn.XLOOKUP(A2426,'[1]2050Pop'!$A$7:$A$143,'[1]2050Pop'!$C$7:$C$143)</f>
        <v>10732</v>
      </c>
      <c r="D2426" s="126" t="s">
        <v>514</v>
      </c>
      <c r="E2426" s="128">
        <v>34.872</v>
      </c>
      <c r="F2426" s="129">
        <f t="shared" si="113"/>
        <v>0.37424630400000003</v>
      </c>
      <c r="G2426" t="str">
        <f>_xlfn.XLOOKUP(D2426,'[1]2050 BAU Mapping to T &amp; C'!$A$3:$A$52,'[1]2050 BAU Mapping to T &amp; C'!$B$3:$B$52)</f>
        <v>Other veg</v>
      </c>
      <c r="H2426" s="129">
        <f>_xlfn.XLOOKUP(G2426,'[1]T&amp;C emissions for 2050 analysis'!$B$3:$B$23,'[1]T&amp;C emissions for 2050 analysis'!$C$3:$C$23)</f>
        <v>0.26766666666666666</v>
      </c>
      <c r="I2426" s="27">
        <f t="shared" si="111"/>
        <v>0.10017326070400001</v>
      </c>
      <c r="J2426" s="129">
        <f t="shared" si="112"/>
        <v>9.334071999999999</v>
      </c>
    </row>
    <row r="2427" spans="1:10" hidden="1" x14ac:dyDescent="0.35">
      <c r="A2427" s="126" t="s">
        <v>453</v>
      </c>
      <c r="B2427" t="str">
        <f>_xlfn.XLOOKUP(A2427,'[1]2050Pop'!$A$7:$A$143,'[1]2050Pop'!$D$7:$D$143)</f>
        <v>Euro/AU/NZ</v>
      </c>
      <c r="C2427" s="127">
        <f>1000*_xlfn.XLOOKUP(A2427,'[1]2050Pop'!$A$7:$A$143,'[1]2050Pop'!$C$7:$C$143)</f>
        <v>15207</v>
      </c>
      <c r="D2427" s="126" t="s">
        <v>514</v>
      </c>
      <c r="E2427" s="128">
        <v>97.204999999999998</v>
      </c>
      <c r="F2427" s="129">
        <f t="shared" si="113"/>
        <v>1.4781964350000001</v>
      </c>
      <c r="G2427" t="str">
        <f>_xlfn.XLOOKUP(D2427,'[1]2050 BAU Mapping to T &amp; C'!$A$3:$A$52,'[1]2050 BAU Mapping to T &amp; C'!$B$3:$B$52)</f>
        <v>Other veg</v>
      </c>
      <c r="H2427" s="129">
        <f>_xlfn.XLOOKUP(G2427,'[1]T&amp;C emissions for 2050 analysis'!$B$3:$B$23,'[1]T&amp;C emissions for 2050 analysis'!$C$3:$C$23)</f>
        <v>0.26766666666666666</v>
      </c>
      <c r="I2427" s="27">
        <f t="shared" si="111"/>
        <v>0.39566391243500004</v>
      </c>
      <c r="J2427" s="129">
        <f t="shared" si="112"/>
        <v>26.018538333333332</v>
      </c>
    </row>
    <row r="2428" spans="1:10" hidden="1" x14ac:dyDescent="0.35">
      <c r="A2428" s="126" t="s">
        <v>454</v>
      </c>
      <c r="B2428" t="str">
        <f>_xlfn.XLOOKUP(A2428,'[1]2050Pop'!$A$7:$A$143,'[1]2050Pop'!$D$7:$D$143)</f>
        <v>Euro/AU/NZ</v>
      </c>
      <c r="C2428" s="127">
        <f>1000*_xlfn.XLOOKUP(A2428,'[1]2050Pop'!$A$7:$A$143,'[1]2050Pop'!$C$7:$C$143)</f>
        <v>128598.99999999999</v>
      </c>
      <c r="D2428" s="126" t="s">
        <v>514</v>
      </c>
      <c r="E2428" s="128">
        <v>68.543000000000006</v>
      </c>
      <c r="F2428" s="129">
        <f t="shared" si="113"/>
        <v>8.8145612569999994</v>
      </c>
      <c r="G2428" t="str">
        <f>_xlfn.XLOOKUP(D2428,'[1]2050 BAU Mapping to T &amp; C'!$A$3:$A$52,'[1]2050 BAU Mapping to T &amp; C'!$B$3:$B$52)</f>
        <v>Other veg</v>
      </c>
      <c r="H2428" s="129">
        <f>_xlfn.XLOOKUP(G2428,'[1]T&amp;C emissions for 2050 analysis'!$B$3:$B$23,'[1]T&amp;C emissions for 2050 analysis'!$C$3:$C$23)</f>
        <v>0.26766666666666666</v>
      </c>
      <c r="I2428" s="27">
        <f t="shared" si="111"/>
        <v>2.3593642297903332</v>
      </c>
      <c r="J2428" s="129">
        <f t="shared" si="112"/>
        <v>18.346676333333335</v>
      </c>
    </row>
    <row r="2429" spans="1:10" hidden="1" x14ac:dyDescent="0.35">
      <c r="A2429" s="126" t="s">
        <v>455</v>
      </c>
      <c r="B2429" t="str">
        <f>_xlfn.XLOOKUP(A2429,'[1]2050Pop'!$A$7:$A$143,'[1]2050Pop'!$D$7:$D$143)</f>
        <v>SSA</v>
      </c>
      <c r="C2429" s="127">
        <f>1000*_xlfn.XLOOKUP(A2429,'[1]2050Pop'!$A$7:$A$143,'[1]2050Pop'!$C$7:$C$143)</f>
        <v>21187</v>
      </c>
      <c r="D2429" s="126" t="s">
        <v>514</v>
      </c>
      <c r="E2429" s="128">
        <v>79.658000000000001</v>
      </c>
      <c r="F2429" s="129">
        <f t="shared" si="113"/>
        <v>1.6877140460000002</v>
      </c>
      <c r="G2429" t="str">
        <f>_xlfn.XLOOKUP(D2429,'[1]2050 BAU Mapping to T &amp; C'!$A$3:$A$52,'[1]2050 BAU Mapping to T &amp; C'!$B$3:$B$52)</f>
        <v>Other veg</v>
      </c>
      <c r="H2429" s="129">
        <f>_xlfn.XLOOKUP(G2429,'[1]T&amp;C emissions for 2050 analysis'!$B$3:$B$23,'[1]T&amp;C emissions for 2050 analysis'!$C$3:$C$23)</f>
        <v>0.26766666666666666</v>
      </c>
      <c r="I2429" s="27">
        <f t="shared" si="111"/>
        <v>0.4517447929793334</v>
      </c>
      <c r="J2429" s="129">
        <f t="shared" si="112"/>
        <v>21.321791333333334</v>
      </c>
    </row>
    <row r="2430" spans="1:10" hidden="1" x14ac:dyDescent="0.35">
      <c r="A2430" s="126" t="s">
        <v>456</v>
      </c>
      <c r="B2430" t="str">
        <f>_xlfn.XLOOKUP(A2430,'[1]2050Pop'!$A$7:$A$143,'[1]2050Pop'!$D$7:$D$143)</f>
        <v>MENA</v>
      </c>
      <c r="C2430" s="127">
        <f>1000*_xlfn.XLOOKUP(A2430,'[1]2050Pop'!$A$7:$A$143,'[1]2050Pop'!$C$7:$C$143)</f>
        <v>46059</v>
      </c>
      <c r="D2430" s="126" t="s">
        <v>514</v>
      </c>
      <c r="E2430" s="128">
        <v>207.68199999999999</v>
      </c>
      <c r="F2430" s="129">
        <f t="shared" si="113"/>
        <v>9.5656252379999991</v>
      </c>
      <c r="G2430" t="str">
        <f>_xlfn.XLOOKUP(D2430,'[1]2050 BAU Mapping to T &amp; C'!$A$3:$A$52,'[1]2050 BAU Mapping to T &amp; C'!$B$3:$B$52)</f>
        <v>Other veg</v>
      </c>
      <c r="H2430" s="129">
        <f>_xlfn.XLOOKUP(G2430,'[1]T&amp;C emissions for 2050 analysis'!$B$3:$B$23,'[1]T&amp;C emissions for 2050 analysis'!$C$3:$C$23)</f>
        <v>0.26766666666666666</v>
      </c>
      <c r="I2430" s="27">
        <f t="shared" si="111"/>
        <v>2.5603990220379997</v>
      </c>
      <c r="J2430" s="129">
        <f t="shared" si="112"/>
        <v>55.589548666666666</v>
      </c>
    </row>
    <row r="2431" spans="1:10" hidden="1" x14ac:dyDescent="0.35">
      <c r="A2431" s="126" t="s">
        <v>457</v>
      </c>
      <c r="B2431" t="str">
        <f>_xlfn.XLOOKUP(A2431,'[1]2050Pop'!$A$7:$A$143,'[1]2050Pop'!$D$7:$D$143)</f>
        <v>SSA</v>
      </c>
      <c r="C2431" s="127">
        <f>1000*_xlfn.XLOOKUP(A2431,'[1]2050Pop'!$A$7:$A$143,'[1]2050Pop'!$C$7:$C$143)</f>
        <v>36223</v>
      </c>
      <c r="D2431" s="126" t="s">
        <v>514</v>
      </c>
      <c r="E2431" s="128">
        <v>15.885</v>
      </c>
      <c r="F2431" s="129">
        <f t="shared" si="113"/>
        <v>0.57540235500000003</v>
      </c>
      <c r="G2431" t="str">
        <f>_xlfn.XLOOKUP(D2431,'[1]2050 BAU Mapping to T &amp; C'!$A$3:$A$52,'[1]2050 BAU Mapping to T &amp; C'!$B$3:$B$52)</f>
        <v>Other veg</v>
      </c>
      <c r="H2431" s="129">
        <f>_xlfn.XLOOKUP(G2431,'[1]T&amp;C emissions for 2050 analysis'!$B$3:$B$23,'[1]T&amp;C emissions for 2050 analysis'!$C$3:$C$23)</f>
        <v>0.26766666666666666</v>
      </c>
      <c r="I2431" s="27">
        <f t="shared" si="111"/>
        <v>0.154016030355</v>
      </c>
      <c r="J2431" s="129">
        <f t="shared" si="112"/>
        <v>4.2518849999999997</v>
      </c>
    </row>
    <row r="2432" spans="1:10" hidden="1" x14ac:dyDescent="0.35">
      <c r="A2432" s="126" t="s">
        <v>458</v>
      </c>
      <c r="B2432" t="str">
        <f>_xlfn.XLOOKUP(A2432,'[1]2050Pop'!$A$7:$A$143,'[1]2050Pop'!$D$7:$D$143)</f>
        <v>Euro/AU/NZ</v>
      </c>
      <c r="C2432" s="127">
        <f>1000*_xlfn.XLOOKUP(A2432,'[1]2050Pop'!$A$7:$A$143,'[1]2050Pop'!$C$7:$C$143)</f>
        <v>7331</v>
      </c>
      <c r="D2432" s="126" t="s">
        <v>514</v>
      </c>
      <c r="E2432" s="128">
        <v>103.261</v>
      </c>
      <c r="F2432" s="129">
        <f t="shared" si="113"/>
        <v>0.75700639099999989</v>
      </c>
      <c r="G2432" t="str">
        <f>_xlfn.XLOOKUP(D2432,'[1]2050 BAU Mapping to T &amp; C'!$A$3:$A$52,'[1]2050 BAU Mapping to T &amp; C'!$B$3:$B$52)</f>
        <v>Other veg</v>
      </c>
      <c r="H2432" s="129">
        <f>_xlfn.XLOOKUP(G2432,'[1]T&amp;C emissions for 2050 analysis'!$B$3:$B$23,'[1]T&amp;C emissions for 2050 analysis'!$C$3:$C$23)</f>
        <v>0.26766666666666666</v>
      </c>
      <c r="I2432" s="27">
        <f t="shared" si="111"/>
        <v>0.20262537732433331</v>
      </c>
      <c r="J2432" s="129">
        <f t="shared" si="112"/>
        <v>27.639527666666666</v>
      </c>
    </row>
    <row r="2433" spans="1:10" hidden="1" x14ac:dyDescent="0.35">
      <c r="A2433" s="126" t="s">
        <v>492</v>
      </c>
      <c r="B2433" t="str">
        <f>_xlfn.XLOOKUP(A2433,'[1]2050Pop'!$A$7:$A$143,'[1]2050Pop'!$D$7:$D$143)</f>
        <v>SSA</v>
      </c>
      <c r="C2433" s="127">
        <f>1000*_xlfn.XLOOKUP(A2433,'[1]2050Pop'!$A$7:$A$143,'[1]2050Pop'!$C$7:$C$143)</f>
        <v>11392</v>
      </c>
      <c r="D2433" s="126" t="s">
        <v>514</v>
      </c>
      <c r="E2433" s="128">
        <v>24.279</v>
      </c>
      <c r="F2433" s="129">
        <f t="shared" si="113"/>
        <v>0.27658636800000003</v>
      </c>
      <c r="G2433" t="str">
        <f>_xlfn.XLOOKUP(D2433,'[1]2050 BAU Mapping to T &amp; C'!$A$3:$A$52,'[1]2050 BAU Mapping to T &amp; C'!$B$3:$B$52)</f>
        <v>Other veg</v>
      </c>
      <c r="H2433" s="129">
        <f>_xlfn.XLOOKUP(G2433,'[1]T&amp;C emissions for 2050 analysis'!$B$3:$B$23,'[1]T&amp;C emissions for 2050 analysis'!$C$3:$C$23)</f>
        <v>0.26766666666666666</v>
      </c>
      <c r="I2433" s="27">
        <f t="shared" si="111"/>
        <v>7.4032951168000002E-2</v>
      </c>
      <c r="J2433" s="129">
        <f t="shared" si="112"/>
        <v>6.4986790000000001</v>
      </c>
    </row>
    <row r="2434" spans="1:10" hidden="1" x14ac:dyDescent="0.35">
      <c r="A2434" s="126" t="s">
        <v>459</v>
      </c>
      <c r="B2434" t="str">
        <f>_xlfn.XLOOKUP(A2434,'[1]2050Pop'!$A$7:$A$143,'[1]2050Pop'!$D$7:$D$143)</f>
        <v>Euro/AU/NZ</v>
      </c>
      <c r="C2434" s="127">
        <f>1000*_xlfn.XLOOKUP(A2434,'[1]2050Pop'!$A$7:$A$143,'[1]2050Pop'!$C$7:$C$143)</f>
        <v>4892</v>
      </c>
      <c r="D2434" s="126" t="s">
        <v>514</v>
      </c>
      <c r="E2434" s="128">
        <v>47.881</v>
      </c>
      <c r="F2434" s="129">
        <f t="shared" si="113"/>
        <v>0.23423385200000002</v>
      </c>
      <c r="G2434" t="str">
        <f>_xlfn.XLOOKUP(D2434,'[1]2050 BAU Mapping to T &amp; C'!$A$3:$A$52,'[1]2050 BAU Mapping to T &amp; C'!$B$3:$B$52)</f>
        <v>Other veg</v>
      </c>
      <c r="H2434" s="129">
        <f>_xlfn.XLOOKUP(G2434,'[1]T&amp;C emissions for 2050 analysis'!$B$3:$B$23,'[1]T&amp;C emissions for 2050 analysis'!$C$3:$C$23)</f>
        <v>0.26766666666666666</v>
      </c>
      <c r="I2434" s="27">
        <f t="shared" si="111"/>
        <v>6.2696594385333343E-2</v>
      </c>
      <c r="J2434" s="129">
        <f t="shared" si="112"/>
        <v>12.816147666666666</v>
      </c>
    </row>
    <row r="2435" spans="1:10" hidden="1" x14ac:dyDescent="0.35">
      <c r="A2435" s="126" t="s">
        <v>460</v>
      </c>
      <c r="B2435" t="str">
        <f>_xlfn.XLOOKUP(A2435,'[1]2050Pop'!$A$7:$A$143,'[1]2050Pop'!$D$7:$D$143)</f>
        <v>LatAm &amp; RSA</v>
      </c>
      <c r="C2435" s="127">
        <f>1000*_xlfn.XLOOKUP(A2435,'[1]2050Pop'!$A$7:$A$143,'[1]2050Pop'!$C$7:$C$143)</f>
        <v>65540</v>
      </c>
      <c r="D2435" s="126" t="s">
        <v>514</v>
      </c>
      <c r="E2435" s="128">
        <v>23.213000000000001</v>
      </c>
      <c r="F2435" s="129">
        <f t="shared" si="113"/>
        <v>1.5213800200000001</v>
      </c>
      <c r="G2435" t="str">
        <f>_xlfn.XLOOKUP(D2435,'[1]2050 BAU Mapping to T &amp; C'!$A$3:$A$52,'[1]2050 BAU Mapping to T &amp; C'!$B$3:$B$52)</f>
        <v>Other veg</v>
      </c>
      <c r="H2435" s="129">
        <f>_xlfn.XLOOKUP(G2435,'[1]T&amp;C emissions for 2050 analysis'!$B$3:$B$23,'[1]T&amp;C emissions for 2050 analysis'!$C$3:$C$23)</f>
        <v>0.26766666666666666</v>
      </c>
      <c r="I2435" s="27">
        <f t="shared" si="111"/>
        <v>0.40722271868666665</v>
      </c>
      <c r="J2435" s="129">
        <f t="shared" si="112"/>
        <v>6.2133463333333339</v>
      </c>
    </row>
    <row r="2436" spans="1:10" hidden="1" x14ac:dyDescent="0.35">
      <c r="A2436" s="126" t="s">
        <v>461</v>
      </c>
      <c r="B2436" t="str">
        <f>_xlfn.XLOOKUP(A2436,'[1]2050Pop'!$A$7:$A$143,'[1]2050Pop'!$D$7:$D$143)</f>
        <v>Euro/AU/NZ</v>
      </c>
      <c r="C2436" s="127">
        <f>1000*_xlfn.XLOOKUP(A2436,'[1]2050Pop'!$A$7:$A$143,'[1]2050Pop'!$C$7:$C$143)</f>
        <v>44840</v>
      </c>
      <c r="D2436" s="126" t="s">
        <v>514</v>
      </c>
      <c r="E2436" s="128">
        <v>54.293999999999997</v>
      </c>
      <c r="F2436" s="129">
        <f t="shared" si="113"/>
        <v>2.4345429599999999</v>
      </c>
      <c r="G2436" t="str">
        <f>_xlfn.XLOOKUP(D2436,'[1]2050 BAU Mapping to T &amp; C'!$A$3:$A$52,'[1]2050 BAU Mapping to T &amp; C'!$B$3:$B$52)</f>
        <v>Other veg</v>
      </c>
      <c r="H2436" s="129">
        <f>_xlfn.XLOOKUP(G2436,'[1]T&amp;C emissions for 2050 analysis'!$B$3:$B$23,'[1]T&amp;C emissions for 2050 analysis'!$C$3:$C$23)</f>
        <v>0.26766666666666666</v>
      </c>
      <c r="I2436" s="27">
        <f t="shared" ref="I2436:I2499" si="114">F2436*H2436</f>
        <v>0.65164599895999997</v>
      </c>
      <c r="J2436" s="129">
        <f t="shared" ref="J2436:J2499" si="115">E2436*H2436</f>
        <v>14.532693999999999</v>
      </c>
    </row>
    <row r="2437" spans="1:10" hidden="1" x14ac:dyDescent="0.35">
      <c r="A2437" s="126" t="s">
        <v>493</v>
      </c>
      <c r="B2437" t="str">
        <f>_xlfn.XLOOKUP(A2437,'[1]2050Pop'!$A$7:$A$143,'[1]2050Pop'!$D$7:$D$143)</f>
        <v>India/South Asia</v>
      </c>
      <c r="C2437" s="127">
        <f>1000*_xlfn.XLOOKUP(A2437,'[1]2050Pop'!$A$7:$A$143,'[1]2050Pop'!$C$7:$C$143)</f>
        <v>20836</v>
      </c>
      <c r="D2437" s="126" t="s">
        <v>514</v>
      </c>
      <c r="E2437" s="128">
        <v>17.317</v>
      </c>
      <c r="F2437" s="129">
        <f t="shared" ref="F2437:F2500" si="116">C2437*E2437/1000000</f>
        <v>0.36081701199999999</v>
      </c>
      <c r="G2437" t="str">
        <f>_xlfn.XLOOKUP(D2437,'[1]2050 BAU Mapping to T &amp; C'!$A$3:$A$52,'[1]2050 BAU Mapping to T &amp; C'!$B$3:$B$52)</f>
        <v>Other veg</v>
      </c>
      <c r="H2437" s="129">
        <f>_xlfn.XLOOKUP(G2437,'[1]T&amp;C emissions for 2050 analysis'!$B$3:$B$23,'[1]T&amp;C emissions for 2050 analysis'!$C$3:$C$23)</f>
        <v>0.26766666666666666</v>
      </c>
      <c r="I2437" s="27">
        <f t="shared" si="114"/>
        <v>9.6578686878666664E-2</v>
      </c>
      <c r="J2437" s="129">
        <f t="shared" si="115"/>
        <v>4.6351836666666664</v>
      </c>
    </row>
    <row r="2438" spans="1:10" hidden="1" x14ac:dyDescent="0.35">
      <c r="A2438" s="126" t="s">
        <v>462</v>
      </c>
      <c r="B2438" t="str">
        <f>_xlfn.XLOOKUP(A2438,'[1]2050Pop'!$A$7:$A$143,'[1]2050Pop'!$D$7:$D$143)</f>
        <v>LatAm &amp; RSA</v>
      </c>
      <c r="C2438" s="127">
        <f>1000*_xlfn.XLOOKUP(A2438,'[1]2050Pop'!$A$7:$A$143,'[1]2050Pop'!$C$7:$C$143)</f>
        <v>624</v>
      </c>
      <c r="D2438" s="126" t="s">
        <v>514</v>
      </c>
      <c r="E2438" s="128">
        <v>31.236000000000001</v>
      </c>
      <c r="F2438" s="129">
        <f t="shared" si="116"/>
        <v>1.9491263999999998E-2</v>
      </c>
      <c r="G2438" t="str">
        <f>_xlfn.XLOOKUP(D2438,'[1]2050 BAU Mapping to T &amp; C'!$A$3:$A$52,'[1]2050 BAU Mapping to T &amp; C'!$B$3:$B$52)</f>
        <v>Other veg</v>
      </c>
      <c r="H2438" s="129">
        <f>_xlfn.XLOOKUP(G2438,'[1]T&amp;C emissions for 2050 analysis'!$B$3:$B$23,'[1]T&amp;C emissions for 2050 analysis'!$C$3:$C$23)</f>
        <v>0.26766666666666666</v>
      </c>
      <c r="I2438" s="27">
        <f t="shared" si="114"/>
        <v>5.2171616639999996E-3</v>
      </c>
      <c r="J2438" s="129">
        <f t="shared" si="115"/>
        <v>8.3608360000000008</v>
      </c>
    </row>
    <row r="2439" spans="1:10" hidden="1" x14ac:dyDescent="0.35">
      <c r="A2439" s="126" t="s">
        <v>463</v>
      </c>
      <c r="B2439" t="str">
        <f>_xlfn.XLOOKUP(A2439,'[1]2050Pop'!$A$7:$A$143,'[1]2050Pop'!$D$7:$D$143)</f>
        <v>SSA</v>
      </c>
      <c r="C2439" s="127">
        <f>1000*_xlfn.XLOOKUP(A2439,'[1]2050Pop'!$A$7:$A$143,'[1]2050Pop'!$C$7:$C$143)</f>
        <v>1792</v>
      </c>
      <c r="D2439" s="126" t="s">
        <v>514</v>
      </c>
      <c r="E2439" s="128">
        <v>54.332000000000001</v>
      </c>
      <c r="F2439" s="129">
        <f t="shared" si="116"/>
        <v>9.7362944000000007E-2</v>
      </c>
      <c r="G2439" t="str">
        <f>_xlfn.XLOOKUP(D2439,'[1]2050 BAU Mapping to T &amp; C'!$A$3:$A$52,'[1]2050 BAU Mapping to T &amp; C'!$B$3:$B$52)</f>
        <v>Other veg</v>
      </c>
      <c r="H2439" s="129">
        <f>_xlfn.XLOOKUP(G2439,'[1]T&amp;C emissions for 2050 analysis'!$B$3:$B$23,'[1]T&amp;C emissions for 2050 analysis'!$C$3:$C$23)</f>
        <v>0.26766666666666666</v>
      </c>
      <c r="I2439" s="27">
        <f t="shared" si="114"/>
        <v>2.6060814677333333E-2</v>
      </c>
      <c r="J2439" s="129">
        <f t="shared" si="115"/>
        <v>14.542865333333333</v>
      </c>
    </row>
    <row r="2440" spans="1:10" hidden="1" x14ac:dyDescent="0.35">
      <c r="A2440" s="126" t="s">
        <v>464</v>
      </c>
      <c r="B2440" t="str">
        <f>_xlfn.XLOOKUP(A2440,'[1]2050Pop'!$A$7:$A$143,'[1]2050Pop'!$D$7:$D$143)</f>
        <v>Euro/AU/NZ</v>
      </c>
      <c r="C2440" s="127">
        <f>1000*_xlfn.XLOOKUP(A2440,'[1]2050Pop'!$A$7:$A$143,'[1]2050Pop'!$C$7:$C$143)</f>
        <v>11881</v>
      </c>
      <c r="D2440" s="126" t="s">
        <v>514</v>
      </c>
      <c r="E2440" s="128">
        <v>67.569000000000003</v>
      </c>
      <c r="F2440" s="129">
        <f t="shared" si="116"/>
        <v>0.80278728899999996</v>
      </c>
      <c r="G2440" t="str">
        <f>_xlfn.XLOOKUP(D2440,'[1]2050 BAU Mapping to T &amp; C'!$A$3:$A$52,'[1]2050 BAU Mapping to T &amp; C'!$B$3:$B$52)</f>
        <v>Other veg</v>
      </c>
      <c r="H2440" s="129">
        <f>_xlfn.XLOOKUP(G2440,'[1]T&amp;C emissions for 2050 analysis'!$B$3:$B$23,'[1]T&amp;C emissions for 2050 analysis'!$C$3:$C$23)</f>
        <v>0.26766666666666666</v>
      </c>
      <c r="I2440" s="27">
        <f t="shared" si="114"/>
        <v>0.214879397689</v>
      </c>
      <c r="J2440" s="129">
        <f t="shared" si="115"/>
        <v>18.085969000000002</v>
      </c>
    </row>
    <row r="2441" spans="1:10" hidden="1" x14ac:dyDescent="0.35">
      <c r="A2441" s="126" t="s">
        <v>483</v>
      </c>
      <c r="B2441" t="str">
        <f>_xlfn.XLOOKUP(A2441,'[1]2050Pop'!$A$7:$A$143,'[1]2050Pop'!$D$7:$D$143)</f>
        <v>APAC</v>
      </c>
      <c r="C2441" s="127">
        <f>1000*_xlfn.XLOOKUP(A2441,'[1]2050Pop'!$A$7:$A$143,'[1]2050Pop'!$C$7:$C$143)</f>
        <v>14288</v>
      </c>
      <c r="D2441" s="126" t="s">
        <v>514</v>
      </c>
      <c r="E2441" s="128">
        <v>55.241</v>
      </c>
      <c r="F2441" s="129">
        <f t="shared" si="116"/>
        <v>0.78928340799999996</v>
      </c>
      <c r="G2441" t="str">
        <f>_xlfn.XLOOKUP(D2441,'[1]2050 BAU Mapping to T &amp; C'!$A$3:$A$52,'[1]2050 BAU Mapping to T &amp; C'!$B$3:$B$52)</f>
        <v>Other veg</v>
      </c>
      <c r="H2441" s="129">
        <f>_xlfn.XLOOKUP(G2441,'[1]T&amp;C emissions for 2050 analysis'!$B$3:$B$23,'[1]T&amp;C emissions for 2050 analysis'!$C$3:$C$23)</f>
        <v>0.26766666666666666</v>
      </c>
      <c r="I2441" s="27">
        <f t="shared" si="114"/>
        <v>0.21126485887466664</v>
      </c>
      <c r="J2441" s="129">
        <f t="shared" si="115"/>
        <v>14.786174333333333</v>
      </c>
    </row>
    <row r="2442" spans="1:10" hidden="1" x14ac:dyDescent="0.35">
      <c r="A2442" s="126" t="s">
        <v>465</v>
      </c>
      <c r="B2442" t="str">
        <f>_xlfn.XLOOKUP(A2442,'[1]2050Pop'!$A$7:$A$143,'[1]2050Pop'!$D$7:$D$143)</f>
        <v>APAC</v>
      </c>
      <c r="C2442" s="127">
        <f>1000*_xlfn.XLOOKUP(A2442,'[1]2050Pop'!$A$7:$A$143,'[1]2050Pop'!$C$7:$C$143)</f>
        <v>62452</v>
      </c>
      <c r="D2442" s="126" t="s">
        <v>514</v>
      </c>
      <c r="E2442" s="128">
        <v>96.995999999999995</v>
      </c>
      <c r="F2442" s="129">
        <f t="shared" si="116"/>
        <v>6.0575941919999998</v>
      </c>
      <c r="G2442" t="str">
        <f>_xlfn.XLOOKUP(D2442,'[1]2050 BAU Mapping to T &amp; C'!$A$3:$A$52,'[1]2050 BAU Mapping to T &amp; C'!$B$3:$B$52)</f>
        <v>Other veg</v>
      </c>
      <c r="H2442" s="129">
        <f>_xlfn.XLOOKUP(G2442,'[1]T&amp;C emissions for 2050 analysis'!$B$3:$B$23,'[1]T&amp;C emissions for 2050 analysis'!$C$3:$C$23)</f>
        <v>0.26766666666666666</v>
      </c>
      <c r="I2442" s="27">
        <f t="shared" si="114"/>
        <v>1.6214160453919999</v>
      </c>
      <c r="J2442" s="129">
        <f t="shared" si="115"/>
        <v>25.962595999999998</v>
      </c>
    </row>
    <row r="2443" spans="1:10" hidden="1" x14ac:dyDescent="0.35">
      <c r="A2443" s="126" t="s">
        <v>466</v>
      </c>
      <c r="B2443" t="str">
        <f>_xlfn.XLOOKUP(A2443,'[1]2050Pop'!$A$7:$A$143,'[1]2050Pop'!$D$7:$D$143)</f>
        <v>SSA</v>
      </c>
      <c r="C2443" s="127">
        <f>1000*_xlfn.XLOOKUP(A2443,'[1]2050Pop'!$A$7:$A$143,'[1]2050Pop'!$C$7:$C$143)</f>
        <v>15681</v>
      </c>
      <c r="D2443" s="126" t="s">
        <v>514</v>
      </c>
      <c r="E2443" s="128">
        <v>6.0149999999999997</v>
      </c>
      <c r="F2443" s="129">
        <f t="shared" si="116"/>
        <v>9.4321215E-2</v>
      </c>
      <c r="G2443" t="str">
        <f>_xlfn.XLOOKUP(D2443,'[1]2050 BAU Mapping to T &amp; C'!$A$3:$A$52,'[1]2050 BAU Mapping to T &amp; C'!$B$3:$B$52)</f>
        <v>Other veg</v>
      </c>
      <c r="H2443" s="129">
        <f>_xlfn.XLOOKUP(G2443,'[1]T&amp;C emissions for 2050 analysis'!$B$3:$B$23,'[1]T&amp;C emissions for 2050 analysis'!$C$3:$C$23)</f>
        <v>0.26766666666666666</v>
      </c>
      <c r="I2443" s="27">
        <f t="shared" si="114"/>
        <v>2.5246645214999999E-2</v>
      </c>
      <c r="J2443" s="129">
        <f t="shared" si="115"/>
        <v>1.610015</v>
      </c>
    </row>
    <row r="2444" spans="1:10" hidden="1" x14ac:dyDescent="0.35">
      <c r="A2444" s="126" t="s">
        <v>467</v>
      </c>
      <c r="B2444" t="str">
        <f>_xlfn.XLOOKUP(A2444,'[1]2050Pop'!$A$7:$A$143,'[1]2050Pop'!$D$7:$D$143)</f>
        <v>LatAm &amp; RSA</v>
      </c>
      <c r="C2444" s="127">
        <f>1000*_xlfn.XLOOKUP(A2444,'[1]2050Pop'!$A$7:$A$143,'[1]2050Pop'!$C$7:$C$143)</f>
        <v>1291</v>
      </c>
      <c r="D2444" s="126" t="s">
        <v>514</v>
      </c>
      <c r="E2444" s="128">
        <v>80.346999999999994</v>
      </c>
      <c r="F2444" s="129">
        <f t="shared" si="116"/>
        <v>0.103727977</v>
      </c>
      <c r="G2444" t="str">
        <f>_xlfn.XLOOKUP(D2444,'[1]2050 BAU Mapping to T &amp; C'!$A$3:$A$52,'[1]2050 BAU Mapping to T &amp; C'!$B$3:$B$52)</f>
        <v>Other veg</v>
      </c>
      <c r="H2444" s="129">
        <f>_xlfn.XLOOKUP(G2444,'[1]T&amp;C emissions for 2050 analysis'!$B$3:$B$23,'[1]T&amp;C emissions for 2050 analysis'!$C$3:$C$23)</f>
        <v>0.26766666666666666</v>
      </c>
      <c r="I2444" s="27">
        <f t="shared" si="114"/>
        <v>2.7764521843666665E-2</v>
      </c>
      <c r="J2444" s="129">
        <f t="shared" si="115"/>
        <v>21.506213666666664</v>
      </c>
    </row>
    <row r="2445" spans="1:10" hidden="1" x14ac:dyDescent="0.35">
      <c r="A2445" s="126" t="s">
        <v>468</v>
      </c>
      <c r="B2445" t="str">
        <f>_xlfn.XLOOKUP(A2445,'[1]2050Pop'!$A$7:$A$143,'[1]2050Pop'!$D$7:$D$143)</f>
        <v>MENA</v>
      </c>
      <c r="C2445" s="127">
        <f>1000*_xlfn.XLOOKUP(A2445,'[1]2050Pop'!$A$7:$A$143,'[1]2050Pop'!$C$7:$C$143)</f>
        <v>13476</v>
      </c>
      <c r="D2445" s="126" t="s">
        <v>514</v>
      </c>
      <c r="E2445" s="128">
        <v>112.395</v>
      </c>
      <c r="F2445" s="129">
        <f t="shared" si="116"/>
        <v>1.5146350200000001</v>
      </c>
      <c r="G2445" t="str">
        <f>_xlfn.XLOOKUP(D2445,'[1]2050 BAU Mapping to T &amp; C'!$A$3:$A$52,'[1]2050 BAU Mapping to T &amp; C'!$B$3:$B$52)</f>
        <v>Other veg</v>
      </c>
      <c r="H2445" s="129">
        <f>_xlfn.XLOOKUP(G2445,'[1]T&amp;C emissions for 2050 analysis'!$B$3:$B$23,'[1]T&amp;C emissions for 2050 analysis'!$C$3:$C$23)</f>
        <v>0.26766666666666666</v>
      </c>
      <c r="I2445" s="27">
        <f t="shared" si="114"/>
        <v>0.40541730702000001</v>
      </c>
      <c r="J2445" s="129">
        <f t="shared" si="115"/>
        <v>30.084394999999997</v>
      </c>
    </row>
    <row r="2446" spans="1:10" hidden="1" x14ac:dyDescent="0.35">
      <c r="A2446" s="126" t="s">
        <v>469</v>
      </c>
      <c r="B2446" t="str">
        <f>_xlfn.XLOOKUP(A2446,'[1]2050Pop'!$A$7:$A$143,'[1]2050Pop'!$D$7:$D$143)</f>
        <v>MENA</v>
      </c>
      <c r="C2446" s="127">
        <f>1000*_xlfn.XLOOKUP(A2446,'[1]2050Pop'!$A$7:$A$143,'[1]2050Pop'!$C$7:$C$143)</f>
        <v>95819</v>
      </c>
      <c r="D2446" s="126" t="s">
        <v>514</v>
      </c>
      <c r="E2446" s="128">
        <v>137.523</v>
      </c>
      <c r="F2446" s="129">
        <f t="shared" si="116"/>
        <v>13.177316336999999</v>
      </c>
      <c r="G2446" t="str">
        <f>_xlfn.XLOOKUP(D2446,'[1]2050 BAU Mapping to T &amp; C'!$A$3:$A$52,'[1]2050 BAU Mapping to T &amp; C'!$B$3:$B$52)</f>
        <v>Other veg</v>
      </c>
      <c r="H2446" s="129">
        <f>_xlfn.XLOOKUP(G2446,'[1]T&amp;C emissions for 2050 analysis'!$B$3:$B$23,'[1]T&amp;C emissions for 2050 analysis'!$C$3:$C$23)</f>
        <v>0.26766666666666666</v>
      </c>
      <c r="I2446" s="27">
        <f t="shared" si="114"/>
        <v>3.5271283395369997</v>
      </c>
      <c r="J2446" s="129">
        <f t="shared" si="115"/>
        <v>36.810322999999997</v>
      </c>
    </row>
    <row r="2447" spans="1:10" hidden="1" x14ac:dyDescent="0.35">
      <c r="A2447" s="126" t="s">
        <v>484</v>
      </c>
      <c r="B2447" t="str">
        <f>_xlfn.XLOOKUP(A2447,'[1]2050Pop'!$A$7:$A$143,'[1]2050Pop'!$D$7:$D$143)</f>
        <v>APAC</v>
      </c>
      <c r="C2447" s="127">
        <f>1000*_xlfn.XLOOKUP(A2447,'[1]2050Pop'!$A$7:$A$143,'[1]2050Pop'!$C$7:$C$143)</f>
        <v>6555</v>
      </c>
      <c r="D2447" s="126" t="s">
        <v>514</v>
      </c>
      <c r="E2447" s="128">
        <v>101.72499999999999</v>
      </c>
      <c r="F2447" s="129">
        <f t="shared" si="116"/>
        <v>0.66680737499999998</v>
      </c>
      <c r="G2447" t="str">
        <f>_xlfn.XLOOKUP(D2447,'[1]2050 BAU Mapping to T &amp; C'!$A$3:$A$52,'[1]2050 BAU Mapping to T &amp; C'!$B$3:$B$52)</f>
        <v>Other veg</v>
      </c>
      <c r="H2447" s="129">
        <f>_xlfn.XLOOKUP(G2447,'[1]T&amp;C emissions for 2050 analysis'!$B$3:$B$23,'[1]T&amp;C emissions for 2050 analysis'!$C$3:$C$23)</f>
        <v>0.26766666666666666</v>
      </c>
      <c r="I2447" s="27">
        <f t="shared" si="114"/>
        <v>0.178482107375</v>
      </c>
      <c r="J2447" s="129">
        <f t="shared" si="115"/>
        <v>27.228391666666663</v>
      </c>
    </row>
    <row r="2448" spans="1:10" hidden="1" x14ac:dyDescent="0.35">
      <c r="A2448" s="126" t="s">
        <v>470</v>
      </c>
      <c r="B2448" t="str">
        <f>_xlfn.XLOOKUP(A2448,'[1]2050Pop'!$A$7:$A$143,'[1]2050Pop'!$D$7:$D$143)</f>
        <v>SSA</v>
      </c>
      <c r="C2448" s="127">
        <f>1000*_xlfn.XLOOKUP(A2448,'[1]2050Pop'!$A$7:$A$143,'[1]2050Pop'!$C$7:$C$143)</f>
        <v>101873</v>
      </c>
      <c r="D2448" s="126" t="s">
        <v>514</v>
      </c>
      <c r="E2448" s="128">
        <v>2.6179999999999999</v>
      </c>
      <c r="F2448" s="129">
        <f t="shared" si="116"/>
        <v>0.26670351399999997</v>
      </c>
      <c r="G2448" t="str">
        <f>_xlfn.XLOOKUP(D2448,'[1]2050 BAU Mapping to T &amp; C'!$A$3:$A$52,'[1]2050 BAU Mapping to T &amp; C'!$B$3:$B$52)</f>
        <v>Other veg</v>
      </c>
      <c r="H2448" s="129">
        <f>_xlfn.XLOOKUP(G2448,'[1]T&amp;C emissions for 2050 analysis'!$B$3:$B$23,'[1]T&amp;C emissions for 2050 analysis'!$C$3:$C$23)</f>
        <v>0.26766666666666666</v>
      </c>
      <c r="I2448" s="27">
        <f t="shared" si="114"/>
        <v>7.1387640580666656E-2</v>
      </c>
      <c r="J2448" s="129">
        <f t="shared" si="115"/>
        <v>0.70075133333333328</v>
      </c>
    </row>
    <row r="2449" spans="1:10" hidden="1" x14ac:dyDescent="0.35">
      <c r="A2449" s="126" t="s">
        <v>471</v>
      </c>
      <c r="B2449" t="str">
        <f>_xlfn.XLOOKUP(A2449,'[1]2050Pop'!$A$7:$A$143,'[1]2050Pop'!$D$7:$D$143)</f>
        <v>Euro/AU/NZ</v>
      </c>
      <c r="C2449" s="127">
        <f>1000*_xlfn.XLOOKUP(A2449,'[1]2050Pop'!$A$7:$A$143,'[1]2050Pop'!$C$7:$C$143)</f>
        <v>35117</v>
      </c>
      <c r="D2449" s="126" t="s">
        <v>514</v>
      </c>
      <c r="E2449" s="128">
        <v>70.736000000000004</v>
      </c>
      <c r="F2449" s="129">
        <f t="shared" si="116"/>
        <v>2.4840361120000001</v>
      </c>
      <c r="G2449" t="str">
        <f>_xlfn.XLOOKUP(D2449,'[1]2050 BAU Mapping to T &amp; C'!$A$3:$A$52,'[1]2050 BAU Mapping to T &amp; C'!$B$3:$B$52)</f>
        <v>Other veg</v>
      </c>
      <c r="H2449" s="129">
        <f>_xlfn.XLOOKUP(G2449,'[1]T&amp;C emissions for 2050 analysis'!$B$3:$B$23,'[1]T&amp;C emissions for 2050 analysis'!$C$3:$C$23)</f>
        <v>0.26766666666666666</v>
      </c>
      <c r="I2449" s="27">
        <f t="shared" si="114"/>
        <v>0.66489366597866673</v>
      </c>
      <c r="J2449" s="129">
        <f t="shared" si="115"/>
        <v>18.933669333333334</v>
      </c>
    </row>
    <row r="2450" spans="1:10" hidden="1" x14ac:dyDescent="0.35">
      <c r="A2450" s="126" t="s">
        <v>472</v>
      </c>
      <c r="B2450" t="str">
        <f>_xlfn.XLOOKUP(A2450,'[1]2050Pop'!$A$7:$A$143,'[1]2050Pop'!$D$7:$D$143)</f>
        <v>Euro/AU/NZ</v>
      </c>
      <c r="C2450" s="127">
        <f>1000*_xlfn.XLOOKUP(A2450,'[1]2050Pop'!$A$7:$A$143,'[1]2050Pop'!$C$7:$C$143)</f>
        <v>75361</v>
      </c>
      <c r="D2450" s="126" t="s">
        <v>514</v>
      </c>
      <c r="E2450" s="130">
        <v>79.150000000000006</v>
      </c>
      <c r="F2450" s="129">
        <f t="shared" si="116"/>
        <v>5.96482315</v>
      </c>
      <c r="G2450" t="str">
        <f>_xlfn.XLOOKUP(D2450,'[1]2050 BAU Mapping to T &amp; C'!$A$3:$A$52,'[1]2050 BAU Mapping to T &amp; C'!$B$3:$B$52)</f>
        <v>Other veg</v>
      </c>
      <c r="H2450" s="129">
        <f>_xlfn.XLOOKUP(G2450,'[1]T&amp;C emissions for 2050 analysis'!$B$3:$B$23,'[1]T&amp;C emissions for 2050 analysis'!$C$3:$C$23)</f>
        <v>0.26766666666666666</v>
      </c>
      <c r="I2450" s="27">
        <f t="shared" si="114"/>
        <v>1.5965843298166666</v>
      </c>
      <c r="J2450" s="129">
        <f t="shared" si="115"/>
        <v>21.185816666666668</v>
      </c>
    </row>
    <row r="2451" spans="1:10" hidden="1" x14ac:dyDescent="0.35">
      <c r="A2451" s="126" t="s">
        <v>473</v>
      </c>
      <c r="B2451" t="str">
        <f>_xlfn.XLOOKUP(A2451,'[1]2050Pop'!$A$7:$A$143,'[1]2050Pop'!$D$7:$D$143)</f>
        <v>SSA</v>
      </c>
      <c r="C2451" s="127">
        <f>1000*_xlfn.XLOOKUP(A2451,'[1]2050Pop'!$A$7:$A$143,'[1]2050Pop'!$C$7:$C$143)</f>
        <v>137136</v>
      </c>
      <c r="D2451" s="126" t="s">
        <v>514</v>
      </c>
      <c r="E2451" s="128">
        <v>27.670999999999999</v>
      </c>
      <c r="F2451" s="129">
        <f t="shared" si="116"/>
        <v>3.794690256</v>
      </c>
      <c r="G2451" t="str">
        <f>_xlfn.XLOOKUP(D2451,'[1]2050 BAU Mapping to T &amp; C'!$A$3:$A$52,'[1]2050 BAU Mapping to T &amp; C'!$B$3:$B$52)</f>
        <v>Other veg</v>
      </c>
      <c r="H2451" s="129">
        <f>_xlfn.XLOOKUP(G2451,'[1]T&amp;C emissions for 2050 analysis'!$B$3:$B$23,'[1]T&amp;C emissions for 2050 analysis'!$C$3:$C$23)</f>
        <v>0.26766666666666666</v>
      </c>
      <c r="I2451" s="27">
        <f t="shared" si="114"/>
        <v>1.0157120918560001</v>
      </c>
      <c r="J2451" s="129">
        <f t="shared" si="115"/>
        <v>7.4066043333333331</v>
      </c>
    </row>
    <row r="2452" spans="1:10" hidden="1" x14ac:dyDescent="0.35">
      <c r="A2452" s="126" t="s">
        <v>474</v>
      </c>
      <c r="B2452" t="str">
        <f>_xlfn.XLOOKUP(A2452,'[1]2050Pop'!$A$7:$A$143,'[1]2050Pop'!$D$7:$D$143)</f>
        <v>NAm</v>
      </c>
      <c r="C2452" s="127">
        <f>1000*_xlfn.XLOOKUP(A2452,'[1]2050Pop'!$A$7:$A$143,'[1]2050Pop'!$C$7:$C$143)</f>
        <v>388865</v>
      </c>
      <c r="D2452" s="126" t="s">
        <v>514</v>
      </c>
      <c r="E2452" s="128">
        <v>71.165999999999997</v>
      </c>
      <c r="F2452" s="129">
        <f t="shared" si="116"/>
        <v>27.673966589999999</v>
      </c>
      <c r="G2452" t="str">
        <f>_xlfn.XLOOKUP(D2452,'[1]2050 BAU Mapping to T &amp; C'!$A$3:$A$52,'[1]2050 BAU Mapping to T &amp; C'!$B$3:$B$52)</f>
        <v>Other veg</v>
      </c>
      <c r="H2452" s="129">
        <f>_xlfn.XLOOKUP(G2452,'[1]T&amp;C emissions for 2050 analysis'!$B$3:$B$23,'[1]T&amp;C emissions for 2050 analysis'!$C$3:$C$23)</f>
        <v>0.26766666666666666</v>
      </c>
      <c r="I2452" s="27">
        <f t="shared" si="114"/>
        <v>7.40739839059</v>
      </c>
      <c r="J2452" s="129">
        <f t="shared" si="115"/>
        <v>19.048766000000001</v>
      </c>
    </row>
    <row r="2453" spans="1:10" hidden="1" x14ac:dyDescent="0.35">
      <c r="A2453" s="126" t="s">
        <v>475</v>
      </c>
      <c r="B2453" t="str">
        <f>_xlfn.XLOOKUP(A2453,'[1]2050Pop'!$A$7:$A$143,'[1]2050Pop'!$D$7:$D$143)</f>
        <v>LatAm &amp; RSA</v>
      </c>
      <c r="C2453" s="127">
        <f>1000*_xlfn.XLOOKUP(A2453,'[1]2050Pop'!$A$7:$A$143,'[1]2050Pop'!$C$7:$C$143)</f>
        <v>3667</v>
      </c>
      <c r="D2453" s="126" t="s">
        <v>514</v>
      </c>
      <c r="E2453" s="130">
        <v>51.14</v>
      </c>
      <c r="F2453" s="129">
        <f t="shared" si="116"/>
        <v>0.18753038</v>
      </c>
      <c r="G2453" t="str">
        <f>_xlfn.XLOOKUP(D2453,'[1]2050 BAU Mapping to T &amp; C'!$A$3:$A$52,'[1]2050 BAU Mapping to T &amp; C'!$B$3:$B$52)</f>
        <v>Other veg</v>
      </c>
      <c r="H2453" s="129">
        <f>_xlfn.XLOOKUP(G2453,'[1]T&amp;C emissions for 2050 analysis'!$B$3:$B$23,'[1]T&amp;C emissions for 2050 analysis'!$C$3:$C$23)</f>
        <v>0.26766666666666666</v>
      </c>
      <c r="I2453" s="27">
        <f t="shared" si="114"/>
        <v>5.0195631713333334E-2</v>
      </c>
      <c r="J2453" s="129">
        <f t="shared" si="115"/>
        <v>13.688473333333333</v>
      </c>
    </row>
    <row r="2454" spans="1:10" hidden="1" x14ac:dyDescent="0.35">
      <c r="A2454" s="126" t="s">
        <v>485</v>
      </c>
      <c r="B2454" t="str">
        <f>_xlfn.XLOOKUP(A2454,'[1]2050Pop'!$A$7:$A$143,'[1]2050Pop'!$D$7:$D$143)</f>
        <v>APAC</v>
      </c>
      <c r="C2454" s="127">
        <f>1000*_xlfn.XLOOKUP(A2454,'[1]2050Pop'!$A$7:$A$143,'[1]2050Pop'!$C$7:$C$143)</f>
        <v>37126</v>
      </c>
      <c r="D2454" s="126" t="s">
        <v>514</v>
      </c>
      <c r="E2454" s="128">
        <v>146.79300000000001</v>
      </c>
      <c r="F2454" s="129">
        <f t="shared" si="116"/>
        <v>5.4498369180000008</v>
      </c>
      <c r="G2454" t="str">
        <f>_xlfn.XLOOKUP(D2454,'[1]2050 BAU Mapping to T &amp; C'!$A$3:$A$52,'[1]2050 BAU Mapping to T &amp; C'!$B$3:$B$52)</f>
        <v>Other veg</v>
      </c>
      <c r="H2454" s="129">
        <f>_xlfn.XLOOKUP(G2454,'[1]T&amp;C emissions for 2050 analysis'!$B$3:$B$23,'[1]T&amp;C emissions for 2050 analysis'!$C$3:$C$23)</f>
        <v>0.26766666666666666</v>
      </c>
      <c r="I2454" s="27">
        <f t="shared" si="114"/>
        <v>1.4587396817180003</v>
      </c>
      <c r="J2454" s="129">
        <f t="shared" si="115"/>
        <v>39.291592999999999</v>
      </c>
    </row>
    <row r="2455" spans="1:10" hidden="1" x14ac:dyDescent="0.35">
      <c r="A2455" s="126" t="s">
        <v>476</v>
      </c>
      <c r="B2455" t="str">
        <f>_xlfn.XLOOKUP(A2455,'[1]2050Pop'!$A$7:$A$143,'[1]2050Pop'!$D$7:$D$143)</f>
        <v>LatAm &amp; RSA</v>
      </c>
      <c r="C2455" s="127">
        <f>1000*_xlfn.XLOOKUP(A2455,'[1]2050Pop'!$A$7:$A$143,'[1]2050Pop'!$C$7:$C$143)</f>
        <v>41562</v>
      </c>
      <c r="D2455" s="126" t="s">
        <v>514</v>
      </c>
      <c r="E2455" s="128">
        <v>44.731999999999999</v>
      </c>
      <c r="F2455" s="129">
        <f t="shared" si="116"/>
        <v>1.859151384</v>
      </c>
      <c r="G2455" t="str">
        <f>_xlfn.XLOOKUP(D2455,'[1]2050 BAU Mapping to T &amp; C'!$A$3:$A$52,'[1]2050 BAU Mapping to T &amp; C'!$B$3:$B$52)</f>
        <v>Other veg</v>
      </c>
      <c r="H2455" s="129">
        <f>_xlfn.XLOOKUP(G2455,'[1]T&amp;C emissions for 2050 analysis'!$B$3:$B$23,'[1]T&amp;C emissions for 2050 analysis'!$C$3:$C$23)</f>
        <v>0.26766666666666666</v>
      </c>
      <c r="I2455" s="27">
        <f t="shared" si="114"/>
        <v>0.49763285378400002</v>
      </c>
      <c r="J2455" s="129">
        <f t="shared" si="115"/>
        <v>11.973265333333334</v>
      </c>
    </row>
    <row r="2456" spans="1:10" hidden="1" x14ac:dyDescent="0.35">
      <c r="A2456" s="126" t="s">
        <v>477</v>
      </c>
      <c r="B2456" t="str">
        <f>_xlfn.XLOOKUP(A2456,'[1]2050Pop'!$A$7:$A$143,'[1]2050Pop'!$D$7:$D$143)</f>
        <v>APAC</v>
      </c>
      <c r="C2456" s="127">
        <f>1000*_xlfn.XLOOKUP(A2456,'[1]2050Pop'!$A$7:$A$143,'[1]2050Pop'!$C$7:$C$143)</f>
        <v>112783</v>
      </c>
      <c r="D2456" s="126" t="s">
        <v>514</v>
      </c>
      <c r="E2456" s="128">
        <v>64.093000000000004</v>
      </c>
      <c r="F2456" s="129">
        <f t="shared" si="116"/>
        <v>7.2286008190000004</v>
      </c>
      <c r="G2456" t="str">
        <f>_xlfn.XLOOKUP(D2456,'[1]2050 BAU Mapping to T &amp; C'!$A$3:$A$52,'[1]2050 BAU Mapping to T &amp; C'!$B$3:$B$52)</f>
        <v>Other veg</v>
      </c>
      <c r="H2456" s="129">
        <f>_xlfn.XLOOKUP(G2456,'[1]T&amp;C emissions for 2050 analysis'!$B$3:$B$23,'[1]T&amp;C emissions for 2050 analysis'!$C$3:$C$23)</f>
        <v>0.26766666666666666</v>
      </c>
      <c r="I2456" s="27">
        <f t="shared" si="114"/>
        <v>1.9348554858856668</v>
      </c>
      <c r="J2456" s="129">
        <f t="shared" si="115"/>
        <v>17.155559666666669</v>
      </c>
    </row>
    <row r="2457" spans="1:10" hidden="1" x14ac:dyDescent="0.35">
      <c r="A2457" s="126" t="s">
        <v>478</v>
      </c>
      <c r="B2457" t="str">
        <f>_xlfn.XLOOKUP(A2457,'[1]2050Pop'!$A$7:$A$143,'[1]2050Pop'!$D$7:$D$143)</f>
        <v>MENA</v>
      </c>
      <c r="C2457" s="127">
        <f>1000*_xlfn.XLOOKUP(A2457,'[1]2050Pop'!$A$7:$A$143,'[1]2050Pop'!$C$7:$C$143)</f>
        <v>47170</v>
      </c>
      <c r="D2457" s="126" t="s">
        <v>514</v>
      </c>
      <c r="E2457" s="128">
        <v>65.325000000000003</v>
      </c>
      <c r="F2457" s="129">
        <f t="shared" si="116"/>
        <v>3.08138025</v>
      </c>
      <c r="G2457" t="str">
        <f>_xlfn.XLOOKUP(D2457,'[1]2050 BAU Mapping to T &amp; C'!$A$3:$A$52,'[1]2050 BAU Mapping to T &amp; C'!$B$3:$B$52)</f>
        <v>Other veg</v>
      </c>
      <c r="H2457" s="129">
        <f>_xlfn.XLOOKUP(G2457,'[1]T&amp;C emissions for 2050 analysis'!$B$3:$B$23,'[1]T&amp;C emissions for 2050 analysis'!$C$3:$C$23)</f>
        <v>0.26766666666666666</v>
      </c>
      <c r="I2457" s="27">
        <f t="shared" si="114"/>
        <v>0.82478278024999996</v>
      </c>
      <c r="J2457" s="129">
        <f t="shared" si="115"/>
        <v>17.485325</v>
      </c>
    </row>
    <row r="2458" spans="1:10" hidden="1" x14ac:dyDescent="0.35">
      <c r="A2458" s="126" t="s">
        <v>494</v>
      </c>
      <c r="B2458" t="str">
        <f>_xlfn.XLOOKUP(A2458,'[1]2050Pop'!$A$7:$A$143,'[1]2050Pop'!$D$7:$D$143)</f>
        <v>SSA</v>
      </c>
      <c r="C2458" s="127">
        <f>1000*_xlfn.XLOOKUP(A2458,'[1]2050Pop'!$A$7:$A$143,'[1]2050Pop'!$C$7:$C$143)</f>
        <v>42975</v>
      </c>
      <c r="D2458" s="126" t="s">
        <v>514</v>
      </c>
      <c r="E2458" s="130">
        <v>12.42</v>
      </c>
      <c r="F2458" s="129">
        <f t="shared" si="116"/>
        <v>0.53374949999999999</v>
      </c>
      <c r="G2458" t="str">
        <f>_xlfn.XLOOKUP(D2458,'[1]2050 BAU Mapping to T &amp; C'!$A$3:$A$52,'[1]2050 BAU Mapping to T &amp; C'!$B$3:$B$52)</f>
        <v>Other veg</v>
      </c>
      <c r="H2458" s="129">
        <f>_xlfn.XLOOKUP(G2458,'[1]T&amp;C emissions for 2050 analysis'!$B$3:$B$23,'[1]T&amp;C emissions for 2050 analysis'!$C$3:$C$23)</f>
        <v>0.26766666666666666</v>
      </c>
      <c r="I2458" s="27">
        <f t="shared" si="114"/>
        <v>0.14286694950000001</v>
      </c>
      <c r="J2458" s="129">
        <f t="shared" si="115"/>
        <v>3.3244199999999999</v>
      </c>
    </row>
    <row r="2459" spans="1:10" hidden="1" x14ac:dyDescent="0.35">
      <c r="A2459" s="126" t="s">
        <v>479</v>
      </c>
      <c r="B2459" t="str">
        <f>_xlfn.XLOOKUP(A2459,'[1]2050Pop'!$A$7:$A$143,'[1]2050Pop'!$D$7:$D$143)</f>
        <v>SSA</v>
      </c>
      <c r="C2459" s="127">
        <f>1000*_xlfn.XLOOKUP(A2459,'[1]2050Pop'!$A$7:$A$143,'[1]2050Pop'!$C$7:$C$143)</f>
        <v>29615</v>
      </c>
      <c r="D2459" s="126" t="s">
        <v>514</v>
      </c>
      <c r="E2459" s="128">
        <v>4.165</v>
      </c>
      <c r="F2459" s="129">
        <f t="shared" si="116"/>
        <v>0.12334647500000001</v>
      </c>
      <c r="G2459" t="str">
        <f>_xlfn.XLOOKUP(D2459,'[1]2050 BAU Mapping to T &amp; C'!$A$3:$A$52,'[1]2050 BAU Mapping to T &amp; C'!$B$3:$B$52)</f>
        <v>Other veg</v>
      </c>
      <c r="H2459" s="129">
        <f>_xlfn.XLOOKUP(G2459,'[1]T&amp;C emissions for 2050 analysis'!$B$3:$B$23,'[1]T&amp;C emissions for 2050 analysis'!$C$3:$C$23)</f>
        <v>0.26766666666666666</v>
      </c>
      <c r="I2459" s="27">
        <f t="shared" si="114"/>
        <v>3.3015739808333333E-2</v>
      </c>
      <c r="J2459" s="129">
        <f t="shared" si="115"/>
        <v>1.1148316666666667</v>
      </c>
    </row>
    <row r="2460" spans="1:10" hidden="1" x14ac:dyDescent="0.35">
      <c r="A2460" s="126" t="s">
        <v>363</v>
      </c>
      <c r="B2460" t="str">
        <f>_xlfn.XLOOKUP(A2460,'[1]2050Pop'!$A$7:$A$143,'[1]2050Pop'!$D$7:$D$143)</f>
        <v>Euro/AU/NZ</v>
      </c>
      <c r="C2460" s="127">
        <f>1000*_xlfn.XLOOKUP(A2460,'[1]2050Pop'!$A$7:$A$143,'[1]2050Pop'!$C$7:$C$143)</f>
        <v>8846</v>
      </c>
      <c r="D2460" s="126" t="s">
        <v>515</v>
      </c>
      <c r="E2460" s="128">
        <v>7.4939999999999998</v>
      </c>
      <c r="F2460" s="129">
        <f t="shared" si="116"/>
        <v>6.6291924000000002E-2</v>
      </c>
      <c r="G2460" t="str">
        <f>_xlfn.XLOOKUP(D2460,'[1]2050 BAU Mapping to T &amp; C'!$A$3:$A$52,'[1]2050 BAU Mapping to T &amp; C'!$B$3:$B$52)</f>
        <v xml:space="preserve">Oil crops </v>
      </c>
      <c r="H2460" s="129">
        <f>_xlfn.XLOOKUP(G2460,'[1]T&amp;C emissions for 2050 analysis'!$B$3:$B$23,'[1]T&amp;C emissions for 2050 analysis'!$C$3:$C$23)</f>
        <v>0.18333333333333335</v>
      </c>
      <c r="I2460" s="27">
        <f t="shared" si="114"/>
        <v>1.2153519400000002E-2</v>
      </c>
      <c r="J2460" s="129">
        <f t="shared" si="115"/>
        <v>1.3739000000000001</v>
      </c>
    </row>
    <row r="2461" spans="1:10" hidden="1" x14ac:dyDescent="0.35">
      <c r="A2461" s="126" t="s">
        <v>368</v>
      </c>
      <c r="B2461" t="str">
        <f>_xlfn.XLOOKUP(A2461,'[1]2050Pop'!$A$7:$A$143,'[1]2050Pop'!$D$7:$D$143)</f>
        <v>SSA</v>
      </c>
      <c r="C2461" s="127">
        <f>1000*_xlfn.XLOOKUP(A2461,'[1]2050Pop'!$A$7:$A$143,'[1]2050Pop'!$C$7:$C$143)</f>
        <v>22549</v>
      </c>
      <c r="D2461" s="126" t="s">
        <v>515</v>
      </c>
      <c r="E2461" s="128">
        <v>1.244</v>
      </c>
      <c r="F2461" s="129">
        <f t="shared" si="116"/>
        <v>2.8050955999999998E-2</v>
      </c>
      <c r="G2461" t="str">
        <f>_xlfn.XLOOKUP(D2461,'[1]2050 BAU Mapping to T &amp; C'!$A$3:$A$52,'[1]2050 BAU Mapping to T &amp; C'!$B$3:$B$52)</f>
        <v xml:space="preserve">Oil crops </v>
      </c>
      <c r="H2461" s="129">
        <f>_xlfn.XLOOKUP(G2461,'[1]T&amp;C emissions for 2050 analysis'!$B$3:$B$23,'[1]T&amp;C emissions for 2050 analysis'!$C$3:$C$23)</f>
        <v>0.18333333333333335</v>
      </c>
      <c r="I2461" s="27">
        <f t="shared" si="114"/>
        <v>5.1426752666666664E-3</v>
      </c>
      <c r="J2461" s="129">
        <f t="shared" si="115"/>
        <v>0.2280666666666667</v>
      </c>
    </row>
    <row r="2462" spans="1:10" hidden="1" x14ac:dyDescent="0.35">
      <c r="A2462" s="126" t="s">
        <v>375</v>
      </c>
      <c r="B2462" t="str">
        <f>_xlfn.XLOOKUP(A2462,'[1]2050Pop'!$A$7:$A$143,'[1]2050Pop'!$D$7:$D$143)</f>
        <v>SSA</v>
      </c>
      <c r="C2462" s="127">
        <f>1000*_xlfn.XLOOKUP(A2462,'[1]2050Pop'!$A$7:$A$143,'[1]2050Pop'!$C$7:$C$143)</f>
        <v>48362</v>
      </c>
      <c r="D2462" s="126" t="s">
        <v>515</v>
      </c>
      <c r="E2462" s="128">
        <v>19.012</v>
      </c>
      <c r="F2462" s="129">
        <f t="shared" si="116"/>
        <v>0.91945834400000004</v>
      </c>
      <c r="G2462" t="str">
        <f>_xlfn.XLOOKUP(D2462,'[1]2050 BAU Mapping to T &amp; C'!$A$3:$A$52,'[1]2050 BAU Mapping to T &amp; C'!$B$3:$B$52)</f>
        <v xml:space="preserve">Oil crops </v>
      </c>
      <c r="H2462" s="129">
        <f>_xlfn.XLOOKUP(G2462,'[1]T&amp;C emissions for 2050 analysis'!$B$3:$B$23,'[1]T&amp;C emissions for 2050 analysis'!$C$3:$C$23)</f>
        <v>0.18333333333333335</v>
      </c>
      <c r="I2462" s="27">
        <f t="shared" si="114"/>
        <v>0.1685673630666667</v>
      </c>
      <c r="J2462" s="129">
        <f t="shared" si="115"/>
        <v>3.4855333333333336</v>
      </c>
    </row>
    <row r="2463" spans="1:10" hidden="1" x14ac:dyDescent="0.35">
      <c r="A2463" s="126" t="s">
        <v>376</v>
      </c>
      <c r="B2463" t="str">
        <f>_xlfn.XLOOKUP(A2463,'[1]2050Pop'!$A$7:$A$143,'[1]2050Pop'!$D$7:$D$143)</f>
        <v>NAm</v>
      </c>
      <c r="C2463" s="127">
        <f>1000*_xlfn.XLOOKUP(A2463,'[1]2050Pop'!$A$7:$A$143,'[1]2050Pop'!$C$7:$C$143)</f>
        <v>44136</v>
      </c>
      <c r="D2463" s="126" t="s">
        <v>515</v>
      </c>
      <c r="E2463" s="128">
        <v>1.1160000000000001</v>
      </c>
      <c r="F2463" s="129">
        <f t="shared" si="116"/>
        <v>4.9255776000000008E-2</v>
      </c>
      <c r="G2463" t="str">
        <f>_xlfn.XLOOKUP(D2463,'[1]2050 BAU Mapping to T &amp; C'!$A$3:$A$52,'[1]2050 BAU Mapping to T &amp; C'!$B$3:$B$52)</f>
        <v xml:space="preserve">Oil crops </v>
      </c>
      <c r="H2463" s="129">
        <f>_xlfn.XLOOKUP(G2463,'[1]T&amp;C emissions for 2050 analysis'!$B$3:$B$23,'[1]T&amp;C emissions for 2050 analysis'!$C$3:$C$23)</f>
        <v>0.18333333333333335</v>
      </c>
      <c r="I2463" s="27">
        <f t="shared" si="114"/>
        <v>9.0302256000000022E-3</v>
      </c>
      <c r="J2463" s="129">
        <f t="shared" si="115"/>
        <v>0.20460000000000003</v>
      </c>
    </row>
    <row r="2464" spans="1:10" hidden="1" x14ac:dyDescent="0.35">
      <c r="A2464" s="126" t="s">
        <v>377</v>
      </c>
      <c r="B2464" t="str">
        <f>_xlfn.XLOOKUP(A2464,'[1]2050Pop'!$A$7:$A$143,'[1]2050Pop'!$D$7:$D$143)</f>
        <v>SSA</v>
      </c>
      <c r="C2464" s="127">
        <f>1000*_xlfn.XLOOKUP(A2464,'[1]2050Pop'!$A$7:$A$143,'[1]2050Pop'!$C$7:$C$143)</f>
        <v>8782</v>
      </c>
      <c r="D2464" s="126" t="s">
        <v>515</v>
      </c>
      <c r="E2464" s="128">
        <v>71.994</v>
      </c>
      <c r="F2464" s="129">
        <f t="shared" si="116"/>
        <v>0.63225130799999996</v>
      </c>
      <c r="G2464" t="str">
        <f>_xlfn.XLOOKUP(D2464,'[1]2050 BAU Mapping to T &amp; C'!$A$3:$A$52,'[1]2050 BAU Mapping to T &amp; C'!$B$3:$B$52)</f>
        <v xml:space="preserve">Oil crops </v>
      </c>
      <c r="H2464" s="129">
        <f>_xlfn.XLOOKUP(G2464,'[1]T&amp;C emissions for 2050 analysis'!$B$3:$B$23,'[1]T&amp;C emissions for 2050 analysis'!$C$3:$C$23)</f>
        <v>0.18333333333333335</v>
      </c>
      <c r="I2464" s="27">
        <f t="shared" si="114"/>
        <v>0.1159127398</v>
      </c>
      <c r="J2464" s="129">
        <f t="shared" si="115"/>
        <v>13.198900000000002</v>
      </c>
    </row>
    <row r="2465" spans="1:10" hidden="1" x14ac:dyDescent="0.35">
      <c r="A2465" s="126" t="s">
        <v>488</v>
      </c>
      <c r="B2465" t="str">
        <f>_xlfn.XLOOKUP(A2465,'[1]2050Pop'!$A$7:$A$143,'[1]2050Pop'!$D$7:$D$143)</f>
        <v>SSA</v>
      </c>
      <c r="C2465" s="127">
        <f>1000*_xlfn.XLOOKUP(A2465,'[1]2050Pop'!$A$7:$A$143,'[1]2050Pop'!$C$7:$C$143)</f>
        <v>35131</v>
      </c>
      <c r="D2465" s="126" t="s">
        <v>515</v>
      </c>
      <c r="E2465" s="130">
        <v>17.829999999999998</v>
      </c>
      <c r="F2465" s="129">
        <f t="shared" si="116"/>
        <v>0.62638572999999997</v>
      </c>
      <c r="G2465" t="str">
        <f>_xlfn.XLOOKUP(D2465,'[1]2050 BAU Mapping to T &amp; C'!$A$3:$A$52,'[1]2050 BAU Mapping to T &amp; C'!$B$3:$B$52)</f>
        <v xml:space="preserve">Oil crops </v>
      </c>
      <c r="H2465" s="129">
        <f>_xlfn.XLOOKUP(G2465,'[1]T&amp;C emissions for 2050 analysis'!$B$3:$B$23,'[1]T&amp;C emissions for 2050 analysis'!$C$3:$C$23)</f>
        <v>0.18333333333333335</v>
      </c>
      <c r="I2465" s="27">
        <f t="shared" si="114"/>
        <v>0.11483738383333333</v>
      </c>
      <c r="J2465" s="129">
        <f t="shared" si="115"/>
        <v>3.2688333333333333</v>
      </c>
    </row>
    <row r="2466" spans="1:10" hidden="1" x14ac:dyDescent="0.35">
      <c r="A2466" s="126" t="s">
        <v>379</v>
      </c>
      <c r="B2466" t="str">
        <f>_xlfn.XLOOKUP(A2466,'[1]2050Pop'!$A$7:$A$143,'[1]2050Pop'!$D$7:$D$143)</f>
        <v>Greater China</v>
      </c>
      <c r="C2466" s="127">
        <f>1000*_xlfn.XLOOKUP(A2466,'[1]2050Pop'!$A$7:$A$143,'[1]2050Pop'!$C$7:$C$143)</f>
        <v>8148</v>
      </c>
      <c r="D2466" s="126" t="s">
        <v>515</v>
      </c>
      <c r="E2466" s="128">
        <v>1.2010000000000001</v>
      </c>
      <c r="F2466" s="129">
        <f t="shared" si="116"/>
        <v>9.7857480000000021E-3</v>
      </c>
      <c r="G2466" t="str">
        <f>_xlfn.XLOOKUP(D2466,'[1]2050 BAU Mapping to T &amp; C'!$A$3:$A$52,'[1]2050 BAU Mapping to T &amp; C'!$B$3:$B$52)</f>
        <v xml:space="preserve">Oil crops </v>
      </c>
      <c r="H2466" s="129">
        <f>_xlfn.XLOOKUP(G2466,'[1]T&amp;C emissions for 2050 analysis'!$B$3:$B$23,'[1]T&amp;C emissions for 2050 analysis'!$C$3:$C$23)</f>
        <v>0.18333333333333335</v>
      </c>
      <c r="I2466" s="27">
        <f t="shared" si="114"/>
        <v>1.7940538000000006E-3</v>
      </c>
      <c r="J2466" s="129">
        <f t="shared" si="115"/>
        <v>0.22018333333333337</v>
      </c>
    </row>
    <row r="2467" spans="1:10" hidden="1" x14ac:dyDescent="0.35">
      <c r="A2467" s="126" t="s">
        <v>381</v>
      </c>
      <c r="B2467" t="str">
        <f>_xlfn.XLOOKUP(A2467,'[1]2050Pop'!$A$7:$A$143,'[1]2050Pop'!$D$7:$D$143)</f>
        <v>Greater China</v>
      </c>
      <c r="C2467" s="127">
        <f>1000*_xlfn.XLOOKUP(A2467,'[1]2050Pop'!$A$7:$A$143,'[1]2050Pop'!$C$7:$C$143)</f>
        <v>20778</v>
      </c>
      <c r="D2467" s="126" t="s">
        <v>515</v>
      </c>
      <c r="E2467" s="128">
        <v>3.8220000000000001</v>
      </c>
      <c r="F2467" s="129">
        <f t="shared" si="116"/>
        <v>7.9413516000000003E-2</v>
      </c>
      <c r="G2467" t="str">
        <f>_xlfn.XLOOKUP(D2467,'[1]2050 BAU Mapping to T &amp; C'!$A$3:$A$52,'[1]2050 BAU Mapping to T &amp; C'!$B$3:$B$52)</f>
        <v xml:space="preserve">Oil crops </v>
      </c>
      <c r="H2467" s="129">
        <f>_xlfn.XLOOKUP(G2467,'[1]T&amp;C emissions for 2050 analysis'!$B$3:$B$23,'[1]T&amp;C emissions for 2050 analysis'!$C$3:$C$23)</f>
        <v>0.18333333333333335</v>
      </c>
      <c r="I2467" s="27">
        <f t="shared" si="114"/>
        <v>1.4559144600000002E-2</v>
      </c>
      <c r="J2467" s="129">
        <f t="shared" si="115"/>
        <v>0.7007000000000001</v>
      </c>
    </row>
    <row r="2468" spans="1:10" hidden="1" x14ac:dyDescent="0.35">
      <c r="A2468" s="126" t="s">
        <v>384</v>
      </c>
      <c r="B2468" t="str">
        <f>_xlfn.XLOOKUP(A2468,'[1]2050Pop'!$A$7:$A$143,'[1]2050Pop'!$D$7:$D$143)</f>
        <v>SSA</v>
      </c>
      <c r="C2468" s="127">
        <f>1000*_xlfn.XLOOKUP(A2468,'[1]2050Pop'!$A$7:$A$143,'[1]2050Pop'!$C$7:$C$143)</f>
        <v>48797</v>
      </c>
      <c r="D2468" s="126" t="s">
        <v>515</v>
      </c>
      <c r="E2468" s="128">
        <v>1.446</v>
      </c>
      <c r="F2468" s="129">
        <f t="shared" si="116"/>
        <v>7.0560462000000004E-2</v>
      </c>
      <c r="G2468" t="str">
        <f>_xlfn.XLOOKUP(D2468,'[1]2050 BAU Mapping to T &amp; C'!$A$3:$A$52,'[1]2050 BAU Mapping to T &amp; C'!$B$3:$B$52)</f>
        <v xml:space="preserve">Oil crops </v>
      </c>
      <c r="H2468" s="129">
        <f>_xlfn.XLOOKUP(G2468,'[1]T&amp;C emissions for 2050 analysis'!$B$3:$B$23,'[1]T&amp;C emissions for 2050 analysis'!$C$3:$C$23)</f>
        <v>0.18333333333333335</v>
      </c>
      <c r="I2468" s="27">
        <f t="shared" si="114"/>
        <v>1.2936084700000001E-2</v>
      </c>
      <c r="J2468" s="129">
        <f t="shared" si="115"/>
        <v>0.2651</v>
      </c>
    </row>
    <row r="2469" spans="1:10" hidden="1" x14ac:dyDescent="0.35">
      <c r="A2469" s="126" t="s">
        <v>385</v>
      </c>
      <c r="B2469" t="str">
        <f>_xlfn.XLOOKUP(A2469,'[1]2050Pop'!$A$7:$A$143,'[1]2050Pop'!$D$7:$D$143)</f>
        <v>Euro/AU/NZ</v>
      </c>
      <c r="C2469" s="127">
        <f>1000*_xlfn.XLOOKUP(A2469,'[1]2050Pop'!$A$7:$A$143,'[1]2050Pop'!$C$7:$C$143)</f>
        <v>3554</v>
      </c>
      <c r="D2469" s="126" t="s">
        <v>515</v>
      </c>
      <c r="E2469" s="128">
        <v>5.1619999999999999</v>
      </c>
      <c r="F2469" s="129">
        <f t="shared" si="116"/>
        <v>1.8345747999999999E-2</v>
      </c>
      <c r="G2469" t="str">
        <f>_xlfn.XLOOKUP(D2469,'[1]2050 BAU Mapping to T &amp; C'!$A$3:$A$52,'[1]2050 BAU Mapping to T &amp; C'!$B$3:$B$52)</f>
        <v xml:space="preserve">Oil crops </v>
      </c>
      <c r="H2469" s="129">
        <f>_xlfn.XLOOKUP(G2469,'[1]T&amp;C emissions for 2050 analysis'!$B$3:$B$23,'[1]T&amp;C emissions for 2050 analysis'!$C$3:$C$23)</f>
        <v>0.18333333333333335</v>
      </c>
      <c r="I2469" s="27">
        <f t="shared" si="114"/>
        <v>3.3633871333333333E-3</v>
      </c>
      <c r="J2469" s="129">
        <f t="shared" si="115"/>
        <v>0.94636666666666669</v>
      </c>
    </row>
    <row r="2470" spans="1:10" hidden="1" x14ac:dyDescent="0.35">
      <c r="A2470" s="126" t="s">
        <v>387</v>
      </c>
      <c r="B2470" t="str">
        <f>_xlfn.XLOOKUP(A2470,'[1]2050Pop'!$A$7:$A$143,'[1]2050Pop'!$D$7:$D$143)</f>
        <v>Euro/AU/NZ</v>
      </c>
      <c r="C2470" s="127">
        <f>1000*_xlfn.XLOOKUP(A2470,'[1]2050Pop'!$A$7:$A$143,'[1]2050Pop'!$C$7:$C$143)</f>
        <v>9965</v>
      </c>
      <c r="D2470" s="126" t="s">
        <v>515</v>
      </c>
      <c r="E2470" s="128">
        <v>2.5640000000000001</v>
      </c>
      <c r="F2470" s="129">
        <f t="shared" si="116"/>
        <v>2.5550260000000002E-2</v>
      </c>
      <c r="G2470" t="str">
        <f>_xlfn.XLOOKUP(D2470,'[1]2050 BAU Mapping to T &amp; C'!$A$3:$A$52,'[1]2050 BAU Mapping to T &amp; C'!$B$3:$B$52)</f>
        <v xml:space="preserve">Oil crops </v>
      </c>
      <c r="H2470" s="129">
        <f>_xlfn.XLOOKUP(G2470,'[1]T&amp;C emissions for 2050 analysis'!$B$3:$B$23,'[1]T&amp;C emissions for 2050 analysis'!$C$3:$C$23)</f>
        <v>0.18333333333333335</v>
      </c>
      <c r="I2470" s="27">
        <f t="shared" si="114"/>
        <v>4.6842143333333339E-3</v>
      </c>
      <c r="J2470" s="129">
        <f t="shared" si="115"/>
        <v>0.47006666666666669</v>
      </c>
    </row>
    <row r="2471" spans="1:10" hidden="1" x14ac:dyDescent="0.35">
      <c r="A2471" s="126" t="s">
        <v>394</v>
      </c>
      <c r="B2471" t="str">
        <f>_xlfn.XLOOKUP(A2471,'[1]2050Pop'!$A$7:$A$143,'[1]2050Pop'!$D$7:$D$143)</f>
        <v>SSA</v>
      </c>
      <c r="C2471" s="127">
        <f>1000*_xlfn.XLOOKUP(A2471,'[1]2050Pop'!$A$7:$A$143,'[1]2050Pop'!$C$7:$C$143)</f>
        <v>188455</v>
      </c>
      <c r="D2471" s="126" t="s">
        <v>515</v>
      </c>
      <c r="E2471" s="128">
        <v>2.6339999999999999</v>
      </c>
      <c r="F2471" s="129">
        <f t="shared" si="116"/>
        <v>0.49639046999999997</v>
      </c>
      <c r="G2471" t="str">
        <f>_xlfn.XLOOKUP(D2471,'[1]2050 BAU Mapping to T &amp; C'!$A$3:$A$52,'[1]2050 BAU Mapping to T &amp; C'!$B$3:$B$52)</f>
        <v xml:space="preserve">Oil crops </v>
      </c>
      <c r="H2471" s="129">
        <f>_xlfn.XLOOKUP(G2471,'[1]T&amp;C emissions for 2050 analysis'!$B$3:$B$23,'[1]T&amp;C emissions for 2050 analysis'!$C$3:$C$23)</f>
        <v>0.18333333333333335</v>
      </c>
      <c r="I2471" s="27">
        <f t="shared" si="114"/>
        <v>9.1004919500000003E-2</v>
      </c>
      <c r="J2471" s="129">
        <f t="shared" si="115"/>
        <v>0.4829</v>
      </c>
    </row>
    <row r="2472" spans="1:10" hidden="1" x14ac:dyDescent="0.35">
      <c r="A2472" s="126" t="s">
        <v>399</v>
      </c>
      <c r="B2472" t="str">
        <f>_xlfn.XLOOKUP(A2472,'[1]2050Pop'!$A$7:$A$143,'[1]2050Pop'!$D$7:$D$143)</f>
        <v>Euro/AU/NZ</v>
      </c>
      <c r="C2472" s="127">
        <f>1000*_xlfn.XLOOKUP(A2472,'[1]2050Pop'!$A$7:$A$143,'[1]2050Pop'!$C$7:$C$143)</f>
        <v>74513</v>
      </c>
      <c r="D2472" s="126" t="s">
        <v>515</v>
      </c>
      <c r="E2472" s="128">
        <v>2.2040000000000002</v>
      </c>
      <c r="F2472" s="129">
        <f t="shared" si="116"/>
        <v>0.164226652</v>
      </c>
      <c r="G2472" t="str">
        <f>_xlfn.XLOOKUP(D2472,'[1]2050 BAU Mapping to T &amp; C'!$A$3:$A$52,'[1]2050 BAU Mapping to T &amp; C'!$B$3:$B$52)</f>
        <v xml:space="preserve">Oil crops </v>
      </c>
      <c r="H2472" s="129">
        <f>_xlfn.XLOOKUP(G2472,'[1]T&amp;C emissions for 2050 analysis'!$B$3:$B$23,'[1]T&amp;C emissions for 2050 analysis'!$C$3:$C$23)</f>
        <v>0.18333333333333335</v>
      </c>
      <c r="I2472" s="27">
        <f t="shared" si="114"/>
        <v>3.0108219533333334E-2</v>
      </c>
      <c r="J2472" s="129">
        <f t="shared" si="115"/>
        <v>0.40406666666666674</v>
      </c>
    </row>
    <row r="2473" spans="1:10" hidden="1" x14ac:dyDescent="0.35">
      <c r="A2473" s="126" t="s">
        <v>400</v>
      </c>
      <c r="B2473" t="str">
        <f>_xlfn.XLOOKUP(A2473,'[1]2050Pop'!$A$7:$A$143,'[1]2050Pop'!$D$7:$D$143)</f>
        <v>SSA</v>
      </c>
      <c r="C2473" s="127">
        <f>1000*_xlfn.XLOOKUP(A2473,'[1]2050Pop'!$A$7:$A$143,'[1]2050Pop'!$C$7:$C$143)</f>
        <v>50071</v>
      </c>
      <c r="D2473" s="126" t="s">
        <v>515</v>
      </c>
      <c r="E2473" s="128">
        <v>3.9020000000000001</v>
      </c>
      <c r="F2473" s="129">
        <f t="shared" si="116"/>
        <v>0.19537704200000003</v>
      </c>
      <c r="G2473" t="str">
        <f>_xlfn.XLOOKUP(D2473,'[1]2050 BAU Mapping to T &amp; C'!$A$3:$A$52,'[1]2050 BAU Mapping to T &amp; C'!$B$3:$B$52)</f>
        <v xml:space="preserve">Oil crops </v>
      </c>
      <c r="H2473" s="129">
        <f>_xlfn.XLOOKUP(G2473,'[1]T&amp;C emissions for 2050 analysis'!$B$3:$B$23,'[1]T&amp;C emissions for 2050 analysis'!$C$3:$C$23)</f>
        <v>0.18333333333333335</v>
      </c>
      <c r="I2473" s="27">
        <f t="shared" si="114"/>
        <v>3.5819124366666677E-2</v>
      </c>
      <c r="J2473" s="129">
        <f t="shared" si="115"/>
        <v>0.71536666666666671</v>
      </c>
    </row>
    <row r="2474" spans="1:10" hidden="1" x14ac:dyDescent="0.35">
      <c r="A2474" s="126" t="s">
        <v>402</v>
      </c>
      <c r="B2474" t="str">
        <f>_xlfn.XLOOKUP(A2474,'[1]2050Pop'!$A$7:$A$143,'[1]2050Pop'!$D$7:$D$143)</f>
        <v>LatAm &amp; RSA</v>
      </c>
      <c r="C2474" s="127">
        <f>1000*_xlfn.XLOOKUP(A2474,'[1]2050Pop'!$A$7:$A$143,'[1]2050Pop'!$C$7:$C$143)</f>
        <v>27754</v>
      </c>
      <c r="D2474" s="126" t="s">
        <v>515</v>
      </c>
      <c r="E2474" s="128">
        <v>1.1579999999999999</v>
      </c>
      <c r="F2474" s="129">
        <f t="shared" si="116"/>
        <v>3.2139132000000001E-2</v>
      </c>
      <c r="G2474" t="str">
        <f>_xlfn.XLOOKUP(D2474,'[1]2050 BAU Mapping to T &amp; C'!$A$3:$A$52,'[1]2050 BAU Mapping to T &amp; C'!$B$3:$B$52)</f>
        <v xml:space="preserve">Oil crops </v>
      </c>
      <c r="H2474" s="129">
        <f>_xlfn.XLOOKUP(G2474,'[1]T&amp;C emissions for 2050 analysis'!$B$3:$B$23,'[1]T&amp;C emissions for 2050 analysis'!$C$3:$C$23)</f>
        <v>0.18333333333333335</v>
      </c>
      <c r="I2474" s="27">
        <f t="shared" si="114"/>
        <v>5.892174200000001E-3</v>
      </c>
      <c r="J2474" s="129">
        <f t="shared" si="115"/>
        <v>0.21229999999999999</v>
      </c>
    </row>
    <row r="2475" spans="1:10" hidden="1" x14ac:dyDescent="0.35">
      <c r="A2475" s="126" t="s">
        <v>407</v>
      </c>
      <c r="B2475" t="str">
        <f>_xlfn.XLOOKUP(A2475,'[1]2050Pop'!$A$7:$A$143,'[1]2050Pop'!$D$7:$D$143)</f>
        <v>Euro/AU/NZ</v>
      </c>
      <c r="C2475" s="127">
        <f>1000*_xlfn.XLOOKUP(A2475,'[1]2050Pop'!$A$7:$A$143,'[1]2050Pop'!$C$7:$C$143)</f>
        <v>8318</v>
      </c>
      <c r="D2475" s="126" t="s">
        <v>515</v>
      </c>
      <c r="E2475" s="128">
        <v>1.2529999999999999</v>
      </c>
      <c r="F2475" s="129">
        <f t="shared" si="116"/>
        <v>1.0422453999999999E-2</v>
      </c>
      <c r="G2475" t="str">
        <f>_xlfn.XLOOKUP(D2475,'[1]2050 BAU Mapping to T &amp; C'!$A$3:$A$52,'[1]2050 BAU Mapping to T &amp; C'!$B$3:$B$52)</f>
        <v xml:space="preserve">Oil crops </v>
      </c>
      <c r="H2475" s="129">
        <f>_xlfn.XLOOKUP(G2475,'[1]T&amp;C emissions for 2050 analysis'!$B$3:$B$23,'[1]T&amp;C emissions for 2050 analysis'!$C$3:$C$23)</f>
        <v>0.18333333333333335</v>
      </c>
      <c r="I2475" s="27">
        <f t="shared" si="114"/>
        <v>1.9107832333333334E-3</v>
      </c>
      <c r="J2475" s="129">
        <f t="shared" si="115"/>
        <v>0.22971666666666665</v>
      </c>
    </row>
    <row r="2476" spans="1:10" hidden="1" x14ac:dyDescent="0.35">
      <c r="A2476" s="126" t="s">
        <v>412</v>
      </c>
      <c r="B2476" t="str">
        <f>_xlfn.XLOOKUP(A2476,'[1]2050Pop'!$A$7:$A$143,'[1]2050Pop'!$D$7:$D$143)</f>
        <v>Euro/AU/NZ</v>
      </c>
      <c r="C2476" s="127">
        <f>1000*_xlfn.XLOOKUP(A2476,'[1]2050Pop'!$A$7:$A$143,'[1]2050Pop'!$C$7:$C$143)</f>
        <v>5789</v>
      </c>
      <c r="D2476" s="126" t="s">
        <v>515</v>
      </c>
      <c r="E2476" s="128">
        <v>1.1419999999999999</v>
      </c>
      <c r="F2476" s="129">
        <f t="shared" si="116"/>
        <v>6.6110379999999996E-3</v>
      </c>
      <c r="G2476" t="str">
        <f>_xlfn.XLOOKUP(D2476,'[1]2050 BAU Mapping to T &amp; C'!$A$3:$A$52,'[1]2050 BAU Mapping to T &amp; C'!$B$3:$B$52)</f>
        <v xml:space="preserve">Oil crops </v>
      </c>
      <c r="H2476" s="129">
        <f>_xlfn.XLOOKUP(G2476,'[1]T&amp;C emissions for 2050 analysis'!$B$3:$B$23,'[1]T&amp;C emissions for 2050 analysis'!$C$3:$C$23)</f>
        <v>0.18333333333333335</v>
      </c>
      <c r="I2476" s="27">
        <f t="shared" si="114"/>
        <v>1.2120236333333333E-3</v>
      </c>
      <c r="J2476" s="129">
        <f t="shared" si="115"/>
        <v>0.20936666666666667</v>
      </c>
    </row>
    <row r="2477" spans="1:10" hidden="1" x14ac:dyDescent="0.35">
      <c r="A2477" s="126" t="s">
        <v>413</v>
      </c>
      <c r="B2477" t="str">
        <f>_xlfn.XLOOKUP(A2477,'[1]2050Pop'!$A$7:$A$143,'[1]2050Pop'!$D$7:$D$143)</f>
        <v>MENA</v>
      </c>
      <c r="C2477" s="127">
        <f>1000*_xlfn.XLOOKUP(A2477,'[1]2050Pop'!$A$7:$A$143,'[1]2050Pop'!$C$7:$C$143)</f>
        <v>12610</v>
      </c>
      <c r="D2477" s="126" t="s">
        <v>515</v>
      </c>
      <c r="E2477" s="128">
        <v>1.885</v>
      </c>
      <c r="F2477" s="129">
        <f t="shared" si="116"/>
        <v>2.3769849999999999E-2</v>
      </c>
      <c r="G2477" t="str">
        <f>_xlfn.XLOOKUP(D2477,'[1]2050 BAU Mapping to T &amp; C'!$A$3:$A$52,'[1]2050 BAU Mapping to T &amp; C'!$B$3:$B$52)</f>
        <v xml:space="preserve">Oil crops </v>
      </c>
      <c r="H2477" s="129">
        <f>_xlfn.XLOOKUP(G2477,'[1]T&amp;C emissions for 2050 analysis'!$B$3:$B$23,'[1]T&amp;C emissions for 2050 analysis'!$C$3:$C$23)</f>
        <v>0.18333333333333335</v>
      </c>
      <c r="I2477" s="27">
        <f t="shared" si="114"/>
        <v>4.3578058333333331E-3</v>
      </c>
      <c r="J2477" s="129">
        <f t="shared" si="115"/>
        <v>0.34558333333333335</v>
      </c>
    </row>
    <row r="2478" spans="1:10" hidden="1" x14ac:dyDescent="0.35">
      <c r="A2478" s="126" t="s">
        <v>417</v>
      </c>
      <c r="B2478" t="str">
        <f>_xlfn.XLOOKUP(A2478,'[1]2050Pop'!$A$7:$A$143,'[1]2050Pop'!$D$7:$D$143)</f>
        <v>MENA</v>
      </c>
      <c r="C2478" s="127">
        <f>1000*_xlfn.XLOOKUP(A2478,'[1]2050Pop'!$A$7:$A$143,'[1]2050Pop'!$C$7:$C$143)</f>
        <v>11717</v>
      </c>
      <c r="D2478" s="126" t="s">
        <v>515</v>
      </c>
      <c r="E2478" s="128">
        <v>8.4570000000000007</v>
      </c>
      <c r="F2478" s="129">
        <f t="shared" si="116"/>
        <v>9.9090669000000006E-2</v>
      </c>
      <c r="G2478" t="str">
        <f>_xlfn.XLOOKUP(D2478,'[1]2050 BAU Mapping to T &amp; C'!$A$3:$A$52,'[1]2050 BAU Mapping to T &amp; C'!$B$3:$B$52)</f>
        <v xml:space="preserve">Oil crops </v>
      </c>
      <c r="H2478" s="129">
        <f>_xlfn.XLOOKUP(G2478,'[1]T&amp;C emissions for 2050 analysis'!$B$3:$B$23,'[1]T&amp;C emissions for 2050 analysis'!$C$3:$C$23)</f>
        <v>0.18333333333333335</v>
      </c>
      <c r="I2478" s="27">
        <f t="shared" si="114"/>
        <v>1.8166622650000002E-2</v>
      </c>
      <c r="J2478" s="129">
        <f t="shared" si="115"/>
        <v>1.5504500000000003</v>
      </c>
    </row>
    <row r="2479" spans="1:10" hidden="1" x14ac:dyDescent="0.35">
      <c r="A2479" s="126" t="s">
        <v>422</v>
      </c>
      <c r="B2479" t="str">
        <f>_xlfn.XLOOKUP(A2479,'[1]2050Pop'!$A$7:$A$143,'[1]2050Pop'!$D$7:$D$143)</f>
        <v>Euro/AU/NZ</v>
      </c>
      <c r="C2479" s="127">
        <f>1000*_xlfn.XLOOKUP(A2479,'[1]2050Pop'!$A$7:$A$143,'[1]2050Pop'!$C$7:$C$143)</f>
        <v>1593</v>
      </c>
      <c r="D2479" s="126" t="s">
        <v>515</v>
      </c>
      <c r="E2479" s="128">
        <v>1.278</v>
      </c>
      <c r="F2479" s="129">
        <f t="shared" si="116"/>
        <v>2.0358540000000001E-3</v>
      </c>
      <c r="G2479" t="str">
        <f>_xlfn.XLOOKUP(D2479,'[1]2050 BAU Mapping to T &amp; C'!$A$3:$A$52,'[1]2050 BAU Mapping to T &amp; C'!$B$3:$B$52)</f>
        <v xml:space="preserve">Oil crops </v>
      </c>
      <c r="H2479" s="129">
        <f>_xlfn.XLOOKUP(G2479,'[1]T&amp;C emissions for 2050 analysis'!$B$3:$B$23,'[1]T&amp;C emissions for 2050 analysis'!$C$3:$C$23)</f>
        <v>0.18333333333333335</v>
      </c>
      <c r="I2479" s="27">
        <f t="shared" si="114"/>
        <v>3.7323990000000007E-4</v>
      </c>
      <c r="J2479" s="129">
        <f t="shared" si="115"/>
        <v>0.23430000000000004</v>
      </c>
    </row>
    <row r="2480" spans="1:10" hidden="1" x14ac:dyDescent="0.35">
      <c r="A2480" s="126" t="s">
        <v>425</v>
      </c>
      <c r="B2480" t="str">
        <f>_xlfn.XLOOKUP(A2480,'[1]2050Pop'!$A$7:$A$143,'[1]2050Pop'!$D$7:$D$143)</f>
        <v>SSA</v>
      </c>
      <c r="C2480" s="127">
        <f>1000*_xlfn.XLOOKUP(A2480,'[1]2050Pop'!$A$7:$A$143,'[1]2050Pop'!$C$7:$C$143)</f>
        <v>9436</v>
      </c>
      <c r="D2480" s="126" t="s">
        <v>515</v>
      </c>
      <c r="E2480" s="128">
        <v>2.1150000000000002</v>
      </c>
      <c r="F2480" s="129">
        <f t="shared" si="116"/>
        <v>1.9957140000000002E-2</v>
      </c>
      <c r="G2480" t="str">
        <f>_xlfn.XLOOKUP(D2480,'[1]2050 BAU Mapping to T &amp; C'!$A$3:$A$52,'[1]2050 BAU Mapping to T &amp; C'!$B$3:$B$52)</f>
        <v xml:space="preserve">Oil crops </v>
      </c>
      <c r="H2480" s="129">
        <f>_xlfn.XLOOKUP(G2480,'[1]T&amp;C emissions for 2050 analysis'!$B$3:$B$23,'[1]T&amp;C emissions for 2050 analysis'!$C$3:$C$23)</f>
        <v>0.18333333333333335</v>
      </c>
      <c r="I2480" s="27">
        <f t="shared" si="114"/>
        <v>3.6588090000000007E-3</v>
      </c>
      <c r="J2480" s="129">
        <f t="shared" si="115"/>
        <v>0.38775000000000009</v>
      </c>
    </row>
    <row r="2481" spans="1:10" hidden="1" x14ac:dyDescent="0.35">
      <c r="A2481" s="126" t="s">
        <v>429</v>
      </c>
      <c r="B2481" t="str">
        <f>_xlfn.XLOOKUP(A2481,'[1]2050Pop'!$A$7:$A$143,'[1]2050Pop'!$D$7:$D$143)</f>
        <v>APAC</v>
      </c>
      <c r="C2481" s="127">
        <f>1000*_xlfn.XLOOKUP(A2481,'[1]2050Pop'!$A$7:$A$143,'[1]2050Pop'!$C$7:$C$143)</f>
        <v>40725</v>
      </c>
      <c r="D2481" s="126" t="s">
        <v>515</v>
      </c>
      <c r="E2481" s="128">
        <v>1.4510000000000001</v>
      </c>
      <c r="F2481" s="129">
        <f t="shared" si="116"/>
        <v>5.9091975000000005E-2</v>
      </c>
      <c r="G2481" t="str">
        <f>_xlfn.XLOOKUP(D2481,'[1]2050 BAU Mapping to T &amp; C'!$A$3:$A$52,'[1]2050 BAU Mapping to T &amp; C'!$B$3:$B$52)</f>
        <v xml:space="preserve">Oil crops </v>
      </c>
      <c r="H2481" s="129">
        <f>_xlfn.XLOOKUP(G2481,'[1]T&amp;C emissions for 2050 analysis'!$B$3:$B$23,'[1]T&amp;C emissions for 2050 analysis'!$C$3:$C$23)</f>
        <v>0.18333333333333335</v>
      </c>
      <c r="I2481" s="27">
        <f t="shared" si="114"/>
        <v>1.0833528750000002E-2</v>
      </c>
      <c r="J2481" s="129">
        <f t="shared" si="115"/>
        <v>0.26601666666666668</v>
      </c>
    </row>
    <row r="2482" spans="1:10" hidden="1" x14ac:dyDescent="0.35">
      <c r="A2482" s="126" t="s">
        <v>430</v>
      </c>
      <c r="B2482" t="str">
        <f>_xlfn.XLOOKUP(A2482,'[1]2050Pop'!$A$7:$A$143,'[1]2050Pop'!$D$7:$D$143)</f>
        <v>SSA</v>
      </c>
      <c r="C2482" s="127">
        <f>1000*_xlfn.XLOOKUP(A2482,'[1]2050Pop'!$A$7:$A$143,'[1]2050Pop'!$C$7:$C$143)</f>
        <v>45404</v>
      </c>
      <c r="D2482" s="126" t="s">
        <v>515</v>
      </c>
      <c r="E2482" s="128">
        <v>4.585</v>
      </c>
      <c r="F2482" s="129">
        <f t="shared" si="116"/>
        <v>0.20817733999999999</v>
      </c>
      <c r="G2482" t="str">
        <f>_xlfn.XLOOKUP(D2482,'[1]2050 BAU Mapping to T &amp; C'!$A$3:$A$52,'[1]2050 BAU Mapping to T &amp; C'!$B$3:$B$52)</f>
        <v xml:space="preserve">Oil crops </v>
      </c>
      <c r="H2482" s="129">
        <f>_xlfn.XLOOKUP(G2482,'[1]T&amp;C emissions for 2050 analysis'!$B$3:$B$23,'[1]T&amp;C emissions for 2050 analysis'!$C$3:$C$23)</f>
        <v>0.18333333333333335</v>
      </c>
      <c r="I2482" s="27">
        <f t="shared" si="114"/>
        <v>3.816584566666667E-2</v>
      </c>
      <c r="J2482" s="129">
        <f t="shared" si="115"/>
        <v>0.84058333333333335</v>
      </c>
    </row>
    <row r="2483" spans="1:10" hidden="1" x14ac:dyDescent="0.35">
      <c r="A2483" s="126" t="s">
        <v>431</v>
      </c>
      <c r="B2483" t="str">
        <f>_xlfn.XLOOKUP(A2483,'[1]2050Pop'!$A$7:$A$143,'[1]2050Pop'!$D$7:$D$143)</f>
        <v>SSA</v>
      </c>
      <c r="C2483" s="127">
        <f>1000*_xlfn.XLOOKUP(A2483,'[1]2050Pop'!$A$7:$A$143,'[1]2050Pop'!$C$7:$C$143)</f>
        <v>8048.9999999999991</v>
      </c>
      <c r="D2483" s="126" t="s">
        <v>515</v>
      </c>
      <c r="E2483" s="128">
        <v>12.288</v>
      </c>
      <c r="F2483" s="129">
        <f t="shared" si="116"/>
        <v>9.890611199999999E-2</v>
      </c>
      <c r="G2483" t="str">
        <f>_xlfn.XLOOKUP(D2483,'[1]2050 BAU Mapping to T &amp; C'!$A$3:$A$52,'[1]2050 BAU Mapping to T &amp; C'!$B$3:$B$52)</f>
        <v xml:space="preserve">Oil crops </v>
      </c>
      <c r="H2483" s="129">
        <f>_xlfn.XLOOKUP(G2483,'[1]T&amp;C emissions for 2050 analysis'!$B$3:$B$23,'[1]T&amp;C emissions for 2050 analysis'!$C$3:$C$23)</f>
        <v>0.18333333333333335</v>
      </c>
      <c r="I2483" s="27">
        <f t="shared" si="114"/>
        <v>1.81327872E-2</v>
      </c>
      <c r="J2483" s="129">
        <f t="shared" si="115"/>
        <v>2.2528000000000001</v>
      </c>
    </row>
    <row r="2484" spans="1:10" hidden="1" x14ac:dyDescent="0.35">
      <c r="A2484" s="126" t="s">
        <v>436</v>
      </c>
      <c r="B2484" t="str">
        <f>_xlfn.XLOOKUP(A2484,'[1]2050Pop'!$A$7:$A$143,'[1]2050Pop'!$D$7:$D$143)</f>
        <v>SSA</v>
      </c>
      <c r="C2484" s="127">
        <f>1000*_xlfn.XLOOKUP(A2484,'[1]2050Pop'!$A$7:$A$143,'[1]2050Pop'!$C$7:$C$143)</f>
        <v>65544</v>
      </c>
      <c r="D2484" s="126" t="s">
        <v>515</v>
      </c>
      <c r="E2484" s="128">
        <v>1.3029999999999999</v>
      </c>
      <c r="F2484" s="129">
        <f t="shared" si="116"/>
        <v>8.5403831999999999E-2</v>
      </c>
      <c r="G2484" t="str">
        <f>_xlfn.XLOOKUP(D2484,'[1]2050 BAU Mapping to T &amp; C'!$A$3:$A$52,'[1]2050 BAU Mapping to T &amp; C'!$B$3:$B$52)</f>
        <v xml:space="preserve">Oil crops </v>
      </c>
      <c r="H2484" s="129">
        <f>_xlfn.XLOOKUP(G2484,'[1]T&amp;C emissions for 2050 analysis'!$B$3:$B$23,'[1]T&amp;C emissions for 2050 analysis'!$C$3:$C$23)</f>
        <v>0.18333333333333335</v>
      </c>
      <c r="I2484" s="27">
        <f t="shared" si="114"/>
        <v>1.56573692E-2</v>
      </c>
      <c r="J2484" s="129">
        <f t="shared" si="115"/>
        <v>0.23888333333333334</v>
      </c>
    </row>
    <row r="2485" spans="1:10" hidden="1" x14ac:dyDescent="0.35">
      <c r="A2485" s="126" t="s">
        <v>439</v>
      </c>
      <c r="B2485" t="str">
        <f>_xlfn.XLOOKUP(A2485,'[1]2050Pop'!$A$7:$A$143,'[1]2050Pop'!$D$7:$D$143)</f>
        <v>Euro/AU/NZ</v>
      </c>
      <c r="C2485" s="127">
        <f>1000*_xlfn.XLOOKUP(A2485,'[1]2050Pop'!$A$7:$A$143,'[1]2050Pop'!$C$7:$C$143)</f>
        <v>17602</v>
      </c>
      <c r="D2485" s="126" t="s">
        <v>515</v>
      </c>
      <c r="E2485" s="128">
        <v>2.2810000000000001</v>
      </c>
      <c r="F2485" s="129">
        <f t="shared" si="116"/>
        <v>4.0150162000000003E-2</v>
      </c>
      <c r="G2485" t="str">
        <f>_xlfn.XLOOKUP(D2485,'[1]2050 BAU Mapping to T &amp; C'!$A$3:$A$52,'[1]2050 BAU Mapping to T &amp; C'!$B$3:$B$52)</f>
        <v xml:space="preserve">Oil crops </v>
      </c>
      <c r="H2485" s="129">
        <f>_xlfn.XLOOKUP(G2485,'[1]T&amp;C emissions for 2050 analysis'!$B$3:$B$23,'[1]T&amp;C emissions for 2050 analysis'!$C$3:$C$23)</f>
        <v>0.18333333333333335</v>
      </c>
      <c r="I2485" s="27">
        <f t="shared" si="114"/>
        <v>7.3608630333333348E-3</v>
      </c>
      <c r="J2485" s="129">
        <f t="shared" si="115"/>
        <v>0.41818333333333341</v>
      </c>
    </row>
    <row r="2486" spans="1:10" hidden="1" x14ac:dyDescent="0.35">
      <c r="A2486" s="126" t="s">
        <v>440</v>
      </c>
      <c r="B2486" t="str">
        <f>_xlfn.XLOOKUP(A2486,'[1]2050Pop'!$A$7:$A$143,'[1]2050Pop'!$D$7:$D$143)</f>
        <v>Euro/AU/NZ</v>
      </c>
      <c r="C2486" s="127">
        <f>1000*_xlfn.XLOOKUP(A2486,'[1]2050Pop'!$A$7:$A$143,'[1]2050Pop'!$C$7:$C$143)</f>
        <v>5607</v>
      </c>
      <c r="D2486" s="126" t="s">
        <v>515</v>
      </c>
      <c r="E2486" s="128">
        <v>1.216</v>
      </c>
      <c r="F2486" s="129">
        <f t="shared" si="116"/>
        <v>6.8181120000000003E-3</v>
      </c>
      <c r="G2486" t="str">
        <f>_xlfn.XLOOKUP(D2486,'[1]2050 BAU Mapping to T &amp; C'!$A$3:$A$52,'[1]2050 BAU Mapping to T &amp; C'!$B$3:$B$52)</f>
        <v xml:space="preserve">Oil crops </v>
      </c>
      <c r="H2486" s="129">
        <f>_xlfn.XLOOKUP(G2486,'[1]T&amp;C emissions for 2050 analysis'!$B$3:$B$23,'[1]T&amp;C emissions for 2050 analysis'!$C$3:$C$23)</f>
        <v>0.18333333333333335</v>
      </c>
      <c r="I2486" s="27">
        <f t="shared" si="114"/>
        <v>1.2499872000000002E-3</v>
      </c>
      <c r="J2486" s="129">
        <f t="shared" si="115"/>
        <v>0.22293333333333334</v>
      </c>
    </row>
    <row r="2487" spans="1:10" hidden="1" x14ac:dyDescent="0.35">
      <c r="A2487" s="126" t="s">
        <v>491</v>
      </c>
      <c r="B2487" t="str">
        <f>_xlfn.XLOOKUP(A2487,'[1]2050Pop'!$A$7:$A$143,'[1]2050Pop'!$D$7:$D$143)</f>
        <v>SSA</v>
      </c>
      <c r="C2487" s="127">
        <f>1000*_xlfn.XLOOKUP(A2487,'[1]2050Pop'!$A$7:$A$143,'[1]2050Pop'!$C$7:$C$143)</f>
        <v>398508</v>
      </c>
      <c r="D2487" s="126" t="s">
        <v>515</v>
      </c>
      <c r="E2487" s="131">
        <v>22.7</v>
      </c>
      <c r="F2487" s="129">
        <f t="shared" si="116"/>
        <v>9.0461315999999989</v>
      </c>
      <c r="G2487" t="str">
        <f>_xlfn.XLOOKUP(D2487,'[1]2050 BAU Mapping to T &amp; C'!$A$3:$A$52,'[1]2050 BAU Mapping to T &amp; C'!$B$3:$B$52)</f>
        <v xml:space="preserve">Oil crops </v>
      </c>
      <c r="H2487" s="129">
        <f>_xlfn.XLOOKUP(G2487,'[1]T&amp;C emissions for 2050 analysis'!$B$3:$B$23,'[1]T&amp;C emissions for 2050 analysis'!$C$3:$C$23)</f>
        <v>0.18333333333333335</v>
      </c>
      <c r="I2487" s="27">
        <f t="shared" si="114"/>
        <v>1.6584574599999999</v>
      </c>
      <c r="J2487" s="129">
        <f t="shared" si="115"/>
        <v>4.1616666666666671</v>
      </c>
    </row>
    <row r="2488" spans="1:10" hidden="1" x14ac:dyDescent="0.35">
      <c r="A2488" s="126" t="s">
        <v>443</v>
      </c>
      <c r="B2488" t="str">
        <f>_xlfn.XLOOKUP(A2488,'[1]2050Pop'!$A$7:$A$143,'[1]2050Pop'!$D$7:$D$143)</f>
        <v>India/South Asia</v>
      </c>
      <c r="C2488" s="127">
        <f>1000*_xlfn.XLOOKUP(A2488,'[1]2050Pop'!$A$7:$A$143,'[1]2050Pop'!$C$7:$C$143)</f>
        <v>309640</v>
      </c>
      <c r="D2488" s="126" t="s">
        <v>515</v>
      </c>
      <c r="E2488" s="130">
        <v>16.09</v>
      </c>
      <c r="F2488" s="129">
        <f t="shared" si="116"/>
        <v>4.9821076</v>
      </c>
      <c r="G2488" t="str">
        <f>_xlfn.XLOOKUP(D2488,'[1]2050 BAU Mapping to T &amp; C'!$A$3:$A$52,'[1]2050 BAU Mapping to T &amp; C'!$B$3:$B$52)</f>
        <v xml:space="preserve">Oil crops </v>
      </c>
      <c r="H2488" s="129">
        <f>_xlfn.XLOOKUP(G2488,'[1]T&amp;C emissions for 2050 analysis'!$B$3:$B$23,'[1]T&amp;C emissions for 2050 analysis'!$C$3:$C$23)</f>
        <v>0.18333333333333335</v>
      </c>
      <c r="I2488" s="27">
        <f t="shared" si="114"/>
        <v>0.91338639333333338</v>
      </c>
      <c r="J2488" s="129">
        <f t="shared" si="115"/>
        <v>2.9498333333333338</v>
      </c>
    </row>
    <row r="2489" spans="1:10" hidden="1" x14ac:dyDescent="0.35">
      <c r="A2489" s="126" t="s">
        <v>446</v>
      </c>
      <c r="B2489" t="str">
        <f>_xlfn.XLOOKUP(A2489,'[1]2050Pop'!$A$7:$A$143,'[1]2050Pop'!$D$7:$D$143)</f>
        <v>LatAm &amp; RSA</v>
      </c>
      <c r="C2489" s="127">
        <f>1000*_xlfn.XLOOKUP(A2489,'[1]2050Pop'!$A$7:$A$143,'[1]2050Pop'!$C$7:$C$143)</f>
        <v>41899</v>
      </c>
      <c r="D2489" s="126" t="s">
        <v>515</v>
      </c>
      <c r="E2489" s="130">
        <v>14.83</v>
      </c>
      <c r="F2489" s="129">
        <f t="shared" si="116"/>
        <v>0.62136217000000005</v>
      </c>
      <c r="G2489" t="str">
        <f>_xlfn.XLOOKUP(D2489,'[1]2050 BAU Mapping to T &amp; C'!$A$3:$A$52,'[1]2050 BAU Mapping to T &amp; C'!$B$3:$B$52)</f>
        <v xml:space="preserve">Oil crops </v>
      </c>
      <c r="H2489" s="129">
        <f>_xlfn.XLOOKUP(G2489,'[1]T&amp;C emissions for 2050 analysis'!$B$3:$B$23,'[1]T&amp;C emissions for 2050 analysis'!$C$3:$C$23)</f>
        <v>0.18333333333333335</v>
      </c>
      <c r="I2489" s="27">
        <f t="shared" si="114"/>
        <v>0.11391639783333335</v>
      </c>
      <c r="J2489" s="129">
        <f t="shared" si="115"/>
        <v>2.7188333333333334</v>
      </c>
    </row>
    <row r="2490" spans="1:10" hidden="1" x14ac:dyDescent="0.35">
      <c r="A2490" s="126" t="s">
        <v>448</v>
      </c>
      <c r="B2490" t="str">
        <f>_xlfn.XLOOKUP(A2490,'[1]2050Pop'!$A$7:$A$143,'[1]2050Pop'!$D$7:$D$143)</f>
        <v>Euro/AU/NZ</v>
      </c>
      <c r="C2490" s="127">
        <f>1000*_xlfn.XLOOKUP(A2490,'[1]2050Pop'!$A$7:$A$143,'[1]2050Pop'!$C$7:$C$143)</f>
        <v>33136</v>
      </c>
      <c r="D2490" s="126" t="s">
        <v>515</v>
      </c>
      <c r="E2490" s="128">
        <v>1.208</v>
      </c>
      <c r="F2490" s="129">
        <f t="shared" si="116"/>
        <v>4.0028288000000002E-2</v>
      </c>
      <c r="G2490" t="str">
        <f>_xlfn.XLOOKUP(D2490,'[1]2050 BAU Mapping to T &amp; C'!$A$3:$A$52,'[1]2050 BAU Mapping to T &amp; C'!$B$3:$B$52)</f>
        <v xml:space="preserve">Oil crops </v>
      </c>
      <c r="H2490" s="129">
        <f>_xlfn.XLOOKUP(G2490,'[1]T&amp;C emissions for 2050 analysis'!$B$3:$B$23,'[1]T&amp;C emissions for 2050 analysis'!$C$3:$C$23)</f>
        <v>0.18333333333333335</v>
      </c>
      <c r="I2490" s="27">
        <f t="shared" si="114"/>
        <v>7.3385194666666679E-3</v>
      </c>
      <c r="J2490" s="129">
        <f t="shared" si="115"/>
        <v>0.22146666666666667</v>
      </c>
    </row>
    <row r="2491" spans="1:10" hidden="1" x14ac:dyDescent="0.35">
      <c r="A2491" s="126" t="s">
        <v>450</v>
      </c>
      <c r="B2491" t="str">
        <f>_xlfn.XLOOKUP(A2491,'[1]2050Pop'!$A$7:$A$143,'[1]2050Pop'!$D$7:$D$143)</f>
        <v>APAC</v>
      </c>
      <c r="C2491" s="127">
        <f>1000*_xlfn.XLOOKUP(A2491,'[1]2050Pop'!$A$7:$A$143,'[1]2050Pop'!$C$7:$C$143)</f>
        <v>50593</v>
      </c>
      <c r="D2491" s="126" t="s">
        <v>515</v>
      </c>
      <c r="E2491" s="128">
        <v>6.1619999999999999</v>
      </c>
      <c r="F2491" s="129">
        <f t="shared" si="116"/>
        <v>0.311754066</v>
      </c>
      <c r="G2491" t="str">
        <f>_xlfn.XLOOKUP(D2491,'[1]2050 BAU Mapping to T &amp; C'!$A$3:$A$52,'[1]2050 BAU Mapping to T &amp; C'!$B$3:$B$52)</f>
        <v xml:space="preserve">Oil crops </v>
      </c>
      <c r="H2491" s="129">
        <f>_xlfn.XLOOKUP(G2491,'[1]T&amp;C emissions for 2050 analysis'!$B$3:$B$23,'[1]T&amp;C emissions for 2050 analysis'!$C$3:$C$23)</f>
        <v>0.18333333333333335</v>
      </c>
      <c r="I2491" s="27">
        <f t="shared" si="114"/>
        <v>5.7154912100000003E-2</v>
      </c>
      <c r="J2491" s="129">
        <f t="shared" si="115"/>
        <v>1.1297000000000001</v>
      </c>
    </row>
    <row r="2492" spans="1:10" hidden="1" x14ac:dyDescent="0.35">
      <c r="A2492" s="126" t="s">
        <v>452</v>
      </c>
      <c r="B2492" t="str">
        <f>_xlfn.XLOOKUP(A2492,'[1]2050Pop'!$A$7:$A$143,'[1]2050Pop'!$D$7:$D$143)</f>
        <v>SSA</v>
      </c>
      <c r="C2492" s="127">
        <f>1000*_xlfn.XLOOKUP(A2492,'[1]2050Pop'!$A$7:$A$143,'[1]2050Pop'!$C$7:$C$143)</f>
        <v>10732</v>
      </c>
      <c r="D2492" s="126" t="s">
        <v>515</v>
      </c>
      <c r="E2492" s="128">
        <v>12.125999999999999</v>
      </c>
      <c r="F2492" s="129">
        <f t="shared" si="116"/>
        <v>0.13013623199999999</v>
      </c>
      <c r="G2492" t="str">
        <f>_xlfn.XLOOKUP(D2492,'[1]2050 BAU Mapping to T &amp; C'!$A$3:$A$52,'[1]2050 BAU Mapping to T &amp; C'!$B$3:$B$52)</f>
        <v xml:space="preserve">Oil crops </v>
      </c>
      <c r="H2492" s="129">
        <f>_xlfn.XLOOKUP(G2492,'[1]T&amp;C emissions for 2050 analysis'!$B$3:$B$23,'[1]T&amp;C emissions for 2050 analysis'!$C$3:$C$23)</f>
        <v>0.18333333333333335</v>
      </c>
      <c r="I2492" s="27">
        <f t="shared" si="114"/>
        <v>2.38583092E-2</v>
      </c>
      <c r="J2492" s="129">
        <f t="shared" si="115"/>
        <v>2.2231000000000001</v>
      </c>
    </row>
    <row r="2493" spans="1:10" hidden="1" x14ac:dyDescent="0.35">
      <c r="A2493" s="126" t="s">
        <v>456</v>
      </c>
      <c r="B2493" t="str">
        <f>_xlfn.XLOOKUP(A2493,'[1]2050Pop'!$A$7:$A$143,'[1]2050Pop'!$D$7:$D$143)</f>
        <v>MENA</v>
      </c>
      <c r="C2493" s="127">
        <f>1000*_xlfn.XLOOKUP(A2493,'[1]2050Pop'!$A$7:$A$143,'[1]2050Pop'!$C$7:$C$143)</f>
        <v>46059</v>
      </c>
      <c r="D2493" s="126" t="s">
        <v>515</v>
      </c>
      <c r="E2493" s="128">
        <v>1.631</v>
      </c>
      <c r="F2493" s="129">
        <f t="shared" si="116"/>
        <v>7.5122229000000013E-2</v>
      </c>
      <c r="G2493" t="str">
        <f>_xlfn.XLOOKUP(D2493,'[1]2050 BAU Mapping to T &amp; C'!$A$3:$A$52,'[1]2050 BAU Mapping to T &amp; C'!$B$3:$B$52)</f>
        <v xml:space="preserve">Oil crops </v>
      </c>
      <c r="H2493" s="129">
        <f>_xlfn.XLOOKUP(G2493,'[1]T&amp;C emissions for 2050 analysis'!$B$3:$B$23,'[1]T&amp;C emissions for 2050 analysis'!$C$3:$C$23)</f>
        <v>0.18333333333333335</v>
      </c>
      <c r="I2493" s="27">
        <f t="shared" si="114"/>
        <v>1.3772408650000003E-2</v>
      </c>
      <c r="J2493" s="129">
        <f t="shared" si="115"/>
        <v>0.29901666666666671</v>
      </c>
    </row>
    <row r="2494" spans="1:10" hidden="1" x14ac:dyDescent="0.35">
      <c r="A2494" s="126" t="s">
        <v>457</v>
      </c>
      <c r="B2494" t="str">
        <f>_xlfn.XLOOKUP(A2494,'[1]2050Pop'!$A$7:$A$143,'[1]2050Pop'!$D$7:$D$143)</f>
        <v>SSA</v>
      </c>
      <c r="C2494" s="127">
        <f>1000*_xlfn.XLOOKUP(A2494,'[1]2050Pop'!$A$7:$A$143,'[1]2050Pop'!$C$7:$C$143)</f>
        <v>36223</v>
      </c>
      <c r="D2494" s="126" t="s">
        <v>515</v>
      </c>
      <c r="E2494" s="128">
        <v>1.2749999999999999</v>
      </c>
      <c r="F2494" s="129">
        <f t="shared" si="116"/>
        <v>4.6184324999999998E-2</v>
      </c>
      <c r="G2494" t="str">
        <f>_xlfn.XLOOKUP(D2494,'[1]2050 BAU Mapping to T &amp; C'!$A$3:$A$52,'[1]2050 BAU Mapping to T &amp; C'!$B$3:$B$52)</f>
        <v xml:space="preserve">Oil crops </v>
      </c>
      <c r="H2494" s="129">
        <f>_xlfn.XLOOKUP(G2494,'[1]T&amp;C emissions for 2050 analysis'!$B$3:$B$23,'[1]T&amp;C emissions for 2050 analysis'!$C$3:$C$23)</f>
        <v>0.18333333333333335</v>
      </c>
      <c r="I2494" s="27">
        <f t="shared" si="114"/>
        <v>8.46712625E-3</v>
      </c>
      <c r="J2494" s="129">
        <f t="shared" si="115"/>
        <v>0.23375000000000001</v>
      </c>
    </row>
    <row r="2495" spans="1:10" hidden="1" x14ac:dyDescent="0.35">
      <c r="A2495" s="126" t="s">
        <v>458</v>
      </c>
      <c r="B2495" t="str">
        <f>_xlfn.XLOOKUP(A2495,'[1]2050Pop'!$A$7:$A$143,'[1]2050Pop'!$D$7:$D$143)</f>
        <v>Euro/AU/NZ</v>
      </c>
      <c r="C2495" s="127">
        <f>1000*_xlfn.XLOOKUP(A2495,'[1]2050Pop'!$A$7:$A$143,'[1]2050Pop'!$C$7:$C$143)</f>
        <v>7331</v>
      </c>
      <c r="D2495" s="126" t="s">
        <v>515</v>
      </c>
      <c r="E2495" s="128">
        <v>2.3290000000000002</v>
      </c>
      <c r="F2495" s="129">
        <f t="shared" si="116"/>
        <v>1.7073899E-2</v>
      </c>
      <c r="G2495" t="str">
        <f>_xlfn.XLOOKUP(D2495,'[1]2050 BAU Mapping to T &amp; C'!$A$3:$A$52,'[1]2050 BAU Mapping to T &amp; C'!$B$3:$B$52)</f>
        <v xml:space="preserve">Oil crops </v>
      </c>
      <c r="H2495" s="129">
        <f>_xlfn.XLOOKUP(G2495,'[1]T&amp;C emissions for 2050 analysis'!$B$3:$B$23,'[1]T&amp;C emissions for 2050 analysis'!$C$3:$C$23)</f>
        <v>0.18333333333333335</v>
      </c>
      <c r="I2495" s="27">
        <f t="shared" si="114"/>
        <v>3.1302148166666671E-3</v>
      </c>
      <c r="J2495" s="129">
        <f t="shared" si="115"/>
        <v>0.42698333333333338</v>
      </c>
    </row>
    <row r="2496" spans="1:10" hidden="1" x14ac:dyDescent="0.35">
      <c r="A2496" s="126" t="s">
        <v>459</v>
      </c>
      <c r="B2496" t="str">
        <f>_xlfn.XLOOKUP(A2496,'[1]2050Pop'!$A$7:$A$143,'[1]2050Pop'!$D$7:$D$143)</f>
        <v>Euro/AU/NZ</v>
      </c>
      <c r="C2496" s="127">
        <f>1000*_xlfn.XLOOKUP(A2496,'[1]2050Pop'!$A$7:$A$143,'[1]2050Pop'!$C$7:$C$143)</f>
        <v>4892</v>
      </c>
      <c r="D2496" s="126" t="s">
        <v>515</v>
      </c>
      <c r="E2496" s="128">
        <v>3.4449999999999998</v>
      </c>
      <c r="F2496" s="129">
        <f t="shared" si="116"/>
        <v>1.685294E-2</v>
      </c>
      <c r="G2496" t="str">
        <f>_xlfn.XLOOKUP(D2496,'[1]2050 BAU Mapping to T &amp; C'!$A$3:$A$52,'[1]2050 BAU Mapping to T &amp; C'!$B$3:$B$52)</f>
        <v xml:space="preserve">Oil crops </v>
      </c>
      <c r="H2496" s="129">
        <f>_xlfn.XLOOKUP(G2496,'[1]T&amp;C emissions for 2050 analysis'!$B$3:$B$23,'[1]T&amp;C emissions for 2050 analysis'!$C$3:$C$23)</f>
        <v>0.18333333333333335</v>
      </c>
      <c r="I2496" s="27">
        <f t="shared" si="114"/>
        <v>3.0897056666666671E-3</v>
      </c>
      <c r="J2496" s="129">
        <f t="shared" si="115"/>
        <v>0.63158333333333339</v>
      </c>
    </row>
    <row r="2497" spans="1:10" hidden="1" x14ac:dyDescent="0.35">
      <c r="A2497" s="126" t="s">
        <v>461</v>
      </c>
      <c r="B2497" t="str">
        <f>_xlfn.XLOOKUP(A2497,'[1]2050Pop'!$A$7:$A$143,'[1]2050Pop'!$D$7:$D$143)</f>
        <v>Euro/AU/NZ</v>
      </c>
      <c r="C2497" s="127">
        <f>1000*_xlfn.XLOOKUP(A2497,'[1]2050Pop'!$A$7:$A$143,'[1]2050Pop'!$C$7:$C$143)</f>
        <v>44840</v>
      </c>
      <c r="D2497" s="126" t="s">
        <v>515</v>
      </c>
      <c r="E2497" s="128">
        <v>1.4159999999999999</v>
      </c>
      <c r="F2497" s="129">
        <f t="shared" si="116"/>
        <v>6.3493439999999998E-2</v>
      </c>
      <c r="G2497" t="str">
        <f>_xlfn.XLOOKUP(D2497,'[1]2050 BAU Mapping to T &amp; C'!$A$3:$A$52,'[1]2050 BAU Mapping to T &amp; C'!$B$3:$B$52)</f>
        <v xml:space="preserve">Oil crops </v>
      </c>
      <c r="H2497" s="129">
        <f>_xlfn.XLOOKUP(G2497,'[1]T&amp;C emissions for 2050 analysis'!$B$3:$B$23,'[1]T&amp;C emissions for 2050 analysis'!$C$3:$C$23)</f>
        <v>0.18333333333333335</v>
      </c>
      <c r="I2497" s="27">
        <f t="shared" si="114"/>
        <v>1.1640464000000001E-2</v>
      </c>
      <c r="J2497" s="129">
        <f t="shared" si="115"/>
        <v>0.2596</v>
      </c>
    </row>
    <row r="2498" spans="1:10" hidden="1" x14ac:dyDescent="0.35">
      <c r="A2498" s="126" t="s">
        <v>463</v>
      </c>
      <c r="B2498" t="str">
        <f>_xlfn.XLOOKUP(A2498,'[1]2050Pop'!$A$7:$A$143,'[1]2050Pop'!$D$7:$D$143)</f>
        <v>SSA</v>
      </c>
      <c r="C2498" s="127">
        <f>1000*_xlfn.XLOOKUP(A2498,'[1]2050Pop'!$A$7:$A$143,'[1]2050Pop'!$C$7:$C$143)</f>
        <v>1792</v>
      </c>
      <c r="D2498" s="126" t="s">
        <v>515</v>
      </c>
      <c r="E2498" s="128">
        <v>2.2770000000000001</v>
      </c>
      <c r="F2498" s="129">
        <f t="shared" si="116"/>
        <v>4.0803840000000003E-3</v>
      </c>
      <c r="G2498" t="str">
        <f>_xlfn.XLOOKUP(D2498,'[1]2050 BAU Mapping to T &amp; C'!$A$3:$A$52,'[1]2050 BAU Mapping to T &amp; C'!$B$3:$B$52)</f>
        <v xml:space="preserve">Oil crops </v>
      </c>
      <c r="H2498" s="129">
        <f>_xlfn.XLOOKUP(G2498,'[1]T&amp;C emissions for 2050 analysis'!$B$3:$B$23,'[1]T&amp;C emissions for 2050 analysis'!$C$3:$C$23)</f>
        <v>0.18333333333333335</v>
      </c>
      <c r="I2498" s="27">
        <f t="shared" si="114"/>
        <v>7.4807040000000012E-4</v>
      </c>
      <c r="J2498" s="129">
        <f t="shared" si="115"/>
        <v>0.41745000000000004</v>
      </c>
    </row>
    <row r="2499" spans="1:10" hidden="1" x14ac:dyDescent="0.35">
      <c r="A2499" s="126" t="s">
        <v>466</v>
      </c>
      <c r="B2499" t="str">
        <f>_xlfn.XLOOKUP(A2499,'[1]2050Pop'!$A$7:$A$143,'[1]2050Pop'!$D$7:$D$143)</f>
        <v>SSA</v>
      </c>
      <c r="C2499" s="127">
        <f>1000*_xlfn.XLOOKUP(A2499,'[1]2050Pop'!$A$7:$A$143,'[1]2050Pop'!$C$7:$C$143)</f>
        <v>15681</v>
      </c>
      <c r="D2499" s="126" t="s">
        <v>515</v>
      </c>
      <c r="E2499" s="128">
        <v>36.313000000000002</v>
      </c>
      <c r="F2499" s="129">
        <f t="shared" si="116"/>
        <v>0.56942415300000004</v>
      </c>
      <c r="G2499" t="str">
        <f>_xlfn.XLOOKUP(D2499,'[1]2050 BAU Mapping to T &amp; C'!$A$3:$A$52,'[1]2050 BAU Mapping to T &amp; C'!$B$3:$B$52)</f>
        <v xml:space="preserve">Oil crops </v>
      </c>
      <c r="H2499" s="129">
        <f>_xlfn.XLOOKUP(G2499,'[1]T&amp;C emissions for 2050 analysis'!$B$3:$B$23,'[1]T&amp;C emissions for 2050 analysis'!$C$3:$C$23)</f>
        <v>0.18333333333333335</v>
      </c>
      <c r="I2499" s="27">
        <f t="shared" si="114"/>
        <v>0.10439442805000002</v>
      </c>
      <c r="J2499" s="129">
        <f t="shared" si="115"/>
        <v>6.6573833333333345</v>
      </c>
    </row>
    <row r="2500" spans="1:10" hidden="1" x14ac:dyDescent="0.35">
      <c r="A2500" s="126" t="s">
        <v>469</v>
      </c>
      <c r="B2500" t="str">
        <f>_xlfn.XLOOKUP(A2500,'[1]2050Pop'!$A$7:$A$143,'[1]2050Pop'!$D$7:$D$143)</f>
        <v>MENA</v>
      </c>
      <c r="C2500" s="127">
        <f>1000*_xlfn.XLOOKUP(A2500,'[1]2050Pop'!$A$7:$A$143,'[1]2050Pop'!$C$7:$C$143)</f>
        <v>95819</v>
      </c>
      <c r="D2500" s="126" t="s">
        <v>515</v>
      </c>
      <c r="E2500" s="130">
        <v>6.19</v>
      </c>
      <c r="F2500" s="129">
        <f t="shared" si="116"/>
        <v>0.59311961000000002</v>
      </c>
      <c r="G2500" t="str">
        <f>_xlfn.XLOOKUP(D2500,'[1]2050 BAU Mapping to T &amp; C'!$A$3:$A$52,'[1]2050 BAU Mapping to T &amp; C'!$B$3:$B$52)</f>
        <v xml:space="preserve">Oil crops </v>
      </c>
      <c r="H2500" s="129">
        <f>_xlfn.XLOOKUP(G2500,'[1]T&amp;C emissions for 2050 analysis'!$B$3:$B$23,'[1]T&amp;C emissions for 2050 analysis'!$C$3:$C$23)</f>
        <v>0.18333333333333335</v>
      </c>
      <c r="I2500" s="27">
        <f t="shared" ref="I2500:I2563" si="117">F2500*H2500</f>
        <v>0.10873859516666667</v>
      </c>
      <c r="J2500" s="129">
        <f t="shared" ref="J2500:J2563" si="118">E2500*H2500</f>
        <v>1.1348333333333336</v>
      </c>
    </row>
    <row r="2501" spans="1:10" hidden="1" x14ac:dyDescent="0.35">
      <c r="A2501" s="126" t="s">
        <v>473</v>
      </c>
      <c r="B2501" t="str">
        <f>_xlfn.XLOOKUP(A2501,'[1]2050Pop'!$A$7:$A$143,'[1]2050Pop'!$D$7:$D$143)</f>
        <v>SSA</v>
      </c>
      <c r="C2501" s="127">
        <f>1000*_xlfn.XLOOKUP(A2501,'[1]2050Pop'!$A$7:$A$143,'[1]2050Pop'!$C$7:$C$143)</f>
        <v>137136</v>
      </c>
      <c r="D2501" s="126" t="s">
        <v>515</v>
      </c>
      <c r="E2501" s="128">
        <v>3.1019999999999999</v>
      </c>
      <c r="F2501" s="129">
        <f t="shared" ref="F2501:F2564" si="119">C2501*E2501/1000000</f>
        <v>0.42539587199999995</v>
      </c>
      <c r="G2501" t="str">
        <f>_xlfn.XLOOKUP(D2501,'[1]2050 BAU Mapping to T &amp; C'!$A$3:$A$52,'[1]2050 BAU Mapping to T &amp; C'!$B$3:$B$52)</f>
        <v xml:space="preserve">Oil crops </v>
      </c>
      <c r="H2501" s="129">
        <f>_xlfn.XLOOKUP(G2501,'[1]T&amp;C emissions for 2050 analysis'!$B$3:$B$23,'[1]T&amp;C emissions for 2050 analysis'!$C$3:$C$23)</f>
        <v>0.18333333333333335</v>
      </c>
      <c r="I2501" s="27">
        <f t="shared" si="117"/>
        <v>7.7989243200000002E-2</v>
      </c>
      <c r="J2501" s="129">
        <f t="shared" si="118"/>
        <v>0.56869999999999998</v>
      </c>
    </row>
    <row r="2502" spans="1:10" hidden="1" x14ac:dyDescent="0.35">
      <c r="A2502" s="126" t="s">
        <v>494</v>
      </c>
      <c r="B2502" t="str">
        <f>_xlfn.XLOOKUP(A2502,'[1]2050Pop'!$A$7:$A$143,'[1]2050Pop'!$D$7:$D$143)</f>
        <v>SSA</v>
      </c>
      <c r="C2502" s="127">
        <f>1000*_xlfn.XLOOKUP(A2502,'[1]2050Pop'!$A$7:$A$143,'[1]2050Pop'!$C$7:$C$143)</f>
        <v>42975</v>
      </c>
      <c r="D2502" s="126" t="s">
        <v>515</v>
      </c>
      <c r="E2502" s="128">
        <v>1.264</v>
      </c>
      <c r="F2502" s="129">
        <f t="shared" si="119"/>
        <v>5.4320400000000005E-2</v>
      </c>
      <c r="G2502" t="str">
        <f>_xlfn.XLOOKUP(D2502,'[1]2050 BAU Mapping to T &amp; C'!$A$3:$A$52,'[1]2050 BAU Mapping to T &amp; C'!$B$3:$B$52)</f>
        <v xml:space="preserve">Oil crops </v>
      </c>
      <c r="H2502" s="129">
        <f>_xlfn.XLOOKUP(G2502,'[1]T&amp;C emissions for 2050 analysis'!$B$3:$B$23,'[1]T&amp;C emissions for 2050 analysis'!$C$3:$C$23)</f>
        <v>0.18333333333333335</v>
      </c>
      <c r="I2502" s="27">
        <f t="shared" si="117"/>
        <v>9.9587400000000024E-3</v>
      </c>
      <c r="J2502" s="129">
        <f t="shared" si="118"/>
        <v>0.23173333333333335</v>
      </c>
    </row>
    <row r="2503" spans="1:10" hidden="1" x14ac:dyDescent="0.35">
      <c r="A2503" s="126" t="s">
        <v>368</v>
      </c>
      <c r="B2503" t="str">
        <f>_xlfn.XLOOKUP(A2503,'[1]2050Pop'!$A$7:$A$143,'[1]2050Pop'!$D$7:$D$143)</f>
        <v>SSA</v>
      </c>
      <c r="C2503" s="127">
        <f>1000*_xlfn.XLOOKUP(A2503,'[1]2050Pop'!$A$7:$A$143,'[1]2050Pop'!$C$7:$C$143)</f>
        <v>22549</v>
      </c>
      <c r="D2503" s="126" t="s">
        <v>516</v>
      </c>
      <c r="E2503" s="128">
        <v>1.0229999999999999</v>
      </c>
      <c r="F2503" s="129">
        <f t="shared" si="119"/>
        <v>2.3067626999999997E-2</v>
      </c>
      <c r="G2503" t="str">
        <f>_xlfn.XLOOKUP(D2503,'[1]2050 BAU Mapping to T &amp; C'!$A$3:$A$52,'[1]2050 BAU Mapping to T &amp; C'!$B$3:$B$52)</f>
        <v>Starchy roots</v>
      </c>
      <c r="H2503" s="129">
        <f>_xlfn.XLOOKUP(G2503,'[1]T&amp;C emissions for 2050 analysis'!$B$3:$B$23,'[1]T&amp;C emissions for 2050 analysis'!$C$3:$C$23)</f>
        <v>0.10999999999999999</v>
      </c>
      <c r="I2503" s="27">
        <f t="shared" si="117"/>
        <v>2.5374389699999995E-3</v>
      </c>
      <c r="J2503" s="129">
        <f t="shared" si="118"/>
        <v>0.11252999999999998</v>
      </c>
    </row>
    <row r="2504" spans="1:10" hidden="1" x14ac:dyDescent="0.35">
      <c r="A2504" s="126" t="s">
        <v>369</v>
      </c>
      <c r="B2504" t="str">
        <f>_xlfn.XLOOKUP(A2504,'[1]2050Pop'!$A$7:$A$143,'[1]2050Pop'!$D$7:$D$143)</f>
        <v>LatAm &amp; RSA</v>
      </c>
      <c r="C2504" s="127">
        <f>1000*_xlfn.XLOOKUP(A2504,'[1]2050Pop'!$A$7:$A$143,'[1]2050Pop'!$C$7:$C$143)</f>
        <v>15963</v>
      </c>
      <c r="D2504" s="126" t="s">
        <v>516</v>
      </c>
      <c r="E2504" s="128">
        <v>3.9180000000000001</v>
      </c>
      <c r="F2504" s="129">
        <f t="shared" si="119"/>
        <v>6.2543033999999997E-2</v>
      </c>
      <c r="G2504" t="str">
        <f>_xlfn.XLOOKUP(D2504,'[1]2050 BAU Mapping to T &amp; C'!$A$3:$A$52,'[1]2050 BAU Mapping to T &amp; C'!$B$3:$B$52)</f>
        <v>Starchy roots</v>
      </c>
      <c r="H2504" s="129">
        <f>_xlfn.XLOOKUP(G2504,'[1]T&amp;C emissions for 2050 analysis'!$B$3:$B$23,'[1]T&amp;C emissions for 2050 analysis'!$C$3:$C$23)</f>
        <v>0.10999999999999999</v>
      </c>
      <c r="I2504" s="27">
        <f t="shared" si="117"/>
        <v>6.8797337399999986E-3</v>
      </c>
      <c r="J2504" s="129">
        <f t="shared" si="118"/>
        <v>0.43097999999999997</v>
      </c>
    </row>
    <row r="2505" spans="1:10" hidden="1" x14ac:dyDescent="0.35">
      <c r="A2505" s="126" t="s">
        <v>371</v>
      </c>
      <c r="B2505" t="str">
        <f>_xlfn.XLOOKUP(A2505,'[1]2050Pop'!$A$7:$A$143,'[1]2050Pop'!$D$7:$D$143)</f>
        <v>SSA</v>
      </c>
      <c r="C2505" s="127">
        <f>1000*_xlfn.XLOOKUP(A2505,'[1]2050Pop'!$A$7:$A$143,'[1]2050Pop'!$C$7:$C$143)</f>
        <v>3389</v>
      </c>
      <c r="D2505" s="126" t="s">
        <v>516</v>
      </c>
      <c r="E2505" s="128">
        <v>96.766999999999996</v>
      </c>
      <c r="F2505" s="129">
        <f t="shared" si="119"/>
        <v>0.32794336299999999</v>
      </c>
      <c r="G2505" t="str">
        <f>_xlfn.XLOOKUP(D2505,'[1]2050 BAU Mapping to T &amp; C'!$A$3:$A$52,'[1]2050 BAU Mapping to T &amp; C'!$B$3:$B$52)</f>
        <v>Starchy roots</v>
      </c>
      <c r="H2505" s="129">
        <f>_xlfn.XLOOKUP(G2505,'[1]T&amp;C emissions for 2050 analysis'!$B$3:$B$23,'[1]T&amp;C emissions for 2050 analysis'!$C$3:$C$23)</f>
        <v>0.10999999999999999</v>
      </c>
      <c r="I2505" s="27">
        <f t="shared" si="117"/>
        <v>3.6073769929999992E-2</v>
      </c>
      <c r="J2505" s="129">
        <f t="shared" si="118"/>
        <v>10.644369999999999</v>
      </c>
    </row>
    <row r="2506" spans="1:10" hidden="1" x14ac:dyDescent="0.35">
      <c r="A2506" s="126" t="s">
        <v>374</v>
      </c>
      <c r="B2506" t="str">
        <f>_xlfn.XLOOKUP(A2506,'[1]2050Pop'!$A$7:$A$143,'[1]2050Pop'!$D$7:$D$143)</f>
        <v>APAC</v>
      </c>
      <c r="C2506" s="127">
        <f>1000*_xlfn.XLOOKUP(A2506,'[1]2050Pop'!$A$7:$A$143,'[1]2050Pop'!$C$7:$C$143)</f>
        <v>22545</v>
      </c>
      <c r="D2506" s="126" t="s">
        <v>516</v>
      </c>
      <c r="E2506" s="128">
        <v>6.9210000000000003</v>
      </c>
      <c r="F2506" s="129">
        <f t="shared" si="119"/>
        <v>0.15603394500000001</v>
      </c>
      <c r="G2506" t="str">
        <f>_xlfn.XLOOKUP(D2506,'[1]2050 BAU Mapping to T &amp; C'!$A$3:$A$52,'[1]2050 BAU Mapping to T &amp; C'!$B$3:$B$52)</f>
        <v>Starchy roots</v>
      </c>
      <c r="H2506" s="129">
        <f>_xlfn.XLOOKUP(G2506,'[1]T&amp;C emissions for 2050 analysis'!$B$3:$B$23,'[1]T&amp;C emissions for 2050 analysis'!$C$3:$C$23)</f>
        <v>0.10999999999999999</v>
      </c>
      <c r="I2506" s="27">
        <f t="shared" si="117"/>
        <v>1.7163733949999999E-2</v>
      </c>
      <c r="J2506" s="129">
        <f t="shared" si="118"/>
        <v>0.76130999999999993</v>
      </c>
    </row>
    <row r="2507" spans="1:10" hidden="1" x14ac:dyDescent="0.35">
      <c r="A2507" s="126" t="s">
        <v>375</v>
      </c>
      <c r="B2507" t="str">
        <f>_xlfn.XLOOKUP(A2507,'[1]2050Pop'!$A$7:$A$143,'[1]2050Pop'!$D$7:$D$143)</f>
        <v>SSA</v>
      </c>
      <c r="C2507" s="127">
        <f>1000*_xlfn.XLOOKUP(A2507,'[1]2050Pop'!$A$7:$A$143,'[1]2050Pop'!$C$7:$C$143)</f>
        <v>48362</v>
      </c>
      <c r="D2507" s="126" t="s">
        <v>516</v>
      </c>
      <c r="E2507" s="128">
        <v>63.078000000000003</v>
      </c>
      <c r="F2507" s="129">
        <f t="shared" si="119"/>
        <v>3.0505782360000002</v>
      </c>
      <c r="G2507" t="str">
        <f>_xlfn.XLOOKUP(D2507,'[1]2050 BAU Mapping to T &amp; C'!$A$3:$A$52,'[1]2050 BAU Mapping to T &amp; C'!$B$3:$B$52)</f>
        <v>Starchy roots</v>
      </c>
      <c r="H2507" s="129">
        <f>_xlfn.XLOOKUP(G2507,'[1]T&amp;C emissions for 2050 analysis'!$B$3:$B$23,'[1]T&amp;C emissions for 2050 analysis'!$C$3:$C$23)</f>
        <v>0.10999999999999999</v>
      </c>
      <c r="I2507" s="27">
        <f t="shared" si="117"/>
        <v>0.33556360596000001</v>
      </c>
      <c r="J2507" s="129">
        <f t="shared" si="118"/>
        <v>6.9385799999999991</v>
      </c>
    </row>
    <row r="2508" spans="1:10" hidden="1" x14ac:dyDescent="0.35">
      <c r="A2508" s="126" t="s">
        <v>376</v>
      </c>
      <c r="B2508" t="str">
        <f>_xlfn.XLOOKUP(A2508,'[1]2050Pop'!$A$7:$A$143,'[1]2050Pop'!$D$7:$D$143)</f>
        <v>NAm</v>
      </c>
      <c r="C2508" s="127">
        <f>1000*_xlfn.XLOOKUP(A2508,'[1]2050Pop'!$A$7:$A$143,'[1]2050Pop'!$C$7:$C$143)</f>
        <v>44136</v>
      </c>
      <c r="D2508" s="126" t="s">
        <v>516</v>
      </c>
      <c r="E2508" s="130">
        <v>0.47</v>
      </c>
      <c r="F2508" s="129">
        <f t="shared" si="119"/>
        <v>2.0743919999999999E-2</v>
      </c>
      <c r="G2508" t="str">
        <f>_xlfn.XLOOKUP(D2508,'[1]2050 BAU Mapping to T &amp; C'!$A$3:$A$52,'[1]2050 BAU Mapping to T &amp; C'!$B$3:$B$52)</f>
        <v>Starchy roots</v>
      </c>
      <c r="H2508" s="129">
        <f>_xlfn.XLOOKUP(G2508,'[1]T&amp;C emissions for 2050 analysis'!$B$3:$B$23,'[1]T&amp;C emissions for 2050 analysis'!$C$3:$C$23)</f>
        <v>0.10999999999999999</v>
      </c>
      <c r="I2508" s="27">
        <f t="shared" si="117"/>
        <v>2.2818311999999994E-3</v>
      </c>
      <c r="J2508" s="129">
        <f t="shared" si="118"/>
        <v>5.1699999999999989E-2</v>
      </c>
    </row>
    <row r="2509" spans="1:10" hidden="1" x14ac:dyDescent="0.35">
      <c r="A2509" s="126" t="s">
        <v>377</v>
      </c>
      <c r="B2509" t="str">
        <f>_xlfn.XLOOKUP(A2509,'[1]2050Pop'!$A$7:$A$143,'[1]2050Pop'!$D$7:$D$143)</f>
        <v>SSA</v>
      </c>
      <c r="C2509" s="127">
        <f>1000*_xlfn.XLOOKUP(A2509,'[1]2050Pop'!$A$7:$A$143,'[1]2050Pop'!$C$7:$C$143)</f>
        <v>8782</v>
      </c>
      <c r="D2509" s="126" t="s">
        <v>516</v>
      </c>
      <c r="E2509" s="128">
        <v>71.941999999999993</v>
      </c>
      <c r="F2509" s="129">
        <f t="shared" si="119"/>
        <v>0.63179464399999996</v>
      </c>
      <c r="G2509" t="str">
        <f>_xlfn.XLOOKUP(D2509,'[1]2050 BAU Mapping to T &amp; C'!$A$3:$A$52,'[1]2050 BAU Mapping to T &amp; C'!$B$3:$B$52)</f>
        <v>Starchy roots</v>
      </c>
      <c r="H2509" s="129">
        <f>_xlfn.XLOOKUP(G2509,'[1]T&amp;C emissions for 2050 analysis'!$B$3:$B$23,'[1]T&amp;C emissions for 2050 analysis'!$C$3:$C$23)</f>
        <v>0.10999999999999999</v>
      </c>
      <c r="I2509" s="27">
        <f t="shared" si="117"/>
        <v>6.9497410839999982E-2</v>
      </c>
      <c r="J2509" s="129">
        <f t="shared" si="118"/>
        <v>7.9136199999999981</v>
      </c>
    </row>
    <row r="2510" spans="1:10" hidden="1" x14ac:dyDescent="0.35">
      <c r="A2510" s="126" t="s">
        <v>488</v>
      </c>
      <c r="B2510" t="str">
        <f>_xlfn.XLOOKUP(A2510,'[1]2050Pop'!$A$7:$A$143,'[1]2050Pop'!$D$7:$D$143)</f>
        <v>SSA</v>
      </c>
      <c r="C2510" s="127">
        <f>1000*_xlfn.XLOOKUP(A2510,'[1]2050Pop'!$A$7:$A$143,'[1]2050Pop'!$C$7:$C$143)</f>
        <v>35131</v>
      </c>
      <c r="D2510" s="126" t="s">
        <v>516</v>
      </c>
      <c r="E2510" s="128">
        <v>4.2720000000000002</v>
      </c>
      <c r="F2510" s="129">
        <f t="shared" si="119"/>
        <v>0.15007963200000002</v>
      </c>
      <c r="G2510" t="str">
        <f>_xlfn.XLOOKUP(D2510,'[1]2050 BAU Mapping to T &amp; C'!$A$3:$A$52,'[1]2050 BAU Mapping to T &amp; C'!$B$3:$B$52)</f>
        <v>Starchy roots</v>
      </c>
      <c r="H2510" s="129">
        <f>_xlfn.XLOOKUP(G2510,'[1]T&amp;C emissions for 2050 analysis'!$B$3:$B$23,'[1]T&amp;C emissions for 2050 analysis'!$C$3:$C$23)</f>
        <v>0.10999999999999999</v>
      </c>
      <c r="I2510" s="27">
        <f t="shared" si="117"/>
        <v>1.6508759519999999E-2</v>
      </c>
      <c r="J2510" s="129">
        <f t="shared" si="118"/>
        <v>0.46991999999999995</v>
      </c>
    </row>
    <row r="2511" spans="1:10" hidden="1" x14ac:dyDescent="0.35">
      <c r="A2511" s="126" t="s">
        <v>379</v>
      </c>
      <c r="B2511" t="str">
        <f>_xlfn.XLOOKUP(A2511,'[1]2050Pop'!$A$7:$A$143,'[1]2050Pop'!$D$7:$D$143)</f>
        <v>Greater China</v>
      </c>
      <c r="C2511" s="127">
        <f>1000*_xlfn.XLOOKUP(A2511,'[1]2050Pop'!$A$7:$A$143,'[1]2050Pop'!$C$7:$C$143)</f>
        <v>8148</v>
      </c>
      <c r="D2511" s="126" t="s">
        <v>516</v>
      </c>
      <c r="E2511" s="128">
        <v>0.498</v>
      </c>
      <c r="F2511" s="129">
        <f t="shared" si="119"/>
        <v>4.0577040000000005E-3</v>
      </c>
      <c r="G2511" t="str">
        <f>_xlfn.XLOOKUP(D2511,'[1]2050 BAU Mapping to T &amp; C'!$A$3:$A$52,'[1]2050 BAU Mapping to T &amp; C'!$B$3:$B$52)</f>
        <v>Starchy roots</v>
      </c>
      <c r="H2511" s="129">
        <f>_xlfn.XLOOKUP(G2511,'[1]T&amp;C emissions for 2050 analysis'!$B$3:$B$23,'[1]T&amp;C emissions for 2050 analysis'!$C$3:$C$23)</f>
        <v>0.10999999999999999</v>
      </c>
      <c r="I2511" s="27">
        <f t="shared" si="117"/>
        <v>4.4634744000000002E-4</v>
      </c>
      <c r="J2511" s="129">
        <f t="shared" si="118"/>
        <v>5.4779999999999995E-2</v>
      </c>
    </row>
    <row r="2512" spans="1:10" hidden="1" x14ac:dyDescent="0.35">
      <c r="A2512" s="126" t="s">
        <v>380</v>
      </c>
      <c r="B2512" t="str">
        <f>_xlfn.XLOOKUP(A2512,'[1]2050Pop'!$A$7:$A$143,'[1]2050Pop'!$D$7:$D$143)</f>
        <v>Greater China</v>
      </c>
      <c r="C2512" s="127">
        <f>1000*_xlfn.XLOOKUP(A2512,'[1]2050Pop'!$A$7:$A$143,'[1]2050Pop'!$C$7:$C$143)</f>
        <v>1348056</v>
      </c>
      <c r="D2512" s="126" t="s">
        <v>516</v>
      </c>
      <c r="E2512" s="130">
        <v>1.67</v>
      </c>
      <c r="F2512" s="129">
        <f t="shared" si="119"/>
        <v>2.2512535200000001</v>
      </c>
      <c r="G2512" t="str">
        <f>_xlfn.XLOOKUP(D2512,'[1]2050 BAU Mapping to T &amp; C'!$A$3:$A$52,'[1]2050 BAU Mapping to T &amp; C'!$B$3:$B$52)</f>
        <v>Starchy roots</v>
      </c>
      <c r="H2512" s="129">
        <f>_xlfn.XLOOKUP(G2512,'[1]T&amp;C emissions for 2050 analysis'!$B$3:$B$23,'[1]T&amp;C emissions for 2050 analysis'!$C$3:$C$23)</f>
        <v>0.10999999999999999</v>
      </c>
      <c r="I2512" s="27">
        <f t="shared" si="117"/>
        <v>0.24763788719999999</v>
      </c>
      <c r="J2512" s="129">
        <f t="shared" si="118"/>
        <v>0.18369999999999997</v>
      </c>
    </row>
    <row r="2513" spans="1:10" hidden="1" x14ac:dyDescent="0.35">
      <c r="A2513" s="126" t="s">
        <v>381</v>
      </c>
      <c r="B2513" t="str">
        <f>_xlfn.XLOOKUP(A2513,'[1]2050Pop'!$A$7:$A$143,'[1]2050Pop'!$D$7:$D$143)</f>
        <v>Greater China</v>
      </c>
      <c r="C2513" s="127">
        <f>1000*_xlfn.XLOOKUP(A2513,'[1]2050Pop'!$A$7:$A$143,'[1]2050Pop'!$C$7:$C$143)</f>
        <v>20778</v>
      </c>
      <c r="D2513" s="126" t="s">
        <v>516</v>
      </c>
      <c r="E2513" s="128">
        <v>3.246</v>
      </c>
      <c r="F2513" s="129">
        <f t="shared" si="119"/>
        <v>6.7445388000000009E-2</v>
      </c>
      <c r="G2513" t="str">
        <f>_xlfn.XLOOKUP(D2513,'[1]2050 BAU Mapping to T &amp; C'!$A$3:$A$52,'[1]2050 BAU Mapping to T &amp; C'!$B$3:$B$52)</f>
        <v>Starchy roots</v>
      </c>
      <c r="H2513" s="129">
        <f>_xlfn.XLOOKUP(G2513,'[1]T&amp;C emissions for 2050 analysis'!$B$3:$B$23,'[1]T&amp;C emissions for 2050 analysis'!$C$3:$C$23)</f>
        <v>0.10999999999999999</v>
      </c>
      <c r="I2513" s="27">
        <f t="shared" si="117"/>
        <v>7.41899268E-3</v>
      </c>
      <c r="J2513" s="129">
        <f t="shared" si="118"/>
        <v>0.35705999999999993</v>
      </c>
    </row>
    <row r="2514" spans="1:10" hidden="1" x14ac:dyDescent="0.35">
      <c r="A2514" s="126" t="s">
        <v>382</v>
      </c>
      <c r="B2514" t="str">
        <f>_xlfn.XLOOKUP(A2514,'[1]2050Pop'!$A$7:$A$143,'[1]2050Pop'!$D$7:$D$143)</f>
        <v>LatAm &amp; RSA</v>
      </c>
      <c r="C2514" s="127">
        <f>1000*_xlfn.XLOOKUP(A2514,'[1]2050Pop'!$A$7:$A$143,'[1]2050Pop'!$C$7:$C$143)</f>
        <v>54927</v>
      </c>
      <c r="D2514" s="126" t="s">
        <v>516</v>
      </c>
      <c r="E2514" s="128">
        <v>3.3380000000000001</v>
      </c>
      <c r="F2514" s="129">
        <f t="shared" si="119"/>
        <v>0.183346326</v>
      </c>
      <c r="G2514" t="str">
        <f>_xlfn.XLOOKUP(D2514,'[1]2050 BAU Mapping to T &amp; C'!$A$3:$A$52,'[1]2050 BAU Mapping to T &amp; C'!$B$3:$B$52)</f>
        <v>Starchy roots</v>
      </c>
      <c r="H2514" s="129">
        <f>_xlfn.XLOOKUP(G2514,'[1]T&amp;C emissions for 2050 analysis'!$B$3:$B$23,'[1]T&amp;C emissions for 2050 analysis'!$C$3:$C$23)</f>
        <v>0.10999999999999999</v>
      </c>
      <c r="I2514" s="27">
        <f t="shared" si="117"/>
        <v>2.0168095859999999E-2</v>
      </c>
      <c r="J2514" s="129">
        <f t="shared" si="118"/>
        <v>0.36717999999999995</v>
      </c>
    </row>
    <row r="2515" spans="1:10" hidden="1" x14ac:dyDescent="0.35">
      <c r="A2515" s="126" t="s">
        <v>383</v>
      </c>
      <c r="B2515" t="str">
        <f>_xlfn.XLOOKUP(A2515,'[1]2050Pop'!$A$7:$A$143,'[1]2050Pop'!$D$7:$D$143)</f>
        <v>LatAm &amp; RSA</v>
      </c>
      <c r="C2515" s="127">
        <f>1000*_xlfn.XLOOKUP(A2515,'[1]2050Pop'!$A$7:$A$143,'[1]2050Pop'!$C$7:$C$143)</f>
        <v>5759</v>
      </c>
      <c r="D2515" s="126" t="s">
        <v>516</v>
      </c>
      <c r="E2515" s="130">
        <v>8.2899999999999991</v>
      </c>
      <c r="F2515" s="129">
        <f t="shared" si="119"/>
        <v>4.774210999999999E-2</v>
      </c>
      <c r="G2515" t="str">
        <f>_xlfn.XLOOKUP(D2515,'[1]2050 BAU Mapping to T &amp; C'!$A$3:$A$52,'[1]2050 BAU Mapping to T &amp; C'!$B$3:$B$52)</f>
        <v>Starchy roots</v>
      </c>
      <c r="H2515" s="129">
        <f>_xlfn.XLOOKUP(G2515,'[1]T&amp;C emissions for 2050 analysis'!$B$3:$B$23,'[1]T&amp;C emissions for 2050 analysis'!$C$3:$C$23)</f>
        <v>0.10999999999999999</v>
      </c>
      <c r="I2515" s="27">
        <f t="shared" si="117"/>
        <v>5.2516320999999987E-3</v>
      </c>
      <c r="J2515" s="129">
        <f t="shared" si="118"/>
        <v>0.91189999999999982</v>
      </c>
    </row>
    <row r="2516" spans="1:10" hidden="1" x14ac:dyDescent="0.35">
      <c r="A2516" s="126" t="s">
        <v>384</v>
      </c>
      <c r="B2516" t="str">
        <f>_xlfn.XLOOKUP(A2516,'[1]2050Pop'!$A$7:$A$143,'[1]2050Pop'!$D$7:$D$143)</f>
        <v>SSA</v>
      </c>
      <c r="C2516" s="127">
        <f>1000*_xlfn.XLOOKUP(A2516,'[1]2050Pop'!$A$7:$A$143,'[1]2050Pop'!$C$7:$C$143)</f>
        <v>48797</v>
      </c>
      <c r="D2516" s="126" t="s">
        <v>516</v>
      </c>
      <c r="E2516" s="128">
        <v>7.5529999999999999</v>
      </c>
      <c r="F2516" s="129">
        <f t="shared" si="119"/>
        <v>0.368563741</v>
      </c>
      <c r="G2516" t="str">
        <f>_xlfn.XLOOKUP(D2516,'[1]2050 BAU Mapping to T &amp; C'!$A$3:$A$52,'[1]2050 BAU Mapping to T &amp; C'!$B$3:$B$52)</f>
        <v>Starchy roots</v>
      </c>
      <c r="H2516" s="129">
        <f>_xlfn.XLOOKUP(G2516,'[1]T&amp;C emissions for 2050 analysis'!$B$3:$B$23,'[1]T&amp;C emissions for 2050 analysis'!$C$3:$C$23)</f>
        <v>0.10999999999999999</v>
      </c>
      <c r="I2516" s="27">
        <f t="shared" si="117"/>
        <v>4.0542011509999996E-2</v>
      </c>
      <c r="J2516" s="129">
        <f t="shared" si="118"/>
        <v>0.83082999999999985</v>
      </c>
    </row>
    <row r="2517" spans="1:10" hidden="1" x14ac:dyDescent="0.35">
      <c r="A2517" s="126" t="s">
        <v>386</v>
      </c>
      <c r="B2517" t="str">
        <f>_xlfn.XLOOKUP(A2517,'[1]2050Pop'!$A$7:$A$143,'[1]2050Pop'!$D$7:$D$143)</f>
        <v>LatAm &amp; RSA</v>
      </c>
      <c r="C2517" s="127">
        <f>1000*_xlfn.XLOOKUP(A2517,'[1]2050Pop'!$A$7:$A$143,'[1]2050Pop'!$C$7:$C$143)</f>
        <v>10339</v>
      </c>
      <c r="D2517" s="126" t="s">
        <v>516</v>
      </c>
      <c r="E2517" s="130">
        <v>29.36</v>
      </c>
      <c r="F2517" s="129">
        <f t="shared" si="119"/>
        <v>0.30355304</v>
      </c>
      <c r="G2517" t="str">
        <f>_xlfn.XLOOKUP(D2517,'[1]2050 BAU Mapping to T &amp; C'!$A$3:$A$52,'[1]2050 BAU Mapping to T &amp; C'!$B$3:$B$52)</f>
        <v>Starchy roots</v>
      </c>
      <c r="H2517" s="129">
        <f>_xlfn.XLOOKUP(G2517,'[1]T&amp;C emissions for 2050 analysis'!$B$3:$B$23,'[1]T&amp;C emissions for 2050 analysis'!$C$3:$C$23)</f>
        <v>0.10999999999999999</v>
      </c>
      <c r="I2517" s="27">
        <f t="shared" si="117"/>
        <v>3.3390834399999993E-2</v>
      </c>
      <c r="J2517" s="129">
        <f t="shared" si="118"/>
        <v>3.2295999999999996</v>
      </c>
    </row>
    <row r="2518" spans="1:10" hidden="1" x14ac:dyDescent="0.35">
      <c r="A2518" s="126" t="s">
        <v>389</v>
      </c>
      <c r="B2518" t="str">
        <f>_xlfn.XLOOKUP(A2518,'[1]2050Pop'!$A$7:$A$143,'[1]2050Pop'!$D$7:$D$143)</f>
        <v>LatAm &amp; RSA</v>
      </c>
      <c r="C2518" s="127">
        <f>1000*_xlfn.XLOOKUP(A2518,'[1]2050Pop'!$A$7:$A$143,'[1]2050Pop'!$C$7:$C$143)</f>
        <v>13238</v>
      </c>
      <c r="D2518" s="126" t="s">
        <v>516</v>
      </c>
      <c r="E2518" s="128">
        <v>7.234</v>
      </c>
      <c r="F2518" s="129">
        <f t="shared" si="119"/>
        <v>9.5763691999999997E-2</v>
      </c>
      <c r="G2518" t="str">
        <f>_xlfn.XLOOKUP(D2518,'[1]2050 BAU Mapping to T &amp; C'!$A$3:$A$52,'[1]2050 BAU Mapping to T &amp; C'!$B$3:$B$52)</f>
        <v>Starchy roots</v>
      </c>
      <c r="H2518" s="129">
        <f>_xlfn.XLOOKUP(G2518,'[1]T&amp;C emissions for 2050 analysis'!$B$3:$B$23,'[1]T&amp;C emissions for 2050 analysis'!$C$3:$C$23)</f>
        <v>0.10999999999999999</v>
      </c>
      <c r="I2518" s="27">
        <f t="shared" si="117"/>
        <v>1.0534006119999998E-2</v>
      </c>
      <c r="J2518" s="129">
        <f t="shared" si="118"/>
        <v>0.79573999999999989</v>
      </c>
    </row>
    <row r="2519" spans="1:10" hidden="1" x14ac:dyDescent="0.35">
      <c r="A2519" s="126" t="s">
        <v>390</v>
      </c>
      <c r="B2519" t="str">
        <f>_xlfn.XLOOKUP(A2519,'[1]2050Pop'!$A$7:$A$143,'[1]2050Pop'!$D$7:$D$143)</f>
        <v>LatAm &amp; RSA</v>
      </c>
      <c r="C2519" s="127">
        <f>1000*_xlfn.XLOOKUP(A2519,'[1]2050Pop'!$A$7:$A$143,'[1]2050Pop'!$C$7:$C$143)</f>
        <v>23013</v>
      </c>
      <c r="D2519" s="126" t="s">
        <v>516</v>
      </c>
      <c r="E2519" s="128">
        <v>0.76300000000000001</v>
      </c>
      <c r="F2519" s="129">
        <f t="shared" si="119"/>
        <v>1.7558919000000003E-2</v>
      </c>
      <c r="G2519" t="str">
        <f>_xlfn.XLOOKUP(D2519,'[1]2050 BAU Mapping to T &amp; C'!$A$3:$A$52,'[1]2050 BAU Mapping to T &amp; C'!$B$3:$B$52)</f>
        <v>Starchy roots</v>
      </c>
      <c r="H2519" s="129">
        <f>_xlfn.XLOOKUP(G2519,'[1]T&amp;C emissions for 2050 analysis'!$B$3:$B$23,'[1]T&amp;C emissions for 2050 analysis'!$C$3:$C$23)</f>
        <v>0.10999999999999999</v>
      </c>
      <c r="I2519" s="27">
        <f t="shared" si="117"/>
        <v>1.9314810900000002E-3</v>
      </c>
      <c r="J2519" s="129">
        <f t="shared" si="118"/>
        <v>8.3929999999999991E-2</v>
      </c>
    </row>
    <row r="2520" spans="1:10" hidden="1" x14ac:dyDescent="0.35">
      <c r="A2520" s="126" t="s">
        <v>391</v>
      </c>
      <c r="B2520" t="str">
        <f>_xlfn.XLOOKUP(A2520,'[1]2050Pop'!$A$7:$A$143,'[1]2050Pop'!$D$7:$D$143)</f>
        <v>MENA</v>
      </c>
      <c r="C2520" s="127">
        <f>1000*_xlfn.XLOOKUP(A2520,'[1]2050Pop'!$A$7:$A$143,'[1]2050Pop'!$C$7:$C$143)</f>
        <v>151111</v>
      </c>
      <c r="D2520" s="126" t="s">
        <v>516</v>
      </c>
      <c r="E2520" s="130">
        <v>1.38</v>
      </c>
      <c r="F2520" s="129">
        <f t="shared" si="119"/>
        <v>0.20853317999999998</v>
      </c>
      <c r="G2520" t="str">
        <f>_xlfn.XLOOKUP(D2520,'[1]2050 BAU Mapping to T &amp; C'!$A$3:$A$52,'[1]2050 BAU Mapping to T &amp; C'!$B$3:$B$52)</f>
        <v>Starchy roots</v>
      </c>
      <c r="H2520" s="129">
        <f>_xlfn.XLOOKUP(G2520,'[1]T&amp;C emissions for 2050 analysis'!$B$3:$B$23,'[1]T&amp;C emissions for 2050 analysis'!$C$3:$C$23)</f>
        <v>0.10999999999999999</v>
      </c>
      <c r="I2520" s="27">
        <f t="shared" si="117"/>
        <v>2.2938649799999995E-2</v>
      </c>
      <c r="J2520" s="129">
        <f t="shared" si="118"/>
        <v>0.15179999999999996</v>
      </c>
    </row>
    <row r="2521" spans="1:10" hidden="1" x14ac:dyDescent="0.35">
      <c r="A2521" s="126" t="s">
        <v>392</v>
      </c>
      <c r="B2521" t="str">
        <f>_xlfn.XLOOKUP(A2521,'[1]2050Pop'!$A$7:$A$143,'[1]2050Pop'!$D$7:$D$143)</f>
        <v>LatAm &amp; RSA</v>
      </c>
      <c r="C2521" s="127">
        <f>1000*_xlfn.XLOOKUP(A2521,'[1]2050Pop'!$A$7:$A$143,'[1]2050Pop'!$C$7:$C$143)</f>
        <v>6390</v>
      </c>
      <c r="D2521" s="126" t="s">
        <v>516</v>
      </c>
      <c r="E2521" s="128">
        <v>13.507999999999999</v>
      </c>
      <c r="F2521" s="129">
        <f t="shared" si="119"/>
        <v>8.6316119999999996E-2</v>
      </c>
      <c r="G2521" t="str">
        <f>_xlfn.XLOOKUP(D2521,'[1]2050 BAU Mapping to T &amp; C'!$A$3:$A$52,'[1]2050 BAU Mapping to T &amp; C'!$B$3:$B$52)</f>
        <v>Starchy roots</v>
      </c>
      <c r="H2521" s="129">
        <f>_xlfn.XLOOKUP(G2521,'[1]T&amp;C emissions for 2050 analysis'!$B$3:$B$23,'[1]T&amp;C emissions for 2050 analysis'!$C$3:$C$23)</f>
        <v>0.10999999999999999</v>
      </c>
      <c r="I2521" s="27">
        <f t="shared" si="117"/>
        <v>9.494773199999999E-3</v>
      </c>
      <c r="J2521" s="129">
        <f t="shared" si="118"/>
        <v>1.4858799999999996</v>
      </c>
    </row>
    <row r="2522" spans="1:10" hidden="1" x14ac:dyDescent="0.35">
      <c r="A2522" s="126" t="s">
        <v>394</v>
      </c>
      <c r="B2522" t="str">
        <f>_xlfn.XLOOKUP(A2522,'[1]2050Pop'!$A$7:$A$143,'[1]2050Pop'!$D$7:$D$143)</f>
        <v>SSA</v>
      </c>
      <c r="C2522" s="127">
        <f>1000*_xlfn.XLOOKUP(A2522,'[1]2050Pop'!$A$7:$A$143,'[1]2050Pop'!$C$7:$C$143)</f>
        <v>188455</v>
      </c>
      <c r="D2522" s="126" t="s">
        <v>516</v>
      </c>
      <c r="E2522" s="128">
        <v>208.82300000000001</v>
      </c>
      <c r="F2522" s="129">
        <f t="shared" si="119"/>
        <v>39.353738465000006</v>
      </c>
      <c r="G2522" t="str">
        <f>_xlfn.XLOOKUP(D2522,'[1]2050 BAU Mapping to T &amp; C'!$A$3:$A$52,'[1]2050 BAU Mapping to T &amp; C'!$B$3:$B$52)</f>
        <v>Starchy roots</v>
      </c>
      <c r="H2522" s="129">
        <f>_xlfn.XLOOKUP(G2522,'[1]T&amp;C emissions for 2050 analysis'!$B$3:$B$23,'[1]T&amp;C emissions for 2050 analysis'!$C$3:$C$23)</f>
        <v>0.10999999999999999</v>
      </c>
      <c r="I2522" s="27">
        <f t="shared" si="117"/>
        <v>4.3289112311500002</v>
      </c>
      <c r="J2522" s="129">
        <f t="shared" si="118"/>
        <v>22.970529999999997</v>
      </c>
    </row>
    <row r="2523" spans="1:10" hidden="1" x14ac:dyDescent="0.35">
      <c r="A2523" s="126" t="s">
        <v>397</v>
      </c>
      <c r="B2523" t="str">
        <f>_xlfn.XLOOKUP(A2523,'[1]2050Pop'!$A$7:$A$143,'[1]2050Pop'!$D$7:$D$143)</f>
        <v>SSA</v>
      </c>
      <c r="C2523" s="127">
        <f>1000*_xlfn.XLOOKUP(A2523,'[1]2050Pop'!$A$7:$A$143,'[1]2050Pop'!$C$7:$C$143)</f>
        <v>3164</v>
      </c>
      <c r="D2523" s="126" t="s">
        <v>516</v>
      </c>
      <c r="E2523" s="128">
        <v>53.146999999999998</v>
      </c>
      <c r="F2523" s="129">
        <f t="shared" si="119"/>
        <v>0.168157108</v>
      </c>
      <c r="G2523" t="str">
        <f>_xlfn.XLOOKUP(D2523,'[1]2050 BAU Mapping to T &amp; C'!$A$3:$A$52,'[1]2050 BAU Mapping to T &amp; C'!$B$3:$B$52)</f>
        <v>Starchy roots</v>
      </c>
      <c r="H2523" s="129">
        <f>_xlfn.XLOOKUP(G2523,'[1]T&amp;C emissions for 2050 analysis'!$B$3:$B$23,'[1]T&amp;C emissions for 2050 analysis'!$C$3:$C$23)</f>
        <v>0.10999999999999999</v>
      </c>
      <c r="I2523" s="27">
        <f t="shared" si="117"/>
        <v>1.8497281879999997E-2</v>
      </c>
      <c r="J2523" s="129">
        <f t="shared" si="118"/>
        <v>5.846169999999999</v>
      </c>
    </row>
    <row r="2524" spans="1:10" hidden="1" x14ac:dyDescent="0.35">
      <c r="A2524" s="126" t="s">
        <v>489</v>
      </c>
      <c r="B2524" t="str">
        <f>_xlfn.XLOOKUP(A2524,'[1]2050Pop'!$A$7:$A$143,'[1]2050Pop'!$D$7:$D$143)</f>
        <v>SSA</v>
      </c>
      <c r="C2524" s="127">
        <f>1000*_xlfn.XLOOKUP(A2524,'[1]2050Pop'!$A$7:$A$143,'[1]2050Pop'!$C$7:$C$143)</f>
        <v>4981</v>
      </c>
      <c r="D2524" s="126" t="s">
        <v>516</v>
      </c>
      <c r="E2524" s="128">
        <v>0.97599999999999998</v>
      </c>
      <c r="F2524" s="129">
        <f t="shared" si="119"/>
        <v>4.8614560000000001E-3</v>
      </c>
      <c r="G2524" t="str">
        <f>_xlfn.XLOOKUP(D2524,'[1]2050 BAU Mapping to T &amp; C'!$A$3:$A$52,'[1]2050 BAU Mapping to T &amp; C'!$B$3:$B$52)</f>
        <v>Starchy roots</v>
      </c>
      <c r="H2524" s="129">
        <f>_xlfn.XLOOKUP(G2524,'[1]T&amp;C emissions for 2050 analysis'!$B$3:$B$23,'[1]T&amp;C emissions for 2050 analysis'!$C$3:$C$23)</f>
        <v>0.10999999999999999</v>
      </c>
      <c r="I2524" s="27">
        <f t="shared" si="117"/>
        <v>5.3476015999999991E-4</v>
      </c>
      <c r="J2524" s="129">
        <f t="shared" si="118"/>
        <v>0.10735999999999998</v>
      </c>
    </row>
    <row r="2525" spans="1:10" hidden="1" x14ac:dyDescent="0.35">
      <c r="A2525" s="126" t="s">
        <v>400</v>
      </c>
      <c r="B2525" t="str">
        <f>_xlfn.XLOOKUP(A2525,'[1]2050Pop'!$A$7:$A$143,'[1]2050Pop'!$D$7:$D$143)</f>
        <v>SSA</v>
      </c>
      <c r="C2525" s="127">
        <f>1000*_xlfn.XLOOKUP(A2525,'[1]2050Pop'!$A$7:$A$143,'[1]2050Pop'!$C$7:$C$143)</f>
        <v>50071</v>
      </c>
      <c r="D2525" s="126" t="s">
        <v>516</v>
      </c>
      <c r="E2525" s="130">
        <v>90.11</v>
      </c>
      <c r="F2525" s="129">
        <f t="shared" si="119"/>
        <v>4.5118978099999998</v>
      </c>
      <c r="G2525" t="str">
        <f>_xlfn.XLOOKUP(D2525,'[1]2050 BAU Mapping to T &amp; C'!$A$3:$A$52,'[1]2050 BAU Mapping to T &amp; C'!$B$3:$B$52)</f>
        <v>Starchy roots</v>
      </c>
      <c r="H2525" s="129">
        <f>_xlfn.XLOOKUP(G2525,'[1]T&amp;C emissions for 2050 analysis'!$B$3:$B$23,'[1]T&amp;C emissions for 2050 analysis'!$C$3:$C$23)</f>
        <v>0.10999999999999999</v>
      </c>
      <c r="I2525" s="27">
        <f t="shared" si="117"/>
        <v>0.49630875909999994</v>
      </c>
      <c r="J2525" s="129">
        <f t="shared" si="118"/>
        <v>9.9120999999999988</v>
      </c>
    </row>
    <row r="2526" spans="1:10" hidden="1" x14ac:dyDescent="0.35">
      <c r="A2526" s="126" t="s">
        <v>403</v>
      </c>
      <c r="B2526" t="str">
        <f>_xlfn.XLOOKUP(A2526,'[1]2050Pop'!$A$7:$A$143,'[1]2050Pop'!$D$7:$D$143)</f>
        <v>SSA</v>
      </c>
      <c r="C2526" s="127">
        <f>1000*_xlfn.XLOOKUP(A2526,'[1]2050Pop'!$A$7:$A$143,'[1]2050Pop'!$C$7:$C$143)</f>
        <v>27486</v>
      </c>
      <c r="D2526" s="126" t="s">
        <v>516</v>
      </c>
      <c r="E2526" s="128">
        <v>18.425999999999998</v>
      </c>
      <c r="F2526" s="129">
        <f t="shared" si="119"/>
        <v>0.50645703599999992</v>
      </c>
      <c r="G2526" t="str">
        <f>_xlfn.XLOOKUP(D2526,'[1]2050 BAU Mapping to T &amp; C'!$A$3:$A$52,'[1]2050 BAU Mapping to T &amp; C'!$B$3:$B$52)</f>
        <v>Starchy roots</v>
      </c>
      <c r="H2526" s="129">
        <f>_xlfn.XLOOKUP(G2526,'[1]T&amp;C emissions for 2050 analysis'!$B$3:$B$23,'[1]T&amp;C emissions for 2050 analysis'!$C$3:$C$23)</f>
        <v>0.10999999999999999</v>
      </c>
      <c r="I2526" s="27">
        <f t="shared" si="117"/>
        <v>5.5710273959999987E-2</v>
      </c>
      <c r="J2526" s="129">
        <f t="shared" si="118"/>
        <v>2.0268599999999997</v>
      </c>
    </row>
    <row r="2527" spans="1:10" hidden="1" x14ac:dyDescent="0.35">
      <c r="A2527" s="126" t="s">
        <v>404</v>
      </c>
      <c r="B2527" t="str">
        <f>_xlfn.XLOOKUP(A2527,'[1]2050Pop'!$A$7:$A$143,'[1]2050Pop'!$D$7:$D$143)</f>
        <v>LatAm &amp; RSA</v>
      </c>
      <c r="C2527" s="127">
        <f>1000*_xlfn.XLOOKUP(A2527,'[1]2050Pop'!$A$7:$A$143,'[1]2050Pop'!$C$7:$C$143)</f>
        <v>806</v>
      </c>
      <c r="D2527" s="126" t="s">
        <v>516</v>
      </c>
      <c r="E2527" s="128">
        <v>26.585999999999999</v>
      </c>
      <c r="F2527" s="129">
        <f t="shared" si="119"/>
        <v>2.1428315999999999E-2</v>
      </c>
      <c r="G2527" t="str">
        <f>_xlfn.XLOOKUP(D2527,'[1]2050 BAU Mapping to T &amp; C'!$A$3:$A$52,'[1]2050 BAU Mapping to T &amp; C'!$B$3:$B$52)</f>
        <v>Starchy roots</v>
      </c>
      <c r="H2527" s="129">
        <f>_xlfn.XLOOKUP(G2527,'[1]T&amp;C emissions for 2050 analysis'!$B$3:$B$23,'[1]T&amp;C emissions for 2050 analysis'!$C$3:$C$23)</f>
        <v>0.10999999999999999</v>
      </c>
      <c r="I2527" s="27">
        <f t="shared" si="117"/>
        <v>2.3571147599999996E-3</v>
      </c>
      <c r="J2527" s="129">
        <f t="shared" si="118"/>
        <v>2.9244599999999994</v>
      </c>
    </row>
    <row r="2528" spans="1:10" hidden="1" x14ac:dyDescent="0.35">
      <c r="A2528" s="126" t="s">
        <v>405</v>
      </c>
      <c r="B2528" t="str">
        <f>_xlfn.XLOOKUP(A2528,'[1]2050Pop'!$A$7:$A$143,'[1]2050Pop'!$D$7:$D$143)</f>
        <v>LatAm &amp; RSA</v>
      </c>
      <c r="C2528" s="127">
        <f>1000*_xlfn.XLOOKUP(A2528,'[1]2050Pop'!$A$7:$A$143,'[1]2050Pop'!$C$7:$C$143)</f>
        <v>14189</v>
      </c>
      <c r="D2528" s="126" t="s">
        <v>516</v>
      </c>
      <c r="E2528" s="128">
        <v>12.331</v>
      </c>
      <c r="F2528" s="129">
        <f t="shared" si="119"/>
        <v>0.17496455899999999</v>
      </c>
      <c r="G2528" t="str">
        <f>_xlfn.XLOOKUP(D2528,'[1]2050 BAU Mapping to T &amp; C'!$A$3:$A$52,'[1]2050 BAU Mapping to T &amp; C'!$B$3:$B$52)</f>
        <v>Starchy roots</v>
      </c>
      <c r="H2528" s="129">
        <f>_xlfn.XLOOKUP(G2528,'[1]T&amp;C emissions for 2050 analysis'!$B$3:$B$23,'[1]T&amp;C emissions for 2050 analysis'!$C$3:$C$23)</f>
        <v>0.10999999999999999</v>
      </c>
      <c r="I2528" s="27">
        <f t="shared" si="117"/>
        <v>1.9246101489999997E-2</v>
      </c>
      <c r="J2528" s="129">
        <f t="shared" si="118"/>
        <v>1.3564099999999999</v>
      </c>
    </row>
    <row r="2529" spans="1:10" hidden="1" x14ac:dyDescent="0.35">
      <c r="A2529" s="126" t="s">
        <v>406</v>
      </c>
      <c r="B2529" t="str">
        <f>_xlfn.XLOOKUP(A2529,'[1]2050Pop'!$A$7:$A$143,'[1]2050Pop'!$D$7:$D$143)</f>
        <v>LatAm &amp; RSA</v>
      </c>
      <c r="C2529" s="127">
        <f>1000*_xlfn.XLOOKUP(A2529,'[1]2050Pop'!$A$7:$A$143,'[1]2050Pop'!$C$7:$C$143)</f>
        <v>11217</v>
      </c>
      <c r="D2529" s="126" t="s">
        <v>516</v>
      </c>
      <c r="E2529" s="128">
        <v>0.84199999999999997</v>
      </c>
      <c r="F2529" s="129">
        <f t="shared" si="119"/>
        <v>9.4447139999999999E-3</v>
      </c>
      <c r="G2529" t="str">
        <f>_xlfn.XLOOKUP(D2529,'[1]2050 BAU Mapping to T &amp; C'!$A$3:$A$52,'[1]2050 BAU Mapping to T &amp; C'!$B$3:$B$52)</f>
        <v>Starchy roots</v>
      </c>
      <c r="H2529" s="129">
        <f>_xlfn.XLOOKUP(G2529,'[1]T&amp;C emissions for 2050 analysis'!$B$3:$B$23,'[1]T&amp;C emissions for 2050 analysis'!$C$3:$C$23)</f>
        <v>0.10999999999999999</v>
      </c>
      <c r="I2529" s="27">
        <f t="shared" si="117"/>
        <v>1.0389185399999998E-3</v>
      </c>
      <c r="J2529" s="129">
        <f t="shared" si="118"/>
        <v>9.261999999999998E-2</v>
      </c>
    </row>
    <row r="2530" spans="1:10" hidden="1" x14ac:dyDescent="0.35">
      <c r="A2530" s="126" t="s">
        <v>409</v>
      </c>
      <c r="B2530" t="str">
        <f>_xlfn.XLOOKUP(A2530,'[1]2050Pop'!$A$7:$A$143,'[1]2050Pop'!$D$7:$D$143)</f>
        <v>APAC</v>
      </c>
      <c r="C2530" s="127">
        <f>1000*_xlfn.XLOOKUP(A2530,'[1]2050Pop'!$A$7:$A$143,'[1]2050Pop'!$C$7:$C$143)</f>
        <v>322237</v>
      </c>
      <c r="D2530" s="126" t="s">
        <v>516</v>
      </c>
      <c r="E2530" s="128">
        <v>5.657</v>
      </c>
      <c r="F2530" s="129">
        <f t="shared" si="119"/>
        <v>1.8228947090000001</v>
      </c>
      <c r="G2530" t="str">
        <f>_xlfn.XLOOKUP(D2530,'[1]2050 BAU Mapping to T &amp; C'!$A$3:$A$52,'[1]2050 BAU Mapping to T &amp; C'!$B$3:$B$52)</f>
        <v>Starchy roots</v>
      </c>
      <c r="H2530" s="129">
        <f>_xlfn.XLOOKUP(G2530,'[1]T&amp;C emissions for 2050 analysis'!$B$3:$B$23,'[1]T&amp;C emissions for 2050 analysis'!$C$3:$C$23)</f>
        <v>0.10999999999999999</v>
      </c>
      <c r="I2530" s="27">
        <f t="shared" si="117"/>
        <v>0.20051841798999998</v>
      </c>
      <c r="J2530" s="129">
        <f t="shared" si="118"/>
        <v>0.62226999999999988</v>
      </c>
    </row>
    <row r="2531" spans="1:10" hidden="1" x14ac:dyDescent="0.35">
      <c r="A2531" s="126" t="s">
        <v>415</v>
      </c>
      <c r="B2531" t="str">
        <f>_xlfn.XLOOKUP(A2531,'[1]2050Pop'!$A$7:$A$143,'[1]2050Pop'!$D$7:$D$143)</f>
        <v>LatAm &amp; RSA</v>
      </c>
      <c r="C2531" s="127">
        <f>1000*_xlfn.XLOOKUP(A2531,'[1]2050Pop'!$A$7:$A$143,'[1]2050Pop'!$C$7:$C$143)</f>
        <v>2710</v>
      </c>
      <c r="D2531" s="126" t="s">
        <v>516</v>
      </c>
      <c r="E2531" s="128">
        <v>17.177</v>
      </c>
      <c r="F2531" s="129">
        <f t="shared" si="119"/>
        <v>4.6549670000000001E-2</v>
      </c>
      <c r="G2531" t="str">
        <f>_xlfn.XLOOKUP(D2531,'[1]2050 BAU Mapping to T &amp; C'!$A$3:$A$52,'[1]2050 BAU Mapping to T &amp; C'!$B$3:$B$52)</f>
        <v>Starchy roots</v>
      </c>
      <c r="H2531" s="129">
        <f>_xlfn.XLOOKUP(G2531,'[1]T&amp;C emissions for 2050 analysis'!$B$3:$B$23,'[1]T&amp;C emissions for 2050 analysis'!$C$3:$C$23)</f>
        <v>0.10999999999999999</v>
      </c>
      <c r="I2531" s="27">
        <f t="shared" si="117"/>
        <v>5.1204636999999994E-3</v>
      </c>
      <c r="J2531" s="129">
        <f t="shared" si="118"/>
        <v>1.8894699999999998</v>
      </c>
    </row>
    <row r="2532" spans="1:10" hidden="1" x14ac:dyDescent="0.35">
      <c r="A2532" s="126" t="s">
        <v>416</v>
      </c>
      <c r="B2532" t="str">
        <f>_xlfn.XLOOKUP(A2532,'[1]2050Pop'!$A$7:$A$143,'[1]2050Pop'!$D$7:$D$143)</f>
        <v>APAC</v>
      </c>
      <c r="C2532" s="127">
        <f>1000*_xlfn.XLOOKUP(A2532,'[1]2050Pop'!$A$7:$A$143,'[1]2050Pop'!$C$7:$C$143)</f>
        <v>107411</v>
      </c>
      <c r="D2532" s="126" t="s">
        <v>516</v>
      </c>
      <c r="E2532" s="128">
        <v>2.286</v>
      </c>
      <c r="F2532" s="129">
        <f t="shared" si="119"/>
        <v>0.245541546</v>
      </c>
      <c r="G2532" t="str">
        <f>_xlfn.XLOOKUP(D2532,'[1]2050 BAU Mapping to T &amp; C'!$A$3:$A$52,'[1]2050 BAU Mapping to T &amp; C'!$B$3:$B$52)</f>
        <v>Starchy roots</v>
      </c>
      <c r="H2532" s="129">
        <f>_xlfn.XLOOKUP(G2532,'[1]T&amp;C emissions for 2050 analysis'!$B$3:$B$23,'[1]T&amp;C emissions for 2050 analysis'!$C$3:$C$23)</f>
        <v>0.10999999999999999</v>
      </c>
      <c r="I2532" s="27">
        <f t="shared" si="117"/>
        <v>2.7009570059999998E-2</v>
      </c>
      <c r="J2532" s="129">
        <f t="shared" si="118"/>
        <v>0.25145999999999996</v>
      </c>
    </row>
    <row r="2533" spans="1:10" hidden="1" x14ac:dyDescent="0.35">
      <c r="A2533" s="126" t="s">
        <v>419</v>
      </c>
      <c r="B2533" t="str">
        <f>_xlfn.XLOOKUP(A2533,'[1]2050Pop'!$A$7:$A$143,'[1]2050Pop'!$D$7:$D$143)</f>
        <v>SSA</v>
      </c>
      <c r="C2533" s="127">
        <f>1000*_xlfn.XLOOKUP(A2533,'[1]2050Pop'!$A$7:$A$143,'[1]2050Pop'!$C$7:$C$143)</f>
        <v>95505</v>
      </c>
      <c r="D2533" s="126" t="s">
        <v>516</v>
      </c>
      <c r="E2533" s="128">
        <v>0.69199999999999995</v>
      </c>
      <c r="F2533" s="129">
        <f t="shared" si="119"/>
        <v>6.6089459999999989E-2</v>
      </c>
      <c r="G2533" t="str">
        <f>_xlfn.XLOOKUP(D2533,'[1]2050 BAU Mapping to T &amp; C'!$A$3:$A$52,'[1]2050 BAU Mapping to T &amp; C'!$B$3:$B$52)</f>
        <v>Starchy roots</v>
      </c>
      <c r="H2533" s="129">
        <f>_xlfn.XLOOKUP(G2533,'[1]T&amp;C emissions for 2050 analysis'!$B$3:$B$23,'[1]T&amp;C emissions for 2050 analysis'!$C$3:$C$23)</f>
        <v>0.10999999999999999</v>
      </c>
      <c r="I2533" s="27">
        <f t="shared" si="117"/>
        <v>7.2698405999999981E-3</v>
      </c>
      <c r="J2533" s="129">
        <f t="shared" si="118"/>
        <v>7.6119999999999979E-2</v>
      </c>
    </row>
    <row r="2534" spans="1:10" hidden="1" x14ac:dyDescent="0.35">
      <c r="A2534" s="126" t="s">
        <v>423</v>
      </c>
      <c r="B2534" t="str">
        <f>_xlfn.XLOOKUP(A2534,'[1]2050Pop'!$A$7:$A$143,'[1]2050Pop'!$D$7:$D$143)</f>
        <v>MENA</v>
      </c>
      <c r="C2534" s="127">
        <f>1000*_xlfn.XLOOKUP(A2534,'[1]2050Pop'!$A$7:$A$143,'[1]2050Pop'!$C$7:$C$143)</f>
        <v>5610</v>
      </c>
      <c r="D2534" s="126" t="s">
        <v>516</v>
      </c>
      <c r="E2534" s="130">
        <v>0.53</v>
      </c>
      <c r="F2534" s="129">
        <f t="shared" si="119"/>
        <v>2.9733000000000003E-3</v>
      </c>
      <c r="G2534" t="str">
        <f>_xlfn.XLOOKUP(D2534,'[1]2050 BAU Mapping to T &amp; C'!$A$3:$A$52,'[1]2050 BAU Mapping to T &amp; C'!$B$3:$B$52)</f>
        <v>Starchy roots</v>
      </c>
      <c r="H2534" s="129">
        <f>_xlfn.XLOOKUP(G2534,'[1]T&amp;C emissions for 2050 analysis'!$B$3:$B$23,'[1]T&amp;C emissions for 2050 analysis'!$C$3:$C$23)</f>
        <v>0.10999999999999999</v>
      </c>
      <c r="I2534" s="27">
        <f t="shared" si="117"/>
        <v>3.27063E-4</v>
      </c>
      <c r="J2534" s="129">
        <f t="shared" si="118"/>
        <v>5.8299999999999998E-2</v>
      </c>
    </row>
    <row r="2535" spans="1:10" hidden="1" x14ac:dyDescent="0.35">
      <c r="A2535" s="126" t="s">
        <v>425</v>
      </c>
      <c r="B2535" t="str">
        <f>_xlfn.XLOOKUP(A2535,'[1]2050Pop'!$A$7:$A$143,'[1]2050Pop'!$D$7:$D$143)</f>
        <v>SSA</v>
      </c>
      <c r="C2535" s="127">
        <f>1000*_xlfn.XLOOKUP(A2535,'[1]2050Pop'!$A$7:$A$143,'[1]2050Pop'!$C$7:$C$143)</f>
        <v>9436</v>
      </c>
      <c r="D2535" s="126" t="s">
        <v>516</v>
      </c>
      <c r="E2535" s="128">
        <v>16.731000000000002</v>
      </c>
      <c r="F2535" s="129">
        <f t="shared" si="119"/>
        <v>0.15787371600000003</v>
      </c>
      <c r="G2535" t="str">
        <f>_xlfn.XLOOKUP(D2535,'[1]2050 BAU Mapping to T &amp; C'!$A$3:$A$52,'[1]2050 BAU Mapping to T &amp; C'!$B$3:$B$52)</f>
        <v>Starchy roots</v>
      </c>
      <c r="H2535" s="129">
        <f>_xlfn.XLOOKUP(G2535,'[1]T&amp;C emissions for 2050 analysis'!$B$3:$B$23,'[1]T&amp;C emissions for 2050 analysis'!$C$3:$C$23)</f>
        <v>0.10999999999999999</v>
      </c>
      <c r="I2535" s="27">
        <f t="shared" si="117"/>
        <v>1.7366108760000002E-2</v>
      </c>
      <c r="J2535" s="129">
        <f t="shared" si="118"/>
        <v>1.8404099999999999</v>
      </c>
    </row>
    <row r="2536" spans="1:10" hidden="1" x14ac:dyDescent="0.35">
      <c r="A2536" s="126" t="s">
        <v>427</v>
      </c>
      <c r="B2536" t="str">
        <f>_xlfn.XLOOKUP(A2536,'[1]2050Pop'!$A$7:$A$143,'[1]2050Pop'!$D$7:$D$143)</f>
        <v>SSA</v>
      </c>
      <c r="C2536" s="127">
        <f>1000*_xlfn.XLOOKUP(A2536,'[1]2050Pop'!$A$7:$A$143,'[1]2050Pop'!$C$7:$C$143)</f>
        <v>55294</v>
      </c>
      <c r="D2536" s="126" t="s">
        <v>516</v>
      </c>
      <c r="E2536" s="128">
        <v>14.678000000000001</v>
      </c>
      <c r="F2536" s="129">
        <f t="shared" si="119"/>
        <v>0.81160533200000007</v>
      </c>
      <c r="G2536" t="str">
        <f>_xlfn.XLOOKUP(D2536,'[1]2050 BAU Mapping to T &amp; C'!$A$3:$A$52,'[1]2050 BAU Mapping to T &amp; C'!$B$3:$B$52)</f>
        <v>Starchy roots</v>
      </c>
      <c r="H2536" s="129">
        <f>_xlfn.XLOOKUP(G2536,'[1]T&amp;C emissions for 2050 analysis'!$B$3:$B$23,'[1]T&amp;C emissions for 2050 analysis'!$C$3:$C$23)</f>
        <v>0.10999999999999999</v>
      </c>
      <c r="I2536" s="27">
        <f t="shared" si="117"/>
        <v>8.9276586519999993E-2</v>
      </c>
      <c r="J2536" s="129">
        <f t="shared" si="118"/>
        <v>1.6145799999999999</v>
      </c>
    </row>
    <row r="2537" spans="1:10" hidden="1" x14ac:dyDescent="0.35">
      <c r="A2537" s="126" t="s">
        <v>429</v>
      </c>
      <c r="B2537" t="str">
        <f>_xlfn.XLOOKUP(A2537,'[1]2050Pop'!$A$7:$A$143,'[1]2050Pop'!$D$7:$D$143)</f>
        <v>APAC</v>
      </c>
      <c r="C2537" s="127">
        <f>1000*_xlfn.XLOOKUP(A2537,'[1]2050Pop'!$A$7:$A$143,'[1]2050Pop'!$C$7:$C$143)</f>
        <v>40725</v>
      </c>
      <c r="D2537" s="126" t="s">
        <v>516</v>
      </c>
      <c r="E2537" s="128">
        <v>2.5870000000000002</v>
      </c>
      <c r="F2537" s="129">
        <f t="shared" si="119"/>
        <v>0.10535557500000001</v>
      </c>
      <c r="G2537" t="str">
        <f>_xlfn.XLOOKUP(D2537,'[1]2050 BAU Mapping to T &amp; C'!$A$3:$A$52,'[1]2050 BAU Mapping to T &amp; C'!$B$3:$B$52)</f>
        <v>Starchy roots</v>
      </c>
      <c r="H2537" s="129">
        <f>_xlfn.XLOOKUP(G2537,'[1]T&amp;C emissions for 2050 analysis'!$B$3:$B$23,'[1]T&amp;C emissions for 2050 analysis'!$C$3:$C$23)</f>
        <v>0.10999999999999999</v>
      </c>
      <c r="I2537" s="27">
        <f t="shared" si="117"/>
        <v>1.158911325E-2</v>
      </c>
      <c r="J2537" s="129">
        <f t="shared" si="118"/>
        <v>0.28456999999999999</v>
      </c>
    </row>
    <row r="2538" spans="1:10" hidden="1" x14ac:dyDescent="0.35">
      <c r="A2538" s="126" t="s">
        <v>430</v>
      </c>
      <c r="B2538" t="str">
        <f>_xlfn.XLOOKUP(A2538,'[1]2050Pop'!$A$7:$A$143,'[1]2050Pop'!$D$7:$D$143)</f>
        <v>SSA</v>
      </c>
      <c r="C2538" s="127">
        <f>1000*_xlfn.XLOOKUP(A2538,'[1]2050Pop'!$A$7:$A$143,'[1]2050Pop'!$C$7:$C$143)</f>
        <v>45404</v>
      </c>
      <c r="D2538" s="126" t="s">
        <v>516</v>
      </c>
      <c r="E2538" s="128">
        <v>2.669</v>
      </c>
      <c r="F2538" s="129">
        <f t="shared" si="119"/>
        <v>0.12118327599999999</v>
      </c>
      <c r="G2538" t="str">
        <f>_xlfn.XLOOKUP(D2538,'[1]2050 BAU Mapping to T &amp; C'!$A$3:$A$52,'[1]2050 BAU Mapping to T &amp; C'!$B$3:$B$52)</f>
        <v>Starchy roots</v>
      </c>
      <c r="H2538" s="129">
        <f>_xlfn.XLOOKUP(G2538,'[1]T&amp;C emissions for 2050 analysis'!$B$3:$B$23,'[1]T&amp;C emissions for 2050 analysis'!$C$3:$C$23)</f>
        <v>0.10999999999999999</v>
      </c>
      <c r="I2538" s="27">
        <f t="shared" si="117"/>
        <v>1.3330160359999997E-2</v>
      </c>
      <c r="J2538" s="129">
        <f t="shared" si="118"/>
        <v>0.29358999999999996</v>
      </c>
    </row>
    <row r="2539" spans="1:10" hidden="1" x14ac:dyDescent="0.35">
      <c r="A2539" s="126" t="s">
        <v>432</v>
      </c>
      <c r="B2539" t="str">
        <f>_xlfn.XLOOKUP(A2539,'[1]2050Pop'!$A$7:$A$143,'[1]2050Pop'!$D$7:$D$143)</f>
        <v>SSA</v>
      </c>
      <c r="C2539" s="127">
        <f>1000*_xlfn.XLOOKUP(A2539,'[1]2050Pop'!$A$7:$A$143,'[1]2050Pop'!$C$7:$C$143)</f>
        <v>1249</v>
      </c>
      <c r="D2539" s="126" t="s">
        <v>516</v>
      </c>
      <c r="E2539" s="128">
        <v>0.52700000000000002</v>
      </c>
      <c r="F2539" s="129">
        <f t="shared" si="119"/>
        <v>6.582230000000001E-4</v>
      </c>
      <c r="G2539" t="str">
        <f>_xlfn.XLOOKUP(D2539,'[1]2050 BAU Mapping to T &amp; C'!$A$3:$A$52,'[1]2050 BAU Mapping to T &amp; C'!$B$3:$B$52)</f>
        <v>Starchy roots</v>
      </c>
      <c r="H2539" s="129">
        <f>_xlfn.XLOOKUP(G2539,'[1]T&amp;C emissions for 2050 analysis'!$B$3:$B$23,'[1]T&amp;C emissions for 2050 analysis'!$C$3:$C$23)</f>
        <v>0.10999999999999999</v>
      </c>
      <c r="I2539" s="27">
        <f t="shared" si="117"/>
        <v>7.2404530000000003E-5</v>
      </c>
      <c r="J2539" s="129">
        <f t="shared" si="118"/>
        <v>5.7969999999999994E-2</v>
      </c>
    </row>
    <row r="2540" spans="1:10" hidden="1" x14ac:dyDescent="0.35">
      <c r="A2540" s="126" t="s">
        <v>433</v>
      </c>
      <c r="B2540" t="str">
        <f>_xlfn.XLOOKUP(A2540,'[1]2050Pop'!$A$7:$A$143,'[1]2050Pop'!$D$7:$D$143)</f>
        <v>LatAm &amp; RSA</v>
      </c>
      <c r="C2540" s="127">
        <f>1000*_xlfn.XLOOKUP(A2540,'[1]2050Pop'!$A$7:$A$143,'[1]2050Pop'!$C$7:$C$143)</f>
        <v>163754</v>
      </c>
      <c r="D2540" s="126" t="s">
        <v>516</v>
      </c>
      <c r="E2540" s="128">
        <v>1.7789999999999999</v>
      </c>
      <c r="F2540" s="129">
        <f t="shared" si="119"/>
        <v>0.291318366</v>
      </c>
      <c r="G2540" t="str">
        <f>_xlfn.XLOOKUP(D2540,'[1]2050 BAU Mapping to T &amp; C'!$A$3:$A$52,'[1]2050 BAU Mapping to T &amp; C'!$B$3:$B$52)</f>
        <v>Starchy roots</v>
      </c>
      <c r="H2540" s="129">
        <f>_xlfn.XLOOKUP(G2540,'[1]T&amp;C emissions for 2050 analysis'!$B$3:$B$23,'[1]T&amp;C emissions for 2050 analysis'!$C$3:$C$23)</f>
        <v>0.10999999999999999</v>
      </c>
      <c r="I2540" s="27">
        <f t="shared" si="117"/>
        <v>3.2045020259999994E-2</v>
      </c>
      <c r="J2540" s="129">
        <f t="shared" si="118"/>
        <v>0.19568999999999998</v>
      </c>
    </row>
    <row r="2541" spans="1:10" hidden="1" x14ac:dyDescent="0.35">
      <c r="A2541" s="126" t="s">
        <v>436</v>
      </c>
      <c r="B2541" t="str">
        <f>_xlfn.XLOOKUP(A2541,'[1]2050Pop'!$A$7:$A$143,'[1]2050Pop'!$D$7:$D$143)</f>
        <v>SSA</v>
      </c>
      <c r="C2541" s="127">
        <f>1000*_xlfn.XLOOKUP(A2541,'[1]2050Pop'!$A$7:$A$143,'[1]2050Pop'!$C$7:$C$143)</f>
        <v>65544</v>
      </c>
      <c r="D2541" s="126" t="s">
        <v>516</v>
      </c>
      <c r="E2541" s="128">
        <v>1.0489999999999999</v>
      </c>
      <c r="F2541" s="129">
        <f t="shared" si="119"/>
        <v>6.8755655999999998E-2</v>
      </c>
      <c r="G2541" t="str">
        <f>_xlfn.XLOOKUP(D2541,'[1]2050 BAU Mapping to T &amp; C'!$A$3:$A$52,'[1]2050 BAU Mapping to T &amp; C'!$B$3:$B$52)</f>
        <v>Starchy roots</v>
      </c>
      <c r="H2541" s="129">
        <f>_xlfn.XLOOKUP(G2541,'[1]T&amp;C emissions for 2050 analysis'!$B$3:$B$23,'[1]T&amp;C emissions for 2050 analysis'!$C$3:$C$23)</f>
        <v>0.10999999999999999</v>
      </c>
      <c r="I2541" s="27">
        <f t="shared" si="117"/>
        <v>7.5631221599999987E-3</v>
      </c>
      <c r="J2541" s="129">
        <f t="shared" si="118"/>
        <v>0.11538999999999998</v>
      </c>
    </row>
    <row r="2542" spans="1:10" hidden="1" x14ac:dyDescent="0.35">
      <c r="A2542" s="126" t="s">
        <v>437</v>
      </c>
      <c r="B2542" t="str">
        <f>_xlfn.XLOOKUP(A2542,'[1]2050Pop'!$A$7:$A$143,'[1]2050Pop'!$D$7:$D$143)</f>
        <v>SSA</v>
      </c>
      <c r="C2542" s="127">
        <f>1000*_xlfn.XLOOKUP(A2542,'[1]2050Pop'!$A$7:$A$143,'[1]2050Pop'!$C$7:$C$143)</f>
        <v>4322</v>
      </c>
      <c r="D2542" s="126" t="s">
        <v>516</v>
      </c>
      <c r="E2542" s="128">
        <v>278.56200000000001</v>
      </c>
      <c r="F2542" s="129">
        <f t="shared" si="119"/>
        <v>1.2039449640000002</v>
      </c>
      <c r="G2542" t="str">
        <f>_xlfn.XLOOKUP(D2542,'[1]2050 BAU Mapping to T &amp; C'!$A$3:$A$52,'[1]2050 BAU Mapping to T &amp; C'!$B$3:$B$52)</f>
        <v>Starchy roots</v>
      </c>
      <c r="H2542" s="129">
        <f>_xlfn.XLOOKUP(G2542,'[1]T&amp;C emissions for 2050 analysis'!$B$3:$B$23,'[1]T&amp;C emissions for 2050 analysis'!$C$3:$C$23)</f>
        <v>0.10999999999999999</v>
      </c>
      <c r="I2542" s="27">
        <f t="shared" si="117"/>
        <v>0.13243394604</v>
      </c>
      <c r="J2542" s="129">
        <f t="shared" si="118"/>
        <v>30.641819999999999</v>
      </c>
    </row>
    <row r="2543" spans="1:10" hidden="1" x14ac:dyDescent="0.35">
      <c r="A2543" s="126" t="s">
        <v>438</v>
      </c>
      <c r="B2543" t="str">
        <f>_xlfn.XLOOKUP(A2543,'[1]2050Pop'!$A$7:$A$143,'[1]2050Pop'!$D$7:$D$143)</f>
        <v>India/South Asia</v>
      </c>
      <c r="C2543" s="127">
        <f>1000*_xlfn.XLOOKUP(A2543,'[1]2050Pop'!$A$7:$A$143,'[1]2050Pop'!$C$7:$C$143)</f>
        <v>36159</v>
      </c>
      <c r="D2543" s="126" t="s">
        <v>516</v>
      </c>
      <c r="E2543" s="128">
        <v>6.4210000000000003</v>
      </c>
      <c r="F2543" s="129">
        <f t="shared" si="119"/>
        <v>0.23217693900000003</v>
      </c>
      <c r="G2543" t="str">
        <f>_xlfn.XLOOKUP(D2543,'[1]2050 BAU Mapping to T &amp; C'!$A$3:$A$52,'[1]2050 BAU Mapping to T &amp; C'!$B$3:$B$52)</f>
        <v>Starchy roots</v>
      </c>
      <c r="H2543" s="129">
        <f>_xlfn.XLOOKUP(G2543,'[1]T&amp;C emissions for 2050 analysis'!$B$3:$B$23,'[1]T&amp;C emissions for 2050 analysis'!$C$3:$C$23)</f>
        <v>0.10999999999999999</v>
      </c>
      <c r="I2543" s="27">
        <f t="shared" si="117"/>
        <v>2.5539463290000002E-2</v>
      </c>
      <c r="J2543" s="129">
        <f t="shared" si="118"/>
        <v>0.70630999999999999</v>
      </c>
    </row>
    <row r="2544" spans="1:10" hidden="1" x14ac:dyDescent="0.35">
      <c r="A2544" s="126" t="s">
        <v>440</v>
      </c>
      <c r="B2544" t="str">
        <f>_xlfn.XLOOKUP(A2544,'[1]2050Pop'!$A$7:$A$143,'[1]2050Pop'!$D$7:$D$143)</f>
        <v>Euro/AU/NZ</v>
      </c>
      <c r="C2544" s="127">
        <f>1000*_xlfn.XLOOKUP(A2544,'[1]2050Pop'!$A$7:$A$143,'[1]2050Pop'!$C$7:$C$143)</f>
        <v>5607</v>
      </c>
      <c r="D2544" s="126" t="s">
        <v>516</v>
      </c>
      <c r="E2544" s="128">
        <v>1.306</v>
      </c>
      <c r="F2544" s="129">
        <f t="shared" si="119"/>
        <v>7.3227420000000001E-3</v>
      </c>
      <c r="G2544" t="str">
        <f>_xlfn.XLOOKUP(D2544,'[1]2050 BAU Mapping to T &amp; C'!$A$3:$A$52,'[1]2050 BAU Mapping to T &amp; C'!$B$3:$B$52)</f>
        <v>Starchy roots</v>
      </c>
      <c r="H2544" s="129">
        <f>_xlfn.XLOOKUP(G2544,'[1]T&amp;C emissions for 2050 analysis'!$B$3:$B$23,'[1]T&amp;C emissions for 2050 analysis'!$C$3:$C$23)</f>
        <v>0.10999999999999999</v>
      </c>
      <c r="I2544" s="27">
        <f t="shared" si="117"/>
        <v>8.0550161999999993E-4</v>
      </c>
      <c r="J2544" s="129">
        <f t="shared" si="118"/>
        <v>0.14365999999999998</v>
      </c>
    </row>
    <row r="2545" spans="1:10" hidden="1" x14ac:dyDescent="0.35">
      <c r="A2545" s="126" t="s">
        <v>441</v>
      </c>
      <c r="B2545" t="str">
        <f>_xlfn.XLOOKUP(A2545,'[1]2050Pop'!$A$7:$A$143,'[1]2050Pop'!$D$7:$D$143)</f>
        <v>LatAm &amp; RSA</v>
      </c>
      <c r="C2545" s="127">
        <f>1000*_xlfn.XLOOKUP(A2545,'[1]2050Pop'!$A$7:$A$143,'[1]2050Pop'!$C$7:$C$143)</f>
        <v>7863</v>
      </c>
      <c r="D2545" s="126" t="s">
        <v>516</v>
      </c>
      <c r="E2545" s="128">
        <v>8.6189999999999998</v>
      </c>
      <c r="F2545" s="129">
        <f t="shared" si="119"/>
        <v>6.7771197000000005E-2</v>
      </c>
      <c r="G2545" t="str">
        <f>_xlfn.XLOOKUP(D2545,'[1]2050 BAU Mapping to T &amp; C'!$A$3:$A$52,'[1]2050 BAU Mapping to T &amp; C'!$B$3:$B$52)</f>
        <v>Starchy roots</v>
      </c>
      <c r="H2545" s="129">
        <f>_xlfn.XLOOKUP(G2545,'[1]T&amp;C emissions for 2050 analysis'!$B$3:$B$23,'[1]T&amp;C emissions for 2050 analysis'!$C$3:$C$23)</f>
        <v>0.10999999999999999</v>
      </c>
      <c r="I2545" s="27">
        <f t="shared" si="117"/>
        <v>7.4548316699999994E-3</v>
      </c>
      <c r="J2545" s="129">
        <f t="shared" si="118"/>
        <v>0.94808999999999988</v>
      </c>
    </row>
    <row r="2546" spans="1:10" hidden="1" x14ac:dyDescent="0.35">
      <c r="A2546" s="126" t="s">
        <v>482</v>
      </c>
      <c r="B2546" t="str">
        <f>_xlfn.XLOOKUP(A2546,'[1]2050Pop'!$A$7:$A$143,'[1]2050Pop'!$D$7:$D$143)</f>
        <v>SSA</v>
      </c>
      <c r="C2546" s="127">
        <f>1000*_xlfn.XLOOKUP(A2546,'[1]2050Pop'!$A$7:$A$143,'[1]2050Pop'!$C$7:$C$143)</f>
        <v>72238</v>
      </c>
      <c r="D2546" s="126" t="s">
        <v>516</v>
      </c>
      <c r="E2546" s="128">
        <v>0.93700000000000006</v>
      </c>
      <c r="F2546" s="129">
        <f t="shared" si="119"/>
        <v>6.7687006000000008E-2</v>
      </c>
      <c r="G2546" t="str">
        <f>_xlfn.XLOOKUP(D2546,'[1]2050 BAU Mapping to T &amp; C'!$A$3:$A$52,'[1]2050 BAU Mapping to T &amp; C'!$B$3:$B$52)</f>
        <v>Starchy roots</v>
      </c>
      <c r="H2546" s="129">
        <f>_xlfn.XLOOKUP(G2546,'[1]T&amp;C emissions for 2050 analysis'!$B$3:$B$23,'[1]T&amp;C emissions for 2050 analysis'!$C$3:$C$23)</f>
        <v>0.10999999999999999</v>
      </c>
      <c r="I2546" s="27">
        <f t="shared" si="117"/>
        <v>7.4455706600000003E-3</v>
      </c>
      <c r="J2546" s="129">
        <f t="shared" si="118"/>
        <v>0.10306999999999999</v>
      </c>
    </row>
    <row r="2547" spans="1:10" hidden="1" x14ac:dyDescent="0.35">
      <c r="A2547" s="126" t="s">
        <v>491</v>
      </c>
      <c r="B2547" t="str">
        <f>_xlfn.XLOOKUP(A2547,'[1]2050Pop'!$A$7:$A$143,'[1]2050Pop'!$D$7:$D$143)</f>
        <v>SSA</v>
      </c>
      <c r="C2547" s="127">
        <f>1000*_xlfn.XLOOKUP(A2547,'[1]2050Pop'!$A$7:$A$143,'[1]2050Pop'!$C$7:$C$143)</f>
        <v>398508</v>
      </c>
      <c r="D2547" s="126" t="s">
        <v>516</v>
      </c>
      <c r="E2547" s="130">
        <v>21.58</v>
      </c>
      <c r="F2547" s="129">
        <f t="shared" si="119"/>
        <v>8.5998026399999983</v>
      </c>
      <c r="G2547" t="str">
        <f>_xlfn.XLOOKUP(D2547,'[1]2050 BAU Mapping to T &amp; C'!$A$3:$A$52,'[1]2050 BAU Mapping to T &amp; C'!$B$3:$B$52)</f>
        <v>Starchy roots</v>
      </c>
      <c r="H2547" s="129">
        <f>_xlfn.XLOOKUP(G2547,'[1]T&amp;C emissions for 2050 analysis'!$B$3:$B$23,'[1]T&amp;C emissions for 2050 analysis'!$C$3:$C$23)</f>
        <v>0.10999999999999999</v>
      </c>
      <c r="I2547" s="27">
        <f t="shared" si="117"/>
        <v>0.9459782903999997</v>
      </c>
      <c r="J2547" s="129">
        <f t="shared" si="118"/>
        <v>2.3737999999999997</v>
      </c>
    </row>
    <row r="2548" spans="1:10" hidden="1" x14ac:dyDescent="0.35">
      <c r="A2548" s="126" t="s">
        <v>443</v>
      </c>
      <c r="B2548" t="str">
        <f>_xlfn.XLOOKUP(A2548,'[1]2050Pop'!$A$7:$A$143,'[1]2050Pop'!$D$7:$D$143)</f>
        <v>India/South Asia</v>
      </c>
      <c r="C2548" s="127">
        <f>1000*_xlfn.XLOOKUP(A2548,'[1]2050Pop'!$A$7:$A$143,'[1]2050Pop'!$C$7:$C$143)</f>
        <v>309640</v>
      </c>
      <c r="D2548" s="126" t="s">
        <v>516</v>
      </c>
      <c r="E2548" s="128">
        <v>3.863</v>
      </c>
      <c r="F2548" s="129">
        <f t="shared" si="119"/>
        <v>1.1961393200000001</v>
      </c>
      <c r="G2548" t="str">
        <f>_xlfn.XLOOKUP(D2548,'[1]2050 BAU Mapping to T &amp; C'!$A$3:$A$52,'[1]2050 BAU Mapping to T &amp; C'!$B$3:$B$52)</f>
        <v>Starchy roots</v>
      </c>
      <c r="H2548" s="129">
        <f>_xlfn.XLOOKUP(G2548,'[1]T&amp;C emissions for 2050 analysis'!$B$3:$B$23,'[1]T&amp;C emissions for 2050 analysis'!$C$3:$C$23)</f>
        <v>0.10999999999999999</v>
      </c>
      <c r="I2548" s="27">
        <f t="shared" si="117"/>
        <v>0.13157532520000001</v>
      </c>
      <c r="J2548" s="129">
        <f t="shared" si="118"/>
        <v>0.42492999999999997</v>
      </c>
    </row>
    <row r="2549" spans="1:10" hidden="1" x14ac:dyDescent="0.35">
      <c r="A2549" s="126" t="s">
        <v>444</v>
      </c>
      <c r="B2549" t="str">
        <f>_xlfn.XLOOKUP(A2549,'[1]2050Pop'!$A$7:$A$143,'[1]2050Pop'!$D$7:$D$143)</f>
        <v>LatAm &amp; RSA</v>
      </c>
      <c r="C2549" s="127">
        <f>1000*_xlfn.XLOOKUP(A2549,'[1]2050Pop'!$A$7:$A$143,'[1]2050Pop'!$C$7:$C$143)</f>
        <v>5599</v>
      </c>
      <c r="D2549" s="126" t="s">
        <v>516</v>
      </c>
      <c r="E2549" s="128">
        <v>2.3959999999999999</v>
      </c>
      <c r="F2549" s="129">
        <f t="shared" si="119"/>
        <v>1.3415204E-2</v>
      </c>
      <c r="G2549" t="str">
        <f>_xlfn.XLOOKUP(D2549,'[1]2050 BAU Mapping to T &amp; C'!$A$3:$A$52,'[1]2050 BAU Mapping to T &amp; C'!$B$3:$B$52)</f>
        <v>Starchy roots</v>
      </c>
      <c r="H2549" s="129">
        <f>_xlfn.XLOOKUP(G2549,'[1]T&amp;C emissions for 2050 analysis'!$B$3:$B$23,'[1]T&amp;C emissions for 2050 analysis'!$C$3:$C$23)</f>
        <v>0.10999999999999999</v>
      </c>
      <c r="I2549" s="27">
        <f t="shared" si="117"/>
        <v>1.4756724399999999E-3</v>
      </c>
      <c r="J2549" s="129">
        <f t="shared" si="118"/>
        <v>0.26355999999999996</v>
      </c>
    </row>
    <row r="2550" spans="1:10" hidden="1" x14ac:dyDescent="0.35">
      <c r="A2550" s="126" t="s">
        <v>446</v>
      </c>
      <c r="B2550" t="str">
        <f>_xlfn.XLOOKUP(A2550,'[1]2050Pop'!$A$7:$A$143,'[1]2050Pop'!$D$7:$D$143)</f>
        <v>LatAm &amp; RSA</v>
      </c>
      <c r="C2550" s="127">
        <f>1000*_xlfn.XLOOKUP(A2550,'[1]2050Pop'!$A$7:$A$143,'[1]2050Pop'!$C$7:$C$143)</f>
        <v>41899</v>
      </c>
      <c r="D2550" s="126" t="s">
        <v>516</v>
      </c>
      <c r="E2550" s="130">
        <v>9.14</v>
      </c>
      <c r="F2550" s="129">
        <f t="shared" si="119"/>
        <v>0.38295686000000007</v>
      </c>
      <c r="G2550" t="str">
        <f>_xlfn.XLOOKUP(D2550,'[1]2050 BAU Mapping to T &amp; C'!$A$3:$A$52,'[1]2050 BAU Mapping to T &amp; C'!$B$3:$B$52)</f>
        <v>Starchy roots</v>
      </c>
      <c r="H2550" s="129">
        <f>_xlfn.XLOOKUP(G2550,'[1]T&amp;C emissions for 2050 analysis'!$B$3:$B$23,'[1]T&amp;C emissions for 2050 analysis'!$C$3:$C$23)</f>
        <v>0.10999999999999999</v>
      </c>
      <c r="I2550" s="27">
        <f t="shared" si="117"/>
        <v>4.2125254600000002E-2</v>
      </c>
      <c r="J2550" s="129">
        <f t="shared" si="118"/>
        <v>1.0053999999999998</v>
      </c>
    </row>
    <row r="2551" spans="1:10" hidden="1" x14ac:dyDescent="0.35">
      <c r="A2551" s="126" t="s">
        <v>447</v>
      </c>
      <c r="B2551" t="str">
        <f>_xlfn.XLOOKUP(A2551,'[1]2050Pop'!$A$7:$A$143,'[1]2050Pop'!$D$7:$D$143)</f>
        <v>APAC</v>
      </c>
      <c r="C2551" s="127">
        <f>1000*_xlfn.XLOOKUP(A2551,'[1]2050Pop'!$A$7:$A$143,'[1]2050Pop'!$C$7:$C$143)</f>
        <v>148260</v>
      </c>
      <c r="D2551" s="126" t="s">
        <v>516</v>
      </c>
      <c r="E2551" s="128">
        <v>2.1640000000000001</v>
      </c>
      <c r="F2551" s="129">
        <f t="shared" si="119"/>
        <v>0.32083464</v>
      </c>
      <c r="G2551" t="str">
        <f>_xlfn.XLOOKUP(D2551,'[1]2050 BAU Mapping to T &amp; C'!$A$3:$A$52,'[1]2050 BAU Mapping to T &amp; C'!$B$3:$B$52)</f>
        <v>Starchy roots</v>
      </c>
      <c r="H2551" s="129">
        <f>_xlfn.XLOOKUP(G2551,'[1]T&amp;C emissions for 2050 analysis'!$B$3:$B$23,'[1]T&amp;C emissions for 2050 analysis'!$C$3:$C$23)</f>
        <v>0.10999999999999999</v>
      </c>
      <c r="I2551" s="27">
        <f t="shared" si="117"/>
        <v>3.5291810399999998E-2</v>
      </c>
      <c r="J2551" s="129">
        <f t="shared" si="118"/>
        <v>0.23803999999999997</v>
      </c>
    </row>
    <row r="2552" spans="1:10" hidden="1" x14ac:dyDescent="0.35">
      <c r="A2552" s="126" t="s">
        <v>450</v>
      </c>
      <c r="B2552" t="str">
        <f>_xlfn.XLOOKUP(A2552,'[1]2050Pop'!$A$7:$A$143,'[1]2050Pop'!$D$7:$D$143)</f>
        <v>APAC</v>
      </c>
      <c r="C2552" s="127">
        <f>1000*_xlfn.XLOOKUP(A2552,'[1]2050Pop'!$A$7:$A$143,'[1]2050Pop'!$C$7:$C$143)</f>
        <v>50593</v>
      </c>
      <c r="D2552" s="126" t="s">
        <v>516</v>
      </c>
      <c r="E2552" s="128">
        <v>0.999</v>
      </c>
      <c r="F2552" s="129">
        <f t="shared" si="119"/>
        <v>5.0542406999999998E-2</v>
      </c>
      <c r="G2552" t="str">
        <f>_xlfn.XLOOKUP(D2552,'[1]2050 BAU Mapping to T &amp; C'!$A$3:$A$52,'[1]2050 BAU Mapping to T &amp; C'!$B$3:$B$52)</f>
        <v>Starchy roots</v>
      </c>
      <c r="H2552" s="129">
        <f>_xlfn.XLOOKUP(G2552,'[1]T&amp;C emissions for 2050 analysis'!$B$3:$B$23,'[1]T&amp;C emissions for 2050 analysis'!$C$3:$C$23)</f>
        <v>0.10999999999999999</v>
      </c>
      <c r="I2552" s="27">
        <f t="shared" si="117"/>
        <v>5.5596647699999993E-3</v>
      </c>
      <c r="J2552" s="129">
        <f t="shared" si="118"/>
        <v>0.10988999999999999</v>
      </c>
    </row>
    <row r="2553" spans="1:10" hidden="1" x14ac:dyDescent="0.35">
      <c r="A2553" s="126" t="s">
        <v>452</v>
      </c>
      <c r="B2553" t="str">
        <f>_xlfn.XLOOKUP(A2553,'[1]2050Pop'!$A$7:$A$143,'[1]2050Pop'!$D$7:$D$143)</f>
        <v>SSA</v>
      </c>
      <c r="C2553" s="127">
        <f>1000*_xlfn.XLOOKUP(A2553,'[1]2050Pop'!$A$7:$A$143,'[1]2050Pop'!$C$7:$C$143)</f>
        <v>10732</v>
      </c>
      <c r="D2553" s="126" t="s">
        <v>516</v>
      </c>
      <c r="E2553" s="128">
        <v>32.677</v>
      </c>
      <c r="F2553" s="129">
        <f t="shared" si="119"/>
        <v>0.35068956400000001</v>
      </c>
      <c r="G2553" t="str">
        <f>_xlfn.XLOOKUP(D2553,'[1]2050 BAU Mapping to T &amp; C'!$A$3:$A$52,'[1]2050 BAU Mapping to T &amp; C'!$B$3:$B$52)</f>
        <v>Starchy roots</v>
      </c>
      <c r="H2553" s="129">
        <f>_xlfn.XLOOKUP(G2553,'[1]T&amp;C emissions for 2050 analysis'!$B$3:$B$23,'[1]T&amp;C emissions for 2050 analysis'!$C$3:$C$23)</f>
        <v>0.10999999999999999</v>
      </c>
      <c r="I2553" s="27">
        <f t="shared" si="117"/>
        <v>3.8575852039999997E-2</v>
      </c>
      <c r="J2553" s="129">
        <f t="shared" si="118"/>
        <v>3.5944699999999994</v>
      </c>
    </row>
    <row r="2554" spans="1:10" hidden="1" x14ac:dyDescent="0.35">
      <c r="A2554" s="126" t="s">
        <v>455</v>
      </c>
      <c r="B2554" t="str">
        <f>_xlfn.XLOOKUP(A2554,'[1]2050Pop'!$A$7:$A$143,'[1]2050Pop'!$D$7:$D$143)</f>
        <v>SSA</v>
      </c>
      <c r="C2554" s="127">
        <f>1000*_xlfn.XLOOKUP(A2554,'[1]2050Pop'!$A$7:$A$143,'[1]2050Pop'!$C$7:$C$143)</f>
        <v>21187</v>
      </c>
      <c r="D2554" s="126" t="s">
        <v>516</v>
      </c>
      <c r="E2554" s="128">
        <v>22.376999999999999</v>
      </c>
      <c r="F2554" s="129">
        <f t="shared" si="119"/>
        <v>0.47410149899999993</v>
      </c>
      <c r="G2554" t="str">
        <f>_xlfn.XLOOKUP(D2554,'[1]2050 BAU Mapping to T &amp; C'!$A$3:$A$52,'[1]2050 BAU Mapping to T &amp; C'!$B$3:$B$52)</f>
        <v>Starchy roots</v>
      </c>
      <c r="H2554" s="129">
        <f>_xlfn.XLOOKUP(G2554,'[1]T&amp;C emissions for 2050 analysis'!$B$3:$B$23,'[1]T&amp;C emissions for 2050 analysis'!$C$3:$C$23)</f>
        <v>0.10999999999999999</v>
      </c>
      <c r="I2554" s="27">
        <f t="shared" si="117"/>
        <v>5.2151164889999983E-2</v>
      </c>
      <c r="J2554" s="129">
        <f t="shared" si="118"/>
        <v>2.4614699999999994</v>
      </c>
    </row>
    <row r="2555" spans="1:10" hidden="1" x14ac:dyDescent="0.35">
      <c r="A2555" s="126" t="s">
        <v>492</v>
      </c>
      <c r="B2555" t="str">
        <f>_xlfn.XLOOKUP(A2555,'[1]2050Pop'!$A$7:$A$143,'[1]2050Pop'!$D$7:$D$143)</f>
        <v>SSA</v>
      </c>
      <c r="C2555" s="127">
        <f>1000*_xlfn.XLOOKUP(A2555,'[1]2050Pop'!$A$7:$A$143,'[1]2050Pop'!$C$7:$C$143)</f>
        <v>11392</v>
      </c>
      <c r="D2555" s="126" t="s">
        <v>516</v>
      </c>
      <c r="E2555" s="128">
        <v>1.1779999999999999</v>
      </c>
      <c r="F2555" s="129">
        <f t="shared" si="119"/>
        <v>1.3419776E-2</v>
      </c>
      <c r="G2555" t="str">
        <f>_xlfn.XLOOKUP(D2555,'[1]2050 BAU Mapping to T &amp; C'!$A$3:$A$52,'[1]2050 BAU Mapping to T &amp; C'!$B$3:$B$52)</f>
        <v>Starchy roots</v>
      </c>
      <c r="H2555" s="129">
        <f>_xlfn.XLOOKUP(G2555,'[1]T&amp;C emissions for 2050 analysis'!$B$3:$B$23,'[1]T&amp;C emissions for 2050 analysis'!$C$3:$C$23)</f>
        <v>0.10999999999999999</v>
      </c>
      <c r="I2555" s="27">
        <f t="shared" si="117"/>
        <v>1.4761753599999998E-3</v>
      </c>
      <c r="J2555" s="129">
        <f t="shared" si="118"/>
        <v>0.12957999999999997</v>
      </c>
    </row>
    <row r="2556" spans="1:10" hidden="1" x14ac:dyDescent="0.35">
      <c r="A2556" s="126" t="s">
        <v>462</v>
      </c>
      <c r="B2556" t="str">
        <f>_xlfn.XLOOKUP(A2556,'[1]2050Pop'!$A$7:$A$143,'[1]2050Pop'!$D$7:$D$143)</f>
        <v>LatAm &amp; RSA</v>
      </c>
      <c r="C2556" s="127">
        <f>1000*_xlfn.XLOOKUP(A2556,'[1]2050Pop'!$A$7:$A$143,'[1]2050Pop'!$C$7:$C$143)</f>
        <v>624</v>
      </c>
      <c r="D2556" s="126" t="s">
        <v>516</v>
      </c>
      <c r="E2556" s="128">
        <v>2.923</v>
      </c>
      <c r="F2556" s="129">
        <f t="shared" si="119"/>
        <v>1.823952E-3</v>
      </c>
      <c r="G2556" t="str">
        <f>_xlfn.XLOOKUP(D2556,'[1]2050 BAU Mapping to T &amp; C'!$A$3:$A$52,'[1]2050 BAU Mapping to T &amp; C'!$B$3:$B$52)</f>
        <v>Starchy roots</v>
      </c>
      <c r="H2556" s="129">
        <f>_xlfn.XLOOKUP(G2556,'[1]T&amp;C emissions for 2050 analysis'!$B$3:$B$23,'[1]T&amp;C emissions for 2050 analysis'!$C$3:$C$23)</f>
        <v>0.10999999999999999</v>
      </c>
      <c r="I2556" s="27">
        <f t="shared" si="117"/>
        <v>2.0063471999999999E-4</v>
      </c>
      <c r="J2556" s="129">
        <f t="shared" si="118"/>
        <v>0.32152999999999998</v>
      </c>
    </row>
    <row r="2557" spans="1:10" hidden="1" x14ac:dyDescent="0.35">
      <c r="A2557" s="126" t="s">
        <v>463</v>
      </c>
      <c r="B2557" t="str">
        <f>_xlfn.XLOOKUP(A2557,'[1]2050Pop'!$A$7:$A$143,'[1]2050Pop'!$D$7:$D$143)</f>
        <v>SSA</v>
      </c>
      <c r="C2557" s="127">
        <f>1000*_xlfn.XLOOKUP(A2557,'[1]2050Pop'!$A$7:$A$143,'[1]2050Pop'!$C$7:$C$143)</f>
        <v>1792</v>
      </c>
      <c r="D2557" s="126" t="s">
        <v>516</v>
      </c>
      <c r="E2557" s="128">
        <v>95.840999999999994</v>
      </c>
      <c r="F2557" s="129">
        <f t="shared" si="119"/>
        <v>0.17174707199999997</v>
      </c>
      <c r="G2557" t="str">
        <f>_xlfn.XLOOKUP(D2557,'[1]2050 BAU Mapping to T &amp; C'!$A$3:$A$52,'[1]2050 BAU Mapping to T &amp; C'!$B$3:$B$52)</f>
        <v>Starchy roots</v>
      </c>
      <c r="H2557" s="129">
        <f>_xlfn.XLOOKUP(G2557,'[1]T&amp;C emissions for 2050 analysis'!$B$3:$B$23,'[1]T&amp;C emissions for 2050 analysis'!$C$3:$C$23)</f>
        <v>0.10999999999999999</v>
      </c>
      <c r="I2557" s="27">
        <f t="shared" si="117"/>
        <v>1.8892177919999996E-2</v>
      </c>
      <c r="J2557" s="129">
        <f t="shared" si="118"/>
        <v>10.542509999999998</v>
      </c>
    </row>
    <row r="2558" spans="1:10" hidden="1" x14ac:dyDescent="0.35">
      <c r="A2558" s="126" t="s">
        <v>465</v>
      </c>
      <c r="B2558" t="str">
        <f>_xlfn.XLOOKUP(A2558,'[1]2050Pop'!$A$7:$A$143,'[1]2050Pop'!$D$7:$D$143)</f>
        <v>APAC</v>
      </c>
      <c r="C2558" s="127">
        <f>1000*_xlfn.XLOOKUP(A2558,'[1]2050Pop'!$A$7:$A$143,'[1]2050Pop'!$C$7:$C$143)</f>
        <v>62452</v>
      </c>
      <c r="D2558" s="126" t="s">
        <v>516</v>
      </c>
      <c r="E2558" s="128">
        <v>13.827999999999999</v>
      </c>
      <c r="F2558" s="129">
        <f t="shared" si="119"/>
        <v>0.86358625599999994</v>
      </c>
      <c r="G2558" t="str">
        <f>_xlfn.XLOOKUP(D2558,'[1]2050 BAU Mapping to T &amp; C'!$A$3:$A$52,'[1]2050 BAU Mapping to T &amp; C'!$B$3:$B$52)</f>
        <v>Starchy roots</v>
      </c>
      <c r="H2558" s="129">
        <f>_xlfn.XLOOKUP(G2558,'[1]T&amp;C emissions for 2050 analysis'!$B$3:$B$23,'[1]T&amp;C emissions for 2050 analysis'!$C$3:$C$23)</f>
        <v>0.10999999999999999</v>
      </c>
      <c r="I2558" s="27">
        <f t="shared" si="117"/>
        <v>9.4994488159999987E-2</v>
      </c>
      <c r="J2558" s="129">
        <f t="shared" si="118"/>
        <v>1.5210799999999998</v>
      </c>
    </row>
    <row r="2559" spans="1:10" hidden="1" x14ac:dyDescent="0.35">
      <c r="A2559" s="126" t="s">
        <v>466</v>
      </c>
      <c r="B2559" t="str">
        <f>_xlfn.XLOOKUP(A2559,'[1]2050Pop'!$A$7:$A$143,'[1]2050Pop'!$D$7:$D$143)</f>
        <v>SSA</v>
      </c>
      <c r="C2559" s="127">
        <f>1000*_xlfn.XLOOKUP(A2559,'[1]2050Pop'!$A$7:$A$143,'[1]2050Pop'!$C$7:$C$143)</f>
        <v>15681</v>
      </c>
      <c r="D2559" s="126" t="s">
        <v>516</v>
      </c>
      <c r="E2559" s="130">
        <v>6.11</v>
      </c>
      <c r="F2559" s="129">
        <f t="shared" si="119"/>
        <v>9.5810909999999999E-2</v>
      </c>
      <c r="G2559" t="str">
        <f>_xlfn.XLOOKUP(D2559,'[1]2050 BAU Mapping to T &amp; C'!$A$3:$A$52,'[1]2050 BAU Mapping to T &amp; C'!$B$3:$B$52)</f>
        <v>Starchy roots</v>
      </c>
      <c r="H2559" s="129">
        <f>_xlfn.XLOOKUP(G2559,'[1]T&amp;C emissions for 2050 analysis'!$B$3:$B$23,'[1]T&amp;C emissions for 2050 analysis'!$C$3:$C$23)</f>
        <v>0.10999999999999999</v>
      </c>
      <c r="I2559" s="27">
        <f t="shared" si="117"/>
        <v>1.0539200099999998E-2</v>
      </c>
      <c r="J2559" s="129">
        <f t="shared" si="118"/>
        <v>0.67209999999999992</v>
      </c>
    </row>
    <row r="2560" spans="1:10" hidden="1" x14ac:dyDescent="0.35">
      <c r="A2560" s="126" t="s">
        <v>467</v>
      </c>
      <c r="B2560" t="str">
        <f>_xlfn.XLOOKUP(A2560,'[1]2050Pop'!$A$7:$A$143,'[1]2050Pop'!$D$7:$D$143)</f>
        <v>LatAm &amp; RSA</v>
      </c>
      <c r="C2560" s="127">
        <f>1000*_xlfn.XLOOKUP(A2560,'[1]2050Pop'!$A$7:$A$143,'[1]2050Pop'!$C$7:$C$143)</f>
        <v>1291</v>
      </c>
      <c r="D2560" s="126" t="s">
        <v>516</v>
      </c>
      <c r="E2560" s="128">
        <v>10.506</v>
      </c>
      <c r="F2560" s="129">
        <f t="shared" si="119"/>
        <v>1.3563246000000001E-2</v>
      </c>
      <c r="G2560" t="str">
        <f>_xlfn.XLOOKUP(D2560,'[1]2050 BAU Mapping to T &amp; C'!$A$3:$A$52,'[1]2050 BAU Mapping to T &amp; C'!$B$3:$B$52)</f>
        <v>Starchy roots</v>
      </c>
      <c r="H2560" s="129">
        <f>_xlfn.XLOOKUP(G2560,'[1]T&amp;C emissions for 2050 analysis'!$B$3:$B$23,'[1]T&amp;C emissions for 2050 analysis'!$C$3:$C$23)</f>
        <v>0.10999999999999999</v>
      </c>
      <c r="I2560" s="27">
        <f t="shared" si="117"/>
        <v>1.4919570599999999E-3</v>
      </c>
      <c r="J2560" s="129">
        <f t="shared" si="118"/>
        <v>1.1556599999999999</v>
      </c>
    </row>
    <row r="2561" spans="1:10" hidden="1" x14ac:dyDescent="0.35">
      <c r="A2561" s="126" t="s">
        <v>474</v>
      </c>
      <c r="B2561" t="str">
        <f>_xlfn.XLOOKUP(A2561,'[1]2050Pop'!$A$7:$A$143,'[1]2050Pop'!$D$7:$D$143)</f>
        <v>NAm</v>
      </c>
      <c r="C2561" s="127">
        <f>1000*_xlfn.XLOOKUP(A2561,'[1]2050Pop'!$A$7:$A$143,'[1]2050Pop'!$C$7:$C$143)</f>
        <v>388865</v>
      </c>
      <c r="D2561" s="126" t="s">
        <v>516</v>
      </c>
      <c r="E2561" s="128">
        <v>0.80900000000000005</v>
      </c>
      <c r="F2561" s="129">
        <f t="shared" si="119"/>
        <v>0.31459178500000001</v>
      </c>
      <c r="G2561" t="str">
        <f>_xlfn.XLOOKUP(D2561,'[1]2050 BAU Mapping to T &amp; C'!$A$3:$A$52,'[1]2050 BAU Mapping to T &amp; C'!$B$3:$B$52)</f>
        <v>Starchy roots</v>
      </c>
      <c r="H2561" s="129">
        <f>_xlfn.XLOOKUP(G2561,'[1]T&amp;C emissions for 2050 analysis'!$B$3:$B$23,'[1]T&amp;C emissions for 2050 analysis'!$C$3:$C$23)</f>
        <v>0.10999999999999999</v>
      </c>
      <c r="I2561" s="27">
        <f t="shared" si="117"/>
        <v>3.4605096349999996E-2</v>
      </c>
      <c r="J2561" s="129">
        <f t="shared" si="118"/>
        <v>8.899E-2</v>
      </c>
    </row>
    <row r="2562" spans="1:10" hidden="1" x14ac:dyDescent="0.35">
      <c r="A2562" s="126" t="s">
        <v>475</v>
      </c>
      <c r="B2562" t="str">
        <f>_xlfn.XLOOKUP(A2562,'[1]2050Pop'!$A$7:$A$143,'[1]2050Pop'!$D$7:$D$143)</f>
        <v>LatAm &amp; RSA</v>
      </c>
      <c r="C2562" s="127">
        <f>1000*_xlfn.XLOOKUP(A2562,'[1]2050Pop'!$A$7:$A$143,'[1]2050Pop'!$C$7:$C$143)</f>
        <v>3667</v>
      </c>
      <c r="D2562" s="126" t="s">
        <v>516</v>
      </c>
      <c r="E2562" s="128">
        <v>0.64100000000000001</v>
      </c>
      <c r="F2562" s="129">
        <f t="shared" si="119"/>
        <v>2.3505470000000001E-3</v>
      </c>
      <c r="G2562" t="str">
        <f>_xlfn.XLOOKUP(D2562,'[1]2050 BAU Mapping to T &amp; C'!$A$3:$A$52,'[1]2050 BAU Mapping to T &amp; C'!$B$3:$B$52)</f>
        <v>Starchy roots</v>
      </c>
      <c r="H2562" s="129">
        <f>_xlfn.XLOOKUP(G2562,'[1]T&amp;C emissions for 2050 analysis'!$B$3:$B$23,'[1]T&amp;C emissions for 2050 analysis'!$C$3:$C$23)</f>
        <v>0.10999999999999999</v>
      </c>
      <c r="I2562" s="27">
        <f t="shared" si="117"/>
        <v>2.5856016999999999E-4</v>
      </c>
      <c r="J2562" s="129">
        <f t="shared" si="118"/>
        <v>7.0509999999999989E-2</v>
      </c>
    </row>
    <row r="2563" spans="1:10" hidden="1" x14ac:dyDescent="0.35">
      <c r="A2563" s="126" t="s">
        <v>476</v>
      </c>
      <c r="B2563" t="str">
        <f>_xlfn.XLOOKUP(A2563,'[1]2050Pop'!$A$7:$A$143,'[1]2050Pop'!$D$7:$D$143)</f>
        <v>LatAm &amp; RSA</v>
      </c>
      <c r="C2563" s="127">
        <f>1000*_xlfn.XLOOKUP(A2563,'[1]2050Pop'!$A$7:$A$143,'[1]2050Pop'!$C$7:$C$143)</f>
        <v>41562</v>
      </c>
      <c r="D2563" s="126" t="s">
        <v>516</v>
      </c>
      <c r="E2563" s="128">
        <v>11.336</v>
      </c>
      <c r="F2563" s="129">
        <f t="shared" si="119"/>
        <v>0.47114683200000002</v>
      </c>
      <c r="G2563" t="str">
        <f>_xlfn.XLOOKUP(D2563,'[1]2050 BAU Mapping to T &amp; C'!$A$3:$A$52,'[1]2050 BAU Mapping to T &amp; C'!$B$3:$B$52)</f>
        <v>Starchy roots</v>
      </c>
      <c r="H2563" s="129">
        <f>_xlfn.XLOOKUP(G2563,'[1]T&amp;C emissions for 2050 analysis'!$B$3:$B$23,'[1]T&amp;C emissions for 2050 analysis'!$C$3:$C$23)</f>
        <v>0.10999999999999999</v>
      </c>
      <c r="I2563" s="27">
        <f t="shared" si="117"/>
        <v>5.1826151519999995E-2</v>
      </c>
      <c r="J2563" s="129">
        <f t="shared" si="118"/>
        <v>1.2469599999999998</v>
      </c>
    </row>
    <row r="2564" spans="1:10" hidden="1" x14ac:dyDescent="0.35">
      <c r="A2564" s="126" t="s">
        <v>355</v>
      </c>
      <c r="B2564" t="str">
        <f>_xlfn.XLOOKUP(A2564,'[1]2050Pop'!$A$7:$A$143,'[1]2050Pop'!$D$7:$D$143)</f>
        <v>India/South Asia</v>
      </c>
      <c r="C2564" s="127">
        <f>1000*_xlfn.XLOOKUP(A2564,'[1]2050Pop'!$A$7:$A$143,'[1]2050Pop'!$C$7:$C$143)</f>
        <v>55955</v>
      </c>
      <c r="D2564" s="126" t="s">
        <v>517</v>
      </c>
      <c r="E2564" s="130">
        <v>21.72</v>
      </c>
      <c r="F2564" s="129">
        <f t="shared" si="119"/>
        <v>1.2153425999999998</v>
      </c>
      <c r="G2564" t="str">
        <f>_xlfn.XLOOKUP(D2564,'[1]2050 BAU Mapping to T &amp; C'!$A$3:$A$52,'[1]2050 BAU Mapping to T &amp; C'!$B$3:$B$52)</f>
        <v>Other veg</v>
      </c>
      <c r="H2564" s="129">
        <f>_xlfn.XLOOKUP(G2564,'[1]T&amp;C emissions for 2050 analysis'!$B$3:$B$23,'[1]T&amp;C emissions for 2050 analysis'!$C$3:$C$23)</f>
        <v>0.26766666666666666</v>
      </c>
      <c r="I2564" s="27">
        <f t="shared" ref="I2564:I2627" si="120">F2564*H2564</f>
        <v>0.32530670259999994</v>
      </c>
      <c r="J2564" s="129">
        <f t="shared" ref="J2564:J2627" si="121">E2564*H2564</f>
        <v>5.81372</v>
      </c>
    </row>
    <row r="2565" spans="1:10" hidden="1" x14ac:dyDescent="0.35">
      <c r="A2565" s="126" t="s">
        <v>357</v>
      </c>
      <c r="B2565" t="str">
        <f>_xlfn.XLOOKUP(A2565,'[1]2050Pop'!$A$7:$A$143,'[1]2050Pop'!$D$7:$D$143)</f>
        <v>Euro/AU/NZ</v>
      </c>
      <c r="C2565" s="127">
        <f>1000*_xlfn.XLOOKUP(A2565,'[1]2050Pop'!$A$7:$A$143,'[1]2050Pop'!$C$7:$C$143)</f>
        <v>2710</v>
      </c>
      <c r="D2565" s="126" t="s">
        <v>517</v>
      </c>
      <c r="E2565" s="128">
        <v>184.47200000000001</v>
      </c>
      <c r="F2565" s="129">
        <f t="shared" ref="F2565:F2628" si="122">C2565*E2565/1000000</f>
        <v>0.49991911999999999</v>
      </c>
      <c r="G2565" t="str">
        <f>_xlfn.XLOOKUP(D2565,'[1]2050 BAU Mapping to T &amp; C'!$A$3:$A$52,'[1]2050 BAU Mapping to T &amp; C'!$B$3:$B$52)</f>
        <v>Other veg</v>
      </c>
      <c r="H2565" s="129">
        <f>_xlfn.XLOOKUP(G2565,'[1]T&amp;C emissions for 2050 analysis'!$B$3:$B$23,'[1]T&amp;C emissions for 2050 analysis'!$C$3:$C$23)</f>
        <v>0.26766666666666666</v>
      </c>
      <c r="I2565" s="27">
        <f t="shared" si="120"/>
        <v>0.13381168445333333</v>
      </c>
      <c r="J2565" s="129">
        <f t="shared" si="121"/>
        <v>49.377005333333337</v>
      </c>
    </row>
    <row r="2566" spans="1:10" hidden="1" x14ac:dyDescent="0.35">
      <c r="A2566" s="126" t="s">
        <v>358</v>
      </c>
      <c r="B2566" t="str">
        <f>_xlfn.XLOOKUP(A2566,'[1]2050Pop'!$A$7:$A$143,'[1]2050Pop'!$D$7:$D$143)</f>
        <v>MENA</v>
      </c>
      <c r="C2566" s="127">
        <f>1000*_xlfn.XLOOKUP(A2566,'[1]2050Pop'!$A$7:$A$143,'[1]2050Pop'!$C$7:$C$143)</f>
        <v>56461</v>
      </c>
      <c r="D2566" s="126" t="s">
        <v>517</v>
      </c>
      <c r="E2566" s="128">
        <v>128.62700000000001</v>
      </c>
      <c r="F2566" s="129">
        <f t="shared" si="122"/>
        <v>7.2624090470000002</v>
      </c>
      <c r="G2566" t="str">
        <f>_xlfn.XLOOKUP(D2566,'[1]2050 BAU Mapping to T &amp; C'!$A$3:$A$52,'[1]2050 BAU Mapping to T &amp; C'!$B$3:$B$52)</f>
        <v>Other veg</v>
      </c>
      <c r="H2566" s="129">
        <f>_xlfn.XLOOKUP(G2566,'[1]T&amp;C emissions for 2050 analysis'!$B$3:$B$23,'[1]T&amp;C emissions for 2050 analysis'!$C$3:$C$23)</f>
        <v>0.26766666666666666</v>
      </c>
      <c r="I2566" s="27">
        <f t="shared" si="120"/>
        <v>1.9439048215803334</v>
      </c>
      <c r="J2566" s="129">
        <f t="shared" si="121"/>
        <v>34.429160333333336</v>
      </c>
    </row>
    <row r="2567" spans="1:10" hidden="1" x14ac:dyDescent="0.35">
      <c r="A2567" s="126" t="s">
        <v>359</v>
      </c>
      <c r="B2567" t="str">
        <f>_xlfn.XLOOKUP(A2567,'[1]2050Pop'!$A$7:$A$143,'[1]2050Pop'!$D$7:$D$143)</f>
        <v>SSA</v>
      </c>
      <c r="C2567" s="127">
        <f>1000*_xlfn.XLOOKUP(A2567,'[1]2050Pop'!$A$7:$A$143,'[1]2050Pop'!$C$7:$C$143)</f>
        <v>65473</v>
      </c>
      <c r="D2567" s="126" t="s">
        <v>517</v>
      </c>
      <c r="E2567" s="128">
        <v>37.040999999999997</v>
      </c>
      <c r="F2567" s="129">
        <f t="shared" si="122"/>
        <v>2.4251853929999996</v>
      </c>
      <c r="G2567" t="str">
        <f>_xlfn.XLOOKUP(D2567,'[1]2050 BAU Mapping to T &amp; C'!$A$3:$A$52,'[1]2050 BAU Mapping to T &amp; C'!$B$3:$B$52)</f>
        <v>Other veg</v>
      </c>
      <c r="H2567" s="129">
        <f>_xlfn.XLOOKUP(G2567,'[1]T&amp;C emissions for 2050 analysis'!$B$3:$B$23,'[1]T&amp;C emissions for 2050 analysis'!$C$3:$C$23)</f>
        <v>0.26766666666666666</v>
      </c>
      <c r="I2567" s="27">
        <f t="shared" si="120"/>
        <v>0.64914129019299993</v>
      </c>
      <c r="J2567" s="129">
        <f t="shared" si="121"/>
        <v>9.9146409999999996</v>
      </c>
    </row>
    <row r="2568" spans="1:10" hidden="1" x14ac:dyDescent="0.35">
      <c r="A2568" s="126" t="s">
        <v>360</v>
      </c>
      <c r="B2568" t="str">
        <f>_xlfn.XLOOKUP(A2568,'[1]2050Pop'!$A$7:$A$143,'[1]2050Pop'!$D$7:$D$143)</f>
        <v>LatAm &amp; RSA</v>
      </c>
      <c r="C2568" s="127">
        <f>1000*_xlfn.XLOOKUP(A2568,'[1]2050Pop'!$A$7:$A$143,'[1]2050Pop'!$C$7:$C$143)</f>
        <v>55445</v>
      </c>
      <c r="D2568" s="126" t="s">
        <v>517</v>
      </c>
      <c r="E2568" s="128">
        <v>63.453000000000003</v>
      </c>
      <c r="F2568" s="129">
        <f t="shared" si="122"/>
        <v>3.518151585</v>
      </c>
      <c r="G2568" t="str">
        <f>_xlfn.XLOOKUP(D2568,'[1]2050 BAU Mapping to T &amp; C'!$A$3:$A$52,'[1]2050 BAU Mapping to T &amp; C'!$B$3:$B$52)</f>
        <v>Other veg</v>
      </c>
      <c r="H2568" s="129">
        <f>_xlfn.XLOOKUP(G2568,'[1]T&amp;C emissions for 2050 analysis'!$B$3:$B$23,'[1]T&amp;C emissions for 2050 analysis'!$C$3:$C$23)</f>
        <v>0.26766666666666666</v>
      </c>
      <c r="I2568" s="27">
        <f t="shared" si="120"/>
        <v>0.94169190758499999</v>
      </c>
      <c r="J2568" s="129">
        <f t="shared" si="121"/>
        <v>16.984252999999999</v>
      </c>
    </row>
    <row r="2569" spans="1:10" hidden="1" x14ac:dyDescent="0.35">
      <c r="A2569" s="126" t="s">
        <v>361</v>
      </c>
      <c r="B2569" t="str">
        <f>_xlfn.XLOOKUP(A2569,'[1]2050Pop'!$A$7:$A$143,'[1]2050Pop'!$D$7:$D$143)</f>
        <v>MENA</v>
      </c>
      <c r="C2569" s="127">
        <f>1000*_xlfn.XLOOKUP(A2569,'[1]2050Pop'!$A$7:$A$143,'[1]2050Pop'!$C$7:$C$143)</f>
        <v>2729</v>
      </c>
      <c r="D2569" s="126" t="s">
        <v>517</v>
      </c>
      <c r="E2569" s="128">
        <v>237.20400000000001</v>
      </c>
      <c r="F2569" s="129">
        <f t="shared" si="122"/>
        <v>0.647329716</v>
      </c>
      <c r="G2569" t="str">
        <f>_xlfn.XLOOKUP(D2569,'[1]2050 BAU Mapping to T &amp; C'!$A$3:$A$52,'[1]2050 BAU Mapping to T &amp; C'!$B$3:$B$52)</f>
        <v>Other veg</v>
      </c>
      <c r="H2569" s="129">
        <f>_xlfn.XLOOKUP(G2569,'[1]T&amp;C emissions for 2050 analysis'!$B$3:$B$23,'[1]T&amp;C emissions for 2050 analysis'!$C$3:$C$23)</f>
        <v>0.26766666666666666</v>
      </c>
      <c r="I2569" s="27">
        <f t="shared" si="120"/>
        <v>0.17326858731600001</v>
      </c>
      <c r="J2569" s="129">
        <f t="shared" si="121"/>
        <v>63.491604000000002</v>
      </c>
    </row>
    <row r="2570" spans="1:10" hidden="1" x14ac:dyDescent="0.35">
      <c r="A2570" s="126" t="s">
        <v>362</v>
      </c>
      <c r="B2570" t="str">
        <f>_xlfn.XLOOKUP(A2570,'[1]2050Pop'!$A$7:$A$143,'[1]2050Pop'!$D$7:$D$143)</f>
        <v>Euro/AU/NZ</v>
      </c>
      <c r="C2570" s="127">
        <f>1000*_xlfn.XLOOKUP(A2570,'[1]2050Pop'!$A$7:$A$143,'[1]2050Pop'!$C$7:$C$143)</f>
        <v>33496</v>
      </c>
      <c r="D2570" s="126" t="s">
        <v>517</v>
      </c>
      <c r="E2570" s="128">
        <v>83.671999999999997</v>
      </c>
      <c r="F2570" s="129">
        <f t="shared" si="122"/>
        <v>2.8026773119999997</v>
      </c>
      <c r="G2570" t="str">
        <f>_xlfn.XLOOKUP(D2570,'[1]2050 BAU Mapping to T &amp; C'!$A$3:$A$52,'[1]2050 BAU Mapping to T &amp; C'!$B$3:$B$52)</f>
        <v>Other veg</v>
      </c>
      <c r="H2570" s="129">
        <f>_xlfn.XLOOKUP(G2570,'[1]T&amp;C emissions for 2050 analysis'!$B$3:$B$23,'[1]T&amp;C emissions for 2050 analysis'!$C$3:$C$23)</f>
        <v>0.26766666666666666</v>
      </c>
      <c r="I2570" s="27">
        <f t="shared" si="120"/>
        <v>0.75018329384533322</v>
      </c>
      <c r="J2570" s="129">
        <f t="shared" si="121"/>
        <v>22.396205333333331</v>
      </c>
    </row>
    <row r="2571" spans="1:10" hidden="1" x14ac:dyDescent="0.35">
      <c r="A2571" s="126" t="s">
        <v>363</v>
      </c>
      <c r="B2571" t="str">
        <f>_xlfn.XLOOKUP(A2571,'[1]2050Pop'!$A$7:$A$143,'[1]2050Pop'!$D$7:$D$143)</f>
        <v>Euro/AU/NZ</v>
      </c>
      <c r="C2571" s="127">
        <f>1000*_xlfn.XLOOKUP(A2571,'[1]2050Pop'!$A$7:$A$143,'[1]2050Pop'!$C$7:$C$143)</f>
        <v>8846</v>
      </c>
      <c r="D2571" s="126" t="s">
        <v>517</v>
      </c>
      <c r="E2571" s="128">
        <v>81.722999999999999</v>
      </c>
      <c r="F2571" s="129">
        <f t="shared" si="122"/>
        <v>0.72292165799999997</v>
      </c>
      <c r="G2571" t="str">
        <f>_xlfn.XLOOKUP(D2571,'[1]2050 BAU Mapping to T &amp; C'!$A$3:$A$52,'[1]2050 BAU Mapping to T &amp; C'!$B$3:$B$52)</f>
        <v>Other veg</v>
      </c>
      <c r="H2571" s="129">
        <f>_xlfn.XLOOKUP(G2571,'[1]T&amp;C emissions for 2050 analysis'!$B$3:$B$23,'[1]T&amp;C emissions for 2050 analysis'!$C$3:$C$23)</f>
        <v>0.26766666666666666</v>
      </c>
      <c r="I2571" s="27">
        <f t="shared" si="120"/>
        <v>0.19350203045799999</v>
      </c>
      <c r="J2571" s="129">
        <f t="shared" si="121"/>
        <v>21.874523</v>
      </c>
    </row>
    <row r="2572" spans="1:10" hidden="1" x14ac:dyDescent="0.35">
      <c r="A2572" s="126" t="s">
        <v>364</v>
      </c>
      <c r="B2572" t="str">
        <f>_xlfn.XLOOKUP(A2572,'[1]2050Pop'!$A$7:$A$143,'[1]2050Pop'!$D$7:$D$143)</f>
        <v>MENA</v>
      </c>
      <c r="C2572" s="127">
        <f>1000*_xlfn.XLOOKUP(A2572,'[1]2050Pop'!$A$7:$A$143,'[1]2050Pop'!$C$7:$C$143)</f>
        <v>10963</v>
      </c>
      <c r="D2572" s="126" t="s">
        <v>517</v>
      </c>
      <c r="E2572" s="128">
        <v>101.911</v>
      </c>
      <c r="F2572" s="129">
        <f t="shared" si="122"/>
        <v>1.1172502930000001</v>
      </c>
      <c r="G2572" t="str">
        <f>_xlfn.XLOOKUP(D2572,'[1]2050 BAU Mapping to T &amp; C'!$A$3:$A$52,'[1]2050 BAU Mapping to T &amp; C'!$B$3:$B$52)</f>
        <v>Other veg</v>
      </c>
      <c r="H2572" s="129">
        <f>_xlfn.XLOOKUP(G2572,'[1]T&amp;C emissions for 2050 analysis'!$B$3:$B$23,'[1]T&amp;C emissions for 2050 analysis'!$C$3:$C$23)</f>
        <v>0.26766666666666666</v>
      </c>
      <c r="I2572" s="27">
        <f t="shared" si="120"/>
        <v>0.29905066175966671</v>
      </c>
      <c r="J2572" s="129">
        <f t="shared" si="121"/>
        <v>27.278177666666668</v>
      </c>
    </row>
    <row r="2573" spans="1:10" hidden="1" x14ac:dyDescent="0.35">
      <c r="A2573" s="126" t="s">
        <v>365</v>
      </c>
      <c r="B2573" t="str">
        <f>_xlfn.XLOOKUP(A2573,'[1]2050Pop'!$A$7:$A$143,'[1]2050Pop'!$D$7:$D$143)</f>
        <v>India/South Asia</v>
      </c>
      <c r="C2573" s="127">
        <f>1000*_xlfn.XLOOKUP(A2573,'[1]2050Pop'!$A$7:$A$143,'[1]2050Pop'!$C$7:$C$143)</f>
        <v>202209</v>
      </c>
      <c r="D2573" s="126" t="s">
        <v>517</v>
      </c>
      <c r="E2573" s="130">
        <v>32.979999999999997</v>
      </c>
      <c r="F2573" s="129">
        <f t="shared" si="122"/>
        <v>6.6688528199999997</v>
      </c>
      <c r="G2573" t="str">
        <f>_xlfn.XLOOKUP(D2573,'[1]2050 BAU Mapping to T &amp; C'!$A$3:$A$52,'[1]2050 BAU Mapping to T &amp; C'!$B$3:$B$52)</f>
        <v>Other veg</v>
      </c>
      <c r="H2573" s="129">
        <f>_xlfn.XLOOKUP(G2573,'[1]T&amp;C emissions for 2050 analysis'!$B$3:$B$23,'[1]T&amp;C emissions for 2050 analysis'!$C$3:$C$23)</f>
        <v>0.26766666666666666</v>
      </c>
      <c r="I2573" s="27">
        <f t="shared" si="120"/>
        <v>1.7850296048199998</v>
      </c>
      <c r="J2573" s="129">
        <f t="shared" si="121"/>
        <v>8.8276466666666664</v>
      </c>
    </row>
    <row r="2574" spans="1:10" hidden="1" x14ac:dyDescent="0.35">
      <c r="A2574" s="126" t="s">
        <v>366</v>
      </c>
      <c r="B2574" t="str">
        <f>_xlfn.XLOOKUP(A2574,'[1]2050Pop'!$A$7:$A$143,'[1]2050Pop'!$D$7:$D$143)</f>
        <v>Euro/AU/NZ</v>
      </c>
      <c r="C2574" s="127">
        <f>1000*_xlfn.XLOOKUP(A2574,'[1]2050Pop'!$A$7:$A$143,'[1]2050Pop'!$C$7:$C$143)</f>
        <v>8125</v>
      </c>
      <c r="D2574" s="126" t="s">
        <v>517</v>
      </c>
      <c r="E2574" s="128">
        <v>123.988</v>
      </c>
      <c r="F2574" s="129">
        <f t="shared" si="122"/>
        <v>1.0074025</v>
      </c>
      <c r="G2574" t="str">
        <f>_xlfn.XLOOKUP(D2574,'[1]2050 BAU Mapping to T &amp; C'!$A$3:$A$52,'[1]2050 BAU Mapping to T &amp; C'!$B$3:$B$52)</f>
        <v>Other veg</v>
      </c>
      <c r="H2574" s="129">
        <f>_xlfn.XLOOKUP(G2574,'[1]T&amp;C emissions for 2050 analysis'!$B$3:$B$23,'[1]T&amp;C emissions for 2050 analysis'!$C$3:$C$23)</f>
        <v>0.26766666666666666</v>
      </c>
      <c r="I2574" s="27">
        <f t="shared" si="120"/>
        <v>0.26964806916666667</v>
      </c>
      <c r="J2574" s="129">
        <f t="shared" si="121"/>
        <v>33.187454666666667</v>
      </c>
    </row>
    <row r="2575" spans="1:10" hidden="1" x14ac:dyDescent="0.35">
      <c r="A2575" s="126" t="s">
        <v>367</v>
      </c>
      <c r="B2575" t="str">
        <f>_xlfn.XLOOKUP(A2575,'[1]2050Pop'!$A$7:$A$143,'[1]2050Pop'!$D$7:$D$143)</f>
        <v>Euro/AU/NZ</v>
      </c>
      <c r="C2575" s="127">
        <f>1000*_xlfn.XLOOKUP(A2575,'[1]2050Pop'!$A$7:$A$143,'[1]2050Pop'!$C$7:$C$143)</f>
        <v>12527</v>
      </c>
      <c r="D2575" s="126" t="s">
        <v>517</v>
      </c>
      <c r="E2575" s="128">
        <v>122.646</v>
      </c>
      <c r="F2575" s="129">
        <f t="shared" si="122"/>
        <v>1.536386442</v>
      </c>
      <c r="G2575" t="str">
        <f>_xlfn.XLOOKUP(D2575,'[1]2050 BAU Mapping to T &amp; C'!$A$3:$A$52,'[1]2050 BAU Mapping to T &amp; C'!$B$3:$B$52)</f>
        <v>Other veg</v>
      </c>
      <c r="H2575" s="129">
        <f>_xlfn.XLOOKUP(G2575,'[1]T&amp;C emissions for 2050 analysis'!$B$3:$B$23,'[1]T&amp;C emissions for 2050 analysis'!$C$3:$C$23)</f>
        <v>0.26766666666666666</v>
      </c>
      <c r="I2575" s="27">
        <f t="shared" si="120"/>
        <v>0.41123943764199999</v>
      </c>
      <c r="J2575" s="129">
        <f t="shared" si="121"/>
        <v>32.828246</v>
      </c>
    </row>
    <row r="2576" spans="1:10" hidden="1" x14ac:dyDescent="0.35">
      <c r="A2576" s="126" t="s">
        <v>368</v>
      </c>
      <c r="B2576" t="str">
        <f>_xlfn.XLOOKUP(A2576,'[1]2050Pop'!$A$7:$A$143,'[1]2050Pop'!$D$7:$D$143)</f>
        <v>SSA</v>
      </c>
      <c r="C2576" s="127">
        <f>1000*_xlfn.XLOOKUP(A2576,'[1]2050Pop'!$A$7:$A$143,'[1]2050Pop'!$C$7:$C$143)</f>
        <v>22549</v>
      </c>
      <c r="D2576" s="126" t="s">
        <v>517</v>
      </c>
      <c r="E2576" s="128">
        <v>40.137</v>
      </c>
      <c r="F2576" s="129">
        <f t="shared" si="122"/>
        <v>0.90504921299999996</v>
      </c>
      <c r="G2576" t="str">
        <f>_xlfn.XLOOKUP(D2576,'[1]2050 BAU Mapping to T &amp; C'!$A$3:$A$52,'[1]2050 BAU Mapping to T &amp; C'!$B$3:$B$52)</f>
        <v>Other veg</v>
      </c>
      <c r="H2576" s="129">
        <f>_xlfn.XLOOKUP(G2576,'[1]T&amp;C emissions for 2050 analysis'!$B$3:$B$23,'[1]T&amp;C emissions for 2050 analysis'!$C$3:$C$23)</f>
        <v>0.26766666666666666</v>
      </c>
      <c r="I2576" s="27">
        <f t="shared" si="120"/>
        <v>0.242251506013</v>
      </c>
      <c r="J2576" s="129">
        <f t="shared" si="121"/>
        <v>10.743337</v>
      </c>
    </row>
    <row r="2577" spans="1:10" hidden="1" x14ac:dyDescent="0.35">
      <c r="A2577" s="126" t="s">
        <v>369</v>
      </c>
      <c r="B2577" t="str">
        <f>_xlfn.XLOOKUP(A2577,'[1]2050Pop'!$A$7:$A$143,'[1]2050Pop'!$D$7:$D$143)</f>
        <v>LatAm &amp; RSA</v>
      </c>
      <c r="C2577" s="127">
        <f>1000*_xlfn.XLOOKUP(A2577,'[1]2050Pop'!$A$7:$A$143,'[1]2050Pop'!$C$7:$C$143)</f>
        <v>15963</v>
      </c>
      <c r="D2577" s="126" t="s">
        <v>517</v>
      </c>
      <c r="E2577" s="128">
        <v>37.923999999999999</v>
      </c>
      <c r="F2577" s="129">
        <f t="shared" si="122"/>
        <v>0.60538081200000005</v>
      </c>
      <c r="G2577" t="str">
        <f>_xlfn.XLOOKUP(D2577,'[1]2050 BAU Mapping to T &amp; C'!$A$3:$A$52,'[1]2050 BAU Mapping to T &amp; C'!$B$3:$B$52)</f>
        <v>Other veg</v>
      </c>
      <c r="H2577" s="129">
        <f>_xlfn.XLOOKUP(G2577,'[1]T&amp;C emissions for 2050 analysis'!$B$3:$B$23,'[1]T&amp;C emissions for 2050 analysis'!$C$3:$C$23)</f>
        <v>0.26766666666666666</v>
      </c>
      <c r="I2577" s="27">
        <f t="shared" si="120"/>
        <v>0.162040264012</v>
      </c>
      <c r="J2577" s="129">
        <f t="shared" si="121"/>
        <v>10.150990666666667</v>
      </c>
    </row>
    <row r="2578" spans="1:10" hidden="1" x14ac:dyDescent="0.35">
      <c r="A2578" s="126" t="s">
        <v>370</v>
      </c>
      <c r="B2578" t="str">
        <f>_xlfn.XLOOKUP(A2578,'[1]2050Pop'!$A$7:$A$143,'[1]2050Pop'!$D$7:$D$143)</f>
        <v>Euro/AU/NZ</v>
      </c>
      <c r="C2578" s="127">
        <f>1000*_xlfn.XLOOKUP(A2578,'[1]2050Pop'!$A$7:$A$143,'[1]2050Pop'!$C$7:$C$143)</f>
        <v>3069</v>
      </c>
      <c r="D2578" s="126" t="s">
        <v>517</v>
      </c>
      <c r="E2578" s="128">
        <v>158.13399999999999</v>
      </c>
      <c r="F2578" s="129">
        <f t="shared" si="122"/>
        <v>0.48531324599999998</v>
      </c>
      <c r="G2578" t="str">
        <f>_xlfn.XLOOKUP(D2578,'[1]2050 BAU Mapping to T &amp; C'!$A$3:$A$52,'[1]2050 BAU Mapping to T &amp; C'!$B$3:$B$52)</f>
        <v>Other veg</v>
      </c>
      <c r="H2578" s="129">
        <f>_xlfn.XLOOKUP(G2578,'[1]T&amp;C emissions for 2050 analysis'!$B$3:$B$23,'[1]T&amp;C emissions for 2050 analysis'!$C$3:$C$23)</f>
        <v>0.26766666666666666</v>
      </c>
      <c r="I2578" s="27">
        <f t="shared" si="120"/>
        <v>0.129902178846</v>
      </c>
      <c r="J2578" s="129">
        <f t="shared" si="121"/>
        <v>42.327200666666663</v>
      </c>
    </row>
    <row r="2579" spans="1:10" hidden="1" x14ac:dyDescent="0.35">
      <c r="A2579" s="126" t="s">
        <v>371</v>
      </c>
      <c r="B2579" t="str">
        <f>_xlfn.XLOOKUP(A2579,'[1]2050Pop'!$A$7:$A$143,'[1]2050Pop'!$D$7:$D$143)</f>
        <v>SSA</v>
      </c>
      <c r="C2579" s="127">
        <f>1000*_xlfn.XLOOKUP(A2579,'[1]2050Pop'!$A$7:$A$143,'[1]2050Pop'!$C$7:$C$143)</f>
        <v>3389</v>
      </c>
      <c r="D2579" s="126" t="s">
        <v>517</v>
      </c>
      <c r="E2579" s="128">
        <v>33.658999999999999</v>
      </c>
      <c r="F2579" s="129">
        <f t="shared" si="122"/>
        <v>0.114070351</v>
      </c>
      <c r="G2579" t="str">
        <f>_xlfn.XLOOKUP(D2579,'[1]2050 BAU Mapping to T &amp; C'!$A$3:$A$52,'[1]2050 BAU Mapping to T &amp; C'!$B$3:$B$52)</f>
        <v>Other veg</v>
      </c>
      <c r="H2579" s="129">
        <f>_xlfn.XLOOKUP(G2579,'[1]T&amp;C emissions for 2050 analysis'!$B$3:$B$23,'[1]T&amp;C emissions for 2050 analysis'!$C$3:$C$23)</f>
        <v>0.26766666666666666</v>
      </c>
      <c r="I2579" s="27">
        <f t="shared" si="120"/>
        <v>3.0532830617666665E-2</v>
      </c>
      <c r="J2579" s="129">
        <f t="shared" si="121"/>
        <v>9.0093923333333326</v>
      </c>
    </row>
    <row r="2580" spans="1:10" hidden="1" x14ac:dyDescent="0.35">
      <c r="A2580" s="126" t="s">
        <v>372</v>
      </c>
      <c r="B2580" t="str">
        <f>_xlfn.XLOOKUP(A2580,'[1]2050Pop'!$A$7:$A$143,'[1]2050Pop'!$D$7:$D$143)</f>
        <v>LatAm &amp; RSA</v>
      </c>
      <c r="C2580" s="127">
        <f>1000*_xlfn.XLOOKUP(A2580,'[1]2050Pop'!$A$7:$A$143,'[1]2050Pop'!$C$7:$C$143)</f>
        <v>238270</v>
      </c>
      <c r="D2580" s="126" t="s">
        <v>517</v>
      </c>
      <c r="E2580" s="128">
        <v>42.293999999999997</v>
      </c>
      <c r="F2580" s="129">
        <f t="shared" si="122"/>
        <v>10.077391379999998</v>
      </c>
      <c r="G2580" t="str">
        <f>_xlfn.XLOOKUP(D2580,'[1]2050 BAU Mapping to T &amp; C'!$A$3:$A$52,'[1]2050 BAU Mapping to T &amp; C'!$B$3:$B$52)</f>
        <v>Other veg</v>
      </c>
      <c r="H2580" s="129">
        <f>_xlfn.XLOOKUP(G2580,'[1]T&amp;C emissions for 2050 analysis'!$B$3:$B$23,'[1]T&amp;C emissions for 2050 analysis'!$C$3:$C$23)</f>
        <v>0.26766666666666666</v>
      </c>
      <c r="I2580" s="27">
        <f t="shared" si="120"/>
        <v>2.6973817593799994</v>
      </c>
      <c r="J2580" s="129">
        <f t="shared" si="121"/>
        <v>11.320694</v>
      </c>
    </row>
    <row r="2581" spans="1:10" hidden="1" x14ac:dyDescent="0.35">
      <c r="A2581" s="126" t="s">
        <v>373</v>
      </c>
      <c r="B2581" t="str">
        <f>_xlfn.XLOOKUP(A2581,'[1]2050Pop'!$A$7:$A$143,'[1]2050Pop'!$D$7:$D$143)</f>
        <v>Euro/AU/NZ</v>
      </c>
      <c r="C2581" s="127">
        <f>1000*_xlfn.XLOOKUP(A2581,'[1]2050Pop'!$A$7:$A$143,'[1]2050Pop'!$C$7:$C$143)</f>
        <v>5154</v>
      </c>
      <c r="D2581" s="126" t="s">
        <v>517</v>
      </c>
      <c r="E2581" s="130">
        <v>46.03</v>
      </c>
      <c r="F2581" s="129">
        <f t="shared" si="122"/>
        <v>0.23723861999999998</v>
      </c>
      <c r="G2581" t="str">
        <f>_xlfn.XLOOKUP(D2581,'[1]2050 BAU Mapping to T &amp; C'!$A$3:$A$52,'[1]2050 BAU Mapping to T &amp; C'!$B$3:$B$52)</f>
        <v>Other veg</v>
      </c>
      <c r="H2581" s="129">
        <f>_xlfn.XLOOKUP(G2581,'[1]T&amp;C emissions for 2050 analysis'!$B$3:$B$23,'[1]T&amp;C emissions for 2050 analysis'!$C$3:$C$23)</f>
        <v>0.26766666666666666</v>
      </c>
      <c r="I2581" s="27">
        <f t="shared" si="120"/>
        <v>6.3500870619999997E-2</v>
      </c>
      <c r="J2581" s="129">
        <f t="shared" si="121"/>
        <v>12.320696666666667</v>
      </c>
    </row>
    <row r="2582" spans="1:10" hidden="1" x14ac:dyDescent="0.35">
      <c r="A2582" s="126" t="s">
        <v>487</v>
      </c>
      <c r="B2582" t="str">
        <f>_xlfn.XLOOKUP(A2582,'[1]2050Pop'!$A$7:$A$143,'[1]2050Pop'!$D$7:$D$143)</f>
        <v>SSA</v>
      </c>
      <c r="C2582" s="127">
        <f>1000*_xlfn.XLOOKUP(A2582,'[1]2050Pop'!$A$7:$A$143,'[1]2050Pop'!$C$7:$C$143)</f>
        <v>42789</v>
      </c>
      <c r="D2582" s="126" t="s">
        <v>517</v>
      </c>
      <c r="E2582" s="128">
        <v>15.554</v>
      </c>
      <c r="F2582" s="129">
        <f t="shared" si="122"/>
        <v>0.66554010600000002</v>
      </c>
      <c r="G2582" t="str">
        <f>_xlfn.XLOOKUP(D2582,'[1]2050 BAU Mapping to T &amp; C'!$A$3:$A$52,'[1]2050 BAU Mapping to T &amp; C'!$B$3:$B$52)</f>
        <v>Other veg</v>
      </c>
      <c r="H2582" s="129">
        <f>_xlfn.XLOOKUP(G2582,'[1]T&amp;C emissions for 2050 analysis'!$B$3:$B$23,'[1]T&amp;C emissions for 2050 analysis'!$C$3:$C$23)</f>
        <v>0.26766666666666666</v>
      </c>
      <c r="I2582" s="27">
        <f t="shared" si="120"/>
        <v>0.178142901706</v>
      </c>
      <c r="J2582" s="129">
        <f t="shared" si="121"/>
        <v>4.1632873333333338</v>
      </c>
    </row>
    <row r="2583" spans="1:10" hidden="1" x14ac:dyDescent="0.35">
      <c r="A2583" s="126" t="s">
        <v>374</v>
      </c>
      <c r="B2583" t="str">
        <f>_xlfn.XLOOKUP(A2583,'[1]2050Pop'!$A$7:$A$143,'[1]2050Pop'!$D$7:$D$143)</f>
        <v>APAC</v>
      </c>
      <c r="C2583" s="127">
        <f>1000*_xlfn.XLOOKUP(A2583,'[1]2050Pop'!$A$7:$A$143,'[1]2050Pop'!$C$7:$C$143)</f>
        <v>22545</v>
      </c>
      <c r="D2583" s="126" t="s">
        <v>517</v>
      </c>
      <c r="E2583" s="128">
        <v>32.323999999999998</v>
      </c>
      <c r="F2583" s="129">
        <f t="shared" si="122"/>
        <v>0.72874457999999998</v>
      </c>
      <c r="G2583" t="str">
        <f>_xlfn.XLOOKUP(D2583,'[1]2050 BAU Mapping to T &amp; C'!$A$3:$A$52,'[1]2050 BAU Mapping to T &amp; C'!$B$3:$B$52)</f>
        <v>Other veg</v>
      </c>
      <c r="H2583" s="129">
        <f>_xlfn.XLOOKUP(G2583,'[1]T&amp;C emissions for 2050 analysis'!$B$3:$B$23,'[1]T&amp;C emissions for 2050 analysis'!$C$3:$C$23)</f>
        <v>0.26766666666666666</v>
      </c>
      <c r="I2583" s="27">
        <f t="shared" si="120"/>
        <v>0.19506063258</v>
      </c>
      <c r="J2583" s="129">
        <f t="shared" si="121"/>
        <v>8.6520573333333335</v>
      </c>
    </row>
    <row r="2584" spans="1:10" hidden="1" x14ac:dyDescent="0.35">
      <c r="A2584" s="126" t="s">
        <v>375</v>
      </c>
      <c r="B2584" t="str">
        <f>_xlfn.XLOOKUP(A2584,'[1]2050Pop'!$A$7:$A$143,'[1]2050Pop'!$D$7:$D$143)</f>
        <v>SSA</v>
      </c>
      <c r="C2584" s="127">
        <f>1000*_xlfn.XLOOKUP(A2584,'[1]2050Pop'!$A$7:$A$143,'[1]2050Pop'!$C$7:$C$143)</f>
        <v>48362</v>
      </c>
      <c r="D2584" s="126" t="s">
        <v>517</v>
      </c>
      <c r="E2584" s="130">
        <v>83.64</v>
      </c>
      <c r="F2584" s="129">
        <f t="shared" si="122"/>
        <v>4.0449976799999998</v>
      </c>
      <c r="G2584" t="str">
        <f>_xlfn.XLOOKUP(D2584,'[1]2050 BAU Mapping to T &amp; C'!$A$3:$A$52,'[1]2050 BAU Mapping to T &amp; C'!$B$3:$B$52)</f>
        <v>Other veg</v>
      </c>
      <c r="H2584" s="129">
        <f>_xlfn.XLOOKUP(G2584,'[1]T&amp;C emissions for 2050 analysis'!$B$3:$B$23,'[1]T&amp;C emissions for 2050 analysis'!$C$3:$C$23)</f>
        <v>0.26766666666666666</v>
      </c>
      <c r="I2584" s="27">
        <f t="shared" si="120"/>
        <v>1.08271104568</v>
      </c>
      <c r="J2584" s="129">
        <f t="shared" si="121"/>
        <v>22.387640000000001</v>
      </c>
    </row>
    <row r="2585" spans="1:10" hidden="1" x14ac:dyDescent="0.35">
      <c r="A2585" s="126" t="s">
        <v>376</v>
      </c>
      <c r="B2585" t="str">
        <f>_xlfn.XLOOKUP(A2585,'[1]2050Pop'!$A$7:$A$143,'[1]2050Pop'!$D$7:$D$143)</f>
        <v>NAm</v>
      </c>
      <c r="C2585" s="127">
        <f>1000*_xlfn.XLOOKUP(A2585,'[1]2050Pop'!$A$7:$A$143,'[1]2050Pop'!$C$7:$C$143)</f>
        <v>44136</v>
      </c>
      <c r="D2585" s="126" t="s">
        <v>517</v>
      </c>
      <c r="E2585" s="130">
        <v>89.81</v>
      </c>
      <c r="F2585" s="129">
        <f t="shared" si="122"/>
        <v>3.9638541600000003</v>
      </c>
      <c r="G2585" t="str">
        <f>_xlfn.XLOOKUP(D2585,'[1]2050 BAU Mapping to T &amp; C'!$A$3:$A$52,'[1]2050 BAU Mapping to T &amp; C'!$B$3:$B$52)</f>
        <v>Other veg</v>
      </c>
      <c r="H2585" s="129">
        <f>_xlfn.XLOOKUP(G2585,'[1]T&amp;C emissions for 2050 analysis'!$B$3:$B$23,'[1]T&amp;C emissions for 2050 analysis'!$C$3:$C$23)</f>
        <v>0.26766666666666666</v>
      </c>
      <c r="I2585" s="27">
        <f t="shared" si="120"/>
        <v>1.06099163016</v>
      </c>
      <c r="J2585" s="129">
        <f t="shared" si="121"/>
        <v>24.039143333333335</v>
      </c>
    </row>
    <row r="2586" spans="1:10" hidden="1" x14ac:dyDescent="0.35">
      <c r="A2586" s="126" t="s">
        <v>377</v>
      </c>
      <c r="B2586" t="str">
        <f>_xlfn.XLOOKUP(A2586,'[1]2050Pop'!$A$7:$A$143,'[1]2050Pop'!$D$7:$D$143)</f>
        <v>SSA</v>
      </c>
      <c r="C2586" s="127">
        <f>1000*_xlfn.XLOOKUP(A2586,'[1]2050Pop'!$A$7:$A$143,'[1]2050Pop'!$C$7:$C$143)</f>
        <v>8782</v>
      </c>
      <c r="D2586" s="126" t="s">
        <v>517</v>
      </c>
      <c r="E2586" s="128">
        <v>15.173</v>
      </c>
      <c r="F2586" s="129">
        <f t="shared" si="122"/>
        <v>0.13324928599999999</v>
      </c>
      <c r="G2586" t="str">
        <f>_xlfn.XLOOKUP(D2586,'[1]2050 BAU Mapping to T &amp; C'!$A$3:$A$52,'[1]2050 BAU Mapping to T &amp; C'!$B$3:$B$52)</f>
        <v>Other veg</v>
      </c>
      <c r="H2586" s="129">
        <f>_xlfn.XLOOKUP(G2586,'[1]T&amp;C emissions for 2050 analysis'!$B$3:$B$23,'[1]T&amp;C emissions for 2050 analysis'!$C$3:$C$23)</f>
        <v>0.26766666666666666</v>
      </c>
      <c r="I2586" s="27">
        <f t="shared" si="120"/>
        <v>3.5666392219333334E-2</v>
      </c>
      <c r="J2586" s="129">
        <f t="shared" si="121"/>
        <v>4.0613063333333335</v>
      </c>
    </row>
    <row r="2587" spans="1:10" hidden="1" x14ac:dyDescent="0.35">
      <c r="A2587" s="126" t="s">
        <v>488</v>
      </c>
      <c r="B2587" t="str">
        <f>_xlfn.XLOOKUP(A2587,'[1]2050Pop'!$A$7:$A$143,'[1]2050Pop'!$D$7:$D$143)</f>
        <v>SSA</v>
      </c>
      <c r="C2587" s="127">
        <f>1000*_xlfn.XLOOKUP(A2587,'[1]2050Pop'!$A$7:$A$143,'[1]2050Pop'!$C$7:$C$143)</f>
        <v>35131</v>
      </c>
      <c r="D2587" s="126" t="s">
        <v>517</v>
      </c>
      <c r="E2587" s="128">
        <v>7.1680000000000001</v>
      </c>
      <c r="F2587" s="129">
        <f t="shared" si="122"/>
        <v>0.25181900800000001</v>
      </c>
      <c r="G2587" t="str">
        <f>_xlfn.XLOOKUP(D2587,'[1]2050 BAU Mapping to T &amp; C'!$A$3:$A$52,'[1]2050 BAU Mapping to T &amp; C'!$B$3:$B$52)</f>
        <v>Other veg</v>
      </c>
      <c r="H2587" s="129">
        <f>_xlfn.XLOOKUP(G2587,'[1]T&amp;C emissions for 2050 analysis'!$B$3:$B$23,'[1]T&amp;C emissions for 2050 analysis'!$C$3:$C$23)</f>
        <v>0.26766666666666666</v>
      </c>
      <c r="I2587" s="27">
        <f t="shared" si="120"/>
        <v>6.7403554474666671E-2</v>
      </c>
      <c r="J2587" s="129">
        <f t="shared" si="121"/>
        <v>1.9186346666666667</v>
      </c>
    </row>
    <row r="2588" spans="1:10" hidden="1" x14ac:dyDescent="0.35">
      <c r="A2588" s="126" t="s">
        <v>378</v>
      </c>
      <c r="B2588" t="str">
        <f>_xlfn.XLOOKUP(A2588,'[1]2050Pop'!$A$7:$A$143,'[1]2050Pop'!$D$7:$D$143)</f>
        <v>LatAm &amp; RSA</v>
      </c>
      <c r="C2588" s="127">
        <f>1000*_xlfn.XLOOKUP(A2588,'[1]2050Pop'!$A$7:$A$143,'[1]2050Pop'!$C$7:$C$143)</f>
        <v>21601</v>
      </c>
      <c r="D2588" s="126" t="s">
        <v>517</v>
      </c>
      <c r="E2588" s="130">
        <v>72.180000000000007</v>
      </c>
      <c r="F2588" s="129">
        <f t="shared" si="122"/>
        <v>1.5591601800000001</v>
      </c>
      <c r="G2588" t="str">
        <f>_xlfn.XLOOKUP(D2588,'[1]2050 BAU Mapping to T &amp; C'!$A$3:$A$52,'[1]2050 BAU Mapping to T &amp; C'!$B$3:$B$52)</f>
        <v>Other veg</v>
      </c>
      <c r="H2588" s="129">
        <f>_xlfn.XLOOKUP(G2588,'[1]T&amp;C emissions for 2050 analysis'!$B$3:$B$23,'[1]T&amp;C emissions for 2050 analysis'!$C$3:$C$23)</f>
        <v>0.26766666666666666</v>
      </c>
      <c r="I2588" s="27">
        <f t="shared" si="120"/>
        <v>0.41733520818000003</v>
      </c>
      <c r="J2588" s="129">
        <f t="shared" si="121"/>
        <v>19.320180000000001</v>
      </c>
    </row>
    <row r="2589" spans="1:10" hidden="1" x14ac:dyDescent="0.35">
      <c r="A2589" s="126" t="s">
        <v>379</v>
      </c>
      <c r="B2589" t="str">
        <f>_xlfn.XLOOKUP(A2589,'[1]2050Pop'!$A$7:$A$143,'[1]2050Pop'!$D$7:$D$143)</f>
        <v>Greater China</v>
      </c>
      <c r="C2589" s="127">
        <f>1000*_xlfn.XLOOKUP(A2589,'[1]2050Pop'!$A$7:$A$143,'[1]2050Pop'!$C$7:$C$143)</f>
        <v>8148</v>
      </c>
      <c r="D2589" s="126" t="s">
        <v>517</v>
      </c>
      <c r="E2589" s="128">
        <v>132.505</v>
      </c>
      <c r="F2589" s="129">
        <f t="shared" si="122"/>
        <v>1.0796507399999999</v>
      </c>
      <c r="G2589" t="str">
        <f>_xlfn.XLOOKUP(D2589,'[1]2050 BAU Mapping to T &amp; C'!$A$3:$A$52,'[1]2050 BAU Mapping to T &amp; C'!$B$3:$B$52)</f>
        <v>Other veg</v>
      </c>
      <c r="H2589" s="129">
        <f>_xlfn.XLOOKUP(G2589,'[1]T&amp;C emissions for 2050 analysis'!$B$3:$B$23,'[1]T&amp;C emissions for 2050 analysis'!$C$3:$C$23)</f>
        <v>0.26766666666666666</v>
      </c>
      <c r="I2589" s="27">
        <f t="shared" si="120"/>
        <v>0.28898651473999998</v>
      </c>
      <c r="J2589" s="129">
        <f t="shared" si="121"/>
        <v>35.467171666666665</v>
      </c>
    </row>
    <row r="2590" spans="1:10" hidden="1" x14ac:dyDescent="0.35">
      <c r="A2590" s="126" t="s">
        <v>380</v>
      </c>
      <c r="B2590" t="str">
        <f>_xlfn.XLOOKUP(A2590,'[1]2050Pop'!$A$7:$A$143,'[1]2050Pop'!$D$7:$D$143)</f>
        <v>Greater China</v>
      </c>
      <c r="C2590" s="127">
        <f>1000*_xlfn.XLOOKUP(A2590,'[1]2050Pop'!$A$7:$A$143,'[1]2050Pop'!$C$7:$C$143)</f>
        <v>1348056</v>
      </c>
      <c r="D2590" s="126" t="s">
        <v>517</v>
      </c>
      <c r="E2590" s="128">
        <v>307.21100000000001</v>
      </c>
      <c r="F2590" s="129">
        <f t="shared" si="122"/>
        <v>414.13763181600007</v>
      </c>
      <c r="G2590" t="str">
        <f>_xlfn.XLOOKUP(D2590,'[1]2050 BAU Mapping to T &amp; C'!$A$3:$A$52,'[1]2050 BAU Mapping to T &amp; C'!$B$3:$B$52)</f>
        <v>Other veg</v>
      </c>
      <c r="H2590" s="129">
        <f>_xlfn.XLOOKUP(G2590,'[1]T&amp;C emissions for 2050 analysis'!$B$3:$B$23,'[1]T&amp;C emissions for 2050 analysis'!$C$3:$C$23)</f>
        <v>0.26766666666666666</v>
      </c>
      <c r="I2590" s="27">
        <f t="shared" si="120"/>
        <v>110.85083944941601</v>
      </c>
      <c r="J2590" s="129">
        <f t="shared" si="121"/>
        <v>82.230144333333342</v>
      </c>
    </row>
    <row r="2591" spans="1:10" hidden="1" x14ac:dyDescent="0.35">
      <c r="A2591" s="126" t="s">
        <v>381</v>
      </c>
      <c r="B2591" t="str">
        <f>_xlfn.XLOOKUP(A2591,'[1]2050Pop'!$A$7:$A$143,'[1]2050Pop'!$D$7:$D$143)</f>
        <v>Greater China</v>
      </c>
      <c r="C2591" s="127">
        <f>1000*_xlfn.XLOOKUP(A2591,'[1]2050Pop'!$A$7:$A$143,'[1]2050Pop'!$C$7:$C$143)</f>
        <v>20778</v>
      </c>
      <c r="D2591" s="126" t="s">
        <v>517</v>
      </c>
      <c r="E2591" s="128">
        <v>127.378</v>
      </c>
      <c r="F2591" s="129">
        <f t="shared" si="122"/>
        <v>2.6466600839999996</v>
      </c>
      <c r="G2591" t="str">
        <f>_xlfn.XLOOKUP(D2591,'[1]2050 BAU Mapping to T &amp; C'!$A$3:$A$52,'[1]2050 BAU Mapping to T &amp; C'!$B$3:$B$52)</f>
        <v>Other veg</v>
      </c>
      <c r="H2591" s="129">
        <f>_xlfn.XLOOKUP(G2591,'[1]T&amp;C emissions for 2050 analysis'!$B$3:$B$23,'[1]T&amp;C emissions for 2050 analysis'!$C$3:$C$23)</f>
        <v>0.26766666666666666</v>
      </c>
      <c r="I2591" s="27">
        <f t="shared" si="120"/>
        <v>0.70842268248399987</v>
      </c>
      <c r="J2591" s="129">
        <f t="shared" si="121"/>
        <v>34.094844666666667</v>
      </c>
    </row>
    <row r="2592" spans="1:10" hidden="1" x14ac:dyDescent="0.35">
      <c r="A2592" s="126" t="s">
        <v>382</v>
      </c>
      <c r="B2592" t="str">
        <f>_xlfn.XLOOKUP(A2592,'[1]2050Pop'!$A$7:$A$143,'[1]2050Pop'!$D$7:$D$143)</f>
        <v>LatAm &amp; RSA</v>
      </c>
      <c r="C2592" s="127">
        <f>1000*_xlfn.XLOOKUP(A2592,'[1]2050Pop'!$A$7:$A$143,'[1]2050Pop'!$C$7:$C$143)</f>
        <v>54927</v>
      </c>
      <c r="D2592" s="126" t="s">
        <v>517</v>
      </c>
      <c r="E2592" s="128">
        <v>37.511000000000003</v>
      </c>
      <c r="F2592" s="129">
        <f t="shared" si="122"/>
        <v>2.0603666970000001</v>
      </c>
      <c r="G2592" t="str">
        <f>_xlfn.XLOOKUP(D2592,'[1]2050 BAU Mapping to T &amp; C'!$A$3:$A$52,'[1]2050 BAU Mapping to T &amp; C'!$B$3:$B$52)</f>
        <v>Other veg</v>
      </c>
      <c r="H2592" s="129">
        <f>_xlfn.XLOOKUP(G2592,'[1]T&amp;C emissions for 2050 analysis'!$B$3:$B$23,'[1]T&amp;C emissions for 2050 analysis'!$C$3:$C$23)</f>
        <v>0.26766666666666666</v>
      </c>
      <c r="I2592" s="27">
        <f t="shared" si="120"/>
        <v>0.55149148589700003</v>
      </c>
      <c r="J2592" s="129">
        <f t="shared" si="121"/>
        <v>10.040444333333333</v>
      </c>
    </row>
    <row r="2593" spans="1:10" hidden="1" x14ac:dyDescent="0.35">
      <c r="A2593" s="126" t="s">
        <v>383</v>
      </c>
      <c r="B2593" t="str">
        <f>_xlfn.XLOOKUP(A2593,'[1]2050Pop'!$A$7:$A$143,'[1]2050Pop'!$D$7:$D$143)</f>
        <v>LatAm &amp; RSA</v>
      </c>
      <c r="C2593" s="127">
        <f>1000*_xlfn.XLOOKUP(A2593,'[1]2050Pop'!$A$7:$A$143,'[1]2050Pop'!$C$7:$C$143)</f>
        <v>5759</v>
      </c>
      <c r="D2593" s="126" t="s">
        <v>517</v>
      </c>
      <c r="E2593" s="128">
        <v>46.652999999999999</v>
      </c>
      <c r="F2593" s="129">
        <f t="shared" si="122"/>
        <v>0.268674627</v>
      </c>
      <c r="G2593" t="str">
        <f>_xlfn.XLOOKUP(D2593,'[1]2050 BAU Mapping to T &amp; C'!$A$3:$A$52,'[1]2050 BAU Mapping to T &amp; C'!$B$3:$B$52)</f>
        <v>Other veg</v>
      </c>
      <c r="H2593" s="129">
        <f>_xlfn.XLOOKUP(G2593,'[1]T&amp;C emissions for 2050 analysis'!$B$3:$B$23,'[1]T&amp;C emissions for 2050 analysis'!$C$3:$C$23)</f>
        <v>0.26766666666666666</v>
      </c>
      <c r="I2593" s="27">
        <f t="shared" si="120"/>
        <v>7.1915241827000001E-2</v>
      </c>
      <c r="J2593" s="129">
        <f t="shared" si="121"/>
        <v>12.487453</v>
      </c>
    </row>
    <row r="2594" spans="1:10" hidden="1" x14ac:dyDescent="0.35">
      <c r="A2594" s="126" t="s">
        <v>384</v>
      </c>
      <c r="B2594" t="str">
        <f>_xlfn.XLOOKUP(A2594,'[1]2050Pop'!$A$7:$A$143,'[1]2050Pop'!$D$7:$D$143)</f>
        <v>SSA</v>
      </c>
      <c r="C2594" s="127">
        <f>1000*_xlfn.XLOOKUP(A2594,'[1]2050Pop'!$A$7:$A$143,'[1]2050Pop'!$C$7:$C$143)</f>
        <v>48797</v>
      </c>
      <c r="D2594" s="126" t="s">
        <v>517</v>
      </c>
      <c r="E2594" s="128">
        <v>51.627000000000002</v>
      </c>
      <c r="F2594" s="129">
        <f t="shared" si="122"/>
        <v>2.5192427190000002</v>
      </c>
      <c r="G2594" t="str">
        <f>_xlfn.XLOOKUP(D2594,'[1]2050 BAU Mapping to T &amp; C'!$A$3:$A$52,'[1]2050 BAU Mapping to T &amp; C'!$B$3:$B$52)</f>
        <v>Other veg</v>
      </c>
      <c r="H2594" s="129">
        <f>_xlfn.XLOOKUP(G2594,'[1]T&amp;C emissions for 2050 analysis'!$B$3:$B$23,'[1]T&amp;C emissions for 2050 analysis'!$C$3:$C$23)</f>
        <v>0.26766666666666666</v>
      </c>
      <c r="I2594" s="27">
        <f t="shared" si="120"/>
        <v>0.67431730111900001</v>
      </c>
      <c r="J2594" s="129">
        <f t="shared" si="121"/>
        <v>13.818827000000001</v>
      </c>
    </row>
    <row r="2595" spans="1:10" hidden="1" x14ac:dyDescent="0.35">
      <c r="A2595" s="126" t="s">
        <v>385</v>
      </c>
      <c r="B2595" t="str">
        <f>_xlfn.XLOOKUP(A2595,'[1]2050Pop'!$A$7:$A$143,'[1]2050Pop'!$D$7:$D$143)</f>
        <v>Euro/AU/NZ</v>
      </c>
      <c r="C2595" s="127">
        <f>1000*_xlfn.XLOOKUP(A2595,'[1]2050Pop'!$A$7:$A$143,'[1]2050Pop'!$C$7:$C$143)</f>
        <v>3554</v>
      </c>
      <c r="D2595" s="126" t="s">
        <v>517</v>
      </c>
      <c r="E2595" s="130">
        <v>70.36</v>
      </c>
      <c r="F2595" s="129">
        <f t="shared" si="122"/>
        <v>0.25005944000000002</v>
      </c>
      <c r="G2595" t="str">
        <f>_xlfn.XLOOKUP(D2595,'[1]2050 BAU Mapping to T &amp; C'!$A$3:$A$52,'[1]2050 BAU Mapping to T &amp; C'!$B$3:$B$52)</f>
        <v>Other veg</v>
      </c>
      <c r="H2595" s="129">
        <f>_xlfn.XLOOKUP(G2595,'[1]T&amp;C emissions for 2050 analysis'!$B$3:$B$23,'[1]T&amp;C emissions for 2050 analysis'!$C$3:$C$23)</f>
        <v>0.26766666666666666</v>
      </c>
      <c r="I2595" s="27">
        <f t="shared" si="120"/>
        <v>6.6932576773333335E-2</v>
      </c>
      <c r="J2595" s="129">
        <f t="shared" si="121"/>
        <v>18.833026666666665</v>
      </c>
    </row>
    <row r="2596" spans="1:10" hidden="1" x14ac:dyDescent="0.35">
      <c r="A2596" s="126" t="s">
        <v>386</v>
      </c>
      <c r="B2596" t="str">
        <f>_xlfn.XLOOKUP(A2596,'[1]2050Pop'!$A$7:$A$143,'[1]2050Pop'!$D$7:$D$143)</f>
        <v>LatAm &amp; RSA</v>
      </c>
      <c r="C2596" s="127">
        <f>1000*_xlfn.XLOOKUP(A2596,'[1]2050Pop'!$A$7:$A$143,'[1]2050Pop'!$C$7:$C$143)</f>
        <v>10339</v>
      </c>
      <c r="D2596" s="126" t="s">
        <v>517</v>
      </c>
      <c r="E2596" s="130">
        <v>99.95</v>
      </c>
      <c r="F2596" s="129">
        <f t="shared" si="122"/>
        <v>1.0333830500000001</v>
      </c>
      <c r="G2596" t="str">
        <f>_xlfn.XLOOKUP(D2596,'[1]2050 BAU Mapping to T &amp; C'!$A$3:$A$52,'[1]2050 BAU Mapping to T &amp; C'!$B$3:$B$52)</f>
        <v>Other veg</v>
      </c>
      <c r="H2596" s="129">
        <f>_xlfn.XLOOKUP(G2596,'[1]T&amp;C emissions for 2050 analysis'!$B$3:$B$23,'[1]T&amp;C emissions for 2050 analysis'!$C$3:$C$23)</f>
        <v>0.26766666666666666</v>
      </c>
      <c r="I2596" s="27">
        <f t="shared" si="120"/>
        <v>0.27660219638333333</v>
      </c>
      <c r="J2596" s="129">
        <f t="shared" si="121"/>
        <v>26.753283333333332</v>
      </c>
    </row>
    <row r="2597" spans="1:10" hidden="1" x14ac:dyDescent="0.35">
      <c r="A2597" s="126" t="s">
        <v>387</v>
      </c>
      <c r="B2597" t="str">
        <f>_xlfn.XLOOKUP(A2597,'[1]2050Pop'!$A$7:$A$143,'[1]2050Pop'!$D$7:$D$143)</f>
        <v>Euro/AU/NZ</v>
      </c>
      <c r="C2597" s="127">
        <f>1000*_xlfn.XLOOKUP(A2597,'[1]2050Pop'!$A$7:$A$143,'[1]2050Pop'!$C$7:$C$143)</f>
        <v>9965</v>
      </c>
      <c r="D2597" s="126" t="s">
        <v>517</v>
      </c>
      <c r="E2597" s="128">
        <v>61.448999999999998</v>
      </c>
      <c r="F2597" s="129">
        <f t="shared" si="122"/>
        <v>0.61233928500000001</v>
      </c>
      <c r="G2597" t="str">
        <f>_xlfn.XLOOKUP(D2597,'[1]2050 BAU Mapping to T &amp; C'!$A$3:$A$52,'[1]2050 BAU Mapping to T &amp; C'!$B$3:$B$52)</f>
        <v>Other veg</v>
      </c>
      <c r="H2597" s="129">
        <f>_xlfn.XLOOKUP(G2597,'[1]T&amp;C emissions for 2050 analysis'!$B$3:$B$23,'[1]T&amp;C emissions for 2050 analysis'!$C$3:$C$23)</f>
        <v>0.26766666666666666</v>
      </c>
      <c r="I2597" s="27">
        <f t="shared" si="120"/>
        <v>0.163902815285</v>
      </c>
      <c r="J2597" s="129">
        <f t="shared" si="121"/>
        <v>16.447848999999998</v>
      </c>
    </row>
    <row r="2598" spans="1:10" hidden="1" x14ac:dyDescent="0.35">
      <c r="A2598" s="126" t="s">
        <v>481</v>
      </c>
      <c r="B2598" t="str">
        <f>_xlfn.XLOOKUP(A2598,'[1]2050Pop'!$A$7:$A$143,'[1]2050Pop'!$D$7:$D$143)</f>
        <v>APAC</v>
      </c>
      <c r="C2598" s="127">
        <f>1000*_xlfn.XLOOKUP(A2598,'[1]2050Pop'!$A$7:$A$143,'[1]2050Pop'!$C$7:$C$143)</f>
        <v>26907</v>
      </c>
      <c r="D2598" s="126" t="s">
        <v>517</v>
      </c>
      <c r="E2598" s="128">
        <v>111.06699999999999</v>
      </c>
      <c r="F2598" s="129">
        <f t="shared" si="122"/>
        <v>2.988479769</v>
      </c>
      <c r="G2598" t="str">
        <f>_xlfn.XLOOKUP(D2598,'[1]2050 BAU Mapping to T &amp; C'!$A$3:$A$52,'[1]2050 BAU Mapping to T &amp; C'!$B$3:$B$52)</f>
        <v>Other veg</v>
      </c>
      <c r="H2598" s="129">
        <f>_xlfn.XLOOKUP(G2598,'[1]T&amp;C emissions for 2050 analysis'!$B$3:$B$23,'[1]T&amp;C emissions for 2050 analysis'!$C$3:$C$23)</f>
        <v>0.26766666666666666</v>
      </c>
      <c r="I2598" s="27">
        <f t="shared" si="120"/>
        <v>0.79991641816899994</v>
      </c>
      <c r="J2598" s="129">
        <f t="shared" si="121"/>
        <v>29.728933666666663</v>
      </c>
    </row>
    <row r="2599" spans="1:10" hidden="1" x14ac:dyDescent="0.35">
      <c r="A2599" s="126" t="s">
        <v>388</v>
      </c>
      <c r="B2599" t="str">
        <f>_xlfn.XLOOKUP(A2599,'[1]2050Pop'!$A$7:$A$143,'[1]2050Pop'!$D$7:$D$143)</f>
        <v>Euro/AU/NZ</v>
      </c>
      <c r="C2599" s="127">
        <f>1000*_xlfn.XLOOKUP(A2599,'[1]2050Pop'!$A$7:$A$143,'[1]2050Pop'!$C$7:$C$143)</f>
        <v>6299</v>
      </c>
      <c r="D2599" s="126" t="s">
        <v>517</v>
      </c>
      <c r="E2599" s="128">
        <v>87.805000000000007</v>
      </c>
      <c r="F2599" s="129">
        <f t="shared" si="122"/>
        <v>0.5530836950000001</v>
      </c>
      <c r="G2599" t="str">
        <f>_xlfn.XLOOKUP(D2599,'[1]2050 BAU Mapping to T &amp; C'!$A$3:$A$52,'[1]2050 BAU Mapping to T &amp; C'!$B$3:$B$52)</f>
        <v>Other veg</v>
      </c>
      <c r="H2599" s="129">
        <f>_xlfn.XLOOKUP(G2599,'[1]T&amp;C emissions for 2050 analysis'!$B$3:$B$23,'[1]T&amp;C emissions for 2050 analysis'!$C$3:$C$23)</f>
        <v>0.26766666666666666</v>
      </c>
      <c r="I2599" s="27">
        <f t="shared" si="120"/>
        <v>0.14804206902833336</v>
      </c>
      <c r="J2599" s="129">
        <f t="shared" si="121"/>
        <v>23.502471666666668</v>
      </c>
    </row>
    <row r="2600" spans="1:10" hidden="1" x14ac:dyDescent="0.35">
      <c r="A2600" s="126" t="s">
        <v>389</v>
      </c>
      <c r="B2600" t="str">
        <f>_xlfn.XLOOKUP(A2600,'[1]2050Pop'!$A$7:$A$143,'[1]2050Pop'!$D$7:$D$143)</f>
        <v>LatAm &amp; RSA</v>
      </c>
      <c r="C2600" s="127">
        <f>1000*_xlfn.XLOOKUP(A2600,'[1]2050Pop'!$A$7:$A$143,'[1]2050Pop'!$C$7:$C$143)</f>
        <v>13238</v>
      </c>
      <c r="D2600" s="126" t="s">
        <v>517</v>
      </c>
      <c r="E2600" s="128">
        <v>45.816000000000003</v>
      </c>
      <c r="F2600" s="129">
        <f t="shared" si="122"/>
        <v>0.60651220799999994</v>
      </c>
      <c r="G2600" t="str">
        <f>_xlfn.XLOOKUP(D2600,'[1]2050 BAU Mapping to T &amp; C'!$A$3:$A$52,'[1]2050 BAU Mapping to T &amp; C'!$B$3:$B$52)</f>
        <v>Other veg</v>
      </c>
      <c r="H2600" s="129">
        <f>_xlfn.XLOOKUP(G2600,'[1]T&amp;C emissions for 2050 analysis'!$B$3:$B$23,'[1]T&amp;C emissions for 2050 analysis'!$C$3:$C$23)</f>
        <v>0.26766666666666666</v>
      </c>
      <c r="I2600" s="27">
        <f t="shared" si="120"/>
        <v>0.16234310100799998</v>
      </c>
      <c r="J2600" s="129">
        <f t="shared" si="121"/>
        <v>12.263416000000001</v>
      </c>
    </row>
    <row r="2601" spans="1:10" hidden="1" x14ac:dyDescent="0.35">
      <c r="A2601" s="126" t="s">
        <v>390</v>
      </c>
      <c r="B2601" t="str">
        <f>_xlfn.XLOOKUP(A2601,'[1]2050Pop'!$A$7:$A$143,'[1]2050Pop'!$D$7:$D$143)</f>
        <v>LatAm &amp; RSA</v>
      </c>
      <c r="C2601" s="127">
        <f>1000*_xlfn.XLOOKUP(A2601,'[1]2050Pop'!$A$7:$A$143,'[1]2050Pop'!$C$7:$C$143)</f>
        <v>23013</v>
      </c>
      <c r="D2601" s="126" t="s">
        <v>517</v>
      </c>
      <c r="E2601" s="128">
        <v>24.943000000000001</v>
      </c>
      <c r="F2601" s="129">
        <f t="shared" si="122"/>
        <v>0.57401325900000011</v>
      </c>
      <c r="G2601" t="str">
        <f>_xlfn.XLOOKUP(D2601,'[1]2050 BAU Mapping to T &amp; C'!$A$3:$A$52,'[1]2050 BAU Mapping to T &amp; C'!$B$3:$B$52)</f>
        <v>Other veg</v>
      </c>
      <c r="H2601" s="129">
        <f>_xlfn.XLOOKUP(G2601,'[1]T&amp;C emissions for 2050 analysis'!$B$3:$B$23,'[1]T&amp;C emissions for 2050 analysis'!$C$3:$C$23)</f>
        <v>0.26766666666666666</v>
      </c>
      <c r="I2601" s="27">
        <f t="shared" si="120"/>
        <v>0.15364421565900002</v>
      </c>
      <c r="J2601" s="129">
        <f t="shared" si="121"/>
        <v>6.6764096666666672</v>
      </c>
    </row>
    <row r="2602" spans="1:10" hidden="1" x14ac:dyDescent="0.35">
      <c r="A2602" s="126" t="s">
        <v>391</v>
      </c>
      <c r="B2602" t="str">
        <f>_xlfn.XLOOKUP(A2602,'[1]2050Pop'!$A$7:$A$143,'[1]2050Pop'!$D$7:$D$143)</f>
        <v>MENA</v>
      </c>
      <c r="C2602" s="127">
        <f>1000*_xlfn.XLOOKUP(A2602,'[1]2050Pop'!$A$7:$A$143,'[1]2050Pop'!$C$7:$C$143)</f>
        <v>151111</v>
      </c>
      <c r="D2602" s="126" t="s">
        <v>517</v>
      </c>
      <c r="E2602" s="130">
        <v>165.96</v>
      </c>
      <c r="F2602" s="129">
        <f t="shared" si="122"/>
        <v>25.078381560000004</v>
      </c>
      <c r="G2602" t="str">
        <f>_xlfn.XLOOKUP(D2602,'[1]2050 BAU Mapping to T &amp; C'!$A$3:$A$52,'[1]2050 BAU Mapping to T &amp; C'!$B$3:$B$52)</f>
        <v>Other veg</v>
      </c>
      <c r="H2602" s="129">
        <f>_xlfn.XLOOKUP(G2602,'[1]T&amp;C emissions for 2050 analysis'!$B$3:$B$23,'[1]T&amp;C emissions for 2050 analysis'!$C$3:$C$23)</f>
        <v>0.26766666666666666</v>
      </c>
      <c r="I2602" s="27">
        <f t="shared" si="120"/>
        <v>6.7126467975600006</v>
      </c>
      <c r="J2602" s="129">
        <f t="shared" si="121"/>
        <v>44.421959999999999</v>
      </c>
    </row>
    <row r="2603" spans="1:10" hidden="1" x14ac:dyDescent="0.35">
      <c r="A2603" s="126" t="s">
        <v>392</v>
      </c>
      <c r="B2603" t="str">
        <f>_xlfn.XLOOKUP(A2603,'[1]2050Pop'!$A$7:$A$143,'[1]2050Pop'!$D$7:$D$143)</f>
        <v>LatAm &amp; RSA</v>
      </c>
      <c r="C2603" s="127">
        <f>1000*_xlfn.XLOOKUP(A2603,'[1]2050Pop'!$A$7:$A$143,'[1]2050Pop'!$C$7:$C$143)</f>
        <v>6390</v>
      </c>
      <c r="D2603" s="126" t="s">
        <v>517</v>
      </c>
      <c r="E2603" s="128">
        <v>52.881</v>
      </c>
      <c r="F2603" s="129">
        <f t="shared" si="122"/>
        <v>0.33790959000000004</v>
      </c>
      <c r="G2603" t="str">
        <f>_xlfn.XLOOKUP(D2603,'[1]2050 BAU Mapping to T &amp; C'!$A$3:$A$52,'[1]2050 BAU Mapping to T &amp; C'!$B$3:$B$52)</f>
        <v>Other veg</v>
      </c>
      <c r="H2603" s="129">
        <f>_xlfn.XLOOKUP(G2603,'[1]T&amp;C emissions for 2050 analysis'!$B$3:$B$23,'[1]T&amp;C emissions for 2050 analysis'!$C$3:$C$23)</f>
        <v>0.26766666666666666</v>
      </c>
      <c r="I2603" s="27">
        <f t="shared" si="120"/>
        <v>9.0447133590000006E-2</v>
      </c>
      <c r="J2603" s="129">
        <f t="shared" si="121"/>
        <v>14.154481000000001</v>
      </c>
    </row>
    <row r="2604" spans="1:10" hidden="1" x14ac:dyDescent="0.35">
      <c r="A2604" s="126" t="s">
        <v>393</v>
      </c>
      <c r="B2604" t="str">
        <f>_xlfn.XLOOKUP(A2604,'[1]2050Pop'!$A$7:$A$143,'[1]2050Pop'!$D$7:$D$143)</f>
        <v>Euro/AU/NZ</v>
      </c>
      <c r="C2604" s="127">
        <f>1000*_xlfn.XLOOKUP(A2604,'[1]2050Pop'!$A$7:$A$143,'[1]2050Pop'!$C$7:$C$143)</f>
        <v>1129</v>
      </c>
      <c r="D2604" s="126" t="s">
        <v>517</v>
      </c>
      <c r="E2604" s="130">
        <v>104.44</v>
      </c>
      <c r="F2604" s="129">
        <f t="shared" si="122"/>
        <v>0.11791275999999999</v>
      </c>
      <c r="G2604" t="str">
        <f>_xlfn.XLOOKUP(D2604,'[1]2050 BAU Mapping to T &amp; C'!$A$3:$A$52,'[1]2050 BAU Mapping to T &amp; C'!$B$3:$B$52)</f>
        <v>Other veg</v>
      </c>
      <c r="H2604" s="129">
        <f>_xlfn.XLOOKUP(G2604,'[1]T&amp;C emissions for 2050 analysis'!$B$3:$B$23,'[1]T&amp;C emissions for 2050 analysis'!$C$3:$C$23)</f>
        <v>0.26766666666666666</v>
      </c>
      <c r="I2604" s="27">
        <f t="shared" si="120"/>
        <v>3.1561315426666667E-2</v>
      </c>
      <c r="J2604" s="129">
        <f t="shared" si="121"/>
        <v>27.955106666666666</v>
      </c>
    </row>
    <row r="2605" spans="1:10" hidden="1" x14ac:dyDescent="0.35">
      <c r="A2605" s="126" t="s">
        <v>394</v>
      </c>
      <c r="B2605" t="str">
        <f>_xlfn.XLOOKUP(A2605,'[1]2050Pop'!$A$7:$A$143,'[1]2050Pop'!$D$7:$D$143)</f>
        <v>SSA</v>
      </c>
      <c r="C2605" s="127">
        <f>1000*_xlfn.XLOOKUP(A2605,'[1]2050Pop'!$A$7:$A$143,'[1]2050Pop'!$C$7:$C$143)</f>
        <v>188455</v>
      </c>
      <c r="D2605" s="126" t="s">
        <v>517</v>
      </c>
      <c r="E2605" s="128">
        <v>23.016999999999999</v>
      </c>
      <c r="F2605" s="129">
        <f t="shared" si="122"/>
        <v>4.3376687350000003</v>
      </c>
      <c r="G2605" t="str">
        <f>_xlfn.XLOOKUP(D2605,'[1]2050 BAU Mapping to T &amp; C'!$A$3:$A$52,'[1]2050 BAU Mapping to T &amp; C'!$B$3:$B$52)</f>
        <v>Other veg</v>
      </c>
      <c r="H2605" s="129">
        <f>_xlfn.XLOOKUP(G2605,'[1]T&amp;C emissions for 2050 analysis'!$B$3:$B$23,'[1]T&amp;C emissions for 2050 analysis'!$C$3:$C$23)</f>
        <v>0.26766666666666666</v>
      </c>
      <c r="I2605" s="27">
        <f t="shared" si="120"/>
        <v>1.1610493314016668</v>
      </c>
      <c r="J2605" s="129">
        <f t="shared" si="121"/>
        <v>6.1608836666666669</v>
      </c>
    </row>
    <row r="2606" spans="1:10" hidden="1" x14ac:dyDescent="0.35">
      <c r="A2606" s="126" t="s">
        <v>395</v>
      </c>
      <c r="B2606" t="str">
        <f>_xlfn.XLOOKUP(A2606,'[1]2050Pop'!$A$7:$A$143,'[1]2050Pop'!$D$7:$D$143)</f>
        <v>Euro/AU/NZ</v>
      </c>
      <c r="C2606" s="127">
        <f>1000*_xlfn.XLOOKUP(A2606,'[1]2050Pop'!$A$7:$A$143,'[1]2050Pop'!$C$7:$C$143)</f>
        <v>5752</v>
      </c>
      <c r="D2606" s="126" t="s">
        <v>517</v>
      </c>
      <c r="E2606" s="130">
        <v>62.15</v>
      </c>
      <c r="F2606" s="129">
        <f t="shared" si="122"/>
        <v>0.35748679999999999</v>
      </c>
      <c r="G2606" t="str">
        <f>_xlfn.XLOOKUP(D2606,'[1]2050 BAU Mapping to T &amp; C'!$A$3:$A$52,'[1]2050 BAU Mapping to T &amp; C'!$B$3:$B$52)</f>
        <v>Other veg</v>
      </c>
      <c r="H2606" s="129">
        <f>_xlfn.XLOOKUP(G2606,'[1]T&amp;C emissions for 2050 analysis'!$B$3:$B$23,'[1]T&amp;C emissions for 2050 analysis'!$C$3:$C$23)</f>
        <v>0.26766666666666666</v>
      </c>
      <c r="I2606" s="27">
        <f t="shared" si="120"/>
        <v>9.5687300133333333E-2</v>
      </c>
      <c r="J2606" s="129">
        <f t="shared" si="121"/>
        <v>16.635483333333333</v>
      </c>
    </row>
    <row r="2607" spans="1:10" hidden="1" x14ac:dyDescent="0.35">
      <c r="A2607" s="126" t="s">
        <v>396</v>
      </c>
      <c r="B2607" t="str">
        <f>_xlfn.XLOOKUP(A2607,'[1]2050Pop'!$A$7:$A$143,'[1]2050Pop'!$D$7:$D$143)</f>
        <v>Euro/AU/NZ</v>
      </c>
      <c r="C2607" s="127">
        <f>1000*_xlfn.XLOOKUP(A2607,'[1]2050Pop'!$A$7:$A$143,'[1]2050Pop'!$C$7:$C$143)</f>
        <v>71137</v>
      </c>
      <c r="D2607" s="126" t="s">
        <v>517</v>
      </c>
      <c r="E2607" s="128">
        <v>76.123999999999995</v>
      </c>
      <c r="F2607" s="129">
        <f t="shared" si="122"/>
        <v>5.4152329879999996</v>
      </c>
      <c r="G2607" t="str">
        <f>_xlfn.XLOOKUP(D2607,'[1]2050 BAU Mapping to T &amp; C'!$A$3:$A$52,'[1]2050 BAU Mapping to T &amp; C'!$B$3:$B$52)</f>
        <v>Other veg</v>
      </c>
      <c r="H2607" s="129">
        <f>_xlfn.XLOOKUP(G2607,'[1]T&amp;C emissions for 2050 analysis'!$B$3:$B$23,'[1]T&amp;C emissions for 2050 analysis'!$C$3:$C$23)</f>
        <v>0.26766666666666666</v>
      </c>
      <c r="I2607" s="27">
        <f t="shared" si="120"/>
        <v>1.4494773631213331</v>
      </c>
      <c r="J2607" s="129">
        <f t="shared" si="121"/>
        <v>20.375857333333332</v>
      </c>
    </row>
    <row r="2608" spans="1:10" hidden="1" x14ac:dyDescent="0.35">
      <c r="A2608" s="126" t="s">
        <v>397</v>
      </c>
      <c r="B2608" t="str">
        <f>_xlfn.XLOOKUP(A2608,'[1]2050Pop'!$A$7:$A$143,'[1]2050Pop'!$D$7:$D$143)</f>
        <v>SSA</v>
      </c>
      <c r="C2608" s="127">
        <f>1000*_xlfn.XLOOKUP(A2608,'[1]2050Pop'!$A$7:$A$143,'[1]2050Pop'!$C$7:$C$143)</f>
        <v>3164</v>
      </c>
      <c r="D2608" s="126" t="s">
        <v>517</v>
      </c>
      <c r="E2608" s="128">
        <v>36.052999999999997</v>
      </c>
      <c r="F2608" s="129">
        <f t="shared" si="122"/>
        <v>0.114071692</v>
      </c>
      <c r="G2608" t="str">
        <f>_xlfn.XLOOKUP(D2608,'[1]2050 BAU Mapping to T &amp; C'!$A$3:$A$52,'[1]2050 BAU Mapping to T &amp; C'!$B$3:$B$52)</f>
        <v>Other veg</v>
      </c>
      <c r="H2608" s="129">
        <f>_xlfn.XLOOKUP(G2608,'[1]T&amp;C emissions for 2050 analysis'!$B$3:$B$23,'[1]T&amp;C emissions for 2050 analysis'!$C$3:$C$23)</f>
        <v>0.26766666666666666</v>
      </c>
      <c r="I2608" s="27">
        <f t="shared" si="120"/>
        <v>3.0533189558666667E-2</v>
      </c>
      <c r="J2608" s="129">
        <f t="shared" si="121"/>
        <v>9.6501863333333322</v>
      </c>
    </row>
    <row r="2609" spans="1:10" hidden="1" x14ac:dyDescent="0.35">
      <c r="A2609" s="126" t="s">
        <v>489</v>
      </c>
      <c r="B2609" t="str">
        <f>_xlfn.XLOOKUP(A2609,'[1]2050Pop'!$A$7:$A$143,'[1]2050Pop'!$D$7:$D$143)</f>
        <v>SSA</v>
      </c>
      <c r="C2609" s="127">
        <f>1000*_xlfn.XLOOKUP(A2609,'[1]2050Pop'!$A$7:$A$143,'[1]2050Pop'!$C$7:$C$143)</f>
        <v>4981</v>
      </c>
      <c r="D2609" s="126" t="s">
        <v>517</v>
      </c>
      <c r="E2609" s="128">
        <v>21.797000000000001</v>
      </c>
      <c r="F2609" s="129">
        <f t="shared" si="122"/>
        <v>0.10857085700000001</v>
      </c>
      <c r="G2609" t="str">
        <f>_xlfn.XLOOKUP(D2609,'[1]2050 BAU Mapping to T &amp; C'!$A$3:$A$52,'[1]2050 BAU Mapping to T &amp; C'!$B$3:$B$52)</f>
        <v>Other veg</v>
      </c>
      <c r="H2609" s="129">
        <f>_xlfn.XLOOKUP(G2609,'[1]T&amp;C emissions for 2050 analysis'!$B$3:$B$23,'[1]T&amp;C emissions for 2050 analysis'!$C$3:$C$23)</f>
        <v>0.26766666666666666</v>
      </c>
      <c r="I2609" s="27">
        <f t="shared" si="120"/>
        <v>2.9060799390333333E-2</v>
      </c>
      <c r="J2609" s="129">
        <f t="shared" si="121"/>
        <v>5.8343303333333338</v>
      </c>
    </row>
    <row r="2610" spans="1:10" hidden="1" x14ac:dyDescent="0.35">
      <c r="A2610" s="126" t="s">
        <v>398</v>
      </c>
      <c r="B2610" t="str">
        <f>_xlfn.XLOOKUP(A2610,'[1]2050Pop'!$A$7:$A$143,'[1]2050Pop'!$D$7:$D$143)</f>
        <v>MENA</v>
      </c>
      <c r="C2610" s="127">
        <f>1000*_xlfn.XLOOKUP(A2610,'[1]2050Pop'!$A$7:$A$143,'[1]2050Pop'!$C$7:$C$143)</f>
        <v>3483</v>
      </c>
      <c r="D2610" s="126" t="s">
        <v>517</v>
      </c>
      <c r="E2610" s="128">
        <v>52.210999999999999</v>
      </c>
      <c r="F2610" s="129">
        <f t="shared" si="122"/>
        <v>0.181850913</v>
      </c>
      <c r="G2610" t="str">
        <f>_xlfn.XLOOKUP(D2610,'[1]2050 BAU Mapping to T &amp; C'!$A$3:$A$52,'[1]2050 BAU Mapping to T &amp; C'!$B$3:$B$52)</f>
        <v>Other veg</v>
      </c>
      <c r="H2610" s="129">
        <f>_xlfn.XLOOKUP(G2610,'[1]T&amp;C emissions for 2050 analysis'!$B$3:$B$23,'[1]T&amp;C emissions for 2050 analysis'!$C$3:$C$23)</f>
        <v>0.26766666666666666</v>
      </c>
      <c r="I2610" s="27">
        <f t="shared" si="120"/>
        <v>4.8675427713E-2</v>
      </c>
      <c r="J2610" s="129">
        <f t="shared" si="121"/>
        <v>13.975144333333333</v>
      </c>
    </row>
    <row r="2611" spans="1:10" hidden="1" x14ac:dyDescent="0.35">
      <c r="A2611" s="126" t="s">
        <v>399</v>
      </c>
      <c r="B2611" t="str">
        <f>_xlfn.XLOOKUP(A2611,'[1]2050Pop'!$A$7:$A$143,'[1]2050Pop'!$D$7:$D$143)</f>
        <v>Euro/AU/NZ</v>
      </c>
      <c r="C2611" s="127">
        <f>1000*_xlfn.XLOOKUP(A2611,'[1]2050Pop'!$A$7:$A$143,'[1]2050Pop'!$C$7:$C$143)</f>
        <v>74513</v>
      </c>
      <c r="D2611" s="126" t="s">
        <v>517</v>
      </c>
      <c r="E2611" s="128">
        <v>73.664000000000001</v>
      </c>
      <c r="F2611" s="129">
        <f t="shared" si="122"/>
        <v>5.4889256319999999</v>
      </c>
      <c r="G2611" t="str">
        <f>_xlfn.XLOOKUP(D2611,'[1]2050 BAU Mapping to T &amp; C'!$A$3:$A$52,'[1]2050 BAU Mapping to T &amp; C'!$B$3:$B$52)</f>
        <v>Other veg</v>
      </c>
      <c r="H2611" s="129">
        <f>_xlfn.XLOOKUP(G2611,'[1]T&amp;C emissions for 2050 analysis'!$B$3:$B$23,'[1]T&amp;C emissions for 2050 analysis'!$C$3:$C$23)</f>
        <v>0.26766666666666666</v>
      </c>
      <c r="I2611" s="27">
        <f t="shared" si="120"/>
        <v>1.4692024274986666</v>
      </c>
      <c r="J2611" s="129">
        <f t="shared" si="121"/>
        <v>19.717397333333334</v>
      </c>
    </row>
    <row r="2612" spans="1:10" hidden="1" x14ac:dyDescent="0.35">
      <c r="A2612" s="126" t="s">
        <v>400</v>
      </c>
      <c r="B2612" t="str">
        <f>_xlfn.XLOOKUP(A2612,'[1]2050Pop'!$A$7:$A$143,'[1]2050Pop'!$D$7:$D$143)</f>
        <v>SSA</v>
      </c>
      <c r="C2612" s="127">
        <f>1000*_xlfn.XLOOKUP(A2612,'[1]2050Pop'!$A$7:$A$143,'[1]2050Pop'!$C$7:$C$143)</f>
        <v>50071</v>
      </c>
      <c r="D2612" s="126" t="s">
        <v>517</v>
      </c>
      <c r="E2612" s="130">
        <v>40.25</v>
      </c>
      <c r="F2612" s="129">
        <f t="shared" si="122"/>
        <v>2.0153577500000002</v>
      </c>
      <c r="G2612" t="str">
        <f>_xlfn.XLOOKUP(D2612,'[1]2050 BAU Mapping to T &amp; C'!$A$3:$A$52,'[1]2050 BAU Mapping to T &amp; C'!$B$3:$B$52)</f>
        <v>Other veg</v>
      </c>
      <c r="H2612" s="129">
        <f>_xlfn.XLOOKUP(G2612,'[1]T&amp;C emissions for 2050 analysis'!$B$3:$B$23,'[1]T&amp;C emissions for 2050 analysis'!$C$3:$C$23)</f>
        <v>0.26766666666666666</v>
      </c>
      <c r="I2612" s="27">
        <f t="shared" si="120"/>
        <v>0.53944409108333335</v>
      </c>
      <c r="J2612" s="129">
        <f t="shared" si="121"/>
        <v>10.773583333333333</v>
      </c>
    </row>
    <row r="2613" spans="1:10" hidden="1" x14ac:dyDescent="0.35">
      <c r="A2613" s="126" t="s">
        <v>401</v>
      </c>
      <c r="B2613" t="str">
        <f>_xlfn.XLOOKUP(A2613,'[1]2050Pop'!$A$7:$A$143,'[1]2050Pop'!$D$7:$D$143)</f>
        <v>Euro/AU/NZ</v>
      </c>
      <c r="C2613" s="127">
        <f>1000*_xlfn.XLOOKUP(A2613,'[1]2050Pop'!$A$7:$A$143,'[1]2050Pop'!$C$7:$C$143)</f>
        <v>9705</v>
      </c>
      <c r="D2613" s="126" t="s">
        <v>517</v>
      </c>
      <c r="E2613" s="128">
        <v>156.90100000000001</v>
      </c>
      <c r="F2613" s="129">
        <f t="shared" si="122"/>
        <v>1.5227242050000001</v>
      </c>
      <c r="G2613" t="str">
        <f>_xlfn.XLOOKUP(D2613,'[1]2050 BAU Mapping to T &amp; C'!$A$3:$A$52,'[1]2050 BAU Mapping to T &amp; C'!$B$3:$B$52)</f>
        <v>Other veg</v>
      </c>
      <c r="H2613" s="129">
        <f>_xlfn.XLOOKUP(G2613,'[1]T&amp;C emissions for 2050 analysis'!$B$3:$B$23,'[1]T&amp;C emissions for 2050 analysis'!$C$3:$C$23)</f>
        <v>0.26766666666666666</v>
      </c>
      <c r="I2613" s="27">
        <f t="shared" si="120"/>
        <v>0.40758251220500002</v>
      </c>
      <c r="J2613" s="129">
        <f t="shared" si="121"/>
        <v>41.99716766666667</v>
      </c>
    </row>
    <row r="2614" spans="1:10" hidden="1" x14ac:dyDescent="0.35">
      <c r="A2614" s="126" t="s">
        <v>402</v>
      </c>
      <c r="B2614" t="str">
        <f>_xlfn.XLOOKUP(A2614,'[1]2050Pop'!$A$7:$A$143,'[1]2050Pop'!$D$7:$D$143)</f>
        <v>LatAm &amp; RSA</v>
      </c>
      <c r="C2614" s="127">
        <f>1000*_xlfn.XLOOKUP(A2614,'[1]2050Pop'!$A$7:$A$143,'[1]2050Pop'!$C$7:$C$143)</f>
        <v>27754</v>
      </c>
      <c r="D2614" s="126" t="s">
        <v>517</v>
      </c>
      <c r="E2614" s="128">
        <v>50.237000000000002</v>
      </c>
      <c r="F2614" s="129">
        <f t="shared" si="122"/>
        <v>1.394277698</v>
      </c>
      <c r="G2614" t="str">
        <f>_xlfn.XLOOKUP(D2614,'[1]2050 BAU Mapping to T &amp; C'!$A$3:$A$52,'[1]2050 BAU Mapping to T &amp; C'!$B$3:$B$52)</f>
        <v>Other veg</v>
      </c>
      <c r="H2614" s="129">
        <f>_xlfn.XLOOKUP(G2614,'[1]T&amp;C emissions for 2050 analysis'!$B$3:$B$23,'[1]T&amp;C emissions for 2050 analysis'!$C$3:$C$23)</f>
        <v>0.26766666666666666</v>
      </c>
      <c r="I2614" s="27">
        <f t="shared" si="120"/>
        <v>0.37320166383133335</v>
      </c>
      <c r="J2614" s="129">
        <f t="shared" si="121"/>
        <v>13.446770333333333</v>
      </c>
    </row>
    <row r="2615" spans="1:10" hidden="1" x14ac:dyDescent="0.35">
      <c r="A2615" s="126" t="s">
        <v>403</v>
      </c>
      <c r="B2615" t="str">
        <f>_xlfn.XLOOKUP(A2615,'[1]2050Pop'!$A$7:$A$143,'[1]2050Pop'!$D$7:$D$143)</f>
        <v>SSA</v>
      </c>
      <c r="C2615" s="127">
        <f>1000*_xlfn.XLOOKUP(A2615,'[1]2050Pop'!$A$7:$A$143,'[1]2050Pop'!$C$7:$C$143)</f>
        <v>27486</v>
      </c>
      <c r="D2615" s="126" t="s">
        <v>517</v>
      </c>
      <c r="E2615" s="128">
        <v>137.88200000000001</v>
      </c>
      <c r="F2615" s="129">
        <f t="shared" si="122"/>
        <v>3.7898246520000001</v>
      </c>
      <c r="G2615" t="str">
        <f>_xlfn.XLOOKUP(D2615,'[1]2050 BAU Mapping to T &amp; C'!$A$3:$A$52,'[1]2050 BAU Mapping to T &amp; C'!$B$3:$B$52)</f>
        <v>Other veg</v>
      </c>
      <c r="H2615" s="129">
        <f>_xlfn.XLOOKUP(G2615,'[1]T&amp;C emissions for 2050 analysis'!$B$3:$B$23,'[1]T&amp;C emissions for 2050 analysis'!$C$3:$C$23)</f>
        <v>0.26766666666666666</v>
      </c>
      <c r="I2615" s="27">
        <f t="shared" si="120"/>
        <v>1.014409731852</v>
      </c>
      <c r="J2615" s="129">
        <f t="shared" si="121"/>
        <v>36.906415333333335</v>
      </c>
    </row>
    <row r="2616" spans="1:10" hidden="1" x14ac:dyDescent="0.35">
      <c r="A2616" s="126" t="s">
        <v>404</v>
      </c>
      <c r="B2616" t="str">
        <f>_xlfn.XLOOKUP(A2616,'[1]2050Pop'!$A$7:$A$143,'[1]2050Pop'!$D$7:$D$143)</f>
        <v>LatAm &amp; RSA</v>
      </c>
      <c r="C2616" s="127">
        <f>1000*_xlfn.XLOOKUP(A2616,'[1]2050Pop'!$A$7:$A$143,'[1]2050Pop'!$C$7:$C$143)</f>
        <v>806</v>
      </c>
      <c r="D2616" s="126" t="s">
        <v>517</v>
      </c>
      <c r="E2616" s="128">
        <v>95.787000000000006</v>
      </c>
      <c r="F2616" s="129">
        <f t="shared" si="122"/>
        <v>7.7204322000000006E-2</v>
      </c>
      <c r="G2616" t="str">
        <f>_xlfn.XLOOKUP(D2616,'[1]2050 BAU Mapping to T &amp; C'!$A$3:$A$52,'[1]2050 BAU Mapping to T &amp; C'!$B$3:$B$52)</f>
        <v>Other veg</v>
      </c>
      <c r="H2616" s="129">
        <f>_xlfn.XLOOKUP(G2616,'[1]T&amp;C emissions for 2050 analysis'!$B$3:$B$23,'[1]T&amp;C emissions for 2050 analysis'!$C$3:$C$23)</f>
        <v>0.26766666666666666</v>
      </c>
      <c r="I2616" s="27">
        <f t="shared" si="120"/>
        <v>2.0665023522E-2</v>
      </c>
      <c r="J2616" s="129">
        <f t="shared" si="121"/>
        <v>25.638987</v>
      </c>
    </row>
    <row r="2617" spans="1:10" hidden="1" x14ac:dyDescent="0.35">
      <c r="A2617" s="126" t="s">
        <v>405</v>
      </c>
      <c r="B2617" t="str">
        <f>_xlfn.XLOOKUP(A2617,'[1]2050Pop'!$A$7:$A$143,'[1]2050Pop'!$D$7:$D$143)</f>
        <v>LatAm &amp; RSA</v>
      </c>
      <c r="C2617" s="127">
        <f>1000*_xlfn.XLOOKUP(A2617,'[1]2050Pop'!$A$7:$A$143,'[1]2050Pop'!$C$7:$C$143)</f>
        <v>14189</v>
      </c>
      <c r="D2617" s="126" t="s">
        <v>517</v>
      </c>
      <c r="E2617" s="130">
        <v>24.67</v>
      </c>
      <c r="F2617" s="129">
        <f t="shared" si="122"/>
        <v>0.35004263000000002</v>
      </c>
      <c r="G2617" t="str">
        <f>_xlfn.XLOOKUP(D2617,'[1]2050 BAU Mapping to T &amp; C'!$A$3:$A$52,'[1]2050 BAU Mapping to T &amp; C'!$B$3:$B$52)</f>
        <v>Other veg</v>
      </c>
      <c r="H2617" s="129">
        <f>_xlfn.XLOOKUP(G2617,'[1]T&amp;C emissions for 2050 analysis'!$B$3:$B$23,'[1]T&amp;C emissions for 2050 analysis'!$C$3:$C$23)</f>
        <v>0.26766666666666666</v>
      </c>
      <c r="I2617" s="27">
        <f t="shared" si="120"/>
        <v>9.3694743963333341E-2</v>
      </c>
      <c r="J2617" s="129">
        <f t="shared" si="121"/>
        <v>6.6033366666666673</v>
      </c>
    </row>
    <row r="2618" spans="1:10" hidden="1" x14ac:dyDescent="0.35">
      <c r="A2618" s="126" t="s">
        <v>406</v>
      </c>
      <c r="B2618" t="str">
        <f>_xlfn.XLOOKUP(A2618,'[1]2050Pop'!$A$7:$A$143,'[1]2050Pop'!$D$7:$D$143)</f>
        <v>LatAm &amp; RSA</v>
      </c>
      <c r="C2618" s="127">
        <f>1000*_xlfn.XLOOKUP(A2618,'[1]2050Pop'!$A$7:$A$143,'[1]2050Pop'!$C$7:$C$143)</f>
        <v>11217</v>
      </c>
      <c r="D2618" s="126" t="s">
        <v>517</v>
      </c>
      <c r="E2618" s="128">
        <v>39.037999999999997</v>
      </c>
      <c r="F2618" s="129">
        <f t="shared" si="122"/>
        <v>0.43788924600000001</v>
      </c>
      <c r="G2618" t="str">
        <f>_xlfn.XLOOKUP(D2618,'[1]2050 BAU Mapping to T &amp; C'!$A$3:$A$52,'[1]2050 BAU Mapping to T &amp; C'!$B$3:$B$52)</f>
        <v>Other veg</v>
      </c>
      <c r="H2618" s="129">
        <f>_xlfn.XLOOKUP(G2618,'[1]T&amp;C emissions for 2050 analysis'!$B$3:$B$23,'[1]T&amp;C emissions for 2050 analysis'!$C$3:$C$23)</f>
        <v>0.26766666666666666</v>
      </c>
      <c r="I2618" s="27">
        <f t="shared" si="120"/>
        <v>0.11720835484600001</v>
      </c>
      <c r="J2618" s="129">
        <f t="shared" si="121"/>
        <v>10.449171333333332</v>
      </c>
    </row>
    <row r="2619" spans="1:10" hidden="1" x14ac:dyDescent="0.35">
      <c r="A2619" s="126" t="s">
        <v>407</v>
      </c>
      <c r="B2619" t="str">
        <f>_xlfn.XLOOKUP(A2619,'[1]2050Pop'!$A$7:$A$143,'[1]2050Pop'!$D$7:$D$143)</f>
        <v>Euro/AU/NZ</v>
      </c>
      <c r="C2619" s="127">
        <f>1000*_xlfn.XLOOKUP(A2619,'[1]2050Pop'!$A$7:$A$143,'[1]2050Pop'!$C$7:$C$143)</f>
        <v>8318</v>
      </c>
      <c r="D2619" s="126" t="s">
        <v>517</v>
      </c>
      <c r="E2619" s="128">
        <v>77.798000000000002</v>
      </c>
      <c r="F2619" s="129">
        <f t="shared" si="122"/>
        <v>0.64712376399999993</v>
      </c>
      <c r="G2619" t="str">
        <f>_xlfn.XLOOKUP(D2619,'[1]2050 BAU Mapping to T &amp; C'!$A$3:$A$52,'[1]2050 BAU Mapping to T &amp; C'!$B$3:$B$52)</f>
        <v>Other veg</v>
      </c>
      <c r="H2619" s="129">
        <f>_xlfn.XLOOKUP(G2619,'[1]T&amp;C emissions for 2050 analysis'!$B$3:$B$23,'[1]T&amp;C emissions for 2050 analysis'!$C$3:$C$23)</f>
        <v>0.26766666666666666</v>
      </c>
      <c r="I2619" s="27">
        <f t="shared" si="120"/>
        <v>0.17321346083066666</v>
      </c>
      <c r="J2619" s="129">
        <f t="shared" si="121"/>
        <v>20.823931333333334</v>
      </c>
    </row>
    <row r="2620" spans="1:10" hidden="1" x14ac:dyDescent="0.35">
      <c r="A2620" s="126" t="s">
        <v>408</v>
      </c>
      <c r="B2620" t="str">
        <f>_xlfn.XLOOKUP(A2620,'[1]2050Pop'!$A$7:$A$143,'[1]2050Pop'!$D$7:$D$143)</f>
        <v>India/South Asia</v>
      </c>
      <c r="C2620" s="127">
        <f>1000*_xlfn.XLOOKUP(A2620,'[1]2050Pop'!$A$7:$A$143,'[1]2050Pop'!$C$7:$C$143)</f>
        <v>1705333</v>
      </c>
      <c r="D2620" s="126" t="s">
        <v>517</v>
      </c>
      <c r="E2620" s="130">
        <v>76.23</v>
      </c>
      <c r="F2620" s="129">
        <f t="shared" si="122"/>
        <v>129.99753459000001</v>
      </c>
      <c r="G2620" t="str">
        <f>_xlfn.XLOOKUP(D2620,'[1]2050 BAU Mapping to T &amp; C'!$A$3:$A$52,'[1]2050 BAU Mapping to T &amp; C'!$B$3:$B$52)</f>
        <v>Other veg</v>
      </c>
      <c r="H2620" s="129">
        <f>_xlfn.XLOOKUP(G2620,'[1]T&amp;C emissions for 2050 analysis'!$B$3:$B$23,'[1]T&amp;C emissions for 2050 analysis'!$C$3:$C$23)</f>
        <v>0.26766666666666666</v>
      </c>
      <c r="I2620" s="27">
        <f t="shared" si="120"/>
        <v>34.796006758590003</v>
      </c>
      <c r="J2620" s="129">
        <f t="shared" si="121"/>
        <v>20.404230000000002</v>
      </c>
    </row>
    <row r="2621" spans="1:10" hidden="1" x14ac:dyDescent="0.35">
      <c r="A2621" s="126" t="s">
        <v>409</v>
      </c>
      <c r="B2621" t="str">
        <f>_xlfn.XLOOKUP(A2621,'[1]2050Pop'!$A$7:$A$143,'[1]2050Pop'!$D$7:$D$143)</f>
        <v>APAC</v>
      </c>
      <c r="C2621" s="127">
        <f>1000*_xlfn.XLOOKUP(A2621,'[1]2050Pop'!$A$7:$A$143,'[1]2050Pop'!$C$7:$C$143)</f>
        <v>322237</v>
      </c>
      <c r="D2621" s="126" t="s">
        <v>517</v>
      </c>
      <c r="E2621" s="128">
        <v>51.664000000000001</v>
      </c>
      <c r="F2621" s="129">
        <f t="shared" si="122"/>
        <v>16.648052368000002</v>
      </c>
      <c r="G2621" t="str">
        <f>_xlfn.XLOOKUP(D2621,'[1]2050 BAU Mapping to T &amp; C'!$A$3:$A$52,'[1]2050 BAU Mapping to T &amp; C'!$B$3:$B$52)</f>
        <v>Other veg</v>
      </c>
      <c r="H2621" s="129">
        <f>_xlfn.XLOOKUP(G2621,'[1]T&amp;C emissions for 2050 analysis'!$B$3:$B$23,'[1]T&amp;C emissions for 2050 analysis'!$C$3:$C$23)</f>
        <v>0.26766666666666666</v>
      </c>
      <c r="I2621" s="27">
        <f t="shared" si="120"/>
        <v>4.4561286838346668</v>
      </c>
      <c r="J2621" s="129">
        <f t="shared" si="121"/>
        <v>13.828730666666667</v>
      </c>
    </row>
    <row r="2622" spans="1:10" hidden="1" x14ac:dyDescent="0.35">
      <c r="A2622" s="126" t="s">
        <v>410</v>
      </c>
      <c r="B2622" t="str">
        <f>_xlfn.XLOOKUP(A2622,'[1]2050Pop'!$A$7:$A$143,'[1]2050Pop'!$D$7:$D$143)</f>
        <v>India/South Asia</v>
      </c>
      <c r="C2622" s="127">
        <f>1000*_xlfn.XLOOKUP(A2622,'[1]2050Pop'!$A$7:$A$143,'[1]2050Pop'!$C$7:$C$143)</f>
        <v>92219</v>
      </c>
      <c r="D2622" s="126" t="s">
        <v>517</v>
      </c>
      <c r="E2622" s="128">
        <v>173.50800000000001</v>
      </c>
      <c r="F2622" s="129">
        <f t="shared" si="122"/>
        <v>16.000734252000001</v>
      </c>
      <c r="G2622" t="str">
        <f>_xlfn.XLOOKUP(D2622,'[1]2050 BAU Mapping to T &amp; C'!$A$3:$A$52,'[1]2050 BAU Mapping to T &amp; C'!$B$3:$B$52)</f>
        <v>Other veg</v>
      </c>
      <c r="H2622" s="129">
        <f>_xlfn.XLOOKUP(G2622,'[1]T&amp;C emissions for 2050 analysis'!$B$3:$B$23,'[1]T&amp;C emissions for 2050 analysis'!$C$3:$C$23)</f>
        <v>0.26766666666666666</v>
      </c>
      <c r="I2622" s="27">
        <f t="shared" si="120"/>
        <v>4.2828632014519998</v>
      </c>
      <c r="J2622" s="129">
        <f t="shared" si="121"/>
        <v>46.442308000000004</v>
      </c>
    </row>
    <row r="2623" spans="1:10" hidden="1" x14ac:dyDescent="0.35">
      <c r="A2623" s="126" t="s">
        <v>411</v>
      </c>
      <c r="B2623" t="str">
        <f>_xlfn.XLOOKUP(A2623,'[1]2050Pop'!$A$7:$A$143,'[1]2050Pop'!$D$7:$D$143)</f>
        <v>MENA</v>
      </c>
      <c r="C2623" s="127">
        <f>1000*_xlfn.XLOOKUP(A2623,'[1]2050Pop'!$A$7:$A$143,'[1]2050Pop'!$C$7:$C$143)</f>
        <v>83652</v>
      </c>
      <c r="D2623" s="126" t="s">
        <v>517</v>
      </c>
      <c r="E2623" s="128">
        <v>95.197000000000003</v>
      </c>
      <c r="F2623" s="129">
        <f t="shared" si="122"/>
        <v>7.9634194440000003</v>
      </c>
      <c r="G2623" t="str">
        <f>_xlfn.XLOOKUP(D2623,'[1]2050 BAU Mapping to T &amp; C'!$A$3:$A$52,'[1]2050 BAU Mapping to T &amp; C'!$B$3:$B$52)</f>
        <v>Other veg</v>
      </c>
      <c r="H2623" s="129">
        <f>_xlfn.XLOOKUP(G2623,'[1]T&amp;C emissions for 2050 analysis'!$B$3:$B$23,'[1]T&amp;C emissions for 2050 analysis'!$C$3:$C$23)</f>
        <v>0.26766666666666666</v>
      </c>
      <c r="I2623" s="27">
        <f t="shared" si="120"/>
        <v>2.1315419378440001</v>
      </c>
      <c r="J2623" s="129">
        <f t="shared" si="121"/>
        <v>25.481063666666667</v>
      </c>
    </row>
    <row r="2624" spans="1:10" hidden="1" x14ac:dyDescent="0.35">
      <c r="A2624" s="126" t="s">
        <v>412</v>
      </c>
      <c r="B2624" t="str">
        <f>_xlfn.XLOOKUP(A2624,'[1]2050Pop'!$A$7:$A$143,'[1]2050Pop'!$D$7:$D$143)</f>
        <v>Euro/AU/NZ</v>
      </c>
      <c r="C2624" s="127">
        <f>1000*_xlfn.XLOOKUP(A2624,'[1]2050Pop'!$A$7:$A$143,'[1]2050Pop'!$C$7:$C$143)</f>
        <v>5789</v>
      </c>
      <c r="D2624" s="126" t="s">
        <v>517</v>
      </c>
      <c r="E2624" s="128">
        <v>92.888000000000005</v>
      </c>
      <c r="F2624" s="129">
        <f t="shared" si="122"/>
        <v>0.53772863199999998</v>
      </c>
      <c r="G2624" t="str">
        <f>_xlfn.XLOOKUP(D2624,'[1]2050 BAU Mapping to T &amp; C'!$A$3:$A$52,'[1]2050 BAU Mapping to T &amp; C'!$B$3:$B$52)</f>
        <v>Other veg</v>
      </c>
      <c r="H2624" s="129">
        <f>_xlfn.XLOOKUP(G2624,'[1]T&amp;C emissions for 2050 analysis'!$B$3:$B$23,'[1]T&amp;C emissions for 2050 analysis'!$C$3:$C$23)</f>
        <v>0.26766666666666666</v>
      </c>
      <c r="I2624" s="27">
        <f t="shared" si="120"/>
        <v>0.14393203049866665</v>
      </c>
      <c r="J2624" s="129">
        <f t="shared" si="121"/>
        <v>24.863021333333336</v>
      </c>
    </row>
    <row r="2625" spans="1:10" hidden="1" x14ac:dyDescent="0.35">
      <c r="A2625" s="126" t="s">
        <v>413</v>
      </c>
      <c r="B2625" t="str">
        <f>_xlfn.XLOOKUP(A2625,'[1]2050Pop'!$A$7:$A$143,'[1]2050Pop'!$D$7:$D$143)</f>
        <v>MENA</v>
      </c>
      <c r="C2625" s="127">
        <f>1000*_xlfn.XLOOKUP(A2625,'[1]2050Pop'!$A$7:$A$143,'[1]2050Pop'!$C$7:$C$143)</f>
        <v>12610</v>
      </c>
      <c r="D2625" s="126" t="s">
        <v>517</v>
      </c>
      <c r="E2625" s="128">
        <v>147.40700000000001</v>
      </c>
      <c r="F2625" s="129">
        <f t="shared" si="122"/>
        <v>1.85880227</v>
      </c>
      <c r="G2625" t="str">
        <f>_xlfn.XLOOKUP(D2625,'[1]2050 BAU Mapping to T &amp; C'!$A$3:$A$52,'[1]2050 BAU Mapping to T &amp; C'!$B$3:$B$52)</f>
        <v>Other veg</v>
      </c>
      <c r="H2625" s="129">
        <f>_xlfn.XLOOKUP(G2625,'[1]T&amp;C emissions for 2050 analysis'!$B$3:$B$23,'[1]T&amp;C emissions for 2050 analysis'!$C$3:$C$23)</f>
        <v>0.26766666666666666</v>
      </c>
      <c r="I2625" s="27">
        <f t="shared" si="120"/>
        <v>0.49753940760333332</v>
      </c>
      <c r="J2625" s="129">
        <f t="shared" si="121"/>
        <v>39.455940333333338</v>
      </c>
    </row>
    <row r="2626" spans="1:10" hidden="1" x14ac:dyDescent="0.35">
      <c r="A2626" s="126" t="s">
        <v>414</v>
      </c>
      <c r="B2626" t="str">
        <f>_xlfn.XLOOKUP(A2626,'[1]2050Pop'!$A$7:$A$143,'[1]2050Pop'!$D$7:$D$143)</f>
        <v>Euro/AU/NZ</v>
      </c>
      <c r="C2626" s="127">
        <f>1000*_xlfn.XLOOKUP(A2626,'[1]2050Pop'!$A$7:$A$143,'[1]2050Pop'!$C$7:$C$143)</f>
        <v>56513</v>
      </c>
      <c r="D2626" s="126" t="s">
        <v>517</v>
      </c>
      <c r="E2626" s="128">
        <v>94.444999999999993</v>
      </c>
      <c r="F2626" s="129">
        <f t="shared" si="122"/>
        <v>5.3373702849999995</v>
      </c>
      <c r="G2626" t="str">
        <f>_xlfn.XLOOKUP(D2626,'[1]2050 BAU Mapping to T &amp; C'!$A$3:$A$52,'[1]2050 BAU Mapping to T &amp; C'!$B$3:$B$52)</f>
        <v>Other veg</v>
      </c>
      <c r="H2626" s="129">
        <f>_xlfn.XLOOKUP(G2626,'[1]T&amp;C emissions for 2050 analysis'!$B$3:$B$23,'[1]T&amp;C emissions for 2050 analysis'!$C$3:$C$23)</f>
        <v>0.26766666666666666</v>
      </c>
      <c r="I2626" s="27">
        <f t="shared" si="120"/>
        <v>1.4286361129516665</v>
      </c>
      <c r="J2626" s="129">
        <f t="shared" si="121"/>
        <v>25.279778333333333</v>
      </c>
    </row>
    <row r="2627" spans="1:10" hidden="1" x14ac:dyDescent="0.35">
      <c r="A2627" s="126" t="s">
        <v>415</v>
      </c>
      <c r="B2627" t="str">
        <f>_xlfn.XLOOKUP(A2627,'[1]2050Pop'!$A$7:$A$143,'[1]2050Pop'!$D$7:$D$143)</f>
        <v>LatAm &amp; RSA</v>
      </c>
      <c r="C2627" s="127">
        <f>1000*_xlfn.XLOOKUP(A2627,'[1]2050Pop'!$A$7:$A$143,'[1]2050Pop'!$C$7:$C$143)</f>
        <v>2710</v>
      </c>
      <c r="D2627" s="126" t="s">
        <v>517</v>
      </c>
      <c r="E2627" s="128">
        <v>72.932000000000002</v>
      </c>
      <c r="F2627" s="129">
        <f t="shared" si="122"/>
        <v>0.19764572</v>
      </c>
      <c r="G2627" t="str">
        <f>_xlfn.XLOOKUP(D2627,'[1]2050 BAU Mapping to T &amp; C'!$A$3:$A$52,'[1]2050 BAU Mapping to T &amp; C'!$B$3:$B$52)</f>
        <v>Other veg</v>
      </c>
      <c r="H2627" s="129">
        <f>_xlfn.XLOOKUP(G2627,'[1]T&amp;C emissions for 2050 analysis'!$B$3:$B$23,'[1]T&amp;C emissions for 2050 analysis'!$C$3:$C$23)</f>
        <v>0.26766666666666666</v>
      </c>
      <c r="I2627" s="27">
        <f t="shared" si="120"/>
        <v>5.290317105333333E-2</v>
      </c>
      <c r="J2627" s="129">
        <f t="shared" si="121"/>
        <v>19.521465333333335</v>
      </c>
    </row>
    <row r="2628" spans="1:10" hidden="1" x14ac:dyDescent="0.35">
      <c r="A2628" s="126" t="s">
        <v>416</v>
      </c>
      <c r="B2628" t="str">
        <f>_xlfn.XLOOKUP(A2628,'[1]2050Pop'!$A$7:$A$143,'[1]2050Pop'!$D$7:$D$143)</f>
        <v>APAC</v>
      </c>
      <c r="C2628" s="127">
        <f>1000*_xlfn.XLOOKUP(A2628,'[1]2050Pop'!$A$7:$A$143,'[1]2050Pop'!$C$7:$C$143)</f>
        <v>107411</v>
      </c>
      <c r="D2628" s="126" t="s">
        <v>517</v>
      </c>
      <c r="E2628" s="128">
        <v>81.111000000000004</v>
      </c>
      <c r="F2628" s="129">
        <f t="shared" si="122"/>
        <v>8.7122136210000019</v>
      </c>
      <c r="G2628" t="str">
        <f>_xlfn.XLOOKUP(D2628,'[1]2050 BAU Mapping to T &amp; C'!$A$3:$A$52,'[1]2050 BAU Mapping to T &amp; C'!$B$3:$B$52)</f>
        <v>Other veg</v>
      </c>
      <c r="H2628" s="129">
        <f>_xlfn.XLOOKUP(G2628,'[1]T&amp;C emissions for 2050 analysis'!$B$3:$B$23,'[1]T&amp;C emissions for 2050 analysis'!$C$3:$C$23)</f>
        <v>0.26766666666666666</v>
      </c>
      <c r="I2628" s="27">
        <f t="shared" ref="I2628:I2691" si="123">F2628*H2628</f>
        <v>2.3319691792210007</v>
      </c>
      <c r="J2628" s="129">
        <f t="shared" ref="J2628:J2691" si="124">E2628*H2628</f>
        <v>21.710711</v>
      </c>
    </row>
    <row r="2629" spans="1:10" hidden="1" x14ac:dyDescent="0.35">
      <c r="A2629" s="126" t="s">
        <v>417</v>
      </c>
      <c r="B2629" t="str">
        <f>_xlfn.XLOOKUP(A2629,'[1]2050Pop'!$A$7:$A$143,'[1]2050Pop'!$D$7:$D$143)</f>
        <v>MENA</v>
      </c>
      <c r="C2629" s="127">
        <f>1000*_xlfn.XLOOKUP(A2629,'[1]2050Pop'!$A$7:$A$143,'[1]2050Pop'!$C$7:$C$143)</f>
        <v>11717</v>
      </c>
      <c r="D2629" s="126" t="s">
        <v>517</v>
      </c>
      <c r="E2629" s="128">
        <v>98.031000000000006</v>
      </c>
      <c r="F2629" s="129">
        <f t="shared" ref="F2629:F2692" si="125">C2629*E2629/1000000</f>
        <v>1.148629227</v>
      </c>
      <c r="G2629" t="str">
        <f>_xlfn.XLOOKUP(D2629,'[1]2050 BAU Mapping to T &amp; C'!$A$3:$A$52,'[1]2050 BAU Mapping to T &amp; C'!$B$3:$B$52)</f>
        <v>Other veg</v>
      </c>
      <c r="H2629" s="129">
        <f>_xlfn.XLOOKUP(G2629,'[1]T&amp;C emissions for 2050 analysis'!$B$3:$B$23,'[1]T&amp;C emissions for 2050 analysis'!$C$3:$C$23)</f>
        <v>0.26766666666666666</v>
      </c>
      <c r="I2629" s="27">
        <f t="shared" si="123"/>
        <v>0.30744975642700001</v>
      </c>
      <c r="J2629" s="129">
        <f t="shared" si="124"/>
        <v>26.239631000000003</v>
      </c>
    </row>
    <row r="2630" spans="1:10" hidden="1" x14ac:dyDescent="0.35">
      <c r="A2630" s="126" t="s">
        <v>418</v>
      </c>
      <c r="B2630" t="str">
        <f>_xlfn.XLOOKUP(A2630,'[1]2050Pop'!$A$7:$A$143,'[1]2050Pop'!$D$7:$D$143)</f>
        <v>APAC</v>
      </c>
      <c r="C2630" s="127">
        <f>1000*_xlfn.XLOOKUP(A2630,'[1]2050Pop'!$A$7:$A$143,'[1]2050Pop'!$C$7:$C$143)</f>
        <v>22447</v>
      </c>
      <c r="D2630" s="126" t="s">
        <v>517</v>
      </c>
      <c r="E2630" s="128">
        <v>156.876</v>
      </c>
      <c r="F2630" s="129">
        <f t="shared" si="125"/>
        <v>3.5213955720000003</v>
      </c>
      <c r="G2630" t="str">
        <f>_xlfn.XLOOKUP(D2630,'[1]2050 BAU Mapping to T &amp; C'!$A$3:$A$52,'[1]2050 BAU Mapping to T &amp; C'!$B$3:$B$52)</f>
        <v>Other veg</v>
      </c>
      <c r="H2630" s="129">
        <f>_xlfn.XLOOKUP(G2630,'[1]T&amp;C emissions for 2050 analysis'!$B$3:$B$23,'[1]T&amp;C emissions for 2050 analysis'!$C$3:$C$23)</f>
        <v>0.26766666666666666</v>
      </c>
      <c r="I2630" s="27">
        <f t="shared" si="123"/>
        <v>0.94256021477200003</v>
      </c>
      <c r="J2630" s="129">
        <f t="shared" si="124"/>
        <v>41.990476000000001</v>
      </c>
    </row>
    <row r="2631" spans="1:10" hidden="1" x14ac:dyDescent="0.35">
      <c r="A2631" s="126" t="s">
        <v>419</v>
      </c>
      <c r="B2631" t="str">
        <f>_xlfn.XLOOKUP(A2631,'[1]2050Pop'!$A$7:$A$143,'[1]2050Pop'!$D$7:$D$143)</f>
        <v>SSA</v>
      </c>
      <c r="C2631" s="127">
        <f>1000*_xlfn.XLOOKUP(A2631,'[1]2050Pop'!$A$7:$A$143,'[1]2050Pop'!$C$7:$C$143)</f>
        <v>95505</v>
      </c>
      <c r="D2631" s="126" t="s">
        <v>517</v>
      </c>
      <c r="E2631" s="128">
        <v>38.905999999999999</v>
      </c>
      <c r="F2631" s="129">
        <f t="shared" si="125"/>
        <v>3.7157175299999996</v>
      </c>
      <c r="G2631" t="str">
        <f>_xlfn.XLOOKUP(D2631,'[1]2050 BAU Mapping to T &amp; C'!$A$3:$A$52,'[1]2050 BAU Mapping to T &amp; C'!$B$3:$B$52)</f>
        <v>Other veg</v>
      </c>
      <c r="H2631" s="129">
        <f>_xlfn.XLOOKUP(G2631,'[1]T&amp;C emissions for 2050 analysis'!$B$3:$B$23,'[1]T&amp;C emissions for 2050 analysis'!$C$3:$C$23)</f>
        <v>0.26766666666666666</v>
      </c>
      <c r="I2631" s="27">
        <f t="shared" si="123"/>
        <v>0.9945737255299999</v>
      </c>
      <c r="J2631" s="129">
        <f t="shared" si="124"/>
        <v>10.413839333333334</v>
      </c>
    </row>
    <row r="2632" spans="1:10" hidden="1" x14ac:dyDescent="0.35">
      <c r="A2632" s="126" t="s">
        <v>420</v>
      </c>
      <c r="B2632" t="str">
        <f>_xlfn.XLOOKUP(A2632,'[1]2050Pop'!$A$7:$A$143,'[1]2050Pop'!$D$7:$D$143)</f>
        <v>APAC</v>
      </c>
      <c r="C2632" s="127">
        <f>1000*_xlfn.XLOOKUP(A2632,'[1]2050Pop'!$A$7:$A$143,'[1]2050Pop'!$C$7:$C$143)</f>
        <v>8248</v>
      </c>
      <c r="D2632" s="126" t="s">
        <v>517</v>
      </c>
      <c r="E2632" s="128">
        <v>149.96899999999999</v>
      </c>
      <c r="F2632" s="129">
        <f t="shared" si="125"/>
        <v>1.2369443119999999</v>
      </c>
      <c r="G2632" t="str">
        <f>_xlfn.XLOOKUP(D2632,'[1]2050 BAU Mapping to T &amp; C'!$A$3:$A$52,'[1]2050 BAU Mapping to T &amp; C'!$B$3:$B$52)</f>
        <v>Other veg</v>
      </c>
      <c r="H2632" s="129">
        <f>_xlfn.XLOOKUP(G2632,'[1]T&amp;C emissions for 2050 analysis'!$B$3:$B$23,'[1]T&amp;C emissions for 2050 analysis'!$C$3:$C$23)</f>
        <v>0.26766666666666666</v>
      </c>
      <c r="I2632" s="27">
        <f t="shared" si="123"/>
        <v>0.33108876084533329</v>
      </c>
      <c r="J2632" s="129">
        <f t="shared" si="124"/>
        <v>40.141702333333335</v>
      </c>
    </row>
    <row r="2633" spans="1:10" hidden="1" x14ac:dyDescent="0.35">
      <c r="A2633" s="126" t="s">
        <v>421</v>
      </c>
      <c r="B2633" t="str">
        <f>_xlfn.XLOOKUP(A2633,'[1]2050Pop'!$A$7:$A$143,'[1]2050Pop'!$D$7:$D$143)</f>
        <v>APAC</v>
      </c>
      <c r="C2633" s="127">
        <f>1000*_xlfn.XLOOKUP(A2633,'[1]2050Pop'!$A$7:$A$143,'[1]2050Pop'!$C$7:$C$143)</f>
        <v>10172</v>
      </c>
      <c r="D2633" s="126" t="s">
        <v>517</v>
      </c>
      <c r="E2633" s="128">
        <v>146.68799999999999</v>
      </c>
      <c r="F2633" s="129">
        <f t="shared" si="125"/>
        <v>1.4921103359999999</v>
      </c>
      <c r="G2633" t="str">
        <f>_xlfn.XLOOKUP(D2633,'[1]2050 BAU Mapping to T &amp; C'!$A$3:$A$52,'[1]2050 BAU Mapping to T &amp; C'!$B$3:$B$52)</f>
        <v>Other veg</v>
      </c>
      <c r="H2633" s="129">
        <f>_xlfn.XLOOKUP(G2633,'[1]T&amp;C emissions for 2050 analysis'!$B$3:$B$23,'[1]T&amp;C emissions for 2050 analysis'!$C$3:$C$23)</f>
        <v>0.26766666666666666</v>
      </c>
      <c r="I2633" s="27">
        <f t="shared" si="123"/>
        <v>0.39938819993599994</v>
      </c>
      <c r="J2633" s="129">
        <f t="shared" si="124"/>
        <v>39.263487999999995</v>
      </c>
    </row>
    <row r="2634" spans="1:10" hidden="1" x14ac:dyDescent="0.35">
      <c r="A2634" s="126" t="s">
        <v>422</v>
      </c>
      <c r="B2634" t="str">
        <f>_xlfn.XLOOKUP(A2634,'[1]2050Pop'!$A$7:$A$143,'[1]2050Pop'!$D$7:$D$143)</f>
        <v>Euro/AU/NZ</v>
      </c>
      <c r="C2634" s="127">
        <f>1000*_xlfn.XLOOKUP(A2634,'[1]2050Pop'!$A$7:$A$143,'[1]2050Pop'!$C$7:$C$143)</f>
        <v>1593</v>
      </c>
      <c r="D2634" s="126" t="s">
        <v>517</v>
      </c>
      <c r="E2634" s="128">
        <v>91.055999999999997</v>
      </c>
      <c r="F2634" s="129">
        <f t="shared" si="125"/>
        <v>0.14505220799999999</v>
      </c>
      <c r="G2634" t="str">
        <f>_xlfn.XLOOKUP(D2634,'[1]2050 BAU Mapping to T &amp; C'!$A$3:$A$52,'[1]2050 BAU Mapping to T &amp; C'!$B$3:$B$52)</f>
        <v>Other veg</v>
      </c>
      <c r="H2634" s="129">
        <f>_xlfn.XLOOKUP(G2634,'[1]T&amp;C emissions for 2050 analysis'!$B$3:$B$23,'[1]T&amp;C emissions for 2050 analysis'!$C$3:$C$23)</f>
        <v>0.26766666666666666</v>
      </c>
      <c r="I2634" s="27">
        <f t="shared" si="123"/>
        <v>3.8825641007999998E-2</v>
      </c>
      <c r="J2634" s="129">
        <f t="shared" si="124"/>
        <v>24.372655999999999</v>
      </c>
    </row>
    <row r="2635" spans="1:10" hidden="1" x14ac:dyDescent="0.35">
      <c r="A2635" s="126" t="s">
        <v>423</v>
      </c>
      <c r="B2635" t="str">
        <f>_xlfn.XLOOKUP(A2635,'[1]2050Pop'!$A$7:$A$143,'[1]2050Pop'!$D$7:$D$143)</f>
        <v>MENA</v>
      </c>
      <c r="C2635" s="127">
        <f>1000*_xlfn.XLOOKUP(A2635,'[1]2050Pop'!$A$7:$A$143,'[1]2050Pop'!$C$7:$C$143)</f>
        <v>5610</v>
      </c>
      <c r="D2635" s="126" t="s">
        <v>517</v>
      </c>
      <c r="E2635" s="128">
        <v>158.673</v>
      </c>
      <c r="F2635" s="129">
        <f t="shared" si="125"/>
        <v>0.89015553000000003</v>
      </c>
      <c r="G2635" t="str">
        <f>_xlfn.XLOOKUP(D2635,'[1]2050 BAU Mapping to T &amp; C'!$A$3:$A$52,'[1]2050 BAU Mapping to T &amp; C'!$B$3:$B$52)</f>
        <v>Other veg</v>
      </c>
      <c r="H2635" s="129">
        <f>_xlfn.XLOOKUP(G2635,'[1]T&amp;C emissions for 2050 analysis'!$B$3:$B$23,'[1]T&amp;C emissions for 2050 analysis'!$C$3:$C$23)</f>
        <v>0.26766666666666666</v>
      </c>
      <c r="I2635" s="27">
        <f t="shared" si="123"/>
        <v>0.23826496353000001</v>
      </c>
      <c r="J2635" s="129">
        <f t="shared" si="124"/>
        <v>42.471473000000003</v>
      </c>
    </row>
    <row r="2636" spans="1:10" hidden="1" x14ac:dyDescent="0.35">
      <c r="A2636" s="126" t="s">
        <v>424</v>
      </c>
      <c r="B2636" t="str">
        <f>_xlfn.XLOOKUP(A2636,'[1]2050Pop'!$A$7:$A$143,'[1]2050Pop'!$D$7:$D$143)</f>
        <v>SSA</v>
      </c>
      <c r="C2636" s="127">
        <f>1000*_xlfn.XLOOKUP(A2636,'[1]2050Pop'!$A$7:$A$143,'[1]2050Pop'!$C$7:$C$143)</f>
        <v>2987</v>
      </c>
      <c r="D2636" s="126" t="s">
        <v>517</v>
      </c>
      <c r="E2636" s="128">
        <v>16.056999999999999</v>
      </c>
      <c r="F2636" s="129">
        <f t="shared" si="125"/>
        <v>4.7962259E-2</v>
      </c>
      <c r="G2636" t="str">
        <f>_xlfn.XLOOKUP(D2636,'[1]2050 BAU Mapping to T &amp; C'!$A$3:$A$52,'[1]2050 BAU Mapping to T &amp; C'!$B$3:$B$52)</f>
        <v>Other veg</v>
      </c>
      <c r="H2636" s="129">
        <f>_xlfn.XLOOKUP(G2636,'[1]T&amp;C emissions for 2050 analysis'!$B$3:$B$23,'[1]T&amp;C emissions for 2050 analysis'!$C$3:$C$23)</f>
        <v>0.26766666666666666</v>
      </c>
      <c r="I2636" s="27">
        <f t="shared" si="123"/>
        <v>1.2837897992333333E-2</v>
      </c>
      <c r="J2636" s="129">
        <f t="shared" si="124"/>
        <v>4.2979236666666658</v>
      </c>
    </row>
    <row r="2637" spans="1:10" hidden="1" x14ac:dyDescent="0.35">
      <c r="A2637" s="126" t="s">
        <v>425</v>
      </c>
      <c r="B2637" t="str">
        <f>_xlfn.XLOOKUP(A2637,'[1]2050Pop'!$A$7:$A$143,'[1]2050Pop'!$D$7:$D$143)</f>
        <v>SSA</v>
      </c>
      <c r="C2637" s="127">
        <f>1000*_xlfn.XLOOKUP(A2637,'[1]2050Pop'!$A$7:$A$143,'[1]2050Pop'!$C$7:$C$143)</f>
        <v>9436</v>
      </c>
      <c r="D2637" s="126" t="s">
        <v>517</v>
      </c>
      <c r="E2637" s="128">
        <v>30.422000000000001</v>
      </c>
      <c r="F2637" s="129">
        <f t="shared" si="125"/>
        <v>0.28706199200000004</v>
      </c>
      <c r="G2637" t="str">
        <f>_xlfn.XLOOKUP(D2637,'[1]2050 BAU Mapping to T &amp; C'!$A$3:$A$52,'[1]2050 BAU Mapping to T &amp; C'!$B$3:$B$52)</f>
        <v>Other veg</v>
      </c>
      <c r="H2637" s="129">
        <f>_xlfn.XLOOKUP(G2637,'[1]T&amp;C emissions for 2050 analysis'!$B$3:$B$23,'[1]T&amp;C emissions for 2050 analysis'!$C$3:$C$23)</f>
        <v>0.26766666666666666</v>
      </c>
      <c r="I2637" s="27">
        <f t="shared" si="123"/>
        <v>7.6836926525333346E-2</v>
      </c>
      <c r="J2637" s="129">
        <f t="shared" si="124"/>
        <v>8.1429553333333331</v>
      </c>
    </row>
    <row r="2638" spans="1:10" hidden="1" x14ac:dyDescent="0.35">
      <c r="A2638" s="126" t="s">
        <v>426</v>
      </c>
      <c r="B2638" t="str">
        <f>_xlfn.XLOOKUP(A2638,'[1]2050Pop'!$A$7:$A$143,'[1]2050Pop'!$D$7:$D$143)</f>
        <v>Euro/AU/NZ</v>
      </c>
      <c r="C2638" s="127">
        <f>1000*_xlfn.XLOOKUP(A2638,'[1]2050Pop'!$A$7:$A$143,'[1]2050Pop'!$C$7:$C$143)</f>
        <v>2375</v>
      </c>
      <c r="D2638" s="126" t="s">
        <v>517</v>
      </c>
      <c r="E2638" s="130">
        <v>81.67</v>
      </c>
      <c r="F2638" s="129">
        <f t="shared" si="125"/>
        <v>0.19396625000000001</v>
      </c>
      <c r="G2638" t="str">
        <f>_xlfn.XLOOKUP(D2638,'[1]2050 BAU Mapping to T &amp; C'!$A$3:$A$52,'[1]2050 BAU Mapping to T &amp; C'!$B$3:$B$52)</f>
        <v>Other veg</v>
      </c>
      <c r="H2638" s="129">
        <f>_xlfn.XLOOKUP(G2638,'[1]T&amp;C emissions for 2050 analysis'!$B$3:$B$23,'[1]T&amp;C emissions for 2050 analysis'!$C$3:$C$23)</f>
        <v>0.26766666666666666</v>
      </c>
      <c r="I2638" s="27">
        <f t="shared" si="123"/>
        <v>5.1918299583333334E-2</v>
      </c>
      <c r="J2638" s="129">
        <f t="shared" si="124"/>
        <v>21.860336666666665</v>
      </c>
    </row>
    <row r="2639" spans="1:10" hidden="1" x14ac:dyDescent="0.35">
      <c r="A2639" s="126" t="s">
        <v>427</v>
      </c>
      <c r="B2639" t="str">
        <f>_xlfn.XLOOKUP(A2639,'[1]2050Pop'!$A$7:$A$143,'[1]2050Pop'!$D$7:$D$143)</f>
        <v>SSA</v>
      </c>
      <c r="C2639" s="127">
        <f>1000*_xlfn.XLOOKUP(A2639,'[1]2050Pop'!$A$7:$A$143,'[1]2050Pop'!$C$7:$C$143)</f>
        <v>55294</v>
      </c>
      <c r="D2639" s="126" t="s">
        <v>517</v>
      </c>
      <c r="E2639" s="128">
        <v>15.012</v>
      </c>
      <c r="F2639" s="129">
        <f t="shared" si="125"/>
        <v>0.830073528</v>
      </c>
      <c r="G2639" t="str">
        <f>_xlfn.XLOOKUP(D2639,'[1]2050 BAU Mapping to T &amp; C'!$A$3:$A$52,'[1]2050 BAU Mapping to T &amp; C'!$B$3:$B$52)</f>
        <v>Other veg</v>
      </c>
      <c r="H2639" s="129">
        <f>_xlfn.XLOOKUP(G2639,'[1]T&amp;C emissions for 2050 analysis'!$B$3:$B$23,'[1]T&amp;C emissions for 2050 analysis'!$C$3:$C$23)</f>
        <v>0.26766666666666666</v>
      </c>
      <c r="I2639" s="27">
        <f t="shared" si="123"/>
        <v>0.222183014328</v>
      </c>
      <c r="J2639" s="129">
        <f t="shared" si="124"/>
        <v>4.0182120000000001</v>
      </c>
    </row>
    <row r="2640" spans="1:10" hidden="1" x14ac:dyDescent="0.35">
      <c r="A2640" s="126" t="s">
        <v>428</v>
      </c>
      <c r="B2640" t="str">
        <f>_xlfn.XLOOKUP(A2640,'[1]2050Pop'!$A$7:$A$143,'[1]2050Pop'!$D$7:$D$143)</f>
        <v>SSA</v>
      </c>
      <c r="C2640" s="127">
        <f>1000*_xlfn.XLOOKUP(A2640,'[1]2050Pop'!$A$7:$A$143,'[1]2050Pop'!$C$7:$C$143)</f>
        <v>43155</v>
      </c>
      <c r="D2640" s="126" t="s">
        <v>517</v>
      </c>
      <c r="E2640" s="128">
        <v>18.625</v>
      </c>
      <c r="F2640" s="129">
        <f t="shared" si="125"/>
        <v>0.80376187499999996</v>
      </c>
      <c r="G2640" t="str">
        <f>_xlfn.XLOOKUP(D2640,'[1]2050 BAU Mapping to T &amp; C'!$A$3:$A$52,'[1]2050 BAU Mapping to T &amp; C'!$B$3:$B$52)</f>
        <v>Other veg</v>
      </c>
      <c r="H2640" s="129">
        <f>_xlfn.XLOOKUP(G2640,'[1]T&amp;C emissions for 2050 analysis'!$B$3:$B$23,'[1]T&amp;C emissions for 2050 analysis'!$C$3:$C$23)</f>
        <v>0.26766666666666666</v>
      </c>
      <c r="I2640" s="27">
        <f t="shared" si="123"/>
        <v>0.21514026187499999</v>
      </c>
      <c r="J2640" s="129">
        <f t="shared" si="124"/>
        <v>4.9852916666666669</v>
      </c>
    </row>
    <row r="2641" spans="1:10" hidden="1" x14ac:dyDescent="0.35">
      <c r="A2641" s="126" t="s">
        <v>429</v>
      </c>
      <c r="B2641" t="str">
        <f>_xlfn.XLOOKUP(A2641,'[1]2050Pop'!$A$7:$A$143,'[1]2050Pop'!$D$7:$D$143)</f>
        <v>APAC</v>
      </c>
      <c r="C2641" s="127">
        <f>1000*_xlfn.XLOOKUP(A2641,'[1]2050Pop'!$A$7:$A$143,'[1]2050Pop'!$C$7:$C$143)</f>
        <v>40725</v>
      </c>
      <c r="D2641" s="126" t="s">
        <v>517</v>
      </c>
      <c r="E2641" s="128">
        <v>66.043000000000006</v>
      </c>
      <c r="F2641" s="129">
        <f t="shared" si="125"/>
        <v>2.6896011750000004</v>
      </c>
      <c r="G2641" t="str">
        <f>_xlfn.XLOOKUP(D2641,'[1]2050 BAU Mapping to T &amp; C'!$A$3:$A$52,'[1]2050 BAU Mapping to T &amp; C'!$B$3:$B$52)</f>
        <v>Other veg</v>
      </c>
      <c r="H2641" s="129">
        <f>_xlfn.XLOOKUP(G2641,'[1]T&amp;C emissions for 2050 analysis'!$B$3:$B$23,'[1]T&amp;C emissions for 2050 analysis'!$C$3:$C$23)</f>
        <v>0.26766666666666666</v>
      </c>
      <c r="I2641" s="27">
        <f t="shared" si="123"/>
        <v>0.71991658117500013</v>
      </c>
      <c r="J2641" s="129">
        <f t="shared" si="124"/>
        <v>17.677509666666669</v>
      </c>
    </row>
    <row r="2642" spans="1:10" hidden="1" x14ac:dyDescent="0.35">
      <c r="A2642" s="126" t="s">
        <v>430</v>
      </c>
      <c r="B2642" t="str">
        <f>_xlfn.XLOOKUP(A2642,'[1]2050Pop'!$A$7:$A$143,'[1]2050Pop'!$D$7:$D$143)</f>
        <v>SSA</v>
      </c>
      <c r="C2642" s="127">
        <f>1000*_xlfn.XLOOKUP(A2642,'[1]2050Pop'!$A$7:$A$143,'[1]2050Pop'!$C$7:$C$143)</f>
        <v>45404</v>
      </c>
      <c r="D2642" s="126" t="s">
        <v>517</v>
      </c>
      <c r="E2642" s="130">
        <v>41.69</v>
      </c>
      <c r="F2642" s="129">
        <f t="shared" si="125"/>
        <v>1.8928927600000001</v>
      </c>
      <c r="G2642" t="str">
        <f>_xlfn.XLOOKUP(D2642,'[1]2050 BAU Mapping to T &amp; C'!$A$3:$A$52,'[1]2050 BAU Mapping to T &amp; C'!$B$3:$B$52)</f>
        <v>Other veg</v>
      </c>
      <c r="H2642" s="129">
        <f>_xlfn.XLOOKUP(G2642,'[1]T&amp;C emissions for 2050 analysis'!$B$3:$B$23,'[1]T&amp;C emissions for 2050 analysis'!$C$3:$C$23)</f>
        <v>0.26766666666666666</v>
      </c>
      <c r="I2642" s="27">
        <f t="shared" si="123"/>
        <v>0.50666429542666669</v>
      </c>
      <c r="J2642" s="129">
        <f t="shared" si="124"/>
        <v>11.159023333333332</v>
      </c>
    </row>
    <row r="2643" spans="1:10" hidden="1" x14ac:dyDescent="0.35">
      <c r="A2643" s="126" t="s">
        <v>431</v>
      </c>
      <c r="B2643" t="str">
        <f>_xlfn.XLOOKUP(A2643,'[1]2050Pop'!$A$7:$A$143,'[1]2050Pop'!$D$7:$D$143)</f>
        <v>SSA</v>
      </c>
      <c r="C2643" s="127">
        <f>1000*_xlfn.XLOOKUP(A2643,'[1]2050Pop'!$A$7:$A$143,'[1]2050Pop'!$C$7:$C$143)</f>
        <v>8048.9999999999991</v>
      </c>
      <c r="D2643" s="126" t="s">
        <v>517</v>
      </c>
      <c r="E2643" s="128">
        <v>28.434999999999999</v>
      </c>
      <c r="F2643" s="129">
        <f t="shared" si="125"/>
        <v>0.22887331499999997</v>
      </c>
      <c r="G2643" t="str">
        <f>_xlfn.XLOOKUP(D2643,'[1]2050 BAU Mapping to T &amp; C'!$A$3:$A$52,'[1]2050 BAU Mapping to T &amp; C'!$B$3:$B$52)</f>
        <v>Other veg</v>
      </c>
      <c r="H2643" s="129">
        <f>_xlfn.XLOOKUP(G2643,'[1]T&amp;C emissions for 2050 analysis'!$B$3:$B$23,'[1]T&amp;C emissions for 2050 analysis'!$C$3:$C$23)</f>
        <v>0.26766666666666666</v>
      </c>
      <c r="I2643" s="27">
        <f t="shared" si="123"/>
        <v>6.1261757314999991E-2</v>
      </c>
      <c r="J2643" s="129">
        <f t="shared" si="124"/>
        <v>7.6111016666666664</v>
      </c>
    </row>
    <row r="2644" spans="1:10" hidden="1" x14ac:dyDescent="0.35">
      <c r="A2644" s="126" t="s">
        <v>432</v>
      </c>
      <c r="B2644" t="str">
        <f>_xlfn.XLOOKUP(A2644,'[1]2050Pop'!$A$7:$A$143,'[1]2050Pop'!$D$7:$D$143)</f>
        <v>SSA</v>
      </c>
      <c r="C2644" s="127">
        <f>1000*_xlfn.XLOOKUP(A2644,'[1]2050Pop'!$A$7:$A$143,'[1]2050Pop'!$C$7:$C$143)</f>
        <v>1249</v>
      </c>
      <c r="D2644" s="126" t="s">
        <v>517</v>
      </c>
      <c r="E2644" s="128">
        <v>67.763000000000005</v>
      </c>
      <c r="F2644" s="129">
        <f t="shared" si="125"/>
        <v>8.463598700000001E-2</v>
      </c>
      <c r="G2644" t="str">
        <f>_xlfn.XLOOKUP(D2644,'[1]2050 BAU Mapping to T &amp; C'!$A$3:$A$52,'[1]2050 BAU Mapping to T &amp; C'!$B$3:$B$52)</f>
        <v>Other veg</v>
      </c>
      <c r="H2644" s="129">
        <f>_xlfn.XLOOKUP(G2644,'[1]T&amp;C emissions for 2050 analysis'!$B$3:$B$23,'[1]T&amp;C emissions for 2050 analysis'!$C$3:$C$23)</f>
        <v>0.26766666666666666</v>
      </c>
      <c r="I2644" s="27">
        <f t="shared" si="123"/>
        <v>2.2654232520333335E-2</v>
      </c>
      <c r="J2644" s="129">
        <f t="shared" si="124"/>
        <v>18.137896333333334</v>
      </c>
    </row>
    <row r="2645" spans="1:10" hidden="1" x14ac:dyDescent="0.35">
      <c r="A2645" s="126" t="s">
        <v>433</v>
      </c>
      <c r="B2645" t="str">
        <f>_xlfn.XLOOKUP(A2645,'[1]2050Pop'!$A$7:$A$143,'[1]2050Pop'!$D$7:$D$143)</f>
        <v>LatAm &amp; RSA</v>
      </c>
      <c r="C2645" s="127">
        <f>1000*_xlfn.XLOOKUP(A2645,'[1]2050Pop'!$A$7:$A$143,'[1]2050Pop'!$C$7:$C$143)</f>
        <v>163754</v>
      </c>
      <c r="D2645" s="126" t="s">
        <v>517</v>
      </c>
      <c r="E2645" s="128">
        <v>47.274999999999999</v>
      </c>
      <c r="F2645" s="129">
        <f t="shared" si="125"/>
        <v>7.7414703499999993</v>
      </c>
      <c r="G2645" t="str">
        <f>_xlfn.XLOOKUP(D2645,'[1]2050 BAU Mapping to T &amp; C'!$A$3:$A$52,'[1]2050 BAU Mapping to T &amp; C'!$B$3:$B$52)</f>
        <v>Other veg</v>
      </c>
      <c r="H2645" s="129">
        <f>_xlfn.XLOOKUP(G2645,'[1]T&amp;C emissions for 2050 analysis'!$B$3:$B$23,'[1]T&amp;C emissions for 2050 analysis'!$C$3:$C$23)</f>
        <v>0.26766666666666666</v>
      </c>
      <c r="I2645" s="27">
        <f t="shared" si="123"/>
        <v>2.0721335636833329</v>
      </c>
      <c r="J2645" s="129">
        <f t="shared" si="124"/>
        <v>12.653941666666666</v>
      </c>
    </row>
    <row r="2646" spans="1:10" hidden="1" x14ac:dyDescent="0.35">
      <c r="A2646" s="126" t="s">
        <v>434</v>
      </c>
      <c r="B2646" t="str">
        <f>_xlfn.XLOOKUP(A2646,'[1]2050Pop'!$A$7:$A$143,'[1]2050Pop'!$D$7:$D$143)</f>
        <v>APAC</v>
      </c>
      <c r="C2646" s="127">
        <f>1000*_xlfn.XLOOKUP(A2646,'[1]2050Pop'!$A$7:$A$143,'[1]2050Pop'!$C$7:$C$143)</f>
        <v>4027.9999999999995</v>
      </c>
      <c r="D2646" s="126" t="s">
        <v>517</v>
      </c>
      <c r="E2646" s="128">
        <v>51.152000000000001</v>
      </c>
      <c r="F2646" s="129">
        <f t="shared" si="125"/>
        <v>0.206040256</v>
      </c>
      <c r="G2646" t="str">
        <f>_xlfn.XLOOKUP(D2646,'[1]2050 BAU Mapping to T &amp; C'!$A$3:$A$52,'[1]2050 BAU Mapping to T &amp; C'!$B$3:$B$52)</f>
        <v>Other veg</v>
      </c>
      <c r="H2646" s="129">
        <f>_xlfn.XLOOKUP(G2646,'[1]T&amp;C emissions for 2050 analysis'!$B$3:$B$23,'[1]T&amp;C emissions for 2050 analysis'!$C$3:$C$23)</f>
        <v>0.26766666666666666</v>
      </c>
      <c r="I2646" s="27">
        <f t="shared" si="123"/>
        <v>5.515010852266667E-2</v>
      </c>
      <c r="J2646" s="129">
        <f t="shared" si="124"/>
        <v>13.691685333333334</v>
      </c>
    </row>
    <row r="2647" spans="1:10" hidden="1" x14ac:dyDescent="0.35">
      <c r="A2647" s="126" t="s">
        <v>435</v>
      </c>
      <c r="B2647" t="str">
        <f>_xlfn.XLOOKUP(A2647,'[1]2050Pop'!$A$7:$A$143,'[1]2050Pop'!$D$7:$D$143)</f>
        <v>MENA</v>
      </c>
      <c r="C2647" s="127">
        <f>1000*_xlfn.XLOOKUP(A2647,'[1]2050Pop'!$A$7:$A$143,'[1]2050Pop'!$C$7:$C$143)</f>
        <v>43696</v>
      </c>
      <c r="D2647" s="126" t="s">
        <v>517</v>
      </c>
      <c r="E2647" s="128">
        <v>127.253</v>
      </c>
      <c r="F2647" s="129">
        <f t="shared" si="125"/>
        <v>5.5604470880000001</v>
      </c>
      <c r="G2647" t="str">
        <f>_xlfn.XLOOKUP(D2647,'[1]2050 BAU Mapping to T &amp; C'!$A$3:$A$52,'[1]2050 BAU Mapping to T &amp; C'!$B$3:$B$52)</f>
        <v>Other veg</v>
      </c>
      <c r="H2647" s="129">
        <f>_xlfn.XLOOKUP(G2647,'[1]T&amp;C emissions for 2050 analysis'!$B$3:$B$23,'[1]T&amp;C emissions for 2050 analysis'!$C$3:$C$23)</f>
        <v>0.26766666666666666</v>
      </c>
      <c r="I2647" s="27">
        <f t="shared" si="123"/>
        <v>1.4883463372213332</v>
      </c>
      <c r="J2647" s="129">
        <f t="shared" si="124"/>
        <v>34.061386333333331</v>
      </c>
    </row>
    <row r="2648" spans="1:10" hidden="1" x14ac:dyDescent="0.35">
      <c r="A2648" s="126" t="s">
        <v>436</v>
      </c>
      <c r="B2648" t="str">
        <f>_xlfn.XLOOKUP(A2648,'[1]2050Pop'!$A$7:$A$143,'[1]2050Pop'!$D$7:$D$143)</f>
        <v>SSA</v>
      </c>
      <c r="C2648" s="127">
        <f>1000*_xlfn.XLOOKUP(A2648,'[1]2050Pop'!$A$7:$A$143,'[1]2050Pop'!$C$7:$C$143)</f>
        <v>65544</v>
      </c>
      <c r="D2648" s="126" t="s">
        <v>517</v>
      </c>
      <c r="E2648" s="128">
        <v>18.114999999999998</v>
      </c>
      <c r="F2648" s="129">
        <f t="shared" si="125"/>
        <v>1.1873295599999998</v>
      </c>
      <c r="G2648" t="str">
        <f>_xlfn.XLOOKUP(D2648,'[1]2050 BAU Mapping to T &amp; C'!$A$3:$A$52,'[1]2050 BAU Mapping to T &amp; C'!$B$3:$B$52)</f>
        <v>Other veg</v>
      </c>
      <c r="H2648" s="129">
        <f>_xlfn.XLOOKUP(G2648,'[1]T&amp;C emissions for 2050 analysis'!$B$3:$B$23,'[1]T&amp;C emissions for 2050 analysis'!$C$3:$C$23)</f>
        <v>0.26766666666666666</v>
      </c>
      <c r="I2648" s="27">
        <f t="shared" si="123"/>
        <v>0.31780854555999993</v>
      </c>
      <c r="J2648" s="129">
        <f t="shared" si="124"/>
        <v>4.8487816666666665</v>
      </c>
    </row>
    <row r="2649" spans="1:10" hidden="1" x14ac:dyDescent="0.35">
      <c r="A2649" s="126" t="s">
        <v>490</v>
      </c>
      <c r="B2649" t="str">
        <f>_xlfn.XLOOKUP(A2649,'[1]2050Pop'!$A$7:$A$143,'[1]2050Pop'!$D$7:$D$143)</f>
        <v>APAC</v>
      </c>
      <c r="C2649" s="127">
        <f>1000*_xlfn.XLOOKUP(A2649,'[1]2050Pop'!$A$7:$A$143,'[1]2050Pop'!$C$7:$C$143)</f>
        <v>63575</v>
      </c>
      <c r="D2649" s="126" t="s">
        <v>517</v>
      </c>
      <c r="E2649" s="128">
        <v>85.070999999999998</v>
      </c>
      <c r="F2649" s="129">
        <f t="shared" si="125"/>
        <v>5.4083888250000003</v>
      </c>
      <c r="G2649" t="str">
        <f>_xlfn.XLOOKUP(D2649,'[1]2050 BAU Mapping to T &amp; C'!$A$3:$A$52,'[1]2050 BAU Mapping to T &amp; C'!$B$3:$B$52)</f>
        <v>Other veg</v>
      </c>
      <c r="H2649" s="129">
        <f>_xlfn.XLOOKUP(G2649,'[1]T&amp;C emissions for 2050 analysis'!$B$3:$B$23,'[1]T&amp;C emissions for 2050 analysis'!$C$3:$C$23)</f>
        <v>0.26766666666666666</v>
      </c>
      <c r="I2649" s="27">
        <f t="shared" si="123"/>
        <v>1.4476454088250001</v>
      </c>
      <c r="J2649" s="129">
        <f t="shared" si="124"/>
        <v>22.770671</v>
      </c>
    </row>
    <row r="2650" spans="1:10" hidden="1" x14ac:dyDescent="0.35">
      <c r="A2650" s="126" t="s">
        <v>437</v>
      </c>
      <c r="B2650" t="str">
        <f>_xlfn.XLOOKUP(A2650,'[1]2050Pop'!$A$7:$A$143,'[1]2050Pop'!$D$7:$D$143)</f>
        <v>SSA</v>
      </c>
      <c r="C2650" s="127">
        <f>1000*_xlfn.XLOOKUP(A2650,'[1]2050Pop'!$A$7:$A$143,'[1]2050Pop'!$C$7:$C$143)</f>
        <v>4322</v>
      </c>
      <c r="D2650" s="126" t="s">
        <v>517</v>
      </c>
      <c r="E2650" s="130">
        <v>32.130000000000003</v>
      </c>
      <c r="F2650" s="129">
        <f t="shared" si="125"/>
        <v>0.13886586000000001</v>
      </c>
      <c r="G2650" t="str">
        <f>_xlfn.XLOOKUP(D2650,'[1]2050 BAU Mapping to T &amp; C'!$A$3:$A$52,'[1]2050 BAU Mapping to T &amp; C'!$B$3:$B$52)</f>
        <v>Other veg</v>
      </c>
      <c r="H2650" s="129">
        <f>_xlfn.XLOOKUP(G2650,'[1]T&amp;C emissions for 2050 analysis'!$B$3:$B$23,'[1]T&amp;C emissions for 2050 analysis'!$C$3:$C$23)</f>
        <v>0.26766666666666666</v>
      </c>
      <c r="I2650" s="27">
        <f t="shared" si="123"/>
        <v>3.7169761860000004E-2</v>
      </c>
      <c r="J2650" s="129">
        <f t="shared" si="124"/>
        <v>8.6001300000000001</v>
      </c>
    </row>
    <row r="2651" spans="1:10" hidden="1" x14ac:dyDescent="0.35">
      <c r="A2651" s="126" t="s">
        <v>438</v>
      </c>
      <c r="B2651" t="str">
        <f>_xlfn.XLOOKUP(A2651,'[1]2050Pop'!$A$7:$A$143,'[1]2050Pop'!$D$7:$D$143)</f>
        <v>India/South Asia</v>
      </c>
      <c r="C2651" s="127">
        <f>1000*_xlfn.XLOOKUP(A2651,'[1]2050Pop'!$A$7:$A$143,'[1]2050Pop'!$C$7:$C$143)</f>
        <v>36159</v>
      </c>
      <c r="D2651" s="126" t="s">
        <v>517</v>
      </c>
      <c r="E2651" s="128">
        <v>97.204999999999998</v>
      </c>
      <c r="F2651" s="129">
        <f t="shared" si="125"/>
        <v>3.5148355949999996</v>
      </c>
      <c r="G2651" t="str">
        <f>_xlfn.XLOOKUP(D2651,'[1]2050 BAU Mapping to T &amp; C'!$A$3:$A$52,'[1]2050 BAU Mapping to T &amp; C'!$B$3:$B$52)</f>
        <v>Other veg</v>
      </c>
      <c r="H2651" s="129">
        <f>_xlfn.XLOOKUP(G2651,'[1]T&amp;C emissions for 2050 analysis'!$B$3:$B$23,'[1]T&amp;C emissions for 2050 analysis'!$C$3:$C$23)</f>
        <v>0.26766666666666666</v>
      </c>
      <c r="I2651" s="27">
        <f t="shared" si="123"/>
        <v>0.94080432759499988</v>
      </c>
      <c r="J2651" s="129">
        <f t="shared" si="124"/>
        <v>26.018538333333332</v>
      </c>
    </row>
    <row r="2652" spans="1:10" hidden="1" x14ac:dyDescent="0.35">
      <c r="A2652" s="126" t="s">
        <v>439</v>
      </c>
      <c r="B2652" t="str">
        <f>_xlfn.XLOOKUP(A2652,'[1]2050Pop'!$A$7:$A$143,'[1]2050Pop'!$D$7:$D$143)</f>
        <v>Euro/AU/NZ</v>
      </c>
      <c r="C2652" s="127">
        <f>1000*_xlfn.XLOOKUP(A2652,'[1]2050Pop'!$A$7:$A$143,'[1]2050Pop'!$C$7:$C$143)</f>
        <v>17602</v>
      </c>
      <c r="D2652" s="126" t="s">
        <v>517</v>
      </c>
      <c r="E2652" s="128">
        <v>84.394000000000005</v>
      </c>
      <c r="F2652" s="129">
        <f t="shared" si="125"/>
        <v>1.485503188</v>
      </c>
      <c r="G2652" t="str">
        <f>_xlfn.XLOOKUP(D2652,'[1]2050 BAU Mapping to T &amp; C'!$A$3:$A$52,'[1]2050 BAU Mapping to T &amp; C'!$B$3:$B$52)</f>
        <v>Other veg</v>
      </c>
      <c r="H2652" s="129">
        <f>_xlfn.XLOOKUP(G2652,'[1]T&amp;C emissions for 2050 analysis'!$B$3:$B$23,'[1]T&amp;C emissions for 2050 analysis'!$C$3:$C$23)</f>
        <v>0.26766666666666666</v>
      </c>
      <c r="I2652" s="27">
        <f t="shared" si="123"/>
        <v>0.39761968665466668</v>
      </c>
      <c r="J2652" s="129">
        <f t="shared" si="124"/>
        <v>22.589460666666668</v>
      </c>
    </row>
    <row r="2653" spans="1:10" hidden="1" x14ac:dyDescent="0.35">
      <c r="A2653" s="126" t="s">
        <v>440</v>
      </c>
      <c r="B2653" t="str">
        <f>_xlfn.XLOOKUP(A2653,'[1]2050Pop'!$A$7:$A$143,'[1]2050Pop'!$D$7:$D$143)</f>
        <v>Euro/AU/NZ</v>
      </c>
      <c r="C2653" s="127">
        <f>1000*_xlfn.XLOOKUP(A2653,'[1]2050Pop'!$A$7:$A$143,'[1]2050Pop'!$C$7:$C$143)</f>
        <v>5607</v>
      </c>
      <c r="D2653" s="126" t="s">
        <v>517</v>
      </c>
      <c r="E2653" s="128">
        <v>109.375</v>
      </c>
      <c r="F2653" s="129">
        <f t="shared" si="125"/>
        <v>0.61326562500000004</v>
      </c>
      <c r="G2653" t="str">
        <f>_xlfn.XLOOKUP(D2653,'[1]2050 BAU Mapping to T &amp; C'!$A$3:$A$52,'[1]2050 BAU Mapping to T &amp; C'!$B$3:$B$52)</f>
        <v>Other veg</v>
      </c>
      <c r="H2653" s="129">
        <f>_xlfn.XLOOKUP(G2653,'[1]T&amp;C emissions for 2050 analysis'!$B$3:$B$23,'[1]T&amp;C emissions for 2050 analysis'!$C$3:$C$23)</f>
        <v>0.26766666666666666</v>
      </c>
      <c r="I2653" s="27">
        <f t="shared" si="123"/>
        <v>0.164150765625</v>
      </c>
      <c r="J2653" s="129">
        <f t="shared" si="124"/>
        <v>29.276041666666668</v>
      </c>
    </row>
    <row r="2654" spans="1:10" hidden="1" x14ac:dyDescent="0.35">
      <c r="A2654" s="126" t="s">
        <v>441</v>
      </c>
      <c r="B2654" t="str">
        <f>_xlfn.XLOOKUP(A2654,'[1]2050Pop'!$A$7:$A$143,'[1]2050Pop'!$D$7:$D$143)</f>
        <v>LatAm &amp; RSA</v>
      </c>
      <c r="C2654" s="127">
        <f>1000*_xlfn.XLOOKUP(A2654,'[1]2050Pop'!$A$7:$A$143,'[1]2050Pop'!$C$7:$C$143)</f>
        <v>7863</v>
      </c>
      <c r="D2654" s="126" t="s">
        <v>517</v>
      </c>
      <c r="E2654" s="128">
        <v>15.547000000000001</v>
      </c>
      <c r="F2654" s="129">
        <f t="shared" si="125"/>
        <v>0.122246061</v>
      </c>
      <c r="G2654" t="str">
        <f>_xlfn.XLOOKUP(D2654,'[1]2050 BAU Mapping to T &amp; C'!$A$3:$A$52,'[1]2050 BAU Mapping to T &amp; C'!$B$3:$B$52)</f>
        <v>Other veg</v>
      </c>
      <c r="H2654" s="129">
        <f>_xlfn.XLOOKUP(G2654,'[1]T&amp;C emissions for 2050 analysis'!$B$3:$B$23,'[1]T&amp;C emissions for 2050 analysis'!$C$3:$C$23)</f>
        <v>0.26766666666666666</v>
      </c>
      <c r="I2654" s="27">
        <f t="shared" si="123"/>
        <v>3.2721195660999999E-2</v>
      </c>
      <c r="J2654" s="129">
        <f t="shared" si="124"/>
        <v>4.1614136666666663</v>
      </c>
    </row>
    <row r="2655" spans="1:10" hidden="1" x14ac:dyDescent="0.35">
      <c r="A2655" s="126" t="s">
        <v>482</v>
      </c>
      <c r="B2655" t="str">
        <f>_xlfn.XLOOKUP(A2655,'[1]2050Pop'!$A$7:$A$143,'[1]2050Pop'!$D$7:$D$143)</f>
        <v>SSA</v>
      </c>
      <c r="C2655" s="127">
        <f>1000*_xlfn.XLOOKUP(A2655,'[1]2050Pop'!$A$7:$A$143,'[1]2050Pop'!$C$7:$C$143)</f>
        <v>72238</v>
      </c>
      <c r="D2655" s="126" t="s">
        <v>517</v>
      </c>
      <c r="E2655" s="128">
        <v>56.241999999999997</v>
      </c>
      <c r="F2655" s="129">
        <f t="shared" si="125"/>
        <v>4.0628095960000001</v>
      </c>
      <c r="G2655" t="str">
        <f>_xlfn.XLOOKUP(D2655,'[1]2050 BAU Mapping to T &amp; C'!$A$3:$A$52,'[1]2050 BAU Mapping to T &amp; C'!$B$3:$B$52)</f>
        <v>Other veg</v>
      </c>
      <c r="H2655" s="129">
        <f>_xlfn.XLOOKUP(G2655,'[1]T&amp;C emissions for 2050 analysis'!$B$3:$B$23,'[1]T&amp;C emissions for 2050 analysis'!$C$3:$C$23)</f>
        <v>0.26766666666666666</v>
      </c>
      <c r="I2655" s="27">
        <f t="shared" si="123"/>
        <v>1.0874787018626666</v>
      </c>
      <c r="J2655" s="129">
        <f t="shared" si="124"/>
        <v>15.054108666666666</v>
      </c>
    </row>
    <row r="2656" spans="1:10" hidden="1" x14ac:dyDescent="0.35">
      <c r="A2656" s="126" t="s">
        <v>491</v>
      </c>
      <c r="B2656" t="str">
        <f>_xlfn.XLOOKUP(A2656,'[1]2050Pop'!$A$7:$A$143,'[1]2050Pop'!$D$7:$D$143)</f>
        <v>SSA</v>
      </c>
      <c r="C2656" s="127">
        <f>1000*_xlfn.XLOOKUP(A2656,'[1]2050Pop'!$A$7:$A$143,'[1]2050Pop'!$C$7:$C$143)</f>
        <v>398508</v>
      </c>
      <c r="D2656" s="126" t="s">
        <v>517</v>
      </c>
      <c r="E2656" s="128">
        <v>59.311999999999998</v>
      </c>
      <c r="F2656" s="129">
        <f t="shared" si="125"/>
        <v>23.636306496</v>
      </c>
      <c r="G2656" t="str">
        <f>_xlfn.XLOOKUP(D2656,'[1]2050 BAU Mapping to T &amp; C'!$A$3:$A$52,'[1]2050 BAU Mapping to T &amp; C'!$B$3:$B$52)</f>
        <v>Other veg</v>
      </c>
      <c r="H2656" s="129">
        <f>_xlfn.XLOOKUP(G2656,'[1]T&amp;C emissions for 2050 analysis'!$B$3:$B$23,'[1]T&amp;C emissions for 2050 analysis'!$C$3:$C$23)</f>
        <v>0.26766666666666666</v>
      </c>
      <c r="I2656" s="27">
        <f t="shared" si="123"/>
        <v>6.3266513720960003</v>
      </c>
      <c r="J2656" s="129">
        <f t="shared" si="124"/>
        <v>15.875845333333332</v>
      </c>
    </row>
    <row r="2657" spans="1:10" hidden="1" x14ac:dyDescent="0.35">
      <c r="A2657" s="126" t="s">
        <v>442</v>
      </c>
      <c r="B2657" t="str">
        <f>_xlfn.XLOOKUP(A2657,'[1]2050Pop'!$A$7:$A$143,'[1]2050Pop'!$D$7:$D$143)</f>
        <v>Euro/AU/NZ</v>
      </c>
      <c r="C2657" s="127">
        <f>1000*_xlfn.XLOOKUP(A2657,'[1]2050Pop'!$A$7:$A$143,'[1]2050Pop'!$C$7:$C$143)</f>
        <v>6658</v>
      </c>
      <c r="D2657" s="126" t="s">
        <v>517</v>
      </c>
      <c r="E2657" s="128">
        <v>60.212000000000003</v>
      </c>
      <c r="F2657" s="129">
        <f t="shared" si="125"/>
        <v>0.40089149600000007</v>
      </c>
      <c r="G2657" t="str">
        <f>_xlfn.XLOOKUP(D2657,'[1]2050 BAU Mapping to T &amp; C'!$A$3:$A$52,'[1]2050 BAU Mapping to T &amp; C'!$B$3:$B$52)</f>
        <v>Other veg</v>
      </c>
      <c r="H2657" s="129">
        <f>_xlfn.XLOOKUP(G2657,'[1]T&amp;C emissions for 2050 analysis'!$B$3:$B$23,'[1]T&amp;C emissions for 2050 analysis'!$C$3:$C$23)</f>
        <v>0.26766666666666666</v>
      </c>
      <c r="I2657" s="27">
        <f t="shared" si="123"/>
        <v>0.10730529042933334</v>
      </c>
      <c r="J2657" s="129">
        <f t="shared" si="124"/>
        <v>16.116745333333334</v>
      </c>
    </row>
    <row r="2658" spans="1:10" hidden="1" x14ac:dyDescent="0.35">
      <c r="A2658" s="126" t="s">
        <v>443</v>
      </c>
      <c r="B2658" t="str">
        <f>_xlfn.XLOOKUP(A2658,'[1]2050Pop'!$A$7:$A$143,'[1]2050Pop'!$D$7:$D$143)</f>
        <v>India/South Asia</v>
      </c>
      <c r="C2658" s="127">
        <f>1000*_xlfn.XLOOKUP(A2658,'[1]2050Pop'!$A$7:$A$143,'[1]2050Pop'!$C$7:$C$143)</f>
        <v>309640</v>
      </c>
      <c r="D2658" s="126" t="s">
        <v>517</v>
      </c>
      <c r="E2658" s="128">
        <v>27.068000000000001</v>
      </c>
      <c r="F2658" s="129">
        <f t="shared" si="125"/>
        <v>8.3813355200000004</v>
      </c>
      <c r="G2658" t="str">
        <f>_xlfn.XLOOKUP(D2658,'[1]2050 BAU Mapping to T &amp; C'!$A$3:$A$52,'[1]2050 BAU Mapping to T &amp; C'!$B$3:$B$52)</f>
        <v>Other veg</v>
      </c>
      <c r="H2658" s="129">
        <f>_xlfn.XLOOKUP(G2658,'[1]T&amp;C emissions for 2050 analysis'!$B$3:$B$23,'[1]T&amp;C emissions for 2050 analysis'!$C$3:$C$23)</f>
        <v>0.26766666666666666</v>
      </c>
      <c r="I2658" s="27">
        <f t="shared" si="123"/>
        <v>2.2434041408533334</v>
      </c>
      <c r="J2658" s="129">
        <f t="shared" si="124"/>
        <v>7.245201333333334</v>
      </c>
    </row>
    <row r="2659" spans="1:10" hidden="1" x14ac:dyDescent="0.35">
      <c r="A2659" s="126" t="s">
        <v>444</v>
      </c>
      <c r="B2659" t="str">
        <f>_xlfn.XLOOKUP(A2659,'[1]2050Pop'!$A$7:$A$143,'[1]2050Pop'!$D$7:$D$143)</f>
        <v>LatAm &amp; RSA</v>
      </c>
      <c r="C2659" s="127">
        <f>1000*_xlfn.XLOOKUP(A2659,'[1]2050Pop'!$A$7:$A$143,'[1]2050Pop'!$C$7:$C$143)</f>
        <v>5599</v>
      </c>
      <c r="D2659" s="126" t="s">
        <v>517</v>
      </c>
      <c r="E2659" s="128">
        <v>36.542000000000002</v>
      </c>
      <c r="F2659" s="129">
        <f t="shared" si="125"/>
        <v>0.20459865799999999</v>
      </c>
      <c r="G2659" t="str">
        <f>_xlfn.XLOOKUP(D2659,'[1]2050 BAU Mapping to T &amp; C'!$A$3:$A$52,'[1]2050 BAU Mapping to T &amp; C'!$B$3:$B$52)</f>
        <v>Other veg</v>
      </c>
      <c r="H2659" s="129">
        <f>_xlfn.XLOOKUP(G2659,'[1]T&amp;C emissions for 2050 analysis'!$B$3:$B$23,'[1]T&amp;C emissions for 2050 analysis'!$C$3:$C$23)</f>
        <v>0.26766666666666666</v>
      </c>
      <c r="I2659" s="27">
        <f t="shared" si="123"/>
        <v>5.4764240791333331E-2</v>
      </c>
      <c r="J2659" s="129">
        <f t="shared" si="124"/>
        <v>9.7810753333333338</v>
      </c>
    </row>
    <row r="2660" spans="1:10" hidden="1" x14ac:dyDescent="0.35">
      <c r="A2660" s="126" t="s">
        <v>445</v>
      </c>
      <c r="B2660" t="str">
        <f>_xlfn.XLOOKUP(A2660,'[1]2050Pop'!$A$7:$A$143,'[1]2050Pop'!$D$7:$D$143)</f>
        <v>LatAm &amp; RSA</v>
      </c>
      <c r="C2660" s="127">
        <f>1000*_xlfn.XLOOKUP(A2660,'[1]2050Pop'!$A$7:$A$143,'[1]2050Pop'!$C$7:$C$143)</f>
        <v>8895</v>
      </c>
      <c r="D2660" s="126" t="s">
        <v>517</v>
      </c>
      <c r="E2660" s="128">
        <v>36.530999999999999</v>
      </c>
      <c r="F2660" s="129">
        <f t="shared" si="125"/>
        <v>0.32494324499999999</v>
      </c>
      <c r="G2660" t="str">
        <f>_xlfn.XLOOKUP(D2660,'[1]2050 BAU Mapping to T &amp; C'!$A$3:$A$52,'[1]2050 BAU Mapping to T &amp; C'!$B$3:$B$52)</f>
        <v>Other veg</v>
      </c>
      <c r="H2660" s="129">
        <f>_xlfn.XLOOKUP(G2660,'[1]T&amp;C emissions for 2050 analysis'!$B$3:$B$23,'[1]T&amp;C emissions for 2050 analysis'!$C$3:$C$23)</f>
        <v>0.26766666666666666</v>
      </c>
      <c r="I2660" s="27">
        <f t="shared" si="123"/>
        <v>8.697647524499999E-2</v>
      </c>
      <c r="J2660" s="129">
        <f t="shared" si="124"/>
        <v>9.7781310000000001</v>
      </c>
    </row>
    <row r="2661" spans="1:10" hidden="1" x14ac:dyDescent="0.35">
      <c r="A2661" s="126" t="s">
        <v>446</v>
      </c>
      <c r="B2661" t="str">
        <f>_xlfn.XLOOKUP(A2661,'[1]2050Pop'!$A$7:$A$143,'[1]2050Pop'!$D$7:$D$143)</f>
        <v>LatAm &amp; RSA</v>
      </c>
      <c r="C2661" s="127">
        <f>1000*_xlfn.XLOOKUP(A2661,'[1]2050Pop'!$A$7:$A$143,'[1]2050Pop'!$C$7:$C$143)</f>
        <v>41899</v>
      </c>
      <c r="D2661" s="126" t="s">
        <v>517</v>
      </c>
      <c r="E2661" s="128">
        <v>76.998999999999995</v>
      </c>
      <c r="F2661" s="129">
        <f t="shared" si="125"/>
        <v>3.2261811009999999</v>
      </c>
      <c r="G2661" t="str">
        <f>_xlfn.XLOOKUP(D2661,'[1]2050 BAU Mapping to T &amp; C'!$A$3:$A$52,'[1]2050 BAU Mapping to T &amp; C'!$B$3:$B$52)</f>
        <v>Other veg</v>
      </c>
      <c r="H2661" s="129">
        <f>_xlfn.XLOOKUP(G2661,'[1]T&amp;C emissions for 2050 analysis'!$B$3:$B$23,'[1]T&amp;C emissions for 2050 analysis'!$C$3:$C$23)</f>
        <v>0.26766666666666666</v>
      </c>
      <c r="I2661" s="27">
        <f t="shared" si="123"/>
        <v>0.86354114136766658</v>
      </c>
      <c r="J2661" s="129">
        <f t="shared" si="124"/>
        <v>20.610065666666664</v>
      </c>
    </row>
    <row r="2662" spans="1:10" hidden="1" x14ac:dyDescent="0.35">
      <c r="A2662" s="126" t="s">
        <v>447</v>
      </c>
      <c r="B2662" t="str">
        <f>_xlfn.XLOOKUP(A2662,'[1]2050Pop'!$A$7:$A$143,'[1]2050Pop'!$D$7:$D$143)</f>
        <v>APAC</v>
      </c>
      <c r="C2662" s="127">
        <f>1000*_xlfn.XLOOKUP(A2662,'[1]2050Pop'!$A$7:$A$143,'[1]2050Pop'!$C$7:$C$143)</f>
        <v>148260</v>
      </c>
      <c r="D2662" s="126" t="s">
        <v>517</v>
      </c>
      <c r="E2662" s="128">
        <v>60.878999999999998</v>
      </c>
      <c r="F2662" s="129">
        <f t="shared" si="125"/>
        <v>9.0259205399999995</v>
      </c>
      <c r="G2662" t="str">
        <f>_xlfn.XLOOKUP(D2662,'[1]2050 BAU Mapping to T &amp; C'!$A$3:$A$52,'[1]2050 BAU Mapping to T &amp; C'!$B$3:$B$52)</f>
        <v>Other veg</v>
      </c>
      <c r="H2662" s="129">
        <f>_xlfn.XLOOKUP(G2662,'[1]T&amp;C emissions for 2050 analysis'!$B$3:$B$23,'[1]T&amp;C emissions for 2050 analysis'!$C$3:$C$23)</f>
        <v>0.26766666666666666</v>
      </c>
      <c r="I2662" s="27">
        <f t="shared" si="123"/>
        <v>2.4159380645399997</v>
      </c>
      <c r="J2662" s="129">
        <f t="shared" si="124"/>
        <v>16.295279000000001</v>
      </c>
    </row>
    <row r="2663" spans="1:10" hidden="1" x14ac:dyDescent="0.35">
      <c r="A2663" s="126" t="s">
        <v>448</v>
      </c>
      <c r="B2663" t="str">
        <f>_xlfn.XLOOKUP(A2663,'[1]2050Pop'!$A$7:$A$143,'[1]2050Pop'!$D$7:$D$143)</f>
        <v>Euro/AU/NZ</v>
      </c>
      <c r="C2663" s="127">
        <f>1000*_xlfn.XLOOKUP(A2663,'[1]2050Pop'!$A$7:$A$143,'[1]2050Pop'!$C$7:$C$143)</f>
        <v>33136</v>
      </c>
      <c r="D2663" s="126" t="s">
        <v>517</v>
      </c>
      <c r="E2663" s="128">
        <v>82.850999999999999</v>
      </c>
      <c r="F2663" s="129">
        <f t="shared" si="125"/>
        <v>2.7453507360000002</v>
      </c>
      <c r="G2663" t="str">
        <f>_xlfn.XLOOKUP(D2663,'[1]2050 BAU Mapping to T &amp; C'!$A$3:$A$52,'[1]2050 BAU Mapping to T &amp; C'!$B$3:$B$52)</f>
        <v>Other veg</v>
      </c>
      <c r="H2663" s="129">
        <f>_xlfn.XLOOKUP(G2663,'[1]T&amp;C emissions for 2050 analysis'!$B$3:$B$23,'[1]T&amp;C emissions for 2050 analysis'!$C$3:$C$23)</f>
        <v>0.26766666666666666</v>
      </c>
      <c r="I2663" s="27">
        <f t="shared" si="123"/>
        <v>0.73483888033600009</v>
      </c>
      <c r="J2663" s="129">
        <f t="shared" si="124"/>
        <v>22.176451</v>
      </c>
    </row>
    <row r="2664" spans="1:10" hidden="1" x14ac:dyDescent="0.35">
      <c r="A2664" s="126" t="s">
        <v>449</v>
      </c>
      <c r="B2664" t="str">
        <f>_xlfn.XLOOKUP(A2664,'[1]2050Pop'!$A$7:$A$143,'[1]2050Pop'!$D$7:$D$143)</f>
        <v>Euro/AU/NZ</v>
      </c>
      <c r="C2664" s="127">
        <f>1000*_xlfn.XLOOKUP(A2664,'[1]2050Pop'!$A$7:$A$143,'[1]2050Pop'!$C$7:$C$143)</f>
        <v>9216</v>
      </c>
      <c r="D2664" s="126" t="s">
        <v>517</v>
      </c>
      <c r="E2664" s="128">
        <v>114.029</v>
      </c>
      <c r="F2664" s="129">
        <f t="shared" si="125"/>
        <v>1.0508912639999999</v>
      </c>
      <c r="G2664" t="str">
        <f>_xlfn.XLOOKUP(D2664,'[1]2050 BAU Mapping to T &amp; C'!$A$3:$A$52,'[1]2050 BAU Mapping to T &amp; C'!$B$3:$B$52)</f>
        <v>Other veg</v>
      </c>
      <c r="H2664" s="129">
        <f>_xlfn.XLOOKUP(G2664,'[1]T&amp;C emissions for 2050 analysis'!$B$3:$B$23,'[1]T&amp;C emissions for 2050 analysis'!$C$3:$C$23)</f>
        <v>0.26766666666666666</v>
      </c>
      <c r="I2664" s="27">
        <f t="shared" si="123"/>
        <v>0.28128856166399996</v>
      </c>
      <c r="J2664" s="129">
        <f t="shared" si="124"/>
        <v>30.521762333333331</v>
      </c>
    </row>
    <row r="2665" spans="1:10" hidden="1" x14ac:dyDescent="0.35">
      <c r="A2665" s="126" t="s">
        <v>450</v>
      </c>
      <c r="B2665" t="str">
        <f>_xlfn.XLOOKUP(A2665,'[1]2050Pop'!$A$7:$A$143,'[1]2050Pop'!$D$7:$D$143)</f>
        <v>APAC</v>
      </c>
      <c r="C2665" s="127">
        <f>1000*_xlfn.XLOOKUP(A2665,'[1]2050Pop'!$A$7:$A$143,'[1]2050Pop'!$C$7:$C$143)</f>
        <v>50593</v>
      </c>
      <c r="D2665" s="126" t="s">
        <v>517</v>
      </c>
      <c r="E2665" s="128">
        <v>208.50800000000001</v>
      </c>
      <c r="F2665" s="129">
        <f t="shared" si="125"/>
        <v>10.549045244</v>
      </c>
      <c r="G2665" t="str">
        <f>_xlfn.XLOOKUP(D2665,'[1]2050 BAU Mapping to T &amp; C'!$A$3:$A$52,'[1]2050 BAU Mapping to T &amp; C'!$B$3:$B$52)</f>
        <v>Other veg</v>
      </c>
      <c r="H2665" s="129">
        <f>_xlfn.XLOOKUP(G2665,'[1]T&amp;C emissions for 2050 analysis'!$B$3:$B$23,'[1]T&amp;C emissions for 2050 analysis'!$C$3:$C$23)</f>
        <v>0.26766666666666666</v>
      </c>
      <c r="I2665" s="27">
        <f t="shared" si="123"/>
        <v>2.8236277769773332</v>
      </c>
      <c r="J2665" s="129">
        <f t="shared" si="124"/>
        <v>55.810641333333336</v>
      </c>
    </row>
    <row r="2666" spans="1:10" hidden="1" x14ac:dyDescent="0.35">
      <c r="A2666" s="126" t="s">
        <v>451</v>
      </c>
      <c r="B2666" t="str">
        <f>_xlfn.XLOOKUP(A2666,'[1]2050Pop'!$A$7:$A$143,'[1]2050Pop'!$D$7:$D$143)</f>
        <v>Euro/AU/NZ</v>
      </c>
      <c r="C2666" s="127">
        <f>1000*_xlfn.XLOOKUP(A2666,'[1]2050Pop'!$A$7:$A$143,'[1]2050Pop'!$C$7:$C$143)</f>
        <v>3243</v>
      </c>
      <c r="D2666" s="126" t="s">
        <v>517</v>
      </c>
      <c r="E2666" s="128">
        <v>92.650999999999996</v>
      </c>
      <c r="F2666" s="129">
        <f t="shared" si="125"/>
        <v>0.30046719299999997</v>
      </c>
      <c r="G2666" t="str">
        <f>_xlfn.XLOOKUP(D2666,'[1]2050 BAU Mapping to T &amp; C'!$A$3:$A$52,'[1]2050 BAU Mapping to T &amp; C'!$B$3:$B$52)</f>
        <v>Other veg</v>
      </c>
      <c r="H2666" s="129">
        <f>_xlfn.XLOOKUP(G2666,'[1]T&amp;C emissions for 2050 analysis'!$B$3:$B$23,'[1]T&amp;C emissions for 2050 analysis'!$C$3:$C$23)</f>
        <v>0.26766666666666666</v>
      </c>
      <c r="I2666" s="27">
        <f t="shared" si="123"/>
        <v>8.0425051992999985E-2</v>
      </c>
      <c r="J2666" s="129">
        <f t="shared" si="124"/>
        <v>24.799584333333332</v>
      </c>
    </row>
    <row r="2667" spans="1:10" hidden="1" x14ac:dyDescent="0.35">
      <c r="A2667" s="126" t="s">
        <v>452</v>
      </c>
      <c r="B2667" t="str">
        <f>_xlfn.XLOOKUP(A2667,'[1]2050Pop'!$A$7:$A$143,'[1]2050Pop'!$D$7:$D$143)</f>
        <v>SSA</v>
      </c>
      <c r="C2667" s="127">
        <f>1000*_xlfn.XLOOKUP(A2667,'[1]2050Pop'!$A$7:$A$143,'[1]2050Pop'!$C$7:$C$143)</f>
        <v>10732</v>
      </c>
      <c r="D2667" s="126" t="s">
        <v>517</v>
      </c>
      <c r="E2667" s="128">
        <v>55.816000000000003</v>
      </c>
      <c r="F2667" s="129">
        <f t="shared" si="125"/>
        <v>0.59901731200000008</v>
      </c>
      <c r="G2667" t="str">
        <f>_xlfn.XLOOKUP(D2667,'[1]2050 BAU Mapping to T &amp; C'!$A$3:$A$52,'[1]2050 BAU Mapping to T &amp; C'!$B$3:$B$52)</f>
        <v>Other veg</v>
      </c>
      <c r="H2667" s="129">
        <f>_xlfn.XLOOKUP(G2667,'[1]T&amp;C emissions for 2050 analysis'!$B$3:$B$23,'[1]T&amp;C emissions for 2050 analysis'!$C$3:$C$23)</f>
        <v>0.26766666666666666</v>
      </c>
      <c r="I2667" s="27">
        <f t="shared" si="123"/>
        <v>0.16033696717866669</v>
      </c>
      <c r="J2667" s="129">
        <f t="shared" si="124"/>
        <v>14.940082666666667</v>
      </c>
    </row>
    <row r="2668" spans="1:10" hidden="1" x14ac:dyDescent="0.35">
      <c r="A2668" s="126" t="s">
        <v>453</v>
      </c>
      <c r="B2668" t="str">
        <f>_xlfn.XLOOKUP(A2668,'[1]2050Pop'!$A$7:$A$143,'[1]2050Pop'!$D$7:$D$143)</f>
        <v>Euro/AU/NZ</v>
      </c>
      <c r="C2668" s="127">
        <f>1000*_xlfn.XLOOKUP(A2668,'[1]2050Pop'!$A$7:$A$143,'[1]2050Pop'!$C$7:$C$143)</f>
        <v>15207</v>
      </c>
      <c r="D2668" s="126" t="s">
        <v>517</v>
      </c>
      <c r="E2668" s="128">
        <v>134.85300000000001</v>
      </c>
      <c r="F2668" s="129">
        <f t="shared" si="125"/>
        <v>2.0507095710000001</v>
      </c>
      <c r="G2668" t="str">
        <f>_xlfn.XLOOKUP(D2668,'[1]2050 BAU Mapping to T &amp; C'!$A$3:$A$52,'[1]2050 BAU Mapping to T &amp; C'!$B$3:$B$52)</f>
        <v>Other veg</v>
      </c>
      <c r="H2668" s="129">
        <f>_xlfn.XLOOKUP(G2668,'[1]T&amp;C emissions for 2050 analysis'!$B$3:$B$23,'[1]T&amp;C emissions for 2050 analysis'!$C$3:$C$23)</f>
        <v>0.26766666666666666</v>
      </c>
      <c r="I2668" s="27">
        <f t="shared" si="123"/>
        <v>0.54890659517100004</v>
      </c>
      <c r="J2668" s="129">
        <f t="shared" si="124"/>
        <v>36.095652999999999</v>
      </c>
    </row>
    <row r="2669" spans="1:10" hidden="1" x14ac:dyDescent="0.35">
      <c r="A2669" s="126" t="s">
        <v>454</v>
      </c>
      <c r="B2669" t="str">
        <f>_xlfn.XLOOKUP(A2669,'[1]2050Pop'!$A$7:$A$143,'[1]2050Pop'!$D$7:$D$143)</f>
        <v>Euro/AU/NZ</v>
      </c>
      <c r="C2669" s="127">
        <f>1000*_xlfn.XLOOKUP(A2669,'[1]2050Pop'!$A$7:$A$143,'[1]2050Pop'!$C$7:$C$143)</f>
        <v>128598.99999999999</v>
      </c>
      <c r="D2669" s="126" t="s">
        <v>517</v>
      </c>
      <c r="E2669" s="128">
        <v>94.994</v>
      </c>
      <c r="F2669" s="129">
        <f t="shared" si="125"/>
        <v>12.216133405999999</v>
      </c>
      <c r="G2669" t="str">
        <f>_xlfn.XLOOKUP(D2669,'[1]2050 BAU Mapping to T &amp; C'!$A$3:$A$52,'[1]2050 BAU Mapping to T &amp; C'!$B$3:$B$52)</f>
        <v>Other veg</v>
      </c>
      <c r="H2669" s="129">
        <f>_xlfn.XLOOKUP(G2669,'[1]T&amp;C emissions for 2050 analysis'!$B$3:$B$23,'[1]T&amp;C emissions for 2050 analysis'!$C$3:$C$23)</f>
        <v>0.26766666666666666</v>
      </c>
      <c r="I2669" s="27">
        <f t="shared" si="123"/>
        <v>3.269851708339333</v>
      </c>
      <c r="J2669" s="129">
        <f t="shared" si="124"/>
        <v>25.426727333333332</v>
      </c>
    </row>
    <row r="2670" spans="1:10" hidden="1" x14ac:dyDescent="0.35">
      <c r="A2670" s="126" t="s">
        <v>455</v>
      </c>
      <c r="B2670" t="str">
        <f>_xlfn.XLOOKUP(A2670,'[1]2050Pop'!$A$7:$A$143,'[1]2050Pop'!$D$7:$D$143)</f>
        <v>SSA</v>
      </c>
      <c r="C2670" s="127">
        <f>1000*_xlfn.XLOOKUP(A2670,'[1]2050Pop'!$A$7:$A$143,'[1]2050Pop'!$C$7:$C$143)</f>
        <v>21187</v>
      </c>
      <c r="D2670" s="126" t="s">
        <v>517</v>
      </c>
      <c r="E2670" s="128">
        <v>41.624000000000002</v>
      </c>
      <c r="F2670" s="129">
        <f t="shared" si="125"/>
        <v>0.88188768800000006</v>
      </c>
      <c r="G2670" t="str">
        <f>_xlfn.XLOOKUP(D2670,'[1]2050 BAU Mapping to T &amp; C'!$A$3:$A$52,'[1]2050 BAU Mapping to T &amp; C'!$B$3:$B$52)</f>
        <v>Other veg</v>
      </c>
      <c r="H2670" s="129">
        <f>_xlfn.XLOOKUP(G2670,'[1]T&amp;C emissions for 2050 analysis'!$B$3:$B$23,'[1]T&amp;C emissions for 2050 analysis'!$C$3:$C$23)</f>
        <v>0.26766666666666666</v>
      </c>
      <c r="I2670" s="27">
        <f t="shared" si="123"/>
        <v>0.23605193782133335</v>
      </c>
      <c r="J2670" s="129">
        <f t="shared" si="124"/>
        <v>11.141357333333334</v>
      </c>
    </row>
    <row r="2671" spans="1:10" hidden="1" x14ac:dyDescent="0.35">
      <c r="A2671" s="126" t="s">
        <v>456</v>
      </c>
      <c r="B2671" t="str">
        <f>_xlfn.XLOOKUP(A2671,'[1]2050Pop'!$A$7:$A$143,'[1]2050Pop'!$D$7:$D$143)</f>
        <v>MENA</v>
      </c>
      <c r="C2671" s="127">
        <f>1000*_xlfn.XLOOKUP(A2671,'[1]2050Pop'!$A$7:$A$143,'[1]2050Pop'!$C$7:$C$143)</f>
        <v>46059</v>
      </c>
      <c r="D2671" s="126" t="s">
        <v>517</v>
      </c>
      <c r="E2671" s="130">
        <v>83.51</v>
      </c>
      <c r="F2671" s="129">
        <f t="shared" si="125"/>
        <v>3.8463870900000003</v>
      </c>
      <c r="G2671" t="str">
        <f>_xlfn.XLOOKUP(D2671,'[1]2050 BAU Mapping to T &amp; C'!$A$3:$A$52,'[1]2050 BAU Mapping to T &amp; C'!$B$3:$B$52)</f>
        <v>Other veg</v>
      </c>
      <c r="H2671" s="129">
        <f>_xlfn.XLOOKUP(G2671,'[1]T&amp;C emissions for 2050 analysis'!$B$3:$B$23,'[1]T&amp;C emissions for 2050 analysis'!$C$3:$C$23)</f>
        <v>0.26766666666666666</v>
      </c>
      <c r="I2671" s="27">
        <f t="shared" si="123"/>
        <v>1.02954961109</v>
      </c>
      <c r="J2671" s="129">
        <f t="shared" si="124"/>
        <v>22.352843333333336</v>
      </c>
    </row>
    <row r="2672" spans="1:10" hidden="1" x14ac:dyDescent="0.35">
      <c r="A2672" s="126" t="s">
        <v>457</v>
      </c>
      <c r="B2672" t="str">
        <f>_xlfn.XLOOKUP(A2672,'[1]2050Pop'!$A$7:$A$143,'[1]2050Pop'!$D$7:$D$143)</f>
        <v>SSA</v>
      </c>
      <c r="C2672" s="127">
        <f>1000*_xlfn.XLOOKUP(A2672,'[1]2050Pop'!$A$7:$A$143,'[1]2050Pop'!$C$7:$C$143)</f>
        <v>36223</v>
      </c>
      <c r="D2672" s="126" t="s">
        <v>517</v>
      </c>
      <c r="E2672" s="128">
        <v>57.667000000000002</v>
      </c>
      <c r="F2672" s="129">
        <f t="shared" si="125"/>
        <v>2.0888717410000002</v>
      </c>
      <c r="G2672" t="str">
        <f>_xlfn.XLOOKUP(D2672,'[1]2050 BAU Mapping to T &amp; C'!$A$3:$A$52,'[1]2050 BAU Mapping to T &amp; C'!$B$3:$B$52)</f>
        <v>Other veg</v>
      </c>
      <c r="H2672" s="129">
        <f>_xlfn.XLOOKUP(G2672,'[1]T&amp;C emissions for 2050 analysis'!$B$3:$B$23,'[1]T&amp;C emissions for 2050 analysis'!$C$3:$C$23)</f>
        <v>0.26766666666666666</v>
      </c>
      <c r="I2672" s="27">
        <f t="shared" si="123"/>
        <v>0.55912133600766667</v>
      </c>
      <c r="J2672" s="129">
        <f t="shared" si="124"/>
        <v>15.435533666666666</v>
      </c>
    </row>
    <row r="2673" spans="1:10" hidden="1" x14ac:dyDescent="0.35">
      <c r="A2673" s="126" t="s">
        <v>458</v>
      </c>
      <c r="B2673" t="str">
        <f>_xlfn.XLOOKUP(A2673,'[1]2050Pop'!$A$7:$A$143,'[1]2050Pop'!$D$7:$D$143)</f>
        <v>Euro/AU/NZ</v>
      </c>
      <c r="C2673" s="127">
        <f>1000*_xlfn.XLOOKUP(A2673,'[1]2050Pop'!$A$7:$A$143,'[1]2050Pop'!$C$7:$C$143)</f>
        <v>7331</v>
      </c>
      <c r="D2673" s="126" t="s">
        <v>517</v>
      </c>
      <c r="E2673" s="128">
        <v>79.162999999999997</v>
      </c>
      <c r="F2673" s="129">
        <f t="shared" si="125"/>
        <v>0.58034395299999997</v>
      </c>
      <c r="G2673" t="str">
        <f>_xlfn.XLOOKUP(D2673,'[1]2050 BAU Mapping to T &amp; C'!$A$3:$A$52,'[1]2050 BAU Mapping to T &amp; C'!$B$3:$B$52)</f>
        <v>Other veg</v>
      </c>
      <c r="H2673" s="129">
        <f>_xlfn.XLOOKUP(G2673,'[1]T&amp;C emissions for 2050 analysis'!$B$3:$B$23,'[1]T&amp;C emissions for 2050 analysis'!$C$3:$C$23)</f>
        <v>0.26766666666666666</v>
      </c>
      <c r="I2673" s="27">
        <f t="shared" si="123"/>
        <v>0.15533873141966667</v>
      </c>
      <c r="J2673" s="129">
        <f t="shared" si="124"/>
        <v>21.189296333333331</v>
      </c>
    </row>
    <row r="2674" spans="1:10" hidden="1" x14ac:dyDescent="0.35">
      <c r="A2674" s="126" t="s">
        <v>492</v>
      </c>
      <c r="B2674" t="str">
        <f>_xlfn.XLOOKUP(A2674,'[1]2050Pop'!$A$7:$A$143,'[1]2050Pop'!$D$7:$D$143)</f>
        <v>SSA</v>
      </c>
      <c r="C2674" s="127">
        <f>1000*_xlfn.XLOOKUP(A2674,'[1]2050Pop'!$A$7:$A$143,'[1]2050Pop'!$C$7:$C$143)</f>
        <v>11392</v>
      </c>
      <c r="D2674" s="126" t="s">
        <v>517</v>
      </c>
      <c r="E2674" s="128">
        <v>47.046999999999997</v>
      </c>
      <c r="F2674" s="129">
        <f t="shared" si="125"/>
        <v>0.53595942399999996</v>
      </c>
      <c r="G2674" t="str">
        <f>_xlfn.XLOOKUP(D2674,'[1]2050 BAU Mapping to T &amp; C'!$A$3:$A$52,'[1]2050 BAU Mapping to T &amp; C'!$B$3:$B$52)</f>
        <v>Other veg</v>
      </c>
      <c r="H2674" s="129">
        <f>_xlfn.XLOOKUP(G2674,'[1]T&amp;C emissions for 2050 analysis'!$B$3:$B$23,'[1]T&amp;C emissions for 2050 analysis'!$C$3:$C$23)</f>
        <v>0.26766666666666666</v>
      </c>
      <c r="I2674" s="27">
        <f t="shared" si="123"/>
        <v>0.14345847249066665</v>
      </c>
      <c r="J2674" s="129">
        <f t="shared" si="124"/>
        <v>12.592913666666666</v>
      </c>
    </row>
    <row r="2675" spans="1:10" hidden="1" x14ac:dyDescent="0.35">
      <c r="A2675" s="126" t="s">
        <v>459</v>
      </c>
      <c r="B2675" t="str">
        <f>_xlfn.XLOOKUP(A2675,'[1]2050Pop'!$A$7:$A$143,'[1]2050Pop'!$D$7:$D$143)</f>
        <v>Euro/AU/NZ</v>
      </c>
      <c r="C2675" s="127">
        <f>1000*_xlfn.XLOOKUP(A2675,'[1]2050Pop'!$A$7:$A$143,'[1]2050Pop'!$C$7:$C$143)</f>
        <v>4892</v>
      </c>
      <c r="D2675" s="126" t="s">
        <v>517</v>
      </c>
      <c r="E2675" s="128">
        <v>60.344999999999999</v>
      </c>
      <c r="F2675" s="129">
        <f t="shared" si="125"/>
        <v>0.29520774</v>
      </c>
      <c r="G2675" t="str">
        <f>_xlfn.XLOOKUP(D2675,'[1]2050 BAU Mapping to T &amp; C'!$A$3:$A$52,'[1]2050 BAU Mapping to T &amp; C'!$B$3:$B$52)</f>
        <v>Other veg</v>
      </c>
      <c r="H2675" s="129">
        <f>_xlfn.XLOOKUP(G2675,'[1]T&amp;C emissions for 2050 analysis'!$B$3:$B$23,'[1]T&amp;C emissions for 2050 analysis'!$C$3:$C$23)</f>
        <v>0.26766666666666666</v>
      </c>
      <c r="I2675" s="27">
        <f t="shared" si="123"/>
        <v>7.9017271739999992E-2</v>
      </c>
      <c r="J2675" s="129">
        <f t="shared" si="124"/>
        <v>16.152345</v>
      </c>
    </row>
    <row r="2676" spans="1:10" hidden="1" x14ac:dyDescent="0.35">
      <c r="A2676" s="126" t="s">
        <v>460</v>
      </c>
      <c r="B2676" t="str">
        <f>_xlfn.XLOOKUP(A2676,'[1]2050Pop'!$A$7:$A$143,'[1]2050Pop'!$D$7:$D$143)</f>
        <v>LatAm &amp; RSA</v>
      </c>
      <c r="C2676" s="127">
        <f>1000*_xlfn.XLOOKUP(A2676,'[1]2050Pop'!$A$7:$A$143,'[1]2050Pop'!$C$7:$C$143)</f>
        <v>65540</v>
      </c>
      <c r="D2676" s="126" t="s">
        <v>517</v>
      </c>
      <c r="E2676" s="128">
        <v>47.573</v>
      </c>
      <c r="F2676" s="129">
        <f t="shared" si="125"/>
        <v>3.1179344200000001</v>
      </c>
      <c r="G2676" t="str">
        <f>_xlfn.XLOOKUP(D2676,'[1]2050 BAU Mapping to T &amp; C'!$A$3:$A$52,'[1]2050 BAU Mapping to T &amp; C'!$B$3:$B$52)</f>
        <v>Other veg</v>
      </c>
      <c r="H2676" s="129">
        <f>_xlfn.XLOOKUP(G2676,'[1]T&amp;C emissions for 2050 analysis'!$B$3:$B$23,'[1]T&amp;C emissions for 2050 analysis'!$C$3:$C$23)</f>
        <v>0.26766666666666666</v>
      </c>
      <c r="I2676" s="27">
        <f t="shared" si="123"/>
        <v>0.83456711308666665</v>
      </c>
      <c r="J2676" s="129">
        <f t="shared" si="124"/>
        <v>12.733706333333334</v>
      </c>
    </row>
    <row r="2677" spans="1:10" hidden="1" x14ac:dyDescent="0.35">
      <c r="A2677" s="126" t="s">
        <v>461</v>
      </c>
      <c r="B2677" t="str">
        <f>_xlfn.XLOOKUP(A2677,'[1]2050Pop'!$A$7:$A$143,'[1]2050Pop'!$D$7:$D$143)</f>
        <v>Euro/AU/NZ</v>
      </c>
      <c r="C2677" s="127">
        <f>1000*_xlfn.XLOOKUP(A2677,'[1]2050Pop'!$A$7:$A$143,'[1]2050Pop'!$C$7:$C$143)</f>
        <v>44840</v>
      </c>
      <c r="D2677" s="126" t="s">
        <v>517</v>
      </c>
      <c r="E2677" s="128">
        <v>90.558000000000007</v>
      </c>
      <c r="F2677" s="129">
        <f t="shared" si="125"/>
        <v>4.0606207200000002</v>
      </c>
      <c r="G2677" t="str">
        <f>_xlfn.XLOOKUP(D2677,'[1]2050 BAU Mapping to T &amp; C'!$A$3:$A$52,'[1]2050 BAU Mapping to T &amp; C'!$B$3:$B$52)</f>
        <v>Other veg</v>
      </c>
      <c r="H2677" s="129">
        <f>_xlfn.XLOOKUP(G2677,'[1]T&amp;C emissions for 2050 analysis'!$B$3:$B$23,'[1]T&amp;C emissions for 2050 analysis'!$C$3:$C$23)</f>
        <v>0.26766666666666666</v>
      </c>
      <c r="I2677" s="27">
        <f t="shared" si="123"/>
        <v>1.0868928127199999</v>
      </c>
      <c r="J2677" s="129">
        <f t="shared" si="124"/>
        <v>24.239358000000003</v>
      </c>
    </row>
    <row r="2678" spans="1:10" hidden="1" x14ac:dyDescent="0.35">
      <c r="A2678" s="126" t="s">
        <v>493</v>
      </c>
      <c r="B2678" t="str">
        <f>_xlfn.XLOOKUP(A2678,'[1]2050Pop'!$A$7:$A$143,'[1]2050Pop'!$D$7:$D$143)</f>
        <v>India/South Asia</v>
      </c>
      <c r="C2678" s="127">
        <f>1000*_xlfn.XLOOKUP(A2678,'[1]2050Pop'!$A$7:$A$143,'[1]2050Pop'!$C$7:$C$143)</f>
        <v>20836</v>
      </c>
      <c r="D2678" s="126" t="s">
        <v>517</v>
      </c>
      <c r="E2678" s="128">
        <v>54.561</v>
      </c>
      <c r="F2678" s="129">
        <f t="shared" si="125"/>
        <v>1.1368329960000001</v>
      </c>
      <c r="G2678" t="str">
        <f>_xlfn.XLOOKUP(D2678,'[1]2050 BAU Mapping to T &amp; C'!$A$3:$A$52,'[1]2050 BAU Mapping to T &amp; C'!$B$3:$B$52)</f>
        <v>Other veg</v>
      </c>
      <c r="H2678" s="129">
        <f>_xlfn.XLOOKUP(G2678,'[1]T&amp;C emissions for 2050 analysis'!$B$3:$B$23,'[1]T&amp;C emissions for 2050 analysis'!$C$3:$C$23)</f>
        <v>0.26766666666666666</v>
      </c>
      <c r="I2678" s="27">
        <f t="shared" si="123"/>
        <v>0.30429229859600004</v>
      </c>
      <c r="J2678" s="129">
        <f t="shared" si="124"/>
        <v>14.604161</v>
      </c>
    </row>
    <row r="2679" spans="1:10" hidden="1" x14ac:dyDescent="0.35">
      <c r="A2679" s="126" t="s">
        <v>462</v>
      </c>
      <c r="B2679" t="str">
        <f>_xlfn.XLOOKUP(A2679,'[1]2050Pop'!$A$7:$A$143,'[1]2050Pop'!$D$7:$D$143)</f>
        <v>LatAm &amp; RSA</v>
      </c>
      <c r="C2679" s="127">
        <f>1000*_xlfn.XLOOKUP(A2679,'[1]2050Pop'!$A$7:$A$143,'[1]2050Pop'!$C$7:$C$143)</f>
        <v>624</v>
      </c>
      <c r="D2679" s="126" t="s">
        <v>517</v>
      </c>
      <c r="E2679" s="128">
        <v>61.118000000000002</v>
      </c>
      <c r="F2679" s="129">
        <f t="shared" si="125"/>
        <v>3.8137631999999998E-2</v>
      </c>
      <c r="G2679" t="str">
        <f>_xlfn.XLOOKUP(D2679,'[1]2050 BAU Mapping to T &amp; C'!$A$3:$A$52,'[1]2050 BAU Mapping to T &amp; C'!$B$3:$B$52)</f>
        <v>Other veg</v>
      </c>
      <c r="H2679" s="129">
        <f>_xlfn.XLOOKUP(G2679,'[1]T&amp;C emissions for 2050 analysis'!$B$3:$B$23,'[1]T&amp;C emissions for 2050 analysis'!$C$3:$C$23)</f>
        <v>0.26766666666666666</v>
      </c>
      <c r="I2679" s="27">
        <f t="shared" si="123"/>
        <v>1.0208172832E-2</v>
      </c>
      <c r="J2679" s="129">
        <f t="shared" si="124"/>
        <v>16.359251333333333</v>
      </c>
    </row>
    <row r="2680" spans="1:10" hidden="1" x14ac:dyDescent="0.35">
      <c r="A2680" s="126" t="s">
        <v>463</v>
      </c>
      <c r="B2680" t="str">
        <f>_xlfn.XLOOKUP(A2680,'[1]2050Pop'!$A$7:$A$143,'[1]2050Pop'!$D$7:$D$143)</f>
        <v>SSA</v>
      </c>
      <c r="C2680" s="127">
        <f>1000*_xlfn.XLOOKUP(A2680,'[1]2050Pop'!$A$7:$A$143,'[1]2050Pop'!$C$7:$C$143)</f>
        <v>1792</v>
      </c>
      <c r="D2680" s="126" t="s">
        <v>517</v>
      </c>
      <c r="E2680" s="128">
        <v>16.608000000000001</v>
      </c>
      <c r="F2680" s="129">
        <f t="shared" si="125"/>
        <v>2.9761536000000002E-2</v>
      </c>
      <c r="G2680" t="str">
        <f>_xlfn.XLOOKUP(D2680,'[1]2050 BAU Mapping to T &amp; C'!$A$3:$A$52,'[1]2050 BAU Mapping to T &amp; C'!$B$3:$B$52)</f>
        <v>Other veg</v>
      </c>
      <c r="H2680" s="129">
        <f>_xlfn.XLOOKUP(G2680,'[1]T&amp;C emissions for 2050 analysis'!$B$3:$B$23,'[1]T&amp;C emissions for 2050 analysis'!$C$3:$C$23)</f>
        <v>0.26766666666666666</v>
      </c>
      <c r="I2680" s="27">
        <f t="shared" si="123"/>
        <v>7.9661711360000005E-3</v>
      </c>
      <c r="J2680" s="129">
        <f t="shared" si="124"/>
        <v>4.4454080000000005</v>
      </c>
    </row>
    <row r="2681" spans="1:10" hidden="1" x14ac:dyDescent="0.35">
      <c r="A2681" s="126" t="s">
        <v>464</v>
      </c>
      <c r="B2681" t="str">
        <f>_xlfn.XLOOKUP(A2681,'[1]2050Pop'!$A$7:$A$143,'[1]2050Pop'!$D$7:$D$143)</f>
        <v>Euro/AU/NZ</v>
      </c>
      <c r="C2681" s="127">
        <f>1000*_xlfn.XLOOKUP(A2681,'[1]2050Pop'!$A$7:$A$143,'[1]2050Pop'!$C$7:$C$143)</f>
        <v>11881</v>
      </c>
      <c r="D2681" s="126" t="s">
        <v>517</v>
      </c>
      <c r="E2681" s="128">
        <v>78.986999999999995</v>
      </c>
      <c r="F2681" s="129">
        <f t="shared" si="125"/>
        <v>0.93844454699999991</v>
      </c>
      <c r="G2681" t="str">
        <f>_xlfn.XLOOKUP(D2681,'[1]2050 BAU Mapping to T &amp; C'!$A$3:$A$52,'[1]2050 BAU Mapping to T &amp; C'!$B$3:$B$52)</f>
        <v>Other veg</v>
      </c>
      <c r="H2681" s="129">
        <f>_xlfn.XLOOKUP(G2681,'[1]T&amp;C emissions for 2050 analysis'!$B$3:$B$23,'[1]T&amp;C emissions for 2050 analysis'!$C$3:$C$23)</f>
        <v>0.26766666666666666</v>
      </c>
      <c r="I2681" s="27">
        <f t="shared" si="123"/>
        <v>0.25119032374699996</v>
      </c>
      <c r="J2681" s="129">
        <f t="shared" si="124"/>
        <v>21.142187</v>
      </c>
    </row>
    <row r="2682" spans="1:10" hidden="1" x14ac:dyDescent="0.35">
      <c r="A2682" s="126" t="s">
        <v>483</v>
      </c>
      <c r="B2682" t="str">
        <f>_xlfn.XLOOKUP(A2682,'[1]2050Pop'!$A$7:$A$143,'[1]2050Pop'!$D$7:$D$143)</f>
        <v>APAC</v>
      </c>
      <c r="C2682" s="127">
        <f>1000*_xlfn.XLOOKUP(A2682,'[1]2050Pop'!$A$7:$A$143,'[1]2050Pop'!$C$7:$C$143)</f>
        <v>14288</v>
      </c>
      <c r="D2682" s="126" t="s">
        <v>517</v>
      </c>
      <c r="E2682" s="128">
        <v>148.15899999999999</v>
      </c>
      <c r="F2682" s="129">
        <f t="shared" si="125"/>
        <v>2.1168957919999998</v>
      </c>
      <c r="G2682" t="str">
        <f>_xlfn.XLOOKUP(D2682,'[1]2050 BAU Mapping to T &amp; C'!$A$3:$A$52,'[1]2050 BAU Mapping to T &amp; C'!$B$3:$B$52)</f>
        <v>Other veg</v>
      </c>
      <c r="H2682" s="129">
        <f>_xlfn.XLOOKUP(G2682,'[1]T&amp;C emissions for 2050 analysis'!$B$3:$B$23,'[1]T&amp;C emissions for 2050 analysis'!$C$3:$C$23)</f>
        <v>0.26766666666666666</v>
      </c>
      <c r="I2682" s="27">
        <f t="shared" si="123"/>
        <v>0.56662244032533327</v>
      </c>
      <c r="J2682" s="129">
        <f t="shared" si="124"/>
        <v>39.657225666666662</v>
      </c>
    </row>
    <row r="2683" spans="1:10" hidden="1" x14ac:dyDescent="0.35">
      <c r="A2683" s="126" t="s">
        <v>465</v>
      </c>
      <c r="B2683" t="str">
        <f>_xlfn.XLOOKUP(A2683,'[1]2050Pop'!$A$7:$A$143,'[1]2050Pop'!$D$7:$D$143)</f>
        <v>APAC</v>
      </c>
      <c r="C2683" s="127">
        <f>1000*_xlfn.XLOOKUP(A2683,'[1]2050Pop'!$A$7:$A$143,'[1]2050Pop'!$C$7:$C$143)</f>
        <v>62452</v>
      </c>
      <c r="D2683" s="126" t="s">
        <v>517</v>
      </c>
      <c r="E2683" s="130">
        <v>47.55</v>
      </c>
      <c r="F2683" s="129">
        <f t="shared" si="125"/>
        <v>2.9695925999999995</v>
      </c>
      <c r="G2683" t="str">
        <f>_xlfn.XLOOKUP(D2683,'[1]2050 BAU Mapping to T &amp; C'!$A$3:$A$52,'[1]2050 BAU Mapping to T &amp; C'!$B$3:$B$52)</f>
        <v>Other veg</v>
      </c>
      <c r="H2683" s="129">
        <f>_xlfn.XLOOKUP(G2683,'[1]T&amp;C emissions for 2050 analysis'!$B$3:$B$23,'[1]T&amp;C emissions for 2050 analysis'!$C$3:$C$23)</f>
        <v>0.26766666666666666</v>
      </c>
      <c r="I2683" s="27">
        <f t="shared" si="123"/>
        <v>0.79486095259999989</v>
      </c>
      <c r="J2683" s="129">
        <f t="shared" si="124"/>
        <v>12.727549999999999</v>
      </c>
    </row>
    <row r="2684" spans="1:10" hidden="1" x14ac:dyDescent="0.35">
      <c r="A2684" s="126" t="s">
        <v>466</v>
      </c>
      <c r="B2684" t="str">
        <f>_xlfn.XLOOKUP(A2684,'[1]2050Pop'!$A$7:$A$143,'[1]2050Pop'!$D$7:$D$143)</f>
        <v>SSA</v>
      </c>
      <c r="C2684" s="127">
        <f>1000*_xlfn.XLOOKUP(A2684,'[1]2050Pop'!$A$7:$A$143,'[1]2050Pop'!$C$7:$C$143)</f>
        <v>15681</v>
      </c>
      <c r="D2684" s="126" t="s">
        <v>517</v>
      </c>
      <c r="E2684" s="128">
        <v>25.753</v>
      </c>
      <c r="F2684" s="129">
        <f t="shared" si="125"/>
        <v>0.40383279300000002</v>
      </c>
      <c r="G2684" t="str">
        <f>_xlfn.XLOOKUP(D2684,'[1]2050 BAU Mapping to T &amp; C'!$A$3:$A$52,'[1]2050 BAU Mapping to T &amp; C'!$B$3:$B$52)</f>
        <v>Other veg</v>
      </c>
      <c r="H2684" s="129">
        <f>_xlfn.XLOOKUP(G2684,'[1]T&amp;C emissions for 2050 analysis'!$B$3:$B$23,'[1]T&amp;C emissions for 2050 analysis'!$C$3:$C$23)</f>
        <v>0.26766666666666666</v>
      </c>
      <c r="I2684" s="27">
        <f t="shared" si="123"/>
        <v>0.10809257759300001</v>
      </c>
      <c r="J2684" s="129">
        <f t="shared" si="124"/>
        <v>6.893219666666667</v>
      </c>
    </row>
    <row r="2685" spans="1:10" hidden="1" x14ac:dyDescent="0.35">
      <c r="A2685" s="126" t="s">
        <v>467</v>
      </c>
      <c r="B2685" t="str">
        <f>_xlfn.XLOOKUP(A2685,'[1]2050Pop'!$A$7:$A$143,'[1]2050Pop'!$D$7:$D$143)</f>
        <v>LatAm &amp; RSA</v>
      </c>
      <c r="C2685" s="127">
        <f>1000*_xlfn.XLOOKUP(A2685,'[1]2050Pop'!$A$7:$A$143,'[1]2050Pop'!$C$7:$C$143)</f>
        <v>1291</v>
      </c>
      <c r="D2685" s="126" t="s">
        <v>517</v>
      </c>
      <c r="E2685" s="128">
        <v>36.904000000000003</v>
      </c>
      <c r="F2685" s="129">
        <f t="shared" si="125"/>
        <v>4.7643064000000006E-2</v>
      </c>
      <c r="G2685" t="str">
        <f>_xlfn.XLOOKUP(D2685,'[1]2050 BAU Mapping to T &amp; C'!$A$3:$A$52,'[1]2050 BAU Mapping to T &amp; C'!$B$3:$B$52)</f>
        <v>Other veg</v>
      </c>
      <c r="H2685" s="129">
        <f>_xlfn.XLOOKUP(G2685,'[1]T&amp;C emissions for 2050 analysis'!$B$3:$B$23,'[1]T&amp;C emissions for 2050 analysis'!$C$3:$C$23)</f>
        <v>0.26766666666666666</v>
      </c>
      <c r="I2685" s="27">
        <f t="shared" si="123"/>
        <v>1.2752460130666669E-2</v>
      </c>
      <c r="J2685" s="129">
        <f t="shared" si="124"/>
        <v>9.877970666666668</v>
      </c>
    </row>
    <row r="2686" spans="1:10" hidden="1" x14ac:dyDescent="0.35">
      <c r="A2686" s="126" t="s">
        <v>468</v>
      </c>
      <c r="B2686" t="str">
        <f>_xlfn.XLOOKUP(A2686,'[1]2050Pop'!$A$7:$A$143,'[1]2050Pop'!$D$7:$D$143)</f>
        <v>MENA</v>
      </c>
      <c r="C2686" s="127">
        <f>1000*_xlfn.XLOOKUP(A2686,'[1]2050Pop'!$A$7:$A$143,'[1]2050Pop'!$C$7:$C$143)</f>
        <v>13476</v>
      </c>
      <c r="D2686" s="126" t="s">
        <v>517</v>
      </c>
      <c r="E2686" s="128">
        <v>178.69800000000001</v>
      </c>
      <c r="F2686" s="129">
        <f t="shared" si="125"/>
        <v>2.4081342480000001</v>
      </c>
      <c r="G2686" t="str">
        <f>_xlfn.XLOOKUP(D2686,'[1]2050 BAU Mapping to T &amp; C'!$A$3:$A$52,'[1]2050 BAU Mapping to T &amp; C'!$B$3:$B$52)</f>
        <v>Other veg</v>
      </c>
      <c r="H2686" s="129">
        <f>_xlfn.XLOOKUP(G2686,'[1]T&amp;C emissions for 2050 analysis'!$B$3:$B$23,'[1]T&amp;C emissions for 2050 analysis'!$C$3:$C$23)</f>
        <v>0.26766666666666666</v>
      </c>
      <c r="I2686" s="27">
        <f t="shared" si="123"/>
        <v>0.644577267048</v>
      </c>
      <c r="J2686" s="129">
        <f t="shared" si="124"/>
        <v>47.831498000000003</v>
      </c>
    </row>
    <row r="2687" spans="1:10" hidden="1" x14ac:dyDescent="0.35">
      <c r="A2687" s="126" t="s">
        <v>469</v>
      </c>
      <c r="B2687" t="str">
        <f>_xlfn.XLOOKUP(A2687,'[1]2050Pop'!$A$7:$A$143,'[1]2050Pop'!$D$7:$D$143)</f>
        <v>MENA</v>
      </c>
      <c r="C2687" s="127">
        <f>1000*_xlfn.XLOOKUP(A2687,'[1]2050Pop'!$A$7:$A$143,'[1]2050Pop'!$C$7:$C$143)</f>
        <v>95819</v>
      </c>
      <c r="D2687" s="126" t="s">
        <v>517</v>
      </c>
      <c r="E2687" s="128">
        <v>155.65799999999999</v>
      </c>
      <c r="F2687" s="129">
        <f t="shared" si="125"/>
        <v>14.914993901999999</v>
      </c>
      <c r="G2687" t="str">
        <f>_xlfn.XLOOKUP(D2687,'[1]2050 BAU Mapping to T &amp; C'!$A$3:$A$52,'[1]2050 BAU Mapping to T &amp; C'!$B$3:$B$52)</f>
        <v>Other veg</v>
      </c>
      <c r="H2687" s="129">
        <f>_xlfn.XLOOKUP(G2687,'[1]T&amp;C emissions for 2050 analysis'!$B$3:$B$23,'[1]T&amp;C emissions for 2050 analysis'!$C$3:$C$23)</f>
        <v>0.26766666666666666</v>
      </c>
      <c r="I2687" s="27">
        <f t="shared" si="123"/>
        <v>3.9922467011019998</v>
      </c>
      <c r="J2687" s="129">
        <f t="shared" si="124"/>
        <v>41.664457999999996</v>
      </c>
    </row>
    <row r="2688" spans="1:10" hidden="1" x14ac:dyDescent="0.35">
      <c r="A2688" s="126" t="s">
        <v>484</v>
      </c>
      <c r="B2688" t="str">
        <f>_xlfn.XLOOKUP(A2688,'[1]2050Pop'!$A$7:$A$143,'[1]2050Pop'!$D$7:$D$143)</f>
        <v>APAC</v>
      </c>
      <c r="C2688" s="127">
        <f>1000*_xlfn.XLOOKUP(A2688,'[1]2050Pop'!$A$7:$A$143,'[1]2050Pop'!$C$7:$C$143)</f>
        <v>6555</v>
      </c>
      <c r="D2688" s="126" t="s">
        <v>517</v>
      </c>
      <c r="E2688" s="128">
        <v>126.342</v>
      </c>
      <c r="F2688" s="129">
        <f t="shared" si="125"/>
        <v>0.82817180999999995</v>
      </c>
      <c r="G2688" t="str">
        <f>_xlfn.XLOOKUP(D2688,'[1]2050 BAU Mapping to T &amp; C'!$A$3:$A$52,'[1]2050 BAU Mapping to T &amp; C'!$B$3:$B$52)</f>
        <v>Other veg</v>
      </c>
      <c r="H2688" s="129">
        <f>_xlfn.XLOOKUP(G2688,'[1]T&amp;C emissions for 2050 analysis'!$B$3:$B$23,'[1]T&amp;C emissions for 2050 analysis'!$C$3:$C$23)</f>
        <v>0.26766666666666666</v>
      </c>
      <c r="I2688" s="27">
        <f t="shared" si="123"/>
        <v>0.22167398780999997</v>
      </c>
      <c r="J2688" s="129">
        <f t="shared" si="124"/>
        <v>33.817541999999996</v>
      </c>
    </row>
    <row r="2689" spans="1:10" hidden="1" x14ac:dyDescent="0.35">
      <c r="A2689" s="126" t="s">
        <v>470</v>
      </c>
      <c r="B2689" t="str">
        <f>_xlfn.XLOOKUP(A2689,'[1]2050Pop'!$A$7:$A$143,'[1]2050Pop'!$D$7:$D$143)</f>
        <v>SSA</v>
      </c>
      <c r="C2689" s="127">
        <f>1000*_xlfn.XLOOKUP(A2689,'[1]2050Pop'!$A$7:$A$143,'[1]2050Pop'!$C$7:$C$143)</f>
        <v>101873</v>
      </c>
      <c r="D2689" s="126" t="s">
        <v>517</v>
      </c>
      <c r="E2689" s="128">
        <v>25.702999999999999</v>
      </c>
      <c r="F2689" s="129">
        <f t="shared" si="125"/>
        <v>2.6184417190000002</v>
      </c>
      <c r="G2689" t="str">
        <f>_xlfn.XLOOKUP(D2689,'[1]2050 BAU Mapping to T &amp; C'!$A$3:$A$52,'[1]2050 BAU Mapping to T &amp; C'!$B$3:$B$52)</f>
        <v>Other veg</v>
      </c>
      <c r="H2689" s="129">
        <f>_xlfn.XLOOKUP(G2689,'[1]T&amp;C emissions for 2050 analysis'!$B$3:$B$23,'[1]T&amp;C emissions for 2050 analysis'!$C$3:$C$23)</f>
        <v>0.26766666666666666</v>
      </c>
      <c r="I2689" s="27">
        <f t="shared" si="123"/>
        <v>0.7008695667856667</v>
      </c>
      <c r="J2689" s="129">
        <f t="shared" si="124"/>
        <v>6.8798363333333334</v>
      </c>
    </row>
    <row r="2690" spans="1:10" hidden="1" x14ac:dyDescent="0.35">
      <c r="A2690" s="126" t="s">
        <v>471</v>
      </c>
      <c r="B2690" t="str">
        <f>_xlfn.XLOOKUP(A2690,'[1]2050Pop'!$A$7:$A$143,'[1]2050Pop'!$D$7:$D$143)</f>
        <v>Euro/AU/NZ</v>
      </c>
      <c r="C2690" s="127">
        <f>1000*_xlfn.XLOOKUP(A2690,'[1]2050Pop'!$A$7:$A$143,'[1]2050Pop'!$C$7:$C$143)</f>
        <v>35117</v>
      </c>
      <c r="D2690" s="126" t="s">
        <v>517</v>
      </c>
      <c r="E2690" s="128">
        <v>140.679</v>
      </c>
      <c r="F2690" s="129">
        <f t="shared" si="125"/>
        <v>4.940224443</v>
      </c>
      <c r="G2690" t="str">
        <f>_xlfn.XLOOKUP(D2690,'[1]2050 BAU Mapping to T &amp; C'!$A$3:$A$52,'[1]2050 BAU Mapping to T &amp; C'!$B$3:$B$52)</f>
        <v>Other veg</v>
      </c>
      <c r="H2690" s="129">
        <f>_xlfn.XLOOKUP(G2690,'[1]T&amp;C emissions for 2050 analysis'!$B$3:$B$23,'[1]T&amp;C emissions for 2050 analysis'!$C$3:$C$23)</f>
        <v>0.26766666666666666</v>
      </c>
      <c r="I2690" s="27">
        <f t="shared" si="123"/>
        <v>1.3223334092429999</v>
      </c>
      <c r="J2690" s="129">
        <f t="shared" si="124"/>
        <v>37.655079000000001</v>
      </c>
    </row>
    <row r="2691" spans="1:10" hidden="1" x14ac:dyDescent="0.35">
      <c r="A2691" s="126" t="s">
        <v>472</v>
      </c>
      <c r="B2691" t="str">
        <f>_xlfn.XLOOKUP(A2691,'[1]2050Pop'!$A$7:$A$143,'[1]2050Pop'!$D$7:$D$143)</f>
        <v>Euro/AU/NZ</v>
      </c>
      <c r="C2691" s="127">
        <f>1000*_xlfn.XLOOKUP(A2691,'[1]2050Pop'!$A$7:$A$143,'[1]2050Pop'!$C$7:$C$143)</f>
        <v>75361</v>
      </c>
      <c r="D2691" s="126" t="s">
        <v>517</v>
      </c>
      <c r="E2691" s="128">
        <v>76.057000000000002</v>
      </c>
      <c r="F2691" s="129">
        <f t="shared" si="125"/>
        <v>5.7317315770000006</v>
      </c>
      <c r="G2691" t="str">
        <f>_xlfn.XLOOKUP(D2691,'[1]2050 BAU Mapping to T &amp; C'!$A$3:$A$52,'[1]2050 BAU Mapping to T &amp; C'!$B$3:$B$52)</f>
        <v>Other veg</v>
      </c>
      <c r="H2691" s="129">
        <f>_xlfn.XLOOKUP(G2691,'[1]T&amp;C emissions for 2050 analysis'!$B$3:$B$23,'[1]T&amp;C emissions for 2050 analysis'!$C$3:$C$23)</f>
        <v>0.26766666666666666</v>
      </c>
      <c r="I2691" s="27">
        <f t="shared" si="123"/>
        <v>1.5341934854436667</v>
      </c>
      <c r="J2691" s="129">
        <f t="shared" si="124"/>
        <v>20.357923666666668</v>
      </c>
    </row>
    <row r="2692" spans="1:10" hidden="1" x14ac:dyDescent="0.35">
      <c r="A2692" s="126" t="s">
        <v>473</v>
      </c>
      <c r="B2692" t="str">
        <f>_xlfn.XLOOKUP(A2692,'[1]2050Pop'!$A$7:$A$143,'[1]2050Pop'!$D$7:$D$143)</f>
        <v>SSA</v>
      </c>
      <c r="C2692" s="127">
        <f>1000*_xlfn.XLOOKUP(A2692,'[1]2050Pop'!$A$7:$A$143,'[1]2050Pop'!$C$7:$C$143)</f>
        <v>137136</v>
      </c>
      <c r="D2692" s="126" t="s">
        <v>517</v>
      </c>
      <c r="E2692" s="128">
        <v>41.051000000000002</v>
      </c>
      <c r="F2692" s="129">
        <f t="shared" si="125"/>
        <v>5.6295699360000011</v>
      </c>
      <c r="G2692" t="str">
        <f>_xlfn.XLOOKUP(D2692,'[1]2050 BAU Mapping to T &amp; C'!$A$3:$A$52,'[1]2050 BAU Mapping to T &amp; C'!$B$3:$B$52)</f>
        <v>Other veg</v>
      </c>
      <c r="H2692" s="129">
        <f>_xlfn.XLOOKUP(G2692,'[1]T&amp;C emissions for 2050 analysis'!$B$3:$B$23,'[1]T&amp;C emissions for 2050 analysis'!$C$3:$C$23)</f>
        <v>0.26766666666666666</v>
      </c>
      <c r="I2692" s="27">
        <f t="shared" ref="I2692:I2755" si="126">F2692*H2692</f>
        <v>1.5068482195360002</v>
      </c>
      <c r="J2692" s="129">
        <f t="shared" ref="J2692:J2755" si="127">E2692*H2692</f>
        <v>10.987984333333333</v>
      </c>
    </row>
    <row r="2693" spans="1:10" hidden="1" x14ac:dyDescent="0.35">
      <c r="A2693" s="126" t="s">
        <v>474</v>
      </c>
      <c r="B2693" t="str">
        <f>_xlfn.XLOOKUP(A2693,'[1]2050Pop'!$A$7:$A$143,'[1]2050Pop'!$D$7:$D$143)</f>
        <v>NAm</v>
      </c>
      <c r="C2693" s="127">
        <f>1000*_xlfn.XLOOKUP(A2693,'[1]2050Pop'!$A$7:$A$143,'[1]2050Pop'!$C$7:$C$143)</f>
        <v>388865</v>
      </c>
      <c r="D2693" s="126" t="s">
        <v>517</v>
      </c>
      <c r="E2693" s="128">
        <v>75.698999999999998</v>
      </c>
      <c r="F2693" s="129">
        <f t="shared" ref="F2693:F2756" si="128">C2693*E2693/1000000</f>
        <v>29.436691634999999</v>
      </c>
      <c r="G2693" t="str">
        <f>_xlfn.XLOOKUP(D2693,'[1]2050 BAU Mapping to T &amp; C'!$A$3:$A$52,'[1]2050 BAU Mapping to T &amp; C'!$B$3:$B$52)</f>
        <v>Other veg</v>
      </c>
      <c r="H2693" s="129">
        <f>_xlfn.XLOOKUP(G2693,'[1]T&amp;C emissions for 2050 analysis'!$B$3:$B$23,'[1]T&amp;C emissions for 2050 analysis'!$C$3:$C$23)</f>
        <v>0.26766666666666666</v>
      </c>
      <c r="I2693" s="27">
        <f t="shared" si="126"/>
        <v>7.8792211276349997</v>
      </c>
      <c r="J2693" s="129">
        <f t="shared" si="127"/>
        <v>20.262098999999999</v>
      </c>
    </row>
    <row r="2694" spans="1:10" hidden="1" x14ac:dyDescent="0.35">
      <c r="A2694" s="126" t="s">
        <v>475</v>
      </c>
      <c r="B2694" t="str">
        <f>_xlfn.XLOOKUP(A2694,'[1]2050Pop'!$A$7:$A$143,'[1]2050Pop'!$D$7:$D$143)</f>
        <v>LatAm &amp; RSA</v>
      </c>
      <c r="C2694" s="127">
        <f>1000*_xlfn.XLOOKUP(A2694,'[1]2050Pop'!$A$7:$A$143,'[1]2050Pop'!$C$7:$C$143)</f>
        <v>3667</v>
      </c>
      <c r="D2694" s="126" t="s">
        <v>517</v>
      </c>
      <c r="E2694" s="128">
        <v>55.741</v>
      </c>
      <c r="F2694" s="129">
        <f t="shared" si="128"/>
        <v>0.20440224700000001</v>
      </c>
      <c r="G2694" t="str">
        <f>_xlfn.XLOOKUP(D2694,'[1]2050 BAU Mapping to T &amp; C'!$A$3:$A$52,'[1]2050 BAU Mapping to T &amp; C'!$B$3:$B$52)</f>
        <v>Other veg</v>
      </c>
      <c r="H2694" s="129">
        <f>_xlfn.XLOOKUP(G2694,'[1]T&amp;C emissions for 2050 analysis'!$B$3:$B$23,'[1]T&amp;C emissions for 2050 analysis'!$C$3:$C$23)</f>
        <v>0.26766666666666666</v>
      </c>
      <c r="I2694" s="27">
        <f t="shared" si="126"/>
        <v>5.4711668113666671E-2</v>
      </c>
      <c r="J2694" s="129">
        <f t="shared" si="127"/>
        <v>14.920007666666667</v>
      </c>
    </row>
    <row r="2695" spans="1:10" hidden="1" x14ac:dyDescent="0.35">
      <c r="A2695" s="126" t="s">
        <v>485</v>
      </c>
      <c r="B2695" t="str">
        <f>_xlfn.XLOOKUP(A2695,'[1]2050Pop'!$A$7:$A$143,'[1]2050Pop'!$D$7:$D$143)</f>
        <v>APAC</v>
      </c>
      <c r="C2695" s="127">
        <f>1000*_xlfn.XLOOKUP(A2695,'[1]2050Pop'!$A$7:$A$143,'[1]2050Pop'!$C$7:$C$143)</f>
        <v>37126</v>
      </c>
      <c r="D2695" s="126" t="s">
        <v>517</v>
      </c>
      <c r="E2695" s="128">
        <v>239.64699999999999</v>
      </c>
      <c r="F2695" s="129">
        <f t="shared" si="128"/>
        <v>8.897134522</v>
      </c>
      <c r="G2695" t="str">
        <f>_xlfn.XLOOKUP(D2695,'[1]2050 BAU Mapping to T &amp; C'!$A$3:$A$52,'[1]2050 BAU Mapping to T &amp; C'!$B$3:$B$52)</f>
        <v>Other veg</v>
      </c>
      <c r="H2695" s="129">
        <f>_xlfn.XLOOKUP(G2695,'[1]T&amp;C emissions for 2050 analysis'!$B$3:$B$23,'[1]T&amp;C emissions for 2050 analysis'!$C$3:$C$23)</f>
        <v>0.26766666666666666</v>
      </c>
      <c r="I2695" s="27">
        <f t="shared" si="126"/>
        <v>2.3814663403886667</v>
      </c>
      <c r="J2695" s="129">
        <f t="shared" si="127"/>
        <v>64.145513666666659</v>
      </c>
    </row>
    <row r="2696" spans="1:10" hidden="1" x14ac:dyDescent="0.35">
      <c r="A2696" s="126" t="s">
        <v>476</v>
      </c>
      <c r="B2696" t="str">
        <f>_xlfn.XLOOKUP(A2696,'[1]2050Pop'!$A$7:$A$143,'[1]2050Pop'!$D$7:$D$143)</f>
        <v>LatAm &amp; RSA</v>
      </c>
      <c r="C2696" s="127">
        <f>1000*_xlfn.XLOOKUP(A2696,'[1]2050Pop'!$A$7:$A$143,'[1]2050Pop'!$C$7:$C$143)</f>
        <v>41562</v>
      </c>
      <c r="D2696" s="126" t="s">
        <v>517</v>
      </c>
      <c r="E2696" s="130">
        <v>44.99</v>
      </c>
      <c r="F2696" s="129">
        <f t="shared" si="128"/>
        <v>1.8698743800000002</v>
      </c>
      <c r="G2696" t="str">
        <f>_xlfn.XLOOKUP(D2696,'[1]2050 BAU Mapping to T &amp; C'!$A$3:$A$52,'[1]2050 BAU Mapping to T &amp; C'!$B$3:$B$52)</f>
        <v>Other veg</v>
      </c>
      <c r="H2696" s="129">
        <f>_xlfn.XLOOKUP(G2696,'[1]T&amp;C emissions for 2050 analysis'!$B$3:$B$23,'[1]T&amp;C emissions for 2050 analysis'!$C$3:$C$23)</f>
        <v>0.26766666666666666</v>
      </c>
      <c r="I2696" s="27">
        <f t="shared" si="126"/>
        <v>0.50050304237999999</v>
      </c>
      <c r="J2696" s="129">
        <f t="shared" si="127"/>
        <v>12.042323333333334</v>
      </c>
    </row>
    <row r="2697" spans="1:10" hidden="1" x14ac:dyDescent="0.35">
      <c r="A2697" s="126" t="s">
        <v>477</v>
      </c>
      <c r="B2697" t="str">
        <f>_xlfn.XLOOKUP(A2697,'[1]2050Pop'!$A$7:$A$143,'[1]2050Pop'!$D$7:$D$143)</f>
        <v>APAC</v>
      </c>
      <c r="C2697" s="127">
        <f>1000*_xlfn.XLOOKUP(A2697,'[1]2050Pop'!$A$7:$A$143,'[1]2050Pop'!$C$7:$C$143)</f>
        <v>112783</v>
      </c>
      <c r="D2697" s="126" t="s">
        <v>517</v>
      </c>
      <c r="E2697" s="128">
        <v>107.97499999999999</v>
      </c>
      <c r="F2697" s="129">
        <f t="shared" si="128"/>
        <v>12.177744424999998</v>
      </c>
      <c r="G2697" t="str">
        <f>_xlfn.XLOOKUP(D2697,'[1]2050 BAU Mapping to T &amp; C'!$A$3:$A$52,'[1]2050 BAU Mapping to T &amp; C'!$B$3:$B$52)</f>
        <v>Other veg</v>
      </c>
      <c r="H2697" s="129">
        <f>_xlfn.XLOOKUP(G2697,'[1]T&amp;C emissions for 2050 analysis'!$B$3:$B$23,'[1]T&amp;C emissions for 2050 analysis'!$C$3:$C$23)</f>
        <v>0.26766666666666666</v>
      </c>
      <c r="I2697" s="27">
        <f t="shared" si="126"/>
        <v>3.2595762577583329</v>
      </c>
      <c r="J2697" s="129">
        <f t="shared" si="127"/>
        <v>28.901308333333333</v>
      </c>
    </row>
    <row r="2698" spans="1:10" hidden="1" x14ac:dyDescent="0.35">
      <c r="A2698" s="126" t="s">
        <v>478</v>
      </c>
      <c r="B2698" t="str">
        <f>_xlfn.XLOOKUP(A2698,'[1]2050Pop'!$A$7:$A$143,'[1]2050Pop'!$D$7:$D$143)</f>
        <v>MENA</v>
      </c>
      <c r="C2698" s="127">
        <f>1000*_xlfn.XLOOKUP(A2698,'[1]2050Pop'!$A$7:$A$143,'[1]2050Pop'!$C$7:$C$143)</f>
        <v>47170</v>
      </c>
      <c r="D2698" s="126" t="s">
        <v>517</v>
      </c>
      <c r="E2698" s="128">
        <v>25.367999999999999</v>
      </c>
      <c r="F2698" s="129">
        <f t="shared" si="128"/>
        <v>1.1966085599999998</v>
      </c>
      <c r="G2698" t="str">
        <f>_xlfn.XLOOKUP(D2698,'[1]2050 BAU Mapping to T &amp; C'!$A$3:$A$52,'[1]2050 BAU Mapping to T &amp; C'!$B$3:$B$52)</f>
        <v>Other veg</v>
      </c>
      <c r="H2698" s="129">
        <f>_xlfn.XLOOKUP(G2698,'[1]T&amp;C emissions for 2050 analysis'!$B$3:$B$23,'[1]T&amp;C emissions for 2050 analysis'!$C$3:$C$23)</f>
        <v>0.26766666666666666</v>
      </c>
      <c r="I2698" s="27">
        <f t="shared" si="126"/>
        <v>0.32029222455999995</v>
      </c>
      <c r="J2698" s="129">
        <f t="shared" si="127"/>
        <v>6.7901679999999995</v>
      </c>
    </row>
    <row r="2699" spans="1:10" hidden="1" x14ac:dyDescent="0.35">
      <c r="A2699" s="126" t="s">
        <v>494</v>
      </c>
      <c r="B2699" t="str">
        <f>_xlfn.XLOOKUP(A2699,'[1]2050Pop'!$A$7:$A$143,'[1]2050Pop'!$D$7:$D$143)</f>
        <v>SSA</v>
      </c>
      <c r="C2699" s="127">
        <f>1000*_xlfn.XLOOKUP(A2699,'[1]2050Pop'!$A$7:$A$143,'[1]2050Pop'!$C$7:$C$143)</f>
        <v>42975</v>
      </c>
      <c r="D2699" s="126" t="s">
        <v>517</v>
      </c>
      <c r="E2699" s="128">
        <v>26.114000000000001</v>
      </c>
      <c r="F2699" s="129">
        <f t="shared" si="128"/>
        <v>1.12224915</v>
      </c>
      <c r="G2699" t="str">
        <f>_xlfn.XLOOKUP(D2699,'[1]2050 BAU Mapping to T &amp; C'!$A$3:$A$52,'[1]2050 BAU Mapping to T &amp; C'!$B$3:$B$52)</f>
        <v>Other veg</v>
      </c>
      <c r="H2699" s="129">
        <f>_xlfn.XLOOKUP(G2699,'[1]T&amp;C emissions for 2050 analysis'!$B$3:$B$23,'[1]T&amp;C emissions for 2050 analysis'!$C$3:$C$23)</f>
        <v>0.26766666666666666</v>
      </c>
      <c r="I2699" s="27">
        <f t="shared" si="126"/>
        <v>0.30038868915</v>
      </c>
      <c r="J2699" s="129">
        <f t="shared" si="127"/>
        <v>6.9898473333333335</v>
      </c>
    </row>
    <row r="2700" spans="1:10" hidden="1" x14ac:dyDescent="0.35">
      <c r="A2700" s="126" t="s">
        <v>479</v>
      </c>
      <c r="B2700" t="str">
        <f>_xlfn.XLOOKUP(A2700,'[1]2050Pop'!$A$7:$A$143,'[1]2050Pop'!$D$7:$D$143)</f>
        <v>SSA</v>
      </c>
      <c r="C2700" s="127">
        <f>1000*_xlfn.XLOOKUP(A2700,'[1]2050Pop'!$A$7:$A$143,'[1]2050Pop'!$C$7:$C$143)</f>
        <v>29615</v>
      </c>
      <c r="D2700" s="126" t="s">
        <v>517</v>
      </c>
      <c r="E2700" s="128">
        <v>17.218</v>
      </c>
      <c r="F2700" s="129">
        <f t="shared" si="128"/>
        <v>0.50991107000000002</v>
      </c>
      <c r="G2700" t="str">
        <f>_xlfn.XLOOKUP(D2700,'[1]2050 BAU Mapping to T &amp; C'!$A$3:$A$52,'[1]2050 BAU Mapping to T &amp; C'!$B$3:$B$52)</f>
        <v>Other veg</v>
      </c>
      <c r="H2700" s="129">
        <f>_xlfn.XLOOKUP(G2700,'[1]T&amp;C emissions for 2050 analysis'!$B$3:$B$23,'[1]T&amp;C emissions for 2050 analysis'!$C$3:$C$23)</f>
        <v>0.26766666666666666</v>
      </c>
      <c r="I2700" s="27">
        <f t="shared" si="126"/>
        <v>0.13648619640333334</v>
      </c>
      <c r="J2700" s="129">
        <f t="shared" si="127"/>
        <v>4.608684666666667</v>
      </c>
    </row>
    <row r="2701" spans="1:10" hidden="1" x14ac:dyDescent="0.35">
      <c r="A2701" s="126" t="s">
        <v>355</v>
      </c>
      <c r="B2701" t="str">
        <f>_xlfn.XLOOKUP(A2701,'[1]2050Pop'!$A$7:$A$143,'[1]2050Pop'!$D$7:$D$143)</f>
        <v>India/South Asia</v>
      </c>
      <c r="C2701" s="127">
        <f>1000*_xlfn.XLOOKUP(A2701,'[1]2050Pop'!$A$7:$A$143,'[1]2050Pop'!$C$7:$C$143)</f>
        <v>55955</v>
      </c>
      <c r="D2701" s="126" t="s">
        <v>518</v>
      </c>
      <c r="E2701" s="128">
        <v>34.823999999999998</v>
      </c>
      <c r="F2701" s="129">
        <f t="shared" si="128"/>
        <v>1.9485769199999998</v>
      </c>
      <c r="G2701" t="str">
        <f>_xlfn.XLOOKUP(D2701,'[1]2050 BAU Mapping to T &amp; C'!$A$3:$A$52,'[1]2050 BAU Mapping to T &amp; C'!$B$3:$B$52)</f>
        <v xml:space="preserve">Oil crops </v>
      </c>
      <c r="H2701" s="129">
        <f>_xlfn.XLOOKUP(G2701,'[1]T&amp;C emissions for 2050 analysis'!$B$3:$B$23,'[1]T&amp;C emissions for 2050 analysis'!$C$3:$C$23)</f>
        <v>0.18333333333333335</v>
      </c>
      <c r="I2701" s="27">
        <f t="shared" si="126"/>
        <v>0.35723910199999998</v>
      </c>
      <c r="J2701" s="129">
        <f t="shared" si="127"/>
        <v>6.3844000000000003</v>
      </c>
    </row>
    <row r="2702" spans="1:10" hidden="1" x14ac:dyDescent="0.35">
      <c r="A2702" s="126" t="s">
        <v>358</v>
      </c>
      <c r="B2702" t="str">
        <f>_xlfn.XLOOKUP(A2702,'[1]2050Pop'!$A$7:$A$143,'[1]2050Pop'!$D$7:$D$143)</f>
        <v>MENA</v>
      </c>
      <c r="C2702" s="127">
        <f>1000*_xlfn.XLOOKUP(A2702,'[1]2050Pop'!$A$7:$A$143,'[1]2050Pop'!$C$7:$C$143)</f>
        <v>56461</v>
      </c>
      <c r="D2702" s="126" t="s">
        <v>518</v>
      </c>
      <c r="E2702" s="128">
        <v>8.5820000000000007</v>
      </c>
      <c r="F2702" s="129">
        <f t="shared" si="128"/>
        <v>0.48454830200000004</v>
      </c>
      <c r="G2702" t="str">
        <f>_xlfn.XLOOKUP(D2702,'[1]2050 BAU Mapping to T &amp; C'!$A$3:$A$52,'[1]2050 BAU Mapping to T &amp; C'!$B$3:$B$52)</f>
        <v xml:space="preserve">Oil crops </v>
      </c>
      <c r="H2702" s="129">
        <f>_xlfn.XLOOKUP(G2702,'[1]T&amp;C emissions for 2050 analysis'!$B$3:$B$23,'[1]T&amp;C emissions for 2050 analysis'!$C$3:$C$23)</f>
        <v>0.18333333333333335</v>
      </c>
      <c r="I2702" s="27">
        <f t="shared" si="126"/>
        <v>8.8833855366666686E-2</v>
      </c>
      <c r="J2702" s="129">
        <f t="shared" si="127"/>
        <v>1.573366666666667</v>
      </c>
    </row>
    <row r="2703" spans="1:10" hidden="1" x14ac:dyDescent="0.35">
      <c r="A2703" s="126" t="s">
        <v>359</v>
      </c>
      <c r="B2703" t="str">
        <f>_xlfn.XLOOKUP(A2703,'[1]2050Pop'!$A$7:$A$143,'[1]2050Pop'!$D$7:$D$143)</f>
        <v>SSA</v>
      </c>
      <c r="C2703" s="127">
        <f>1000*_xlfn.XLOOKUP(A2703,'[1]2050Pop'!$A$7:$A$143,'[1]2050Pop'!$C$7:$C$143)</f>
        <v>65473</v>
      </c>
      <c r="D2703" s="126" t="s">
        <v>518</v>
      </c>
      <c r="E2703" s="128">
        <v>41.451999999999998</v>
      </c>
      <c r="F2703" s="129">
        <f t="shared" si="128"/>
        <v>2.7139867959999999</v>
      </c>
      <c r="G2703" t="str">
        <f>_xlfn.XLOOKUP(D2703,'[1]2050 BAU Mapping to T &amp; C'!$A$3:$A$52,'[1]2050 BAU Mapping to T &amp; C'!$B$3:$B$52)</f>
        <v xml:space="preserve">Oil crops </v>
      </c>
      <c r="H2703" s="129">
        <f>_xlfn.XLOOKUP(G2703,'[1]T&amp;C emissions for 2050 analysis'!$B$3:$B$23,'[1]T&amp;C emissions for 2050 analysis'!$C$3:$C$23)</f>
        <v>0.18333333333333335</v>
      </c>
      <c r="I2703" s="27">
        <f t="shared" si="126"/>
        <v>0.49756424593333337</v>
      </c>
      <c r="J2703" s="129">
        <f t="shared" si="127"/>
        <v>7.5995333333333335</v>
      </c>
    </row>
    <row r="2704" spans="1:10" hidden="1" x14ac:dyDescent="0.35">
      <c r="A2704" s="126" t="s">
        <v>362</v>
      </c>
      <c r="B2704" t="str">
        <f>_xlfn.XLOOKUP(A2704,'[1]2050Pop'!$A$7:$A$143,'[1]2050Pop'!$D$7:$D$143)</f>
        <v>Euro/AU/NZ</v>
      </c>
      <c r="C2704" s="127">
        <f>1000*_xlfn.XLOOKUP(A2704,'[1]2050Pop'!$A$7:$A$143,'[1]2050Pop'!$C$7:$C$143)</f>
        <v>33496</v>
      </c>
      <c r="D2704" s="126" t="s">
        <v>518</v>
      </c>
      <c r="E2704" s="128">
        <v>56.246000000000002</v>
      </c>
      <c r="F2704" s="129">
        <f t="shared" si="128"/>
        <v>1.8840160160000001</v>
      </c>
      <c r="G2704" t="str">
        <f>_xlfn.XLOOKUP(D2704,'[1]2050 BAU Mapping to T &amp; C'!$A$3:$A$52,'[1]2050 BAU Mapping to T &amp; C'!$B$3:$B$52)</f>
        <v xml:space="preserve">Oil crops </v>
      </c>
      <c r="H2704" s="129">
        <f>_xlfn.XLOOKUP(G2704,'[1]T&amp;C emissions for 2050 analysis'!$B$3:$B$23,'[1]T&amp;C emissions for 2050 analysis'!$C$3:$C$23)</f>
        <v>0.18333333333333335</v>
      </c>
      <c r="I2704" s="27">
        <f t="shared" si="126"/>
        <v>0.34540293626666674</v>
      </c>
      <c r="J2704" s="129">
        <f t="shared" si="127"/>
        <v>10.311766666666667</v>
      </c>
    </row>
    <row r="2705" spans="1:10" hidden="1" x14ac:dyDescent="0.35">
      <c r="A2705" s="126" t="s">
        <v>363</v>
      </c>
      <c r="B2705" t="str">
        <f>_xlfn.XLOOKUP(A2705,'[1]2050Pop'!$A$7:$A$143,'[1]2050Pop'!$D$7:$D$143)</f>
        <v>Euro/AU/NZ</v>
      </c>
      <c r="C2705" s="127">
        <f>1000*_xlfn.XLOOKUP(A2705,'[1]2050Pop'!$A$7:$A$143,'[1]2050Pop'!$C$7:$C$143)</f>
        <v>8846</v>
      </c>
      <c r="D2705" s="126" t="s">
        <v>518</v>
      </c>
      <c r="E2705" s="130">
        <v>5.54</v>
      </c>
      <c r="F2705" s="129">
        <f t="shared" si="128"/>
        <v>4.9006840000000003E-2</v>
      </c>
      <c r="G2705" t="str">
        <f>_xlfn.XLOOKUP(D2705,'[1]2050 BAU Mapping to T &amp; C'!$A$3:$A$52,'[1]2050 BAU Mapping to T &amp; C'!$B$3:$B$52)</f>
        <v xml:space="preserve">Oil crops </v>
      </c>
      <c r="H2705" s="129">
        <f>_xlfn.XLOOKUP(G2705,'[1]T&amp;C emissions for 2050 analysis'!$B$3:$B$23,'[1]T&amp;C emissions for 2050 analysis'!$C$3:$C$23)</f>
        <v>0.18333333333333335</v>
      </c>
      <c r="I2705" s="27">
        <f t="shared" si="126"/>
        <v>8.9845873333333354E-3</v>
      </c>
      <c r="J2705" s="129">
        <f t="shared" si="127"/>
        <v>1.0156666666666667</v>
      </c>
    </row>
    <row r="2706" spans="1:10" hidden="1" x14ac:dyDescent="0.35">
      <c r="A2706" s="126" t="s">
        <v>364</v>
      </c>
      <c r="B2706" t="str">
        <f>_xlfn.XLOOKUP(A2706,'[1]2050Pop'!$A$7:$A$143,'[1]2050Pop'!$D$7:$D$143)</f>
        <v>MENA</v>
      </c>
      <c r="C2706" s="127">
        <f>1000*_xlfn.XLOOKUP(A2706,'[1]2050Pop'!$A$7:$A$143,'[1]2050Pop'!$C$7:$C$143)</f>
        <v>10963</v>
      </c>
      <c r="D2706" s="126" t="s">
        <v>518</v>
      </c>
      <c r="E2706" s="128">
        <v>8.2669999999999995</v>
      </c>
      <c r="F2706" s="129">
        <f t="shared" si="128"/>
        <v>9.0631120999999995E-2</v>
      </c>
      <c r="G2706" t="str">
        <f>_xlfn.XLOOKUP(D2706,'[1]2050 BAU Mapping to T &amp; C'!$A$3:$A$52,'[1]2050 BAU Mapping to T &amp; C'!$B$3:$B$52)</f>
        <v xml:space="preserve">Oil crops </v>
      </c>
      <c r="H2706" s="129">
        <f>_xlfn.XLOOKUP(G2706,'[1]T&amp;C emissions for 2050 analysis'!$B$3:$B$23,'[1]T&amp;C emissions for 2050 analysis'!$C$3:$C$23)</f>
        <v>0.18333333333333335</v>
      </c>
      <c r="I2706" s="27">
        <f t="shared" si="126"/>
        <v>1.6615705516666666E-2</v>
      </c>
      <c r="J2706" s="129">
        <f t="shared" si="127"/>
        <v>1.5156166666666666</v>
      </c>
    </row>
    <row r="2707" spans="1:10" hidden="1" x14ac:dyDescent="0.35">
      <c r="A2707" s="126" t="s">
        <v>365</v>
      </c>
      <c r="B2707" t="str">
        <f>_xlfn.XLOOKUP(A2707,'[1]2050Pop'!$A$7:$A$143,'[1]2050Pop'!$D$7:$D$143)</f>
        <v>India/South Asia</v>
      </c>
      <c r="C2707" s="127">
        <f>1000*_xlfn.XLOOKUP(A2707,'[1]2050Pop'!$A$7:$A$143,'[1]2050Pop'!$C$7:$C$143)</f>
        <v>202209</v>
      </c>
      <c r="D2707" s="126" t="s">
        <v>518</v>
      </c>
      <c r="E2707" s="128">
        <v>65.403999999999996</v>
      </c>
      <c r="F2707" s="129">
        <f t="shared" si="128"/>
        <v>13.225277435999999</v>
      </c>
      <c r="G2707" t="str">
        <f>_xlfn.XLOOKUP(D2707,'[1]2050 BAU Mapping to T &amp; C'!$A$3:$A$52,'[1]2050 BAU Mapping to T &amp; C'!$B$3:$B$52)</f>
        <v xml:space="preserve">Oil crops </v>
      </c>
      <c r="H2707" s="129">
        <f>_xlfn.XLOOKUP(G2707,'[1]T&amp;C emissions for 2050 analysis'!$B$3:$B$23,'[1]T&amp;C emissions for 2050 analysis'!$C$3:$C$23)</f>
        <v>0.18333333333333335</v>
      </c>
      <c r="I2707" s="27">
        <f t="shared" si="126"/>
        <v>2.4246341966</v>
      </c>
      <c r="J2707" s="129">
        <f t="shared" si="127"/>
        <v>11.990733333333333</v>
      </c>
    </row>
    <row r="2708" spans="1:10" hidden="1" x14ac:dyDescent="0.35">
      <c r="A2708" s="126" t="s">
        <v>367</v>
      </c>
      <c r="B2708" t="str">
        <f>_xlfn.XLOOKUP(A2708,'[1]2050Pop'!$A$7:$A$143,'[1]2050Pop'!$D$7:$D$143)</f>
        <v>Euro/AU/NZ</v>
      </c>
      <c r="C2708" s="127">
        <f>1000*_xlfn.XLOOKUP(A2708,'[1]2050Pop'!$A$7:$A$143,'[1]2050Pop'!$C$7:$C$143)</f>
        <v>12527</v>
      </c>
      <c r="D2708" s="126" t="s">
        <v>518</v>
      </c>
      <c r="E2708" s="128">
        <v>52.893000000000001</v>
      </c>
      <c r="F2708" s="129">
        <f t="shared" si="128"/>
        <v>0.66259061100000005</v>
      </c>
      <c r="G2708" t="str">
        <f>_xlfn.XLOOKUP(D2708,'[1]2050 BAU Mapping to T &amp; C'!$A$3:$A$52,'[1]2050 BAU Mapping to T &amp; C'!$B$3:$B$52)</f>
        <v xml:space="preserve">Oil crops </v>
      </c>
      <c r="H2708" s="129">
        <f>_xlfn.XLOOKUP(G2708,'[1]T&amp;C emissions for 2050 analysis'!$B$3:$B$23,'[1]T&amp;C emissions for 2050 analysis'!$C$3:$C$23)</f>
        <v>0.18333333333333335</v>
      </c>
      <c r="I2708" s="27">
        <f t="shared" si="126"/>
        <v>0.12147494535000002</v>
      </c>
      <c r="J2708" s="129">
        <f t="shared" si="127"/>
        <v>9.6970500000000008</v>
      </c>
    </row>
    <row r="2709" spans="1:10" hidden="1" x14ac:dyDescent="0.35">
      <c r="A2709" s="126" t="s">
        <v>368</v>
      </c>
      <c r="B2709" t="str">
        <f>_xlfn.XLOOKUP(A2709,'[1]2050Pop'!$A$7:$A$143,'[1]2050Pop'!$D$7:$D$143)</f>
        <v>SSA</v>
      </c>
      <c r="C2709" s="127">
        <f>1000*_xlfn.XLOOKUP(A2709,'[1]2050Pop'!$A$7:$A$143,'[1]2050Pop'!$C$7:$C$143)</f>
        <v>22549</v>
      </c>
      <c r="D2709" s="126" t="s">
        <v>518</v>
      </c>
      <c r="E2709" s="128">
        <v>58.906999999999996</v>
      </c>
      <c r="F2709" s="129">
        <f t="shared" si="128"/>
        <v>1.328293943</v>
      </c>
      <c r="G2709" t="str">
        <f>_xlfn.XLOOKUP(D2709,'[1]2050 BAU Mapping to T &amp; C'!$A$3:$A$52,'[1]2050 BAU Mapping to T &amp; C'!$B$3:$B$52)</f>
        <v xml:space="preserve">Oil crops </v>
      </c>
      <c r="H2709" s="129">
        <f>_xlfn.XLOOKUP(G2709,'[1]T&amp;C emissions for 2050 analysis'!$B$3:$B$23,'[1]T&amp;C emissions for 2050 analysis'!$C$3:$C$23)</f>
        <v>0.18333333333333335</v>
      </c>
      <c r="I2709" s="27">
        <f t="shared" si="126"/>
        <v>0.24352055621666668</v>
      </c>
      <c r="J2709" s="129">
        <f t="shared" si="127"/>
        <v>10.799616666666667</v>
      </c>
    </row>
    <row r="2710" spans="1:10" hidden="1" x14ac:dyDescent="0.35">
      <c r="A2710" s="126" t="s">
        <v>370</v>
      </c>
      <c r="B2710" t="str">
        <f>_xlfn.XLOOKUP(A2710,'[1]2050Pop'!$A$7:$A$143,'[1]2050Pop'!$D$7:$D$143)</f>
        <v>Euro/AU/NZ</v>
      </c>
      <c r="C2710" s="127">
        <f>1000*_xlfn.XLOOKUP(A2710,'[1]2050Pop'!$A$7:$A$143,'[1]2050Pop'!$C$7:$C$143)</f>
        <v>3069</v>
      </c>
      <c r="D2710" s="126" t="s">
        <v>518</v>
      </c>
      <c r="E2710" s="130">
        <v>8.06</v>
      </c>
      <c r="F2710" s="129">
        <f t="shared" si="128"/>
        <v>2.4736140000000004E-2</v>
      </c>
      <c r="G2710" t="str">
        <f>_xlfn.XLOOKUP(D2710,'[1]2050 BAU Mapping to T &amp; C'!$A$3:$A$52,'[1]2050 BAU Mapping to T &amp; C'!$B$3:$B$52)</f>
        <v xml:space="preserve">Oil crops </v>
      </c>
      <c r="H2710" s="129">
        <f>_xlfn.XLOOKUP(G2710,'[1]T&amp;C emissions for 2050 analysis'!$B$3:$B$23,'[1]T&amp;C emissions for 2050 analysis'!$C$3:$C$23)</f>
        <v>0.18333333333333335</v>
      </c>
      <c r="I2710" s="27">
        <f t="shared" si="126"/>
        <v>4.5349590000000007E-3</v>
      </c>
      <c r="J2710" s="129">
        <f t="shared" si="127"/>
        <v>1.4776666666666669</v>
      </c>
    </row>
    <row r="2711" spans="1:10" hidden="1" x14ac:dyDescent="0.35">
      <c r="A2711" s="126" t="s">
        <v>371</v>
      </c>
      <c r="B2711" t="str">
        <f>_xlfn.XLOOKUP(A2711,'[1]2050Pop'!$A$7:$A$143,'[1]2050Pop'!$D$7:$D$143)</f>
        <v>SSA</v>
      </c>
      <c r="C2711" s="127">
        <f>1000*_xlfn.XLOOKUP(A2711,'[1]2050Pop'!$A$7:$A$143,'[1]2050Pop'!$C$7:$C$143)</f>
        <v>3389</v>
      </c>
      <c r="D2711" s="126" t="s">
        <v>518</v>
      </c>
      <c r="E2711" s="128">
        <v>4.3710000000000004</v>
      </c>
      <c r="F2711" s="129">
        <f t="shared" si="128"/>
        <v>1.4813319000000002E-2</v>
      </c>
      <c r="G2711" t="str">
        <f>_xlfn.XLOOKUP(D2711,'[1]2050 BAU Mapping to T &amp; C'!$A$3:$A$52,'[1]2050 BAU Mapping to T &amp; C'!$B$3:$B$52)</f>
        <v xml:space="preserve">Oil crops </v>
      </c>
      <c r="H2711" s="129">
        <f>_xlfn.XLOOKUP(G2711,'[1]T&amp;C emissions for 2050 analysis'!$B$3:$B$23,'[1]T&amp;C emissions for 2050 analysis'!$C$3:$C$23)</f>
        <v>0.18333333333333335</v>
      </c>
      <c r="I2711" s="27">
        <f t="shared" si="126"/>
        <v>2.7157751500000004E-3</v>
      </c>
      <c r="J2711" s="129">
        <f t="shared" si="127"/>
        <v>0.80135000000000012</v>
      </c>
    </row>
    <row r="2712" spans="1:10" hidden="1" x14ac:dyDescent="0.35">
      <c r="A2712" s="126" t="s">
        <v>372</v>
      </c>
      <c r="B2712" t="str">
        <f>_xlfn.XLOOKUP(A2712,'[1]2050Pop'!$A$7:$A$143,'[1]2050Pop'!$D$7:$D$143)</f>
        <v>LatAm &amp; RSA</v>
      </c>
      <c r="C2712" s="127">
        <f>1000*_xlfn.XLOOKUP(A2712,'[1]2050Pop'!$A$7:$A$143,'[1]2050Pop'!$C$7:$C$143)</f>
        <v>238270</v>
      </c>
      <c r="D2712" s="126" t="s">
        <v>518</v>
      </c>
      <c r="E2712" s="128">
        <v>25.928999999999998</v>
      </c>
      <c r="F2712" s="129">
        <f t="shared" si="128"/>
        <v>6.1781028300000003</v>
      </c>
      <c r="G2712" t="str">
        <f>_xlfn.XLOOKUP(D2712,'[1]2050 BAU Mapping to T &amp; C'!$A$3:$A$52,'[1]2050 BAU Mapping to T &amp; C'!$B$3:$B$52)</f>
        <v xml:space="preserve">Oil crops </v>
      </c>
      <c r="H2712" s="129">
        <f>_xlfn.XLOOKUP(G2712,'[1]T&amp;C emissions for 2050 analysis'!$B$3:$B$23,'[1]T&amp;C emissions for 2050 analysis'!$C$3:$C$23)</f>
        <v>0.18333333333333335</v>
      </c>
      <c r="I2712" s="27">
        <f t="shared" si="126"/>
        <v>1.1326521855000002</v>
      </c>
      <c r="J2712" s="129">
        <f t="shared" si="127"/>
        <v>4.7536500000000004</v>
      </c>
    </row>
    <row r="2713" spans="1:10" hidden="1" x14ac:dyDescent="0.35">
      <c r="A2713" s="126" t="s">
        <v>373</v>
      </c>
      <c r="B2713" t="str">
        <f>_xlfn.XLOOKUP(A2713,'[1]2050Pop'!$A$7:$A$143,'[1]2050Pop'!$D$7:$D$143)</f>
        <v>Euro/AU/NZ</v>
      </c>
      <c r="C2713" s="127">
        <f>1000*_xlfn.XLOOKUP(A2713,'[1]2050Pop'!$A$7:$A$143,'[1]2050Pop'!$C$7:$C$143)</f>
        <v>5154</v>
      </c>
      <c r="D2713" s="126" t="s">
        <v>518</v>
      </c>
      <c r="E2713" s="128">
        <v>7.4429999999999996</v>
      </c>
      <c r="F2713" s="129">
        <f t="shared" si="128"/>
        <v>3.8361222E-2</v>
      </c>
      <c r="G2713" t="str">
        <f>_xlfn.XLOOKUP(D2713,'[1]2050 BAU Mapping to T &amp; C'!$A$3:$A$52,'[1]2050 BAU Mapping to T &amp; C'!$B$3:$B$52)</f>
        <v xml:space="preserve">Oil crops </v>
      </c>
      <c r="H2713" s="129">
        <f>_xlfn.XLOOKUP(G2713,'[1]T&amp;C emissions for 2050 analysis'!$B$3:$B$23,'[1]T&amp;C emissions for 2050 analysis'!$C$3:$C$23)</f>
        <v>0.18333333333333335</v>
      </c>
      <c r="I2713" s="27">
        <f t="shared" si="126"/>
        <v>7.0328907000000006E-3</v>
      </c>
      <c r="J2713" s="129">
        <f t="shared" si="127"/>
        <v>1.3645499999999999</v>
      </c>
    </row>
    <row r="2714" spans="1:10" hidden="1" x14ac:dyDescent="0.35">
      <c r="A2714" s="126" t="s">
        <v>487</v>
      </c>
      <c r="B2714" t="str">
        <f>_xlfn.XLOOKUP(A2714,'[1]2050Pop'!$A$7:$A$143,'[1]2050Pop'!$D$7:$D$143)</f>
        <v>SSA</v>
      </c>
      <c r="C2714" s="127">
        <f>1000*_xlfn.XLOOKUP(A2714,'[1]2050Pop'!$A$7:$A$143,'[1]2050Pop'!$C$7:$C$143)</f>
        <v>42789</v>
      </c>
      <c r="D2714" s="126" t="s">
        <v>518</v>
      </c>
      <c r="E2714" s="128">
        <v>45.871000000000002</v>
      </c>
      <c r="F2714" s="129">
        <f t="shared" si="128"/>
        <v>1.9627742189999999</v>
      </c>
      <c r="G2714" t="str">
        <f>_xlfn.XLOOKUP(D2714,'[1]2050 BAU Mapping to T &amp; C'!$A$3:$A$52,'[1]2050 BAU Mapping to T &amp; C'!$B$3:$B$52)</f>
        <v xml:space="preserve">Oil crops </v>
      </c>
      <c r="H2714" s="129">
        <f>_xlfn.XLOOKUP(G2714,'[1]T&amp;C emissions for 2050 analysis'!$B$3:$B$23,'[1]T&amp;C emissions for 2050 analysis'!$C$3:$C$23)</f>
        <v>0.18333333333333335</v>
      </c>
      <c r="I2714" s="27">
        <f t="shared" si="126"/>
        <v>0.35984194015000004</v>
      </c>
      <c r="J2714" s="129">
        <f t="shared" si="127"/>
        <v>8.4096833333333336</v>
      </c>
    </row>
    <row r="2715" spans="1:10" hidden="1" x14ac:dyDescent="0.35">
      <c r="A2715" s="126" t="s">
        <v>374</v>
      </c>
      <c r="B2715" t="str">
        <f>_xlfn.XLOOKUP(A2715,'[1]2050Pop'!$A$7:$A$143,'[1]2050Pop'!$D$7:$D$143)</f>
        <v>APAC</v>
      </c>
      <c r="C2715" s="127">
        <f>1000*_xlfn.XLOOKUP(A2715,'[1]2050Pop'!$A$7:$A$143,'[1]2050Pop'!$C$7:$C$143)</f>
        <v>22545</v>
      </c>
      <c r="D2715" s="126" t="s">
        <v>518</v>
      </c>
      <c r="E2715" s="128">
        <v>12.047000000000001</v>
      </c>
      <c r="F2715" s="129">
        <f t="shared" si="128"/>
        <v>0.27159961500000002</v>
      </c>
      <c r="G2715" t="str">
        <f>_xlfn.XLOOKUP(D2715,'[1]2050 BAU Mapping to T &amp; C'!$A$3:$A$52,'[1]2050 BAU Mapping to T &amp; C'!$B$3:$B$52)</f>
        <v xml:space="preserve">Oil crops </v>
      </c>
      <c r="H2715" s="129">
        <f>_xlfn.XLOOKUP(G2715,'[1]T&amp;C emissions for 2050 analysis'!$B$3:$B$23,'[1]T&amp;C emissions for 2050 analysis'!$C$3:$C$23)</f>
        <v>0.18333333333333335</v>
      </c>
      <c r="I2715" s="27">
        <f t="shared" si="126"/>
        <v>4.9793262750000004E-2</v>
      </c>
      <c r="J2715" s="129">
        <f t="shared" si="127"/>
        <v>2.2086166666666669</v>
      </c>
    </row>
    <row r="2716" spans="1:10" hidden="1" x14ac:dyDescent="0.35">
      <c r="A2716" s="126" t="s">
        <v>375</v>
      </c>
      <c r="B2716" t="str">
        <f>_xlfn.XLOOKUP(A2716,'[1]2050Pop'!$A$7:$A$143,'[1]2050Pop'!$D$7:$D$143)</f>
        <v>SSA</v>
      </c>
      <c r="C2716" s="127">
        <f>1000*_xlfn.XLOOKUP(A2716,'[1]2050Pop'!$A$7:$A$143,'[1]2050Pop'!$C$7:$C$143)</f>
        <v>48362</v>
      </c>
      <c r="D2716" s="126" t="s">
        <v>518</v>
      </c>
      <c r="E2716" s="128">
        <v>109.937</v>
      </c>
      <c r="F2716" s="129">
        <f t="shared" si="128"/>
        <v>5.3167731940000005</v>
      </c>
      <c r="G2716" t="str">
        <f>_xlfn.XLOOKUP(D2716,'[1]2050 BAU Mapping to T &amp; C'!$A$3:$A$52,'[1]2050 BAU Mapping to T &amp; C'!$B$3:$B$52)</f>
        <v xml:space="preserve">Oil crops </v>
      </c>
      <c r="H2716" s="129">
        <f>_xlfn.XLOOKUP(G2716,'[1]T&amp;C emissions for 2050 analysis'!$B$3:$B$23,'[1]T&amp;C emissions for 2050 analysis'!$C$3:$C$23)</f>
        <v>0.18333333333333335</v>
      </c>
      <c r="I2716" s="27">
        <f t="shared" si="126"/>
        <v>0.97474175223333348</v>
      </c>
      <c r="J2716" s="129">
        <f t="shared" si="127"/>
        <v>20.155116666666668</v>
      </c>
    </row>
    <row r="2717" spans="1:10" hidden="1" x14ac:dyDescent="0.35">
      <c r="A2717" s="126" t="s">
        <v>376</v>
      </c>
      <c r="B2717" t="str">
        <f>_xlfn.XLOOKUP(A2717,'[1]2050Pop'!$A$7:$A$143,'[1]2050Pop'!$D$7:$D$143)</f>
        <v>NAm</v>
      </c>
      <c r="C2717" s="127">
        <f>1000*_xlfn.XLOOKUP(A2717,'[1]2050Pop'!$A$7:$A$143,'[1]2050Pop'!$C$7:$C$143)</f>
        <v>44136</v>
      </c>
      <c r="D2717" s="126" t="s">
        <v>518</v>
      </c>
      <c r="E2717" s="130">
        <v>7.05</v>
      </c>
      <c r="F2717" s="129">
        <f t="shared" si="128"/>
        <v>0.31115880000000001</v>
      </c>
      <c r="G2717" t="str">
        <f>_xlfn.XLOOKUP(D2717,'[1]2050 BAU Mapping to T &amp; C'!$A$3:$A$52,'[1]2050 BAU Mapping to T &amp; C'!$B$3:$B$52)</f>
        <v xml:space="preserve">Oil crops </v>
      </c>
      <c r="H2717" s="129">
        <f>_xlfn.XLOOKUP(G2717,'[1]T&amp;C emissions for 2050 analysis'!$B$3:$B$23,'[1]T&amp;C emissions for 2050 analysis'!$C$3:$C$23)</f>
        <v>0.18333333333333335</v>
      </c>
      <c r="I2717" s="27">
        <f t="shared" si="126"/>
        <v>5.7045780000000004E-2</v>
      </c>
      <c r="J2717" s="129">
        <f t="shared" si="127"/>
        <v>1.2925</v>
      </c>
    </row>
    <row r="2718" spans="1:10" hidden="1" x14ac:dyDescent="0.35">
      <c r="A2718" s="126" t="s">
        <v>377</v>
      </c>
      <c r="B2718" t="str">
        <f>_xlfn.XLOOKUP(A2718,'[1]2050Pop'!$A$7:$A$143,'[1]2050Pop'!$D$7:$D$143)</f>
        <v>SSA</v>
      </c>
      <c r="C2718" s="127">
        <f>1000*_xlfn.XLOOKUP(A2718,'[1]2050Pop'!$A$7:$A$143,'[1]2050Pop'!$C$7:$C$143)</f>
        <v>8782</v>
      </c>
      <c r="D2718" s="126" t="s">
        <v>518</v>
      </c>
      <c r="E2718" s="128">
        <v>20.483000000000001</v>
      </c>
      <c r="F2718" s="129">
        <f t="shared" si="128"/>
        <v>0.179881706</v>
      </c>
      <c r="G2718" t="str">
        <f>_xlfn.XLOOKUP(D2718,'[1]2050 BAU Mapping to T &amp; C'!$A$3:$A$52,'[1]2050 BAU Mapping to T &amp; C'!$B$3:$B$52)</f>
        <v xml:space="preserve">Oil crops </v>
      </c>
      <c r="H2718" s="129">
        <f>_xlfn.XLOOKUP(G2718,'[1]T&amp;C emissions for 2050 analysis'!$B$3:$B$23,'[1]T&amp;C emissions for 2050 analysis'!$C$3:$C$23)</f>
        <v>0.18333333333333335</v>
      </c>
      <c r="I2718" s="27">
        <f t="shared" si="126"/>
        <v>3.297831276666667E-2</v>
      </c>
      <c r="J2718" s="129">
        <f t="shared" si="127"/>
        <v>3.7552166666666671</v>
      </c>
    </row>
    <row r="2719" spans="1:10" hidden="1" x14ac:dyDescent="0.35">
      <c r="A2719" s="126" t="s">
        <v>380</v>
      </c>
      <c r="B2719" t="str">
        <f>_xlfn.XLOOKUP(A2719,'[1]2050Pop'!$A$7:$A$143,'[1]2050Pop'!$D$7:$D$143)</f>
        <v>Greater China</v>
      </c>
      <c r="C2719" s="127">
        <f>1000*_xlfn.XLOOKUP(A2719,'[1]2050Pop'!$A$7:$A$143,'[1]2050Pop'!$C$7:$C$143)</f>
        <v>1348056</v>
      </c>
      <c r="D2719" s="126" t="s">
        <v>518</v>
      </c>
      <c r="E2719" s="128">
        <v>31.420999999999999</v>
      </c>
      <c r="F2719" s="129">
        <f t="shared" si="128"/>
        <v>42.357267575999998</v>
      </c>
      <c r="G2719" t="str">
        <f>_xlfn.XLOOKUP(D2719,'[1]2050 BAU Mapping to T &amp; C'!$A$3:$A$52,'[1]2050 BAU Mapping to T &amp; C'!$B$3:$B$52)</f>
        <v xml:space="preserve">Oil crops </v>
      </c>
      <c r="H2719" s="129">
        <f>_xlfn.XLOOKUP(G2719,'[1]T&amp;C emissions for 2050 analysis'!$B$3:$B$23,'[1]T&amp;C emissions for 2050 analysis'!$C$3:$C$23)</f>
        <v>0.18333333333333335</v>
      </c>
      <c r="I2719" s="27">
        <f t="shared" si="126"/>
        <v>7.7654990556000003</v>
      </c>
      <c r="J2719" s="129">
        <f t="shared" si="127"/>
        <v>5.7605166666666667</v>
      </c>
    </row>
    <row r="2720" spans="1:10" hidden="1" x14ac:dyDescent="0.35">
      <c r="A2720" s="126" t="s">
        <v>381</v>
      </c>
      <c r="B2720" t="str">
        <f>_xlfn.XLOOKUP(A2720,'[1]2050Pop'!$A$7:$A$143,'[1]2050Pop'!$D$7:$D$143)</f>
        <v>Greater China</v>
      </c>
      <c r="C2720" s="127">
        <f>1000*_xlfn.XLOOKUP(A2720,'[1]2050Pop'!$A$7:$A$143,'[1]2050Pop'!$C$7:$C$143)</f>
        <v>20778</v>
      </c>
      <c r="D2720" s="126" t="s">
        <v>518</v>
      </c>
      <c r="E2720" s="128">
        <v>55.058</v>
      </c>
      <c r="F2720" s="129">
        <f t="shared" si="128"/>
        <v>1.1439951240000001</v>
      </c>
      <c r="G2720" t="str">
        <f>_xlfn.XLOOKUP(D2720,'[1]2050 BAU Mapping to T &amp; C'!$A$3:$A$52,'[1]2050 BAU Mapping to T &amp; C'!$B$3:$B$52)</f>
        <v xml:space="preserve">Oil crops </v>
      </c>
      <c r="H2720" s="129">
        <f>_xlfn.XLOOKUP(G2720,'[1]T&amp;C emissions for 2050 analysis'!$B$3:$B$23,'[1]T&amp;C emissions for 2050 analysis'!$C$3:$C$23)</f>
        <v>0.18333333333333335</v>
      </c>
      <c r="I2720" s="27">
        <f t="shared" si="126"/>
        <v>0.20973243940000005</v>
      </c>
      <c r="J2720" s="129">
        <f t="shared" si="127"/>
        <v>10.093966666666667</v>
      </c>
    </row>
    <row r="2721" spans="1:10" hidden="1" x14ac:dyDescent="0.35">
      <c r="A2721" s="126" t="s">
        <v>382</v>
      </c>
      <c r="B2721" t="str">
        <f>_xlfn.XLOOKUP(A2721,'[1]2050Pop'!$A$7:$A$143,'[1]2050Pop'!$D$7:$D$143)</f>
        <v>LatAm &amp; RSA</v>
      </c>
      <c r="C2721" s="127">
        <f>1000*_xlfn.XLOOKUP(A2721,'[1]2050Pop'!$A$7:$A$143,'[1]2050Pop'!$C$7:$C$143)</f>
        <v>54927</v>
      </c>
      <c r="D2721" s="126" t="s">
        <v>518</v>
      </c>
      <c r="E2721" s="128">
        <v>127.441</v>
      </c>
      <c r="F2721" s="129">
        <f t="shared" si="128"/>
        <v>6.9999518070000004</v>
      </c>
      <c r="G2721" t="str">
        <f>_xlfn.XLOOKUP(D2721,'[1]2050 BAU Mapping to T &amp; C'!$A$3:$A$52,'[1]2050 BAU Mapping to T &amp; C'!$B$3:$B$52)</f>
        <v xml:space="preserve">Oil crops </v>
      </c>
      <c r="H2721" s="129">
        <f>_xlfn.XLOOKUP(G2721,'[1]T&amp;C emissions for 2050 analysis'!$B$3:$B$23,'[1]T&amp;C emissions for 2050 analysis'!$C$3:$C$23)</f>
        <v>0.18333333333333335</v>
      </c>
      <c r="I2721" s="27">
        <f t="shared" si="126"/>
        <v>1.2833244979500003</v>
      </c>
      <c r="J2721" s="129">
        <f t="shared" si="127"/>
        <v>23.364183333333337</v>
      </c>
    </row>
    <row r="2722" spans="1:10" hidden="1" x14ac:dyDescent="0.35">
      <c r="A2722" s="126" t="s">
        <v>383</v>
      </c>
      <c r="B2722" t="str">
        <f>_xlfn.XLOOKUP(A2722,'[1]2050Pop'!$A$7:$A$143,'[1]2050Pop'!$D$7:$D$143)</f>
        <v>LatAm &amp; RSA</v>
      </c>
      <c r="C2722" s="127">
        <f>1000*_xlfn.XLOOKUP(A2722,'[1]2050Pop'!$A$7:$A$143,'[1]2050Pop'!$C$7:$C$143)</f>
        <v>5759</v>
      </c>
      <c r="D2722" s="126" t="s">
        <v>518</v>
      </c>
      <c r="E2722" s="128">
        <v>112.738</v>
      </c>
      <c r="F2722" s="129">
        <f t="shared" si="128"/>
        <v>0.64925814199999998</v>
      </c>
      <c r="G2722" t="str">
        <f>_xlfn.XLOOKUP(D2722,'[1]2050 BAU Mapping to T &amp; C'!$A$3:$A$52,'[1]2050 BAU Mapping to T &amp; C'!$B$3:$B$52)</f>
        <v xml:space="preserve">Oil crops </v>
      </c>
      <c r="H2722" s="129">
        <f>_xlfn.XLOOKUP(G2722,'[1]T&amp;C emissions for 2050 analysis'!$B$3:$B$23,'[1]T&amp;C emissions for 2050 analysis'!$C$3:$C$23)</f>
        <v>0.18333333333333335</v>
      </c>
      <c r="I2722" s="27">
        <f t="shared" si="126"/>
        <v>0.11903065936666667</v>
      </c>
      <c r="J2722" s="129">
        <f t="shared" si="127"/>
        <v>20.668633333333336</v>
      </c>
    </row>
    <row r="2723" spans="1:10" hidden="1" x14ac:dyDescent="0.35">
      <c r="A2723" s="126" t="s">
        <v>384</v>
      </c>
      <c r="B2723" t="str">
        <f>_xlfn.XLOOKUP(A2723,'[1]2050Pop'!$A$7:$A$143,'[1]2050Pop'!$D$7:$D$143)</f>
        <v>SSA</v>
      </c>
      <c r="C2723" s="127">
        <f>1000*_xlfn.XLOOKUP(A2723,'[1]2050Pop'!$A$7:$A$143,'[1]2050Pop'!$C$7:$C$143)</f>
        <v>48797</v>
      </c>
      <c r="D2723" s="126" t="s">
        <v>518</v>
      </c>
      <c r="E2723" s="130">
        <v>193.39</v>
      </c>
      <c r="F2723" s="129">
        <f t="shared" si="128"/>
        <v>9.4368518300000002</v>
      </c>
      <c r="G2723" t="str">
        <f>_xlfn.XLOOKUP(D2723,'[1]2050 BAU Mapping to T &amp; C'!$A$3:$A$52,'[1]2050 BAU Mapping to T &amp; C'!$B$3:$B$52)</f>
        <v xml:space="preserve">Oil crops </v>
      </c>
      <c r="H2723" s="129">
        <f>_xlfn.XLOOKUP(G2723,'[1]T&amp;C emissions for 2050 analysis'!$B$3:$B$23,'[1]T&amp;C emissions for 2050 analysis'!$C$3:$C$23)</f>
        <v>0.18333333333333335</v>
      </c>
      <c r="I2723" s="27">
        <f t="shared" si="126"/>
        <v>1.7300895021666669</v>
      </c>
      <c r="J2723" s="129">
        <f t="shared" si="127"/>
        <v>35.454833333333333</v>
      </c>
    </row>
    <row r="2724" spans="1:10" hidden="1" x14ac:dyDescent="0.35">
      <c r="A2724" s="126" t="s">
        <v>385</v>
      </c>
      <c r="B2724" t="str">
        <f>_xlfn.XLOOKUP(A2724,'[1]2050Pop'!$A$7:$A$143,'[1]2050Pop'!$D$7:$D$143)</f>
        <v>Euro/AU/NZ</v>
      </c>
      <c r="C2724" s="127">
        <f>1000*_xlfn.XLOOKUP(A2724,'[1]2050Pop'!$A$7:$A$143,'[1]2050Pop'!$C$7:$C$143)</f>
        <v>3554</v>
      </c>
      <c r="D2724" s="126" t="s">
        <v>518</v>
      </c>
      <c r="E2724" s="130">
        <v>26.13</v>
      </c>
      <c r="F2724" s="129">
        <f t="shared" si="128"/>
        <v>9.2866019999999994E-2</v>
      </c>
      <c r="G2724" t="str">
        <f>_xlfn.XLOOKUP(D2724,'[1]2050 BAU Mapping to T &amp; C'!$A$3:$A$52,'[1]2050 BAU Mapping to T &amp; C'!$B$3:$B$52)</f>
        <v xml:space="preserve">Oil crops </v>
      </c>
      <c r="H2724" s="129">
        <f>_xlfn.XLOOKUP(G2724,'[1]T&amp;C emissions for 2050 analysis'!$B$3:$B$23,'[1]T&amp;C emissions for 2050 analysis'!$C$3:$C$23)</f>
        <v>0.18333333333333335</v>
      </c>
      <c r="I2724" s="27">
        <f t="shared" si="126"/>
        <v>1.7025437000000001E-2</v>
      </c>
      <c r="J2724" s="129">
        <f t="shared" si="127"/>
        <v>4.7905000000000006</v>
      </c>
    </row>
    <row r="2725" spans="1:10" hidden="1" x14ac:dyDescent="0.35">
      <c r="A2725" s="126" t="s">
        <v>386</v>
      </c>
      <c r="B2725" t="str">
        <f>_xlfn.XLOOKUP(A2725,'[1]2050Pop'!$A$7:$A$143,'[1]2050Pop'!$D$7:$D$143)</f>
        <v>LatAm &amp; RSA</v>
      </c>
      <c r="C2725" s="127">
        <f>1000*_xlfn.XLOOKUP(A2725,'[1]2050Pop'!$A$7:$A$143,'[1]2050Pop'!$C$7:$C$143)</f>
        <v>10339</v>
      </c>
      <c r="D2725" s="126" t="s">
        <v>518</v>
      </c>
      <c r="E2725" s="128">
        <v>1.5940000000000001</v>
      </c>
      <c r="F2725" s="129">
        <f t="shared" si="128"/>
        <v>1.6480366000000003E-2</v>
      </c>
      <c r="G2725" t="str">
        <f>_xlfn.XLOOKUP(D2725,'[1]2050 BAU Mapping to T &amp; C'!$A$3:$A$52,'[1]2050 BAU Mapping to T &amp; C'!$B$3:$B$52)</f>
        <v xml:space="preserve">Oil crops </v>
      </c>
      <c r="H2725" s="129">
        <f>_xlfn.XLOOKUP(G2725,'[1]T&amp;C emissions for 2050 analysis'!$B$3:$B$23,'[1]T&amp;C emissions for 2050 analysis'!$C$3:$C$23)</f>
        <v>0.18333333333333335</v>
      </c>
      <c r="I2725" s="27">
        <f t="shared" si="126"/>
        <v>3.0214004333333341E-3</v>
      </c>
      <c r="J2725" s="129">
        <f t="shared" si="127"/>
        <v>0.29223333333333334</v>
      </c>
    </row>
    <row r="2726" spans="1:10" hidden="1" x14ac:dyDescent="0.35">
      <c r="A2726" s="126" t="s">
        <v>387</v>
      </c>
      <c r="B2726" t="str">
        <f>_xlfn.XLOOKUP(A2726,'[1]2050Pop'!$A$7:$A$143,'[1]2050Pop'!$D$7:$D$143)</f>
        <v>Euro/AU/NZ</v>
      </c>
      <c r="C2726" s="127">
        <f>1000*_xlfn.XLOOKUP(A2726,'[1]2050Pop'!$A$7:$A$143,'[1]2050Pop'!$C$7:$C$143)</f>
        <v>9965</v>
      </c>
      <c r="D2726" s="126" t="s">
        <v>518</v>
      </c>
      <c r="E2726" s="128">
        <v>22.192</v>
      </c>
      <c r="F2726" s="129">
        <f t="shared" si="128"/>
        <v>0.22114328</v>
      </c>
      <c r="G2726" t="str">
        <f>_xlfn.XLOOKUP(D2726,'[1]2050 BAU Mapping to T &amp; C'!$A$3:$A$52,'[1]2050 BAU Mapping to T &amp; C'!$B$3:$B$52)</f>
        <v xml:space="preserve">Oil crops </v>
      </c>
      <c r="H2726" s="129">
        <f>_xlfn.XLOOKUP(G2726,'[1]T&amp;C emissions for 2050 analysis'!$B$3:$B$23,'[1]T&amp;C emissions for 2050 analysis'!$C$3:$C$23)</f>
        <v>0.18333333333333335</v>
      </c>
      <c r="I2726" s="27">
        <f t="shared" si="126"/>
        <v>4.0542934666666669E-2</v>
      </c>
      <c r="J2726" s="129">
        <f t="shared" si="127"/>
        <v>4.0685333333333338</v>
      </c>
    </row>
    <row r="2727" spans="1:10" hidden="1" x14ac:dyDescent="0.35">
      <c r="A2727" s="126" t="s">
        <v>481</v>
      </c>
      <c r="B2727" t="str">
        <f>_xlfn.XLOOKUP(A2727,'[1]2050Pop'!$A$7:$A$143,'[1]2050Pop'!$D$7:$D$143)</f>
        <v>APAC</v>
      </c>
      <c r="C2727" s="127">
        <f>1000*_xlfn.XLOOKUP(A2727,'[1]2050Pop'!$A$7:$A$143,'[1]2050Pop'!$C$7:$C$143)</f>
        <v>26907</v>
      </c>
      <c r="D2727" s="126" t="s">
        <v>518</v>
      </c>
      <c r="E2727" s="128">
        <v>4.3230000000000004</v>
      </c>
      <c r="F2727" s="129">
        <f t="shared" si="128"/>
        <v>0.11631896100000001</v>
      </c>
      <c r="G2727" t="str">
        <f>_xlfn.XLOOKUP(D2727,'[1]2050 BAU Mapping to T &amp; C'!$A$3:$A$52,'[1]2050 BAU Mapping to T &amp; C'!$B$3:$B$52)</f>
        <v xml:space="preserve">Oil crops </v>
      </c>
      <c r="H2727" s="129">
        <f>_xlfn.XLOOKUP(G2727,'[1]T&amp;C emissions for 2050 analysis'!$B$3:$B$23,'[1]T&amp;C emissions for 2050 analysis'!$C$3:$C$23)</f>
        <v>0.18333333333333335</v>
      </c>
      <c r="I2727" s="27">
        <f t="shared" si="126"/>
        <v>2.1325142850000003E-2</v>
      </c>
      <c r="J2727" s="129">
        <f t="shared" si="127"/>
        <v>0.79255000000000009</v>
      </c>
    </row>
    <row r="2728" spans="1:10" hidden="1" x14ac:dyDescent="0.35">
      <c r="A2728" s="126" t="s">
        <v>388</v>
      </c>
      <c r="B2728" t="str">
        <f>_xlfn.XLOOKUP(A2728,'[1]2050Pop'!$A$7:$A$143,'[1]2050Pop'!$D$7:$D$143)</f>
        <v>Euro/AU/NZ</v>
      </c>
      <c r="C2728" s="127">
        <f>1000*_xlfn.XLOOKUP(A2728,'[1]2050Pop'!$A$7:$A$143,'[1]2050Pop'!$C$7:$C$143)</f>
        <v>6299</v>
      </c>
      <c r="D2728" s="126" t="s">
        <v>518</v>
      </c>
      <c r="E2728" s="128">
        <v>59.886000000000003</v>
      </c>
      <c r="F2728" s="129">
        <f t="shared" si="128"/>
        <v>0.37722191399999999</v>
      </c>
      <c r="G2728" t="str">
        <f>_xlfn.XLOOKUP(D2728,'[1]2050 BAU Mapping to T &amp; C'!$A$3:$A$52,'[1]2050 BAU Mapping to T &amp; C'!$B$3:$B$52)</f>
        <v xml:space="preserve">Oil crops </v>
      </c>
      <c r="H2728" s="129">
        <f>_xlfn.XLOOKUP(G2728,'[1]T&amp;C emissions for 2050 analysis'!$B$3:$B$23,'[1]T&amp;C emissions for 2050 analysis'!$C$3:$C$23)</f>
        <v>0.18333333333333335</v>
      </c>
      <c r="I2728" s="27">
        <f t="shared" si="126"/>
        <v>6.9157350899999998E-2</v>
      </c>
      <c r="J2728" s="129">
        <f t="shared" si="127"/>
        <v>10.979100000000001</v>
      </c>
    </row>
    <row r="2729" spans="1:10" hidden="1" x14ac:dyDescent="0.35">
      <c r="A2729" s="126" t="s">
        <v>389</v>
      </c>
      <c r="B2729" t="str">
        <f>_xlfn.XLOOKUP(A2729,'[1]2050Pop'!$A$7:$A$143,'[1]2050Pop'!$D$7:$D$143)</f>
        <v>LatAm &amp; RSA</v>
      </c>
      <c r="C2729" s="127">
        <f>1000*_xlfn.XLOOKUP(A2729,'[1]2050Pop'!$A$7:$A$143,'[1]2050Pop'!$C$7:$C$143)</f>
        <v>13238</v>
      </c>
      <c r="D2729" s="126" t="s">
        <v>518</v>
      </c>
      <c r="E2729" s="128">
        <v>146.03399999999999</v>
      </c>
      <c r="F2729" s="129">
        <f t="shared" si="128"/>
        <v>1.933198092</v>
      </c>
      <c r="G2729" t="str">
        <f>_xlfn.XLOOKUP(D2729,'[1]2050 BAU Mapping to T &amp; C'!$A$3:$A$52,'[1]2050 BAU Mapping to T &amp; C'!$B$3:$B$52)</f>
        <v xml:space="preserve">Oil crops </v>
      </c>
      <c r="H2729" s="129">
        <f>_xlfn.XLOOKUP(G2729,'[1]T&amp;C emissions for 2050 analysis'!$B$3:$B$23,'[1]T&amp;C emissions for 2050 analysis'!$C$3:$C$23)</f>
        <v>0.18333333333333335</v>
      </c>
      <c r="I2729" s="27">
        <f t="shared" si="126"/>
        <v>0.35441965020000005</v>
      </c>
      <c r="J2729" s="129">
        <f t="shared" si="127"/>
        <v>26.7729</v>
      </c>
    </row>
    <row r="2730" spans="1:10" hidden="1" x14ac:dyDescent="0.35">
      <c r="A2730" s="126" t="s">
        <v>390</v>
      </c>
      <c r="B2730" t="str">
        <f>_xlfn.XLOOKUP(A2730,'[1]2050Pop'!$A$7:$A$143,'[1]2050Pop'!$D$7:$D$143)</f>
        <v>LatAm &amp; RSA</v>
      </c>
      <c r="C2730" s="127">
        <f>1000*_xlfn.XLOOKUP(A2730,'[1]2050Pop'!$A$7:$A$143,'[1]2050Pop'!$C$7:$C$143)</f>
        <v>23013</v>
      </c>
      <c r="D2730" s="126" t="s">
        <v>518</v>
      </c>
      <c r="E2730" s="128">
        <v>146.92400000000001</v>
      </c>
      <c r="F2730" s="129">
        <f t="shared" si="128"/>
        <v>3.3811620119999999</v>
      </c>
      <c r="G2730" t="str">
        <f>_xlfn.XLOOKUP(D2730,'[1]2050 BAU Mapping to T &amp; C'!$A$3:$A$52,'[1]2050 BAU Mapping to T &amp; C'!$B$3:$B$52)</f>
        <v xml:space="preserve">Oil crops </v>
      </c>
      <c r="H2730" s="129">
        <f>_xlfn.XLOOKUP(G2730,'[1]T&amp;C emissions for 2050 analysis'!$B$3:$B$23,'[1]T&amp;C emissions for 2050 analysis'!$C$3:$C$23)</f>
        <v>0.18333333333333335</v>
      </c>
      <c r="I2730" s="27">
        <f t="shared" si="126"/>
        <v>0.61987970219999999</v>
      </c>
      <c r="J2730" s="129">
        <f t="shared" si="127"/>
        <v>26.936066666666669</v>
      </c>
    </row>
    <row r="2731" spans="1:10" hidden="1" x14ac:dyDescent="0.35">
      <c r="A2731" s="126" t="s">
        <v>394</v>
      </c>
      <c r="B2731" t="str">
        <f>_xlfn.XLOOKUP(A2731,'[1]2050Pop'!$A$7:$A$143,'[1]2050Pop'!$D$7:$D$143)</f>
        <v>SSA</v>
      </c>
      <c r="C2731" s="127">
        <f>1000*_xlfn.XLOOKUP(A2731,'[1]2050Pop'!$A$7:$A$143,'[1]2050Pop'!$C$7:$C$143)</f>
        <v>188455</v>
      </c>
      <c r="D2731" s="126" t="s">
        <v>518</v>
      </c>
      <c r="E2731" s="128">
        <v>43.292999999999999</v>
      </c>
      <c r="F2731" s="129">
        <f t="shared" si="128"/>
        <v>8.1587823149999998</v>
      </c>
      <c r="G2731" t="str">
        <f>_xlfn.XLOOKUP(D2731,'[1]2050 BAU Mapping to T &amp; C'!$A$3:$A$52,'[1]2050 BAU Mapping to T &amp; C'!$B$3:$B$52)</f>
        <v xml:space="preserve">Oil crops </v>
      </c>
      <c r="H2731" s="129">
        <f>_xlfn.XLOOKUP(G2731,'[1]T&amp;C emissions for 2050 analysis'!$B$3:$B$23,'[1]T&amp;C emissions for 2050 analysis'!$C$3:$C$23)</f>
        <v>0.18333333333333335</v>
      </c>
      <c r="I2731" s="27">
        <f t="shared" si="126"/>
        <v>1.4957767577500001</v>
      </c>
      <c r="J2731" s="129">
        <f t="shared" si="127"/>
        <v>7.9370500000000002</v>
      </c>
    </row>
    <row r="2732" spans="1:10" hidden="1" x14ac:dyDescent="0.35">
      <c r="A2732" s="126" t="s">
        <v>395</v>
      </c>
      <c r="B2732" t="str">
        <f>_xlfn.XLOOKUP(A2732,'[1]2050Pop'!$A$7:$A$143,'[1]2050Pop'!$D$7:$D$143)</f>
        <v>Euro/AU/NZ</v>
      </c>
      <c r="C2732" s="127">
        <f>1000*_xlfn.XLOOKUP(A2732,'[1]2050Pop'!$A$7:$A$143,'[1]2050Pop'!$C$7:$C$143)</f>
        <v>5752</v>
      </c>
      <c r="D2732" s="126" t="s">
        <v>518</v>
      </c>
      <c r="E2732" s="128">
        <v>11.247</v>
      </c>
      <c r="F2732" s="129">
        <f t="shared" si="128"/>
        <v>6.4692743999999996E-2</v>
      </c>
      <c r="G2732" t="str">
        <f>_xlfn.XLOOKUP(D2732,'[1]2050 BAU Mapping to T &amp; C'!$A$3:$A$52,'[1]2050 BAU Mapping to T &amp; C'!$B$3:$B$52)</f>
        <v xml:space="preserve">Oil crops </v>
      </c>
      <c r="H2732" s="129">
        <f>_xlfn.XLOOKUP(G2732,'[1]T&amp;C emissions for 2050 analysis'!$B$3:$B$23,'[1]T&amp;C emissions for 2050 analysis'!$C$3:$C$23)</f>
        <v>0.18333333333333335</v>
      </c>
      <c r="I2732" s="27">
        <f t="shared" si="126"/>
        <v>1.1860336400000001E-2</v>
      </c>
      <c r="J2732" s="129">
        <f t="shared" si="127"/>
        <v>2.0619499999999999</v>
      </c>
    </row>
    <row r="2733" spans="1:10" hidden="1" x14ac:dyDescent="0.35">
      <c r="A2733" s="126" t="s">
        <v>396</v>
      </c>
      <c r="B2733" t="str">
        <f>_xlfn.XLOOKUP(A2733,'[1]2050Pop'!$A$7:$A$143,'[1]2050Pop'!$D$7:$D$143)</f>
        <v>Euro/AU/NZ</v>
      </c>
      <c r="C2733" s="127">
        <f>1000*_xlfn.XLOOKUP(A2733,'[1]2050Pop'!$A$7:$A$143,'[1]2050Pop'!$C$7:$C$143)</f>
        <v>71137</v>
      </c>
      <c r="D2733" s="126" t="s">
        <v>518</v>
      </c>
      <c r="E2733" s="128">
        <v>5.5970000000000004</v>
      </c>
      <c r="F2733" s="129">
        <f t="shared" si="128"/>
        <v>0.39815378900000004</v>
      </c>
      <c r="G2733" t="str">
        <f>_xlfn.XLOOKUP(D2733,'[1]2050 BAU Mapping to T &amp; C'!$A$3:$A$52,'[1]2050 BAU Mapping to T &amp; C'!$B$3:$B$52)</f>
        <v xml:space="preserve">Oil crops </v>
      </c>
      <c r="H2733" s="129">
        <f>_xlfn.XLOOKUP(G2733,'[1]T&amp;C emissions for 2050 analysis'!$B$3:$B$23,'[1]T&amp;C emissions for 2050 analysis'!$C$3:$C$23)</f>
        <v>0.18333333333333335</v>
      </c>
      <c r="I2733" s="27">
        <f t="shared" si="126"/>
        <v>7.2994861316666673E-2</v>
      </c>
      <c r="J2733" s="129">
        <f t="shared" si="127"/>
        <v>1.0261166666666668</v>
      </c>
    </row>
    <row r="2734" spans="1:10" hidden="1" x14ac:dyDescent="0.35">
      <c r="A2734" s="126" t="s">
        <v>397</v>
      </c>
      <c r="B2734" t="str">
        <f>_xlfn.XLOOKUP(A2734,'[1]2050Pop'!$A$7:$A$143,'[1]2050Pop'!$D$7:$D$143)</f>
        <v>SSA</v>
      </c>
      <c r="C2734" s="127">
        <f>1000*_xlfn.XLOOKUP(A2734,'[1]2050Pop'!$A$7:$A$143,'[1]2050Pop'!$C$7:$C$143)</f>
        <v>3164</v>
      </c>
      <c r="D2734" s="126" t="s">
        <v>518</v>
      </c>
      <c r="E2734" s="128">
        <v>40.436999999999998</v>
      </c>
      <c r="F2734" s="129">
        <f t="shared" si="128"/>
        <v>0.12794266799999998</v>
      </c>
      <c r="G2734" t="str">
        <f>_xlfn.XLOOKUP(D2734,'[1]2050 BAU Mapping to T &amp; C'!$A$3:$A$52,'[1]2050 BAU Mapping to T &amp; C'!$B$3:$B$52)</f>
        <v xml:space="preserve">Oil crops </v>
      </c>
      <c r="H2734" s="129">
        <f>_xlfn.XLOOKUP(G2734,'[1]T&amp;C emissions for 2050 analysis'!$B$3:$B$23,'[1]T&amp;C emissions for 2050 analysis'!$C$3:$C$23)</f>
        <v>0.18333333333333335</v>
      </c>
      <c r="I2734" s="27">
        <f t="shared" si="126"/>
        <v>2.34561558E-2</v>
      </c>
      <c r="J2734" s="129">
        <f t="shared" si="127"/>
        <v>7.4134500000000001</v>
      </c>
    </row>
    <row r="2735" spans="1:10" hidden="1" x14ac:dyDescent="0.35">
      <c r="A2735" s="126" t="s">
        <v>489</v>
      </c>
      <c r="B2735" t="str">
        <f>_xlfn.XLOOKUP(A2735,'[1]2050Pop'!$A$7:$A$143,'[1]2050Pop'!$D$7:$D$143)</f>
        <v>SSA</v>
      </c>
      <c r="C2735" s="127">
        <f>1000*_xlfn.XLOOKUP(A2735,'[1]2050Pop'!$A$7:$A$143,'[1]2050Pop'!$C$7:$C$143)</f>
        <v>4981</v>
      </c>
      <c r="D2735" s="126" t="s">
        <v>518</v>
      </c>
      <c r="E2735" s="128">
        <v>180.459</v>
      </c>
      <c r="F2735" s="129">
        <f t="shared" si="128"/>
        <v>0.89886627899999993</v>
      </c>
      <c r="G2735" t="str">
        <f>_xlfn.XLOOKUP(D2735,'[1]2050 BAU Mapping to T &amp; C'!$A$3:$A$52,'[1]2050 BAU Mapping to T &amp; C'!$B$3:$B$52)</f>
        <v xml:space="preserve">Oil crops </v>
      </c>
      <c r="H2735" s="129">
        <f>_xlfn.XLOOKUP(G2735,'[1]T&amp;C emissions for 2050 analysis'!$B$3:$B$23,'[1]T&amp;C emissions for 2050 analysis'!$C$3:$C$23)</f>
        <v>0.18333333333333335</v>
      </c>
      <c r="I2735" s="27">
        <f t="shared" si="126"/>
        <v>0.16479215115000001</v>
      </c>
      <c r="J2735" s="129">
        <f t="shared" si="127"/>
        <v>33.084150000000001</v>
      </c>
    </row>
    <row r="2736" spans="1:10" hidden="1" x14ac:dyDescent="0.35">
      <c r="A2736" s="126" t="s">
        <v>399</v>
      </c>
      <c r="B2736" t="str">
        <f>_xlfn.XLOOKUP(A2736,'[1]2050Pop'!$A$7:$A$143,'[1]2050Pop'!$D$7:$D$143)</f>
        <v>Euro/AU/NZ</v>
      </c>
      <c r="C2736" s="127">
        <f>1000*_xlfn.XLOOKUP(A2736,'[1]2050Pop'!$A$7:$A$143,'[1]2050Pop'!$C$7:$C$143)</f>
        <v>74513</v>
      </c>
      <c r="D2736" s="126" t="s">
        <v>518</v>
      </c>
      <c r="E2736" s="128">
        <v>37.951999999999998</v>
      </c>
      <c r="F2736" s="129">
        <f t="shared" si="128"/>
        <v>2.8279173759999998</v>
      </c>
      <c r="G2736" t="str">
        <f>_xlfn.XLOOKUP(D2736,'[1]2050 BAU Mapping to T &amp; C'!$A$3:$A$52,'[1]2050 BAU Mapping to T &amp; C'!$B$3:$B$52)</f>
        <v xml:space="preserve">Oil crops </v>
      </c>
      <c r="H2736" s="129">
        <f>_xlfn.XLOOKUP(G2736,'[1]T&amp;C emissions for 2050 analysis'!$B$3:$B$23,'[1]T&amp;C emissions for 2050 analysis'!$C$3:$C$23)</f>
        <v>0.18333333333333335</v>
      </c>
      <c r="I2736" s="27">
        <f t="shared" si="126"/>
        <v>0.5184515189333333</v>
      </c>
      <c r="J2736" s="129">
        <f t="shared" si="127"/>
        <v>6.9578666666666669</v>
      </c>
    </row>
    <row r="2737" spans="1:10" hidden="1" x14ac:dyDescent="0.35">
      <c r="A2737" s="126" t="s">
        <v>400</v>
      </c>
      <c r="B2737" t="str">
        <f>_xlfn.XLOOKUP(A2737,'[1]2050Pop'!$A$7:$A$143,'[1]2050Pop'!$D$7:$D$143)</f>
        <v>SSA</v>
      </c>
      <c r="C2737" s="127">
        <f>1000*_xlfn.XLOOKUP(A2737,'[1]2050Pop'!$A$7:$A$143,'[1]2050Pop'!$C$7:$C$143)</f>
        <v>50071</v>
      </c>
      <c r="D2737" s="126" t="s">
        <v>518</v>
      </c>
      <c r="E2737" s="128">
        <v>58.457999999999998</v>
      </c>
      <c r="F2737" s="129">
        <f t="shared" si="128"/>
        <v>2.9270505179999997</v>
      </c>
      <c r="G2737" t="str">
        <f>_xlfn.XLOOKUP(D2737,'[1]2050 BAU Mapping to T &amp; C'!$A$3:$A$52,'[1]2050 BAU Mapping to T &amp; C'!$B$3:$B$52)</f>
        <v xml:space="preserve">Oil crops </v>
      </c>
      <c r="H2737" s="129">
        <f>_xlfn.XLOOKUP(G2737,'[1]T&amp;C emissions for 2050 analysis'!$B$3:$B$23,'[1]T&amp;C emissions for 2050 analysis'!$C$3:$C$23)</f>
        <v>0.18333333333333335</v>
      </c>
      <c r="I2737" s="27">
        <f t="shared" si="126"/>
        <v>0.5366259283</v>
      </c>
      <c r="J2737" s="129">
        <f t="shared" si="127"/>
        <v>10.7173</v>
      </c>
    </row>
    <row r="2738" spans="1:10" hidden="1" x14ac:dyDescent="0.35">
      <c r="A2738" s="126" t="s">
        <v>401</v>
      </c>
      <c r="B2738" t="str">
        <f>_xlfn.XLOOKUP(A2738,'[1]2050Pop'!$A$7:$A$143,'[1]2050Pop'!$D$7:$D$143)</f>
        <v>Euro/AU/NZ</v>
      </c>
      <c r="C2738" s="127">
        <f>1000*_xlfn.XLOOKUP(A2738,'[1]2050Pop'!$A$7:$A$143,'[1]2050Pop'!$C$7:$C$143)</f>
        <v>9705</v>
      </c>
      <c r="D2738" s="126" t="s">
        <v>518</v>
      </c>
      <c r="E2738" s="128">
        <v>5.2939999999999996</v>
      </c>
      <c r="F2738" s="129">
        <f t="shared" si="128"/>
        <v>5.1378269999999997E-2</v>
      </c>
      <c r="G2738" t="str">
        <f>_xlfn.XLOOKUP(D2738,'[1]2050 BAU Mapping to T &amp; C'!$A$3:$A$52,'[1]2050 BAU Mapping to T &amp; C'!$B$3:$B$52)</f>
        <v xml:space="preserve">Oil crops </v>
      </c>
      <c r="H2738" s="129">
        <f>_xlfn.XLOOKUP(G2738,'[1]T&amp;C emissions for 2050 analysis'!$B$3:$B$23,'[1]T&amp;C emissions for 2050 analysis'!$C$3:$C$23)</f>
        <v>0.18333333333333335</v>
      </c>
      <c r="I2738" s="27">
        <f t="shared" si="126"/>
        <v>9.4193495000000002E-3</v>
      </c>
      <c r="J2738" s="129">
        <f t="shared" si="127"/>
        <v>0.97056666666666669</v>
      </c>
    </row>
    <row r="2739" spans="1:10" hidden="1" x14ac:dyDescent="0.35">
      <c r="A2739" s="126" t="s">
        <v>402</v>
      </c>
      <c r="B2739" t="str">
        <f>_xlfn.XLOOKUP(A2739,'[1]2050Pop'!$A$7:$A$143,'[1]2050Pop'!$D$7:$D$143)</f>
        <v>LatAm &amp; RSA</v>
      </c>
      <c r="C2739" s="127">
        <f>1000*_xlfn.XLOOKUP(A2739,'[1]2050Pop'!$A$7:$A$143,'[1]2050Pop'!$C$7:$C$143)</f>
        <v>27754</v>
      </c>
      <c r="D2739" s="126" t="s">
        <v>518</v>
      </c>
      <c r="E2739" s="128">
        <v>30.684000000000001</v>
      </c>
      <c r="F2739" s="129">
        <f t="shared" si="128"/>
        <v>0.85160373600000006</v>
      </c>
      <c r="G2739" t="str">
        <f>_xlfn.XLOOKUP(D2739,'[1]2050 BAU Mapping to T &amp; C'!$A$3:$A$52,'[1]2050 BAU Mapping to T &amp; C'!$B$3:$B$52)</f>
        <v xml:space="preserve">Oil crops </v>
      </c>
      <c r="H2739" s="129">
        <f>_xlfn.XLOOKUP(G2739,'[1]T&amp;C emissions for 2050 analysis'!$B$3:$B$23,'[1]T&amp;C emissions for 2050 analysis'!$C$3:$C$23)</f>
        <v>0.18333333333333335</v>
      </c>
      <c r="I2739" s="27">
        <f t="shared" si="126"/>
        <v>0.15612735160000002</v>
      </c>
      <c r="J2739" s="129">
        <f t="shared" si="127"/>
        <v>5.6254000000000008</v>
      </c>
    </row>
    <row r="2740" spans="1:10" hidden="1" x14ac:dyDescent="0.35">
      <c r="A2740" s="126" t="s">
        <v>403</v>
      </c>
      <c r="B2740" t="str">
        <f>_xlfn.XLOOKUP(A2740,'[1]2050Pop'!$A$7:$A$143,'[1]2050Pop'!$D$7:$D$143)</f>
        <v>SSA</v>
      </c>
      <c r="C2740" s="127">
        <f>1000*_xlfn.XLOOKUP(A2740,'[1]2050Pop'!$A$7:$A$143,'[1]2050Pop'!$C$7:$C$143)</f>
        <v>27486</v>
      </c>
      <c r="D2740" s="126" t="s">
        <v>518</v>
      </c>
      <c r="E2740" s="128">
        <v>124.23699999999999</v>
      </c>
      <c r="F2740" s="129">
        <f t="shared" si="128"/>
        <v>3.4147781820000001</v>
      </c>
      <c r="G2740" t="str">
        <f>_xlfn.XLOOKUP(D2740,'[1]2050 BAU Mapping to T &amp; C'!$A$3:$A$52,'[1]2050 BAU Mapping to T &amp; C'!$B$3:$B$52)</f>
        <v xml:space="preserve">Oil crops </v>
      </c>
      <c r="H2740" s="129">
        <f>_xlfn.XLOOKUP(G2740,'[1]T&amp;C emissions for 2050 analysis'!$B$3:$B$23,'[1]T&amp;C emissions for 2050 analysis'!$C$3:$C$23)</f>
        <v>0.18333333333333335</v>
      </c>
      <c r="I2740" s="27">
        <f t="shared" si="126"/>
        <v>0.62604266670000008</v>
      </c>
      <c r="J2740" s="129">
        <f t="shared" si="127"/>
        <v>22.776783333333334</v>
      </c>
    </row>
    <row r="2741" spans="1:10" hidden="1" x14ac:dyDescent="0.35">
      <c r="A2741" s="126" t="s">
        <v>404</v>
      </c>
      <c r="B2741" t="str">
        <f>_xlfn.XLOOKUP(A2741,'[1]2050Pop'!$A$7:$A$143,'[1]2050Pop'!$D$7:$D$143)</f>
        <v>LatAm &amp; RSA</v>
      </c>
      <c r="C2741" s="127">
        <f>1000*_xlfn.XLOOKUP(A2741,'[1]2050Pop'!$A$7:$A$143,'[1]2050Pop'!$C$7:$C$143)</f>
        <v>806</v>
      </c>
      <c r="D2741" s="126" t="s">
        <v>518</v>
      </c>
      <c r="E2741" s="128">
        <v>1.5880000000000001</v>
      </c>
      <c r="F2741" s="129">
        <f t="shared" si="128"/>
        <v>1.2799280000000001E-3</v>
      </c>
      <c r="G2741" t="str">
        <f>_xlfn.XLOOKUP(D2741,'[1]2050 BAU Mapping to T &amp; C'!$A$3:$A$52,'[1]2050 BAU Mapping to T &amp; C'!$B$3:$B$52)</f>
        <v xml:space="preserve">Oil crops </v>
      </c>
      <c r="H2741" s="129">
        <f>_xlfn.XLOOKUP(G2741,'[1]T&amp;C emissions for 2050 analysis'!$B$3:$B$23,'[1]T&amp;C emissions for 2050 analysis'!$C$3:$C$23)</f>
        <v>0.18333333333333335</v>
      </c>
      <c r="I2741" s="27">
        <f t="shared" si="126"/>
        <v>2.3465346666666669E-4</v>
      </c>
      <c r="J2741" s="129">
        <f t="shared" si="127"/>
        <v>0.29113333333333336</v>
      </c>
    </row>
    <row r="2742" spans="1:10" hidden="1" x14ac:dyDescent="0.35">
      <c r="A2742" s="126" t="s">
        <v>405</v>
      </c>
      <c r="B2742" t="str">
        <f>_xlfn.XLOOKUP(A2742,'[1]2050Pop'!$A$7:$A$143,'[1]2050Pop'!$D$7:$D$143)</f>
        <v>LatAm &amp; RSA</v>
      </c>
      <c r="C2742" s="127">
        <f>1000*_xlfn.XLOOKUP(A2742,'[1]2050Pop'!$A$7:$A$143,'[1]2050Pop'!$C$7:$C$143)</f>
        <v>14189</v>
      </c>
      <c r="D2742" s="126" t="s">
        <v>518</v>
      </c>
      <c r="E2742" s="128">
        <v>62.426000000000002</v>
      </c>
      <c r="F2742" s="129">
        <f t="shared" si="128"/>
        <v>0.88576251400000006</v>
      </c>
      <c r="G2742" t="str">
        <f>_xlfn.XLOOKUP(D2742,'[1]2050 BAU Mapping to T &amp; C'!$A$3:$A$52,'[1]2050 BAU Mapping to T &amp; C'!$B$3:$B$52)</f>
        <v xml:space="preserve">Oil crops </v>
      </c>
      <c r="H2742" s="129">
        <f>_xlfn.XLOOKUP(G2742,'[1]T&amp;C emissions for 2050 analysis'!$B$3:$B$23,'[1]T&amp;C emissions for 2050 analysis'!$C$3:$C$23)</f>
        <v>0.18333333333333335</v>
      </c>
      <c r="I2742" s="27">
        <f t="shared" si="126"/>
        <v>0.16238979423333336</v>
      </c>
      <c r="J2742" s="129">
        <f t="shared" si="127"/>
        <v>11.444766666666668</v>
      </c>
    </row>
    <row r="2743" spans="1:10" hidden="1" x14ac:dyDescent="0.35">
      <c r="A2743" s="126" t="s">
        <v>406</v>
      </c>
      <c r="B2743" t="str">
        <f>_xlfn.XLOOKUP(A2743,'[1]2050Pop'!$A$7:$A$143,'[1]2050Pop'!$D$7:$D$143)</f>
        <v>LatAm &amp; RSA</v>
      </c>
      <c r="C2743" s="127">
        <f>1000*_xlfn.XLOOKUP(A2743,'[1]2050Pop'!$A$7:$A$143,'[1]2050Pop'!$C$7:$C$143)</f>
        <v>11217</v>
      </c>
      <c r="D2743" s="126" t="s">
        <v>518</v>
      </c>
      <c r="E2743" s="128">
        <v>247.50399999999999</v>
      </c>
      <c r="F2743" s="129">
        <f t="shared" si="128"/>
        <v>2.7762523679999997</v>
      </c>
      <c r="G2743" t="str">
        <f>_xlfn.XLOOKUP(D2743,'[1]2050 BAU Mapping to T &amp; C'!$A$3:$A$52,'[1]2050 BAU Mapping to T &amp; C'!$B$3:$B$52)</f>
        <v xml:space="preserve">Oil crops </v>
      </c>
      <c r="H2743" s="129">
        <f>_xlfn.XLOOKUP(G2743,'[1]T&amp;C emissions for 2050 analysis'!$B$3:$B$23,'[1]T&amp;C emissions for 2050 analysis'!$C$3:$C$23)</f>
        <v>0.18333333333333335</v>
      </c>
      <c r="I2743" s="27">
        <f t="shared" si="126"/>
        <v>0.50897960080000004</v>
      </c>
      <c r="J2743" s="129">
        <f t="shared" si="127"/>
        <v>45.375733333333336</v>
      </c>
    </row>
    <row r="2744" spans="1:10" hidden="1" x14ac:dyDescent="0.35">
      <c r="A2744" s="126" t="s">
        <v>407</v>
      </c>
      <c r="B2744" t="str">
        <f>_xlfn.XLOOKUP(A2744,'[1]2050Pop'!$A$7:$A$143,'[1]2050Pop'!$D$7:$D$143)</f>
        <v>Euro/AU/NZ</v>
      </c>
      <c r="C2744" s="127">
        <f>1000*_xlfn.XLOOKUP(A2744,'[1]2050Pop'!$A$7:$A$143,'[1]2050Pop'!$C$7:$C$143)</f>
        <v>8318</v>
      </c>
      <c r="D2744" s="126" t="s">
        <v>518</v>
      </c>
      <c r="E2744" s="128">
        <v>59.784999999999997</v>
      </c>
      <c r="F2744" s="129">
        <f t="shared" si="128"/>
        <v>0.49729162999999993</v>
      </c>
      <c r="G2744" t="str">
        <f>_xlfn.XLOOKUP(D2744,'[1]2050 BAU Mapping to T &amp; C'!$A$3:$A$52,'[1]2050 BAU Mapping to T &amp; C'!$B$3:$B$52)</f>
        <v xml:space="preserve">Oil crops </v>
      </c>
      <c r="H2744" s="129">
        <f>_xlfn.XLOOKUP(G2744,'[1]T&amp;C emissions for 2050 analysis'!$B$3:$B$23,'[1]T&amp;C emissions for 2050 analysis'!$C$3:$C$23)</f>
        <v>0.18333333333333335</v>
      </c>
      <c r="I2744" s="27">
        <f t="shared" si="126"/>
        <v>9.1170132166666668E-2</v>
      </c>
      <c r="J2744" s="129">
        <f t="shared" si="127"/>
        <v>10.960583333333334</v>
      </c>
    </row>
    <row r="2745" spans="1:10" hidden="1" x14ac:dyDescent="0.35">
      <c r="A2745" s="126" t="s">
        <v>408</v>
      </c>
      <c r="B2745" t="str">
        <f>_xlfn.XLOOKUP(A2745,'[1]2050Pop'!$A$7:$A$143,'[1]2050Pop'!$D$7:$D$143)</f>
        <v>India/South Asia</v>
      </c>
      <c r="C2745" s="127">
        <f>1000*_xlfn.XLOOKUP(A2745,'[1]2050Pop'!$A$7:$A$143,'[1]2050Pop'!$C$7:$C$143)</f>
        <v>1705333</v>
      </c>
      <c r="D2745" s="126" t="s">
        <v>518</v>
      </c>
      <c r="E2745" s="128">
        <v>19.044</v>
      </c>
      <c r="F2745" s="129">
        <f t="shared" si="128"/>
        <v>32.476361652000001</v>
      </c>
      <c r="G2745" t="str">
        <f>_xlfn.XLOOKUP(D2745,'[1]2050 BAU Mapping to T &amp; C'!$A$3:$A$52,'[1]2050 BAU Mapping to T &amp; C'!$B$3:$B$52)</f>
        <v xml:space="preserve">Oil crops </v>
      </c>
      <c r="H2745" s="129">
        <f>_xlfn.XLOOKUP(G2745,'[1]T&amp;C emissions for 2050 analysis'!$B$3:$B$23,'[1]T&amp;C emissions for 2050 analysis'!$C$3:$C$23)</f>
        <v>0.18333333333333335</v>
      </c>
      <c r="I2745" s="27">
        <f t="shared" si="126"/>
        <v>5.9539996362000007</v>
      </c>
      <c r="J2745" s="129">
        <f t="shared" si="127"/>
        <v>3.4914000000000005</v>
      </c>
    </row>
    <row r="2746" spans="1:10" hidden="1" x14ac:dyDescent="0.35">
      <c r="A2746" s="126" t="s">
        <v>409</v>
      </c>
      <c r="B2746" t="str">
        <f>_xlfn.XLOOKUP(A2746,'[1]2050Pop'!$A$7:$A$143,'[1]2050Pop'!$D$7:$D$143)</f>
        <v>APAC</v>
      </c>
      <c r="C2746" s="127">
        <f>1000*_xlfn.XLOOKUP(A2746,'[1]2050Pop'!$A$7:$A$143,'[1]2050Pop'!$C$7:$C$143)</f>
        <v>322237</v>
      </c>
      <c r="D2746" s="126" t="s">
        <v>518</v>
      </c>
      <c r="E2746" s="128">
        <v>98.533000000000001</v>
      </c>
      <c r="F2746" s="129">
        <f t="shared" si="128"/>
        <v>31.750978320999998</v>
      </c>
      <c r="G2746" t="str">
        <f>_xlfn.XLOOKUP(D2746,'[1]2050 BAU Mapping to T &amp; C'!$A$3:$A$52,'[1]2050 BAU Mapping to T &amp; C'!$B$3:$B$52)</f>
        <v xml:space="preserve">Oil crops </v>
      </c>
      <c r="H2746" s="129">
        <f>_xlfn.XLOOKUP(G2746,'[1]T&amp;C emissions for 2050 analysis'!$B$3:$B$23,'[1]T&amp;C emissions for 2050 analysis'!$C$3:$C$23)</f>
        <v>0.18333333333333335</v>
      </c>
      <c r="I2746" s="27">
        <f t="shared" si="126"/>
        <v>5.8210126921833334</v>
      </c>
      <c r="J2746" s="129">
        <f t="shared" si="127"/>
        <v>18.064383333333335</v>
      </c>
    </row>
    <row r="2747" spans="1:10" hidden="1" x14ac:dyDescent="0.35">
      <c r="A2747" s="126" t="s">
        <v>411</v>
      </c>
      <c r="B2747" t="str">
        <f>_xlfn.XLOOKUP(A2747,'[1]2050Pop'!$A$7:$A$143,'[1]2050Pop'!$D$7:$D$143)</f>
        <v>MENA</v>
      </c>
      <c r="C2747" s="127">
        <f>1000*_xlfn.XLOOKUP(A2747,'[1]2050Pop'!$A$7:$A$143,'[1]2050Pop'!$C$7:$C$143)</f>
        <v>83652</v>
      </c>
      <c r="D2747" s="126" t="s">
        <v>518</v>
      </c>
      <c r="E2747" s="128">
        <v>94.094999999999999</v>
      </c>
      <c r="F2747" s="129">
        <f t="shared" si="128"/>
        <v>7.8712349399999999</v>
      </c>
      <c r="G2747" t="str">
        <f>_xlfn.XLOOKUP(D2747,'[1]2050 BAU Mapping to T &amp; C'!$A$3:$A$52,'[1]2050 BAU Mapping to T &amp; C'!$B$3:$B$52)</f>
        <v xml:space="preserve">Oil crops </v>
      </c>
      <c r="H2747" s="129">
        <f>_xlfn.XLOOKUP(G2747,'[1]T&amp;C emissions for 2050 analysis'!$B$3:$B$23,'[1]T&amp;C emissions for 2050 analysis'!$C$3:$C$23)</f>
        <v>0.18333333333333335</v>
      </c>
      <c r="I2747" s="27">
        <f t="shared" si="126"/>
        <v>1.4430597390000002</v>
      </c>
      <c r="J2747" s="129">
        <f t="shared" si="127"/>
        <v>17.25075</v>
      </c>
    </row>
    <row r="2748" spans="1:10" hidden="1" x14ac:dyDescent="0.35">
      <c r="A2748" s="126" t="s">
        <v>413</v>
      </c>
      <c r="B2748" t="str">
        <f>_xlfn.XLOOKUP(A2748,'[1]2050Pop'!$A$7:$A$143,'[1]2050Pop'!$D$7:$D$143)</f>
        <v>MENA</v>
      </c>
      <c r="C2748" s="127">
        <f>1000*_xlfn.XLOOKUP(A2748,'[1]2050Pop'!$A$7:$A$143,'[1]2050Pop'!$C$7:$C$143)</f>
        <v>12610</v>
      </c>
      <c r="D2748" s="126" t="s">
        <v>518</v>
      </c>
      <c r="E2748" s="128">
        <v>34.473999999999997</v>
      </c>
      <c r="F2748" s="129">
        <f t="shared" si="128"/>
        <v>0.43471713999999995</v>
      </c>
      <c r="G2748" t="str">
        <f>_xlfn.XLOOKUP(D2748,'[1]2050 BAU Mapping to T &amp; C'!$A$3:$A$52,'[1]2050 BAU Mapping to T &amp; C'!$B$3:$B$52)</f>
        <v xml:space="preserve">Oil crops </v>
      </c>
      <c r="H2748" s="129">
        <f>_xlfn.XLOOKUP(G2748,'[1]T&amp;C emissions for 2050 analysis'!$B$3:$B$23,'[1]T&amp;C emissions for 2050 analysis'!$C$3:$C$23)</f>
        <v>0.18333333333333335</v>
      </c>
      <c r="I2748" s="27">
        <f t="shared" si="126"/>
        <v>7.9698142333333333E-2</v>
      </c>
      <c r="J2748" s="129">
        <f t="shared" si="127"/>
        <v>6.3202333333333334</v>
      </c>
    </row>
    <row r="2749" spans="1:10" hidden="1" x14ac:dyDescent="0.35">
      <c r="A2749" s="126" t="s">
        <v>414</v>
      </c>
      <c r="B2749" t="str">
        <f>_xlfn.XLOOKUP(A2749,'[1]2050Pop'!$A$7:$A$143,'[1]2050Pop'!$D$7:$D$143)</f>
        <v>Euro/AU/NZ</v>
      </c>
      <c r="C2749" s="127">
        <f>1000*_xlfn.XLOOKUP(A2749,'[1]2050Pop'!$A$7:$A$143,'[1]2050Pop'!$C$7:$C$143)</f>
        <v>56513</v>
      </c>
      <c r="D2749" s="126" t="s">
        <v>518</v>
      </c>
      <c r="E2749" s="128">
        <v>41.813000000000002</v>
      </c>
      <c r="F2749" s="129">
        <f t="shared" si="128"/>
        <v>2.362978069</v>
      </c>
      <c r="G2749" t="str">
        <f>_xlfn.XLOOKUP(D2749,'[1]2050 BAU Mapping to T &amp; C'!$A$3:$A$52,'[1]2050 BAU Mapping to T &amp; C'!$B$3:$B$52)</f>
        <v xml:space="preserve">Oil crops </v>
      </c>
      <c r="H2749" s="129">
        <f>_xlfn.XLOOKUP(G2749,'[1]T&amp;C emissions for 2050 analysis'!$B$3:$B$23,'[1]T&amp;C emissions for 2050 analysis'!$C$3:$C$23)</f>
        <v>0.18333333333333335</v>
      </c>
      <c r="I2749" s="27">
        <f t="shared" si="126"/>
        <v>0.43321264598333337</v>
      </c>
      <c r="J2749" s="129">
        <f t="shared" si="127"/>
        <v>7.6657166666666674</v>
      </c>
    </row>
    <row r="2750" spans="1:10" hidden="1" x14ac:dyDescent="0.35">
      <c r="A2750" s="126" t="s">
        <v>416</v>
      </c>
      <c r="B2750" t="str">
        <f>_xlfn.XLOOKUP(A2750,'[1]2050Pop'!$A$7:$A$143,'[1]2050Pop'!$D$7:$D$143)</f>
        <v>APAC</v>
      </c>
      <c r="C2750" s="127">
        <f>1000*_xlfn.XLOOKUP(A2750,'[1]2050Pop'!$A$7:$A$143,'[1]2050Pop'!$C$7:$C$143)</f>
        <v>107411</v>
      </c>
      <c r="D2750" s="126" t="s">
        <v>518</v>
      </c>
      <c r="E2750" s="128">
        <v>10.412000000000001</v>
      </c>
      <c r="F2750" s="129">
        <f t="shared" si="128"/>
        <v>1.1183633320000002</v>
      </c>
      <c r="G2750" t="str">
        <f>_xlfn.XLOOKUP(D2750,'[1]2050 BAU Mapping to T &amp; C'!$A$3:$A$52,'[1]2050 BAU Mapping to T &amp; C'!$B$3:$B$52)</f>
        <v xml:space="preserve">Oil crops </v>
      </c>
      <c r="H2750" s="129">
        <f>_xlfn.XLOOKUP(G2750,'[1]T&amp;C emissions for 2050 analysis'!$B$3:$B$23,'[1]T&amp;C emissions for 2050 analysis'!$C$3:$C$23)</f>
        <v>0.18333333333333335</v>
      </c>
      <c r="I2750" s="27">
        <f t="shared" si="126"/>
        <v>0.20503327753333339</v>
      </c>
      <c r="J2750" s="129">
        <f t="shared" si="127"/>
        <v>1.9088666666666669</v>
      </c>
    </row>
    <row r="2751" spans="1:10" hidden="1" x14ac:dyDescent="0.35">
      <c r="A2751" s="126" t="s">
        <v>417</v>
      </c>
      <c r="B2751" t="str">
        <f>_xlfn.XLOOKUP(A2751,'[1]2050Pop'!$A$7:$A$143,'[1]2050Pop'!$D$7:$D$143)</f>
        <v>MENA</v>
      </c>
      <c r="C2751" s="127">
        <f>1000*_xlfn.XLOOKUP(A2751,'[1]2050Pop'!$A$7:$A$143,'[1]2050Pop'!$C$7:$C$143)</f>
        <v>11717</v>
      </c>
      <c r="D2751" s="126" t="s">
        <v>518</v>
      </c>
      <c r="E2751" s="128">
        <v>115.67100000000001</v>
      </c>
      <c r="F2751" s="129">
        <f t="shared" si="128"/>
        <v>1.3553171070000001</v>
      </c>
      <c r="G2751" t="str">
        <f>_xlfn.XLOOKUP(D2751,'[1]2050 BAU Mapping to T &amp; C'!$A$3:$A$52,'[1]2050 BAU Mapping to T &amp; C'!$B$3:$B$52)</f>
        <v xml:space="preserve">Oil crops </v>
      </c>
      <c r="H2751" s="129">
        <f>_xlfn.XLOOKUP(G2751,'[1]T&amp;C emissions for 2050 analysis'!$B$3:$B$23,'[1]T&amp;C emissions for 2050 analysis'!$C$3:$C$23)</f>
        <v>0.18333333333333335</v>
      </c>
      <c r="I2751" s="27">
        <f t="shared" si="126"/>
        <v>0.24847480295000005</v>
      </c>
      <c r="J2751" s="129">
        <f t="shared" si="127"/>
        <v>21.206350000000004</v>
      </c>
    </row>
    <row r="2752" spans="1:10" hidden="1" x14ac:dyDescent="0.35">
      <c r="A2752" s="126" t="s">
        <v>419</v>
      </c>
      <c r="B2752" t="str">
        <f>_xlfn.XLOOKUP(A2752,'[1]2050Pop'!$A$7:$A$143,'[1]2050Pop'!$D$7:$D$143)</f>
        <v>SSA</v>
      </c>
      <c r="C2752" s="127">
        <f>1000*_xlfn.XLOOKUP(A2752,'[1]2050Pop'!$A$7:$A$143,'[1]2050Pop'!$C$7:$C$143)</f>
        <v>95505</v>
      </c>
      <c r="D2752" s="126" t="s">
        <v>518</v>
      </c>
      <c r="E2752" s="128">
        <v>113.023</v>
      </c>
      <c r="F2752" s="129">
        <f t="shared" si="128"/>
        <v>10.794261615</v>
      </c>
      <c r="G2752" t="str">
        <f>_xlfn.XLOOKUP(D2752,'[1]2050 BAU Mapping to T &amp; C'!$A$3:$A$52,'[1]2050 BAU Mapping to T &amp; C'!$B$3:$B$52)</f>
        <v xml:space="preserve">Oil crops </v>
      </c>
      <c r="H2752" s="129">
        <f>_xlfn.XLOOKUP(G2752,'[1]T&amp;C emissions for 2050 analysis'!$B$3:$B$23,'[1]T&amp;C emissions for 2050 analysis'!$C$3:$C$23)</f>
        <v>0.18333333333333335</v>
      </c>
      <c r="I2752" s="27">
        <f t="shared" si="126"/>
        <v>1.9789479627500002</v>
      </c>
      <c r="J2752" s="129">
        <f t="shared" si="127"/>
        <v>20.720883333333333</v>
      </c>
    </row>
    <row r="2753" spans="1:10" hidden="1" x14ac:dyDescent="0.35">
      <c r="A2753" s="126" t="s">
        <v>425</v>
      </c>
      <c r="B2753" t="str">
        <f>_xlfn.XLOOKUP(A2753,'[1]2050Pop'!$A$7:$A$143,'[1]2050Pop'!$D$7:$D$143)</f>
        <v>SSA</v>
      </c>
      <c r="C2753" s="127">
        <f>1000*_xlfn.XLOOKUP(A2753,'[1]2050Pop'!$A$7:$A$143,'[1]2050Pop'!$C$7:$C$143)</f>
        <v>9436</v>
      </c>
      <c r="D2753" s="126" t="s">
        <v>518</v>
      </c>
      <c r="E2753" s="128">
        <v>368.726</v>
      </c>
      <c r="F2753" s="129">
        <f t="shared" si="128"/>
        <v>3.4792985359999999</v>
      </c>
      <c r="G2753" t="str">
        <f>_xlfn.XLOOKUP(D2753,'[1]2050 BAU Mapping to T &amp; C'!$A$3:$A$52,'[1]2050 BAU Mapping to T &amp; C'!$B$3:$B$52)</f>
        <v xml:space="preserve">Oil crops </v>
      </c>
      <c r="H2753" s="129">
        <f>_xlfn.XLOOKUP(G2753,'[1]T&amp;C emissions for 2050 analysis'!$B$3:$B$23,'[1]T&amp;C emissions for 2050 analysis'!$C$3:$C$23)</f>
        <v>0.18333333333333335</v>
      </c>
      <c r="I2753" s="27">
        <f t="shared" si="126"/>
        <v>0.63787139826666672</v>
      </c>
      <c r="J2753" s="129">
        <f t="shared" si="127"/>
        <v>67.599766666666667</v>
      </c>
    </row>
    <row r="2754" spans="1:10" hidden="1" x14ac:dyDescent="0.35">
      <c r="A2754" s="126" t="s">
        <v>427</v>
      </c>
      <c r="B2754" t="str">
        <f>_xlfn.XLOOKUP(A2754,'[1]2050Pop'!$A$7:$A$143,'[1]2050Pop'!$D$7:$D$143)</f>
        <v>SSA</v>
      </c>
      <c r="C2754" s="127">
        <f>1000*_xlfn.XLOOKUP(A2754,'[1]2050Pop'!$A$7:$A$143,'[1]2050Pop'!$C$7:$C$143)</f>
        <v>55294</v>
      </c>
      <c r="D2754" s="126" t="s">
        <v>518</v>
      </c>
      <c r="E2754" s="130">
        <v>7.09</v>
      </c>
      <c r="F2754" s="129">
        <f t="shared" si="128"/>
        <v>0.39203446000000003</v>
      </c>
      <c r="G2754" t="str">
        <f>_xlfn.XLOOKUP(D2754,'[1]2050 BAU Mapping to T &amp; C'!$A$3:$A$52,'[1]2050 BAU Mapping to T &amp; C'!$B$3:$B$52)</f>
        <v xml:space="preserve">Oil crops </v>
      </c>
      <c r="H2754" s="129">
        <f>_xlfn.XLOOKUP(G2754,'[1]T&amp;C emissions for 2050 analysis'!$B$3:$B$23,'[1]T&amp;C emissions for 2050 analysis'!$C$3:$C$23)</f>
        <v>0.18333333333333335</v>
      </c>
      <c r="I2754" s="27">
        <f t="shared" si="126"/>
        <v>7.1872984333333348E-2</v>
      </c>
      <c r="J2754" s="129">
        <f t="shared" si="127"/>
        <v>1.2998333333333334</v>
      </c>
    </row>
    <row r="2755" spans="1:10" hidden="1" x14ac:dyDescent="0.35">
      <c r="A2755" s="126" t="s">
        <v>428</v>
      </c>
      <c r="B2755" t="str">
        <f>_xlfn.XLOOKUP(A2755,'[1]2050Pop'!$A$7:$A$143,'[1]2050Pop'!$D$7:$D$143)</f>
        <v>SSA</v>
      </c>
      <c r="C2755" s="127">
        <f>1000*_xlfn.XLOOKUP(A2755,'[1]2050Pop'!$A$7:$A$143,'[1]2050Pop'!$C$7:$C$143)</f>
        <v>43155</v>
      </c>
      <c r="D2755" s="126" t="s">
        <v>518</v>
      </c>
      <c r="E2755" s="128">
        <v>2.629</v>
      </c>
      <c r="F2755" s="129">
        <f t="shared" si="128"/>
        <v>0.11345449499999999</v>
      </c>
      <c r="G2755" t="str">
        <f>_xlfn.XLOOKUP(D2755,'[1]2050 BAU Mapping to T &amp; C'!$A$3:$A$52,'[1]2050 BAU Mapping to T &amp; C'!$B$3:$B$52)</f>
        <v xml:space="preserve">Oil crops </v>
      </c>
      <c r="H2755" s="129">
        <f>_xlfn.XLOOKUP(G2755,'[1]T&amp;C emissions for 2050 analysis'!$B$3:$B$23,'[1]T&amp;C emissions for 2050 analysis'!$C$3:$C$23)</f>
        <v>0.18333333333333335</v>
      </c>
      <c r="I2755" s="27">
        <f t="shared" si="126"/>
        <v>2.079999075E-2</v>
      </c>
      <c r="J2755" s="129">
        <f t="shared" si="127"/>
        <v>0.48198333333333337</v>
      </c>
    </row>
    <row r="2756" spans="1:10" hidden="1" x14ac:dyDescent="0.35">
      <c r="A2756" s="126" t="s">
        <v>429</v>
      </c>
      <c r="B2756" t="str">
        <f>_xlfn.XLOOKUP(A2756,'[1]2050Pop'!$A$7:$A$143,'[1]2050Pop'!$D$7:$D$143)</f>
        <v>APAC</v>
      </c>
      <c r="C2756" s="127">
        <f>1000*_xlfn.XLOOKUP(A2756,'[1]2050Pop'!$A$7:$A$143,'[1]2050Pop'!$C$7:$C$143)</f>
        <v>40725</v>
      </c>
      <c r="D2756" s="126" t="s">
        <v>518</v>
      </c>
      <c r="E2756" s="128">
        <v>131.488</v>
      </c>
      <c r="F2756" s="129">
        <f t="shared" si="128"/>
        <v>5.3548488000000001</v>
      </c>
      <c r="G2756" t="str">
        <f>_xlfn.XLOOKUP(D2756,'[1]2050 BAU Mapping to T &amp; C'!$A$3:$A$52,'[1]2050 BAU Mapping to T &amp; C'!$B$3:$B$52)</f>
        <v xml:space="preserve">Oil crops </v>
      </c>
      <c r="H2756" s="129">
        <f>_xlfn.XLOOKUP(G2756,'[1]T&amp;C emissions for 2050 analysis'!$B$3:$B$23,'[1]T&amp;C emissions for 2050 analysis'!$C$3:$C$23)</f>
        <v>0.18333333333333335</v>
      </c>
      <c r="I2756" s="27">
        <f t="shared" ref="I2756:I2819" si="129">F2756*H2756</f>
        <v>0.98172228000000006</v>
      </c>
      <c r="J2756" s="129">
        <f t="shared" ref="J2756:J2819" si="130">E2756*H2756</f>
        <v>24.106133333333336</v>
      </c>
    </row>
    <row r="2757" spans="1:10" hidden="1" x14ac:dyDescent="0.35">
      <c r="A2757" s="126" t="s">
        <v>430</v>
      </c>
      <c r="B2757" t="str">
        <f>_xlfn.XLOOKUP(A2757,'[1]2050Pop'!$A$7:$A$143,'[1]2050Pop'!$D$7:$D$143)</f>
        <v>SSA</v>
      </c>
      <c r="C2757" s="127">
        <f>1000*_xlfn.XLOOKUP(A2757,'[1]2050Pop'!$A$7:$A$143,'[1]2050Pop'!$C$7:$C$143)</f>
        <v>45404</v>
      </c>
      <c r="D2757" s="126" t="s">
        <v>518</v>
      </c>
      <c r="E2757" s="128">
        <v>12.706</v>
      </c>
      <c r="F2757" s="129">
        <f t="shared" ref="F2757:F2820" si="131">C2757*E2757/1000000</f>
        <v>0.57690322399999994</v>
      </c>
      <c r="G2757" t="str">
        <f>_xlfn.XLOOKUP(D2757,'[1]2050 BAU Mapping to T &amp; C'!$A$3:$A$52,'[1]2050 BAU Mapping to T &amp; C'!$B$3:$B$52)</f>
        <v xml:space="preserve">Oil crops </v>
      </c>
      <c r="H2757" s="129">
        <f>_xlfn.XLOOKUP(G2757,'[1]T&amp;C emissions for 2050 analysis'!$B$3:$B$23,'[1]T&amp;C emissions for 2050 analysis'!$C$3:$C$23)</f>
        <v>0.18333333333333335</v>
      </c>
      <c r="I2757" s="27">
        <f t="shared" si="129"/>
        <v>0.10576559106666666</v>
      </c>
      <c r="J2757" s="129">
        <f t="shared" si="130"/>
        <v>2.3294333333333332</v>
      </c>
    </row>
    <row r="2758" spans="1:10" hidden="1" x14ac:dyDescent="0.35">
      <c r="A2758" s="126" t="s">
        <v>431</v>
      </c>
      <c r="B2758" t="str">
        <f>_xlfn.XLOOKUP(A2758,'[1]2050Pop'!$A$7:$A$143,'[1]2050Pop'!$D$7:$D$143)</f>
        <v>SSA</v>
      </c>
      <c r="C2758" s="127">
        <f>1000*_xlfn.XLOOKUP(A2758,'[1]2050Pop'!$A$7:$A$143,'[1]2050Pop'!$C$7:$C$143)</f>
        <v>8048.9999999999991</v>
      </c>
      <c r="D2758" s="126" t="s">
        <v>518</v>
      </c>
      <c r="E2758" s="130">
        <v>121.29</v>
      </c>
      <c r="F2758" s="129">
        <f t="shared" si="131"/>
        <v>0.97626320999999994</v>
      </c>
      <c r="G2758" t="str">
        <f>_xlfn.XLOOKUP(D2758,'[1]2050 BAU Mapping to T &amp; C'!$A$3:$A$52,'[1]2050 BAU Mapping to T &amp; C'!$B$3:$B$52)</f>
        <v xml:space="preserve">Oil crops </v>
      </c>
      <c r="H2758" s="129">
        <f>_xlfn.XLOOKUP(G2758,'[1]T&amp;C emissions for 2050 analysis'!$B$3:$B$23,'[1]T&amp;C emissions for 2050 analysis'!$C$3:$C$23)</f>
        <v>0.18333333333333335</v>
      </c>
      <c r="I2758" s="27">
        <f t="shared" si="129"/>
        <v>0.17898158850000001</v>
      </c>
      <c r="J2758" s="129">
        <f t="shared" si="130"/>
        <v>22.236500000000003</v>
      </c>
    </row>
    <row r="2759" spans="1:10" hidden="1" x14ac:dyDescent="0.35">
      <c r="A2759" s="126" t="s">
        <v>432</v>
      </c>
      <c r="B2759" t="str">
        <f>_xlfn.XLOOKUP(A2759,'[1]2050Pop'!$A$7:$A$143,'[1]2050Pop'!$D$7:$D$143)</f>
        <v>SSA</v>
      </c>
      <c r="C2759" s="127">
        <f>1000*_xlfn.XLOOKUP(A2759,'[1]2050Pop'!$A$7:$A$143,'[1]2050Pop'!$C$7:$C$143)</f>
        <v>1249</v>
      </c>
      <c r="D2759" s="126" t="s">
        <v>518</v>
      </c>
      <c r="E2759" s="128">
        <v>6.1479999999999997</v>
      </c>
      <c r="F2759" s="129">
        <f t="shared" si="131"/>
        <v>7.6788519999999999E-3</v>
      </c>
      <c r="G2759" t="str">
        <f>_xlfn.XLOOKUP(D2759,'[1]2050 BAU Mapping to T &amp; C'!$A$3:$A$52,'[1]2050 BAU Mapping to T &amp; C'!$B$3:$B$52)</f>
        <v xml:space="preserve">Oil crops </v>
      </c>
      <c r="H2759" s="129">
        <f>_xlfn.XLOOKUP(G2759,'[1]T&amp;C emissions for 2050 analysis'!$B$3:$B$23,'[1]T&amp;C emissions for 2050 analysis'!$C$3:$C$23)</f>
        <v>0.18333333333333335</v>
      </c>
      <c r="I2759" s="27">
        <f t="shared" si="129"/>
        <v>1.4077895333333334E-3</v>
      </c>
      <c r="J2759" s="129">
        <f t="shared" si="130"/>
        <v>1.1271333333333333</v>
      </c>
    </row>
    <row r="2760" spans="1:10" hidden="1" x14ac:dyDescent="0.35">
      <c r="A2760" s="126" t="s">
        <v>433</v>
      </c>
      <c r="B2760" t="str">
        <f>_xlfn.XLOOKUP(A2760,'[1]2050Pop'!$A$7:$A$143,'[1]2050Pop'!$D$7:$D$143)</f>
        <v>LatAm &amp; RSA</v>
      </c>
      <c r="C2760" s="127">
        <f>1000*_xlfn.XLOOKUP(A2760,'[1]2050Pop'!$A$7:$A$143,'[1]2050Pop'!$C$7:$C$143)</f>
        <v>163754</v>
      </c>
      <c r="D2760" s="126" t="s">
        <v>518</v>
      </c>
      <c r="E2760" s="128">
        <v>53.091000000000001</v>
      </c>
      <c r="F2760" s="129">
        <f t="shared" si="131"/>
        <v>8.6938636139999996</v>
      </c>
      <c r="G2760" t="str">
        <f>_xlfn.XLOOKUP(D2760,'[1]2050 BAU Mapping to T &amp; C'!$A$3:$A$52,'[1]2050 BAU Mapping to T &amp; C'!$B$3:$B$52)</f>
        <v xml:space="preserve">Oil crops </v>
      </c>
      <c r="H2760" s="129">
        <f>_xlfn.XLOOKUP(G2760,'[1]T&amp;C emissions for 2050 analysis'!$B$3:$B$23,'[1]T&amp;C emissions for 2050 analysis'!$C$3:$C$23)</f>
        <v>0.18333333333333335</v>
      </c>
      <c r="I2760" s="27">
        <f t="shared" si="129"/>
        <v>1.5938749959</v>
      </c>
      <c r="J2760" s="129">
        <f t="shared" si="130"/>
        <v>9.7333500000000015</v>
      </c>
    </row>
    <row r="2761" spans="1:10" hidden="1" x14ac:dyDescent="0.35">
      <c r="A2761" s="126" t="s">
        <v>434</v>
      </c>
      <c r="B2761" t="str">
        <f>_xlfn.XLOOKUP(A2761,'[1]2050Pop'!$A$7:$A$143,'[1]2050Pop'!$D$7:$D$143)</f>
        <v>APAC</v>
      </c>
      <c r="C2761" s="127">
        <f>1000*_xlfn.XLOOKUP(A2761,'[1]2050Pop'!$A$7:$A$143,'[1]2050Pop'!$C$7:$C$143)</f>
        <v>4027.9999999999995</v>
      </c>
      <c r="D2761" s="126" t="s">
        <v>518</v>
      </c>
      <c r="E2761" s="128">
        <v>9.4849999999999994</v>
      </c>
      <c r="F2761" s="129">
        <f t="shared" si="131"/>
        <v>3.8205579999999996E-2</v>
      </c>
      <c r="G2761" t="str">
        <f>_xlfn.XLOOKUP(D2761,'[1]2050 BAU Mapping to T &amp; C'!$A$3:$A$52,'[1]2050 BAU Mapping to T &amp; C'!$B$3:$B$52)</f>
        <v xml:space="preserve">Oil crops </v>
      </c>
      <c r="H2761" s="129">
        <f>_xlfn.XLOOKUP(G2761,'[1]T&amp;C emissions for 2050 analysis'!$B$3:$B$23,'[1]T&amp;C emissions for 2050 analysis'!$C$3:$C$23)</f>
        <v>0.18333333333333335</v>
      </c>
      <c r="I2761" s="27">
        <f t="shared" si="129"/>
        <v>7.0043563333333329E-3</v>
      </c>
      <c r="J2761" s="129">
        <f t="shared" si="130"/>
        <v>1.7389166666666667</v>
      </c>
    </row>
    <row r="2762" spans="1:10" hidden="1" x14ac:dyDescent="0.35">
      <c r="A2762" s="126" t="s">
        <v>436</v>
      </c>
      <c r="B2762" t="str">
        <f>_xlfn.XLOOKUP(A2762,'[1]2050Pop'!$A$7:$A$143,'[1]2050Pop'!$D$7:$D$143)</f>
        <v>SSA</v>
      </c>
      <c r="C2762" s="127">
        <f>1000*_xlfn.XLOOKUP(A2762,'[1]2050Pop'!$A$7:$A$143,'[1]2050Pop'!$C$7:$C$143)</f>
        <v>65544</v>
      </c>
      <c r="D2762" s="126" t="s">
        <v>518</v>
      </c>
      <c r="E2762" s="128">
        <v>41.557000000000002</v>
      </c>
      <c r="F2762" s="129">
        <f t="shared" si="131"/>
        <v>2.7238120079999999</v>
      </c>
      <c r="G2762" t="str">
        <f>_xlfn.XLOOKUP(D2762,'[1]2050 BAU Mapping to T &amp; C'!$A$3:$A$52,'[1]2050 BAU Mapping to T &amp; C'!$B$3:$B$52)</f>
        <v xml:space="preserve">Oil crops </v>
      </c>
      <c r="H2762" s="129">
        <f>_xlfn.XLOOKUP(G2762,'[1]T&amp;C emissions for 2050 analysis'!$B$3:$B$23,'[1]T&amp;C emissions for 2050 analysis'!$C$3:$C$23)</f>
        <v>0.18333333333333335</v>
      </c>
      <c r="I2762" s="27">
        <f t="shared" si="129"/>
        <v>0.49936553480000001</v>
      </c>
      <c r="J2762" s="129">
        <f t="shared" si="130"/>
        <v>7.6187833333333339</v>
      </c>
    </row>
    <row r="2763" spans="1:10" hidden="1" x14ac:dyDescent="0.35">
      <c r="A2763" s="126" t="s">
        <v>490</v>
      </c>
      <c r="B2763" t="str">
        <f>_xlfn.XLOOKUP(A2763,'[1]2050Pop'!$A$7:$A$143,'[1]2050Pop'!$D$7:$D$143)</f>
        <v>APAC</v>
      </c>
      <c r="C2763" s="127">
        <f>1000*_xlfn.XLOOKUP(A2763,'[1]2050Pop'!$A$7:$A$143,'[1]2050Pop'!$C$7:$C$143)</f>
        <v>63575</v>
      </c>
      <c r="D2763" s="126" t="s">
        <v>518</v>
      </c>
      <c r="E2763" s="128">
        <v>3.7069999999999999</v>
      </c>
      <c r="F2763" s="129">
        <f t="shared" si="131"/>
        <v>0.23567252499999999</v>
      </c>
      <c r="G2763" t="str">
        <f>_xlfn.XLOOKUP(D2763,'[1]2050 BAU Mapping to T &amp; C'!$A$3:$A$52,'[1]2050 BAU Mapping to T &amp; C'!$B$3:$B$52)</f>
        <v xml:space="preserve">Oil crops </v>
      </c>
      <c r="H2763" s="129">
        <f>_xlfn.XLOOKUP(G2763,'[1]T&amp;C emissions for 2050 analysis'!$B$3:$B$23,'[1]T&amp;C emissions for 2050 analysis'!$C$3:$C$23)</f>
        <v>0.18333333333333335</v>
      </c>
      <c r="I2763" s="27">
        <f t="shared" si="129"/>
        <v>4.3206629583333336E-2</v>
      </c>
      <c r="J2763" s="129">
        <f t="shared" si="130"/>
        <v>0.67961666666666665</v>
      </c>
    </row>
    <row r="2764" spans="1:10" hidden="1" x14ac:dyDescent="0.35">
      <c r="A2764" s="126" t="s">
        <v>438</v>
      </c>
      <c r="B2764" t="str">
        <f>_xlfn.XLOOKUP(A2764,'[1]2050Pop'!$A$7:$A$143,'[1]2050Pop'!$D$7:$D$143)</f>
        <v>India/South Asia</v>
      </c>
      <c r="C2764" s="127">
        <f>1000*_xlfn.XLOOKUP(A2764,'[1]2050Pop'!$A$7:$A$143,'[1]2050Pop'!$C$7:$C$143)</f>
        <v>36159</v>
      </c>
      <c r="D2764" s="126" t="s">
        <v>518</v>
      </c>
      <c r="E2764" s="128">
        <v>10.208</v>
      </c>
      <c r="F2764" s="129">
        <f t="shared" si="131"/>
        <v>0.36911107199999998</v>
      </c>
      <c r="G2764" t="str">
        <f>_xlfn.XLOOKUP(D2764,'[1]2050 BAU Mapping to T &amp; C'!$A$3:$A$52,'[1]2050 BAU Mapping to T &amp; C'!$B$3:$B$52)</f>
        <v xml:space="preserve">Oil crops </v>
      </c>
      <c r="H2764" s="129">
        <f>_xlfn.XLOOKUP(G2764,'[1]T&amp;C emissions for 2050 analysis'!$B$3:$B$23,'[1]T&amp;C emissions for 2050 analysis'!$C$3:$C$23)</f>
        <v>0.18333333333333335</v>
      </c>
      <c r="I2764" s="27">
        <f t="shared" si="129"/>
        <v>6.76703632E-2</v>
      </c>
      <c r="J2764" s="129">
        <f t="shared" si="130"/>
        <v>1.8714666666666668</v>
      </c>
    </row>
    <row r="2765" spans="1:10" hidden="1" x14ac:dyDescent="0.35">
      <c r="A2765" s="126" t="s">
        <v>439</v>
      </c>
      <c r="B2765" t="str">
        <f>_xlfn.XLOOKUP(A2765,'[1]2050Pop'!$A$7:$A$143,'[1]2050Pop'!$D$7:$D$143)</f>
        <v>Euro/AU/NZ</v>
      </c>
      <c r="C2765" s="127">
        <f>1000*_xlfn.XLOOKUP(A2765,'[1]2050Pop'!$A$7:$A$143,'[1]2050Pop'!$C$7:$C$143)</f>
        <v>17602</v>
      </c>
      <c r="D2765" s="126" t="s">
        <v>518</v>
      </c>
      <c r="E2765" s="128">
        <v>55.884999999999998</v>
      </c>
      <c r="F2765" s="129">
        <f t="shared" si="131"/>
        <v>0.98368777000000007</v>
      </c>
      <c r="G2765" t="str">
        <f>_xlfn.XLOOKUP(D2765,'[1]2050 BAU Mapping to T &amp; C'!$A$3:$A$52,'[1]2050 BAU Mapping to T &amp; C'!$B$3:$B$52)</f>
        <v xml:space="preserve">Oil crops </v>
      </c>
      <c r="H2765" s="129">
        <f>_xlfn.XLOOKUP(G2765,'[1]T&amp;C emissions for 2050 analysis'!$B$3:$B$23,'[1]T&amp;C emissions for 2050 analysis'!$C$3:$C$23)</f>
        <v>0.18333333333333335</v>
      </c>
      <c r="I2765" s="27">
        <f t="shared" si="129"/>
        <v>0.18034275783333337</v>
      </c>
      <c r="J2765" s="129">
        <f t="shared" si="130"/>
        <v>10.245583333333334</v>
      </c>
    </row>
    <row r="2766" spans="1:10" hidden="1" x14ac:dyDescent="0.35">
      <c r="A2766" s="126" t="s">
        <v>440</v>
      </c>
      <c r="B2766" t="str">
        <f>_xlfn.XLOOKUP(A2766,'[1]2050Pop'!$A$7:$A$143,'[1]2050Pop'!$D$7:$D$143)</f>
        <v>Euro/AU/NZ</v>
      </c>
      <c r="C2766" s="127">
        <f>1000*_xlfn.XLOOKUP(A2766,'[1]2050Pop'!$A$7:$A$143,'[1]2050Pop'!$C$7:$C$143)</f>
        <v>5607</v>
      </c>
      <c r="D2766" s="126" t="s">
        <v>518</v>
      </c>
      <c r="E2766" s="128">
        <v>6.3330000000000002</v>
      </c>
      <c r="F2766" s="129">
        <f t="shared" si="131"/>
        <v>3.5509130999999999E-2</v>
      </c>
      <c r="G2766" t="str">
        <f>_xlfn.XLOOKUP(D2766,'[1]2050 BAU Mapping to T &amp; C'!$A$3:$A$52,'[1]2050 BAU Mapping to T &amp; C'!$B$3:$B$52)</f>
        <v xml:space="preserve">Oil crops </v>
      </c>
      <c r="H2766" s="129">
        <f>_xlfn.XLOOKUP(G2766,'[1]T&amp;C emissions for 2050 analysis'!$B$3:$B$23,'[1]T&amp;C emissions for 2050 analysis'!$C$3:$C$23)</f>
        <v>0.18333333333333335</v>
      </c>
      <c r="I2766" s="27">
        <f t="shared" si="129"/>
        <v>6.5100073500000003E-3</v>
      </c>
      <c r="J2766" s="129">
        <f t="shared" si="130"/>
        <v>1.1610500000000001</v>
      </c>
    </row>
    <row r="2767" spans="1:10" hidden="1" x14ac:dyDescent="0.35">
      <c r="A2767" s="126" t="s">
        <v>441</v>
      </c>
      <c r="B2767" t="str">
        <f>_xlfn.XLOOKUP(A2767,'[1]2050Pop'!$A$7:$A$143,'[1]2050Pop'!$D$7:$D$143)</f>
        <v>LatAm &amp; RSA</v>
      </c>
      <c r="C2767" s="127">
        <f>1000*_xlfn.XLOOKUP(A2767,'[1]2050Pop'!$A$7:$A$143,'[1]2050Pop'!$C$7:$C$143)</f>
        <v>7863</v>
      </c>
      <c r="D2767" s="126" t="s">
        <v>518</v>
      </c>
      <c r="E2767" s="128">
        <v>59.695</v>
      </c>
      <c r="F2767" s="129">
        <f t="shared" si="131"/>
        <v>0.469381785</v>
      </c>
      <c r="G2767" t="str">
        <f>_xlfn.XLOOKUP(D2767,'[1]2050 BAU Mapping to T &amp; C'!$A$3:$A$52,'[1]2050 BAU Mapping to T &amp; C'!$B$3:$B$52)</f>
        <v xml:space="preserve">Oil crops </v>
      </c>
      <c r="H2767" s="129">
        <f>_xlfn.XLOOKUP(G2767,'[1]T&amp;C emissions for 2050 analysis'!$B$3:$B$23,'[1]T&amp;C emissions for 2050 analysis'!$C$3:$C$23)</f>
        <v>0.18333333333333335</v>
      </c>
      <c r="I2767" s="27">
        <f t="shared" si="129"/>
        <v>8.6053327250000006E-2</v>
      </c>
      <c r="J2767" s="129">
        <f t="shared" si="130"/>
        <v>10.944083333333333</v>
      </c>
    </row>
    <row r="2768" spans="1:10" hidden="1" x14ac:dyDescent="0.35">
      <c r="A2768" s="126" t="s">
        <v>482</v>
      </c>
      <c r="B2768" t="str">
        <f>_xlfn.XLOOKUP(A2768,'[1]2050Pop'!$A$7:$A$143,'[1]2050Pop'!$D$7:$D$143)</f>
        <v>SSA</v>
      </c>
      <c r="C2768" s="127">
        <f>1000*_xlfn.XLOOKUP(A2768,'[1]2050Pop'!$A$7:$A$143,'[1]2050Pop'!$C$7:$C$143)</f>
        <v>72238</v>
      </c>
      <c r="D2768" s="126" t="s">
        <v>518</v>
      </c>
      <c r="E2768" s="128">
        <v>45.344000000000001</v>
      </c>
      <c r="F2768" s="129">
        <f t="shared" si="131"/>
        <v>3.2755598720000001</v>
      </c>
      <c r="G2768" t="str">
        <f>_xlfn.XLOOKUP(D2768,'[1]2050 BAU Mapping to T &amp; C'!$A$3:$A$52,'[1]2050 BAU Mapping to T &amp; C'!$B$3:$B$52)</f>
        <v xml:space="preserve">Oil crops </v>
      </c>
      <c r="H2768" s="129">
        <f>_xlfn.XLOOKUP(G2768,'[1]T&amp;C emissions for 2050 analysis'!$B$3:$B$23,'[1]T&amp;C emissions for 2050 analysis'!$C$3:$C$23)</f>
        <v>0.18333333333333335</v>
      </c>
      <c r="I2768" s="27">
        <f t="shared" si="129"/>
        <v>0.60051930986666668</v>
      </c>
      <c r="J2768" s="129">
        <f t="shared" si="130"/>
        <v>8.3130666666666677</v>
      </c>
    </row>
    <row r="2769" spans="1:10" hidden="1" x14ac:dyDescent="0.35">
      <c r="A2769" s="126" t="s">
        <v>491</v>
      </c>
      <c r="B2769" t="str">
        <f>_xlfn.XLOOKUP(A2769,'[1]2050Pop'!$A$7:$A$143,'[1]2050Pop'!$D$7:$D$143)</f>
        <v>SSA</v>
      </c>
      <c r="C2769" s="127">
        <f>1000*_xlfn.XLOOKUP(A2769,'[1]2050Pop'!$A$7:$A$143,'[1]2050Pop'!$C$7:$C$143)</f>
        <v>398508</v>
      </c>
      <c r="D2769" s="126" t="s">
        <v>518</v>
      </c>
      <c r="E2769" s="128">
        <v>100.25700000000001</v>
      </c>
      <c r="F2769" s="129">
        <f t="shared" si="131"/>
        <v>39.953216556000001</v>
      </c>
      <c r="G2769" t="str">
        <f>_xlfn.XLOOKUP(D2769,'[1]2050 BAU Mapping to T &amp; C'!$A$3:$A$52,'[1]2050 BAU Mapping to T &amp; C'!$B$3:$B$52)</f>
        <v xml:space="preserve">Oil crops </v>
      </c>
      <c r="H2769" s="129">
        <f>_xlfn.XLOOKUP(G2769,'[1]T&amp;C emissions for 2050 analysis'!$B$3:$B$23,'[1]T&amp;C emissions for 2050 analysis'!$C$3:$C$23)</f>
        <v>0.18333333333333335</v>
      </c>
      <c r="I2769" s="27">
        <f t="shared" si="129"/>
        <v>7.324756368600001</v>
      </c>
      <c r="J2769" s="129">
        <f t="shared" si="130"/>
        <v>18.380450000000003</v>
      </c>
    </row>
    <row r="2770" spans="1:10" hidden="1" x14ac:dyDescent="0.35">
      <c r="A2770" s="126" t="s">
        <v>442</v>
      </c>
      <c r="B2770" t="str">
        <f>_xlfn.XLOOKUP(A2770,'[1]2050Pop'!$A$7:$A$143,'[1]2050Pop'!$D$7:$D$143)</f>
        <v>Euro/AU/NZ</v>
      </c>
      <c r="C2770" s="127">
        <f>1000*_xlfn.XLOOKUP(A2770,'[1]2050Pop'!$A$7:$A$143,'[1]2050Pop'!$C$7:$C$143)</f>
        <v>6658</v>
      </c>
      <c r="D2770" s="126" t="s">
        <v>518</v>
      </c>
      <c r="E2770" s="128">
        <v>24.841999999999999</v>
      </c>
      <c r="F2770" s="129">
        <f t="shared" si="131"/>
        <v>0.165398036</v>
      </c>
      <c r="G2770" t="str">
        <f>_xlfn.XLOOKUP(D2770,'[1]2050 BAU Mapping to T &amp; C'!$A$3:$A$52,'[1]2050 BAU Mapping to T &amp; C'!$B$3:$B$52)</f>
        <v xml:space="preserve">Oil crops </v>
      </c>
      <c r="H2770" s="129">
        <f>_xlfn.XLOOKUP(G2770,'[1]T&amp;C emissions for 2050 analysis'!$B$3:$B$23,'[1]T&amp;C emissions for 2050 analysis'!$C$3:$C$23)</f>
        <v>0.18333333333333335</v>
      </c>
      <c r="I2770" s="27">
        <f t="shared" si="129"/>
        <v>3.0322973266666668E-2</v>
      </c>
      <c r="J2770" s="129">
        <f t="shared" si="130"/>
        <v>4.5543666666666667</v>
      </c>
    </row>
    <row r="2771" spans="1:10" hidden="1" x14ac:dyDescent="0.35">
      <c r="A2771" s="126" t="s">
        <v>443</v>
      </c>
      <c r="B2771" t="str">
        <f>_xlfn.XLOOKUP(A2771,'[1]2050Pop'!$A$7:$A$143,'[1]2050Pop'!$D$7:$D$143)</f>
        <v>India/South Asia</v>
      </c>
      <c r="C2771" s="127">
        <f>1000*_xlfn.XLOOKUP(A2771,'[1]2050Pop'!$A$7:$A$143,'[1]2050Pop'!$C$7:$C$143)</f>
        <v>309640</v>
      </c>
      <c r="D2771" s="126" t="s">
        <v>518</v>
      </c>
      <c r="E2771" s="128">
        <v>120.298</v>
      </c>
      <c r="F2771" s="129">
        <f t="shared" si="131"/>
        <v>37.249072720000001</v>
      </c>
      <c r="G2771" t="str">
        <f>_xlfn.XLOOKUP(D2771,'[1]2050 BAU Mapping to T &amp; C'!$A$3:$A$52,'[1]2050 BAU Mapping to T &amp; C'!$B$3:$B$52)</f>
        <v xml:space="preserve">Oil crops </v>
      </c>
      <c r="H2771" s="129">
        <f>_xlfn.XLOOKUP(G2771,'[1]T&amp;C emissions for 2050 analysis'!$B$3:$B$23,'[1]T&amp;C emissions for 2050 analysis'!$C$3:$C$23)</f>
        <v>0.18333333333333335</v>
      </c>
      <c r="I2771" s="27">
        <f t="shared" si="129"/>
        <v>6.8289966653333343</v>
      </c>
      <c r="J2771" s="129">
        <f t="shared" si="130"/>
        <v>22.054633333333335</v>
      </c>
    </row>
    <row r="2772" spans="1:10" hidden="1" x14ac:dyDescent="0.35">
      <c r="A2772" s="126" t="s">
        <v>444</v>
      </c>
      <c r="B2772" t="str">
        <f>_xlfn.XLOOKUP(A2772,'[1]2050Pop'!$A$7:$A$143,'[1]2050Pop'!$D$7:$D$143)</f>
        <v>LatAm &amp; RSA</v>
      </c>
      <c r="C2772" s="127">
        <f>1000*_xlfn.XLOOKUP(A2772,'[1]2050Pop'!$A$7:$A$143,'[1]2050Pop'!$C$7:$C$143)</f>
        <v>5599</v>
      </c>
      <c r="D2772" s="126" t="s">
        <v>518</v>
      </c>
      <c r="E2772" s="128">
        <v>3.621</v>
      </c>
      <c r="F2772" s="129">
        <f t="shared" si="131"/>
        <v>2.0273979000000001E-2</v>
      </c>
      <c r="G2772" t="str">
        <f>_xlfn.XLOOKUP(D2772,'[1]2050 BAU Mapping to T &amp; C'!$A$3:$A$52,'[1]2050 BAU Mapping to T &amp; C'!$B$3:$B$52)</f>
        <v xml:space="preserve">Oil crops </v>
      </c>
      <c r="H2772" s="129">
        <f>_xlfn.XLOOKUP(G2772,'[1]T&amp;C emissions for 2050 analysis'!$B$3:$B$23,'[1]T&amp;C emissions for 2050 analysis'!$C$3:$C$23)</f>
        <v>0.18333333333333335</v>
      </c>
      <c r="I2772" s="27">
        <f t="shared" si="129"/>
        <v>3.7168961500000006E-3</v>
      </c>
      <c r="J2772" s="129">
        <f t="shared" si="130"/>
        <v>0.66385000000000005</v>
      </c>
    </row>
    <row r="2773" spans="1:10" hidden="1" x14ac:dyDescent="0.35">
      <c r="A2773" s="126" t="s">
        <v>445</v>
      </c>
      <c r="B2773" t="str">
        <f>_xlfn.XLOOKUP(A2773,'[1]2050Pop'!$A$7:$A$143,'[1]2050Pop'!$D$7:$D$143)</f>
        <v>LatAm &amp; RSA</v>
      </c>
      <c r="C2773" s="127">
        <f>1000*_xlfn.XLOOKUP(A2773,'[1]2050Pop'!$A$7:$A$143,'[1]2050Pop'!$C$7:$C$143)</f>
        <v>8895</v>
      </c>
      <c r="D2773" s="126" t="s">
        <v>518</v>
      </c>
      <c r="E2773" s="128">
        <v>9.6950000000000003</v>
      </c>
      <c r="F2773" s="129">
        <f t="shared" si="131"/>
        <v>8.6237025000000009E-2</v>
      </c>
      <c r="G2773" t="str">
        <f>_xlfn.XLOOKUP(D2773,'[1]2050 BAU Mapping to T &amp; C'!$A$3:$A$52,'[1]2050 BAU Mapping to T &amp; C'!$B$3:$B$52)</f>
        <v xml:space="preserve">Oil crops </v>
      </c>
      <c r="H2773" s="129">
        <f>_xlfn.XLOOKUP(G2773,'[1]T&amp;C emissions for 2050 analysis'!$B$3:$B$23,'[1]T&amp;C emissions for 2050 analysis'!$C$3:$C$23)</f>
        <v>0.18333333333333335</v>
      </c>
      <c r="I2773" s="27">
        <f t="shared" si="129"/>
        <v>1.5810121250000003E-2</v>
      </c>
      <c r="J2773" s="129">
        <f t="shared" si="130"/>
        <v>1.7774166666666669</v>
      </c>
    </row>
    <row r="2774" spans="1:10" hidden="1" x14ac:dyDescent="0.35">
      <c r="A2774" s="126" t="s">
        <v>446</v>
      </c>
      <c r="B2774" t="str">
        <f>_xlfn.XLOOKUP(A2774,'[1]2050Pop'!$A$7:$A$143,'[1]2050Pop'!$D$7:$D$143)</f>
        <v>LatAm &amp; RSA</v>
      </c>
      <c r="C2774" s="127">
        <f>1000*_xlfn.XLOOKUP(A2774,'[1]2050Pop'!$A$7:$A$143,'[1]2050Pop'!$C$7:$C$143)</f>
        <v>41899</v>
      </c>
      <c r="D2774" s="126" t="s">
        <v>518</v>
      </c>
      <c r="E2774" s="128">
        <v>47.963000000000001</v>
      </c>
      <c r="F2774" s="129">
        <f t="shared" si="131"/>
        <v>2.0096017370000001</v>
      </c>
      <c r="G2774" t="str">
        <f>_xlfn.XLOOKUP(D2774,'[1]2050 BAU Mapping to T &amp; C'!$A$3:$A$52,'[1]2050 BAU Mapping to T &amp; C'!$B$3:$B$52)</f>
        <v xml:space="preserve">Oil crops </v>
      </c>
      <c r="H2774" s="129">
        <f>_xlfn.XLOOKUP(G2774,'[1]T&amp;C emissions for 2050 analysis'!$B$3:$B$23,'[1]T&amp;C emissions for 2050 analysis'!$C$3:$C$23)</f>
        <v>0.18333333333333335</v>
      </c>
      <c r="I2774" s="27">
        <f t="shared" si="129"/>
        <v>0.36842698511666672</v>
      </c>
      <c r="J2774" s="129">
        <f t="shared" si="130"/>
        <v>8.7932166666666678</v>
      </c>
    </row>
    <row r="2775" spans="1:10" hidden="1" x14ac:dyDescent="0.35">
      <c r="A2775" s="126" t="s">
        <v>447</v>
      </c>
      <c r="B2775" t="str">
        <f>_xlfn.XLOOKUP(A2775,'[1]2050Pop'!$A$7:$A$143,'[1]2050Pop'!$D$7:$D$143)</f>
        <v>APAC</v>
      </c>
      <c r="C2775" s="127">
        <f>1000*_xlfn.XLOOKUP(A2775,'[1]2050Pop'!$A$7:$A$143,'[1]2050Pop'!$C$7:$C$143)</f>
        <v>148260</v>
      </c>
      <c r="D2775" s="126" t="s">
        <v>518</v>
      </c>
      <c r="E2775" s="128">
        <v>22.291</v>
      </c>
      <c r="F2775" s="129">
        <f t="shared" si="131"/>
        <v>3.3048636600000001</v>
      </c>
      <c r="G2775" t="str">
        <f>_xlfn.XLOOKUP(D2775,'[1]2050 BAU Mapping to T &amp; C'!$A$3:$A$52,'[1]2050 BAU Mapping to T &amp; C'!$B$3:$B$52)</f>
        <v xml:space="preserve">Oil crops </v>
      </c>
      <c r="H2775" s="129">
        <f>_xlfn.XLOOKUP(G2775,'[1]T&amp;C emissions for 2050 analysis'!$B$3:$B$23,'[1]T&amp;C emissions for 2050 analysis'!$C$3:$C$23)</f>
        <v>0.18333333333333335</v>
      </c>
      <c r="I2775" s="27">
        <f t="shared" si="129"/>
        <v>0.60589167100000008</v>
      </c>
      <c r="J2775" s="129">
        <f t="shared" si="130"/>
        <v>4.0866833333333341</v>
      </c>
    </row>
    <row r="2776" spans="1:10" hidden="1" x14ac:dyDescent="0.35">
      <c r="A2776" s="126" t="s">
        <v>448</v>
      </c>
      <c r="B2776" t="str">
        <f>_xlfn.XLOOKUP(A2776,'[1]2050Pop'!$A$7:$A$143,'[1]2050Pop'!$D$7:$D$143)</f>
        <v>Euro/AU/NZ</v>
      </c>
      <c r="C2776" s="127">
        <f>1000*_xlfn.XLOOKUP(A2776,'[1]2050Pop'!$A$7:$A$143,'[1]2050Pop'!$C$7:$C$143)</f>
        <v>33136</v>
      </c>
      <c r="D2776" s="126" t="s">
        <v>518</v>
      </c>
      <c r="E2776" s="128">
        <v>60.787999999999997</v>
      </c>
      <c r="F2776" s="129">
        <f t="shared" si="131"/>
        <v>2.0142711679999996</v>
      </c>
      <c r="G2776" t="str">
        <f>_xlfn.XLOOKUP(D2776,'[1]2050 BAU Mapping to T &amp; C'!$A$3:$A$52,'[1]2050 BAU Mapping to T &amp; C'!$B$3:$B$52)</f>
        <v xml:space="preserve">Oil crops </v>
      </c>
      <c r="H2776" s="129">
        <f>_xlfn.XLOOKUP(G2776,'[1]T&amp;C emissions for 2050 analysis'!$B$3:$B$23,'[1]T&amp;C emissions for 2050 analysis'!$C$3:$C$23)</f>
        <v>0.18333333333333335</v>
      </c>
      <c r="I2776" s="27">
        <f t="shared" si="129"/>
        <v>0.36928304746666663</v>
      </c>
      <c r="J2776" s="129">
        <f t="shared" si="130"/>
        <v>11.144466666666666</v>
      </c>
    </row>
    <row r="2777" spans="1:10" hidden="1" x14ac:dyDescent="0.35">
      <c r="A2777" s="126" t="s">
        <v>449</v>
      </c>
      <c r="B2777" t="str">
        <f>_xlfn.XLOOKUP(A2777,'[1]2050Pop'!$A$7:$A$143,'[1]2050Pop'!$D$7:$D$143)</f>
        <v>Euro/AU/NZ</v>
      </c>
      <c r="C2777" s="127">
        <f>1000*_xlfn.XLOOKUP(A2777,'[1]2050Pop'!$A$7:$A$143,'[1]2050Pop'!$C$7:$C$143)</f>
        <v>9216</v>
      </c>
      <c r="D2777" s="126" t="s">
        <v>518</v>
      </c>
      <c r="E2777" s="128">
        <v>23.696999999999999</v>
      </c>
      <c r="F2777" s="129">
        <f t="shared" si="131"/>
        <v>0.21839155199999999</v>
      </c>
      <c r="G2777" t="str">
        <f>_xlfn.XLOOKUP(D2777,'[1]2050 BAU Mapping to T &amp; C'!$A$3:$A$52,'[1]2050 BAU Mapping to T &amp; C'!$B$3:$B$52)</f>
        <v xml:space="preserve">Oil crops </v>
      </c>
      <c r="H2777" s="129">
        <f>_xlfn.XLOOKUP(G2777,'[1]T&amp;C emissions for 2050 analysis'!$B$3:$B$23,'[1]T&amp;C emissions for 2050 analysis'!$C$3:$C$23)</f>
        <v>0.18333333333333335</v>
      </c>
      <c r="I2777" s="27">
        <f t="shared" si="129"/>
        <v>4.0038451199999998E-2</v>
      </c>
      <c r="J2777" s="129">
        <f t="shared" si="130"/>
        <v>4.3444500000000001</v>
      </c>
    </row>
    <row r="2778" spans="1:10" hidden="1" x14ac:dyDescent="0.35">
      <c r="A2778" s="126" t="s">
        <v>450</v>
      </c>
      <c r="B2778" t="str">
        <f>_xlfn.XLOOKUP(A2778,'[1]2050Pop'!$A$7:$A$143,'[1]2050Pop'!$D$7:$D$143)</f>
        <v>APAC</v>
      </c>
      <c r="C2778" s="127">
        <f>1000*_xlfn.XLOOKUP(A2778,'[1]2050Pop'!$A$7:$A$143,'[1]2050Pop'!$C$7:$C$143)</f>
        <v>50593</v>
      </c>
      <c r="D2778" s="126" t="s">
        <v>518</v>
      </c>
      <c r="E2778" s="128">
        <v>44.555</v>
      </c>
      <c r="F2778" s="129">
        <f t="shared" si="131"/>
        <v>2.2541711149999997</v>
      </c>
      <c r="G2778" t="str">
        <f>_xlfn.XLOOKUP(D2778,'[1]2050 BAU Mapping to T &amp; C'!$A$3:$A$52,'[1]2050 BAU Mapping to T &amp; C'!$B$3:$B$52)</f>
        <v xml:space="preserve">Oil crops </v>
      </c>
      <c r="H2778" s="129">
        <f>_xlfn.XLOOKUP(G2778,'[1]T&amp;C emissions for 2050 analysis'!$B$3:$B$23,'[1]T&amp;C emissions for 2050 analysis'!$C$3:$C$23)</f>
        <v>0.18333333333333335</v>
      </c>
      <c r="I2778" s="27">
        <f t="shared" si="129"/>
        <v>0.41326470441666663</v>
      </c>
      <c r="J2778" s="129">
        <f t="shared" si="130"/>
        <v>8.1684166666666673</v>
      </c>
    </row>
    <row r="2779" spans="1:10" hidden="1" x14ac:dyDescent="0.35">
      <c r="A2779" s="126" t="s">
        <v>452</v>
      </c>
      <c r="B2779" t="str">
        <f>_xlfn.XLOOKUP(A2779,'[1]2050Pop'!$A$7:$A$143,'[1]2050Pop'!$D$7:$D$143)</f>
        <v>SSA</v>
      </c>
      <c r="C2779" s="127">
        <f>1000*_xlfn.XLOOKUP(A2779,'[1]2050Pop'!$A$7:$A$143,'[1]2050Pop'!$C$7:$C$143)</f>
        <v>10732</v>
      </c>
      <c r="D2779" s="126" t="s">
        <v>518</v>
      </c>
      <c r="E2779" s="128">
        <v>193.053</v>
      </c>
      <c r="F2779" s="129">
        <f t="shared" si="131"/>
        <v>2.0718447959999997</v>
      </c>
      <c r="G2779" t="str">
        <f>_xlfn.XLOOKUP(D2779,'[1]2050 BAU Mapping to T &amp; C'!$A$3:$A$52,'[1]2050 BAU Mapping to T &amp; C'!$B$3:$B$52)</f>
        <v xml:space="preserve">Oil crops </v>
      </c>
      <c r="H2779" s="129">
        <f>_xlfn.XLOOKUP(G2779,'[1]T&amp;C emissions for 2050 analysis'!$B$3:$B$23,'[1]T&amp;C emissions for 2050 analysis'!$C$3:$C$23)</f>
        <v>0.18333333333333335</v>
      </c>
      <c r="I2779" s="27">
        <f t="shared" si="129"/>
        <v>0.3798382126</v>
      </c>
      <c r="J2779" s="129">
        <f t="shared" si="130"/>
        <v>35.393050000000002</v>
      </c>
    </row>
    <row r="2780" spans="1:10" hidden="1" x14ac:dyDescent="0.35">
      <c r="A2780" s="126" t="s">
        <v>453</v>
      </c>
      <c r="B2780" t="str">
        <f>_xlfn.XLOOKUP(A2780,'[1]2050Pop'!$A$7:$A$143,'[1]2050Pop'!$D$7:$D$143)</f>
        <v>Euro/AU/NZ</v>
      </c>
      <c r="C2780" s="127">
        <f>1000*_xlfn.XLOOKUP(A2780,'[1]2050Pop'!$A$7:$A$143,'[1]2050Pop'!$C$7:$C$143)</f>
        <v>15207</v>
      </c>
      <c r="D2780" s="126" t="s">
        <v>518</v>
      </c>
      <c r="E2780" s="128">
        <v>11.292</v>
      </c>
      <c r="F2780" s="129">
        <f t="shared" si="131"/>
        <v>0.171717444</v>
      </c>
      <c r="G2780" t="str">
        <f>_xlfn.XLOOKUP(D2780,'[1]2050 BAU Mapping to T &amp; C'!$A$3:$A$52,'[1]2050 BAU Mapping to T &amp; C'!$B$3:$B$52)</f>
        <v xml:space="preserve">Oil crops </v>
      </c>
      <c r="H2780" s="129">
        <f>_xlfn.XLOOKUP(G2780,'[1]T&amp;C emissions for 2050 analysis'!$B$3:$B$23,'[1]T&amp;C emissions for 2050 analysis'!$C$3:$C$23)</f>
        <v>0.18333333333333335</v>
      </c>
      <c r="I2780" s="27">
        <f t="shared" si="129"/>
        <v>3.1481531399999998E-2</v>
      </c>
      <c r="J2780" s="129">
        <f t="shared" si="130"/>
        <v>2.0702000000000003</v>
      </c>
    </row>
    <row r="2781" spans="1:10" hidden="1" x14ac:dyDescent="0.35">
      <c r="A2781" s="126" t="s">
        <v>455</v>
      </c>
      <c r="B2781" t="str">
        <f>_xlfn.XLOOKUP(A2781,'[1]2050Pop'!$A$7:$A$143,'[1]2050Pop'!$D$7:$D$143)</f>
        <v>SSA</v>
      </c>
      <c r="C2781" s="127">
        <f>1000*_xlfn.XLOOKUP(A2781,'[1]2050Pop'!$A$7:$A$143,'[1]2050Pop'!$C$7:$C$143)</f>
        <v>21187</v>
      </c>
      <c r="D2781" s="126" t="s">
        <v>518</v>
      </c>
      <c r="E2781" s="128">
        <v>56.768000000000001</v>
      </c>
      <c r="F2781" s="129">
        <f t="shared" si="131"/>
        <v>1.202743616</v>
      </c>
      <c r="G2781" t="str">
        <f>_xlfn.XLOOKUP(D2781,'[1]2050 BAU Mapping to T &amp; C'!$A$3:$A$52,'[1]2050 BAU Mapping to T &amp; C'!$B$3:$B$52)</f>
        <v xml:space="preserve">Oil crops </v>
      </c>
      <c r="H2781" s="129">
        <f>_xlfn.XLOOKUP(G2781,'[1]T&amp;C emissions for 2050 analysis'!$B$3:$B$23,'[1]T&amp;C emissions for 2050 analysis'!$C$3:$C$23)</f>
        <v>0.18333333333333335</v>
      </c>
      <c r="I2781" s="27">
        <f t="shared" si="129"/>
        <v>0.2205029962666667</v>
      </c>
      <c r="J2781" s="129">
        <f t="shared" si="130"/>
        <v>10.407466666666668</v>
      </c>
    </row>
    <row r="2782" spans="1:10" hidden="1" x14ac:dyDescent="0.35">
      <c r="A2782" s="126" t="s">
        <v>456</v>
      </c>
      <c r="B2782" t="str">
        <f>_xlfn.XLOOKUP(A2782,'[1]2050Pop'!$A$7:$A$143,'[1]2050Pop'!$D$7:$D$143)</f>
        <v>MENA</v>
      </c>
      <c r="C2782" s="127">
        <f>1000*_xlfn.XLOOKUP(A2782,'[1]2050Pop'!$A$7:$A$143,'[1]2050Pop'!$C$7:$C$143)</f>
        <v>46059</v>
      </c>
      <c r="D2782" s="126" t="s">
        <v>518</v>
      </c>
      <c r="E2782" s="128">
        <v>208.619</v>
      </c>
      <c r="F2782" s="129">
        <f t="shared" si="131"/>
        <v>9.6087825210000002</v>
      </c>
      <c r="G2782" t="str">
        <f>_xlfn.XLOOKUP(D2782,'[1]2050 BAU Mapping to T &amp; C'!$A$3:$A$52,'[1]2050 BAU Mapping to T &amp; C'!$B$3:$B$52)</f>
        <v xml:space="preserve">Oil crops </v>
      </c>
      <c r="H2782" s="129">
        <f>_xlfn.XLOOKUP(G2782,'[1]T&amp;C emissions for 2050 analysis'!$B$3:$B$23,'[1]T&amp;C emissions for 2050 analysis'!$C$3:$C$23)</f>
        <v>0.18333333333333335</v>
      </c>
      <c r="I2782" s="27">
        <f t="shared" si="129"/>
        <v>1.7616101288500001</v>
      </c>
      <c r="J2782" s="129">
        <f t="shared" si="130"/>
        <v>38.246816666666668</v>
      </c>
    </row>
    <row r="2783" spans="1:10" hidden="1" x14ac:dyDescent="0.35">
      <c r="A2783" s="126" t="s">
        <v>457</v>
      </c>
      <c r="B2783" t="str">
        <f>_xlfn.XLOOKUP(A2783,'[1]2050Pop'!$A$7:$A$143,'[1]2050Pop'!$D$7:$D$143)</f>
        <v>SSA</v>
      </c>
      <c r="C2783" s="127">
        <f>1000*_xlfn.XLOOKUP(A2783,'[1]2050Pop'!$A$7:$A$143,'[1]2050Pop'!$C$7:$C$143)</f>
        <v>36223</v>
      </c>
      <c r="D2783" s="126" t="s">
        <v>518</v>
      </c>
      <c r="E2783" s="128">
        <v>72.123999999999995</v>
      </c>
      <c r="F2783" s="129">
        <f t="shared" si="131"/>
        <v>2.6125476519999999</v>
      </c>
      <c r="G2783" t="str">
        <f>_xlfn.XLOOKUP(D2783,'[1]2050 BAU Mapping to T &amp; C'!$A$3:$A$52,'[1]2050 BAU Mapping to T &amp; C'!$B$3:$B$52)</f>
        <v xml:space="preserve">Oil crops </v>
      </c>
      <c r="H2783" s="129">
        <f>_xlfn.XLOOKUP(G2783,'[1]T&amp;C emissions for 2050 analysis'!$B$3:$B$23,'[1]T&amp;C emissions for 2050 analysis'!$C$3:$C$23)</f>
        <v>0.18333333333333335</v>
      </c>
      <c r="I2783" s="27">
        <f t="shared" si="129"/>
        <v>0.47896706953333334</v>
      </c>
      <c r="J2783" s="129">
        <f t="shared" si="130"/>
        <v>13.222733333333334</v>
      </c>
    </row>
    <row r="2784" spans="1:10" hidden="1" x14ac:dyDescent="0.35">
      <c r="A2784" s="126" t="s">
        <v>458</v>
      </c>
      <c r="B2784" t="str">
        <f>_xlfn.XLOOKUP(A2784,'[1]2050Pop'!$A$7:$A$143,'[1]2050Pop'!$D$7:$D$143)</f>
        <v>Euro/AU/NZ</v>
      </c>
      <c r="C2784" s="127">
        <f>1000*_xlfn.XLOOKUP(A2784,'[1]2050Pop'!$A$7:$A$143,'[1]2050Pop'!$C$7:$C$143)</f>
        <v>7331</v>
      </c>
      <c r="D2784" s="126" t="s">
        <v>518</v>
      </c>
      <c r="E2784" s="128">
        <v>3.3980000000000001</v>
      </c>
      <c r="F2784" s="129">
        <f t="shared" si="131"/>
        <v>2.4910738000000002E-2</v>
      </c>
      <c r="G2784" t="str">
        <f>_xlfn.XLOOKUP(D2784,'[1]2050 BAU Mapping to T &amp; C'!$A$3:$A$52,'[1]2050 BAU Mapping to T &amp; C'!$B$3:$B$52)</f>
        <v xml:space="preserve">Oil crops </v>
      </c>
      <c r="H2784" s="129">
        <f>_xlfn.XLOOKUP(G2784,'[1]T&amp;C emissions for 2050 analysis'!$B$3:$B$23,'[1]T&amp;C emissions for 2050 analysis'!$C$3:$C$23)</f>
        <v>0.18333333333333335</v>
      </c>
      <c r="I2784" s="27">
        <f t="shared" si="129"/>
        <v>4.5669686333333339E-3</v>
      </c>
      <c r="J2784" s="129">
        <f t="shared" si="130"/>
        <v>0.62296666666666678</v>
      </c>
    </row>
    <row r="2785" spans="1:10" hidden="1" x14ac:dyDescent="0.35">
      <c r="A2785" s="126" t="s">
        <v>492</v>
      </c>
      <c r="B2785" t="str">
        <f>_xlfn.XLOOKUP(A2785,'[1]2050Pop'!$A$7:$A$143,'[1]2050Pop'!$D$7:$D$143)</f>
        <v>SSA</v>
      </c>
      <c r="C2785" s="127">
        <f>1000*_xlfn.XLOOKUP(A2785,'[1]2050Pop'!$A$7:$A$143,'[1]2050Pop'!$C$7:$C$143)</f>
        <v>11392</v>
      </c>
      <c r="D2785" s="126" t="s">
        <v>518</v>
      </c>
      <c r="E2785" s="128">
        <v>253.11600000000001</v>
      </c>
      <c r="F2785" s="129">
        <f t="shared" si="131"/>
        <v>2.8834974720000002</v>
      </c>
      <c r="G2785" t="str">
        <f>_xlfn.XLOOKUP(D2785,'[1]2050 BAU Mapping to T &amp; C'!$A$3:$A$52,'[1]2050 BAU Mapping to T &amp; C'!$B$3:$B$52)</f>
        <v xml:space="preserve">Oil crops </v>
      </c>
      <c r="H2785" s="129">
        <f>_xlfn.XLOOKUP(G2785,'[1]T&amp;C emissions for 2050 analysis'!$B$3:$B$23,'[1]T&amp;C emissions for 2050 analysis'!$C$3:$C$23)</f>
        <v>0.18333333333333335</v>
      </c>
      <c r="I2785" s="27">
        <f t="shared" si="129"/>
        <v>0.52864120320000008</v>
      </c>
      <c r="J2785" s="129">
        <f t="shared" si="130"/>
        <v>46.404600000000009</v>
      </c>
    </row>
    <row r="2786" spans="1:10" hidden="1" x14ac:dyDescent="0.35">
      <c r="A2786" s="126" t="s">
        <v>460</v>
      </c>
      <c r="B2786" t="str">
        <f>_xlfn.XLOOKUP(A2786,'[1]2050Pop'!$A$7:$A$143,'[1]2050Pop'!$D$7:$D$143)</f>
        <v>LatAm &amp; RSA</v>
      </c>
      <c r="C2786" s="127">
        <f>1000*_xlfn.XLOOKUP(A2786,'[1]2050Pop'!$A$7:$A$143,'[1]2050Pop'!$C$7:$C$143)</f>
        <v>65540</v>
      </c>
      <c r="D2786" s="126" t="s">
        <v>518</v>
      </c>
      <c r="E2786" s="128">
        <v>12.417</v>
      </c>
      <c r="F2786" s="129">
        <f t="shared" si="131"/>
        <v>0.81381017999999994</v>
      </c>
      <c r="G2786" t="str">
        <f>_xlfn.XLOOKUP(D2786,'[1]2050 BAU Mapping to T &amp; C'!$A$3:$A$52,'[1]2050 BAU Mapping to T &amp; C'!$B$3:$B$52)</f>
        <v xml:space="preserve">Oil crops </v>
      </c>
      <c r="H2786" s="129">
        <f>_xlfn.XLOOKUP(G2786,'[1]T&amp;C emissions for 2050 analysis'!$B$3:$B$23,'[1]T&amp;C emissions for 2050 analysis'!$C$3:$C$23)</f>
        <v>0.18333333333333335</v>
      </c>
      <c r="I2786" s="27">
        <f t="shared" si="129"/>
        <v>0.14919853299999999</v>
      </c>
      <c r="J2786" s="129">
        <f t="shared" si="130"/>
        <v>2.2764500000000001</v>
      </c>
    </row>
    <row r="2787" spans="1:10" hidden="1" x14ac:dyDescent="0.35">
      <c r="A2787" s="126" t="s">
        <v>461</v>
      </c>
      <c r="B2787" t="str">
        <f>_xlfn.XLOOKUP(A2787,'[1]2050Pop'!$A$7:$A$143,'[1]2050Pop'!$D$7:$D$143)</f>
        <v>Euro/AU/NZ</v>
      </c>
      <c r="C2787" s="127">
        <f>1000*_xlfn.XLOOKUP(A2787,'[1]2050Pop'!$A$7:$A$143,'[1]2050Pop'!$C$7:$C$143)</f>
        <v>44840</v>
      </c>
      <c r="D2787" s="126" t="s">
        <v>518</v>
      </c>
      <c r="E2787" s="128">
        <v>3.875</v>
      </c>
      <c r="F2787" s="129">
        <f t="shared" si="131"/>
        <v>0.17375499999999999</v>
      </c>
      <c r="G2787" t="str">
        <f>_xlfn.XLOOKUP(D2787,'[1]2050 BAU Mapping to T &amp; C'!$A$3:$A$52,'[1]2050 BAU Mapping to T &amp; C'!$B$3:$B$52)</f>
        <v xml:space="preserve">Oil crops </v>
      </c>
      <c r="H2787" s="129">
        <f>_xlfn.XLOOKUP(G2787,'[1]T&amp;C emissions for 2050 analysis'!$B$3:$B$23,'[1]T&amp;C emissions for 2050 analysis'!$C$3:$C$23)</f>
        <v>0.18333333333333335</v>
      </c>
      <c r="I2787" s="27">
        <f t="shared" si="129"/>
        <v>3.1855083333333332E-2</v>
      </c>
      <c r="J2787" s="129">
        <f t="shared" si="130"/>
        <v>0.7104166666666667</v>
      </c>
    </row>
    <row r="2788" spans="1:10" hidden="1" x14ac:dyDescent="0.35">
      <c r="A2788" s="126" t="s">
        <v>463</v>
      </c>
      <c r="B2788" t="str">
        <f>_xlfn.XLOOKUP(A2788,'[1]2050Pop'!$A$7:$A$143,'[1]2050Pop'!$D$7:$D$143)</f>
        <v>SSA</v>
      </c>
      <c r="C2788" s="127">
        <f>1000*_xlfn.XLOOKUP(A2788,'[1]2050Pop'!$A$7:$A$143,'[1]2050Pop'!$C$7:$C$143)</f>
        <v>1792</v>
      </c>
      <c r="D2788" s="126" t="s">
        <v>518</v>
      </c>
      <c r="E2788" s="128">
        <v>2.2490000000000001</v>
      </c>
      <c r="F2788" s="129">
        <f t="shared" si="131"/>
        <v>4.0302080000000004E-3</v>
      </c>
      <c r="G2788" t="str">
        <f>_xlfn.XLOOKUP(D2788,'[1]2050 BAU Mapping to T &amp; C'!$A$3:$A$52,'[1]2050 BAU Mapping to T &amp; C'!$B$3:$B$52)</f>
        <v xml:space="preserve">Oil crops </v>
      </c>
      <c r="H2788" s="129">
        <f>_xlfn.XLOOKUP(G2788,'[1]T&amp;C emissions for 2050 analysis'!$B$3:$B$23,'[1]T&amp;C emissions for 2050 analysis'!$C$3:$C$23)</f>
        <v>0.18333333333333335</v>
      </c>
      <c r="I2788" s="27">
        <f t="shared" si="129"/>
        <v>7.3887146666666678E-4</v>
      </c>
      <c r="J2788" s="129">
        <f t="shared" si="130"/>
        <v>0.41231666666666672</v>
      </c>
    </row>
    <row r="2789" spans="1:10" hidden="1" x14ac:dyDescent="0.35">
      <c r="A2789" s="126" t="s">
        <v>464</v>
      </c>
      <c r="B2789" t="str">
        <f>_xlfn.XLOOKUP(A2789,'[1]2050Pop'!$A$7:$A$143,'[1]2050Pop'!$D$7:$D$143)</f>
        <v>Euro/AU/NZ</v>
      </c>
      <c r="C2789" s="127">
        <f>1000*_xlfn.XLOOKUP(A2789,'[1]2050Pop'!$A$7:$A$143,'[1]2050Pop'!$C$7:$C$143)</f>
        <v>11881</v>
      </c>
      <c r="D2789" s="126" t="s">
        <v>518</v>
      </c>
      <c r="E2789" s="128">
        <v>98.093999999999994</v>
      </c>
      <c r="F2789" s="129">
        <f t="shared" si="131"/>
        <v>1.1654548140000001</v>
      </c>
      <c r="G2789" t="str">
        <f>_xlfn.XLOOKUP(D2789,'[1]2050 BAU Mapping to T &amp; C'!$A$3:$A$52,'[1]2050 BAU Mapping to T &amp; C'!$B$3:$B$52)</f>
        <v xml:space="preserve">Oil crops </v>
      </c>
      <c r="H2789" s="129">
        <f>_xlfn.XLOOKUP(G2789,'[1]T&amp;C emissions for 2050 analysis'!$B$3:$B$23,'[1]T&amp;C emissions for 2050 analysis'!$C$3:$C$23)</f>
        <v>0.18333333333333335</v>
      </c>
      <c r="I2789" s="27">
        <f t="shared" si="129"/>
        <v>0.21366671590000003</v>
      </c>
      <c r="J2789" s="129">
        <f t="shared" si="130"/>
        <v>17.983900000000002</v>
      </c>
    </row>
    <row r="2790" spans="1:10" hidden="1" x14ac:dyDescent="0.35">
      <c r="A2790" s="126" t="s">
        <v>465</v>
      </c>
      <c r="B2790" t="str">
        <f>_xlfn.XLOOKUP(A2790,'[1]2050Pop'!$A$7:$A$143,'[1]2050Pop'!$D$7:$D$143)</f>
        <v>APAC</v>
      </c>
      <c r="C2790" s="127">
        <f>1000*_xlfn.XLOOKUP(A2790,'[1]2050Pop'!$A$7:$A$143,'[1]2050Pop'!$C$7:$C$143)</f>
        <v>62452</v>
      </c>
      <c r="D2790" s="126" t="s">
        <v>518</v>
      </c>
      <c r="E2790" s="128">
        <v>53.021999999999998</v>
      </c>
      <c r="F2790" s="129">
        <f t="shared" si="131"/>
        <v>3.3113299440000001</v>
      </c>
      <c r="G2790" t="str">
        <f>_xlfn.XLOOKUP(D2790,'[1]2050 BAU Mapping to T &amp; C'!$A$3:$A$52,'[1]2050 BAU Mapping to T &amp; C'!$B$3:$B$52)</f>
        <v xml:space="preserve">Oil crops </v>
      </c>
      <c r="H2790" s="129">
        <f>_xlfn.XLOOKUP(G2790,'[1]T&amp;C emissions for 2050 analysis'!$B$3:$B$23,'[1]T&amp;C emissions for 2050 analysis'!$C$3:$C$23)</f>
        <v>0.18333333333333335</v>
      </c>
      <c r="I2790" s="27">
        <f t="shared" si="129"/>
        <v>0.60707715640000004</v>
      </c>
      <c r="J2790" s="129">
        <f t="shared" si="130"/>
        <v>9.7207000000000008</v>
      </c>
    </row>
    <row r="2791" spans="1:10" hidden="1" x14ac:dyDescent="0.35">
      <c r="A2791" s="126" t="s">
        <v>466</v>
      </c>
      <c r="B2791" t="str">
        <f>_xlfn.XLOOKUP(A2791,'[1]2050Pop'!$A$7:$A$143,'[1]2050Pop'!$D$7:$D$143)</f>
        <v>SSA</v>
      </c>
      <c r="C2791" s="127">
        <f>1000*_xlfn.XLOOKUP(A2791,'[1]2050Pop'!$A$7:$A$143,'[1]2050Pop'!$C$7:$C$143)</f>
        <v>15681</v>
      </c>
      <c r="D2791" s="126" t="s">
        <v>518</v>
      </c>
      <c r="E2791" s="128">
        <v>88.933999999999997</v>
      </c>
      <c r="F2791" s="129">
        <f t="shared" si="131"/>
        <v>1.394574054</v>
      </c>
      <c r="G2791" t="str">
        <f>_xlfn.XLOOKUP(D2791,'[1]2050 BAU Mapping to T &amp; C'!$A$3:$A$52,'[1]2050 BAU Mapping to T &amp; C'!$B$3:$B$52)</f>
        <v xml:space="preserve">Oil crops </v>
      </c>
      <c r="H2791" s="129">
        <f>_xlfn.XLOOKUP(G2791,'[1]T&amp;C emissions for 2050 analysis'!$B$3:$B$23,'[1]T&amp;C emissions for 2050 analysis'!$C$3:$C$23)</f>
        <v>0.18333333333333335</v>
      </c>
      <c r="I2791" s="27">
        <f t="shared" si="129"/>
        <v>0.25567190990000005</v>
      </c>
      <c r="J2791" s="129">
        <f t="shared" si="130"/>
        <v>16.304566666666666</v>
      </c>
    </row>
    <row r="2792" spans="1:10" hidden="1" x14ac:dyDescent="0.35">
      <c r="A2792" s="126" t="s">
        <v>468</v>
      </c>
      <c r="B2792" t="str">
        <f>_xlfn.XLOOKUP(A2792,'[1]2050Pop'!$A$7:$A$143,'[1]2050Pop'!$D$7:$D$143)</f>
        <v>MENA</v>
      </c>
      <c r="C2792" s="127">
        <f>1000*_xlfn.XLOOKUP(A2792,'[1]2050Pop'!$A$7:$A$143,'[1]2050Pop'!$C$7:$C$143)</f>
        <v>13476</v>
      </c>
      <c r="D2792" s="126" t="s">
        <v>518</v>
      </c>
      <c r="E2792" s="128">
        <v>38.021999999999998</v>
      </c>
      <c r="F2792" s="129">
        <f t="shared" si="131"/>
        <v>0.51238447199999992</v>
      </c>
      <c r="G2792" t="str">
        <f>_xlfn.XLOOKUP(D2792,'[1]2050 BAU Mapping to T &amp; C'!$A$3:$A$52,'[1]2050 BAU Mapping to T &amp; C'!$B$3:$B$52)</f>
        <v xml:space="preserve">Oil crops </v>
      </c>
      <c r="H2792" s="129">
        <f>_xlfn.XLOOKUP(G2792,'[1]T&amp;C emissions for 2050 analysis'!$B$3:$B$23,'[1]T&amp;C emissions for 2050 analysis'!$C$3:$C$23)</f>
        <v>0.18333333333333335</v>
      </c>
      <c r="I2792" s="27">
        <f t="shared" si="129"/>
        <v>9.3937153199999998E-2</v>
      </c>
      <c r="J2792" s="129">
        <f t="shared" si="130"/>
        <v>6.9706999999999999</v>
      </c>
    </row>
    <row r="2793" spans="1:10" hidden="1" x14ac:dyDescent="0.35">
      <c r="A2793" s="126" t="s">
        <v>469</v>
      </c>
      <c r="B2793" t="str">
        <f>_xlfn.XLOOKUP(A2793,'[1]2050Pop'!$A$7:$A$143,'[1]2050Pop'!$D$7:$D$143)</f>
        <v>MENA</v>
      </c>
      <c r="C2793" s="127">
        <f>1000*_xlfn.XLOOKUP(A2793,'[1]2050Pop'!$A$7:$A$143,'[1]2050Pop'!$C$7:$C$143)</f>
        <v>95819</v>
      </c>
      <c r="D2793" s="126" t="s">
        <v>518</v>
      </c>
      <c r="E2793" s="128">
        <v>72.114999999999995</v>
      </c>
      <c r="F2793" s="129">
        <f t="shared" si="131"/>
        <v>6.9099871849999994</v>
      </c>
      <c r="G2793" t="str">
        <f>_xlfn.XLOOKUP(D2793,'[1]2050 BAU Mapping to T &amp; C'!$A$3:$A$52,'[1]2050 BAU Mapping to T &amp; C'!$B$3:$B$52)</f>
        <v xml:space="preserve">Oil crops </v>
      </c>
      <c r="H2793" s="129">
        <f>_xlfn.XLOOKUP(G2793,'[1]T&amp;C emissions for 2050 analysis'!$B$3:$B$23,'[1]T&amp;C emissions for 2050 analysis'!$C$3:$C$23)</f>
        <v>0.18333333333333335</v>
      </c>
      <c r="I2793" s="27">
        <f t="shared" si="129"/>
        <v>1.2668309839166667</v>
      </c>
      <c r="J2793" s="129">
        <f t="shared" si="130"/>
        <v>13.221083333333333</v>
      </c>
    </row>
    <row r="2794" spans="1:10" hidden="1" x14ac:dyDescent="0.35">
      <c r="A2794" s="126" t="s">
        <v>470</v>
      </c>
      <c r="B2794" t="str">
        <f>_xlfn.XLOOKUP(A2794,'[1]2050Pop'!$A$7:$A$143,'[1]2050Pop'!$D$7:$D$143)</f>
        <v>SSA</v>
      </c>
      <c r="C2794" s="127">
        <f>1000*_xlfn.XLOOKUP(A2794,'[1]2050Pop'!$A$7:$A$143,'[1]2050Pop'!$C$7:$C$143)</f>
        <v>101873</v>
      </c>
      <c r="D2794" s="126" t="s">
        <v>518</v>
      </c>
      <c r="E2794" s="130">
        <v>67.87</v>
      </c>
      <c r="F2794" s="129">
        <f t="shared" si="131"/>
        <v>6.9141205100000009</v>
      </c>
      <c r="G2794" t="str">
        <f>_xlfn.XLOOKUP(D2794,'[1]2050 BAU Mapping to T &amp; C'!$A$3:$A$52,'[1]2050 BAU Mapping to T &amp; C'!$B$3:$B$52)</f>
        <v xml:space="preserve">Oil crops </v>
      </c>
      <c r="H2794" s="129">
        <f>_xlfn.XLOOKUP(G2794,'[1]T&amp;C emissions for 2050 analysis'!$B$3:$B$23,'[1]T&amp;C emissions for 2050 analysis'!$C$3:$C$23)</f>
        <v>0.18333333333333335</v>
      </c>
      <c r="I2794" s="27">
        <f t="shared" si="129"/>
        <v>1.2675887601666669</v>
      </c>
      <c r="J2794" s="129">
        <f t="shared" si="130"/>
        <v>12.442833333333335</v>
      </c>
    </row>
    <row r="2795" spans="1:10" hidden="1" x14ac:dyDescent="0.35">
      <c r="A2795" s="126" t="s">
        <v>472</v>
      </c>
      <c r="B2795" t="str">
        <f>_xlfn.XLOOKUP(A2795,'[1]2050Pop'!$A$7:$A$143,'[1]2050Pop'!$D$7:$D$143)</f>
        <v>Euro/AU/NZ</v>
      </c>
      <c r="C2795" s="127">
        <f>1000*_xlfn.XLOOKUP(A2795,'[1]2050Pop'!$A$7:$A$143,'[1]2050Pop'!$C$7:$C$143)</f>
        <v>75361</v>
      </c>
      <c r="D2795" s="126" t="s">
        <v>518</v>
      </c>
      <c r="E2795" s="128">
        <v>7.7670000000000003</v>
      </c>
      <c r="F2795" s="129">
        <f t="shared" si="131"/>
        <v>0.58532888699999996</v>
      </c>
      <c r="G2795" t="str">
        <f>_xlfn.XLOOKUP(D2795,'[1]2050 BAU Mapping to T &amp; C'!$A$3:$A$52,'[1]2050 BAU Mapping to T &amp; C'!$B$3:$B$52)</f>
        <v xml:space="preserve">Oil crops </v>
      </c>
      <c r="H2795" s="129">
        <f>_xlfn.XLOOKUP(G2795,'[1]T&amp;C emissions for 2050 analysis'!$B$3:$B$23,'[1]T&amp;C emissions for 2050 analysis'!$C$3:$C$23)</f>
        <v>0.18333333333333335</v>
      </c>
      <c r="I2795" s="27">
        <f t="shared" si="129"/>
        <v>0.10731029595</v>
      </c>
      <c r="J2795" s="129">
        <f t="shared" si="130"/>
        <v>1.4239500000000003</v>
      </c>
    </row>
    <row r="2796" spans="1:10" hidden="1" x14ac:dyDescent="0.35">
      <c r="A2796" s="126" t="s">
        <v>473</v>
      </c>
      <c r="B2796" t="str">
        <f>_xlfn.XLOOKUP(A2796,'[1]2050Pop'!$A$7:$A$143,'[1]2050Pop'!$D$7:$D$143)</f>
        <v>SSA</v>
      </c>
      <c r="C2796" s="127">
        <f>1000*_xlfn.XLOOKUP(A2796,'[1]2050Pop'!$A$7:$A$143,'[1]2050Pop'!$C$7:$C$143)</f>
        <v>137136</v>
      </c>
      <c r="D2796" s="126" t="s">
        <v>518</v>
      </c>
      <c r="E2796" s="128">
        <v>51.307000000000002</v>
      </c>
      <c r="F2796" s="129">
        <f t="shared" si="131"/>
        <v>7.0360367520000002</v>
      </c>
      <c r="G2796" t="str">
        <f>_xlfn.XLOOKUP(D2796,'[1]2050 BAU Mapping to T &amp; C'!$A$3:$A$52,'[1]2050 BAU Mapping to T &amp; C'!$B$3:$B$52)</f>
        <v xml:space="preserve">Oil crops </v>
      </c>
      <c r="H2796" s="129">
        <f>_xlfn.XLOOKUP(G2796,'[1]T&amp;C emissions for 2050 analysis'!$B$3:$B$23,'[1]T&amp;C emissions for 2050 analysis'!$C$3:$C$23)</f>
        <v>0.18333333333333335</v>
      </c>
      <c r="I2796" s="27">
        <f t="shared" si="129"/>
        <v>1.2899400712000002</v>
      </c>
      <c r="J2796" s="129">
        <f t="shared" si="130"/>
        <v>9.4062833333333344</v>
      </c>
    </row>
    <row r="2797" spans="1:10" hidden="1" x14ac:dyDescent="0.35">
      <c r="A2797" s="126" t="s">
        <v>476</v>
      </c>
      <c r="B2797" t="str">
        <f>_xlfn.XLOOKUP(A2797,'[1]2050Pop'!$A$7:$A$143,'[1]2050Pop'!$D$7:$D$143)</f>
        <v>LatAm &amp; RSA</v>
      </c>
      <c r="C2797" s="127">
        <f>1000*_xlfn.XLOOKUP(A2797,'[1]2050Pop'!$A$7:$A$143,'[1]2050Pop'!$C$7:$C$143)</f>
        <v>41562</v>
      </c>
      <c r="D2797" s="126" t="s">
        <v>518</v>
      </c>
      <c r="E2797" s="128">
        <v>44.402000000000001</v>
      </c>
      <c r="F2797" s="129">
        <f t="shared" si="131"/>
        <v>1.845435924</v>
      </c>
      <c r="G2797" t="str">
        <f>_xlfn.XLOOKUP(D2797,'[1]2050 BAU Mapping to T &amp; C'!$A$3:$A$52,'[1]2050 BAU Mapping to T &amp; C'!$B$3:$B$52)</f>
        <v xml:space="preserve">Oil crops </v>
      </c>
      <c r="H2797" s="129">
        <f>_xlfn.XLOOKUP(G2797,'[1]T&amp;C emissions for 2050 analysis'!$B$3:$B$23,'[1]T&amp;C emissions for 2050 analysis'!$C$3:$C$23)</f>
        <v>0.18333333333333335</v>
      </c>
      <c r="I2797" s="27">
        <f t="shared" si="129"/>
        <v>0.33832991940000001</v>
      </c>
      <c r="J2797" s="129">
        <f t="shared" si="130"/>
        <v>8.140366666666667</v>
      </c>
    </row>
    <row r="2798" spans="1:10" hidden="1" x14ac:dyDescent="0.35">
      <c r="A2798" s="126" t="s">
        <v>478</v>
      </c>
      <c r="B2798" t="str">
        <f>_xlfn.XLOOKUP(A2798,'[1]2050Pop'!$A$7:$A$143,'[1]2050Pop'!$D$7:$D$143)</f>
        <v>MENA</v>
      </c>
      <c r="C2798" s="127">
        <f>1000*_xlfn.XLOOKUP(A2798,'[1]2050Pop'!$A$7:$A$143,'[1]2050Pop'!$C$7:$C$143)</f>
        <v>47170</v>
      </c>
      <c r="D2798" s="126" t="s">
        <v>518</v>
      </c>
      <c r="E2798" s="128">
        <v>130.678</v>
      </c>
      <c r="F2798" s="129">
        <f t="shared" si="131"/>
        <v>6.1640812599999997</v>
      </c>
      <c r="G2798" t="str">
        <f>_xlfn.XLOOKUP(D2798,'[1]2050 BAU Mapping to T &amp; C'!$A$3:$A$52,'[1]2050 BAU Mapping to T &amp; C'!$B$3:$B$52)</f>
        <v xml:space="preserve">Oil crops </v>
      </c>
      <c r="H2798" s="129">
        <f>_xlfn.XLOOKUP(G2798,'[1]T&amp;C emissions for 2050 analysis'!$B$3:$B$23,'[1]T&amp;C emissions for 2050 analysis'!$C$3:$C$23)</f>
        <v>0.18333333333333335</v>
      </c>
      <c r="I2798" s="27">
        <f t="shared" si="129"/>
        <v>1.1300815643333333</v>
      </c>
      <c r="J2798" s="129">
        <f t="shared" si="130"/>
        <v>23.957633333333334</v>
      </c>
    </row>
    <row r="2799" spans="1:10" hidden="1" x14ac:dyDescent="0.35">
      <c r="A2799" s="126" t="s">
        <v>494</v>
      </c>
      <c r="B2799" t="str">
        <f>_xlfn.XLOOKUP(A2799,'[1]2050Pop'!$A$7:$A$143,'[1]2050Pop'!$D$7:$D$143)</f>
        <v>SSA</v>
      </c>
      <c r="C2799" s="127">
        <f>1000*_xlfn.XLOOKUP(A2799,'[1]2050Pop'!$A$7:$A$143,'[1]2050Pop'!$C$7:$C$143)</f>
        <v>42975</v>
      </c>
      <c r="D2799" s="126" t="s">
        <v>518</v>
      </c>
      <c r="E2799" s="130">
        <v>49.37</v>
      </c>
      <c r="F2799" s="129">
        <f t="shared" si="131"/>
        <v>2.1216757500000001</v>
      </c>
      <c r="G2799" t="str">
        <f>_xlfn.XLOOKUP(D2799,'[1]2050 BAU Mapping to T &amp; C'!$A$3:$A$52,'[1]2050 BAU Mapping to T &amp; C'!$B$3:$B$52)</f>
        <v xml:space="preserve">Oil crops </v>
      </c>
      <c r="H2799" s="129">
        <f>_xlfn.XLOOKUP(G2799,'[1]T&amp;C emissions for 2050 analysis'!$B$3:$B$23,'[1]T&amp;C emissions for 2050 analysis'!$C$3:$C$23)</f>
        <v>0.18333333333333335</v>
      </c>
      <c r="I2799" s="27">
        <f t="shared" si="129"/>
        <v>0.38897388750000006</v>
      </c>
      <c r="J2799" s="129">
        <f t="shared" si="130"/>
        <v>9.051166666666667</v>
      </c>
    </row>
    <row r="2800" spans="1:10" hidden="1" x14ac:dyDescent="0.35">
      <c r="A2800" s="126" t="s">
        <v>479</v>
      </c>
      <c r="B2800" t="str">
        <f>_xlfn.XLOOKUP(A2800,'[1]2050Pop'!$A$7:$A$143,'[1]2050Pop'!$D$7:$D$143)</f>
        <v>SSA</v>
      </c>
      <c r="C2800" s="127">
        <f>1000*_xlfn.XLOOKUP(A2800,'[1]2050Pop'!$A$7:$A$143,'[1]2050Pop'!$C$7:$C$143)</f>
        <v>29615</v>
      </c>
      <c r="D2800" s="126" t="s">
        <v>518</v>
      </c>
      <c r="E2800" s="128">
        <v>12.117000000000001</v>
      </c>
      <c r="F2800" s="129">
        <f t="shared" si="131"/>
        <v>0.35884495500000002</v>
      </c>
      <c r="G2800" t="str">
        <f>_xlfn.XLOOKUP(D2800,'[1]2050 BAU Mapping to T &amp; C'!$A$3:$A$52,'[1]2050 BAU Mapping to T &amp; C'!$B$3:$B$52)</f>
        <v xml:space="preserve">Oil crops </v>
      </c>
      <c r="H2800" s="129">
        <f>_xlfn.XLOOKUP(G2800,'[1]T&amp;C emissions for 2050 analysis'!$B$3:$B$23,'[1]T&amp;C emissions for 2050 analysis'!$C$3:$C$23)</f>
        <v>0.18333333333333335</v>
      </c>
      <c r="I2800" s="27">
        <f t="shared" si="129"/>
        <v>6.5788241750000004E-2</v>
      </c>
      <c r="J2800" s="129">
        <f t="shared" si="130"/>
        <v>2.2214500000000004</v>
      </c>
    </row>
    <row r="2801" spans="1:10" hidden="1" x14ac:dyDescent="0.35">
      <c r="A2801" s="126" t="s">
        <v>359</v>
      </c>
      <c r="B2801" t="str">
        <f>_xlfn.XLOOKUP(A2801,'[1]2050Pop'!$A$7:$A$143,'[1]2050Pop'!$D$7:$D$143)</f>
        <v>SSA</v>
      </c>
      <c r="C2801" s="127">
        <f>1000*_xlfn.XLOOKUP(A2801,'[1]2050Pop'!$A$7:$A$143,'[1]2050Pop'!$C$7:$C$143)</f>
        <v>65473</v>
      </c>
      <c r="D2801" s="126" t="s">
        <v>519</v>
      </c>
      <c r="E2801" s="128">
        <v>6.2789999999999999</v>
      </c>
      <c r="F2801" s="129">
        <f t="shared" si="131"/>
        <v>0.41110496699999999</v>
      </c>
      <c r="G2801" t="str">
        <f>_xlfn.XLOOKUP(D2801,'[1]2050 BAU Mapping to T &amp; C'!$A$3:$A$52,'[1]2050 BAU Mapping to T &amp; C'!$B$3:$B$52)</f>
        <v xml:space="preserve">Oil crops </v>
      </c>
      <c r="H2801" s="129">
        <f>_xlfn.XLOOKUP(G2801,'[1]T&amp;C emissions for 2050 analysis'!$B$3:$B$23,'[1]T&amp;C emissions for 2050 analysis'!$C$3:$C$23)</f>
        <v>0.18333333333333335</v>
      </c>
      <c r="I2801" s="27">
        <f t="shared" si="129"/>
        <v>7.5369243949999998E-2</v>
      </c>
      <c r="J2801" s="129">
        <f t="shared" si="130"/>
        <v>1.1511500000000001</v>
      </c>
    </row>
    <row r="2802" spans="1:10" hidden="1" x14ac:dyDescent="0.35">
      <c r="A2802" s="126" t="s">
        <v>367</v>
      </c>
      <c r="B2802" t="str">
        <f>_xlfn.XLOOKUP(A2802,'[1]2050Pop'!$A$7:$A$143,'[1]2050Pop'!$D$7:$D$143)</f>
        <v>Euro/AU/NZ</v>
      </c>
      <c r="C2802" s="127">
        <f>1000*_xlfn.XLOOKUP(A2802,'[1]2050Pop'!$A$7:$A$143,'[1]2050Pop'!$C$7:$C$143)</f>
        <v>12527</v>
      </c>
      <c r="D2802" s="126" t="s">
        <v>519</v>
      </c>
      <c r="E2802" s="128">
        <v>13.486000000000001</v>
      </c>
      <c r="F2802" s="129">
        <f t="shared" si="131"/>
        <v>0.168939122</v>
      </c>
      <c r="G2802" t="str">
        <f>_xlfn.XLOOKUP(D2802,'[1]2050 BAU Mapping to T &amp; C'!$A$3:$A$52,'[1]2050 BAU Mapping to T &amp; C'!$B$3:$B$52)</f>
        <v xml:space="preserve">Oil crops </v>
      </c>
      <c r="H2802" s="129">
        <f>_xlfn.XLOOKUP(G2802,'[1]T&amp;C emissions for 2050 analysis'!$B$3:$B$23,'[1]T&amp;C emissions for 2050 analysis'!$C$3:$C$23)</f>
        <v>0.18333333333333335</v>
      </c>
      <c r="I2802" s="27">
        <f t="shared" si="129"/>
        <v>3.0972172366666668E-2</v>
      </c>
      <c r="J2802" s="129">
        <f t="shared" si="130"/>
        <v>2.4724333333333335</v>
      </c>
    </row>
    <row r="2803" spans="1:10" hidden="1" x14ac:dyDescent="0.35">
      <c r="A2803" s="126" t="s">
        <v>368</v>
      </c>
      <c r="B2803" t="str">
        <f>_xlfn.XLOOKUP(A2803,'[1]2050Pop'!$A$7:$A$143,'[1]2050Pop'!$D$7:$D$143)</f>
        <v>SSA</v>
      </c>
      <c r="C2803" s="127">
        <f>1000*_xlfn.XLOOKUP(A2803,'[1]2050Pop'!$A$7:$A$143,'[1]2050Pop'!$C$7:$C$143)</f>
        <v>22549</v>
      </c>
      <c r="D2803" s="126" t="s">
        <v>519</v>
      </c>
      <c r="E2803" s="128">
        <v>8.4469999999999992</v>
      </c>
      <c r="F2803" s="129">
        <f t="shared" si="131"/>
        <v>0.19047140299999998</v>
      </c>
      <c r="G2803" t="str">
        <f>_xlfn.XLOOKUP(D2803,'[1]2050 BAU Mapping to T &amp; C'!$A$3:$A$52,'[1]2050 BAU Mapping to T &amp; C'!$B$3:$B$52)</f>
        <v xml:space="preserve">Oil crops </v>
      </c>
      <c r="H2803" s="129">
        <f>_xlfn.XLOOKUP(G2803,'[1]T&amp;C emissions for 2050 analysis'!$B$3:$B$23,'[1]T&amp;C emissions for 2050 analysis'!$C$3:$C$23)</f>
        <v>0.18333333333333335</v>
      </c>
      <c r="I2803" s="27">
        <f t="shared" si="129"/>
        <v>3.4919757216666666E-2</v>
      </c>
      <c r="J2803" s="129">
        <f t="shared" si="130"/>
        <v>1.5486166666666665</v>
      </c>
    </row>
    <row r="2804" spans="1:10" hidden="1" x14ac:dyDescent="0.35">
      <c r="A2804" s="126" t="s">
        <v>487</v>
      </c>
      <c r="B2804" t="str">
        <f>_xlfn.XLOOKUP(A2804,'[1]2050Pop'!$A$7:$A$143,'[1]2050Pop'!$D$7:$D$143)</f>
        <v>SSA</v>
      </c>
      <c r="C2804" s="127">
        <f>1000*_xlfn.XLOOKUP(A2804,'[1]2050Pop'!$A$7:$A$143,'[1]2050Pop'!$C$7:$C$143)</f>
        <v>42789</v>
      </c>
      <c r="D2804" s="126" t="s">
        <v>519</v>
      </c>
      <c r="E2804" s="128">
        <v>1.0489999999999999</v>
      </c>
      <c r="F2804" s="129">
        <f t="shared" si="131"/>
        <v>4.4885661E-2</v>
      </c>
      <c r="G2804" t="str">
        <f>_xlfn.XLOOKUP(D2804,'[1]2050 BAU Mapping to T &amp; C'!$A$3:$A$52,'[1]2050 BAU Mapping to T &amp; C'!$B$3:$B$52)</f>
        <v xml:space="preserve">Oil crops </v>
      </c>
      <c r="H2804" s="129">
        <f>_xlfn.XLOOKUP(G2804,'[1]T&amp;C emissions for 2050 analysis'!$B$3:$B$23,'[1]T&amp;C emissions for 2050 analysis'!$C$3:$C$23)</f>
        <v>0.18333333333333335</v>
      </c>
      <c r="I2804" s="27">
        <f t="shared" si="129"/>
        <v>8.2290378500000008E-3</v>
      </c>
      <c r="J2804" s="129">
        <f t="shared" si="130"/>
        <v>0.19231666666666666</v>
      </c>
    </row>
    <row r="2805" spans="1:10" hidden="1" x14ac:dyDescent="0.35">
      <c r="A2805" s="126" t="s">
        <v>375</v>
      </c>
      <c r="B2805" t="str">
        <f>_xlfn.XLOOKUP(A2805,'[1]2050Pop'!$A$7:$A$143,'[1]2050Pop'!$D$7:$D$143)</f>
        <v>SSA</v>
      </c>
      <c r="C2805" s="127">
        <f>1000*_xlfn.XLOOKUP(A2805,'[1]2050Pop'!$A$7:$A$143,'[1]2050Pop'!$C$7:$C$143)</f>
        <v>48362</v>
      </c>
      <c r="D2805" s="126" t="s">
        <v>519</v>
      </c>
      <c r="E2805" s="128">
        <v>10.867000000000001</v>
      </c>
      <c r="F2805" s="129">
        <f t="shared" si="131"/>
        <v>0.52554985400000009</v>
      </c>
      <c r="G2805" t="str">
        <f>_xlfn.XLOOKUP(D2805,'[1]2050 BAU Mapping to T &amp; C'!$A$3:$A$52,'[1]2050 BAU Mapping to T &amp; C'!$B$3:$B$52)</f>
        <v xml:space="preserve">Oil crops </v>
      </c>
      <c r="H2805" s="129">
        <f>_xlfn.XLOOKUP(G2805,'[1]T&amp;C emissions for 2050 analysis'!$B$3:$B$23,'[1]T&amp;C emissions for 2050 analysis'!$C$3:$C$23)</f>
        <v>0.18333333333333335</v>
      </c>
      <c r="I2805" s="27">
        <f t="shared" si="129"/>
        <v>9.6350806566666697E-2</v>
      </c>
      <c r="J2805" s="129">
        <f t="shared" si="130"/>
        <v>1.9922833333333336</v>
      </c>
    </row>
    <row r="2806" spans="1:10" hidden="1" x14ac:dyDescent="0.35">
      <c r="A2806" s="126" t="s">
        <v>380</v>
      </c>
      <c r="B2806" t="str">
        <f>_xlfn.XLOOKUP(A2806,'[1]2050Pop'!$A$7:$A$143,'[1]2050Pop'!$D$7:$D$143)</f>
        <v>Greater China</v>
      </c>
      <c r="C2806" s="127">
        <f>1000*_xlfn.XLOOKUP(A2806,'[1]2050Pop'!$A$7:$A$143,'[1]2050Pop'!$C$7:$C$143)</f>
        <v>1348056</v>
      </c>
      <c r="D2806" s="126" t="s">
        <v>519</v>
      </c>
      <c r="E2806" s="128">
        <v>1.2170000000000001</v>
      </c>
      <c r="F2806" s="129">
        <f t="shared" si="131"/>
        <v>1.640584152</v>
      </c>
      <c r="G2806" t="str">
        <f>_xlfn.XLOOKUP(D2806,'[1]2050 BAU Mapping to T &amp; C'!$A$3:$A$52,'[1]2050 BAU Mapping to T &amp; C'!$B$3:$B$52)</f>
        <v xml:space="preserve">Oil crops </v>
      </c>
      <c r="H2806" s="129">
        <f>_xlfn.XLOOKUP(G2806,'[1]T&amp;C emissions for 2050 analysis'!$B$3:$B$23,'[1]T&amp;C emissions for 2050 analysis'!$C$3:$C$23)</f>
        <v>0.18333333333333335</v>
      </c>
      <c r="I2806" s="27">
        <f t="shared" si="129"/>
        <v>0.30077376120000004</v>
      </c>
      <c r="J2806" s="129">
        <f t="shared" si="130"/>
        <v>0.22311666666666671</v>
      </c>
    </row>
    <row r="2807" spans="1:10" hidden="1" x14ac:dyDescent="0.35">
      <c r="A2807" s="126" t="s">
        <v>381</v>
      </c>
      <c r="B2807" t="str">
        <f>_xlfn.XLOOKUP(A2807,'[1]2050Pop'!$A$7:$A$143,'[1]2050Pop'!$D$7:$D$143)</f>
        <v>Greater China</v>
      </c>
      <c r="C2807" s="127">
        <f>1000*_xlfn.XLOOKUP(A2807,'[1]2050Pop'!$A$7:$A$143,'[1]2050Pop'!$C$7:$C$143)</f>
        <v>20778</v>
      </c>
      <c r="D2807" s="126" t="s">
        <v>519</v>
      </c>
      <c r="E2807" s="128">
        <v>0.94399999999999995</v>
      </c>
      <c r="F2807" s="129">
        <f t="shared" si="131"/>
        <v>1.9614432000000001E-2</v>
      </c>
      <c r="G2807" t="str">
        <f>_xlfn.XLOOKUP(D2807,'[1]2050 BAU Mapping to T &amp; C'!$A$3:$A$52,'[1]2050 BAU Mapping to T &amp; C'!$B$3:$B$52)</f>
        <v xml:space="preserve">Oil crops </v>
      </c>
      <c r="H2807" s="129">
        <f>_xlfn.XLOOKUP(G2807,'[1]T&amp;C emissions for 2050 analysis'!$B$3:$B$23,'[1]T&amp;C emissions for 2050 analysis'!$C$3:$C$23)</f>
        <v>0.18333333333333335</v>
      </c>
      <c r="I2807" s="27">
        <f t="shared" si="129"/>
        <v>3.5959792000000005E-3</v>
      </c>
      <c r="J2807" s="129">
        <f t="shared" si="130"/>
        <v>0.17306666666666667</v>
      </c>
    </row>
    <row r="2808" spans="1:10" hidden="1" x14ac:dyDescent="0.35">
      <c r="A2808" s="126" t="s">
        <v>382</v>
      </c>
      <c r="B2808" t="str">
        <f>_xlfn.XLOOKUP(A2808,'[1]2050Pop'!$A$7:$A$143,'[1]2050Pop'!$D$7:$D$143)</f>
        <v>LatAm &amp; RSA</v>
      </c>
      <c r="C2808" s="127">
        <f>1000*_xlfn.XLOOKUP(A2808,'[1]2050Pop'!$A$7:$A$143,'[1]2050Pop'!$C$7:$C$143)</f>
        <v>54927</v>
      </c>
      <c r="D2808" s="126" t="s">
        <v>519</v>
      </c>
      <c r="E2808" s="128">
        <v>14.962</v>
      </c>
      <c r="F2808" s="129">
        <f t="shared" si="131"/>
        <v>0.821817774</v>
      </c>
      <c r="G2808" t="str">
        <f>_xlfn.XLOOKUP(D2808,'[1]2050 BAU Mapping to T &amp; C'!$A$3:$A$52,'[1]2050 BAU Mapping to T &amp; C'!$B$3:$B$52)</f>
        <v xml:space="preserve">Oil crops </v>
      </c>
      <c r="H2808" s="129">
        <f>_xlfn.XLOOKUP(G2808,'[1]T&amp;C emissions for 2050 analysis'!$B$3:$B$23,'[1]T&amp;C emissions for 2050 analysis'!$C$3:$C$23)</f>
        <v>0.18333333333333335</v>
      </c>
      <c r="I2808" s="27">
        <f t="shared" si="129"/>
        <v>0.15066659190000001</v>
      </c>
      <c r="J2808" s="129">
        <f t="shared" si="130"/>
        <v>2.7430333333333334</v>
      </c>
    </row>
    <row r="2809" spans="1:10" hidden="1" x14ac:dyDescent="0.35">
      <c r="A2809" s="126" t="s">
        <v>384</v>
      </c>
      <c r="B2809" t="str">
        <f>_xlfn.XLOOKUP(A2809,'[1]2050Pop'!$A$7:$A$143,'[1]2050Pop'!$D$7:$D$143)</f>
        <v>SSA</v>
      </c>
      <c r="C2809" s="127">
        <f>1000*_xlfn.XLOOKUP(A2809,'[1]2050Pop'!$A$7:$A$143,'[1]2050Pop'!$C$7:$C$143)</f>
        <v>48797</v>
      </c>
      <c r="D2809" s="126" t="s">
        <v>519</v>
      </c>
      <c r="E2809" s="128">
        <v>23.802</v>
      </c>
      <c r="F2809" s="129">
        <f t="shared" si="131"/>
        <v>1.161466194</v>
      </c>
      <c r="G2809" t="str">
        <f>_xlfn.XLOOKUP(D2809,'[1]2050 BAU Mapping to T &amp; C'!$A$3:$A$52,'[1]2050 BAU Mapping to T &amp; C'!$B$3:$B$52)</f>
        <v xml:space="preserve">Oil crops </v>
      </c>
      <c r="H2809" s="129">
        <f>_xlfn.XLOOKUP(G2809,'[1]T&amp;C emissions for 2050 analysis'!$B$3:$B$23,'[1]T&amp;C emissions for 2050 analysis'!$C$3:$C$23)</f>
        <v>0.18333333333333335</v>
      </c>
      <c r="I2809" s="27">
        <f t="shared" si="129"/>
        <v>0.21293546890000001</v>
      </c>
      <c r="J2809" s="129">
        <f t="shared" si="130"/>
        <v>4.3637000000000006</v>
      </c>
    </row>
    <row r="2810" spans="1:10" hidden="1" x14ac:dyDescent="0.35">
      <c r="A2810" s="126" t="s">
        <v>390</v>
      </c>
      <c r="B2810" t="str">
        <f>_xlfn.XLOOKUP(A2810,'[1]2050Pop'!$A$7:$A$143,'[1]2050Pop'!$D$7:$D$143)</f>
        <v>LatAm &amp; RSA</v>
      </c>
      <c r="C2810" s="127">
        <f>1000*_xlfn.XLOOKUP(A2810,'[1]2050Pop'!$A$7:$A$143,'[1]2050Pop'!$C$7:$C$143)</f>
        <v>23013</v>
      </c>
      <c r="D2810" s="126" t="s">
        <v>519</v>
      </c>
      <c r="E2810" s="128">
        <v>15.388</v>
      </c>
      <c r="F2810" s="129">
        <f t="shared" si="131"/>
        <v>0.35412404399999997</v>
      </c>
      <c r="G2810" t="str">
        <f>_xlfn.XLOOKUP(D2810,'[1]2050 BAU Mapping to T &amp; C'!$A$3:$A$52,'[1]2050 BAU Mapping to T &amp; C'!$B$3:$B$52)</f>
        <v xml:space="preserve">Oil crops </v>
      </c>
      <c r="H2810" s="129">
        <f>_xlfn.XLOOKUP(G2810,'[1]T&amp;C emissions for 2050 analysis'!$B$3:$B$23,'[1]T&amp;C emissions for 2050 analysis'!$C$3:$C$23)</f>
        <v>0.18333333333333335</v>
      </c>
      <c r="I2810" s="27">
        <f t="shared" si="129"/>
        <v>6.4922741399999997E-2</v>
      </c>
      <c r="J2810" s="129">
        <f t="shared" si="130"/>
        <v>2.8211333333333335</v>
      </c>
    </row>
    <row r="2811" spans="1:10" hidden="1" x14ac:dyDescent="0.35">
      <c r="A2811" s="126" t="s">
        <v>391</v>
      </c>
      <c r="B2811" t="str">
        <f>_xlfn.XLOOKUP(A2811,'[1]2050Pop'!$A$7:$A$143,'[1]2050Pop'!$D$7:$D$143)</f>
        <v>MENA</v>
      </c>
      <c r="C2811" s="127">
        <f>1000*_xlfn.XLOOKUP(A2811,'[1]2050Pop'!$A$7:$A$143,'[1]2050Pop'!$C$7:$C$143)</f>
        <v>151111</v>
      </c>
      <c r="D2811" s="126" t="s">
        <v>519</v>
      </c>
      <c r="E2811" s="130">
        <v>2.94</v>
      </c>
      <c r="F2811" s="129">
        <f t="shared" si="131"/>
        <v>0.44426633999999998</v>
      </c>
      <c r="G2811" t="str">
        <f>_xlfn.XLOOKUP(D2811,'[1]2050 BAU Mapping to T &amp; C'!$A$3:$A$52,'[1]2050 BAU Mapping to T &amp; C'!$B$3:$B$52)</f>
        <v xml:space="preserve">Oil crops </v>
      </c>
      <c r="H2811" s="129">
        <f>_xlfn.XLOOKUP(G2811,'[1]T&amp;C emissions for 2050 analysis'!$B$3:$B$23,'[1]T&amp;C emissions for 2050 analysis'!$C$3:$C$23)</f>
        <v>0.18333333333333335</v>
      </c>
      <c r="I2811" s="27">
        <f t="shared" si="129"/>
        <v>8.1448829E-2</v>
      </c>
      <c r="J2811" s="129">
        <f t="shared" si="130"/>
        <v>0.53900000000000003</v>
      </c>
    </row>
    <row r="2812" spans="1:10" hidden="1" x14ac:dyDescent="0.35">
      <c r="A2812" s="126" t="s">
        <v>396</v>
      </c>
      <c r="B2812" t="str">
        <f>_xlfn.XLOOKUP(A2812,'[1]2050Pop'!$A$7:$A$143,'[1]2050Pop'!$D$7:$D$143)</f>
        <v>Euro/AU/NZ</v>
      </c>
      <c r="C2812" s="127">
        <f>1000*_xlfn.XLOOKUP(A2812,'[1]2050Pop'!$A$7:$A$143,'[1]2050Pop'!$C$7:$C$143)</f>
        <v>71137</v>
      </c>
      <c r="D2812" s="126" t="s">
        <v>519</v>
      </c>
      <c r="E2812" s="128">
        <v>4.7320000000000002</v>
      </c>
      <c r="F2812" s="129">
        <f t="shared" si="131"/>
        <v>0.33662028400000005</v>
      </c>
      <c r="G2812" t="str">
        <f>_xlfn.XLOOKUP(D2812,'[1]2050 BAU Mapping to T &amp; C'!$A$3:$A$52,'[1]2050 BAU Mapping to T &amp; C'!$B$3:$B$52)</f>
        <v xml:space="preserve">Oil crops </v>
      </c>
      <c r="H2812" s="129">
        <f>_xlfn.XLOOKUP(G2812,'[1]T&amp;C emissions for 2050 analysis'!$B$3:$B$23,'[1]T&amp;C emissions for 2050 analysis'!$C$3:$C$23)</f>
        <v>0.18333333333333335</v>
      </c>
      <c r="I2812" s="27">
        <f t="shared" si="129"/>
        <v>6.1713718733333346E-2</v>
      </c>
      <c r="J2812" s="129">
        <f t="shared" si="130"/>
        <v>0.86753333333333349</v>
      </c>
    </row>
    <row r="2813" spans="1:10" hidden="1" x14ac:dyDescent="0.35">
      <c r="A2813" s="126" t="s">
        <v>400</v>
      </c>
      <c r="B2813" t="str">
        <f>_xlfn.XLOOKUP(A2813,'[1]2050Pop'!$A$7:$A$143,'[1]2050Pop'!$D$7:$D$143)</f>
        <v>SSA</v>
      </c>
      <c r="C2813" s="127">
        <f>1000*_xlfn.XLOOKUP(A2813,'[1]2050Pop'!$A$7:$A$143,'[1]2050Pop'!$C$7:$C$143)</f>
        <v>50071</v>
      </c>
      <c r="D2813" s="126" t="s">
        <v>519</v>
      </c>
      <c r="E2813" s="128">
        <v>11.867000000000001</v>
      </c>
      <c r="F2813" s="129">
        <f t="shared" si="131"/>
        <v>0.59419255700000007</v>
      </c>
      <c r="G2813" t="str">
        <f>_xlfn.XLOOKUP(D2813,'[1]2050 BAU Mapping to T &amp; C'!$A$3:$A$52,'[1]2050 BAU Mapping to T &amp; C'!$B$3:$B$52)</f>
        <v xml:space="preserve">Oil crops </v>
      </c>
      <c r="H2813" s="129">
        <f>_xlfn.XLOOKUP(G2813,'[1]T&amp;C emissions for 2050 analysis'!$B$3:$B$23,'[1]T&amp;C emissions for 2050 analysis'!$C$3:$C$23)</f>
        <v>0.18333333333333335</v>
      </c>
      <c r="I2813" s="27">
        <f t="shared" si="129"/>
        <v>0.10893530211666669</v>
      </c>
      <c r="J2813" s="129">
        <f t="shared" si="130"/>
        <v>2.175616666666667</v>
      </c>
    </row>
    <row r="2814" spans="1:10" hidden="1" x14ac:dyDescent="0.35">
      <c r="A2814" s="126" t="s">
        <v>403</v>
      </c>
      <c r="B2814" t="str">
        <f>_xlfn.XLOOKUP(A2814,'[1]2050Pop'!$A$7:$A$143,'[1]2050Pop'!$D$7:$D$143)</f>
        <v>SSA</v>
      </c>
      <c r="C2814" s="127">
        <f>1000*_xlfn.XLOOKUP(A2814,'[1]2050Pop'!$A$7:$A$143,'[1]2050Pop'!$C$7:$C$143)</f>
        <v>27486</v>
      </c>
      <c r="D2814" s="126" t="s">
        <v>519</v>
      </c>
      <c r="E2814" s="128">
        <v>11.577999999999999</v>
      </c>
      <c r="F2814" s="129">
        <f t="shared" si="131"/>
        <v>0.31823290799999998</v>
      </c>
      <c r="G2814" t="str">
        <f>_xlfn.XLOOKUP(D2814,'[1]2050 BAU Mapping to T &amp; C'!$A$3:$A$52,'[1]2050 BAU Mapping to T &amp; C'!$B$3:$B$52)</f>
        <v xml:space="preserve">Oil crops </v>
      </c>
      <c r="H2814" s="129">
        <f>_xlfn.XLOOKUP(G2814,'[1]T&amp;C emissions for 2050 analysis'!$B$3:$B$23,'[1]T&amp;C emissions for 2050 analysis'!$C$3:$C$23)</f>
        <v>0.18333333333333335</v>
      </c>
      <c r="I2814" s="27">
        <f t="shared" si="129"/>
        <v>5.8342699800000002E-2</v>
      </c>
      <c r="J2814" s="129">
        <f t="shared" si="130"/>
        <v>2.1226333333333334</v>
      </c>
    </row>
    <row r="2815" spans="1:10" hidden="1" x14ac:dyDescent="0.35">
      <c r="A2815" s="126" t="s">
        <v>409</v>
      </c>
      <c r="B2815" t="str">
        <f>_xlfn.XLOOKUP(A2815,'[1]2050Pop'!$A$7:$A$143,'[1]2050Pop'!$D$7:$D$143)</f>
        <v>APAC</v>
      </c>
      <c r="C2815" s="127">
        <f>1000*_xlfn.XLOOKUP(A2815,'[1]2050Pop'!$A$7:$A$143,'[1]2050Pop'!$C$7:$C$143)</f>
        <v>322237</v>
      </c>
      <c r="D2815" s="126" t="s">
        <v>519</v>
      </c>
      <c r="E2815" s="128">
        <v>78.478999999999999</v>
      </c>
      <c r="F2815" s="129">
        <f t="shared" si="131"/>
        <v>25.288837522999998</v>
      </c>
      <c r="G2815" t="str">
        <f>_xlfn.XLOOKUP(D2815,'[1]2050 BAU Mapping to T &amp; C'!$A$3:$A$52,'[1]2050 BAU Mapping to T &amp; C'!$B$3:$B$52)</f>
        <v xml:space="preserve">Oil crops </v>
      </c>
      <c r="H2815" s="129">
        <f>_xlfn.XLOOKUP(G2815,'[1]T&amp;C emissions for 2050 analysis'!$B$3:$B$23,'[1]T&amp;C emissions for 2050 analysis'!$C$3:$C$23)</f>
        <v>0.18333333333333335</v>
      </c>
      <c r="I2815" s="27">
        <f t="shared" si="129"/>
        <v>4.6362868792166667</v>
      </c>
      <c r="J2815" s="129">
        <f t="shared" si="130"/>
        <v>14.387816666666668</v>
      </c>
    </row>
    <row r="2816" spans="1:10" hidden="1" x14ac:dyDescent="0.35">
      <c r="A2816" s="126" t="s">
        <v>410</v>
      </c>
      <c r="B2816" t="str">
        <f>_xlfn.XLOOKUP(A2816,'[1]2050Pop'!$A$7:$A$143,'[1]2050Pop'!$D$7:$D$143)</f>
        <v>India/South Asia</v>
      </c>
      <c r="C2816" s="127">
        <f>1000*_xlfn.XLOOKUP(A2816,'[1]2050Pop'!$A$7:$A$143,'[1]2050Pop'!$C$7:$C$143)</f>
        <v>92219</v>
      </c>
      <c r="D2816" s="126" t="s">
        <v>519</v>
      </c>
      <c r="E2816" s="130">
        <v>1.83</v>
      </c>
      <c r="F2816" s="129">
        <f t="shared" si="131"/>
        <v>0.16876077000000003</v>
      </c>
      <c r="G2816" t="str">
        <f>_xlfn.XLOOKUP(D2816,'[1]2050 BAU Mapping to T &amp; C'!$A$3:$A$52,'[1]2050 BAU Mapping to T &amp; C'!$B$3:$B$52)</f>
        <v xml:space="preserve">Oil crops </v>
      </c>
      <c r="H2816" s="129">
        <f>_xlfn.XLOOKUP(G2816,'[1]T&amp;C emissions for 2050 analysis'!$B$3:$B$23,'[1]T&amp;C emissions for 2050 analysis'!$C$3:$C$23)</f>
        <v>0.18333333333333335</v>
      </c>
      <c r="I2816" s="27">
        <f t="shared" si="129"/>
        <v>3.0939474500000008E-2</v>
      </c>
      <c r="J2816" s="129">
        <f t="shared" si="130"/>
        <v>0.33550000000000002</v>
      </c>
    </row>
    <row r="2817" spans="1:10" hidden="1" x14ac:dyDescent="0.35">
      <c r="A2817" s="126" t="s">
        <v>411</v>
      </c>
      <c r="B2817" t="str">
        <f>_xlfn.XLOOKUP(A2817,'[1]2050Pop'!$A$7:$A$143,'[1]2050Pop'!$D$7:$D$143)</f>
        <v>MENA</v>
      </c>
      <c r="C2817" s="127">
        <f>1000*_xlfn.XLOOKUP(A2817,'[1]2050Pop'!$A$7:$A$143,'[1]2050Pop'!$C$7:$C$143)</f>
        <v>83652</v>
      </c>
      <c r="D2817" s="126" t="s">
        <v>519</v>
      </c>
      <c r="E2817" s="128">
        <v>1.819</v>
      </c>
      <c r="F2817" s="129">
        <f t="shared" si="131"/>
        <v>0.15216298799999997</v>
      </c>
      <c r="G2817" t="str">
        <f>_xlfn.XLOOKUP(D2817,'[1]2050 BAU Mapping to T &amp; C'!$A$3:$A$52,'[1]2050 BAU Mapping to T &amp; C'!$B$3:$B$52)</f>
        <v xml:space="preserve">Oil crops </v>
      </c>
      <c r="H2817" s="129">
        <f>_xlfn.XLOOKUP(G2817,'[1]T&amp;C emissions for 2050 analysis'!$B$3:$B$23,'[1]T&amp;C emissions for 2050 analysis'!$C$3:$C$23)</f>
        <v>0.18333333333333335</v>
      </c>
      <c r="I2817" s="27">
        <f t="shared" si="129"/>
        <v>2.7896547799999998E-2</v>
      </c>
      <c r="J2817" s="129">
        <f t="shared" si="130"/>
        <v>0.33348333333333335</v>
      </c>
    </row>
    <row r="2818" spans="1:10" hidden="1" x14ac:dyDescent="0.35">
      <c r="A2818" s="126" t="s">
        <v>412</v>
      </c>
      <c r="B2818" t="str">
        <f>_xlfn.XLOOKUP(A2818,'[1]2050Pop'!$A$7:$A$143,'[1]2050Pop'!$D$7:$D$143)</f>
        <v>Euro/AU/NZ</v>
      </c>
      <c r="C2818" s="127">
        <f>1000*_xlfn.XLOOKUP(A2818,'[1]2050Pop'!$A$7:$A$143,'[1]2050Pop'!$C$7:$C$143)</f>
        <v>5789</v>
      </c>
      <c r="D2818" s="126" t="s">
        <v>519</v>
      </c>
      <c r="E2818" s="128">
        <v>3.7080000000000002</v>
      </c>
      <c r="F2818" s="129">
        <f t="shared" si="131"/>
        <v>2.1465612000000002E-2</v>
      </c>
      <c r="G2818" t="str">
        <f>_xlfn.XLOOKUP(D2818,'[1]2050 BAU Mapping to T &amp; C'!$A$3:$A$52,'[1]2050 BAU Mapping to T &amp; C'!$B$3:$B$52)</f>
        <v xml:space="preserve">Oil crops </v>
      </c>
      <c r="H2818" s="129">
        <f>_xlfn.XLOOKUP(G2818,'[1]T&amp;C emissions for 2050 analysis'!$B$3:$B$23,'[1]T&amp;C emissions for 2050 analysis'!$C$3:$C$23)</f>
        <v>0.18333333333333335</v>
      </c>
      <c r="I2818" s="27">
        <f t="shared" si="129"/>
        <v>3.9353622000000005E-3</v>
      </c>
      <c r="J2818" s="129">
        <f t="shared" si="130"/>
        <v>0.67980000000000007</v>
      </c>
    </row>
    <row r="2819" spans="1:10" hidden="1" x14ac:dyDescent="0.35">
      <c r="A2819" s="126" t="s">
        <v>413</v>
      </c>
      <c r="B2819" t="str">
        <f>_xlfn.XLOOKUP(A2819,'[1]2050Pop'!$A$7:$A$143,'[1]2050Pop'!$D$7:$D$143)</f>
        <v>MENA</v>
      </c>
      <c r="C2819" s="127">
        <f>1000*_xlfn.XLOOKUP(A2819,'[1]2050Pop'!$A$7:$A$143,'[1]2050Pop'!$C$7:$C$143)</f>
        <v>12610</v>
      </c>
      <c r="D2819" s="126" t="s">
        <v>519</v>
      </c>
      <c r="E2819" s="128">
        <v>4.258</v>
      </c>
      <c r="F2819" s="129">
        <f t="shared" si="131"/>
        <v>5.3693379999999999E-2</v>
      </c>
      <c r="G2819" t="str">
        <f>_xlfn.XLOOKUP(D2819,'[1]2050 BAU Mapping to T &amp; C'!$A$3:$A$52,'[1]2050 BAU Mapping to T &amp; C'!$B$3:$B$52)</f>
        <v xml:space="preserve">Oil crops </v>
      </c>
      <c r="H2819" s="129">
        <f>_xlfn.XLOOKUP(G2819,'[1]T&amp;C emissions for 2050 analysis'!$B$3:$B$23,'[1]T&amp;C emissions for 2050 analysis'!$C$3:$C$23)</f>
        <v>0.18333333333333335</v>
      </c>
      <c r="I2819" s="27">
        <f t="shared" si="129"/>
        <v>9.8437863333333334E-3</v>
      </c>
      <c r="J2819" s="129">
        <f t="shared" si="130"/>
        <v>0.7806333333333334</v>
      </c>
    </row>
    <row r="2820" spans="1:10" hidden="1" x14ac:dyDescent="0.35">
      <c r="A2820" s="126" t="s">
        <v>414</v>
      </c>
      <c r="B2820" t="str">
        <f>_xlfn.XLOOKUP(A2820,'[1]2050Pop'!$A$7:$A$143,'[1]2050Pop'!$D$7:$D$143)</f>
        <v>Euro/AU/NZ</v>
      </c>
      <c r="C2820" s="127">
        <f>1000*_xlfn.XLOOKUP(A2820,'[1]2050Pop'!$A$7:$A$143,'[1]2050Pop'!$C$7:$C$143)</f>
        <v>56513</v>
      </c>
      <c r="D2820" s="126" t="s">
        <v>519</v>
      </c>
      <c r="E2820" s="128">
        <v>2.2530000000000001</v>
      </c>
      <c r="F2820" s="129">
        <f t="shared" si="131"/>
        <v>0.12732378899999999</v>
      </c>
      <c r="G2820" t="str">
        <f>_xlfn.XLOOKUP(D2820,'[1]2050 BAU Mapping to T &amp; C'!$A$3:$A$52,'[1]2050 BAU Mapping to T &amp; C'!$B$3:$B$52)</f>
        <v xml:space="preserve">Oil crops </v>
      </c>
      <c r="H2820" s="129">
        <f>_xlfn.XLOOKUP(G2820,'[1]T&amp;C emissions for 2050 analysis'!$B$3:$B$23,'[1]T&amp;C emissions for 2050 analysis'!$C$3:$C$23)</f>
        <v>0.18333333333333335</v>
      </c>
      <c r="I2820" s="27">
        <f t="shared" ref="I2820:I2883" si="132">F2820*H2820</f>
        <v>2.3342694649999999E-2</v>
      </c>
      <c r="J2820" s="129">
        <f t="shared" ref="J2820:J2883" si="133">E2820*H2820</f>
        <v>0.41305000000000003</v>
      </c>
    </row>
    <row r="2821" spans="1:10" hidden="1" x14ac:dyDescent="0.35">
      <c r="A2821" s="126" t="s">
        <v>416</v>
      </c>
      <c r="B2821" t="str">
        <f>_xlfn.XLOOKUP(A2821,'[1]2050Pop'!$A$7:$A$143,'[1]2050Pop'!$D$7:$D$143)</f>
        <v>APAC</v>
      </c>
      <c r="C2821" s="127">
        <f>1000*_xlfn.XLOOKUP(A2821,'[1]2050Pop'!$A$7:$A$143,'[1]2050Pop'!$C$7:$C$143)</f>
        <v>107411</v>
      </c>
      <c r="D2821" s="126" t="s">
        <v>519</v>
      </c>
      <c r="E2821" s="128">
        <v>9.2859999999999996</v>
      </c>
      <c r="F2821" s="129">
        <f t="shared" ref="F2821:F2884" si="134">C2821*E2821/1000000</f>
        <v>0.99741854600000002</v>
      </c>
      <c r="G2821" t="str">
        <f>_xlfn.XLOOKUP(D2821,'[1]2050 BAU Mapping to T &amp; C'!$A$3:$A$52,'[1]2050 BAU Mapping to T &amp; C'!$B$3:$B$52)</f>
        <v xml:space="preserve">Oil crops </v>
      </c>
      <c r="H2821" s="129">
        <f>_xlfn.XLOOKUP(G2821,'[1]T&amp;C emissions for 2050 analysis'!$B$3:$B$23,'[1]T&amp;C emissions for 2050 analysis'!$C$3:$C$23)</f>
        <v>0.18333333333333335</v>
      </c>
      <c r="I2821" s="27">
        <f t="shared" si="132"/>
        <v>0.18286006676666669</v>
      </c>
      <c r="J2821" s="129">
        <f t="shared" si="133"/>
        <v>1.7024333333333335</v>
      </c>
    </row>
    <row r="2822" spans="1:10" hidden="1" x14ac:dyDescent="0.35">
      <c r="A2822" s="126" t="s">
        <v>417</v>
      </c>
      <c r="B2822" t="str">
        <f>_xlfn.XLOOKUP(A2822,'[1]2050Pop'!$A$7:$A$143,'[1]2050Pop'!$D$7:$D$143)</f>
        <v>MENA</v>
      </c>
      <c r="C2822" s="127">
        <f>1000*_xlfn.XLOOKUP(A2822,'[1]2050Pop'!$A$7:$A$143,'[1]2050Pop'!$C$7:$C$143)</f>
        <v>11717</v>
      </c>
      <c r="D2822" s="126" t="s">
        <v>519</v>
      </c>
      <c r="E2822" s="128">
        <v>3.4529999999999998</v>
      </c>
      <c r="F2822" s="129">
        <f t="shared" si="134"/>
        <v>4.0458801000000003E-2</v>
      </c>
      <c r="G2822" t="str">
        <f>_xlfn.XLOOKUP(D2822,'[1]2050 BAU Mapping to T &amp; C'!$A$3:$A$52,'[1]2050 BAU Mapping to T &amp; C'!$B$3:$B$52)</f>
        <v xml:space="preserve">Oil crops </v>
      </c>
      <c r="H2822" s="129">
        <f>_xlfn.XLOOKUP(G2822,'[1]T&amp;C emissions for 2050 analysis'!$B$3:$B$23,'[1]T&amp;C emissions for 2050 analysis'!$C$3:$C$23)</f>
        <v>0.18333333333333335</v>
      </c>
      <c r="I2822" s="27">
        <f t="shared" si="132"/>
        <v>7.4174468500000012E-3</v>
      </c>
      <c r="J2822" s="129">
        <f t="shared" si="133"/>
        <v>0.63305</v>
      </c>
    </row>
    <row r="2823" spans="1:10" hidden="1" x14ac:dyDescent="0.35">
      <c r="A2823" s="126" t="s">
        <v>419</v>
      </c>
      <c r="B2823" t="str">
        <f>_xlfn.XLOOKUP(A2823,'[1]2050Pop'!$A$7:$A$143,'[1]2050Pop'!$D$7:$D$143)</f>
        <v>SSA</v>
      </c>
      <c r="C2823" s="127">
        <f>1000*_xlfn.XLOOKUP(A2823,'[1]2050Pop'!$A$7:$A$143,'[1]2050Pop'!$C$7:$C$143)</f>
        <v>95505</v>
      </c>
      <c r="D2823" s="126" t="s">
        <v>519</v>
      </c>
      <c r="E2823" s="128">
        <v>3.4169999999999998</v>
      </c>
      <c r="F2823" s="129">
        <f t="shared" si="134"/>
        <v>0.32634058499999996</v>
      </c>
      <c r="G2823" t="str">
        <f>_xlfn.XLOOKUP(D2823,'[1]2050 BAU Mapping to T &amp; C'!$A$3:$A$52,'[1]2050 BAU Mapping to T &amp; C'!$B$3:$B$52)</f>
        <v xml:space="preserve">Oil crops </v>
      </c>
      <c r="H2823" s="129">
        <f>_xlfn.XLOOKUP(G2823,'[1]T&amp;C emissions for 2050 analysis'!$B$3:$B$23,'[1]T&amp;C emissions for 2050 analysis'!$C$3:$C$23)</f>
        <v>0.18333333333333335</v>
      </c>
      <c r="I2823" s="27">
        <f t="shared" si="132"/>
        <v>5.9829107249999999E-2</v>
      </c>
      <c r="J2823" s="129">
        <f t="shared" si="133"/>
        <v>0.62645000000000006</v>
      </c>
    </row>
    <row r="2824" spans="1:10" hidden="1" x14ac:dyDescent="0.35">
      <c r="A2824" s="126" t="s">
        <v>425</v>
      </c>
      <c r="B2824" t="str">
        <f>_xlfn.XLOOKUP(A2824,'[1]2050Pop'!$A$7:$A$143,'[1]2050Pop'!$D$7:$D$143)</f>
        <v>SSA</v>
      </c>
      <c r="C2824" s="127">
        <f>1000*_xlfn.XLOOKUP(A2824,'[1]2050Pop'!$A$7:$A$143,'[1]2050Pop'!$C$7:$C$143)</f>
        <v>9436</v>
      </c>
      <c r="D2824" s="126" t="s">
        <v>519</v>
      </c>
      <c r="E2824" s="130">
        <v>41.78</v>
      </c>
      <c r="F2824" s="129">
        <f t="shared" si="134"/>
        <v>0.39423607999999999</v>
      </c>
      <c r="G2824" t="str">
        <f>_xlfn.XLOOKUP(D2824,'[1]2050 BAU Mapping to T &amp; C'!$A$3:$A$52,'[1]2050 BAU Mapping to T &amp; C'!$B$3:$B$52)</f>
        <v xml:space="preserve">Oil crops </v>
      </c>
      <c r="H2824" s="129">
        <f>_xlfn.XLOOKUP(G2824,'[1]T&amp;C emissions for 2050 analysis'!$B$3:$B$23,'[1]T&amp;C emissions for 2050 analysis'!$C$3:$C$23)</f>
        <v>0.18333333333333335</v>
      </c>
      <c r="I2824" s="27">
        <f t="shared" si="132"/>
        <v>7.2276614666666669E-2</v>
      </c>
      <c r="J2824" s="129">
        <f t="shared" si="133"/>
        <v>7.6596666666666673</v>
      </c>
    </row>
    <row r="2825" spans="1:10" hidden="1" x14ac:dyDescent="0.35">
      <c r="A2825" s="126" t="s">
        <v>429</v>
      </c>
      <c r="B2825" t="str">
        <f>_xlfn.XLOOKUP(A2825,'[1]2050Pop'!$A$7:$A$143,'[1]2050Pop'!$D$7:$D$143)</f>
        <v>APAC</v>
      </c>
      <c r="C2825" s="127">
        <f>1000*_xlfn.XLOOKUP(A2825,'[1]2050Pop'!$A$7:$A$143,'[1]2050Pop'!$C$7:$C$143)</f>
        <v>40725</v>
      </c>
      <c r="D2825" s="126" t="s">
        <v>519</v>
      </c>
      <c r="E2825" s="128">
        <v>118.09399999999999</v>
      </c>
      <c r="F2825" s="129">
        <f t="shared" si="134"/>
        <v>4.8093781499999997</v>
      </c>
      <c r="G2825" t="str">
        <f>_xlfn.XLOOKUP(D2825,'[1]2050 BAU Mapping to T &amp; C'!$A$3:$A$52,'[1]2050 BAU Mapping to T &amp; C'!$B$3:$B$52)</f>
        <v xml:space="preserve">Oil crops </v>
      </c>
      <c r="H2825" s="129">
        <f>_xlfn.XLOOKUP(G2825,'[1]T&amp;C emissions for 2050 analysis'!$B$3:$B$23,'[1]T&amp;C emissions for 2050 analysis'!$C$3:$C$23)</f>
        <v>0.18333333333333335</v>
      </c>
      <c r="I2825" s="27">
        <f t="shared" si="132"/>
        <v>0.88171932750000004</v>
      </c>
      <c r="J2825" s="129">
        <f t="shared" si="133"/>
        <v>21.650566666666666</v>
      </c>
    </row>
    <row r="2826" spans="1:10" hidden="1" x14ac:dyDescent="0.35">
      <c r="A2826" s="126" t="s">
        <v>431</v>
      </c>
      <c r="B2826" t="str">
        <f>_xlfn.XLOOKUP(A2826,'[1]2050Pop'!$A$7:$A$143,'[1]2050Pop'!$D$7:$D$143)</f>
        <v>SSA</v>
      </c>
      <c r="C2826" s="127">
        <f>1000*_xlfn.XLOOKUP(A2826,'[1]2050Pop'!$A$7:$A$143,'[1]2050Pop'!$C$7:$C$143)</f>
        <v>8048.9999999999991</v>
      </c>
      <c r="D2826" s="126" t="s">
        <v>519</v>
      </c>
      <c r="E2826" s="128">
        <v>41.533999999999999</v>
      </c>
      <c r="F2826" s="129">
        <f t="shared" si="134"/>
        <v>0.33430716599999999</v>
      </c>
      <c r="G2826" t="str">
        <f>_xlfn.XLOOKUP(D2826,'[1]2050 BAU Mapping to T &amp; C'!$A$3:$A$52,'[1]2050 BAU Mapping to T &amp; C'!$B$3:$B$52)</f>
        <v xml:space="preserve">Oil crops </v>
      </c>
      <c r="H2826" s="129">
        <f>_xlfn.XLOOKUP(G2826,'[1]T&amp;C emissions for 2050 analysis'!$B$3:$B$23,'[1]T&amp;C emissions for 2050 analysis'!$C$3:$C$23)</f>
        <v>0.18333333333333335</v>
      </c>
      <c r="I2826" s="27">
        <f t="shared" si="132"/>
        <v>6.1289647100000004E-2</v>
      </c>
      <c r="J2826" s="129">
        <f t="shared" si="133"/>
        <v>7.6145666666666667</v>
      </c>
    </row>
    <row r="2827" spans="1:10" hidden="1" x14ac:dyDescent="0.35">
      <c r="A2827" s="126" t="s">
        <v>432</v>
      </c>
      <c r="B2827" t="str">
        <f>_xlfn.XLOOKUP(A2827,'[1]2050Pop'!$A$7:$A$143,'[1]2050Pop'!$D$7:$D$143)</f>
        <v>SSA</v>
      </c>
      <c r="C2827" s="127">
        <f>1000*_xlfn.XLOOKUP(A2827,'[1]2050Pop'!$A$7:$A$143,'[1]2050Pop'!$C$7:$C$143)</f>
        <v>1249</v>
      </c>
      <c r="D2827" s="126" t="s">
        <v>519</v>
      </c>
      <c r="E2827" s="130">
        <v>1.04</v>
      </c>
      <c r="F2827" s="129">
        <f t="shared" si="134"/>
        <v>1.29896E-3</v>
      </c>
      <c r="G2827" t="str">
        <f>_xlfn.XLOOKUP(D2827,'[1]2050 BAU Mapping to T &amp; C'!$A$3:$A$52,'[1]2050 BAU Mapping to T &amp; C'!$B$3:$B$52)</f>
        <v xml:space="preserve">Oil crops </v>
      </c>
      <c r="H2827" s="129">
        <f>_xlfn.XLOOKUP(G2827,'[1]T&amp;C emissions for 2050 analysis'!$B$3:$B$23,'[1]T&amp;C emissions for 2050 analysis'!$C$3:$C$23)</f>
        <v>0.18333333333333335</v>
      </c>
      <c r="I2827" s="27">
        <f t="shared" si="132"/>
        <v>2.3814266666666669E-4</v>
      </c>
      <c r="J2827" s="129">
        <f t="shared" si="133"/>
        <v>0.19066666666666668</v>
      </c>
    </row>
    <row r="2828" spans="1:10" hidden="1" x14ac:dyDescent="0.35">
      <c r="A2828" s="126" t="s">
        <v>434</v>
      </c>
      <c r="B2828" t="str">
        <f>_xlfn.XLOOKUP(A2828,'[1]2050Pop'!$A$7:$A$143,'[1]2050Pop'!$D$7:$D$143)</f>
        <v>APAC</v>
      </c>
      <c r="C2828" s="127">
        <f>1000*_xlfn.XLOOKUP(A2828,'[1]2050Pop'!$A$7:$A$143,'[1]2050Pop'!$C$7:$C$143)</f>
        <v>4027.9999999999995</v>
      </c>
      <c r="D2828" s="126" t="s">
        <v>519</v>
      </c>
      <c r="E2828" s="128">
        <v>3.0529999999999999</v>
      </c>
      <c r="F2828" s="129">
        <f t="shared" si="134"/>
        <v>1.2297483999999999E-2</v>
      </c>
      <c r="G2828" t="str">
        <f>_xlfn.XLOOKUP(D2828,'[1]2050 BAU Mapping to T &amp; C'!$A$3:$A$52,'[1]2050 BAU Mapping to T &amp; C'!$B$3:$B$52)</f>
        <v xml:space="preserve">Oil crops </v>
      </c>
      <c r="H2828" s="129">
        <f>_xlfn.XLOOKUP(G2828,'[1]T&amp;C emissions for 2050 analysis'!$B$3:$B$23,'[1]T&amp;C emissions for 2050 analysis'!$C$3:$C$23)</f>
        <v>0.18333333333333335</v>
      </c>
      <c r="I2828" s="27">
        <f t="shared" si="132"/>
        <v>2.2545387333333332E-3</v>
      </c>
      <c r="J2828" s="129">
        <f t="shared" si="133"/>
        <v>0.55971666666666675</v>
      </c>
    </row>
    <row r="2829" spans="1:10" hidden="1" x14ac:dyDescent="0.35">
      <c r="A2829" s="126" t="s">
        <v>490</v>
      </c>
      <c r="B2829" t="str">
        <f>_xlfn.XLOOKUP(A2829,'[1]2050Pop'!$A$7:$A$143,'[1]2050Pop'!$D$7:$D$143)</f>
        <v>APAC</v>
      </c>
      <c r="C2829" s="127">
        <f>1000*_xlfn.XLOOKUP(A2829,'[1]2050Pop'!$A$7:$A$143,'[1]2050Pop'!$C$7:$C$143)</f>
        <v>63575</v>
      </c>
      <c r="D2829" s="126" t="s">
        <v>519</v>
      </c>
      <c r="E2829" s="128">
        <v>0.91300000000000003</v>
      </c>
      <c r="F2829" s="129">
        <f t="shared" si="134"/>
        <v>5.8043974999999998E-2</v>
      </c>
      <c r="G2829" t="str">
        <f>_xlfn.XLOOKUP(D2829,'[1]2050 BAU Mapping to T &amp; C'!$A$3:$A$52,'[1]2050 BAU Mapping to T &amp; C'!$B$3:$B$52)</f>
        <v xml:space="preserve">Oil crops </v>
      </c>
      <c r="H2829" s="129">
        <f>_xlfn.XLOOKUP(G2829,'[1]T&amp;C emissions for 2050 analysis'!$B$3:$B$23,'[1]T&amp;C emissions for 2050 analysis'!$C$3:$C$23)</f>
        <v>0.18333333333333335</v>
      </c>
      <c r="I2829" s="27">
        <f t="shared" si="132"/>
        <v>1.0641395416666668E-2</v>
      </c>
      <c r="J2829" s="129">
        <f t="shared" si="133"/>
        <v>0.16738333333333336</v>
      </c>
    </row>
    <row r="2830" spans="1:10" hidden="1" x14ac:dyDescent="0.35">
      <c r="A2830" s="126" t="s">
        <v>437</v>
      </c>
      <c r="B2830" t="str">
        <f>_xlfn.XLOOKUP(A2830,'[1]2050Pop'!$A$7:$A$143,'[1]2050Pop'!$D$7:$D$143)</f>
        <v>SSA</v>
      </c>
      <c r="C2830" s="127">
        <f>1000*_xlfn.XLOOKUP(A2830,'[1]2050Pop'!$A$7:$A$143,'[1]2050Pop'!$C$7:$C$143)</f>
        <v>4322</v>
      </c>
      <c r="D2830" s="126" t="s">
        <v>519</v>
      </c>
      <c r="E2830" s="130">
        <v>1.05</v>
      </c>
      <c r="F2830" s="129">
        <f t="shared" si="134"/>
        <v>4.5381000000000006E-3</v>
      </c>
      <c r="G2830" t="str">
        <f>_xlfn.XLOOKUP(D2830,'[1]2050 BAU Mapping to T &amp; C'!$A$3:$A$52,'[1]2050 BAU Mapping to T &amp; C'!$B$3:$B$52)</f>
        <v xml:space="preserve">Oil crops </v>
      </c>
      <c r="H2830" s="129">
        <f>_xlfn.XLOOKUP(G2830,'[1]T&amp;C emissions for 2050 analysis'!$B$3:$B$23,'[1]T&amp;C emissions for 2050 analysis'!$C$3:$C$23)</f>
        <v>0.18333333333333335</v>
      </c>
      <c r="I2830" s="27">
        <f t="shared" si="132"/>
        <v>8.3198500000000015E-4</v>
      </c>
      <c r="J2830" s="129">
        <f t="shared" si="133"/>
        <v>0.19250000000000003</v>
      </c>
    </row>
    <row r="2831" spans="1:10" hidden="1" x14ac:dyDescent="0.35">
      <c r="A2831" s="126" t="s">
        <v>440</v>
      </c>
      <c r="B2831" t="str">
        <f>_xlfn.XLOOKUP(A2831,'[1]2050Pop'!$A$7:$A$143,'[1]2050Pop'!$D$7:$D$143)</f>
        <v>Euro/AU/NZ</v>
      </c>
      <c r="C2831" s="127">
        <f>1000*_xlfn.XLOOKUP(A2831,'[1]2050Pop'!$A$7:$A$143,'[1]2050Pop'!$C$7:$C$143)</f>
        <v>5607</v>
      </c>
      <c r="D2831" s="126" t="s">
        <v>519</v>
      </c>
      <c r="E2831" s="130">
        <v>2.12</v>
      </c>
      <c r="F2831" s="129">
        <f t="shared" si="134"/>
        <v>1.1886840000000001E-2</v>
      </c>
      <c r="G2831" t="str">
        <f>_xlfn.XLOOKUP(D2831,'[1]2050 BAU Mapping to T &amp; C'!$A$3:$A$52,'[1]2050 BAU Mapping to T &amp; C'!$B$3:$B$52)</f>
        <v xml:space="preserve">Oil crops </v>
      </c>
      <c r="H2831" s="129">
        <f>_xlfn.XLOOKUP(G2831,'[1]T&amp;C emissions for 2050 analysis'!$B$3:$B$23,'[1]T&amp;C emissions for 2050 analysis'!$C$3:$C$23)</f>
        <v>0.18333333333333335</v>
      </c>
      <c r="I2831" s="27">
        <f t="shared" si="132"/>
        <v>2.1792540000000003E-3</v>
      </c>
      <c r="J2831" s="129">
        <f t="shared" si="133"/>
        <v>0.38866666666666672</v>
      </c>
    </row>
    <row r="2832" spans="1:10" hidden="1" x14ac:dyDescent="0.35">
      <c r="A2832" s="126" t="s">
        <v>491</v>
      </c>
      <c r="B2832" t="str">
        <f>_xlfn.XLOOKUP(A2832,'[1]2050Pop'!$A$7:$A$143,'[1]2050Pop'!$D$7:$D$143)</f>
        <v>SSA</v>
      </c>
      <c r="C2832" s="127">
        <f>1000*_xlfn.XLOOKUP(A2832,'[1]2050Pop'!$A$7:$A$143,'[1]2050Pop'!$C$7:$C$143)</f>
        <v>398508</v>
      </c>
      <c r="D2832" s="126" t="s">
        <v>519</v>
      </c>
      <c r="E2832" s="128">
        <v>80.625</v>
      </c>
      <c r="F2832" s="129">
        <f t="shared" si="134"/>
        <v>32.129707500000002</v>
      </c>
      <c r="G2832" t="str">
        <f>_xlfn.XLOOKUP(D2832,'[1]2050 BAU Mapping to T &amp; C'!$A$3:$A$52,'[1]2050 BAU Mapping to T &amp; C'!$B$3:$B$52)</f>
        <v xml:space="preserve">Oil crops </v>
      </c>
      <c r="H2832" s="129">
        <f>_xlfn.XLOOKUP(G2832,'[1]T&amp;C emissions for 2050 analysis'!$B$3:$B$23,'[1]T&amp;C emissions for 2050 analysis'!$C$3:$C$23)</f>
        <v>0.18333333333333335</v>
      </c>
      <c r="I2832" s="27">
        <f t="shared" si="132"/>
        <v>5.8904463750000007</v>
      </c>
      <c r="J2832" s="129">
        <f t="shared" si="133"/>
        <v>14.781250000000002</v>
      </c>
    </row>
    <row r="2833" spans="1:10" hidden="1" x14ac:dyDescent="0.35">
      <c r="A2833" s="126" t="s">
        <v>443</v>
      </c>
      <c r="B2833" t="str">
        <f>_xlfn.XLOOKUP(A2833,'[1]2050Pop'!$A$7:$A$143,'[1]2050Pop'!$D$7:$D$143)</f>
        <v>India/South Asia</v>
      </c>
      <c r="C2833" s="127">
        <f>1000*_xlfn.XLOOKUP(A2833,'[1]2050Pop'!$A$7:$A$143,'[1]2050Pop'!$C$7:$C$143)</f>
        <v>309640</v>
      </c>
      <c r="D2833" s="126" t="s">
        <v>519</v>
      </c>
      <c r="E2833" s="130">
        <v>1.06</v>
      </c>
      <c r="F2833" s="129">
        <f t="shared" si="134"/>
        <v>0.32821840000000002</v>
      </c>
      <c r="G2833" t="str">
        <f>_xlfn.XLOOKUP(D2833,'[1]2050 BAU Mapping to T &amp; C'!$A$3:$A$52,'[1]2050 BAU Mapping to T &amp; C'!$B$3:$B$52)</f>
        <v xml:space="preserve">Oil crops </v>
      </c>
      <c r="H2833" s="129">
        <f>_xlfn.XLOOKUP(G2833,'[1]T&amp;C emissions for 2050 analysis'!$B$3:$B$23,'[1]T&amp;C emissions for 2050 analysis'!$C$3:$C$23)</f>
        <v>0.18333333333333335</v>
      </c>
      <c r="I2833" s="27">
        <f t="shared" si="132"/>
        <v>6.0173373333333342E-2</v>
      </c>
      <c r="J2833" s="129">
        <f t="shared" si="133"/>
        <v>0.19433333333333336</v>
      </c>
    </row>
    <row r="2834" spans="1:10" hidden="1" x14ac:dyDescent="0.35">
      <c r="A2834" s="126" t="s">
        <v>445</v>
      </c>
      <c r="B2834" t="str">
        <f>_xlfn.XLOOKUP(A2834,'[1]2050Pop'!$A$7:$A$143,'[1]2050Pop'!$D$7:$D$143)</f>
        <v>LatAm &amp; RSA</v>
      </c>
      <c r="C2834" s="127">
        <f>1000*_xlfn.XLOOKUP(A2834,'[1]2050Pop'!$A$7:$A$143,'[1]2050Pop'!$C$7:$C$143)</f>
        <v>8895</v>
      </c>
      <c r="D2834" s="126" t="s">
        <v>519</v>
      </c>
      <c r="E2834" s="128">
        <v>20.126999999999999</v>
      </c>
      <c r="F2834" s="129">
        <f t="shared" si="134"/>
        <v>0.17902966499999998</v>
      </c>
      <c r="G2834" t="str">
        <f>_xlfn.XLOOKUP(D2834,'[1]2050 BAU Mapping to T &amp; C'!$A$3:$A$52,'[1]2050 BAU Mapping to T &amp; C'!$B$3:$B$52)</f>
        <v xml:space="preserve">Oil crops </v>
      </c>
      <c r="H2834" s="129">
        <f>_xlfn.XLOOKUP(G2834,'[1]T&amp;C emissions for 2050 analysis'!$B$3:$B$23,'[1]T&amp;C emissions for 2050 analysis'!$C$3:$C$23)</f>
        <v>0.18333333333333335</v>
      </c>
      <c r="I2834" s="27">
        <f t="shared" si="132"/>
        <v>3.2822105249999997E-2</v>
      </c>
      <c r="J2834" s="129">
        <f t="shared" si="133"/>
        <v>3.6899500000000001</v>
      </c>
    </row>
    <row r="2835" spans="1:10" hidden="1" x14ac:dyDescent="0.35">
      <c r="A2835" s="126" t="s">
        <v>446</v>
      </c>
      <c r="B2835" t="str">
        <f>_xlfn.XLOOKUP(A2835,'[1]2050Pop'!$A$7:$A$143,'[1]2050Pop'!$D$7:$D$143)</f>
        <v>LatAm &amp; RSA</v>
      </c>
      <c r="C2835" s="127">
        <f>1000*_xlfn.XLOOKUP(A2835,'[1]2050Pop'!$A$7:$A$143,'[1]2050Pop'!$C$7:$C$143)</f>
        <v>41899</v>
      </c>
      <c r="D2835" s="126" t="s">
        <v>519</v>
      </c>
      <c r="E2835" s="128">
        <v>14.704000000000001</v>
      </c>
      <c r="F2835" s="129">
        <f t="shared" si="134"/>
        <v>0.6160828960000001</v>
      </c>
      <c r="G2835" t="str">
        <f>_xlfn.XLOOKUP(D2835,'[1]2050 BAU Mapping to T &amp; C'!$A$3:$A$52,'[1]2050 BAU Mapping to T &amp; C'!$B$3:$B$52)</f>
        <v xml:space="preserve">Oil crops </v>
      </c>
      <c r="H2835" s="129">
        <f>_xlfn.XLOOKUP(G2835,'[1]T&amp;C emissions for 2050 analysis'!$B$3:$B$23,'[1]T&amp;C emissions for 2050 analysis'!$C$3:$C$23)</f>
        <v>0.18333333333333335</v>
      </c>
      <c r="I2835" s="27">
        <f t="shared" si="132"/>
        <v>0.11294853093333336</v>
      </c>
      <c r="J2835" s="129">
        <f t="shared" si="133"/>
        <v>2.6957333333333335</v>
      </c>
    </row>
    <row r="2836" spans="1:10" hidden="1" x14ac:dyDescent="0.35">
      <c r="A2836" s="126" t="s">
        <v>447</v>
      </c>
      <c r="B2836" t="str">
        <f>_xlfn.XLOOKUP(A2836,'[1]2050Pop'!$A$7:$A$143,'[1]2050Pop'!$D$7:$D$143)</f>
        <v>APAC</v>
      </c>
      <c r="C2836" s="127">
        <f>1000*_xlfn.XLOOKUP(A2836,'[1]2050Pop'!$A$7:$A$143,'[1]2050Pop'!$C$7:$C$143)</f>
        <v>148260</v>
      </c>
      <c r="D2836" s="126" t="s">
        <v>519</v>
      </c>
      <c r="E2836" s="128">
        <v>12.262</v>
      </c>
      <c r="F2836" s="129">
        <f t="shared" si="134"/>
        <v>1.8179641200000001</v>
      </c>
      <c r="G2836" t="str">
        <f>_xlfn.XLOOKUP(D2836,'[1]2050 BAU Mapping to T &amp; C'!$A$3:$A$52,'[1]2050 BAU Mapping to T &amp; C'!$B$3:$B$52)</f>
        <v xml:space="preserve">Oil crops </v>
      </c>
      <c r="H2836" s="129">
        <f>_xlfn.XLOOKUP(G2836,'[1]T&amp;C emissions for 2050 analysis'!$B$3:$B$23,'[1]T&amp;C emissions for 2050 analysis'!$C$3:$C$23)</f>
        <v>0.18333333333333335</v>
      </c>
      <c r="I2836" s="27">
        <f t="shared" si="132"/>
        <v>0.33329342200000006</v>
      </c>
      <c r="J2836" s="129">
        <f t="shared" si="133"/>
        <v>2.2480333333333338</v>
      </c>
    </row>
    <row r="2837" spans="1:10" hidden="1" x14ac:dyDescent="0.35">
      <c r="A2837" s="126" t="s">
        <v>448</v>
      </c>
      <c r="B2837" t="str">
        <f>_xlfn.XLOOKUP(A2837,'[1]2050Pop'!$A$7:$A$143,'[1]2050Pop'!$D$7:$D$143)</f>
        <v>Euro/AU/NZ</v>
      </c>
      <c r="C2837" s="127">
        <f>1000*_xlfn.XLOOKUP(A2837,'[1]2050Pop'!$A$7:$A$143,'[1]2050Pop'!$C$7:$C$143)</f>
        <v>33136</v>
      </c>
      <c r="D2837" s="126" t="s">
        <v>519</v>
      </c>
      <c r="E2837" s="128">
        <v>4.4630000000000001</v>
      </c>
      <c r="F2837" s="129">
        <f t="shared" si="134"/>
        <v>0.14788596800000001</v>
      </c>
      <c r="G2837" t="str">
        <f>_xlfn.XLOOKUP(D2837,'[1]2050 BAU Mapping to T &amp; C'!$A$3:$A$52,'[1]2050 BAU Mapping to T &amp; C'!$B$3:$B$52)</f>
        <v xml:space="preserve">Oil crops </v>
      </c>
      <c r="H2837" s="129">
        <f>_xlfn.XLOOKUP(G2837,'[1]T&amp;C emissions for 2050 analysis'!$B$3:$B$23,'[1]T&amp;C emissions for 2050 analysis'!$C$3:$C$23)</f>
        <v>0.18333333333333335</v>
      </c>
      <c r="I2837" s="27">
        <f t="shared" si="132"/>
        <v>2.7112427466666669E-2</v>
      </c>
      <c r="J2837" s="129">
        <f t="shared" si="133"/>
        <v>0.8182166666666667</v>
      </c>
    </row>
    <row r="2838" spans="1:10" hidden="1" x14ac:dyDescent="0.35">
      <c r="A2838" s="126" t="s">
        <v>449</v>
      </c>
      <c r="B2838" t="str">
        <f>_xlfn.XLOOKUP(A2838,'[1]2050Pop'!$A$7:$A$143,'[1]2050Pop'!$D$7:$D$143)</f>
        <v>Euro/AU/NZ</v>
      </c>
      <c r="C2838" s="127">
        <f>1000*_xlfn.XLOOKUP(A2838,'[1]2050Pop'!$A$7:$A$143,'[1]2050Pop'!$C$7:$C$143)</f>
        <v>9216</v>
      </c>
      <c r="D2838" s="126" t="s">
        <v>519</v>
      </c>
      <c r="E2838" s="128">
        <v>2.895</v>
      </c>
      <c r="F2838" s="129">
        <f t="shared" si="134"/>
        <v>2.668032E-2</v>
      </c>
      <c r="G2838" t="str">
        <f>_xlfn.XLOOKUP(D2838,'[1]2050 BAU Mapping to T &amp; C'!$A$3:$A$52,'[1]2050 BAU Mapping to T &amp; C'!$B$3:$B$52)</f>
        <v xml:space="preserve">Oil crops </v>
      </c>
      <c r="H2838" s="129">
        <f>_xlfn.XLOOKUP(G2838,'[1]T&amp;C emissions for 2050 analysis'!$B$3:$B$23,'[1]T&amp;C emissions for 2050 analysis'!$C$3:$C$23)</f>
        <v>0.18333333333333335</v>
      </c>
      <c r="I2838" s="27">
        <f t="shared" si="132"/>
        <v>4.8913920000000005E-3</v>
      </c>
      <c r="J2838" s="129">
        <f t="shared" si="133"/>
        <v>0.53075000000000006</v>
      </c>
    </row>
    <row r="2839" spans="1:10" hidden="1" x14ac:dyDescent="0.35">
      <c r="A2839" s="126" t="s">
        <v>450</v>
      </c>
      <c r="B2839" t="str">
        <f>_xlfn.XLOOKUP(A2839,'[1]2050Pop'!$A$7:$A$143,'[1]2050Pop'!$D$7:$D$143)</f>
        <v>APAC</v>
      </c>
      <c r="C2839" s="127">
        <f>1000*_xlfn.XLOOKUP(A2839,'[1]2050Pop'!$A$7:$A$143,'[1]2050Pop'!$C$7:$C$143)</f>
        <v>50593</v>
      </c>
      <c r="D2839" s="126" t="s">
        <v>519</v>
      </c>
      <c r="E2839" s="128">
        <v>3.2869999999999999</v>
      </c>
      <c r="F2839" s="129">
        <f t="shared" si="134"/>
        <v>0.16629919099999999</v>
      </c>
      <c r="G2839" t="str">
        <f>_xlfn.XLOOKUP(D2839,'[1]2050 BAU Mapping to T &amp; C'!$A$3:$A$52,'[1]2050 BAU Mapping to T &amp; C'!$B$3:$B$52)</f>
        <v xml:space="preserve">Oil crops </v>
      </c>
      <c r="H2839" s="129">
        <f>_xlfn.XLOOKUP(G2839,'[1]T&amp;C emissions for 2050 analysis'!$B$3:$B$23,'[1]T&amp;C emissions for 2050 analysis'!$C$3:$C$23)</f>
        <v>0.18333333333333335</v>
      </c>
      <c r="I2839" s="27">
        <f t="shared" si="132"/>
        <v>3.0488185016666666E-2</v>
      </c>
      <c r="J2839" s="129">
        <f t="shared" si="133"/>
        <v>0.60261666666666669</v>
      </c>
    </row>
    <row r="2840" spans="1:10" hidden="1" x14ac:dyDescent="0.35">
      <c r="A2840" s="126" t="s">
        <v>451</v>
      </c>
      <c r="B2840" t="str">
        <f>_xlfn.XLOOKUP(A2840,'[1]2050Pop'!$A$7:$A$143,'[1]2050Pop'!$D$7:$D$143)</f>
        <v>Euro/AU/NZ</v>
      </c>
      <c r="C2840" s="127">
        <f>1000*_xlfn.XLOOKUP(A2840,'[1]2050Pop'!$A$7:$A$143,'[1]2050Pop'!$C$7:$C$143)</f>
        <v>3243</v>
      </c>
      <c r="D2840" s="126" t="s">
        <v>519</v>
      </c>
      <c r="E2840" s="128">
        <v>0.86299999999999999</v>
      </c>
      <c r="F2840" s="129">
        <f t="shared" si="134"/>
        <v>2.7987089999999999E-3</v>
      </c>
      <c r="G2840" t="str">
        <f>_xlfn.XLOOKUP(D2840,'[1]2050 BAU Mapping to T &amp; C'!$A$3:$A$52,'[1]2050 BAU Mapping to T &amp; C'!$B$3:$B$52)</f>
        <v xml:space="preserve">Oil crops </v>
      </c>
      <c r="H2840" s="129">
        <f>_xlfn.XLOOKUP(G2840,'[1]T&amp;C emissions for 2050 analysis'!$B$3:$B$23,'[1]T&amp;C emissions for 2050 analysis'!$C$3:$C$23)</f>
        <v>0.18333333333333335</v>
      </c>
      <c r="I2840" s="27">
        <f t="shared" si="132"/>
        <v>5.1309665E-4</v>
      </c>
      <c r="J2840" s="129">
        <f t="shared" si="133"/>
        <v>0.15821666666666667</v>
      </c>
    </row>
    <row r="2841" spans="1:10" hidden="1" x14ac:dyDescent="0.35">
      <c r="A2841" s="126" t="s">
        <v>452</v>
      </c>
      <c r="B2841" t="str">
        <f>_xlfn.XLOOKUP(A2841,'[1]2050Pop'!$A$7:$A$143,'[1]2050Pop'!$D$7:$D$143)</f>
        <v>SSA</v>
      </c>
      <c r="C2841" s="127">
        <f>1000*_xlfn.XLOOKUP(A2841,'[1]2050Pop'!$A$7:$A$143,'[1]2050Pop'!$C$7:$C$143)</f>
        <v>10732</v>
      </c>
      <c r="D2841" s="126" t="s">
        <v>519</v>
      </c>
      <c r="E2841" s="128">
        <v>2.948</v>
      </c>
      <c r="F2841" s="129">
        <f t="shared" si="134"/>
        <v>3.1637935999999998E-2</v>
      </c>
      <c r="G2841" t="str">
        <f>_xlfn.XLOOKUP(D2841,'[1]2050 BAU Mapping to T &amp; C'!$A$3:$A$52,'[1]2050 BAU Mapping to T &amp; C'!$B$3:$B$52)</f>
        <v xml:space="preserve">Oil crops </v>
      </c>
      <c r="H2841" s="129">
        <f>_xlfn.XLOOKUP(G2841,'[1]T&amp;C emissions for 2050 analysis'!$B$3:$B$23,'[1]T&amp;C emissions for 2050 analysis'!$C$3:$C$23)</f>
        <v>0.18333333333333335</v>
      </c>
      <c r="I2841" s="27">
        <f t="shared" si="132"/>
        <v>5.8002882666666668E-3</v>
      </c>
      <c r="J2841" s="129">
        <f t="shared" si="133"/>
        <v>0.54046666666666665</v>
      </c>
    </row>
    <row r="2842" spans="1:10" hidden="1" x14ac:dyDescent="0.35">
      <c r="A2842" s="126" t="s">
        <v>456</v>
      </c>
      <c r="B2842" t="str">
        <f>_xlfn.XLOOKUP(A2842,'[1]2050Pop'!$A$7:$A$143,'[1]2050Pop'!$D$7:$D$143)</f>
        <v>MENA</v>
      </c>
      <c r="C2842" s="127">
        <f>1000*_xlfn.XLOOKUP(A2842,'[1]2050Pop'!$A$7:$A$143,'[1]2050Pop'!$C$7:$C$143)</f>
        <v>46059</v>
      </c>
      <c r="D2842" s="126" t="s">
        <v>519</v>
      </c>
      <c r="E2842" s="128">
        <v>7.4610000000000003</v>
      </c>
      <c r="F2842" s="129">
        <f t="shared" si="134"/>
        <v>0.34364619900000004</v>
      </c>
      <c r="G2842" t="str">
        <f>_xlfn.XLOOKUP(D2842,'[1]2050 BAU Mapping to T &amp; C'!$A$3:$A$52,'[1]2050 BAU Mapping to T &amp; C'!$B$3:$B$52)</f>
        <v xml:space="preserve">Oil crops </v>
      </c>
      <c r="H2842" s="129">
        <f>_xlfn.XLOOKUP(G2842,'[1]T&amp;C emissions for 2050 analysis'!$B$3:$B$23,'[1]T&amp;C emissions for 2050 analysis'!$C$3:$C$23)</f>
        <v>0.18333333333333335</v>
      </c>
      <c r="I2842" s="27">
        <f t="shared" si="132"/>
        <v>6.3001803150000008E-2</v>
      </c>
      <c r="J2842" s="129">
        <f t="shared" si="133"/>
        <v>1.3678500000000002</v>
      </c>
    </row>
    <row r="2843" spans="1:10" hidden="1" x14ac:dyDescent="0.35">
      <c r="A2843" s="126" t="s">
        <v>492</v>
      </c>
      <c r="B2843" t="str">
        <f>_xlfn.XLOOKUP(A2843,'[1]2050Pop'!$A$7:$A$143,'[1]2050Pop'!$D$7:$D$143)</f>
        <v>SSA</v>
      </c>
      <c r="C2843" s="127">
        <f>1000*_xlfn.XLOOKUP(A2843,'[1]2050Pop'!$A$7:$A$143,'[1]2050Pop'!$C$7:$C$143)</f>
        <v>11392</v>
      </c>
      <c r="D2843" s="126" t="s">
        <v>519</v>
      </c>
      <c r="E2843" s="128">
        <v>70.712000000000003</v>
      </c>
      <c r="F2843" s="129">
        <f t="shared" si="134"/>
        <v>0.80555110400000007</v>
      </c>
      <c r="G2843" t="str">
        <f>_xlfn.XLOOKUP(D2843,'[1]2050 BAU Mapping to T &amp; C'!$A$3:$A$52,'[1]2050 BAU Mapping to T &amp; C'!$B$3:$B$52)</f>
        <v xml:space="preserve">Oil crops </v>
      </c>
      <c r="H2843" s="129">
        <f>_xlfn.XLOOKUP(G2843,'[1]T&amp;C emissions for 2050 analysis'!$B$3:$B$23,'[1]T&amp;C emissions for 2050 analysis'!$C$3:$C$23)</f>
        <v>0.18333333333333335</v>
      </c>
      <c r="I2843" s="27">
        <f t="shared" si="132"/>
        <v>0.14768436906666668</v>
      </c>
      <c r="J2843" s="129">
        <f t="shared" si="133"/>
        <v>12.963866666666668</v>
      </c>
    </row>
    <row r="2844" spans="1:10" hidden="1" x14ac:dyDescent="0.35">
      <c r="A2844" s="126" t="s">
        <v>460</v>
      </c>
      <c r="B2844" t="str">
        <f>_xlfn.XLOOKUP(A2844,'[1]2050Pop'!$A$7:$A$143,'[1]2050Pop'!$D$7:$D$143)</f>
        <v>LatAm &amp; RSA</v>
      </c>
      <c r="C2844" s="127">
        <f>1000*_xlfn.XLOOKUP(A2844,'[1]2050Pop'!$A$7:$A$143,'[1]2050Pop'!$C$7:$C$143)</f>
        <v>65540</v>
      </c>
      <c r="D2844" s="126" t="s">
        <v>519</v>
      </c>
      <c r="E2844" s="128">
        <v>5.5220000000000002</v>
      </c>
      <c r="F2844" s="129">
        <f t="shared" si="134"/>
        <v>0.36191188000000002</v>
      </c>
      <c r="G2844" t="str">
        <f>_xlfn.XLOOKUP(D2844,'[1]2050 BAU Mapping to T &amp; C'!$A$3:$A$52,'[1]2050 BAU Mapping to T &amp; C'!$B$3:$B$52)</f>
        <v xml:space="preserve">Oil crops </v>
      </c>
      <c r="H2844" s="129">
        <f>_xlfn.XLOOKUP(G2844,'[1]T&amp;C emissions for 2050 analysis'!$B$3:$B$23,'[1]T&amp;C emissions for 2050 analysis'!$C$3:$C$23)</f>
        <v>0.18333333333333335</v>
      </c>
      <c r="I2844" s="27">
        <f t="shared" si="132"/>
        <v>6.6350511333333348E-2</v>
      </c>
      <c r="J2844" s="129">
        <f t="shared" si="133"/>
        <v>1.0123666666666669</v>
      </c>
    </row>
    <row r="2845" spans="1:10" hidden="1" x14ac:dyDescent="0.35">
      <c r="A2845" s="126" t="s">
        <v>461</v>
      </c>
      <c r="B2845" t="str">
        <f>_xlfn.XLOOKUP(A2845,'[1]2050Pop'!$A$7:$A$143,'[1]2050Pop'!$D$7:$D$143)</f>
        <v>Euro/AU/NZ</v>
      </c>
      <c r="C2845" s="127">
        <f>1000*_xlfn.XLOOKUP(A2845,'[1]2050Pop'!$A$7:$A$143,'[1]2050Pop'!$C$7:$C$143)</f>
        <v>44840</v>
      </c>
      <c r="D2845" s="126" t="s">
        <v>519</v>
      </c>
      <c r="E2845" s="128">
        <v>1.351</v>
      </c>
      <c r="F2845" s="129">
        <f t="shared" si="134"/>
        <v>6.0578839999999995E-2</v>
      </c>
      <c r="G2845" t="str">
        <f>_xlfn.XLOOKUP(D2845,'[1]2050 BAU Mapping to T &amp; C'!$A$3:$A$52,'[1]2050 BAU Mapping to T &amp; C'!$B$3:$B$52)</f>
        <v xml:space="preserve">Oil crops </v>
      </c>
      <c r="H2845" s="129">
        <f>_xlfn.XLOOKUP(G2845,'[1]T&amp;C emissions for 2050 analysis'!$B$3:$B$23,'[1]T&amp;C emissions for 2050 analysis'!$C$3:$C$23)</f>
        <v>0.18333333333333335</v>
      </c>
      <c r="I2845" s="27">
        <f t="shared" si="132"/>
        <v>1.1106120666666667E-2</v>
      </c>
      <c r="J2845" s="129">
        <f t="shared" si="133"/>
        <v>0.24768333333333334</v>
      </c>
    </row>
    <row r="2846" spans="1:10" hidden="1" x14ac:dyDescent="0.35">
      <c r="A2846" s="126" t="s">
        <v>493</v>
      </c>
      <c r="B2846" t="str">
        <f>_xlfn.XLOOKUP(A2846,'[1]2050Pop'!$A$7:$A$143,'[1]2050Pop'!$D$7:$D$143)</f>
        <v>India/South Asia</v>
      </c>
      <c r="C2846" s="127">
        <f>1000*_xlfn.XLOOKUP(A2846,'[1]2050Pop'!$A$7:$A$143,'[1]2050Pop'!$C$7:$C$143)</f>
        <v>20836</v>
      </c>
      <c r="D2846" s="126" t="s">
        <v>519</v>
      </c>
      <c r="E2846" s="128">
        <v>4.6210000000000004</v>
      </c>
      <c r="F2846" s="129">
        <f t="shared" si="134"/>
        <v>9.6283156000000009E-2</v>
      </c>
      <c r="G2846" t="str">
        <f>_xlfn.XLOOKUP(D2846,'[1]2050 BAU Mapping to T &amp; C'!$A$3:$A$52,'[1]2050 BAU Mapping to T &amp; C'!$B$3:$B$52)</f>
        <v xml:space="preserve">Oil crops </v>
      </c>
      <c r="H2846" s="129">
        <f>_xlfn.XLOOKUP(G2846,'[1]T&amp;C emissions for 2050 analysis'!$B$3:$B$23,'[1]T&amp;C emissions for 2050 analysis'!$C$3:$C$23)</f>
        <v>0.18333333333333335</v>
      </c>
      <c r="I2846" s="27">
        <f t="shared" si="132"/>
        <v>1.7651911933333337E-2</v>
      </c>
      <c r="J2846" s="129">
        <f t="shared" si="133"/>
        <v>0.84718333333333351</v>
      </c>
    </row>
    <row r="2847" spans="1:10" hidden="1" x14ac:dyDescent="0.35">
      <c r="A2847" s="126" t="s">
        <v>465</v>
      </c>
      <c r="B2847" t="str">
        <f>_xlfn.XLOOKUP(A2847,'[1]2050Pop'!$A$7:$A$143,'[1]2050Pop'!$D$7:$D$143)</f>
        <v>APAC</v>
      </c>
      <c r="C2847" s="127">
        <f>1000*_xlfn.XLOOKUP(A2847,'[1]2050Pop'!$A$7:$A$143,'[1]2050Pop'!$C$7:$C$143)</f>
        <v>62452</v>
      </c>
      <c r="D2847" s="126" t="s">
        <v>519</v>
      </c>
      <c r="E2847" s="130">
        <v>2.23</v>
      </c>
      <c r="F2847" s="129">
        <f t="shared" si="134"/>
        <v>0.13926796</v>
      </c>
      <c r="G2847" t="str">
        <f>_xlfn.XLOOKUP(D2847,'[1]2050 BAU Mapping to T &amp; C'!$A$3:$A$52,'[1]2050 BAU Mapping to T &amp; C'!$B$3:$B$52)</f>
        <v xml:space="preserve">Oil crops </v>
      </c>
      <c r="H2847" s="129">
        <f>_xlfn.XLOOKUP(G2847,'[1]T&amp;C emissions for 2050 analysis'!$B$3:$B$23,'[1]T&amp;C emissions for 2050 analysis'!$C$3:$C$23)</f>
        <v>0.18333333333333335</v>
      </c>
      <c r="I2847" s="27">
        <f t="shared" si="132"/>
        <v>2.5532459333333334E-2</v>
      </c>
      <c r="J2847" s="129">
        <f t="shared" si="133"/>
        <v>0.40883333333333338</v>
      </c>
    </row>
    <row r="2848" spans="1:10" hidden="1" x14ac:dyDescent="0.35">
      <c r="A2848" s="126" t="s">
        <v>466</v>
      </c>
      <c r="B2848" t="str">
        <f>_xlfn.XLOOKUP(A2848,'[1]2050Pop'!$A$7:$A$143,'[1]2050Pop'!$D$7:$D$143)</f>
        <v>SSA</v>
      </c>
      <c r="C2848" s="127">
        <f>1000*_xlfn.XLOOKUP(A2848,'[1]2050Pop'!$A$7:$A$143,'[1]2050Pop'!$C$7:$C$143)</f>
        <v>15681</v>
      </c>
      <c r="D2848" s="126" t="s">
        <v>519</v>
      </c>
      <c r="E2848" s="128">
        <v>88.546000000000006</v>
      </c>
      <c r="F2848" s="129">
        <f t="shared" si="134"/>
        <v>1.388489826</v>
      </c>
      <c r="G2848" t="str">
        <f>_xlfn.XLOOKUP(D2848,'[1]2050 BAU Mapping to T &amp; C'!$A$3:$A$52,'[1]2050 BAU Mapping to T &amp; C'!$B$3:$B$52)</f>
        <v xml:space="preserve">Oil crops </v>
      </c>
      <c r="H2848" s="129">
        <f>_xlfn.XLOOKUP(G2848,'[1]T&amp;C emissions for 2050 analysis'!$B$3:$B$23,'[1]T&amp;C emissions for 2050 analysis'!$C$3:$C$23)</f>
        <v>0.18333333333333335</v>
      </c>
      <c r="I2848" s="27">
        <f t="shared" si="132"/>
        <v>0.25455646810000004</v>
      </c>
      <c r="J2848" s="129">
        <f t="shared" si="133"/>
        <v>16.233433333333338</v>
      </c>
    </row>
    <row r="2849" spans="1:10" hidden="1" x14ac:dyDescent="0.35">
      <c r="A2849" s="126" t="s">
        <v>467</v>
      </c>
      <c r="B2849" t="str">
        <f>_xlfn.XLOOKUP(A2849,'[1]2050Pop'!$A$7:$A$143,'[1]2050Pop'!$D$7:$D$143)</f>
        <v>LatAm &amp; RSA</v>
      </c>
      <c r="C2849" s="127">
        <f>1000*_xlfn.XLOOKUP(A2849,'[1]2050Pop'!$A$7:$A$143,'[1]2050Pop'!$C$7:$C$143)</f>
        <v>1291</v>
      </c>
      <c r="D2849" s="126" t="s">
        <v>519</v>
      </c>
      <c r="E2849" s="128">
        <v>6.2949999999999999</v>
      </c>
      <c r="F2849" s="129">
        <f t="shared" si="134"/>
        <v>8.1268450000000006E-3</v>
      </c>
      <c r="G2849" t="str">
        <f>_xlfn.XLOOKUP(D2849,'[1]2050 BAU Mapping to T &amp; C'!$A$3:$A$52,'[1]2050 BAU Mapping to T &amp; C'!$B$3:$B$52)</f>
        <v xml:space="preserve">Oil crops </v>
      </c>
      <c r="H2849" s="129">
        <f>_xlfn.XLOOKUP(G2849,'[1]T&amp;C emissions for 2050 analysis'!$B$3:$B$23,'[1]T&amp;C emissions for 2050 analysis'!$C$3:$C$23)</f>
        <v>0.18333333333333335</v>
      </c>
      <c r="I2849" s="27">
        <f t="shared" si="132"/>
        <v>1.4899215833333336E-3</v>
      </c>
      <c r="J2849" s="129">
        <f t="shared" si="133"/>
        <v>1.1540833333333333</v>
      </c>
    </row>
    <row r="2850" spans="1:10" hidden="1" x14ac:dyDescent="0.35">
      <c r="A2850" s="126" t="s">
        <v>469</v>
      </c>
      <c r="B2850" t="str">
        <f>_xlfn.XLOOKUP(A2850,'[1]2050Pop'!$A$7:$A$143,'[1]2050Pop'!$D$7:$D$143)</f>
        <v>MENA</v>
      </c>
      <c r="C2850" s="127">
        <f>1000*_xlfn.XLOOKUP(A2850,'[1]2050Pop'!$A$7:$A$143,'[1]2050Pop'!$C$7:$C$143)</f>
        <v>95819</v>
      </c>
      <c r="D2850" s="126" t="s">
        <v>519</v>
      </c>
      <c r="E2850" s="128">
        <v>13.971</v>
      </c>
      <c r="F2850" s="129">
        <f t="shared" si="134"/>
        <v>1.3386872490000001</v>
      </c>
      <c r="G2850" t="str">
        <f>_xlfn.XLOOKUP(D2850,'[1]2050 BAU Mapping to T &amp; C'!$A$3:$A$52,'[1]2050 BAU Mapping to T &amp; C'!$B$3:$B$52)</f>
        <v xml:space="preserve">Oil crops </v>
      </c>
      <c r="H2850" s="129">
        <f>_xlfn.XLOOKUP(G2850,'[1]T&amp;C emissions for 2050 analysis'!$B$3:$B$23,'[1]T&amp;C emissions for 2050 analysis'!$C$3:$C$23)</f>
        <v>0.18333333333333335</v>
      </c>
      <c r="I2850" s="27">
        <f t="shared" si="132"/>
        <v>0.24542599565000003</v>
      </c>
      <c r="J2850" s="129">
        <f t="shared" si="133"/>
        <v>2.56135</v>
      </c>
    </row>
    <row r="2851" spans="1:10" hidden="1" x14ac:dyDescent="0.35">
      <c r="A2851" s="126" t="s">
        <v>470</v>
      </c>
      <c r="B2851" t="str">
        <f>_xlfn.XLOOKUP(A2851,'[1]2050Pop'!$A$7:$A$143,'[1]2050Pop'!$D$7:$D$143)</f>
        <v>SSA</v>
      </c>
      <c r="C2851" s="127">
        <f>1000*_xlfn.XLOOKUP(A2851,'[1]2050Pop'!$A$7:$A$143,'[1]2050Pop'!$C$7:$C$143)</f>
        <v>101873</v>
      </c>
      <c r="D2851" s="126" t="s">
        <v>519</v>
      </c>
      <c r="E2851" s="128">
        <v>1.101</v>
      </c>
      <c r="F2851" s="129">
        <f t="shared" si="134"/>
        <v>0.11216217299999999</v>
      </c>
      <c r="G2851" t="str">
        <f>_xlfn.XLOOKUP(D2851,'[1]2050 BAU Mapping to T &amp; C'!$A$3:$A$52,'[1]2050 BAU Mapping to T &amp; C'!$B$3:$B$52)</f>
        <v xml:space="preserve">Oil crops </v>
      </c>
      <c r="H2851" s="129">
        <f>_xlfn.XLOOKUP(G2851,'[1]T&amp;C emissions for 2050 analysis'!$B$3:$B$23,'[1]T&amp;C emissions for 2050 analysis'!$C$3:$C$23)</f>
        <v>0.18333333333333335</v>
      </c>
      <c r="I2851" s="27">
        <f t="shared" si="132"/>
        <v>2.0563065049999999E-2</v>
      </c>
      <c r="J2851" s="129">
        <f t="shared" si="133"/>
        <v>0.20185</v>
      </c>
    </row>
    <row r="2852" spans="1:10" hidden="1" x14ac:dyDescent="0.35">
      <c r="A2852" s="126" t="s">
        <v>472</v>
      </c>
      <c r="B2852" t="str">
        <f>_xlfn.XLOOKUP(A2852,'[1]2050Pop'!$A$7:$A$143,'[1]2050Pop'!$D$7:$D$143)</f>
        <v>Euro/AU/NZ</v>
      </c>
      <c r="C2852" s="127">
        <f>1000*_xlfn.XLOOKUP(A2852,'[1]2050Pop'!$A$7:$A$143,'[1]2050Pop'!$C$7:$C$143)</f>
        <v>75361</v>
      </c>
      <c r="D2852" s="126" t="s">
        <v>519</v>
      </c>
      <c r="E2852" s="128">
        <v>2.7080000000000002</v>
      </c>
      <c r="F2852" s="129">
        <f t="shared" si="134"/>
        <v>0.204077588</v>
      </c>
      <c r="G2852" t="str">
        <f>_xlfn.XLOOKUP(D2852,'[1]2050 BAU Mapping to T &amp; C'!$A$3:$A$52,'[1]2050 BAU Mapping to T &amp; C'!$B$3:$B$52)</f>
        <v xml:space="preserve">Oil crops </v>
      </c>
      <c r="H2852" s="129">
        <f>_xlfn.XLOOKUP(G2852,'[1]T&amp;C emissions for 2050 analysis'!$B$3:$B$23,'[1]T&amp;C emissions for 2050 analysis'!$C$3:$C$23)</f>
        <v>0.18333333333333335</v>
      </c>
      <c r="I2852" s="27">
        <f t="shared" si="132"/>
        <v>3.7414224466666673E-2</v>
      </c>
      <c r="J2852" s="129">
        <f t="shared" si="133"/>
        <v>0.49646666666666672</v>
      </c>
    </row>
    <row r="2853" spans="1:10" hidden="1" x14ac:dyDescent="0.35">
      <c r="A2853" s="126" t="s">
        <v>473</v>
      </c>
      <c r="B2853" t="str">
        <f>_xlfn.XLOOKUP(A2853,'[1]2050Pop'!$A$7:$A$143,'[1]2050Pop'!$D$7:$D$143)</f>
        <v>SSA</v>
      </c>
      <c r="C2853" s="127">
        <f>1000*_xlfn.XLOOKUP(A2853,'[1]2050Pop'!$A$7:$A$143,'[1]2050Pop'!$C$7:$C$143)</f>
        <v>137136</v>
      </c>
      <c r="D2853" s="126" t="s">
        <v>519</v>
      </c>
      <c r="E2853" s="128">
        <v>5.3140000000000001</v>
      </c>
      <c r="F2853" s="129">
        <f t="shared" si="134"/>
        <v>0.72874070400000002</v>
      </c>
      <c r="G2853" t="str">
        <f>_xlfn.XLOOKUP(D2853,'[1]2050 BAU Mapping to T &amp; C'!$A$3:$A$52,'[1]2050 BAU Mapping to T &amp; C'!$B$3:$B$52)</f>
        <v xml:space="preserve">Oil crops </v>
      </c>
      <c r="H2853" s="129">
        <f>_xlfn.XLOOKUP(G2853,'[1]T&amp;C emissions for 2050 analysis'!$B$3:$B$23,'[1]T&amp;C emissions for 2050 analysis'!$C$3:$C$23)</f>
        <v>0.18333333333333335</v>
      </c>
      <c r="I2853" s="27">
        <f t="shared" si="132"/>
        <v>0.13360246240000001</v>
      </c>
      <c r="J2853" s="129">
        <f t="shared" si="133"/>
        <v>0.9742333333333334</v>
      </c>
    </row>
    <row r="2854" spans="1:10" hidden="1" x14ac:dyDescent="0.35">
      <c r="A2854" s="126" t="s">
        <v>474</v>
      </c>
      <c r="B2854" t="str">
        <f>_xlfn.XLOOKUP(A2854,'[1]2050Pop'!$A$7:$A$143,'[1]2050Pop'!$D$7:$D$143)</f>
        <v>NAm</v>
      </c>
      <c r="C2854" s="127">
        <f>1000*_xlfn.XLOOKUP(A2854,'[1]2050Pop'!$A$7:$A$143,'[1]2050Pop'!$C$7:$C$143)</f>
        <v>388865</v>
      </c>
      <c r="D2854" s="126" t="s">
        <v>519</v>
      </c>
      <c r="E2854" s="128">
        <v>1.2669999999999999</v>
      </c>
      <c r="F2854" s="129">
        <f t="shared" si="134"/>
        <v>0.49269195499999996</v>
      </c>
      <c r="G2854" t="str">
        <f>_xlfn.XLOOKUP(D2854,'[1]2050 BAU Mapping to T &amp; C'!$A$3:$A$52,'[1]2050 BAU Mapping to T &amp; C'!$B$3:$B$52)</f>
        <v xml:space="preserve">Oil crops </v>
      </c>
      <c r="H2854" s="129">
        <f>_xlfn.XLOOKUP(G2854,'[1]T&amp;C emissions for 2050 analysis'!$B$3:$B$23,'[1]T&amp;C emissions for 2050 analysis'!$C$3:$C$23)</f>
        <v>0.18333333333333335</v>
      </c>
      <c r="I2854" s="27">
        <f t="shared" si="132"/>
        <v>9.0326858416666669E-2</v>
      </c>
      <c r="J2854" s="129">
        <f t="shared" si="133"/>
        <v>0.23228333333333334</v>
      </c>
    </row>
    <row r="2855" spans="1:10" hidden="1" x14ac:dyDescent="0.35">
      <c r="A2855" s="126" t="s">
        <v>478</v>
      </c>
      <c r="B2855" t="str">
        <f>_xlfn.XLOOKUP(A2855,'[1]2050Pop'!$A$7:$A$143,'[1]2050Pop'!$D$7:$D$143)</f>
        <v>MENA</v>
      </c>
      <c r="C2855" s="127">
        <f>1000*_xlfn.XLOOKUP(A2855,'[1]2050Pop'!$A$7:$A$143,'[1]2050Pop'!$C$7:$C$143)</f>
        <v>47170</v>
      </c>
      <c r="D2855" s="126" t="s">
        <v>519</v>
      </c>
      <c r="E2855" s="128">
        <v>5.1589999999999998</v>
      </c>
      <c r="F2855" s="129">
        <f t="shared" si="134"/>
        <v>0.24335002999999999</v>
      </c>
      <c r="G2855" t="str">
        <f>_xlfn.XLOOKUP(D2855,'[1]2050 BAU Mapping to T &amp; C'!$A$3:$A$52,'[1]2050 BAU Mapping to T &amp; C'!$B$3:$B$52)</f>
        <v xml:space="preserve">Oil crops </v>
      </c>
      <c r="H2855" s="129">
        <f>_xlfn.XLOOKUP(G2855,'[1]T&amp;C emissions for 2050 analysis'!$B$3:$B$23,'[1]T&amp;C emissions for 2050 analysis'!$C$3:$C$23)</f>
        <v>0.18333333333333335</v>
      </c>
      <c r="I2855" s="27">
        <f t="shared" si="132"/>
        <v>4.4614172166666667E-2</v>
      </c>
      <c r="J2855" s="129">
        <f t="shared" si="133"/>
        <v>0.94581666666666675</v>
      </c>
    </row>
    <row r="2856" spans="1:10" hidden="1" x14ac:dyDescent="0.35">
      <c r="A2856" s="126" t="s">
        <v>479</v>
      </c>
      <c r="B2856" t="str">
        <f>_xlfn.XLOOKUP(A2856,'[1]2050Pop'!$A$7:$A$143,'[1]2050Pop'!$D$7:$D$143)</f>
        <v>SSA</v>
      </c>
      <c r="C2856" s="127">
        <f>1000*_xlfn.XLOOKUP(A2856,'[1]2050Pop'!$A$7:$A$143,'[1]2050Pop'!$C$7:$C$143)</f>
        <v>29615</v>
      </c>
      <c r="D2856" s="126" t="s">
        <v>519</v>
      </c>
      <c r="E2856" s="128">
        <v>1.3109999999999999</v>
      </c>
      <c r="F2856" s="129">
        <f t="shared" si="134"/>
        <v>3.8825264999999998E-2</v>
      </c>
      <c r="G2856" t="str">
        <f>_xlfn.XLOOKUP(D2856,'[1]2050 BAU Mapping to T &amp; C'!$A$3:$A$52,'[1]2050 BAU Mapping to T &amp; C'!$B$3:$B$52)</f>
        <v xml:space="preserve">Oil crops </v>
      </c>
      <c r="H2856" s="129">
        <f>_xlfn.XLOOKUP(G2856,'[1]T&amp;C emissions for 2050 analysis'!$B$3:$B$23,'[1]T&amp;C emissions for 2050 analysis'!$C$3:$C$23)</f>
        <v>0.18333333333333335</v>
      </c>
      <c r="I2856" s="27">
        <f t="shared" si="132"/>
        <v>7.1179652500000003E-3</v>
      </c>
      <c r="J2856" s="129">
        <f t="shared" si="133"/>
        <v>0.24035000000000001</v>
      </c>
    </row>
    <row r="2857" spans="1:10" hidden="1" x14ac:dyDescent="0.35">
      <c r="A2857" s="126" t="s">
        <v>452</v>
      </c>
      <c r="B2857" t="str">
        <f>_xlfn.XLOOKUP(A2857,'[1]2050Pop'!$A$7:$A$143,'[1]2050Pop'!$D$7:$D$143)</f>
        <v>SSA</v>
      </c>
      <c r="C2857" s="127">
        <f>1000*_xlfn.XLOOKUP(A2857,'[1]2050Pop'!$A$7:$A$143,'[1]2050Pop'!$C$7:$C$143)</f>
        <v>10732</v>
      </c>
      <c r="D2857" s="126" t="s">
        <v>520</v>
      </c>
      <c r="E2857" s="128">
        <v>18.818999999999999</v>
      </c>
      <c r="F2857" s="129">
        <f t="shared" si="134"/>
        <v>0.20196550799999999</v>
      </c>
      <c r="G2857" t="str">
        <f>_xlfn.XLOOKUP(D2857,'[1]2050 BAU Mapping to T &amp; C'!$A$3:$A$52,'[1]2050 BAU Mapping to T &amp; C'!$B$3:$B$52)</f>
        <v xml:space="preserve">Oil crops </v>
      </c>
      <c r="H2857" s="129">
        <f>_xlfn.XLOOKUP(G2857,'[1]T&amp;C emissions for 2050 analysis'!$B$3:$B$23,'[1]T&amp;C emissions for 2050 analysis'!$C$3:$C$23)</f>
        <v>0.18333333333333335</v>
      </c>
      <c r="I2857" s="27">
        <f t="shared" si="132"/>
        <v>3.7027009800000003E-2</v>
      </c>
      <c r="J2857" s="129">
        <f t="shared" si="133"/>
        <v>3.4501500000000003</v>
      </c>
    </row>
    <row r="2858" spans="1:10" hidden="1" x14ac:dyDescent="0.35">
      <c r="A2858" s="126" t="s">
        <v>357</v>
      </c>
      <c r="B2858" t="str">
        <f>_xlfn.XLOOKUP(A2858,'[1]2050Pop'!$A$7:$A$143,'[1]2050Pop'!$D$7:$D$143)</f>
        <v>Euro/AU/NZ</v>
      </c>
      <c r="C2858" s="127">
        <f>1000*_xlfn.XLOOKUP(A2858,'[1]2050Pop'!$A$7:$A$143,'[1]2050Pop'!$C$7:$C$143)</f>
        <v>2710</v>
      </c>
      <c r="D2858" s="126" t="s">
        <v>521</v>
      </c>
      <c r="E2858" s="128">
        <v>94.477999999999994</v>
      </c>
      <c r="F2858" s="129">
        <f t="shared" si="134"/>
        <v>0.25603537999999998</v>
      </c>
      <c r="G2858" t="str">
        <f>_xlfn.XLOOKUP(D2858,'[1]2050 BAU Mapping to T &amp; C'!$A$3:$A$52,'[1]2050 BAU Mapping to T &amp; C'!$B$3:$B$52)</f>
        <v>Pork</v>
      </c>
      <c r="H2858" s="129">
        <f>_xlfn.XLOOKUP(G2858,'[1]T&amp;C emissions for 2050 analysis'!$B$3:$B$23,'[1]T&amp;C emissions for 2050 analysis'!$C$3:$C$23)</f>
        <v>5.8666666666666671</v>
      </c>
      <c r="I2858" s="27">
        <f t="shared" si="132"/>
        <v>1.5020742293333333</v>
      </c>
      <c r="J2858" s="129">
        <f t="shared" si="133"/>
        <v>554.27093333333335</v>
      </c>
    </row>
    <row r="2859" spans="1:10" hidden="1" x14ac:dyDescent="0.35">
      <c r="A2859" s="126" t="s">
        <v>359</v>
      </c>
      <c r="B2859" t="str">
        <f>_xlfn.XLOOKUP(A2859,'[1]2050Pop'!$A$7:$A$143,'[1]2050Pop'!$D$7:$D$143)</f>
        <v>SSA</v>
      </c>
      <c r="C2859" s="127">
        <f>1000*_xlfn.XLOOKUP(A2859,'[1]2050Pop'!$A$7:$A$143,'[1]2050Pop'!$C$7:$C$143)</f>
        <v>65473</v>
      </c>
      <c r="D2859" s="126" t="s">
        <v>521</v>
      </c>
      <c r="E2859" s="128">
        <v>73.027000000000001</v>
      </c>
      <c r="F2859" s="129">
        <f t="shared" si="134"/>
        <v>4.7812967710000001</v>
      </c>
      <c r="G2859" t="str">
        <f>_xlfn.XLOOKUP(D2859,'[1]2050 BAU Mapping to T &amp; C'!$A$3:$A$52,'[1]2050 BAU Mapping to T &amp; C'!$B$3:$B$52)</f>
        <v>Pork</v>
      </c>
      <c r="H2859" s="129">
        <f>_xlfn.XLOOKUP(G2859,'[1]T&amp;C emissions for 2050 analysis'!$B$3:$B$23,'[1]T&amp;C emissions for 2050 analysis'!$C$3:$C$23)</f>
        <v>5.8666666666666671</v>
      </c>
      <c r="I2859" s="27">
        <f t="shared" si="132"/>
        <v>28.050274389866669</v>
      </c>
      <c r="J2859" s="129">
        <f t="shared" si="133"/>
        <v>428.42506666666668</v>
      </c>
    </row>
    <row r="2860" spans="1:10" hidden="1" x14ac:dyDescent="0.35">
      <c r="A2860" s="126" t="s">
        <v>360</v>
      </c>
      <c r="B2860" t="str">
        <f>_xlfn.XLOOKUP(A2860,'[1]2050Pop'!$A$7:$A$143,'[1]2050Pop'!$D$7:$D$143)</f>
        <v>LatAm &amp; RSA</v>
      </c>
      <c r="C2860" s="127">
        <f>1000*_xlfn.XLOOKUP(A2860,'[1]2050Pop'!$A$7:$A$143,'[1]2050Pop'!$C$7:$C$143)</f>
        <v>55445</v>
      </c>
      <c r="D2860" s="126" t="s">
        <v>521</v>
      </c>
      <c r="E2860" s="128">
        <v>76.150999999999996</v>
      </c>
      <c r="F2860" s="129">
        <f t="shared" si="134"/>
        <v>4.222192194999999</v>
      </c>
      <c r="G2860" t="str">
        <f>_xlfn.XLOOKUP(D2860,'[1]2050 BAU Mapping to T &amp; C'!$A$3:$A$52,'[1]2050 BAU Mapping to T &amp; C'!$B$3:$B$52)</f>
        <v>Pork</v>
      </c>
      <c r="H2860" s="129">
        <f>_xlfn.XLOOKUP(G2860,'[1]T&amp;C emissions for 2050 analysis'!$B$3:$B$23,'[1]T&amp;C emissions for 2050 analysis'!$C$3:$C$23)</f>
        <v>5.8666666666666671</v>
      </c>
      <c r="I2860" s="27">
        <f t="shared" si="132"/>
        <v>24.770194210666663</v>
      </c>
      <c r="J2860" s="129">
        <f t="shared" si="133"/>
        <v>446.75253333333336</v>
      </c>
    </row>
    <row r="2861" spans="1:10" hidden="1" x14ac:dyDescent="0.35">
      <c r="A2861" s="126" t="s">
        <v>361</v>
      </c>
      <c r="B2861" t="str">
        <f>_xlfn.XLOOKUP(A2861,'[1]2050Pop'!$A$7:$A$143,'[1]2050Pop'!$D$7:$D$143)</f>
        <v>MENA</v>
      </c>
      <c r="C2861" s="127">
        <f>1000*_xlfn.XLOOKUP(A2861,'[1]2050Pop'!$A$7:$A$143,'[1]2050Pop'!$C$7:$C$143)</f>
        <v>2729</v>
      </c>
      <c r="D2861" s="126" t="s">
        <v>521</v>
      </c>
      <c r="E2861" s="128">
        <v>76.626999999999995</v>
      </c>
      <c r="F2861" s="129">
        <f t="shared" si="134"/>
        <v>0.20911508299999998</v>
      </c>
      <c r="G2861" t="str">
        <f>_xlfn.XLOOKUP(D2861,'[1]2050 BAU Mapping to T &amp; C'!$A$3:$A$52,'[1]2050 BAU Mapping to T &amp; C'!$B$3:$B$52)</f>
        <v>Pork</v>
      </c>
      <c r="H2861" s="129">
        <f>_xlfn.XLOOKUP(G2861,'[1]T&amp;C emissions for 2050 analysis'!$B$3:$B$23,'[1]T&amp;C emissions for 2050 analysis'!$C$3:$C$23)</f>
        <v>5.8666666666666671</v>
      </c>
      <c r="I2861" s="27">
        <f t="shared" si="132"/>
        <v>1.2268084869333333</v>
      </c>
      <c r="J2861" s="129">
        <f t="shared" si="133"/>
        <v>449.54506666666668</v>
      </c>
    </row>
    <row r="2862" spans="1:10" hidden="1" x14ac:dyDescent="0.35">
      <c r="A2862" s="126" t="s">
        <v>362</v>
      </c>
      <c r="B2862" t="str">
        <f>_xlfn.XLOOKUP(A2862,'[1]2050Pop'!$A$7:$A$143,'[1]2050Pop'!$D$7:$D$143)</f>
        <v>Euro/AU/NZ</v>
      </c>
      <c r="C2862" s="127">
        <f>1000*_xlfn.XLOOKUP(A2862,'[1]2050Pop'!$A$7:$A$143,'[1]2050Pop'!$C$7:$C$143)</f>
        <v>33496</v>
      </c>
      <c r="D2862" s="126" t="s">
        <v>521</v>
      </c>
      <c r="E2862" s="128">
        <v>122.86499999999999</v>
      </c>
      <c r="F2862" s="129">
        <f t="shared" si="134"/>
        <v>4.1154860400000004</v>
      </c>
      <c r="G2862" t="str">
        <f>_xlfn.XLOOKUP(D2862,'[1]2050 BAU Mapping to T &amp; C'!$A$3:$A$52,'[1]2050 BAU Mapping to T &amp; C'!$B$3:$B$52)</f>
        <v>Pork</v>
      </c>
      <c r="H2862" s="129">
        <f>_xlfn.XLOOKUP(G2862,'[1]T&amp;C emissions for 2050 analysis'!$B$3:$B$23,'[1]T&amp;C emissions for 2050 analysis'!$C$3:$C$23)</f>
        <v>5.8666666666666671</v>
      </c>
      <c r="I2862" s="27">
        <f t="shared" si="132"/>
        <v>24.144184768000006</v>
      </c>
      <c r="J2862" s="129">
        <f t="shared" si="133"/>
        <v>720.80799999999999</v>
      </c>
    </row>
    <row r="2863" spans="1:10" hidden="1" x14ac:dyDescent="0.35">
      <c r="A2863" s="126" t="s">
        <v>363</v>
      </c>
      <c r="B2863" t="str">
        <f>_xlfn.XLOOKUP(A2863,'[1]2050Pop'!$A$7:$A$143,'[1]2050Pop'!$D$7:$D$143)</f>
        <v>Euro/AU/NZ</v>
      </c>
      <c r="C2863" s="127">
        <f>1000*_xlfn.XLOOKUP(A2863,'[1]2050Pop'!$A$7:$A$143,'[1]2050Pop'!$C$7:$C$143)</f>
        <v>8846</v>
      </c>
      <c r="D2863" s="126" t="s">
        <v>521</v>
      </c>
      <c r="E2863" s="128">
        <v>261.82499999999999</v>
      </c>
      <c r="F2863" s="129">
        <f t="shared" si="134"/>
        <v>2.3161039499999996</v>
      </c>
      <c r="G2863" t="str">
        <f>_xlfn.XLOOKUP(D2863,'[1]2050 BAU Mapping to T &amp; C'!$A$3:$A$52,'[1]2050 BAU Mapping to T &amp; C'!$B$3:$B$52)</f>
        <v>Pork</v>
      </c>
      <c r="H2863" s="129">
        <f>_xlfn.XLOOKUP(G2863,'[1]T&amp;C emissions for 2050 analysis'!$B$3:$B$23,'[1]T&amp;C emissions for 2050 analysis'!$C$3:$C$23)</f>
        <v>5.8666666666666671</v>
      </c>
      <c r="I2863" s="27">
        <f t="shared" si="132"/>
        <v>13.587809839999998</v>
      </c>
      <c r="J2863" s="129">
        <f t="shared" si="133"/>
        <v>1536.04</v>
      </c>
    </row>
    <row r="2864" spans="1:10" hidden="1" x14ac:dyDescent="0.35">
      <c r="A2864" s="126" t="s">
        <v>364</v>
      </c>
      <c r="B2864" t="str">
        <f>_xlfn.XLOOKUP(A2864,'[1]2050Pop'!$A$7:$A$143,'[1]2050Pop'!$D$7:$D$143)</f>
        <v>MENA</v>
      </c>
      <c r="C2864" s="127">
        <f>1000*_xlfn.XLOOKUP(A2864,'[1]2050Pop'!$A$7:$A$143,'[1]2050Pop'!$C$7:$C$143)</f>
        <v>10963</v>
      </c>
      <c r="D2864" s="126" t="s">
        <v>521</v>
      </c>
      <c r="E2864" s="130">
        <v>2.0299999999999998</v>
      </c>
      <c r="F2864" s="129">
        <f t="shared" si="134"/>
        <v>2.2254889999999999E-2</v>
      </c>
      <c r="G2864" t="str">
        <f>_xlfn.XLOOKUP(D2864,'[1]2050 BAU Mapping to T &amp; C'!$A$3:$A$52,'[1]2050 BAU Mapping to T &amp; C'!$B$3:$B$52)</f>
        <v>Pork</v>
      </c>
      <c r="H2864" s="129">
        <f>_xlfn.XLOOKUP(G2864,'[1]T&amp;C emissions for 2050 analysis'!$B$3:$B$23,'[1]T&amp;C emissions for 2050 analysis'!$C$3:$C$23)</f>
        <v>5.8666666666666671</v>
      </c>
      <c r="I2864" s="27">
        <f t="shared" si="132"/>
        <v>0.13056202133333333</v>
      </c>
      <c r="J2864" s="129">
        <f t="shared" si="133"/>
        <v>11.909333333333333</v>
      </c>
    </row>
    <row r="2865" spans="1:10" hidden="1" x14ac:dyDescent="0.35">
      <c r="A2865" s="126" t="s">
        <v>366</v>
      </c>
      <c r="B2865" t="str">
        <f>_xlfn.XLOOKUP(A2865,'[1]2050Pop'!$A$7:$A$143,'[1]2050Pop'!$D$7:$D$143)</f>
        <v>Euro/AU/NZ</v>
      </c>
      <c r="C2865" s="127">
        <f>1000*_xlfn.XLOOKUP(A2865,'[1]2050Pop'!$A$7:$A$143,'[1]2050Pop'!$C$7:$C$143)</f>
        <v>8125</v>
      </c>
      <c r="D2865" s="126" t="s">
        <v>521</v>
      </c>
      <c r="E2865" s="128">
        <v>228.38800000000001</v>
      </c>
      <c r="F2865" s="129">
        <f t="shared" si="134"/>
        <v>1.8556524999999999</v>
      </c>
      <c r="G2865" t="str">
        <f>_xlfn.XLOOKUP(D2865,'[1]2050 BAU Mapping to T &amp; C'!$A$3:$A$52,'[1]2050 BAU Mapping to T &amp; C'!$B$3:$B$52)</f>
        <v>Pork</v>
      </c>
      <c r="H2865" s="129">
        <f>_xlfn.XLOOKUP(G2865,'[1]T&amp;C emissions for 2050 analysis'!$B$3:$B$23,'[1]T&amp;C emissions for 2050 analysis'!$C$3:$C$23)</f>
        <v>5.8666666666666671</v>
      </c>
      <c r="I2865" s="27">
        <f t="shared" si="132"/>
        <v>10.886494666666668</v>
      </c>
      <c r="J2865" s="129">
        <f t="shared" si="133"/>
        <v>1339.8762666666669</v>
      </c>
    </row>
    <row r="2866" spans="1:10" hidden="1" x14ac:dyDescent="0.35">
      <c r="A2866" s="126" t="s">
        <v>367</v>
      </c>
      <c r="B2866" t="str">
        <f>_xlfn.XLOOKUP(A2866,'[1]2050Pop'!$A$7:$A$143,'[1]2050Pop'!$D$7:$D$143)</f>
        <v>Euro/AU/NZ</v>
      </c>
      <c r="C2866" s="127">
        <f>1000*_xlfn.XLOOKUP(A2866,'[1]2050Pop'!$A$7:$A$143,'[1]2050Pop'!$C$7:$C$143)</f>
        <v>12527</v>
      </c>
      <c r="D2866" s="126" t="s">
        <v>521</v>
      </c>
      <c r="E2866" s="128">
        <v>173.96199999999999</v>
      </c>
      <c r="F2866" s="129">
        <f t="shared" si="134"/>
        <v>2.1792219739999998</v>
      </c>
      <c r="G2866" t="str">
        <f>_xlfn.XLOOKUP(D2866,'[1]2050 BAU Mapping to T &amp; C'!$A$3:$A$52,'[1]2050 BAU Mapping to T &amp; C'!$B$3:$B$52)</f>
        <v>Pork</v>
      </c>
      <c r="H2866" s="129">
        <f>_xlfn.XLOOKUP(G2866,'[1]T&amp;C emissions for 2050 analysis'!$B$3:$B$23,'[1]T&amp;C emissions for 2050 analysis'!$C$3:$C$23)</f>
        <v>5.8666666666666671</v>
      </c>
      <c r="I2866" s="27">
        <f t="shared" si="132"/>
        <v>12.784768914133334</v>
      </c>
      <c r="J2866" s="129">
        <f t="shared" si="133"/>
        <v>1020.5770666666667</v>
      </c>
    </row>
    <row r="2867" spans="1:10" hidden="1" x14ac:dyDescent="0.35">
      <c r="A2867" s="126" t="s">
        <v>368</v>
      </c>
      <c r="B2867" t="str">
        <f>_xlfn.XLOOKUP(A2867,'[1]2050Pop'!$A$7:$A$143,'[1]2050Pop'!$D$7:$D$143)</f>
        <v>SSA</v>
      </c>
      <c r="C2867" s="127">
        <f>1000*_xlfn.XLOOKUP(A2867,'[1]2050Pop'!$A$7:$A$143,'[1]2050Pop'!$C$7:$C$143)</f>
        <v>22549</v>
      </c>
      <c r="D2867" s="126" t="s">
        <v>521</v>
      </c>
      <c r="E2867" s="128">
        <v>9.0980000000000008</v>
      </c>
      <c r="F2867" s="129">
        <f t="shared" si="134"/>
        <v>0.20515080200000002</v>
      </c>
      <c r="G2867" t="str">
        <f>_xlfn.XLOOKUP(D2867,'[1]2050 BAU Mapping to T &amp; C'!$A$3:$A$52,'[1]2050 BAU Mapping to T &amp; C'!$B$3:$B$52)</f>
        <v>Pork</v>
      </c>
      <c r="H2867" s="129">
        <f>_xlfn.XLOOKUP(G2867,'[1]T&amp;C emissions for 2050 analysis'!$B$3:$B$23,'[1]T&amp;C emissions for 2050 analysis'!$C$3:$C$23)</f>
        <v>5.8666666666666671</v>
      </c>
      <c r="I2867" s="27">
        <f t="shared" si="132"/>
        <v>1.2035513717333335</v>
      </c>
      <c r="J2867" s="129">
        <f t="shared" si="133"/>
        <v>53.374933333333345</v>
      </c>
    </row>
    <row r="2868" spans="1:10" hidden="1" x14ac:dyDescent="0.35">
      <c r="A2868" s="126" t="s">
        <v>369</v>
      </c>
      <c r="B2868" t="str">
        <f>_xlfn.XLOOKUP(A2868,'[1]2050Pop'!$A$7:$A$143,'[1]2050Pop'!$D$7:$D$143)</f>
        <v>LatAm &amp; RSA</v>
      </c>
      <c r="C2868" s="127">
        <f>1000*_xlfn.XLOOKUP(A2868,'[1]2050Pop'!$A$7:$A$143,'[1]2050Pop'!$C$7:$C$143)</f>
        <v>15963</v>
      </c>
      <c r="D2868" s="126" t="s">
        <v>521</v>
      </c>
      <c r="E2868" s="128">
        <v>46.959000000000003</v>
      </c>
      <c r="F2868" s="129">
        <f t="shared" si="134"/>
        <v>0.74960651700000014</v>
      </c>
      <c r="G2868" t="str">
        <f>_xlfn.XLOOKUP(D2868,'[1]2050 BAU Mapping to T &amp; C'!$A$3:$A$52,'[1]2050 BAU Mapping to T &amp; C'!$B$3:$B$52)</f>
        <v>Pork</v>
      </c>
      <c r="H2868" s="129">
        <f>_xlfn.XLOOKUP(G2868,'[1]T&amp;C emissions for 2050 analysis'!$B$3:$B$23,'[1]T&amp;C emissions for 2050 analysis'!$C$3:$C$23)</f>
        <v>5.8666666666666671</v>
      </c>
      <c r="I2868" s="27">
        <f t="shared" si="132"/>
        <v>4.3976915664000016</v>
      </c>
      <c r="J2868" s="129">
        <f t="shared" si="133"/>
        <v>275.49280000000005</v>
      </c>
    </row>
    <row r="2869" spans="1:10" hidden="1" x14ac:dyDescent="0.35">
      <c r="A2869" s="126" t="s">
        <v>370</v>
      </c>
      <c r="B2869" t="str">
        <f>_xlfn.XLOOKUP(A2869,'[1]2050Pop'!$A$7:$A$143,'[1]2050Pop'!$D$7:$D$143)</f>
        <v>Euro/AU/NZ</v>
      </c>
      <c r="C2869" s="127">
        <f>1000*_xlfn.XLOOKUP(A2869,'[1]2050Pop'!$A$7:$A$143,'[1]2050Pop'!$C$7:$C$143)</f>
        <v>3069</v>
      </c>
      <c r="D2869" s="126" t="s">
        <v>521</v>
      </c>
      <c r="E2869" s="128">
        <v>83.049000000000007</v>
      </c>
      <c r="F2869" s="129">
        <f t="shared" si="134"/>
        <v>0.25487738100000001</v>
      </c>
      <c r="G2869" t="str">
        <f>_xlfn.XLOOKUP(D2869,'[1]2050 BAU Mapping to T &amp; C'!$A$3:$A$52,'[1]2050 BAU Mapping to T &amp; C'!$B$3:$B$52)</f>
        <v>Pork</v>
      </c>
      <c r="H2869" s="129">
        <f>_xlfn.XLOOKUP(G2869,'[1]T&amp;C emissions for 2050 analysis'!$B$3:$B$23,'[1]T&amp;C emissions for 2050 analysis'!$C$3:$C$23)</f>
        <v>5.8666666666666671</v>
      </c>
      <c r="I2869" s="27">
        <f t="shared" si="132"/>
        <v>1.4952806352000001</v>
      </c>
      <c r="J2869" s="129">
        <f t="shared" si="133"/>
        <v>487.22080000000005</v>
      </c>
    </row>
    <row r="2870" spans="1:10" hidden="1" x14ac:dyDescent="0.35">
      <c r="A2870" s="126" t="s">
        <v>371</v>
      </c>
      <c r="B2870" t="str">
        <f>_xlfn.XLOOKUP(A2870,'[1]2050Pop'!$A$7:$A$143,'[1]2050Pop'!$D$7:$D$143)</f>
        <v>SSA</v>
      </c>
      <c r="C2870" s="127">
        <f>1000*_xlfn.XLOOKUP(A2870,'[1]2050Pop'!$A$7:$A$143,'[1]2050Pop'!$C$7:$C$143)</f>
        <v>3389</v>
      </c>
      <c r="D2870" s="126" t="s">
        <v>521</v>
      </c>
      <c r="E2870" s="128">
        <v>7.484</v>
      </c>
      <c r="F2870" s="129">
        <f t="shared" si="134"/>
        <v>2.5363276000000001E-2</v>
      </c>
      <c r="G2870" t="str">
        <f>_xlfn.XLOOKUP(D2870,'[1]2050 BAU Mapping to T &amp; C'!$A$3:$A$52,'[1]2050 BAU Mapping to T &amp; C'!$B$3:$B$52)</f>
        <v>Pork</v>
      </c>
      <c r="H2870" s="129">
        <f>_xlfn.XLOOKUP(G2870,'[1]T&amp;C emissions for 2050 analysis'!$B$3:$B$23,'[1]T&amp;C emissions for 2050 analysis'!$C$3:$C$23)</f>
        <v>5.8666666666666671</v>
      </c>
      <c r="I2870" s="27">
        <f t="shared" si="132"/>
        <v>0.14879788586666667</v>
      </c>
      <c r="J2870" s="129">
        <f t="shared" si="133"/>
        <v>43.906133333333337</v>
      </c>
    </row>
    <row r="2871" spans="1:10" hidden="1" x14ac:dyDescent="0.35">
      <c r="A2871" s="126" t="s">
        <v>372</v>
      </c>
      <c r="B2871" t="str">
        <f>_xlfn.XLOOKUP(A2871,'[1]2050Pop'!$A$7:$A$143,'[1]2050Pop'!$D$7:$D$143)</f>
        <v>LatAm &amp; RSA</v>
      </c>
      <c r="C2871" s="127">
        <f>1000*_xlfn.XLOOKUP(A2871,'[1]2050Pop'!$A$7:$A$143,'[1]2050Pop'!$C$7:$C$143)</f>
        <v>238270</v>
      </c>
      <c r="D2871" s="126" t="s">
        <v>521</v>
      </c>
      <c r="E2871" s="128">
        <v>102.489</v>
      </c>
      <c r="F2871" s="129">
        <f t="shared" si="134"/>
        <v>24.420054030000003</v>
      </c>
      <c r="G2871" t="str">
        <f>_xlfn.XLOOKUP(D2871,'[1]2050 BAU Mapping to T &amp; C'!$A$3:$A$52,'[1]2050 BAU Mapping to T &amp; C'!$B$3:$B$52)</f>
        <v>Pork</v>
      </c>
      <c r="H2871" s="129">
        <f>_xlfn.XLOOKUP(G2871,'[1]T&amp;C emissions for 2050 analysis'!$B$3:$B$23,'[1]T&amp;C emissions for 2050 analysis'!$C$3:$C$23)</f>
        <v>5.8666666666666671</v>
      </c>
      <c r="I2871" s="27">
        <f t="shared" si="132"/>
        <v>143.26431697600003</v>
      </c>
      <c r="J2871" s="129">
        <f t="shared" si="133"/>
        <v>601.26880000000006</v>
      </c>
    </row>
    <row r="2872" spans="1:10" hidden="1" x14ac:dyDescent="0.35">
      <c r="A2872" s="126" t="s">
        <v>373</v>
      </c>
      <c r="B2872" t="str">
        <f>_xlfn.XLOOKUP(A2872,'[1]2050Pop'!$A$7:$A$143,'[1]2050Pop'!$D$7:$D$143)</f>
        <v>Euro/AU/NZ</v>
      </c>
      <c r="C2872" s="127">
        <f>1000*_xlfn.XLOOKUP(A2872,'[1]2050Pop'!$A$7:$A$143,'[1]2050Pop'!$C$7:$C$143)</f>
        <v>5154</v>
      </c>
      <c r="D2872" s="126" t="s">
        <v>521</v>
      </c>
      <c r="E2872" s="128">
        <v>144.70099999999999</v>
      </c>
      <c r="F2872" s="129">
        <f t="shared" si="134"/>
        <v>0.74578895399999989</v>
      </c>
      <c r="G2872" t="str">
        <f>_xlfn.XLOOKUP(D2872,'[1]2050 BAU Mapping to T &amp; C'!$A$3:$A$52,'[1]2050 BAU Mapping to T &amp; C'!$B$3:$B$52)</f>
        <v>Pork</v>
      </c>
      <c r="H2872" s="129">
        <f>_xlfn.XLOOKUP(G2872,'[1]T&amp;C emissions for 2050 analysis'!$B$3:$B$23,'[1]T&amp;C emissions for 2050 analysis'!$C$3:$C$23)</f>
        <v>5.8666666666666671</v>
      </c>
      <c r="I2872" s="27">
        <f t="shared" si="132"/>
        <v>4.3752951967999998</v>
      </c>
      <c r="J2872" s="129">
        <f t="shared" si="133"/>
        <v>848.91253333333339</v>
      </c>
    </row>
    <row r="2873" spans="1:10" hidden="1" x14ac:dyDescent="0.35">
      <c r="A2873" s="126" t="s">
        <v>487</v>
      </c>
      <c r="B2873" t="str">
        <f>_xlfn.XLOOKUP(A2873,'[1]2050Pop'!$A$7:$A$143,'[1]2050Pop'!$D$7:$D$143)</f>
        <v>SSA</v>
      </c>
      <c r="C2873" s="127">
        <f>1000*_xlfn.XLOOKUP(A2873,'[1]2050Pop'!$A$7:$A$143,'[1]2050Pop'!$C$7:$C$143)</f>
        <v>42789</v>
      </c>
      <c r="D2873" s="126" t="s">
        <v>521</v>
      </c>
      <c r="E2873" s="128">
        <v>30.486000000000001</v>
      </c>
      <c r="F2873" s="129">
        <f t="shared" si="134"/>
        <v>1.3044654540000002</v>
      </c>
      <c r="G2873" t="str">
        <f>_xlfn.XLOOKUP(D2873,'[1]2050 BAU Mapping to T &amp; C'!$A$3:$A$52,'[1]2050 BAU Mapping to T &amp; C'!$B$3:$B$52)</f>
        <v>Pork</v>
      </c>
      <c r="H2873" s="129">
        <f>_xlfn.XLOOKUP(G2873,'[1]T&amp;C emissions for 2050 analysis'!$B$3:$B$23,'[1]T&amp;C emissions for 2050 analysis'!$C$3:$C$23)</f>
        <v>5.8666666666666671</v>
      </c>
      <c r="I2873" s="27">
        <f t="shared" si="132"/>
        <v>7.6528639968000016</v>
      </c>
      <c r="J2873" s="129">
        <f t="shared" si="133"/>
        <v>178.85120000000001</v>
      </c>
    </row>
    <row r="2874" spans="1:10" hidden="1" x14ac:dyDescent="0.35">
      <c r="A2874" s="126" t="s">
        <v>374</v>
      </c>
      <c r="B2874" t="str">
        <f>_xlfn.XLOOKUP(A2874,'[1]2050Pop'!$A$7:$A$143,'[1]2050Pop'!$D$7:$D$143)</f>
        <v>APAC</v>
      </c>
      <c r="C2874" s="127">
        <f>1000*_xlfn.XLOOKUP(A2874,'[1]2050Pop'!$A$7:$A$143,'[1]2050Pop'!$C$7:$C$143)</f>
        <v>22545</v>
      </c>
      <c r="D2874" s="126" t="s">
        <v>521</v>
      </c>
      <c r="E2874" s="128">
        <v>116.575</v>
      </c>
      <c r="F2874" s="129">
        <f t="shared" si="134"/>
        <v>2.6281833749999999</v>
      </c>
      <c r="G2874" t="str">
        <f>_xlfn.XLOOKUP(D2874,'[1]2050 BAU Mapping to T &amp; C'!$A$3:$A$52,'[1]2050 BAU Mapping to T &amp; C'!$B$3:$B$52)</f>
        <v>Pork</v>
      </c>
      <c r="H2874" s="129">
        <f>_xlfn.XLOOKUP(G2874,'[1]T&amp;C emissions for 2050 analysis'!$B$3:$B$23,'[1]T&amp;C emissions for 2050 analysis'!$C$3:$C$23)</f>
        <v>5.8666666666666671</v>
      </c>
      <c r="I2874" s="27">
        <f t="shared" si="132"/>
        <v>15.418675800000001</v>
      </c>
      <c r="J2874" s="129">
        <f t="shared" si="133"/>
        <v>683.90666666666675</v>
      </c>
    </row>
    <row r="2875" spans="1:10" hidden="1" x14ac:dyDescent="0.35">
      <c r="A2875" s="126" t="s">
        <v>375</v>
      </c>
      <c r="B2875" t="str">
        <f>_xlfn.XLOOKUP(A2875,'[1]2050Pop'!$A$7:$A$143,'[1]2050Pop'!$D$7:$D$143)</f>
        <v>SSA</v>
      </c>
      <c r="C2875" s="127">
        <f>1000*_xlfn.XLOOKUP(A2875,'[1]2050Pop'!$A$7:$A$143,'[1]2050Pop'!$C$7:$C$143)</f>
        <v>48362</v>
      </c>
      <c r="D2875" s="126" t="s">
        <v>521</v>
      </c>
      <c r="E2875" s="128">
        <v>24.433</v>
      </c>
      <c r="F2875" s="129">
        <f t="shared" si="134"/>
        <v>1.1816287460000001</v>
      </c>
      <c r="G2875" t="str">
        <f>_xlfn.XLOOKUP(D2875,'[1]2050 BAU Mapping to T &amp; C'!$A$3:$A$52,'[1]2050 BAU Mapping to T &amp; C'!$B$3:$B$52)</f>
        <v>Pork</v>
      </c>
      <c r="H2875" s="129">
        <f>_xlfn.XLOOKUP(G2875,'[1]T&amp;C emissions for 2050 analysis'!$B$3:$B$23,'[1]T&amp;C emissions for 2050 analysis'!$C$3:$C$23)</f>
        <v>5.8666666666666671</v>
      </c>
      <c r="I2875" s="27">
        <f t="shared" si="132"/>
        <v>6.9322219765333344</v>
      </c>
      <c r="J2875" s="129">
        <f t="shared" si="133"/>
        <v>143.34026666666668</v>
      </c>
    </row>
    <row r="2876" spans="1:10" hidden="1" x14ac:dyDescent="0.35">
      <c r="A2876" s="126" t="s">
        <v>376</v>
      </c>
      <c r="B2876" t="str">
        <f>_xlfn.XLOOKUP(A2876,'[1]2050Pop'!$A$7:$A$143,'[1]2050Pop'!$D$7:$D$143)</f>
        <v>NAm</v>
      </c>
      <c r="C2876" s="127">
        <f>1000*_xlfn.XLOOKUP(A2876,'[1]2050Pop'!$A$7:$A$143,'[1]2050Pop'!$C$7:$C$143)</f>
        <v>44136</v>
      </c>
      <c r="D2876" s="126" t="s">
        <v>521</v>
      </c>
      <c r="E2876" s="128">
        <v>119.756</v>
      </c>
      <c r="F2876" s="129">
        <f t="shared" si="134"/>
        <v>5.2855508159999998</v>
      </c>
      <c r="G2876" t="str">
        <f>_xlfn.XLOOKUP(D2876,'[1]2050 BAU Mapping to T &amp; C'!$A$3:$A$52,'[1]2050 BAU Mapping to T &amp; C'!$B$3:$B$52)</f>
        <v>Pork</v>
      </c>
      <c r="H2876" s="129">
        <f>_xlfn.XLOOKUP(G2876,'[1]T&amp;C emissions for 2050 analysis'!$B$3:$B$23,'[1]T&amp;C emissions for 2050 analysis'!$C$3:$C$23)</f>
        <v>5.8666666666666671</v>
      </c>
      <c r="I2876" s="27">
        <f t="shared" si="132"/>
        <v>31.008564787200001</v>
      </c>
      <c r="J2876" s="129">
        <f t="shared" si="133"/>
        <v>702.56853333333333</v>
      </c>
    </row>
    <row r="2877" spans="1:10" hidden="1" x14ac:dyDescent="0.35">
      <c r="A2877" s="126" t="s">
        <v>377</v>
      </c>
      <c r="B2877" t="str">
        <f>_xlfn.XLOOKUP(A2877,'[1]2050Pop'!$A$7:$A$143,'[1]2050Pop'!$D$7:$D$143)</f>
        <v>SSA</v>
      </c>
      <c r="C2877" s="127">
        <f>1000*_xlfn.XLOOKUP(A2877,'[1]2050Pop'!$A$7:$A$143,'[1]2050Pop'!$C$7:$C$143)</f>
        <v>8782</v>
      </c>
      <c r="D2877" s="126" t="s">
        <v>521</v>
      </c>
      <c r="E2877" s="130">
        <v>53.11</v>
      </c>
      <c r="F2877" s="129">
        <f t="shared" si="134"/>
        <v>0.46641202000000004</v>
      </c>
      <c r="G2877" t="str">
        <f>_xlfn.XLOOKUP(D2877,'[1]2050 BAU Mapping to T &amp; C'!$A$3:$A$52,'[1]2050 BAU Mapping to T &amp; C'!$B$3:$B$52)</f>
        <v>Pork</v>
      </c>
      <c r="H2877" s="129">
        <f>_xlfn.XLOOKUP(G2877,'[1]T&amp;C emissions for 2050 analysis'!$B$3:$B$23,'[1]T&amp;C emissions for 2050 analysis'!$C$3:$C$23)</f>
        <v>5.8666666666666671</v>
      </c>
      <c r="I2877" s="27">
        <f t="shared" si="132"/>
        <v>2.7362838506666671</v>
      </c>
      <c r="J2877" s="129">
        <f t="shared" si="133"/>
        <v>311.57866666666666</v>
      </c>
    </row>
    <row r="2878" spans="1:10" hidden="1" x14ac:dyDescent="0.35">
      <c r="A2878" s="126" t="s">
        <v>378</v>
      </c>
      <c r="B2878" t="str">
        <f>_xlfn.XLOOKUP(A2878,'[1]2050Pop'!$A$7:$A$143,'[1]2050Pop'!$D$7:$D$143)</f>
        <v>LatAm &amp; RSA</v>
      </c>
      <c r="C2878" s="127">
        <f>1000*_xlfn.XLOOKUP(A2878,'[1]2050Pop'!$A$7:$A$143,'[1]2050Pop'!$C$7:$C$143)</f>
        <v>21601</v>
      </c>
      <c r="D2878" s="126" t="s">
        <v>521</v>
      </c>
      <c r="E2878" s="128">
        <v>203.11199999999999</v>
      </c>
      <c r="F2878" s="129">
        <f t="shared" si="134"/>
        <v>4.387422312</v>
      </c>
      <c r="G2878" t="str">
        <f>_xlfn.XLOOKUP(D2878,'[1]2050 BAU Mapping to T &amp; C'!$A$3:$A$52,'[1]2050 BAU Mapping to T &amp; C'!$B$3:$B$52)</f>
        <v>Pork</v>
      </c>
      <c r="H2878" s="129">
        <f>_xlfn.XLOOKUP(G2878,'[1]T&amp;C emissions for 2050 analysis'!$B$3:$B$23,'[1]T&amp;C emissions for 2050 analysis'!$C$3:$C$23)</f>
        <v>5.8666666666666671</v>
      </c>
      <c r="I2878" s="27">
        <f t="shared" si="132"/>
        <v>25.739544230400003</v>
      </c>
      <c r="J2878" s="129">
        <f t="shared" si="133"/>
        <v>1191.5904</v>
      </c>
    </row>
    <row r="2879" spans="1:10" hidden="1" x14ac:dyDescent="0.35">
      <c r="A2879" s="126" t="s">
        <v>379</v>
      </c>
      <c r="B2879" t="str">
        <f>_xlfn.XLOOKUP(A2879,'[1]2050Pop'!$A$7:$A$143,'[1]2050Pop'!$D$7:$D$143)</f>
        <v>Greater China</v>
      </c>
      <c r="C2879" s="127">
        <f>1000*_xlfn.XLOOKUP(A2879,'[1]2050Pop'!$A$7:$A$143,'[1]2050Pop'!$C$7:$C$143)</f>
        <v>8148</v>
      </c>
      <c r="D2879" s="126" t="s">
        <v>521</v>
      </c>
      <c r="E2879" s="128">
        <v>497.13200000000001</v>
      </c>
      <c r="F2879" s="129">
        <f t="shared" si="134"/>
        <v>4.050631536</v>
      </c>
      <c r="G2879" t="str">
        <f>_xlfn.XLOOKUP(D2879,'[1]2050 BAU Mapping to T &amp; C'!$A$3:$A$52,'[1]2050 BAU Mapping to T &amp; C'!$B$3:$B$52)</f>
        <v>Pork</v>
      </c>
      <c r="H2879" s="129">
        <f>_xlfn.XLOOKUP(G2879,'[1]T&amp;C emissions for 2050 analysis'!$B$3:$B$23,'[1]T&amp;C emissions for 2050 analysis'!$C$3:$C$23)</f>
        <v>5.8666666666666671</v>
      </c>
      <c r="I2879" s="27">
        <f t="shared" si="132"/>
        <v>23.763705011200003</v>
      </c>
      <c r="J2879" s="129">
        <f t="shared" si="133"/>
        <v>2916.5077333333338</v>
      </c>
    </row>
    <row r="2880" spans="1:10" hidden="1" x14ac:dyDescent="0.35">
      <c r="A2880" s="126" t="s">
        <v>380</v>
      </c>
      <c r="B2880" t="str">
        <f>_xlfn.XLOOKUP(A2880,'[1]2050Pop'!$A$7:$A$143,'[1]2050Pop'!$D$7:$D$143)</f>
        <v>Greater China</v>
      </c>
      <c r="C2880" s="127">
        <f>1000*_xlfn.XLOOKUP(A2880,'[1]2050Pop'!$A$7:$A$143,'[1]2050Pop'!$C$7:$C$143)</f>
        <v>1348056</v>
      </c>
      <c r="D2880" s="126" t="s">
        <v>521</v>
      </c>
      <c r="E2880" s="128">
        <v>483.35700000000003</v>
      </c>
      <c r="F2880" s="129">
        <f t="shared" si="134"/>
        <v>651.59230399199998</v>
      </c>
      <c r="G2880" t="str">
        <f>_xlfn.XLOOKUP(D2880,'[1]2050 BAU Mapping to T &amp; C'!$A$3:$A$52,'[1]2050 BAU Mapping to T &amp; C'!$B$3:$B$52)</f>
        <v>Pork</v>
      </c>
      <c r="H2880" s="129">
        <f>_xlfn.XLOOKUP(G2880,'[1]T&amp;C emissions for 2050 analysis'!$B$3:$B$23,'[1]T&amp;C emissions for 2050 analysis'!$C$3:$C$23)</f>
        <v>5.8666666666666671</v>
      </c>
      <c r="I2880" s="27">
        <f t="shared" si="132"/>
        <v>3822.6748500864001</v>
      </c>
      <c r="J2880" s="129">
        <f t="shared" si="133"/>
        <v>2835.6944000000003</v>
      </c>
    </row>
    <row r="2881" spans="1:10" hidden="1" x14ac:dyDescent="0.35">
      <c r="A2881" s="126" t="s">
        <v>381</v>
      </c>
      <c r="B2881" t="str">
        <f>_xlfn.XLOOKUP(A2881,'[1]2050Pop'!$A$7:$A$143,'[1]2050Pop'!$D$7:$D$143)</f>
        <v>Greater China</v>
      </c>
      <c r="C2881" s="127">
        <f>1000*_xlfn.XLOOKUP(A2881,'[1]2050Pop'!$A$7:$A$143,'[1]2050Pop'!$C$7:$C$143)</f>
        <v>20778</v>
      </c>
      <c r="D2881" s="126" t="s">
        <v>521</v>
      </c>
      <c r="E2881" s="128">
        <v>336.649</v>
      </c>
      <c r="F2881" s="129">
        <f t="shared" si="134"/>
        <v>6.994892922</v>
      </c>
      <c r="G2881" t="str">
        <f>_xlfn.XLOOKUP(D2881,'[1]2050 BAU Mapping to T &amp; C'!$A$3:$A$52,'[1]2050 BAU Mapping to T &amp; C'!$B$3:$B$52)</f>
        <v>Pork</v>
      </c>
      <c r="H2881" s="129">
        <f>_xlfn.XLOOKUP(G2881,'[1]T&amp;C emissions for 2050 analysis'!$B$3:$B$23,'[1]T&amp;C emissions for 2050 analysis'!$C$3:$C$23)</f>
        <v>5.8666666666666671</v>
      </c>
      <c r="I2881" s="27">
        <f t="shared" si="132"/>
        <v>41.036705142400002</v>
      </c>
      <c r="J2881" s="129">
        <f t="shared" si="133"/>
        <v>1975.0074666666669</v>
      </c>
    </row>
    <row r="2882" spans="1:10" hidden="1" x14ac:dyDescent="0.35">
      <c r="A2882" s="126" t="s">
        <v>382</v>
      </c>
      <c r="B2882" t="str">
        <f>_xlfn.XLOOKUP(A2882,'[1]2050Pop'!$A$7:$A$143,'[1]2050Pop'!$D$7:$D$143)</f>
        <v>LatAm &amp; RSA</v>
      </c>
      <c r="C2882" s="127">
        <f>1000*_xlfn.XLOOKUP(A2882,'[1]2050Pop'!$A$7:$A$143,'[1]2050Pop'!$C$7:$C$143)</f>
        <v>54927</v>
      </c>
      <c r="D2882" s="126" t="s">
        <v>521</v>
      </c>
      <c r="E2882" s="128">
        <v>41.975000000000001</v>
      </c>
      <c r="F2882" s="129">
        <f t="shared" si="134"/>
        <v>2.3055608250000001</v>
      </c>
      <c r="G2882" t="str">
        <f>_xlfn.XLOOKUP(D2882,'[1]2050 BAU Mapping to T &amp; C'!$A$3:$A$52,'[1]2050 BAU Mapping to T &amp; C'!$B$3:$B$52)</f>
        <v>Pork</v>
      </c>
      <c r="H2882" s="129">
        <f>_xlfn.XLOOKUP(G2882,'[1]T&amp;C emissions for 2050 analysis'!$B$3:$B$23,'[1]T&amp;C emissions for 2050 analysis'!$C$3:$C$23)</f>
        <v>5.8666666666666671</v>
      </c>
      <c r="I2882" s="27">
        <f t="shared" si="132"/>
        <v>13.525956840000003</v>
      </c>
      <c r="J2882" s="129">
        <f t="shared" si="133"/>
        <v>246.25333333333336</v>
      </c>
    </row>
    <row r="2883" spans="1:10" hidden="1" x14ac:dyDescent="0.35">
      <c r="A2883" s="126" t="s">
        <v>383</v>
      </c>
      <c r="B2883" t="str">
        <f>_xlfn.XLOOKUP(A2883,'[1]2050Pop'!$A$7:$A$143,'[1]2050Pop'!$D$7:$D$143)</f>
        <v>LatAm &amp; RSA</v>
      </c>
      <c r="C2883" s="127">
        <f>1000*_xlfn.XLOOKUP(A2883,'[1]2050Pop'!$A$7:$A$143,'[1]2050Pop'!$C$7:$C$143)</f>
        <v>5759</v>
      </c>
      <c r="D2883" s="126" t="s">
        <v>521</v>
      </c>
      <c r="E2883" s="128">
        <v>38.667000000000002</v>
      </c>
      <c r="F2883" s="129">
        <f t="shared" si="134"/>
        <v>0.222683253</v>
      </c>
      <c r="G2883" t="str">
        <f>_xlfn.XLOOKUP(D2883,'[1]2050 BAU Mapping to T &amp; C'!$A$3:$A$52,'[1]2050 BAU Mapping to T &amp; C'!$B$3:$B$52)</f>
        <v>Pork</v>
      </c>
      <c r="H2883" s="129">
        <f>_xlfn.XLOOKUP(G2883,'[1]T&amp;C emissions for 2050 analysis'!$B$3:$B$23,'[1]T&amp;C emissions for 2050 analysis'!$C$3:$C$23)</f>
        <v>5.8666666666666671</v>
      </c>
      <c r="I2883" s="27">
        <f t="shared" si="132"/>
        <v>1.3064084176000001</v>
      </c>
      <c r="J2883" s="129">
        <f t="shared" si="133"/>
        <v>226.84640000000002</v>
      </c>
    </row>
    <row r="2884" spans="1:10" hidden="1" x14ac:dyDescent="0.35">
      <c r="A2884" s="126" t="s">
        <v>384</v>
      </c>
      <c r="B2884" t="str">
        <f>_xlfn.XLOOKUP(A2884,'[1]2050Pop'!$A$7:$A$143,'[1]2050Pop'!$D$7:$D$143)</f>
        <v>SSA</v>
      </c>
      <c r="C2884" s="127">
        <f>1000*_xlfn.XLOOKUP(A2884,'[1]2050Pop'!$A$7:$A$143,'[1]2050Pop'!$C$7:$C$143)</f>
        <v>48797</v>
      </c>
      <c r="D2884" s="126" t="s">
        <v>521</v>
      </c>
      <c r="E2884" s="128">
        <v>17.489000000000001</v>
      </c>
      <c r="F2884" s="129">
        <f t="shared" si="134"/>
        <v>0.85341073300000003</v>
      </c>
      <c r="G2884" t="str">
        <f>_xlfn.XLOOKUP(D2884,'[1]2050 BAU Mapping to T &amp; C'!$A$3:$A$52,'[1]2050 BAU Mapping to T &amp; C'!$B$3:$B$52)</f>
        <v>Pork</v>
      </c>
      <c r="H2884" s="129">
        <f>_xlfn.XLOOKUP(G2884,'[1]T&amp;C emissions for 2050 analysis'!$B$3:$B$23,'[1]T&amp;C emissions for 2050 analysis'!$C$3:$C$23)</f>
        <v>5.8666666666666671</v>
      </c>
      <c r="I2884" s="27">
        <f t="shared" ref="I2884:I2947" si="135">F2884*H2884</f>
        <v>5.0066763002666672</v>
      </c>
      <c r="J2884" s="129">
        <f t="shared" ref="J2884:J2947" si="136">E2884*H2884</f>
        <v>102.60213333333334</v>
      </c>
    </row>
    <row r="2885" spans="1:10" hidden="1" x14ac:dyDescent="0.35">
      <c r="A2885" s="126" t="s">
        <v>385</v>
      </c>
      <c r="B2885" t="str">
        <f>_xlfn.XLOOKUP(A2885,'[1]2050Pop'!$A$7:$A$143,'[1]2050Pop'!$D$7:$D$143)</f>
        <v>Euro/AU/NZ</v>
      </c>
      <c r="C2885" s="127">
        <f>1000*_xlfn.XLOOKUP(A2885,'[1]2050Pop'!$A$7:$A$143,'[1]2050Pop'!$C$7:$C$143)</f>
        <v>3554</v>
      </c>
      <c r="D2885" s="126" t="s">
        <v>521</v>
      </c>
      <c r="E2885" s="128">
        <v>198.94900000000001</v>
      </c>
      <c r="F2885" s="129">
        <f t="shared" ref="F2885:F2948" si="137">C2885*E2885/1000000</f>
        <v>0.70706474600000002</v>
      </c>
      <c r="G2885" t="str">
        <f>_xlfn.XLOOKUP(D2885,'[1]2050 BAU Mapping to T &amp; C'!$A$3:$A$52,'[1]2050 BAU Mapping to T &amp; C'!$B$3:$B$52)</f>
        <v>Pork</v>
      </c>
      <c r="H2885" s="129">
        <f>_xlfn.XLOOKUP(G2885,'[1]T&amp;C emissions for 2050 analysis'!$B$3:$B$23,'[1]T&amp;C emissions for 2050 analysis'!$C$3:$C$23)</f>
        <v>5.8666666666666671</v>
      </c>
      <c r="I2885" s="27">
        <f t="shared" si="135"/>
        <v>4.1481131765333341</v>
      </c>
      <c r="J2885" s="129">
        <f t="shared" si="136"/>
        <v>1167.1674666666668</v>
      </c>
    </row>
    <row r="2886" spans="1:10" hidden="1" x14ac:dyDescent="0.35">
      <c r="A2886" s="126" t="s">
        <v>386</v>
      </c>
      <c r="B2886" t="str">
        <f>_xlfn.XLOOKUP(A2886,'[1]2050Pop'!$A$7:$A$143,'[1]2050Pop'!$D$7:$D$143)</f>
        <v>LatAm &amp; RSA</v>
      </c>
      <c r="C2886" s="127">
        <f>1000*_xlfn.XLOOKUP(A2886,'[1]2050Pop'!$A$7:$A$143,'[1]2050Pop'!$C$7:$C$143)</f>
        <v>10339</v>
      </c>
      <c r="D2886" s="126" t="s">
        <v>521</v>
      </c>
      <c r="E2886" s="128">
        <v>146.815</v>
      </c>
      <c r="F2886" s="129">
        <f t="shared" si="137"/>
        <v>1.517920285</v>
      </c>
      <c r="G2886" t="str">
        <f>_xlfn.XLOOKUP(D2886,'[1]2050 BAU Mapping to T &amp; C'!$A$3:$A$52,'[1]2050 BAU Mapping to T &amp; C'!$B$3:$B$52)</f>
        <v>Pork</v>
      </c>
      <c r="H2886" s="129">
        <f>_xlfn.XLOOKUP(G2886,'[1]T&amp;C emissions for 2050 analysis'!$B$3:$B$23,'[1]T&amp;C emissions for 2050 analysis'!$C$3:$C$23)</f>
        <v>5.8666666666666671</v>
      </c>
      <c r="I2886" s="27">
        <f t="shared" si="135"/>
        <v>8.9051323386666681</v>
      </c>
      <c r="J2886" s="129">
        <f t="shared" si="136"/>
        <v>861.31466666666677</v>
      </c>
    </row>
    <row r="2887" spans="1:10" hidden="1" x14ac:dyDescent="0.35">
      <c r="A2887" s="126" t="s">
        <v>387</v>
      </c>
      <c r="B2887" t="str">
        <f>_xlfn.XLOOKUP(A2887,'[1]2050Pop'!$A$7:$A$143,'[1]2050Pop'!$D$7:$D$143)</f>
        <v>Euro/AU/NZ</v>
      </c>
      <c r="C2887" s="127">
        <f>1000*_xlfn.XLOOKUP(A2887,'[1]2050Pop'!$A$7:$A$143,'[1]2050Pop'!$C$7:$C$143)</f>
        <v>9965</v>
      </c>
      <c r="D2887" s="126" t="s">
        <v>521</v>
      </c>
      <c r="E2887" s="128">
        <v>212.328</v>
      </c>
      <c r="F2887" s="129">
        <f t="shared" si="137"/>
        <v>2.1158485200000001</v>
      </c>
      <c r="G2887" t="str">
        <f>_xlfn.XLOOKUP(D2887,'[1]2050 BAU Mapping to T &amp; C'!$A$3:$A$52,'[1]2050 BAU Mapping to T &amp; C'!$B$3:$B$52)</f>
        <v>Pork</v>
      </c>
      <c r="H2887" s="129">
        <f>_xlfn.XLOOKUP(G2887,'[1]T&amp;C emissions for 2050 analysis'!$B$3:$B$23,'[1]T&amp;C emissions for 2050 analysis'!$C$3:$C$23)</f>
        <v>5.8666666666666671</v>
      </c>
      <c r="I2887" s="27">
        <f t="shared" si="135"/>
        <v>12.412977984000001</v>
      </c>
      <c r="J2887" s="129">
        <f t="shared" si="136"/>
        <v>1245.6576000000002</v>
      </c>
    </row>
    <row r="2888" spans="1:10" hidden="1" x14ac:dyDescent="0.35">
      <c r="A2888" s="126" t="s">
        <v>481</v>
      </c>
      <c r="B2888" t="str">
        <f>_xlfn.XLOOKUP(A2888,'[1]2050Pop'!$A$7:$A$143,'[1]2050Pop'!$D$7:$D$143)</f>
        <v>APAC</v>
      </c>
      <c r="C2888" s="127">
        <f>1000*_xlfn.XLOOKUP(A2888,'[1]2050Pop'!$A$7:$A$143,'[1]2050Pop'!$C$7:$C$143)</f>
        <v>26907</v>
      </c>
      <c r="D2888" s="126" t="s">
        <v>521</v>
      </c>
      <c r="E2888" s="128">
        <v>72.555999999999997</v>
      </c>
      <c r="F2888" s="129">
        <f t="shared" si="137"/>
        <v>1.952264292</v>
      </c>
      <c r="G2888" t="str">
        <f>_xlfn.XLOOKUP(D2888,'[1]2050 BAU Mapping to T &amp; C'!$A$3:$A$52,'[1]2050 BAU Mapping to T &amp; C'!$B$3:$B$52)</f>
        <v>Pork</v>
      </c>
      <c r="H2888" s="129">
        <f>_xlfn.XLOOKUP(G2888,'[1]T&amp;C emissions for 2050 analysis'!$B$3:$B$23,'[1]T&amp;C emissions for 2050 analysis'!$C$3:$C$23)</f>
        <v>5.8666666666666671</v>
      </c>
      <c r="I2888" s="27">
        <f t="shared" si="135"/>
        <v>11.453283846400002</v>
      </c>
      <c r="J2888" s="129">
        <f t="shared" si="136"/>
        <v>425.6618666666667</v>
      </c>
    </row>
    <row r="2889" spans="1:10" hidden="1" x14ac:dyDescent="0.35">
      <c r="A2889" s="126" t="s">
        <v>388</v>
      </c>
      <c r="B2889" t="str">
        <f>_xlfn.XLOOKUP(A2889,'[1]2050Pop'!$A$7:$A$143,'[1]2050Pop'!$D$7:$D$143)</f>
        <v>Euro/AU/NZ</v>
      </c>
      <c r="C2889" s="127">
        <f>1000*_xlfn.XLOOKUP(A2889,'[1]2050Pop'!$A$7:$A$143,'[1]2050Pop'!$C$7:$C$143)</f>
        <v>6299</v>
      </c>
      <c r="D2889" s="126" t="s">
        <v>521</v>
      </c>
      <c r="E2889" s="128">
        <v>194.84100000000001</v>
      </c>
      <c r="F2889" s="129">
        <f t="shared" si="137"/>
        <v>1.227303459</v>
      </c>
      <c r="G2889" t="str">
        <f>_xlfn.XLOOKUP(D2889,'[1]2050 BAU Mapping to T &amp; C'!$A$3:$A$52,'[1]2050 BAU Mapping to T &amp; C'!$B$3:$B$52)</f>
        <v>Pork</v>
      </c>
      <c r="H2889" s="129">
        <f>_xlfn.XLOOKUP(G2889,'[1]T&amp;C emissions for 2050 analysis'!$B$3:$B$23,'[1]T&amp;C emissions for 2050 analysis'!$C$3:$C$23)</f>
        <v>5.8666666666666671</v>
      </c>
      <c r="I2889" s="27">
        <f t="shared" si="135"/>
        <v>7.2001802928000007</v>
      </c>
      <c r="J2889" s="129">
        <f t="shared" si="136"/>
        <v>1143.0672000000002</v>
      </c>
    </row>
    <row r="2890" spans="1:10" hidden="1" x14ac:dyDescent="0.35">
      <c r="A2890" s="126" t="s">
        <v>389</v>
      </c>
      <c r="B2890" t="str">
        <f>_xlfn.XLOOKUP(A2890,'[1]2050Pop'!$A$7:$A$143,'[1]2050Pop'!$D$7:$D$143)</f>
        <v>LatAm &amp; RSA</v>
      </c>
      <c r="C2890" s="127">
        <f>1000*_xlfn.XLOOKUP(A2890,'[1]2050Pop'!$A$7:$A$143,'[1]2050Pop'!$C$7:$C$143)</f>
        <v>13238</v>
      </c>
      <c r="D2890" s="126" t="s">
        <v>521</v>
      </c>
      <c r="E2890" s="128">
        <v>43.091999999999999</v>
      </c>
      <c r="F2890" s="129">
        <f t="shared" si="137"/>
        <v>0.5704518959999999</v>
      </c>
      <c r="G2890" t="str">
        <f>_xlfn.XLOOKUP(D2890,'[1]2050 BAU Mapping to T &amp; C'!$A$3:$A$52,'[1]2050 BAU Mapping to T &amp; C'!$B$3:$B$52)</f>
        <v>Pork</v>
      </c>
      <c r="H2890" s="129">
        <f>_xlfn.XLOOKUP(G2890,'[1]T&amp;C emissions for 2050 analysis'!$B$3:$B$23,'[1]T&amp;C emissions for 2050 analysis'!$C$3:$C$23)</f>
        <v>5.8666666666666671</v>
      </c>
      <c r="I2890" s="27">
        <f t="shared" si="135"/>
        <v>3.3466511231999996</v>
      </c>
      <c r="J2890" s="129">
        <f t="shared" si="136"/>
        <v>252.80640000000002</v>
      </c>
    </row>
    <row r="2891" spans="1:10" hidden="1" x14ac:dyDescent="0.35">
      <c r="A2891" s="126" t="s">
        <v>390</v>
      </c>
      <c r="B2891" t="str">
        <f>_xlfn.XLOOKUP(A2891,'[1]2050Pop'!$A$7:$A$143,'[1]2050Pop'!$D$7:$D$143)</f>
        <v>LatAm &amp; RSA</v>
      </c>
      <c r="C2891" s="127">
        <f>1000*_xlfn.XLOOKUP(A2891,'[1]2050Pop'!$A$7:$A$143,'[1]2050Pop'!$C$7:$C$143)</f>
        <v>23013</v>
      </c>
      <c r="D2891" s="126" t="s">
        <v>521</v>
      </c>
      <c r="E2891" s="128">
        <v>55.000999999999998</v>
      </c>
      <c r="F2891" s="129">
        <f t="shared" si="137"/>
        <v>1.265738013</v>
      </c>
      <c r="G2891" t="str">
        <f>_xlfn.XLOOKUP(D2891,'[1]2050 BAU Mapping to T &amp; C'!$A$3:$A$52,'[1]2050 BAU Mapping to T &amp; C'!$B$3:$B$52)</f>
        <v>Pork</v>
      </c>
      <c r="H2891" s="129">
        <f>_xlfn.XLOOKUP(G2891,'[1]T&amp;C emissions for 2050 analysis'!$B$3:$B$23,'[1]T&amp;C emissions for 2050 analysis'!$C$3:$C$23)</f>
        <v>5.8666666666666671</v>
      </c>
      <c r="I2891" s="27">
        <f t="shared" si="135"/>
        <v>7.4256630096000009</v>
      </c>
      <c r="J2891" s="129">
        <f t="shared" si="136"/>
        <v>322.67253333333332</v>
      </c>
    </row>
    <row r="2892" spans="1:10" hidden="1" x14ac:dyDescent="0.35">
      <c r="A2892" s="126" t="s">
        <v>392</v>
      </c>
      <c r="B2892" t="str">
        <f>_xlfn.XLOOKUP(A2892,'[1]2050Pop'!$A$7:$A$143,'[1]2050Pop'!$D$7:$D$143)</f>
        <v>LatAm &amp; RSA</v>
      </c>
      <c r="C2892" s="127">
        <f>1000*_xlfn.XLOOKUP(A2892,'[1]2050Pop'!$A$7:$A$143,'[1]2050Pop'!$C$7:$C$143)</f>
        <v>6390</v>
      </c>
      <c r="D2892" s="126" t="s">
        <v>521</v>
      </c>
      <c r="E2892" s="128">
        <v>16.399000000000001</v>
      </c>
      <c r="F2892" s="129">
        <f t="shared" si="137"/>
        <v>0.10478961000000001</v>
      </c>
      <c r="G2892" t="str">
        <f>_xlfn.XLOOKUP(D2892,'[1]2050 BAU Mapping to T &amp; C'!$A$3:$A$52,'[1]2050 BAU Mapping to T &amp; C'!$B$3:$B$52)</f>
        <v>Pork</v>
      </c>
      <c r="H2892" s="129">
        <f>_xlfn.XLOOKUP(G2892,'[1]T&amp;C emissions for 2050 analysis'!$B$3:$B$23,'[1]T&amp;C emissions for 2050 analysis'!$C$3:$C$23)</f>
        <v>5.8666666666666671</v>
      </c>
      <c r="I2892" s="27">
        <f t="shared" si="135"/>
        <v>0.61476571200000008</v>
      </c>
      <c r="J2892" s="129">
        <f t="shared" si="136"/>
        <v>96.207466666666676</v>
      </c>
    </row>
    <row r="2893" spans="1:10" hidden="1" x14ac:dyDescent="0.35">
      <c r="A2893" s="126" t="s">
        <v>393</v>
      </c>
      <c r="B2893" t="str">
        <f>_xlfn.XLOOKUP(A2893,'[1]2050Pop'!$A$7:$A$143,'[1]2050Pop'!$D$7:$D$143)</f>
        <v>Euro/AU/NZ</v>
      </c>
      <c r="C2893" s="127">
        <f>1000*_xlfn.XLOOKUP(A2893,'[1]2050Pop'!$A$7:$A$143,'[1]2050Pop'!$C$7:$C$143)</f>
        <v>1129</v>
      </c>
      <c r="D2893" s="126" t="s">
        <v>521</v>
      </c>
      <c r="E2893" s="128">
        <v>162.72900000000001</v>
      </c>
      <c r="F2893" s="129">
        <f t="shared" si="137"/>
        <v>0.18372104100000003</v>
      </c>
      <c r="G2893" t="str">
        <f>_xlfn.XLOOKUP(D2893,'[1]2050 BAU Mapping to T &amp; C'!$A$3:$A$52,'[1]2050 BAU Mapping to T &amp; C'!$B$3:$B$52)</f>
        <v>Pork</v>
      </c>
      <c r="H2893" s="129">
        <f>_xlfn.XLOOKUP(G2893,'[1]T&amp;C emissions for 2050 analysis'!$B$3:$B$23,'[1]T&amp;C emissions for 2050 analysis'!$C$3:$C$23)</f>
        <v>5.8666666666666671</v>
      </c>
      <c r="I2893" s="27">
        <f t="shared" si="135"/>
        <v>1.0778301072000003</v>
      </c>
      <c r="J2893" s="129">
        <f t="shared" si="136"/>
        <v>954.67680000000018</v>
      </c>
    </row>
    <row r="2894" spans="1:10" hidden="1" x14ac:dyDescent="0.35">
      <c r="A2894" s="126" t="s">
        <v>395</v>
      </c>
      <c r="B2894" t="str">
        <f>_xlfn.XLOOKUP(A2894,'[1]2050Pop'!$A$7:$A$143,'[1]2050Pop'!$D$7:$D$143)</f>
        <v>Euro/AU/NZ</v>
      </c>
      <c r="C2894" s="127">
        <f>1000*_xlfn.XLOOKUP(A2894,'[1]2050Pop'!$A$7:$A$143,'[1]2050Pop'!$C$7:$C$143)</f>
        <v>5752</v>
      </c>
      <c r="D2894" s="126" t="s">
        <v>521</v>
      </c>
      <c r="E2894" s="128">
        <v>414.40199999999999</v>
      </c>
      <c r="F2894" s="129">
        <f t="shared" si="137"/>
        <v>2.383640304</v>
      </c>
      <c r="G2894" t="str">
        <f>_xlfn.XLOOKUP(D2894,'[1]2050 BAU Mapping to T &amp; C'!$A$3:$A$52,'[1]2050 BAU Mapping to T &amp; C'!$B$3:$B$52)</f>
        <v>Pork</v>
      </c>
      <c r="H2894" s="129">
        <f>_xlfn.XLOOKUP(G2894,'[1]T&amp;C emissions for 2050 analysis'!$B$3:$B$23,'[1]T&amp;C emissions for 2050 analysis'!$C$3:$C$23)</f>
        <v>5.8666666666666671</v>
      </c>
      <c r="I2894" s="27">
        <f t="shared" si="135"/>
        <v>13.984023116800001</v>
      </c>
      <c r="J2894" s="129">
        <f t="shared" si="136"/>
        <v>2431.1584000000003</v>
      </c>
    </row>
    <row r="2895" spans="1:10" hidden="1" x14ac:dyDescent="0.35">
      <c r="A2895" s="126" t="s">
        <v>396</v>
      </c>
      <c r="B2895" t="str">
        <f>_xlfn.XLOOKUP(A2895,'[1]2050Pop'!$A$7:$A$143,'[1]2050Pop'!$D$7:$D$143)</f>
        <v>Euro/AU/NZ</v>
      </c>
      <c r="C2895" s="127">
        <f>1000*_xlfn.XLOOKUP(A2895,'[1]2050Pop'!$A$7:$A$143,'[1]2050Pop'!$C$7:$C$143)</f>
        <v>71137</v>
      </c>
      <c r="D2895" s="126" t="s">
        <v>521</v>
      </c>
      <c r="E2895" s="128">
        <v>283.61700000000002</v>
      </c>
      <c r="F2895" s="129">
        <f t="shared" si="137"/>
        <v>20.175662529000004</v>
      </c>
      <c r="G2895" t="str">
        <f>_xlfn.XLOOKUP(D2895,'[1]2050 BAU Mapping to T &amp; C'!$A$3:$A$52,'[1]2050 BAU Mapping to T &amp; C'!$B$3:$B$52)</f>
        <v>Pork</v>
      </c>
      <c r="H2895" s="129">
        <f>_xlfn.XLOOKUP(G2895,'[1]T&amp;C emissions for 2050 analysis'!$B$3:$B$23,'[1]T&amp;C emissions for 2050 analysis'!$C$3:$C$23)</f>
        <v>5.8666666666666671</v>
      </c>
      <c r="I2895" s="27">
        <f t="shared" si="135"/>
        <v>118.36388683680003</v>
      </c>
      <c r="J2895" s="129">
        <f t="shared" si="136"/>
        <v>1663.8864000000003</v>
      </c>
    </row>
    <row r="2896" spans="1:10" hidden="1" x14ac:dyDescent="0.35">
      <c r="A2896" s="126" t="s">
        <v>397</v>
      </c>
      <c r="B2896" t="str">
        <f>_xlfn.XLOOKUP(A2896,'[1]2050Pop'!$A$7:$A$143,'[1]2050Pop'!$D$7:$D$143)</f>
        <v>SSA</v>
      </c>
      <c r="C2896" s="127">
        <f>1000*_xlfn.XLOOKUP(A2896,'[1]2050Pop'!$A$7:$A$143,'[1]2050Pop'!$C$7:$C$143)</f>
        <v>3164</v>
      </c>
      <c r="D2896" s="126" t="s">
        <v>521</v>
      </c>
      <c r="E2896" s="128">
        <v>72.549000000000007</v>
      </c>
      <c r="F2896" s="129">
        <f t="shared" si="137"/>
        <v>0.22954503600000004</v>
      </c>
      <c r="G2896" t="str">
        <f>_xlfn.XLOOKUP(D2896,'[1]2050 BAU Mapping to T &amp; C'!$A$3:$A$52,'[1]2050 BAU Mapping to T &amp; C'!$B$3:$B$52)</f>
        <v>Pork</v>
      </c>
      <c r="H2896" s="129">
        <f>_xlfn.XLOOKUP(G2896,'[1]T&amp;C emissions for 2050 analysis'!$B$3:$B$23,'[1]T&amp;C emissions for 2050 analysis'!$C$3:$C$23)</f>
        <v>5.8666666666666671</v>
      </c>
      <c r="I2896" s="27">
        <f t="shared" si="135"/>
        <v>1.3466642112000002</v>
      </c>
      <c r="J2896" s="129">
        <f t="shared" si="136"/>
        <v>425.62080000000009</v>
      </c>
    </row>
    <row r="2897" spans="1:10" hidden="1" x14ac:dyDescent="0.35">
      <c r="A2897" s="126" t="s">
        <v>489</v>
      </c>
      <c r="B2897" t="str">
        <f>_xlfn.XLOOKUP(A2897,'[1]2050Pop'!$A$7:$A$143,'[1]2050Pop'!$D$7:$D$143)</f>
        <v>SSA</v>
      </c>
      <c r="C2897" s="127">
        <f>1000*_xlfn.XLOOKUP(A2897,'[1]2050Pop'!$A$7:$A$143,'[1]2050Pop'!$C$7:$C$143)</f>
        <v>4981</v>
      </c>
      <c r="D2897" s="126" t="s">
        <v>521</v>
      </c>
      <c r="E2897" s="128">
        <v>4.0490000000000004</v>
      </c>
      <c r="F2897" s="129">
        <f t="shared" si="137"/>
        <v>2.0168069000000004E-2</v>
      </c>
      <c r="G2897" t="str">
        <f>_xlfn.XLOOKUP(D2897,'[1]2050 BAU Mapping to T &amp; C'!$A$3:$A$52,'[1]2050 BAU Mapping to T &amp; C'!$B$3:$B$52)</f>
        <v>Pork</v>
      </c>
      <c r="H2897" s="129">
        <f>_xlfn.XLOOKUP(G2897,'[1]T&amp;C emissions for 2050 analysis'!$B$3:$B$23,'[1]T&amp;C emissions for 2050 analysis'!$C$3:$C$23)</f>
        <v>5.8666666666666671</v>
      </c>
      <c r="I2897" s="27">
        <f t="shared" si="135"/>
        <v>0.11831933813333337</v>
      </c>
      <c r="J2897" s="129">
        <f t="shared" si="136"/>
        <v>23.754133333333339</v>
      </c>
    </row>
    <row r="2898" spans="1:10" hidden="1" x14ac:dyDescent="0.35">
      <c r="A2898" s="126" t="s">
        <v>398</v>
      </c>
      <c r="B2898" t="str">
        <f>_xlfn.XLOOKUP(A2898,'[1]2050Pop'!$A$7:$A$143,'[1]2050Pop'!$D$7:$D$143)</f>
        <v>MENA</v>
      </c>
      <c r="C2898" s="127">
        <f>1000*_xlfn.XLOOKUP(A2898,'[1]2050Pop'!$A$7:$A$143,'[1]2050Pop'!$C$7:$C$143)</f>
        <v>3483</v>
      </c>
      <c r="D2898" s="126" t="s">
        <v>521</v>
      </c>
      <c r="E2898" s="128">
        <v>55.405999999999999</v>
      </c>
      <c r="F2898" s="129">
        <f t="shared" si="137"/>
        <v>0.19297909799999999</v>
      </c>
      <c r="G2898" t="str">
        <f>_xlfn.XLOOKUP(D2898,'[1]2050 BAU Mapping to T &amp; C'!$A$3:$A$52,'[1]2050 BAU Mapping to T &amp; C'!$B$3:$B$52)</f>
        <v>Pork</v>
      </c>
      <c r="H2898" s="129">
        <f>_xlfn.XLOOKUP(G2898,'[1]T&amp;C emissions for 2050 analysis'!$B$3:$B$23,'[1]T&amp;C emissions for 2050 analysis'!$C$3:$C$23)</f>
        <v>5.8666666666666671</v>
      </c>
      <c r="I2898" s="27">
        <f t="shared" si="135"/>
        <v>1.1321440415999999</v>
      </c>
      <c r="J2898" s="129">
        <f t="shared" si="136"/>
        <v>325.04853333333335</v>
      </c>
    </row>
    <row r="2899" spans="1:10" hidden="1" x14ac:dyDescent="0.35">
      <c r="A2899" s="126" t="s">
        <v>399</v>
      </c>
      <c r="B2899" t="str">
        <f>_xlfn.XLOOKUP(A2899,'[1]2050Pop'!$A$7:$A$143,'[1]2050Pop'!$D$7:$D$143)</f>
        <v>Euro/AU/NZ</v>
      </c>
      <c r="C2899" s="127">
        <f>1000*_xlfn.XLOOKUP(A2899,'[1]2050Pop'!$A$7:$A$143,'[1]2050Pop'!$C$7:$C$143)</f>
        <v>74513</v>
      </c>
      <c r="D2899" s="126" t="s">
        <v>521</v>
      </c>
      <c r="E2899" s="128">
        <v>257.464</v>
      </c>
      <c r="F2899" s="129">
        <f t="shared" si="137"/>
        <v>19.184415032</v>
      </c>
      <c r="G2899" t="str">
        <f>_xlfn.XLOOKUP(D2899,'[1]2050 BAU Mapping to T &amp; C'!$A$3:$A$52,'[1]2050 BAU Mapping to T &amp; C'!$B$3:$B$52)</f>
        <v>Pork</v>
      </c>
      <c r="H2899" s="129">
        <f>_xlfn.XLOOKUP(G2899,'[1]T&amp;C emissions for 2050 analysis'!$B$3:$B$23,'[1]T&amp;C emissions for 2050 analysis'!$C$3:$C$23)</f>
        <v>5.8666666666666671</v>
      </c>
      <c r="I2899" s="27">
        <f t="shared" si="135"/>
        <v>112.54856818773335</v>
      </c>
      <c r="J2899" s="129">
        <f t="shared" si="136"/>
        <v>1510.4554666666668</v>
      </c>
    </row>
    <row r="2900" spans="1:10" hidden="1" x14ac:dyDescent="0.35">
      <c r="A2900" s="126" t="s">
        <v>400</v>
      </c>
      <c r="B2900" t="str">
        <f>_xlfn.XLOOKUP(A2900,'[1]2050Pop'!$A$7:$A$143,'[1]2050Pop'!$D$7:$D$143)</f>
        <v>SSA</v>
      </c>
      <c r="C2900" s="127">
        <f>1000*_xlfn.XLOOKUP(A2900,'[1]2050Pop'!$A$7:$A$143,'[1]2050Pop'!$C$7:$C$143)</f>
        <v>50071</v>
      </c>
      <c r="D2900" s="126" t="s">
        <v>521</v>
      </c>
      <c r="E2900" s="128">
        <v>15.233000000000001</v>
      </c>
      <c r="F2900" s="129">
        <f t="shared" si="137"/>
        <v>0.76273154300000001</v>
      </c>
      <c r="G2900" t="str">
        <f>_xlfn.XLOOKUP(D2900,'[1]2050 BAU Mapping to T &amp; C'!$A$3:$A$52,'[1]2050 BAU Mapping to T &amp; C'!$B$3:$B$52)</f>
        <v>Pork</v>
      </c>
      <c r="H2900" s="129">
        <f>_xlfn.XLOOKUP(G2900,'[1]T&amp;C emissions for 2050 analysis'!$B$3:$B$23,'[1]T&amp;C emissions for 2050 analysis'!$C$3:$C$23)</f>
        <v>5.8666666666666671</v>
      </c>
      <c r="I2900" s="27">
        <f t="shared" si="135"/>
        <v>4.4746917189333342</v>
      </c>
      <c r="J2900" s="129">
        <f t="shared" si="136"/>
        <v>89.36693333333335</v>
      </c>
    </row>
    <row r="2901" spans="1:10" hidden="1" x14ac:dyDescent="0.35">
      <c r="A2901" s="126" t="s">
        <v>401</v>
      </c>
      <c r="B2901" t="str">
        <f>_xlfn.XLOOKUP(A2901,'[1]2050Pop'!$A$7:$A$143,'[1]2050Pop'!$D$7:$D$143)</f>
        <v>Euro/AU/NZ</v>
      </c>
      <c r="C2901" s="127">
        <f>1000*_xlfn.XLOOKUP(A2901,'[1]2050Pop'!$A$7:$A$143,'[1]2050Pop'!$C$7:$C$143)</f>
        <v>9705</v>
      </c>
      <c r="D2901" s="126" t="s">
        <v>521</v>
      </c>
      <c r="E2901" s="128">
        <v>142.667</v>
      </c>
      <c r="F2901" s="129">
        <f t="shared" si="137"/>
        <v>1.384583235</v>
      </c>
      <c r="G2901" t="str">
        <f>_xlfn.XLOOKUP(D2901,'[1]2050 BAU Mapping to T &amp; C'!$A$3:$A$52,'[1]2050 BAU Mapping to T &amp; C'!$B$3:$B$52)</f>
        <v>Pork</v>
      </c>
      <c r="H2901" s="129">
        <f>_xlfn.XLOOKUP(G2901,'[1]T&amp;C emissions for 2050 analysis'!$B$3:$B$23,'[1]T&amp;C emissions for 2050 analysis'!$C$3:$C$23)</f>
        <v>5.8666666666666671</v>
      </c>
      <c r="I2901" s="27">
        <f t="shared" si="135"/>
        <v>8.1228883120000006</v>
      </c>
      <c r="J2901" s="129">
        <f t="shared" si="136"/>
        <v>836.97973333333346</v>
      </c>
    </row>
    <row r="2902" spans="1:10" hidden="1" x14ac:dyDescent="0.35">
      <c r="A2902" s="126" t="s">
        <v>402</v>
      </c>
      <c r="B2902" t="str">
        <f>_xlfn.XLOOKUP(A2902,'[1]2050Pop'!$A$7:$A$143,'[1]2050Pop'!$D$7:$D$143)</f>
        <v>LatAm &amp; RSA</v>
      </c>
      <c r="C2902" s="127">
        <f>1000*_xlfn.XLOOKUP(A2902,'[1]2050Pop'!$A$7:$A$143,'[1]2050Pop'!$C$7:$C$143)</f>
        <v>27754</v>
      </c>
      <c r="D2902" s="126" t="s">
        <v>521</v>
      </c>
      <c r="E2902" s="128">
        <v>19.640999999999998</v>
      </c>
      <c r="F2902" s="129">
        <f t="shared" si="137"/>
        <v>0.54511631399999994</v>
      </c>
      <c r="G2902" t="str">
        <f>_xlfn.XLOOKUP(D2902,'[1]2050 BAU Mapping to T &amp; C'!$A$3:$A$52,'[1]2050 BAU Mapping to T &amp; C'!$B$3:$B$52)</f>
        <v>Pork</v>
      </c>
      <c r="H2902" s="129">
        <f>_xlfn.XLOOKUP(G2902,'[1]T&amp;C emissions for 2050 analysis'!$B$3:$B$23,'[1]T&amp;C emissions for 2050 analysis'!$C$3:$C$23)</f>
        <v>5.8666666666666671</v>
      </c>
      <c r="I2902" s="27">
        <f t="shared" si="135"/>
        <v>3.1980157087999999</v>
      </c>
      <c r="J2902" s="129">
        <f t="shared" si="136"/>
        <v>115.2272</v>
      </c>
    </row>
    <row r="2903" spans="1:10" hidden="1" x14ac:dyDescent="0.35">
      <c r="A2903" s="126" t="s">
        <v>403</v>
      </c>
      <c r="B2903" t="str">
        <f>_xlfn.XLOOKUP(A2903,'[1]2050Pop'!$A$7:$A$143,'[1]2050Pop'!$D$7:$D$143)</f>
        <v>SSA</v>
      </c>
      <c r="C2903" s="127">
        <f>1000*_xlfn.XLOOKUP(A2903,'[1]2050Pop'!$A$7:$A$143,'[1]2050Pop'!$C$7:$C$143)</f>
        <v>27486</v>
      </c>
      <c r="D2903" s="126" t="s">
        <v>521</v>
      </c>
      <c r="E2903" s="128">
        <v>1.8320000000000001</v>
      </c>
      <c r="F2903" s="129">
        <f t="shared" si="137"/>
        <v>5.0354351999999998E-2</v>
      </c>
      <c r="G2903" t="str">
        <f>_xlfn.XLOOKUP(D2903,'[1]2050 BAU Mapping to T &amp; C'!$A$3:$A$52,'[1]2050 BAU Mapping to T &amp; C'!$B$3:$B$52)</f>
        <v>Pork</v>
      </c>
      <c r="H2903" s="129">
        <f>_xlfn.XLOOKUP(G2903,'[1]T&amp;C emissions for 2050 analysis'!$B$3:$B$23,'[1]T&amp;C emissions for 2050 analysis'!$C$3:$C$23)</f>
        <v>5.8666666666666671</v>
      </c>
      <c r="I2903" s="27">
        <f t="shared" si="135"/>
        <v>0.29541219839999999</v>
      </c>
      <c r="J2903" s="129">
        <f t="shared" si="136"/>
        <v>10.747733333333334</v>
      </c>
    </row>
    <row r="2904" spans="1:10" hidden="1" x14ac:dyDescent="0.35">
      <c r="A2904" s="126" t="s">
        <v>404</v>
      </c>
      <c r="B2904" t="str">
        <f>_xlfn.XLOOKUP(A2904,'[1]2050Pop'!$A$7:$A$143,'[1]2050Pop'!$D$7:$D$143)</f>
        <v>LatAm &amp; RSA</v>
      </c>
      <c r="C2904" s="127">
        <f>1000*_xlfn.XLOOKUP(A2904,'[1]2050Pop'!$A$7:$A$143,'[1]2050Pop'!$C$7:$C$143)</f>
        <v>806</v>
      </c>
      <c r="D2904" s="126" t="s">
        <v>521</v>
      </c>
      <c r="E2904" s="128">
        <v>23.134</v>
      </c>
      <c r="F2904" s="129">
        <f t="shared" si="137"/>
        <v>1.8646004000000001E-2</v>
      </c>
      <c r="G2904" t="str">
        <f>_xlfn.XLOOKUP(D2904,'[1]2050 BAU Mapping to T &amp; C'!$A$3:$A$52,'[1]2050 BAU Mapping to T &amp; C'!$B$3:$B$52)</f>
        <v>Pork</v>
      </c>
      <c r="H2904" s="129">
        <f>_xlfn.XLOOKUP(G2904,'[1]T&amp;C emissions for 2050 analysis'!$B$3:$B$23,'[1]T&amp;C emissions for 2050 analysis'!$C$3:$C$23)</f>
        <v>5.8666666666666671</v>
      </c>
      <c r="I2904" s="27">
        <f t="shared" si="135"/>
        <v>0.10938989013333335</v>
      </c>
      <c r="J2904" s="129">
        <f t="shared" si="136"/>
        <v>135.71946666666668</v>
      </c>
    </row>
    <row r="2905" spans="1:10" hidden="1" x14ac:dyDescent="0.35">
      <c r="A2905" s="126" t="s">
        <v>405</v>
      </c>
      <c r="B2905" t="str">
        <f>_xlfn.XLOOKUP(A2905,'[1]2050Pop'!$A$7:$A$143,'[1]2050Pop'!$D$7:$D$143)</f>
        <v>LatAm &amp; RSA</v>
      </c>
      <c r="C2905" s="127">
        <f>1000*_xlfn.XLOOKUP(A2905,'[1]2050Pop'!$A$7:$A$143,'[1]2050Pop'!$C$7:$C$143)</f>
        <v>14189</v>
      </c>
      <c r="D2905" s="126" t="s">
        <v>521</v>
      </c>
      <c r="E2905" s="128">
        <v>39.031999999999996</v>
      </c>
      <c r="F2905" s="129">
        <f t="shared" si="137"/>
        <v>0.55382504799999999</v>
      </c>
      <c r="G2905" t="str">
        <f>_xlfn.XLOOKUP(D2905,'[1]2050 BAU Mapping to T &amp; C'!$A$3:$A$52,'[1]2050 BAU Mapping to T &amp; C'!$B$3:$B$52)</f>
        <v>Pork</v>
      </c>
      <c r="H2905" s="129">
        <f>_xlfn.XLOOKUP(G2905,'[1]T&amp;C emissions for 2050 analysis'!$B$3:$B$23,'[1]T&amp;C emissions for 2050 analysis'!$C$3:$C$23)</f>
        <v>5.8666666666666671</v>
      </c>
      <c r="I2905" s="27">
        <f t="shared" si="135"/>
        <v>3.2491069482666668</v>
      </c>
      <c r="J2905" s="129">
        <f t="shared" si="136"/>
        <v>228.98773333333332</v>
      </c>
    </row>
    <row r="2906" spans="1:10" hidden="1" x14ac:dyDescent="0.35">
      <c r="A2906" s="126" t="s">
        <v>406</v>
      </c>
      <c r="B2906" t="str">
        <f>_xlfn.XLOOKUP(A2906,'[1]2050Pop'!$A$7:$A$143,'[1]2050Pop'!$D$7:$D$143)</f>
        <v>LatAm &amp; RSA</v>
      </c>
      <c r="C2906" s="127">
        <f>1000*_xlfn.XLOOKUP(A2906,'[1]2050Pop'!$A$7:$A$143,'[1]2050Pop'!$C$7:$C$143)</f>
        <v>11217</v>
      </c>
      <c r="D2906" s="126" t="s">
        <v>521</v>
      </c>
      <c r="E2906" s="128">
        <v>38.612000000000002</v>
      </c>
      <c r="F2906" s="129">
        <f t="shared" si="137"/>
        <v>0.43311080400000002</v>
      </c>
      <c r="G2906" t="str">
        <f>_xlfn.XLOOKUP(D2906,'[1]2050 BAU Mapping to T &amp; C'!$A$3:$A$52,'[1]2050 BAU Mapping to T &amp; C'!$B$3:$B$52)</f>
        <v>Pork</v>
      </c>
      <c r="H2906" s="129">
        <f>_xlfn.XLOOKUP(G2906,'[1]T&amp;C emissions for 2050 analysis'!$B$3:$B$23,'[1]T&amp;C emissions for 2050 analysis'!$C$3:$C$23)</f>
        <v>5.8666666666666671</v>
      </c>
      <c r="I2906" s="27">
        <f t="shared" si="135"/>
        <v>2.5409167168000004</v>
      </c>
      <c r="J2906" s="129">
        <f t="shared" si="136"/>
        <v>226.52373333333335</v>
      </c>
    </row>
    <row r="2907" spans="1:10" hidden="1" x14ac:dyDescent="0.35">
      <c r="A2907" s="126" t="s">
        <v>407</v>
      </c>
      <c r="B2907" t="str">
        <f>_xlfn.XLOOKUP(A2907,'[1]2050Pop'!$A$7:$A$143,'[1]2050Pop'!$D$7:$D$143)</f>
        <v>Euro/AU/NZ</v>
      </c>
      <c r="C2907" s="127">
        <f>1000*_xlfn.XLOOKUP(A2907,'[1]2050Pop'!$A$7:$A$143,'[1]2050Pop'!$C$7:$C$143)</f>
        <v>8318</v>
      </c>
      <c r="D2907" s="126" t="s">
        <v>521</v>
      </c>
      <c r="E2907" s="128">
        <v>231.84100000000001</v>
      </c>
      <c r="F2907" s="129">
        <f t="shared" si="137"/>
        <v>1.928453438</v>
      </c>
      <c r="G2907" t="str">
        <f>_xlfn.XLOOKUP(D2907,'[1]2050 BAU Mapping to T &amp; C'!$A$3:$A$52,'[1]2050 BAU Mapping to T &amp; C'!$B$3:$B$52)</f>
        <v>Pork</v>
      </c>
      <c r="H2907" s="129">
        <f>_xlfn.XLOOKUP(G2907,'[1]T&amp;C emissions for 2050 analysis'!$B$3:$B$23,'[1]T&amp;C emissions for 2050 analysis'!$C$3:$C$23)</f>
        <v>5.8666666666666671</v>
      </c>
      <c r="I2907" s="27">
        <f t="shared" si="135"/>
        <v>11.313593502933335</v>
      </c>
      <c r="J2907" s="129">
        <f t="shared" si="136"/>
        <v>1360.1338666666668</v>
      </c>
    </row>
    <row r="2908" spans="1:10" hidden="1" x14ac:dyDescent="0.35">
      <c r="A2908" s="126" t="s">
        <v>408</v>
      </c>
      <c r="B2908" t="str">
        <f>_xlfn.XLOOKUP(A2908,'[1]2050Pop'!$A$7:$A$143,'[1]2050Pop'!$D$7:$D$143)</f>
        <v>India/South Asia</v>
      </c>
      <c r="C2908" s="127">
        <f>1000*_xlfn.XLOOKUP(A2908,'[1]2050Pop'!$A$7:$A$143,'[1]2050Pop'!$C$7:$C$143)</f>
        <v>1705333</v>
      </c>
      <c r="D2908" s="126" t="s">
        <v>521</v>
      </c>
      <c r="E2908" s="131">
        <v>4.4000000000000004</v>
      </c>
      <c r="F2908" s="129">
        <f t="shared" si="137"/>
        <v>7.5034651999999999</v>
      </c>
      <c r="G2908" t="str">
        <f>_xlfn.XLOOKUP(D2908,'[1]2050 BAU Mapping to T &amp; C'!$A$3:$A$52,'[1]2050 BAU Mapping to T &amp; C'!$B$3:$B$52)</f>
        <v>Pork</v>
      </c>
      <c r="H2908" s="129">
        <f>_xlfn.XLOOKUP(G2908,'[1]T&amp;C emissions for 2050 analysis'!$B$3:$B$23,'[1]T&amp;C emissions for 2050 analysis'!$C$3:$C$23)</f>
        <v>5.8666666666666671</v>
      </c>
      <c r="I2908" s="27">
        <f t="shared" si="135"/>
        <v>44.020329173333337</v>
      </c>
      <c r="J2908" s="129">
        <f t="shared" si="136"/>
        <v>25.813333333333336</v>
      </c>
    </row>
    <row r="2909" spans="1:10" x14ac:dyDescent="0.35">
      <c r="A2909" s="126" t="s">
        <v>409</v>
      </c>
      <c r="B2909" t="str">
        <f>_xlfn.XLOOKUP(A2909,'[1]2050Pop'!$A$7:$A$143,'[1]2050Pop'!$D$7:$D$143)</f>
        <v>APAC</v>
      </c>
      <c r="C2909" s="127">
        <f>1000*_xlfn.XLOOKUP(A2909,'[1]2050Pop'!$A$7:$A$143,'[1]2050Pop'!$C$7:$C$143)</f>
        <v>322237</v>
      </c>
      <c r="D2909" s="126" t="s">
        <v>521</v>
      </c>
      <c r="E2909" s="128">
        <v>46.289000000000001</v>
      </c>
      <c r="F2909" s="129">
        <f t="shared" si="137"/>
        <v>14.916028493000001</v>
      </c>
      <c r="G2909" t="str">
        <f>_xlfn.XLOOKUP(D2909,'[1]2050 BAU Mapping to T &amp; C'!$A$3:$A$52,'[1]2050 BAU Mapping to T &amp; C'!$B$3:$B$52)</f>
        <v>Pork</v>
      </c>
      <c r="H2909" s="129">
        <f>_xlfn.XLOOKUP(G2909,'[1]T&amp;C emissions for 2050 analysis'!$B$3:$B$23,'[1]T&amp;C emissions for 2050 analysis'!$C$3:$C$23)</f>
        <v>5.8666666666666671</v>
      </c>
      <c r="I2909" s="27">
        <f t="shared" si="135"/>
        <v>87.507367158933349</v>
      </c>
      <c r="J2909" s="129">
        <f t="shared" si="136"/>
        <v>271.56213333333335</v>
      </c>
    </row>
    <row r="2910" spans="1:10" hidden="1" x14ac:dyDescent="0.35">
      <c r="A2910" s="126" t="s">
        <v>412</v>
      </c>
      <c r="B2910" t="str">
        <f>_xlfn.XLOOKUP(A2910,'[1]2050Pop'!$A$7:$A$143,'[1]2050Pop'!$D$7:$D$143)</f>
        <v>Euro/AU/NZ</v>
      </c>
      <c r="C2910" s="127">
        <f>1000*_xlfn.XLOOKUP(A2910,'[1]2050Pop'!$A$7:$A$143,'[1]2050Pop'!$C$7:$C$143)</f>
        <v>5789</v>
      </c>
      <c r="D2910" s="126" t="s">
        <v>521</v>
      </c>
      <c r="E2910" s="128">
        <v>169.93100000000001</v>
      </c>
      <c r="F2910" s="129">
        <f t="shared" si="137"/>
        <v>0.98373055900000017</v>
      </c>
      <c r="G2910" t="str">
        <f>_xlfn.XLOOKUP(D2910,'[1]2050 BAU Mapping to T &amp; C'!$A$3:$A$52,'[1]2050 BAU Mapping to T &amp; C'!$B$3:$B$52)</f>
        <v>Pork</v>
      </c>
      <c r="H2910" s="129">
        <f>_xlfn.XLOOKUP(G2910,'[1]T&amp;C emissions for 2050 analysis'!$B$3:$B$23,'[1]T&amp;C emissions for 2050 analysis'!$C$3:$C$23)</f>
        <v>5.8666666666666671</v>
      </c>
      <c r="I2910" s="27">
        <f t="shared" si="135"/>
        <v>5.7712192794666679</v>
      </c>
      <c r="J2910" s="129">
        <f t="shared" si="136"/>
        <v>996.92853333333346</v>
      </c>
    </row>
    <row r="2911" spans="1:10" hidden="1" x14ac:dyDescent="0.35">
      <c r="A2911" s="126" t="s">
        <v>413</v>
      </c>
      <c r="B2911" t="str">
        <f>_xlfn.XLOOKUP(A2911,'[1]2050Pop'!$A$7:$A$143,'[1]2050Pop'!$D$7:$D$143)</f>
        <v>MENA</v>
      </c>
      <c r="C2911" s="127">
        <f>1000*_xlfn.XLOOKUP(A2911,'[1]2050Pop'!$A$7:$A$143,'[1]2050Pop'!$C$7:$C$143)</f>
        <v>12610</v>
      </c>
      <c r="D2911" s="126" t="s">
        <v>521</v>
      </c>
      <c r="E2911" s="128">
        <v>26.285</v>
      </c>
      <c r="F2911" s="129">
        <f t="shared" si="137"/>
        <v>0.33145384999999999</v>
      </c>
      <c r="G2911" t="str">
        <f>_xlfn.XLOOKUP(D2911,'[1]2050 BAU Mapping to T &amp; C'!$A$3:$A$52,'[1]2050 BAU Mapping to T &amp; C'!$B$3:$B$52)</f>
        <v>Pork</v>
      </c>
      <c r="H2911" s="129">
        <f>_xlfn.XLOOKUP(G2911,'[1]T&amp;C emissions for 2050 analysis'!$B$3:$B$23,'[1]T&amp;C emissions for 2050 analysis'!$C$3:$C$23)</f>
        <v>5.8666666666666671</v>
      </c>
      <c r="I2911" s="27">
        <f t="shared" si="135"/>
        <v>1.9445292533333334</v>
      </c>
      <c r="J2911" s="129">
        <f t="shared" si="136"/>
        <v>154.20533333333336</v>
      </c>
    </row>
    <row r="2912" spans="1:10" hidden="1" x14ac:dyDescent="0.35">
      <c r="A2912" s="126" t="s">
        <v>414</v>
      </c>
      <c r="B2912" t="str">
        <f>_xlfn.XLOOKUP(A2912,'[1]2050Pop'!$A$7:$A$143,'[1]2050Pop'!$D$7:$D$143)</f>
        <v>Euro/AU/NZ</v>
      </c>
      <c r="C2912" s="127">
        <f>1000*_xlfn.XLOOKUP(A2912,'[1]2050Pop'!$A$7:$A$143,'[1]2050Pop'!$C$7:$C$143)</f>
        <v>56513</v>
      </c>
      <c r="D2912" s="126" t="s">
        <v>521</v>
      </c>
      <c r="E2912" s="128">
        <v>192.17500000000001</v>
      </c>
      <c r="F2912" s="129">
        <f t="shared" si="137"/>
        <v>10.860385775000001</v>
      </c>
      <c r="G2912" t="str">
        <f>_xlfn.XLOOKUP(D2912,'[1]2050 BAU Mapping to T &amp; C'!$A$3:$A$52,'[1]2050 BAU Mapping to T &amp; C'!$B$3:$B$52)</f>
        <v>Pork</v>
      </c>
      <c r="H2912" s="129">
        <f>_xlfn.XLOOKUP(G2912,'[1]T&amp;C emissions for 2050 analysis'!$B$3:$B$23,'[1]T&amp;C emissions for 2050 analysis'!$C$3:$C$23)</f>
        <v>5.8666666666666671</v>
      </c>
      <c r="I2912" s="27">
        <f t="shared" si="135"/>
        <v>63.714263213333346</v>
      </c>
      <c r="J2912" s="129">
        <f t="shared" si="136"/>
        <v>1127.4266666666667</v>
      </c>
    </row>
    <row r="2913" spans="1:10" hidden="1" x14ac:dyDescent="0.35">
      <c r="A2913" s="126" t="s">
        <v>415</v>
      </c>
      <c r="B2913" t="str">
        <f>_xlfn.XLOOKUP(A2913,'[1]2050Pop'!$A$7:$A$143,'[1]2050Pop'!$D$7:$D$143)</f>
        <v>LatAm &amp; RSA</v>
      </c>
      <c r="C2913" s="127">
        <f>1000*_xlfn.XLOOKUP(A2913,'[1]2050Pop'!$A$7:$A$143,'[1]2050Pop'!$C$7:$C$143)</f>
        <v>2710</v>
      </c>
      <c r="D2913" s="126" t="s">
        <v>521</v>
      </c>
      <c r="E2913" s="128">
        <v>16.648</v>
      </c>
      <c r="F2913" s="129">
        <f t="shared" si="137"/>
        <v>4.5116080000000003E-2</v>
      </c>
      <c r="G2913" t="str">
        <f>_xlfn.XLOOKUP(D2913,'[1]2050 BAU Mapping to T &amp; C'!$A$3:$A$52,'[1]2050 BAU Mapping to T &amp; C'!$B$3:$B$52)</f>
        <v>Pork</v>
      </c>
      <c r="H2913" s="129">
        <f>_xlfn.XLOOKUP(G2913,'[1]T&amp;C emissions for 2050 analysis'!$B$3:$B$23,'[1]T&amp;C emissions for 2050 analysis'!$C$3:$C$23)</f>
        <v>5.8666666666666671</v>
      </c>
      <c r="I2913" s="27">
        <f t="shared" si="135"/>
        <v>0.26468100266666672</v>
      </c>
      <c r="J2913" s="129">
        <f t="shared" si="136"/>
        <v>97.668266666666668</v>
      </c>
    </row>
    <row r="2914" spans="1:10" hidden="1" x14ac:dyDescent="0.35">
      <c r="A2914" s="126" t="s">
        <v>416</v>
      </c>
      <c r="B2914" t="str">
        <f>_xlfn.XLOOKUP(A2914,'[1]2050Pop'!$A$7:$A$143,'[1]2050Pop'!$D$7:$D$143)</f>
        <v>APAC</v>
      </c>
      <c r="C2914" s="127">
        <f>1000*_xlfn.XLOOKUP(A2914,'[1]2050Pop'!$A$7:$A$143,'[1]2050Pop'!$C$7:$C$143)</f>
        <v>107411</v>
      </c>
      <c r="D2914" s="126" t="s">
        <v>521</v>
      </c>
      <c r="E2914" s="128">
        <v>115.383</v>
      </c>
      <c r="F2914" s="129">
        <f t="shared" si="137"/>
        <v>12.393403412999998</v>
      </c>
      <c r="G2914" t="str">
        <f>_xlfn.XLOOKUP(D2914,'[1]2050 BAU Mapping to T &amp; C'!$A$3:$A$52,'[1]2050 BAU Mapping to T &amp; C'!$B$3:$B$52)</f>
        <v>Pork</v>
      </c>
      <c r="H2914" s="129">
        <f>_xlfn.XLOOKUP(G2914,'[1]T&amp;C emissions for 2050 analysis'!$B$3:$B$23,'[1]T&amp;C emissions for 2050 analysis'!$C$3:$C$23)</f>
        <v>5.8666666666666671</v>
      </c>
      <c r="I2914" s="27">
        <f t="shared" si="135"/>
        <v>72.707966689599999</v>
      </c>
      <c r="J2914" s="129">
        <f t="shared" si="136"/>
        <v>676.91359999999997</v>
      </c>
    </row>
    <row r="2915" spans="1:10" hidden="1" x14ac:dyDescent="0.35">
      <c r="A2915" s="126" t="s">
        <v>418</v>
      </c>
      <c r="B2915" t="str">
        <f>_xlfn.XLOOKUP(A2915,'[1]2050Pop'!$A$7:$A$143,'[1]2050Pop'!$D$7:$D$143)</f>
        <v>APAC</v>
      </c>
      <c r="C2915" s="127">
        <f>1000*_xlfn.XLOOKUP(A2915,'[1]2050Pop'!$A$7:$A$143,'[1]2050Pop'!$C$7:$C$143)</f>
        <v>22447</v>
      </c>
      <c r="D2915" s="126" t="s">
        <v>521</v>
      </c>
      <c r="E2915" s="128">
        <v>87.013000000000005</v>
      </c>
      <c r="F2915" s="129">
        <f t="shared" si="137"/>
        <v>1.9531808110000002</v>
      </c>
      <c r="G2915" t="str">
        <f>_xlfn.XLOOKUP(D2915,'[1]2050 BAU Mapping to T &amp; C'!$A$3:$A$52,'[1]2050 BAU Mapping to T &amp; C'!$B$3:$B$52)</f>
        <v>Pork</v>
      </c>
      <c r="H2915" s="129">
        <f>_xlfn.XLOOKUP(G2915,'[1]T&amp;C emissions for 2050 analysis'!$B$3:$B$23,'[1]T&amp;C emissions for 2050 analysis'!$C$3:$C$23)</f>
        <v>5.8666666666666671</v>
      </c>
      <c r="I2915" s="27">
        <f t="shared" si="135"/>
        <v>11.458660757866669</v>
      </c>
      <c r="J2915" s="129">
        <f t="shared" si="136"/>
        <v>510.47626666666673</v>
      </c>
    </row>
    <row r="2916" spans="1:10" hidden="1" x14ac:dyDescent="0.35">
      <c r="A2916" s="126" t="s">
        <v>419</v>
      </c>
      <c r="B2916" t="str">
        <f>_xlfn.XLOOKUP(A2916,'[1]2050Pop'!$A$7:$A$143,'[1]2050Pop'!$D$7:$D$143)</f>
        <v>SSA</v>
      </c>
      <c r="C2916" s="127">
        <f>1000*_xlfn.XLOOKUP(A2916,'[1]2050Pop'!$A$7:$A$143,'[1]2050Pop'!$C$7:$C$143)</f>
        <v>95505</v>
      </c>
      <c r="D2916" s="126" t="s">
        <v>521</v>
      </c>
      <c r="E2916" s="128">
        <v>5.7030000000000003</v>
      </c>
      <c r="F2916" s="129">
        <f t="shared" si="137"/>
        <v>0.54466501499999997</v>
      </c>
      <c r="G2916" t="str">
        <f>_xlfn.XLOOKUP(D2916,'[1]2050 BAU Mapping to T &amp; C'!$A$3:$A$52,'[1]2050 BAU Mapping to T &amp; C'!$B$3:$B$52)</f>
        <v>Pork</v>
      </c>
      <c r="H2916" s="129">
        <f>_xlfn.XLOOKUP(G2916,'[1]T&amp;C emissions for 2050 analysis'!$B$3:$B$23,'[1]T&amp;C emissions for 2050 analysis'!$C$3:$C$23)</f>
        <v>5.8666666666666671</v>
      </c>
      <c r="I2916" s="27">
        <f t="shared" si="135"/>
        <v>3.1953680879999999</v>
      </c>
      <c r="J2916" s="129">
        <f t="shared" si="136"/>
        <v>33.457600000000006</v>
      </c>
    </row>
    <row r="2917" spans="1:10" hidden="1" x14ac:dyDescent="0.35">
      <c r="A2917" s="126" t="s">
        <v>420</v>
      </c>
      <c r="B2917" t="str">
        <f>_xlfn.XLOOKUP(A2917,'[1]2050Pop'!$A$7:$A$143,'[1]2050Pop'!$D$7:$D$143)</f>
        <v>APAC</v>
      </c>
      <c r="C2917" s="127">
        <f>1000*_xlfn.XLOOKUP(A2917,'[1]2050Pop'!$A$7:$A$143,'[1]2050Pop'!$C$7:$C$143)</f>
        <v>8248</v>
      </c>
      <c r="D2917" s="126" t="s">
        <v>521</v>
      </c>
      <c r="E2917" s="128">
        <v>32.603999999999999</v>
      </c>
      <c r="F2917" s="129">
        <f t="shared" si="137"/>
        <v>0.26891779199999999</v>
      </c>
      <c r="G2917" t="str">
        <f>_xlfn.XLOOKUP(D2917,'[1]2050 BAU Mapping to T &amp; C'!$A$3:$A$52,'[1]2050 BAU Mapping to T &amp; C'!$B$3:$B$52)</f>
        <v>Pork</v>
      </c>
      <c r="H2917" s="129">
        <f>_xlfn.XLOOKUP(G2917,'[1]T&amp;C emissions for 2050 analysis'!$B$3:$B$23,'[1]T&amp;C emissions for 2050 analysis'!$C$3:$C$23)</f>
        <v>5.8666666666666671</v>
      </c>
      <c r="I2917" s="27">
        <f t="shared" si="135"/>
        <v>1.5776510464</v>
      </c>
      <c r="J2917" s="129">
        <f t="shared" si="136"/>
        <v>191.27680000000001</v>
      </c>
    </row>
    <row r="2918" spans="1:10" hidden="1" x14ac:dyDescent="0.35">
      <c r="A2918" s="126" t="s">
        <v>421</v>
      </c>
      <c r="B2918" t="str">
        <f>_xlfn.XLOOKUP(A2918,'[1]2050Pop'!$A$7:$A$143,'[1]2050Pop'!$D$7:$D$143)</f>
        <v>APAC</v>
      </c>
      <c r="C2918" s="127">
        <f>1000*_xlfn.XLOOKUP(A2918,'[1]2050Pop'!$A$7:$A$143,'[1]2050Pop'!$C$7:$C$143)</f>
        <v>10172</v>
      </c>
      <c r="D2918" s="126" t="s">
        <v>521</v>
      </c>
      <c r="E2918" s="128">
        <v>131.81399999999999</v>
      </c>
      <c r="F2918" s="129">
        <f t="shared" si="137"/>
        <v>1.3408120079999999</v>
      </c>
      <c r="G2918" t="str">
        <f>_xlfn.XLOOKUP(D2918,'[1]2050 BAU Mapping to T &amp; C'!$A$3:$A$52,'[1]2050 BAU Mapping to T &amp; C'!$B$3:$B$52)</f>
        <v>Pork</v>
      </c>
      <c r="H2918" s="129">
        <f>_xlfn.XLOOKUP(G2918,'[1]T&amp;C emissions for 2050 analysis'!$B$3:$B$23,'[1]T&amp;C emissions for 2050 analysis'!$C$3:$C$23)</f>
        <v>5.8666666666666671</v>
      </c>
      <c r="I2918" s="27">
        <f t="shared" si="135"/>
        <v>7.8660971136000004</v>
      </c>
      <c r="J2918" s="129">
        <f t="shared" si="136"/>
        <v>773.30880000000002</v>
      </c>
    </row>
    <row r="2919" spans="1:10" hidden="1" x14ac:dyDescent="0.35">
      <c r="A2919" s="126" t="s">
        <v>422</v>
      </c>
      <c r="B2919" t="str">
        <f>_xlfn.XLOOKUP(A2919,'[1]2050Pop'!$A$7:$A$143,'[1]2050Pop'!$D$7:$D$143)</f>
        <v>Euro/AU/NZ</v>
      </c>
      <c r="C2919" s="127">
        <f>1000*_xlfn.XLOOKUP(A2919,'[1]2050Pop'!$A$7:$A$143,'[1]2050Pop'!$C$7:$C$143)</f>
        <v>1593</v>
      </c>
      <c r="D2919" s="126" t="s">
        <v>521</v>
      </c>
      <c r="E2919" s="128">
        <v>225.392</v>
      </c>
      <c r="F2919" s="129">
        <f t="shared" si="137"/>
        <v>0.35904945599999999</v>
      </c>
      <c r="G2919" t="str">
        <f>_xlfn.XLOOKUP(D2919,'[1]2050 BAU Mapping to T &amp; C'!$A$3:$A$52,'[1]2050 BAU Mapping to T &amp; C'!$B$3:$B$52)</f>
        <v>Pork</v>
      </c>
      <c r="H2919" s="129">
        <f>_xlfn.XLOOKUP(G2919,'[1]T&amp;C emissions for 2050 analysis'!$B$3:$B$23,'[1]T&amp;C emissions for 2050 analysis'!$C$3:$C$23)</f>
        <v>5.8666666666666671</v>
      </c>
      <c r="I2919" s="27">
        <f t="shared" si="135"/>
        <v>2.1064234752000002</v>
      </c>
      <c r="J2919" s="129">
        <f t="shared" si="136"/>
        <v>1322.2997333333335</v>
      </c>
    </row>
    <row r="2920" spans="1:10" hidden="1" x14ac:dyDescent="0.35">
      <c r="A2920" s="126" t="s">
        <v>423</v>
      </c>
      <c r="B2920" t="str">
        <f>_xlfn.XLOOKUP(A2920,'[1]2050Pop'!$A$7:$A$143,'[1]2050Pop'!$D$7:$D$143)</f>
        <v>MENA</v>
      </c>
      <c r="C2920" s="127">
        <f>1000*_xlfn.XLOOKUP(A2920,'[1]2050Pop'!$A$7:$A$143,'[1]2050Pop'!$C$7:$C$143)</f>
        <v>5610</v>
      </c>
      <c r="D2920" s="126" t="s">
        <v>521</v>
      </c>
      <c r="E2920" s="128">
        <v>14.952999999999999</v>
      </c>
      <c r="F2920" s="129">
        <f t="shared" si="137"/>
        <v>8.3886329999999995E-2</v>
      </c>
      <c r="G2920" t="str">
        <f>_xlfn.XLOOKUP(D2920,'[1]2050 BAU Mapping to T &amp; C'!$A$3:$A$52,'[1]2050 BAU Mapping to T &amp; C'!$B$3:$B$52)</f>
        <v>Pork</v>
      </c>
      <c r="H2920" s="129">
        <f>_xlfn.XLOOKUP(G2920,'[1]T&amp;C emissions for 2050 analysis'!$B$3:$B$23,'[1]T&amp;C emissions for 2050 analysis'!$C$3:$C$23)</f>
        <v>5.8666666666666671</v>
      </c>
      <c r="I2920" s="27">
        <f t="shared" si="135"/>
        <v>0.49213313600000003</v>
      </c>
      <c r="J2920" s="129">
        <f t="shared" si="136"/>
        <v>87.724266666666665</v>
      </c>
    </row>
    <row r="2921" spans="1:10" hidden="1" x14ac:dyDescent="0.35">
      <c r="A2921" s="126" t="s">
        <v>424</v>
      </c>
      <c r="B2921" t="str">
        <f>_xlfn.XLOOKUP(A2921,'[1]2050Pop'!$A$7:$A$143,'[1]2050Pop'!$D$7:$D$143)</f>
        <v>SSA</v>
      </c>
      <c r="C2921" s="127">
        <f>1000*_xlfn.XLOOKUP(A2921,'[1]2050Pop'!$A$7:$A$143,'[1]2050Pop'!$C$7:$C$143)</f>
        <v>2987</v>
      </c>
      <c r="D2921" s="126" t="s">
        <v>521</v>
      </c>
      <c r="E2921" s="128">
        <v>28.466999999999999</v>
      </c>
      <c r="F2921" s="129">
        <f t="shared" si="137"/>
        <v>8.5030928999999991E-2</v>
      </c>
      <c r="G2921" t="str">
        <f>_xlfn.XLOOKUP(D2921,'[1]2050 BAU Mapping to T &amp; C'!$A$3:$A$52,'[1]2050 BAU Mapping to T &amp; C'!$B$3:$B$52)</f>
        <v>Pork</v>
      </c>
      <c r="H2921" s="129">
        <f>_xlfn.XLOOKUP(G2921,'[1]T&amp;C emissions for 2050 analysis'!$B$3:$B$23,'[1]T&amp;C emissions for 2050 analysis'!$C$3:$C$23)</f>
        <v>5.8666666666666671</v>
      </c>
      <c r="I2921" s="27">
        <f t="shared" si="135"/>
        <v>0.49884811679999996</v>
      </c>
      <c r="J2921" s="129">
        <f t="shared" si="136"/>
        <v>167.00640000000001</v>
      </c>
    </row>
    <row r="2922" spans="1:10" hidden="1" x14ac:dyDescent="0.35">
      <c r="A2922" s="126" t="s">
        <v>425</v>
      </c>
      <c r="B2922" t="str">
        <f>_xlfn.XLOOKUP(A2922,'[1]2050Pop'!$A$7:$A$143,'[1]2050Pop'!$D$7:$D$143)</f>
        <v>SSA</v>
      </c>
      <c r="C2922" s="127">
        <f>1000*_xlfn.XLOOKUP(A2922,'[1]2050Pop'!$A$7:$A$143,'[1]2050Pop'!$C$7:$C$143)</f>
        <v>9436</v>
      </c>
      <c r="D2922" s="126" t="s">
        <v>521</v>
      </c>
      <c r="E2922" s="128">
        <v>52.488999999999997</v>
      </c>
      <c r="F2922" s="129">
        <f t="shared" si="137"/>
        <v>0.49528620399999995</v>
      </c>
      <c r="G2922" t="str">
        <f>_xlfn.XLOOKUP(D2922,'[1]2050 BAU Mapping to T &amp; C'!$A$3:$A$52,'[1]2050 BAU Mapping to T &amp; C'!$B$3:$B$52)</f>
        <v>Pork</v>
      </c>
      <c r="H2922" s="129">
        <f>_xlfn.XLOOKUP(G2922,'[1]T&amp;C emissions for 2050 analysis'!$B$3:$B$23,'[1]T&amp;C emissions for 2050 analysis'!$C$3:$C$23)</f>
        <v>5.8666666666666671</v>
      </c>
      <c r="I2922" s="27">
        <f t="shared" si="135"/>
        <v>2.9056790634666667</v>
      </c>
      <c r="J2922" s="129">
        <f t="shared" si="136"/>
        <v>307.93546666666668</v>
      </c>
    </row>
    <row r="2923" spans="1:10" hidden="1" x14ac:dyDescent="0.35">
      <c r="A2923" s="126" t="s">
        <v>426</v>
      </c>
      <c r="B2923" t="str">
        <f>_xlfn.XLOOKUP(A2923,'[1]2050Pop'!$A$7:$A$143,'[1]2050Pop'!$D$7:$D$143)</f>
        <v>Euro/AU/NZ</v>
      </c>
      <c r="C2923" s="127">
        <f>1000*_xlfn.XLOOKUP(A2923,'[1]2050Pop'!$A$7:$A$143,'[1]2050Pop'!$C$7:$C$143)</f>
        <v>2375</v>
      </c>
      <c r="D2923" s="126" t="s">
        <v>521</v>
      </c>
      <c r="E2923" s="128">
        <v>313.64699999999999</v>
      </c>
      <c r="F2923" s="129">
        <f t="shared" si="137"/>
        <v>0.74491162499999997</v>
      </c>
      <c r="G2923" t="str">
        <f>_xlfn.XLOOKUP(D2923,'[1]2050 BAU Mapping to T &amp; C'!$A$3:$A$52,'[1]2050 BAU Mapping to T &amp; C'!$B$3:$B$52)</f>
        <v>Pork</v>
      </c>
      <c r="H2923" s="129">
        <f>_xlfn.XLOOKUP(G2923,'[1]T&amp;C emissions for 2050 analysis'!$B$3:$B$23,'[1]T&amp;C emissions for 2050 analysis'!$C$3:$C$23)</f>
        <v>5.8666666666666671</v>
      </c>
      <c r="I2923" s="27">
        <f t="shared" si="135"/>
        <v>4.3701482</v>
      </c>
      <c r="J2923" s="129">
        <f t="shared" si="136"/>
        <v>1840.0624</v>
      </c>
    </row>
    <row r="2924" spans="1:10" hidden="1" x14ac:dyDescent="0.35">
      <c r="A2924" s="126" t="s">
        <v>427</v>
      </c>
      <c r="B2924" t="str">
        <f>_xlfn.XLOOKUP(A2924,'[1]2050Pop'!$A$7:$A$143,'[1]2050Pop'!$D$7:$D$143)</f>
        <v>SSA</v>
      </c>
      <c r="C2924" s="127">
        <f>1000*_xlfn.XLOOKUP(A2924,'[1]2050Pop'!$A$7:$A$143,'[1]2050Pop'!$C$7:$C$143)</f>
        <v>55294</v>
      </c>
      <c r="D2924" s="126" t="s">
        <v>521</v>
      </c>
      <c r="E2924" s="128">
        <v>40.137999999999998</v>
      </c>
      <c r="F2924" s="129">
        <f t="shared" si="137"/>
        <v>2.2193905719999996</v>
      </c>
      <c r="G2924" t="str">
        <f>_xlfn.XLOOKUP(D2924,'[1]2050 BAU Mapping to T &amp; C'!$A$3:$A$52,'[1]2050 BAU Mapping to T &amp; C'!$B$3:$B$52)</f>
        <v>Pork</v>
      </c>
      <c r="H2924" s="129">
        <f>_xlfn.XLOOKUP(G2924,'[1]T&amp;C emissions for 2050 analysis'!$B$3:$B$23,'[1]T&amp;C emissions for 2050 analysis'!$C$3:$C$23)</f>
        <v>5.8666666666666671</v>
      </c>
      <c r="I2924" s="27">
        <f t="shared" si="135"/>
        <v>13.020424689066665</v>
      </c>
      <c r="J2924" s="129">
        <f t="shared" si="136"/>
        <v>235.47626666666667</v>
      </c>
    </row>
    <row r="2925" spans="1:10" hidden="1" x14ac:dyDescent="0.35">
      <c r="A2925" s="126" t="s">
        <v>428</v>
      </c>
      <c r="B2925" t="str">
        <f>_xlfn.XLOOKUP(A2925,'[1]2050Pop'!$A$7:$A$143,'[1]2050Pop'!$D$7:$D$143)</f>
        <v>SSA</v>
      </c>
      <c r="C2925" s="127">
        <f>1000*_xlfn.XLOOKUP(A2925,'[1]2050Pop'!$A$7:$A$143,'[1]2050Pop'!$C$7:$C$143)</f>
        <v>43155</v>
      </c>
      <c r="D2925" s="126" t="s">
        <v>521</v>
      </c>
      <c r="E2925" s="128">
        <v>84.611999999999995</v>
      </c>
      <c r="F2925" s="129">
        <f t="shared" si="137"/>
        <v>3.6514308600000001</v>
      </c>
      <c r="G2925" t="str">
        <f>_xlfn.XLOOKUP(D2925,'[1]2050 BAU Mapping to T &amp; C'!$A$3:$A$52,'[1]2050 BAU Mapping to T &amp; C'!$B$3:$B$52)</f>
        <v>Pork</v>
      </c>
      <c r="H2925" s="129">
        <f>_xlfn.XLOOKUP(G2925,'[1]T&amp;C emissions for 2050 analysis'!$B$3:$B$23,'[1]T&amp;C emissions for 2050 analysis'!$C$3:$C$23)</f>
        <v>5.8666666666666671</v>
      </c>
      <c r="I2925" s="27">
        <f t="shared" si="135"/>
        <v>21.421727712000003</v>
      </c>
      <c r="J2925" s="129">
        <f t="shared" si="136"/>
        <v>496.3904</v>
      </c>
    </row>
    <row r="2926" spans="1:10" hidden="1" x14ac:dyDescent="0.35">
      <c r="A2926" s="126" t="s">
        <v>429</v>
      </c>
      <c r="B2926" t="str">
        <f>_xlfn.XLOOKUP(A2926,'[1]2050Pop'!$A$7:$A$143,'[1]2050Pop'!$D$7:$D$143)</f>
        <v>APAC</v>
      </c>
      <c r="C2926" s="127">
        <f>1000*_xlfn.XLOOKUP(A2926,'[1]2050Pop'!$A$7:$A$143,'[1]2050Pop'!$C$7:$C$143)</f>
        <v>40725</v>
      </c>
      <c r="D2926" s="126" t="s">
        <v>521</v>
      </c>
      <c r="E2926" s="128">
        <v>103.705</v>
      </c>
      <c r="F2926" s="129">
        <f t="shared" si="137"/>
        <v>4.2233861250000002</v>
      </c>
      <c r="G2926" t="str">
        <f>_xlfn.XLOOKUP(D2926,'[1]2050 BAU Mapping to T &amp; C'!$A$3:$A$52,'[1]2050 BAU Mapping to T &amp; C'!$B$3:$B$52)</f>
        <v>Pork</v>
      </c>
      <c r="H2926" s="129">
        <f>_xlfn.XLOOKUP(G2926,'[1]T&amp;C emissions for 2050 analysis'!$B$3:$B$23,'[1]T&amp;C emissions for 2050 analysis'!$C$3:$C$23)</f>
        <v>5.8666666666666671</v>
      </c>
      <c r="I2926" s="27">
        <f t="shared" si="135"/>
        <v>24.777198600000002</v>
      </c>
      <c r="J2926" s="129">
        <f t="shared" si="136"/>
        <v>608.40266666666673</v>
      </c>
    </row>
    <row r="2927" spans="1:10" hidden="1" x14ac:dyDescent="0.35">
      <c r="A2927" s="126" t="s">
        <v>430</v>
      </c>
      <c r="B2927" t="str">
        <f>_xlfn.XLOOKUP(A2927,'[1]2050Pop'!$A$7:$A$143,'[1]2050Pop'!$D$7:$D$143)</f>
        <v>SSA</v>
      </c>
      <c r="C2927" s="127">
        <f>1000*_xlfn.XLOOKUP(A2927,'[1]2050Pop'!$A$7:$A$143,'[1]2050Pop'!$C$7:$C$143)</f>
        <v>45404</v>
      </c>
      <c r="D2927" s="126" t="s">
        <v>521</v>
      </c>
      <c r="E2927" s="128">
        <v>2.109</v>
      </c>
      <c r="F2927" s="129">
        <f t="shared" si="137"/>
        <v>9.575703599999999E-2</v>
      </c>
      <c r="G2927" t="str">
        <f>_xlfn.XLOOKUP(D2927,'[1]2050 BAU Mapping to T &amp; C'!$A$3:$A$52,'[1]2050 BAU Mapping to T &amp; C'!$B$3:$B$52)</f>
        <v>Pork</v>
      </c>
      <c r="H2927" s="129">
        <f>_xlfn.XLOOKUP(G2927,'[1]T&amp;C emissions for 2050 analysis'!$B$3:$B$23,'[1]T&amp;C emissions for 2050 analysis'!$C$3:$C$23)</f>
        <v>5.8666666666666671</v>
      </c>
      <c r="I2927" s="27">
        <f t="shared" si="135"/>
        <v>0.56177461119999994</v>
      </c>
      <c r="J2927" s="129">
        <f t="shared" si="136"/>
        <v>12.372800000000002</v>
      </c>
    </row>
    <row r="2928" spans="1:10" hidden="1" x14ac:dyDescent="0.35">
      <c r="A2928" s="126" t="s">
        <v>432</v>
      </c>
      <c r="B2928" t="str">
        <f>_xlfn.XLOOKUP(A2928,'[1]2050Pop'!$A$7:$A$143,'[1]2050Pop'!$D$7:$D$143)</f>
        <v>SSA</v>
      </c>
      <c r="C2928" s="127">
        <f>1000*_xlfn.XLOOKUP(A2928,'[1]2050Pop'!$A$7:$A$143,'[1]2050Pop'!$C$7:$C$143)</f>
        <v>1249</v>
      </c>
      <c r="D2928" s="126" t="s">
        <v>521</v>
      </c>
      <c r="E2928" s="128">
        <v>37.008000000000003</v>
      </c>
      <c r="F2928" s="129">
        <f t="shared" si="137"/>
        <v>4.6222992000000004E-2</v>
      </c>
      <c r="G2928" t="str">
        <f>_xlfn.XLOOKUP(D2928,'[1]2050 BAU Mapping to T &amp; C'!$A$3:$A$52,'[1]2050 BAU Mapping to T &amp; C'!$B$3:$B$52)</f>
        <v>Pork</v>
      </c>
      <c r="H2928" s="129">
        <f>_xlfn.XLOOKUP(G2928,'[1]T&amp;C emissions for 2050 analysis'!$B$3:$B$23,'[1]T&amp;C emissions for 2050 analysis'!$C$3:$C$23)</f>
        <v>5.8666666666666671</v>
      </c>
      <c r="I2928" s="27">
        <f t="shared" si="135"/>
        <v>0.27117488640000004</v>
      </c>
      <c r="J2928" s="129">
        <f t="shared" si="136"/>
        <v>217.11360000000002</v>
      </c>
    </row>
    <row r="2929" spans="1:10" hidden="1" x14ac:dyDescent="0.35">
      <c r="A2929" s="126" t="s">
        <v>433</v>
      </c>
      <c r="B2929" t="str">
        <f>_xlfn.XLOOKUP(A2929,'[1]2050Pop'!$A$7:$A$143,'[1]2050Pop'!$D$7:$D$143)</f>
        <v>LatAm &amp; RSA</v>
      </c>
      <c r="C2929" s="127">
        <f>1000*_xlfn.XLOOKUP(A2929,'[1]2050Pop'!$A$7:$A$143,'[1]2050Pop'!$C$7:$C$143)</f>
        <v>163754</v>
      </c>
      <c r="D2929" s="126" t="s">
        <v>521</v>
      </c>
      <c r="E2929" s="128">
        <v>147.386</v>
      </c>
      <c r="F2929" s="129">
        <f t="shared" si="137"/>
        <v>24.135047044</v>
      </c>
      <c r="G2929" t="str">
        <f>_xlfn.XLOOKUP(D2929,'[1]2050 BAU Mapping to T &amp; C'!$A$3:$A$52,'[1]2050 BAU Mapping to T &amp; C'!$B$3:$B$52)</f>
        <v>Pork</v>
      </c>
      <c r="H2929" s="129">
        <f>_xlfn.XLOOKUP(G2929,'[1]T&amp;C emissions for 2050 analysis'!$B$3:$B$23,'[1]T&amp;C emissions for 2050 analysis'!$C$3:$C$23)</f>
        <v>5.8666666666666671</v>
      </c>
      <c r="I2929" s="27">
        <f t="shared" si="135"/>
        <v>141.59227599146669</v>
      </c>
      <c r="J2929" s="129">
        <f t="shared" si="136"/>
        <v>864.66453333333334</v>
      </c>
    </row>
    <row r="2930" spans="1:10" hidden="1" x14ac:dyDescent="0.35">
      <c r="A2930" s="126" t="s">
        <v>434</v>
      </c>
      <c r="B2930" t="str">
        <f>_xlfn.XLOOKUP(A2930,'[1]2050Pop'!$A$7:$A$143,'[1]2050Pop'!$D$7:$D$143)</f>
        <v>APAC</v>
      </c>
      <c r="C2930" s="127">
        <f>1000*_xlfn.XLOOKUP(A2930,'[1]2050Pop'!$A$7:$A$143,'[1]2050Pop'!$C$7:$C$143)</f>
        <v>4027.9999999999995</v>
      </c>
      <c r="D2930" s="126" t="s">
        <v>521</v>
      </c>
      <c r="E2930" s="128">
        <v>2.1280000000000001</v>
      </c>
      <c r="F2930" s="129">
        <f t="shared" si="137"/>
        <v>8.5715839999999984E-3</v>
      </c>
      <c r="G2930" t="str">
        <f>_xlfn.XLOOKUP(D2930,'[1]2050 BAU Mapping to T &amp; C'!$A$3:$A$52,'[1]2050 BAU Mapping to T &amp; C'!$B$3:$B$52)</f>
        <v>Pork</v>
      </c>
      <c r="H2930" s="129">
        <f>_xlfn.XLOOKUP(G2930,'[1]T&amp;C emissions for 2050 analysis'!$B$3:$B$23,'[1]T&amp;C emissions for 2050 analysis'!$C$3:$C$23)</f>
        <v>5.8666666666666671</v>
      </c>
      <c r="I2930" s="27">
        <f t="shared" si="135"/>
        <v>5.0286626133333331E-2</v>
      </c>
      <c r="J2930" s="129">
        <f t="shared" si="136"/>
        <v>12.484266666666668</v>
      </c>
    </row>
    <row r="2931" spans="1:10" hidden="1" x14ac:dyDescent="0.35">
      <c r="A2931" s="126" t="s">
        <v>436</v>
      </c>
      <c r="B2931" t="str">
        <f>_xlfn.XLOOKUP(A2931,'[1]2050Pop'!$A$7:$A$143,'[1]2050Pop'!$D$7:$D$143)</f>
        <v>SSA</v>
      </c>
      <c r="C2931" s="127">
        <f>1000*_xlfn.XLOOKUP(A2931,'[1]2050Pop'!$A$7:$A$143,'[1]2050Pop'!$C$7:$C$143)</f>
        <v>65544</v>
      </c>
      <c r="D2931" s="126" t="s">
        <v>521</v>
      </c>
      <c r="E2931" s="128">
        <v>87.644000000000005</v>
      </c>
      <c r="F2931" s="129">
        <f t="shared" si="137"/>
        <v>5.7445383359999997</v>
      </c>
      <c r="G2931" t="str">
        <f>_xlfn.XLOOKUP(D2931,'[1]2050 BAU Mapping to T &amp; C'!$A$3:$A$52,'[1]2050 BAU Mapping to T &amp; C'!$B$3:$B$52)</f>
        <v>Pork</v>
      </c>
      <c r="H2931" s="129">
        <f>_xlfn.XLOOKUP(G2931,'[1]T&amp;C emissions for 2050 analysis'!$B$3:$B$23,'[1]T&amp;C emissions for 2050 analysis'!$C$3:$C$23)</f>
        <v>5.8666666666666671</v>
      </c>
      <c r="I2931" s="27">
        <f t="shared" si="135"/>
        <v>33.701291571200002</v>
      </c>
      <c r="J2931" s="129">
        <f t="shared" si="136"/>
        <v>514.17813333333345</v>
      </c>
    </row>
    <row r="2932" spans="1:10" hidden="1" x14ac:dyDescent="0.35">
      <c r="A2932" s="126" t="s">
        <v>490</v>
      </c>
      <c r="B2932" t="str">
        <f>_xlfn.XLOOKUP(A2932,'[1]2050Pop'!$A$7:$A$143,'[1]2050Pop'!$D$7:$D$143)</f>
        <v>APAC</v>
      </c>
      <c r="C2932" s="127">
        <f>1000*_xlfn.XLOOKUP(A2932,'[1]2050Pop'!$A$7:$A$143,'[1]2050Pop'!$C$7:$C$143)</f>
        <v>63575</v>
      </c>
      <c r="D2932" s="126" t="s">
        <v>521</v>
      </c>
      <c r="E2932" s="128">
        <v>174.70699999999999</v>
      </c>
      <c r="F2932" s="129">
        <f t="shared" si="137"/>
        <v>11.106997525000001</v>
      </c>
      <c r="G2932" t="str">
        <f>_xlfn.XLOOKUP(D2932,'[1]2050 BAU Mapping to T &amp; C'!$A$3:$A$52,'[1]2050 BAU Mapping to T &amp; C'!$B$3:$B$52)</f>
        <v>Pork</v>
      </c>
      <c r="H2932" s="129">
        <f>_xlfn.XLOOKUP(G2932,'[1]T&amp;C emissions for 2050 analysis'!$B$3:$B$23,'[1]T&amp;C emissions for 2050 analysis'!$C$3:$C$23)</f>
        <v>5.8666666666666671</v>
      </c>
      <c r="I2932" s="27">
        <f t="shared" si="135"/>
        <v>65.161052146666677</v>
      </c>
      <c r="J2932" s="129">
        <f t="shared" si="136"/>
        <v>1024.9477333333334</v>
      </c>
    </row>
    <row r="2933" spans="1:10" hidden="1" x14ac:dyDescent="0.35">
      <c r="A2933" s="126" t="s">
        <v>437</v>
      </c>
      <c r="B2933" t="str">
        <f>_xlfn.XLOOKUP(A2933,'[1]2050Pop'!$A$7:$A$143,'[1]2050Pop'!$D$7:$D$143)</f>
        <v>SSA</v>
      </c>
      <c r="C2933" s="127">
        <f>1000*_xlfn.XLOOKUP(A2933,'[1]2050Pop'!$A$7:$A$143,'[1]2050Pop'!$C$7:$C$143)</f>
        <v>4322</v>
      </c>
      <c r="D2933" s="126" t="s">
        <v>521</v>
      </c>
      <c r="E2933" s="128">
        <v>46.119</v>
      </c>
      <c r="F2933" s="129">
        <f t="shared" si="137"/>
        <v>0.199326318</v>
      </c>
      <c r="G2933" t="str">
        <f>_xlfn.XLOOKUP(D2933,'[1]2050 BAU Mapping to T &amp; C'!$A$3:$A$52,'[1]2050 BAU Mapping to T &amp; C'!$B$3:$B$52)</f>
        <v>Pork</v>
      </c>
      <c r="H2933" s="129">
        <f>_xlfn.XLOOKUP(G2933,'[1]T&amp;C emissions for 2050 analysis'!$B$3:$B$23,'[1]T&amp;C emissions for 2050 analysis'!$C$3:$C$23)</f>
        <v>5.8666666666666671</v>
      </c>
      <c r="I2933" s="27">
        <f t="shared" si="135"/>
        <v>1.1693810656000001</v>
      </c>
      <c r="J2933" s="129">
        <f t="shared" si="136"/>
        <v>270.56480000000005</v>
      </c>
    </row>
    <row r="2934" spans="1:10" hidden="1" x14ac:dyDescent="0.35">
      <c r="A2934" s="126" t="s">
        <v>438</v>
      </c>
      <c r="B2934" t="str">
        <f>_xlfn.XLOOKUP(A2934,'[1]2050Pop'!$A$7:$A$143,'[1]2050Pop'!$D$7:$D$143)</f>
        <v>India/South Asia</v>
      </c>
      <c r="C2934" s="127">
        <f>1000*_xlfn.XLOOKUP(A2934,'[1]2050Pop'!$A$7:$A$143,'[1]2050Pop'!$C$7:$C$143)</f>
        <v>36159</v>
      </c>
      <c r="D2934" s="126" t="s">
        <v>521</v>
      </c>
      <c r="E2934" s="128">
        <v>9.3610000000000007</v>
      </c>
      <c r="F2934" s="129">
        <f t="shared" si="137"/>
        <v>0.33848439900000005</v>
      </c>
      <c r="G2934" t="str">
        <f>_xlfn.XLOOKUP(D2934,'[1]2050 BAU Mapping to T &amp; C'!$A$3:$A$52,'[1]2050 BAU Mapping to T &amp; C'!$B$3:$B$52)</f>
        <v>Pork</v>
      </c>
      <c r="H2934" s="129">
        <f>_xlfn.XLOOKUP(G2934,'[1]T&amp;C emissions for 2050 analysis'!$B$3:$B$23,'[1]T&amp;C emissions for 2050 analysis'!$C$3:$C$23)</f>
        <v>5.8666666666666671</v>
      </c>
      <c r="I2934" s="27">
        <f t="shared" si="135"/>
        <v>1.9857751408000004</v>
      </c>
      <c r="J2934" s="129">
        <f t="shared" si="136"/>
        <v>54.917866666666676</v>
      </c>
    </row>
    <row r="2935" spans="1:10" hidden="1" x14ac:dyDescent="0.35">
      <c r="A2935" s="126" t="s">
        <v>439</v>
      </c>
      <c r="B2935" t="str">
        <f>_xlfn.XLOOKUP(A2935,'[1]2050Pop'!$A$7:$A$143,'[1]2050Pop'!$D$7:$D$143)</f>
        <v>Euro/AU/NZ</v>
      </c>
      <c r="C2935" s="127">
        <f>1000*_xlfn.XLOOKUP(A2935,'[1]2050Pop'!$A$7:$A$143,'[1]2050Pop'!$C$7:$C$143)</f>
        <v>17602</v>
      </c>
      <c r="D2935" s="126" t="s">
        <v>521</v>
      </c>
      <c r="E2935" s="128">
        <v>212.20599999999999</v>
      </c>
      <c r="F2935" s="129">
        <f t="shared" si="137"/>
        <v>3.7352500119999998</v>
      </c>
      <c r="G2935" t="str">
        <f>_xlfn.XLOOKUP(D2935,'[1]2050 BAU Mapping to T &amp; C'!$A$3:$A$52,'[1]2050 BAU Mapping to T &amp; C'!$B$3:$B$52)</f>
        <v>Pork</v>
      </c>
      <c r="H2935" s="129">
        <f>_xlfn.XLOOKUP(G2935,'[1]T&amp;C emissions for 2050 analysis'!$B$3:$B$23,'[1]T&amp;C emissions for 2050 analysis'!$C$3:$C$23)</f>
        <v>5.8666666666666671</v>
      </c>
      <c r="I2935" s="27">
        <f t="shared" si="135"/>
        <v>21.913466737066667</v>
      </c>
      <c r="J2935" s="129">
        <f t="shared" si="136"/>
        <v>1244.9418666666668</v>
      </c>
    </row>
    <row r="2936" spans="1:10" hidden="1" x14ac:dyDescent="0.35">
      <c r="A2936" s="126" t="s">
        <v>440</v>
      </c>
      <c r="B2936" t="str">
        <f>_xlfn.XLOOKUP(A2936,'[1]2050Pop'!$A$7:$A$143,'[1]2050Pop'!$D$7:$D$143)</f>
        <v>Euro/AU/NZ</v>
      </c>
      <c r="C2936" s="127">
        <f>1000*_xlfn.XLOOKUP(A2936,'[1]2050Pop'!$A$7:$A$143,'[1]2050Pop'!$C$7:$C$143)</f>
        <v>5607</v>
      </c>
      <c r="D2936" s="126" t="s">
        <v>521</v>
      </c>
      <c r="E2936" s="128">
        <v>91.373999999999995</v>
      </c>
      <c r="F2936" s="129">
        <f t="shared" si="137"/>
        <v>0.512334018</v>
      </c>
      <c r="G2936" t="str">
        <f>_xlfn.XLOOKUP(D2936,'[1]2050 BAU Mapping to T &amp; C'!$A$3:$A$52,'[1]2050 BAU Mapping to T &amp; C'!$B$3:$B$52)</f>
        <v>Pork</v>
      </c>
      <c r="H2936" s="129">
        <f>_xlfn.XLOOKUP(G2936,'[1]T&amp;C emissions for 2050 analysis'!$B$3:$B$23,'[1]T&amp;C emissions for 2050 analysis'!$C$3:$C$23)</f>
        <v>5.8666666666666671</v>
      </c>
      <c r="I2936" s="27">
        <f t="shared" si="135"/>
        <v>3.0056929056000001</v>
      </c>
      <c r="J2936" s="129">
        <f t="shared" si="136"/>
        <v>536.06079999999997</v>
      </c>
    </row>
    <row r="2937" spans="1:10" hidden="1" x14ac:dyDescent="0.35">
      <c r="A2937" s="126" t="s">
        <v>441</v>
      </c>
      <c r="B2937" t="str">
        <f>_xlfn.XLOOKUP(A2937,'[1]2050Pop'!$A$7:$A$143,'[1]2050Pop'!$D$7:$D$143)</f>
        <v>LatAm &amp; RSA</v>
      </c>
      <c r="C2937" s="127">
        <f>1000*_xlfn.XLOOKUP(A2937,'[1]2050Pop'!$A$7:$A$143,'[1]2050Pop'!$C$7:$C$143)</f>
        <v>7863</v>
      </c>
      <c r="D2937" s="126" t="s">
        <v>521</v>
      </c>
      <c r="E2937" s="128">
        <v>15.111000000000001</v>
      </c>
      <c r="F2937" s="129">
        <f t="shared" si="137"/>
        <v>0.118817793</v>
      </c>
      <c r="G2937" t="str">
        <f>_xlfn.XLOOKUP(D2937,'[1]2050 BAU Mapping to T &amp; C'!$A$3:$A$52,'[1]2050 BAU Mapping to T &amp; C'!$B$3:$B$52)</f>
        <v>Pork</v>
      </c>
      <c r="H2937" s="129">
        <f>_xlfn.XLOOKUP(G2937,'[1]T&amp;C emissions for 2050 analysis'!$B$3:$B$23,'[1]T&amp;C emissions for 2050 analysis'!$C$3:$C$23)</f>
        <v>5.8666666666666671</v>
      </c>
      <c r="I2937" s="27">
        <f t="shared" si="135"/>
        <v>0.69706438560000006</v>
      </c>
      <c r="J2937" s="129">
        <f t="shared" si="136"/>
        <v>88.651200000000017</v>
      </c>
    </row>
    <row r="2938" spans="1:10" hidden="1" x14ac:dyDescent="0.35">
      <c r="A2938" s="126" t="s">
        <v>482</v>
      </c>
      <c r="B2938" t="str">
        <f>_xlfn.XLOOKUP(A2938,'[1]2050Pop'!$A$7:$A$143,'[1]2050Pop'!$D$7:$D$143)</f>
        <v>SSA</v>
      </c>
      <c r="C2938" s="127">
        <f>1000*_xlfn.XLOOKUP(A2938,'[1]2050Pop'!$A$7:$A$143,'[1]2050Pop'!$C$7:$C$143)</f>
        <v>72238</v>
      </c>
      <c r="D2938" s="126" t="s">
        <v>521</v>
      </c>
      <c r="E2938" s="128">
        <v>1.6579999999999999</v>
      </c>
      <c r="F2938" s="129">
        <f t="shared" si="137"/>
        <v>0.11977060399999999</v>
      </c>
      <c r="G2938" t="str">
        <f>_xlfn.XLOOKUP(D2938,'[1]2050 BAU Mapping to T &amp; C'!$A$3:$A$52,'[1]2050 BAU Mapping to T &amp; C'!$B$3:$B$52)</f>
        <v>Pork</v>
      </c>
      <c r="H2938" s="129">
        <f>_xlfn.XLOOKUP(G2938,'[1]T&amp;C emissions for 2050 analysis'!$B$3:$B$23,'[1]T&amp;C emissions for 2050 analysis'!$C$3:$C$23)</f>
        <v>5.8666666666666671</v>
      </c>
      <c r="I2938" s="27">
        <f t="shared" si="135"/>
        <v>0.70265421013333329</v>
      </c>
      <c r="J2938" s="129">
        <f t="shared" si="136"/>
        <v>9.7269333333333332</v>
      </c>
    </row>
    <row r="2939" spans="1:10" hidden="1" x14ac:dyDescent="0.35">
      <c r="A2939" s="126" t="s">
        <v>491</v>
      </c>
      <c r="B2939" t="str">
        <f>_xlfn.XLOOKUP(A2939,'[1]2050Pop'!$A$7:$A$143,'[1]2050Pop'!$D$7:$D$143)</f>
        <v>SSA</v>
      </c>
      <c r="C2939" s="127">
        <f>1000*_xlfn.XLOOKUP(A2939,'[1]2050Pop'!$A$7:$A$143,'[1]2050Pop'!$C$7:$C$143)</f>
        <v>398508</v>
      </c>
      <c r="D2939" s="126" t="s">
        <v>521</v>
      </c>
      <c r="E2939" s="128">
        <v>19.853000000000002</v>
      </c>
      <c r="F2939" s="129">
        <f t="shared" si="137"/>
        <v>7.9115793240000007</v>
      </c>
      <c r="G2939" t="str">
        <f>_xlfn.XLOOKUP(D2939,'[1]2050 BAU Mapping to T &amp; C'!$A$3:$A$52,'[1]2050 BAU Mapping to T &amp; C'!$B$3:$B$52)</f>
        <v>Pork</v>
      </c>
      <c r="H2939" s="129">
        <f>_xlfn.XLOOKUP(G2939,'[1]T&amp;C emissions for 2050 analysis'!$B$3:$B$23,'[1]T&amp;C emissions for 2050 analysis'!$C$3:$C$23)</f>
        <v>5.8666666666666671</v>
      </c>
      <c r="I2939" s="27">
        <f t="shared" si="135"/>
        <v>46.414598700800006</v>
      </c>
      <c r="J2939" s="129">
        <f t="shared" si="136"/>
        <v>116.47093333333335</v>
      </c>
    </row>
    <row r="2940" spans="1:10" hidden="1" x14ac:dyDescent="0.35">
      <c r="A2940" s="126" t="s">
        <v>442</v>
      </c>
      <c r="B2940" t="str">
        <f>_xlfn.XLOOKUP(A2940,'[1]2050Pop'!$A$7:$A$143,'[1]2050Pop'!$D$7:$D$143)</f>
        <v>Euro/AU/NZ</v>
      </c>
      <c r="C2940" s="127">
        <f>1000*_xlfn.XLOOKUP(A2940,'[1]2050Pop'!$A$7:$A$143,'[1]2050Pop'!$C$7:$C$143)</f>
        <v>6658</v>
      </c>
      <c r="D2940" s="126" t="s">
        <v>521</v>
      </c>
      <c r="E2940" s="131">
        <v>267.10000000000002</v>
      </c>
      <c r="F2940" s="129">
        <f t="shared" si="137"/>
        <v>1.7783518</v>
      </c>
      <c r="G2940" t="str">
        <f>_xlfn.XLOOKUP(D2940,'[1]2050 BAU Mapping to T &amp; C'!$A$3:$A$52,'[1]2050 BAU Mapping to T &amp; C'!$B$3:$B$52)</f>
        <v>Pork</v>
      </c>
      <c r="H2940" s="129">
        <f>_xlfn.XLOOKUP(G2940,'[1]T&amp;C emissions for 2050 analysis'!$B$3:$B$23,'[1]T&amp;C emissions for 2050 analysis'!$C$3:$C$23)</f>
        <v>5.8666666666666671</v>
      </c>
      <c r="I2940" s="27">
        <f t="shared" si="135"/>
        <v>10.432997226666668</v>
      </c>
      <c r="J2940" s="129">
        <f t="shared" si="136"/>
        <v>1566.9866666666669</v>
      </c>
    </row>
    <row r="2941" spans="1:10" hidden="1" x14ac:dyDescent="0.35">
      <c r="A2941" s="126" t="s">
        <v>444</v>
      </c>
      <c r="B2941" t="str">
        <f>_xlfn.XLOOKUP(A2941,'[1]2050Pop'!$A$7:$A$143,'[1]2050Pop'!$D$7:$D$143)</f>
        <v>LatAm &amp; RSA</v>
      </c>
      <c r="C2941" s="127">
        <f>1000*_xlfn.XLOOKUP(A2941,'[1]2050Pop'!$A$7:$A$143,'[1]2050Pop'!$C$7:$C$143)</f>
        <v>5599</v>
      </c>
      <c r="D2941" s="126" t="s">
        <v>521</v>
      </c>
      <c r="E2941" s="128">
        <v>54.680999999999997</v>
      </c>
      <c r="F2941" s="129">
        <f t="shared" si="137"/>
        <v>0.30615891899999997</v>
      </c>
      <c r="G2941" t="str">
        <f>_xlfn.XLOOKUP(D2941,'[1]2050 BAU Mapping to T &amp; C'!$A$3:$A$52,'[1]2050 BAU Mapping to T &amp; C'!$B$3:$B$52)</f>
        <v>Pork</v>
      </c>
      <c r="H2941" s="129">
        <f>_xlfn.XLOOKUP(G2941,'[1]T&amp;C emissions for 2050 analysis'!$B$3:$B$23,'[1]T&amp;C emissions for 2050 analysis'!$C$3:$C$23)</f>
        <v>5.8666666666666671</v>
      </c>
      <c r="I2941" s="27">
        <f t="shared" si="135"/>
        <v>1.7961323248000001</v>
      </c>
      <c r="J2941" s="129">
        <f t="shared" si="136"/>
        <v>320.79520000000002</v>
      </c>
    </row>
    <row r="2942" spans="1:10" hidden="1" x14ac:dyDescent="0.35">
      <c r="A2942" s="126" t="s">
        <v>445</v>
      </c>
      <c r="B2942" t="str">
        <f>_xlfn.XLOOKUP(A2942,'[1]2050Pop'!$A$7:$A$143,'[1]2050Pop'!$D$7:$D$143)</f>
        <v>LatAm &amp; RSA</v>
      </c>
      <c r="C2942" s="127">
        <f>1000*_xlfn.XLOOKUP(A2942,'[1]2050Pop'!$A$7:$A$143,'[1]2050Pop'!$C$7:$C$143)</f>
        <v>8895</v>
      </c>
      <c r="D2942" s="126" t="s">
        <v>521</v>
      </c>
      <c r="E2942" s="128">
        <v>193.45699999999999</v>
      </c>
      <c r="F2942" s="129">
        <f t="shared" si="137"/>
        <v>1.7208000149999998</v>
      </c>
      <c r="G2942" t="str">
        <f>_xlfn.XLOOKUP(D2942,'[1]2050 BAU Mapping to T &amp; C'!$A$3:$A$52,'[1]2050 BAU Mapping to T &amp; C'!$B$3:$B$52)</f>
        <v>Pork</v>
      </c>
      <c r="H2942" s="129">
        <f>_xlfn.XLOOKUP(G2942,'[1]T&amp;C emissions for 2050 analysis'!$B$3:$B$23,'[1]T&amp;C emissions for 2050 analysis'!$C$3:$C$23)</f>
        <v>5.8666666666666671</v>
      </c>
      <c r="I2942" s="27">
        <f t="shared" si="135"/>
        <v>10.095360088</v>
      </c>
      <c r="J2942" s="129">
        <f t="shared" si="136"/>
        <v>1134.9477333333334</v>
      </c>
    </row>
    <row r="2943" spans="1:10" hidden="1" x14ac:dyDescent="0.35">
      <c r="A2943" s="126" t="s">
        <v>446</v>
      </c>
      <c r="B2943" t="str">
        <f>_xlfn.XLOOKUP(A2943,'[1]2050Pop'!$A$7:$A$143,'[1]2050Pop'!$D$7:$D$143)</f>
        <v>LatAm &amp; RSA</v>
      </c>
      <c r="C2943" s="127">
        <f>1000*_xlfn.XLOOKUP(A2943,'[1]2050Pop'!$A$7:$A$143,'[1]2050Pop'!$C$7:$C$143)</f>
        <v>41899</v>
      </c>
      <c r="D2943" s="126" t="s">
        <v>521</v>
      </c>
      <c r="E2943" s="128">
        <v>32.045999999999999</v>
      </c>
      <c r="F2943" s="129">
        <f t="shared" si="137"/>
        <v>1.342695354</v>
      </c>
      <c r="G2943" t="str">
        <f>_xlfn.XLOOKUP(D2943,'[1]2050 BAU Mapping to T &amp; C'!$A$3:$A$52,'[1]2050 BAU Mapping to T &amp; C'!$B$3:$B$52)</f>
        <v>Pork</v>
      </c>
      <c r="H2943" s="129">
        <f>_xlfn.XLOOKUP(G2943,'[1]T&amp;C emissions for 2050 analysis'!$B$3:$B$23,'[1]T&amp;C emissions for 2050 analysis'!$C$3:$C$23)</f>
        <v>5.8666666666666671</v>
      </c>
      <c r="I2943" s="27">
        <f t="shared" si="135"/>
        <v>7.8771460768000008</v>
      </c>
      <c r="J2943" s="129">
        <f t="shared" si="136"/>
        <v>188.00320000000002</v>
      </c>
    </row>
    <row r="2944" spans="1:10" hidden="1" x14ac:dyDescent="0.35">
      <c r="A2944" s="126" t="s">
        <v>447</v>
      </c>
      <c r="B2944" t="str">
        <f>_xlfn.XLOOKUP(A2944,'[1]2050Pop'!$A$7:$A$143,'[1]2050Pop'!$D$7:$D$143)</f>
        <v>APAC</v>
      </c>
      <c r="C2944" s="127">
        <f>1000*_xlfn.XLOOKUP(A2944,'[1]2050Pop'!$A$7:$A$143,'[1]2050Pop'!$C$7:$C$143)</f>
        <v>148260</v>
      </c>
      <c r="D2944" s="126" t="s">
        <v>521</v>
      </c>
      <c r="E2944" s="128">
        <v>239.13200000000001</v>
      </c>
      <c r="F2944" s="129">
        <f t="shared" si="137"/>
        <v>35.453710319999999</v>
      </c>
      <c r="G2944" t="str">
        <f>_xlfn.XLOOKUP(D2944,'[1]2050 BAU Mapping to T &amp; C'!$A$3:$A$52,'[1]2050 BAU Mapping to T &amp; C'!$B$3:$B$52)</f>
        <v>Pork</v>
      </c>
      <c r="H2944" s="129">
        <f>_xlfn.XLOOKUP(G2944,'[1]T&amp;C emissions for 2050 analysis'!$B$3:$B$23,'[1]T&amp;C emissions for 2050 analysis'!$C$3:$C$23)</f>
        <v>5.8666666666666671</v>
      </c>
      <c r="I2944" s="27">
        <f t="shared" si="135"/>
        <v>207.99510054400002</v>
      </c>
      <c r="J2944" s="129">
        <f t="shared" si="136"/>
        <v>1402.9077333333335</v>
      </c>
    </row>
    <row r="2945" spans="1:10" hidden="1" x14ac:dyDescent="0.35">
      <c r="A2945" s="126" t="s">
        <v>448</v>
      </c>
      <c r="B2945" t="str">
        <f>_xlfn.XLOOKUP(A2945,'[1]2050Pop'!$A$7:$A$143,'[1]2050Pop'!$D$7:$D$143)</f>
        <v>Euro/AU/NZ</v>
      </c>
      <c r="C2945" s="127">
        <f>1000*_xlfn.XLOOKUP(A2945,'[1]2050Pop'!$A$7:$A$143,'[1]2050Pop'!$C$7:$C$143)</f>
        <v>33136</v>
      </c>
      <c r="D2945" s="126" t="s">
        <v>521</v>
      </c>
      <c r="E2945" s="128">
        <v>310.01799999999997</v>
      </c>
      <c r="F2945" s="129">
        <f t="shared" si="137"/>
        <v>10.272756447999999</v>
      </c>
      <c r="G2945" t="str">
        <f>_xlfn.XLOOKUP(D2945,'[1]2050 BAU Mapping to T &amp; C'!$A$3:$A$52,'[1]2050 BAU Mapping to T &amp; C'!$B$3:$B$52)</f>
        <v>Pork</v>
      </c>
      <c r="H2945" s="129">
        <f>_xlfn.XLOOKUP(G2945,'[1]T&amp;C emissions for 2050 analysis'!$B$3:$B$23,'[1]T&amp;C emissions for 2050 analysis'!$C$3:$C$23)</f>
        <v>5.8666666666666671</v>
      </c>
      <c r="I2945" s="27">
        <f t="shared" si="135"/>
        <v>60.266837828266667</v>
      </c>
      <c r="J2945" s="129">
        <f t="shared" si="136"/>
        <v>1818.7722666666666</v>
      </c>
    </row>
    <row r="2946" spans="1:10" hidden="1" x14ac:dyDescent="0.35">
      <c r="A2946" s="126" t="s">
        <v>449</v>
      </c>
      <c r="B2946" t="str">
        <f>_xlfn.XLOOKUP(A2946,'[1]2050Pop'!$A$7:$A$143,'[1]2050Pop'!$D$7:$D$143)</f>
        <v>Euro/AU/NZ</v>
      </c>
      <c r="C2946" s="127">
        <f>1000*_xlfn.XLOOKUP(A2946,'[1]2050Pop'!$A$7:$A$143,'[1]2050Pop'!$C$7:$C$143)</f>
        <v>9216</v>
      </c>
      <c r="D2946" s="126" t="s">
        <v>521</v>
      </c>
      <c r="E2946" s="128">
        <v>204.73699999999999</v>
      </c>
      <c r="F2946" s="129">
        <f t="shared" si="137"/>
        <v>1.886856192</v>
      </c>
      <c r="G2946" t="str">
        <f>_xlfn.XLOOKUP(D2946,'[1]2050 BAU Mapping to T &amp; C'!$A$3:$A$52,'[1]2050 BAU Mapping to T &amp; C'!$B$3:$B$52)</f>
        <v>Pork</v>
      </c>
      <c r="H2946" s="129">
        <f>_xlfn.XLOOKUP(G2946,'[1]T&amp;C emissions for 2050 analysis'!$B$3:$B$23,'[1]T&amp;C emissions for 2050 analysis'!$C$3:$C$23)</f>
        <v>5.8666666666666671</v>
      </c>
      <c r="I2946" s="27">
        <f t="shared" si="135"/>
        <v>11.069556326400001</v>
      </c>
      <c r="J2946" s="129">
        <f t="shared" si="136"/>
        <v>1201.1237333333333</v>
      </c>
    </row>
    <row r="2947" spans="1:10" hidden="1" x14ac:dyDescent="0.35">
      <c r="A2947" s="126" t="s">
        <v>450</v>
      </c>
      <c r="B2947" t="str">
        <f>_xlfn.XLOOKUP(A2947,'[1]2050Pop'!$A$7:$A$143,'[1]2050Pop'!$D$7:$D$143)</f>
        <v>APAC</v>
      </c>
      <c r="C2947" s="127">
        <f>1000*_xlfn.XLOOKUP(A2947,'[1]2050Pop'!$A$7:$A$143,'[1]2050Pop'!$C$7:$C$143)</f>
        <v>50593</v>
      </c>
      <c r="D2947" s="126" t="s">
        <v>521</v>
      </c>
      <c r="E2947" s="128">
        <v>213.065</v>
      </c>
      <c r="F2947" s="129">
        <f t="shared" si="137"/>
        <v>10.779597545</v>
      </c>
      <c r="G2947" t="str">
        <f>_xlfn.XLOOKUP(D2947,'[1]2050 BAU Mapping to T &amp; C'!$A$3:$A$52,'[1]2050 BAU Mapping to T &amp; C'!$B$3:$B$52)</f>
        <v>Pork</v>
      </c>
      <c r="H2947" s="129">
        <f>_xlfn.XLOOKUP(G2947,'[1]T&amp;C emissions for 2050 analysis'!$B$3:$B$23,'[1]T&amp;C emissions for 2050 analysis'!$C$3:$C$23)</f>
        <v>5.8666666666666671</v>
      </c>
      <c r="I2947" s="27">
        <f t="shared" si="135"/>
        <v>63.240305597333339</v>
      </c>
      <c r="J2947" s="129">
        <f t="shared" si="136"/>
        <v>1249.9813333333334</v>
      </c>
    </row>
    <row r="2948" spans="1:10" hidden="1" x14ac:dyDescent="0.35">
      <c r="A2948" s="126" t="s">
        <v>451</v>
      </c>
      <c r="B2948" t="str">
        <f>_xlfn.XLOOKUP(A2948,'[1]2050Pop'!$A$7:$A$143,'[1]2050Pop'!$D$7:$D$143)</f>
        <v>Euro/AU/NZ</v>
      </c>
      <c r="C2948" s="127">
        <f>1000*_xlfn.XLOOKUP(A2948,'[1]2050Pop'!$A$7:$A$143,'[1]2050Pop'!$C$7:$C$143)</f>
        <v>3243</v>
      </c>
      <c r="D2948" s="126" t="s">
        <v>521</v>
      </c>
      <c r="E2948" s="128">
        <v>143.83799999999999</v>
      </c>
      <c r="F2948" s="129">
        <f t="shared" si="137"/>
        <v>0.46646663399999994</v>
      </c>
      <c r="G2948" t="str">
        <f>_xlfn.XLOOKUP(D2948,'[1]2050 BAU Mapping to T &amp; C'!$A$3:$A$52,'[1]2050 BAU Mapping to T &amp; C'!$B$3:$B$52)</f>
        <v>Pork</v>
      </c>
      <c r="H2948" s="129">
        <f>_xlfn.XLOOKUP(G2948,'[1]T&amp;C emissions for 2050 analysis'!$B$3:$B$23,'[1]T&amp;C emissions for 2050 analysis'!$C$3:$C$23)</f>
        <v>5.8666666666666671</v>
      </c>
      <c r="I2948" s="27">
        <f t="shared" ref="I2948:I3011" si="138">F2948*H2948</f>
        <v>2.7366042527999999</v>
      </c>
      <c r="J2948" s="129">
        <f t="shared" ref="J2948:J3011" si="139">E2948*H2948</f>
        <v>843.84960000000001</v>
      </c>
    </row>
    <row r="2949" spans="1:10" hidden="1" x14ac:dyDescent="0.35">
      <c r="A2949" s="126" t="s">
        <v>452</v>
      </c>
      <c r="B2949" t="str">
        <f>_xlfn.XLOOKUP(A2949,'[1]2050Pop'!$A$7:$A$143,'[1]2050Pop'!$D$7:$D$143)</f>
        <v>SSA</v>
      </c>
      <c r="C2949" s="127">
        <f>1000*_xlfn.XLOOKUP(A2949,'[1]2050Pop'!$A$7:$A$143,'[1]2050Pop'!$C$7:$C$143)</f>
        <v>10732</v>
      </c>
      <c r="D2949" s="126" t="s">
        <v>521</v>
      </c>
      <c r="E2949" s="128">
        <v>22.161999999999999</v>
      </c>
      <c r="F2949" s="129">
        <f t="shared" ref="F2949:F3012" si="140">C2949*E2949/1000000</f>
        <v>0.237842584</v>
      </c>
      <c r="G2949" t="str">
        <f>_xlfn.XLOOKUP(D2949,'[1]2050 BAU Mapping to T &amp; C'!$A$3:$A$52,'[1]2050 BAU Mapping to T &amp; C'!$B$3:$B$52)</f>
        <v>Pork</v>
      </c>
      <c r="H2949" s="129">
        <f>_xlfn.XLOOKUP(G2949,'[1]T&amp;C emissions for 2050 analysis'!$B$3:$B$23,'[1]T&amp;C emissions for 2050 analysis'!$C$3:$C$23)</f>
        <v>5.8666666666666671</v>
      </c>
      <c r="I2949" s="27">
        <f t="shared" si="138"/>
        <v>1.3953431594666668</v>
      </c>
      <c r="J2949" s="129">
        <f t="shared" si="139"/>
        <v>130.01706666666666</v>
      </c>
    </row>
    <row r="2950" spans="1:10" hidden="1" x14ac:dyDescent="0.35">
      <c r="A2950" s="126" t="s">
        <v>453</v>
      </c>
      <c r="B2950" t="str">
        <f>_xlfn.XLOOKUP(A2950,'[1]2050Pop'!$A$7:$A$143,'[1]2050Pop'!$D$7:$D$143)</f>
        <v>Euro/AU/NZ</v>
      </c>
      <c r="C2950" s="127">
        <f>1000*_xlfn.XLOOKUP(A2950,'[1]2050Pop'!$A$7:$A$143,'[1]2050Pop'!$C$7:$C$143)</f>
        <v>15207</v>
      </c>
      <c r="D2950" s="126" t="s">
        <v>521</v>
      </c>
      <c r="E2950" s="128">
        <v>132.93100000000001</v>
      </c>
      <c r="F2950" s="129">
        <f t="shared" si="140"/>
        <v>2.0214817170000003</v>
      </c>
      <c r="G2950" t="str">
        <f>_xlfn.XLOOKUP(D2950,'[1]2050 BAU Mapping to T &amp; C'!$A$3:$A$52,'[1]2050 BAU Mapping to T &amp; C'!$B$3:$B$52)</f>
        <v>Pork</v>
      </c>
      <c r="H2950" s="129">
        <f>_xlfn.XLOOKUP(G2950,'[1]T&amp;C emissions for 2050 analysis'!$B$3:$B$23,'[1]T&amp;C emissions for 2050 analysis'!$C$3:$C$23)</f>
        <v>5.8666666666666671</v>
      </c>
      <c r="I2950" s="27">
        <f t="shared" si="138"/>
        <v>11.859359406400003</v>
      </c>
      <c r="J2950" s="129">
        <f t="shared" si="139"/>
        <v>779.86186666666674</v>
      </c>
    </row>
    <row r="2951" spans="1:10" hidden="1" x14ac:dyDescent="0.35">
      <c r="A2951" s="126" t="s">
        <v>454</v>
      </c>
      <c r="B2951" t="str">
        <f>_xlfn.XLOOKUP(A2951,'[1]2050Pop'!$A$7:$A$143,'[1]2050Pop'!$D$7:$D$143)</f>
        <v>Euro/AU/NZ</v>
      </c>
      <c r="C2951" s="127">
        <f>1000*_xlfn.XLOOKUP(A2951,'[1]2050Pop'!$A$7:$A$143,'[1]2050Pop'!$C$7:$C$143)</f>
        <v>128598.99999999999</v>
      </c>
      <c r="D2951" s="126" t="s">
        <v>521</v>
      </c>
      <c r="E2951" s="128">
        <v>130.499</v>
      </c>
      <c r="F2951" s="129">
        <f t="shared" si="140"/>
        <v>16.782040900999998</v>
      </c>
      <c r="G2951" t="str">
        <f>_xlfn.XLOOKUP(D2951,'[1]2050 BAU Mapping to T &amp; C'!$A$3:$A$52,'[1]2050 BAU Mapping to T &amp; C'!$B$3:$B$52)</f>
        <v>Pork</v>
      </c>
      <c r="H2951" s="129">
        <f>_xlfn.XLOOKUP(G2951,'[1]T&amp;C emissions for 2050 analysis'!$B$3:$B$23,'[1]T&amp;C emissions for 2050 analysis'!$C$3:$C$23)</f>
        <v>5.8666666666666671</v>
      </c>
      <c r="I2951" s="27">
        <f t="shared" si="138"/>
        <v>98.454639952533327</v>
      </c>
      <c r="J2951" s="129">
        <f t="shared" si="139"/>
        <v>765.59413333333339</v>
      </c>
    </row>
    <row r="2952" spans="1:10" hidden="1" x14ac:dyDescent="0.35">
      <c r="A2952" s="126" t="s">
        <v>455</v>
      </c>
      <c r="B2952" t="str">
        <f>_xlfn.XLOOKUP(A2952,'[1]2050Pop'!$A$7:$A$143,'[1]2050Pop'!$D$7:$D$143)</f>
        <v>SSA</v>
      </c>
      <c r="C2952" s="127">
        <f>1000*_xlfn.XLOOKUP(A2952,'[1]2050Pop'!$A$7:$A$143,'[1]2050Pop'!$C$7:$C$143)</f>
        <v>21187</v>
      </c>
      <c r="D2952" s="126" t="s">
        <v>521</v>
      </c>
      <c r="E2952" s="128">
        <v>10.686999999999999</v>
      </c>
      <c r="F2952" s="129">
        <f t="shared" si="140"/>
        <v>0.22642546899999999</v>
      </c>
      <c r="G2952" t="str">
        <f>_xlfn.XLOOKUP(D2952,'[1]2050 BAU Mapping to T &amp; C'!$A$3:$A$52,'[1]2050 BAU Mapping to T &amp; C'!$B$3:$B$52)</f>
        <v>Pork</v>
      </c>
      <c r="H2952" s="129">
        <f>_xlfn.XLOOKUP(G2952,'[1]T&amp;C emissions for 2050 analysis'!$B$3:$B$23,'[1]T&amp;C emissions for 2050 analysis'!$C$3:$C$23)</f>
        <v>5.8666666666666671</v>
      </c>
      <c r="I2952" s="27">
        <f t="shared" si="138"/>
        <v>1.3283627514666667</v>
      </c>
      <c r="J2952" s="129">
        <f t="shared" si="139"/>
        <v>62.697066666666672</v>
      </c>
    </row>
    <row r="2953" spans="1:10" hidden="1" x14ac:dyDescent="0.35">
      <c r="A2953" s="126" t="s">
        <v>457</v>
      </c>
      <c r="B2953" t="str">
        <f>_xlfn.XLOOKUP(A2953,'[1]2050Pop'!$A$7:$A$143,'[1]2050Pop'!$D$7:$D$143)</f>
        <v>SSA</v>
      </c>
      <c r="C2953" s="127">
        <f>1000*_xlfn.XLOOKUP(A2953,'[1]2050Pop'!$A$7:$A$143,'[1]2050Pop'!$C$7:$C$143)</f>
        <v>36223</v>
      </c>
      <c r="D2953" s="126" t="s">
        <v>521</v>
      </c>
      <c r="E2953" s="128">
        <v>13.115</v>
      </c>
      <c r="F2953" s="129">
        <f t="shared" si="140"/>
        <v>0.47506464500000001</v>
      </c>
      <c r="G2953" t="str">
        <f>_xlfn.XLOOKUP(D2953,'[1]2050 BAU Mapping to T &amp; C'!$A$3:$A$52,'[1]2050 BAU Mapping to T &amp; C'!$B$3:$B$52)</f>
        <v>Pork</v>
      </c>
      <c r="H2953" s="129">
        <f>_xlfn.XLOOKUP(G2953,'[1]T&amp;C emissions for 2050 analysis'!$B$3:$B$23,'[1]T&amp;C emissions for 2050 analysis'!$C$3:$C$23)</f>
        <v>5.8666666666666671</v>
      </c>
      <c r="I2953" s="27">
        <f t="shared" si="138"/>
        <v>2.7870459173333337</v>
      </c>
      <c r="J2953" s="129">
        <f t="shared" si="139"/>
        <v>76.941333333333347</v>
      </c>
    </row>
    <row r="2954" spans="1:10" hidden="1" x14ac:dyDescent="0.35">
      <c r="A2954" s="126" t="s">
        <v>458</v>
      </c>
      <c r="B2954" t="str">
        <f>_xlfn.XLOOKUP(A2954,'[1]2050Pop'!$A$7:$A$143,'[1]2050Pop'!$D$7:$D$143)</f>
        <v>Euro/AU/NZ</v>
      </c>
      <c r="C2954" s="127">
        <f>1000*_xlfn.XLOOKUP(A2954,'[1]2050Pop'!$A$7:$A$143,'[1]2050Pop'!$C$7:$C$143)</f>
        <v>7331</v>
      </c>
      <c r="D2954" s="126" t="s">
        <v>521</v>
      </c>
      <c r="E2954" s="128">
        <v>255.279</v>
      </c>
      <c r="F2954" s="129">
        <f t="shared" si="140"/>
        <v>1.8714503489999998</v>
      </c>
      <c r="G2954" t="str">
        <f>_xlfn.XLOOKUP(D2954,'[1]2050 BAU Mapping to T &amp; C'!$A$3:$A$52,'[1]2050 BAU Mapping to T &amp; C'!$B$3:$B$52)</f>
        <v>Pork</v>
      </c>
      <c r="H2954" s="129">
        <f>_xlfn.XLOOKUP(G2954,'[1]T&amp;C emissions for 2050 analysis'!$B$3:$B$23,'[1]T&amp;C emissions for 2050 analysis'!$C$3:$C$23)</f>
        <v>5.8666666666666671</v>
      </c>
      <c r="I2954" s="27">
        <f t="shared" si="138"/>
        <v>10.979175380799999</v>
      </c>
      <c r="J2954" s="129">
        <f t="shared" si="139"/>
        <v>1497.6368</v>
      </c>
    </row>
    <row r="2955" spans="1:10" hidden="1" x14ac:dyDescent="0.35">
      <c r="A2955" s="126" t="s">
        <v>492</v>
      </c>
      <c r="B2955" t="str">
        <f>_xlfn.XLOOKUP(A2955,'[1]2050Pop'!$A$7:$A$143,'[1]2050Pop'!$D$7:$D$143)</f>
        <v>SSA</v>
      </c>
      <c r="C2955" s="127">
        <f>1000*_xlfn.XLOOKUP(A2955,'[1]2050Pop'!$A$7:$A$143,'[1]2050Pop'!$C$7:$C$143)</f>
        <v>11392</v>
      </c>
      <c r="D2955" s="126" t="s">
        <v>521</v>
      </c>
      <c r="E2955" s="128">
        <v>14.885999999999999</v>
      </c>
      <c r="F2955" s="129">
        <f t="shared" si="140"/>
        <v>0.16958131200000001</v>
      </c>
      <c r="G2955" t="str">
        <f>_xlfn.XLOOKUP(D2955,'[1]2050 BAU Mapping to T &amp; C'!$A$3:$A$52,'[1]2050 BAU Mapping to T &amp; C'!$B$3:$B$52)</f>
        <v>Pork</v>
      </c>
      <c r="H2955" s="129">
        <f>_xlfn.XLOOKUP(G2955,'[1]T&amp;C emissions for 2050 analysis'!$B$3:$B$23,'[1]T&amp;C emissions for 2050 analysis'!$C$3:$C$23)</f>
        <v>5.8666666666666671</v>
      </c>
      <c r="I2955" s="27">
        <f t="shared" si="138"/>
        <v>0.9948770304000002</v>
      </c>
      <c r="J2955" s="129">
        <f t="shared" si="139"/>
        <v>87.331199999999995</v>
      </c>
    </row>
    <row r="2956" spans="1:10" hidden="1" x14ac:dyDescent="0.35">
      <c r="A2956" s="126" t="s">
        <v>459</v>
      </c>
      <c r="B2956" t="str">
        <f>_xlfn.XLOOKUP(A2956,'[1]2050Pop'!$A$7:$A$143,'[1]2050Pop'!$D$7:$D$143)</f>
        <v>Euro/AU/NZ</v>
      </c>
      <c r="C2956" s="127">
        <f>1000*_xlfn.XLOOKUP(A2956,'[1]2050Pop'!$A$7:$A$143,'[1]2050Pop'!$C$7:$C$143)</f>
        <v>4892</v>
      </c>
      <c r="D2956" s="126" t="s">
        <v>521</v>
      </c>
      <c r="E2956" s="128">
        <v>180.41499999999999</v>
      </c>
      <c r="F2956" s="129">
        <f t="shared" si="140"/>
        <v>0.88259017999999989</v>
      </c>
      <c r="G2956" t="str">
        <f>_xlfn.XLOOKUP(D2956,'[1]2050 BAU Mapping to T &amp; C'!$A$3:$A$52,'[1]2050 BAU Mapping to T &amp; C'!$B$3:$B$52)</f>
        <v>Pork</v>
      </c>
      <c r="H2956" s="129">
        <f>_xlfn.XLOOKUP(G2956,'[1]T&amp;C emissions for 2050 analysis'!$B$3:$B$23,'[1]T&amp;C emissions for 2050 analysis'!$C$3:$C$23)</f>
        <v>5.8666666666666671</v>
      </c>
      <c r="I2956" s="27">
        <f t="shared" si="138"/>
        <v>5.1778623893333329</v>
      </c>
      <c r="J2956" s="129">
        <f t="shared" si="139"/>
        <v>1058.4346666666668</v>
      </c>
    </row>
    <row r="2957" spans="1:10" hidden="1" x14ac:dyDescent="0.35">
      <c r="A2957" s="126" t="s">
        <v>460</v>
      </c>
      <c r="B2957" t="str">
        <f>_xlfn.XLOOKUP(A2957,'[1]2050Pop'!$A$7:$A$143,'[1]2050Pop'!$D$7:$D$143)</f>
        <v>LatAm &amp; RSA</v>
      </c>
      <c r="C2957" s="127">
        <f>1000*_xlfn.XLOOKUP(A2957,'[1]2050Pop'!$A$7:$A$143,'[1]2050Pop'!$C$7:$C$143)</f>
        <v>65540</v>
      </c>
      <c r="D2957" s="126" t="s">
        <v>521</v>
      </c>
      <c r="E2957" s="128">
        <v>56.561</v>
      </c>
      <c r="F2957" s="129">
        <f t="shared" si="140"/>
        <v>3.70700794</v>
      </c>
      <c r="G2957" t="str">
        <f>_xlfn.XLOOKUP(D2957,'[1]2050 BAU Mapping to T &amp; C'!$A$3:$A$52,'[1]2050 BAU Mapping to T &amp; C'!$B$3:$B$52)</f>
        <v>Pork</v>
      </c>
      <c r="H2957" s="129">
        <f>_xlfn.XLOOKUP(G2957,'[1]T&amp;C emissions for 2050 analysis'!$B$3:$B$23,'[1]T&amp;C emissions for 2050 analysis'!$C$3:$C$23)</f>
        <v>5.8666666666666671</v>
      </c>
      <c r="I2957" s="27">
        <f t="shared" si="138"/>
        <v>21.747779914666669</v>
      </c>
      <c r="J2957" s="129">
        <f t="shared" si="139"/>
        <v>331.82453333333336</v>
      </c>
    </row>
    <row r="2958" spans="1:10" hidden="1" x14ac:dyDescent="0.35">
      <c r="A2958" s="126" t="s">
        <v>461</v>
      </c>
      <c r="B2958" t="str">
        <f>_xlfn.XLOOKUP(A2958,'[1]2050Pop'!$A$7:$A$143,'[1]2050Pop'!$D$7:$D$143)</f>
        <v>Euro/AU/NZ</v>
      </c>
      <c r="C2958" s="127">
        <f>1000*_xlfn.XLOOKUP(A2958,'[1]2050Pop'!$A$7:$A$143,'[1]2050Pop'!$C$7:$C$143)</f>
        <v>44840</v>
      </c>
      <c r="D2958" s="126" t="s">
        <v>521</v>
      </c>
      <c r="E2958" s="128">
        <v>237.749</v>
      </c>
      <c r="F2958" s="129">
        <f t="shared" si="140"/>
        <v>10.660665160000001</v>
      </c>
      <c r="G2958" t="str">
        <f>_xlfn.XLOOKUP(D2958,'[1]2050 BAU Mapping to T &amp; C'!$A$3:$A$52,'[1]2050 BAU Mapping to T &amp; C'!$B$3:$B$52)</f>
        <v>Pork</v>
      </c>
      <c r="H2958" s="129">
        <f>_xlfn.XLOOKUP(G2958,'[1]T&amp;C emissions for 2050 analysis'!$B$3:$B$23,'[1]T&amp;C emissions for 2050 analysis'!$C$3:$C$23)</f>
        <v>5.8666666666666671</v>
      </c>
      <c r="I2958" s="27">
        <f t="shared" si="138"/>
        <v>62.542568938666676</v>
      </c>
      <c r="J2958" s="129">
        <f t="shared" si="139"/>
        <v>1394.7941333333333</v>
      </c>
    </row>
    <row r="2959" spans="1:10" hidden="1" x14ac:dyDescent="0.35">
      <c r="A2959" s="126" t="s">
        <v>462</v>
      </c>
      <c r="B2959" t="str">
        <f>_xlfn.XLOOKUP(A2959,'[1]2050Pop'!$A$7:$A$143,'[1]2050Pop'!$D$7:$D$143)</f>
        <v>LatAm &amp; RSA</v>
      </c>
      <c r="C2959" s="127">
        <f>1000*_xlfn.XLOOKUP(A2959,'[1]2050Pop'!$A$7:$A$143,'[1]2050Pop'!$C$7:$C$143)</f>
        <v>624</v>
      </c>
      <c r="D2959" s="126" t="s">
        <v>521</v>
      </c>
      <c r="E2959" s="128">
        <v>94.078999999999994</v>
      </c>
      <c r="F2959" s="129">
        <f t="shared" si="140"/>
        <v>5.8705295999999997E-2</v>
      </c>
      <c r="G2959" t="str">
        <f>_xlfn.XLOOKUP(D2959,'[1]2050 BAU Mapping to T &amp; C'!$A$3:$A$52,'[1]2050 BAU Mapping to T &amp; C'!$B$3:$B$52)</f>
        <v>Pork</v>
      </c>
      <c r="H2959" s="129">
        <f>_xlfn.XLOOKUP(G2959,'[1]T&amp;C emissions for 2050 analysis'!$B$3:$B$23,'[1]T&amp;C emissions for 2050 analysis'!$C$3:$C$23)</f>
        <v>5.8666666666666671</v>
      </c>
      <c r="I2959" s="27">
        <f t="shared" si="138"/>
        <v>0.34440440319999999</v>
      </c>
      <c r="J2959" s="129">
        <f t="shared" si="139"/>
        <v>551.93013333333329</v>
      </c>
    </row>
    <row r="2960" spans="1:10" hidden="1" x14ac:dyDescent="0.35">
      <c r="A2960" s="126" t="s">
        <v>463</v>
      </c>
      <c r="B2960" t="str">
        <f>_xlfn.XLOOKUP(A2960,'[1]2050Pop'!$A$7:$A$143,'[1]2050Pop'!$D$7:$D$143)</f>
        <v>SSA</v>
      </c>
      <c r="C2960" s="127">
        <f>1000*_xlfn.XLOOKUP(A2960,'[1]2050Pop'!$A$7:$A$143,'[1]2050Pop'!$C$7:$C$143)</f>
        <v>1792</v>
      </c>
      <c r="D2960" s="126" t="s">
        <v>521</v>
      </c>
      <c r="E2960" s="128">
        <v>16.344000000000001</v>
      </c>
      <c r="F2960" s="129">
        <f t="shared" si="140"/>
        <v>2.9288448000000005E-2</v>
      </c>
      <c r="G2960" t="str">
        <f>_xlfn.XLOOKUP(D2960,'[1]2050 BAU Mapping to T &amp; C'!$A$3:$A$52,'[1]2050 BAU Mapping to T &amp; C'!$B$3:$B$52)</f>
        <v>Pork</v>
      </c>
      <c r="H2960" s="129">
        <f>_xlfn.XLOOKUP(G2960,'[1]T&amp;C emissions for 2050 analysis'!$B$3:$B$23,'[1]T&amp;C emissions for 2050 analysis'!$C$3:$C$23)</f>
        <v>5.8666666666666671</v>
      </c>
      <c r="I2960" s="27">
        <f t="shared" si="138"/>
        <v>0.17182556160000004</v>
      </c>
      <c r="J2960" s="129">
        <f t="shared" si="139"/>
        <v>95.884800000000013</v>
      </c>
    </row>
    <row r="2961" spans="1:10" hidden="1" x14ac:dyDescent="0.35">
      <c r="A2961" s="126" t="s">
        <v>464</v>
      </c>
      <c r="B2961" t="str">
        <f>_xlfn.XLOOKUP(A2961,'[1]2050Pop'!$A$7:$A$143,'[1]2050Pop'!$D$7:$D$143)</f>
        <v>Euro/AU/NZ</v>
      </c>
      <c r="C2961" s="127">
        <f>1000*_xlfn.XLOOKUP(A2961,'[1]2050Pop'!$A$7:$A$143,'[1]2050Pop'!$C$7:$C$143)</f>
        <v>11881</v>
      </c>
      <c r="D2961" s="126" t="s">
        <v>521</v>
      </c>
      <c r="E2961" s="128">
        <v>239.923</v>
      </c>
      <c r="F2961" s="129">
        <f t="shared" si="140"/>
        <v>2.8505251630000004</v>
      </c>
      <c r="G2961" t="str">
        <f>_xlfn.XLOOKUP(D2961,'[1]2050 BAU Mapping to T &amp; C'!$A$3:$A$52,'[1]2050 BAU Mapping to T &amp; C'!$B$3:$B$52)</f>
        <v>Pork</v>
      </c>
      <c r="H2961" s="129">
        <f>_xlfn.XLOOKUP(G2961,'[1]T&amp;C emissions for 2050 analysis'!$B$3:$B$23,'[1]T&amp;C emissions for 2050 analysis'!$C$3:$C$23)</f>
        <v>5.8666666666666671</v>
      </c>
      <c r="I2961" s="27">
        <f t="shared" si="138"/>
        <v>16.723080956266671</v>
      </c>
      <c r="J2961" s="129">
        <f t="shared" si="139"/>
        <v>1407.5482666666667</v>
      </c>
    </row>
    <row r="2962" spans="1:10" hidden="1" x14ac:dyDescent="0.35">
      <c r="A2962" s="126" t="s">
        <v>483</v>
      </c>
      <c r="B2962" t="str">
        <f>_xlfn.XLOOKUP(A2962,'[1]2050Pop'!$A$7:$A$143,'[1]2050Pop'!$D$7:$D$143)</f>
        <v>APAC</v>
      </c>
      <c r="C2962" s="127">
        <f>1000*_xlfn.XLOOKUP(A2962,'[1]2050Pop'!$A$7:$A$143,'[1]2050Pop'!$C$7:$C$143)</f>
        <v>14288</v>
      </c>
      <c r="D2962" s="126" t="s">
        <v>521</v>
      </c>
      <c r="E2962" s="128">
        <v>12.294</v>
      </c>
      <c r="F2962" s="129">
        <f t="shared" si="140"/>
        <v>0.17565667200000001</v>
      </c>
      <c r="G2962" t="str">
        <f>_xlfn.XLOOKUP(D2962,'[1]2050 BAU Mapping to T &amp; C'!$A$3:$A$52,'[1]2050 BAU Mapping to T &amp; C'!$B$3:$B$52)</f>
        <v>Pork</v>
      </c>
      <c r="H2962" s="129">
        <f>_xlfn.XLOOKUP(G2962,'[1]T&amp;C emissions for 2050 analysis'!$B$3:$B$23,'[1]T&amp;C emissions for 2050 analysis'!$C$3:$C$23)</f>
        <v>5.8666666666666671</v>
      </c>
      <c r="I2962" s="27">
        <f t="shared" si="138"/>
        <v>1.0305191424000002</v>
      </c>
      <c r="J2962" s="129">
        <f t="shared" si="139"/>
        <v>72.124800000000008</v>
      </c>
    </row>
    <row r="2963" spans="1:10" hidden="1" x14ac:dyDescent="0.35">
      <c r="A2963" s="126" t="s">
        <v>465</v>
      </c>
      <c r="B2963" t="str">
        <f>_xlfn.XLOOKUP(A2963,'[1]2050Pop'!$A$7:$A$143,'[1]2050Pop'!$D$7:$D$143)</f>
        <v>APAC</v>
      </c>
      <c r="C2963" s="127">
        <f>1000*_xlfn.XLOOKUP(A2963,'[1]2050Pop'!$A$7:$A$143,'[1]2050Pop'!$C$7:$C$143)</f>
        <v>62452</v>
      </c>
      <c r="D2963" s="126" t="s">
        <v>521</v>
      </c>
      <c r="E2963" s="128">
        <v>170.69800000000001</v>
      </c>
      <c r="F2963" s="129">
        <f t="shared" si="140"/>
        <v>10.660431496000001</v>
      </c>
      <c r="G2963" t="str">
        <f>_xlfn.XLOOKUP(D2963,'[1]2050 BAU Mapping to T &amp; C'!$A$3:$A$52,'[1]2050 BAU Mapping to T &amp; C'!$B$3:$B$52)</f>
        <v>Pork</v>
      </c>
      <c r="H2963" s="129">
        <f>_xlfn.XLOOKUP(G2963,'[1]T&amp;C emissions for 2050 analysis'!$B$3:$B$23,'[1]T&amp;C emissions for 2050 analysis'!$C$3:$C$23)</f>
        <v>5.8666666666666671</v>
      </c>
      <c r="I2963" s="27">
        <f t="shared" si="138"/>
        <v>62.541198109866677</v>
      </c>
      <c r="J2963" s="129">
        <f t="shared" si="139"/>
        <v>1001.4282666666668</v>
      </c>
    </row>
    <row r="2964" spans="1:10" hidden="1" x14ac:dyDescent="0.35">
      <c r="A2964" s="126" t="s">
        <v>466</v>
      </c>
      <c r="B2964" t="str">
        <f>_xlfn.XLOOKUP(A2964,'[1]2050Pop'!$A$7:$A$143,'[1]2050Pop'!$D$7:$D$143)</f>
        <v>SSA</v>
      </c>
      <c r="C2964" s="127">
        <f>1000*_xlfn.XLOOKUP(A2964,'[1]2050Pop'!$A$7:$A$143,'[1]2050Pop'!$C$7:$C$143)</f>
        <v>15681</v>
      </c>
      <c r="D2964" s="126" t="s">
        <v>521</v>
      </c>
      <c r="E2964" s="128">
        <v>22.196000000000002</v>
      </c>
      <c r="F2964" s="129">
        <f t="shared" si="140"/>
        <v>0.34805547600000003</v>
      </c>
      <c r="G2964" t="str">
        <f>_xlfn.XLOOKUP(D2964,'[1]2050 BAU Mapping to T &amp; C'!$A$3:$A$52,'[1]2050 BAU Mapping to T &amp; C'!$B$3:$B$52)</f>
        <v>Pork</v>
      </c>
      <c r="H2964" s="129">
        <f>_xlfn.XLOOKUP(G2964,'[1]T&amp;C emissions for 2050 analysis'!$B$3:$B$23,'[1]T&amp;C emissions for 2050 analysis'!$C$3:$C$23)</f>
        <v>5.8666666666666671</v>
      </c>
      <c r="I2964" s="27">
        <f t="shared" si="138"/>
        <v>2.0419254592000002</v>
      </c>
      <c r="J2964" s="129">
        <f t="shared" si="139"/>
        <v>130.21653333333336</v>
      </c>
    </row>
    <row r="2965" spans="1:10" hidden="1" x14ac:dyDescent="0.35">
      <c r="A2965" s="126" t="s">
        <v>467</v>
      </c>
      <c r="B2965" t="str">
        <f>_xlfn.XLOOKUP(A2965,'[1]2050Pop'!$A$7:$A$143,'[1]2050Pop'!$D$7:$D$143)</f>
        <v>LatAm &amp; RSA</v>
      </c>
      <c r="C2965" s="127">
        <f>1000*_xlfn.XLOOKUP(A2965,'[1]2050Pop'!$A$7:$A$143,'[1]2050Pop'!$C$7:$C$143)</f>
        <v>1291</v>
      </c>
      <c r="D2965" s="126" t="s">
        <v>521</v>
      </c>
      <c r="E2965" s="128">
        <v>70.162999999999997</v>
      </c>
      <c r="F2965" s="129">
        <f t="shared" si="140"/>
        <v>9.0580432999999988E-2</v>
      </c>
      <c r="G2965" t="str">
        <f>_xlfn.XLOOKUP(D2965,'[1]2050 BAU Mapping to T &amp; C'!$A$3:$A$52,'[1]2050 BAU Mapping to T &amp; C'!$B$3:$B$52)</f>
        <v>Pork</v>
      </c>
      <c r="H2965" s="129">
        <f>_xlfn.XLOOKUP(G2965,'[1]T&amp;C emissions for 2050 analysis'!$B$3:$B$23,'[1]T&amp;C emissions for 2050 analysis'!$C$3:$C$23)</f>
        <v>5.8666666666666671</v>
      </c>
      <c r="I2965" s="27">
        <f t="shared" si="138"/>
        <v>0.53140520693333326</v>
      </c>
      <c r="J2965" s="129">
        <f t="shared" si="139"/>
        <v>411.62293333333332</v>
      </c>
    </row>
    <row r="2966" spans="1:10" hidden="1" x14ac:dyDescent="0.35">
      <c r="A2966" s="126" t="s">
        <v>484</v>
      </c>
      <c r="B2966" t="str">
        <f>_xlfn.XLOOKUP(A2966,'[1]2050Pop'!$A$7:$A$143,'[1]2050Pop'!$D$7:$D$143)</f>
        <v>APAC</v>
      </c>
      <c r="C2966" s="127">
        <f>1000*_xlfn.XLOOKUP(A2966,'[1]2050Pop'!$A$7:$A$143,'[1]2050Pop'!$C$7:$C$143)</f>
        <v>6555</v>
      </c>
      <c r="D2966" s="126" t="s">
        <v>521</v>
      </c>
      <c r="E2966" s="128">
        <v>11.244999999999999</v>
      </c>
      <c r="F2966" s="129">
        <f t="shared" si="140"/>
        <v>7.3710974999999998E-2</v>
      </c>
      <c r="G2966" t="str">
        <f>_xlfn.XLOOKUP(D2966,'[1]2050 BAU Mapping to T &amp; C'!$A$3:$A$52,'[1]2050 BAU Mapping to T &amp; C'!$B$3:$B$52)</f>
        <v>Pork</v>
      </c>
      <c r="H2966" s="129">
        <f>_xlfn.XLOOKUP(G2966,'[1]T&amp;C emissions for 2050 analysis'!$B$3:$B$23,'[1]T&amp;C emissions for 2050 analysis'!$C$3:$C$23)</f>
        <v>5.8666666666666671</v>
      </c>
      <c r="I2966" s="27">
        <f t="shared" si="138"/>
        <v>0.43243772000000003</v>
      </c>
      <c r="J2966" s="129">
        <f t="shared" si="139"/>
        <v>65.970666666666673</v>
      </c>
    </row>
    <row r="2967" spans="1:10" hidden="1" x14ac:dyDescent="0.35">
      <c r="A2967" s="126" t="s">
        <v>470</v>
      </c>
      <c r="B2967" t="str">
        <f>_xlfn.XLOOKUP(A2967,'[1]2050Pop'!$A$7:$A$143,'[1]2050Pop'!$D$7:$D$143)</f>
        <v>SSA</v>
      </c>
      <c r="C2967" s="127">
        <f>1000*_xlfn.XLOOKUP(A2967,'[1]2050Pop'!$A$7:$A$143,'[1]2050Pop'!$C$7:$C$143)</f>
        <v>101873</v>
      </c>
      <c r="D2967" s="126" t="s">
        <v>521</v>
      </c>
      <c r="E2967" s="128">
        <v>65.835999999999999</v>
      </c>
      <c r="F2967" s="129">
        <f t="shared" si="140"/>
        <v>6.7069108279999998</v>
      </c>
      <c r="G2967" t="str">
        <f>_xlfn.XLOOKUP(D2967,'[1]2050 BAU Mapping to T &amp; C'!$A$3:$A$52,'[1]2050 BAU Mapping to T &amp; C'!$B$3:$B$52)</f>
        <v>Pork</v>
      </c>
      <c r="H2967" s="129">
        <f>_xlfn.XLOOKUP(G2967,'[1]T&amp;C emissions for 2050 analysis'!$B$3:$B$23,'[1]T&amp;C emissions for 2050 analysis'!$C$3:$C$23)</f>
        <v>5.8666666666666671</v>
      </c>
      <c r="I2967" s="27">
        <f t="shared" si="138"/>
        <v>39.347210190933339</v>
      </c>
      <c r="J2967" s="129">
        <f t="shared" si="139"/>
        <v>386.23786666666666</v>
      </c>
    </row>
    <row r="2968" spans="1:10" hidden="1" x14ac:dyDescent="0.35">
      <c r="A2968" s="126" t="s">
        <v>471</v>
      </c>
      <c r="B2968" t="str">
        <f>_xlfn.XLOOKUP(A2968,'[1]2050Pop'!$A$7:$A$143,'[1]2050Pop'!$D$7:$D$143)</f>
        <v>Euro/AU/NZ</v>
      </c>
      <c r="C2968" s="127">
        <f>1000*_xlfn.XLOOKUP(A2968,'[1]2050Pop'!$A$7:$A$143,'[1]2050Pop'!$C$7:$C$143)</f>
        <v>35117</v>
      </c>
      <c r="D2968" s="126" t="s">
        <v>521</v>
      </c>
      <c r="E2968" s="128">
        <v>118.163</v>
      </c>
      <c r="F2968" s="129">
        <f t="shared" si="140"/>
        <v>4.149530071</v>
      </c>
      <c r="G2968" t="str">
        <f>_xlfn.XLOOKUP(D2968,'[1]2050 BAU Mapping to T &amp; C'!$A$3:$A$52,'[1]2050 BAU Mapping to T &amp; C'!$B$3:$B$52)</f>
        <v>Pork</v>
      </c>
      <c r="H2968" s="129">
        <f>_xlfn.XLOOKUP(G2968,'[1]T&amp;C emissions for 2050 analysis'!$B$3:$B$23,'[1]T&amp;C emissions for 2050 analysis'!$C$3:$C$23)</f>
        <v>5.8666666666666671</v>
      </c>
      <c r="I2968" s="27">
        <f t="shared" si="138"/>
        <v>24.343909749866668</v>
      </c>
      <c r="J2968" s="129">
        <f t="shared" si="139"/>
        <v>693.22293333333334</v>
      </c>
    </row>
    <row r="2969" spans="1:10" hidden="1" x14ac:dyDescent="0.35">
      <c r="A2969" s="126" t="s">
        <v>472</v>
      </c>
      <c r="B2969" t="str">
        <f>_xlfn.XLOOKUP(A2969,'[1]2050Pop'!$A$7:$A$143,'[1]2050Pop'!$D$7:$D$143)</f>
        <v>Euro/AU/NZ</v>
      </c>
      <c r="C2969" s="127">
        <f>1000*_xlfn.XLOOKUP(A2969,'[1]2050Pop'!$A$7:$A$143,'[1]2050Pop'!$C$7:$C$143)</f>
        <v>75361</v>
      </c>
      <c r="D2969" s="126" t="s">
        <v>521</v>
      </c>
      <c r="E2969" s="128">
        <v>261.786</v>
      </c>
      <c r="F2969" s="129">
        <f t="shared" si="140"/>
        <v>19.728454746000001</v>
      </c>
      <c r="G2969" t="str">
        <f>_xlfn.XLOOKUP(D2969,'[1]2050 BAU Mapping to T &amp; C'!$A$3:$A$52,'[1]2050 BAU Mapping to T &amp; C'!$B$3:$B$52)</f>
        <v>Pork</v>
      </c>
      <c r="H2969" s="129">
        <f>_xlfn.XLOOKUP(G2969,'[1]T&amp;C emissions for 2050 analysis'!$B$3:$B$23,'[1]T&amp;C emissions for 2050 analysis'!$C$3:$C$23)</f>
        <v>5.8666666666666671</v>
      </c>
      <c r="I2969" s="27">
        <f t="shared" si="138"/>
        <v>115.74026784320002</v>
      </c>
      <c r="J2969" s="129">
        <f t="shared" si="139"/>
        <v>1535.8112000000001</v>
      </c>
    </row>
    <row r="2970" spans="1:10" hidden="1" x14ac:dyDescent="0.35">
      <c r="A2970" s="126" t="s">
        <v>473</v>
      </c>
      <c r="B2970" t="str">
        <f>_xlfn.XLOOKUP(A2970,'[1]2050Pop'!$A$7:$A$143,'[1]2050Pop'!$D$7:$D$143)</f>
        <v>SSA</v>
      </c>
      <c r="C2970" s="127">
        <f>1000*_xlfn.XLOOKUP(A2970,'[1]2050Pop'!$A$7:$A$143,'[1]2050Pop'!$C$7:$C$143)</f>
        <v>137136</v>
      </c>
      <c r="D2970" s="126" t="s">
        <v>521</v>
      </c>
      <c r="E2970" s="131">
        <v>6.7</v>
      </c>
      <c r="F2970" s="129">
        <f t="shared" si="140"/>
        <v>0.91881120000000005</v>
      </c>
      <c r="G2970" t="str">
        <f>_xlfn.XLOOKUP(D2970,'[1]2050 BAU Mapping to T &amp; C'!$A$3:$A$52,'[1]2050 BAU Mapping to T &amp; C'!$B$3:$B$52)</f>
        <v>Pork</v>
      </c>
      <c r="H2970" s="129">
        <f>_xlfn.XLOOKUP(G2970,'[1]T&amp;C emissions for 2050 analysis'!$B$3:$B$23,'[1]T&amp;C emissions for 2050 analysis'!$C$3:$C$23)</f>
        <v>5.8666666666666671</v>
      </c>
      <c r="I2970" s="27">
        <f t="shared" si="138"/>
        <v>5.3903590400000008</v>
      </c>
      <c r="J2970" s="129">
        <f t="shared" si="139"/>
        <v>39.306666666666672</v>
      </c>
    </row>
    <row r="2971" spans="1:10" hidden="1" x14ac:dyDescent="0.35">
      <c r="A2971" s="126" t="s">
        <v>474</v>
      </c>
      <c r="B2971" t="str">
        <f>_xlfn.XLOOKUP(A2971,'[1]2050Pop'!$A$7:$A$143,'[1]2050Pop'!$D$7:$D$143)</f>
        <v>NAm</v>
      </c>
      <c r="C2971" s="127">
        <f>1000*_xlfn.XLOOKUP(A2971,'[1]2050Pop'!$A$7:$A$143,'[1]2050Pop'!$C$7:$C$143)</f>
        <v>388865</v>
      </c>
      <c r="D2971" s="126" t="s">
        <v>521</v>
      </c>
      <c r="E2971" s="128">
        <v>128.018</v>
      </c>
      <c r="F2971" s="129">
        <f t="shared" si="140"/>
        <v>49.78171957</v>
      </c>
      <c r="G2971" t="str">
        <f>_xlfn.XLOOKUP(D2971,'[1]2050 BAU Mapping to T &amp; C'!$A$3:$A$52,'[1]2050 BAU Mapping to T &amp; C'!$B$3:$B$52)</f>
        <v>Pork</v>
      </c>
      <c r="H2971" s="129">
        <f>_xlfn.XLOOKUP(G2971,'[1]T&amp;C emissions for 2050 analysis'!$B$3:$B$23,'[1]T&amp;C emissions for 2050 analysis'!$C$3:$C$23)</f>
        <v>5.8666666666666671</v>
      </c>
      <c r="I2971" s="27">
        <f t="shared" si="138"/>
        <v>292.05275481066667</v>
      </c>
      <c r="J2971" s="129">
        <f t="shared" si="139"/>
        <v>751.03893333333338</v>
      </c>
    </row>
    <row r="2972" spans="1:10" hidden="1" x14ac:dyDescent="0.35">
      <c r="A2972" s="126" t="s">
        <v>475</v>
      </c>
      <c r="B2972" t="str">
        <f>_xlfn.XLOOKUP(A2972,'[1]2050Pop'!$A$7:$A$143,'[1]2050Pop'!$D$7:$D$143)</f>
        <v>LatAm &amp; RSA</v>
      </c>
      <c r="C2972" s="127">
        <f>1000*_xlfn.XLOOKUP(A2972,'[1]2050Pop'!$A$7:$A$143,'[1]2050Pop'!$C$7:$C$143)</f>
        <v>3667</v>
      </c>
      <c r="D2972" s="126" t="s">
        <v>521</v>
      </c>
      <c r="E2972" s="128">
        <v>87.177000000000007</v>
      </c>
      <c r="F2972" s="129">
        <f t="shared" si="140"/>
        <v>0.31967805900000001</v>
      </c>
      <c r="G2972" t="str">
        <f>_xlfn.XLOOKUP(D2972,'[1]2050 BAU Mapping to T &amp; C'!$A$3:$A$52,'[1]2050 BAU Mapping to T &amp; C'!$B$3:$B$52)</f>
        <v>Pork</v>
      </c>
      <c r="H2972" s="129">
        <f>_xlfn.XLOOKUP(G2972,'[1]T&amp;C emissions for 2050 analysis'!$B$3:$B$23,'[1]T&amp;C emissions for 2050 analysis'!$C$3:$C$23)</f>
        <v>5.8666666666666671</v>
      </c>
      <c r="I2972" s="27">
        <f t="shared" si="138"/>
        <v>1.8754446128000002</v>
      </c>
      <c r="J2972" s="129">
        <f t="shared" si="139"/>
        <v>511.43840000000006</v>
      </c>
    </row>
    <row r="2973" spans="1:10" hidden="1" x14ac:dyDescent="0.35">
      <c r="A2973" s="126" t="s">
        <v>485</v>
      </c>
      <c r="B2973" t="str">
        <f>_xlfn.XLOOKUP(A2973,'[1]2050Pop'!$A$7:$A$143,'[1]2050Pop'!$D$7:$D$143)</f>
        <v>APAC</v>
      </c>
      <c r="C2973" s="127">
        <f>1000*_xlfn.XLOOKUP(A2973,'[1]2050Pop'!$A$7:$A$143,'[1]2050Pop'!$C$7:$C$143)</f>
        <v>37126</v>
      </c>
      <c r="D2973" s="126" t="s">
        <v>521</v>
      </c>
      <c r="E2973" s="130">
        <v>11.19</v>
      </c>
      <c r="F2973" s="129">
        <f t="shared" si="140"/>
        <v>0.41543994000000001</v>
      </c>
      <c r="G2973" t="str">
        <f>_xlfn.XLOOKUP(D2973,'[1]2050 BAU Mapping to T &amp; C'!$A$3:$A$52,'[1]2050 BAU Mapping to T &amp; C'!$B$3:$B$52)</f>
        <v>Pork</v>
      </c>
      <c r="H2973" s="129">
        <f>_xlfn.XLOOKUP(G2973,'[1]T&amp;C emissions for 2050 analysis'!$B$3:$B$23,'[1]T&amp;C emissions for 2050 analysis'!$C$3:$C$23)</f>
        <v>5.8666666666666671</v>
      </c>
      <c r="I2973" s="27">
        <f t="shared" si="138"/>
        <v>2.437247648</v>
      </c>
      <c r="J2973" s="129">
        <f t="shared" si="139"/>
        <v>65.647999999999996</v>
      </c>
    </row>
    <row r="2974" spans="1:10" hidden="1" x14ac:dyDescent="0.35">
      <c r="A2974" s="126" t="s">
        <v>476</v>
      </c>
      <c r="B2974" t="str">
        <f>_xlfn.XLOOKUP(A2974,'[1]2050Pop'!$A$7:$A$143,'[1]2050Pop'!$D$7:$D$143)</f>
        <v>LatAm &amp; RSA</v>
      </c>
      <c r="C2974" s="127">
        <f>1000*_xlfn.XLOOKUP(A2974,'[1]2050Pop'!$A$7:$A$143,'[1]2050Pop'!$C$7:$C$143)</f>
        <v>41562</v>
      </c>
      <c r="D2974" s="126" t="s">
        <v>521</v>
      </c>
      <c r="E2974" s="128">
        <v>38.808999999999997</v>
      </c>
      <c r="F2974" s="129">
        <f t="shared" si="140"/>
        <v>1.6129796579999998</v>
      </c>
      <c r="G2974" t="str">
        <f>_xlfn.XLOOKUP(D2974,'[1]2050 BAU Mapping to T &amp; C'!$A$3:$A$52,'[1]2050 BAU Mapping to T &amp; C'!$B$3:$B$52)</f>
        <v>Pork</v>
      </c>
      <c r="H2974" s="129">
        <f>_xlfn.XLOOKUP(G2974,'[1]T&amp;C emissions for 2050 analysis'!$B$3:$B$23,'[1]T&amp;C emissions for 2050 analysis'!$C$3:$C$23)</f>
        <v>5.8666666666666671</v>
      </c>
      <c r="I2974" s="27">
        <f t="shared" si="138"/>
        <v>9.4628139935999993</v>
      </c>
      <c r="J2974" s="129">
        <f t="shared" si="139"/>
        <v>227.67946666666668</v>
      </c>
    </row>
    <row r="2975" spans="1:10" hidden="1" x14ac:dyDescent="0.35">
      <c r="A2975" s="126" t="s">
        <v>477</v>
      </c>
      <c r="B2975" t="str">
        <f>_xlfn.XLOOKUP(A2975,'[1]2050Pop'!$A$7:$A$143,'[1]2050Pop'!$D$7:$D$143)</f>
        <v>APAC</v>
      </c>
      <c r="C2975" s="127">
        <f>1000*_xlfn.XLOOKUP(A2975,'[1]2050Pop'!$A$7:$A$143,'[1]2050Pop'!$C$7:$C$143)</f>
        <v>112783</v>
      </c>
      <c r="D2975" s="126" t="s">
        <v>521</v>
      </c>
      <c r="E2975" s="128">
        <v>479.39499999999998</v>
      </c>
      <c r="F2975" s="129">
        <f t="shared" si="140"/>
        <v>54.067606284999997</v>
      </c>
      <c r="G2975" t="str">
        <f>_xlfn.XLOOKUP(D2975,'[1]2050 BAU Mapping to T &amp; C'!$A$3:$A$52,'[1]2050 BAU Mapping to T &amp; C'!$B$3:$B$52)</f>
        <v>Pork</v>
      </c>
      <c r="H2975" s="129">
        <f>_xlfn.XLOOKUP(G2975,'[1]T&amp;C emissions for 2050 analysis'!$B$3:$B$23,'[1]T&amp;C emissions for 2050 analysis'!$C$3:$C$23)</f>
        <v>5.8666666666666671</v>
      </c>
      <c r="I2975" s="27">
        <f t="shared" si="138"/>
        <v>317.1966235386667</v>
      </c>
      <c r="J2975" s="129">
        <f t="shared" si="139"/>
        <v>2812.4506666666666</v>
      </c>
    </row>
    <row r="2976" spans="1:10" hidden="1" x14ac:dyDescent="0.35">
      <c r="A2976" s="126" t="s">
        <v>494</v>
      </c>
      <c r="B2976" t="str">
        <f>_xlfn.XLOOKUP(A2976,'[1]2050Pop'!$A$7:$A$143,'[1]2050Pop'!$D$7:$D$143)</f>
        <v>SSA</v>
      </c>
      <c r="C2976" s="127">
        <f>1000*_xlfn.XLOOKUP(A2976,'[1]2050Pop'!$A$7:$A$143,'[1]2050Pop'!$C$7:$C$143)</f>
        <v>42975</v>
      </c>
      <c r="D2976" s="126" t="s">
        <v>521</v>
      </c>
      <c r="E2976" s="128">
        <v>25.654</v>
      </c>
      <c r="F2976" s="129">
        <f t="shared" si="140"/>
        <v>1.10248065</v>
      </c>
      <c r="G2976" t="str">
        <f>_xlfn.XLOOKUP(D2976,'[1]2050 BAU Mapping to T &amp; C'!$A$3:$A$52,'[1]2050 BAU Mapping to T &amp; C'!$B$3:$B$52)</f>
        <v>Pork</v>
      </c>
      <c r="H2976" s="129">
        <f>_xlfn.XLOOKUP(G2976,'[1]T&amp;C emissions for 2050 analysis'!$B$3:$B$23,'[1]T&amp;C emissions for 2050 analysis'!$C$3:$C$23)</f>
        <v>5.8666666666666671</v>
      </c>
      <c r="I2976" s="27">
        <f t="shared" si="138"/>
        <v>6.4678864800000007</v>
      </c>
      <c r="J2976" s="129">
        <f t="shared" si="139"/>
        <v>150.50346666666667</v>
      </c>
    </row>
    <row r="2977" spans="1:10" hidden="1" x14ac:dyDescent="0.35">
      <c r="A2977" s="126" t="s">
        <v>479</v>
      </c>
      <c r="B2977" t="str">
        <f>_xlfn.XLOOKUP(A2977,'[1]2050Pop'!$A$7:$A$143,'[1]2050Pop'!$D$7:$D$143)</f>
        <v>SSA</v>
      </c>
      <c r="C2977" s="127">
        <f>1000*_xlfn.XLOOKUP(A2977,'[1]2050Pop'!$A$7:$A$143,'[1]2050Pop'!$C$7:$C$143)</f>
        <v>29615</v>
      </c>
      <c r="D2977" s="126" t="s">
        <v>521</v>
      </c>
      <c r="E2977" s="128">
        <v>48.594999999999999</v>
      </c>
      <c r="F2977" s="129">
        <f t="shared" si="140"/>
        <v>1.439140925</v>
      </c>
      <c r="G2977" t="str">
        <f>_xlfn.XLOOKUP(D2977,'[1]2050 BAU Mapping to T &amp; C'!$A$3:$A$52,'[1]2050 BAU Mapping to T &amp; C'!$B$3:$B$52)</f>
        <v>Pork</v>
      </c>
      <c r="H2977" s="129">
        <f>_xlfn.XLOOKUP(G2977,'[1]T&amp;C emissions for 2050 analysis'!$B$3:$B$23,'[1]T&amp;C emissions for 2050 analysis'!$C$3:$C$23)</f>
        <v>5.8666666666666671</v>
      </c>
      <c r="I2977" s="27">
        <f t="shared" si="138"/>
        <v>8.4429600933333333</v>
      </c>
      <c r="J2977" s="129">
        <f t="shared" si="139"/>
        <v>285.09066666666666</v>
      </c>
    </row>
    <row r="2978" spans="1:10" hidden="1" x14ac:dyDescent="0.35">
      <c r="A2978" s="126" t="s">
        <v>358</v>
      </c>
      <c r="B2978" t="str">
        <f>_xlfn.XLOOKUP(A2978,'[1]2050Pop'!$A$7:$A$143,'[1]2050Pop'!$D$7:$D$143)</f>
        <v>MENA</v>
      </c>
      <c r="C2978" s="127">
        <f>1000*_xlfn.XLOOKUP(A2978,'[1]2050Pop'!$A$7:$A$143,'[1]2050Pop'!$C$7:$C$143)</f>
        <v>56461</v>
      </c>
      <c r="D2978" s="126" t="s">
        <v>522</v>
      </c>
      <c r="E2978" s="128">
        <v>0.53800000000000003</v>
      </c>
      <c r="F2978" s="129">
        <f t="shared" si="140"/>
        <v>3.0376018000000005E-2</v>
      </c>
      <c r="G2978" t="str">
        <f>_xlfn.XLOOKUP(D2978,'[1]2050 BAU Mapping to T &amp; C'!$A$3:$A$52,'[1]2050 BAU Mapping to T &amp; C'!$B$3:$B$52)</f>
        <v>Tropical Fruits</v>
      </c>
      <c r="H2978" s="129">
        <f>_xlfn.XLOOKUP(G2978,'[1]T&amp;C emissions for 2050 analysis'!$B$3:$B$23,'[1]T&amp;C emissions for 2050 analysis'!$C$3:$C$23)</f>
        <v>0.51333333333333331</v>
      </c>
      <c r="I2978" s="27">
        <f t="shared" si="138"/>
        <v>1.5593022573333335E-2</v>
      </c>
      <c r="J2978" s="129">
        <f t="shared" si="139"/>
        <v>0.27617333333333333</v>
      </c>
    </row>
    <row r="2979" spans="1:10" hidden="1" x14ac:dyDescent="0.35">
      <c r="A2979" s="126" t="s">
        <v>361</v>
      </c>
      <c r="B2979" t="str">
        <f>_xlfn.XLOOKUP(A2979,'[1]2050Pop'!$A$7:$A$143,'[1]2050Pop'!$D$7:$D$143)</f>
        <v>MENA</v>
      </c>
      <c r="C2979" s="127">
        <f>1000*_xlfn.XLOOKUP(A2979,'[1]2050Pop'!$A$7:$A$143,'[1]2050Pop'!$C$7:$C$143)</f>
        <v>2729</v>
      </c>
      <c r="D2979" s="126" t="s">
        <v>522</v>
      </c>
      <c r="E2979" s="128">
        <v>2.6110000000000002</v>
      </c>
      <c r="F2979" s="129">
        <f t="shared" si="140"/>
        <v>7.1254190000000009E-3</v>
      </c>
      <c r="G2979" t="str">
        <f>_xlfn.XLOOKUP(D2979,'[1]2050 BAU Mapping to T &amp; C'!$A$3:$A$52,'[1]2050 BAU Mapping to T &amp; C'!$B$3:$B$52)</f>
        <v>Tropical Fruits</v>
      </c>
      <c r="H2979" s="129">
        <f>_xlfn.XLOOKUP(G2979,'[1]T&amp;C emissions for 2050 analysis'!$B$3:$B$23,'[1]T&amp;C emissions for 2050 analysis'!$C$3:$C$23)</f>
        <v>0.51333333333333331</v>
      </c>
      <c r="I2979" s="27">
        <f t="shared" si="138"/>
        <v>3.6577150866666671E-3</v>
      </c>
      <c r="J2979" s="129">
        <f t="shared" si="139"/>
        <v>1.3403133333333335</v>
      </c>
    </row>
    <row r="2980" spans="1:10" hidden="1" x14ac:dyDescent="0.35">
      <c r="A2980" s="126" t="s">
        <v>367</v>
      </c>
      <c r="B2980" t="str">
        <f>_xlfn.XLOOKUP(A2980,'[1]2050Pop'!$A$7:$A$143,'[1]2050Pop'!$D$7:$D$143)</f>
        <v>Euro/AU/NZ</v>
      </c>
      <c r="C2980" s="127">
        <f>1000*_xlfn.XLOOKUP(A2980,'[1]2050Pop'!$A$7:$A$143,'[1]2050Pop'!$C$7:$C$143)</f>
        <v>12527</v>
      </c>
      <c r="D2980" s="126" t="s">
        <v>522</v>
      </c>
      <c r="E2980" s="128">
        <v>1.494</v>
      </c>
      <c r="F2980" s="129">
        <f t="shared" si="140"/>
        <v>1.8715337999999998E-2</v>
      </c>
      <c r="G2980" t="str">
        <f>_xlfn.XLOOKUP(D2980,'[1]2050 BAU Mapping to T &amp; C'!$A$3:$A$52,'[1]2050 BAU Mapping to T &amp; C'!$B$3:$B$52)</f>
        <v>Tropical Fruits</v>
      </c>
      <c r="H2980" s="129">
        <f>_xlfn.XLOOKUP(G2980,'[1]T&amp;C emissions for 2050 analysis'!$B$3:$B$23,'[1]T&amp;C emissions for 2050 analysis'!$C$3:$C$23)</f>
        <v>0.51333333333333331</v>
      </c>
      <c r="I2980" s="27">
        <f t="shared" si="138"/>
        <v>9.6072068399999985E-3</v>
      </c>
      <c r="J2980" s="129">
        <f t="shared" si="139"/>
        <v>0.76691999999999994</v>
      </c>
    </row>
    <row r="2981" spans="1:10" hidden="1" x14ac:dyDescent="0.35">
      <c r="A2981" s="126" t="s">
        <v>369</v>
      </c>
      <c r="B2981" t="str">
        <f>_xlfn.XLOOKUP(A2981,'[1]2050Pop'!$A$7:$A$143,'[1]2050Pop'!$D$7:$D$143)</f>
        <v>LatAm &amp; RSA</v>
      </c>
      <c r="C2981" s="127">
        <f>1000*_xlfn.XLOOKUP(A2981,'[1]2050Pop'!$A$7:$A$143,'[1]2050Pop'!$C$7:$C$143)</f>
        <v>15963</v>
      </c>
      <c r="D2981" s="126" t="s">
        <v>522</v>
      </c>
      <c r="E2981" s="128">
        <v>40.418999999999997</v>
      </c>
      <c r="F2981" s="129">
        <f t="shared" si="140"/>
        <v>0.64520849699999994</v>
      </c>
      <c r="G2981" t="str">
        <f>_xlfn.XLOOKUP(D2981,'[1]2050 BAU Mapping to T &amp; C'!$A$3:$A$52,'[1]2050 BAU Mapping to T &amp; C'!$B$3:$B$52)</f>
        <v>Tropical Fruits</v>
      </c>
      <c r="H2981" s="129">
        <f>_xlfn.XLOOKUP(G2981,'[1]T&amp;C emissions for 2050 analysis'!$B$3:$B$23,'[1]T&amp;C emissions for 2050 analysis'!$C$3:$C$23)</f>
        <v>0.51333333333333331</v>
      </c>
      <c r="I2981" s="27">
        <f t="shared" si="138"/>
        <v>0.33120702845999994</v>
      </c>
      <c r="J2981" s="129">
        <f t="shared" si="139"/>
        <v>20.748419999999996</v>
      </c>
    </row>
    <row r="2982" spans="1:10" hidden="1" x14ac:dyDescent="0.35">
      <c r="A2982" s="126" t="s">
        <v>370</v>
      </c>
      <c r="B2982" t="str">
        <f>_xlfn.XLOOKUP(A2982,'[1]2050Pop'!$A$7:$A$143,'[1]2050Pop'!$D$7:$D$143)</f>
        <v>Euro/AU/NZ</v>
      </c>
      <c r="C2982" s="127">
        <f>1000*_xlfn.XLOOKUP(A2982,'[1]2050Pop'!$A$7:$A$143,'[1]2050Pop'!$C$7:$C$143)</f>
        <v>3069</v>
      </c>
      <c r="D2982" s="126" t="s">
        <v>522</v>
      </c>
      <c r="E2982" s="130">
        <v>3.69</v>
      </c>
      <c r="F2982" s="129">
        <f t="shared" si="140"/>
        <v>1.1324610000000001E-2</v>
      </c>
      <c r="G2982" t="str">
        <f>_xlfn.XLOOKUP(D2982,'[1]2050 BAU Mapping to T &amp; C'!$A$3:$A$52,'[1]2050 BAU Mapping to T &amp; C'!$B$3:$B$52)</f>
        <v>Tropical Fruits</v>
      </c>
      <c r="H2982" s="129">
        <f>_xlfn.XLOOKUP(G2982,'[1]T&amp;C emissions for 2050 analysis'!$B$3:$B$23,'[1]T&amp;C emissions for 2050 analysis'!$C$3:$C$23)</f>
        <v>0.51333333333333331</v>
      </c>
      <c r="I2982" s="27">
        <f t="shared" si="138"/>
        <v>5.8132998000000003E-3</v>
      </c>
      <c r="J2982" s="129">
        <f t="shared" si="139"/>
        <v>1.8941999999999999</v>
      </c>
    </row>
    <row r="2983" spans="1:10" hidden="1" x14ac:dyDescent="0.35">
      <c r="A2983" s="126" t="s">
        <v>371</v>
      </c>
      <c r="B2983" t="str">
        <f>_xlfn.XLOOKUP(A2983,'[1]2050Pop'!$A$7:$A$143,'[1]2050Pop'!$D$7:$D$143)</f>
        <v>SSA</v>
      </c>
      <c r="C2983" s="127">
        <f>1000*_xlfn.XLOOKUP(A2983,'[1]2050Pop'!$A$7:$A$143,'[1]2050Pop'!$C$7:$C$143)</f>
        <v>3389</v>
      </c>
      <c r="D2983" s="126" t="s">
        <v>522</v>
      </c>
      <c r="E2983" s="128">
        <v>4.3659999999999997</v>
      </c>
      <c r="F2983" s="129">
        <f t="shared" si="140"/>
        <v>1.4796373999999998E-2</v>
      </c>
      <c r="G2983" t="str">
        <f>_xlfn.XLOOKUP(D2983,'[1]2050 BAU Mapping to T &amp; C'!$A$3:$A$52,'[1]2050 BAU Mapping to T &amp; C'!$B$3:$B$52)</f>
        <v>Tropical Fruits</v>
      </c>
      <c r="H2983" s="129">
        <f>_xlfn.XLOOKUP(G2983,'[1]T&amp;C emissions for 2050 analysis'!$B$3:$B$23,'[1]T&amp;C emissions for 2050 analysis'!$C$3:$C$23)</f>
        <v>0.51333333333333331</v>
      </c>
      <c r="I2983" s="27">
        <f t="shared" si="138"/>
        <v>7.5954719866666654E-3</v>
      </c>
      <c r="J2983" s="129">
        <f t="shared" si="139"/>
        <v>2.2412133333333331</v>
      </c>
    </row>
    <row r="2984" spans="1:10" hidden="1" x14ac:dyDescent="0.35">
      <c r="A2984" s="126" t="s">
        <v>373</v>
      </c>
      <c r="B2984" t="str">
        <f>_xlfn.XLOOKUP(A2984,'[1]2050Pop'!$A$7:$A$143,'[1]2050Pop'!$D$7:$D$143)</f>
        <v>Euro/AU/NZ</v>
      </c>
      <c r="C2984" s="127">
        <f>1000*_xlfn.XLOOKUP(A2984,'[1]2050Pop'!$A$7:$A$143,'[1]2050Pop'!$C$7:$C$143)</f>
        <v>5154</v>
      </c>
      <c r="D2984" s="126" t="s">
        <v>522</v>
      </c>
      <c r="E2984" s="128">
        <v>1.048</v>
      </c>
      <c r="F2984" s="129">
        <f t="shared" si="140"/>
        <v>5.4013919999999997E-3</v>
      </c>
      <c r="G2984" t="str">
        <f>_xlfn.XLOOKUP(D2984,'[1]2050 BAU Mapping to T &amp; C'!$A$3:$A$52,'[1]2050 BAU Mapping to T &amp; C'!$B$3:$B$52)</f>
        <v>Tropical Fruits</v>
      </c>
      <c r="H2984" s="129">
        <f>_xlfn.XLOOKUP(G2984,'[1]T&amp;C emissions for 2050 analysis'!$B$3:$B$23,'[1]T&amp;C emissions for 2050 analysis'!$C$3:$C$23)</f>
        <v>0.51333333333333331</v>
      </c>
      <c r="I2984" s="27">
        <f t="shared" si="138"/>
        <v>2.7727145599999998E-3</v>
      </c>
      <c r="J2984" s="129">
        <f t="shared" si="139"/>
        <v>0.5379733333333333</v>
      </c>
    </row>
    <row r="2985" spans="1:10" hidden="1" x14ac:dyDescent="0.35">
      <c r="A2985" s="126" t="s">
        <v>375</v>
      </c>
      <c r="B2985" t="str">
        <f>_xlfn.XLOOKUP(A2985,'[1]2050Pop'!$A$7:$A$143,'[1]2050Pop'!$D$7:$D$143)</f>
        <v>SSA</v>
      </c>
      <c r="C2985" s="127">
        <f>1000*_xlfn.XLOOKUP(A2985,'[1]2050Pop'!$A$7:$A$143,'[1]2050Pop'!$C$7:$C$143)</f>
        <v>48362</v>
      </c>
      <c r="D2985" s="126" t="s">
        <v>522</v>
      </c>
      <c r="E2985" s="128">
        <v>129.02600000000001</v>
      </c>
      <c r="F2985" s="129">
        <f t="shared" si="140"/>
        <v>6.2399554120000005</v>
      </c>
      <c r="G2985" t="str">
        <f>_xlfn.XLOOKUP(D2985,'[1]2050 BAU Mapping to T &amp; C'!$A$3:$A$52,'[1]2050 BAU Mapping to T &amp; C'!$B$3:$B$52)</f>
        <v>Tropical Fruits</v>
      </c>
      <c r="H2985" s="129">
        <f>_xlfn.XLOOKUP(G2985,'[1]T&amp;C emissions for 2050 analysis'!$B$3:$B$23,'[1]T&amp;C emissions for 2050 analysis'!$C$3:$C$23)</f>
        <v>0.51333333333333331</v>
      </c>
      <c r="I2985" s="27">
        <f t="shared" si="138"/>
        <v>3.2031771114933334</v>
      </c>
      <c r="J2985" s="129">
        <f t="shared" si="139"/>
        <v>66.233346666666662</v>
      </c>
    </row>
    <row r="2986" spans="1:10" hidden="1" x14ac:dyDescent="0.35">
      <c r="A2986" s="126" t="s">
        <v>376</v>
      </c>
      <c r="B2986" t="str">
        <f>_xlfn.XLOOKUP(A2986,'[1]2050Pop'!$A$7:$A$143,'[1]2050Pop'!$D$7:$D$143)</f>
        <v>NAm</v>
      </c>
      <c r="C2986" s="127">
        <f>1000*_xlfn.XLOOKUP(A2986,'[1]2050Pop'!$A$7:$A$143,'[1]2050Pop'!$C$7:$C$143)</f>
        <v>44136</v>
      </c>
      <c r="D2986" s="126" t="s">
        <v>522</v>
      </c>
      <c r="E2986" s="128">
        <v>0.50800000000000001</v>
      </c>
      <c r="F2986" s="129">
        <f t="shared" si="140"/>
        <v>2.2421087999999999E-2</v>
      </c>
      <c r="G2986" t="str">
        <f>_xlfn.XLOOKUP(D2986,'[1]2050 BAU Mapping to T &amp; C'!$A$3:$A$52,'[1]2050 BAU Mapping to T &amp; C'!$B$3:$B$52)</f>
        <v>Tropical Fruits</v>
      </c>
      <c r="H2986" s="129">
        <f>_xlfn.XLOOKUP(G2986,'[1]T&amp;C emissions for 2050 analysis'!$B$3:$B$23,'[1]T&amp;C emissions for 2050 analysis'!$C$3:$C$23)</f>
        <v>0.51333333333333331</v>
      </c>
      <c r="I2986" s="27">
        <f t="shared" si="138"/>
        <v>1.1509491839999999E-2</v>
      </c>
      <c r="J2986" s="129">
        <f t="shared" si="139"/>
        <v>0.2607733333333333</v>
      </c>
    </row>
    <row r="2987" spans="1:10" hidden="1" x14ac:dyDescent="0.35">
      <c r="A2987" s="126" t="s">
        <v>377</v>
      </c>
      <c r="B2987" t="str">
        <f>_xlfn.XLOOKUP(A2987,'[1]2050Pop'!$A$7:$A$143,'[1]2050Pop'!$D$7:$D$143)</f>
        <v>SSA</v>
      </c>
      <c r="C2987" s="127">
        <f>1000*_xlfn.XLOOKUP(A2987,'[1]2050Pop'!$A$7:$A$143,'[1]2050Pop'!$C$7:$C$143)</f>
        <v>8782</v>
      </c>
      <c r="D2987" s="126" t="s">
        <v>522</v>
      </c>
      <c r="E2987" s="128">
        <v>20.558</v>
      </c>
      <c r="F2987" s="129">
        <f t="shared" si="140"/>
        <v>0.18054035600000001</v>
      </c>
      <c r="G2987" t="str">
        <f>_xlfn.XLOOKUP(D2987,'[1]2050 BAU Mapping to T &amp; C'!$A$3:$A$52,'[1]2050 BAU Mapping to T &amp; C'!$B$3:$B$52)</f>
        <v>Tropical Fruits</v>
      </c>
      <c r="H2987" s="129">
        <f>_xlfn.XLOOKUP(G2987,'[1]T&amp;C emissions for 2050 analysis'!$B$3:$B$23,'[1]T&amp;C emissions for 2050 analysis'!$C$3:$C$23)</f>
        <v>0.51333333333333331</v>
      </c>
      <c r="I2987" s="27">
        <f t="shared" si="138"/>
        <v>9.2677382746666676E-2</v>
      </c>
      <c r="J2987" s="129">
        <f t="shared" si="139"/>
        <v>10.553106666666666</v>
      </c>
    </row>
    <row r="2988" spans="1:10" hidden="1" x14ac:dyDescent="0.35">
      <c r="A2988" s="126" t="s">
        <v>378</v>
      </c>
      <c r="B2988" t="str">
        <f>_xlfn.XLOOKUP(A2988,'[1]2050Pop'!$A$7:$A$143,'[1]2050Pop'!$D$7:$D$143)</f>
        <v>LatAm &amp; RSA</v>
      </c>
      <c r="C2988" s="127">
        <f>1000*_xlfn.XLOOKUP(A2988,'[1]2050Pop'!$A$7:$A$143,'[1]2050Pop'!$C$7:$C$143)</f>
        <v>21601</v>
      </c>
      <c r="D2988" s="126" t="s">
        <v>522</v>
      </c>
      <c r="E2988" s="128">
        <v>2.097</v>
      </c>
      <c r="F2988" s="129">
        <f t="shared" si="140"/>
        <v>4.5297297E-2</v>
      </c>
      <c r="G2988" t="str">
        <f>_xlfn.XLOOKUP(D2988,'[1]2050 BAU Mapping to T &amp; C'!$A$3:$A$52,'[1]2050 BAU Mapping to T &amp; C'!$B$3:$B$52)</f>
        <v>Tropical Fruits</v>
      </c>
      <c r="H2988" s="129">
        <f>_xlfn.XLOOKUP(G2988,'[1]T&amp;C emissions for 2050 analysis'!$B$3:$B$23,'[1]T&amp;C emissions for 2050 analysis'!$C$3:$C$23)</f>
        <v>0.51333333333333331</v>
      </c>
      <c r="I2988" s="27">
        <f t="shared" si="138"/>
        <v>2.3252612459999999E-2</v>
      </c>
      <c r="J2988" s="129">
        <f t="shared" si="139"/>
        <v>1.07646</v>
      </c>
    </row>
    <row r="2989" spans="1:10" hidden="1" x14ac:dyDescent="0.35">
      <c r="A2989" s="126" t="s">
        <v>382</v>
      </c>
      <c r="B2989" t="str">
        <f>_xlfn.XLOOKUP(A2989,'[1]2050Pop'!$A$7:$A$143,'[1]2050Pop'!$D$7:$D$143)</f>
        <v>LatAm &amp; RSA</v>
      </c>
      <c r="C2989" s="127">
        <f>1000*_xlfn.XLOOKUP(A2989,'[1]2050Pop'!$A$7:$A$143,'[1]2050Pop'!$C$7:$C$143)</f>
        <v>54927</v>
      </c>
      <c r="D2989" s="126" t="s">
        <v>522</v>
      </c>
      <c r="E2989" s="128">
        <v>115.307</v>
      </c>
      <c r="F2989" s="129">
        <f t="shared" si="140"/>
        <v>6.3334675889999996</v>
      </c>
      <c r="G2989" t="str">
        <f>_xlfn.XLOOKUP(D2989,'[1]2050 BAU Mapping to T &amp; C'!$A$3:$A$52,'[1]2050 BAU Mapping to T &amp; C'!$B$3:$B$52)</f>
        <v>Tropical Fruits</v>
      </c>
      <c r="H2989" s="129">
        <f>_xlfn.XLOOKUP(G2989,'[1]T&amp;C emissions for 2050 analysis'!$B$3:$B$23,'[1]T&amp;C emissions for 2050 analysis'!$C$3:$C$23)</f>
        <v>0.51333333333333331</v>
      </c>
      <c r="I2989" s="27">
        <f t="shared" si="138"/>
        <v>3.2511800290199995</v>
      </c>
      <c r="J2989" s="129">
        <f t="shared" si="139"/>
        <v>59.190926666666662</v>
      </c>
    </row>
    <row r="2990" spans="1:10" hidden="1" x14ac:dyDescent="0.35">
      <c r="A2990" s="126" t="s">
        <v>383</v>
      </c>
      <c r="B2990" t="str">
        <f>_xlfn.XLOOKUP(A2990,'[1]2050Pop'!$A$7:$A$143,'[1]2050Pop'!$D$7:$D$143)</f>
        <v>LatAm &amp; RSA</v>
      </c>
      <c r="C2990" s="127">
        <f>1000*_xlfn.XLOOKUP(A2990,'[1]2050Pop'!$A$7:$A$143,'[1]2050Pop'!$C$7:$C$143)</f>
        <v>5759</v>
      </c>
      <c r="D2990" s="126" t="s">
        <v>522</v>
      </c>
      <c r="E2990" s="128">
        <v>26.585999999999999</v>
      </c>
      <c r="F2990" s="129">
        <f t="shared" si="140"/>
        <v>0.153108774</v>
      </c>
      <c r="G2990" t="str">
        <f>_xlfn.XLOOKUP(D2990,'[1]2050 BAU Mapping to T &amp; C'!$A$3:$A$52,'[1]2050 BAU Mapping to T &amp; C'!$B$3:$B$52)</f>
        <v>Tropical Fruits</v>
      </c>
      <c r="H2990" s="129">
        <f>_xlfn.XLOOKUP(G2990,'[1]T&amp;C emissions for 2050 analysis'!$B$3:$B$23,'[1]T&amp;C emissions for 2050 analysis'!$C$3:$C$23)</f>
        <v>0.51333333333333331</v>
      </c>
      <c r="I2990" s="27">
        <f t="shared" si="138"/>
        <v>7.859583732E-2</v>
      </c>
      <c r="J2990" s="129">
        <f t="shared" si="139"/>
        <v>13.647479999999998</v>
      </c>
    </row>
    <row r="2991" spans="1:10" hidden="1" x14ac:dyDescent="0.35">
      <c r="A2991" s="126" t="s">
        <v>384</v>
      </c>
      <c r="B2991" t="str">
        <f>_xlfn.XLOOKUP(A2991,'[1]2050Pop'!$A$7:$A$143,'[1]2050Pop'!$D$7:$D$143)</f>
        <v>SSA</v>
      </c>
      <c r="C2991" s="127">
        <f>1000*_xlfn.XLOOKUP(A2991,'[1]2050Pop'!$A$7:$A$143,'[1]2050Pop'!$C$7:$C$143)</f>
        <v>48797</v>
      </c>
      <c r="D2991" s="126" t="s">
        <v>522</v>
      </c>
      <c r="E2991" s="128">
        <v>181.709</v>
      </c>
      <c r="F2991" s="129">
        <f t="shared" si="140"/>
        <v>8.8668540730000007</v>
      </c>
      <c r="G2991" t="str">
        <f>_xlfn.XLOOKUP(D2991,'[1]2050 BAU Mapping to T &amp; C'!$A$3:$A$52,'[1]2050 BAU Mapping to T &amp; C'!$B$3:$B$52)</f>
        <v>Tropical Fruits</v>
      </c>
      <c r="H2991" s="129">
        <f>_xlfn.XLOOKUP(G2991,'[1]T&amp;C emissions for 2050 analysis'!$B$3:$B$23,'[1]T&amp;C emissions for 2050 analysis'!$C$3:$C$23)</f>
        <v>0.51333333333333331</v>
      </c>
      <c r="I2991" s="27">
        <f t="shared" si="138"/>
        <v>4.5516517574733335</v>
      </c>
      <c r="J2991" s="129">
        <f t="shared" si="139"/>
        <v>93.277286666666669</v>
      </c>
    </row>
    <row r="2992" spans="1:10" hidden="1" x14ac:dyDescent="0.35">
      <c r="A2992" s="126" t="s">
        <v>386</v>
      </c>
      <c r="B2992" t="str">
        <f>_xlfn.XLOOKUP(A2992,'[1]2050Pop'!$A$7:$A$143,'[1]2050Pop'!$D$7:$D$143)</f>
        <v>LatAm &amp; RSA</v>
      </c>
      <c r="C2992" s="127">
        <f>1000*_xlfn.XLOOKUP(A2992,'[1]2050Pop'!$A$7:$A$143,'[1]2050Pop'!$C$7:$C$143)</f>
        <v>10339</v>
      </c>
      <c r="D2992" s="126" t="s">
        <v>522</v>
      </c>
      <c r="E2992" s="128">
        <v>106.551</v>
      </c>
      <c r="F2992" s="129">
        <f t="shared" si="140"/>
        <v>1.1016307890000001</v>
      </c>
      <c r="G2992" t="str">
        <f>_xlfn.XLOOKUP(D2992,'[1]2050 BAU Mapping to T &amp; C'!$A$3:$A$52,'[1]2050 BAU Mapping to T &amp; C'!$B$3:$B$52)</f>
        <v>Tropical Fruits</v>
      </c>
      <c r="H2992" s="129">
        <f>_xlfn.XLOOKUP(G2992,'[1]T&amp;C emissions for 2050 analysis'!$B$3:$B$23,'[1]T&amp;C emissions for 2050 analysis'!$C$3:$C$23)</f>
        <v>0.51333333333333331</v>
      </c>
      <c r="I2992" s="27">
        <f t="shared" si="138"/>
        <v>0.56550380502000008</v>
      </c>
      <c r="J2992" s="129">
        <f t="shared" si="139"/>
        <v>54.696179999999998</v>
      </c>
    </row>
    <row r="2993" spans="1:10" hidden="1" x14ac:dyDescent="0.35">
      <c r="A2993" s="126" t="s">
        <v>387</v>
      </c>
      <c r="B2993" t="str">
        <f>_xlfn.XLOOKUP(A2993,'[1]2050Pop'!$A$7:$A$143,'[1]2050Pop'!$D$7:$D$143)</f>
        <v>Euro/AU/NZ</v>
      </c>
      <c r="C2993" s="127">
        <f>1000*_xlfn.XLOOKUP(A2993,'[1]2050Pop'!$A$7:$A$143,'[1]2050Pop'!$C$7:$C$143)</f>
        <v>9965</v>
      </c>
      <c r="D2993" s="126" t="s">
        <v>522</v>
      </c>
      <c r="E2993" s="128">
        <v>0.50800000000000001</v>
      </c>
      <c r="F2993" s="129">
        <f t="shared" si="140"/>
        <v>5.0622200000000001E-3</v>
      </c>
      <c r="G2993" t="str">
        <f>_xlfn.XLOOKUP(D2993,'[1]2050 BAU Mapping to T &amp; C'!$A$3:$A$52,'[1]2050 BAU Mapping to T &amp; C'!$B$3:$B$52)</f>
        <v>Tropical Fruits</v>
      </c>
      <c r="H2993" s="129">
        <f>_xlfn.XLOOKUP(G2993,'[1]T&amp;C emissions for 2050 analysis'!$B$3:$B$23,'[1]T&amp;C emissions for 2050 analysis'!$C$3:$C$23)</f>
        <v>0.51333333333333331</v>
      </c>
      <c r="I2993" s="27">
        <f t="shared" si="138"/>
        <v>2.5986062666666664E-3</v>
      </c>
      <c r="J2993" s="129">
        <f t="shared" si="139"/>
        <v>0.2607733333333333</v>
      </c>
    </row>
    <row r="2994" spans="1:10" hidden="1" x14ac:dyDescent="0.35">
      <c r="A2994" s="126" t="s">
        <v>389</v>
      </c>
      <c r="B2994" t="str">
        <f>_xlfn.XLOOKUP(A2994,'[1]2050Pop'!$A$7:$A$143,'[1]2050Pop'!$D$7:$D$143)</f>
        <v>LatAm &amp; RSA</v>
      </c>
      <c r="C2994" s="127">
        <f>1000*_xlfn.XLOOKUP(A2994,'[1]2050Pop'!$A$7:$A$143,'[1]2050Pop'!$C$7:$C$143)</f>
        <v>13238</v>
      </c>
      <c r="D2994" s="126" t="s">
        <v>522</v>
      </c>
      <c r="E2994" s="128">
        <v>97.103999999999999</v>
      </c>
      <c r="F2994" s="129">
        <f t="shared" si="140"/>
        <v>1.2854627520000002</v>
      </c>
      <c r="G2994" t="str">
        <f>_xlfn.XLOOKUP(D2994,'[1]2050 BAU Mapping to T &amp; C'!$A$3:$A$52,'[1]2050 BAU Mapping to T &amp; C'!$B$3:$B$52)</f>
        <v>Tropical Fruits</v>
      </c>
      <c r="H2994" s="129">
        <f>_xlfn.XLOOKUP(G2994,'[1]T&amp;C emissions for 2050 analysis'!$B$3:$B$23,'[1]T&amp;C emissions for 2050 analysis'!$C$3:$C$23)</f>
        <v>0.51333333333333331</v>
      </c>
      <c r="I2994" s="27">
        <f t="shared" si="138"/>
        <v>0.65987087936</v>
      </c>
      <c r="J2994" s="129">
        <f t="shared" si="139"/>
        <v>49.846719999999998</v>
      </c>
    </row>
    <row r="2995" spans="1:10" hidden="1" x14ac:dyDescent="0.35">
      <c r="A2995" s="126" t="s">
        <v>390</v>
      </c>
      <c r="B2995" t="str">
        <f>_xlfn.XLOOKUP(A2995,'[1]2050Pop'!$A$7:$A$143,'[1]2050Pop'!$D$7:$D$143)</f>
        <v>LatAm &amp; RSA</v>
      </c>
      <c r="C2995" s="127">
        <f>1000*_xlfn.XLOOKUP(A2995,'[1]2050Pop'!$A$7:$A$143,'[1]2050Pop'!$C$7:$C$143)</f>
        <v>23013</v>
      </c>
      <c r="D2995" s="126" t="s">
        <v>522</v>
      </c>
      <c r="E2995" s="128">
        <v>52.972999999999999</v>
      </c>
      <c r="F2995" s="129">
        <f t="shared" si="140"/>
        <v>1.2190676490000001</v>
      </c>
      <c r="G2995" t="str">
        <f>_xlfn.XLOOKUP(D2995,'[1]2050 BAU Mapping to T &amp; C'!$A$3:$A$52,'[1]2050 BAU Mapping to T &amp; C'!$B$3:$B$52)</f>
        <v>Tropical Fruits</v>
      </c>
      <c r="H2995" s="129">
        <f>_xlfn.XLOOKUP(G2995,'[1]T&amp;C emissions for 2050 analysis'!$B$3:$B$23,'[1]T&amp;C emissions for 2050 analysis'!$C$3:$C$23)</f>
        <v>0.51333333333333331</v>
      </c>
      <c r="I2995" s="27">
        <f t="shared" si="138"/>
        <v>0.62578805981999996</v>
      </c>
      <c r="J2995" s="129">
        <f t="shared" si="139"/>
        <v>27.192806666666666</v>
      </c>
    </row>
    <row r="2996" spans="1:10" hidden="1" x14ac:dyDescent="0.35">
      <c r="A2996" s="126" t="s">
        <v>392</v>
      </c>
      <c r="B2996" t="str">
        <f>_xlfn.XLOOKUP(A2996,'[1]2050Pop'!$A$7:$A$143,'[1]2050Pop'!$D$7:$D$143)</f>
        <v>LatAm &amp; RSA</v>
      </c>
      <c r="C2996" s="127">
        <f>1000*_xlfn.XLOOKUP(A2996,'[1]2050Pop'!$A$7:$A$143,'[1]2050Pop'!$C$7:$C$143)</f>
        <v>6390</v>
      </c>
      <c r="D2996" s="126" t="s">
        <v>522</v>
      </c>
      <c r="E2996" s="128">
        <v>21.873999999999999</v>
      </c>
      <c r="F2996" s="129">
        <f t="shared" si="140"/>
        <v>0.13977485999999997</v>
      </c>
      <c r="G2996" t="str">
        <f>_xlfn.XLOOKUP(D2996,'[1]2050 BAU Mapping to T &amp; C'!$A$3:$A$52,'[1]2050 BAU Mapping to T &amp; C'!$B$3:$B$52)</f>
        <v>Tropical Fruits</v>
      </c>
      <c r="H2996" s="129">
        <f>_xlfn.XLOOKUP(G2996,'[1]T&amp;C emissions for 2050 analysis'!$B$3:$B$23,'[1]T&amp;C emissions for 2050 analysis'!$C$3:$C$23)</f>
        <v>0.51333333333333331</v>
      </c>
      <c r="I2996" s="27">
        <f t="shared" si="138"/>
        <v>7.1751094799999984E-2</v>
      </c>
      <c r="J2996" s="129">
        <f t="shared" si="139"/>
        <v>11.228653333333332</v>
      </c>
    </row>
    <row r="2997" spans="1:10" hidden="1" x14ac:dyDescent="0.35">
      <c r="A2997" s="126" t="s">
        <v>395</v>
      </c>
      <c r="B2997" t="str">
        <f>_xlfn.XLOOKUP(A2997,'[1]2050Pop'!$A$7:$A$143,'[1]2050Pop'!$D$7:$D$143)</f>
        <v>Euro/AU/NZ</v>
      </c>
      <c r="C2997" s="127">
        <f>1000*_xlfn.XLOOKUP(A2997,'[1]2050Pop'!$A$7:$A$143,'[1]2050Pop'!$C$7:$C$143)</f>
        <v>5752</v>
      </c>
      <c r="D2997" s="126" t="s">
        <v>522</v>
      </c>
      <c r="E2997" s="128">
        <v>0.99199999999999999</v>
      </c>
      <c r="F2997" s="129">
        <f t="shared" si="140"/>
        <v>5.7059840000000007E-3</v>
      </c>
      <c r="G2997" t="str">
        <f>_xlfn.XLOOKUP(D2997,'[1]2050 BAU Mapping to T &amp; C'!$A$3:$A$52,'[1]2050 BAU Mapping to T &amp; C'!$B$3:$B$52)</f>
        <v>Tropical Fruits</v>
      </c>
      <c r="H2997" s="129">
        <f>_xlfn.XLOOKUP(G2997,'[1]T&amp;C emissions for 2050 analysis'!$B$3:$B$23,'[1]T&amp;C emissions for 2050 analysis'!$C$3:$C$23)</f>
        <v>0.51333333333333331</v>
      </c>
      <c r="I2997" s="27">
        <f t="shared" si="138"/>
        <v>2.9290717866666668E-3</v>
      </c>
      <c r="J2997" s="129">
        <f t="shared" si="139"/>
        <v>0.50922666666666661</v>
      </c>
    </row>
    <row r="2998" spans="1:10" hidden="1" x14ac:dyDescent="0.35">
      <c r="A2998" s="126" t="s">
        <v>396</v>
      </c>
      <c r="B2998" t="str">
        <f>_xlfn.XLOOKUP(A2998,'[1]2050Pop'!$A$7:$A$143,'[1]2050Pop'!$D$7:$D$143)</f>
        <v>Euro/AU/NZ</v>
      </c>
      <c r="C2998" s="127">
        <f>1000*_xlfn.XLOOKUP(A2998,'[1]2050Pop'!$A$7:$A$143,'[1]2050Pop'!$C$7:$C$143)</f>
        <v>71137</v>
      </c>
      <c r="D2998" s="126" t="s">
        <v>522</v>
      </c>
      <c r="E2998" s="128">
        <v>0.74399999999999999</v>
      </c>
      <c r="F2998" s="129">
        <f t="shared" si="140"/>
        <v>5.2925927999999997E-2</v>
      </c>
      <c r="G2998" t="str">
        <f>_xlfn.XLOOKUP(D2998,'[1]2050 BAU Mapping to T &amp; C'!$A$3:$A$52,'[1]2050 BAU Mapping to T &amp; C'!$B$3:$B$52)</f>
        <v>Tropical Fruits</v>
      </c>
      <c r="H2998" s="129">
        <f>_xlfn.XLOOKUP(G2998,'[1]T&amp;C emissions for 2050 analysis'!$B$3:$B$23,'[1]T&amp;C emissions for 2050 analysis'!$C$3:$C$23)</f>
        <v>0.51333333333333331</v>
      </c>
      <c r="I2998" s="27">
        <f t="shared" si="138"/>
        <v>2.7168643039999996E-2</v>
      </c>
      <c r="J2998" s="129">
        <f t="shared" si="139"/>
        <v>0.38191999999999998</v>
      </c>
    </row>
    <row r="2999" spans="1:10" hidden="1" x14ac:dyDescent="0.35">
      <c r="A2999" s="126" t="s">
        <v>397</v>
      </c>
      <c r="B2999" t="str">
        <f>_xlfn.XLOOKUP(A2999,'[1]2050Pop'!$A$7:$A$143,'[1]2050Pop'!$D$7:$D$143)</f>
        <v>SSA</v>
      </c>
      <c r="C2999" s="127">
        <f>1000*_xlfn.XLOOKUP(A2999,'[1]2050Pop'!$A$7:$A$143,'[1]2050Pop'!$C$7:$C$143)</f>
        <v>3164</v>
      </c>
      <c r="D2999" s="126" t="s">
        <v>522</v>
      </c>
      <c r="E2999" s="130">
        <v>300.44</v>
      </c>
      <c r="F2999" s="129">
        <f t="shared" si="140"/>
        <v>0.95059216000000002</v>
      </c>
      <c r="G2999" t="str">
        <f>_xlfn.XLOOKUP(D2999,'[1]2050 BAU Mapping to T &amp; C'!$A$3:$A$52,'[1]2050 BAU Mapping to T &amp; C'!$B$3:$B$52)</f>
        <v>Tropical Fruits</v>
      </c>
      <c r="H2999" s="129">
        <f>_xlfn.XLOOKUP(G2999,'[1]T&amp;C emissions for 2050 analysis'!$B$3:$B$23,'[1]T&amp;C emissions for 2050 analysis'!$C$3:$C$23)</f>
        <v>0.51333333333333331</v>
      </c>
      <c r="I2999" s="27">
        <f t="shared" si="138"/>
        <v>0.4879706421333333</v>
      </c>
      <c r="J2999" s="129">
        <f t="shared" si="139"/>
        <v>154.22586666666666</v>
      </c>
    </row>
    <row r="3000" spans="1:10" hidden="1" x14ac:dyDescent="0.35">
      <c r="A3000" s="126" t="s">
        <v>400</v>
      </c>
      <c r="B3000" t="str">
        <f>_xlfn.XLOOKUP(A3000,'[1]2050Pop'!$A$7:$A$143,'[1]2050Pop'!$D$7:$D$143)</f>
        <v>SSA</v>
      </c>
      <c r="C3000" s="127">
        <f>1000*_xlfn.XLOOKUP(A3000,'[1]2050Pop'!$A$7:$A$143,'[1]2050Pop'!$C$7:$C$143)</f>
        <v>50071</v>
      </c>
      <c r="D3000" s="126" t="s">
        <v>522</v>
      </c>
      <c r="E3000" s="128">
        <v>374.36599999999999</v>
      </c>
      <c r="F3000" s="129">
        <f t="shared" si="140"/>
        <v>18.744879985999997</v>
      </c>
      <c r="G3000" t="str">
        <f>_xlfn.XLOOKUP(D3000,'[1]2050 BAU Mapping to T &amp; C'!$A$3:$A$52,'[1]2050 BAU Mapping to T &amp; C'!$B$3:$B$52)</f>
        <v>Tropical Fruits</v>
      </c>
      <c r="H3000" s="129">
        <f>_xlfn.XLOOKUP(G3000,'[1]T&amp;C emissions for 2050 analysis'!$B$3:$B$23,'[1]T&amp;C emissions for 2050 analysis'!$C$3:$C$23)</f>
        <v>0.51333333333333331</v>
      </c>
      <c r="I3000" s="27">
        <f t="shared" si="138"/>
        <v>9.6223717261466639</v>
      </c>
      <c r="J3000" s="129">
        <f t="shared" si="139"/>
        <v>192.17454666666666</v>
      </c>
    </row>
    <row r="3001" spans="1:10" hidden="1" x14ac:dyDescent="0.35">
      <c r="A3001" s="126" t="s">
        <v>402</v>
      </c>
      <c r="B3001" t="str">
        <f>_xlfn.XLOOKUP(A3001,'[1]2050Pop'!$A$7:$A$143,'[1]2050Pop'!$D$7:$D$143)</f>
        <v>LatAm &amp; RSA</v>
      </c>
      <c r="C3001" s="127">
        <f>1000*_xlfn.XLOOKUP(A3001,'[1]2050Pop'!$A$7:$A$143,'[1]2050Pop'!$C$7:$C$143)</f>
        <v>27754</v>
      </c>
      <c r="D3001" s="126" t="s">
        <v>522</v>
      </c>
      <c r="E3001" s="128">
        <v>5.2389999999999999</v>
      </c>
      <c r="F3001" s="129">
        <f t="shared" si="140"/>
        <v>0.14540320600000001</v>
      </c>
      <c r="G3001" t="str">
        <f>_xlfn.XLOOKUP(D3001,'[1]2050 BAU Mapping to T &amp; C'!$A$3:$A$52,'[1]2050 BAU Mapping to T &amp; C'!$B$3:$B$52)</f>
        <v>Tropical Fruits</v>
      </c>
      <c r="H3001" s="129">
        <f>_xlfn.XLOOKUP(G3001,'[1]T&amp;C emissions for 2050 analysis'!$B$3:$B$23,'[1]T&amp;C emissions for 2050 analysis'!$C$3:$C$23)</f>
        <v>0.51333333333333331</v>
      </c>
      <c r="I3001" s="27">
        <f t="shared" si="138"/>
        <v>7.464031241333334E-2</v>
      </c>
      <c r="J3001" s="129">
        <f t="shared" si="139"/>
        <v>2.689353333333333</v>
      </c>
    </row>
    <row r="3002" spans="1:10" hidden="1" x14ac:dyDescent="0.35">
      <c r="A3002" s="126" t="s">
        <v>403</v>
      </c>
      <c r="B3002" t="str">
        <f>_xlfn.XLOOKUP(A3002,'[1]2050Pop'!$A$7:$A$143,'[1]2050Pop'!$D$7:$D$143)</f>
        <v>SSA</v>
      </c>
      <c r="C3002" s="127">
        <f>1000*_xlfn.XLOOKUP(A3002,'[1]2050Pop'!$A$7:$A$143,'[1]2050Pop'!$C$7:$C$143)</f>
        <v>27486</v>
      </c>
      <c r="D3002" s="126" t="s">
        <v>522</v>
      </c>
      <c r="E3002" s="128">
        <v>105.26300000000001</v>
      </c>
      <c r="F3002" s="129">
        <f t="shared" si="140"/>
        <v>2.8932588180000001</v>
      </c>
      <c r="G3002" t="str">
        <f>_xlfn.XLOOKUP(D3002,'[1]2050 BAU Mapping to T &amp; C'!$A$3:$A$52,'[1]2050 BAU Mapping to T &amp; C'!$B$3:$B$52)</f>
        <v>Tropical Fruits</v>
      </c>
      <c r="H3002" s="129">
        <f>_xlfn.XLOOKUP(G3002,'[1]T&amp;C emissions for 2050 analysis'!$B$3:$B$23,'[1]T&amp;C emissions for 2050 analysis'!$C$3:$C$23)</f>
        <v>0.51333333333333331</v>
      </c>
      <c r="I3002" s="27">
        <f t="shared" si="138"/>
        <v>1.48520619324</v>
      </c>
      <c r="J3002" s="129">
        <f t="shared" si="139"/>
        <v>54.035006666666668</v>
      </c>
    </row>
    <row r="3003" spans="1:10" hidden="1" x14ac:dyDescent="0.35">
      <c r="A3003" s="126" t="s">
        <v>404</v>
      </c>
      <c r="B3003" t="str">
        <f>_xlfn.XLOOKUP(A3003,'[1]2050Pop'!$A$7:$A$143,'[1]2050Pop'!$D$7:$D$143)</f>
        <v>LatAm &amp; RSA</v>
      </c>
      <c r="C3003" s="127">
        <f>1000*_xlfn.XLOOKUP(A3003,'[1]2050Pop'!$A$7:$A$143,'[1]2050Pop'!$C$7:$C$143)</f>
        <v>806</v>
      </c>
      <c r="D3003" s="126" t="s">
        <v>522</v>
      </c>
      <c r="E3003" s="128">
        <v>17.864999999999998</v>
      </c>
      <c r="F3003" s="129">
        <f t="shared" si="140"/>
        <v>1.4399189999999999E-2</v>
      </c>
      <c r="G3003" t="str">
        <f>_xlfn.XLOOKUP(D3003,'[1]2050 BAU Mapping to T &amp; C'!$A$3:$A$52,'[1]2050 BAU Mapping to T &amp; C'!$B$3:$B$52)</f>
        <v>Tropical Fruits</v>
      </c>
      <c r="H3003" s="129">
        <f>_xlfn.XLOOKUP(G3003,'[1]T&amp;C emissions for 2050 analysis'!$B$3:$B$23,'[1]T&amp;C emissions for 2050 analysis'!$C$3:$C$23)</f>
        <v>0.51333333333333331</v>
      </c>
      <c r="I3003" s="27">
        <f t="shared" si="138"/>
        <v>7.3915841999999989E-3</v>
      </c>
      <c r="J3003" s="129">
        <f t="shared" si="139"/>
        <v>9.1706999999999983</v>
      </c>
    </row>
    <row r="3004" spans="1:10" hidden="1" x14ac:dyDescent="0.35">
      <c r="A3004" s="126" t="s">
        <v>405</v>
      </c>
      <c r="B3004" t="str">
        <f>_xlfn.XLOOKUP(A3004,'[1]2050Pop'!$A$7:$A$143,'[1]2050Pop'!$D$7:$D$143)</f>
        <v>LatAm &amp; RSA</v>
      </c>
      <c r="C3004" s="127">
        <f>1000*_xlfn.XLOOKUP(A3004,'[1]2050Pop'!$A$7:$A$143,'[1]2050Pop'!$C$7:$C$143)</f>
        <v>14189</v>
      </c>
      <c r="D3004" s="126" t="s">
        <v>522</v>
      </c>
      <c r="E3004" s="128">
        <v>33.649000000000001</v>
      </c>
      <c r="F3004" s="129">
        <f t="shared" si="140"/>
        <v>0.47744566100000002</v>
      </c>
      <c r="G3004" t="str">
        <f>_xlfn.XLOOKUP(D3004,'[1]2050 BAU Mapping to T &amp; C'!$A$3:$A$52,'[1]2050 BAU Mapping to T &amp; C'!$B$3:$B$52)</f>
        <v>Tropical Fruits</v>
      </c>
      <c r="H3004" s="129">
        <f>_xlfn.XLOOKUP(G3004,'[1]T&amp;C emissions for 2050 analysis'!$B$3:$B$23,'[1]T&amp;C emissions for 2050 analysis'!$C$3:$C$23)</f>
        <v>0.51333333333333331</v>
      </c>
      <c r="I3004" s="27">
        <f t="shared" si="138"/>
        <v>0.24508877264666667</v>
      </c>
      <c r="J3004" s="129">
        <f t="shared" si="139"/>
        <v>17.273153333333333</v>
      </c>
    </row>
    <row r="3005" spans="1:10" hidden="1" x14ac:dyDescent="0.35">
      <c r="A3005" s="126" t="s">
        <v>406</v>
      </c>
      <c r="B3005" t="str">
        <f>_xlfn.XLOOKUP(A3005,'[1]2050Pop'!$A$7:$A$143,'[1]2050Pop'!$D$7:$D$143)</f>
        <v>LatAm &amp; RSA</v>
      </c>
      <c r="C3005" s="127">
        <f>1000*_xlfn.XLOOKUP(A3005,'[1]2050Pop'!$A$7:$A$143,'[1]2050Pop'!$C$7:$C$143)</f>
        <v>11217</v>
      </c>
      <c r="D3005" s="126" t="s">
        <v>522</v>
      </c>
      <c r="E3005" s="128">
        <v>23.023</v>
      </c>
      <c r="F3005" s="129">
        <f t="shared" si="140"/>
        <v>0.25824899099999998</v>
      </c>
      <c r="G3005" t="str">
        <f>_xlfn.XLOOKUP(D3005,'[1]2050 BAU Mapping to T &amp; C'!$A$3:$A$52,'[1]2050 BAU Mapping to T &amp; C'!$B$3:$B$52)</f>
        <v>Tropical Fruits</v>
      </c>
      <c r="H3005" s="129">
        <f>_xlfn.XLOOKUP(G3005,'[1]T&amp;C emissions for 2050 analysis'!$B$3:$B$23,'[1]T&amp;C emissions for 2050 analysis'!$C$3:$C$23)</f>
        <v>0.51333333333333331</v>
      </c>
      <c r="I3005" s="27">
        <f t="shared" si="138"/>
        <v>0.13256781537999998</v>
      </c>
      <c r="J3005" s="129">
        <f t="shared" si="139"/>
        <v>11.818473333333333</v>
      </c>
    </row>
    <row r="3006" spans="1:10" hidden="1" x14ac:dyDescent="0.35">
      <c r="A3006" s="126" t="s">
        <v>407</v>
      </c>
      <c r="B3006" t="str">
        <f>_xlfn.XLOOKUP(A3006,'[1]2050Pop'!$A$7:$A$143,'[1]2050Pop'!$D$7:$D$143)</f>
        <v>Euro/AU/NZ</v>
      </c>
      <c r="C3006" s="127">
        <f>1000*_xlfn.XLOOKUP(A3006,'[1]2050Pop'!$A$7:$A$143,'[1]2050Pop'!$C$7:$C$143)</f>
        <v>8318</v>
      </c>
      <c r="D3006" s="126" t="s">
        <v>522</v>
      </c>
      <c r="E3006" s="128">
        <v>0.50700000000000001</v>
      </c>
      <c r="F3006" s="129">
        <f t="shared" si="140"/>
        <v>4.2172259999999993E-3</v>
      </c>
      <c r="G3006" t="str">
        <f>_xlfn.XLOOKUP(D3006,'[1]2050 BAU Mapping to T &amp; C'!$A$3:$A$52,'[1]2050 BAU Mapping to T &amp; C'!$B$3:$B$52)</f>
        <v>Tropical Fruits</v>
      </c>
      <c r="H3006" s="129">
        <f>_xlfn.XLOOKUP(G3006,'[1]T&amp;C emissions for 2050 analysis'!$B$3:$B$23,'[1]T&amp;C emissions for 2050 analysis'!$C$3:$C$23)</f>
        <v>0.51333333333333331</v>
      </c>
      <c r="I3006" s="27">
        <f t="shared" si="138"/>
        <v>2.1648426799999996E-3</v>
      </c>
      <c r="J3006" s="129">
        <f t="shared" si="139"/>
        <v>0.26025999999999999</v>
      </c>
    </row>
    <row r="3007" spans="1:10" hidden="1" x14ac:dyDescent="0.35">
      <c r="A3007" s="126" t="s">
        <v>412</v>
      </c>
      <c r="B3007" t="str">
        <f>_xlfn.XLOOKUP(A3007,'[1]2050Pop'!$A$7:$A$143,'[1]2050Pop'!$D$7:$D$143)</f>
        <v>Euro/AU/NZ</v>
      </c>
      <c r="C3007" s="127">
        <f>1000*_xlfn.XLOOKUP(A3007,'[1]2050Pop'!$A$7:$A$143,'[1]2050Pop'!$C$7:$C$143)</f>
        <v>5789</v>
      </c>
      <c r="D3007" s="126" t="s">
        <v>522</v>
      </c>
      <c r="E3007" s="128">
        <v>2.3410000000000002</v>
      </c>
      <c r="F3007" s="129">
        <f t="shared" si="140"/>
        <v>1.3552049E-2</v>
      </c>
      <c r="G3007" t="str">
        <f>_xlfn.XLOOKUP(D3007,'[1]2050 BAU Mapping to T &amp; C'!$A$3:$A$52,'[1]2050 BAU Mapping to T &amp; C'!$B$3:$B$52)</f>
        <v>Tropical Fruits</v>
      </c>
      <c r="H3007" s="129">
        <f>_xlfn.XLOOKUP(G3007,'[1]T&amp;C emissions for 2050 analysis'!$B$3:$B$23,'[1]T&amp;C emissions for 2050 analysis'!$C$3:$C$23)</f>
        <v>0.51333333333333331</v>
      </c>
      <c r="I3007" s="27">
        <f t="shared" si="138"/>
        <v>6.9567184866666659E-3</v>
      </c>
      <c r="J3007" s="129">
        <f t="shared" si="139"/>
        <v>1.2017133333333334</v>
      </c>
    </row>
    <row r="3008" spans="1:10" hidden="1" x14ac:dyDescent="0.35">
      <c r="A3008" s="126" t="s">
        <v>414</v>
      </c>
      <c r="B3008" t="str">
        <f>_xlfn.XLOOKUP(A3008,'[1]2050Pop'!$A$7:$A$143,'[1]2050Pop'!$D$7:$D$143)</f>
        <v>Euro/AU/NZ</v>
      </c>
      <c r="C3008" s="127">
        <f>1000*_xlfn.XLOOKUP(A3008,'[1]2050Pop'!$A$7:$A$143,'[1]2050Pop'!$C$7:$C$143)</f>
        <v>56513</v>
      </c>
      <c r="D3008" s="126" t="s">
        <v>522</v>
      </c>
      <c r="E3008" s="128">
        <v>0.495</v>
      </c>
      <c r="F3008" s="129">
        <f t="shared" si="140"/>
        <v>2.7973935000000002E-2</v>
      </c>
      <c r="G3008" t="str">
        <f>_xlfn.XLOOKUP(D3008,'[1]2050 BAU Mapping to T &amp; C'!$A$3:$A$52,'[1]2050 BAU Mapping to T &amp; C'!$B$3:$B$52)</f>
        <v>Tropical Fruits</v>
      </c>
      <c r="H3008" s="129">
        <f>_xlfn.XLOOKUP(G3008,'[1]T&amp;C emissions for 2050 analysis'!$B$3:$B$23,'[1]T&amp;C emissions for 2050 analysis'!$C$3:$C$23)</f>
        <v>0.51333333333333331</v>
      </c>
      <c r="I3008" s="27">
        <f t="shared" si="138"/>
        <v>1.43599533E-2</v>
      </c>
      <c r="J3008" s="129">
        <f t="shared" si="139"/>
        <v>0.25409999999999999</v>
      </c>
    </row>
    <row r="3009" spans="1:10" hidden="1" x14ac:dyDescent="0.35">
      <c r="A3009" s="126" t="s">
        <v>415</v>
      </c>
      <c r="B3009" t="str">
        <f>_xlfn.XLOOKUP(A3009,'[1]2050Pop'!$A$7:$A$143,'[1]2050Pop'!$D$7:$D$143)</f>
        <v>LatAm &amp; RSA</v>
      </c>
      <c r="C3009" s="127">
        <f>1000*_xlfn.XLOOKUP(A3009,'[1]2050Pop'!$A$7:$A$143,'[1]2050Pop'!$C$7:$C$143)</f>
        <v>2710</v>
      </c>
      <c r="D3009" s="126" t="s">
        <v>522</v>
      </c>
      <c r="E3009" s="128">
        <v>25.960999999999999</v>
      </c>
      <c r="F3009" s="129">
        <f t="shared" si="140"/>
        <v>7.0354310000000003E-2</v>
      </c>
      <c r="G3009" t="str">
        <f>_xlfn.XLOOKUP(D3009,'[1]2050 BAU Mapping to T &amp; C'!$A$3:$A$52,'[1]2050 BAU Mapping to T &amp; C'!$B$3:$B$52)</f>
        <v>Tropical Fruits</v>
      </c>
      <c r="H3009" s="129">
        <f>_xlfn.XLOOKUP(G3009,'[1]T&amp;C emissions for 2050 analysis'!$B$3:$B$23,'[1]T&amp;C emissions for 2050 analysis'!$C$3:$C$23)</f>
        <v>0.51333333333333331</v>
      </c>
      <c r="I3009" s="27">
        <f t="shared" si="138"/>
        <v>3.6115212466666664E-2</v>
      </c>
      <c r="J3009" s="129">
        <f t="shared" si="139"/>
        <v>13.326646666666665</v>
      </c>
    </row>
    <row r="3010" spans="1:10" hidden="1" x14ac:dyDescent="0.35">
      <c r="A3010" s="126" t="s">
        <v>417</v>
      </c>
      <c r="B3010" t="str">
        <f>_xlfn.XLOOKUP(A3010,'[1]2050Pop'!$A$7:$A$143,'[1]2050Pop'!$D$7:$D$143)</f>
        <v>MENA</v>
      </c>
      <c r="C3010" s="127">
        <f>1000*_xlfn.XLOOKUP(A3010,'[1]2050Pop'!$A$7:$A$143,'[1]2050Pop'!$C$7:$C$143)</f>
        <v>11717</v>
      </c>
      <c r="D3010" s="126" t="s">
        <v>522</v>
      </c>
      <c r="E3010" s="128">
        <v>5.5640000000000001</v>
      </c>
      <c r="F3010" s="129">
        <f t="shared" si="140"/>
        <v>6.5193388000000005E-2</v>
      </c>
      <c r="G3010" t="str">
        <f>_xlfn.XLOOKUP(D3010,'[1]2050 BAU Mapping to T &amp; C'!$A$3:$A$52,'[1]2050 BAU Mapping to T &amp; C'!$B$3:$B$52)</f>
        <v>Tropical Fruits</v>
      </c>
      <c r="H3010" s="129">
        <f>_xlfn.XLOOKUP(G3010,'[1]T&amp;C emissions for 2050 analysis'!$B$3:$B$23,'[1]T&amp;C emissions for 2050 analysis'!$C$3:$C$23)</f>
        <v>0.51333333333333331</v>
      </c>
      <c r="I3010" s="27">
        <f t="shared" si="138"/>
        <v>3.3465939173333334E-2</v>
      </c>
      <c r="J3010" s="129">
        <f t="shared" si="139"/>
        <v>2.8561866666666664</v>
      </c>
    </row>
    <row r="3011" spans="1:10" hidden="1" x14ac:dyDescent="0.35">
      <c r="A3011" s="126" t="s">
        <v>418</v>
      </c>
      <c r="B3011" t="str">
        <f>_xlfn.XLOOKUP(A3011,'[1]2050Pop'!$A$7:$A$143,'[1]2050Pop'!$D$7:$D$143)</f>
        <v>APAC</v>
      </c>
      <c r="C3011" s="127">
        <f>1000*_xlfn.XLOOKUP(A3011,'[1]2050Pop'!$A$7:$A$143,'[1]2050Pop'!$C$7:$C$143)</f>
        <v>22447</v>
      </c>
      <c r="D3011" s="126" t="s">
        <v>522</v>
      </c>
      <c r="E3011" s="128">
        <v>0.52100000000000002</v>
      </c>
      <c r="F3011" s="129">
        <f t="shared" si="140"/>
        <v>1.1694887000000001E-2</v>
      </c>
      <c r="G3011" t="str">
        <f>_xlfn.XLOOKUP(D3011,'[1]2050 BAU Mapping to T &amp; C'!$A$3:$A$52,'[1]2050 BAU Mapping to T &amp; C'!$B$3:$B$52)</f>
        <v>Tropical Fruits</v>
      </c>
      <c r="H3011" s="129">
        <f>_xlfn.XLOOKUP(G3011,'[1]T&amp;C emissions for 2050 analysis'!$B$3:$B$23,'[1]T&amp;C emissions for 2050 analysis'!$C$3:$C$23)</f>
        <v>0.51333333333333331</v>
      </c>
      <c r="I3011" s="27">
        <f t="shared" si="138"/>
        <v>6.0033753266666668E-3</v>
      </c>
      <c r="J3011" s="129">
        <f t="shared" si="139"/>
        <v>0.26744666666666667</v>
      </c>
    </row>
    <row r="3012" spans="1:10" hidden="1" x14ac:dyDescent="0.35">
      <c r="A3012" s="126" t="s">
        <v>419</v>
      </c>
      <c r="B3012" t="str">
        <f>_xlfn.XLOOKUP(A3012,'[1]2050Pop'!$A$7:$A$143,'[1]2050Pop'!$D$7:$D$143)</f>
        <v>SSA</v>
      </c>
      <c r="C3012" s="127">
        <f>1000*_xlfn.XLOOKUP(A3012,'[1]2050Pop'!$A$7:$A$143,'[1]2050Pop'!$C$7:$C$143)</f>
        <v>95505</v>
      </c>
      <c r="D3012" s="126" t="s">
        <v>522</v>
      </c>
      <c r="E3012" s="128">
        <v>1.494</v>
      </c>
      <c r="F3012" s="129">
        <f t="shared" si="140"/>
        <v>0.14268447000000001</v>
      </c>
      <c r="G3012" t="str">
        <f>_xlfn.XLOOKUP(D3012,'[1]2050 BAU Mapping to T &amp; C'!$A$3:$A$52,'[1]2050 BAU Mapping to T &amp; C'!$B$3:$B$52)</f>
        <v>Tropical Fruits</v>
      </c>
      <c r="H3012" s="129">
        <f>_xlfn.XLOOKUP(G3012,'[1]T&amp;C emissions for 2050 analysis'!$B$3:$B$23,'[1]T&amp;C emissions for 2050 analysis'!$C$3:$C$23)</f>
        <v>0.51333333333333331</v>
      </c>
      <c r="I3012" s="27">
        <f t="shared" ref="I3012:I3075" si="141">F3012*H3012</f>
        <v>7.3244694600000007E-2</v>
      </c>
      <c r="J3012" s="129">
        <f t="shared" ref="J3012:J3075" si="142">E3012*H3012</f>
        <v>0.76691999999999994</v>
      </c>
    </row>
    <row r="3013" spans="1:10" hidden="1" x14ac:dyDescent="0.35">
      <c r="A3013" s="126" t="s">
        <v>422</v>
      </c>
      <c r="B3013" t="str">
        <f>_xlfn.XLOOKUP(A3013,'[1]2050Pop'!$A$7:$A$143,'[1]2050Pop'!$D$7:$D$143)</f>
        <v>Euro/AU/NZ</v>
      </c>
      <c r="C3013" s="127">
        <f>1000*_xlfn.XLOOKUP(A3013,'[1]2050Pop'!$A$7:$A$143,'[1]2050Pop'!$C$7:$C$143)</f>
        <v>1593</v>
      </c>
      <c r="D3013" s="126" t="s">
        <v>522</v>
      </c>
      <c r="E3013" s="128">
        <v>0.82499999999999996</v>
      </c>
      <c r="F3013" s="129">
        <f t="shared" ref="F3013:F3076" si="143">C3013*E3013/1000000</f>
        <v>1.3142249999999998E-3</v>
      </c>
      <c r="G3013" t="str">
        <f>_xlfn.XLOOKUP(D3013,'[1]2050 BAU Mapping to T &amp; C'!$A$3:$A$52,'[1]2050 BAU Mapping to T &amp; C'!$B$3:$B$52)</f>
        <v>Tropical Fruits</v>
      </c>
      <c r="H3013" s="129">
        <f>_xlfn.XLOOKUP(G3013,'[1]T&amp;C emissions for 2050 analysis'!$B$3:$B$23,'[1]T&amp;C emissions for 2050 analysis'!$C$3:$C$23)</f>
        <v>0.51333333333333331</v>
      </c>
      <c r="I3013" s="27">
        <f t="shared" si="141"/>
        <v>6.7463549999999988E-4</v>
      </c>
      <c r="J3013" s="129">
        <f t="shared" si="142"/>
        <v>0.42349999999999993</v>
      </c>
    </row>
    <row r="3014" spans="1:10" hidden="1" x14ac:dyDescent="0.35">
      <c r="A3014" s="126" t="s">
        <v>423</v>
      </c>
      <c r="B3014" t="str">
        <f>_xlfn.XLOOKUP(A3014,'[1]2050Pop'!$A$7:$A$143,'[1]2050Pop'!$D$7:$D$143)</f>
        <v>MENA</v>
      </c>
      <c r="C3014" s="127">
        <f>1000*_xlfn.XLOOKUP(A3014,'[1]2050Pop'!$A$7:$A$143,'[1]2050Pop'!$C$7:$C$143)</f>
        <v>5610</v>
      </c>
      <c r="D3014" s="126" t="s">
        <v>522</v>
      </c>
      <c r="E3014" s="128">
        <v>2.8580000000000001</v>
      </c>
      <c r="F3014" s="129">
        <f t="shared" si="143"/>
        <v>1.603338E-2</v>
      </c>
      <c r="G3014" t="str">
        <f>_xlfn.XLOOKUP(D3014,'[1]2050 BAU Mapping to T &amp; C'!$A$3:$A$52,'[1]2050 BAU Mapping to T &amp; C'!$B$3:$B$52)</f>
        <v>Tropical Fruits</v>
      </c>
      <c r="H3014" s="129">
        <f>_xlfn.XLOOKUP(G3014,'[1]T&amp;C emissions for 2050 analysis'!$B$3:$B$23,'[1]T&amp;C emissions for 2050 analysis'!$C$3:$C$23)</f>
        <v>0.51333333333333331</v>
      </c>
      <c r="I3014" s="27">
        <f t="shared" si="141"/>
        <v>8.2304683999999996E-3</v>
      </c>
      <c r="J3014" s="129">
        <f t="shared" si="142"/>
        <v>1.4671066666666666</v>
      </c>
    </row>
    <row r="3015" spans="1:10" hidden="1" x14ac:dyDescent="0.35">
      <c r="A3015" s="126" t="s">
        <v>425</v>
      </c>
      <c r="B3015" t="str">
        <f>_xlfn.XLOOKUP(A3015,'[1]2050Pop'!$A$7:$A$143,'[1]2050Pop'!$D$7:$D$143)</f>
        <v>SSA</v>
      </c>
      <c r="C3015" s="127">
        <f>1000*_xlfn.XLOOKUP(A3015,'[1]2050Pop'!$A$7:$A$143,'[1]2050Pop'!$C$7:$C$143)</f>
        <v>9436</v>
      </c>
      <c r="D3015" s="126" t="s">
        <v>522</v>
      </c>
      <c r="E3015" s="128">
        <v>32.683999999999997</v>
      </c>
      <c r="F3015" s="129">
        <f t="shared" si="143"/>
        <v>0.30840622400000001</v>
      </c>
      <c r="G3015" t="str">
        <f>_xlfn.XLOOKUP(D3015,'[1]2050 BAU Mapping to T &amp; C'!$A$3:$A$52,'[1]2050 BAU Mapping to T &amp; C'!$B$3:$B$52)</f>
        <v>Tropical Fruits</v>
      </c>
      <c r="H3015" s="129">
        <f>_xlfn.XLOOKUP(G3015,'[1]T&amp;C emissions for 2050 analysis'!$B$3:$B$23,'[1]T&amp;C emissions for 2050 analysis'!$C$3:$C$23)</f>
        <v>0.51333333333333331</v>
      </c>
      <c r="I3015" s="27">
        <f t="shared" si="141"/>
        <v>0.15831519498666666</v>
      </c>
      <c r="J3015" s="129">
        <f t="shared" si="142"/>
        <v>16.777786666666664</v>
      </c>
    </row>
    <row r="3016" spans="1:10" hidden="1" x14ac:dyDescent="0.35">
      <c r="A3016" s="126" t="s">
        <v>426</v>
      </c>
      <c r="B3016" t="str">
        <f>_xlfn.XLOOKUP(A3016,'[1]2050Pop'!$A$7:$A$143,'[1]2050Pop'!$D$7:$D$143)</f>
        <v>Euro/AU/NZ</v>
      </c>
      <c r="C3016" s="127">
        <f>1000*_xlfn.XLOOKUP(A3016,'[1]2050Pop'!$A$7:$A$143,'[1]2050Pop'!$C$7:$C$143)</f>
        <v>2375</v>
      </c>
      <c r="D3016" s="126" t="s">
        <v>522</v>
      </c>
      <c r="E3016" s="128">
        <v>0.97299999999999998</v>
      </c>
      <c r="F3016" s="129">
        <f t="shared" si="143"/>
        <v>2.310875E-3</v>
      </c>
      <c r="G3016" t="str">
        <f>_xlfn.XLOOKUP(D3016,'[1]2050 BAU Mapping to T &amp; C'!$A$3:$A$52,'[1]2050 BAU Mapping to T &amp; C'!$B$3:$B$52)</f>
        <v>Tropical Fruits</v>
      </c>
      <c r="H3016" s="129">
        <f>_xlfn.XLOOKUP(G3016,'[1]T&amp;C emissions for 2050 analysis'!$B$3:$B$23,'[1]T&amp;C emissions for 2050 analysis'!$C$3:$C$23)</f>
        <v>0.51333333333333331</v>
      </c>
      <c r="I3016" s="27">
        <f t="shared" si="141"/>
        <v>1.1862491666666667E-3</v>
      </c>
      <c r="J3016" s="129">
        <f t="shared" si="142"/>
        <v>0.49947333333333327</v>
      </c>
    </row>
    <row r="3017" spans="1:10" hidden="1" x14ac:dyDescent="0.35">
      <c r="A3017" s="126" t="s">
        <v>428</v>
      </c>
      <c r="B3017" t="str">
        <f>_xlfn.XLOOKUP(A3017,'[1]2050Pop'!$A$7:$A$143,'[1]2050Pop'!$D$7:$D$143)</f>
        <v>SSA</v>
      </c>
      <c r="C3017" s="127">
        <f>1000*_xlfn.XLOOKUP(A3017,'[1]2050Pop'!$A$7:$A$143,'[1]2050Pop'!$C$7:$C$143)</f>
        <v>43155</v>
      </c>
      <c r="D3017" s="126" t="s">
        <v>522</v>
      </c>
      <c r="E3017" s="128">
        <v>38.872</v>
      </c>
      <c r="F3017" s="129">
        <f t="shared" si="143"/>
        <v>1.67752116</v>
      </c>
      <c r="G3017" t="str">
        <f>_xlfn.XLOOKUP(D3017,'[1]2050 BAU Mapping to T &amp; C'!$A$3:$A$52,'[1]2050 BAU Mapping to T &amp; C'!$B$3:$B$52)</f>
        <v>Tropical Fruits</v>
      </c>
      <c r="H3017" s="129">
        <f>_xlfn.XLOOKUP(G3017,'[1]T&amp;C emissions for 2050 analysis'!$B$3:$B$23,'[1]T&amp;C emissions for 2050 analysis'!$C$3:$C$23)</f>
        <v>0.51333333333333331</v>
      </c>
      <c r="I3017" s="27">
        <f t="shared" si="141"/>
        <v>0.86112752879999999</v>
      </c>
      <c r="J3017" s="129">
        <f t="shared" si="142"/>
        <v>19.954293333333332</v>
      </c>
    </row>
    <row r="3018" spans="1:10" hidden="1" x14ac:dyDescent="0.35">
      <c r="A3018" s="126" t="s">
        <v>490</v>
      </c>
      <c r="B3018" t="str">
        <f>_xlfn.XLOOKUP(A3018,'[1]2050Pop'!$A$7:$A$143,'[1]2050Pop'!$D$7:$D$143)</f>
        <v>APAC</v>
      </c>
      <c r="C3018" s="127">
        <f>1000*_xlfn.XLOOKUP(A3018,'[1]2050Pop'!$A$7:$A$143,'[1]2050Pop'!$C$7:$C$143)</f>
        <v>63575</v>
      </c>
      <c r="D3018" s="126" t="s">
        <v>522</v>
      </c>
      <c r="E3018" s="128">
        <v>29.853000000000002</v>
      </c>
      <c r="F3018" s="129">
        <f t="shared" si="143"/>
        <v>1.897904475</v>
      </c>
      <c r="G3018" t="str">
        <f>_xlfn.XLOOKUP(D3018,'[1]2050 BAU Mapping to T &amp; C'!$A$3:$A$52,'[1]2050 BAU Mapping to T &amp; C'!$B$3:$B$52)</f>
        <v>Tropical Fruits</v>
      </c>
      <c r="H3018" s="129">
        <f>_xlfn.XLOOKUP(G3018,'[1]T&amp;C emissions for 2050 analysis'!$B$3:$B$23,'[1]T&amp;C emissions for 2050 analysis'!$C$3:$C$23)</f>
        <v>0.51333333333333331</v>
      </c>
      <c r="I3018" s="27">
        <f t="shared" si="141"/>
        <v>0.97425763049999992</v>
      </c>
      <c r="J3018" s="129">
        <f t="shared" si="142"/>
        <v>15.324540000000001</v>
      </c>
    </row>
    <row r="3019" spans="1:10" hidden="1" x14ac:dyDescent="0.35">
      <c r="A3019" s="126" t="s">
        <v>437</v>
      </c>
      <c r="B3019" t="str">
        <f>_xlfn.XLOOKUP(A3019,'[1]2050Pop'!$A$7:$A$143,'[1]2050Pop'!$D$7:$D$143)</f>
        <v>SSA</v>
      </c>
      <c r="C3019" s="127">
        <f>1000*_xlfn.XLOOKUP(A3019,'[1]2050Pop'!$A$7:$A$143,'[1]2050Pop'!$C$7:$C$143)</f>
        <v>4322</v>
      </c>
      <c r="D3019" s="126" t="s">
        <v>522</v>
      </c>
      <c r="E3019" s="128">
        <v>3.9609999999999999</v>
      </c>
      <c r="F3019" s="129">
        <f t="shared" si="143"/>
        <v>1.7119441999999999E-2</v>
      </c>
      <c r="G3019" t="str">
        <f>_xlfn.XLOOKUP(D3019,'[1]2050 BAU Mapping to T &amp; C'!$A$3:$A$52,'[1]2050 BAU Mapping to T &amp; C'!$B$3:$B$52)</f>
        <v>Tropical Fruits</v>
      </c>
      <c r="H3019" s="129">
        <f>_xlfn.XLOOKUP(G3019,'[1]T&amp;C emissions for 2050 analysis'!$B$3:$B$23,'[1]T&amp;C emissions for 2050 analysis'!$C$3:$C$23)</f>
        <v>0.51333333333333331</v>
      </c>
      <c r="I3019" s="27">
        <f t="shared" si="141"/>
        <v>8.7879802266666654E-3</v>
      </c>
      <c r="J3019" s="129">
        <f t="shared" si="142"/>
        <v>2.0333133333333331</v>
      </c>
    </row>
    <row r="3020" spans="1:10" hidden="1" x14ac:dyDescent="0.35">
      <c r="A3020" s="126" t="s">
        <v>439</v>
      </c>
      <c r="B3020" t="str">
        <f>_xlfn.XLOOKUP(A3020,'[1]2050Pop'!$A$7:$A$143,'[1]2050Pop'!$D$7:$D$143)</f>
        <v>Euro/AU/NZ</v>
      </c>
      <c r="C3020" s="127">
        <f>1000*_xlfn.XLOOKUP(A3020,'[1]2050Pop'!$A$7:$A$143,'[1]2050Pop'!$C$7:$C$143)</f>
        <v>17602</v>
      </c>
      <c r="D3020" s="126" t="s">
        <v>522</v>
      </c>
      <c r="E3020" s="128">
        <v>2.032</v>
      </c>
      <c r="F3020" s="129">
        <f t="shared" si="143"/>
        <v>3.5767264E-2</v>
      </c>
      <c r="G3020" t="str">
        <f>_xlfn.XLOOKUP(D3020,'[1]2050 BAU Mapping to T &amp; C'!$A$3:$A$52,'[1]2050 BAU Mapping to T &amp; C'!$B$3:$B$52)</f>
        <v>Tropical Fruits</v>
      </c>
      <c r="H3020" s="129">
        <f>_xlfn.XLOOKUP(G3020,'[1]T&amp;C emissions for 2050 analysis'!$B$3:$B$23,'[1]T&amp;C emissions for 2050 analysis'!$C$3:$C$23)</f>
        <v>0.51333333333333331</v>
      </c>
      <c r="I3020" s="27">
        <f t="shared" si="141"/>
        <v>1.8360528853333332E-2</v>
      </c>
      <c r="J3020" s="129">
        <f t="shared" si="142"/>
        <v>1.0430933333333332</v>
      </c>
    </row>
    <row r="3021" spans="1:10" hidden="1" x14ac:dyDescent="0.35">
      <c r="A3021" s="126" t="s">
        <v>440</v>
      </c>
      <c r="B3021" t="str">
        <f>_xlfn.XLOOKUP(A3021,'[1]2050Pop'!$A$7:$A$143,'[1]2050Pop'!$D$7:$D$143)</f>
        <v>Euro/AU/NZ</v>
      </c>
      <c r="C3021" s="127">
        <f>1000*_xlfn.XLOOKUP(A3021,'[1]2050Pop'!$A$7:$A$143,'[1]2050Pop'!$C$7:$C$143)</f>
        <v>5607</v>
      </c>
      <c r="D3021" s="126" t="s">
        <v>522</v>
      </c>
      <c r="E3021" s="128">
        <v>5.0739999999999998</v>
      </c>
      <c r="F3021" s="129">
        <f t="shared" si="143"/>
        <v>2.8449917999999998E-2</v>
      </c>
      <c r="G3021" t="str">
        <f>_xlfn.XLOOKUP(D3021,'[1]2050 BAU Mapping to T &amp; C'!$A$3:$A$52,'[1]2050 BAU Mapping to T &amp; C'!$B$3:$B$52)</f>
        <v>Tropical Fruits</v>
      </c>
      <c r="H3021" s="129">
        <f>_xlfn.XLOOKUP(G3021,'[1]T&amp;C emissions for 2050 analysis'!$B$3:$B$23,'[1]T&amp;C emissions for 2050 analysis'!$C$3:$C$23)</f>
        <v>0.51333333333333331</v>
      </c>
      <c r="I3021" s="27">
        <f t="shared" si="141"/>
        <v>1.4604291239999997E-2</v>
      </c>
      <c r="J3021" s="129">
        <f t="shared" si="142"/>
        <v>2.6046533333333333</v>
      </c>
    </row>
    <row r="3022" spans="1:10" hidden="1" x14ac:dyDescent="0.35">
      <c r="A3022" s="126" t="s">
        <v>441</v>
      </c>
      <c r="B3022" t="str">
        <f>_xlfn.XLOOKUP(A3022,'[1]2050Pop'!$A$7:$A$143,'[1]2050Pop'!$D$7:$D$143)</f>
        <v>LatAm &amp; RSA</v>
      </c>
      <c r="C3022" s="127">
        <f>1000*_xlfn.XLOOKUP(A3022,'[1]2050Pop'!$A$7:$A$143,'[1]2050Pop'!$C$7:$C$143)</f>
        <v>7863</v>
      </c>
      <c r="D3022" s="126" t="s">
        <v>522</v>
      </c>
      <c r="E3022" s="128">
        <v>6.4169999999999998</v>
      </c>
      <c r="F3022" s="129">
        <f t="shared" si="143"/>
        <v>5.0456871E-2</v>
      </c>
      <c r="G3022" t="str">
        <f>_xlfn.XLOOKUP(D3022,'[1]2050 BAU Mapping to T &amp; C'!$A$3:$A$52,'[1]2050 BAU Mapping to T &amp; C'!$B$3:$B$52)</f>
        <v>Tropical Fruits</v>
      </c>
      <c r="H3022" s="129">
        <f>_xlfn.XLOOKUP(G3022,'[1]T&amp;C emissions for 2050 analysis'!$B$3:$B$23,'[1]T&amp;C emissions for 2050 analysis'!$C$3:$C$23)</f>
        <v>0.51333333333333331</v>
      </c>
      <c r="I3022" s="27">
        <f t="shared" si="141"/>
        <v>2.5901193779999998E-2</v>
      </c>
      <c r="J3022" s="129">
        <f t="shared" si="142"/>
        <v>3.2940599999999995</v>
      </c>
    </row>
    <row r="3023" spans="1:10" hidden="1" x14ac:dyDescent="0.35">
      <c r="A3023" s="126" t="s">
        <v>491</v>
      </c>
      <c r="B3023" t="str">
        <f>_xlfn.XLOOKUP(A3023,'[1]2050Pop'!$A$7:$A$143,'[1]2050Pop'!$D$7:$D$143)</f>
        <v>SSA</v>
      </c>
      <c r="C3023" s="127">
        <f>1000*_xlfn.XLOOKUP(A3023,'[1]2050Pop'!$A$7:$A$143,'[1]2050Pop'!$C$7:$C$143)</f>
        <v>398508</v>
      </c>
      <c r="D3023" s="126" t="s">
        <v>522</v>
      </c>
      <c r="E3023" s="128">
        <v>46.988</v>
      </c>
      <c r="F3023" s="129">
        <f t="shared" si="143"/>
        <v>18.725093903999998</v>
      </c>
      <c r="G3023" t="str">
        <f>_xlfn.XLOOKUP(D3023,'[1]2050 BAU Mapping to T &amp; C'!$A$3:$A$52,'[1]2050 BAU Mapping to T &amp; C'!$B$3:$B$52)</f>
        <v>Tropical Fruits</v>
      </c>
      <c r="H3023" s="129">
        <f>_xlfn.XLOOKUP(G3023,'[1]T&amp;C emissions for 2050 analysis'!$B$3:$B$23,'[1]T&amp;C emissions for 2050 analysis'!$C$3:$C$23)</f>
        <v>0.51333333333333331</v>
      </c>
      <c r="I3023" s="27">
        <f t="shared" si="141"/>
        <v>9.612214870719999</v>
      </c>
      <c r="J3023" s="129">
        <f t="shared" si="142"/>
        <v>24.120506666666664</v>
      </c>
    </row>
    <row r="3024" spans="1:10" hidden="1" x14ac:dyDescent="0.35">
      <c r="A3024" s="126" t="s">
        <v>444</v>
      </c>
      <c r="B3024" t="str">
        <f>_xlfn.XLOOKUP(A3024,'[1]2050Pop'!$A$7:$A$143,'[1]2050Pop'!$D$7:$D$143)</f>
        <v>LatAm &amp; RSA</v>
      </c>
      <c r="C3024" s="127">
        <f>1000*_xlfn.XLOOKUP(A3024,'[1]2050Pop'!$A$7:$A$143,'[1]2050Pop'!$C$7:$C$143)</f>
        <v>5599</v>
      </c>
      <c r="D3024" s="126" t="s">
        <v>522</v>
      </c>
      <c r="E3024" s="128">
        <v>37.082000000000001</v>
      </c>
      <c r="F3024" s="129">
        <f t="shared" si="143"/>
        <v>0.20762211800000002</v>
      </c>
      <c r="G3024" t="str">
        <f>_xlfn.XLOOKUP(D3024,'[1]2050 BAU Mapping to T &amp; C'!$A$3:$A$52,'[1]2050 BAU Mapping to T &amp; C'!$B$3:$B$52)</f>
        <v>Tropical Fruits</v>
      </c>
      <c r="H3024" s="129">
        <f>_xlfn.XLOOKUP(G3024,'[1]T&amp;C emissions for 2050 analysis'!$B$3:$B$23,'[1]T&amp;C emissions for 2050 analysis'!$C$3:$C$23)</f>
        <v>0.51333333333333331</v>
      </c>
      <c r="I3024" s="27">
        <f t="shared" si="141"/>
        <v>0.10657935390666667</v>
      </c>
      <c r="J3024" s="129">
        <f t="shared" si="142"/>
        <v>19.035426666666666</v>
      </c>
    </row>
    <row r="3025" spans="1:10" hidden="1" x14ac:dyDescent="0.35">
      <c r="A3025" s="126" t="s">
        <v>446</v>
      </c>
      <c r="B3025" t="str">
        <f>_xlfn.XLOOKUP(A3025,'[1]2050Pop'!$A$7:$A$143,'[1]2050Pop'!$D$7:$D$143)</f>
        <v>LatAm &amp; RSA</v>
      </c>
      <c r="C3025" s="127">
        <f>1000*_xlfn.XLOOKUP(A3025,'[1]2050Pop'!$A$7:$A$143,'[1]2050Pop'!$C$7:$C$143)</f>
        <v>41899</v>
      </c>
      <c r="D3025" s="126" t="s">
        <v>522</v>
      </c>
      <c r="E3025" s="128">
        <v>74.382000000000005</v>
      </c>
      <c r="F3025" s="129">
        <f t="shared" si="143"/>
        <v>3.1165314180000001</v>
      </c>
      <c r="G3025" t="str">
        <f>_xlfn.XLOOKUP(D3025,'[1]2050 BAU Mapping to T &amp; C'!$A$3:$A$52,'[1]2050 BAU Mapping to T &amp; C'!$B$3:$B$52)</f>
        <v>Tropical Fruits</v>
      </c>
      <c r="H3025" s="129">
        <f>_xlfn.XLOOKUP(G3025,'[1]T&amp;C emissions for 2050 analysis'!$B$3:$B$23,'[1]T&amp;C emissions for 2050 analysis'!$C$3:$C$23)</f>
        <v>0.51333333333333331</v>
      </c>
      <c r="I3025" s="27">
        <f t="shared" si="141"/>
        <v>1.5998194612400001</v>
      </c>
      <c r="J3025" s="129">
        <f t="shared" si="142"/>
        <v>38.182760000000002</v>
      </c>
    </row>
    <row r="3026" spans="1:10" hidden="1" x14ac:dyDescent="0.35">
      <c r="A3026" s="126" t="s">
        <v>448</v>
      </c>
      <c r="B3026" t="str">
        <f>_xlfn.XLOOKUP(A3026,'[1]2050Pop'!$A$7:$A$143,'[1]2050Pop'!$D$7:$D$143)</f>
        <v>Euro/AU/NZ</v>
      </c>
      <c r="C3026" s="127">
        <f>1000*_xlfn.XLOOKUP(A3026,'[1]2050Pop'!$A$7:$A$143,'[1]2050Pop'!$C$7:$C$143)</f>
        <v>33136</v>
      </c>
      <c r="D3026" s="126" t="s">
        <v>522</v>
      </c>
      <c r="E3026" s="128">
        <v>0.49199999999999999</v>
      </c>
      <c r="F3026" s="129">
        <f t="shared" si="143"/>
        <v>1.6302911999999999E-2</v>
      </c>
      <c r="G3026" t="str">
        <f>_xlfn.XLOOKUP(D3026,'[1]2050 BAU Mapping to T &amp; C'!$A$3:$A$52,'[1]2050 BAU Mapping to T &amp; C'!$B$3:$B$52)</f>
        <v>Tropical Fruits</v>
      </c>
      <c r="H3026" s="129">
        <f>_xlfn.XLOOKUP(G3026,'[1]T&amp;C emissions for 2050 analysis'!$B$3:$B$23,'[1]T&amp;C emissions for 2050 analysis'!$C$3:$C$23)</f>
        <v>0.51333333333333331</v>
      </c>
      <c r="I3026" s="27">
        <f t="shared" si="141"/>
        <v>8.3688281599999994E-3</v>
      </c>
      <c r="J3026" s="129">
        <f t="shared" si="142"/>
        <v>0.25256000000000001</v>
      </c>
    </row>
    <row r="3027" spans="1:10" hidden="1" x14ac:dyDescent="0.35">
      <c r="A3027" s="126" t="s">
        <v>449</v>
      </c>
      <c r="B3027" t="str">
        <f>_xlfn.XLOOKUP(A3027,'[1]2050Pop'!$A$7:$A$143,'[1]2050Pop'!$D$7:$D$143)</f>
        <v>Euro/AU/NZ</v>
      </c>
      <c r="C3027" s="127">
        <f>1000*_xlfn.XLOOKUP(A3027,'[1]2050Pop'!$A$7:$A$143,'[1]2050Pop'!$C$7:$C$143)</f>
        <v>9216</v>
      </c>
      <c r="D3027" s="126" t="s">
        <v>522</v>
      </c>
      <c r="E3027" s="128">
        <v>0.49399999999999999</v>
      </c>
      <c r="F3027" s="129">
        <f t="shared" si="143"/>
        <v>4.5527039999999994E-3</v>
      </c>
      <c r="G3027" t="str">
        <f>_xlfn.XLOOKUP(D3027,'[1]2050 BAU Mapping to T &amp; C'!$A$3:$A$52,'[1]2050 BAU Mapping to T &amp; C'!$B$3:$B$52)</f>
        <v>Tropical Fruits</v>
      </c>
      <c r="H3027" s="129">
        <f>_xlfn.XLOOKUP(G3027,'[1]T&amp;C emissions for 2050 analysis'!$B$3:$B$23,'[1]T&amp;C emissions for 2050 analysis'!$C$3:$C$23)</f>
        <v>0.51333333333333331</v>
      </c>
      <c r="I3027" s="27">
        <f t="shared" si="141"/>
        <v>2.3370547199999996E-3</v>
      </c>
      <c r="J3027" s="129">
        <f t="shared" si="142"/>
        <v>0.25358666666666663</v>
      </c>
    </row>
    <row r="3028" spans="1:10" hidden="1" x14ac:dyDescent="0.35">
      <c r="A3028" s="126" t="s">
        <v>452</v>
      </c>
      <c r="B3028" t="str">
        <f>_xlfn.XLOOKUP(A3028,'[1]2050Pop'!$A$7:$A$143,'[1]2050Pop'!$D$7:$D$143)</f>
        <v>SSA</v>
      </c>
      <c r="C3028" s="127">
        <f>1000*_xlfn.XLOOKUP(A3028,'[1]2050Pop'!$A$7:$A$143,'[1]2050Pop'!$C$7:$C$143)</f>
        <v>10732</v>
      </c>
      <c r="D3028" s="126" t="s">
        <v>522</v>
      </c>
      <c r="E3028" s="128">
        <v>52.506</v>
      </c>
      <c r="F3028" s="129">
        <f t="shared" si="143"/>
        <v>0.56349439199999996</v>
      </c>
      <c r="G3028" t="str">
        <f>_xlfn.XLOOKUP(D3028,'[1]2050 BAU Mapping to T &amp; C'!$A$3:$A$52,'[1]2050 BAU Mapping to T &amp; C'!$B$3:$B$52)</f>
        <v>Tropical Fruits</v>
      </c>
      <c r="H3028" s="129">
        <f>_xlfn.XLOOKUP(G3028,'[1]T&amp;C emissions for 2050 analysis'!$B$3:$B$23,'[1]T&amp;C emissions for 2050 analysis'!$C$3:$C$23)</f>
        <v>0.51333333333333331</v>
      </c>
      <c r="I3028" s="27">
        <f t="shared" si="141"/>
        <v>0.28926045455999994</v>
      </c>
      <c r="J3028" s="129">
        <f t="shared" si="142"/>
        <v>26.95308</v>
      </c>
    </row>
    <row r="3029" spans="1:10" hidden="1" x14ac:dyDescent="0.35">
      <c r="A3029" s="126" t="s">
        <v>453</v>
      </c>
      <c r="B3029" t="str">
        <f>_xlfn.XLOOKUP(A3029,'[1]2050Pop'!$A$7:$A$143,'[1]2050Pop'!$D$7:$D$143)</f>
        <v>Euro/AU/NZ</v>
      </c>
      <c r="C3029" s="127">
        <f>1000*_xlfn.XLOOKUP(A3029,'[1]2050Pop'!$A$7:$A$143,'[1]2050Pop'!$C$7:$C$143)</f>
        <v>15207</v>
      </c>
      <c r="D3029" s="126" t="s">
        <v>522</v>
      </c>
      <c r="E3029" s="130">
        <v>1.18</v>
      </c>
      <c r="F3029" s="129">
        <f t="shared" si="143"/>
        <v>1.794426E-2</v>
      </c>
      <c r="G3029" t="str">
        <f>_xlfn.XLOOKUP(D3029,'[1]2050 BAU Mapping to T &amp; C'!$A$3:$A$52,'[1]2050 BAU Mapping to T &amp; C'!$B$3:$B$52)</f>
        <v>Tropical Fruits</v>
      </c>
      <c r="H3029" s="129">
        <f>_xlfn.XLOOKUP(G3029,'[1]T&amp;C emissions for 2050 analysis'!$B$3:$B$23,'[1]T&amp;C emissions for 2050 analysis'!$C$3:$C$23)</f>
        <v>0.51333333333333331</v>
      </c>
      <c r="I3029" s="27">
        <f t="shared" si="141"/>
        <v>9.2113867999999988E-3</v>
      </c>
      <c r="J3029" s="129">
        <f t="shared" si="142"/>
        <v>0.60573333333333323</v>
      </c>
    </row>
    <row r="3030" spans="1:10" hidden="1" x14ac:dyDescent="0.35">
      <c r="A3030" s="126" t="s">
        <v>456</v>
      </c>
      <c r="B3030" t="str">
        <f>_xlfn.XLOOKUP(A3030,'[1]2050Pop'!$A$7:$A$143,'[1]2050Pop'!$D$7:$D$143)</f>
        <v>MENA</v>
      </c>
      <c r="C3030" s="127">
        <f>1000*_xlfn.XLOOKUP(A3030,'[1]2050Pop'!$A$7:$A$143,'[1]2050Pop'!$C$7:$C$143)</f>
        <v>46059</v>
      </c>
      <c r="D3030" s="126" t="s">
        <v>522</v>
      </c>
      <c r="E3030" s="128">
        <v>5.4290000000000003</v>
      </c>
      <c r="F3030" s="129">
        <f t="shared" si="143"/>
        <v>0.25005431100000003</v>
      </c>
      <c r="G3030" t="str">
        <f>_xlfn.XLOOKUP(D3030,'[1]2050 BAU Mapping to T &amp; C'!$A$3:$A$52,'[1]2050 BAU Mapping to T &amp; C'!$B$3:$B$52)</f>
        <v>Tropical Fruits</v>
      </c>
      <c r="H3030" s="129">
        <f>_xlfn.XLOOKUP(G3030,'[1]T&amp;C emissions for 2050 analysis'!$B$3:$B$23,'[1]T&amp;C emissions for 2050 analysis'!$C$3:$C$23)</f>
        <v>0.51333333333333331</v>
      </c>
      <c r="I3030" s="27">
        <f t="shared" si="141"/>
        <v>0.12836121298</v>
      </c>
      <c r="J3030" s="129">
        <f t="shared" si="142"/>
        <v>2.7868866666666667</v>
      </c>
    </row>
    <row r="3031" spans="1:10" hidden="1" x14ac:dyDescent="0.35">
      <c r="A3031" s="126" t="s">
        <v>458</v>
      </c>
      <c r="B3031" t="str">
        <f>_xlfn.XLOOKUP(A3031,'[1]2050Pop'!$A$7:$A$143,'[1]2050Pop'!$D$7:$D$143)</f>
        <v>Euro/AU/NZ</v>
      </c>
      <c r="C3031" s="127">
        <f>1000*_xlfn.XLOOKUP(A3031,'[1]2050Pop'!$A$7:$A$143,'[1]2050Pop'!$C$7:$C$143)</f>
        <v>7331</v>
      </c>
      <c r="D3031" s="126" t="s">
        <v>522</v>
      </c>
      <c r="E3031" s="128">
        <v>1.0149999999999999</v>
      </c>
      <c r="F3031" s="129">
        <f t="shared" si="143"/>
        <v>7.440964999999999E-3</v>
      </c>
      <c r="G3031" t="str">
        <f>_xlfn.XLOOKUP(D3031,'[1]2050 BAU Mapping to T &amp; C'!$A$3:$A$52,'[1]2050 BAU Mapping to T &amp; C'!$B$3:$B$52)</f>
        <v>Tropical Fruits</v>
      </c>
      <c r="H3031" s="129">
        <f>_xlfn.XLOOKUP(G3031,'[1]T&amp;C emissions for 2050 analysis'!$B$3:$B$23,'[1]T&amp;C emissions for 2050 analysis'!$C$3:$C$23)</f>
        <v>0.51333333333333331</v>
      </c>
      <c r="I3031" s="27">
        <f t="shared" si="141"/>
        <v>3.8196953666666659E-3</v>
      </c>
      <c r="J3031" s="129">
        <f t="shared" si="142"/>
        <v>0.52103333333333324</v>
      </c>
    </row>
    <row r="3032" spans="1:10" hidden="1" x14ac:dyDescent="0.35">
      <c r="A3032" s="126" t="s">
        <v>492</v>
      </c>
      <c r="B3032" t="str">
        <f>_xlfn.XLOOKUP(A3032,'[1]2050Pop'!$A$7:$A$143,'[1]2050Pop'!$D$7:$D$143)</f>
        <v>SSA</v>
      </c>
      <c r="C3032" s="127">
        <f>1000*_xlfn.XLOOKUP(A3032,'[1]2050Pop'!$A$7:$A$143,'[1]2050Pop'!$C$7:$C$143)</f>
        <v>11392</v>
      </c>
      <c r="D3032" s="126" t="s">
        <v>522</v>
      </c>
      <c r="E3032" s="128">
        <v>20.765000000000001</v>
      </c>
      <c r="F3032" s="129">
        <f t="shared" si="143"/>
        <v>0.23655488</v>
      </c>
      <c r="G3032" t="str">
        <f>_xlfn.XLOOKUP(D3032,'[1]2050 BAU Mapping to T &amp; C'!$A$3:$A$52,'[1]2050 BAU Mapping to T &amp; C'!$B$3:$B$52)</f>
        <v>Tropical Fruits</v>
      </c>
      <c r="H3032" s="129">
        <f>_xlfn.XLOOKUP(G3032,'[1]T&amp;C emissions for 2050 analysis'!$B$3:$B$23,'[1]T&amp;C emissions for 2050 analysis'!$C$3:$C$23)</f>
        <v>0.51333333333333331</v>
      </c>
      <c r="I3032" s="27">
        <f t="shared" si="141"/>
        <v>0.12143150506666665</v>
      </c>
      <c r="J3032" s="129">
        <f t="shared" si="142"/>
        <v>10.659366666666667</v>
      </c>
    </row>
    <row r="3033" spans="1:10" hidden="1" x14ac:dyDescent="0.35">
      <c r="A3033" s="126" t="s">
        <v>459</v>
      </c>
      <c r="B3033" t="str">
        <f>_xlfn.XLOOKUP(A3033,'[1]2050Pop'!$A$7:$A$143,'[1]2050Pop'!$D$7:$D$143)</f>
        <v>Euro/AU/NZ</v>
      </c>
      <c r="C3033" s="127">
        <f>1000*_xlfn.XLOOKUP(A3033,'[1]2050Pop'!$A$7:$A$143,'[1]2050Pop'!$C$7:$C$143)</f>
        <v>4892</v>
      </c>
      <c r="D3033" s="126" t="s">
        <v>522</v>
      </c>
      <c r="E3033" s="128">
        <v>1.028</v>
      </c>
      <c r="F3033" s="129">
        <f t="shared" si="143"/>
        <v>5.028976000000001E-3</v>
      </c>
      <c r="G3033" t="str">
        <f>_xlfn.XLOOKUP(D3033,'[1]2050 BAU Mapping to T &amp; C'!$A$3:$A$52,'[1]2050 BAU Mapping to T &amp; C'!$B$3:$B$52)</f>
        <v>Tropical Fruits</v>
      </c>
      <c r="H3033" s="129">
        <f>_xlfn.XLOOKUP(G3033,'[1]T&amp;C emissions for 2050 analysis'!$B$3:$B$23,'[1]T&amp;C emissions for 2050 analysis'!$C$3:$C$23)</f>
        <v>0.51333333333333331</v>
      </c>
      <c r="I3033" s="27">
        <f t="shared" si="141"/>
        <v>2.5815410133333337E-3</v>
      </c>
      <c r="J3033" s="129">
        <f t="shared" si="142"/>
        <v>0.52770666666666666</v>
      </c>
    </row>
    <row r="3034" spans="1:10" hidden="1" x14ac:dyDescent="0.35">
      <c r="A3034" s="126" t="s">
        <v>460</v>
      </c>
      <c r="B3034" t="str">
        <f>_xlfn.XLOOKUP(A3034,'[1]2050Pop'!$A$7:$A$143,'[1]2050Pop'!$D$7:$D$143)</f>
        <v>LatAm &amp; RSA</v>
      </c>
      <c r="C3034" s="127">
        <f>1000*_xlfn.XLOOKUP(A3034,'[1]2050Pop'!$A$7:$A$143,'[1]2050Pop'!$C$7:$C$143)</f>
        <v>65540</v>
      </c>
      <c r="D3034" s="126" t="s">
        <v>522</v>
      </c>
      <c r="E3034" s="128">
        <v>1.5189999999999999</v>
      </c>
      <c r="F3034" s="129">
        <f t="shared" si="143"/>
        <v>9.9555259999999993E-2</v>
      </c>
      <c r="G3034" t="str">
        <f>_xlfn.XLOOKUP(D3034,'[1]2050 BAU Mapping to T &amp; C'!$A$3:$A$52,'[1]2050 BAU Mapping to T &amp; C'!$B$3:$B$52)</f>
        <v>Tropical Fruits</v>
      </c>
      <c r="H3034" s="129">
        <f>_xlfn.XLOOKUP(G3034,'[1]T&amp;C emissions for 2050 analysis'!$B$3:$B$23,'[1]T&amp;C emissions for 2050 analysis'!$C$3:$C$23)</f>
        <v>0.51333333333333331</v>
      </c>
      <c r="I3034" s="27">
        <f t="shared" si="141"/>
        <v>5.1105033466666658E-2</v>
      </c>
      <c r="J3034" s="129">
        <f t="shared" si="142"/>
        <v>0.7797533333333333</v>
      </c>
    </row>
    <row r="3035" spans="1:10" hidden="1" x14ac:dyDescent="0.35">
      <c r="A3035" s="126" t="s">
        <v>461</v>
      </c>
      <c r="B3035" t="str">
        <f>_xlfn.XLOOKUP(A3035,'[1]2050Pop'!$A$7:$A$143,'[1]2050Pop'!$D$7:$D$143)</f>
        <v>Euro/AU/NZ</v>
      </c>
      <c r="C3035" s="127">
        <f>1000*_xlfn.XLOOKUP(A3035,'[1]2050Pop'!$A$7:$A$143,'[1]2050Pop'!$C$7:$C$143)</f>
        <v>44840</v>
      </c>
      <c r="D3035" s="126" t="s">
        <v>522</v>
      </c>
      <c r="E3035" s="128">
        <v>0.495</v>
      </c>
      <c r="F3035" s="129">
        <f t="shared" si="143"/>
        <v>2.2195799999999998E-2</v>
      </c>
      <c r="G3035" t="str">
        <f>_xlfn.XLOOKUP(D3035,'[1]2050 BAU Mapping to T &amp; C'!$A$3:$A$52,'[1]2050 BAU Mapping to T &amp; C'!$B$3:$B$52)</f>
        <v>Tropical Fruits</v>
      </c>
      <c r="H3035" s="129">
        <f>_xlfn.XLOOKUP(G3035,'[1]T&amp;C emissions for 2050 analysis'!$B$3:$B$23,'[1]T&amp;C emissions for 2050 analysis'!$C$3:$C$23)</f>
        <v>0.51333333333333331</v>
      </c>
      <c r="I3035" s="27">
        <f t="shared" si="141"/>
        <v>1.1393843999999998E-2</v>
      </c>
      <c r="J3035" s="129">
        <f t="shared" si="142"/>
        <v>0.25409999999999999</v>
      </c>
    </row>
    <row r="3036" spans="1:10" hidden="1" x14ac:dyDescent="0.35">
      <c r="A3036" s="126" t="s">
        <v>493</v>
      </c>
      <c r="B3036" t="str">
        <f>_xlfn.XLOOKUP(A3036,'[1]2050Pop'!$A$7:$A$143,'[1]2050Pop'!$D$7:$D$143)</f>
        <v>India/South Asia</v>
      </c>
      <c r="C3036" s="127">
        <f>1000*_xlfn.XLOOKUP(A3036,'[1]2050Pop'!$A$7:$A$143,'[1]2050Pop'!$C$7:$C$143)</f>
        <v>20836</v>
      </c>
      <c r="D3036" s="126" t="s">
        <v>522</v>
      </c>
      <c r="E3036" s="128">
        <v>53.966999999999999</v>
      </c>
      <c r="F3036" s="129">
        <f t="shared" si="143"/>
        <v>1.124456412</v>
      </c>
      <c r="G3036" t="str">
        <f>_xlfn.XLOOKUP(D3036,'[1]2050 BAU Mapping to T &amp; C'!$A$3:$A$52,'[1]2050 BAU Mapping to T &amp; C'!$B$3:$B$52)</f>
        <v>Tropical Fruits</v>
      </c>
      <c r="H3036" s="129">
        <f>_xlfn.XLOOKUP(G3036,'[1]T&amp;C emissions for 2050 analysis'!$B$3:$B$23,'[1]T&amp;C emissions for 2050 analysis'!$C$3:$C$23)</f>
        <v>0.51333333333333331</v>
      </c>
      <c r="I3036" s="27">
        <f t="shared" si="141"/>
        <v>0.57722095815999996</v>
      </c>
      <c r="J3036" s="129">
        <f t="shared" si="142"/>
        <v>27.703059999999997</v>
      </c>
    </row>
    <row r="3037" spans="1:10" hidden="1" x14ac:dyDescent="0.35">
      <c r="A3037" s="126" t="s">
        <v>462</v>
      </c>
      <c r="B3037" t="str">
        <f>_xlfn.XLOOKUP(A3037,'[1]2050Pop'!$A$7:$A$143,'[1]2050Pop'!$D$7:$D$143)</f>
        <v>LatAm &amp; RSA</v>
      </c>
      <c r="C3037" s="127">
        <f>1000*_xlfn.XLOOKUP(A3037,'[1]2050Pop'!$A$7:$A$143,'[1]2050Pop'!$C$7:$C$143)</f>
        <v>624</v>
      </c>
      <c r="D3037" s="126" t="s">
        <v>522</v>
      </c>
      <c r="E3037" s="128">
        <v>53.359000000000002</v>
      </c>
      <c r="F3037" s="129">
        <f t="shared" si="143"/>
        <v>3.3296016000000005E-2</v>
      </c>
      <c r="G3037" t="str">
        <f>_xlfn.XLOOKUP(D3037,'[1]2050 BAU Mapping to T &amp; C'!$A$3:$A$52,'[1]2050 BAU Mapping to T &amp; C'!$B$3:$B$52)</f>
        <v>Tropical Fruits</v>
      </c>
      <c r="H3037" s="129">
        <f>_xlfn.XLOOKUP(G3037,'[1]T&amp;C emissions for 2050 analysis'!$B$3:$B$23,'[1]T&amp;C emissions for 2050 analysis'!$C$3:$C$23)</f>
        <v>0.51333333333333331</v>
      </c>
      <c r="I3037" s="27">
        <f t="shared" si="141"/>
        <v>1.7091954880000003E-2</v>
      </c>
      <c r="J3037" s="129">
        <f t="shared" si="142"/>
        <v>27.390953333333332</v>
      </c>
    </row>
    <row r="3038" spans="1:10" hidden="1" x14ac:dyDescent="0.35">
      <c r="A3038" s="126" t="s">
        <v>467</v>
      </c>
      <c r="B3038" t="str">
        <f>_xlfn.XLOOKUP(A3038,'[1]2050Pop'!$A$7:$A$143,'[1]2050Pop'!$D$7:$D$143)</f>
        <v>LatAm &amp; RSA</v>
      </c>
      <c r="C3038" s="127">
        <f>1000*_xlfn.XLOOKUP(A3038,'[1]2050Pop'!$A$7:$A$143,'[1]2050Pop'!$C$7:$C$143)</f>
        <v>1291</v>
      </c>
      <c r="D3038" s="126" t="s">
        <v>522</v>
      </c>
      <c r="E3038" s="128">
        <v>7.9809999999999999</v>
      </c>
      <c r="F3038" s="129">
        <f t="shared" si="143"/>
        <v>1.0303471E-2</v>
      </c>
      <c r="G3038" t="str">
        <f>_xlfn.XLOOKUP(D3038,'[1]2050 BAU Mapping to T &amp; C'!$A$3:$A$52,'[1]2050 BAU Mapping to T &amp; C'!$B$3:$B$52)</f>
        <v>Tropical Fruits</v>
      </c>
      <c r="H3038" s="129">
        <f>_xlfn.XLOOKUP(G3038,'[1]T&amp;C emissions for 2050 analysis'!$B$3:$B$23,'[1]T&amp;C emissions for 2050 analysis'!$C$3:$C$23)</f>
        <v>0.51333333333333331</v>
      </c>
      <c r="I3038" s="27">
        <f t="shared" si="141"/>
        <v>5.2891151133333328E-3</v>
      </c>
      <c r="J3038" s="129">
        <f t="shared" si="142"/>
        <v>4.0969133333333332</v>
      </c>
    </row>
    <row r="3039" spans="1:10" hidden="1" x14ac:dyDescent="0.35">
      <c r="A3039" s="126" t="s">
        <v>470</v>
      </c>
      <c r="B3039" t="str">
        <f>_xlfn.XLOOKUP(A3039,'[1]2050Pop'!$A$7:$A$143,'[1]2050Pop'!$D$7:$D$143)</f>
        <v>SSA</v>
      </c>
      <c r="C3039" s="127">
        <f>1000*_xlfn.XLOOKUP(A3039,'[1]2050Pop'!$A$7:$A$143,'[1]2050Pop'!$C$7:$C$143)</f>
        <v>101873</v>
      </c>
      <c r="D3039" s="126" t="s">
        <v>522</v>
      </c>
      <c r="E3039" s="128">
        <v>291.44900000000001</v>
      </c>
      <c r="F3039" s="129">
        <f t="shared" si="143"/>
        <v>29.690783977000002</v>
      </c>
      <c r="G3039" t="str">
        <f>_xlfn.XLOOKUP(D3039,'[1]2050 BAU Mapping to T &amp; C'!$A$3:$A$52,'[1]2050 BAU Mapping to T &amp; C'!$B$3:$B$52)</f>
        <v>Tropical Fruits</v>
      </c>
      <c r="H3039" s="129">
        <f>_xlfn.XLOOKUP(G3039,'[1]T&amp;C emissions for 2050 analysis'!$B$3:$B$23,'[1]T&amp;C emissions for 2050 analysis'!$C$3:$C$23)</f>
        <v>0.51333333333333331</v>
      </c>
      <c r="I3039" s="27">
        <f t="shared" si="141"/>
        <v>15.241269108193334</v>
      </c>
      <c r="J3039" s="129">
        <f t="shared" si="142"/>
        <v>149.61048666666667</v>
      </c>
    </row>
    <row r="3040" spans="1:10" hidden="1" x14ac:dyDescent="0.35">
      <c r="A3040" s="126" t="s">
        <v>472</v>
      </c>
      <c r="B3040" t="str">
        <f>_xlfn.XLOOKUP(A3040,'[1]2050Pop'!$A$7:$A$143,'[1]2050Pop'!$D$7:$D$143)</f>
        <v>Euro/AU/NZ</v>
      </c>
      <c r="C3040" s="127">
        <f>1000*_xlfn.XLOOKUP(A3040,'[1]2050Pop'!$A$7:$A$143,'[1]2050Pop'!$C$7:$C$143)</f>
        <v>75361</v>
      </c>
      <c r="D3040" s="126" t="s">
        <v>522</v>
      </c>
      <c r="E3040" s="128">
        <v>0.495</v>
      </c>
      <c r="F3040" s="129">
        <f t="shared" si="143"/>
        <v>3.7303694999999998E-2</v>
      </c>
      <c r="G3040" t="str">
        <f>_xlfn.XLOOKUP(D3040,'[1]2050 BAU Mapping to T &amp; C'!$A$3:$A$52,'[1]2050 BAU Mapping to T &amp; C'!$B$3:$B$52)</f>
        <v>Tropical Fruits</v>
      </c>
      <c r="H3040" s="129">
        <f>_xlfn.XLOOKUP(G3040,'[1]T&amp;C emissions for 2050 analysis'!$B$3:$B$23,'[1]T&amp;C emissions for 2050 analysis'!$C$3:$C$23)</f>
        <v>0.51333333333333331</v>
      </c>
      <c r="I3040" s="27">
        <f t="shared" si="141"/>
        <v>1.9149230099999998E-2</v>
      </c>
      <c r="J3040" s="129">
        <f t="shared" si="142"/>
        <v>0.25409999999999999</v>
      </c>
    </row>
    <row r="3041" spans="1:10" hidden="1" x14ac:dyDescent="0.35">
      <c r="A3041" s="126" t="s">
        <v>473</v>
      </c>
      <c r="B3041" t="str">
        <f>_xlfn.XLOOKUP(A3041,'[1]2050Pop'!$A$7:$A$143,'[1]2050Pop'!$D$7:$D$143)</f>
        <v>SSA</v>
      </c>
      <c r="C3041" s="127">
        <f>1000*_xlfn.XLOOKUP(A3041,'[1]2050Pop'!$A$7:$A$143,'[1]2050Pop'!$C$7:$C$143)</f>
        <v>137136</v>
      </c>
      <c r="D3041" s="126" t="s">
        <v>522</v>
      </c>
      <c r="E3041" s="130">
        <v>30.93</v>
      </c>
      <c r="F3041" s="129">
        <f t="shared" si="143"/>
        <v>4.2416164799999994</v>
      </c>
      <c r="G3041" t="str">
        <f>_xlfn.XLOOKUP(D3041,'[1]2050 BAU Mapping to T &amp; C'!$A$3:$A$52,'[1]2050 BAU Mapping to T &amp; C'!$B$3:$B$52)</f>
        <v>Tropical Fruits</v>
      </c>
      <c r="H3041" s="129">
        <f>_xlfn.XLOOKUP(G3041,'[1]T&amp;C emissions for 2050 analysis'!$B$3:$B$23,'[1]T&amp;C emissions for 2050 analysis'!$C$3:$C$23)</f>
        <v>0.51333333333333331</v>
      </c>
      <c r="I3041" s="27">
        <f t="shared" si="141"/>
        <v>2.1773631263999995</v>
      </c>
      <c r="J3041" s="129">
        <f t="shared" si="142"/>
        <v>15.8774</v>
      </c>
    </row>
    <row r="3042" spans="1:10" hidden="1" x14ac:dyDescent="0.35">
      <c r="A3042" s="126" t="s">
        <v>474</v>
      </c>
      <c r="B3042" t="str">
        <f>_xlfn.XLOOKUP(A3042,'[1]2050Pop'!$A$7:$A$143,'[1]2050Pop'!$D$7:$D$143)</f>
        <v>NAm</v>
      </c>
      <c r="C3042" s="127">
        <f>1000*_xlfn.XLOOKUP(A3042,'[1]2050Pop'!$A$7:$A$143,'[1]2050Pop'!$C$7:$C$143)</f>
        <v>388865</v>
      </c>
      <c r="D3042" s="126" t="s">
        <v>522</v>
      </c>
      <c r="E3042" s="128">
        <v>1.048</v>
      </c>
      <c r="F3042" s="129">
        <f t="shared" si="143"/>
        <v>0.40753052000000001</v>
      </c>
      <c r="G3042" t="str">
        <f>_xlfn.XLOOKUP(D3042,'[1]2050 BAU Mapping to T &amp; C'!$A$3:$A$52,'[1]2050 BAU Mapping to T &amp; C'!$B$3:$B$52)</f>
        <v>Tropical Fruits</v>
      </c>
      <c r="H3042" s="129">
        <f>_xlfn.XLOOKUP(G3042,'[1]T&amp;C emissions for 2050 analysis'!$B$3:$B$23,'[1]T&amp;C emissions for 2050 analysis'!$C$3:$C$23)</f>
        <v>0.51333333333333331</v>
      </c>
      <c r="I3042" s="27">
        <f t="shared" si="141"/>
        <v>0.20919900026666666</v>
      </c>
      <c r="J3042" s="129">
        <f t="shared" si="142"/>
        <v>0.5379733333333333</v>
      </c>
    </row>
    <row r="3043" spans="1:10" hidden="1" x14ac:dyDescent="0.35">
      <c r="A3043" s="126" t="s">
        <v>475</v>
      </c>
      <c r="B3043" t="str">
        <f>_xlfn.XLOOKUP(A3043,'[1]2050Pop'!$A$7:$A$143,'[1]2050Pop'!$D$7:$D$143)</f>
        <v>LatAm &amp; RSA</v>
      </c>
      <c r="C3043" s="127">
        <f>1000*_xlfn.XLOOKUP(A3043,'[1]2050Pop'!$A$7:$A$143,'[1]2050Pop'!$C$7:$C$143)</f>
        <v>3667</v>
      </c>
      <c r="D3043" s="126" t="s">
        <v>522</v>
      </c>
      <c r="E3043" s="128">
        <v>0.69199999999999995</v>
      </c>
      <c r="F3043" s="129">
        <f t="shared" si="143"/>
        <v>2.537564E-3</v>
      </c>
      <c r="G3043" t="str">
        <f>_xlfn.XLOOKUP(D3043,'[1]2050 BAU Mapping to T &amp; C'!$A$3:$A$52,'[1]2050 BAU Mapping to T &amp; C'!$B$3:$B$52)</f>
        <v>Tropical Fruits</v>
      </c>
      <c r="H3043" s="129">
        <f>_xlfn.XLOOKUP(G3043,'[1]T&amp;C emissions for 2050 analysis'!$B$3:$B$23,'[1]T&amp;C emissions for 2050 analysis'!$C$3:$C$23)</f>
        <v>0.51333333333333331</v>
      </c>
      <c r="I3043" s="27">
        <f t="shared" si="141"/>
        <v>1.3026161866666666E-3</v>
      </c>
      <c r="J3043" s="129">
        <f t="shared" si="142"/>
        <v>0.35522666666666664</v>
      </c>
    </row>
    <row r="3044" spans="1:10" hidden="1" x14ac:dyDescent="0.35">
      <c r="A3044" s="126" t="s">
        <v>476</v>
      </c>
      <c r="B3044" t="str">
        <f>_xlfn.XLOOKUP(A3044,'[1]2050Pop'!$A$7:$A$143,'[1]2050Pop'!$D$7:$D$143)</f>
        <v>LatAm &amp; RSA</v>
      </c>
      <c r="C3044" s="127">
        <f>1000*_xlfn.XLOOKUP(A3044,'[1]2050Pop'!$A$7:$A$143,'[1]2050Pop'!$C$7:$C$143)</f>
        <v>41562</v>
      </c>
      <c r="D3044" s="126" t="s">
        <v>522</v>
      </c>
      <c r="E3044" s="128">
        <v>25.588000000000001</v>
      </c>
      <c r="F3044" s="129">
        <f t="shared" si="143"/>
        <v>1.063488456</v>
      </c>
      <c r="G3044" t="str">
        <f>_xlfn.XLOOKUP(D3044,'[1]2050 BAU Mapping to T &amp; C'!$A$3:$A$52,'[1]2050 BAU Mapping to T &amp; C'!$B$3:$B$52)</f>
        <v>Tropical Fruits</v>
      </c>
      <c r="H3044" s="129">
        <f>_xlfn.XLOOKUP(G3044,'[1]T&amp;C emissions for 2050 analysis'!$B$3:$B$23,'[1]T&amp;C emissions for 2050 analysis'!$C$3:$C$23)</f>
        <v>0.51333333333333331</v>
      </c>
      <c r="I3044" s="27">
        <f t="shared" si="141"/>
        <v>0.54592407407999999</v>
      </c>
      <c r="J3044" s="129">
        <f t="shared" si="142"/>
        <v>13.135173333333332</v>
      </c>
    </row>
    <row r="3045" spans="1:10" hidden="1" x14ac:dyDescent="0.35">
      <c r="A3045" s="126" t="s">
        <v>355</v>
      </c>
      <c r="B3045" t="str">
        <f>_xlfn.XLOOKUP(A3045,'[1]2050Pop'!$A$7:$A$143,'[1]2050Pop'!$D$7:$D$143)</f>
        <v>India/South Asia</v>
      </c>
      <c r="C3045" s="127">
        <f>1000*_xlfn.XLOOKUP(A3045,'[1]2050Pop'!$A$7:$A$143,'[1]2050Pop'!$C$7:$C$143)</f>
        <v>55955</v>
      </c>
      <c r="D3045" s="126" t="s">
        <v>523</v>
      </c>
      <c r="E3045" s="128">
        <v>14.396000000000001</v>
      </c>
      <c r="F3045" s="129">
        <f t="shared" si="143"/>
        <v>0.80552818000000004</v>
      </c>
      <c r="G3045" t="str">
        <f>_xlfn.XLOOKUP(D3045,'[1]2050 BAU Mapping to T &amp; C'!$A$3:$A$52,'[1]2050 BAU Mapping to T &amp; C'!$B$3:$B$52)</f>
        <v>Starchy roots</v>
      </c>
      <c r="H3045" s="129">
        <f>_xlfn.XLOOKUP(G3045,'[1]T&amp;C emissions for 2050 analysis'!$B$3:$B$23,'[1]T&amp;C emissions for 2050 analysis'!$C$3:$C$23)</f>
        <v>0.10999999999999999</v>
      </c>
      <c r="I3045" s="27">
        <f t="shared" si="141"/>
        <v>8.8608099799999993E-2</v>
      </c>
      <c r="J3045" s="129">
        <f t="shared" si="142"/>
        <v>1.5835599999999999</v>
      </c>
    </row>
    <row r="3046" spans="1:10" hidden="1" x14ac:dyDescent="0.35">
      <c r="A3046" s="126" t="s">
        <v>357</v>
      </c>
      <c r="B3046" t="str">
        <f>_xlfn.XLOOKUP(A3046,'[1]2050Pop'!$A$7:$A$143,'[1]2050Pop'!$D$7:$D$143)</f>
        <v>Euro/AU/NZ</v>
      </c>
      <c r="C3046" s="127">
        <f>1000*_xlfn.XLOOKUP(A3046,'[1]2050Pop'!$A$7:$A$143,'[1]2050Pop'!$C$7:$C$143)</f>
        <v>2710</v>
      </c>
      <c r="D3046" s="126" t="s">
        <v>523</v>
      </c>
      <c r="E3046" s="128">
        <v>78.665000000000006</v>
      </c>
      <c r="F3046" s="129">
        <f t="shared" si="143"/>
        <v>0.21318215000000001</v>
      </c>
      <c r="G3046" t="str">
        <f>_xlfn.XLOOKUP(D3046,'[1]2050 BAU Mapping to T &amp; C'!$A$3:$A$52,'[1]2050 BAU Mapping to T &amp; C'!$B$3:$B$52)</f>
        <v>Starchy roots</v>
      </c>
      <c r="H3046" s="129">
        <f>_xlfn.XLOOKUP(G3046,'[1]T&amp;C emissions for 2050 analysis'!$B$3:$B$23,'[1]T&amp;C emissions for 2050 analysis'!$C$3:$C$23)</f>
        <v>0.10999999999999999</v>
      </c>
      <c r="I3046" s="27">
        <f t="shared" si="141"/>
        <v>2.34500365E-2</v>
      </c>
      <c r="J3046" s="129">
        <f t="shared" si="142"/>
        <v>8.6531500000000001</v>
      </c>
    </row>
    <row r="3047" spans="1:10" hidden="1" x14ac:dyDescent="0.35">
      <c r="A3047" s="126" t="s">
        <v>358</v>
      </c>
      <c r="B3047" t="str">
        <f>_xlfn.XLOOKUP(A3047,'[1]2050Pop'!$A$7:$A$143,'[1]2050Pop'!$D$7:$D$143)</f>
        <v>MENA</v>
      </c>
      <c r="C3047" s="127">
        <f>1000*_xlfn.XLOOKUP(A3047,'[1]2050Pop'!$A$7:$A$143,'[1]2050Pop'!$C$7:$C$143)</f>
        <v>56461</v>
      </c>
      <c r="D3047" s="126" t="s">
        <v>523</v>
      </c>
      <c r="E3047" s="128">
        <v>139.631</v>
      </c>
      <c r="F3047" s="129">
        <f t="shared" si="143"/>
        <v>7.883705891</v>
      </c>
      <c r="G3047" t="str">
        <f>_xlfn.XLOOKUP(D3047,'[1]2050 BAU Mapping to T &amp; C'!$A$3:$A$52,'[1]2050 BAU Mapping to T &amp; C'!$B$3:$B$52)</f>
        <v>Starchy roots</v>
      </c>
      <c r="H3047" s="129">
        <f>_xlfn.XLOOKUP(G3047,'[1]T&amp;C emissions for 2050 analysis'!$B$3:$B$23,'[1]T&amp;C emissions for 2050 analysis'!$C$3:$C$23)</f>
        <v>0.10999999999999999</v>
      </c>
      <c r="I3047" s="27">
        <f t="shared" si="141"/>
        <v>0.86720764800999994</v>
      </c>
      <c r="J3047" s="129">
        <f t="shared" si="142"/>
        <v>15.359409999999999</v>
      </c>
    </row>
    <row r="3048" spans="1:10" hidden="1" x14ac:dyDescent="0.35">
      <c r="A3048" s="126" t="s">
        <v>359</v>
      </c>
      <c r="B3048" t="str">
        <f>_xlfn.XLOOKUP(A3048,'[1]2050Pop'!$A$7:$A$143,'[1]2050Pop'!$D$7:$D$143)</f>
        <v>SSA</v>
      </c>
      <c r="C3048" s="127">
        <f>1000*_xlfn.XLOOKUP(A3048,'[1]2050Pop'!$A$7:$A$143,'[1]2050Pop'!$C$7:$C$143)</f>
        <v>65473</v>
      </c>
      <c r="D3048" s="126" t="s">
        <v>523</v>
      </c>
      <c r="E3048" s="128">
        <v>80.596999999999994</v>
      </c>
      <c r="F3048" s="129">
        <f t="shared" si="143"/>
        <v>5.2769273810000001</v>
      </c>
      <c r="G3048" t="str">
        <f>_xlfn.XLOOKUP(D3048,'[1]2050 BAU Mapping to T &amp; C'!$A$3:$A$52,'[1]2050 BAU Mapping to T &amp; C'!$B$3:$B$52)</f>
        <v>Starchy roots</v>
      </c>
      <c r="H3048" s="129">
        <f>_xlfn.XLOOKUP(G3048,'[1]T&amp;C emissions for 2050 analysis'!$B$3:$B$23,'[1]T&amp;C emissions for 2050 analysis'!$C$3:$C$23)</f>
        <v>0.10999999999999999</v>
      </c>
      <c r="I3048" s="27">
        <f t="shared" si="141"/>
        <v>0.58046201190999991</v>
      </c>
      <c r="J3048" s="129">
        <f t="shared" si="142"/>
        <v>8.8656699999999979</v>
      </c>
    </row>
    <row r="3049" spans="1:10" hidden="1" x14ac:dyDescent="0.35">
      <c r="A3049" s="126" t="s">
        <v>360</v>
      </c>
      <c r="B3049" t="str">
        <f>_xlfn.XLOOKUP(A3049,'[1]2050Pop'!$A$7:$A$143,'[1]2050Pop'!$D$7:$D$143)</f>
        <v>LatAm &amp; RSA</v>
      </c>
      <c r="C3049" s="127">
        <f>1000*_xlfn.XLOOKUP(A3049,'[1]2050Pop'!$A$7:$A$143,'[1]2050Pop'!$C$7:$C$143)</f>
        <v>55445</v>
      </c>
      <c r="D3049" s="126" t="s">
        <v>523</v>
      </c>
      <c r="E3049" s="128">
        <v>81.622</v>
      </c>
      <c r="F3049" s="129">
        <f t="shared" si="143"/>
        <v>4.5255317899999996</v>
      </c>
      <c r="G3049" t="str">
        <f>_xlfn.XLOOKUP(D3049,'[1]2050 BAU Mapping to T &amp; C'!$A$3:$A$52,'[1]2050 BAU Mapping to T &amp; C'!$B$3:$B$52)</f>
        <v>Starchy roots</v>
      </c>
      <c r="H3049" s="129">
        <f>_xlfn.XLOOKUP(G3049,'[1]T&amp;C emissions for 2050 analysis'!$B$3:$B$23,'[1]T&amp;C emissions for 2050 analysis'!$C$3:$C$23)</f>
        <v>0.10999999999999999</v>
      </c>
      <c r="I3049" s="27">
        <f t="shared" si="141"/>
        <v>0.4978084968999999</v>
      </c>
      <c r="J3049" s="129">
        <f t="shared" si="142"/>
        <v>8.9784199999999981</v>
      </c>
    </row>
    <row r="3050" spans="1:10" hidden="1" x14ac:dyDescent="0.35">
      <c r="A3050" s="126" t="s">
        <v>361</v>
      </c>
      <c r="B3050" t="str">
        <f>_xlfn.XLOOKUP(A3050,'[1]2050Pop'!$A$7:$A$143,'[1]2050Pop'!$D$7:$D$143)</f>
        <v>MENA</v>
      </c>
      <c r="C3050" s="127">
        <f>1000*_xlfn.XLOOKUP(A3050,'[1]2050Pop'!$A$7:$A$143,'[1]2050Pop'!$C$7:$C$143)</f>
        <v>2729</v>
      </c>
      <c r="D3050" s="126" t="s">
        <v>523</v>
      </c>
      <c r="E3050" s="130">
        <v>87.81</v>
      </c>
      <c r="F3050" s="129">
        <f t="shared" si="143"/>
        <v>0.23963349000000003</v>
      </c>
      <c r="G3050" t="str">
        <f>_xlfn.XLOOKUP(D3050,'[1]2050 BAU Mapping to T &amp; C'!$A$3:$A$52,'[1]2050 BAU Mapping to T &amp; C'!$B$3:$B$52)</f>
        <v>Starchy roots</v>
      </c>
      <c r="H3050" s="129">
        <f>_xlfn.XLOOKUP(G3050,'[1]T&amp;C emissions for 2050 analysis'!$B$3:$B$23,'[1]T&amp;C emissions for 2050 analysis'!$C$3:$C$23)</f>
        <v>0.10999999999999999</v>
      </c>
      <c r="I3050" s="27">
        <f t="shared" si="141"/>
        <v>2.63596839E-2</v>
      </c>
      <c r="J3050" s="129">
        <f t="shared" si="142"/>
        <v>9.6590999999999987</v>
      </c>
    </row>
    <row r="3051" spans="1:10" hidden="1" x14ac:dyDescent="0.35">
      <c r="A3051" s="126" t="s">
        <v>362</v>
      </c>
      <c r="B3051" t="str">
        <f>_xlfn.XLOOKUP(A3051,'[1]2050Pop'!$A$7:$A$143,'[1]2050Pop'!$D$7:$D$143)</f>
        <v>Euro/AU/NZ</v>
      </c>
      <c r="C3051" s="127">
        <f>1000*_xlfn.XLOOKUP(A3051,'[1]2050Pop'!$A$7:$A$143,'[1]2050Pop'!$C$7:$C$143)</f>
        <v>33496</v>
      </c>
      <c r="D3051" s="126" t="s">
        <v>523</v>
      </c>
      <c r="E3051" s="128">
        <v>97.951999999999998</v>
      </c>
      <c r="F3051" s="129">
        <f t="shared" si="143"/>
        <v>3.2810001919999996</v>
      </c>
      <c r="G3051" t="str">
        <f>_xlfn.XLOOKUP(D3051,'[1]2050 BAU Mapping to T &amp; C'!$A$3:$A$52,'[1]2050 BAU Mapping to T &amp; C'!$B$3:$B$52)</f>
        <v>Starchy roots</v>
      </c>
      <c r="H3051" s="129">
        <f>_xlfn.XLOOKUP(G3051,'[1]T&amp;C emissions for 2050 analysis'!$B$3:$B$23,'[1]T&amp;C emissions for 2050 analysis'!$C$3:$C$23)</f>
        <v>0.10999999999999999</v>
      </c>
      <c r="I3051" s="27">
        <f t="shared" si="141"/>
        <v>0.36091002111999992</v>
      </c>
      <c r="J3051" s="129">
        <f t="shared" si="142"/>
        <v>10.774719999999999</v>
      </c>
    </row>
    <row r="3052" spans="1:10" hidden="1" x14ac:dyDescent="0.35">
      <c r="A3052" s="126" t="s">
        <v>363</v>
      </c>
      <c r="B3052" t="str">
        <f>_xlfn.XLOOKUP(A3052,'[1]2050Pop'!$A$7:$A$143,'[1]2050Pop'!$D$7:$D$143)</f>
        <v>Euro/AU/NZ</v>
      </c>
      <c r="C3052" s="127">
        <f>1000*_xlfn.XLOOKUP(A3052,'[1]2050Pop'!$A$7:$A$143,'[1]2050Pop'!$C$7:$C$143)</f>
        <v>8846</v>
      </c>
      <c r="D3052" s="126" t="s">
        <v>523</v>
      </c>
      <c r="E3052" s="128">
        <v>109.629</v>
      </c>
      <c r="F3052" s="129">
        <f t="shared" si="143"/>
        <v>0.96977813400000012</v>
      </c>
      <c r="G3052" t="str">
        <f>_xlfn.XLOOKUP(D3052,'[1]2050 BAU Mapping to T &amp; C'!$A$3:$A$52,'[1]2050 BAU Mapping to T &amp; C'!$B$3:$B$52)</f>
        <v>Starchy roots</v>
      </c>
      <c r="H3052" s="129">
        <f>_xlfn.XLOOKUP(G3052,'[1]T&amp;C emissions for 2050 analysis'!$B$3:$B$23,'[1]T&amp;C emissions for 2050 analysis'!$C$3:$C$23)</f>
        <v>0.10999999999999999</v>
      </c>
      <c r="I3052" s="27">
        <f t="shared" si="141"/>
        <v>0.10667559474</v>
      </c>
      <c r="J3052" s="129">
        <f t="shared" si="142"/>
        <v>12.059189999999999</v>
      </c>
    </row>
    <row r="3053" spans="1:10" hidden="1" x14ac:dyDescent="0.35">
      <c r="A3053" s="126" t="s">
        <v>364</v>
      </c>
      <c r="B3053" t="str">
        <f>_xlfn.XLOOKUP(A3053,'[1]2050Pop'!$A$7:$A$143,'[1]2050Pop'!$D$7:$D$143)</f>
        <v>MENA</v>
      </c>
      <c r="C3053" s="127">
        <f>1000*_xlfn.XLOOKUP(A3053,'[1]2050Pop'!$A$7:$A$143,'[1]2050Pop'!$C$7:$C$143)</f>
        <v>10963</v>
      </c>
      <c r="D3053" s="126" t="s">
        <v>523</v>
      </c>
      <c r="E3053" s="130">
        <v>133.62</v>
      </c>
      <c r="F3053" s="129">
        <f t="shared" si="143"/>
        <v>1.4648760600000001</v>
      </c>
      <c r="G3053" t="str">
        <f>_xlfn.XLOOKUP(D3053,'[1]2050 BAU Mapping to T &amp; C'!$A$3:$A$52,'[1]2050 BAU Mapping to T &amp; C'!$B$3:$B$52)</f>
        <v>Starchy roots</v>
      </c>
      <c r="H3053" s="129">
        <f>_xlfn.XLOOKUP(G3053,'[1]T&amp;C emissions for 2050 analysis'!$B$3:$B$23,'[1]T&amp;C emissions for 2050 analysis'!$C$3:$C$23)</f>
        <v>0.10999999999999999</v>
      </c>
      <c r="I3053" s="27">
        <f t="shared" si="141"/>
        <v>0.1611363666</v>
      </c>
      <c r="J3053" s="129">
        <f t="shared" si="142"/>
        <v>14.698199999999998</v>
      </c>
    </row>
    <row r="3054" spans="1:10" hidden="1" x14ac:dyDescent="0.35">
      <c r="A3054" s="126" t="s">
        <v>365</v>
      </c>
      <c r="B3054" t="str">
        <f>_xlfn.XLOOKUP(A3054,'[1]2050Pop'!$A$7:$A$143,'[1]2050Pop'!$D$7:$D$143)</f>
        <v>India/South Asia</v>
      </c>
      <c r="C3054" s="127">
        <f>1000*_xlfn.XLOOKUP(A3054,'[1]2050Pop'!$A$7:$A$143,'[1]2050Pop'!$C$7:$C$143)</f>
        <v>202209</v>
      </c>
      <c r="D3054" s="126" t="s">
        <v>523</v>
      </c>
      <c r="E3054" s="128">
        <v>108.985</v>
      </c>
      <c r="F3054" s="129">
        <f t="shared" si="143"/>
        <v>22.037747865</v>
      </c>
      <c r="G3054" t="str">
        <f>_xlfn.XLOOKUP(D3054,'[1]2050 BAU Mapping to T &amp; C'!$A$3:$A$52,'[1]2050 BAU Mapping to T &amp; C'!$B$3:$B$52)</f>
        <v>Starchy roots</v>
      </c>
      <c r="H3054" s="129">
        <f>_xlfn.XLOOKUP(G3054,'[1]T&amp;C emissions for 2050 analysis'!$B$3:$B$23,'[1]T&amp;C emissions for 2050 analysis'!$C$3:$C$23)</f>
        <v>0.10999999999999999</v>
      </c>
      <c r="I3054" s="27">
        <f t="shared" si="141"/>
        <v>2.4241522651499996</v>
      </c>
      <c r="J3054" s="129">
        <f t="shared" si="142"/>
        <v>11.988349999999999</v>
      </c>
    </row>
    <row r="3055" spans="1:10" hidden="1" x14ac:dyDescent="0.35">
      <c r="A3055" s="126" t="s">
        <v>366</v>
      </c>
      <c r="B3055" t="str">
        <f>_xlfn.XLOOKUP(A3055,'[1]2050Pop'!$A$7:$A$143,'[1]2050Pop'!$D$7:$D$143)</f>
        <v>Euro/AU/NZ</v>
      </c>
      <c r="C3055" s="127">
        <f>1000*_xlfn.XLOOKUP(A3055,'[1]2050Pop'!$A$7:$A$143,'[1]2050Pop'!$C$7:$C$143)</f>
        <v>8125</v>
      </c>
      <c r="D3055" s="126" t="s">
        <v>523</v>
      </c>
      <c r="E3055" s="128">
        <v>345.54599999999999</v>
      </c>
      <c r="F3055" s="129">
        <f t="shared" si="143"/>
        <v>2.80756125</v>
      </c>
      <c r="G3055" t="str">
        <f>_xlfn.XLOOKUP(D3055,'[1]2050 BAU Mapping to T &amp; C'!$A$3:$A$52,'[1]2050 BAU Mapping to T &amp; C'!$B$3:$B$52)</f>
        <v>Starchy roots</v>
      </c>
      <c r="H3055" s="129">
        <f>_xlfn.XLOOKUP(G3055,'[1]T&amp;C emissions for 2050 analysis'!$B$3:$B$23,'[1]T&amp;C emissions for 2050 analysis'!$C$3:$C$23)</f>
        <v>0.10999999999999999</v>
      </c>
      <c r="I3055" s="27">
        <f t="shared" si="141"/>
        <v>0.30883173749999998</v>
      </c>
      <c r="J3055" s="129">
        <f t="shared" si="142"/>
        <v>38.010059999999996</v>
      </c>
    </row>
    <row r="3056" spans="1:10" hidden="1" x14ac:dyDescent="0.35">
      <c r="A3056" s="126" t="s">
        <v>367</v>
      </c>
      <c r="B3056" t="str">
        <f>_xlfn.XLOOKUP(A3056,'[1]2050Pop'!$A$7:$A$143,'[1]2050Pop'!$D$7:$D$143)</f>
        <v>Euro/AU/NZ</v>
      </c>
      <c r="C3056" s="127">
        <f>1000*_xlfn.XLOOKUP(A3056,'[1]2050Pop'!$A$7:$A$143,'[1]2050Pop'!$C$7:$C$143)</f>
        <v>12527</v>
      </c>
      <c r="D3056" s="126" t="s">
        <v>523</v>
      </c>
      <c r="E3056" s="128">
        <v>168.214</v>
      </c>
      <c r="F3056" s="129">
        <f t="shared" si="143"/>
        <v>2.1072167779999997</v>
      </c>
      <c r="G3056" t="str">
        <f>_xlfn.XLOOKUP(D3056,'[1]2050 BAU Mapping to T &amp; C'!$A$3:$A$52,'[1]2050 BAU Mapping to T &amp; C'!$B$3:$B$52)</f>
        <v>Starchy roots</v>
      </c>
      <c r="H3056" s="129">
        <f>_xlfn.XLOOKUP(G3056,'[1]T&amp;C emissions for 2050 analysis'!$B$3:$B$23,'[1]T&amp;C emissions for 2050 analysis'!$C$3:$C$23)</f>
        <v>0.10999999999999999</v>
      </c>
      <c r="I3056" s="27">
        <f t="shared" si="141"/>
        <v>0.23179384557999994</v>
      </c>
      <c r="J3056" s="129">
        <f t="shared" si="142"/>
        <v>18.503539999999997</v>
      </c>
    </row>
    <row r="3057" spans="1:10" hidden="1" x14ac:dyDescent="0.35">
      <c r="A3057" s="126" t="s">
        <v>369</v>
      </c>
      <c r="B3057" t="str">
        <f>_xlfn.XLOOKUP(A3057,'[1]2050Pop'!$A$7:$A$143,'[1]2050Pop'!$D$7:$D$143)</f>
        <v>LatAm &amp; RSA</v>
      </c>
      <c r="C3057" s="127">
        <f>1000*_xlfn.XLOOKUP(A3057,'[1]2050Pop'!$A$7:$A$143,'[1]2050Pop'!$C$7:$C$143)</f>
        <v>15963</v>
      </c>
      <c r="D3057" s="126" t="s">
        <v>523</v>
      </c>
      <c r="E3057" s="128">
        <v>168.864</v>
      </c>
      <c r="F3057" s="129">
        <f t="shared" si="143"/>
        <v>2.695576032</v>
      </c>
      <c r="G3057" t="str">
        <f>_xlfn.XLOOKUP(D3057,'[1]2050 BAU Mapping to T &amp; C'!$A$3:$A$52,'[1]2050 BAU Mapping to T &amp; C'!$B$3:$B$52)</f>
        <v>Starchy roots</v>
      </c>
      <c r="H3057" s="129">
        <f>_xlfn.XLOOKUP(G3057,'[1]T&amp;C emissions for 2050 analysis'!$B$3:$B$23,'[1]T&amp;C emissions for 2050 analysis'!$C$3:$C$23)</f>
        <v>0.10999999999999999</v>
      </c>
      <c r="I3057" s="27">
        <f t="shared" si="141"/>
        <v>0.29651336351999996</v>
      </c>
      <c r="J3057" s="129">
        <f t="shared" si="142"/>
        <v>18.575039999999998</v>
      </c>
    </row>
    <row r="3058" spans="1:10" hidden="1" x14ac:dyDescent="0.35">
      <c r="A3058" s="126" t="s">
        <v>370</v>
      </c>
      <c r="B3058" t="str">
        <f>_xlfn.XLOOKUP(A3058,'[1]2050Pop'!$A$7:$A$143,'[1]2050Pop'!$D$7:$D$143)</f>
        <v>Euro/AU/NZ</v>
      </c>
      <c r="C3058" s="127">
        <f>1000*_xlfn.XLOOKUP(A3058,'[1]2050Pop'!$A$7:$A$143,'[1]2050Pop'!$C$7:$C$143)</f>
        <v>3069</v>
      </c>
      <c r="D3058" s="126" t="s">
        <v>523</v>
      </c>
      <c r="E3058" s="128">
        <v>142.19200000000001</v>
      </c>
      <c r="F3058" s="129">
        <f t="shared" si="143"/>
        <v>0.43638724800000001</v>
      </c>
      <c r="G3058" t="str">
        <f>_xlfn.XLOOKUP(D3058,'[1]2050 BAU Mapping to T &amp; C'!$A$3:$A$52,'[1]2050 BAU Mapping to T &amp; C'!$B$3:$B$52)</f>
        <v>Starchy roots</v>
      </c>
      <c r="H3058" s="129">
        <f>_xlfn.XLOOKUP(G3058,'[1]T&amp;C emissions for 2050 analysis'!$B$3:$B$23,'[1]T&amp;C emissions for 2050 analysis'!$C$3:$C$23)</f>
        <v>0.10999999999999999</v>
      </c>
      <c r="I3058" s="27">
        <f t="shared" si="141"/>
        <v>4.8002597279999996E-2</v>
      </c>
      <c r="J3058" s="129">
        <f t="shared" si="142"/>
        <v>15.641119999999999</v>
      </c>
    </row>
    <row r="3059" spans="1:10" hidden="1" x14ac:dyDescent="0.35">
      <c r="A3059" s="126" t="s">
        <v>371</v>
      </c>
      <c r="B3059" t="str">
        <f>_xlfn.XLOOKUP(A3059,'[1]2050Pop'!$A$7:$A$143,'[1]2050Pop'!$D$7:$D$143)</f>
        <v>SSA</v>
      </c>
      <c r="C3059" s="127">
        <f>1000*_xlfn.XLOOKUP(A3059,'[1]2050Pop'!$A$7:$A$143,'[1]2050Pop'!$C$7:$C$143)</f>
        <v>3389</v>
      </c>
      <c r="D3059" s="126" t="s">
        <v>523</v>
      </c>
      <c r="E3059" s="128">
        <v>43.284999999999997</v>
      </c>
      <c r="F3059" s="129">
        <f t="shared" si="143"/>
        <v>0.14669286499999998</v>
      </c>
      <c r="G3059" t="str">
        <f>_xlfn.XLOOKUP(D3059,'[1]2050 BAU Mapping to T &amp; C'!$A$3:$A$52,'[1]2050 BAU Mapping to T &amp; C'!$B$3:$B$52)</f>
        <v>Starchy roots</v>
      </c>
      <c r="H3059" s="129">
        <f>_xlfn.XLOOKUP(G3059,'[1]T&amp;C emissions for 2050 analysis'!$B$3:$B$23,'[1]T&amp;C emissions for 2050 analysis'!$C$3:$C$23)</f>
        <v>0.10999999999999999</v>
      </c>
      <c r="I3059" s="27">
        <f t="shared" si="141"/>
        <v>1.6136215149999994E-2</v>
      </c>
      <c r="J3059" s="129">
        <f t="shared" si="142"/>
        <v>4.7613499999999993</v>
      </c>
    </row>
    <row r="3060" spans="1:10" hidden="1" x14ac:dyDescent="0.35">
      <c r="A3060" s="126" t="s">
        <v>372</v>
      </c>
      <c r="B3060" t="str">
        <f>_xlfn.XLOOKUP(A3060,'[1]2050Pop'!$A$7:$A$143,'[1]2050Pop'!$D$7:$D$143)</f>
        <v>LatAm &amp; RSA</v>
      </c>
      <c r="C3060" s="127">
        <f>1000*_xlfn.XLOOKUP(A3060,'[1]2050Pop'!$A$7:$A$143,'[1]2050Pop'!$C$7:$C$143)</f>
        <v>238270</v>
      </c>
      <c r="D3060" s="126" t="s">
        <v>523</v>
      </c>
      <c r="E3060" s="128">
        <v>63.973999999999997</v>
      </c>
      <c r="F3060" s="129">
        <f t="shared" si="143"/>
        <v>15.243084979999999</v>
      </c>
      <c r="G3060" t="str">
        <f>_xlfn.XLOOKUP(D3060,'[1]2050 BAU Mapping to T &amp; C'!$A$3:$A$52,'[1]2050 BAU Mapping to T &amp; C'!$B$3:$B$52)</f>
        <v>Starchy roots</v>
      </c>
      <c r="H3060" s="129">
        <f>_xlfn.XLOOKUP(G3060,'[1]T&amp;C emissions for 2050 analysis'!$B$3:$B$23,'[1]T&amp;C emissions for 2050 analysis'!$C$3:$C$23)</f>
        <v>0.10999999999999999</v>
      </c>
      <c r="I3060" s="27">
        <f t="shared" si="141"/>
        <v>1.6767393477999997</v>
      </c>
      <c r="J3060" s="129">
        <f t="shared" si="142"/>
        <v>7.0371399999999991</v>
      </c>
    </row>
    <row r="3061" spans="1:10" hidden="1" x14ac:dyDescent="0.35">
      <c r="A3061" s="126" t="s">
        <v>373</v>
      </c>
      <c r="B3061" t="str">
        <f>_xlfn.XLOOKUP(A3061,'[1]2050Pop'!$A$7:$A$143,'[1]2050Pop'!$D$7:$D$143)</f>
        <v>Euro/AU/NZ</v>
      </c>
      <c r="C3061" s="127">
        <f>1000*_xlfn.XLOOKUP(A3061,'[1]2050Pop'!$A$7:$A$143,'[1]2050Pop'!$C$7:$C$143)</f>
        <v>5154</v>
      </c>
      <c r="D3061" s="126" t="s">
        <v>523</v>
      </c>
      <c r="E3061" s="128">
        <v>51.058999999999997</v>
      </c>
      <c r="F3061" s="129">
        <f t="shared" si="143"/>
        <v>0.26315808600000001</v>
      </c>
      <c r="G3061" t="str">
        <f>_xlfn.XLOOKUP(D3061,'[1]2050 BAU Mapping to T &amp; C'!$A$3:$A$52,'[1]2050 BAU Mapping to T &amp; C'!$B$3:$B$52)</f>
        <v>Starchy roots</v>
      </c>
      <c r="H3061" s="129">
        <f>_xlfn.XLOOKUP(G3061,'[1]T&amp;C emissions for 2050 analysis'!$B$3:$B$23,'[1]T&amp;C emissions for 2050 analysis'!$C$3:$C$23)</f>
        <v>0.10999999999999999</v>
      </c>
      <c r="I3061" s="27">
        <f t="shared" si="141"/>
        <v>2.8947389459999997E-2</v>
      </c>
      <c r="J3061" s="129">
        <f t="shared" si="142"/>
        <v>5.6164899999999989</v>
      </c>
    </row>
    <row r="3062" spans="1:10" hidden="1" x14ac:dyDescent="0.35">
      <c r="A3062" s="126" t="s">
        <v>487</v>
      </c>
      <c r="B3062" t="str">
        <f>_xlfn.XLOOKUP(A3062,'[1]2050Pop'!$A$7:$A$143,'[1]2050Pop'!$D$7:$D$143)</f>
        <v>SSA</v>
      </c>
      <c r="C3062" s="127">
        <f>1000*_xlfn.XLOOKUP(A3062,'[1]2050Pop'!$A$7:$A$143,'[1]2050Pop'!$C$7:$C$143)</f>
        <v>42789</v>
      </c>
      <c r="D3062" s="126" t="s">
        <v>523</v>
      </c>
      <c r="E3062" s="128">
        <v>2.2210000000000001</v>
      </c>
      <c r="F3062" s="129">
        <f t="shared" si="143"/>
        <v>9.5034369000000007E-2</v>
      </c>
      <c r="G3062" t="str">
        <f>_xlfn.XLOOKUP(D3062,'[1]2050 BAU Mapping to T &amp; C'!$A$3:$A$52,'[1]2050 BAU Mapping to T &amp; C'!$B$3:$B$52)</f>
        <v>Starchy roots</v>
      </c>
      <c r="H3062" s="129">
        <f>_xlfn.XLOOKUP(G3062,'[1]T&amp;C emissions for 2050 analysis'!$B$3:$B$23,'[1]T&amp;C emissions for 2050 analysis'!$C$3:$C$23)</f>
        <v>0.10999999999999999</v>
      </c>
      <c r="I3062" s="27">
        <f t="shared" si="141"/>
        <v>1.045378059E-2</v>
      </c>
      <c r="J3062" s="129">
        <f t="shared" si="142"/>
        <v>0.24430999999999997</v>
      </c>
    </row>
    <row r="3063" spans="1:10" hidden="1" x14ac:dyDescent="0.35">
      <c r="A3063" s="126" t="s">
        <v>375</v>
      </c>
      <c r="B3063" t="str">
        <f>_xlfn.XLOOKUP(A3063,'[1]2050Pop'!$A$7:$A$143,'[1]2050Pop'!$D$7:$D$143)</f>
        <v>SSA</v>
      </c>
      <c r="C3063" s="127">
        <f>1000*_xlfn.XLOOKUP(A3063,'[1]2050Pop'!$A$7:$A$143,'[1]2050Pop'!$C$7:$C$143)</f>
        <v>48362</v>
      </c>
      <c r="D3063" s="126" t="s">
        <v>523</v>
      </c>
      <c r="E3063" s="128">
        <v>27.878</v>
      </c>
      <c r="F3063" s="129">
        <f t="shared" si="143"/>
        <v>1.348235836</v>
      </c>
      <c r="G3063" t="str">
        <f>_xlfn.XLOOKUP(D3063,'[1]2050 BAU Mapping to T &amp; C'!$A$3:$A$52,'[1]2050 BAU Mapping to T &amp; C'!$B$3:$B$52)</f>
        <v>Starchy roots</v>
      </c>
      <c r="H3063" s="129">
        <f>_xlfn.XLOOKUP(G3063,'[1]T&amp;C emissions for 2050 analysis'!$B$3:$B$23,'[1]T&amp;C emissions for 2050 analysis'!$C$3:$C$23)</f>
        <v>0.10999999999999999</v>
      </c>
      <c r="I3063" s="27">
        <f t="shared" si="141"/>
        <v>0.14830594195999997</v>
      </c>
      <c r="J3063" s="129">
        <f t="shared" si="142"/>
        <v>3.0665799999999996</v>
      </c>
    </row>
    <row r="3064" spans="1:10" hidden="1" x14ac:dyDescent="0.35">
      <c r="A3064" s="126" t="s">
        <v>376</v>
      </c>
      <c r="B3064" t="str">
        <f>_xlfn.XLOOKUP(A3064,'[1]2050Pop'!$A$7:$A$143,'[1]2050Pop'!$D$7:$D$143)</f>
        <v>NAm</v>
      </c>
      <c r="C3064" s="127">
        <f>1000*_xlfn.XLOOKUP(A3064,'[1]2050Pop'!$A$7:$A$143,'[1]2050Pop'!$C$7:$C$143)</f>
        <v>44136</v>
      </c>
      <c r="D3064" s="126" t="s">
        <v>523</v>
      </c>
      <c r="E3064" s="128">
        <v>124.405</v>
      </c>
      <c r="F3064" s="129">
        <f t="shared" si="143"/>
        <v>5.49073908</v>
      </c>
      <c r="G3064" t="str">
        <f>_xlfn.XLOOKUP(D3064,'[1]2050 BAU Mapping to T &amp; C'!$A$3:$A$52,'[1]2050 BAU Mapping to T &amp; C'!$B$3:$B$52)</f>
        <v>Starchy roots</v>
      </c>
      <c r="H3064" s="129">
        <f>_xlfn.XLOOKUP(G3064,'[1]T&amp;C emissions for 2050 analysis'!$B$3:$B$23,'[1]T&amp;C emissions for 2050 analysis'!$C$3:$C$23)</f>
        <v>0.10999999999999999</v>
      </c>
      <c r="I3064" s="27">
        <f t="shared" si="141"/>
        <v>0.60398129879999995</v>
      </c>
      <c r="J3064" s="129">
        <f t="shared" si="142"/>
        <v>13.684549999999998</v>
      </c>
    </row>
    <row r="3065" spans="1:10" hidden="1" x14ac:dyDescent="0.35">
      <c r="A3065" s="126" t="s">
        <v>488</v>
      </c>
      <c r="B3065" t="str">
        <f>_xlfn.XLOOKUP(A3065,'[1]2050Pop'!$A$7:$A$143,'[1]2050Pop'!$D$7:$D$143)</f>
        <v>SSA</v>
      </c>
      <c r="C3065" s="127">
        <f>1000*_xlfn.XLOOKUP(A3065,'[1]2050Pop'!$A$7:$A$143,'[1]2050Pop'!$C$7:$C$143)</f>
        <v>35131</v>
      </c>
      <c r="D3065" s="126" t="s">
        <v>523</v>
      </c>
      <c r="E3065" s="128">
        <v>14.242000000000001</v>
      </c>
      <c r="F3065" s="129">
        <f t="shared" si="143"/>
        <v>0.50033570199999999</v>
      </c>
      <c r="G3065" t="str">
        <f>_xlfn.XLOOKUP(D3065,'[1]2050 BAU Mapping to T &amp; C'!$A$3:$A$52,'[1]2050 BAU Mapping to T &amp; C'!$B$3:$B$52)</f>
        <v>Starchy roots</v>
      </c>
      <c r="H3065" s="129">
        <f>_xlfn.XLOOKUP(G3065,'[1]T&amp;C emissions for 2050 analysis'!$B$3:$B$23,'[1]T&amp;C emissions for 2050 analysis'!$C$3:$C$23)</f>
        <v>0.10999999999999999</v>
      </c>
      <c r="I3065" s="27">
        <f t="shared" si="141"/>
        <v>5.503692721999999E-2</v>
      </c>
      <c r="J3065" s="129">
        <f t="shared" si="142"/>
        <v>1.5666199999999999</v>
      </c>
    </row>
    <row r="3066" spans="1:10" hidden="1" x14ac:dyDescent="0.35">
      <c r="A3066" s="126" t="s">
        <v>378</v>
      </c>
      <c r="B3066" t="str">
        <f>_xlfn.XLOOKUP(A3066,'[1]2050Pop'!$A$7:$A$143,'[1]2050Pop'!$D$7:$D$143)</f>
        <v>LatAm &amp; RSA</v>
      </c>
      <c r="C3066" s="127">
        <f>1000*_xlfn.XLOOKUP(A3066,'[1]2050Pop'!$A$7:$A$143,'[1]2050Pop'!$C$7:$C$143)</f>
        <v>21601</v>
      </c>
      <c r="D3066" s="126" t="s">
        <v>523</v>
      </c>
      <c r="E3066" s="128">
        <v>133.49700000000001</v>
      </c>
      <c r="F3066" s="129">
        <f t="shared" si="143"/>
        <v>2.8836686970000001</v>
      </c>
      <c r="G3066" t="str">
        <f>_xlfn.XLOOKUP(D3066,'[1]2050 BAU Mapping to T &amp; C'!$A$3:$A$52,'[1]2050 BAU Mapping to T &amp; C'!$B$3:$B$52)</f>
        <v>Starchy roots</v>
      </c>
      <c r="H3066" s="129">
        <f>_xlfn.XLOOKUP(G3066,'[1]T&amp;C emissions for 2050 analysis'!$B$3:$B$23,'[1]T&amp;C emissions for 2050 analysis'!$C$3:$C$23)</f>
        <v>0.10999999999999999</v>
      </c>
      <c r="I3066" s="27">
        <f t="shared" si="141"/>
        <v>0.31720355666999994</v>
      </c>
      <c r="J3066" s="129">
        <f t="shared" si="142"/>
        <v>14.684670000000001</v>
      </c>
    </row>
    <row r="3067" spans="1:10" hidden="1" x14ac:dyDescent="0.35">
      <c r="A3067" s="126" t="s">
        <v>379</v>
      </c>
      <c r="B3067" t="str">
        <f>_xlfn.XLOOKUP(A3067,'[1]2050Pop'!$A$7:$A$143,'[1]2050Pop'!$D$7:$D$143)</f>
        <v>Greater China</v>
      </c>
      <c r="C3067" s="127">
        <f>1000*_xlfn.XLOOKUP(A3067,'[1]2050Pop'!$A$7:$A$143,'[1]2050Pop'!$C$7:$C$143)</f>
        <v>8148</v>
      </c>
      <c r="D3067" s="126" t="s">
        <v>523</v>
      </c>
      <c r="E3067" s="128">
        <v>38.033999999999999</v>
      </c>
      <c r="F3067" s="129">
        <f t="shared" si="143"/>
        <v>0.30990103200000002</v>
      </c>
      <c r="G3067" t="str">
        <f>_xlfn.XLOOKUP(D3067,'[1]2050 BAU Mapping to T &amp; C'!$A$3:$A$52,'[1]2050 BAU Mapping to T &amp; C'!$B$3:$B$52)</f>
        <v>Starchy roots</v>
      </c>
      <c r="H3067" s="129">
        <f>_xlfn.XLOOKUP(G3067,'[1]T&amp;C emissions for 2050 analysis'!$B$3:$B$23,'[1]T&amp;C emissions for 2050 analysis'!$C$3:$C$23)</f>
        <v>0.10999999999999999</v>
      </c>
      <c r="I3067" s="27">
        <f t="shared" si="141"/>
        <v>3.4089113519999999E-2</v>
      </c>
      <c r="J3067" s="129">
        <f t="shared" si="142"/>
        <v>4.1837399999999993</v>
      </c>
    </row>
    <row r="3068" spans="1:10" hidden="1" x14ac:dyDescent="0.35">
      <c r="A3068" s="126" t="s">
        <v>380</v>
      </c>
      <c r="B3068" t="str">
        <f>_xlfn.XLOOKUP(A3068,'[1]2050Pop'!$A$7:$A$143,'[1]2050Pop'!$D$7:$D$143)</f>
        <v>Greater China</v>
      </c>
      <c r="C3068" s="127">
        <f>1000*_xlfn.XLOOKUP(A3068,'[1]2050Pop'!$A$7:$A$143,'[1]2050Pop'!$C$7:$C$143)</f>
        <v>1348056</v>
      </c>
      <c r="D3068" s="126" t="s">
        <v>523</v>
      </c>
      <c r="E3068" s="128">
        <v>112.276</v>
      </c>
      <c r="F3068" s="129">
        <f t="shared" si="143"/>
        <v>151.354335456</v>
      </c>
      <c r="G3068" t="str">
        <f>_xlfn.XLOOKUP(D3068,'[1]2050 BAU Mapping to T &amp; C'!$A$3:$A$52,'[1]2050 BAU Mapping to T &amp; C'!$B$3:$B$52)</f>
        <v>Starchy roots</v>
      </c>
      <c r="H3068" s="129">
        <f>_xlfn.XLOOKUP(G3068,'[1]T&amp;C emissions for 2050 analysis'!$B$3:$B$23,'[1]T&amp;C emissions for 2050 analysis'!$C$3:$C$23)</f>
        <v>0.10999999999999999</v>
      </c>
      <c r="I3068" s="27">
        <f t="shared" si="141"/>
        <v>16.648976900159997</v>
      </c>
      <c r="J3068" s="129">
        <f t="shared" si="142"/>
        <v>12.350359999999998</v>
      </c>
    </row>
    <row r="3069" spans="1:10" hidden="1" x14ac:dyDescent="0.35">
      <c r="A3069" s="126" t="s">
        <v>381</v>
      </c>
      <c r="B3069" t="str">
        <f>_xlfn.XLOOKUP(A3069,'[1]2050Pop'!$A$7:$A$143,'[1]2050Pop'!$D$7:$D$143)</f>
        <v>Greater China</v>
      </c>
      <c r="C3069" s="127">
        <f>1000*_xlfn.XLOOKUP(A3069,'[1]2050Pop'!$A$7:$A$143,'[1]2050Pop'!$C$7:$C$143)</f>
        <v>20778</v>
      </c>
      <c r="D3069" s="126" t="s">
        <v>523</v>
      </c>
      <c r="E3069" s="128">
        <v>14.430999999999999</v>
      </c>
      <c r="F3069" s="129">
        <f t="shared" si="143"/>
        <v>0.29984731799999997</v>
      </c>
      <c r="G3069" t="str">
        <f>_xlfn.XLOOKUP(D3069,'[1]2050 BAU Mapping to T &amp; C'!$A$3:$A$52,'[1]2050 BAU Mapping to T &amp; C'!$B$3:$B$52)</f>
        <v>Starchy roots</v>
      </c>
      <c r="H3069" s="129">
        <f>_xlfn.XLOOKUP(G3069,'[1]T&amp;C emissions for 2050 analysis'!$B$3:$B$23,'[1]T&amp;C emissions for 2050 analysis'!$C$3:$C$23)</f>
        <v>0.10999999999999999</v>
      </c>
      <c r="I3069" s="27">
        <f t="shared" si="141"/>
        <v>3.2983204979999993E-2</v>
      </c>
      <c r="J3069" s="129">
        <f t="shared" si="142"/>
        <v>1.5874099999999998</v>
      </c>
    </row>
    <row r="3070" spans="1:10" hidden="1" x14ac:dyDescent="0.35">
      <c r="A3070" s="126" t="s">
        <v>382</v>
      </c>
      <c r="B3070" t="str">
        <f>_xlfn.XLOOKUP(A3070,'[1]2050Pop'!$A$7:$A$143,'[1]2050Pop'!$D$7:$D$143)</f>
        <v>LatAm &amp; RSA</v>
      </c>
      <c r="C3070" s="127">
        <f>1000*_xlfn.XLOOKUP(A3070,'[1]2050Pop'!$A$7:$A$143,'[1]2050Pop'!$C$7:$C$143)</f>
        <v>54927</v>
      </c>
      <c r="D3070" s="126" t="s">
        <v>523</v>
      </c>
      <c r="E3070" s="128">
        <v>106.342</v>
      </c>
      <c r="F3070" s="129">
        <f t="shared" si="143"/>
        <v>5.8410470339999998</v>
      </c>
      <c r="G3070" t="str">
        <f>_xlfn.XLOOKUP(D3070,'[1]2050 BAU Mapping to T &amp; C'!$A$3:$A$52,'[1]2050 BAU Mapping to T &amp; C'!$B$3:$B$52)</f>
        <v>Starchy roots</v>
      </c>
      <c r="H3070" s="129">
        <f>_xlfn.XLOOKUP(G3070,'[1]T&amp;C emissions for 2050 analysis'!$B$3:$B$23,'[1]T&amp;C emissions for 2050 analysis'!$C$3:$C$23)</f>
        <v>0.10999999999999999</v>
      </c>
      <c r="I3070" s="27">
        <f t="shared" si="141"/>
        <v>0.64251517373999989</v>
      </c>
      <c r="J3070" s="129">
        <f t="shared" si="142"/>
        <v>11.697619999999999</v>
      </c>
    </row>
    <row r="3071" spans="1:10" hidden="1" x14ac:dyDescent="0.35">
      <c r="A3071" s="126" t="s">
        <v>383</v>
      </c>
      <c r="B3071" t="str">
        <f>_xlfn.XLOOKUP(A3071,'[1]2050Pop'!$A$7:$A$143,'[1]2050Pop'!$D$7:$D$143)</f>
        <v>LatAm &amp; RSA</v>
      </c>
      <c r="C3071" s="127">
        <f>1000*_xlfn.XLOOKUP(A3071,'[1]2050Pop'!$A$7:$A$143,'[1]2050Pop'!$C$7:$C$143)</f>
        <v>5759</v>
      </c>
      <c r="D3071" s="126" t="s">
        <v>523</v>
      </c>
      <c r="E3071" s="130">
        <v>46.61</v>
      </c>
      <c r="F3071" s="129">
        <f t="shared" si="143"/>
        <v>0.26842698999999998</v>
      </c>
      <c r="G3071" t="str">
        <f>_xlfn.XLOOKUP(D3071,'[1]2050 BAU Mapping to T &amp; C'!$A$3:$A$52,'[1]2050 BAU Mapping to T &amp; C'!$B$3:$B$52)</f>
        <v>Starchy roots</v>
      </c>
      <c r="H3071" s="129">
        <f>_xlfn.XLOOKUP(G3071,'[1]T&amp;C emissions for 2050 analysis'!$B$3:$B$23,'[1]T&amp;C emissions for 2050 analysis'!$C$3:$C$23)</f>
        <v>0.10999999999999999</v>
      </c>
      <c r="I3071" s="27">
        <f t="shared" si="141"/>
        <v>2.9526968899999995E-2</v>
      </c>
      <c r="J3071" s="129">
        <f t="shared" si="142"/>
        <v>5.1270999999999995</v>
      </c>
    </row>
    <row r="3072" spans="1:10" hidden="1" x14ac:dyDescent="0.35">
      <c r="A3072" s="126" t="s">
        <v>384</v>
      </c>
      <c r="B3072" t="str">
        <f>_xlfn.XLOOKUP(A3072,'[1]2050Pop'!$A$7:$A$143,'[1]2050Pop'!$D$7:$D$143)</f>
        <v>SSA</v>
      </c>
      <c r="C3072" s="127">
        <f>1000*_xlfn.XLOOKUP(A3072,'[1]2050Pop'!$A$7:$A$143,'[1]2050Pop'!$C$7:$C$143)</f>
        <v>48797</v>
      </c>
      <c r="D3072" s="126" t="s">
        <v>523</v>
      </c>
      <c r="E3072" s="128">
        <v>3.9969999999999999</v>
      </c>
      <c r="F3072" s="129">
        <f t="shared" si="143"/>
        <v>0.195041609</v>
      </c>
      <c r="G3072" t="str">
        <f>_xlfn.XLOOKUP(D3072,'[1]2050 BAU Mapping to T &amp; C'!$A$3:$A$52,'[1]2050 BAU Mapping to T &amp; C'!$B$3:$B$52)</f>
        <v>Starchy roots</v>
      </c>
      <c r="H3072" s="129">
        <f>_xlfn.XLOOKUP(G3072,'[1]T&amp;C emissions for 2050 analysis'!$B$3:$B$23,'[1]T&amp;C emissions for 2050 analysis'!$C$3:$C$23)</f>
        <v>0.10999999999999999</v>
      </c>
      <c r="I3072" s="27">
        <f t="shared" si="141"/>
        <v>2.1454576989999998E-2</v>
      </c>
      <c r="J3072" s="129">
        <f t="shared" si="142"/>
        <v>0.43966999999999995</v>
      </c>
    </row>
    <row r="3073" spans="1:10" hidden="1" x14ac:dyDescent="0.35">
      <c r="A3073" s="126" t="s">
        <v>385</v>
      </c>
      <c r="B3073" t="str">
        <f>_xlfn.XLOOKUP(A3073,'[1]2050Pop'!$A$7:$A$143,'[1]2050Pop'!$D$7:$D$143)</f>
        <v>Euro/AU/NZ</v>
      </c>
      <c r="C3073" s="127">
        <f>1000*_xlfn.XLOOKUP(A3073,'[1]2050Pop'!$A$7:$A$143,'[1]2050Pop'!$C$7:$C$143)</f>
        <v>3554</v>
      </c>
      <c r="D3073" s="126" t="s">
        <v>523</v>
      </c>
      <c r="E3073" s="128">
        <v>74.284000000000006</v>
      </c>
      <c r="F3073" s="129">
        <f t="shared" si="143"/>
        <v>0.26400533600000003</v>
      </c>
      <c r="G3073" t="str">
        <f>_xlfn.XLOOKUP(D3073,'[1]2050 BAU Mapping to T &amp; C'!$A$3:$A$52,'[1]2050 BAU Mapping to T &amp; C'!$B$3:$B$52)</f>
        <v>Starchy roots</v>
      </c>
      <c r="H3073" s="129">
        <f>_xlfn.XLOOKUP(G3073,'[1]T&amp;C emissions for 2050 analysis'!$B$3:$B$23,'[1]T&amp;C emissions for 2050 analysis'!$C$3:$C$23)</f>
        <v>0.10999999999999999</v>
      </c>
      <c r="I3073" s="27">
        <f t="shared" si="141"/>
        <v>2.904058696E-2</v>
      </c>
      <c r="J3073" s="129">
        <f t="shared" si="142"/>
        <v>8.1712399999999992</v>
      </c>
    </row>
    <row r="3074" spans="1:10" hidden="1" x14ac:dyDescent="0.35">
      <c r="A3074" s="126" t="s">
        <v>386</v>
      </c>
      <c r="B3074" t="str">
        <f>_xlfn.XLOOKUP(A3074,'[1]2050Pop'!$A$7:$A$143,'[1]2050Pop'!$D$7:$D$143)</f>
        <v>LatAm &amp; RSA</v>
      </c>
      <c r="C3074" s="127">
        <f>1000*_xlfn.XLOOKUP(A3074,'[1]2050Pop'!$A$7:$A$143,'[1]2050Pop'!$C$7:$C$143)</f>
        <v>10339</v>
      </c>
      <c r="D3074" s="126" t="s">
        <v>523</v>
      </c>
      <c r="E3074" s="128">
        <v>45.127000000000002</v>
      </c>
      <c r="F3074" s="129">
        <f t="shared" si="143"/>
        <v>0.46656805300000004</v>
      </c>
      <c r="G3074" t="str">
        <f>_xlfn.XLOOKUP(D3074,'[1]2050 BAU Mapping to T &amp; C'!$A$3:$A$52,'[1]2050 BAU Mapping to T &amp; C'!$B$3:$B$52)</f>
        <v>Starchy roots</v>
      </c>
      <c r="H3074" s="129">
        <f>_xlfn.XLOOKUP(G3074,'[1]T&amp;C emissions for 2050 analysis'!$B$3:$B$23,'[1]T&amp;C emissions for 2050 analysis'!$C$3:$C$23)</f>
        <v>0.10999999999999999</v>
      </c>
      <c r="I3074" s="27">
        <f t="shared" si="141"/>
        <v>5.132248583E-2</v>
      </c>
      <c r="J3074" s="129">
        <f t="shared" si="142"/>
        <v>4.9639699999999998</v>
      </c>
    </row>
    <row r="3075" spans="1:10" hidden="1" x14ac:dyDescent="0.35">
      <c r="A3075" s="126" t="s">
        <v>387</v>
      </c>
      <c r="B3075" t="str">
        <f>_xlfn.XLOOKUP(A3075,'[1]2050Pop'!$A$7:$A$143,'[1]2050Pop'!$D$7:$D$143)</f>
        <v>Euro/AU/NZ</v>
      </c>
      <c r="C3075" s="127">
        <f>1000*_xlfn.XLOOKUP(A3075,'[1]2050Pop'!$A$7:$A$143,'[1]2050Pop'!$C$7:$C$143)</f>
        <v>9965</v>
      </c>
      <c r="D3075" s="126" t="s">
        <v>523</v>
      </c>
      <c r="E3075" s="128">
        <v>141.916</v>
      </c>
      <c r="F3075" s="129">
        <f t="shared" si="143"/>
        <v>1.41419294</v>
      </c>
      <c r="G3075" t="str">
        <f>_xlfn.XLOOKUP(D3075,'[1]2050 BAU Mapping to T &amp; C'!$A$3:$A$52,'[1]2050 BAU Mapping to T &amp; C'!$B$3:$B$52)</f>
        <v>Starchy roots</v>
      </c>
      <c r="H3075" s="129">
        <f>_xlfn.XLOOKUP(G3075,'[1]T&amp;C emissions for 2050 analysis'!$B$3:$B$23,'[1]T&amp;C emissions for 2050 analysis'!$C$3:$C$23)</f>
        <v>0.10999999999999999</v>
      </c>
      <c r="I3075" s="27">
        <f t="shared" si="141"/>
        <v>0.15556122339999998</v>
      </c>
      <c r="J3075" s="129">
        <f t="shared" si="142"/>
        <v>15.610759999999997</v>
      </c>
    </row>
    <row r="3076" spans="1:10" hidden="1" x14ac:dyDescent="0.35">
      <c r="A3076" s="126" t="s">
        <v>481</v>
      </c>
      <c r="B3076" t="str">
        <f>_xlfn.XLOOKUP(A3076,'[1]2050Pop'!$A$7:$A$143,'[1]2050Pop'!$D$7:$D$143)</f>
        <v>APAC</v>
      </c>
      <c r="C3076" s="127">
        <f>1000*_xlfn.XLOOKUP(A3076,'[1]2050Pop'!$A$7:$A$143,'[1]2050Pop'!$C$7:$C$143)</f>
        <v>26907</v>
      </c>
      <c r="D3076" s="126" t="s">
        <v>523</v>
      </c>
      <c r="E3076" s="128">
        <v>120.092</v>
      </c>
      <c r="F3076" s="129">
        <f t="shared" si="143"/>
        <v>3.2313154440000003</v>
      </c>
      <c r="G3076" t="str">
        <f>_xlfn.XLOOKUP(D3076,'[1]2050 BAU Mapping to T &amp; C'!$A$3:$A$52,'[1]2050 BAU Mapping to T &amp; C'!$B$3:$B$52)</f>
        <v>Starchy roots</v>
      </c>
      <c r="H3076" s="129">
        <f>_xlfn.XLOOKUP(G3076,'[1]T&amp;C emissions for 2050 analysis'!$B$3:$B$23,'[1]T&amp;C emissions for 2050 analysis'!$C$3:$C$23)</f>
        <v>0.10999999999999999</v>
      </c>
      <c r="I3076" s="27">
        <f t="shared" ref="I3076:I3139" si="144">F3076*H3076</f>
        <v>0.35544469883999996</v>
      </c>
      <c r="J3076" s="129">
        <f t="shared" ref="J3076:J3139" si="145">E3076*H3076</f>
        <v>13.210119999999998</v>
      </c>
    </row>
    <row r="3077" spans="1:10" hidden="1" x14ac:dyDescent="0.35">
      <c r="A3077" s="126" t="s">
        <v>388</v>
      </c>
      <c r="B3077" t="str">
        <f>_xlfn.XLOOKUP(A3077,'[1]2050Pop'!$A$7:$A$143,'[1]2050Pop'!$D$7:$D$143)</f>
        <v>Euro/AU/NZ</v>
      </c>
      <c r="C3077" s="127">
        <f>1000*_xlfn.XLOOKUP(A3077,'[1]2050Pop'!$A$7:$A$143,'[1]2050Pop'!$C$7:$C$143)</f>
        <v>6299</v>
      </c>
      <c r="D3077" s="126" t="s">
        <v>523</v>
      </c>
      <c r="E3077" s="128">
        <v>109.134</v>
      </c>
      <c r="F3077" s="129">
        <f t="shared" ref="F3077:F3140" si="146">C3077*E3077/1000000</f>
        <v>0.68743506600000004</v>
      </c>
      <c r="G3077" t="str">
        <f>_xlfn.XLOOKUP(D3077,'[1]2050 BAU Mapping to T &amp; C'!$A$3:$A$52,'[1]2050 BAU Mapping to T &amp; C'!$B$3:$B$52)</f>
        <v>Starchy roots</v>
      </c>
      <c r="H3077" s="129">
        <f>_xlfn.XLOOKUP(G3077,'[1]T&amp;C emissions for 2050 analysis'!$B$3:$B$23,'[1]T&amp;C emissions for 2050 analysis'!$C$3:$C$23)</f>
        <v>0.10999999999999999</v>
      </c>
      <c r="I3077" s="27">
        <f t="shared" si="144"/>
        <v>7.561785725999999E-2</v>
      </c>
      <c r="J3077" s="129">
        <f t="shared" si="145"/>
        <v>12.004739999999998</v>
      </c>
    </row>
    <row r="3078" spans="1:10" hidden="1" x14ac:dyDescent="0.35">
      <c r="A3078" s="126" t="s">
        <v>389</v>
      </c>
      <c r="B3078" t="str">
        <f>_xlfn.XLOOKUP(A3078,'[1]2050Pop'!$A$7:$A$143,'[1]2050Pop'!$D$7:$D$143)</f>
        <v>LatAm &amp; RSA</v>
      </c>
      <c r="C3078" s="127">
        <f>1000*_xlfn.XLOOKUP(A3078,'[1]2050Pop'!$A$7:$A$143,'[1]2050Pop'!$C$7:$C$143)</f>
        <v>13238</v>
      </c>
      <c r="D3078" s="126" t="s">
        <v>523</v>
      </c>
      <c r="E3078" s="128">
        <v>20.972000000000001</v>
      </c>
      <c r="F3078" s="129">
        <f t="shared" si="146"/>
        <v>0.277627336</v>
      </c>
      <c r="G3078" t="str">
        <f>_xlfn.XLOOKUP(D3078,'[1]2050 BAU Mapping to T &amp; C'!$A$3:$A$52,'[1]2050 BAU Mapping to T &amp; C'!$B$3:$B$52)</f>
        <v>Starchy roots</v>
      </c>
      <c r="H3078" s="129">
        <f>_xlfn.XLOOKUP(G3078,'[1]T&amp;C emissions for 2050 analysis'!$B$3:$B$23,'[1]T&amp;C emissions for 2050 analysis'!$C$3:$C$23)</f>
        <v>0.10999999999999999</v>
      </c>
      <c r="I3078" s="27">
        <f t="shared" si="144"/>
        <v>3.0539006959999997E-2</v>
      </c>
      <c r="J3078" s="129">
        <f t="shared" si="145"/>
        <v>2.3069199999999999</v>
      </c>
    </row>
    <row r="3079" spans="1:10" hidden="1" x14ac:dyDescent="0.35">
      <c r="A3079" s="126" t="s">
        <v>390</v>
      </c>
      <c r="B3079" t="str">
        <f>_xlfn.XLOOKUP(A3079,'[1]2050Pop'!$A$7:$A$143,'[1]2050Pop'!$D$7:$D$143)</f>
        <v>LatAm &amp; RSA</v>
      </c>
      <c r="C3079" s="127">
        <f>1000*_xlfn.XLOOKUP(A3079,'[1]2050Pop'!$A$7:$A$143,'[1]2050Pop'!$C$7:$C$143)</f>
        <v>23013</v>
      </c>
      <c r="D3079" s="126" t="s">
        <v>523</v>
      </c>
      <c r="E3079" s="128">
        <v>59.904000000000003</v>
      </c>
      <c r="F3079" s="129">
        <f t="shared" si="146"/>
        <v>1.3785707520000001</v>
      </c>
      <c r="G3079" t="str">
        <f>_xlfn.XLOOKUP(D3079,'[1]2050 BAU Mapping to T &amp; C'!$A$3:$A$52,'[1]2050 BAU Mapping to T &amp; C'!$B$3:$B$52)</f>
        <v>Starchy roots</v>
      </c>
      <c r="H3079" s="129">
        <f>_xlfn.XLOOKUP(G3079,'[1]T&amp;C emissions for 2050 analysis'!$B$3:$B$23,'[1]T&amp;C emissions for 2050 analysis'!$C$3:$C$23)</f>
        <v>0.10999999999999999</v>
      </c>
      <c r="I3079" s="27">
        <f t="shared" si="144"/>
        <v>0.15164278272000001</v>
      </c>
      <c r="J3079" s="129">
        <f t="shared" si="145"/>
        <v>6.5894399999999997</v>
      </c>
    </row>
    <row r="3080" spans="1:10" hidden="1" x14ac:dyDescent="0.35">
      <c r="A3080" s="126" t="s">
        <v>391</v>
      </c>
      <c r="B3080" t="str">
        <f>_xlfn.XLOOKUP(A3080,'[1]2050Pop'!$A$7:$A$143,'[1]2050Pop'!$D$7:$D$143)</f>
        <v>MENA</v>
      </c>
      <c r="C3080" s="127">
        <f>1000*_xlfn.XLOOKUP(A3080,'[1]2050Pop'!$A$7:$A$143,'[1]2050Pop'!$C$7:$C$143)</f>
        <v>151111</v>
      </c>
      <c r="D3080" s="126" t="s">
        <v>523</v>
      </c>
      <c r="E3080" s="128">
        <v>102.10299999999999</v>
      </c>
      <c r="F3080" s="129">
        <f t="shared" si="146"/>
        <v>15.428886432999999</v>
      </c>
      <c r="G3080" t="str">
        <f>_xlfn.XLOOKUP(D3080,'[1]2050 BAU Mapping to T &amp; C'!$A$3:$A$52,'[1]2050 BAU Mapping to T &amp; C'!$B$3:$B$52)</f>
        <v>Starchy roots</v>
      </c>
      <c r="H3080" s="129">
        <f>_xlfn.XLOOKUP(G3080,'[1]T&amp;C emissions for 2050 analysis'!$B$3:$B$23,'[1]T&amp;C emissions for 2050 analysis'!$C$3:$C$23)</f>
        <v>0.10999999999999999</v>
      </c>
      <c r="I3080" s="27">
        <f t="shared" si="144"/>
        <v>1.6971775076299997</v>
      </c>
      <c r="J3080" s="129">
        <f t="shared" si="145"/>
        <v>11.231329999999998</v>
      </c>
    </row>
    <row r="3081" spans="1:10" hidden="1" x14ac:dyDescent="0.35">
      <c r="A3081" s="126" t="s">
        <v>392</v>
      </c>
      <c r="B3081" t="str">
        <f>_xlfn.XLOOKUP(A3081,'[1]2050Pop'!$A$7:$A$143,'[1]2050Pop'!$D$7:$D$143)</f>
        <v>LatAm &amp; RSA</v>
      </c>
      <c r="C3081" s="127">
        <f>1000*_xlfn.XLOOKUP(A3081,'[1]2050Pop'!$A$7:$A$143,'[1]2050Pop'!$C$7:$C$143)</f>
        <v>6390</v>
      </c>
      <c r="D3081" s="126" t="s">
        <v>523</v>
      </c>
      <c r="E3081" s="128">
        <v>42.814</v>
      </c>
      <c r="F3081" s="129">
        <f t="shared" si="146"/>
        <v>0.27358146</v>
      </c>
      <c r="G3081" t="str">
        <f>_xlfn.XLOOKUP(D3081,'[1]2050 BAU Mapping to T &amp; C'!$A$3:$A$52,'[1]2050 BAU Mapping to T &amp; C'!$B$3:$B$52)</f>
        <v>Starchy roots</v>
      </c>
      <c r="H3081" s="129">
        <f>_xlfn.XLOOKUP(G3081,'[1]T&amp;C emissions for 2050 analysis'!$B$3:$B$23,'[1]T&amp;C emissions for 2050 analysis'!$C$3:$C$23)</f>
        <v>0.10999999999999999</v>
      </c>
      <c r="I3081" s="27">
        <f t="shared" si="144"/>
        <v>3.0093960599999997E-2</v>
      </c>
      <c r="J3081" s="129">
        <f t="shared" si="145"/>
        <v>4.7095399999999996</v>
      </c>
    </row>
    <row r="3082" spans="1:10" hidden="1" x14ac:dyDescent="0.35">
      <c r="A3082" s="126" t="s">
        <v>393</v>
      </c>
      <c r="B3082" t="str">
        <f>_xlfn.XLOOKUP(A3082,'[1]2050Pop'!$A$7:$A$143,'[1]2050Pop'!$D$7:$D$143)</f>
        <v>Euro/AU/NZ</v>
      </c>
      <c r="C3082" s="127">
        <f>1000*_xlfn.XLOOKUP(A3082,'[1]2050Pop'!$A$7:$A$143,'[1]2050Pop'!$C$7:$C$143)</f>
        <v>1129</v>
      </c>
      <c r="D3082" s="126" t="s">
        <v>523</v>
      </c>
      <c r="E3082" s="128">
        <v>178.72900000000001</v>
      </c>
      <c r="F3082" s="129">
        <f t="shared" si="146"/>
        <v>0.20178504100000003</v>
      </c>
      <c r="G3082" t="str">
        <f>_xlfn.XLOOKUP(D3082,'[1]2050 BAU Mapping to T &amp; C'!$A$3:$A$52,'[1]2050 BAU Mapping to T &amp; C'!$B$3:$B$52)</f>
        <v>Starchy roots</v>
      </c>
      <c r="H3082" s="129">
        <f>_xlfn.XLOOKUP(G3082,'[1]T&amp;C emissions for 2050 analysis'!$B$3:$B$23,'[1]T&amp;C emissions for 2050 analysis'!$C$3:$C$23)</f>
        <v>0.10999999999999999</v>
      </c>
      <c r="I3082" s="27">
        <f t="shared" si="144"/>
        <v>2.2196354509999999E-2</v>
      </c>
      <c r="J3082" s="129">
        <f t="shared" si="145"/>
        <v>19.66019</v>
      </c>
    </row>
    <row r="3083" spans="1:10" hidden="1" x14ac:dyDescent="0.35">
      <c r="A3083" s="126" t="s">
        <v>394</v>
      </c>
      <c r="B3083" t="str">
        <f>_xlfn.XLOOKUP(A3083,'[1]2050Pop'!$A$7:$A$143,'[1]2050Pop'!$D$7:$D$143)</f>
        <v>SSA</v>
      </c>
      <c r="C3083" s="127">
        <f>1000*_xlfn.XLOOKUP(A3083,'[1]2050Pop'!$A$7:$A$143,'[1]2050Pop'!$C$7:$C$143)</f>
        <v>188455</v>
      </c>
      <c r="D3083" s="126" t="s">
        <v>523</v>
      </c>
      <c r="E3083" s="128">
        <v>24.507999999999999</v>
      </c>
      <c r="F3083" s="129">
        <f t="shared" si="146"/>
        <v>4.6186551399999995</v>
      </c>
      <c r="G3083" t="str">
        <f>_xlfn.XLOOKUP(D3083,'[1]2050 BAU Mapping to T &amp; C'!$A$3:$A$52,'[1]2050 BAU Mapping to T &amp; C'!$B$3:$B$52)</f>
        <v>Starchy roots</v>
      </c>
      <c r="H3083" s="129">
        <f>_xlfn.XLOOKUP(G3083,'[1]T&amp;C emissions for 2050 analysis'!$B$3:$B$23,'[1]T&amp;C emissions for 2050 analysis'!$C$3:$C$23)</f>
        <v>0.10999999999999999</v>
      </c>
      <c r="I3083" s="27">
        <f t="shared" si="144"/>
        <v>0.50805206539999992</v>
      </c>
      <c r="J3083" s="129">
        <f t="shared" si="145"/>
        <v>2.6958799999999994</v>
      </c>
    </row>
    <row r="3084" spans="1:10" hidden="1" x14ac:dyDescent="0.35">
      <c r="A3084" s="126" t="s">
        <v>395</v>
      </c>
      <c r="B3084" t="str">
        <f>_xlfn.XLOOKUP(A3084,'[1]2050Pop'!$A$7:$A$143,'[1]2050Pop'!$D$7:$D$143)</f>
        <v>Euro/AU/NZ</v>
      </c>
      <c r="C3084" s="127">
        <f>1000*_xlfn.XLOOKUP(A3084,'[1]2050Pop'!$A$7:$A$143,'[1]2050Pop'!$C$7:$C$143)</f>
        <v>5752</v>
      </c>
      <c r="D3084" s="126" t="s">
        <v>523</v>
      </c>
      <c r="E3084" s="128">
        <v>119.19799999999999</v>
      </c>
      <c r="F3084" s="129">
        <f t="shared" si="146"/>
        <v>0.68562689599999993</v>
      </c>
      <c r="G3084" t="str">
        <f>_xlfn.XLOOKUP(D3084,'[1]2050 BAU Mapping to T &amp; C'!$A$3:$A$52,'[1]2050 BAU Mapping to T &amp; C'!$B$3:$B$52)</f>
        <v>Starchy roots</v>
      </c>
      <c r="H3084" s="129">
        <f>_xlfn.XLOOKUP(G3084,'[1]T&amp;C emissions for 2050 analysis'!$B$3:$B$23,'[1]T&amp;C emissions for 2050 analysis'!$C$3:$C$23)</f>
        <v>0.10999999999999999</v>
      </c>
      <c r="I3084" s="27">
        <f t="shared" si="144"/>
        <v>7.5418958559999985E-2</v>
      </c>
      <c r="J3084" s="129">
        <f t="shared" si="145"/>
        <v>13.111779999999998</v>
      </c>
    </row>
    <row r="3085" spans="1:10" hidden="1" x14ac:dyDescent="0.35">
      <c r="A3085" s="126" t="s">
        <v>396</v>
      </c>
      <c r="B3085" t="str">
        <f>_xlfn.XLOOKUP(A3085,'[1]2050Pop'!$A$7:$A$143,'[1]2050Pop'!$D$7:$D$143)</f>
        <v>Euro/AU/NZ</v>
      </c>
      <c r="C3085" s="127">
        <f>1000*_xlfn.XLOOKUP(A3085,'[1]2050Pop'!$A$7:$A$143,'[1]2050Pop'!$C$7:$C$143)</f>
        <v>71137</v>
      </c>
      <c r="D3085" s="126" t="s">
        <v>523</v>
      </c>
      <c r="E3085" s="128">
        <v>97.081000000000003</v>
      </c>
      <c r="F3085" s="129">
        <f t="shared" si="146"/>
        <v>6.9060510969999997</v>
      </c>
      <c r="G3085" t="str">
        <f>_xlfn.XLOOKUP(D3085,'[1]2050 BAU Mapping to T &amp; C'!$A$3:$A$52,'[1]2050 BAU Mapping to T &amp; C'!$B$3:$B$52)</f>
        <v>Starchy roots</v>
      </c>
      <c r="H3085" s="129">
        <f>_xlfn.XLOOKUP(G3085,'[1]T&amp;C emissions for 2050 analysis'!$B$3:$B$23,'[1]T&amp;C emissions for 2050 analysis'!$C$3:$C$23)</f>
        <v>0.10999999999999999</v>
      </c>
      <c r="I3085" s="27">
        <f t="shared" si="144"/>
        <v>0.75966562066999987</v>
      </c>
      <c r="J3085" s="129">
        <f t="shared" si="145"/>
        <v>10.678909999999998</v>
      </c>
    </row>
    <row r="3086" spans="1:10" hidden="1" x14ac:dyDescent="0.35">
      <c r="A3086" s="126" t="s">
        <v>397</v>
      </c>
      <c r="B3086" t="str">
        <f>_xlfn.XLOOKUP(A3086,'[1]2050Pop'!$A$7:$A$143,'[1]2050Pop'!$D$7:$D$143)</f>
        <v>SSA</v>
      </c>
      <c r="C3086" s="127">
        <f>1000*_xlfn.XLOOKUP(A3086,'[1]2050Pop'!$A$7:$A$143,'[1]2050Pop'!$C$7:$C$143)</f>
        <v>3164</v>
      </c>
      <c r="D3086" s="126" t="s">
        <v>523</v>
      </c>
      <c r="E3086" s="128">
        <v>10.023999999999999</v>
      </c>
      <c r="F3086" s="129">
        <f t="shared" si="146"/>
        <v>3.1715936E-2</v>
      </c>
      <c r="G3086" t="str">
        <f>_xlfn.XLOOKUP(D3086,'[1]2050 BAU Mapping to T &amp; C'!$A$3:$A$52,'[1]2050 BAU Mapping to T &amp; C'!$B$3:$B$52)</f>
        <v>Starchy roots</v>
      </c>
      <c r="H3086" s="129">
        <f>_xlfn.XLOOKUP(G3086,'[1]T&amp;C emissions for 2050 analysis'!$B$3:$B$23,'[1]T&amp;C emissions for 2050 analysis'!$C$3:$C$23)</f>
        <v>0.10999999999999999</v>
      </c>
      <c r="I3086" s="27">
        <f t="shared" si="144"/>
        <v>3.4887529599999995E-3</v>
      </c>
      <c r="J3086" s="129">
        <f t="shared" si="145"/>
        <v>1.1026399999999998</v>
      </c>
    </row>
    <row r="3087" spans="1:10" hidden="1" x14ac:dyDescent="0.35">
      <c r="A3087" s="126" t="s">
        <v>489</v>
      </c>
      <c r="B3087" t="str">
        <f>_xlfn.XLOOKUP(A3087,'[1]2050Pop'!$A$7:$A$143,'[1]2050Pop'!$D$7:$D$143)</f>
        <v>SSA</v>
      </c>
      <c r="C3087" s="127">
        <f>1000*_xlfn.XLOOKUP(A3087,'[1]2050Pop'!$A$7:$A$143,'[1]2050Pop'!$C$7:$C$143)</f>
        <v>4981</v>
      </c>
      <c r="D3087" s="126" t="s">
        <v>523</v>
      </c>
      <c r="E3087" s="128">
        <v>6.5069999999999997</v>
      </c>
      <c r="F3087" s="129">
        <f t="shared" si="146"/>
        <v>3.2411366999999996E-2</v>
      </c>
      <c r="G3087" t="str">
        <f>_xlfn.XLOOKUP(D3087,'[1]2050 BAU Mapping to T &amp; C'!$A$3:$A$52,'[1]2050 BAU Mapping to T &amp; C'!$B$3:$B$52)</f>
        <v>Starchy roots</v>
      </c>
      <c r="H3087" s="129">
        <f>_xlfn.XLOOKUP(G3087,'[1]T&amp;C emissions for 2050 analysis'!$B$3:$B$23,'[1]T&amp;C emissions for 2050 analysis'!$C$3:$C$23)</f>
        <v>0.10999999999999999</v>
      </c>
      <c r="I3087" s="27">
        <f t="shared" si="144"/>
        <v>3.5652503699999992E-3</v>
      </c>
      <c r="J3087" s="129">
        <f t="shared" si="145"/>
        <v>0.71576999999999991</v>
      </c>
    </row>
    <row r="3088" spans="1:10" hidden="1" x14ac:dyDescent="0.35">
      <c r="A3088" s="126" t="s">
        <v>398</v>
      </c>
      <c r="B3088" t="str">
        <f>_xlfn.XLOOKUP(A3088,'[1]2050Pop'!$A$7:$A$143,'[1]2050Pop'!$D$7:$D$143)</f>
        <v>MENA</v>
      </c>
      <c r="C3088" s="127">
        <f>1000*_xlfn.XLOOKUP(A3088,'[1]2050Pop'!$A$7:$A$143,'[1]2050Pop'!$C$7:$C$143)</f>
        <v>3483</v>
      </c>
      <c r="D3088" s="126" t="s">
        <v>523</v>
      </c>
      <c r="E3088" s="128">
        <v>100.001</v>
      </c>
      <c r="F3088" s="129">
        <f t="shared" si="146"/>
        <v>0.34830348300000002</v>
      </c>
      <c r="G3088" t="str">
        <f>_xlfn.XLOOKUP(D3088,'[1]2050 BAU Mapping to T &amp; C'!$A$3:$A$52,'[1]2050 BAU Mapping to T &amp; C'!$B$3:$B$52)</f>
        <v>Starchy roots</v>
      </c>
      <c r="H3088" s="129">
        <f>_xlfn.XLOOKUP(G3088,'[1]T&amp;C emissions for 2050 analysis'!$B$3:$B$23,'[1]T&amp;C emissions for 2050 analysis'!$C$3:$C$23)</f>
        <v>0.10999999999999999</v>
      </c>
      <c r="I3088" s="27">
        <f t="shared" si="144"/>
        <v>3.8313383129999996E-2</v>
      </c>
      <c r="J3088" s="129">
        <f t="shared" si="145"/>
        <v>11.000109999999999</v>
      </c>
    </row>
    <row r="3089" spans="1:10" hidden="1" x14ac:dyDescent="0.35">
      <c r="A3089" s="126" t="s">
        <v>399</v>
      </c>
      <c r="B3089" t="str">
        <f>_xlfn.XLOOKUP(A3089,'[1]2050Pop'!$A$7:$A$143,'[1]2050Pop'!$D$7:$D$143)</f>
        <v>Euro/AU/NZ</v>
      </c>
      <c r="C3089" s="127">
        <f>1000*_xlfn.XLOOKUP(A3089,'[1]2050Pop'!$A$7:$A$143,'[1]2050Pop'!$C$7:$C$143)</f>
        <v>74513</v>
      </c>
      <c r="D3089" s="126" t="s">
        <v>523</v>
      </c>
      <c r="E3089" s="128">
        <v>124.03100000000001</v>
      </c>
      <c r="F3089" s="129">
        <f t="shared" si="146"/>
        <v>9.2419219030000015</v>
      </c>
      <c r="G3089" t="str">
        <f>_xlfn.XLOOKUP(D3089,'[1]2050 BAU Mapping to T &amp; C'!$A$3:$A$52,'[1]2050 BAU Mapping to T &amp; C'!$B$3:$B$52)</f>
        <v>Starchy roots</v>
      </c>
      <c r="H3089" s="129">
        <f>_xlfn.XLOOKUP(G3089,'[1]T&amp;C emissions for 2050 analysis'!$B$3:$B$23,'[1]T&amp;C emissions for 2050 analysis'!$C$3:$C$23)</f>
        <v>0.10999999999999999</v>
      </c>
      <c r="I3089" s="27">
        <f t="shared" si="144"/>
        <v>1.01661140933</v>
      </c>
      <c r="J3089" s="129">
        <f t="shared" si="145"/>
        <v>13.643409999999999</v>
      </c>
    </row>
    <row r="3090" spans="1:10" hidden="1" x14ac:dyDescent="0.35">
      <c r="A3090" s="126" t="s">
        <v>401</v>
      </c>
      <c r="B3090" t="str">
        <f>_xlfn.XLOOKUP(A3090,'[1]2050Pop'!$A$7:$A$143,'[1]2050Pop'!$D$7:$D$143)</f>
        <v>Euro/AU/NZ</v>
      </c>
      <c r="C3090" s="127">
        <f>1000*_xlfn.XLOOKUP(A3090,'[1]2050Pop'!$A$7:$A$143,'[1]2050Pop'!$C$7:$C$143)</f>
        <v>9705</v>
      </c>
      <c r="D3090" s="126" t="s">
        <v>523</v>
      </c>
      <c r="E3090" s="128">
        <v>130.04400000000001</v>
      </c>
      <c r="F3090" s="129">
        <f t="shared" si="146"/>
        <v>1.26207702</v>
      </c>
      <c r="G3090" t="str">
        <f>_xlfn.XLOOKUP(D3090,'[1]2050 BAU Mapping to T &amp; C'!$A$3:$A$52,'[1]2050 BAU Mapping to T &amp; C'!$B$3:$B$52)</f>
        <v>Starchy roots</v>
      </c>
      <c r="H3090" s="129">
        <f>_xlfn.XLOOKUP(G3090,'[1]T&amp;C emissions for 2050 analysis'!$B$3:$B$23,'[1]T&amp;C emissions for 2050 analysis'!$C$3:$C$23)</f>
        <v>0.10999999999999999</v>
      </c>
      <c r="I3090" s="27">
        <f t="shared" si="144"/>
        <v>0.13882847219999997</v>
      </c>
      <c r="J3090" s="129">
        <f t="shared" si="145"/>
        <v>14.304839999999999</v>
      </c>
    </row>
    <row r="3091" spans="1:10" hidden="1" x14ac:dyDescent="0.35">
      <c r="A3091" s="126" t="s">
        <v>402</v>
      </c>
      <c r="B3091" t="str">
        <f>_xlfn.XLOOKUP(A3091,'[1]2050Pop'!$A$7:$A$143,'[1]2050Pop'!$D$7:$D$143)</f>
        <v>LatAm &amp; RSA</v>
      </c>
      <c r="C3091" s="127">
        <f>1000*_xlfn.XLOOKUP(A3091,'[1]2050Pop'!$A$7:$A$143,'[1]2050Pop'!$C$7:$C$143)</f>
        <v>27754</v>
      </c>
      <c r="D3091" s="126" t="s">
        <v>523</v>
      </c>
      <c r="E3091" s="128">
        <v>20.673999999999999</v>
      </c>
      <c r="F3091" s="129">
        <f t="shared" si="146"/>
        <v>0.57378619600000003</v>
      </c>
      <c r="G3091" t="str">
        <f>_xlfn.XLOOKUP(D3091,'[1]2050 BAU Mapping to T &amp; C'!$A$3:$A$52,'[1]2050 BAU Mapping to T &amp; C'!$B$3:$B$52)</f>
        <v>Starchy roots</v>
      </c>
      <c r="H3091" s="129">
        <f>_xlfn.XLOOKUP(G3091,'[1]T&amp;C emissions for 2050 analysis'!$B$3:$B$23,'[1]T&amp;C emissions for 2050 analysis'!$C$3:$C$23)</f>
        <v>0.10999999999999999</v>
      </c>
      <c r="I3091" s="27">
        <f t="shared" si="144"/>
        <v>6.3116481559999993E-2</v>
      </c>
      <c r="J3091" s="129">
        <f t="shared" si="145"/>
        <v>2.2741399999999996</v>
      </c>
    </row>
    <row r="3092" spans="1:10" hidden="1" x14ac:dyDescent="0.35">
      <c r="A3092" s="126" t="s">
        <v>403</v>
      </c>
      <c r="B3092" t="str">
        <f>_xlfn.XLOOKUP(A3092,'[1]2050Pop'!$A$7:$A$143,'[1]2050Pop'!$D$7:$D$143)</f>
        <v>SSA</v>
      </c>
      <c r="C3092" s="127">
        <f>1000*_xlfn.XLOOKUP(A3092,'[1]2050Pop'!$A$7:$A$143,'[1]2050Pop'!$C$7:$C$143)</f>
        <v>27486</v>
      </c>
      <c r="D3092" s="126" t="s">
        <v>523</v>
      </c>
      <c r="E3092" s="128">
        <v>23.891999999999999</v>
      </c>
      <c r="F3092" s="129">
        <f t="shared" si="146"/>
        <v>0.65669551199999998</v>
      </c>
      <c r="G3092" t="str">
        <f>_xlfn.XLOOKUP(D3092,'[1]2050 BAU Mapping to T &amp; C'!$A$3:$A$52,'[1]2050 BAU Mapping to T &amp; C'!$B$3:$B$52)</f>
        <v>Starchy roots</v>
      </c>
      <c r="H3092" s="129">
        <f>_xlfn.XLOOKUP(G3092,'[1]T&amp;C emissions for 2050 analysis'!$B$3:$B$23,'[1]T&amp;C emissions for 2050 analysis'!$C$3:$C$23)</f>
        <v>0.10999999999999999</v>
      </c>
      <c r="I3092" s="27">
        <f t="shared" si="144"/>
        <v>7.2236506319999991E-2</v>
      </c>
      <c r="J3092" s="129">
        <f t="shared" si="145"/>
        <v>2.6281199999999996</v>
      </c>
    </row>
    <row r="3093" spans="1:10" hidden="1" x14ac:dyDescent="0.35">
      <c r="A3093" s="126" t="s">
        <v>404</v>
      </c>
      <c r="B3093" t="str">
        <f>_xlfn.XLOOKUP(A3093,'[1]2050Pop'!$A$7:$A$143,'[1]2050Pop'!$D$7:$D$143)</f>
        <v>LatAm &amp; RSA</v>
      </c>
      <c r="C3093" s="127">
        <f>1000*_xlfn.XLOOKUP(A3093,'[1]2050Pop'!$A$7:$A$143,'[1]2050Pop'!$C$7:$C$143)</f>
        <v>806</v>
      </c>
      <c r="D3093" s="126" t="s">
        <v>523</v>
      </c>
      <c r="E3093" s="130">
        <v>45.83</v>
      </c>
      <c r="F3093" s="129">
        <f t="shared" si="146"/>
        <v>3.6938979999999996E-2</v>
      </c>
      <c r="G3093" t="str">
        <f>_xlfn.XLOOKUP(D3093,'[1]2050 BAU Mapping to T &amp; C'!$A$3:$A$52,'[1]2050 BAU Mapping to T &amp; C'!$B$3:$B$52)</f>
        <v>Starchy roots</v>
      </c>
      <c r="H3093" s="129">
        <f>_xlfn.XLOOKUP(G3093,'[1]T&amp;C emissions for 2050 analysis'!$B$3:$B$23,'[1]T&amp;C emissions for 2050 analysis'!$C$3:$C$23)</f>
        <v>0.10999999999999999</v>
      </c>
      <c r="I3093" s="27">
        <f t="shared" si="144"/>
        <v>4.063287799999999E-3</v>
      </c>
      <c r="J3093" s="129">
        <f t="shared" si="145"/>
        <v>5.0412999999999988</v>
      </c>
    </row>
    <row r="3094" spans="1:10" hidden="1" x14ac:dyDescent="0.35">
      <c r="A3094" s="126" t="s">
        <v>405</v>
      </c>
      <c r="B3094" t="str">
        <f>_xlfn.XLOOKUP(A3094,'[1]2050Pop'!$A$7:$A$143,'[1]2050Pop'!$D$7:$D$143)</f>
        <v>LatAm &amp; RSA</v>
      </c>
      <c r="C3094" s="127">
        <f>1000*_xlfn.XLOOKUP(A3094,'[1]2050Pop'!$A$7:$A$143,'[1]2050Pop'!$C$7:$C$143)</f>
        <v>14189</v>
      </c>
      <c r="D3094" s="126" t="s">
        <v>523</v>
      </c>
      <c r="E3094" s="130">
        <v>11.42</v>
      </c>
      <c r="F3094" s="129">
        <f t="shared" si="146"/>
        <v>0.16203838000000001</v>
      </c>
      <c r="G3094" t="str">
        <f>_xlfn.XLOOKUP(D3094,'[1]2050 BAU Mapping to T &amp; C'!$A$3:$A$52,'[1]2050 BAU Mapping to T &amp; C'!$B$3:$B$52)</f>
        <v>Starchy roots</v>
      </c>
      <c r="H3094" s="129">
        <f>_xlfn.XLOOKUP(G3094,'[1]T&amp;C emissions for 2050 analysis'!$B$3:$B$23,'[1]T&amp;C emissions for 2050 analysis'!$C$3:$C$23)</f>
        <v>0.10999999999999999</v>
      </c>
      <c r="I3094" s="27">
        <f t="shared" si="144"/>
        <v>1.7824221799999998E-2</v>
      </c>
      <c r="J3094" s="129">
        <f t="shared" si="145"/>
        <v>1.2561999999999998</v>
      </c>
    </row>
    <row r="3095" spans="1:10" hidden="1" x14ac:dyDescent="0.35">
      <c r="A3095" s="126" t="s">
        <v>406</v>
      </c>
      <c r="B3095" t="str">
        <f>_xlfn.XLOOKUP(A3095,'[1]2050Pop'!$A$7:$A$143,'[1]2050Pop'!$D$7:$D$143)</f>
        <v>LatAm &amp; RSA</v>
      </c>
      <c r="C3095" s="127">
        <f>1000*_xlfn.XLOOKUP(A3095,'[1]2050Pop'!$A$7:$A$143,'[1]2050Pop'!$C$7:$C$143)</f>
        <v>11217</v>
      </c>
      <c r="D3095" s="126" t="s">
        <v>523</v>
      </c>
      <c r="E3095" s="128">
        <v>16.216999999999999</v>
      </c>
      <c r="F3095" s="129">
        <f t="shared" si="146"/>
        <v>0.18190608899999997</v>
      </c>
      <c r="G3095" t="str">
        <f>_xlfn.XLOOKUP(D3095,'[1]2050 BAU Mapping to T &amp; C'!$A$3:$A$52,'[1]2050 BAU Mapping to T &amp; C'!$B$3:$B$52)</f>
        <v>Starchy roots</v>
      </c>
      <c r="H3095" s="129">
        <f>_xlfn.XLOOKUP(G3095,'[1]T&amp;C emissions for 2050 analysis'!$B$3:$B$23,'[1]T&amp;C emissions for 2050 analysis'!$C$3:$C$23)</f>
        <v>0.10999999999999999</v>
      </c>
      <c r="I3095" s="27">
        <f t="shared" si="144"/>
        <v>2.0009669789999993E-2</v>
      </c>
      <c r="J3095" s="129">
        <f t="shared" si="145"/>
        <v>1.7838699999999996</v>
      </c>
    </row>
    <row r="3096" spans="1:10" hidden="1" x14ac:dyDescent="0.35">
      <c r="A3096" s="126" t="s">
        <v>407</v>
      </c>
      <c r="B3096" t="str">
        <f>_xlfn.XLOOKUP(A3096,'[1]2050Pop'!$A$7:$A$143,'[1]2050Pop'!$D$7:$D$143)</f>
        <v>Euro/AU/NZ</v>
      </c>
      <c r="C3096" s="127">
        <f>1000*_xlfn.XLOOKUP(A3096,'[1]2050Pop'!$A$7:$A$143,'[1]2050Pop'!$C$7:$C$143)</f>
        <v>8318</v>
      </c>
      <c r="D3096" s="126" t="s">
        <v>523</v>
      </c>
      <c r="E3096" s="128">
        <v>99.587999999999994</v>
      </c>
      <c r="F3096" s="129">
        <f t="shared" si="146"/>
        <v>0.82837298399999992</v>
      </c>
      <c r="G3096" t="str">
        <f>_xlfn.XLOOKUP(D3096,'[1]2050 BAU Mapping to T &amp; C'!$A$3:$A$52,'[1]2050 BAU Mapping to T &amp; C'!$B$3:$B$52)</f>
        <v>Starchy roots</v>
      </c>
      <c r="H3096" s="129">
        <f>_xlfn.XLOOKUP(G3096,'[1]T&amp;C emissions for 2050 analysis'!$B$3:$B$23,'[1]T&amp;C emissions for 2050 analysis'!$C$3:$C$23)</f>
        <v>0.10999999999999999</v>
      </c>
      <c r="I3096" s="27">
        <f t="shared" si="144"/>
        <v>9.1121028239999985E-2</v>
      </c>
      <c r="J3096" s="129">
        <f t="shared" si="145"/>
        <v>10.954679999999998</v>
      </c>
    </row>
    <row r="3097" spans="1:10" hidden="1" x14ac:dyDescent="0.35">
      <c r="A3097" s="126" t="s">
        <v>408</v>
      </c>
      <c r="B3097" t="str">
        <f>_xlfn.XLOOKUP(A3097,'[1]2050Pop'!$A$7:$A$143,'[1]2050Pop'!$D$7:$D$143)</f>
        <v>India/South Asia</v>
      </c>
      <c r="C3097" s="127">
        <f>1000*_xlfn.XLOOKUP(A3097,'[1]2050Pop'!$A$7:$A$143,'[1]2050Pop'!$C$7:$C$143)</f>
        <v>1705333</v>
      </c>
      <c r="D3097" s="126" t="s">
        <v>523</v>
      </c>
      <c r="E3097" s="128">
        <v>57.817999999999998</v>
      </c>
      <c r="F3097" s="129">
        <f t="shared" si="146"/>
        <v>98.598943393999988</v>
      </c>
      <c r="G3097" t="str">
        <f>_xlfn.XLOOKUP(D3097,'[1]2050 BAU Mapping to T &amp; C'!$A$3:$A$52,'[1]2050 BAU Mapping to T &amp; C'!$B$3:$B$52)</f>
        <v>Starchy roots</v>
      </c>
      <c r="H3097" s="129">
        <f>_xlfn.XLOOKUP(G3097,'[1]T&amp;C emissions for 2050 analysis'!$B$3:$B$23,'[1]T&amp;C emissions for 2050 analysis'!$C$3:$C$23)</f>
        <v>0.10999999999999999</v>
      </c>
      <c r="I3097" s="27">
        <f t="shared" si="144"/>
        <v>10.845883773339997</v>
      </c>
      <c r="J3097" s="129">
        <f t="shared" si="145"/>
        <v>6.3599799999999993</v>
      </c>
    </row>
    <row r="3098" spans="1:10" hidden="1" x14ac:dyDescent="0.35">
      <c r="A3098" s="126" t="s">
        <v>409</v>
      </c>
      <c r="B3098" t="str">
        <f>_xlfn.XLOOKUP(A3098,'[1]2050Pop'!$A$7:$A$143,'[1]2050Pop'!$D$7:$D$143)</f>
        <v>APAC</v>
      </c>
      <c r="C3098" s="127">
        <f>1000*_xlfn.XLOOKUP(A3098,'[1]2050Pop'!$A$7:$A$143,'[1]2050Pop'!$C$7:$C$143)</f>
        <v>322237</v>
      </c>
      <c r="D3098" s="126" t="s">
        <v>523</v>
      </c>
      <c r="E3098" s="130">
        <v>20.12</v>
      </c>
      <c r="F3098" s="129">
        <f t="shared" si="146"/>
        <v>6.4834084400000007</v>
      </c>
      <c r="G3098" t="str">
        <f>_xlfn.XLOOKUP(D3098,'[1]2050 BAU Mapping to T &amp; C'!$A$3:$A$52,'[1]2050 BAU Mapping to T &amp; C'!$B$3:$B$52)</f>
        <v>Starchy roots</v>
      </c>
      <c r="H3098" s="129">
        <f>_xlfn.XLOOKUP(G3098,'[1]T&amp;C emissions for 2050 analysis'!$B$3:$B$23,'[1]T&amp;C emissions for 2050 analysis'!$C$3:$C$23)</f>
        <v>0.10999999999999999</v>
      </c>
      <c r="I3098" s="27">
        <f t="shared" si="144"/>
        <v>0.71317492839999996</v>
      </c>
      <c r="J3098" s="129">
        <f t="shared" si="145"/>
        <v>2.2132000000000001</v>
      </c>
    </row>
    <row r="3099" spans="1:10" hidden="1" x14ac:dyDescent="0.35">
      <c r="A3099" s="126" t="s">
        <v>410</v>
      </c>
      <c r="B3099" t="str">
        <f>_xlfn.XLOOKUP(A3099,'[1]2050Pop'!$A$7:$A$143,'[1]2050Pop'!$D$7:$D$143)</f>
        <v>India/South Asia</v>
      </c>
      <c r="C3099" s="127">
        <f>1000*_xlfn.XLOOKUP(A3099,'[1]2050Pop'!$A$7:$A$143,'[1]2050Pop'!$C$7:$C$143)</f>
        <v>92219</v>
      </c>
      <c r="D3099" s="126" t="s">
        <v>523</v>
      </c>
      <c r="E3099" s="128">
        <v>120.592</v>
      </c>
      <c r="F3099" s="129">
        <f t="shared" si="146"/>
        <v>11.120873648</v>
      </c>
      <c r="G3099" t="str">
        <f>_xlfn.XLOOKUP(D3099,'[1]2050 BAU Mapping to T &amp; C'!$A$3:$A$52,'[1]2050 BAU Mapping to T &amp; C'!$B$3:$B$52)</f>
        <v>Starchy roots</v>
      </c>
      <c r="H3099" s="129">
        <f>_xlfn.XLOOKUP(G3099,'[1]T&amp;C emissions for 2050 analysis'!$B$3:$B$23,'[1]T&amp;C emissions for 2050 analysis'!$C$3:$C$23)</f>
        <v>0.10999999999999999</v>
      </c>
      <c r="I3099" s="27">
        <f t="shared" si="144"/>
        <v>1.2232961012799999</v>
      </c>
      <c r="J3099" s="129">
        <f t="shared" si="145"/>
        <v>13.265119999999998</v>
      </c>
    </row>
    <row r="3100" spans="1:10" hidden="1" x14ac:dyDescent="0.35">
      <c r="A3100" s="126" t="s">
        <v>411</v>
      </c>
      <c r="B3100" t="str">
        <f>_xlfn.XLOOKUP(A3100,'[1]2050Pop'!$A$7:$A$143,'[1]2050Pop'!$D$7:$D$143)</f>
        <v>MENA</v>
      </c>
      <c r="C3100" s="127">
        <f>1000*_xlfn.XLOOKUP(A3100,'[1]2050Pop'!$A$7:$A$143,'[1]2050Pop'!$C$7:$C$143)</f>
        <v>83652</v>
      </c>
      <c r="D3100" s="126" t="s">
        <v>523</v>
      </c>
      <c r="E3100" s="128">
        <v>35.670999999999999</v>
      </c>
      <c r="F3100" s="129">
        <f t="shared" si="146"/>
        <v>2.983950492</v>
      </c>
      <c r="G3100" t="str">
        <f>_xlfn.XLOOKUP(D3100,'[1]2050 BAU Mapping to T &amp; C'!$A$3:$A$52,'[1]2050 BAU Mapping to T &amp; C'!$B$3:$B$52)</f>
        <v>Starchy roots</v>
      </c>
      <c r="H3100" s="129">
        <f>_xlfn.XLOOKUP(G3100,'[1]T&amp;C emissions for 2050 analysis'!$B$3:$B$23,'[1]T&amp;C emissions for 2050 analysis'!$C$3:$C$23)</f>
        <v>0.10999999999999999</v>
      </c>
      <c r="I3100" s="27">
        <f t="shared" si="144"/>
        <v>0.32823455411999997</v>
      </c>
      <c r="J3100" s="129">
        <f t="shared" si="145"/>
        <v>3.9238099999999996</v>
      </c>
    </row>
    <row r="3101" spans="1:10" hidden="1" x14ac:dyDescent="0.35">
      <c r="A3101" s="126" t="s">
        <v>412</v>
      </c>
      <c r="B3101" t="str">
        <f>_xlfn.XLOOKUP(A3101,'[1]2050Pop'!$A$7:$A$143,'[1]2050Pop'!$D$7:$D$143)</f>
        <v>Euro/AU/NZ</v>
      </c>
      <c r="C3101" s="127">
        <f>1000*_xlfn.XLOOKUP(A3101,'[1]2050Pop'!$A$7:$A$143,'[1]2050Pop'!$C$7:$C$143)</f>
        <v>5789</v>
      </c>
      <c r="D3101" s="126" t="s">
        <v>523</v>
      </c>
      <c r="E3101" s="128">
        <v>156.63300000000001</v>
      </c>
      <c r="F3101" s="129">
        <f t="shared" si="146"/>
        <v>0.90674843700000007</v>
      </c>
      <c r="G3101" t="str">
        <f>_xlfn.XLOOKUP(D3101,'[1]2050 BAU Mapping to T &amp; C'!$A$3:$A$52,'[1]2050 BAU Mapping to T &amp; C'!$B$3:$B$52)</f>
        <v>Starchy roots</v>
      </c>
      <c r="H3101" s="129">
        <f>_xlfn.XLOOKUP(G3101,'[1]T&amp;C emissions for 2050 analysis'!$B$3:$B$23,'[1]T&amp;C emissions for 2050 analysis'!$C$3:$C$23)</f>
        <v>0.10999999999999999</v>
      </c>
      <c r="I3101" s="27">
        <f t="shared" si="144"/>
        <v>9.9742328069999997E-2</v>
      </c>
      <c r="J3101" s="129">
        <f t="shared" si="145"/>
        <v>17.22963</v>
      </c>
    </row>
    <row r="3102" spans="1:10" hidden="1" x14ac:dyDescent="0.35">
      <c r="A3102" s="126" t="s">
        <v>413</v>
      </c>
      <c r="B3102" t="str">
        <f>_xlfn.XLOOKUP(A3102,'[1]2050Pop'!$A$7:$A$143,'[1]2050Pop'!$D$7:$D$143)</f>
        <v>MENA</v>
      </c>
      <c r="C3102" s="127">
        <f>1000*_xlfn.XLOOKUP(A3102,'[1]2050Pop'!$A$7:$A$143,'[1]2050Pop'!$C$7:$C$143)</f>
        <v>12610</v>
      </c>
      <c r="D3102" s="126" t="s">
        <v>523</v>
      </c>
      <c r="E3102" s="128">
        <v>75.408000000000001</v>
      </c>
      <c r="F3102" s="129">
        <f t="shared" si="146"/>
        <v>0.95089488</v>
      </c>
      <c r="G3102" t="str">
        <f>_xlfn.XLOOKUP(D3102,'[1]2050 BAU Mapping to T &amp; C'!$A$3:$A$52,'[1]2050 BAU Mapping to T &amp; C'!$B$3:$B$52)</f>
        <v>Starchy roots</v>
      </c>
      <c r="H3102" s="129">
        <f>_xlfn.XLOOKUP(G3102,'[1]T&amp;C emissions for 2050 analysis'!$B$3:$B$23,'[1]T&amp;C emissions for 2050 analysis'!$C$3:$C$23)</f>
        <v>0.10999999999999999</v>
      </c>
      <c r="I3102" s="27">
        <f t="shared" si="144"/>
        <v>0.10459843679999999</v>
      </c>
      <c r="J3102" s="129">
        <f t="shared" si="145"/>
        <v>8.2948799999999991</v>
      </c>
    </row>
    <row r="3103" spans="1:10" hidden="1" x14ac:dyDescent="0.35">
      <c r="A3103" s="126" t="s">
        <v>414</v>
      </c>
      <c r="B3103" t="str">
        <f>_xlfn.XLOOKUP(A3103,'[1]2050Pop'!$A$7:$A$143,'[1]2050Pop'!$D$7:$D$143)</f>
        <v>Euro/AU/NZ</v>
      </c>
      <c r="C3103" s="127">
        <f>1000*_xlfn.XLOOKUP(A3103,'[1]2050Pop'!$A$7:$A$143,'[1]2050Pop'!$C$7:$C$143)</f>
        <v>56513</v>
      </c>
      <c r="D3103" s="126" t="s">
        <v>523</v>
      </c>
      <c r="E3103" s="128">
        <v>67.209000000000003</v>
      </c>
      <c r="F3103" s="129">
        <f t="shared" si="146"/>
        <v>3.7981822170000004</v>
      </c>
      <c r="G3103" t="str">
        <f>_xlfn.XLOOKUP(D3103,'[1]2050 BAU Mapping to T &amp; C'!$A$3:$A$52,'[1]2050 BAU Mapping to T &amp; C'!$B$3:$B$52)</f>
        <v>Starchy roots</v>
      </c>
      <c r="H3103" s="129">
        <f>_xlfn.XLOOKUP(G3103,'[1]T&amp;C emissions for 2050 analysis'!$B$3:$B$23,'[1]T&amp;C emissions for 2050 analysis'!$C$3:$C$23)</f>
        <v>0.10999999999999999</v>
      </c>
      <c r="I3103" s="27">
        <f t="shared" si="144"/>
        <v>0.41780004386999997</v>
      </c>
      <c r="J3103" s="129">
        <f t="shared" si="145"/>
        <v>7.3929899999999993</v>
      </c>
    </row>
    <row r="3104" spans="1:10" hidden="1" x14ac:dyDescent="0.35">
      <c r="A3104" s="126" t="s">
        <v>415</v>
      </c>
      <c r="B3104" t="str">
        <f>_xlfn.XLOOKUP(A3104,'[1]2050Pop'!$A$7:$A$143,'[1]2050Pop'!$D$7:$D$143)</f>
        <v>LatAm &amp; RSA</v>
      </c>
      <c r="C3104" s="127">
        <f>1000*_xlfn.XLOOKUP(A3104,'[1]2050Pop'!$A$7:$A$143,'[1]2050Pop'!$C$7:$C$143)</f>
        <v>2710</v>
      </c>
      <c r="D3104" s="126" t="s">
        <v>523</v>
      </c>
      <c r="E3104" s="128">
        <v>32.454000000000001</v>
      </c>
      <c r="F3104" s="129">
        <f t="shared" si="146"/>
        <v>8.7950340000000002E-2</v>
      </c>
      <c r="G3104" t="str">
        <f>_xlfn.XLOOKUP(D3104,'[1]2050 BAU Mapping to T &amp; C'!$A$3:$A$52,'[1]2050 BAU Mapping to T &amp; C'!$B$3:$B$52)</f>
        <v>Starchy roots</v>
      </c>
      <c r="H3104" s="129">
        <f>_xlfn.XLOOKUP(G3104,'[1]T&amp;C emissions for 2050 analysis'!$B$3:$B$23,'[1]T&amp;C emissions for 2050 analysis'!$C$3:$C$23)</f>
        <v>0.10999999999999999</v>
      </c>
      <c r="I3104" s="27">
        <f t="shared" si="144"/>
        <v>9.6745373999999988E-3</v>
      </c>
      <c r="J3104" s="129">
        <f t="shared" si="145"/>
        <v>3.5699399999999994</v>
      </c>
    </row>
    <row r="3105" spans="1:10" hidden="1" x14ac:dyDescent="0.35">
      <c r="A3105" s="126" t="s">
        <v>416</v>
      </c>
      <c r="B3105" t="str">
        <f>_xlfn.XLOOKUP(A3105,'[1]2050Pop'!$A$7:$A$143,'[1]2050Pop'!$D$7:$D$143)</f>
        <v>APAC</v>
      </c>
      <c r="C3105" s="127">
        <f>1000*_xlfn.XLOOKUP(A3105,'[1]2050Pop'!$A$7:$A$143,'[1]2050Pop'!$C$7:$C$143)</f>
        <v>107411</v>
      </c>
      <c r="D3105" s="126" t="s">
        <v>523</v>
      </c>
      <c r="E3105" s="128">
        <v>47.848999999999997</v>
      </c>
      <c r="F3105" s="129">
        <f t="shared" si="146"/>
        <v>5.1395089389999997</v>
      </c>
      <c r="G3105" t="str">
        <f>_xlfn.XLOOKUP(D3105,'[1]2050 BAU Mapping to T &amp; C'!$A$3:$A$52,'[1]2050 BAU Mapping to T &amp; C'!$B$3:$B$52)</f>
        <v>Starchy roots</v>
      </c>
      <c r="H3105" s="129">
        <f>_xlfn.XLOOKUP(G3105,'[1]T&amp;C emissions for 2050 analysis'!$B$3:$B$23,'[1]T&amp;C emissions for 2050 analysis'!$C$3:$C$23)</f>
        <v>0.10999999999999999</v>
      </c>
      <c r="I3105" s="27">
        <f t="shared" si="144"/>
        <v>0.56534598328999985</v>
      </c>
      <c r="J3105" s="129">
        <f t="shared" si="145"/>
        <v>5.2633899999999993</v>
      </c>
    </row>
    <row r="3106" spans="1:10" hidden="1" x14ac:dyDescent="0.35">
      <c r="A3106" s="126" t="s">
        <v>417</v>
      </c>
      <c r="B3106" t="str">
        <f>_xlfn.XLOOKUP(A3106,'[1]2050Pop'!$A$7:$A$143,'[1]2050Pop'!$D$7:$D$143)</f>
        <v>MENA</v>
      </c>
      <c r="C3106" s="127">
        <f>1000*_xlfn.XLOOKUP(A3106,'[1]2050Pop'!$A$7:$A$143,'[1]2050Pop'!$C$7:$C$143)</f>
        <v>11717</v>
      </c>
      <c r="D3106" s="126" t="s">
        <v>523</v>
      </c>
      <c r="E3106" s="128">
        <v>75.028000000000006</v>
      </c>
      <c r="F3106" s="129">
        <f t="shared" si="146"/>
        <v>0.87910307600000015</v>
      </c>
      <c r="G3106" t="str">
        <f>_xlfn.XLOOKUP(D3106,'[1]2050 BAU Mapping to T &amp; C'!$A$3:$A$52,'[1]2050 BAU Mapping to T &amp; C'!$B$3:$B$52)</f>
        <v>Starchy roots</v>
      </c>
      <c r="H3106" s="129">
        <f>_xlfn.XLOOKUP(G3106,'[1]T&amp;C emissions for 2050 analysis'!$B$3:$B$23,'[1]T&amp;C emissions for 2050 analysis'!$C$3:$C$23)</f>
        <v>0.10999999999999999</v>
      </c>
      <c r="I3106" s="27">
        <f t="shared" si="144"/>
        <v>9.670133836E-2</v>
      </c>
      <c r="J3106" s="129">
        <f t="shared" si="145"/>
        <v>8.2530799999999989</v>
      </c>
    </row>
    <row r="3107" spans="1:10" hidden="1" x14ac:dyDescent="0.35">
      <c r="A3107" s="126" t="s">
        <v>418</v>
      </c>
      <c r="B3107" t="str">
        <f>_xlfn.XLOOKUP(A3107,'[1]2050Pop'!$A$7:$A$143,'[1]2050Pop'!$D$7:$D$143)</f>
        <v>APAC</v>
      </c>
      <c r="C3107" s="127">
        <f>1000*_xlfn.XLOOKUP(A3107,'[1]2050Pop'!$A$7:$A$143,'[1]2050Pop'!$C$7:$C$143)</f>
        <v>22447</v>
      </c>
      <c r="D3107" s="126" t="s">
        <v>523</v>
      </c>
      <c r="E3107" s="128">
        <v>217.648</v>
      </c>
      <c r="F3107" s="129">
        <f t="shared" si="146"/>
        <v>4.8855446559999995</v>
      </c>
      <c r="G3107" t="str">
        <f>_xlfn.XLOOKUP(D3107,'[1]2050 BAU Mapping to T &amp; C'!$A$3:$A$52,'[1]2050 BAU Mapping to T &amp; C'!$B$3:$B$52)</f>
        <v>Starchy roots</v>
      </c>
      <c r="H3107" s="129">
        <f>_xlfn.XLOOKUP(G3107,'[1]T&amp;C emissions for 2050 analysis'!$B$3:$B$23,'[1]T&amp;C emissions for 2050 analysis'!$C$3:$C$23)</f>
        <v>0.10999999999999999</v>
      </c>
      <c r="I3107" s="27">
        <f t="shared" si="144"/>
        <v>0.53740991215999989</v>
      </c>
      <c r="J3107" s="129">
        <f t="shared" si="145"/>
        <v>23.941279999999995</v>
      </c>
    </row>
    <row r="3108" spans="1:10" hidden="1" x14ac:dyDescent="0.35">
      <c r="A3108" s="126" t="s">
        <v>419</v>
      </c>
      <c r="B3108" t="str">
        <f>_xlfn.XLOOKUP(A3108,'[1]2050Pop'!$A$7:$A$143,'[1]2050Pop'!$D$7:$D$143)</f>
        <v>SSA</v>
      </c>
      <c r="C3108" s="127">
        <f>1000*_xlfn.XLOOKUP(A3108,'[1]2050Pop'!$A$7:$A$143,'[1]2050Pop'!$C$7:$C$143)</f>
        <v>95505</v>
      </c>
      <c r="D3108" s="126" t="s">
        <v>523</v>
      </c>
      <c r="E3108" s="128">
        <v>147.18100000000001</v>
      </c>
      <c r="F3108" s="129">
        <f t="shared" si="146"/>
        <v>14.056521405000002</v>
      </c>
      <c r="G3108" t="str">
        <f>_xlfn.XLOOKUP(D3108,'[1]2050 BAU Mapping to T &amp; C'!$A$3:$A$52,'[1]2050 BAU Mapping to T &amp; C'!$B$3:$B$52)</f>
        <v>Starchy roots</v>
      </c>
      <c r="H3108" s="129">
        <f>_xlfn.XLOOKUP(G3108,'[1]T&amp;C emissions for 2050 analysis'!$B$3:$B$23,'[1]T&amp;C emissions for 2050 analysis'!$C$3:$C$23)</f>
        <v>0.10999999999999999</v>
      </c>
      <c r="I3108" s="27">
        <f t="shared" si="144"/>
        <v>1.54621735455</v>
      </c>
      <c r="J3108" s="129">
        <f t="shared" si="145"/>
        <v>16.189909999999998</v>
      </c>
    </row>
    <row r="3109" spans="1:10" hidden="1" x14ac:dyDescent="0.35">
      <c r="A3109" s="126" t="s">
        <v>420</v>
      </c>
      <c r="B3109" t="str">
        <f>_xlfn.XLOOKUP(A3109,'[1]2050Pop'!$A$7:$A$143,'[1]2050Pop'!$D$7:$D$143)</f>
        <v>APAC</v>
      </c>
      <c r="C3109" s="127">
        <f>1000*_xlfn.XLOOKUP(A3109,'[1]2050Pop'!$A$7:$A$143,'[1]2050Pop'!$C$7:$C$143)</f>
        <v>8248</v>
      </c>
      <c r="D3109" s="126" t="s">
        <v>523</v>
      </c>
      <c r="E3109" s="128">
        <v>188.90100000000001</v>
      </c>
      <c r="F3109" s="129">
        <f t="shared" si="146"/>
        <v>1.5580554480000002</v>
      </c>
      <c r="G3109" t="str">
        <f>_xlfn.XLOOKUP(D3109,'[1]2050 BAU Mapping to T &amp; C'!$A$3:$A$52,'[1]2050 BAU Mapping to T &amp; C'!$B$3:$B$52)</f>
        <v>Starchy roots</v>
      </c>
      <c r="H3109" s="129">
        <f>_xlfn.XLOOKUP(G3109,'[1]T&amp;C emissions for 2050 analysis'!$B$3:$B$23,'[1]T&amp;C emissions for 2050 analysis'!$C$3:$C$23)</f>
        <v>0.10999999999999999</v>
      </c>
      <c r="I3109" s="27">
        <f t="shared" si="144"/>
        <v>0.17138609928000001</v>
      </c>
      <c r="J3109" s="129">
        <f t="shared" si="145"/>
        <v>20.779109999999999</v>
      </c>
    </row>
    <row r="3110" spans="1:10" hidden="1" x14ac:dyDescent="0.35">
      <c r="A3110" s="126" t="s">
        <v>421</v>
      </c>
      <c r="B3110" t="str">
        <f>_xlfn.XLOOKUP(A3110,'[1]2050Pop'!$A$7:$A$143,'[1]2050Pop'!$D$7:$D$143)</f>
        <v>APAC</v>
      </c>
      <c r="C3110" s="127">
        <f>1000*_xlfn.XLOOKUP(A3110,'[1]2050Pop'!$A$7:$A$143,'[1]2050Pop'!$C$7:$C$143)</f>
        <v>10172</v>
      </c>
      <c r="D3110" s="126" t="s">
        <v>523</v>
      </c>
      <c r="E3110" s="128">
        <v>17.081</v>
      </c>
      <c r="F3110" s="129">
        <f t="shared" si="146"/>
        <v>0.17374793199999999</v>
      </c>
      <c r="G3110" t="str">
        <f>_xlfn.XLOOKUP(D3110,'[1]2050 BAU Mapping to T &amp; C'!$A$3:$A$52,'[1]2050 BAU Mapping to T &amp; C'!$B$3:$B$52)</f>
        <v>Starchy roots</v>
      </c>
      <c r="H3110" s="129">
        <f>_xlfn.XLOOKUP(G3110,'[1]T&amp;C emissions for 2050 analysis'!$B$3:$B$23,'[1]T&amp;C emissions for 2050 analysis'!$C$3:$C$23)</f>
        <v>0.10999999999999999</v>
      </c>
      <c r="I3110" s="27">
        <f t="shared" si="144"/>
        <v>1.9112272519999998E-2</v>
      </c>
      <c r="J3110" s="129">
        <f t="shared" si="145"/>
        <v>1.8789099999999996</v>
      </c>
    </row>
    <row r="3111" spans="1:10" hidden="1" x14ac:dyDescent="0.35">
      <c r="A3111" s="126" t="s">
        <v>422</v>
      </c>
      <c r="B3111" t="str">
        <f>_xlfn.XLOOKUP(A3111,'[1]2050Pop'!$A$7:$A$143,'[1]2050Pop'!$D$7:$D$143)</f>
        <v>Euro/AU/NZ</v>
      </c>
      <c r="C3111" s="127">
        <f>1000*_xlfn.XLOOKUP(A3111,'[1]2050Pop'!$A$7:$A$143,'[1]2050Pop'!$C$7:$C$143)</f>
        <v>1593</v>
      </c>
      <c r="D3111" s="126" t="s">
        <v>523</v>
      </c>
      <c r="E3111" s="128">
        <v>217.65100000000001</v>
      </c>
      <c r="F3111" s="129">
        <f t="shared" si="146"/>
        <v>0.34671804300000003</v>
      </c>
      <c r="G3111" t="str">
        <f>_xlfn.XLOOKUP(D3111,'[1]2050 BAU Mapping to T &amp; C'!$A$3:$A$52,'[1]2050 BAU Mapping to T &amp; C'!$B$3:$B$52)</f>
        <v>Starchy roots</v>
      </c>
      <c r="H3111" s="129">
        <f>_xlfn.XLOOKUP(G3111,'[1]T&amp;C emissions for 2050 analysis'!$B$3:$B$23,'[1]T&amp;C emissions for 2050 analysis'!$C$3:$C$23)</f>
        <v>0.10999999999999999</v>
      </c>
      <c r="I3111" s="27">
        <f t="shared" si="144"/>
        <v>3.8138984729999999E-2</v>
      </c>
      <c r="J3111" s="129">
        <f t="shared" si="145"/>
        <v>23.941609999999997</v>
      </c>
    </row>
    <row r="3112" spans="1:10" hidden="1" x14ac:dyDescent="0.35">
      <c r="A3112" s="126" t="s">
        <v>423</v>
      </c>
      <c r="B3112" t="str">
        <f>_xlfn.XLOOKUP(A3112,'[1]2050Pop'!$A$7:$A$143,'[1]2050Pop'!$D$7:$D$143)</f>
        <v>MENA</v>
      </c>
      <c r="C3112" s="127">
        <f>1000*_xlfn.XLOOKUP(A3112,'[1]2050Pop'!$A$7:$A$143,'[1]2050Pop'!$C$7:$C$143)</f>
        <v>5610</v>
      </c>
      <c r="D3112" s="126" t="s">
        <v>523</v>
      </c>
      <c r="E3112" s="128">
        <v>114.563</v>
      </c>
      <c r="F3112" s="129">
        <f t="shared" si="146"/>
        <v>0.64269843000000004</v>
      </c>
      <c r="G3112" t="str">
        <f>_xlfn.XLOOKUP(D3112,'[1]2050 BAU Mapping to T &amp; C'!$A$3:$A$52,'[1]2050 BAU Mapping to T &amp; C'!$B$3:$B$52)</f>
        <v>Starchy roots</v>
      </c>
      <c r="H3112" s="129">
        <f>_xlfn.XLOOKUP(G3112,'[1]T&amp;C emissions for 2050 analysis'!$B$3:$B$23,'[1]T&amp;C emissions for 2050 analysis'!$C$3:$C$23)</f>
        <v>0.10999999999999999</v>
      </c>
      <c r="I3112" s="27">
        <f t="shared" si="144"/>
        <v>7.0696827300000001E-2</v>
      </c>
      <c r="J3112" s="129">
        <f t="shared" si="145"/>
        <v>12.601929999999999</v>
      </c>
    </row>
    <row r="3113" spans="1:10" hidden="1" x14ac:dyDescent="0.35">
      <c r="A3113" s="126" t="s">
        <v>424</v>
      </c>
      <c r="B3113" t="str">
        <f>_xlfn.XLOOKUP(A3113,'[1]2050Pop'!$A$7:$A$143,'[1]2050Pop'!$D$7:$D$143)</f>
        <v>SSA</v>
      </c>
      <c r="C3113" s="127">
        <f>1000*_xlfn.XLOOKUP(A3113,'[1]2050Pop'!$A$7:$A$143,'[1]2050Pop'!$C$7:$C$143)</f>
        <v>2987</v>
      </c>
      <c r="D3113" s="126" t="s">
        <v>523</v>
      </c>
      <c r="E3113" s="128">
        <v>117.048</v>
      </c>
      <c r="F3113" s="129">
        <f t="shared" si="146"/>
        <v>0.34962237600000001</v>
      </c>
      <c r="G3113" t="str">
        <f>_xlfn.XLOOKUP(D3113,'[1]2050 BAU Mapping to T &amp; C'!$A$3:$A$52,'[1]2050 BAU Mapping to T &amp; C'!$B$3:$B$52)</f>
        <v>Starchy roots</v>
      </c>
      <c r="H3113" s="129">
        <f>_xlfn.XLOOKUP(G3113,'[1]T&amp;C emissions for 2050 analysis'!$B$3:$B$23,'[1]T&amp;C emissions for 2050 analysis'!$C$3:$C$23)</f>
        <v>0.10999999999999999</v>
      </c>
      <c r="I3113" s="27">
        <f t="shared" si="144"/>
        <v>3.8458461359999994E-2</v>
      </c>
      <c r="J3113" s="129">
        <f t="shared" si="145"/>
        <v>12.875279999999998</v>
      </c>
    </row>
    <row r="3114" spans="1:10" hidden="1" x14ac:dyDescent="0.35">
      <c r="A3114" s="126" t="s">
        <v>425</v>
      </c>
      <c r="B3114" t="str">
        <f>_xlfn.XLOOKUP(A3114,'[1]2050Pop'!$A$7:$A$143,'[1]2050Pop'!$D$7:$D$143)</f>
        <v>SSA</v>
      </c>
      <c r="C3114" s="127">
        <f>1000*_xlfn.XLOOKUP(A3114,'[1]2050Pop'!$A$7:$A$143,'[1]2050Pop'!$C$7:$C$143)</f>
        <v>9436</v>
      </c>
      <c r="D3114" s="126" t="s">
        <v>523</v>
      </c>
      <c r="E3114" s="128">
        <v>2.6560000000000001</v>
      </c>
      <c r="F3114" s="129">
        <f t="shared" si="146"/>
        <v>2.5062015999999999E-2</v>
      </c>
      <c r="G3114" t="str">
        <f>_xlfn.XLOOKUP(D3114,'[1]2050 BAU Mapping to T &amp; C'!$A$3:$A$52,'[1]2050 BAU Mapping to T &amp; C'!$B$3:$B$52)</f>
        <v>Starchy roots</v>
      </c>
      <c r="H3114" s="129">
        <f>_xlfn.XLOOKUP(G3114,'[1]T&amp;C emissions for 2050 analysis'!$B$3:$B$23,'[1]T&amp;C emissions for 2050 analysis'!$C$3:$C$23)</f>
        <v>0.10999999999999999</v>
      </c>
      <c r="I3114" s="27">
        <f t="shared" si="144"/>
        <v>2.7568217599999996E-3</v>
      </c>
      <c r="J3114" s="129">
        <f t="shared" si="145"/>
        <v>0.29215999999999998</v>
      </c>
    </row>
    <row r="3115" spans="1:10" hidden="1" x14ac:dyDescent="0.35">
      <c r="A3115" s="126" t="s">
        <v>426</v>
      </c>
      <c r="B3115" t="str">
        <f>_xlfn.XLOOKUP(A3115,'[1]2050Pop'!$A$7:$A$143,'[1]2050Pop'!$D$7:$D$143)</f>
        <v>Euro/AU/NZ</v>
      </c>
      <c r="C3115" s="127">
        <f>1000*_xlfn.XLOOKUP(A3115,'[1]2050Pop'!$A$7:$A$143,'[1]2050Pop'!$C$7:$C$143)</f>
        <v>2375</v>
      </c>
      <c r="D3115" s="126" t="s">
        <v>523</v>
      </c>
      <c r="E3115" s="128">
        <v>180.374</v>
      </c>
      <c r="F3115" s="129">
        <f t="shared" si="146"/>
        <v>0.42838825000000003</v>
      </c>
      <c r="G3115" t="str">
        <f>_xlfn.XLOOKUP(D3115,'[1]2050 BAU Mapping to T &amp; C'!$A$3:$A$52,'[1]2050 BAU Mapping to T &amp; C'!$B$3:$B$52)</f>
        <v>Starchy roots</v>
      </c>
      <c r="H3115" s="129">
        <f>_xlfn.XLOOKUP(G3115,'[1]T&amp;C emissions for 2050 analysis'!$B$3:$B$23,'[1]T&amp;C emissions for 2050 analysis'!$C$3:$C$23)</f>
        <v>0.10999999999999999</v>
      </c>
      <c r="I3115" s="27">
        <f t="shared" si="144"/>
        <v>4.71227075E-2</v>
      </c>
      <c r="J3115" s="129">
        <f t="shared" si="145"/>
        <v>19.841139999999996</v>
      </c>
    </row>
    <row r="3116" spans="1:10" hidden="1" x14ac:dyDescent="0.35">
      <c r="A3116" s="126" t="s">
        <v>427</v>
      </c>
      <c r="B3116" t="str">
        <f>_xlfn.XLOOKUP(A3116,'[1]2050Pop'!$A$7:$A$143,'[1]2050Pop'!$D$7:$D$143)</f>
        <v>SSA</v>
      </c>
      <c r="C3116" s="127">
        <f>1000*_xlfn.XLOOKUP(A3116,'[1]2050Pop'!$A$7:$A$143,'[1]2050Pop'!$C$7:$C$143)</f>
        <v>55294</v>
      </c>
      <c r="D3116" s="126" t="s">
        <v>523</v>
      </c>
      <c r="E3116" s="128">
        <v>28.443999999999999</v>
      </c>
      <c r="F3116" s="129">
        <f t="shared" si="146"/>
        <v>1.5727825359999998</v>
      </c>
      <c r="G3116" t="str">
        <f>_xlfn.XLOOKUP(D3116,'[1]2050 BAU Mapping to T &amp; C'!$A$3:$A$52,'[1]2050 BAU Mapping to T &amp; C'!$B$3:$B$52)</f>
        <v>Starchy roots</v>
      </c>
      <c r="H3116" s="129">
        <f>_xlfn.XLOOKUP(G3116,'[1]T&amp;C emissions for 2050 analysis'!$B$3:$B$23,'[1]T&amp;C emissions for 2050 analysis'!$C$3:$C$23)</f>
        <v>0.10999999999999999</v>
      </c>
      <c r="I3116" s="27">
        <f t="shared" si="144"/>
        <v>0.17300607895999995</v>
      </c>
      <c r="J3116" s="129">
        <f t="shared" si="145"/>
        <v>3.1288399999999994</v>
      </c>
    </row>
    <row r="3117" spans="1:10" hidden="1" x14ac:dyDescent="0.35">
      <c r="A3117" s="126" t="s">
        <v>428</v>
      </c>
      <c r="B3117" t="str">
        <f>_xlfn.XLOOKUP(A3117,'[1]2050Pop'!$A$7:$A$143,'[1]2050Pop'!$D$7:$D$143)</f>
        <v>SSA</v>
      </c>
      <c r="C3117" s="127">
        <f>1000*_xlfn.XLOOKUP(A3117,'[1]2050Pop'!$A$7:$A$143,'[1]2050Pop'!$C$7:$C$143)</f>
        <v>43155</v>
      </c>
      <c r="D3117" s="126" t="s">
        <v>523</v>
      </c>
      <c r="E3117" s="128">
        <v>377.77199999999999</v>
      </c>
      <c r="F3117" s="129">
        <f t="shared" si="146"/>
        <v>16.302750660000001</v>
      </c>
      <c r="G3117" t="str">
        <f>_xlfn.XLOOKUP(D3117,'[1]2050 BAU Mapping to T &amp; C'!$A$3:$A$52,'[1]2050 BAU Mapping to T &amp; C'!$B$3:$B$52)</f>
        <v>Starchy roots</v>
      </c>
      <c r="H3117" s="129">
        <f>_xlfn.XLOOKUP(G3117,'[1]T&amp;C emissions for 2050 analysis'!$B$3:$B$23,'[1]T&amp;C emissions for 2050 analysis'!$C$3:$C$23)</f>
        <v>0.10999999999999999</v>
      </c>
      <c r="I3117" s="27">
        <f t="shared" si="144"/>
        <v>1.7933025725999998</v>
      </c>
      <c r="J3117" s="129">
        <f t="shared" si="145"/>
        <v>41.554919999999996</v>
      </c>
    </row>
    <row r="3118" spans="1:10" hidden="1" x14ac:dyDescent="0.35">
      <c r="A3118" s="126" t="s">
        <v>429</v>
      </c>
      <c r="B3118" t="str">
        <f>_xlfn.XLOOKUP(A3118,'[1]2050Pop'!$A$7:$A$143,'[1]2050Pop'!$D$7:$D$143)</f>
        <v>APAC</v>
      </c>
      <c r="C3118" s="127">
        <f>1000*_xlfn.XLOOKUP(A3118,'[1]2050Pop'!$A$7:$A$143,'[1]2050Pop'!$C$7:$C$143)</f>
        <v>40725</v>
      </c>
      <c r="D3118" s="126" t="s">
        <v>523</v>
      </c>
      <c r="E3118" s="128">
        <v>24.773</v>
      </c>
      <c r="F3118" s="129">
        <f t="shared" si="146"/>
        <v>1.0088804249999999</v>
      </c>
      <c r="G3118" t="str">
        <f>_xlfn.XLOOKUP(D3118,'[1]2050 BAU Mapping to T &amp; C'!$A$3:$A$52,'[1]2050 BAU Mapping to T &amp; C'!$B$3:$B$52)</f>
        <v>Starchy roots</v>
      </c>
      <c r="H3118" s="129">
        <f>_xlfn.XLOOKUP(G3118,'[1]T&amp;C emissions for 2050 analysis'!$B$3:$B$23,'[1]T&amp;C emissions for 2050 analysis'!$C$3:$C$23)</f>
        <v>0.10999999999999999</v>
      </c>
      <c r="I3118" s="27">
        <f t="shared" si="144"/>
        <v>0.11097684674999997</v>
      </c>
      <c r="J3118" s="129">
        <f t="shared" si="145"/>
        <v>2.7250299999999998</v>
      </c>
    </row>
    <row r="3119" spans="1:10" hidden="1" x14ac:dyDescent="0.35">
      <c r="A3119" s="126" t="s">
        <v>430</v>
      </c>
      <c r="B3119" t="str">
        <f>_xlfn.XLOOKUP(A3119,'[1]2050Pop'!$A$7:$A$143,'[1]2050Pop'!$D$7:$D$143)</f>
        <v>SSA</v>
      </c>
      <c r="C3119" s="127">
        <f>1000*_xlfn.XLOOKUP(A3119,'[1]2050Pop'!$A$7:$A$143,'[1]2050Pop'!$C$7:$C$143)</f>
        <v>45404</v>
      </c>
      <c r="D3119" s="126" t="s">
        <v>523</v>
      </c>
      <c r="E3119" s="128">
        <v>29.003</v>
      </c>
      <c r="F3119" s="129">
        <f t="shared" si="146"/>
        <v>1.3168522120000001</v>
      </c>
      <c r="G3119" t="str">
        <f>_xlfn.XLOOKUP(D3119,'[1]2050 BAU Mapping to T &amp; C'!$A$3:$A$52,'[1]2050 BAU Mapping to T &amp; C'!$B$3:$B$52)</f>
        <v>Starchy roots</v>
      </c>
      <c r="H3119" s="129">
        <f>_xlfn.XLOOKUP(G3119,'[1]T&amp;C emissions for 2050 analysis'!$B$3:$B$23,'[1]T&amp;C emissions for 2050 analysis'!$C$3:$C$23)</f>
        <v>0.10999999999999999</v>
      </c>
      <c r="I3119" s="27">
        <f t="shared" si="144"/>
        <v>0.14485374332000001</v>
      </c>
      <c r="J3119" s="129">
        <f t="shared" si="145"/>
        <v>3.1903299999999994</v>
      </c>
    </row>
    <row r="3120" spans="1:10" hidden="1" x14ac:dyDescent="0.35">
      <c r="A3120" s="126" t="s">
        <v>431</v>
      </c>
      <c r="B3120" t="str">
        <f>_xlfn.XLOOKUP(A3120,'[1]2050Pop'!$A$7:$A$143,'[1]2050Pop'!$D$7:$D$143)</f>
        <v>SSA</v>
      </c>
      <c r="C3120" s="127">
        <f>1000*_xlfn.XLOOKUP(A3120,'[1]2050Pop'!$A$7:$A$143,'[1]2050Pop'!$C$7:$C$143)</f>
        <v>8048.9999999999991</v>
      </c>
      <c r="D3120" s="126" t="s">
        <v>523</v>
      </c>
      <c r="E3120" s="128">
        <v>19.148</v>
      </c>
      <c r="F3120" s="129">
        <f t="shared" si="146"/>
        <v>0.15412225199999999</v>
      </c>
      <c r="G3120" t="str">
        <f>_xlfn.XLOOKUP(D3120,'[1]2050 BAU Mapping to T &amp; C'!$A$3:$A$52,'[1]2050 BAU Mapping to T &amp; C'!$B$3:$B$52)</f>
        <v>Starchy roots</v>
      </c>
      <c r="H3120" s="129">
        <f>_xlfn.XLOOKUP(G3120,'[1]T&amp;C emissions for 2050 analysis'!$B$3:$B$23,'[1]T&amp;C emissions for 2050 analysis'!$C$3:$C$23)</f>
        <v>0.10999999999999999</v>
      </c>
      <c r="I3120" s="27">
        <f t="shared" si="144"/>
        <v>1.6953447719999997E-2</v>
      </c>
      <c r="J3120" s="129">
        <f t="shared" si="145"/>
        <v>2.1062799999999999</v>
      </c>
    </row>
    <row r="3121" spans="1:10" hidden="1" x14ac:dyDescent="0.35">
      <c r="A3121" s="126" t="s">
        <v>432</v>
      </c>
      <c r="B3121" t="str">
        <f>_xlfn.XLOOKUP(A3121,'[1]2050Pop'!$A$7:$A$143,'[1]2050Pop'!$D$7:$D$143)</f>
        <v>SSA</v>
      </c>
      <c r="C3121" s="127">
        <f>1000*_xlfn.XLOOKUP(A3121,'[1]2050Pop'!$A$7:$A$143,'[1]2050Pop'!$C$7:$C$143)</f>
        <v>1249</v>
      </c>
      <c r="D3121" s="126" t="s">
        <v>523</v>
      </c>
      <c r="E3121" s="128">
        <v>47.988</v>
      </c>
      <c r="F3121" s="129">
        <f t="shared" si="146"/>
        <v>5.9937012000000005E-2</v>
      </c>
      <c r="G3121" t="str">
        <f>_xlfn.XLOOKUP(D3121,'[1]2050 BAU Mapping to T &amp; C'!$A$3:$A$52,'[1]2050 BAU Mapping to T &amp; C'!$B$3:$B$52)</f>
        <v>Starchy roots</v>
      </c>
      <c r="H3121" s="129">
        <f>_xlfn.XLOOKUP(G3121,'[1]T&amp;C emissions for 2050 analysis'!$B$3:$B$23,'[1]T&amp;C emissions for 2050 analysis'!$C$3:$C$23)</f>
        <v>0.10999999999999999</v>
      </c>
      <c r="I3121" s="27">
        <f t="shared" si="144"/>
        <v>6.5930713199999994E-3</v>
      </c>
      <c r="J3121" s="129">
        <f t="shared" si="145"/>
        <v>5.2786799999999996</v>
      </c>
    </row>
    <row r="3122" spans="1:10" hidden="1" x14ac:dyDescent="0.35">
      <c r="A3122" s="126" t="s">
        <v>433</v>
      </c>
      <c r="B3122" t="str">
        <f>_xlfn.XLOOKUP(A3122,'[1]2050Pop'!$A$7:$A$143,'[1]2050Pop'!$D$7:$D$143)</f>
        <v>LatAm &amp; RSA</v>
      </c>
      <c r="C3122" s="127">
        <f>1000*_xlfn.XLOOKUP(A3122,'[1]2050Pop'!$A$7:$A$143,'[1]2050Pop'!$C$7:$C$143)</f>
        <v>163754</v>
      </c>
      <c r="D3122" s="126" t="s">
        <v>523</v>
      </c>
      <c r="E3122" s="128">
        <v>30.454999999999998</v>
      </c>
      <c r="F3122" s="129">
        <f t="shared" si="146"/>
        <v>4.9871280699999998</v>
      </c>
      <c r="G3122" t="str">
        <f>_xlfn.XLOOKUP(D3122,'[1]2050 BAU Mapping to T &amp; C'!$A$3:$A$52,'[1]2050 BAU Mapping to T &amp; C'!$B$3:$B$52)</f>
        <v>Starchy roots</v>
      </c>
      <c r="H3122" s="129">
        <f>_xlfn.XLOOKUP(G3122,'[1]T&amp;C emissions for 2050 analysis'!$B$3:$B$23,'[1]T&amp;C emissions for 2050 analysis'!$C$3:$C$23)</f>
        <v>0.10999999999999999</v>
      </c>
      <c r="I3122" s="27">
        <f t="shared" si="144"/>
        <v>0.54858408769999989</v>
      </c>
      <c r="J3122" s="129">
        <f t="shared" si="145"/>
        <v>3.3500499999999995</v>
      </c>
    </row>
    <row r="3123" spans="1:10" hidden="1" x14ac:dyDescent="0.35">
      <c r="A3123" s="126" t="s">
        <v>434</v>
      </c>
      <c r="B3123" t="str">
        <f>_xlfn.XLOOKUP(A3123,'[1]2050Pop'!$A$7:$A$143,'[1]2050Pop'!$D$7:$D$143)</f>
        <v>APAC</v>
      </c>
      <c r="C3123" s="127">
        <f>1000*_xlfn.XLOOKUP(A3123,'[1]2050Pop'!$A$7:$A$143,'[1]2050Pop'!$C$7:$C$143)</f>
        <v>4027.9999999999995</v>
      </c>
      <c r="D3123" s="126" t="s">
        <v>523</v>
      </c>
      <c r="E3123" s="128">
        <v>106.94499999999999</v>
      </c>
      <c r="F3123" s="129">
        <f t="shared" si="146"/>
        <v>0.43077445999999991</v>
      </c>
      <c r="G3123" t="str">
        <f>_xlfn.XLOOKUP(D3123,'[1]2050 BAU Mapping to T &amp; C'!$A$3:$A$52,'[1]2050 BAU Mapping to T &amp; C'!$B$3:$B$52)</f>
        <v>Starchy roots</v>
      </c>
      <c r="H3123" s="129">
        <f>_xlfn.XLOOKUP(G3123,'[1]T&amp;C emissions for 2050 analysis'!$B$3:$B$23,'[1]T&amp;C emissions for 2050 analysis'!$C$3:$C$23)</f>
        <v>0.10999999999999999</v>
      </c>
      <c r="I3123" s="27">
        <f t="shared" si="144"/>
        <v>4.7385190599999988E-2</v>
      </c>
      <c r="J3123" s="129">
        <f t="shared" si="145"/>
        <v>11.763949999999998</v>
      </c>
    </row>
    <row r="3124" spans="1:10" hidden="1" x14ac:dyDescent="0.35">
      <c r="A3124" s="126" t="s">
        <v>435</v>
      </c>
      <c r="B3124" t="str">
        <f>_xlfn.XLOOKUP(A3124,'[1]2050Pop'!$A$7:$A$143,'[1]2050Pop'!$D$7:$D$143)</f>
        <v>MENA</v>
      </c>
      <c r="C3124" s="127">
        <f>1000*_xlfn.XLOOKUP(A3124,'[1]2050Pop'!$A$7:$A$143,'[1]2050Pop'!$C$7:$C$143)</f>
        <v>43696</v>
      </c>
      <c r="D3124" s="126" t="s">
        <v>523</v>
      </c>
      <c r="E3124" s="128">
        <v>99.171999999999997</v>
      </c>
      <c r="F3124" s="129">
        <f t="shared" si="146"/>
        <v>4.3334197120000004</v>
      </c>
      <c r="G3124" t="str">
        <f>_xlfn.XLOOKUP(D3124,'[1]2050 BAU Mapping to T &amp; C'!$A$3:$A$52,'[1]2050 BAU Mapping to T &amp; C'!$B$3:$B$52)</f>
        <v>Starchy roots</v>
      </c>
      <c r="H3124" s="129">
        <f>_xlfn.XLOOKUP(G3124,'[1]T&amp;C emissions for 2050 analysis'!$B$3:$B$23,'[1]T&amp;C emissions for 2050 analysis'!$C$3:$C$23)</f>
        <v>0.10999999999999999</v>
      </c>
      <c r="I3124" s="27">
        <f t="shared" si="144"/>
        <v>0.47667616831999998</v>
      </c>
      <c r="J3124" s="129">
        <f t="shared" si="145"/>
        <v>10.908919999999998</v>
      </c>
    </row>
    <row r="3125" spans="1:10" hidden="1" x14ac:dyDescent="0.35">
      <c r="A3125" s="126" t="s">
        <v>436</v>
      </c>
      <c r="B3125" t="str">
        <f>_xlfn.XLOOKUP(A3125,'[1]2050Pop'!$A$7:$A$143,'[1]2050Pop'!$D$7:$D$143)</f>
        <v>SSA</v>
      </c>
      <c r="C3125" s="127">
        <f>1000*_xlfn.XLOOKUP(A3125,'[1]2050Pop'!$A$7:$A$143,'[1]2050Pop'!$C$7:$C$143)</f>
        <v>65544</v>
      </c>
      <c r="D3125" s="126" t="s">
        <v>523</v>
      </c>
      <c r="E3125" s="128">
        <v>36.540999999999997</v>
      </c>
      <c r="F3125" s="129">
        <f t="shared" si="146"/>
        <v>2.3950433040000001</v>
      </c>
      <c r="G3125" t="str">
        <f>_xlfn.XLOOKUP(D3125,'[1]2050 BAU Mapping to T &amp; C'!$A$3:$A$52,'[1]2050 BAU Mapping to T &amp; C'!$B$3:$B$52)</f>
        <v>Starchy roots</v>
      </c>
      <c r="H3125" s="129">
        <f>_xlfn.XLOOKUP(G3125,'[1]T&amp;C emissions for 2050 analysis'!$B$3:$B$23,'[1]T&amp;C emissions for 2050 analysis'!$C$3:$C$23)</f>
        <v>0.10999999999999999</v>
      </c>
      <c r="I3125" s="27">
        <f t="shared" si="144"/>
        <v>0.26345476343999996</v>
      </c>
      <c r="J3125" s="129">
        <f t="shared" si="145"/>
        <v>4.0195099999999995</v>
      </c>
    </row>
    <row r="3126" spans="1:10" hidden="1" x14ac:dyDescent="0.35">
      <c r="A3126" s="126" t="s">
        <v>490</v>
      </c>
      <c r="B3126" t="str">
        <f>_xlfn.XLOOKUP(A3126,'[1]2050Pop'!$A$7:$A$143,'[1]2050Pop'!$D$7:$D$143)</f>
        <v>APAC</v>
      </c>
      <c r="C3126" s="127">
        <f>1000*_xlfn.XLOOKUP(A3126,'[1]2050Pop'!$A$7:$A$143,'[1]2050Pop'!$C$7:$C$143)</f>
        <v>63575</v>
      </c>
      <c r="D3126" s="126" t="s">
        <v>523</v>
      </c>
      <c r="E3126" s="130">
        <v>35.409999999999997</v>
      </c>
      <c r="F3126" s="129">
        <f t="shared" si="146"/>
        <v>2.2511907500000001</v>
      </c>
      <c r="G3126" t="str">
        <f>_xlfn.XLOOKUP(D3126,'[1]2050 BAU Mapping to T &amp; C'!$A$3:$A$52,'[1]2050 BAU Mapping to T &amp; C'!$B$3:$B$52)</f>
        <v>Starchy roots</v>
      </c>
      <c r="H3126" s="129">
        <f>_xlfn.XLOOKUP(G3126,'[1]T&amp;C emissions for 2050 analysis'!$B$3:$B$23,'[1]T&amp;C emissions for 2050 analysis'!$C$3:$C$23)</f>
        <v>0.10999999999999999</v>
      </c>
      <c r="I3126" s="27">
        <f t="shared" si="144"/>
        <v>0.24763098249999999</v>
      </c>
      <c r="J3126" s="129">
        <f t="shared" si="145"/>
        <v>3.8950999999999993</v>
      </c>
    </row>
    <row r="3127" spans="1:10" hidden="1" x14ac:dyDescent="0.35">
      <c r="A3127" s="126" t="s">
        <v>437</v>
      </c>
      <c r="B3127" t="str">
        <f>_xlfn.XLOOKUP(A3127,'[1]2050Pop'!$A$7:$A$143,'[1]2050Pop'!$D$7:$D$143)</f>
        <v>SSA</v>
      </c>
      <c r="C3127" s="127">
        <f>1000*_xlfn.XLOOKUP(A3127,'[1]2050Pop'!$A$7:$A$143,'[1]2050Pop'!$C$7:$C$143)</f>
        <v>4322</v>
      </c>
      <c r="D3127" s="126" t="s">
        <v>523</v>
      </c>
      <c r="E3127" s="128">
        <v>67.287999999999997</v>
      </c>
      <c r="F3127" s="129">
        <f t="shared" si="146"/>
        <v>0.29081873599999997</v>
      </c>
      <c r="G3127" t="str">
        <f>_xlfn.XLOOKUP(D3127,'[1]2050 BAU Mapping to T &amp; C'!$A$3:$A$52,'[1]2050 BAU Mapping to T &amp; C'!$B$3:$B$52)</f>
        <v>Starchy roots</v>
      </c>
      <c r="H3127" s="129">
        <f>_xlfn.XLOOKUP(G3127,'[1]T&amp;C emissions for 2050 analysis'!$B$3:$B$23,'[1]T&amp;C emissions for 2050 analysis'!$C$3:$C$23)</f>
        <v>0.10999999999999999</v>
      </c>
      <c r="I3127" s="27">
        <f t="shared" si="144"/>
        <v>3.199006095999999E-2</v>
      </c>
      <c r="J3127" s="129">
        <f t="shared" si="145"/>
        <v>7.4016799999999989</v>
      </c>
    </row>
    <row r="3128" spans="1:10" hidden="1" x14ac:dyDescent="0.35">
      <c r="A3128" s="126" t="s">
        <v>438</v>
      </c>
      <c r="B3128" t="str">
        <f>_xlfn.XLOOKUP(A3128,'[1]2050Pop'!$A$7:$A$143,'[1]2050Pop'!$D$7:$D$143)</f>
        <v>India/South Asia</v>
      </c>
      <c r="C3128" s="127">
        <f>1000*_xlfn.XLOOKUP(A3128,'[1]2050Pop'!$A$7:$A$143,'[1]2050Pop'!$C$7:$C$143)</f>
        <v>36159</v>
      </c>
      <c r="D3128" s="126" t="s">
        <v>523</v>
      </c>
      <c r="E3128" s="128">
        <v>169.30199999999999</v>
      </c>
      <c r="F3128" s="129">
        <f t="shared" si="146"/>
        <v>6.1217910180000006</v>
      </c>
      <c r="G3128" t="str">
        <f>_xlfn.XLOOKUP(D3128,'[1]2050 BAU Mapping to T &amp; C'!$A$3:$A$52,'[1]2050 BAU Mapping to T &amp; C'!$B$3:$B$52)</f>
        <v>Starchy roots</v>
      </c>
      <c r="H3128" s="129">
        <f>_xlfn.XLOOKUP(G3128,'[1]T&amp;C emissions for 2050 analysis'!$B$3:$B$23,'[1]T&amp;C emissions for 2050 analysis'!$C$3:$C$23)</f>
        <v>0.10999999999999999</v>
      </c>
      <c r="I3128" s="27">
        <f t="shared" si="144"/>
        <v>0.67339701198000002</v>
      </c>
      <c r="J3128" s="129">
        <f t="shared" si="145"/>
        <v>18.623219999999996</v>
      </c>
    </row>
    <row r="3129" spans="1:10" hidden="1" x14ac:dyDescent="0.35">
      <c r="A3129" s="126" t="s">
        <v>439</v>
      </c>
      <c r="B3129" t="str">
        <f>_xlfn.XLOOKUP(A3129,'[1]2050Pop'!$A$7:$A$143,'[1]2050Pop'!$D$7:$D$143)</f>
        <v>Euro/AU/NZ</v>
      </c>
      <c r="C3129" s="127">
        <f>1000*_xlfn.XLOOKUP(A3129,'[1]2050Pop'!$A$7:$A$143,'[1]2050Pop'!$C$7:$C$143)</f>
        <v>17602</v>
      </c>
      <c r="D3129" s="126" t="s">
        <v>523</v>
      </c>
      <c r="E3129" s="128">
        <v>175.00800000000001</v>
      </c>
      <c r="F3129" s="129">
        <f t="shared" si="146"/>
        <v>3.0804908160000002</v>
      </c>
      <c r="G3129" t="str">
        <f>_xlfn.XLOOKUP(D3129,'[1]2050 BAU Mapping to T &amp; C'!$A$3:$A$52,'[1]2050 BAU Mapping to T &amp; C'!$B$3:$B$52)</f>
        <v>Starchy roots</v>
      </c>
      <c r="H3129" s="129">
        <f>_xlfn.XLOOKUP(G3129,'[1]T&amp;C emissions for 2050 analysis'!$B$3:$B$23,'[1]T&amp;C emissions for 2050 analysis'!$C$3:$C$23)</f>
        <v>0.10999999999999999</v>
      </c>
      <c r="I3129" s="27">
        <f t="shared" si="144"/>
        <v>0.33885398975999997</v>
      </c>
      <c r="J3129" s="129">
        <f t="shared" si="145"/>
        <v>19.250879999999999</v>
      </c>
    </row>
    <row r="3130" spans="1:10" hidden="1" x14ac:dyDescent="0.35">
      <c r="A3130" s="126" t="s">
        <v>440</v>
      </c>
      <c r="B3130" t="str">
        <f>_xlfn.XLOOKUP(A3130,'[1]2050Pop'!$A$7:$A$143,'[1]2050Pop'!$D$7:$D$143)</f>
        <v>Euro/AU/NZ</v>
      </c>
      <c r="C3130" s="127">
        <f>1000*_xlfn.XLOOKUP(A3130,'[1]2050Pop'!$A$7:$A$143,'[1]2050Pop'!$C$7:$C$143)</f>
        <v>5607</v>
      </c>
      <c r="D3130" s="126" t="s">
        <v>523</v>
      </c>
      <c r="E3130" s="128">
        <v>100.218</v>
      </c>
      <c r="F3130" s="129">
        <f t="shared" si="146"/>
        <v>0.56192232600000003</v>
      </c>
      <c r="G3130" t="str">
        <f>_xlfn.XLOOKUP(D3130,'[1]2050 BAU Mapping to T &amp; C'!$A$3:$A$52,'[1]2050 BAU Mapping to T &amp; C'!$B$3:$B$52)</f>
        <v>Starchy roots</v>
      </c>
      <c r="H3130" s="129">
        <f>_xlfn.XLOOKUP(G3130,'[1]T&amp;C emissions for 2050 analysis'!$B$3:$B$23,'[1]T&amp;C emissions for 2050 analysis'!$C$3:$C$23)</f>
        <v>0.10999999999999999</v>
      </c>
      <c r="I3130" s="27">
        <f t="shared" si="144"/>
        <v>6.1811455859999996E-2</v>
      </c>
      <c r="J3130" s="129">
        <f t="shared" si="145"/>
        <v>11.02398</v>
      </c>
    </row>
    <row r="3131" spans="1:10" hidden="1" x14ac:dyDescent="0.35">
      <c r="A3131" s="126" t="s">
        <v>441</v>
      </c>
      <c r="B3131" t="str">
        <f>_xlfn.XLOOKUP(A3131,'[1]2050Pop'!$A$7:$A$143,'[1]2050Pop'!$D$7:$D$143)</f>
        <v>LatAm &amp; RSA</v>
      </c>
      <c r="C3131" s="127">
        <f>1000*_xlfn.XLOOKUP(A3131,'[1]2050Pop'!$A$7:$A$143,'[1]2050Pop'!$C$7:$C$143)</f>
        <v>7863</v>
      </c>
      <c r="D3131" s="126" t="s">
        <v>523</v>
      </c>
      <c r="E3131" s="128">
        <v>21.800999999999998</v>
      </c>
      <c r="F3131" s="129">
        <f t="shared" si="146"/>
        <v>0.17142126299999999</v>
      </c>
      <c r="G3131" t="str">
        <f>_xlfn.XLOOKUP(D3131,'[1]2050 BAU Mapping to T &amp; C'!$A$3:$A$52,'[1]2050 BAU Mapping to T &amp; C'!$B$3:$B$52)</f>
        <v>Starchy roots</v>
      </c>
      <c r="H3131" s="129">
        <f>_xlfn.XLOOKUP(G3131,'[1]T&amp;C emissions for 2050 analysis'!$B$3:$B$23,'[1]T&amp;C emissions for 2050 analysis'!$C$3:$C$23)</f>
        <v>0.10999999999999999</v>
      </c>
      <c r="I3131" s="27">
        <f t="shared" si="144"/>
        <v>1.8856338929999997E-2</v>
      </c>
      <c r="J3131" s="129">
        <f t="shared" si="145"/>
        <v>2.3981099999999995</v>
      </c>
    </row>
    <row r="3132" spans="1:10" hidden="1" x14ac:dyDescent="0.35">
      <c r="A3132" s="126" t="s">
        <v>482</v>
      </c>
      <c r="B3132" t="str">
        <f>_xlfn.XLOOKUP(A3132,'[1]2050Pop'!$A$7:$A$143,'[1]2050Pop'!$D$7:$D$143)</f>
        <v>SSA</v>
      </c>
      <c r="C3132" s="127">
        <f>1000*_xlfn.XLOOKUP(A3132,'[1]2050Pop'!$A$7:$A$143,'[1]2050Pop'!$C$7:$C$143)</f>
        <v>72238</v>
      </c>
      <c r="D3132" s="126" t="s">
        <v>523</v>
      </c>
      <c r="E3132" s="128">
        <v>12.493</v>
      </c>
      <c r="F3132" s="129">
        <f t="shared" si="146"/>
        <v>0.90246933400000007</v>
      </c>
      <c r="G3132" t="str">
        <f>_xlfn.XLOOKUP(D3132,'[1]2050 BAU Mapping to T &amp; C'!$A$3:$A$52,'[1]2050 BAU Mapping to T &amp; C'!$B$3:$B$52)</f>
        <v>Starchy roots</v>
      </c>
      <c r="H3132" s="129">
        <f>_xlfn.XLOOKUP(G3132,'[1]T&amp;C emissions for 2050 analysis'!$B$3:$B$23,'[1]T&amp;C emissions for 2050 analysis'!$C$3:$C$23)</f>
        <v>0.10999999999999999</v>
      </c>
      <c r="I3132" s="27">
        <f t="shared" si="144"/>
        <v>9.9271626739999994E-2</v>
      </c>
      <c r="J3132" s="129">
        <f t="shared" si="145"/>
        <v>1.3742299999999998</v>
      </c>
    </row>
    <row r="3133" spans="1:10" hidden="1" x14ac:dyDescent="0.35">
      <c r="A3133" s="126" t="s">
        <v>491</v>
      </c>
      <c r="B3133" t="str">
        <f>_xlfn.XLOOKUP(A3133,'[1]2050Pop'!$A$7:$A$143,'[1]2050Pop'!$D$7:$D$143)</f>
        <v>SSA</v>
      </c>
      <c r="C3133" s="127">
        <f>1000*_xlfn.XLOOKUP(A3133,'[1]2050Pop'!$A$7:$A$143,'[1]2050Pop'!$C$7:$C$143)</f>
        <v>398508</v>
      </c>
      <c r="D3133" s="126" t="s">
        <v>523</v>
      </c>
      <c r="E3133" s="128">
        <v>21.951000000000001</v>
      </c>
      <c r="F3133" s="129">
        <f t="shared" si="146"/>
        <v>8.747649108000001</v>
      </c>
      <c r="G3133" t="str">
        <f>_xlfn.XLOOKUP(D3133,'[1]2050 BAU Mapping to T &amp; C'!$A$3:$A$52,'[1]2050 BAU Mapping to T &amp; C'!$B$3:$B$52)</f>
        <v>Starchy roots</v>
      </c>
      <c r="H3133" s="129">
        <f>_xlfn.XLOOKUP(G3133,'[1]T&amp;C emissions for 2050 analysis'!$B$3:$B$23,'[1]T&amp;C emissions for 2050 analysis'!$C$3:$C$23)</f>
        <v>0.10999999999999999</v>
      </c>
      <c r="I3133" s="27">
        <f t="shared" si="144"/>
        <v>0.96224140187999996</v>
      </c>
      <c r="J3133" s="129">
        <f t="shared" si="145"/>
        <v>2.4146099999999997</v>
      </c>
    </row>
    <row r="3134" spans="1:10" hidden="1" x14ac:dyDescent="0.35">
      <c r="A3134" s="126" t="s">
        <v>442</v>
      </c>
      <c r="B3134" t="str">
        <f>_xlfn.XLOOKUP(A3134,'[1]2050Pop'!$A$7:$A$143,'[1]2050Pop'!$D$7:$D$143)</f>
        <v>Euro/AU/NZ</v>
      </c>
      <c r="C3134" s="127">
        <f>1000*_xlfn.XLOOKUP(A3134,'[1]2050Pop'!$A$7:$A$143,'[1]2050Pop'!$C$7:$C$143)</f>
        <v>6658</v>
      </c>
      <c r="D3134" s="126" t="s">
        <v>523</v>
      </c>
      <c r="E3134" s="130">
        <v>100.33</v>
      </c>
      <c r="F3134" s="129">
        <f t="shared" si="146"/>
        <v>0.66799713999999999</v>
      </c>
      <c r="G3134" t="str">
        <f>_xlfn.XLOOKUP(D3134,'[1]2050 BAU Mapping to T &amp; C'!$A$3:$A$52,'[1]2050 BAU Mapping to T &amp; C'!$B$3:$B$52)</f>
        <v>Starchy roots</v>
      </c>
      <c r="H3134" s="129">
        <f>_xlfn.XLOOKUP(G3134,'[1]T&amp;C emissions for 2050 analysis'!$B$3:$B$23,'[1]T&amp;C emissions for 2050 analysis'!$C$3:$C$23)</f>
        <v>0.10999999999999999</v>
      </c>
      <c r="I3134" s="27">
        <f t="shared" si="144"/>
        <v>7.3479685399999994E-2</v>
      </c>
      <c r="J3134" s="129">
        <f t="shared" si="145"/>
        <v>11.036299999999999</v>
      </c>
    </row>
    <row r="3135" spans="1:10" hidden="1" x14ac:dyDescent="0.35">
      <c r="A3135" s="126" t="s">
        <v>443</v>
      </c>
      <c r="B3135" t="str">
        <f>_xlfn.XLOOKUP(A3135,'[1]2050Pop'!$A$7:$A$143,'[1]2050Pop'!$D$7:$D$143)</f>
        <v>India/South Asia</v>
      </c>
      <c r="C3135" s="127">
        <f>1000*_xlfn.XLOOKUP(A3135,'[1]2050Pop'!$A$7:$A$143,'[1]2050Pop'!$C$7:$C$143)</f>
        <v>309640</v>
      </c>
      <c r="D3135" s="126" t="s">
        <v>523</v>
      </c>
      <c r="E3135" s="128">
        <v>33.122999999999998</v>
      </c>
      <c r="F3135" s="129">
        <f t="shared" si="146"/>
        <v>10.256205719999999</v>
      </c>
      <c r="G3135" t="str">
        <f>_xlfn.XLOOKUP(D3135,'[1]2050 BAU Mapping to T &amp; C'!$A$3:$A$52,'[1]2050 BAU Mapping to T &amp; C'!$B$3:$B$52)</f>
        <v>Starchy roots</v>
      </c>
      <c r="H3135" s="129">
        <f>_xlfn.XLOOKUP(G3135,'[1]T&amp;C emissions for 2050 analysis'!$B$3:$B$23,'[1]T&amp;C emissions for 2050 analysis'!$C$3:$C$23)</f>
        <v>0.10999999999999999</v>
      </c>
      <c r="I3135" s="27">
        <f t="shared" si="144"/>
        <v>1.1281826291999997</v>
      </c>
      <c r="J3135" s="129">
        <f t="shared" si="145"/>
        <v>3.6435299999999993</v>
      </c>
    </row>
    <row r="3136" spans="1:10" hidden="1" x14ac:dyDescent="0.35">
      <c r="A3136" s="126" t="s">
        <v>444</v>
      </c>
      <c r="B3136" t="str">
        <f>_xlfn.XLOOKUP(A3136,'[1]2050Pop'!$A$7:$A$143,'[1]2050Pop'!$D$7:$D$143)</f>
        <v>LatAm &amp; RSA</v>
      </c>
      <c r="C3136" s="127">
        <f>1000*_xlfn.XLOOKUP(A3136,'[1]2050Pop'!$A$7:$A$143,'[1]2050Pop'!$C$7:$C$143)</f>
        <v>5599</v>
      </c>
      <c r="D3136" s="126" t="s">
        <v>523</v>
      </c>
      <c r="E3136" s="130">
        <v>37.880000000000003</v>
      </c>
      <c r="F3136" s="129">
        <f t="shared" si="146"/>
        <v>0.21209012000000002</v>
      </c>
      <c r="G3136" t="str">
        <f>_xlfn.XLOOKUP(D3136,'[1]2050 BAU Mapping to T &amp; C'!$A$3:$A$52,'[1]2050 BAU Mapping to T &amp; C'!$B$3:$B$52)</f>
        <v>Starchy roots</v>
      </c>
      <c r="H3136" s="129">
        <f>_xlfn.XLOOKUP(G3136,'[1]T&amp;C emissions for 2050 analysis'!$B$3:$B$23,'[1]T&amp;C emissions for 2050 analysis'!$C$3:$C$23)</f>
        <v>0.10999999999999999</v>
      </c>
      <c r="I3136" s="27">
        <f t="shared" si="144"/>
        <v>2.33299132E-2</v>
      </c>
      <c r="J3136" s="129">
        <f t="shared" si="145"/>
        <v>4.1667999999999994</v>
      </c>
    </row>
    <row r="3137" spans="1:10" hidden="1" x14ac:dyDescent="0.35">
      <c r="A3137" s="126" t="s">
        <v>445</v>
      </c>
      <c r="B3137" t="str">
        <f>_xlfn.XLOOKUP(A3137,'[1]2050Pop'!$A$7:$A$143,'[1]2050Pop'!$D$7:$D$143)</f>
        <v>LatAm &amp; RSA</v>
      </c>
      <c r="C3137" s="127">
        <f>1000*_xlfn.XLOOKUP(A3137,'[1]2050Pop'!$A$7:$A$143,'[1]2050Pop'!$C$7:$C$143)</f>
        <v>8895</v>
      </c>
      <c r="D3137" s="126" t="s">
        <v>523</v>
      </c>
      <c r="E3137" s="128">
        <v>15.106999999999999</v>
      </c>
      <c r="F3137" s="129">
        <f t="shared" si="146"/>
        <v>0.13437676499999998</v>
      </c>
      <c r="G3137" t="str">
        <f>_xlfn.XLOOKUP(D3137,'[1]2050 BAU Mapping to T &amp; C'!$A$3:$A$52,'[1]2050 BAU Mapping to T &amp; C'!$B$3:$B$52)</f>
        <v>Starchy roots</v>
      </c>
      <c r="H3137" s="129">
        <f>_xlfn.XLOOKUP(G3137,'[1]T&amp;C emissions for 2050 analysis'!$B$3:$B$23,'[1]T&amp;C emissions for 2050 analysis'!$C$3:$C$23)</f>
        <v>0.10999999999999999</v>
      </c>
      <c r="I3137" s="27">
        <f t="shared" si="144"/>
        <v>1.4781444149999996E-2</v>
      </c>
      <c r="J3137" s="129">
        <f t="shared" si="145"/>
        <v>1.6617699999999997</v>
      </c>
    </row>
    <row r="3138" spans="1:10" hidden="1" x14ac:dyDescent="0.35">
      <c r="A3138" s="126" t="s">
        <v>446</v>
      </c>
      <c r="B3138" t="str">
        <f>_xlfn.XLOOKUP(A3138,'[1]2050Pop'!$A$7:$A$143,'[1]2050Pop'!$D$7:$D$143)</f>
        <v>LatAm &amp; RSA</v>
      </c>
      <c r="C3138" s="127">
        <f>1000*_xlfn.XLOOKUP(A3138,'[1]2050Pop'!$A$7:$A$143,'[1]2050Pop'!$C$7:$C$143)</f>
        <v>41899</v>
      </c>
      <c r="D3138" s="126" t="s">
        <v>523</v>
      </c>
      <c r="E3138" s="128">
        <v>343.28800000000001</v>
      </c>
      <c r="F3138" s="129">
        <f t="shared" si="146"/>
        <v>14.383423912</v>
      </c>
      <c r="G3138" t="str">
        <f>_xlfn.XLOOKUP(D3138,'[1]2050 BAU Mapping to T &amp; C'!$A$3:$A$52,'[1]2050 BAU Mapping to T &amp; C'!$B$3:$B$52)</f>
        <v>Starchy roots</v>
      </c>
      <c r="H3138" s="129">
        <f>_xlfn.XLOOKUP(G3138,'[1]T&amp;C emissions for 2050 analysis'!$B$3:$B$23,'[1]T&amp;C emissions for 2050 analysis'!$C$3:$C$23)</f>
        <v>0.10999999999999999</v>
      </c>
      <c r="I3138" s="27">
        <f t="shared" si="144"/>
        <v>1.5821766303199998</v>
      </c>
      <c r="J3138" s="129">
        <f t="shared" si="145"/>
        <v>37.761679999999998</v>
      </c>
    </row>
    <row r="3139" spans="1:10" hidden="1" x14ac:dyDescent="0.35">
      <c r="A3139" s="126" t="s">
        <v>447</v>
      </c>
      <c r="B3139" t="str">
        <f>_xlfn.XLOOKUP(A3139,'[1]2050Pop'!$A$7:$A$143,'[1]2050Pop'!$D$7:$D$143)</f>
        <v>APAC</v>
      </c>
      <c r="C3139" s="127">
        <f>1000*_xlfn.XLOOKUP(A3139,'[1]2050Pop'!$A$7:$A$143,'[1]2050Pop'!$C$7:$C$143)</f>
        <v>148260</v>
      </c>
      <c r="D3139" s="126" t="s">
        <v>523</v>
      </c>
      <c r="E3139" s="128">
        <v>9.6189999999999998</v>
      </c>
      <c r="F3139" s="129">
        <f t="shared" si="146"/>
        <v>1.4261129399999999</v>
      </c>
      <c r="G3139" t="str">
        <f>_xlfn.XLOOKUP(D3139,'[1]2050 BAU Mapping to T &amp; C'!$A$3:$A$52,'[1]2050 BAU Mapping to T &amp; C'!$B$3:$B$52)</f>
        <v>Starchy roots</v>
      </c>
      <c r="H3139" s="129">
        <f>_xlfn.XLOOKUP(G3139,'[1]T&amp;C emissions for 2050 analysis'!$B$3:$B$23,'[1]T&amp;C emissions for 2050 analysis'!$C$3:$C$23)</f>
        <v>0.10999999999999999</v>
      </c>
      <c r="I3139" s="27">
        <f t="shared" si="144"/>
        <v>0.15687242339999996</v>
      </c>
      <c r="J3139" s="129">
        <f t="shared" si="145"/>
        <v>1.0580899999999998</v>
      </c>
    </row>
    <row r="3140" spans="1:10" hidden="1" x14ac:dyDescent="0.35">
      <c r="A3140" s="126" t="s">
        <v>448</v>
      </c>
      <c r="B3140" t="str">
        <f>_xlfn.XLOOKUP(A3140,'[1]2050Pop'!$A$7:$A$143,'[1]2050Pop'!$D$7:$D$143)</f>
        <v>Euro/AU/NZ</v>
      </c>
      <c r="C3140" s="127">
        <f>1000*_xlfn.XLOOKUP(A3140,'[1]2050Pop'!$A$7:$A$143,'[1]2050Pop'!$C$7:$C$143)</f>
        <v>33136</v>
      </c>
      <c r="D3140" s="126" t="s">
        <v>523</v>
      </c>
      <c r="E3140" s="128">
        <v>204.31200000000001</v>
      </c>
      <c r="F3140" s="129">
        <f t="shared" si="146"/>
        <v>6.7700824319999997</v>
      </c>
      <c r="G3140" t="str">
        <f>_xlfn.XLOOKUP(D3140,'[1]2050 BAU Mapping to T &amp; C'!$A$3:$A$52,'[1]2050 BAU Mapping to T &amp; C'!$B$3:$B$52)</f>
        <v>Starchy roots</v>
      </c>
      <c r="H3140" s="129">
        <f>_xlfn.XLOOKUP(G3140,'[1]T&amp;C emissions for 2050 analysis'!$B$3:$B$23,'[1]T&amp;C emissions for 2050 analysis'!$C$3:$C$23)</f>
        <v>0.10999999999999999</v>
      </c>
      <c r="I3140" s="27">
        <f t="shared" ref="I3140:I3203" si="147">F3140*H3140</f>
        <v>0.74470906751999988</v>
      </c>
      <c r="J3140" s="129">
        <f t="shared" ref="J3140:J3203" si="148">E3140*H3140</f>
        <v>22.474319999999999</v>
      </c>
    </row>
    <row r="3141" spans="1:10" hidden="1" x14ac:dyDescent="0.35">
      <c r="A3141" s="126" t="s">
        <v>449</v>
      </c>
      <c r="B3141" t="str">
        <f>_xlfn.XLOOKUP(A3141,'[1]2050Pop'!$A$7:$A$143,'[1]2050Pop'!$D$7:$D$143)</f>
        <v>Euro/AU/NZ</v>
      </c>
      <c r="C3141" s="127">
        <f>1000*_xlfn.XLOOKUP(A3141,'[1]2050Pop'!$A$7:$A$143,'[1]2050Pop'!$C$7:$C$143)</f>
        <v>9216</v>
      </c>
      <c r="D3141" s="126" t="s">
        <v>523</v>
      </c>
      <c r="E3141" s="130">
        <v>122.95</v>
      </c>
      <c r="F3141" s="129">
        <f t="shared" ref="F3141:F3204" si="149">C3141*E3141/1000000</f>
        <v>1.1331072</v>
      </c>
      <c r="G3141" t="str">
        <f>_xlfn.XLOOKUP(D3141,'[1]2050 BAU Mapping to T &amp; C'!$A$3:$A$52,'[1]2050 BAU Mapping to T &amp; C'!$B$3:$B$52)</f>
        <v>Starchy roots</v>
      </c>
      <c r="H3141" s="129">
        <f>_xlfn.XLOOKUP(G3141,'[1]T&amp;C emissions for 2050 analysis'!$B$3:$B$23,'[1]T&amp;C emissions for 2050 analysis'!$C$3:$C$23)</f>
        <v>0.10999999999999999</v>
      </c>
      <c r="I3141" s="27">
        <f t="shared" si="147"/>
        <v>0.12464179199999999</v>
      </c>
      <c r="J3141" s="129">
        <f t="shared" si="148"/>
        <v>13.524499999999998</v>
      </c>
    </row>
    <row r="3142" spans="1:10" hidden="1" x14ac:dyDescent="0.35">
      <c r="A3142" s="126" t="s">
        <v>450</v>
      </c>
      <c r="B3142" t="str">
        <f>_xlfn.XLOOKUP(A3142,'[1]2050Pop'!$A$7:$A$143,'[1]2050Pop'!$D$7:$D$143)</f>
        <v>APAC</v>
      </c>
      <c r="C3142" s="127">
        <f>1000*_xlfn.XLOOKUP(A3142,'[1]2050Pop'!$A$7:$A$143,'[1]2050Pop'!$C$7:$C$143)</f>
        <v>50593</v>
      </c>
      <c r="D3142" s="126" t="s">
        <v>523</v>
      </c>
      <c r="E3142" s="130">
        <v>31.54</v>
      </c>
      <c r="F3142" s="129">
        <f t="shared" si="149"/>
        <v>1.5957032199999999</v>
      </c>
      <c r="G3142" t="str">
        <f>_xlfn.XLOOKUP(D3142,'[1]2050 BAU Mapping to T &amp; C'!$A$3:$A$52,'[1]2050 BAU Mapping to T &amp; C'!$B$3:$B$52)</f>
        <v>Starchy roots</v>
      </c>
      <c r="H3142" s="129">
        <f>_xlfn.XLOOKUP(G3142,'[1]T&amp;C emissions for 2050 analysis'!$B$3:$B$23,'[1]T&amp;C emissions for 2050 analysis'!$C$3:$C$23)</f>
        <v>0.10999999999999999</v>
      </c>
      <c r="I3142" s="27">
        <f t="shared" si="147"/>
        <v>0.17552735419999996</v>
      </c>
      <c r="J3142" s="129">
        <f t="shared" si="148"/>
        <v>3.4693999999999994</v>
      </c>
    </row>
    <row r="3143" spans="1:10" hidden="1" x14ac:dyDescent="0.35">
      <c r="A3143" s="126" t="s">
        <v>451</v>
      </c>
      <c r="B3143" t="str">
        <f>_xlfn.XLOOKUP(A3143,'[1]2050Pop'!$A$7:$A$143,'[1]2050Pop'!$D$7:$D$143)</f>
        <v>Euro/AU/NZ</v>
      </c>
      <c r="C3143" s="127">
        <f>1000*_xlfn.XLOOKUP(A3143,'[1]2050Pop'!$A$7:$A$143,'[1]2050Pop'!$C$7:$C$143)</f>
        <v>3243</v>
      </c>
      <c r="D3143" s="126" t="s">
        <v>523</v>
      </c>
      <c r="E3143" s="128">
        <v>109.29600000000001</v>
      </c>
      <c r="F3143" s="129">
        <f t="shared" si="149"/>
        <v>0.35444692799999999</v>
      </c>
      <c r="G3143" t="str">
        <f>_xlfn.XLOOKUP(D3143,'[1]2050 BAU Mapping to T &amp; C'!$A$3:$A$52,'[1]2050 BAU Mapping to T &amp; C'!$B$3:$B$52)</f>
        <v>Starchy roots</v>
      </c>
      <c r="H3143" s="129">
        <f>_xlfn.XLOOKUP(G3143,'[1]T&amp;C emissions for 2050 analysis'!$B$3:$B$23,'[1]T&amp;C emissions for 2050 analysis'!$C$3:$C$23)</f>
        <v>0.10999999999999999</v>
      </c>
      <c r="I3143" s="27">
        <f t="shared" si="147"/>
        <v>3.8989162079999994E-2</v>
      </c>
      <c r="J3143" s="129">
        <f t="shared" si="148"/>
        <v>12.022559999999999</v>
      </c>
    </row>
    <row r="3144" spans="1:10" hidden="1" x14ac:dyDescent="0.35">
      <c r="A3144" s="126" t="s">
        <v>452</v>
      </c>
      <c r="B3144" t="str">
        <f>_xlfn.XLOOKUP(A3144,'[1]2050Pop'!$A$7:$A$143,'[1]2050Pop'!$D$7:$D$143)</f>
        <v>SSA</v>
      </c>
      <c r="C3144" s="127">
        <f>1000*_xlfn.XLOOKUP(A3144,'[1]2050Pop'!$A$7:$A$143,'[1]2050Pop'!$C$7:$C$143)</f>
        <v>10732</v>
      </c>
      <c r="D3144" s="126" t="s">
        <v>523</v>
      </c>
      <c r="E3144" s="128">
        <v>8.4459999999999997</v>
      </c>
      <c r="F3144" s="129">
        <f t="shared" si="149"/>
        <v>9.0642471999999988E-2</v>
      </c>
      <c r="G3144" t="str">
        <f>_xlfn.XLOOKUP(D3144,'[1]2050 BAU Mapping to T &amp; C'!$A$3:$A$52,'[1]2050 BAU Mapping to T &amp; C'!$B$3:$B$52)</f>
        <v>Starchy roots</v>
      </c>
      <c r="H3144" s="129">
        <f>_xlfn.XLOOKUP(G3144,'[1]T&amp;C emissions for 2050 analysis'!$B$3:$B$23,'[1]T&amp;C emissions for 2050 analysis'!$C$3:$C$23)</f>
        <v>0.10999999999999999</v>
      </c>
      <c r="I3144" s="27">
        <f t="shared" si="147"/>
        <v>9.9706719199999967E-3</v>
      </c>
      <c r="J3144" s="129">
        <f t="shared" si="148"/>
        <v>0.92905999999999989</v>
      </c>
    </row>
    <row r="3145" spans="1:10" hidden="1" x14ac:dyDescent="0.35">
      <c r="A3145" s="126" t="s">
        <v>453</v>
      </c>
      <c r="B3145" t="str">
        <f>_xlfn.XLOOKUP(A3145,'[1]2050Pop'!$A$7:$A$143,'[1]2050Pop'!$D$7:$D$143)</f>
        <v>Euro/AU/NZ</v>
      </c>
      <c r="C3145" s="127">
        <f>1000*_xlfn.XLOOKUP(A3145,'[1]2050Pop'!$A$7:$A$143,'[1]2050Pop'!$C$7:$C$143)</f>
        <v>15207</v>
      </c>
      <c r="D3145" s="126" t="s">
        <v>523</v>
      </c>
      <c r="E3145" s="128">
        <v>188.45599999999999</v>
      </c>
      <c r="F3145" s="129">
        <f t="shared" si="149"/>
        <v>2.865850392</v>
      </c>
      <c r="G3145" t="str">
        <f>_xlfn.XLOOKUP(D3145,'[1]2050 BAU Mapping to T &amp; C'!$A$3:$A$52,'[1]2050 BAU Mapping to T &amp; C'!$B$3:$B$52)</f>
        <v>Starchy roots</v>
      </c>
      <c r="H3145" s="129">
        <f>_xlfn.XLOOKUP(G3145,'[1]T&amp;C emissions for 2050 analysis'!$B$3:$B$23,'[1]T&amp;C emissions for 2050 analysis'!$C$3:$C$23)</f>
        <v>0.10999999999999999</v>
      </c>
      <c r="I3145" s="27">
        <f t="shared" si="147"/>
        <v>0.31524354311999997</v>
      </c>
      <c r="J3145" s="129">
        <f t="shared" si="148"/>
        <v>20.730159999999998</v>
      </c>
    </row>
    <row r="3146" spans="1:10" hidden="1" x14ac:dyDescent="0.35">
      <c r="A3146" s="126" t="s">
        <v>454</v>
      </c>
      <c r="B3146" t="str">
        <f>_xlfn.XLOOKUP(A3146,'[1]2050Pop'!$A$7:$A$143,'[1]2050Pop'!$D$7:$D$143)</f>
        <v>Euro/AU/NZ</v>
      </c>
      <c r="C3146" s="127">
        <f>1000*_xlfn.XLOOKUP(A3146,'[1]2050Pop'!$A$7:$A$143,'[1]2050Pop'!$C$7:$C$143)</f>
        <v>128598.99999999999</v>
      </c>
      <c r="D3146" s="126" t="s">
        <v>523</v>
      </c>
      <c r="E3146" s="128">
        <v>216.74799999999999</v>
      </c>
      <c r="F3146" s="129">
        <f t="shared" si="149"/>
        <v>27.873576051999997</v>
      </c>
      <c r="G3146" t="str">
        <f>_xlfn.XLOOKUP(D3146,'[1]2050 BAU Mapping to T &amp; C'!$A$3:$A$52,'[1]2050 BAU Mapping to T &amp; C'!$B$3:$B$52)</f>
        <v>Starchy roots</v>
      </c>
      <c r="H3146" s="129">
        <f>_xlfn.XLOOKUP(G3146,'[1]T&amp;C emissions for 2050 analysis'!$B$3:$B$23,'[1]T&amp;C emissions for 2050 analysis'!$C$3:$C$23)</f>
        <v>0.10999999999999999</v>
      </c>
      <c r="I3146" s="27">
        <f t="shared" si="147"/>
        <v>3.0660933657199991</v>
      </c>
      <c r="J3146" s="129">
        <f t="shared" si="148"/>
        <v>23.842279999999995</v>
      </c>
    </row>
    <row r="3147" spans="1:10" hidden="1" x14ac:dyDescent="0.35">
      <c r="A3147" s="126" t="s">
        <v>455</v>
      </c>
      <c r="B3147" t="str">
        <f>_xlfn.XLOOKUP(A3147,'[1]2050Pop'!$A$7:$A$143,'[1]2050Pop'!$D$7:$D$143)</f>
        <v>SSA</v>
      </c>
      <c r="C3147" s="127">
        <f>1000*_xlfn.XLOOKUP(A3147,'[1]2050Pop'!$A$7:$A$143,'[1]2050Pop'!$C$7:$C$143)</f>
        <v>21187</v>
      </c>
      <c r="D3147" s="126" t="s">
        <v>523</v>
      </c>
      <c r="E3147" s="128">
        <v>380.46800000000002</v>
      </c>
      <c r="F3147" s="129">
        <f t="shared" si="149"/>
        <v>8.060975516000001</v>
      </c>
      <c r="G3147" t="str">
        <f>_xlfn.XLOOKUP(D3147,'[1]2050 BAU Mapping to T &amp; C'!$A$3:$A$52,'[1]2050 BAU Mapping to T &amp; C'!$B$3:$B$52)</f>
        <v>Starchy roots</v>
      </c>
      <c r="H3147" s="129">
        <f>_xlfn.XLOOKUP(G3147,'[1]T&amp;C emissions for 2050 analysis'!$B$3:$B$23,'[1]T&amp;C emissions for 2050 analysis'!$C$3:$C$23)</f>
        <v>0.10999999999999999</v>
      </c>
      <c r="I3147" s="27">
        <f t="shared" si="147"/>
        <v>0.88670730675999998</v>
      </c>
      <c r="J3147" s="129">
        <f t="shared" si="148"/>
        <v>41.851479999999995</v>
      </c>
    </row>
    <row r="3148" spans="1:10" hidden="1" x14ac:dyDescent="0.35">
      <c r="A3148" s="126" t="s">
        <v>456</v>
      </c>
      <c r="B3148" t="str">
        <f>_xlfn.XLOOKUP(A3148,'[1]2050Pop'!$A$7:$A$143,'[1]2050Pop'!$D$7:$D$143)</f>
        <v>MENA</v>
      </c>
      <c r="C3148" s="127">
        <f>1000*_xlfn.XLOOKUP(A3148,'[1]2050Pop'!$A$7:$A$143,'[1]2050Pop'!$C$7:$C$143)</f>
        <v>46059</v>
      </c>
      <c r="D3148" s="126" t="s">
        <v>523</v>
      </c>
      <c r="E3148" s="128">
        <v>37.697000000000003</v>
      </c>
      <c r="F3148" s="129">
        <f t="shared" si="149"/>
        <v>1.7362861230000002</v>
      </c>
      <c r="G3148" t="str">
        <f>_xlfn.XLOOKUP(D3148,'[1]2050 BAU Mapping to T &amp; C'!$A$3:$A$52,'[1]2050 BAU Mapping to T &amp; C'!$B$3:$B$52)</f>
        <v>Starchy roots</v>
      </c>
      <c r="H3148" s="129">
        <f>_xlfn.XLOOKUP(G3148,'[1]T&amp;C emissions for 2050 analysis'!$B$3:$B$23,'[1]T&amp;C emissions for 2050 analysis'!$C$3:$C$23)</f>
        <v>0.10999999999999999</v>
      </c>
      <c r="I3148" s="27">
        <f t="shared" si="147"/>
        <v>0.19099147352999998</v>
      </c>
      <c r="J3148" s="129">
        <f t="shared" si="148"/>
        <v>4.1466699999999994</v>
      </c>
    </row>
    <row r="3149" spans="1:10" hidden="1" x14ac:dyDescent="0.35">
      <c r="A3149" s="126" t="s">
        <v>457</v>
      </c>
      <c r="B3149" t="str">
        <f>_xlfn.XLOOKUP(A3149,'[1]2050Pop'!$A$7:$A$143,'[1]2050Pop'!$D$7:$D$143)</f>
        <v>SSA</v>
      </c>
      <c r="C3149" s="127">
        <f>1000*_xlfn.XLOOKUP(A3149,'[1]2050Pop'!$A$7:$A$143,'[1]2050Pop'!$C$7:$C$143)</f>
        <v>36223</v>
      </c>
      <c r="D3149" s="126" t="s">
        <v>523</v>
      </c>
      <c r="E3149" s="130">
        <v>22.51</v>
      </c>
      <c r="F3149" s="129">
        <f t="shared" si="149"/>
        <v>0.81537973000000008</v>
      </c>
      <c r="G3149" t="str">
        <f>_xlfn.XLOOKUP(D3149,'[1]2050 BAU Mapping to T &amp; C'!$A$3:$A$52,'[1]2050 BAU Mapping to T &amp; C'!$B$3:$B$52)</f>
        <v>Starchy roots</v>
      </c>
      <c r="H3149" s="129">
        <f>_xlfn.XLOOKUP(G3149,'[1]T&amp;C emissions for 2050 analysis'!$B$3:$B$23,'[1]T&amp;C emissions for 2050 analysis'!$C$3:$C$23)</f>
        <v>0.10999999999999999</v>
      </c>
      <c r="I3149" s="27">
        <f t="shared" si="147"/>
        <v>8.9691770300000001E-2</v>
      </c>
      <c r="J3149" s="129">
        <f t="shared" si="148"/>
        <v>2.4760999999999997</v>
      </c>
    </row>
    <row r="3150" spans="1:10" hidden="1" x14ac:dyDescent="0.35">
      <c r="A3150" s="126" t="s">
        <v>458</v>
      </c>
      <c r="B3150" t="str">
        <f>_xlfn.XLOOKUP(A3150,'[1]2050Pop'!$A$7:$A$143,'[1]2050Pop'!$D$7:$D$143)</f>
        <v>Euro/AU/NZ</v>
      </c>
      <c r="C3150" s="127">
        <f>1000*_xlfn.XLOOKUP(A3150,'[1]2050Pop'!$A$7:$A$143,'[1]2050Pop'!$C$7:$C$143)</f>
        <v>7331</v>
      </c>
      <c r="D3150" s="126" t="s">
        <v>523</v>
      </c>
      <c r="E3150" s="131">
        <v>75.900000000000006</v>
      </c>
      <c r="F3150" s="129">
        <f t="shared" si="149"/>
        <v>0.55642290000000005</v>
      </c>
      <c r="G3150" t="str">
        <f>_xlfn.XLOOKUP(D3150,'[1]2050 BAU Mapping to T &amp; C'!$A$3:$A$52,'[1]2050 BAU Mapping to T &amp; C'!$B$3:$B$52)</f>
        <v>Starchy roots</v>
      </c>
      <c r="H3150" s="129">
        <f>_xlfn.XLOOKUP(G3150,'[1]T&amp;C emissions for 2050 analysis'!$B$3:$B$23,'[1]T&amp;C emissions for 2050 analysis'!$C$3:$C$23)</f>
        <v>0.10999999999999999</v>
      </c>
      <c r="I3150" s="27">
        <f t="shared" si="147"/>
        <v>6.1206519000000001E-2</v>
      </c>
      <c r="J3150" s="129">
        <f t="shared" si="148"/>
        <v>8.3490000000000002</v>
      </c>
    </row>
    <row r="3151" spans="1:10" hidden="1" x14ac:dyDescent="0.35">
      <c r="A3151" s="126" t="s">
        <v>492</v>
      </c>
      <c r="B3151" t="str">
        <f>_xlfn.XLOOKUP(A3151,'[1]2050Pop'!$A$7:$A$143,'[1]2050Pop'!$D$7:$D$143)</f>
        <v>SSA</v>
      </c>
      <c r="C3151" s="127">
        <f>1000*_xlfn.XLOOKUP(A3151,'[1]2050Pop'!$A$7:$A$143,'[1]2050Pop'!$C$7:$C$143)</f>
        <v>11392</v>
      </c>
      <c r="D3151" s="126" t="s">
        <v>523</v>
      </c>
      <c r="E3151" s="128">
        <v>2.6179999999999999</v>
      </c>
      <c r="F3151" s="129">
        <f t="shared" si="149"/>
        <v>2.9824255999999997E-2</v>
      </c>
      <c r="G3151" t="str">
        <f>_xlfn.XLOOKUP(D3151,'[1]2050 BAU Mapping to T &amp; C'!$A$3:$A$52,'[1]2050 BAU Mapping to T &amp; C'!$B$3:$B$52)</f>
        <v>Starchy roots</v>
      </c>
      <c r="H3151" s="129">
        <f>_xlfn.XLOOKUP(G3151,'[1]T&amp;C emissions for 2050 analysis'!$B$3:$B$23,'[1]T&amp;C emissions for 2050 analysis'!$C$3:$C$23)</f>
        <v>0.10999999999999999</v>
      </c>
      <c r="I3151" s="27">
        <f t="shared" si="147"/>
        <v>3.2806681599999994E-3</v>
      </c>
      <c r="J3151" s="129">
        <f t="shared" si="148"/>
        <v>0.28797999999999996</v>
      </c>
    </row>
    <row r="3152" spans="1:10" hidden="1" x14ac:dyDescent="0.35">
      <c r="A3152" s="126" t="s">
        <v>459</v>
      </c>
      <c r="B3152" t="str">
        <f>_xlfn.XLOOKUP(A3152,'[1]2050Pop'!$A$7:$A$143,'[1]2050Pop'!$D$7:$D$143)</f>
        <v>Euro/AU/NZ</v>
      </c>
      <c r="C3152" s="127">
        <f>1000*_xlfn.XLOOKUP(A3152,'[1]2050Pop'!$A$7:$A$143,'[1]2050Pop'!$C$7:$C$143)</f>
        <v>4892</v>
      </c>
      <c r="D3152" s="126" t="s">
        <v>523</v>
      </c>
      <c r="E3152" s="128">
        <v>99.483000000000004</v>
      </c>
      <c r="F3152" s="129">
        <f t="shared" si="149"/>
        <v>0.486670836</v>
      </c>
      <c r="G3152" t="str">
        <f>_xlfn.XLOOKUP(D3152,'[1]2050 BAU Mapping to T &amp; C'!$A$3:$A$52,'[1]2050 BAU Mapping to T &amp; C'!$B$3:$B$52)</f>
        <v>Starchy roots</v>
      </c>
      <c r="H3152" s="129">
        <f>_xlfn.XLOOKUP(G3152,'[1]T&amp;C emissions for 2050 analysis'!$B$3:$B$23,'[1]T&amp;C emissions for 2050 analysis'!$C$3:$C$23)</f>
        <v>0.10999999999999999</v>
      </c>
      <c r="I3152" s="27">
        <f t="shared" si="147"/>
        <v>5.3533791959999993E-2</v>
      </c>
      <c r="J3152" s="129">
        <f t="shared" si="148"/>
        <v>10.943129999999998</v>
      </c>
    </row>
    <row r="3153" spans="1:10" hidden="1" x14ac:dyDescent="0.35">
      <c r="A3153" s="126" t="s">
        <v>460</v>
      </c>
      <c r="B3153" t="str">
        <f>_xlfn.XLOOKUP(A3153,'[1]2050Pop'!$A$7:$A$143,'[1]2050Pop'!$D$7:$D$143)</f>
        <v>LatAm &amp; RSA</v>
      </c>
      <c r="C3153" s="127">
        <f>1000*_xlfn.XLOOKUP(A3153,'[1]2050Pop'!$A$7:$A$143,'[1]2050Pop'!$C$7:$C$143)</f>
        <v>65540</v>
      </c>
      <c r="D3153" s="126" t="s">
        <v>523</v>
      </c>
      <c r="E3153" s="128">
        <v>79.221999999999994</v>
      </c>
      <c r="F3153" s="129">
        <f t="shared" si="149"/>
        <v>5.1922098800000001</v>
      </c>
      <c r="G3153" t="str">
        <f>_xlfn.XLOOKUP(D3153,'[1]2050 BAU Mapping to T &amp; C'!$A$3:$A$52,'[1]2050 BAU Mapping to T &amp; C'!$B$3:$B$52)</f>
        <v>Starchy roots</v>
      </c>
      <c r="H3153" s="129">
        <f>_xlfn.XLOOKUP(G3153,'[1]T&amp;C emissions for 2050 analysis'!$B$3:$B$23,'[1]T&amp;C emissions for 2050 analysis'!$C$3:$C$23)</f>
        <v>0.10999999999999999</v>
      </c>
      <c r="I3153" s="27">
        <f t="shared" si="147"/>
        <v>0.57114308679999992</v>
      </c>
      <c r="J3153" s="129">
        <f t="shared" si="148"/>
        <v>8.7144199999999987</v>
      </c>
    </row>
    <row r="3154" spans="1:10" hidden="1" x14ac:dyDescent="0.35">
      <c r="A3154" s="126" t="s">
        <v>461</v>
      </c>
      <c r="B3154" t="str">
        <f>_xlfn.XLOOKUP(A3154,'[1]2050Pop'!$A$7:$A$143,'[1]2050Pop'!$D$7:$D$143)</f>
        <v>Euro/AU/NZ</v>
      </c>
      <c r="C3154" s="127">
        <f>1000*_xlfn.XLOOKUP(A3154,'[1]2050Pop'!$A$7:$A$143,'[1]2050Pop'!$C$7:$C$143)</f>
        <v>44840</v>
      </c>
      <c r="D3154" s="126" t="s">
        <v>523</v>
      </c>
      <c r="E3154" s="128">
        <v>109.816</v>
      </c>
      <c r="F3154" s="129">
        <f t="shared" si="149"/>
        <v>4.9241494400000008</v>
      </c>
      <c r="G3154" t="str">
        <f>_xlfn.XLOOKUP(D3154,'[1]2050 BAU Mapping to T &amp; C'!$A$3:$A$52,'[1]2050 BAU Mapping to T &amp; C'!$B$3:$B$52)</f>
        <v>Starchy roots</v>
      </c>
      <c r="H3154" s="129">
        <f>_xlfn.XLOOKUP(G3154,'[1]T&amp;C emissions for 2050 analysis'!$B$3:$B$23,'[1]T&amp;C emissions for 2050 analysis'!$C$3:$C$23)</f>
        <v>0.10999999999999999</v>
      </c>
      <c r="I3154" s="27">
        <f t="shared" si="147"/>
        <v>0.5416564384</v>
      </c>
      <c r="J3154" s="129">
        <f t="shared" si="148"/>
        <v>12.079759999999998</v>
      </c>
    </row>
    <row r="3155" spans="1:10" hidden="1" x14ac:dyDescent="0.35">
      <c r="A3155" s="126" t="s">
        <v>493</v>
      </c>
      <c r="B3155" t="str">
        <f>_xlfn.XLOOKUP(A3155,'[1]2050Pop'!$A$7:$A$143,'[1]2050Pop'!$D$7:$D$143)</f>
        <v>India/South Asia</v>
      </c>
      <c r="C3155" s="127">
        <f>1000*_xlfn.XLOOKUP(A3155,'[1]2050Pop'!$A$7:$A$143,'[1]2050Pop'!$C$7:$C$143)</f>
        <v>20836</v>
      </c>
      <c r="D3155" s="126" t="s">
        <v>523</v>
      </c>
      <c r="E3155" s="128">
        <v>43.213000000000001</v>
      </c>
      <c r="F3155" s="129">
        <f t="shared" si="149"/>
        <v>0.90038606799999998</v>
      </c>
      <c r="G3155" t="str">
        <f>_xlfn.XLOOKUP(D3155,'[1]2050 BAU Mapping to T &amp; C'!$A$3:$A$52,'[1]2050 BAU Mapping to T &amp; C'!$B$3:$B$52)</f>
        <v>Starchy roots</v>
      </c>
      <c r="H3155" s="129">
        <f>_xlfn.XLOOKUP(G3155,'[1]T&amp;C emissions for 2050 analysis'!$B$3:$B$23,'[1]T&amp;C emissions for 2050 analysis'!$C$3:$C$23)</f>
        <v>0.10999999999999999</v>
      </c>
      <c r="I3155" s="27">
        <f t="shared" si="147"/>
        <v>9.9042467479999979E-2</v>
      </c>
      <c r="J3155" s="129">
        <f t="shared" si="148"/>
        <v>4.7534299999999998</v>
      </c>
    </row>
    <row r="3156" spans="1:10" hidden="1" x14ac:dyDescent="0.35">
      <c r="A3156" s="126" t="s">
        <v>462</v>
      </c>
      <c r="B3156" t="str">
        <f>_xlfn.XLOOKUP(A3156,'[1]2050Pop'!$A$7:$A$143,'[1]2050Pop'!$D$7:$D$143)</f>
        <v>LatAm &amp; RSA</v>
      </c>
      <c r="C3156" s="127">
        <f>1000*_xlfn.XLOOKUP(A3156,'[1]2050Pop'!$A$7:$A$143,'[1]2050Pop'!$C$7:$C$143)</f>
        <v>624</v>
      </c>
      <c r="D3156" s="126" t="s">
        <v>523</v>
      </c>
      <c r="E3156" s="128">
        <v>60.838999999999999</v>
      </c>
      <c r="F3156" s="129">
        <f t="shared" si="149"/>
        <v>3.7963535999999999E-2</v>
      </c>
      <c r="G3156" t="str">
        <f>_xlfn.XLOOKUP(D3156,'[1]2050 BAU Mapping to T &amp; C'!$A$3:$A$52,'[1]2050 BAU Mapping to T &amp; C'!$B$3:$B$52)</f>
        <v>Starchy roots</v>
      </c>
      <c r="H3156" s="129">
        <f>_xlfn.XLOOKUP(G3156,'[1]T&amp;C emissions for 2050 analysis'!$B$3:$B$23,'[1]T&amp;C emissions for 2050 analysis'!$C$3:$C$23)</f>
        <v>0.10999999999999999</v>
      </c>
      <c r="I3156" s="27">
        <f t="shared" si="147"/>
        <v>4.175988959999999E-3</v>
      </c>
      <c r="J3156" s="129">
        <f t="shared" si="148"/>
        <v>6.692289999999999</v>
      </c>
    </row>
    <row r="3157" spans="1:10" hidden="1" x14ac:dyDescent="0.35">
      <c r="A3157" s="126" t="s">
        <v>463</v>
      </c>
      <c r="B3157" t="str">
        <f>_xlfn.XLOOKUP(A3157,'[1]2050Pop'!$A$7:$A$143,'[1]2050Pop'!$D$7:$D$143)</f>
        <v>SSA</v>
      </c>
      <c r="C3157" s="127">
        <f>1000*_xlfn.XLOOKUP(A3157,'[1]2050Pop'!$A$7:$A$143,'[1]2050Pop'!$C$7:$C$143)</f>
        <v>1792</v>
      </c>
      <c r="D3157" s="126" t="s">
        <v>523</v>
      </c>
      <c r="E3157" s="128">
        <v>48.296999999999997</v>
      </c>
      <c r="F3157" s="129">
        <f t="shared" si="149"/>
        <v>8.6548223999999993E-2</v>
      </c>
      <c r="G3157" t="str">
        <f>_xlfn.XLOOKUP(D3157,'[1]2050 BAU Mapping to T &amp; C'!$A$3:$A$52,'[1]2050 BAU Mapping to T &amp; C'!$B$3:$B$52)</f>
        <v>Starchy roots</v>
      </c>
      <c r="H3157" s="129">
        <f>_xlfn.XLOOKUP(G3157,'[1]T&amp;C emissions for 2050 analysis'!$B$3:$B$23,'[1]T&amp;C emissions for 2050 analysis'!$C$3:$C$23)</f>
        <v>0.10999999999999999</v>
      </c>
      <c r="I3157" s="27">
        <f t="shared" si="147"/>
        <v>9.5203046399999977E-3</v>
      </c>
      <c r="J3157" s="129">
        <f t="shared" si="148"/>
        <v>5.3126699999999989</v>
      </c>
    </row>
    <row r="3158" spans="1:10" hidden="1" x14ac:dyDescent="0.35">
      <c r="A3158" s="126" t="s">
        <v>464</v>
      </c>
      <c r="B3158" t="str">
        <f>_xlfn.XLOOKUP(A3158,'[1]2050Pop'!$A$7:$A$143,'[1]2050Pop'!$D$7:$D$143)</f>
        <v>Euro/AU/NZ</v>
      </c>
      <c r="C3158" s="127">
        <f>1000*_xlfn.XLOOKUP(A3158,'[1]2050Pop'!$A$7:$A$143,'[1]2050Pop'!$C$7:$C$143)</f>
        <v>11881</v>
      </c>
      <c r="D3158" s="126" t="s">
        <v>523</v>
      </c>
      <c r="E3158" s="128">
        <v>105.197</v>
      </c>
      <c r="F3158" s="129">
        <f t="shared" si="149"/>
        <v>1.249845557</v>
      </c>
      <c r="G3158" t="str">
        <f>_xlfn.XLOOKUP(D3158,'[1]2050 BAU Mapping to T &amp; C'!$A$3:$A$52,'[1]2050 BAU Mapping to T &amp; C'!$B$3:$B$52)</f>
        <v>Starchy roots</v>
      </c>
      <c r="H3158" s="129">
        <f>_xlfn.XLOOKUP(G3158,'[1]T&amp;C emissions for 2050 analysis'!$B$3:$B$23,'[1]T&amp;C emissions for 2050 analysis'!$C$3:$C$23)</f>
        <v>0.10999999999999999</v>
      </c>
      <c r="I3158" s="27">
        <f t="shared" si="147"/>
        <v>0.13748301126999998</v>
      </c>
      <c r="J3158" s="129">
        <f t="shared" si="148"/>
        <v>11.571669999999999</v>
      </c>
    </row>
    <row r="3159" spans="1:10" hidden="1" x14ac:dyDescent="0.35">
      <c r="A3159" s="126" t="s">
        <v>483</v>
      </c>
      <c r="B3159" t="str">
        <f>_xlfn.XLOOKUP(A3159,'[1]2050Pop'!$A$7:$A$143,'[1]2050Pop'!$D$7:$D$143)</f>
        <v>APAC</v>
      </c>
      <c r="C3159" s="127">
        <f>1000*_xlfn.XLOOKUP(A3159,'[1]2050Pop'!$A$7:$A$143,'[1]2050Pop'!$C$7:$C$143)</f>
        <v>14288</v>
      </c>
      <c r="D3159" s="126" t="s">
        <v>523</v>
      </c>
      <c r="E3159" s="128">
        <v>69.340999999999994</v>
      </c>
      <c r="F3159" s="129">
        <f t="shared" si="149"/>
        <v>0.99074420799999985</v>
      </c>
      <c r="G3159" t="str">
        <f>_xlfn.XLOOKUP(D3159,'[1]2050 BAU Mapping to T &amp; C'!$A$3:$A$52,'[1]2050 BAU Mapping to T &amp; C'!$B$3:$B$52)</f>
        <v>Starchy roots</v>
      </c>
      <c r="H3159" s="129">
        <f>_xlfn.XLOOKUP(G3159,'[1]T&amp;C emissions for 2050 analysis'!$B$3:$B$23,'[1]T&amp;C emissions for 2050 analysis'!$C$3:$C$23)</f>
        <v>0.10999999999999999</v>
      </c>
      <c r="I3159" s="27">
        <f t="shared" si="147"/>
        <v>0.10898186287999997</v>
      </c>
      <c r="J3159" s="129">
        <f t="shared" si="148"/>
        <v>7.6275099999999982</v>
      </c>
    </row>
    <row r="3160" spans="1:10" hidden="1" x14ac:dyDescent="0.35">
      <c r="A3160" s="126" t="s">
        <v>465</v>
      </c>
      <c r="B3160" t="str">
        <f>_xlfn.XLOOKUP(A3160,'[1]2050Pop'!$A$7:$A$143,'[1]2050Pop'!$D$7:$D$143)</f>
        <v>APAC</v>
      </c>
      <c r="C3160" s="127">
        <f>1000*_xlfn.XLOOKUP(A3160,'[1]2050Pop'!$A$7:$A$143,'[1]2050Pop'!$C$7:$C$143)</f>
        <v>62452</v>
      </c>
      <c r="D3160" s="126" t="s">
        <v>523</v>
      </c>
      <c r="E3160" s="128">
        <v>17.463999999999999</v>
      </c>
      <c r="F3160" s="129">
        <f t="shared" si="149"/>
        <v>1.0906617279999999</v>
      </c>
      <c r="G3160" t="str">
        <f>_xlfn.XLOOKUP(D3160,'[1]2050 BAU Mapping to T &amp; C'!$A$3:$A$52,'[1]2050 BAU Mapping to T &amp; C'!$B$3:$B$52)</f>
        <v>Starchy roots</v>
      </c>
      <c r="H3160" s="129">
        <f>_xlfn.XLOOKUP(G3160,'[1]T&amp;C emissions for 2050 analysis'!$B$3:$B$23,'[1]T&amp;C emissions for 2050 analysis'!$C$3:$C$23)</f>
        <v>0.10999999999999999</v>
      </c>
      <c r="I3160" s="27">
        <f t="shared" si="147"/>
        <v>0.11997279007999997</v>
      </c>
      <c r="J3160" s="129">
        <f t="shared" si="148"/>
        <v>1.9210399999999996</v>
      </c>
    </row>
    <row r="3161" spans="1:10" hidden="1" x14ac:dyDescent="0.35">
      <c r="A3161" s="126" t="s">
        <v>466</v>
      </c>
      <c r="B3161" t="str">
        <f>_xlfn.XLOOKUP(A3161,'[1]2050Pop'!$A$7:$A$143,'[1]2050Pop'!$D$7:$D$143)</f>
        <v>SSA</v>
      </c>
      <c r="C3161" s="127">
        <f>1000*_xlfn.XLOOKUP(A3161,'[1]2050Pop'!$A$7:$A$143,'[1]2050Pop'!$C$7:$C$143)</f>
        <v>15681</v>
      </c>
      <c r="D3161" s="126" t="s">
        <v>523</v>
      </c>
      <c r="E3161" s="128">
        <v>2.5470000000000002</v>
      </c>
      <c r="F3161" s="129">
        <f t="shared" si="149"/>
        <v>3.9939507000000006E-2</v>
      </c>
      <c r="G3161" t="str">
        <f>_xlfn.XLOOKUP(D3161,'[1]2050 BAU Mapping to T &amp; C'!$A$3:$A$52,'[1]2050 BAU Mapping to T &amp; C'!$B$3:$B$52)</f>
        <v>Starchy roots</v>
      </c>
      <c r="H3161" s="129">
        <f>_xlfn.XLOOKUP(G3161,'[1]T&amp;C emissions for 2050 analysis'!$B$3:$B$23,'[1]T&amp;C emissions for 2050 analysis'!$C$3:$C$23)</f>
        <v>0.10999999999999999</v>
      </c>
      <c r="I3161" s="27">
        <f t="shared" si="147"/>
        <v>4.3933457700000003E-3</v>
      </c>
      <c r="J3161" s="129">
        <f t="shared" si="148"/>
        <v>0.28016999999999997</v>
      </c>
    </row>
    <row r="3162" spans="1:10" hidden="1" x14ac:dyDescent="0.35">
      <c r="A3162" s="126" t="s">
        <v>467</v>
      </c>
      <c r="B3162" t="str">
        <f>_xlfn.XLOOKUP(A3162,'[1]2050Pop'!$A$7:$A$143,'[1]2050Pop'!$D$7:$D$143)</f>
        <v>LatAm &amp; RSA</v>
      </c>
      <c r="C3162" s="127">
        <f>1000*_xlfn.XLOOKUP(A3162,'[1]2050Pop'!$A$7:$A$143,'[1]2050Pop'!$C$7:$C$143)</f>
        <v>1291</v>
      </c>
      <c r="D3162" s="126" t="s">
        <v>523</v>
      </c>
      <c r="E3162" s="128">
        <v>73.515000000000001</v>
      </c>
      <c r="F3162" s="129">
        <f t="shared" si="149"/>
        <v>9.4907865000000008E-2</v>
      </c>
      <c r="G3162" t="str">
        <f>_xlfn.XLOOKUP(D3162,'[1]2050 BAU Mapping to T &amp; C'!$A$3:$A$52,'[1]2050 BAU Mapping to T &amp; C'!$B$3:$B$52)</f>
        <v>Starchy roots</v>
      </c>
      <c r="H3162" s="129">
        <f>_xlfn.XLOOKUP(G3162,'[1]T&amp;C emissions for 2050 analysis'!$B$3:$B$23,'[1]T&amp;C emissions for 2050 analysis'!$C$3:$C$23)</f>
        <v>0.10999999999999999</v>
      </c>
      <c r="I3162" s="27">
        <f t="shared" si="147"/>
        <v>1.043986515E-2</v>
      </c>
      <c r="J3162" s="129">
        <f t="shared" si="148"/>
        <v>8.0866499999999988</v>
      </c>
    </row>
    <row r="3163" spans="1:10" hidden="1" x14ac:dyDescent="0.35">
      <c r="A3163" s="126" t="s">
        <v>468</v>
      </c>
      <c r="B3163" t="str">
        <f>_xlfn.XLOOKUP(A3163,'[1]2050Pop'!$A$7:$A$143,'[1]2050Pop'!$D$7:$D$143)</f>
        <v>MENA</v>
      </c>
      <c r="C3163" s="127">
        <f>1000*_xlfn.XLOOKUP(A3163,'[1]2050Pop'!$A$7:$A$143,'[1]2050Pop'!$C$7:$C$143)</f>
        <v>13476</v>
      </c>
      <c r="D3163" s="126" t="s">
        <v>523</v>
      </c>
      <c r="E3163" s="128">
        <v>65.296999999999997</v>
      </c>
      <c r="F3163" s="129">
        <f t="shared" si="149"/>
        <v>0.87994237200000003</v>
      </c>
      <c r="G3163" t="str">
        <f>_xlfn.XLOOKUP(D3163,'[1]2050 BAU Mapping to T &amp; C'!$A$3:$A$52,'[1]2050 BAU Mapping to T &amp; C'!$B$3:$B$52)</f>
        <v>Starchy roots</v>
      </c>
      <c r="H3163" s="129">
        <f>_xlfn.XLOOKUP(G3163,'[1]T&amp;C emissions for 2050 analysis'!$B$3:$B$23,'[1]T&amp;C emissions for 2050 analysis'!$C$3:$C$23)</f>
        <v>0.10999999999999999</v>
      </c>
      <c r="I3163" s="27">
        <f t="shared" si="147"/>
        <v>9.6793660919999996E-2</v>
      </c>
      <c r="J3163" s="129">
        <f t="shared" si="148"/>
        <v>7.182669999999999</v>
      </c>
    </row>
    <row r="3164" spans="1:10" hidden="1" x14ac:dyDescent="0.35">
      <c r="A3164" s="126" t="s">
        <v>469</v>
      </c>
      <c r="B3164" t="str">
        <f>_xlfn.XLOOKUP(A3164,'[1]2050Pop'!$A$7:$A$143,'[1]2050Pop'!$D$7:$D$143)</f>
        <v>MENA</v>
      </c>
      <c r="C3164" s="127">
        <f>1000*_xlfn.XLOOKUP(A3164,'[1]2050Pop'!$A$7:$A$143,'[1]2050Pop'!$C$7:$C$143)</f>
        <v>95819</v>
      </c>
      <c r="D3164" s="126" t="s">
        <v>523</v>
      </c>
      <c r="E3164" s="128">
        <v>95.295000000000002</v>
      </c>
      <c r="F3164" s="129">
        <f t="shared" si="149"/>
        <v>9.1310716050000007</v>
      </c>
      <c r="G3164" t="str">
        <f>_xlfn.XLOOKUP(D3164,'[1]2050 BAU Mapping to T &amp; C'!$A$3:$A$52,'[1]2050 BAU Mapping to T &amp; C'!$B$3:$B$52)</f>
        <v>Starchy roots</v>
      </c>
      <c r="H3164" s="129">
        <f>_xlfn.XLOOKUP(G3164,'[1]T&amp;C emissions for 2050 analysis'!$B$3:$B$23,'[1]T&amp;C emissions for 2050 analysis'!$C$3:$C$23)</f>
        <v>0.10999999999999999</v>
      </c>
      <c r="I3164" s="27">
        <f t="shared" si="147"/>
        <v>1.00441787655</v>
      </c>
      <c r="J3164" s="129">
        <f t="shared" si="148"/>
        <v>10.482449999999998</v>
      </c>
    </row>
    <row r="3165" spans="1:10" hidden="1" x14ac:dyDescent="0.35">
      <c r="A3165" s="126" t="s">
        <v>484</v>
      </c>
      <c r="B3165" t="str">
        <f>_xlfn.XLOOKUP(A3165,'[1]2050Pop'!$A$7:$A$143,'[1]2050Pop'!$D$7:$D$143)</f>
        <v>APAC</v>
      </c>
      <c r="C3165" s="127">
        <f>1000*_xlfn.XLOOKUP(A3165,'[1]2050Pop'!$A$7:$A$143,'[1]2050Pop'!$C$7:$C$143)</f>
        <v>6555</v>
      </c>
      <c r="D3165" s="126" t="s">
        <v>523</v>
      </c>
      <c r="E3165" s="128">
        <v>59.905999999999999</v>
      </c>
      <c r="F3165" s="129">
        <f t="shared" si="149"/>
        <v>0.39268383000000001</v>
      </c>
      <c r="G3165" t="str">
        <f>_xlfn.XLOOKUP(D3165,'[1]2050 BAU Mapping to T &amp; C'!$A$3:$A$52,'[1]2050 BAU Mapping to T &amp; C'!$B$3:$B$52)</f>
        <v>Starchy roots</v>
      </c>
      <c r="H3165" s="129">
        <f>_xlfn.XLOOKUP(G3165,'[1]T&amp;C emissions for 2050 analysis'!$B$3:$B$23,'[1]T&amp;C emissions for 2050 analysis'!$C$3:$C$23)</f>
        <v>0.10999999999999999</v>
      </c>
      <c r="I3165" s="27">
        <f t="shared" si="147"/>
        <v>4.3195221299999996E-2</v>
      </c>
      <c r="J3165" s="129">
        <f t="shared" si="148"/>
        <v>6.5896599999999994</v>
      </c>
    </row>
    <row r="3166" spans="1:10" hidden="1" x14ac:dyDescent="0.35">
      <c r="A3166" s="126" t="s">
        <v>470</v>
      </c>
      <c r="B3166" t="str">
        <f>_xlfn.XLOOKUP(A3166,'[1]2050Pop'!$A$7:$A$143,'[1]2050Pop'!$D$7:$D$143)</f>
        <v>SSA</v>
      </c>
      <c r="C3166" s="127">
        <f>1000*_xlfn.XLOOKUP(A3166,'[1]2050Pop'!$A$7:$A$143,'[1]2050Pop'!$C$7:$C$143)</f>
        <v>101873</v>
      </c>
      <c r="D3166" s="126" t="s">
        <v>523</v>
      </c>
      <c r="E3166" s="128">
        <v>18.161999999999999</v>
      </c>
      <c r="F3166" s="129">
        <f t="shared" si="149"/>
        <v>1.8502174259999999</v>
      </c>
      <c r="G3166" t="str">
        <f>_xlfn.XLOOKUP(D3166,'[1]2050 BAU Mapping to T &amp; C'!$A$3:$A$52,'[1]2050 BAU Mapping to T &amp; C'!$B$3:$B$52)</f>
        <v>Starchy roots</v>
      </c>
      <c r="H3166" s="129">
        <f>_xlfn.XLOOKUP(G3166,'[1]T&amp;C emissions for 2050 analysis'!$B$3:$B$23,'[1]T&amp;C emissions for 2050 analysis'!$C$3:$C$23)</f>
        <v>0.10999999999999999</v>
      </c>
      <c r="I3166" s="27">
        <f t="shared" si="147"/>
        <v>0.20352391685999996</v>
      </c>
      <c r="J3166" s="129">
        <f t="shared" si="148"/>
        <v>1.9978199999999997</v>
      </c>
    </row>
    <row r="3167" spans="1:10" hidden="1" x14ac:dyDescent="0.35">
      <c r="A3167" s="126" t="s">
        <v>471</v>
      </c>
      <c r="B3167" t="str">
        <f>_xlfn.XLOOKUP(A3167,'[1]2050Pop'!$A$7:$A$143,'[1]2050Pop'!$D$7:$D$143)</f>
        <v>Euro/AU/NZ</v>
      </c>
      <c r="C3167" s="127">
        <f>1000*_xlfn.XLOOKUP(A3167,'[1]2050Pop'!$A$7:$A$143,'[1]2050Pop'!$C$7:$C$143)</f>
        <v>35117</v>
      </c>
      <c r="D3167" s="126" t="s">
        <v>523</v>
      </c>
      <c r="E3167" s="128">
        <v>268.43799999999999</v>
      </c>
      <c r="F3167" s="129">
        <f t="shared" si="149"/>
        <v>9.4267372460000001</v>
      </c>
      <c r="G3167" t="str">
        <f>_xlfn.XLOOKUP(D3167,'[1]2050 BAU Mapping to T &amp; C'!$A$3:$A$52,'[1]2050 BAU Mapping to T &amp; C'!$B$3:$B$52)</f>
        <v>Starchy roots</v>
      </c>
      <c r="H3167" s="129">
        <f>_xlfn.XLOOKUP(G3167,'[1]T&amp;C emissions for 2050 analysis'!$B$3:$B$23,'[1]T&amp;C emissions for 2050 analysis'!$C$3:$C$23)</f>
        <v>0.10999999999999999</v>
      </c>
      <c r="I3167" s="27">
        <f t="shared" si="147"/>
        <v>1.0369410970599999</v>
      </c>
      <c r="J3167" s="129">
        <f t="shared" si="148"/>
        <v>29.528179999999995</v>
      </c>
    </row>
    <row r="3168" spans="1:10" hidden="1" x14ac:dyDescent="0.35">
      <c r="A3168" s="126" t="s">
        <v>472</v>
      </c>
      <c r="B3168" t="str">
        <f>_xlfn.XLOOKUP(A3168,'[1]2050Pop'!$A$7:$A$143,'[1]2050Pop'!$D$7:$D$143)</f>
        <v>Euro/AU/NZ</v>
      </c>
      <c r="C3168" s="127">
        <f>1000*_xlfn.XLOOKUP(A3168,'[1]2050Pop'!$A$7:$A$143,'[1]2050Pop'!$C$7:$C$143)</f>
        <v>75361</v>
      </c>
      <c r="D3168" s="126" t="s">
        <v>523</v>
      </c>
      <c r="E3168" s="128">
        <v>182.161</v>
      </c>
      <c r="F3168" s="129">
        <f t="shared" si="149"/>
        <v>13.727835121</v>
      </c>
      <c r="G3168" t="str">
        <f>_xlfn.XLOOKUP(D3168,'[1]2050 BAU Mapping to T &amp; C'!$A$3:$A$52,'[1]2050 BAU Mapping to T &amp; C'!$B$3:$B$52)</f>
        <v>Starchy roots</v>
      </c>
      <c r="H3168" s="129">
        <f>_xlfn.XLOOKUP(G3168,'[1]T&amp;C emissions for 2050 analysis'!$B$3:$B$23,'[1]T&amp;C emissions for 2050 analysis'!$C$3:$C$23)</f>
        <v>0.10999999999999999</v>
      </c>
      <c r="I3168" s="27">
        <f t="shared" si="147"/>
        <v>1.5100618633099998</v>
      </c>
      <c r="J3168" s="129">
        <f t="shared" si="148"/>
        <v>20.037709999999997</v>
      </c>
    </row>
    <row r="3169" spans="1:10" hidden="1" x14ac:dyDescent="0.35">
      <c r="A3169" s="126" t="s">
        <v>473</v>
      </c>
      <c r="B3169" t="str">
        <f>_xlfn.XLOOKUP(A3169,'[1]2050Pop'!$A$7:$A$143,'[1]2050Pop'!$D$7:$D$143)</f>
        <v>SSA</v>
      </c>
      <c r="C3169" s="127">
        <f>1000*_xlfn.XLOOKUP(A3169,'[1]2050Pop'!$A$7:$A$143,'[1]2050Pop'!$C$7:$C$143)</f>
        <v>137136</v>
      </c>
      <c r="D3169" s="126" t="s">
        <v>523</v>
      </c>
      <c r="E3169" s="128">
        <v>82.325000000000003</v>
      </c>
      <c r="F3169" s="129">
        <f t="shared" si="149"/>
        <v>11.289721200000001</v>
      </c>
      <c r="G3169" t="str">
        <f>_xlfn.XLOOKUP(D3169,'[1]2050 BAU Mapping to T &amp; C'!$A$3:$A$52,'[1]2050 BAU Mapping to T &amp; C'!$B$3:$B$52)</f>
        <v>Starchy roots</v>
      </c>
      <c r="H3169" s="129">
        <f>_xlfn.XLOOKUP(G3169,'[1]T&amp;C emissions for 2050 analysis'!$B$3:$B$23,'[1]T&amp;C emissions for 2050 analysis'!$C$3:$C$23)</f>
        <v>0.10999999999999999</v>
      </c>
      <c r="I3169" s="27">
        <f t="shared" si="147"/>
        <v>1.2418693319999998</v>
      </c>
      <c r="J3169" s="129">
        <f t="shared" si="148"/>
        <v>9.0557499999999997</v>
      </c>
    </row>
    <row r="3170" spans="1:10" hidden="1" x14ac:dyDescent="0.35">
      <c r="A3170" s="126" t="s">
        <v>474</v>
      </c>
      <c r="B3170" t="str">
        <f>_xlfn.XLOOKUP(A3170,'[1]2050Pop'!$A$7:$A$143,'[1]2050Pop'!$D$7:$D$143)</f>
        <v>NAm</v>
      </c>
      <c r="C3170" s="127">
        <f>1000*_xlfn.XLOOKUP(A3170,'[1]2050Pop'!$A$7:$A$143,'[1]2050Pop'!$C$7:$C$143)</f>
        <v>388865</v>
      </c>
      <c r="D3170" s="126" t="s">
        <v>523</v>
      </c>
      <c r="E3170" s="128">
        <v>93.123000000000005</v>
      </c>
      <c r="F3170" s="129">
        <f t="shared" si="149"/>
        <v>36.212275395000006</v>
      </c>
      <c r="G3170" t="str">
        <f>_xlfn.XLOOKUP(D3170,'[1]2050 BAU Mapping to T &amp; C'!$A$3:$A$52,'[1]2050 BAU Mapping to T &amp; C'!$B$3:$B$52)</f>
        <v>Starchy roots</v>
      </c>
      <c r="H3170" s="129">
        <f>_xlfn.XLOOKUP(G3170,'[1]T&amp;C emissions for 2050 analysis'!$B$3:$B$23,'[1]T&amp;C emissions for 2050 analysis'!$C$3:$C$23)</f>
        <v>0.10999999999999999</v>
      </c>
      <c r="I3170" s="27">
        <f t="shared" si="147"/>
        <v>3.98335029345</v>
      </c>
      <c r="J3170" s="129">
        <f t="shared" si="148"/>
        <v>10.24353</v>
      </c>
    </row>
    <row r="3171" spans="1:10" hidden="1" x14ac:dyDescent="0.35">
      <c r="A3171" s="126" t="s">
        <v>475</v>
      </c>
      <c r="B3171" t="str">
        <f>_xlfn.XLOOKUP(A3171,'[1]2050Pop'!$A$7:$A$143,'[1]2050Pop'!$D$7:$D$143)</f>
        <v>LatAm &amp; RSA</v>
      </c>
      <c r="C3171" s="127">
        <f>1000*_xlfn.XLOOKUP(A3171,'[1]2050Pop'!$A$7:$A$143,'[1]2050Pop'!$C$7:$C$143)</f>
        <v>3667</v>
      </c>
      <c r="D3171" s="126" t="s">
        <v>523</v>
      </c>
      <c r="E3171" s="128">
        <v>86.962000000000003</v>
      </c>
      <c r="F3171" s="129">
        <f t="shared" si="149"/>
        <v>0.31888965400000002</v>
      </c>
      <c r="G3171" t="str">
        <f>_xlfn.XLOOKUP(D3171,'[1]2050 BAU Mapping to T &amp; C'!$A$3:$A$52,'[1]2050 BAU Mapping to T &amp; C'!$B$3:$B$52)</f>
        <v>Starchy roots</v>
      </c>
      <c r="H3171" s="129">
        <f>_xlfn.XLOOKUP(G3171,'[1]T&amp;C emissions for 2050 analysis'!$B$3:$B$23,'[1]T&amp;C emissions for 2050 analysis'!$C$3:$C$23)</f>
        <v>0.10999999999999999</v>
      </c>
      <c r="I3171" s="27">
        <f t="shared" si="147"/>
        <v>3.5077861939999996E-2</v>
      </c>
      <c r="J3171" s="129">
        <f t="shared" si="148"/>
        <v>9.5658199999999987</v>
      </c>
    </row>
    <row r="3172" spans="1:10" hidden="1" x14ac:dyDescent="0.35">
      <c r="A3172" s="126" t="s">
        <v>485</v>
      </c>
      <c r="B3172" t="str">
        <f>_xlfn.XLOOKUP(A3172,'[1]2050Pop'!$A$7:$A$143,'[1]2050Pop'!$D$7:$D$143)</f>
        <v>APAC</v>
      </c>
      <c r="C3172" s="127">
        <f>1000*_xlfn.XLOOKUP(A3172,'[1]2050Pop'!$A$7:$A$143,'[1]2050Pop'!$C$7:$C$143)</f>
        <v>37126</v>
      </c>
      <c r="D3172" s="126" t="s">
        <v>523</v>
      </c>
      <c r="E3172" s="128">
        <v>100.529</v>
      </c>
      <c r="F3172" s="129">
        <f t="shared" si="149"/>
        <v>3.7322396540000002</v>
      </c>
      <c r="G3172" t="str">
        <f>_xlfn.XLOOKUP(D3172,'[1]2050 BAU Mapping to T &amp; C'!$A$3:$A$52,'[1]2050 BAU Mapping to T &amp; C'!$B$3:$B$52)</f>
        <v>Starchy roots</v>
      </c>
      <c r="H3172" s="129">
        <f>_xlfn.XLOOKUP(G3172,'[1]T&amp;C emissions for 2050 analysis'!$B$3:$B$23,'[1]T&amp;C emissions for 2050 analysis'!$C$3:$C$23)</f>
        <v>0.10999999999999999</v>
      </c>
      <c r="I3172" s="27">
        <f t="shared" si="147"/>
        <v>0.41054636193999999</v>
      </c>
      <c r="J3172" s="129">
        <f t="shared" si="148"/>
        <v>11.058189999999998</v>
      </c>
    </row>
    <row r="3173" spans="1:10" hidden="1" x14ac:dyDescent="0.35">
      <c r="A3173" s="126" t="s">
        <v>476</v>
      </c>
      <c r="B3173" t="str">
        <f>_xlfn.XLOOKUP(A3173,'[1]2050Pop'!$A$7:$A$143,'[1]2050Pop'!$D$7:$D$143)</f>
        <v>LatAm &amp; RSA</v>
      </c>
      <c r="C3173" s="127">
        <f>1000*_xlfn.XLOOKUP(A3173,'[1]2050Pop'!$A$7:$A$143,'[1]2050Pop'!$C$7:$C$143)</f>
        <v>41562</v>
      </c>
      <c r="D3173" s="126" t="s">
        <v>523</v>
      </c>
      <c r="E3173" s="128">
        <v>57.267000000000003</v>
      </c>
      <c r="F3173" s="129">
        <f t="shared" si="149"/>
        <v>2.380131054</v>
      </c>
      <c r="G3173" t="str">
        <f>_xlfn.XLOOKUP(D3173,'[1]2050 BAU Mapping to T &amp; C'!$A$3:$A$52,'[1]2050 BAU Mapping to T &amp; C'!$B$3:$B$52)</f>
        <v>Starchy roots</v>
      </c>
      <c r="H3173" s="129">
        <f>_xlfn.XLOOKUP(G3173,'[1]T&amp;C emissions for 2050 analysis'!$B$3:$B$23,'[1]T&amp;C emissions for 2050 analysis'!$C$3:$C$23)</f>
        <v>0.10999999999999999</v>
      </c>
      <c r="I3173" s="27">
        <f t="shared" si="147"/>
        <v>0.26181441593999999</v>
      </c>
      <c r="J3173" s="129">
        <f t="shared" si="148"/>
        <v>6.2993699999999997</v>
      </c>
    </row>
    <row r="3174" spans="1:10" hidden="1" x14ac:dyDescent="0.35">
      <c r="A3174" s="126" t="s">
        <v>477</v>
      </c>
      <c r="B3174" t="str">
        <f>_xlfn.XLOOKUP(A3174,'[1]2050Pop'!$A$7:$A$143,'[1]2050Pop'!$D$7:$D$143)</f>
        <v>APAC</v>
      </c>
      <c r="C3174" s="127">
        <f>1000*_xlfn.XLOOKUP(A3174,'[1]2050Pop'!$A$7:$A$143,'[1]2050Pop'!$C$7:$C$143)</f>
        <v>112783</v>
      </c>
      <c r="D3174" s="126" t="s">
        <v>523</v>
      </c>
      <c r="E3174" s="128">
        <v>16.736999999999998</v>
      </c>
      <c r="F3174" s="129">
        <f t="shared" si="149"/>
        <v>1.8876490709999998</v>
      </c>
      <c r="G3174" t="str">
        <f>_xlfn.XLOOKUP(D3174,'[1]2050 BAU Mapping to T &amp; C'!$A$3:$A$52,'[1]2050 BAU Mapping to T &amp; C'!$B$3:$B$52)</f>
        <v>Starchy roots</v>
      </c>
      <c r="H3174" s="129">
        <f>_xlfn.XLOOKUP(G3174,'[1]T&amp;C emissions for 2050 analysis'!$B$3:$B$23,'[1]T&amp;C emissions for 2050 analysis'!$C$3:$C$23)</f>
        <v>0.10999999999999999</v>
      </c>
      <c r="I3174" s="27">
        <f t="shared" si="147"/>
        <v>0.20764139780999996</v>
      </c>
      <c r="J3174" s="129">
        <f t="shared" si="148"/>
        <v>1.8410699999999995</v>
      </c>
    </row>
    <row r="3175" spans="1:10" hidden="1" x14ac:dyDescent="0.35">
      <c r="A3175" s="126" t="s">
        <v>478</v>
      </c>
      <c r="B3175" t="str">
        <f>_xlfn.XLOOKUP(A3175,'[1]2050Pop'!$A$7:$A$143,'[1]2050Pop'!$D$7:$D$143)</f>
        <v>MENA</v>
      </c>
      <c r="C3175" s="127">
        <f>1000*_xlfn.XLOOKUP(A3175,'[1]2050Pop'!$A$7:$A$143,'[1]2050Pop'!$C$7:$C$143)</f>
        <v>47170</v>
      </c>
      <c r="D3175" s="126" t="s">
        <v>523</v>
      </c>
      <c r="E3175" s="128">
        <v>26.908999999999999</v>
      </c>
      <c r="F3175" s="129">
        <f t="shared" si="149"/>
        <v>1.26929753</v>
      </c>
      <c r="G3175" t="str">
        <f>_xlfn.XLOOKUP(D3175,'[1]2050 BAU Mapping to T &amp; C'!$A$3:$A$52,'[1]2050 BAU Mapping to T &amp; C'!$B$3:$B$52)</f>
        <v>Starchy roots</v>
      </c>
      <c r="H3175" s="129">
        <f>_xlfn.XLOOKUP(G3175,'[1]T&amp;C emissions for 2050 analysis'!$B$3:$B$23,'[1]T&amp;C emissions for 2050 analysis'!$C$3:$C$23)</f>
        <v>0.10999999999999999</v>
      </c>
      <c r="I3175" s="27">
        <f t="shared" si="147"/>
        <v>0.13962272829999997</v>
      </c>
      <c r="J3175" s="129">
        <f t="shared" si="148"/>
        <v>2.9599899999999995</v>
      </c>
    </row>
    <row r="3176" spans="1:10" hidden="1" x14ac:dyDescent="0.35">
      <c r="A3176" s="126" t="s">
        <v>494</v>
      </c>
      <c r="B3176" t="str">
        <f>_xlfn.XLOOKUP(A3176,'[1]2050Pop'!$A$7:$A$143,'[1]2050Pop'!$D$7:$D$143)</f>
        <v>SSA</v>
      </c>
      <c r="C3176" s="127">
        <f>1000*_xlfn.XLOOKUP(A3176,'[1]2050Pop'!$A$7:$A$143,'[1]2050Pop'!$C$7:$C$143)</f>
        <v>42975</v>
      </c>
      <c r="D3176" s="126" t="s">
        <v>523</v>
      </c>
      <c r="E3176" s="128">
        <v>11.763999999999999</v>
      </c>
      <c r="F3176" s="129">
        <f t="shared" si="149"/>
        <v>0.5055579</v>
      </c>
      <c r="G3176" t="str">
        <f>_xlfn.XLOOKUP(D3176,'[1]2050 BAU Mapping to T &amp; C'!$A$3:$A$52,'[1]2050 BAU Mapping to T &amp; C'!$B$3:$B$52)</f>
        <v>Starchy roots</v>
      </c>
      <c r="H3176" s="129">
        <f>_xlfn.XLOOKUP(G3176,'[1]T&amp;C emissions for 2050 analysis'!$B$3:$B$23,'[1]T&amp;C emissions for 2050 analysis'!$C$3:$C$23)</f>
        <v>0.10999999999999999</v>
      </c>
      <c r="I3176" s="27">
        <f t="shared" si="147"/>
        <v>5.5611368999999994E-2</v>
      </c>
      <c r="J3176" s="129">
        <f t="shared" si="148"/>
        <v>1.2940399999999999</v>
      </c>
    </row>
    <row r="3177" spans="1:10" hidden="1" x14ac:dyDescent="0.35">
      <c r="A3177" s="126" t="s">
        <v>479</v>
      </c>
      <c r="B3177" t="str">
        <f>_xlfn.XLOOKUP(A3177,'[1]2050Pop'!$A$7:$A$143,'[1]2050Pop'!$D$7:$D$143)</f>
        <v>SSA</v>
      </c>
      <c r="C3177" s="127">
        <f>1000*_xlfn.XLOOKUP(A3177,'[1]2050Pop'!$A$7:$A$143,'[1]2050Pop'!$C$7:$C$143)</f>
        <v>29615</v>
      </c>
      <c r="D3177" s="126" t="s">
        <v>523</v>
      </c>
      <c r="E3177" s="128">
        <v>17.994</v>
      </c>
      <c r="F3177" s="129">
        <f t="shared" si="149"/>
        <v>0.53289230999999992</v>
      </c>
      <c r="G3177" t="str">
        <f>_xlfn.XLOOKUP(D3177,'[1]2050 BAU Mapping to T &amp; C'!$A$3:$A$52,'[1]2050 BAU Mapping to T &amp; C'!$B$3:$B$52)</f>
        <v>Starchy roots</v>
      </c>
      <c r="H3177" s="129">
        <f>_xlfn.XLOOKUP(G3177,'[1]T&amp;C emissions for 2050 analysis'!$B$3:$B$23,'[1]T&amp;C emissions for 2050 analysis'!$C$3:$C$23)</f>
        <v>0.10999999999999999</v>
      </c>
      <c r="I3177" s="27">
        <f t="shared" si="147"/>
        <v>5.8618154099999986E-2</v>
      </c>
      <c r="J3177" s="129">
        <f t="shared" si="148"/>
        <v>1.9793399999999997</v>
      </c>
    </row>
    <row r="3178" spans="1:10" hidden="1" x14ac:dyDescent="0.35">
      <c r="A3178" s="126" t="s">
        <v>355</v>
      </c>
      <c r="B3178" t="str">
        <f>_xlfn.XLOOKUP(A3178,'[1]2050Pop'!$A$7:$A$143,'[1]2050Pop'!$D$7:$D$143)</f>
        <v>India/South Asia</v>
      </c>
      <c r="C3178" s="127">
        <f>1000*_xlfn.XLOOKUP(A3178,'[1]2050Pop'!$A$7:$A$143,'[1]2050Pop'!$C$7:$C$143)</f>
        <v>55955</v>
      </c>
      <c r="D3178" s="126" t="s">
        <v>524</v>
      </c>
      <c r="E3178" s="128">
        <v>9.5850000000000009</v>
      </c>
      <c r="F3178" s="129">
        <f t="shared" si="149"/>
        <v>0.53632867500000003</v>
      </c>
      <c r="G3178" t="str">
        <f>_xlfn.XLOOKUP(D3178,'[1]2050 BAU Mapping to T &amp; C'!$A$3:$A$52,'[1]2050 BAU Mapping to T &amp; C'!$B$3:$B$52)</f>
        <v>Poultry</v>
      </c>
      <c r="H3178" s="129">
        <f>_xlfn.XLOOKUP(G3178,'[1]T&amp;C emissions for 2050 analysis'!$B$3:$B$23,'[1]T&amp;C emissions for 2050 analysis'!$C$3:$C$23)</f>
        <v>4.7666666666666666</v>
      </c>
      <c r="I3178" s="27">
        <f t="shared" si="147"/>
        <v>2.5565000175000003</v>
      </c>
      <c r="J3178" s="129">
        <f t="shared" si="148"/>
        <v>45.688500000000005</v>
      </c>
    </row>
    <row r="3179" spans="1:10" hidden="1" x14ac:dyDescent="0.35">
      <c r="A3179" s="126" t="s">
        <v>357</v>
      </c>
      <c r="B3179" t="str">
        <f>_xlfn.XLOOKUP(A3179,'[1]2050Pop'!$A$7:$A$143,'[1]2050Pop'!$D$7:$D$143)</f>
        <v>Euro/AU/NZ</v>
      </c>
      <c r="C3179" s="127">
        <f>1000*_xlfn.XLOOKUP(A3179,'[1]2050Pop'!$A$7:$A$143,'[1]2050Pop'!$C$7:$C$143)</f>
        <v>2710</v>
      </c>
      <c r="D3179" s="126" t="s">
        <v>524</v>
      </c>
      <c r="E3179" s="128">
        <v>77.171000000000006</v>
      </c>
      <c r="F3179" s="129">
        <f t="shared" si="149"/>
        <v>0.20913340999999999</v>
      </c>
      <c r="G3179" t="str">
        <f>_xlfn.XLOOKUP(D3179,'[1]2050 BAU Mapping to T &amp; C'!$A$3:$A$52,'[1]2050 BAU Mapping to T &amp; C'!$B$3:$B$52)</f>
        <v>Poultry</v>
      </c>
      <c r="H3179" s="129">
        <f>_xlfn.XLOOKUP(G3179,'[1]T&amp;C emissions for 2050 analysis'!$B$3:$B$23,'[1]T&amp;C emissions for 2050 analysis'!$C$3:$C$23)</f>
        <v>4.7666666666666666</v>
      </c>
      <c r="I3179" s="27">
        <f t="shared" si="147"/>
        <v>0.99686925433333329</v>
      </c>
      <c r="J3179" s="129">
        <f t="shared" si="148"/>
        <v>367.84843333333333</v>
      </c>
    </row>
    <row r="3180" spans="1:10" hidden="1" x14ac:dyDescent="0.35">
      <c r="A3180" s="126" t="s">
        <v>358</v>
      </c>
      <c r="B3180" t="str">
        <f>_xlfn.XLOOKUP(A3180,'[1]2050Pop'!$A$7:$A$143,'[1]2050Pop'!$D$7:$D$143)</f>
        <v>MENA</v>
      </c>
      <c r="C3180" s="127">
        <f>1000*_xlfn.XLOOKUP(A3180,'[1]2050Pop'!$A$7:$A$143,'[1]2050Pop'!$C$7:$C$143)</f>
        <v>56461</v>
      </c>
      <c r="D3180" s="126" t="s">
        <v>524</v>
      </c>
      <c r="E3180" s="128">
        <v>28.995000000000001</v>
      </c>
      <c r="F3180" s="129">
        <f t="shared" si="149"/>
        <v>1.637086695</v>
      </c>
      <c r="G3180" t="str">
        <f>_xlfn.XLOOKUP(D3180,'[1]2050 BAU Mapping to T &amp; C'!$A$3:$A$52,'[1]2050 BAU Mapping to T &amp; C'!$B$3:$B$52)</f>
        <v>Poultry</v>
      </c>
      <c r="H3180" s="129">
        <f>_xlfn.XLOOKUP(G3180,'[1]T&amp;C emissions for 2050 analysis'!$B$3:$B$23,'[1]T&amp;C emissions for 2050 analysis'!$C$3:$C$23)</f>
        <v>4.7666666666666666</v>
      </c>
      <c r="I3180" s="27">
        <f t="shared" si="147"/>
        <v>7.8034465795000001</v>
      </c>
      <c r="J3180" s="129">
        <f t="shared" si="148"/>
        <v>138.20949999999999</v>
      </c>
    </row>
    <row r="3181" spans="1:10" hidden="1" x14ac:dyDescent="0.35">
      <c r="A3181" s="126" t="s">
        <v>359</v>
      </c>
      <c r="B3181" t="str">
        <f>_xlfn.XLOOKUP(A3181,'[1]2050Pop'!$A$7:$A$143,'[1]2050Pop'!$D$7:$D$143)</f>
        <v>SSA</v>
      </c>
      <c r="C3181" s="127">
        <f>1000*_xlfn.XLOOKUP(A3181,'[1]2050Pop'!$A$7:$A$143,'[1]2050Pop'!$C$7:$C$143)</f>
        <v>65473</v>
      </c>
      <c r="D3181" s="126" t="s">
        <v>524</v>
      </c>
      <c r="E3181" s="128">
        <v>48.048000000000002</v>
      </c>
      <c r="F3181" s="129">
        <f t="shared" si="149"/>
        <v>3.1458467039999998</v>
      </c>
      <c r="G3181" t="str">
        <f>_xlfn.XLOOKUP(D3181,'[1]2050 BAU Mapping to T &amp; C'!$A$3:$A$52,'[1]2050 BAU Mapping to T &amp; C'!$B$3:$B$52)</f>
        <v>Poultry</v>
      </c>
      <c r="H3181" s="129">
        <f>_xlfn.XLOOKUP(G3181,'[1]T&amp;C emissions for 2050 analysis'!$B$3:$B$23,'[1]T&amp;C emissions for 2050 analysis'!$C$3:$C$23)</f>
        <v>4.7666666666666666</v>
      </c>
      <c r="I3181" s="27">
        <f t="shared" si="147"/>
        <v>14.995202622399999</v>
      </c>
      <c r="J3181" s="129">
        <f t="shared" si="148"/>
        <v>229.02880000000002</v>
      </c>
    </row>
    <row r="3182" spans="1:10" hidden="1" x14ac:dyDescent="0.35">
      <c r="A3182" s="126" t="s">
        <v>360</v>
      </c>
      <c r="B3182" t="str">
        <f>_xlfn.XLOOKUP(A3182,'[1]2050Pop'!$A$7:$A$143,'[1]2050Pop'!$D$7:$D$143)</f>
        <v>LatAm &amp; RSA</v>
      </c>
      <c r="C3182" s="127">
        <f>1000*_xlfn.XLOOKUP(A3182,'[1]2050Pop'!$A$7:$A$143,'[1]2050Pop'!$C$7:$C$143)</f>
        <v>55445</v>
      </c>
      <c r="D3182" s="126" t="s">
        <v>524</v>
      </c>
      <c r="E3182" s="128">
        <v>184.375</v>
      </c>
      <c r="F3182" s="129">
        <f t="shared" si="149"/>
        <v>10.222671875</v>
      </c>
      <c r="G3182" t="str">
        <f>_xlfn.XLOOKUP(D3182,'[1]2050 BAU Mapping to T &amp; C'!$A$3:$A$52,'[1]2050 BAU Mapping to T &amp; C'!$B$3:$B$52)</f>
        <v>Poultry</v>
      </c>
      <c r="H3182" s="129">
        <f>_xlfn.XLOOKUP(G3182,'[1]T&amp;C emissions for 2050 analysis'!$B$3:$B$23,'[1]T&amp;C emissions for 2050 analysis'!$C$3:$C$23)</f>
        <v>4.7666666666666666</v>
      </c>
      <c r="I3182" s="27">
        <f t="shared" si="147"/>
        <v>48.728069270833331</v>
      </c>
      <c r="J3182" s="129">
        <f t="shared" si="148"/>
        <v>878.85416666666663</v>
      </c>
    </row>
    <row r="3183" spans="1:10" hidden="1" x14ac:dyDescent="0.35">
      <c r="A3183" s="126" t="s">
        <v>361</v>
      </c>
      <c r="B3183" t="str">
        <f>_xlfn.XLOOKUP(A3183,'[1]2050Pop'!$A$7:$A$143,'[1]2050Pop'!$D$7:$D$143)</f>
        <v>MENA</v>
      </c>
      <c r="C3183" s="127">
        <f>1000*_xlfn.XLOOKUP(A3183,'[1]2050Pop'!$A$7:$A$143,'[1]2050Pop'!$C$7:$C$143)</f>
        <v>2729</v>
      </c>
      <c r="D3183" s="126" t="s">
        <v>524</v>
      </c>
      <c r="E3183" s="128">
        <v>61.134999999999998</v>
      </c>
      <c r="F3183" s="129">
        <f t="shared" si="149"/>
        <v>0.16683741500000002</v>
      </c>
      <c r="G3183" t="str">
        <f>_xlfn.XLOOKUP(D3183,'[1]2050 BAU Mapping to T &amp; C'!$A$3:$A$52,'[1]2050 BAU Mapping to T &amp; C'!$B$3:$B$52)</f>
        <v>Poultry</v>
      </c>
      <c r="H3183" s="129">
        <f>_xlfn.XLOOKUP(G3183,'[1]T&amp;C emissions for 2050 analysis'!$B$3:$B$23,'[1]T&amp;C emissions for 2050 analysis'!$C$3:$C$23)</f>
        <v>4.7666666666666666</v>
      </c>
      <c r="I3183" s="27">
        <f t="shared" si="147"/>
        <v>0.79525834483333335</v>
      </c>
      <c r="J3183" s="129">
        <f t="shared" si="148"/>
        <v>291.41016666666667</v>
      </c>
    </row>
    <row r="3184" spans="1:10" hidden="1" x14ac:dyDescent="0.35">
      <c r="A3184" s="126" t="s">
        <v>362</v>
      </c>
      <c r="B3184" t="str">
        <f>_xlfn.XLOOKUP(A3184,'[1]2050Pop'!$A$7:$A$143,'[1]2050Pop'!$D$7:$D$143)</f>
        <v>Euro/AU/NZ</v>
      </c>
      <c r="C3184" s="127">
        <f>1000*_xlfn.XLOOKUP(A3184,'[1]2050Pop'!$A$7:$A$143,'[1]2050Pop'!$C$7:$C$143)</f>
        <v>33496</v>
      </c>
      <c r="D3184" s="126" t="s">
        <v>524</v>
      </c>
      <c r="E3184" s="128">
        <v>210.45099999999999</v>
      </c>
      <c r="F3184" s="129">
        <f t="shared" si="149"/>
        <v>7.0492666959999992</v>
      </c>
      <c r="G3184" t="str">
        <f>_xlfn.XLOOKUP(D3184,'[1]2050 BAU Mapping to T &amp; C'!$A$3:$A$52,'[1]2050 BAU Mapping to T &amp; C'!$B$3:$B$52)</f>
        <v>Poultry</v>
      </c>
      <c r="H3184" s="129">
        <f>_xlfn.XLOOKUP(G3184,'[1]T&amp;C emissions for 2050 analysis'!$B$3:$B$23,'[1]T&amp;C emissions for 2050 analysis'!$C$3:$C$23)</f>
        <v>4.7666666666666666</v>
      </c>
      <c r="I3184" s="27">
        <f t="shared" si="147"/>
        <v>33.601504584266664</v>
      </c>
      <c r="J3184" s="129">
        <f t="shared" si="148"/>
        <v>1003.1497666666667</v>
      </c>
    </row>
    <row r="3185" spans="1:10" hidden="1" x14ac:dyDescent="0.35">
      <c r="A3185" s="126" t="s">
        <v>363</v>
      </c>
      <c r="B3185" t="str">
        <f>_xlfn.XLOOKUP(A3185,'[1]2050Pop'!$A$7:$A$143,'[1]2050Pop'!$D$7:$D$143)</f>
        <v>Euro/AU/NZ</v>
      </c>
      <c r="C3185" s="127">
        <f>1000*_xlfn.XLOOKUP(A3185,'[1]2050Pop'!$A$7:$A$143,'[1]2050Pop'!$C$7:$C$143)</f>
        <v>8846</v>
      </c>
      <c r="D3185" s="126" t="s">
        <v>524</v>
      </c>
      <c r="E3185" s="128">
        <v>73.602999999999994</v>
      </c>
      <c r="F3185" s="129">
        <f t="shared" si="149"/>
        <v>0.65109213799999988</v>
      </c>
      <c r="G3185" t="str">
        <f>_xlfn.XLOOKUP(D3185,'[1]2050 BAU Mapping to T &amp; C'!$A$3:$A$52,'[1]2050 BAU Mapping to T &amp; C'!$B$3:$B$52)</f>
        <v>Poultry</v>
      </c>
      <c r="H3185" s="129">
        <f>_xlfn.XLOOKUP(G3185,'[1]T&amp;C emissions for 2050 analysis'!$B$3:$B$23,'[1]T&amp;C emissions for 2050 analysis'!$C$3:$C$23)</f>
        <v>4.7666666666666666</v>
      </c>
      <c r="I3185" s="27">
        <f t="shared" si="147"/>
        <v>3.1035391911333328</v>
      </c>
      <c r="J3185" s="129">
        <f t="shared" si="148"/>
        <v>350.84096666666665</v>
      </c>
    </row>
    <row r="3186" spans="1:10" hidden="1" x14ac:dyDescent="0.35">
      <c r="A3186" s="126" t="s">
        <v>364</v>
      </c>
      <c r="B3186" t="str">
        <f>_xlfn.XLOOKUP(A3186,'[1]2050Pop'!$A$7:$A$143,'[1]2050Pop'!$D$7:$D$143)</f>
        <v>MENA</v>
      </c>
      <c r="C3186" s="127">
        <f>1000*_xlfn.XLOOKUP(A3186,'[1]2050Pop'!$A$7:$A$143,'[1]2050Pop'!$C$7:$C$143)</f>
        <v>10963</v>
      </c>
      <c r="D3186" s="126" t="s">
        <v>524</v>
      </c>
      <c r="E3186" s="130">
        <v>35.64</v>
      </c>
      <c r="F3186" s="129">
        <f t="shared" si="149"/>
        <v>0.39072131999999998</v>
      </c>
      <c r="G3186" t="str">
        <f>_xlfn.XLOOKUP(D3186,'[1]2050 BAU Mapping to T &amp; C'!$A$3:$A$52,'[1]2050 BAU Mapping to T &amp; C'!$B$3:$B$52)</f>
        <v>Poultry</v>
      </c>
      <c r="H3186" s="129">
        <f>_xlfn.XLOOKUP(G3186,'[1]T&amp;C emissions for 2050 analysis'!$B$3:$B$23,'[1]T&amp;C emissions for 2050 analysis'!$C$3:$C$23)</f>
        <v>4.7666666666666666</v>
      </c>
      <c r="I3186" s="27">
        <f t="shared" si="147"/>
        <v>1.862438292</v>
      </c>
      <c r="J3186" s="129">
        <f t="shared" si="148"/>
        <v>169.88400000000001</v>
      </c>
    </row>
    <row r="3187" spans="1:10" hidden="1" x14ac:dyDescent="0.35">
      <c r="A3187" s="126" t="s">
        <v>365</v>
      </c>
      <c r="B3187" t="str">
        <f>_xlfn.XLOOKUP(A3187,'[1]2050Pop'!$A$7:$A$143,'[1]2050Pop'!$D$7:$D$143)</f>
        <v>India/South Asia</v>
      </c>
      <c r="C3187" s="127">
        <f>1000*_xlfn.XLOOKUP(A3187,'[1]2050Pop'!$A$7:$A$143,'[1]2050Pop'!$C$7:$C$143)</f>
        <v>202209</v>
      </c>
      <c r="D3187" s="126" t="s">
        <v>524</v>
      </c>
      <c r="E3187" s="128">
        <v>9.2029999999999994</v>
      </c>
      <c r="F3187" s="129">
        <f t="shared" si="149"/>
        <v>1.8609294269999999</v>
      </c>
      <c r="G3187" t="str">
        <f>_xlfn.XLOOKUP(D3187,'[1]2050 BAU Mapping to T &amp; C'!$A$3:$A$52,'[1]2050 BAU Mapping to T &amp; C'!$B$3:$B$52)</f>
        <v>Poultry</v>
      </c>
      <c r="H3187" s="129">
        <f>_xlfn.XLOOKUP(G3187,'[1]T&amp;C emissions for 2050 analysis'!$B$3:$B$23,'[1]T&amp;C emissions for 2050 analysis'!$C$3:$C$23)</f>
        <v>4.7666666666666666</v>
      </c>
      <c r="I3187" s="27">
        <f t="shared" si="147"/>
        <v>8.8704302686999998</v>
      </c>
      <c r="J3187" s="129">
        <f t="shared" si="148"/>
        <v>43.86763333333333</v>
      </c>
    </row>
    <row r="3188" spans="1:10" hidden="1" x14ac:dyDescent="0.35">
      <c r="A3188" s="126" t="s">
        <v>366</v>
      </c>
      <c r="B3188" t="str">
        <f>_xlfn.XLOOKUP(A3188,'[1]2050Pop'!$A$7:$A$143,'[1]2050Pop'!$D$7:$D$143)</f>
        <v>Euro/AU/NZ</v>
      </c>
      <c r="C3188" s="127">
        <f>1000*_xlfn.XLOOKUP(A3188,'[1]2050Pop'!$A$7:$A$143,'[1]2050Pop'!$C$7:$C$143)</f>
        <v>8125</v>
      </c>
      <c r="D3188" s="126" t="s">
        <v>524</v>
      </c>
      <c r="E3188" s="128">
        <v>113.29300000000001</v>
      </c>
      <c r="F3188" s="129">
        <f t="shared" si="149"/>
        <v>0.92050562499999999</v>
      </c>
      <c r="G3188" t="str">
        <f>_xlfn.XLOOKUP(D3188,'[1]2050 BAU Mapping to T &amp; C'!$A$3:$A$52,'[1]2050 BAU Mapping to T &amp; C'!$B$3:$B$52)</f>
        <v>Poultry</v>
      </c>
      <c r="H3188" s="129">
        <f>_xlfn.XLOOKUP(G3188,'[1]T&amp;C emissions for 2050 analysis'!$B$3:$B$23,'[1]T&amp;C emissions for 2050 analysis'!$C$3:$C$23)</f>
        <v>4.7666666666666666</v>
      </c>
      <c r="I3188" s="27">
        <f t="shared" si="147"/>
        <v>4.3877434791666667</v>
      </c>
      <c r="J3188" s="129">
        <f t="shared" si="148"/>
        <v>540.02996666666672</v>
      </c>
    </row>
    <row r="3189" spans="1:10" hidden="1" x14ac:dyDescent="0.35">
      <c r="A3189" s="126" t="s">
        <v>367</v>
      </c>
      <c r="B3189" t="str">
        <f>_xlfn.XLOOKUP(A3189,'[1]2050Pop'!$A$7:$A$143,'[1]2050Pop'!$D$7:$D$143)</f>
        <v>Euro/AU/NZ</v>
      </c>
      <c r="C3189" s="127">
        <f>1000*_xlfn.XLOOKUP(A3189,'[1]2050Pop'!$A$7:$A$143,'[1]2050Pop'!$C$7:$C$143)</f>
        <v>12527</v>
      </c>
      <c r="D3189" s="126" t="s">
        <v>524</v>
      </c>
      <c r="E3189" s="128">
        <v>49.154000000000003</v>
      </c>
      <c r="F3189" s="129">
        <f t="shared" si="149"/>
        <v>0.61575215800000005</v>
      </c>
      <c r="G3189" t="str">
        <f>_xlfn.XLOOKUP(D3189,'[1]2050 BAU Mapping to T &amp; C'!$A$3:$A$52,'[1]2050 BAU Mapping to T &amp; C'!$B$3:$B$52)</f>
        <v>Poultry</v>
      </c>
      <c r="H3189" s="129">
        <f>_xlfn.XLOOKUP(G3189,'[1]T&amp;C emissions for 2050 analysis'!$B$3:$B$23,'[1]T&amp;C emissions for 2050 analysis'!$C$3:$C$23)</f>
        <v>4.7666666666666666</v>
      </c>
      <c r="I3189" s="27">
        <f t="shared" si="147"/>
        <v>2.9350852864666668</v>
      </c>
      <c r="J3189" s="129">
        <f t="shared" si="148"/>
        <v>234.30073333333334</v>
      </c>
    </row>
    <row r="3190" spans="1:10" hidden="1" x14ac:dyDescent="0.35">
      <c r="A3190" s="126" t="s">
        <v>368</v>
      </c>
      <c r="B3190" t="str">
        <f>_xlfn.XLOOKUP(A3190,'[1]2050Pop'!$A$7:$A$143,'[1]2050Pop'!$D$7:$D$143)</f>
        <v>SSA</v>
      </c>
      <c r="C3190" s="127">
        <f>1000*_xlfn.XLOOKUP(A3190,'[1]2050Pop'!$A$7:$A$143,'[1]2050Pop'!$C$7:$C$143)</f>
        <v>22549</v>
      </c>
      <c r="D3190" s="126" t="s">
        <v>524</v>
      </c>
      <c r="E3190" s="128">
        <v>80.766000000000005</v>
      </c>
      <c r="F3190" s="129">
        <f t="shared" si="149"/>
        <v>1.8211925340000001</v>
      </c>
      <c r="G3190" t="str">
        <f>_xlfn.XLOOKUP(D3190,'[1]2050 BAU Mapping to T &amp; C'!$A$3:$A$52,'[1]2050 BAU Mapping to T &amp; C'!$B$3:$B$52)</f>
        <v>Poultry</v>
      </c>
      <c r="H3190" s="129">
        <f>_xlfn.XLOOKUP(G3190,'[1]T&amp;C emissions for 2050 analysis'!$B$3:$B$23,'[1]T&amp;C emissions for 2050 analysis'!$C$3:$C$23)</f>
        <v>4.7666666666666666</v>
      </c>
      <c r="I3190" s="27">
        <f t="shared" si="147"/>
        <v>8.6810177454000002</v>
      </c>
      <c r="J3190" s="129">
        <f t="shared" si="148"/>
        <v>384.9846</v>
      </c>
    </row>
    <row r="3191" spans="1:10" hidden="1" x14ac:dyDescent="0.35">
      <c r="A3191" s="126" t="s">
        <v>369</v>
      </c>
      <c r="B3191" t="str">
        <f>_xlfn.XLOOKUP(A3191,'[1]2050Pop'!$A$7:$A$143,'[1]2050Pop'!$D$7:$D$143)</f>
        <v>LatAm &amp; RSA</v>
      </c>
      <c r="C3191" s="127">
        <f>1000*_xlfn.XLOOKUP(A3191,'[1]2050Pop'!$A$7:$A$143,'[1]2050Pop'!$C$7:$C$143)</f>
        <v>15963</v>
      </c>
      <c r="D3191" s="126" t="s">
        <v>524</v>
      </c>
      <c r="E3191" s="128">
        <v>190.66800000000001</v>
      </c>
      <c r="F3191" s="129">
        <f t="shared" si="149"/>
        <v>3.0436332839999998</v>
      </c>
      <c r="G3191" t="str">
        <f>_xlfn.XLOOKUP(D3191,'[1]2050 BAU Mapping to T &amp; C'!$A$3:$A$52,'[1]2050 BAU Mapping to T &amp; C'!$B$3:$B$52)</f>
        <v>Poultry</v>
      </c>
      <c r="H3191" s="129">
        <f>_xlfn.XLOOKUP(G3191,'[1]T&amp;C emissions for 2050 analysis'!$B$3:$B$23,'[1]T&amp;C emissions for 2050 analysis'!$C$3:$C$23)</f>
        <v>4.7666666666666666</v>
      </c>
      <c r="I3191" s="27">
        <f t="shared" si="147"/>
        <v>14.5079853204</v>
      </c>
      <c r="J3191" s="129">
        <f t="shared" si="148"/>
        <v>908.85080000000005</v>
      </c>
    </row>
    <row r="3192" spans="1:10" hidden="1" x14ac:dyDescent="0.35">
      <c r="A3192" s="126" t="s">
        <v>370</v>
      </c>
      <c r="B3192" t="str">
        <f>_xlfn.XLOOKUP(A3192,'[1]2050Pop'!$A$7:$A$143,'[1]2050Pop'!$D$7:$D$143)</f>
        <v>Euro/AU/NZ</v>
      </c>
      <c r="C3192" s="127">
        <f>1000*_xlfn.XLOOKUP(A3192,'[1]2050Pop'!$A$7:$A$143,'[1]2050Pop'!$C$7:$C$143)</f>
        <v>3069</v>
      </c>
      <c r="D3192" s="126" t="s">
        <v>524</v>
      </c>
      <c r="E3192" s="131">
        <v>60.2</v>
      </c>
      <c r="F3192" s="129">
        <f t="shared" si="149"/>
        <v>0.18475380000000002</v>
      </c>
      <c r="G3192" t="str">
        <f>_xlfn.XLOOKUP(D3192,'[1]2050 BAU Mapping to T &amp; C'!$A$3:$A$52,'[1]2050 BAU Mapping to T &amp; C'!$B$3:$B$52)</f>
        <v>Poultry</v>
      </c>
      <c r="H3192" s="129">
        <f>_xlfn.XLOOKUP(G3192,'[1]T&amp;C emissions for 2050 analysis'!$B$3:$B$23,'[1]T&amp;C emissions for 2050 analysis'!$C$3:$C$23)</f>
        <v>4.7666666666666666</v>
      </c>
      <c r="I3192" s="27">
        <f t="shared" si="147"/>
        <v>0.88065978000000011</v>
      </c>
      <c r="J3192" s="129">
        <f t="shared" si="148"/>
        <v>286.95333333333332</v>
      </c>
    </row>
    <row r="3193" spans="1:10" hidden="1" x14ac:dyDescent="0.35">
      <c r="A3193" s="126" t="s">
        <v>371</v>
      </c>
      <c r="B3193" t="str">
        <f>_xlfn.XLOOKUP(A3193,'[1]2050Pop'!$A$7:$A$143,'[1]2050Pop'!$D$7:$D$143)</f>
        <v>SSA</v>
      </c>
      <c r="C3193" s="127">
        <f>1000*_xlfn.XLOOKUP(A3193,'[1]2050Pop'!$A$7:$A$143,'[1]2050Pop'!$C$7:$C$143)</f>
        <v>3389</v>
      </c>
      <c r="D3193" s="126" t="s">
        <v>524</v>
      </c>
      <c r="E3193" s="128">
        <v>21.402000000000001</v>
      </c>
      <c r="F3193" s="129">
        <f t="shared" si="149"/>
        <v>7.2531377999999994E-2</v>
      </c>
      <c r="G3193" t="str">
        <f>_xlfn.XLOOKUP(D3193,'[1]2050 BAU Mapping to T &amp; C'!$A$3:$A$52,'[1]2050 BAU Mapping to T &amp; C'!$B$3:$B$52)</f>
        <v>Poultry</v>
      </c>
      <c r="H3193" s="129">
        <f>_xlfn.XLOOKUP(G3193,'[1]T&amp;C emissions for 2050 analysis'!$B$3:$B$23,'[1]T&amp;C emissions for 2050 analysis'!$C$3:$C$23)</f>
        <v>4.7666666666666666</v>
      </c>
      <c r="I3193" s="27">
        <f t="shared" si="147"/>
        <v>0.34573290179999999</v>
      </c>
      <c r="J3193" s="129">
        <f t="shared" si="148"/>
        <v>102.0162</v>
      </c>
    </row>
    <row r="3194" spans="1:10" hidden="1" x14ac:dyDescent="0.35">
      <c r="A3194" s="126" t="s">
        <v>372</v>
      </c>
      <c r="B3194" t="str">
        <f>_xlfn.XLOOKUP(A3194,'[1]2050Pop'!$A$7:$A$143,'[1]2050Pop'!$D$7:$D$143)</f>
        <v>LatAm &amp; RSA</v>
      </c>
      <c r="C3194" s="127">
        <f>1000*_xlfn.XLOOKUP(A3194,'[1]2050Pop'!$A$7:$A$143,'[1]2050Pop'!$C$7:$C$143)</f>
        <v>238270</v>
      </c>
      <c r="D3194" s="126" t="s">
        <v>524</v>
      </c>
      <c r="E3194" s="130">
        <v>203.46</v>
      </c>
      <c r="F3194" s="129">
        <f t="shared" si="149"/>
        <v>48.478414200000003</v>
      </c>
      <c r="G3194" t="str">
        <f>_xlfn.XLOOKUP(D3194,'[1]2050 BAU Mapping to T &amp; C'!$A$3:$A$52,'[1]2050 BAU Mapping to T &amp; C'!$B$3:$B$52)</f>
        <v>Poultry</v>
      </c>
      <c r="H3194" s="129">
        <f>_xlfn.XLOOKUP(G3194,'[1]T&amp;C emissions for 2050 analysis'!$B$3:$B$23,'[1]T&amp;C emissions for 2050 analysis'!$C$3:$C$23)</f>
        <v>4.7666666666666666</v>
      </c>
      <c r="I3194" s="27">
        <f t="shared" si="147"/>
        <v>231.08044102000002</v>
      </c>
      <c r="J3194" s="129">
        <f t="shared" si="148"/>
        <v>969.82600000000002</v>
      </c>
    </row>
    <row r="3195" spans="1:10" hidden="1" x14ac:dyDescent="0.35">
      <c r="A3195" s="126" t="s">
        <v>373</v>
      </c>
      <c r="B3195" t="str">
        <f>_xlfn.XLOOKUP(A3195,'[1]2050Pop'!$A$7:$A$143,'[1]2050Pop'!$D$7:$D$143)</f>
        <v>Euro/AU/NZ</v>
      </c>
      <c r="C3195" s="127">
        <f>1000*_xlfn.XLOOKUP(A3195,'[1]2050Pop'!$A$7:$A$143,'[1]2050Pop'!$C$7:$C$143)</f>
        <v>5154</v>
      </c>
      <c r="D3195" s="126" t="s">
        <v>524</v>
      </c>
      <c r="E3195" s="128">
        <v>99.802000000000007</v>
      </c>
      <c r="F3195" s="129">
        <f t="shared" si="149"/>
        <v>0.51437950799999999</v>
      </c>
      <c r="G3195" t="str">
        <f>_xlfn.XLOOKUP(D3195,'[1]2050 BAU Mapping to T &amp; C'!$A$3:$A$52,'[1]2050 BAU Mapping to T &amp; C'!$B$3:$B$52)</f>
        <v>Poultry</v>
      </c>
      <c r="H3195" s="129">
        <f>_xlfn.XLOOKUP(G3195,'[1]T&amp;C emissions for 2050 analysis'!$B$3:$B$23,'[1]T&amp;C emissions for 2050 analysis'!$C$3:$C$23)</f>
        <v>4.7666666666666666</v>
      </c>
      <c r="I3195" s="27">
        <f t="shared" si="147"/>
        <v>2.4518756547999998</v>
      </c>
      <c r="J3195" s="129">
        <f t="shared" si="148"/>
        <v>475.72286666666668</v>
      </c>
    </row>
    <row r="3196" spans="1:10" hidden="1" x14ac:dyDescent="0.35">
      <c r="A3196" s="126" t="s">
        <v>487</v>
      </c>
      <c r="B3196" t="str">
        <f>_xlfn.XLOOKUP(A3196,'[1]2050Pop'!$A$7:$A$143,'[1]2050Pop'!$D$7:$D$143)</f>
        <v>SSA</v>
      </c>
      <c r="C3196" s="127">
        <f>1000*_xlfn.XLOOKUP(A3196,'[1]2050Pop'!$A$7:$A$143,'[1]2050Pop'!$C$7:$C$143)</f>
        <v>42789</v>
      </c>
      <c r="D3196" s="126" t="s">
        <v>524</v>
      </c>
      <c r="E3196" s="128">
        <v>14.821</v>
      </c>
      <c r="F3196" s="129">
        <f t="shared" si="149"/>
        <v>0.63417576899999994</v>
      </c>
      <c r="G3196" t="str">
        <f>_xlfn.XLOOKUP(D3196,'[1]2050 BAU Mapping to T &amp; C'!$A$3:$A$52,'[1]2050 BAU Mapping to T &amp; C'!$B$3:$B$52)</f>
        <v>Poultry</v>
      </c>
      <c r="H3196" s="129">
        <f>_xlfn.XLOOKUP(G3196,'[1]T&amp;C emissions for 2050 analysis'!$B$3:$B$23,'[1]T&amp;C emissions for 2050 analysis'!$C$3:$C$23)</f>
        <v>4.7666666666666666</v>
      </c>
      <c r="I3196" s="27">
        <f t="shared" si="147"/>
        <v>3.0229044988999996</v>
      </c>
      <c r="J3196" s="129">
        <f t="shared" si="148"/>
        <v>70.646766666666664</v>
      </c>
    </row>
    <row r="3197" spans="1:10" hidden="1" x14ac:dyDescent="0.35">
      <c r="A3197" s="126" t="s">
        <v>374</v>
      </c>
      <c r="B3197" t="str">
        <f>_xlfn.XLOOKUP(A3197,'[1]2050Pop'!$A$7:$A$143,'[1]2050Pop'!$D$7:$D$143)</f>
        <v>APAC</v>
      </c>
      <c r="C3197" s="127">
        <f>1000*_xlfn.XLOOKUP(A3197,'[1]2050Pop'!$A$7:$A$143,'[1]2050Pop'!$C$7:$C$143)</f>
        <v>22545</v>
      </c>
      <c r="D3197" s="126" t="s">
        <v>524</v>
      </c>
      <c r="E3197" s="128">
        <v>15.327</v>
      </c>
      <c r="F3197" s="129">
        <f t="shared" si="149"/>
        <v>0.34554721500000002</v>
      </c>
      <c r="G3197" t="str">
        <f>_xlfn.XLOOKUP(D3197,'[1]2050 BAU Mapping to T &amp; C'!$A$3:$A$52,'[1]2050 BAU Mapping to T &amp; C'!$B$3:$B$52)</f>
        <v>Poultry</v>
      </c>
      <c r="H3197" s="129">
        <f>_xlfn.XLOOKUP(G3197,'[1]T&amp;C emissions for 2050 analysis'!$B$3:$B$23,'[1]T&amp;C emissions for 2050 analysis'!$C$3:$C$23)</f>
        <v>4.7666666666666666</v>
      </c>
      <c r="I3197" s="27">
        <f t="shared" si="147"/>
        <v>1.6471083915</v>
      </c>
      <c r="J3197" s="129">
        <f t="shared" si="148"/>
        <v>73.058700000000002</v>
      </c>
    </row>
    <row r="3198" spans="1:10" hidden="1" x14ac:dyDescent="0.35">
      <c r="A3198" s="126" t="s">
        <v>375</v>
      </c>
      <c r="B3198" t="str">
        <f>_xlfn.XLOOKUP(A3198,'[1]2050Pop'!$A$7:$A$143,'[1]2050Pop'!$D$7:$D$143)</f>
        <v>SSA</v>
      </c>
      <c r="C3198" s="127">
        <f>1000*_xlfn.XLOOKUP(A3198,'[1]2050Pop'!$A$7:$A$143,'[1]2050Pop'!$C$7:$C$143)</f>
        <v>48362</v>
      </c>
      <c r="D3198" s="126" t="s">
        <v>524</v>
      </c>
      <c r="E3198" s="128">
        <v>20.416</v>
      </c>
      <c r="F3198" s="129">
        <f t="shared" si="149"/>
        <v>0.98735859200000009</v>
      </c>
      <c r="G3198" t="str">
        <f>_xlfn.XLOOKUP(D3198,'[1]2050 BAU Mapping to T &amp; C'!$A$3:$A$52,'[1]2050 BAU Mapping to T &amp; C'!$B$3:$B$52)</f>
        <v>Poultry</v>
      </c>
      <c r="H3198" s="129">
        <f>_xlfn.XLOOKUP(G3198,'[1]T&amp;C emissions for 2050 analysis'!$B$3:$B$23,'[1]T&amp;C emissions for 2050 analysis'!$C$3:$C$23)</f>
        <v>4.7666666666666666</v>
      </c>
      <c r="I3198" s="27">
        <f t="shared" si="147"/>
        <v>4.706409288533334</v>
      </c>
      <c r="J3198" s="129">
        <f t="shared" si="148"/>
        <v>97.316266666666664</v>
      </c>
    </row>
    <row r="3199" spans="1:10" hidden="1" x14ac:dyDescent="0.35">
      <c r="A3199" s="126" t="s">
        <v>376</v>
      </c>
      <c r="B3199" t="str">
        <f>_xlfn.XLOOKUP(A3199,'[1]2050Pop'!$A$7:$A$143,'[1]2050Pop'!$D$7:$D$143)</f>
        <v>NAm</v>
      </c>
      <c r="C3199" s="127">
        <f>1000*_xlfn.XLOOKUP(A3199,'[1]2050Pop'!$A$7:$A$143,'[1]2050Pop'!$C$7:$C$143)</f>
        <v>44136</v>
      </c>
      <c r="D3199" s="126" t="s">
        <v>524</v>
      </c>
      <c r="E3199" s="128">
        <v>159.88800000000001</v>
      </c>
      <c r="F3199" s="129">
        <f t="shared" si="149"/>
        <v>7.056816768</v>
      </c>
      <c r="G3199" t="str">
        <f>_xlfn.XLOOKUP(D3199,'[1]2050 BAU Mapping to T &amp; C'!$A$3:$A$52,'[1]2050 BAU Mapping to T &amp; C'!$B$3:$B$52)</f>
        <v>Poultry</v>
      </c>
      <c r="H3199" s="129">
        <f>_xlfn.XLOOKUP(G3199,'[1]T&amp;C emissions for 2050 analysis'!$B$3:$B$23,'[1]T&amp;C emissions for 2050 analysis'!$C$3:$C$23)</f>
        <v>4.7666666666666666</v>
      </c>
      <c r="I3199" s="27">
        <f t="shared" si="147"/>
        <v>33.637493260799999</v>
      </c>
      <c r="J3199" s="129">
        <f t="shared" si="148"/>
        <v>762.13279999999997</v>
      </c>
    </row>
    <row r="3200" spans="1:10" hidden="1" x14ac:dyDescent="0.35">
      <c r="A3200" s="126" t="s">
        <v>377</v>
      </c>
      <c r="B3200" t="str">
        <f>_xlfn.XLOOKUP(A3200,'[1]2050Pop'!$A$7:$A$143,'[1]2050Pop'!$D$7:$D$143)</f>
        <v>SSA</v>
      </c>
      <c r="C3200" s="127">
        <f>1000*_xlfn.XLOOKUP(A3200,'[1]2050Pop'!$A$7:$A$143,'[1]2050Pop'!$C$7:$C$143)</f>
        <v>8782</v>
      </c>
      <c r="D3200" s="126" t="s">
        <v>524</v>
      </c>
      <c r="E3200" s="128">
        <v>8.3179999999999996</v>
      </c>
      <c r="F3200" s="129">
        <f t="shared" si="149"/>
        <v>7.3048675999999993E-2</v>
      </c>
      <c r="G3200" t="str">
        <f>_xlfn.XLOOKUP(D3200,'[1]2050 BAU Mapping to T &amp; C'!$A$3:$A$52,'[1]2050 BAU Mapping to T &amp; C'!$B$3:$B$52)</f>
        <v>Poultry</v>
      </c>
      <c r="H3200" s="129">
        <f>_xlfn.XLOOKUP(G3200,'[1]T&amp;C emissions for 2050 analysis'!$B$3:$B$23,'[1]T&amp;C emissions for 2050 analysis'!$C$3:$C$23)</f>
        <v>4.7666666666666666</v>
      </c>
      <c r="I3200" s="27">
        <f t="shared" si="147"/>
        <v>0.34819868893333328</v>
      </c>
      <c r="J3200" s="129">
        <f t="shared" si="148"/>
        <v>39.649133333333332</v>
      </c>
    </row>
    <row r="3201" spans="1:10" hidden="1" x14ac:dyDescent="0.35">
      <c r="A3201" s="126" t="s">
        <v>488</v>
      </c>
      <c r="B3201" t="str">
        <f>_xlfn.XLOOKUP(A3201,'[1]2050Pop'!$A$7:$A$143,'[1]2050Pop'!$D$7:$D$143)</f>
        <v>SSA</v>
      </c>
      <c r="C3201" s="127">
        <f>1000*_xlfn.XLOOKUP(A3201,'[1]2050Pop'!$A$7:$A$143,'[1]2050Pop'!$C$7:$C$143)</f>
        <v>35131</v>
      </c>
      <c r="D3201" s="126" t="s">
        <v>524</v>
      </c>
      <c r="E3201" s="128">
        <v>1.7330000000000001</v>
      </c>
      <c r="F3201" s="129">
        <f t="shared" si="149"/>
        <v>6.0882023E-2</v>
      </c>
      <c r="G3201" t="str">
        <f>_xlfn.XLOOKUP(D3201,'[1]2050 BAU Mapping to T &amp; C'!$A$3:$A$52,'[1]2050 BAU Mapping to T &amp; C'!$B$3:$B$52)</f>
        <v>Poultry</v>
      </c>
      <c r="H3201" s="129">
        <f>_xlfn.XLOOKUP(G3201,'[1]T&amp;C emissions for 2050 analysis'!$B$3:$B$23,'[1]T&amp;C emissions for 2050 analysis'!$C$3:$C$23)</f>
        <v>4.7666666666666666</v>
      </c>
      <c r="I3201" s="27">
        <f t="shared" si="147"/>
        <v>0.29020430963333332</v>
      </c>
      <c r="J3201" s="129">
        <f t="shared" si="148"/>
        <v>8.2606333333333328</v>
      </c>
    </row>
    <row r="3202" spans="1:10" hidden="1" x14ac:dyDescent="0.35">
      <c r="A3202" s="126" t="s">
        <v>378</v>
      </c>
      <c r="B3202" t="str">
        <f>_xlfn.XLOOKUP(A3202,'[1]2050Pop'!$A$7:$A$143,'[1]2050Pop'!$D$7:$D$143)</f>
        <v>LatAm &amp; RSA</v>
      </c>
      <c r="C3202" s="127">
        <f>1000*_xlfn.XLOOKUP(A3202,'[1]2050Pop'!$A$7:$A$143,'[1]2050Pop'!$C$7:$C$143)</f>
        <v>21601</v>
      </c>
      <c r="D3202" s="126" t="s">
        <v>524</v>
      </c>
      <c r="E3202" s="128">
        <v>178.52799999999999</v>
      </c>
      <c r="F3202" s="129">
        <f t="shared" si="149"/>
        <v>3.8563833279999997</v>
      </c>
      <c r="G3202" t="str">
        <f>_xlfn.XLOOKUP(D3202,'[1]2050 BAU Mapping to T &amp; C'!$A$3:$A$52,'[1]2050 BAU Mapping to T &amp; C'!$B$3:$B$52)</f>
        <v>Poultry</v>
      </c>
      <c r="H3202" s="129">
        <f>_xlfn.XLOOKUP(G3202,'[1]T&amp;C emissions for 2050 analysis'!$B$3:$B$23,'[1]T&amp;C emissions for 2050 analysis'!$C$3:$C$23)</f>
        <v>4.7666666666666666</v>
      </c>
      <c r="I3202" s="27">
        <f t="shared" si="147"/>
        <v>18.382093863466665</v>
      </c>
      <c r="J3202" s="129">
        <f t="shared" si="148"/>
        <v>850.98346666666657</v>
      </c>
    </row>
    <row r="3203" spans="1:10" hidden="1" x14ac:dyDescent="0.35">
      <c r="A3203" s="126" t="s">
        <v>379</v>
      </c>
      <c r="B3203" t="str">
        <f>_xlfn.XLOOKUP(A3203,'[1]2050Pop'!$A$7:$A$143,'[1]2050Pop'!$D$7:$D$143)</f>
        <v>Greater China</v>
      </c>
      <c r="C3203" s="127">
        <f>1000*_xlfn.XLOOKUP(A3203,'[1]2050Pop'!$A$7:$A$143,'[1]2050Pop'!$C$7:$C$143)</f>
        <v>8148</v>
      </c>
      <c r="D3203" s="126" t="s">
        <v>524</v>
      </c>
      <c r="E3203" s="130">
        <v>265.01</v>
      </c>
      <c r="F3203" s="129">
        <f t="shared" si="149"/>
        <v>2.1593014799999999</v>
      </c>
      <c r="G3203" t="str">
        <f>_xlfn.XLOOKUP(D3203,'[1]2050 BAU Mapping to T &amp; C'!$A$3:$A$52,'[1]2050 BAU Mapping to T &amp; C'!$B$3:$B$52)</f>
        <v>Poultry</v>
      </c>
      <c r="H3203" s="129">
        <f>_xlfn.XLOOKUP(G3203,'[1]T&amp;C emissions for 2050 analysis'!$B$3:$B$23,'[1]T&amp;C emissions for 2050 analysis'!$C$3:$C$23)</f>
        <v>4.7666666666666666</v>
      </c>
      <c r="I3203" s="27">
        <f t="shared" si="147"/>
        <v>10.292670387999999</v>
      </c>
      <c r="J3203" s="129">
        <f t="shared" si="148"/>
        <v>1263.2143333333333</v>
      </c>
    </row>
    <row r="3204" spans="1:10" hidden="1" x14ac:dyDescent="0.35">
      <c r="A3204" s="126" t="s">
        <v>380</v>
      </c>
      <c r="B3204" t="str">
        <f>_xlfn.XLOOKUP(A3204,'[1]2050Pop'!$A$7:$A$143,'[1]2050Pop'!$D$7:$D$143)</f>
        <v>Greater China</v>
      </c>
      <c r="C3204" s="127">
        <f>1000*_xlfn.XLOOKUP(A3204,'[1]2050Pop'!$A$7:$A$143,'[1]2050Pop'!$C$7:$C$143)</f>
        <v>1348056</v>
      </c>
      <c r="D3204" s="126" t="s">
        <v>524</v>
      </c>
      <c r="E3204" s="128">
        <v>83.718000000000004</v>
      </c>
      <c r="F3204" s="129">
        <f t="shared" si="149"/>
        <v>112.85655220800001</v>
      </c>
      <c r="G3204" t="str">
        <f>_xlfn.XLOOKUP(D3204,'[1]2050 BAU Mapping to T &amp; C'!$A$3:$A$52,'[1]2050 BAU Mapping to T &amp; C'!$B$3:$B$52)</f>
        <v>Poultry</v>
      </c>
      <c r="H3204" s="129">
        <f>_xlfn.XLOOKUP(G3204,'[1]T&amp;C emissions for 2050 analysis'!$B$3:$B$23,'[1]T&amp;C emissions for 2050 analysis'!$C$3:$C$23)</f>
        <v>4.7666666666666666</v>
      </c>
      <c r="I3204" s="27">
        <f t="shared" ref="I3204:I3267" si="150">F3204*H3204</f>
        <v>537.94956552480005</v>
      </c>
      <c r="J3204" s="129">
        <f t="shared" ref="J3204:J3267" si="151">E3204*H3204</f>
        <v>399.05580000000003</v>
      </c>
    </row>
    <row r="3205" spans="1:10" hidden="1" x14ac:dyDescent="0.35">
      <c r="A3205" s="126" t="s">
        <v>381</v>
      </c>
      <c r="B3205" t="str">
        <f>_xlfn.XLOOKUP(A3205,'[1]2050Pop'!$A$7:$A$143,'[1]2050Pop'!$D$7:$D$143)</f>
        <v>Greater China</v>
      </c>
      <c r="C3205" s="127">
        <f>1000*_xlfn.XLOOKUP(A3205,'[1]2050Pop'!$A$7:$A$143,'[1]2050Pop'!$C$7:$C$143)</f>
        <v>20778</v>
      </c>
      <c r="D3205" s="126" t="s">
        <v>524</v>
      </c>
      <c r="E3205" s="128">
        <v>157.65899999999999</v>
      </c>
      <c r="F3205" s="129">
        <f t="shared" ref="F3205:F3268" si="152">C3205*E3205/1000000</f>
        <v>3.2758387020000002</v>
      </c>
      <c r="G3205" t="str">
        <f>_xlfn.XLOOKUP(D3205,'[1]2050 BAU Mapping to T &amp; C'!$A$3:$A$52,'[1]2050 BAU Mapping to T &amp; C'!$B$3:$B$52)</f>
        <v>Poultry</v>
      </c>
      <c r="H3205" s="129">
        <f>_xlfn.XLOOKUP(G3205,'[1]T&amp;C emissions for 2050 analysis'!$B$3:$B$23,'[1]T&amp;C emissions for 2050 analysis'!$C$3:$C$23)</f>
        <v>4.7666666666666666</v>
      </c>
      <c r="I3205" s="27">
        <f t="shared" si="150"/>
        <v>15.6148311462</v>
      </c>
      <c r="J3205" s="129">
        <f t="shared" si="151"/>
        <v>751.50789999999995</v>
      </c>
    </row>
    <row r="3206" spans="1:10" hidden="1" x14ac:dyDescent="0.35">
      <c r="A3206" s="126" t="s">
        <v>382</v>
      </c>
      <c r="B3206" t="str">
        <f>_xlfn.XLOOKUP(A3206,'[1]2050Pop'!$A$7:$A$143,'[1]2050Pop'!$D$7:$D$143)</f>
        <v>LatAm &amp; RSA</v>
      </c>
      <c r="C3206" s="127">
        <f>1000*_xlfn.XLOOKUP(A3206,'[1]2050Pop'!$A$7:$A$143,'[1]2050Pop'!$C$7:$C$143)</f>
        <v>54927</v>
      </c>
      <c r="D3206" s="126" t="s">
        <v>524</v>
      </c>
      <c r="E3206" s="128">
        <v>103.70399999999999</v>
      </c>
      <c r="F3206" s="129">
        <f t="shared" si="152"/>
        <v>5.6961496079999998</v>
      </c>
      <c r="G3206" t="str">
        <f>_xlfn.XLOOKUP(D3206,'[1]2050 BAU Mapping to T &amp; C'!$A$3:$A$52,'[1]2050 BAU Mapping to T &amp; C'!$B$3:$B$52)</f>
        <v>Poultry</v>
      </c>
      <c r="H3206" s="129">
        <f>_xlfn.XLOOKUP(G3206,'[1]T&amp;C emissions for 2050 analysis'!$B$3:$B$23,'[1]T&amp;C emissions for 2050 analysis'!$C$3:$C$23)</f>
        <v>4.7666666666666666</v>
      </c>
      <c r="I3206" s="27">
        <f t="shared" si="150"/>
        <v>27.151646464799999</v>
      </c>
      <c r="J3206" s="129">
        <f t="shared" si="151"/>
        <v>494.32239999999996</v>
      </c>
    </row>
    <row r="3207" spans="1:10" hidden="1" x14ac:dyDescent="0.35">
      <c r="A3207" s="126" t="s">
        <v>383</v>
      </c>
      <c r="B3207" t="str">
        <f>_xlfn.XLOOKUP(A3207,'[1]2050Pop'!$A$7:$A$143,'[1]2050Pop'!$D$7:$D$143)</f>
        <v>LatAm &amp; RSA</v>
      </c>
      <c r="C3207" s="127">
        <f>1000*_xlfn.XLOOKUP(A3207,'[1]2050Pop'!$A$7:$A$143,'[1]2050Pop'!$C$7:$C$143)</f>
        <v>5759</v>
      </c>
      <c r="D3207" s="126" t="s">
        <v>524</v>
      </c>
      <c r="E3207" s="128">
        <v>94.712999999999994</v>
      </c>
      <c r="F3207" s="129">
        <f t="shared" si="152"/>
        <v>0.54545216699999999</v>
      </c>
      <c r="G3207" t="str">
        <f>_xlfn.XLOOKUP(D3207,'[1]2050 BAU Mapping to T &amp; C'!$A$3:$A$52,'[1]2050 BAU Mapping to T &amp; C'!$B$3:$B$52)</f>
        <v>Poultry</v>
      </c>
      <c r="H3207" s="129">
        <f>_xlfn.XLOOKUP(G3207,'[1]T&amp;C emissions for 2050 analysis'!$B$3:$B$23,'[1]T&amp;C emissions for 2050 analysis'!$C$3:$C$23)</f>
        <v>4.7666666666666666</v>
      </c>
      <c r="I3207" s="27">
        <f t="shared" si="150"/>
        <v>2.5999886627</v>
      </c>
      <c r="J3207" s="129">
        <f t="shared" si="151"/>
        <v>451.46529999999996</v>
      </c>
    </row>
    <row r="3208" spans="1:10" hidden="1" x14ac:dyDescent="0.35">
      <c r="A3208" s="126" t="s">
        <v>384</v>
      </c>
      <c r="B3208" t="str">
        <f>_xlfn.XLOOKUP(A3208,'[1]2050Pop'!$A$7:$A$143,'[1]2050Pop'!$D$7:$D$143)</f>
        <v>SSA</v>
      </c>
      <c r="C3208" s="127">
        <f>1000*_xlfn.XLOOKUP(A3208,'[1]2050Pop'!$A$7:$A$143,'[1]2050Pop'!$C$7:$C$143)</f>
        <v>48797</v>
      </c>
      <c r="D3208" s="126" t="s">
        <v>524</v>
      </c>
      <c r="E3208" s="128">
        <v>16.908999999999999</v>
      </c>
      <c r="F3208" s="129">
        <f t="shared" si="152"/>
        <v>0.82510847300000001</v>
      </c>
      <c r="G3208" t="str">
        <f>_xlfn.XLOOKUP(D3208,'[1]2050 BAU Mapping to T &amp; C'!$A$3:$A$52,'[1]2050 BAU Mapping to T &amp; C'!$B$3:$B$52)</f>
        <v>Poultry</v>
      </c>
      <c r="H3208" s="129">
        <f>_xlfn.XLOOKUP(G3208,'[1]T&amp;C emissions for 2050 analysis'!$B$3:$B$23,'[1]T&amp;C emissions for 2050 analysis'!$C$3:$C$23)</f>
        <v>4.7666666666666666</v>
      </c>
      <c r="I3208" s="27">
        <f t="shared" si="150"/>
        <v>3.9330170546333334</v>
      </c>
      <c r="J3208" s="129">
        <f t="shared" si="151"/>
        <v>80.599566666666661</v>
      </c>
    </row>
    <row r="3209" spans="1:10" hidden="1" x14ac:dyDescent="0.35">
      <c r="A3209" s="126" t="s">
        <v>385</v>
      </c>
      <c r="B3209" t="str">
        <f>_xlfn.XLOOKUP(A3209,'[1]2050Pop'!$A$7:$A$143,'[1]2050Pop'!$D$7:$D$143)</f>
        <v>Euro/AU/NZ</v>
      </c>
      <c r="C3209" s="127">
        <f>1000*_xlfn.XLOOKUP(A3209,'[1]2050Pop'!$A$7:$A$143,'[1]2050Pop'!$C$7:$C$143)</f>
        <v>3554</v>
      </c>
      <c r="D3209" s="126" t="s">
        <v>524</v>
      </c>
      <c r="E3209" s="128">
        <v>33.648000000000003</v>
      </c>
      <c r="F3209" s="129">
        <f t="shared" si="152"/>
        <v>0.11958499200000001</v>
      </c>
      <c r="G3209" t="str">
        <f>_xlfn.XLOOKUP(D3209,'[1]2050 BAU Mapping to T &amp; C'!$A$3:$A$52,'[1]2050 BAU Mapping to T &amp; C'!$B$3:$B$52)</f>
        <v>Poultry</v>
      </c>
      <c r="H3209" s="129">
        <f>_xlfn.XLOOKUP(G3209,'[1]T&amp;C emissions for 2050 analysis'!$B$3:$B$23,'[1]T&amp;C emissions for 2050 analysis'!$C$3:$C$23)</f>
        <v>4.7666666666666666</v>
      </c>
      <c r="I3209" s="27">
        <f t="shared" si="150"/>
        <v>0.57002179520000007</v>
      </c>
      <c r="J3209" s="129">
        <f t="shared" si="151"/>
        <v>160.3888</v>
      </c>
    </row>
    <row r="3210" spans="1:10" hidden="1" x14ac:dyDescent="0.35">
      <c r="A3210" s="126" t="s">
        <v>386</v>
      </c>
      <c r="B3210" t="str">
        <f>_xlfn.XLOOKUP(A3210,'[1]2050Pop'!$A$7:$A$143,'[1]2050Pop'!$D$7:$D$143)</f>
        <v>LatAm &amp; RSA</v>
      </c>
      <c r="C3210" s="127">
        <f>1000*_xlfn.XLOOKUP(A3210,'[1]2050Pop'!$A$7:$A$143,'[1]2050Pop'!$C$7:$C$143)</f>
        <v>10339</v>
      </c>
      <c r="D3210" s="126" t="s">
        <v>524</v>
      </c>
      <c r="E3210" s="128">
        <v>77.986999999999995</v>
      </c>
      <c r="F3210" s="129">
        <f t="shared" si="152"/>
        <v>0.80630759299999999</v>
      </c>
      <c r="G3210" t="str">
        <f>_xlfn.XLOOKUP(D3210,'[1]2050 BAU Mapping to T &amp; C'!$A$3:$A$52,'[1]2050 BAU Mapping to T &amp; C'!$B$3:$B$52)</f>
        <v>Poultry</v>
      </c>
      <c r="H3210" s="129">
        <f>_xlfn.XLOOKUP(G3210,'[1]T&amp;C emissions for 2050 analysis'!$B$3:$B$23,'[1]T&amp;C emissions for 2050 analysis'!$C$3:$C$23)</f>
        <v>4.7666666666666666</v>
      </c>
      <c r="I3210" s="27">
        <f t="shared" si="150"/>
        <v>3.8433995266333332</v>
      </c>
      <c r="J3210" s="129">
        <f t="shared" si="151"/>
        <v>371.73803333333331</v>
      </c>
    </row>
    <row r="3211" spans="1:10" hidden="1" x14ac:dyDescent="0.35">
      <c r="A3211" s="126" t="s">
        <v>387</v>
      </c>
      <c r="B3211" t="str">
        <f>_xlfn.XLOOKUP(A3211,'[1]2050Pop'!$A$7:$A$143,'[1]2050Pop'!$D$7:$D$143)</f>
        <v>Euro/AU/NZ</v>
      </c>
      <c r="C3211" s="127">
        <f>1000*_xlfn.XLOOKUP(A3211,'[1]2050Pop'!$A$7:$A$143,'[1]2050Pop'!$C$7:$C$143)</f>
        <v>9965</v>
      </c>
      <c r="D3211" s="126" t="s">
        <v>524</v>
      </c>
      <c r="E3211" s="128">
        <v>88.278000000000006</v>
      </c>
      <c r="F3211" s="129">
        <f t="shared" si="152"/>
        <v>0.87969027</v>
      </c>
      <c r="G3211" t="str">
        <f>_xlfn.XLOOKUP(D3211,'[1]2050 BAU Mapping to T &amp; C'!$A$3:$A$52,'[1]2050 BAU Mapping to T &amp; C'!$B$3:$B$52)</f>
        <v>Poultry</v>
      </c>
      <c r="H3211" s="129">
        <f>_xlfn.XLOOKUP(G3211,'[1]T&amp;C emissions for 2050 analysis'!$B$3:$B$23,'[1]T&amp;C emissions for 2050 analysis'!$C$3:$C$23)</f>
        <v>4.7666666666666666</v>
      </c>
      <c r="I3211" s="27">
        <f t="shared" si="150"/>
        <v>4.1931902870000002</v>
      </c>
      <c r="J3211" s="129">
        <f t="shared" si="151"/>
        <v>420.79180000000002</v>
      </c>
    </row>
    <row r="3212" spans="1:10" hidden="1" x14ac:dyDescent="0.35">
      <c r="A3212" s="126" t="s">
        <v>481</v>
      </c>
      <c r="B3212" t="str">
        <f>_xlfn.XLOOKUP(A3212,'[1]2050Pop'!$A$7:$A$143,'[1]2050Pop'!$D$7:$D$143)</f>
        <v>APAC</v>
      </c>
      <c r="C3212" s="127">
        <f>1000*_xlfn.XLOOKUP(A3212,'[1]2050Pop'!$A$7:$A$143,'[1]2050Pop'!$C$7:$C$143)</f>
        <v>26907</v>
      </c>
      <c r="D3212" s="126" t="s">
        <v>524</v>
      </c>
      <c r="E3212" s="128">
        <v>12.968999999999999</v>
      </c>
      <c r="F3212" s="129">
        <f t="shared" si="152"/>
        <v>0.348956883</v>
      </c>
      <c r="G3212" t="str">
        <f>_xlfn.XLOOKUP(D3212,'[1]2050 BAU Mapping to T &amp; C'!$A$3:$A$52,'[1]2050 BAU Mapping to T &amp; C'!$B$3:$B$52)</f>
        <v>Poultry</v>
      </c>
      <c r="H3212" s="129">
        <f>_xlfn.XLOOKUP(G3212,'[1]T&amp;C emissions for 2050 analysis'!$B$3:$B$23,'[1]T&amp;C emissions for 2050 analysis'!$C$3:$C$23)</f>
        <v>4.7666666666666666</v>
      </c>
      <c r="I3212" s="27">
        <f t="shared" si="150"/>
        <v>1.6633611422999999</v>
      </c>
      <c r="J3212" s="129">
        <f t="shared" si="151"/>
        <v>61.818899999999999</v>
      </c>
    </row>
    <row r="3213" spans="1:10" hidden="1" x14ac:dyDescent="0.35">
      <c r="A3213" s="126" t="s">
        <v>388</v>
      </c>
      <c r="B3213" t="str">
        <f>_xlfn.XLOOKUP(A3213,'[1]2050Pop'!$A$7:$A$143,'[1]2050Pop'!$D$7:$D$143)</f>
        <v>Euro/AU/NZ</v>
      </c>
      <c r="C3213" s="127">
        <f>1000*_xlfn.XLOOKUP(A3213,'[1]2050Pop'!$A$7:$A$143,'[1]2050Pop'!$C$7:$C$143)</f>
        <v>6299</v>
      </c>
      <c r="D3213" s="126" t="s">
        <v>524</v>
      </c>
      <c r="E3213" s="130">
        <v>102.01</v>
      </c>
      <c r="F3213" s="129">
        <f t="shared" si="152"/>
        <v>0.64256099</v>
      </c>
      <c r="G3213" t="str">
        <f>_xlfn.XLOOKUP(D3213,'[1]2050 BAU Mapping to T &amp; C'!$A$3:$A$52,'[1]2050 BAU Mapping to T &amp; C'!$B$3:$B$52)</f>
        <v>Poultry</v>
      </c>
      <c r="H3213" s="129">
        <f>_xlfn.XLOOKUP(G3213,'[1]T&amp;C emissions for 2050 analysis'!$B$3:$B$23,'[1]T&amp;C emissions for 2050 analysis'!$C$3:$C$23)</f>
        <v>4.7666666666666666</v>
      </c>
      <c r="I3213" s="27">
        <f t="shared" si="150"/>
        <v>3.0628740523333331</v>
      </c>
      <c r="J3213" s="129">
        <f t="shared" si="151"/>
        <v>486.2476666666667</v>
      </c>
    </row>
    <row r="3214" spans="1:10" hidden="1" x14ac:dyDescent="0.35">
      <c r="A3214" s="126" t="s">
        <v>389</v>
      </c>
      <c r="B3214" t="str">
        <f>_xlfn.XLOOKUP(A3214,'[1]2050Pop'!$A$7:$A$143,'[1]2050Pop'!$D$7:$D$143)</f>
        <v>LatAm &amp; RSA</v>
      </c>
      <c r="C3214" s="127">
        <f>1000*_xlfn.XLOOKUP(A3214,'[1]2050Pop'!$A$7:$A$143,'[1]2050Pop'!$C$7:$C$143)</f>
        <v>13238</v>
      </c>
      <c r="D3214" s="126" t="s">
        <v>524</v>
      </c>
      <c r="E3214" s="128">
        <v>109.703</v>
      </c>
      <c r="F3214" s="129">
        <f t="shared" si="152"/>
        <v>1.452248314</v>
      </c>
      <c r="G3214" t="str">
        <f>_xlfn.XLOOKUP(D3214,'[1]2050 BAU Mapping to T &amp; C'!$A$3:$A$52,'[1]2050 BAU Mapping to T &amp; C'!$B$3:$B$52)</f>
        <v>Poultry</v>
      </c>
      <c r="H3214" s="129">
        <f>_xlfn.XLOOKUP(G3214,'[1]T&amp;C emissions for 2050 analysis'!$B$3:$B$23,'[1]T&amp;C emissions for 2050 analysis'!$C$3:$C$23)</f>
        <v>4.7666666666666666</v>
      </c>
      <c r="I3214" s="27">
        <f t="shared" si="150"/>
        <v>6.9223836300666663</v>
      </c>
      <c r="J3214" s="129">
        <f t="shared" si="151"/>
        <v>522.91763333333336</v>
      </c>
    </row>
    <row r="3215" spans="1:10" hidden="1" x14ac:dyDescent="0.35">
      <c r="A3215" s="126" t="s">
        <v>390</v>
      </c>
      <c r="B3215" t="str">
        <f>_xlfn.XLOOKUP(A3215,'[1]2050Pop'!$A$7:$A$143,'[1]2050Pop'!$D$7:$D$143)</f>
        <v>LatAm &amp; RSA</v>
      </c>
      <c r="C3215" s="127">
        <f>1000*_xlfn.XLOOKUP(A3215,'[1]2050Pop'!$A$7:$A$143,'[1]2050Pop'!$C$7:$C$143)</f>
        <v>23013</v>
      </c>
      <c r="D3215" s="126" t="s">
        <v>524</v>
      </c>
      <c r="E3215" s="128">
        <v>111.81399999999999</v>
      </c>
      <c r="F3215" s="129">
        <f t="shared" si="152"/>
        <v>2.5731755819999997</v>
      </c>
      <c r="G3215" t="str">
        <f>_xlfn.XLOOKUP(D3215,'[1]2050 BAU Mapping to T &amp; C'!$A$3:$A$52,'[1]2050 BAU Mapping to T &amp; C'!$B$3:$B$52)</f>
        <v>Poultry</v>
      </c>
      <c r="H3215" s="129">
        <f>_xlfn.XLOOKUP(G3215,'[1]T&amp;C emissions for 2050 analysis'!$B$3:$B$23,'[1]T&amp;C emissions for 2050 analysis'!$C$3:$C$23)</f>
        <v>4.7666666666666666</v>
      </c>
      <c r="I3215" s="27">
        <f t="shared" si="150"/>
        <v>12.265470274199998</v>
      </c>
      <c r="J3215" s="129">
        <f t="shared" si="151"/>
        <v>532.98006666666663</v>
      </c>
    </row>
    <row r="3216" spans="1:10" hidden="1" x14ac:dyDescent="0.35">
      <c r="A3216" s="126" t="s">
        <v>391</v>
      </c>
      <c r="B3216" t="str">
        <f>_xlfn.XLOOKUP(A3216,'[1]2050Pop'!$A$7:$A$143,'[1]2050Pop'!$D$7:$D$143)</f>
        <v>MENA</v>
      </c>
      <c r="C3216" s="127">
        <f>1000*_xlfn.XLOOKUP(A3216,'[1]2050Pop'!$A$7:$A$143,'[1]2050Pop'!$C$7:$C$143)</f>
        <v>151111</v>
      </c>
      <c r="D3216" s="126" t="s">
        <v>524</v>
      </c>
      <c r="E3216" s="128">
        <v>76.087999999999994</v>
      </c>
      <c r="F3216" s="129">
        <f t="shared" si="152"/>
        <v>11.497733768</v>
      </c>
      <c r="G3216" t="str">
        <f>_xlfn.XLOOKUP(D3216,'[1]2050 BAU Mapping to T &amp; C'!$A$3:$A$52,'[1]2050 BAU Mapping to T &amp; C'!$B$3:$B$52)</f>
        <v>Poultry</v>
      </c>
      <c r="H3216" s="129">
        <f>_xlfn.XLOOKUP(G3216,'[1]T&amp;C emissions for 2050 analysis'!$B$3:$B$23,'[1]T&amp;C emissions for 2050 analysis'!$C$3:$C$23)</f>
        <v>4.7666666666666666</v>
      </c>
      <c r="I3216" s="27">
        <f t="shared" si="150"/>
        <v>54.805864294133329</v>
      </c>
      <c r="J3216" s="129">
        <f t="shared" si="151"/>
        <v>362.68613333333332</v>
      </c>
    </row>
    <row r="3217" spans="1:10" hidden="1" x14ac:dyDescent="0.35">
      <c r="A3217" s="126" t="s">
        <v>392</v>
      </c>
      <c r="B3217" t="str">
        <f>_xlfn.XLOOKUP(A3217,'[1]2050Pop'!$A$7:$A$143,'[1]2050Pop'!$D$7:$D$143)</f>
        <v>LatAm &amp; RSA</v>
      </c>
      <c r="C3217" s="127">
        <f>1000*_xlfn.XLOOKUP(A3217,'[1]2050Pop'!$A$7:$A$143,'[1]2050Pop'!$C$7:$C$143)</f>
        <v>6390</v>
      </c>
      <c r="D3217" s="126" t="s">
        <v>524</v>
      </c>
      <c r="E3217" s="128">
        <v>79.805999999999997</v>
      </c>
      <c r="F3217" s="129">
        <f t="shared" si="152"/>
        <v>0.50996034000000001</v>
      </c>
      <c r="G3217" t="str">
        <f>_xlfn.XLOOKUP(D3217,'[1]2050 BAU Mapping to T &amp; C'!$A$3:$A$52,'[1]2050 BAU Mapping to T &amp; C'!$B$3:$B$52)</f>
        <v>Poultry</v>
      </c>
      <c r="H3217" s="129">
        <f>_xlfn.XLOOKUP(G3217,'[1]T&amp;C emissions for 2050 analysis'!$B$3:$B$23,'[1]T&amp;C emissions for 2050 analysis'!$C$3:$C$23)</f>
        <v>4.7666666666666666</v>
      </c>
      <c r="I3217" s="27">
        <f t="shared" si="150"/>
        <v>2.430810954</v>
      </c>
      <c r="J3217" s="129">
        <f t="shared" si="151"/>
        <v>380.40859999999998</v>
      </c>
    </row>
    <row r="3218" spans="1:10" hidden="1" x14ac:dyDescent="0.35">
      <c r="A3218" s="126" t="s">
        <v>393</v>
      </c>
      <c r="B3218" t="str">
        <f>_xlfn.XLOOKUP(A3218,'[1]2050Pop'!$A$7:$A$143,'[1]2050Pop'!$D$7:$D$143)</f>
        <v>Euro/AU/NZ</v>
      </c>
      <c r="C3218" s="127">
        <f>1000*_xlfn.XLOOKUP(A3218,'[1]2050Pop'!$A$7:$A$143,'[1]2050Pop'!$C$7:$C$143)</f>
        <v>1129</v>
      </c>
      <c r="D3218" s="126" t="s">
        <v>524</v>
      </c>
      <c r="E3218" s="128">
        <v>97.375</v>
      </c>
      <c r="F3218" s="129">
        <f t="shared" si="152"/>
        <v>0.109936375</v>
      </c>
      <c r="G3218" t="str">
        <f>_xlfn.XLOOKUP(D3218,'[1]2050 BAU Mapping to T &amp; C'!$A$3:$A$52,'[1]2050 BAU Mapping to T &amp; C'!$B$3:$B$52)</f>
        <v>Poultry</v>
      </c>
      <c r="H3218" s="129">
        <f>_xlfn.XLOOKUP(G3218,'[1]T&amp;C emissions for 2050 analysis'!$B$3:$B$23,'[1]T&amp;C emissions for 2050 analysis'!$C$3:$C$23)</f>
        <v>4.7666666666666666</v>
      </c>
      <c r="I3218" s="27">
        <f t="shared" si="150"/>
        <v>0.5240300541666667</v>
      </c>
      <c r="J3218" s="129">
        <f t="shared" si="151"/>
        <v>464.15416666666664</v>
      </c>
    </row>
    <row r="3219" spans="1:10" hidden="1" x14ac:dyDescent="0.35">
      <c r="A3219" s="126" t="s">
        <v>394</v>
      </c>
      <c r="B3219" t="str">
        <f>_xlfn.XLOOKUP(A3219,'[1]2050Pop'!$A$7:$A$143,'[1]2050Pop'!$D$7:$D$143)</f>
        <v>SSA</v>
      </c>
      <c r="C3219" s="127">
        <f>1000*_xlfn.XLOOKUP(A3219,'[1]2050Pop'!$A$7:$A$143,'[1]2050Pop'!$C$7:$C$143)</f>
        <v>188455</v>
      </c>
      <c r="D3219" s="126" t="s">
        <v>524</v>
      </c>
      <c r="E3219" s="128">
        <v>3.6030000000000002</v>
      </c>
      <c r="F3219" s="129">
        <f t="shared" si="152"/>
        <v>0.67900336500000003</v>
      </c>
      <c r="G3219" t="str">
        <f>_xlfn.XLOOKUP(D3219,'[1]2050 BAU Mapping to T &amp; C'!$A$3:$A$52,'[1]2050 BAU Mapping to T &amp; C'!$B$3:$B$52)</f>
        <v>Poultry</v>
      </c>
      <c r="H3219" s="129">
        <f>_xlfn.XLOOKUP(G3219,'[1]T&amp;C emissions for 2050 analysis'!$B$3:$B$23,'[1]T&amp;C emissions for 2050 analysis'!$C$3:$C$23)</f>
        <v>4.7666666666666666</v>
      </c>
      <c r="I3219" s="27">
        <f t="shared" si="150"/>
        <v>3.2365827065000001</v>
      </c>
      <c r="J3219" s="129">
        <f t="shared" si="151"/>
        <v>17.174300000000002</v>
      </c>
    </row>
    <row r="3220" spans="1:10" hidden="1" x14ac:dyDescent="0.35">
      <c r="A3220" s="126" t="s">
        <v>395</v>
      </c>
      <c r="B3220" t="str">
        <f>_xlfn.XLOOKUP(A3220,'[1]2050Pop'!$A$7:$A$143,'[1]2050Pop'!$D$7:$D$143)</f>
        <v>Euro/AU/NZ</v>
      </c>
      <c r="C3220" s="127">
        <f>1000*_xlfn.XLOOKUP(A3220,'[1]2050Pop'!$A$7:$A$143,'[1]2050Pop'!$C$7:$C$143)</f>
        <v>5752</v>
      </c>
      <c r="D3220" s="126" t="s">
        <v>524</v>
      </c>
      <c r="E3220" s="128">
        <v>78.674000000000007</v>
      </c>
      <c r="F3220" s="129">
        <f t="shared" si="152"/>
        <v>0.45253284800000004</v>
      </c>
      <c r="G3220" t="str">
        <f>_xlfn.XLOOKUP(D3220,'[1]2050 BAU Mapping to T &amp; C'!$A$3:$A$52,'[1]2050 BAU Mapping to T &amp; C'!$B$3:$B$52)</f>
        <v>Poultry</v>
      </c>
      <c r="H3220" s="129">
        <f>_xlfn.XLOOKUP(G3220,'[1]T&amp;C emissions for 2050 analysis'!$B$3:$B$23,'[1]T&amp;C emissions for 2050 analysis'!$C$3:$C$23)</f>
        <v>4.7666666666666666</v>
      </c>
      <c r="I3220" s="27">
        <f t="shared" si="150"/>
        <v>2.1570732421333334</v>
      </c>
      <c r="J3220" s="129">
        <f t="shared" si="151"/>
        <v>375.01273333333336</v>
      </c>
    </row>
    <row r="3221" spans="1:10" hidden="1" x14ac:dyDescent="0.35">
      <c r="A3221" s="126" t="s">
        <v>396</v>
      </c>
      <c r="B3221" t="str">
        <f>_xlfn.XLOOKUP(A3221,'[1]2050Pop'!$A$7:$A$143,'[1]2050Pop'!$D$7:$D$143)</f>
        <v>Euro/AU/NZ</v>
      </c>
      <c r="C3221" s="127">
        <f>1000*_xlfn.XLOOKUP(A3221,'[1]2050Pop'!$A$7:$A$143,'[1]2050Pop'!$C$7:$C$143)</f>
        <v>71137</v>
      </c>
      <c r="D3221" s="126" t="s">
        <v>524</v>
      </c>
      <c r="E3221" s="128">
        <v>113.69199999999999</v>
      </c>
      <c r="F3221" s="129">
        <f t="shared" si="152"/>
        <v>8.087707803999999</v>
      </c>
      <c r="G3221" t="str">
        <f>_xlfn.XLOOKUP(D3221,'[1]2050 BAU Mapping to T &amp; C'!$A$3:$A$52,'[1]2050 BAU Mapping to T &amp; C'!$B$3:$B$52)</f>
        <v>Poultry</v>
      </c>
      <c r="H3221" s="129">
        <f>_xlfn.XLOOKUP(G3221,'[1]T&amp;C emissions for 2050 analysis'!$B$3:$B$23,'[1]T&amp;C emissions for 2050 analysis'!$C$3:$C$23)</f>
        <v>4.7666666666666666</v>
      </c>
      <c r="I3221" s="27">
        <f t="shared" si="150"/>
        <v>38.551407199066659</v>
      </c>
      <c r="J3221" s="129">
        <f t="shared" si="151"/>
        <v>541.93186666666668</v>
      </c>
    </row>
    <row r="3222" spans="1:10" hidden="1" x14ac:dyDescent="0.35">
      <c r="A3222" s="126" t="s">
        <v>397</v>
      </c>
      <c r="B3222" t="str">
        <f>_xlfn.XLOOKUP(A3222,'[1]2050Pop'!$A$7:$A$143,'[1]2050Pop'!$D$7:$D$143)</f>
        <v>SSA</v>
      </c>
      <c r="C3222" s="127">
        <f>1000*_xlfn.XLOOKUP(A3222,'[1]2050Pop'!$A$7:$A$143,'[1]2050Pop'!$C$7:$C$143)</f>
        <v>3164</v>
      </c>
      <c r="D3222" s="126" t="s">
        <v>524</v>
      </c>
      <c r="E3222" s="128">
        <v>137.41399999999999</v>
      </c>
      <c r="F3222" s="129">
        <f t="shared" si="152"/>
        <v>0.43477789599999994</v>
      </c>
      <c r="G3222" t="str">
        <f>_xlfn.XLOOKUP(D3222,'[1]2050 BAU Mapping to T &amp; C'!$A$3:$A$52,'[1]2050 BAU Mapping to T &amp; C'!$B$3:$B$52)</f>
        <v>Poultry</v>
      </c>
      <c r="H3222" s="129">
        <f>_xlfn.XLOOKUP(G3222,'[1]T&amp;C emissions for 2050 analysis'!$B$3:$B$23,'[1]T&amp;C emissions for 2050 analysis'!$C$3:$C$23)</f>
        <v>4.7666666666666666</v>
      </c>
      <c r="I3222" s="27">
        <f t="shared" si="150"/>
        <v>2.0724413042666665</v>
      </c>
      <c r="J3222" s="129">
        <f t="shared" si="151"/>
        <v>655.00673333333327</v>
      </c>
    </row>
    <row r="3223" spans="1:10" hidden="1" x14ac:dyDescent="0.35">
      <c r="A3223" s="126" t="s">
        <v>489</v>
      </c>
      <c r="B3223" t="str">
        <f>_xlfn.XLOOKUP(A3223,'[1]2050Pop'!$A$7:$A$143,'[1]2050Pop'!$D$7:$D$143)</f>
        <v>SSA</v>
      </c>
      <c r="C3223" s="127">
        <f>1000*_xlfn.XLOOKUP(A3223,'[1]2050Pop'!$A$7:$A$143,'[1]2050Pop'!$C$7:$C$143)</f>
        <v>4981</v>
      </c>
      <c r="D3223" s="126" t="s">
        <v>524</v>
      </c>
      <c r="E3223" s="128">
        <v>25.289000000000001</v>
      </c>
      <c r="F3223" s="129">
        <f t="shared" si="152"/>
        <v>0.125964509</v>
      </c>
      <c r="G3223" t="str">
        <f>_xlfn.XLOOKUP(D3223,'[1]2050 BAU Mapping to T &amp; C'!$A$3:$A$52,'[1]2050 BAU Mapping to T &amp; C'!$B$3:$B$52)</f>
        <v>Poultry</v>
      </c>
      <c r="H3223" s="129">
        <f>_xlfn.XLOOKUP(G3223,'[1]T&amp;C emissions for 2050 analysis'!$B$3:$B$23,'[1]T&amp;C emissions for 2050 analysis'!$C$3:$C$23)</f>
        <v>4.7666666666666666</v>
      </c>
      <c r="I3223" s="27">
        <f t="shared" si="150"/>
        <v>0.60043082623333333</v>
      </c>
      <c r="J3223" s="129">
        <f t="shared" si="151"/>
        <v>120.54423333333334</v>
      </c>
    </row>
    <row r="3224" spans="1:10" hidden="1" x14ac:dyDescent="0.35">
      <c r="A3224" s="126" t="s">
        <v>398</v>
      </c>
      <c r="B3224" t="str">
        <f>_xlfn.XLOOKUP(A3224,'[1]2050Pop'!$A$7:$A$143,'[1]2050Pop'!$D$7:$D$143)</f>
        <v>MENA</v>
      </c>
      <c r="C3224" s="127">
        <f>1000*_xlfn.XLOOKUP(A3224,'[1]2050Pop'!$A$7:$A$143,'[1]2050Pop'!$C$7:$C$143)</f>
        <v>3483</v>
      </c>
      <c r="D3224" s="126" t="s">
        <v>524</v>
      </c>
      <c r="E3224" s="128">
        <v>60.398000000000003</v>
      </c>
      <c r="F3224" s="129">
        <f t="shared" si="152"/>
        <v>0.21036623399999999</v>
      </c>
      <c r="G3224" t="str">
        <f>_xlfn.XLOOKUP(D3224,'[1]2050 BAU Mapping to T &amp; C'!$A$3:$A$52,'[1]2050 BAU Mapping to T &amp; C'!$B$3:$B$52)</f>
        <v>Poultry</v>
      </c>
      <c r="H3224" s="129">
        <f>_xlfn.XLOOKUP(G3224,'[1]T&amp;C emissions for 2050 analysis'!$B$3:$B$23,'[1]T&amp;C emissions for 2050 analysis'!$C$3:$C$23)</f>
        <v>4.7666666666666666</v>
      </c>
      <c r="I3224" s="27">
        <f t="shared" si="150"/>
        <v>1.0027457153999999</v>
      </c>
      <c r="J3224" s="129">
        <f t="shared" si="151"/>
        <v>287.89713333333333</v>
      </c>
    </row>
    <row r="3225" spans="1:10" hidden="1" x14ac:dyDescent="0.35">
      <c r="A3225" s="126" t="s">
        <v>399</v>
      </c>
      <c r="B3225" t="str">
        <f>_xlfn.XLOOKUP(A3225,'[1]2050Pop'!$A$7:$A$143,'[1]2050Pop'!$D$7:$D$143)</f>
        <v>Euro/AU/NZ</v>
      </c>
      <c r="C3225" s="127">
        <f>1000*_xlfn.XLOOKUP(A3225,'[1]2050Pop'!$A$7:$A$143,'[1]2050Pop'!$C$7:$C$143)</f>
        <v>74513</v>
      </c>
      <c r="D3225" s="126" t="s">
        <v>524</v>
      </c>
      <c r="E3225" s="128">
        <v>69.945999999999998</v>
      </c>
      <c r="F3225" s="129">
        <f t="shared" si="152"/>
        <v>5.2118862979999996</v>
      </c>
      <c r="G3225" t="str">
        <f>_xlfn.XLOOKUP(D3225,'[1]2050 BAU Mapping to T &amp; C'!$A$3:$A$52,'[1]2050 BAU Mapping to T &amp; C'!$B$3:$B$52)</f>
        <v>Poultry</v>
      </c>
      <c r="H3225" s="129">
        <f>_xlfn.XLOOKUP(G3225,'[1]T&amp;C emissions for 2050 analysis'!$B$3:$B$23,'[1]T&amp;C emissions for 2050 analysis'!$C$3:$C$23)</f>
        <v>4.7666666666666666</v>
      </c>
      <c r="I3225" s="27">
        <f t="shared" si="150"/>
        <v>24.843324687133332</v>
      </c>
      <c r="J3225" s="129">
        <f t="shared" si="151"/>
        <v>333.40926666666667</v>
      </c>
    </row>
    <row r="3226" spans="1:10" hidden="1" x14ac:dyDescent="0.35">
      <c r="A3226" s="126" t="s">
        <v>400</v>
      </c>
      <c r="B3226" t="str">
        <f>_xlfn.XLOOKUP(A3226,'[1]2050Pop'!$A$7:$A$143,'[1]2050Pop'!$D$7:$D$143)</f>
        <v>SSA</v>
      </c>
      <c r="C3226" s="127">
        <f>1000*_xlfn.XLOOKUP(A3226,'[1]2050Pop'!$A$7:$A$143,'[1]2050Pop'!$C$7:$C$143)</f>
        <v>50071</v>
      </c>
      <c r="D3226" s="126" t="s">
        <v>524</v>
      </c>
      <c r="E3226" s="128">
        <v>32.637</v>
      </c>
      <c r="F3226" s="129">
        <f t="shared" si="152"/>
        <v>1.6341672270000001</v>
      </c>
      <c r="G3226" t="str">
        <f>_xlfn.XLOOKUP(D3226,'[1]2050 BAU Mapping to T &amp; C'!$A$3:$A$52,'[1]2050 BAU Mapping to T &amp; C'!$B$3:$B$52)</f>
        <v>Poultry</v>
      </c>
      <c r="H3226" s="129">
        <f>_xlfn.XLOOKUP(G3226,'[1]T&amp;C emissions for 2050 analysis'!$B$3:$B$23,'[1]T&amp;C emissions for 2050 analysis'!$C$3:$C$23)</f>
        <v>4.7666666666666666</v>
      </c>
      <c r="I3226" s="27">
        <f t="shared" si="150"/>
        <v>7.7895304486999999</v>
      </c>
      <c r="J3226" s="129">
        <f t="shared" si="151"/>
        <v>155.56970000000001</v>
      </c>
    </row>
    <row r="3227" spans="1:10" hidden="1" x14ac:dyDescent="0.35">
      <c r="A3227" s="126" t="s">
        <v>401</v>
      </c>
      <c r="B3227" t="str">
        <f>_xlfn.XLOOKUP(A3227,'[1]2050Pop'!$A$7:$A$143,'[1]2050Pop'!$D$7:$D$143)</f>
        <v>Euro/AU/NZ</v>
      </c>
      <c r="C3227" s="127">
        <f>1000*_xlfn.XLOOKUP(A3227,'[1]2050Pop'!$A$7:$A$143,'[1]2050Pop'!$C$7:$C$143)</f>
        <v>9705</v>
      </c>
      <c r="D3227" s="126" t="s">
        <v>524</v>
      </c>
      <c r="E3227" s="128">
        <v>58.341000000000001</v>
      </c>
      <c r="F3227" s="129">
        <f t="shared" si="152"/>
        <v>0.56619940499999999</v>
      </c>
      <c r="G3227" t="str">
        <f>_xlfn.XLOOKUP(D3227,'[1]2050 BAU Mapping to T &amp; C'!$A$3:$A$52,'[1]2050 BAU Mapping to T &amp; C'!$B$3:$B$52)</f>
        <v>Poultry</v>
      </c>
      <c r="H3227" s="129">
        <f>_xlfn.XLOOKUP(G3227,'[1]T&amp;C emissions for 2050 analysis'!$B$3:$B$23,'[1]T&amp;C emissions for 2050 analysis'!$C$3:$C$23)</f>
        <v>4.7666666666666666</v>
      </c>
      <c r="I3227" s="27">
        <f t="shared" si="150"/>
        <v>2.6988838304999998</v>
      </c>
      <c r="J3227" s="129">
        <f t="shared" si="151"/>
        <v>278.09210000000002</v>
      </c>
    </row>
    <row r="3228" spans="1:10" hidden="1" x14ac:dyDescent="0.35">
      <c r="A3228" s="126" t="s">
        <v>402</v>
      </c>
      <c r="B3228" t="str">
        <f>_xlfn.XLOOKUP(A3228,'[1]2050Pop'!$A$7:$A$143,'[1]2050Pop'!$D$7:$D$143)</f>
        <v>LatAm &amp; RSA</v>
      </c>
      <c r="C3228" s="127">
        <f>1000*_xlfn.XLOOKUP(A3228,'[1]2050Pop'!$A$7:$A$143,'[1]2050Pop'!$C$7:$C$143)</f>
        <v>27754</v>
      </c>
      <c r="D3228" s="126" t="s">
        <v>524</v>
      </c>
      <c r="E3228" s="130">
        <v>67.239999999999995</v>
      </c>
      <c r="F3228" s="129">
        <f t="shared" si="152"/>
        <v>1.8661789600000001</v>
      </c>
      <c r="G3228" t="str">
        <f>_xlfn.XLOOKUP(D3228,'[1]2050 BAU Mapping to T &amp; C'!$A$3:$A$52,'[1]2050 BAU Mapping to T &amp; C'!$B$3:$B$52)</f>
        <v>Poultry</v>
      </c>
      <c r="H3228" s="129">
        <f>_xlfn.XLOOKUP(G3228,'[1]T&amp;C emissions for 2050 analysis'!$B$3:$B$23,'[1]T&amp;C emissions for 2050 analysis'!$C$3:$C$23)</f>
        <v>4.7666666666666666</v>
      </c>
      <c r="I3228" s="27">
        <f t="shared" si="150"/>
        <v>8.8954530426666665</v>
      </c>
      <c r="J3228" s="129">
        <f t="shared" si="151"/>
        <v>320.51066666666662</v>
      </c>
    </row>
    <row r="3229" spans="1:10" hidden="1" x14ac:dyDescent="0.35">
      <c r="A3229" s="126" t="s">
        <v>403</v>
      </c>
      <c r="B3229" t="str">
        <f>_xlfn.XLOOKUP(A3229,'[1]2050Pop'!$A$7:$A$143,'[1]2050Pop'!$D$7:$D$143)</f>
        <v>SSA</v>
      </c>
      <c r="C3229" s="127">
        <f>1000*_xlfn.XLOOKUP(A3229,'[1]2050Pop'!$A$7:$A$143,'[1]2050Pop'!$C$7:$C$143)</f>
        <v>27486</v>
      </c>
      <c r="D3229" s="126" t="s">
        <v>524</v>
      </c>
      <c r="E3229" s="128">
        <v>11.134</v>
      </c>
      <c r="F3229" s="129">
        <f t="shared" si="152"/>
        <v>0.30602912399999999</v>
      </c>
      <c r="G3229" t="str">
        <f>_xlfn.XLOOKUP(D3229,'[1]2050 BAU Mapping to T &amp; C'!$A$3:$A$52,'[1]2050 BAU Mapping to T &amp; C'!$B$3:$B$52)</f>
        <v>Poultry</v>
      </c>
      <c r="H3229" s="129">
        <f>_xlfn.XLOOKUP(G3229,'[1]T&amp;C emissions for 2050 analysis'!$B$3:$B$23,'[1]T&amp;C emissions for 2050 analysis'!$C$3:$C$23)</f>
        <v>4.7666666666666666</v>
      </c>
      <c r="I3229" s="27">
        <f t="shared" si="150"/>
        <v>1.4587388243999999</v>
      </c>
      <c r="J3229" s="129">
        <f t="shared" si="151"/>
        <v>53.072066666666665</v>
      </c>
    </row>
    <row r="3230" spans="1:10" hidden="1" x14ac:dyDescent="0.35">
      <c r="A3230" s="126" t="s">
        <v>404</v>
      </c>
      <c r="B3230" t="str">
        <f>_xlfn.XLOOKUP(A3230,'[1]2050Pop'!$A$7:$A$143,'[1]2050Pop'!$D$7:$D$143)</f>
        <v>LatAm &amp; RSA</v>
      </c>
      <c r="C3230" s="127">
        <f>1000*_xlfn.XLOOKUP(A3230,'[1]2050Pop'!$A$7:$A$143,'[1]2050Pop'!$C$7:$C$143)</f>
        <v>806</v>
      </c>
      <c r="D3230" s="126" t="s">
        <v>524</v>
      </c>
      <c r="E3230" s="128">
        <v>215.09899999999999</v>
      </c>
      <c r="F3230" s="129">
        <f t="shared" si="152"/>
        <v>0.17336979399999999</v>
      </c>
      <c r="G3230" t="str">
        <f>_xlfn.XLOOKUP(D3230,'[1]2050 BAU Mapping to T &amp; C'!$A$3:$A$52,'[1]2050 BAU Mapping to T &amp; C'!$B$3:$B$52)</f>
        <v>Poultry</v>
      </c>
      <c r="H3230" s="129">
        <f>_xlfn.XLOOKUP(G3230,'[1]T&amp;C emissions for 2050 analysis'!$B$3:$B$23,'[1]T&amp;C emissions for 2050 analysis'!$C$3:$C$23)</f>
        <v>4.7666666666666666</v>
      </c>
      <c r="I3230" s="27">
        <f t="shared" si="150"/>
        <v>0.82639601806666663</v>
      </c>
      <c r="J3230" s="129">
        <f t="shared" si="151"/>
        <v>1025.3052333333333</v>
      </c>
    </row>
    <row r="3231" spans="1:10" hidden="1" x14ac:dyDescent="0.35">
      <c r="A3231" s="126" t="s">
        <v>405</v>
      </c>
      <c r="B3231" t="str">
        <f>_xlfn.XLOOKUP(A3231,'[1]2050Pop'!$A$7:$A$143,'[1]2050Pop'!$D$7:$D$143)</f>
        <v>LatAm &amp; RSA</v>
      </c>
      <c r="C3231" s="127">
        <f>1000*_xlfn.XLOOKUP(A3231,'[1]2050Pop'!$A$7:$A$143,'[1]2050Pop'!$C$7:$C$143)</f>
        <v>14189</v>
      </c>
      <c r="D3231" s="126" t="s">
        <v>524</v>
      </c>
      <c r="E3231" s="130">
        <v>38.57</v>
      </c>
      <c r="F3231" s="129">
        <f t="shared" si="152"/>
        <v>0.54726973000000001</v>
      </c>
      <c r="G3231" t="str">
        <f>_xlfn.XLOOKUP(D3231,'[1]2050 BAU Mapping to T &amp; C'!$A$3:$A$52,'[1]2050 BAU Mapping to T &amp; C'!$B$3:$B$52)</f>
        <v>Poultry</v>
      </c>
      <c r="H3231" s="129">
        <f>_xlfn.XLOOKUP(G3231,'[1]T&amp;C emissions for 2050 analysis'!$B$3:$B$23,'[1]T&amp;C emissions for 2050 analysis'!$C$3:$C$23)</f>
        <v>4.7666666666666666</v>
      </c>
      <c r="I3231" s="27">
        <f t="shared" si="150"/>
        <v>2.6086523796666667</v>
      </c>
      <c r="J3231" s="129">
        <f t="shared" si="151"/>
        <v>183.85033333333334</v>
      </c>
    </row>
    <row r="3232" spans="1:10" hidden="1" x14ac:dyDescent="0.35">
      <c r="A3232" s="126" t="s">
        <v>406</v>
      </c>
      <c r="B3232" t="str">
        <f>_xlfn.XLOOKUP(A3232,'[1]2050Pop'!$A$7:$A$143,'[1]2050Pop'!$D$7:$D$143)</f>
        <v>LatAm &amp; RSA</v>
      </c>
      <c r="C3232" s="127">
        <f>1000*_xlfn.XLOOKUP(A3232,'[1]2050Pop'!$A$7:$A$143,'[1]2050Pop'!$C$7:$C$143)</f>
        <v>11217</v>
      </c>
      <c r="D3232" s="126" t="s">
        <v>524</v>
      </c>
      <c r="E3232" s="130">
        <v>109.09</v>
      </c>
      <c r="F3232" s="129">
        <f t="shared" si="152"/>
        <v>1.2236625300000001</v>
      </c>
      <c r="G3232" t="str">
        <f>_xlfn.XLOOKUP(D3232,'[1]2050 BAU Mapping to T &amp; C'!$A$3:$A$52,'[1]2050 BAU Mapping to T &amp; C'!$B$3:$B$52)</f>
        <v>Poultry</v>
      </c>
      <c r="H3232" s="129">
        <f>_xlfn.XLOOKUP(G3232,'[1]T&amp;C emissions for 2050 analysis'!$B$3:$B$23,'[1]T&amp;C emissions for 2050 analysis'!$C$3:$C$23)</f>
        <v>4.7666666666666666</v>
      </c>
      <c r="I3232" s="27">
        <f t="shared" si="150"/>
        <v>5.8327913930000008</v>
      </c>
      <c r="J3232" s="129">
        <f t="shared" si="151"/>
        <v>519.99566666666669</v>
      </c>
    </row>
    <row r="3233" spans="1:10" hidden="1" x14ac:dyDescent="0.35">
      <c r="A3233" s="126" t="s">
        <v>407</v>
      </c>
      <c r="B3233" t="str">
        <f>_xlfn.XLOOKUP(A3233,'[1]2050Pop'!$A$7:$A$143,'[1]2050Pop'!$D$7:$D$143)</f>
        <v>Euro/AU/NZ</v>
      </c>
      <c r="C3233" s="127">
        <f>1000*_xlfn.XLOOKUP(A3233,'[1]2050Pop'!$A$7:$A$143,'[1]2050Pop'!$C$7:$C$143)</f>
        <v>8318</v>
      </c>
      <c r="D3233" s="126" t="s">
        <v>524</v>
      </c>
      <c r="E3233" s="128">
        <v>118.934</v>
      </c>
      <c r="F3233" s="129">
        <f t="shared" si="152"/>
        <v>0.98929301199999997</v>
      </c>
      <c r="G3233" t="str">
        <f>_xlfn.XLOOKUP(D3233,'[1]2050 BAU Mapping to T &amp; C'!$A$3:$A$52,'[1]2050 BAU Mapping to T &amp; C'!$B$3:$B$52)</f>
        <v>Poultry</v>
      </c>
      <c r="H3233" s="129">
        <f>_xlfn.XLOOKUP(G3233,'[1]T&amp;C emissions for 2050 analysis'!$B$3:$B$23,'[1]T&amp;C emissions for 2050 analysis'!$C$3:$C$23)</f>
        <v>4.7666666666666666</v>
      </c>
      <c r="I3233" s="27">
        <f t="shared" si="150"/>
        <v>4.7156300238666669</v>
      </c>
      <c r="J3233" s="129">
        <f t="shared" si="151"/>
        <v>566.91873333333331</v>
      </c>
    </row>
    <row r="3234" spans="1:10" hidden="1" x14ac:dyDescent="0.35">
      <c r="A3234" s="126" t="s">
        <v>408</v>
      </c>
      <c r="B3234" t="str">
        <f>_xlfn.XLOOKUP(A3234,'[1]2050Pop'!$A$7:$A$143,'[1]2050Pop'!$D$7:$D$143)</f>
        <v>India/South Asia</v>
      </c>
      <c r="C3234" s="127">
        <f>1000*_xlfn.XLOOKUP(A3234,'[1]2050Pop'!$A$7:$A$143,'[1]2050Pop'!$C$7:$C$143)</f>
        <v>1705333</v>
      </c>
      <c r="D3234" s="126" t="s">
        <v>524</v>
      </c>
      <c r="E3234" s="128">
        <v>8.9139999999999997</v>
      </c>
      <c r="F3234" s="129">
        <f t="shared" si="152"/>
        <v>15.201338362</v>
      </c>
      <c r="G3234" t="str">
        <f>_xlfn.XLOOKUP(D3234,'[1]2050 BAU Mapping to T &amp; C'!$A$3:$A$52,'[1]2050 BAU Mapping to T &amp; C'!$B$3:$B$52)</f>
        <v>Poultry</v>
      </c>
      <c r="H3234" s="129">
        <f>_xlfn.XLOOKUP(G3234,'[1]T&amp;C emissions for 2050 analysis'!$B$3:$B$23,'[1]T&amp;C emissions for 2050 analysis'!$C$3:$C$23)</f>
        <v>4.7666666666666666</v>
      </c>
      <c r="I3234" s="27">
        <f t="shared" si="150"/>
        <v>72.459712858866666</v>
      </c>
      <c r="J3234" s="129">
        <f t="shared" si="151"/>
        <v>42.490066666666664</v>
      </c>
    </row>
    <row r="3235" spans="1:10" x14ac:dyDescent="0.35">
      <c r="A3235" s="126" t="s">
        <v>409</v>
      </c>
      <c r="B3235" t="str">
        <f>_xlfn.XLOOKUP(A3235,'[1]2050Pop'!$A$7:$A$143,'[1]2050Pop'!$D$7:$D$143)</f>
        <v>APAC</v>
      </c>
      <c r="C3235" s="127">
        <f>1000*_xlfn.XLOOKUP(A3235,'[1]2050Pop'!$A$7:$A$143,'[1]2050Pop'!$C$7:$C$143)</f>
        <v>322237</v>
      </c>
      <c r="D3235" s="126" t="s">
        <v>524</v>
      </c>
      <c r="E3235" s="128">
        <v>40.417000000000002</v>
      </c>
      <c r="F3235" s="129">
        <f t="shared" si="152"/>
        <v>13.023852828999999</v>
      </c>
      <c r="G3235" t="str">
        <f>_xlfn.XLOOKUP(D3235,'[1]2050 BAU Mapping to T &amp; C'!$A$3:$A$52,'[1]2050 BAU Mapping to T &amp; C'!$B$3:$B$52)</f>
        <v>Poultry</v>
      </c>
      <c r="H3235" s="129">
        <f>_xlfn.XLOOKUP(G3235,'[1]T&amp;C emissions for 2050 analysis'!$B$3:$B$23,'[1]T&amp;C emissions for 2050 analysis'!$C$3:$C$23)</f>
        <v>4.7666666666666666</v>
      </c>
      <c r="I3235" s="27">
        <f t="shared" si="150"/>
        <v>62.08036515156666</v>
      </c>
      <c r="J3235" s="129">
        <f t="shared" si="151"/>
        <v>192.65436666666668</v>
      </c>
    </row>
    <row r="3236" spans="1:10" hidden="1" x14ac:dyDescent="0.35">
      <c r="A3236" s="126" t="s">
        <v>410</v>
      </c>
      <c r="B3236" t="str">
        <f>_xlfn.XLOOKUP(A3236,'[1]2050Pop'!$A$7:$A$143,'[1]2050Pop'!$D$7:$D$143)</f>
        <v>India/South Asia</v>
      </c>
      <c r="C3236" s="127">
        <f>1000*_xlfn.XLOOKUP(A3236,'[1]2050Pop'!$A$7:$A$143,'[1]2050Pop'!$C$7:$C$143)</f>
        <v>92219</v>
      </c>
      <c r="D3236" s="126" t="s">
        <v>524</v>
      </c>
      <c r="E3236" s="128">
        <v>115.562</v>
      </c>
      <c r="F3236" s="129">
        <f t="shared" si="152"/>
        <v>10.657012077999999</v>
      </c>
      <c r="G3236" t="str">
        <f>_xlfn.XLOOKUP(D3236,'[1]2050 BAU Mapping to T &amp; C'!$A$3:$A$52,'[1]2050 BAU Mapping to T &amp; C'!$B$3:$B$52)</f>
        <v>Poultry</v>
      </c>
      <c r="H3236" s="129">
        <f>_xlfn.XLOOKUP(G3236,'[1]T&amp;C emissions for 2050 analysis'!$B$3:$B$23,'[1]T&amp;C emissions for 2050 analysis'!$C$3:$C$23)</f>
        <v>4.7666666666666666</v>
      </c>
      <c r="I3236" s="27">
        <f t="shared" si="150"/>
        <v>50.798424238466666</v>
      </c>
      <c r="J3236" s="129">
        <f t="shared" si="151"/>
        <v>550.84553333333326</v>
      </c>
    </row>
    <row r="3237" spans="1:10" hidden="1" x14ac:dyDescent="0.35">
      <c r="A3237" s="126" t="s">
        <v>411</v>
      </c>
      <c r="B3237" t="str">
        <f>_xlfn.XLOOKUP(A3237,'[1]2050Pop'!$A$7:$A$143,'[1]2050Pop'!$D$7:$D$143)</f>
        <v>MENA</v>
      </c>
      <c r="C3237" s="127">
        <f>1000*_xlfn.XLOOKUP(A3237,'[1]2050Pop'!$A$7:$A$143,'[1]2050Pop'!$C$7:$C$143)</f>
        <v>83652</v>
      </c>
      <c r="D3237" s="126" t="s">
        <v>524</v>
      </c>
      <c r="E3237" s="128">
        <v>64.879000000000005</v>
      </c>
      <c r="F3237" s="129">
        <f t="shared" si="152"/>
        <v>5.4272581080000002</v>
      </c>
      <c r="G3237" t="str">
        <f>_xlfn.XLOOKUP(D3237,'[1]2050 BAU Mapping to T &amp; C'!$A$3:$A$52,'[1]2050 BAU Mapping to T &amp; C'!$B$3:$B$52)</f>
        <v>Poultry</v>
      </c>
      <c r="H3237" s="129">
        <f>_xlfn.XLOOKUP(G3237,'[1]T&amp;C emissions for 2050 analysis'!$B$3:$B$23,'[1]T&amp;C emissions for 2050 analysis'!$C$3:$C$23)</f>
        <v>4.7666666666666666</v>
      </c>
      <c r="I3237" s="27">
        <f t="shared" si="150"/>
        <v>25.869930314800001</v>
      </c>
      <c r="J3237" s="129">
        <f t="shared" si="151"/>
        <v>309.25656666666669</v>
      </c>
    </row>
    <row r="3238" spans="1:10" hidden="1" x14ac:dyDescent="0.35">
      <c r="A3238" s="126" t="s">
        <v>412</v>
      </c>
      <c r="B3238" t="str">
        <f>_xlfn.XLOOKUP(A3238,'[1]2050Pop'!$A$7:$A$143,'[1]2050Pop'!$D$7:$D$143)</f>
        <v>Euro/AU/NZ</v>
      </c>
      <c r="C3238" s="127">
        <f>1000*_xlfn.XLOOKUP(A3238,'[1]2050Pop'!$A$7:$A$143,'[1]2050Pop'!$C$7:$C$143)</f>
        <v>5789</v>
      </c>
      <c r="D3238" s="126" t="s">
        <v>524</v>
      </c>
      <c r="E3238" s="130">
        <v>97.25</v>
      </c>
      <c r="F3238" s="129">
        <f t="shared" si="152"/>
        <v>0.56298024999999996</v>
      </c>
      <c r="G3238" t="str">
        <f>_xlfn.XLOOKUP(D3238,'[1]2050 BAU Mapping to T &amp; C'!$A$3:$A$52,'[1]2050 BAU Mapping to T &amp; C'!$B$3:$B$52)</f>
        <v>Poultry</v>
      </c>
      <c r="H3238" s="129">
        <f>_xlfn.XLOOKUP(G3238,'[1]T&amp;C emissions for 2050 analysis'!$B$3:$B$23,'[1]T&amp;C emissions for 2050 analysis'!$C$3:$C$23)</f>
        <v>4.7666666666666666</v>
      </c>
      <c r="I3238" s="27">
        <f t="shared" si="150"/>
        <v>2.6835391916666667</v>
      </c>
      <c r="J3238" s="129">
        <f t="shared" si="151"/>
        <v>463.55833333333334</v>
      </c>
    </row>
    <row r="3239" spans="1:10" hidden="1" x14ac:dyDescent="0.35">
      <c r="A3239" s="126" t="s">
        <v>413</v>
      </c>
      <c r="B3239" t="str">
        <f>_xlfn.XLOOKUP(A3239,'[1]2050Pop'!$A$7:$A$143,'[1]2050Pop'!$D$7:$D$143)</f>
        <v>MENA</v>
      </c>
      <c r="C3239" s="127">
        <f>1000*_xlfn.XLOOKUP(A3239,'[1]2050Pop'!$A$7:$A$143,'[1]2050Pop'!$C$7:$C$143)</f>
        <v>12610</v>
      </c>
      <c r="D3239" s="126" t="s">
        <v>524</v>
      </c>
      <c r="E3239" s="128">
        <v>260.89800000000002</v>
      </c>
      <c r="F3239" s="129">
        <f t="shared" si="152"/>
        <v>3.2899237800000001</v>
      </c>
      <c r="G3239" t="str">
        <f>_xlfn.XLOOKUP(D3239,'[1]2050 BAU Mapping to T &amp; C'!$A$3:$A$52,'[1]2050 BAU Mapping to T &amp; C'!$B$3:$B$52)</f>
        <v>Poultry</v>
      </c>
      <c r="H3239" s="129">
        <f>_xlfn.XLOOKUP(G3239,'[1]T&amp;C emissions for 2050 analysis'!$B$3:$B$23,'[1]T&amp;C emissions for 2050 analysis'!$C$3:$C$23)</f>
        <v>4.7666666666666666</v>
      </c>
      <c r="I3239" s="27">
        <f t="shared" si="150"/>
        <v>15.681970017999999</v>
      </c>
      <c r="J3239" s="129">
        <f t="shared" si="151"/>
        <v>1243.6138000000001</v>
      </c>
    </row>
    <row r="3240" spans="1:10" hidden="1" x14ac:dyDescent="0.35">
      <c r="A3240" s="126" t="s">
        <v>414</v>
      </c>
      <c r="B3240" t="str">
        <f>_xlfn.XLOOKUP(A3240,'[1]2050Pop'!$A$7:$A$143,'[1]2050Pop'!$D$7:$D$143)</f>
        <v>Euro/AU/NZ</v>
      </c>
      <c r="C3240" s="127">
        <f>1000*_xlfn.XLOOKUP(A3240,'[1]2050Pop'!$A$7:$A$143,'[1]2050Pop'!$C$7:$C$143)</f>
        <v>56513</v>
      </c>
      <c r="D3240" s="126" t="s">
        <v>524</v>
      </c>
      <c r="E3240" s="128">
        <v>71.382000000000005</v>
      </c>
      <c r="F3240" s="129">
        <f t="shared" si="152"/>
        <v>4.0340109660000003</v>
      </c>
      <c r="G3240" t="str">
        <f>_xlfn.XLOOKUP(D3240,'[1]2050 BAU Mapping to T &amp; C'!$A$3:$A$52,'[1]2050 BAU Mapping to T &amp; C'!$B$3:$B$52)</f>
        <v>Poultry</v>
      </c>
      <c r="H3240" s="129">
        <f>_xlfn.XLOOKUP(G3240,'[1]T&amp;C emissions for 2050 analysis'!$B$3:$B$23,'[1]T&amp;C emissions for 2050 analysis'!$C$3:$C$23)</f>
        <v>4.7666666666666666</v>
      </c>
      <c r="I3240" s="27">
        <f t="shared" si="150"/>
        <v>19.228785604600002</v>
      </c>
      <c r="J3240" s="129">
        <f t="shared" si="151"/>
        <v>340.25420000000003</v>
      </c>
    </row>
    <row r="3241" spans="1:10" hidden="1" x14ac:dyDescent="0.35">
      <c r="A3241" s="126" t="s">
        <v>415</v>
      </c>
      <c r="B3241" t="str">
        <f>_xlfn.XLOOKUP(A3241,'[1]2050Pop'!$A$7:$A$143,'[1]2050Pop'!$D$7:$D$143)</f>
        <v>LatAm &amp; RSA</v>
      </c>
      <c r="C3241" s="127">
        <f>1000*_xlfn.XLOOKUP(A3241,'[1]2050Pop'!$A$7:$A$143,'[1]2050Pop'!$C$7:$C$143)</f>
        <v>2710</v>
      </c>
      <c r="D3241" s="126" t="s">
        <v>524</v>
      </c>
      <c r="E3241" s="128">
        <v>222.078</v>
      </c>
      <c r="F3241" s="129">
        <f t="shared" si="152"/>
        <v>0.60183138000000003</v>
      </c>
      <c r="G3241" t="str">
        <f>_xlfn.XLOOKUP(D3241,'[1]2050 BAU Mapping to T &amp; C'!$A$3:$A$52,'[1]2050 BAU Mapping to T &amp; C'!$B$3:$B$52)</f>
        <v>Poultry</v>
      </c>
      <c r="H3241" s="129">
        <f>_xlfn.XLOOKUP(G3241,'[1]T&amp;C emissions for 2050 analysis'!$B$3:$B$23,'[1]T&amp;C emissions for 2050 analysis'!$C$3:$C$23)</f>
        <v>4.7666666666666666</v>
      </c>
      <c r="I3241" s="27">
        <f t="shared" si="150"/>
        <v>2.8687295779999999</v>
      </c>
      <c r="J3241" s="129">
        <f t="shared" si="151"/>
        <v>1058.5717999999999</v>
      </c>
    </row>
    <row r="3242" spans="1:10" hidden="1" x14ac:dyDescent="0.35">
      <c r="A3242" s="126" t="s">
        <v>416</v>
      </c>
      <c r="B3242" t="str">
        <f>_xlfn.XLOOKUP(A3242,'[1]2050Pop'!$A$7:$A$143,'[1]2050Pop'!$D$7:$D$143)</f>
        <v>APAC</v>
      </c>
      <c r="C3242" s="127">
        <f>1000*_xlfn.XLOOKUP(A3242,'[1]2050Pop'!$A$7:$A$143,'[1]2050Pop'!$C$7:$C$143)</f>
        <v>107411</v>
      </c>
      <c r="D3242" s="126" t="s">
        <v>524</v>
      </c>
      <c r="E3242" s="128">
        <v>80.135999999999996</v>
      </c>
      <c r="F3242" s="129">
        <f t="shared" si="152"/>
        <v>8.6074878960000003</v>
      </c>
      <c r="G3242" t="str">
        <f>_xlfn.XLOOKUP(D3242,'[1]2050 BAU Mapping to T &amp; C'!$A$3:$A$52,'[1]2050 BAU Mapping to T &amp; C'!$B$3:$B$52)</f>
        <v>Poultry</v>
      </c>
      <c r="H3242" s="129">
        <f>_xlfn.XLOOKUP(G3242,'[1]T&amp;C emissions for 2050 analysis'!$B$3:$B$23,'[1]T&amp;C emissions for 2050 analysis'!$C$3:$C$23)</f>
        <v>4.7666666666666666</v>
      </c>
      <c r="I3242" s="27">
        <f t="shared" si="150"/>
        <v>41.0290256376</v>
      </c>
      <c r="J3242" s="129">
        <f t="shared" si="151"/>
        <v>381.98159999999996</v>
      </c>
    </row>
    <row r="3243" spans="1:10" hidden="1" x14ac:dyDescent="0.35">
      <c r="A3243" s="126" t="s">
        <v>417</v>
      </c>
      <c r="B3243" t="str">
        <f>_xlfn.XLOOKUP(A3243,'[1]2050Pop'!$A$7:$A$143,'[1]2050Pop'!$D$7:$D$143)</f>
        <v>MENA</v>
      </c>
      <c r="C3243" s="127">
        <f>1000*_xlfn.XLOOKUP(A3243,'[1]2050Pop'!$A$7:$A$143,'[1]2050Pop'!$C$7:$C$143)</f>
        <v>11717</v>
      </c>
      <c r="D3243" s="126" t="s">
        <v>524</v>
      </c>
      <c r="E3243" s="128">
        <v>156.791</v>
      </c>
      <c r="F3243" s="129">
        <f t="shared" si="152"/>
        <v>1.8371201469999998</v>
      </c>
      <c r="G3243" t="str">
        <f>_xlfn.XLOOKUP(D3243,'[1]2050 BAU Mapping to T &amp; C'!$A$3:$A$52,'[1]2050 BAU Mapping to T &amp; C'!$B$3:$B$52)</f>
        <v>Poultry</v>
      </c>
      <c r="H3243" s="129">
        <f>_xlfn.XLOOKUP(G3243,'[1]T&amp;C emissions for 2050 analysis'!$B$3:$B$23,'[1]T&amp;C emissions for 2050 analysis'!$C$3:$C$23)</f>
        <v>4.7666666666666666</v>
      </c>
      <c r="I3243" s="27">
        <f t="shared" si="150"/>
        <v>8.756939367366666</v>
      </c>
      <c r="J3243" s="129">
        <f t="shared" si="151"/>
        <v>747.37043333333327</v>
      </c>
    </row>
    <row r="3244" spans="1:10" hidden="1" x14ac:dyDescent="0.35">
      <c r="A3244" s="126" t="s">
        <v>418</v>
      </c>
      <c r="B3244" t="str">
        <f>_xlfn.XLOOKUP(A3244,'[1]2050Pop'!$A$7:$A$143,'[1]2050Pop'!$D$7:$D$143)</f>
        <v>APAC</v>
      </c>
      <c r="C3244" s="127">
        <f>1000*_xlfn.XLOOKUP(A3244,'[1]2050Pop'!$A$7:$A$143,'[1]2050Pop'!$C$7:$C$143)</f>
        <v>22447</v>
      </c>
      <c r="D3244" s="126" t="s">
        <v>524</v>
      </c>
      <c r="E3244" s="128">
        <v>75.902000000000001</v>
      </c>
      <c r="F3244" s="129">
        <f t="shared" si="152"/>
        <v>1.7037721940000001</v>
      </c>
      <c r="G3244" t="str">
        <f>_xlfn.XLOOKUP(D3244,'[1]2050 BAU Mapping to T &amp; C'!$A$3:$A$52,'[1]2050 BAU Mapping to T &amp; C'!$B$3:$B$52)</f>
        <v>Poultry</v>
      </c>
      <c r="H3244" s="129">
        <f>_xlfn.XLOOKUP(G3244,'[1]T&amp;C emissions for 2050 analysis'!$B$3:$B$23,'[1]T&amp;C emissions for 2050 analysis'!$C$3:$C$23)</f>
        <v>4.7666666666666666</v>
      </c>
      <c r="I3244" s="27">
        <f t="shared" si="150"/>
        <v>8.1213141247333347</v>
      </c>
      <c r="J3244" s="129">
        <f t="shared" si="151"/>
        <v>361.79953333333333</v>
      </c>
    </row>
    <row r="3245" spans="1:10" hidden="1" x14ac:dyDescent="0.35">
      <c r="A3245" s="126" t="s">
        <v>419</v>
      </c>
      <c r="B3245" t="str">
        <f>_xlfn.XLOOKUP(A3245,'[1]2050Pop'!$A$7:$A$143,'[1]2050Pop'!$D$7:$D$143)</f>
        <v>SSA</v>
      </c>
      <c r="C3245" s="127">
        <f>1000*_xlfn.XLOOKUP(A3245,'[1]2050Pop'!$A$7:$A$143,'[1]2050Pop'!$C$7:$C$143)</f>
        <v>95505</v>
      </c>
      <c r="D3245" s="126" t="s">
        <v>524</v>
      </c>
      <c r="E3245" s="128">
        <v>3.4649999999999999</v>
      </c>
      <c r="F3245" s="129">
        <f t="shared" si="152"/>
        <v>0.33092482500000003</v>
      </c>
      <c r="G3245" t="str">
        <f>_xlfn.XLOOKUP(D3245,'[1]2050 BAU Mapping to T &amp; C'!$A$3:$A$52,'[1]2050 BAU Mapping to T &amp; C'!$B$3:$B$52)</f>
        <v>Poultry</v>
      </c>
      <c r="H3245" s="129">
        <f>_xlfn.XLOOKUP(G3245,'[1]T&amp;C emissions for 2050 analysis'!$B$3:$B$23,'[1]T&amp;C emissions for 2050 analysis'!$C$3:$C$23)</f>
        <v>4.7666666666666666</v>
      </c>
      <c r="I3245" s="27">
        <f t="shared" si="150"/>
        <v>1.5774083325000001</v>
      </c>
      <c r="J3245" s="129">
        <f t="shared" si="151"/>
        <v>16.516500000000001</v>
      </c>
    </row>
    <row r="3246" spans="1:10" hidden="1" x14ac:dyDescent="0.35">
      <c r="A3246" s="126" t="s">
        <v>420</v>
      </c>
      <c r="B3246" t="str">
        <f>_xlfn.XLOOKUP(A3246,'[1]2050Pop'!$A$7:$A$143,'[1]2050Pop'!$D$7:$D$143)</f>
        <v>APAC</v>
      </c>
      <c r="C3246" s="127">
        <f>1000*_xlfn.XLOOKUP(A3246,'[1]2050Pop'!$A$7:$A$143,'[1]2050Pop'!$C$7:$C$143)</f>
        <v>8248</v>
      </c>
      <c r="D3246" s="126" t="s">
        <v>524</v>
      </c>
      <c r="E3246" s="128">
        <v>22.643999999999998</v>
      </c>
      <c r="F3246" s="129">
        <f t="shared" si="152"/>
        <v>0.186767712</v>
      </c>
      <c r="G3246" t="str">
        <f>_xlfn.XLOOKUP(D3246,'[1]2050 BAU Mapping to T &amp; C'!$A$3:$A$52,'[1]2050 BAU Mapping to T &amp; C'!$B$3:$B$52)</f>
        <v>Poultry</v>
      </c>
      <c r="H3246" s="129">
        <f>_xlfn.XLOOKUP(G3246,'[1]T&amp;C emissions for 2050 analysis'!$B$3:$B$23,'[1]T&amp;C emissions for 2050 analysis'!$C$3:$C$23)</f>
        <v>4.7666666666666666</v>
      </c>
      <c r="I3246" s="27">
        <f t="shared" si="150"/>
        <v>0.89025942719999995</v>
      </c>
      <c r="J3246" s="129">
        <f t="shared" si="151"/>
        <v>107.93639999999999</v>
      </c>
    </row>
    <row r="3247" spans="1:10" hidden="1" x14ac:dyDescent="0.35">
      <c r="A3247" s="126" t="s">
        <v>421</v>
      </c>
      <c r="B3247" t="str">
        <f>_xlfn.XLOOKUP(A3247,'[1]2050Pop'!$A$7:$A$143,'[1]2050Pop'!$D$7:$D$143)</f>
        <v>APAC</v>
      </c>
      <c r="C3247" s="127">
        <f>1000*_xlfn.XLOOKUP(A3247,'[1]2050Pop'!$A$7:$A$143,'[1]2050Pop'!$C$7:$C$143)</f>
        <v>10172</v>
      </c>
      <c r="D3247" s="126" t="s">
        <v>524</v>
      </c>
      <c r="E3247" s="130">
        <v>25.19</v>
      </c>
      <c r="F3247" s="129">
        <f t="shared" si="152"/>
        <v>0.25623268000000005</v>
      </c>
      <c r="G3247" t="str">
        <f>_xlfn.XLOOKUP(D3247,'[1]2050 BAU Mapping to T &amp; C'!$A$3:$A$52,'[1]2050 BAU Mapping to T &amp; C'!$B$3:$B$52)</f>
        <v>Poultry</v>
      </c>
      <c r="H3247" s="129">
        <f>_xlfn.XLOOKUP(G3247,'[1]T&amp;C emissions for 2050 analysis'!$B$3:$B$23,'[1]T&amp;C emissions for 2050 analysis'!$C$3:$C$23)</f>
        <v>4.7666666666666666</v>
      </c>
      <c r="I3247" s="27">
        <f t="shared" si="150"/>
        <v>1.2213757746666669</v>
      </c>
      <c r="J3247" s="129">
        <f t="shared" si="151"/>
        <v>120.07233333333333</v>
      </c>
    </row>
    <row r="3248" spans="1:10" hidden="1" x14ac:dyDescent="0.35">
      <c r="A3248" s="126" t="s">
        <v>422</v>
      </c>
      <c r="B3248" t="str">
        <f>_xlfn.XLOOKUP(A3248,'[1]2050Pop'!$A$7:$A$143,'[1]2050Pop'!$D$7:$D$143)</f>
        <v>Euro/AU/NZ</v>
      </c>
      <c r="C3248" s="127">
        <f>1000*_xlfn.XLOOKUP(A3248,'[1]2050Pop'!$A$7:$A$143,'[1]2050Pop'!$C$7:$C$143)</f>
        <v>1593</v>
      </c>
      <c r="D3248" s="126" t="s">
        <v>524</v>
      </c>
      <c r="E3248" s="128">
        <v>88.248999999999995</v>
      </c>
      <c r="F3248" s="129">
        <f t="shared" si="152"/>
        <v>0.140580657</v>
      </c>
      <c r="G3248" t="str">
        <f>_xlfn.XLOOKUP(D3248,'[1]2050 BAU Mapping to T &amp; C'!$A$3:$A$52,'[1]2050 BAU Mapping to T &amp; C'!$B$3:$B$52)</f>
        <v>Poultry</v>
      </c>
      <c r="H3248" s="129">
        <f>_xlfn.XLOOKUP(G3248,'[1]T&amp;C emissions for 2050 analysis'!$B$3:$B$23,'[1]T&amp;C emissions for 2050 analysis'!$C$3:$C$23)</f>
        <v>4.7666666666666666</v>
      </c>
      <c r="I3248" s="27">
        <f t="shared" si="150"/>
        <v>0.67010113169999996</v>
      </c>
      <c r="J3248" s="129">
        <f t="shared" si="151"/>
        <v>420.65356666666662</v>
      </c>
    </row>
    <row r="3249" spans="1:10" hidden="1" x14ac:dyDescent="0.35">
      <c r="A3249" s="126" t="s">
        <v>423</v>
      </c>
      <c r="B3249" t="str">
        <f>_xlfn.XLOOKUP(A3249,'[1]2050Pop'!$A$7:$A$143,'[1]2050Pop'!$D$7:$D$143)</f>
        <v>MENA</v>
      </c>
      <c r="C3249" s="127">
        <f>1000*_xlfn.XLOOKUP(A3249,'[1]2050Pop'!$A$7:$A$143,'[1]2050Pop'!$C$7:$C$143)</f>
        <v>5610</v>
      </c>
      <c r="D3249" s="126" t="s">
        <v>524</v>
      </c>
      <c r="E3249" s="128">
        <v>96.341999999999999</v>
      </c>
      <c r="F3249" s="129">
        <f t="shared" si="152"/>
        <v>0.54047862000000002</v>
      </c>
      <c r="G3249" t="str">
        <f>_xlfn.XLOOKUP(D3249,'[1]2050 BAU Mapping to T &amp; C'!$A$3:$A$52,'[1]2050 BAU Mapping to T &amp; C'!$B$3:$B$52)</f>
        <v>Poultry</v>
      </c>
      <c r="H3249" s="129">
        <f>_xlfn.XLOOKUP(G3249,'[1]T&amp;C emissions for 2050 analysis'!$B$3:$B$23,'[1]T&amp;C emissions for 2050 analysis'!$C$3:$C$23)</f>
        <v>4.7666666666666666</v>
      </c>
      <c r="I3249" s="27">
        <f t="shared" si="150"/>
        <v>2.5762814220000001</v>
      </c>
      <c r="J3249" s="129">
        <f t="shared" si="151"/>
        <v>459.23019999999997</v>
      </c>
    </row>
    <row r="3250" spans="1:10" hidden="1" x14ac:dyDescent="0.35">
      <c r="A3250" s="126" t="s">
        <v>424</v>
      </c>
      <c r="B3250" t="str">
        <f>_xlfn.XLOOKUP(A3250,'[1]2050Pop'!$A$7:$A$143,'[1]2050Pop'!$D$7:$D$143)</f>
        <v>SSA</v>
      </c>
      <c r="C3250" s="127">
        <f>1000*_xlfn.XLOOKUP(A3250,'[1]2050Pop'!$A$7:$A$143,'[1]2050Pop'!$C$7:$C$143)</f>
        <v>2987</v>
      </c>
      <c r="D3250" s="126" t="s">
        <v>524</v>
      </c>
      <c r="E3250" s="128">
        <v>36.841999999999999</v>
      </c>
      <c r="F3250" s="129">
        <f t="shared" si="152"/>
        <v>0.11004705399999999</v>
      </c>
      <c r="G3250" t="str">
        <f>_xlfn.XLOOKUP(D3250,'[1]2050 BAU Mapping to T &amp; C'!$A$3:$A$52,'[1]2050 BAU Mapping to T &amp; C'!$B$3:$B$52)</f>
        <v>Poultry</v>
      </c>
      <c r="H3250" s="129">
        <f>_xlfn.XLOOKUP(G3250,'[1]T&amp;C emissions for 2050 analysis'!$B$3:$B$23,'[1]T&amp;C emissions for 2050 analysis'!$C$3:$C$23)</f>
        <v>4.7666666666666666</v>
      </c>
      <c r="I3250" s="27">
        <f t="shared" si="150"/>
        <v>0.52455762406666662</v>
      </c>
      <c r="J3250" s="129">
        <f t="shared" si="151"/>
        <v>175.61353333333332</v>
      </c>
    </row>
    <row r="3251" spans="1:10" hidden="1" x14ac:dyDescent="0.35">
      <c r="A3251" s="126" t="s">
        <v>425</v>
      </c>
      <c r="B3251" t="str">
        <f>_xlfn.XLOOKUP(A3251,'[1]2050Pop'!$A$7:$A$143,'[1]2050Pop'!$D$7:$D$143)</f>
        <v>SSA</v>
      </c>
      <c r="C3251" s="127">
        <f>1000*_xlfn.XLOOKUP(A3251,'[1]2050Pop'!$A$7:$A$143,'[1]2050Pop'!$C$7:$C$143)</f>
        <v>9436</v>
      </c>
      <c r="D3251" s="126" t="s">
        <v>524</v>
      </c>
      <c r="E3251" s="128">
        <v>48.639000000000003</v>
      </c>
      <c r="F3251" s="129">
        <f t="shared" si="152"/>
        <v>0.45895760400000007</v>
      </c>
      <c r="G3251" t="str">
        <f>_xlfn.XLOOKUP(D3251,'[1]2050 BAU Mapping to T &amp; C'!$A$3:$A$52,'[1]2050 BAU Mapping to T &amp; C'!$B$3:$B$52)</f>
        <v>Poultry</v>
      </c>
      <c r="H3251" s="129">
        <f>_xlfn.XLOOKUP(G3251,'[1]T&amp;C emissions for 2050 analysis'!$B$3:$B$23,'[1]T&amp;C emissions for 2050 analysis'!$C$3:$C$23)</f>
        <v>4.7666666666666666</v>
      </c>
      <c r="I3251" s="27">
        <f t="shared" si="150"/>
        <v>2.1876979124000004</v>
      </c>
      <c r="J3251" s="129">
        <f t="shared" si="151"/>
        <v>231.8459</v>
      </c>
    </row>
    <row r="3252" spans="1:10" hidden="1" x14ac:dyDescent="0.35">
      <c r="A3252" s="126" t="s">
        <v>426</v>
      </c>
      <c r="B3252" t="str">
        <f>_xlfn.XLOOKUP(A3252,'[1]2050Pop'!$A$7:$A$143,'[1]2050Pop'!$D$7:$D$143)</f>
        <v>Euro/AU/NZ</v>
      </c>
      <c r="C3252" s="127">
        <f>1000*_xlfn.XLOOKUP(A3252,'[1]2050Pop'!$A$7:$A$143,'[1]2050Pop'!$C$7:$C$143)</f>
        <v>2375</v>
      </c>
      <c r="D3252" s="126" t="s">
        <v>524</v>
      </c>
      <c r="E3252" s="128">
        <v>102.68300000000001</v>
      </c>
      <c r="F3252" s="129">
        <f t="shared" si="152"/>
        <v>0.24387212500000002</v>
      </c>
      <c r="G3252" t="str">
        <f>_xlfn.XLOOKUP(D3252,'[1]2050 BAU Mapping to T &amp; C'!$A$3:$A$52,'[1]2050 BAU Mapping to T &amp; C'!$B$3:$B$52)</f>
        <v>Poultry</v>
      </c>
      <c r="H3252" s="129">
        <f>_xlfn.XLOOKUP(G3252,'[1]T&amp;C emissions for 2050 analysis'!$B$3:$B$23,'[1]T&amp;C emissions for 2050 analysis'!$C$3:$C$23)</f>
        <v>4.7666666666666666</v>
      </c>
      <c r="I3252" s="27">
        <f t="shared" si="150"/>
        <v>1.1624571291666668</v>
      </c>
      <c r="J3252" s="129">
        <f t="shared" si="151"/>
        <v>489.45563333333337</v>
      </c>
    </row>
    <row r="3253" spans="1:10" hidden="1" x14ac:dyDescent="0.35">
      <c r="A3253" s="126" t="s">
        <v>427</v>
      </c>
      <c r="B3253" t="str">
        <f>_xlfn.XLOOKUP(A3253,'[1]2050Pop'!$A$7:$A$143,'[1]2050Pop'!$D$7:$D$143)</f>
        <v>SSA</v>
      </c>
      <c r="C3253" s="127">
        <f>1000*_xlfn.XLOOKUP(A3253,'[1]2050Pop'!$A$7:$A$143,'[1]2050Pop'!$C$7:$C$143)</f>
        <v>55294</v>
      </c>
      <c r="D3253" s="126" t="s">
        <v>524</v>
      </c>
      <c r="E3253" s="128">
        <v>29.731999999999999</v>
      </c>
      <c r="F3253" s="129">
        <f t="shared" si="152"/>
        <v>1.6440012079999999</v>
      </c>
      <c r="G3253" t="str">
        <f>_xlfn.XLOOKUP(D3253,'[1]2050 BAU Mapping to T &amp; C'!$A$3:$A$52,'[1]2050 BAU Mapping to T &amp; C'!$B$3:$B$52)</f>
        <v>Poultry</v>
      </c>
      <c r="H3253" s="129">
        <f>_xlfn.XLOOKUP(G3253,'[1]T&amp;C emissions for 2050 analysis'!$B$3:$B$23,'[1]T&amp;C emissions for 2050 analysis'!$C$3:$C$23)</f>
        <v>4.7666666666666666</v>
      </c>
      <c r="I3253" s="27">
        <f t="shared" si="150"/>
        <v>7.8364057581333331</v>
      </c>
      <c r="J3253" s="129">
        <f t="shared" si="151"/>
        <v>141.72253333333333</v>
      </c>
    </row>
    <row r="3254" spans="1:10" hidden="1" x14ac:dyDescent="0.35">
      <c r="A3254" s="126" t="s">
        <v>428</v>
      </c>
      <c r="B3254" t="str">
        <f>_xlfn.XLOOKUP(A3254,'[1]2050Pop'!$A$7:$A$143,'[1]2050Pop'!$D$7:$D$143)</f>
        <v>SSA</v>
      </c>
      <c r="C3254" s="127">
        <f>1000*_xlfn.XLOOKUP(A3254,'[1]2050Pop'!$A$7:$A$143,'[1]2050Pop'!$C$7:$C$143)</f>
        <v>43155</v>
      </c>
      <c r="D3254" s="126" t="s">
        <v>524</v>
      </c>
      <c r="E3254" s="128">
        <v>9.452</v>
      </c>
      <c r="F3254" s="129">
        <f t="shared" si="152"/>
        <v>0.40790105999999998</v>
      </c>
      <c r="G3254" t="str">
        <f>_xlfn.XLOOKUP(D3254,'[1]2050 BAU Mapping to T &amp; C'!$A$3:$A$52,'[1]2050 BAU Mapping to T &amp; C'!$B$3:$B$52)</f>
        <v>Poultry</v>
      </c>
      <c r="H3254" s="129">
        <f>_xlfn.XLOOKUP(G3254,'[1]T&amp;C emissions for 2050 analysis'!$B$3:$B$23,'[1]T&amp;C emissions for 2050 analysis'!$C$3:$C$23)</f>
        <v>4.7666666666666666</v>
      </c>
      <c r="I3254" s="27">
        <f t="shared" si="150"/>
        <v>1.9443283859999998</v>
      </c>
      <c r="J3254" s="129">
        <f t="shared" si="151"/>
        <v>45.054533333333332</v>
      </c>
    </row>
    <row r="3255" spans="1:10" hidden="1" x14ac:dyDescent="0.35">
      <c r="A3255" s="126" t="s">
        <v>429</v>
      </c>
      <c r="B3255" t="str">
        <f>_xlfn.XLOOKUP(A3255,'[1]2050Pop'!$A$7:$A$143,'[1]2050Pop'!$D$7:$D$143)</f>
        <v>APAC</v>
      </c>
      <c r="C3255" s="127">
        <f>1000*_xlfn.XLOOKUP(A3255,'[1]2050Pop'!$A$7:$A$143,'[1]2050Pop'!$C$7:$C$143)</f>
        <v>40725</v>
      </c>
      <c r="D3255" s="126" t="s">
        <v>524</v>
      </c>
      <c r="E3255" s="128">
        <v>214.643</v>
      </c>
      <c r="F3255" s="129">
        <f t="shared" si="152"/>
        <v>8.7413361750000007</v>
      </c>
      <c r="G3255" t="str">
        <f>_xlfn.XLOOKUP(D3255,'[1]2050 BAU Mapping to T &amp; C'!$A$3:$A$52,'[1]2050 BAU Mapping to T &amp; C'!$B$3:$B$52)</f>
        <v>Poultry</v>
      </c>
      <c r="H3255" s="129">
        <f>_xlfn.XLOOKUP(G3255,'[1]T&amp;C emissions for 2050 analysis'!$B$3:$B$23,'[1]T&amp;C emissions for 2050 analysis'!$C$3:$C$23)</f>
        <v>4.7666666666666666</v>
      </c>
      <c r="I3255" s="27">
        <f t="shared" si="150"/>
        <v>41.667035767500003</v>
      </c>
      <c r="J3255" s="129">
        <f t="shared" si="151"/>
        <v>1023.1316333333333</v>
      </c>
    </row>
    <row r="3256" spans="1:10" hidden="1" x14ac:dyDescent="0.35">
      <c r="A3256" s="126" t="s">
        <v>430</v>
      </c>
      <c r="B3256" t="str">
        <f>_xlfn.XLOOKUP(A3256,'[1]2050Pop'!$A$7:$A$143,'[1]2050Pop'!$D$7:$D$143)</f>
        <v>SSA</v>
      </c>
      <c r="C3256" s="127">
        <f>1000*_xlfn.XLOOKUP(A3256,'[1]2050Pop'!$A$7:$A$143,'[1]2050Pop'!$C$7:$C$143)</f>
        <v>45404</v>
      </c>
      <c r="D3256" s="126" t="s">
        <v>524</v>
      </c>
      <c r="E3256" s="128">
        <v>16.024999999999999</v>
      </c>
      <c r="F3256" s="129">
        <f t="shared" si="152"/>
        <v>0.72759909999999994</v>
      </c>
      <c r="G3256" t="str">
        <f>_xlfn.XLOOKUP(D3256,'[1]2050 BAU Mapping to T &amp; C'!$A$3:$A$52,'[1]2050 BAU Mapping to T &amp; C'!$B$3:$B$52)</f>
        <v>Poultry</v>
      </c>
      <c r="H3256" s="129">
        <f>_xlfn.XLOOKUP(G3256,'[1]T&amp;C emissions for 2050 analysis'!$B$3:$B$23,'[1]T&amp;C emissions for 2050 analysis'!$C$3:$C$23)</f>
        <v>4.7666666666666666</v>
      </c>
      <c r="I3256" s="27">
        <f t="shared" si="150"/>
        <v>3.4682223766666662</v>
      </c>
      <c r="J3256" s="129">
        <f t="shared" si="151"/>
        <v>76.385833333333323</v>
      </c>
    </row>
    <row r="3257" spans="1:10" hidden="1" x14ac:dyDescent="0.35">
      <c r="A3257" s="126" t="s">
        <v>431</v>
      </c>
      <c r="B3257" t="str">
        <f>_xlfn.XLOOKUP(A3257,'[1]2050Pop'!$A$7:$A$143,'[1]2050Pop'!$D$7:$D$143)</f>
        <v>SSA</v>
      </c>
      <c r="C3257" s="127">
        <f>1000*_xlfn.XLOOKUP(A3257,'[1]2050Pop'!$A$7:$A$143,'[1]2050Pop'!$C$7:$C$143)</f>
        <v>8048.9999999999991</v>
      </c>
      <c r="D3257" s="126" t="s">
        <v>524</v>
      </c>
      <c r="E3257" s="130">
        <v>17.86</v>
      </c>
      <c r="F3257" s="129">
        <f t="shared" si="152"/>
        <v>0.14375513999999998</v>
      </c>
      <c r="G3257" t="str">
        <f>_xlfn.XLOOKUP(D3257,'[1]2050 BAU Mapping to T &amp; C'!$A$3:$A$52,'[1]2050 BAU Mapping to T &amp; C'!$B$3:$B$52)</f>
        <v>Poultry</v>
      </c>
      <c r="H3257" s="129">
        <f>_xlfn.XLOOKUP(G3257,'[1]T&amp;C emissions for 2050 analysis'!$B$3:$B$23,'[1]T&amp;C emissions for 2050 analysis'!$C$3:$C$23)</f>
        <v>4.7666666666666666</v>
      </c>
      <c r="I3257" s="27">
        <f t="shared" si="150"/>
        <v>0.6852328339999999</v>
      </c>
      <c r="J3257" s="129">
        <f t="shared" si="151"/>
        <v>85.132666666666665</v>
      </c>
    </row>
    <row r="3258" spans="1:10" hidden="1" x14ac:dyDescent="0.35">
      <c r="A3258" s="126" t="s">
        <v>432</v>
      </c>
      <c r="B3258" t="str">
        <f>_xlfn.XLOOKUP(A3258,'[1]2050Pop'!$A$7:$A$143,'[1]2050Pop'!$D$7:$D$143)</f>
        <v>SSA</v>
      </c>
      <c r="C3258" s="127">
        <f>1000*_xlfn.XLOOKUP(A3258,'[1]2050Pop'!$A$7:$A$143,'[1]2050Pop'!$C$7:$C$143)</f>
        <v>1249</v>
      </c>
      <c r="D3258" s="126" t="s">
        <v>524</v>
      </c>
      <c r="E3258" s="128">
        <v>180.85599999999999</v>
      </c>
      <c r="F3258" s="129">
        <f t="shared" si="152"/>
        <v>0.22588914400000001</v>
      </c>
      <c r="G3258" t="str">
        <f>_xlfn.XLOOKUP(D3258,'[1]2050 BAU Mapping to T &amp; C'!$A$3:$A$52,'[1]2050 BAU Mapping to T &amp; C'!$B$3:$B$52)</f>
        <v>Poultry</v>
      </c>
      <c r="H3258" s="129">
        <f>_xlfn.XLOOKUP(G3258,'[1]T&amp;C emissions for 2050 analysis'!$B$3:$B$23,'[1]T&amp;C emissions for 2050 analysis'!$C$3:$C$23)</f>
        <v>4.7666666666666666</v>
      </c>
      <c r="I3258" s="27">
        <f t="shared" si="150"/>
        <v>1.0767382530666667</v>
      </c>
      <c r="J3258" s="129">
        <f t="shared" si="151"/>
        <v>862.0802666666666</v>
      </c>
    </row>
    <row r="3259" spans="1:10" hidden="1" x14ac:dyDescent="0.35">
      <c r="A3259" s="126" t="s">
        <v>433</v>
      </c>
      <c r="B3259" t="str">
        <f>_xlfn.XLOOKUP(A3259,'[1]2050Pop'!$A$7:$A$143,'[1]2050Pop'!$D$7:$D$143)</f>
        <v>LatAm &amp; RSA</v>
      </c>
      <c r="C3259" s="127">
        <f>1000*_xlfn.XLOOKUP(A3259,'[1]2050Pop'!$A$7:$A$143,'[1]2050Pop'!$C$7:$C$143)</f>
        <v>163754</v>
      </c>
      <c r="D3259" s="126" t="s">
        <v>524</v>
      </c>
      <c r="E3259" s="128">
        <v>131.44399999999999</v>
      </c>
      <c r="F3259" s="129">
        <f t="shared" si="152"/>
        <v>21.524480775999997</v>
      </c>
      <c r="G3259" t="str">
        <f>_xlfn.XLOOKUP(D3259,'[1]2050 BAU Mapping to T &amp; C'!$A$3:$A$52,'[1]2050 BAU Mapping to T &amp; C'!$B$3:$B$52)</f>
        <v>Poultry</v>
      </c>
      <c r="H3259" s="129">
        <f>_xlfn.XLOOKUP(G3259,'[1]T&amp;C emissions for 2050 analysis'!$B$3:$B$23,'[1]T&amp;C emissions for 2050 analysis'!$C$3:$C$23)</f>
        <v>4.7666666666666666</v>
      </c>
      <c r="I3259" s="27">
        <f t="shared" si="150"/>
        <v>102.60002503226666</v>
      </c>
      <c r="J3259" s="129">
        <f t="shared" si="151"/>
        <v>626.54973333333328</v>
      </c>
    </row>
    <row r="3260" spans="1:10" hidden="1" x14ac:dyDescent="0.35">
      <c r="A3260" s="126" t="s">
        <v>434</v>
      </c>
      <c r="B3260" t="str">
        <f>_xlfn.XLOOKUP(A3260,'[1]2050Pop'!$A$7:$A$143,'[1]2050Pop'!$D$7:$D$143)</f>
        <v>APAC</v>
      </c>
      <c r="C3260" s="127">
        <f>1000*_xlfn.XLOOKUP(A3260,'[1]2050Pop'!$A$7:$A$143,'[1]2050Pop'!$C$7:$C$143)</f>
        <v>4027.9999999999995</v>
      </c>
      <c r="D3260" s="126" t="s">
        <v>524</v>
      </c>
      <c r="E3260" s="128">
        <v>9.9149999999999991</v>
      </c>
      <c r="F3260" s="129">
        <f t="shared" si="152"/>
        <v>3.9937619999999993E-2</v>
      </c>
      <c r="G3260" t="str">
        <f>_xlfn.XLOOKUP(D3260,'[1]2050 BAU Mapping to T &amp; C'!$A$3:$A$52,'[1]2050 BAU Mapping to T &amp; C'!$B$3:$B$52)</f>
        <v>Poultry</v>
      </c>
      <c r="H3260" s="129">
        <f>_xlfn.XLOOKUP(G3260,'[1]T&amp;C emissions for 2050 analysis'!$B$3:$B$23,'[1]T&amp;C emissions for 2050 analysis'!$C$3:$C$23)</f>
        <v>4.7666666666666666</v>
      </c>
      <c r="I3260" s="27">
        <f t="shared" si="150"/>
        <v>0.19036932199999995</v>
      </c>
      <c r="J3260" s="129">
        <f t="shared" si="151"/>
        <v>47.261499999999998</v>
      </c>
    </row>
    <row r="3261" spans="1:10" hidden="1" x14ac:dyDescent="0.35">
      <c r="A3261" s="126" t="s">
        <v>435</v>
      </c>
      <c r="B3261" t="str">
        <f>_xlfn.XLOOKUP(A3261,'[1]2050Pop'!$A$7:$A$143,'[1]2050Pop'!$D$7:$D$143)</f>
        <v>MENA</v>
      </c>
      <c r="C3261" s="127">
        <f>1000*_xlfn.XLOOKUP(A3261,'[1]2050Pop'!$A$7:$A$143,'[1]2050Pop'!$C$7:$C$143)</f>
        <v>43696</v>
      </c>
      <c r="D3261" s="126" t="s">
        <v>524</v>
      </c>
      <c r="E3261" s="128">
        <v>91.962000000000003</v>
      </c>
      <c r="F3261" s="129">
        <f t="shared" si="152"/>
        <v>4.0183715520000005</v>
      </c>
      <c r="G3261" t="str">
        <f>_xlfn.XLOOKUP(D3261,'[1]2050 BAU Mapping to T &amp; C'!$A$3:$A$52,'[1]2050 BAU Mapping to T &amp; C'!$B$3:$B$52)</f>
        <v>Poultry</v>
      </c>
      <c r="H3261" s="129">
        <f>_xlfn.XLOOKUP(G3261,'[1]T&amp;C emissions for 2050 analysis'!$B$3:$B$23,'[1]T&amp;C emissions for 2050 analysis'!$C$3:$C$23)</f>
        <v>4.7666666666666666</v>
      </c>
      <c r="I3261" s="27">
        <f t="shared" si="150"/>
        <v>19.154237731200002</v>
      </c>
      <c r="J3261" s="129">
        <f t="shared" si="151"/>
        <v>438.35219999999998</v>
      </c>
    </row>
    <row r="3262" spans="1:10" hidden="1" x14ac:dyDescent="0.35">
      <c r="A3262" s="126" t="s">
        <v>436</v>
      </c>
      <c r="B3262" t="str">
        <f>_xlfn.XLOOKUP(A3262,'[1]2050Pop'!$A$7:$A$143,'[1]2050Pop'!$D$7:$D$143)</f>
        <v>SSA</v>
      </c>
      <c r="C3262" s="127">
        <f>1000*_xlfn.XLOOKUP(A3262,'[1]2050Pop'!$A$7:$A$143,'[1]2050Pop'!$C$7:$C$143)</f>
        <v>65544</v>
      </c>
      <c r="D3262" s="126" t="s">
        <v>524</v>
      </c>
      <c r="E3262" s="128">
        <v>9.4689999999999994</v>
      </c>
      <c r="F3262" s="129">
        <f t="shared" si="152"/>
        <v>0.62063613599999989</v>
      </c>
      <c r="G3262" t="str">
        <f>_xlfn.XLOOKUP(D3262,'[1]2050 BAU Mapping to T &amp; C'!$A$3:$A$52,'[1]2050 BAU Mapping to T &amp; C'!$B$3:$B$52)</f>
        <v>Poultry</v>
      </c>
      <c r="H3262" s="129">
        <f>_xlfn.XLOOKUP(G3262,'[1]T&amp;C emissions for 2050 analysis'!$B$3:$B$23,'[1]T&amp;C emissions for 2050 analysis'!$C$3:$C$23)</f>
        <v>4.7666666666666666</v>
      </c>
      <c r="I3262" s="27">
        <f t="shared" si="150"/>
        <v>2.9583655815999994</v>
      </c>
      <c r="J3262" s="129">
        <f t="shared" si="151"/>
        <v>45.135566666666662</v>
      </c>
    </row>
    <row r="3263" spans="1:10" hidden="1" x14ac:dyDescent="0.35">
      <c r="A3263" s="126" t="s">
        <v>490</v>
      </c>
      <c r="B3263" t="str">
        <f>_xlfn.XLOOKUP(A3263,'[1]2050Pop'!$A$7:$A$143,'[1]2050Pop'!$D$7:$D$143)</f>
        <v>APAC</v>
      </c>
      <c r="C3263" s="127">
        <f>1000*_xlfn.XLOOKUP(A3263,'[1]2050Pop'!$A$7:$A$143,'[1]2050Pop'!$C$7:$C$143)</f>
        <v>63575</v>
      </c>
      <c r="D3263" s="126" t="s">
        <v>524</v>
      </c>
      <c r="E3263" s="130">
        <v>131.66</v>
      </c>
      <c r="F3263" s="129">
        <f t="shared" si="152"/>
        <v>8.3702845000000003</v>
      </c>
      <c r="G3263" t="str">
        <f>_xlfn.XLOOKUP(D3263,'[1]2050 BAU Mapping to T &amp; C'!$A$3:$A$52,'[1]2050 BAU Mapping to T &amp; C'!$B$3:$B$52)</f>
        <v>Poultry</v>
      </c>
      <c r="H3263" s="129">
        <f>_xlfn.XLOOKUP(G3263,'[1]T&amp;C emissions for 2050 analysis'!$B$3:$B$23,'[1]T&amp;C emissions for 2050 analysis'!$C$3:$C$23)</f>
        <v>4.7666666666666666</v>
      </c>
      <c r="I3263" s="27">
        <f t="shared" si="150"/>
        <v>39.898356116666669</v>
      </c>
      <c r="J3263" s="129">
        <f t="shared" si="151"/>
        <v>627.57933333333335</v>
      </c>
    </row>
    <row r="3264" spans="1:10" hidden="1" x14ac:dyDescent="0.35">
      <c r="A3264" s="126" t="s">
        <v>437</v>
      </c>
      <c r="B3264" t="str">
        <f>_xlfn.XLOOKUP(A3264,'[1]2050Pop'!$A$7:$A$143,'[1]2050Pop'!$D$7:$D$143)</f>
        <v>SSA</v>
      </c>
      <c r="C3264" s="127">
        <f>1000*_xlfn.XLOOKUP(A3264,'[1]2050Pop'!$A$7:$A$143,'[1]2050Pop'!$C$7:$C$143)</f>
        <v>4322</v>
      </c>
      <c r="D3264" s="126" t="s">
        <v>524</v>
      </c>
      <c r="E3264" s="128">
        <v>61.954000000000001</v>
      </c>
      <c r="F3264" s="129">
        <f t="shared" si="152"/>
        <v>0.26776518800000004</v>
      </c>
      <c r="G3264" t="str">
        <f>_xlfn.XLOOKUP(D3264,'[1]2050 BAU Mapping to T &amp; C'!$A$3:$A$52,'[1]2050 BAU Mapping to T &amp; C'!$B$3:$B$52)</f>
        <v>Poultry</v>
      </c>
      <c r="H3264" s="129">
        <f>_xlfn.XLOOKUP(G3264,'[1]T&amp;C emissions for 2050 analysis'!$B$3:$B$23,'[1]T&amp;C emissions for 2050 analysis'!$C$3:$C$23)</f>
        <v>4.7666666666666666</v>
      </c>
      <c r="I3264" s="27">
        <f t="shared" si="150"/>
        <v>1.2763473961333336</v>
      </c>
      <c r="J3264" s="129">
        <f t="shared" si="151"/>
        <v>295.31406666666669</v>
      </c>
    </row>
    <row r="3265" spans="1:10" hidden="1" x14ac:dyDescent="0.35">
      <c r="A3265" s="126" t="s">
        <v>438</v>
      </c>
      <c r="B3265" t="str">
        <f>_xlfn.XLOOKUP(A3265,'[1]2050Pop'!$A$7:$A$143,'[1]2050Pop'!$D$7:$D$143)</f>
        <v>India/South Asia</v>
      </c>
      <c r="C3265" s="127">
        <f>1000*_xlfn.XLOOKUP(A3265,'[1]2050Pop'!$A$7:$A$143,'[1]2050Pop'!$C$7:$C$143)</f>
        <v>36159</v>
      </c>
      <c r="D3265" s="126" t="s">
        <v>524</v>
      </c>
      <c r="E3265" s="128">
        <v>7.1109999999999998</v>
      </c>
      <c r="F3265" s="129">
        <f t="shared" si="152"/>
        <v>0.25712664899999998</v>
      </c>
      <c r="G3265" t="str">
        <f>_xlfn.XLOOKUP(D3265,'[1]2050 BAU Mapping to T &amp; C'!$A$3:$A$52,'[1]2050 BAU Mapping to T &amp; C'!$B$3:$B$52)</f>
        <v>Poultry</v>
      </c>
      <c r="H3265" s="129">
        <f>_xlfn.XLOOKUP(G3265,'[1]T&amp;C emissions for 2050 analysis'!$B$3:$B$23,'[1]T&amp;C emissions for 2050 analysis'!$C$3:$C$23)</f>
        <v>4.7666666666666666</v>
      </c>
      <c r="I3265" s="27">
        <f t="shared" si="150"/>
        <v>1.2256370268999999</v>
      </c>
      <c r="J3265" s="129">
        <f t="shared" si="151"/>
        <v>33.895766666666667</v>
      </c>
    </row>
    <row r="3266" spans="1:10" hidden="1" x14ac:dyDescent="0.35">
      <c r="A3266" s="126" t="s">
        <v>439</v>
      </c>
      <c r="B3266" t="str">
        <f>_xlfn.XLOOKUP(A3266,'[1]2050Pop'!$A$7:$A$143,'[1]2050Pop'!$D$7:$D$143)</f>
        <v>Euro/AU/NZ</v>
      </c>
      <c r="C3266" s="127">
        <f>1000*_xlfn.XLOOKUP(A3266,'[1]2050Pop'!$A$7:$A$143,'[1]2050Pop'!$C$7:$C$143)</f>
        <v>17602</v>
      </c>
      <c r="D3266" s="126" t="s">
        <v>524</v>
      </c>
      <c r="E3266" s="128">
        <v>79.325000000000003</v>
      </c>
      <c r="F3266" s="129">
        <f t="shared" si="152"/>
        <v>1.3962786500000002</v>
      </c>
      <c r="G3266" t="str">
        <f>_xlfn.XLOOKUP(D3266,'[1]2050 BAU Mapping to T &amp; C'!$A$3:$A$52,'[1]2050 BAU Mapping to T &amp; C'!$B$3:$B$52)</f>
        <v>Poultry</v>
      </c>
      <c r="H3266" s="129">
        <f>_xlfn.XLOOKUP(G3266,'[1]T&amp;C emissions for 2050 analysis'!$B$3:$B$23,'[1]T&amp;C emissions for 2050 analysis'!$C$3:$C$23)</f>
        <v>4.7666666666666666</v>
      </c>
      <c r="I3266" s="27">
        <f t="shared" si="150"/>
        <v>6.6555948983333337</v>
      </c>
      <c r="J3266" s="129">
        <f t="shared" si="151"/>
        <v>378.11583333333334</v>
      </c>
    </row>
    <row r="3267" spans="1:10" hidden="1" x14ac:dyDescent="0.35">
      <c r="A3267" s="126" t="s">
        <v>440</v>
      </c>
      <c r="B3267" t="str">
        <f>_xlfn.XLOOKUP(A3267,'[1]2050Pop'!$A$7:$A$143,'[1]2050Pop'!$D$7:$D$143)</f>
        <v>Euro/AU/NZ</v>
      </c>
      <c r="C3267" s="127">
        <f>1000*_xlfn.XLOOKUP(A3267,'[1]2050Pop'!$A$7:$A$143,'[1]2050Pop'!$C$7:$C$143)</f>
        <v>5607</v>
      </c>
      <c r="D3267" s="126" t="s">
        <v>524</v>
      </c>
      <c r="E3267" s="128">
        <v>166.74299999999999</v>
      </c>
      <c r="F3267" s="129">
        <f t="shared" si="152"/>
        <v>0.93492800099999995</v>
      </c>
      <c r="G3267" t="str">
        <f>_xlfn.XLOOKUP(D3267,'[1]2050 BAU Mapping to T &amp; C'!$A$3:$A$52,'[1]2050 BAU Mapping to T &amp; C'!$B$3:$B$52)</f>
        <v>Poultry</v>
      </c>
      <c r="H3267" s="129">
        <f>_xlfn.XLOOKUP(G3267,'[1]T&amp;C emissions for 2050 analysis'!$B$3:$B$23,'[1]T&amp;C emissions for 2050 analysis'!$C$3:$C$23)</f>
        <v>4.7666666666666666</v>
      </c>
      <c r="I3267" s="27">
        <f t="shared" si="150"/>
        <v>4.4564901380999995</v>
      </c>
      <c r="J3267" s="129">
        <f t="shared" si="151"/>
        <v>794.80829999999992</v>
      </c>
    </row>
    <row r="3268" spans="1:10" hidden="1" x14ac:dyDescent="0.35">
      <c r="A3268" s="126" t="s">
        <v>441</v>
      </c>
      <c r="B3268" t="str">
        <f>_xlfn.XLOOKUP(A3268,'[1]2050Pop'!$A$7:$A$143,'[1]2050Pop'!$D$7:$D$143)</f>
        <v>LatAm &amp; RSA</v>
      </c>
      <c r="C3268" s="127">
        <f>1000*_xlfn.XLOOKUP(A3268,'[1]2050Pop'!$A$7:$A$143,'[1]2050Pop'!$C$7:$C$143)</f>
        <v>7863</v>
      </c>
      <c r="D3268" s="126" t="s">
        <v>524</v>
      </c>
      <c r="E3268" s="128">
        <v>105.33199999999999</v>
      </c>
      <c r="F3268" s="129">
        <f t="shared" si="152"/>
        <v>0.82822551599999994</v>
      </c>
      <c r="G3268" t="str">
        <f>_xlfn.XLOOKUP(D3268,'[1]2050 BAU Mapping to T &amp; C'!$A$3:$A$52,'[1]2050 BAU Mapping to T &amp; C'!$B$3:$B$52)</f>
        <v>Poultry</v>
      </c>
      <c r="H3268" s="129">
        <f>_xlfn.XLOOKUP(G3268,'[1]T&amp;C emissions for 2050 analysis'!$B$3:$B$23,'[1]T&amp;C emissions for 2050 analysis'!$C$3:$C$23)</f>
        <v>4.7666666666666666</v>
      </c>
      <c r="I3268" s="27">
        <f t="shared" ref="I3268:I3331" si="153">F3268*H3268</f>
        <v>3.9478749595999996</v>
      </c>
      <c r="J3268" s="129">
        <f t="shared" ref="J3268:J3331" si="154">E3268*H3268</f>
        <v>502.08253333333329</v>
      </c>
    </row>
    <row r="3269" spans="1:10" hidden="1" x14ac:dyDescent="0.35">
      <c r="A3269" s="126" t="s">
        <v>482</v>
      </c>
      <c r="B3269" t="str">
        <f>_xlfn.XLOOKUP(A3269,'[1]2050Pop'!$A$7:$A$143,'[1]2050Pop'!$D$7:$D$143)</f>
        <v>SSA</v>
      </c>
      <c r="C3269" s="127">
        <f>1000*_xlfn.XLOOKUP(A3269,'[1]2050Pop'!$A$7:$A$143,'[1]2050Pop'!$C$7:$C$143)</f>
        <v>72238</v>
      </c>
      <c r="D3269" s="126" t="s">
        <v>524</v>
      </c>
      <c r="E3269" s="128">
        <v>5.5990000000000002</v>
      </c>
      <c r="F3269" s="129">
        <f t="shared" ref="F3269:F3332" si="155">C3269*E3269/1000000</f>
        <v>0.40446056200000002</v>
      </c>
      <c r="G3269" t="str">
        <f>_xlfn.XLOOKUP(D3269,'[1]2050 BAU Mapping to T &amp; C'!$A$3:$A$52,'[1]2050 BAU Mapping to T &amp; C'!$B$3:$B$52)</f>
        <v>Poultry</v>
      </c>
      <c r="H3269" s="129">
        <f>_xlfn.XLOOKUP(G3269,'[1]T&amp;C emissions for 2050 analysis'!$B$3:$B$23,'[1]T&amp;C emissions for 2050 analysis'!$C$3:$C$23)</f>
        <v>4.7666666666666666</v>
      </c>
      <c r="I3269" s="27">
        <f t="shared" si="153"/>
        <v>1.9279286788666667</v>
      </c>
      <c r="J3269" s="129">
        <f t="shared" si="154"/>
        <v>26.688566666666667</v>
      </c>
    </row>
    <row r="3270" spans="1:10" hidden="1" x14ac:dyDescent="0.35">
      <c r="A3270" s="126" t="s">
        <v>491</v>
      </c>
      <c r="B3270" t="str">
        <f>_xlfn.XLOOKUP(A3270,'[1]2050Pop'!$A$7:$A$143,'[1]2050Pop'!$D$7:$D$143)</f>
        <v>SSA</v>
      </c>
      <c r="C3270" s="127">
        <f>1000*_xlfn.XLOOKUP(A3270,'[1]2050Pop'!$A$7:$A$143,'[1]2050Pop'!$C$7:$C$143)</f>
        <v>398508</v>
      </c>
      <c r="D3270" s="126" t="s">
        <v>524</v>
      </c>
      <c r="E3270" s="128">
        <v>6.1870000000000003</v>
      </c>
      <c r="F3270" s="129">
        <f t="shared" si="155"/>
        <v>2.4655689960000005</v>
      </c>
      <c r="G3270" t="str">
        <f>_xlfn.XLOOKUP(D3270,'[1]2050 BAU Mapping to T &amp; C'!$A$3:$A$52,'[1]2050 BAU Mapping to T &amp; C'!$B$3:$B$52)</f>
        <v>Poultry</v>
      </c>
      <c r="H3270" s="129">
        <f>_xlfn.XLOOKUP(G3270,'[1]T&amp;C emissions for 2050 analysis'!$B$3:$B$23,'[1]T&amp;C emissions for 2050 analysis'!$C$3:$C$23)</f>
        <v>4.7666666666666666</v>
      </c>
      <c r="I3270" s="27">
        <f t="shared" si="153"/>
        <v>11.752545547600002</v>
      </c>
      <c r="J3270" s="129">
        <f t="shared" si="154"/>
        <v>29.491366666666668</v>
      </c>
    </row>
    <row r="3271" spans="1:10" hidden="1" x14ac:dyDescent="0.35">
      <c r="A3271" s="126" t="s">
        <v>442</v>
      </c>
      <c r="B3271" t="str">
        <f>_xlfn.XLOOKUP(A3271,'[1]2050Pop'!$A$7:$A$143,'[1]2050Pop'!$D$7:$D$143)</f>
        <v>Euro/AU/NZ</v>
      </c>
      <c r="C3271" s="127">
        <f>1000*_xlfn.XLOOKUP(A3271,'[1]2050Pop'!$A$7:$A$143,'[1]2050Pop'!$C$7:$C$143)</f>
        <v>6658</v>
      </c>
      <c r="D3271" s="126" t="s">
        <v>524</v>
      </c>
      <c r="E3271" s="128">
        <v>76.566000000000003</v>
      </c>
      <c r="F3271" s="129">
        <f t="shared" si="155"/>
        <v>0.509776428</v>
      </c>
      <c r="G3271" t="str">
        <f>_xlfn.XLOOKUP(D3271,'[1]2050 BAU Mapping to T &amp; C'!$A$3:$A$52,'[1]2050 BAU Mapping to T &amp; C'!$B$3:$B$52)</f>
        <v>Poultry</v>
      </c>
      <c r="H3271" s="129">
        <f>_xlfn.XLOOKUP(G3271,'[1]T&amp;C emissions for 2050 analysis'!$B$3:$B$23,'[1]T&amp;C emissions for 2050 analysis'!$C$3:$C$23)</f>
        <v>4.7666666666666666</v>
      </c>
      <c r="I3271" s="27">
        <f t="shared" si="153"/>
        <v>2.4299343067999999</v>
      </c>
      <c r="J3271" s="129">
        <f t="shared" si="154"/>
        <v>364.96460000000002</v>
      </c>
    </row>
    <row r="3272" spans="1:10" hidden="1" x14ac:dyDescent="0.35">
      <c r="A3272" s="126" t="s">
        <v>443</v>
      </c>
      <c r="B3272" t="str">
        <f>_xlfn.XLOOKUP(A3272,'[1]2050Pop'!$A$7:$A$143,'[1]2050Pop'!$D$7:$D$143)</f>
        <v>India/South Asia</v>
      </c>
      <c r="C3272" s="127">
        <f>1000*_xlfn.XLOOKUP(A3272,'[1]2050Pop'!$A$7:$A$143,'[1]2050Pop'!$C$7:$C$143)</f>
        <v>309640</v>
      </c>
      <c r="D3272" s="126" t="s">
        <v>524</v>
      </c>
      <c r="E3272" s="128">
        <v>19.925999999999998</v>
      </c>
      <c r="F3272" s="129">
        <f t="shared" si="155"/>
        <v>6.1698866399999996</v>
      </c>
      <c r="G3272" t="str">
        <f>_xlfn.XLOOKUP(D3272,'[1]2050 BAU Mapping to T &amp; C'!$A$3:$A$52,'[1]2050 BAU Mapping to T &amp; C'!$B$3:$B$52)</f>
        <v>Poultry</v>
      </c>
      <c r="H3272" s="129">
        <f>_xlfn.XLOOKUP(G3272,'[1]T&amp;C emissions for 2050 analysis'!$B$3:$B$23,'[1]T&amp;C emissions for 2050 analysis'!$C$3:$C$23)</f>
        <v>4.7666666666666666</v>
      </c>
      <c r="I3272" s="27">
        <f t="shared" si="153"/>
        <v>29.409792983999999</v>
      </c>
      <c r="J3272" s="129">
        <f t="shared" si="154"/>
        <v>94.980599999999995</v>
      </c>
    </row>
    <row r="3273" spans="1:10" hidden="1" x14ac:dyDescent="0.35">
      <c r="A3273" s="126" t="s">
        <v>444</v>
      </c>
      <c r="B3273" t="str">
        <f>_xlfn.XLOOKUP(A3273,'[1]2050Pop'!$A$7:$A$143,'[1]2050Pop'!$D$7:$D$143)</f>
        <v>LatAm &amp; RSA</v>
      </c>
      <c r="C3273" s="127">
        <f>1000*_xlfn.XLOOKUP(A3273,'[1]2050Pop'!$A$7:$A$143,'[1]2050Pop'!$C$7:$C$143)</f>
        <v>5599</v>
      </c>
      <c r="D3273" s="126" t="s">
        <v>524</v>
      </c>
      <c r="E3273" s="130">
        <v>129.78</v>
      </c>
      <c r="F3273" s="129">
        <f t="shared" si="155"/>
        <v>0.72663822</v>
      </c>
      <c r="G3273" t="str">
        <f>_xlfn.XLOOKUP(D3273,'[1]2050 BAU Mapping to T &amp; C'!$A$3:$A$52,'[1]2050 BAU Mapping to T &amp; C'!$B$3:$B$52)</f>
        <v>Poultry</v>
      </c>
      <c r="H3273" s="129">
        <f>_xlfn.XLOOKUP(G3273,'[1]T&amp;C emissions for 2050 analysis'!$B$3:$B$23,'[1]T&amp;C emissions for 2050 analysis'!$C$3:$C$23)</f>
        <v>4.7666666666666666</v>
      </c>
      <c r="I3273" s="27">
        <f t="shared" si="153"/>
        <v>3.4636421820000001</v>
      </c>
      <c r="J3273" s="129">
        <f t="shared" si="154"/>
        <v>618.61800000000005</v>
      </c>
    </row>
    <row r="3274" spans="1:10" hidden="1" x14ac:dyDescent="0.35">
      <c r="A3274" s="126" t="s">
        <v>445</v>
      </c>
      <c r="B3274" t="str">
        <f>_xlfn.XLOOKUP(A3274,'[1]2050Pop'!$A$7:$A$143,'[1]2050Pop'!$D$7:$D$143)</f>
        <v>LatAm &amp; RSA</v>
      </c>
      <c r="C3274" s="127">
        <f>1000*_xlfn.XLOOKUP(A3274,'[1]2050Pop'!$A$7:$A$143,'[1]2050Pop'!$C$7:$C$143)</f>
        <v>8895</v>
      </c>
      <c r="D3274" s="126" t="s">
        <v>524</v>
      </c>
      <c r="E3274" s="128">
        <v>30.245999999999999</v>
      </c>
      <c r="F3274" s="129">
        <f t="shared" si="155"/>
        <v>0.26903816999999997</v>
      </c>
      <c r="G3274" t="str">
        <f>_xlfn.XLOOKUP(D3274,'[1]2050 BAU Mapping to T &amp; C'!$A$3:$A$52,'[1]2050 BAU Mapping to T &amp; C'!$B$3:$B$52)</f>
        <v>Poultry</v>
      </c>
      <c r="H3274" s="129">
        <f>_xlfn.XLOOKUP(G3274,'[1]T&amp;C emissions for 2050 analysis'!$B$3:$B$23,'[1]T&amp;C emissions for 2050 analysis'!$C$3:$C$23)</f>
        <v>4.7666666666666666</v>
      </c>
      <c r="I3274" s="27">
        <f t="shared" si="153"/>
        <v>1.2824152769999999</v>
      </c>
      <c r="J3274" s="129">
        <f t="shared" si="154"/>
        <v>144.17259999999999</v>
      </c>
    </row>
    <row r="3275" spans="1:10" hidden="1" x14ac:dyDescent="0.35">
      <c r="A3275" s="126" t="s">
        <v>446</v>
      </c>
      <c r="B3275" t="str">
        <f>_xlfn.XLOOKUP(A3275,'[1]2050Pop'!$A$7:$A$143,'[1]2050Pop'!$D$7:$D$143)</f>
        <v>LatAm &amp; RSA</v>
      </c>
      <c r="C3275" s="127">
        <f>1000*_xlfn.XLOOKUP(A3275,'[1]2050Pop'!$A$7:$A$143,'[1]2050Pop'!$C$7:$C$143)</f>
        <v>41899</v>
      </c>
      <c r="D3275" s="126" t="s">
        <v>524</v>
      </c>
      <c r="E3275" s="128">
        <v>77.325999999999993</v>
      </c>
      <c r="F3275" s="129">
        <f t="shared" si="155"/>
        <v>3.2398820739999996</v>
      </c>
      <c r="G3275" t="str">
        <f>_xlfn.XLOOKUP(D3275,'[1]2050 BAU Mapping to T &amp; C'!$A$3:$A$52,'[1]2050 BAU Mapping to T &amp; C'!$B$3:$B$52)</f>
        <v>Poultry</v>
      </c>
      <c r="H3275" s="129">
        <f>_xlfn.XLOOKUP(G3275,'[1]T&amp;C emissions for 2050 analysis'!$B$3:$B$23,'[1]T&amp;C emissions for 2050 analysis'!$C$3:$C$23)</f>
        <v>4.7666666666666666</v>
      </c>
      <c r="I3275" s="27">
        <f t="shared" si="153"/>
        <v>15.443437886066665</v>
      </c>
      <c r="J3275" s="129">
        <f t="shared" si="154"/>
        <v>368.58726666666661</v>
      </c>
    </row>
    <row r="3276" spans="1:10" hidden="1" x14ac:dyDescent="0.35">
      <c r="A3276" s="126" t="s">
        <v>447</v>
      </c>
      <c r="B3276" t="str">
        <f>_xlfn.XLOOKUP(A3276,'[1]2050Pop'!$A$7:$A$143,'[1]2050Pop'!$D$7:$D$143)</f>
        <v>APAC</v>
      </c>
      <c r="C3276" s="127">
        <f>1000*_xlfn.XLOOKUP(A3276,'[1]2050Pop'!$A$7:$A$143,'[1]2050Pop'!$C$7:$C$143)</f>
        <v>148260</v>
      </c>
      <c r="D3276" s="126" t="s">
        <v>524</v>
      </c>
      <c r="E3276" s="128">
        <v>55.786000000000001</v>
      </c>
      <c r="F3276" s="129">
        <f t="shared" si="155"/>
        <v>8.27083236</v>
      </c>
      <c r="G3276" t="str">
        <f>_xlfn.XLOOKUP(D3276,'[1]2050 BAU Mapping to T &amp; C'!$A$3:$A$52,'[1]2050 BAU Mapping to T &amp; C'!$B$3:$B$52)</f>
        <v>Poultry</v>
      </c>
      <c r="H3276" s="129">
        <f>_xlfn.XLOOKUP(G3276,'[1]T&amp;C emissions for 2050 analysis'!$B$3:$B$23,'[1]T&amp;C emissions for 2050 analysis'!$C$3:$C$23)</f>
        <v>4.7666666666666666</v>
      </c>
      <c r="I3276" s="27">
        <f t="shared" si="153"/>
        <v>39.424300916</v>
      </c>
      <c r="J3276" s="129">
        <f t="shared" si="154"/>
        <v>265.91326666666669</v>
      </c>
    </row>
    <row r="3277" spans="1:10" hidden="1" x14ac:dyDescent="0.35">
      <c r="A3277" s="126" t="s">
        <v>448</v>
      </c>
      <c r="B3277" t="str">
        <f>_xlfn.XLOOKUP(A3277,'[1]2050Pop'!$A$7:$A$143,'[1]2050Pop'!$D$7:$D$143)</f>
        <v>Euro/AU/NZ</v>
      </c>
      <c r="C3277" s="127">
        <f>1000*_xlfn.XLOOKUP(A3277,'[1]2050Pop'!$A$7:$A$143,'[1]2050Pop'!$C$7:$C$143)</f>
        <v>33136</v>
      </c>
      <c r="D3277" s="126" t="s">
        <v>524</v>
      </c>
      <c r="E3277" s="130">
        <v>96.22</v>
      </c>
      <c r="F3277" s="129">
        <f t="shared" si="155"/>
        <v>3.1883459199999997</v>
      </c>
      <c r="G3277" t="str">
        <f>_xlfn.XLOOKUP(D3277,'[1]2050 BAU Mapping to T &amp; C'!$A$3:$A$52,'[1]2050 BAU Mapping to T &amp; C'!$B$3:$B$52)</f>
        <v>Poultry</v>
      </c>
      <c r="H3277" s="129">
        <f>_xlfn.XLOOKUP(G3277,'[1]T&amp;C emissions for 2050 analysis'!$B$3:$B$23,'[1]T&amp;C emissions for 2050 analysis'!$C$3:$C$23)</f>
        <v>4.7666666666666666</v>
      </c>
      <c r="I3277" s="27">
        <f t="shared" si="153"/>
        <v>15.197782218666665</v>
      </c>
      <c r="J3277" s="129">
        <f t="shared" si="154"/>
        <v>458.64866666666666</v>
      </c>
    </row>
    <row r="3278" spans="1:10" hidden="1" x14ac:dyDescent="0.35">
      <c r="A3278" s="126" t="s">
        <v>449</v>
      </c>
      <c r="B3278" t="str">
        <f>_xlfn.XLOOKUP(A3278,'[1]2050Pop'!$A$7:$A$143,'[1]2050Pop'!$D$7:$D$143)</f>
        <v>Euro/AU/NZ</v>
      </c>
      <c r="C3278" s="127">
        <f>1000*_xlfn.XLOOKUP(A3278,'[1]2050Pop'!$A$7:$A$143,'[1]2050Pop'!$C$7:$C$143)</f>
        <v>9216</v>
      </c>
      <c r="D3278" s="126" t="s">
        <v>524</v>
      </c>
      <c r="E3278" s="128">
        <v>123.563</v>
      </c>
      <c r="F3278" s="129">
        <f t="shared" si="155"/>
        <v>1.138756608</v>
      </c>
      <c r="G3278" t="str">
        <f>_xlfn.XLOOKUP(D3278,'[1]2050 BAU Mapping to T &amp; C'!$A$3:$A$52,'[1]2050 BAU Mapping to T &amp; C'!$B$3:$B$52)</f>
        <v>Poultry</v>
      </c>
      <c r="H3278" s="129">
        <f>_xlfn.XLOOKUP(G3278,'[1]T&amp;C emissions for 2050 analysis'!$B$3:$B$23,'[1]T&amp;C emissions for 2050 analysis'!$C$3:$C$23)</f>
        <v>4.7666666666666666</v>
      </c>
      <c r="I3278" s="27">
        <f t="shared" si="153"/>
        <v>5.4280731647999998</v>
      </c>
      <c r="J3278" s="129">
        <f t="shared" si="154"/>
        <v>588.98363333333339</v>
      </c>
    </row>
    <row r="3279" spans="1:10" hidden="1" x14ac:dyDescent="0.35">
      <c r="A3279" s="126" t="s">
        <v>450</v>
      </c>
      <c r="B3279" t="str">
        <f>_xlfn.XLOOKUP(A3279,'[1]2050Pop'!$A$7:$A$143,'[1]2050Pop'!$D$7:$D$143)</f>
        <v>APAC</v>
      </c>
      <c r="C3279" s="127">
        <f>1000*_xlfn.XLOOKUP(A3279,'[1]2050Pop'!$A$7:$A$143,'[1]2050Pop'!$C$7:$C$143)</f>
        <v>50593</v>
      </c>
      <c r="D3279" s="126" t="s">
        <v>524</v>
      </c>
      <c r="E3279" s="128">
        <v>87.188000000000002</v>
      </c>
      <c r="F3279" s="129">
        <f t="shared" si="155"/>
        <v>4.4111024840000006</v>
      </c>
      <c r="G3279" t="str">
        <f>_xlfn.XLOOKUP(D3279,'[1]2050 BAU Mapping to T &amp; C'!$A$3:$A$52,'[1]2050 BAU Mapping to T &amp; C'!$B$3:$B$52)</f>
        <v>Poultry</v>
      </c>
      <c r="H3279" s="129">
        <f>_xlfn.XLOOKUP(G3279,'[1]T&amp;C emissions for 2050 analysis'!$B$3:$B$23,'[1]T&amp;C emissions for 2050 analysis'!$C$3:$C$23)</f>
        <v>4.7666666666666666</v>
      </c>
      <c r="I3279" s="27">
        <f t="shared" si="153"/>
        <v>21.026255173733336</v>
      </c>
      <c r="J3279" s="129">
        <f t="shared" si="154"/>
        <v>415.59613333333334</v>
      </c>
    </row>
    <row r="3280" spans="1:10" hidden="1" x14ac:dyDescent="0.35">
      <c r="A3280" s="126" t="s">
        <v>451</v>
      </c>
      <c r="B3280" t="str">
        <f>_xlfn.XLOOKUP(A3280,'[1]2050Pop'!$A$7:$A$143,'[1]2050Pop'!$D$7:$D$143)</f>
        <v>Euro/AU/NZ</v>
      </c>
      <c r="C3280" s="127">
        <f>1000*_xlfn.XLOOKUP(A3280,'[1]2050Pop'!$A$7:$A$143,'[1]2050Pop'!$C$7:$C$143)</f>
        <v>3243</v>
      </c>
      <c r="D3280" s="126" t="s">
        <v>524</v>
      </c>
      <c r="E3280" s="128">
        <v>75.063999999999993</v>
      </c>
      <c r="F3280" s="129">
        <f t="shared" si="155"/>
        <v>0.24343255199999997</v>
      </c>
      <c r="G3280" t="str">
        <f>_xlfn.XLOOKUP(D3280,'[1]2050 BAU Mapping to T &amp; C'!$A$3:$A$52,'[1]2050 BAU Mapping to T &amp; C'!$B$3:$B$52)</f>
        <v>Poultry</v>
      </c>
      <c r="H3280" s="129">
        <f>_xlfn.XLOOKUP(G3280,'[1]T&amp;C emissions for 2050 analysis'!$B$3:$B$23,'[1]T&amp;C emissions for 2050 analysis'!$C$3:$C$23)</f>
        <v>4.7666666666666666</v>
      </c>
      <c r="I3280" s="27">
        <f t="shared" si="153"/>
        <v>1.1603618311999999</v>
      </c>
      <c r="J3280" s="129">
        <f t="shared" si="154"/>
        <v>357.80506666666662</v>
      </c>
    </row>
    <row r="3281" spans="1:10" hidden="1" x14ac:dyDescent="0.35">
      <c r="A3281" s="126" t="s">
        <v>452</v>
      </c>
      <c r="B3281" t="str">
        <f>_xlfn.XLOOKUP(A3281,'[1]2050Pop'!$A$7:$A$143,'[1]2050Pop'!$D$7:$D$143)</f>
        <v>SSA</v>
      </c>
      <c r="C3281" s="127">
        <f>1000*_xlfn.XLOOKUP(A3281,'[1]2050Pop'!$A$7:$A$143,'[1]2050Pop'!$C$7:$C$143)</f>
        <v>10732</v>
      </c>
      <c r="D3281" s="126" t="s">
        <v>524</v>
      </c>
      <c r="E3281" s="128">
        <v>89.786000000000001</v>
      </c>
      <c r="F3281" s="129">
        <f t="shared" si="155"/>
        <v>0.96358335200000012</v>
      </c>
      <c r="G3281" t="str">
        <f>_xlfn.XLOOKUP(D3281,'[1]2050 BAU Mapping to T &amp; C'!$A$3:$A$52,'[1]2050 BAU Mapping to T &amp; C'!$B$3:$B$52)</f>
        <v>Poultry</v>
      </c>
      <c r="H3281" s="129">
        <f>_xlfn.XLOOKUP(G3281,'[1]T&amp;C emissions for 2050 analysis'!$B$3:$B$23,'[1]T&amp;C emissions for 2050 analysis'!$C$3:$C$23)</f>
        <v>4.7666666666666666</v>
      </c>
      <c r="I3281" s="27">
        <f t="shared" si="153"/>
        <v>4.5930806445333339</v>
      </c>
      <c r="J3281" s="129">
        <f t="shared" si="154"/>
        <v>427.97993333333335</v>
      </c>
    </row>
    <row r="3282" spans="1:10" hidden="1" x14ac:dyDescent="0.35">
      <c r="A3282" s="126" t="s">
        <v>453</v>
      </c>
      <c r="B3282" t="str">
        <f>_xlfn.XLOOKUP(A3282,'[1]2050Pop'!$A$7:$A$143,'[1]2050Pop'!$D$7:$D$143)</f>
        <v>Euro/AU/NZ</v>
      </c>
      <c r="C3282" s="127">
        <f>1000*_xlfn.XLOOKUP(A3282,'[1]2050Pop'!$A$7:$A$143,'[1]2050Pop'!$C$7:$C$143)</f>
        <v>15207</v>
      </c>
      <c r="D3282" s="126" t="s">
        <v>524</v>
      </c>
      <c r="E3282" s="128">
        <v>61.613999999999997</v>
      </c>
      <c r="F3282" s="129">
        <f t="shared" si="155"/>
        <v>0.93696409800000002</v>
      </c>
      <c r="G3282" t="str">
        <f>_xlfn.XLOOKUP(D3282,'[1]2050 BAU Mapping to T &amp; C'!$A$3:$A$52,'[1]2050 BAU Mapping to T &amp; C'!$B$3:$B$52)</f>
        <v>Poultry</v>
      </c>
      <c r="H3282" s="129">
        <f>_xlfn.XLOOKUP(G3282,'[1]T&amp;C emissions for 2050 analysis'!$B$3:$B$23,'[1]T&amp;C emissions for 2050 analysis'!$C$3:$C$23)</f>
        <v>4.7666666666666666</v>
      </c>
      <c r="I3282" s="27">
        <f t="shared" si="153"/>
        <v>4.4661955337999997</v>
      </c>
      <c r="J3282" s="129">
        <f t="shared" si="154"/>
        <v>293.6934</v>
      </c>
    </row>
    <row r="3283" spans="1:10" hidden="1" x14ac:dyDescent="0.35">
      <c r="A3283" s="126" t="s">
        <v>454</v>
      </c>
      <c r="B3283" t="str">
        <f>_xlfn.XLOOKUP(A3283,'[1]2050Pop'!$A$7:$A$143,'[1]2050Pop'!$D$7:$D$143)</f>
        <v>Euro/AU/NZ</v>
      </c>
      <c r="C3283" s="127">
        <f>1000*_xlfn.XLOOKUP(A3283,'[1]2050Pop'!$A$7:$A$143,'[1]2050Pop'!$C$7:$C$143)</f>
        <v>128598.99999999999</v>
      </c>
      <c r="D3283" s="126" t="s">
        <v>524</v>
      </c>
      <c r="E3283" s="128">
        <v>104.605</v>
      </c>
      <c r="F3283" s="129">
        <f t="shared" si="155"/>
        <v>13.452098395</v>
      </c>
      <c r="G3283" t="str">
        <f>_xlfn.XLOOKUP(D3283,'[1]2050 BAU Mapping to T &amp; C'!$A$3:$A$52,'[1]2050 BAU Mapping to T &amp; C'!$B$3:$B$52)</f>
        <v>Poultry</v>
      </c>
      <c r="H3283" s="129">
        <f>_xlfn.XLOOKUP(G3283,'[1]T&amp;C emissions for 2050 analysis'!$B$3:$B$23,'[1]T&amp;C emissions for 2050 analysis'!$C$3:$C$23)</f>
        <v>4.7666666666666666</v>
      </c>
      <c r="I3283" s="27">
        <f t="shared" si="153"/>
        <v>64.121669016166663</v>
      </c>
      <c r="J3283" s="129">
        <f t="shared" si="154"/>
        <v>498.61716666666666</v>
      </c>
    </row>
    <row r="3284" spans="1:10" hidden="1" x14ac:dyDescent="0.35">
      <c r="A3284" s="126" t="s">
        <v>455</v>
      </c>
      <c r="B3284" t="str">
        <f>_xlfn.XLOOKUP(A3284,'[1]2050Pop'!$A$7:$A$143,'[1]2050Pop'!$D$7:$D$143)</f>
        <v>SSA</v>
      </c>
      <c r="C3284" s="127">
        <f>1000*_xlfn.XLOOKUP(A3284,'[1]2050Pop'!$A$7:$A$143,'[1]2050Pop'!$C$7:$C$143)</f>
        <v>21187</v>
      </c>
      <c r="D3284" s="126" t="s">
        <v>524</v>
      </c>
      <c r="E3284" s="128">
        <v>7.2160000000000002</v>
      </c>
      <c r="F3284" s="129">
        <f t="shared" si="155"/>
        <v>0.15288539199999998</v>
      </c>
      <c r="G3284" t="str">
        <f>_xlfn.XLOOKUP(D3284,'[1]2050 BAU Mapping to T &amp; C'!$A$3:$A$52,'[1]2050 BAU Mapping to T &amp; C'!$B$3:$B$52)</f>
        <v>Poultry</v>
      </c>
      <c r="H3284" s="129">
        <f>_xlfn.XLOOKUP(G3284,'[1]T&amp;C emissions for 2050 analysis'!$B$3:$B$23,'[1]T&amp;C emissions for 2050 analysis'!$C$3:$C$23)</f>
        <v>4.7666666666666666</v>
      </c>
      <c r="I3284" s="27">
        <f t="shared" si="153"/>
        <v>0.72875370186666655</v>
      </c>
      <c r="J3284" s="129">
        <f t="shared" si="154"/>
        <v>34.396266666666669</v>
      </c>
    </row>
    <row r="3285" spans="1:10" hidden="1" x14ac:dyDescent="0.35">
      <c r="A3285" s="126" t="s">
        <v>456</v>
      </c>
      <c r="B3285" t="str">
        <f>_xlfn.XLOOKUP(A3285,'[1]2050Pop'!$A$7:$A$143,'[1]2050Pop'!$D$7:$D$143)</f>
        <v>MENA</v>
      </c>
      <c r="C3285" s="127">
        <f>1000*_xlfn.XLOOKUP(A3285,'[1]2050Pop'!$A$7:$A$143,'[1]2050Pop'!$C$7:$C$143)</f>
        <v>46059</v>
      </c>
      <c r="D3285" s="126" t="s">
        <v>524</v>
      </c>
      <c r="E3285" s="128">
        <v>192.61799999999999</v>
      </c>
      <c r="F3285" s="129">
        <f t="shared" si="155"/>
        <v>8.8717924620000002</v>
      </c>
      <c r="G3285" t="str">
        <f>_xlfn.XLOOKUP(D3285,'[1]2050 BAU Mapping to T &amp; C'!$A$3:$A$52,'[1]2050 BAU Mapping to T &amp; C'!$B$3:$B$52)</f>
        <v>Poultry</v>
      </c>
      <c r="H3285" s="129">
        <f>_xlfn.XLOOKUP(G3285,'[1]T&amp;C emissions for 2050 analysis'!$B$3:$B$23,'[1]T&amp;C emissions for 2050 analysis'!$C$3:$C$23)</f>
        <v>4.7666666666666666</v>
      </c>
      <c r="I3285" s="27">
        <f t="shared" si="153"/>
        <v>42.288877402200001</v>
      </c>
      <c r="J3285" s="129">
        <f t="shared" si="154"/>
        <v>918.14580000000001</v>
      </c>
    </row>
    <row r="3286" spans="1:10" hidden="1" x14ac:dyDescent="0.35">
      <c r="A3286" s="126" t="s">
        <v>457</v>
      </c>
      <c r="B3286" t="str">
        <f>_xlfn.XLOOKUP(A3286,'[1]2050Pop'!$A$7:$A$143,'[1]2050Pop'!$D$7:$D$143)</f>
        <v>SSA</v>
      </c>
      <c r="C3286" s="127">
        <f>1000*_xlfn.XLOOKUP(A3286,'[1]2050Pop'!$A$7:$A$143,'[1]2050Pop'!$C$7:$C$143)</f>
        <v>36223</v>
      </c>
      <c r="D3286" s="126" t="s">
        <v>524</v>
      </c>
      <c r="E3286" s="128">
        <v>24.834</v>
      </c>
      <c r="F3286" s="129">
        <f t="shared" si="155"/>
        <v>0.89956198199999993</v>
      </c>
      <c r="G3286" t="str">
        <f>_xlfn.XLOOKUP(D3286,'[1]2050 BAU Mapping to T &amp; C'!$A$3:$A$52,'[1]2050 BAU Mapping to T &amp; C'!$B$3:$B$52)</f>
        <v>Poultry</v>
      </c>
      <c r="H3286" s="129">
        <f>_xlfn.XLOOKUP(G3286,'[1]T&amp;C emissions for 2050 analysis'!$B$3:$B$23,'[1]T&amp;C emissions for 2050 analysis'!$C$3:$C$23)</f>
        <v>4.7666666666666666</v>
      </c>
      <c r="I3286" s="27">
        <f t="shared" si="153"/>
        <v>4.2879121141999992</v>
      </c>
      <c r="J3286" s="129">
        <f t="shared" si="154"/>
        <v>118.3754</v>
      </c>
    </row>
    <row r="3287" spans="1:10" hidden="1" x14ac:dyDescent="0.35">
      <c r="A3287" s="126" t="s">
        <v>458</v>
      </c>
      <c r="B3287" t="str">
        <f>_xlfn.XLOOKUP(A3287,'[1]2050Pop'!$A$7:$A$143,'[1]2050Pop'!$D$7:$D$143)</f>
        <v>Euro/AU/NZ</v>
      </c>
      <c r="C3287" s="127">
        <f>1000*_xlfn.XLOOKUP(A3287,'[1]2050Pop'!$A$7:$A$143,'[1]2050Pop'!$C$7:$C$143)</f>
        <v>7331</v>
      </c>
      <c r="D3287" s="126" t="s">
        <v>524</v>
      </c>
      <c r="E3287" s="128">
        <v>42.518999999999998</v>
      </c>
      <c r="F3287" s="129">
        <f t="shared" si="155"/>
        <v>0.31170678899999998</v>
      </c>
      <c r="G3287" t="str">
        <f>_xlfn.XLOOKUP(D3287,'[1]2050 BAU Mapping to T &amp; C'!$A$3:$A$52,'[1]2050 BAU Mapping to T &amp; C'!$B$3:$B$52)</f>
        <v>Poultry</v>
      </c>
      <c r="H3287" s="129">
        <f>_xlfn.XLOOKUP(G3287,'[1]T&amp;C emissions for 2050 analysis'!$B$3:$B$23,'[1]T&amp;C emissions for 2050 analysis'!$C$3:$C$23)</f>
        <v>4.7666666666666666</v>
      </c>
      <c r="I3287" s="27">
        <f t="shared" si="153"/>
        <v>1.4858023609</v>
      </c>
      <c r="J3287" s="129">
        <f t="shared" si="154"/>
        <v>202.6739</v>
      </c>
    </row>
    <row r="3288" spans="1:10" hidden="1" x14ac:dyDescent="0.35">
      <c r="A3288" s="126" t="s">
        <v>492</v>
      </c>
      <c r="B3288" t="str">
        <f>_xlfn.XLOOKUP(A3288,'[1]2050Pop'!$A$7:$A$143,'[1]2050Pop'!$D$7:$D$143)</f>
        <v>SSA</v>
      </c>
      <c r="C3288" s="127">
        <f>1000*_xlfn.XLOOKUP(A3288,'[1]2050Pop'!$A$7:$A$143,'[1]2050Pop'!$C$7:$C$143)</f>
        <v>11392</v>
      </c>
      <c r="D3288" s="126" t="s">
        <v>524</v>
      </c>
      <c r="E3288" s="128">
        <v>24.672999999999998</v>
      </c>
      <c r="F3288" s="129">
        <f t="shared" si="155"/>
        <v>0.28107481600000001</v>
      </c>
      <c r="G3288" t="str">
        <f>_xlfn.XLOOKUP(D3288,'[1]2050 BAU Mapping to T &amp; C'!$A$3:$A$52,'[1]2050 BAU Mapping to T &amp; C'!$B$3:$B$52)</f>
        <v>Poultry</v>
      </c>
      <c r="H3288" s="129">
        <f>_xlfn.XLOOKUP(G3288,'[1]T&amp;C emissions for 2050 analysis'!$B$3:$B$23,'[1]T&amp;C emissions for 2050 analysis'!$C$3:$C$23)</f>
        <v>4.7666666666666666</v>
      </c>
      <c r="I3288" s="27">
        <f t="shared" si="153"/>
        <v>1.3397899562666666</v>
      </c>
      <c r="J3288" s="129">
        <f t="shared" si="154"/>
        <v>117.60796666666666</v>
      </c>
    </row>
    <row r="3289" spans="1:10" hidden="1" x14ac:dyDescent="0.35">
      <c r="A3289" s="126" t="s">
        <v>459</v>
      </c>
      <c r="B3289" t="str">
        <f>_xlfn.XLOOKUP(A3289,'[1]2050Pop'!$A$7:$A$143,'[1]2050Pop'!$D$7:$D$143)</f>
        <v>Euro/AU/NZ</v>
      </c>
      <c r="C3289" s="127">
        <f>1000*_xlfn.XLOOKUP(A3289,'[1]2050Pop'!$A$7:$A$143,'[1]2050Pop'!$C$7:$C$143)</f>
        <v>4892</v>
      </c>
      <c r="D3289" s="126" t="s">
        <v>524</v>
      </c>
      <c r="E3289" s="130">
        <v>60.78</v>
      </c>
      <c r="F3289" s="129">
        <f t="shared" si="155"/>
        <v>0.29733576</v>
      </c>
      <c r="G3289" t="str">
        <f>_xlfn.XLOOKUP(D3289,'[1]2050 BAU Mapping to T &amp; C'!$A$3:$A$52,'[1]2050 BAU Mapping to T &amp; C'!$B$3:$B$52)</f>
        <v>Poultry</v>
      </c>
      <c r="H3289" s="129">
        <f>_xlfn.XLOOKUP(G3289,'[1]T&amp;C emissions for 2050 analysis'!$B$3:$B$23,'[1]T&amp;C emissions for 2050 analysis'!$C$3:$C$23)</f>
        <v>4.7666666666666666</v>
      </c>
      <c r="I3289" s="27">
        <f t="shared" si="153"/>
        <v>1.417300456</v>
      </c>
      <c r="J3289" s="129">
        <f t="shared" si="154"/>
        <v>289.71800000000002</v>
      </c>
    </row>
    <row r="3290" spans="1:10" hidden="1" x14ac:dyDescent="0.35">
      <c r="A3290" s="126" t="s">
        <v>460</v>
      </c>
      <c r="B3290" t="str">
        <f>_xlfn.XLOOKUP(A3290,'[1]2050Pop'!$A$7:$A$143,'[1]2050Pop'!$D$7:$D$143)</f>
        <v>LatAm &amp; RSA</v>
      </c>
      <c r="C3290" s="127">
        <f>1000*_xlfn.XLOOKUP(A3290,'[1]2050Pop'!$A$7:$A$143,'[1]2050Pop'!$C$7:$C$143)</f>
        <v>65540</v>
      </c>
      <c r="D3290" s="126" t="s">
        <v>524</v>
      </c>
      <c r="E3290" s="128">
        <v>184.16900000000001</v>
      </c>
      <c r="F3290" s="129">
        <f t="shared" si="155"/>
        <v>12.070436260000001</v>
      </c>
      <c r="G3290" t="str">
        <f>_xlfn.XLOOKUP(D3290,'[1]2050 BAU Mapping to T &amp; C'!$A$3:$A$52,'[1]2050 BAU Mapping to T &amp; C'!$B$3:$B$52)</f>
        <v>Poultry</v>
      </c>
      <c r="H3290" s="129">
        <f>_xlfn.XLOOKUP(G3290,'[1]T&amp;C emissions for 2050 analysis'!$B$3:$B$23,'[1]T&amp;C emissions for 2050 analysis'!$C$3:$C$23)</f>
        <v>4.7666666666666666</v>
      </c>
      <c r="I3290" s="27">
        <f t="shared" si="153"/>
        <v>57.53574617266667</v>
      </c>
      <c r="J3290" s="129">
        <f t="shared" si="154"/>
        <v>877.87223333333338</v>
      </c>
    </row>
    <row r="3291" spans="1:10" hidden="1" x14ac:dyDescent="0.35">
      <c r="A3291" s="126" t="s">
        <v>461</v>
      </c>
      <c r="B3291" t="str">
        <f>_xlfn.XLOOKUP(A3291,'[1]2050Pop'!$A$7:$A$143,'[1]2050Pop'!$D$7:$D$143)</f>
        <v>Euro/AU/NZ</v>
      </c>
      <c r="C3291" s="127">
        <f>1000*_xlfn.XLOOKUP(A3291,'[1]2050Pop'!$A$7:$A$143,'[1]2050Pop'!$C$7:$C$143)</f>
        <v>44840</v>
      </c>
      <c r="D3291" s="126" t="s">
        <v>524</v>
      </c>
      <c r="E3291" s="128">
        <v>113.452</v>
      </c>
      <c r="F3291" s="129">
        <f t="shared" si="155"/>
        <v>5.0871876799999995</v>
      </c>
      <c r="G3291" t="str">
        <f>_xlfn.XLOOKUP(D3291,'[1]2050 BAU Mapping to T &amp; C'!$A$3:$A$52,'[1]2050 BAU Mapping to T &amp; C'!$B$3:$B$52)</f>
        <v>Poultry</v>
      </c>
      <c r="H3291" s="129">
        <f>_xlfn.XLOOKUP(G3291,'[1]T&amp;C emissions for 2050 analysis'!$B$3:$B$23,'[1]T&amp;C emissions for 2050 analysis'!$C$3:$C$23)</f>
        <v>4.7666666666666666</v>
      </c>
      <c r="I3291" s="27">
        <f t="shared" si="153"/>
        <v>24.248927941333331</v>
      </c>
      <c r="J3291" s="129">
        <f t="shared" si="154"/>
        <v>540.78786666666667</v>
      </c>
    </row>
    <row r="3292" spans="1:10" hidden="1" x14ac:dyDescent="0.35">
      <c r="A3292" s="126" t="s">
        <v>493</v>
      </c>
      <c r="B3292" t="str">
        <f>_xlfn.XLOOKUP(A3292,'[1]2050Pop'!$A$7:$A$143,'[1]2050Pop'!$D$7:$D$143)</f>
        <v>India/South Asia</v>
      </c>
      <c r="C3292" s="127">
        <f>1000*_xlfn.XLOOKUP(A3292,'[1]2050Pop'!$A$7:$A$143,'[1]2050Pop'!$C$7:$C$143)</f>
        <v>20836</v>
      </c>
      <c r="D3292" s="126" t="s">
        <v>524</v>
      </c>
      <c r="E3292" s="128">
        <v>27.423999999999999</v>
      </c>
      <c r="F3292" s="129">
        <f t="shared" si="155"/>
        <v>0.57140646400000006</v>
      </c>
      <c r="G3292" t="str">
        <f>_xlfn.XLOOKUP(D3292,'[1]2050 BAU Mapping to T &amp; C'!$A$3:$A$52,'[1]2050 BAU Mapping to T &amp; C'!$B$3:$B$52)</f>
        <v>Poultry</v>
      </c>
      <c r="H3292" s="129">
        <f>_xlfn.XLOOKUP(G3292,'[1]T&amp;C emissions for 2050 analysis'!$B$3:$B$23,'[1]T&amp;C emissions for 2050 analysis'!$C$3:$C$23)</f>
        <v>4.7666666666666666</v>
      </c>
      <c r="I3292" s="27">
        <f t="shared" si="153"/>
        <v>2.7237041450666668</v>
      </c>
      <c r="J3292" s="129">
        <f t="shared" si="154"/>
        <v>130.72106666666667</v>
      </c>
    </row>
    <row r="3293" spans="1:10" hidden="1" x14ac:dyDescent="0.35">
      <c r="A3293" s="126" t="s">
        <v>462</v>
      </c>
      <c r="B3293" t="str">
        <f>_xlfn.XLOOKUP(A3293,'[1]2050Pop'!$A$7:$A$143,'[1]2050Pop'!$D$7:$D$143)</f>
        <v>LatAm &amp; RSA</v>
      </c>
      <c r="C3293" s="127">
        <f>1000*_xlfn.XLOOKUP(A3293,'[1]2050Pop'!$A$7:$A$143,'[1]2050Pop'!$C$7:$C$143)</f>
        <v>624</v>
      </c>
      <c r="D3293" s="126" t="s">
        <v>524</v>
      </c>
      <c r="E3293" s="130">
        <v>163.35</v>
      </c>
      <c r="F3293" s="129">
        <f t="shared" si="155"/>
        <v>0.10193039999999999</v>
      </c>
      <c r="G3293" t="str">
        <f>_xlfn.XLOOKUP(D3293,'[1]2050 BAU Mapping to T &amp; C'!$A$3:$A$52,'[1]2050 BAU Mapping to T &amp; C'!$B$3:$B$52)</f>
        <v>Poultry</v>
      </c>
      <c r="H3293" s="129">
        <f>_xlfn.XLOOKUP(G3293,'[1]T&amp;C emissions for 2050 analysis'!$B$3:$B$23,'[1]T&amp;C emissions for 2050 analysis'!$C$3:$C$23)</f>
        <v>4.7666666666666666</v>
      </c>
      <c r="I3293" s="27">
        <f t="shared" si="153"/>
        <v>0.48586823999999995</v>
      </c>
      <c r="J3293" s="129">
        <f t="shared" si="154"/>
        <v>778.63499999999999</v>
      </c>
    </row>
    <row r="3294" spans="1:10" hidden="1" x14ac:dyDescent="0.35">
      <c r="A3294" s="126" t="s">
        <v>463</v>
      </c>
      <c r="B3294" t="str">
        <f>_xlfn.XLOOKUP(A3294,'[1]2050Pop'!$A$7:$A$143,'[1]2050Pop'!$D$7:$D$143)</f>
        <v>SSA</v>
      </c>
      <c r="C3294" s="127">
        <f>1000*_xlfn.XLOOKUP(A3294,'[1]2050Pop'!$A$7:$A$143,'[1]2050Pop'!$C$7:$C$143)</f>
        <v>1792</v>
      </c>
      <c r="D3294" s="126" t="s">
        <v>524</v>
      </c>
      <c r="E3294" s="128">
        <v>23.588999999999999</v>
      </c>
      <c r="F3294" s="129">
        <f t="shared" si="155"/>
        <v>4.2271487999999996E-2</v>
      </c>
      <c r="G3294" t="str">
        <f>_xlfn.XLOOKUP(D3294,'[1]2050 BAU Mapping to T &amp; C'!$A$3:$A$52,'[1]2050 BAU Mapping to T &amp; C'!$B$3:$B$52)</f>
        <v>Poultry</v>
      </c>
      <c r="H3294" s="129">
        <f>_xlfn.XLOOKUP(G3294,'[1]T&amp;C emissions for 2050 analysis'!$B$3:$B$23,'[1]T&amp;C emissions for 2050 analysis'!$C$3:$C$23)</f>
        <v>4.7666666666666666</v>
      </c>
      <c r="I3294" s="27">
        <f t="shared" si="153"/>
        <v>0.20149409279999997</v>
      </c>
      <c r="J3294" s="129">
        <f t="shared" si="154"/>
        <v>112.4409</v>
      </c>
    </row>
    <row r="3295" spans="1:10" hidden="1" x14ac:dyDescent="0.35">
      <c r="A3295" s="126" t="s">
        <v>464</v>
      </c>
      <c r="B3295" t="str">
        <f>_xlfn.XLOOKUP(A3295,'[1]2050Pop'!$A$7:$A$143,'[1]2050Pop'!$D$7:$D$143)</f>
        <v>Euro/AU/NZ</v>
      </c>
      <c r="C3295" s="127">
        <f>1000*_xlfn.XLOOKUP(A3295,'[1]2050Pop'!$A$7:$A$143,'[1]2050Pop'!$C$7:$C$143)</f>
        <v>11881</v>
      </c>
      <c r="D3295" s="126" t="s">
        <v>524</v>
      </c>
      <c r="E3295" s="128">
        <v>69.599000000000004</v>
      </c>
      <c r="F3295" s="129">
        <f t="shared" si="155"/>
        <v>0.82690571900000009</v>
      </c>
      <c r="G3295" t="str">
        <f>_xlfn.XLOOKUP(D3295,'[1]2050 BAU Mapping to T &amp; C'!$A$3:$A$52,'[1]2050 BAU Mapping to T &amp; C'!$B$3:$B$52)</f>
        <v>Poultry</v>
      </c>
      <c r="H3295" s="129">
        <f>_xlfn.XLOOKUP(G3295,'[1]T&amp;C emissions for 2050 analysis'!$B$3:$B$23,'[1]T&amp;C emissions for 2050 analysis'!$C$3:$C$23)</f>
        <v>4.7666666666666666</v>
      </c>
      <c r="I3295" s="27">
        <f t="shared" si="153"/>
        <v>3.9415839272333337</v>
      </c>
      <c r="J3295" s="129">
        <f t="shared" si="154"/>
        <v>331.75523333333336</v>
      </c>
    </row>
    <row r="3296" spans="1:10" hidden="1" x14ac:dyDescent="0.35">
      <c r="A3296" s="126" t="s">
        <v>483</v>
      </c>
      <c r="B3296" t="str">
        <f>_xlfn.XLOOKUP(A3296,'[1]2050Pop'!$A$7:$A$143,'[1]2050Pop'!$D$7:$D$143)</f>
        <v>APAC</v>
      </c>
      <c r="C3296" s="127">
        <f>1000*_xlfn.XLOOKUP(A3296,'[1]2050Pop'!$A$7:$A$143,'[1]2050Pop'!$C$7:$C$143)</f>
        <v>14288</v>
      </c>
      <c r="D3296" s="126" t="s">
        <v>524</v>
      </c>
      <c r="E3296" s="128">
        <v>14.846</v>
      </c>
      <c r="F3296" s="129">
        <f t="shared" si="155"/>
        <v>0.21211964800000002</v>
      </c>
      <c r="G3296" t="str">
        <f>_xlfn.XLOOKUP(D3296,'[1]2050 BAU Mapping to T &amp; C'!$A$3:$A$52,'[1]2050 BAU Mapping to T &amp; C'!$B$3:$B$52)</f>
        <v>Poultry</v>
      </c>
      <c r="H3296" s="129">
        <f>_xlfn.XLOOKUP(G3296,'[1]T&amp;C emissions for 2050 analysis'!$B$3:$B$23,'[1]T&amp;C emissions for 2050 analysis'!$C$3:$C$23)</f>
        <v>4.7666666666666666</v>
      </c>
      <c r="I3296" s="27">
        <f t="shared" si="153"/>
        <v>1.0111036554666668</v>
      </c>
      <c r="J3296" s="129">
        <f t="shared" si="154"/>
        <v>70.765933333333336</v>
      </c>
    </row>
    <row r="3297" spans="1:10" hidden="1" x14ac:dyDescent="0.35">
      <c r="A3297" s="126" t="s">
        <v>465</v>
      </c>
      <c r="B3297" t="str">
        <f>_xlfn.XLOOKUP(A3297,'[1]2050Pop'!$A$7:$A$143,'[1]2050Pop'!$D$7:$D$143)</f>
        <v>APAC</v>
      </c>
      <c r="C3297" s="127">
        <f>1000*_xlfn.XLOOKUP(A3297,'[1]2050Pop'!$A$7:$A$143,'[1]2050Pop'!$C$7:$C$143)</f>
        <v>62452</v>
      </c>
      <c r="D3297" s="126" t="s">
        <v>524</v>
      </c>
      <c r="E3297" s="128">
        <v>68.688999999999993</v>
      </c>
      <c r="F3297" s="129">
        <f t="shared" si="155"/>
        <v>4.289765427999999</v>
      </c>
      <c r="G3297" t="str">
        <f>_xlfn.XLOOKUP(D3297,'[1]2050 BAU Mapping to T &amp; C'!$A$3:$A$52,'[1]2050 BAU Mapping to T &amp; C'!$B$3:$B$52)</f>
        <v>Poultry</v>
      </c>
      <c r="H3297" s="129">
        <f>_xlfn.XLOOKUP(G3297,'[1]T&amp;C emissions for 2050 analysis'!$B$3:$B$23,'[1]T&amp;C emissions for 2050 analysis'!$C$3:$C$23)</f>
        <v>4.7666666666666666</v>
      </c>
      <c r="I3297" s="27">
        <f t="shared" si="153"/>
        <v>20.447881873466663</v>
      </c>
      <c r="J3297" s="129">
        <f t="shared" si="154"/>
        <v>327.41756666666663</v>
      </c>
    </row>
    <row r="3298" spans="1:10" hidden="1" x14ac:dyDescent="0.35">
      <c r="A3298" s="126" t="s">
        <v>466</v>
      </c>
      <c r="B3298" t="str">
        <f>_xlfn.XLOOKUP(A3298,'[1]2050Pop'!$A$7:$A$143,'[1]2050Pop'!$D$7:$D$143)</f>
        <v>SSA</v>
      </c>
      <c r="C3298" s="127">
        <f>1000*_xlfn.XLOOKUP(A3298,'[1]2050Pop'!$A$7:$A$143,'[1]2050Pop'!$C$7:$C$143)</f>
        <v>15681</v>
      </c>
      <c r="D3298" s="126" t="s">
        <v>524</v>
      </c>
      <c r="E3298" s="128">
        <v>40.350999999999999</v>
      </c>
      <c r="F3298" s="129">
        <f t="shared" si="155"/>
        <v>0.63274403099999998</v>
      </c>
      <c r="G3298" t="str">
        <f>_xlfn.XLOOKUP(D3298,'[1]2050 BAU Mapping to T &amp; C'!$A$3:$A$52,'[1]2050 BAU Mapping to T &amp; C'!$B$3:$B$52)</f>
        <v>Poultry</v>
      </c>
      <c r="H3298" s="129">
        <f>_xlfn.XLOOKUP(G3298,'[1]T&amp;C emissions for 2050 analysis'!$B$3:$B$23,'[1]T&amp;C emissions for 2050 analysis'!$C$3:$C$23)</f>
        <v>4.7666666666666666</v>
      </c>
      <c r="I3298" s="27">
        <f t="shared" si="153"/>
        <v>3.0160798811</v>
      </c>
      <c r="J3298" s="129">
        <f t="shared" si="154"/>
        <v>192.33976666666666</v>
      </c>
    </row>
    <row r="3299" spans="1:10" hidden="1" x14ac:dyDescent="0.35">
      <c r="A3299" s="126" t="s">
        <v>467</v>
      </c>
      <c r="B3299" t="str">
        <f>_xlfn.XLOOKUP(A3299,'[1]2050Pop'!$A$7:$A$143,'[1]2050Pop'!$D$7:$D$143)</f>
        <v>LatAm &amp; RSA</v>
      </c>
      <c r="C3299" s="127">
        <f>1000*_xlfn.XLOOKUP(A3299,'[1]2050Pop'!$A$7:$A$143,'[1]2050Pop'!$C$7:$C$143)</f>
        <v>1291</v>
      </c>
      <c r="D3299" s="126" t="s">
        <v>524</v>
      </c>
      <c r="E3299" s="128">
        <v>235.65700000000001</v>
      </c>
      <c r="F3299" s="129">
        <f t="shared" si="155"/>
        <v>0.30423318700000002</v>
      </c>
      <c r="G3299" t="str">
        <f>_xlfn.XLOOKUP(D3299,'[1]2050 BAU Mapping to T &amp; C'!$A$3:$A$52,'[1]2050 BAU Mapping to T &amp; C'!$B$3:$B$52)</f>
        <v>Poultry</v>
      </c>
      <c r="H3299" s="129">
        <f>_xlfn.XLOOKUP(G3299,'[1]T&amp;C emissions for 2050 analysis'!$B$3:$B$23,'[1]T&amp;C emissions for 2050 analysis'!$C$3:$C$23)</f>
        <v>4.7666666666666666</v>
      </c>
      <c r="I3299" s="27">
        <f t="shared" si="153"/>
        <v>1.4501781913666667</v>
      </c>
      <c r="J3299" s="129">
        <f t="shared" si="154"/>
        <v>1123.2983666666667</v>
      </c>
    </row>
    <row r="3300" spans="1:10" hidden="1" x14ac:dyDescent="0.35">
      <c r="A3300" s="126" t="s">
        <v>468</v>
      </c>
      <c r="B3300" t="str">
        <f>_xlfn.XLOOKUP(A3300,'[1]2050Pop'!$A$7:$A$143,'[1]2050Pop'!$D$7:$D$143)</f>
        <v>MENA</v>
      </c>
      <c r="C3300" s="127">
        <f>1000*_xlfn.XLOOKUP(A3300,'[1]2050Pop'!$A$7:$A$143,'[1]2050Pop'!$C$7:$C$143)</f>
        <v>13476</v>
      </c>
      <c r="D3300" s="126" t="s">
        <v>524</v>
      </c>
      <c r="E3300" s="128">
        <v>72.046000000000006</v>
      </c>
      <c r="F3300" s="129">
        <f t="shared" si="155"/>
        <v>0.97089189600000003</v>
      </c>
      <c r="G3300" t="str">
        <f>_xlfn.XLOOKUP(D3300,'[1]2050 BAU Mapping to T &amp; C'!$A$3:$A$52,'[1]2050 BAU Mapping to T &amp; C'!$B$3:$B$52)</f>
        <v>Poultry</v>
      </c>
      <c r="H3300" s="129">
        <f>_xlfn.XLOOKUP(G3300,'[1]T&amp;C emissions for 2050 analysis'!$B$3:$B$23,'[1]T&amp;C emissions for 2050 analysis'!$C$3:$C$23)</f>
        <v>4.7666666666666666</v>
      </c>
      <c r="I3300" s="27">
        <f t="shared" si="153"/>
        <v>4.6279180375999998</v>
      </c>
      <c r="J3300" s="129">
        <f t="shared" si="154"/>
        <v>343.41926666666672</v>
      </c>
    </row>
    <row r="3301" spans="1:10" hidden="1" x14ac:dyDescent="0.35">
      <c r="A3301" s="126" t="s">
        <v>469</v>
      </c>
      <c r="B3301" t="str">
        <f>_xlfn.XLOOKUP(A3301,'[1]2050Pop'!$A$7:$A$143,'[1]2050Pop'!$D$7:$D$143)</f>
        <v>MENA</v>
      </c>
      <c r="C3301" s="127">
        <f>1000*_xlfn.XLOOKUP(A3301,'[1]2050Pop'!$A$7:$A$143,'[1]2050Pop'!$C$7:$C$143)</f>
        <v>95819</v>
      </c>
      <c r="D3301" s="126" t="s">
        <v>524</v>
      </c>
      <c r="E3301" s="128">
        <v>70.361999999999995</v>
      </c>
      <c r="F3301" s="129">
        <f t="shared" si="155"/>
        <v>6.7420164779999991</v>
      </c>
      <c r="G3301" t="str">
        <f>_xlfn.XLOOKUP(D3301,'[1]2050 BAU Mapping to T &amp; C'!$A$3:$A$52,'[1]2050 BAU Mapping to T &amp; C'!$B$3:$B$52)</f>
        <v>Poultry</v>
      </c>
      <c r="H3301" s="129">
        <f>_xlfn.XLOOKUP(G3301,'[1]T&amp;C emissions for 2050 analysis'!$B$3:$B$23,'[1]T&amp;C emissions for 2050 analysis'!$C$3:$C$23)</f>
        <v>4.7666666666666666</v>
      </c>
      <c r="I3301" s="27">
        <f t="shared" si="153"/>
        <v>32.136945211799997</v>
      </c>
      <c r="J3301" s="129">
        <f t="shared" si="154"/>
        <v>335.39219999999995</v>
      </c>
    </row>
    <row r="3302" spans="1:10" hidden="1" x14ac:dyDescent="0.35">
      <c r="A3302" s="126" t="s">
        <v>484</v>
      </c>
      <c r="B3302" t="str">
        <f>_xlfn.XLOOKUP(A3302,'[1]2050Pop'!$A$7:$A$143,'[1]2050Pop'!$D$7:$D$143)</f>
        <v>APAC</v>
      </c>
      <c r="C3302" s="127">
        <f>1000*_xlfn.XLOOKUP(A3302,'[1]2050Pop'!$A$7:$A$143,'[1]2050Pop'!$C$7:$C$143)</f>
        <v>6555</v>
      </c>
      <c r="D3302" s="126" t="s">
        <v>524</v>
      </c>
      <c r="E3302" s="128">
        <v>17.768000000000001</v>
      </c>
      <c r="F3302" s="129">
        <f t="shared" si="155"/>
        <v>0.11646924</v>
      </c>
      <c r="G3302" t="str">
        <f>_xlfn.XLOOKUP(D3302,'[1]2050 BAU Mapping to T &amp; C'!$A$3:$A$52,'[1]2050 BAU Mapping to T &amp; C'!$B$3:$B$52)</f>
        <v>Poultry</v>
      </c>
      <c r="H3302" s="129">
        <f>_xlfn.XLOOKUP(G3302,'[1]T&amp;C emissions for 2050 analysis'!$B$3:$B$23,'[1]T&amp;C emissions for 2050 analysis'!$C$3:$C$23)</f>
        <v>4.7666666666666666</v>
      </c>
      <c r="I3302" s="27">
        <f t="shared" si="153"/>
        <v>0.55517004400000003</v>
      </c>
      <c r="J3302" s="129">
        <f t="shared" si="154"/>
        <v>84.69413333333334</v>
      </c>
    </row>
    <row r="3303" spans="1:10" hidden="1" x14ac:dyDescent="0.35">
      <c r="A3303" s="126" t="s">
        <v>470</v>
      </c>
      <c r="B3303" t="str">
        <f>_xlfn.XLOOKUP(A3303,'[1]2050Pop'!$A$7:$A$143,'[1]2050Pop'!$D$7:$D$143)</f>
        <v>SSA</v>
      </c>
      <c r="C3303" s="127">
        <f>1000*_xlfn.XLOOKUP(A3303,'[1]2050Pop'!$A$7:$A$143,'[1]2050Pop'!$C$7:$C$143)</f>
        <v>101873</v>
      </c>
      <c r="D3303" s="126" t="s">
        <v>524</v>
      </c>
      <c r="E3303" s="128">
        <v>10.212999999999999</v>
      </c>
      <c r="F3303" s="129">
        <f t="shared" si="155"/>
        <v>1.0404289489999998</v>
      </c>
      <c r="G3303" t="str">
        <f>_xlfn.XLOOKUP(D3303,'[1]2050 BAU Mapping to T &amp; C'!$A$3:$A$52,'[1]2050 BAU Mapping to T &amp; C'!$B$3:$B$52)</f>
        <v>Poultry</v>
      </c>
      <c r="H3303" s="129">
        <f>_xlfn.XLOOKUP(G3303,'[1]T&amp;C emissions for 2050 analysis'!$B$3:$B$23,'[1]T&amp;C emissions for 2050 analysis'!$C$3:$C$23)</f>
        <v>4.7666666666666666</v>
      </c>
      <c r="I3303" s="27">
        <f t="shared" si="153"/>
        <v>4.9593779902333326</v>
      </c>
      <c r="J3303" s="129">
        <f t="shared" si="154"/>
        <v>48.681966666666661</v>
      </c>
    </row>
    <row r="3304" spans="1:10" hidden="1" x14ac:dyDescent="0.35">
      <c r="A3304" s="126" t="s">
        <v>471</v>
      </c>
      <c r="B3304" t="str">
        <f>_xlfn.XLOOKUP(A3304,'[1]2050Pop'!$A$7:$A$143,'[1]2050Pop'!$D$7:$D$143)</f>
        <v>Euro/AU/NZ</v>
      </c>
      <c r="C3304" s="127">
        <f>1000*_xlfn.XLOOKUP(A3304,'[1]2050Pop'!$A$7:$A$143,'[1]2050Pop'!$C$7:$C$143)</f>
        <v>35117</v>
      </c>
      <c r="D3304" s="126" t="s">
        <v>524</v>
      </c>
      <c r="E3304" s="128">
        <v>99.525000000000006</v>
      </c>
      <c r="F3304" s="129">
        <f t="shared" si="155"/>
        <v>3.4950194250000002</v>
      </c>
      <c r="G3304" t="str">
        <f>_xlfn.XLOOKUP(D3304,'[1]2050 BAU Mapping to T &amp; C'!$A$3:$A$52,'[1]2050 BAU Mapping to T &amp; C'!$B$3:$B$52)</f>
        <v>Poultry</v>
      </c>
      <c r="H3304" s="129">
        <f>_xlfn.XLOOKUP(G3304,'[1]T&amp;C emissions for 2050 analysis'!$B$3:$B$23,'[1]T&amp;C emissions for 2050 analysis'!$C$3:$C$23)</f>
        <v>4.7666666666666666</v>
      </c>
      <c r="I3304" s="27">
        <f t="shared" si="153"/>
        <v>16.659592592500001</v>
      </c>
      <c r="J3304" s="129">
        <f t="shared" si="154"/>
        <v>474.40250000000003</v>
      </c>
    </row>
    <row r="3305" spans="1:10" hidden="1" x14ac:dyDescent="0.35">
      <c r="A3305" s="126" t="s">
        <v>472</v>
      </c>
      <c r="B3305" t="str">
        <f>_xlfn.XLOOKUP(A3305,'[1]2050Pop'!$A$7:$A$143,'[1]2050Pop'!$D$7:$D$143)</f>
        <v>Euro/AU/NZ</v>
      </c>
      <c r="C3305" s="127">
        <f>1000*_xlfn.XLOOKUP(A3305,'[1]2050Pop'!$A$7:$A$143,'[1]2050Pop'!$C$7:$C$143)</f>
        <v>75361</v>
      </c>
      <c r="D3305" s="126" t="s">
        <v>524</v>
      </c>
      <c r="E3305" s="128">
        <v>123.343</v>
      </c>
      <c r="F3305" s="129">
        <f t="shared" si="155"/>
        <v>9.295251823000001</v>
      </c>
      <c r="G3305" t="str">
        <f>_xlfn.XLOOKUP(D3305,'[1]2050 BAU Mapping to T &amp; C'!$A$3:$A$52,'[1]2050 BAU Mapping to T &amp; C'!$B$3:$B$52)</f>
        <v>Poultry</v>
      </c>
      <c r="H3305" s="129">
        <f>_xlfn.XLOOKUP(G3305,'[1]T&amp;C emissions for 2050 analysis'!$B$3:$B$23,'[1]T&amp;C emissions for 2050 analysis'!$C$3:$C$23)</f>
        <v>4.7666666666666666</v>
      </c>
      <c r="I3305" s="27">
        <f t="shared" si="153"/>
        <v>44.307367022966673</v>
      </c>
      <c r="J3305" s="129">
        <f t="shared" si="154"/>
        <v>587.9349666666667</v>
      </c>
    </row>
    <row r="3306" spans="1:10" hidden="1" x14ac:dyDescent="0.35">
      <c r="A3306" s="126" t="s">
        <v>473</v>
      </c>
      <c r="B3306" t="str">
        <f>_xlfn.XLOOKUP(A3306,'[1]2050Pop'!$A$7:$A$143,'[1]2050Pop'!$D$7:$D$143)</f>
        <v>SSA</v>
      </c>
      <c r="C3306" s="127">
        <f>1000*_xlfn.XLOOKUP(A3306,'[1]2050Pop'!$A$7:$A$143,'[1]2050Pop'!$C$7:$C$143)</f>
        <v>137136</v>
      </c>
      <c r="D3306" s="126" t="s">
        <v>524</v>
      </c>
      <c r="E3306" s="128">
        <v>11.722</v>
      </c>
      <c r="F3306" s="129">
        <f t="shared" si="155"/>
        <v>1.6075081920000001</v>
      </c>
      <c r="G3306" t="str">
        <f>_xlfn.XLOOKUP(D3306,'[1]2050 BAU Mapping to T &amp; C'!$A$3:$A$52,'[1]2050 BAU Mapping to T &amp; C'!$B$3:$B$52)</f>
        <v>Poultry</v>
      </c>
      <c r="H3306" s="129">
        <f>_xlfn.XLOOKUP(G3306,'[1]T&amp;C emissions for 2050 analysis'!$B$3:$B$23,'[1]T&amp;C emissions for 2050 analysis'!$C$3:$C$23)</f>
        <v>4.7666666666666666</v>
      </c>
      <c r="I3306" s="27">
        <f t="shared" si="153"/>
        <v>7.6624557152000001</v>
      </c>
      <c r="J3306" s="129">
        <f t="shared" si="154"/>
        <v>55.874866666666662</v>
      </c>
    </row>
    <row r="3307" spans="1:10" hidden="1" x14ac:dyDescent="0.35">
      <c r="A3307" s="126" t="s">
        <v>474</v>
      </c>
      <c r="B3307" t="str">
        <f>_xlfn.XLOOKUP(A3307,'[1]2050Pop'!$A$7:$A$143,'[1]2050Pop'!$D$7:$D$143)</f>
        <v>NAm</v>
      </c>
      <c r="C3307" s="127">
        <f>1000*_xlfn.XLOOKUP(A3307,'[1]2050Pop'!$A$7:$A$143,'[1]2050Pop'!$C$7:$C$143)</f>
        <v>388865</v>
      </c>
      <c r="D3307" s="126" t="s">
        <v>524</v>
      </c>
      <c r="E3307" s="128">
        <v>213.94399999999999</v>
      </c>
      <c r="F3307" s="129">
        <f t="shared" si="155"/>
        <v>83.195333560000009</v>
      </c>
      <c r="G3307" t="str">
        <f>_xlfn.XLOOKUP(D3307,'[1]2050 BAU Mapping to T &amp; C'!$A$3:$A$52,'[1]2050 BAU Mapping to T &amp; C'!$B$3:$B$52)</f>
        <v>Poultry</v>
      </c>
      <c r="H3307" s="129">
        <f>_xlfn.XLOOKUP(G3307,'[1]T&amp;C emissions for 2050 analysis'!$B$3:$B$23,'[1]T&amp;C emissions for 2050 analysis'!$C$3:$C$23)</f>
        <v>4.7666666666666666</v>
      </c>
      <c r="I3307" s="27">
        <f t="shared" si="153"/>
        <v>396.56442330266668</v>
      </c>
      <c r="J3307" s="129">
        <f t="shared" si="154"/>
        <v>1019.7997333333333</v>
      </c>
    </row>
    <row r="3308" spans="1:10" hidden="1" x14ac:dyDescent="0.35">
      <c r="A3308" s="126" t="s">
        <v>475</v>
      </c>
      <c r="B3308" t="str">
        <f>_xlfn.XLOOKUP(A3308,'[1]2050Pop'!$A$7:$A$143,'[1]2050Pop'!$D$7:$D$143)</f>
        <v>LatAm &amp; RSA</v>
      </c>
      <c r="C3308" s="127">
        <f>1000*_xlfn.XLOOKUP(A3308,'[1]2050Pop'!$A$7:$A$143,'[1]2050Pop'!$C$7:$C$143)</f>
        <v>3667</v>
      </c>
      <c r="D3308" s="126" t="s">
        <v>524</v>
      </c>
      <c r="E3308" s="128">
        <v>100.206</v>
      </c>
      <c r="F3308" s="129">
        <f t="shared" si="155"/>
        <v>0.36745540199999999</v>
      </c>
      <c r="G3308" t="str">
        <f>_xlfn.XLOOKUP(D3308,'[1]2050 BAU Mapping to T &amp; C'!$A$3:$A$52,'[1]2050 BAU Mapping to T &amp; C'!$B$3:$B$52)</f>
        <v>Poultry</v>
      </c>
      <c r="H3308" s="129">
        <f>_xlfn.XLOOKUP(G3308,'[1]T&amp;C emissions for 2050 analysis'!$B$3:$B$23,'[1]T&amp;C emissions for 2050 analysis'!$C$3:$C$23)</f>
        <v>4.7666666666666666</v>
      </c>
      <c r="I3308" s="27">
        <f t="shared" si="153"/>
        <v>1.7515374161999999</v>
      </c>
      <c r="J3308" s="129">
        <f t="shared" si="154"/>
        <v>477.64859999999999</v>
      </c>
    </row>
    <row r="3309" spans="1:10" hidden="1" x14ac:dyDescent="0.35">
      <c r="A3309" s="126" t="s">
        <v>485</v>
      </c>
      <c r="B3309" t="str">
        <f>_xlfn.XLOOKUP(A3309,'[1]2050Pop'!$A$7:$A$143,'[1]2050Pop'!$D$7:$D$143)</f>
        <v>APAC</v>
      </c>
      <c r="C3309" s="127">
        <f>1000*_xlfn.XLOOKUP(A3309,'[1]2050Pop'!$A$7:$A$143,'[1]2050Pop'!$C$7:$C$143)</f>
        <v>37126</v>
      </c>
      <c r="D3309" s="126" t="s">
        <v>524</v>
      </c>
      <c r="E3309" s="128">
        <v>7.2539999999999996</v>
      </c>
      <c r="F3309" s="129">
        <f t="shared" si="155"/>
        <v>0.26931200399999994</v>
      </c>
      <c r="G3309" t="str">
        <f>_xlfn.XLOOKUP(D3309,'[1]2050 BAU Mapping to T &amp; C'!$A$3:$A$52,'[1]2050 BAU Mapping to T &amp; C'!$B$3:$B$52)</f>
        <v>Poultry</v>
      </c>
      <c r="H3309" s="129">
        <f>_xlfn.XLOOKUP(G3309,'[1]T&amp;C emissions for 2050 analysis'!$B$3:$B$23,'[1]T&amp;C emissions for 2050 analysis'!$C$3:$C$23)</f>
        <v>4.7666666666666666</v>
      </c>
      <c r="I3309" s="27">
        <f t="shared" si="153"/>
        <v>1.2837205523999997</v>
      </c>
      <c r="J3309" s="129">
        <f t="shared" si="154"/>
        <v>34.577399999999997</v>
      </c>
    </row>
    <row r="3310" spans="1:10" hidden="1" x14ac:dyDescent="0.35">
      <c r="A3310" s="126" t="s">
        <v>476</v>
      </c>
      <c r="B3310" t="str">
        <f>_xlfn.XLOOKUP(A3310,'[1]2050Pop'!$A$7:$A$143,'[1]2050Pop'!$D$7:$D$143)</f>
        <v>LatAm &amp; RSA</v>
      </c>
      <c r="C3310" s="127">
        <f>1000*_xlfn.XLOOKUP(A3310,'[1]2050Pop'!$A$7:$A$143,'[1]2050Pop'!$C$7:$C$143)</f>
        <v>41562</v>
      </c>
      <c r="D3310" s="126" t="s">
        <v>524</v>
      </c>
      <c r="E3310" s="128">
        <v>171.66900000000001</v>
      </c>
      <c r="F3310" s="129">
        <f t="shared" si="155"/>
        <v>7.1349069780000001</v>
      </c>
      <c r="G3310" t="str">
        <f>_xlfn.XLOOKUP(D3310,'[1]2050 BAU Mapping to T &amp; C'!$A$3:$A$52,'[1]2050 BAU Mapping to T &amp; C'!$B$3:$B$52)</f>
        <v>Poultry</v>
      </c>
      <c r="H3310" s="129">
        <f>_xlfn.XLOOKUP(G3310,'[1]T&amp;C emissions for 2050 analysis'!$B$3:$B$23,'[1]T&amp;C emissions for 2050 analysis'!$C$3:$C$23)</f>
        <v>4.7666666666666666</v>
      </c>
      <c r="I3310" s="27">
        <f t="shared" si="153"/>
        <v>34.009723261799998</v>
      </c>
      <c r="J3310" s="129">
        <f t="shared" si="154"/>
        <v>818.28890000000001</v>
      </c>
    </row>
    <row r="3311" spans="1:10" hidden="1" x14ac:dyDescent="0.35">
      <c r="A3311" s="126" t="s">
        <v>477</v>
      </c>
      <c r="B3311" t="str">
        <f>_xlfn.XLOOKUP(A3311,'[1]2050Pop'!$A$7:$A$143,'[1]2050Pop'!$D$7:$D$143)</f>
        <v>APAC</v>
      </c>
      <c r="C3311" s="127">
        <f>1000*_xlfn.XLOOKUP(A3311,'[1]2050Pop'!$A$7:$A$143,'[1]2050Pop'!$C$7:$C$143)</f>
        <v>112783</v>
      </c>
      <c r="D3311" s="126" t="s">
        <v>524</v>
      </c>
      <c r="E3311" s="130">
        <v>71.739999999999995</v>
      </c>
      <c r="F3311" s="129">
        <f t="shared" si="155"/>
        <v>8.0910524199999987</v>
      </c>
      <c r="G3311" t="str">
        <f>_xlfn.XLOOKUP(D3311,'[1]2050 BAU Mapping to T &amp; C'!$A$3:$A$52,'[1]2050 BAU Mapping to T &amp; C'!$B$3:$B$52)</f>
        <v>Poultry</v>
      </c>
      <c r="H3311" s="129">
        <f>_xlfn.XLOOKUP(G3311,'[1]T&amp;C emissions for 2050 analysis'!$B$3:$B$23,'[1]T&amp;C emissions for 2050 analysis'!$C$3:$C$23)</f>
        <v>4.7666666666666666</v>
      </c>
      <c r="I3311" s="27">
        <f t="shared" si="153"/>
        <v>38.56734986866666</v>
      </c>
      <c r="J3311" s="129">
        <f t="shared" si="154"/>
        <v>341.96066666666661</v>
      </c>
    </row>
    <row r="3312" spans="1:10" hidden="1" x14ac:dyDescent="0.35">
      <c r="A3312" s="126" t="s">
        <v>478</v>
      </c>
      <c r="B3312" t="str">
        <f>_xlfn.XLOOKUP(A3312,'[1]2050Pop'!$A$7:$A$143,'[1]2050Pop'!$D$7:$D$143)</f>
        <v>MENA</v>
      </c>
      <c r="C3312" s="127">
        <f>1000*_xlfn.XLOOKUP(A3312,'[1]2050Pop'!$A$7:$A$143,'[1]2050Pop'!$C$7:$C$143)</f>
        <v>47170</v>
      </c>
      <c r="D3312" s="126" t="s">
        <v>524</v>
      </c>
      <c r="E3312" s="128">
        <v>48.991</v>
      </c>
      <c r="F3312" s="129">
        <f t="shared" si="155"/>
        <v>2.3109054700000002</v>
      </c>
      <c r="G3312" t="str">
        <f>_xlfn.XLOOKUP(D3312,'[1]2050 BAU Mapping to T &amp; C'!$A$3:$A$52,'[1]2050 BAU Mapping to T &amp; C'!$B$3:$B$52)</f>
        <v>Poultry</v>
      </c>
      <c r="H3312" s="129">
        <f>_xlfn.XLOOKUP(G3312,'[1]T&amp;C emissions for 2050 analysis'!$B$3:$B$23,'[1]T&amp;C emissions for 2050 analysis'!$C$3:$C$23)</f>
        <v>4.7666666666666666</v>
      </c>
      <c r="I3312" s="27">
        <f t="shared" si="153"/>
        <v>11.015316073666668</v>
      </c>
      <c r="J3312" s="129">
        <f t="shared" si="154"/>
        <v>233.52376666666666</v>
      </c>
    </row>
    <row r="3313" spans="1:10" hidden="1" x14ac:dyDescent="0.35">
      <c r="A3313" s="126" t="s">
        <v>494</v>
      </c>
      <c r="B3313" t="str">
        <f>_xlfn.XLOOKUP(A3313,'[1]2050Pop'!$A$7:$A$143,'[1]2050Pop'!$D$7:$D$143)</f>
        <v>SSA</v>
      </c>
      <c r="C3313" s="127">
        <f>1000*_xlfn.XLOOKUP(A3313,'[1]2050Pop'!$A$7:$A$143,'[1]2050Pop'!$C$7:$C$143)</f>
        <v>42975</v>
      </c>
      <c r="D3313" s="126" t="s">
        <v>524</v>
      </c>
      <c r="E3313" s="128">
        <v>19.488</v>
      </c>
      <c r="F3313" s="129">
        <f t="shared" si="155"/>
        <v>0.83749679999999993</v>
      </c>
      <c r="G3313" t="str">
        <f>_xlfn.XLOOKUP(D3313,'[1]2050 BAU Mapping to T &amp; C'!$A$3:$A$52,'[1]2050 BAU Mapping to T &amp; C'!$B$3:$B$52)</f>
        <v>Poultry</v>
      </c>
      <c r="H3313" s="129">
        <f>_xlfn.XLOOKUP(G3313,'[1]T&amp;C emissions for 2050 analysis'!$B$3:$B$23,'[1]T&amp;C emissions for 2050 analysis'!$C$3:$C$23)</f>
        <v>4.7666666666666666</v>
      </c>
      <c r="I3313" s="27">
        <f t="shared" si="153"/>
        <v>3.9920680799999997</v>
      </c>
      <c r="J3313" s="129">
        <f t="shared" si="154"/>
        <v>92.892799999999994</v>
      </c>
    </row>
    <row r="3314" spans="1:10" hidden="1" x14ac:dyDescent="0.35">
      <c r="A3314" s="126" t="s">
        <v>479</v>
      </c>
      <c r="B3314" t="str">
        <f>_xlfn.XLOOKUP(A3314,'[1]2050Pop'!$A$7:$A$143,'[1]2050Pop'!$D$7:$D$143)</f>
        <v>SSA</v>
      </c>
      <c r="C3314" s="127">
        <f>1000*_xlfn.XLOOKUP(A3314,'[1]2050Pop'!$A$7:$A$143,'[1]2050Pop'!$C$7:$C$143)</f>
        <v>29615</v>
      </c>
      <c r="D3314" s="126" t="s">
        <v>524</v>
      </c>
      <c r="E3314" s="128">
        <v>40.688000000000002</v>
      </c>
      <c r="F3314" s="129">
        <f t="shared" si="155"/>
        <v>1.2049751200000001</v>
      </c>
      <c r="G3314" t="str">
        <f>_xlfn.XLOOKUP(D3314,'[1]2050 BAU Mapping to T &amp; C'!$A$3:$A$52,'[1]2050 BAU Mapping to T &amp; C'!$B$3:$B$52)</f>
        <v>Poultry</v>
      </c>
      <c r="H3314" s="129">
        <f>_xlfn.XLOOKUP(G3314,'[1]T&amp;C emissions for 2050 analysis'!$B$3:$B$23,'[1]T&amp;C emissions for 2050 analysis'!$C$3:$C$23)</f>
        <v>4.7666666666666666</v>
      </c>
      <c r="I3314" s="27">
        <f t="shared" si="153"/>
        <v>5.7437147386666672</v>
      </c>
      <c r="J3314" s="129">
        <f t="shared" si="154"/>
        <v>193.94613333333334</v>
      </c>
    </row>
    <row r="3315" spans="1:10" hidden="1" x14ac:dyDescent="0.35">
      <c r="A3315" s="126" t="s">
        <v>355</v>
      </c>
      <c r="B3315" t="str">
        <f>_xlfn.XLOOKUP(A3315,'[1]2050Pop'!$A$7:$A$143,'[1]2050Pop'!$D$7:$D$143)</f>
        <v>India/South Asia</v>
      </c>
      <c r="C3315" s="127">
        <f>1000*_xlfn.XLOOKUP(A3315,'[1]2050Pop'!$A$7:$A$143,'[1]2050Pop'!$C$7:$C$143)</f>
        <v>55955</v>
      </c>
      <c r="D3315" s="126" t="s">
        <v>525</v>
      </c>
      <c r="E3315" s="128">
        <v>101.79900000000001</v>
      </c>
      <c r="F3315" s="129">
        <f t="shared" si="155"/>
        <v>5.6961630449999996</v>
      </c>
      <c r="G3315" t="str">
        <f>_xlfn.XLOOKUP(D3315,'[1]2050 BAU Mapping to T &amp; C'!$A$3:$A$52,'[1]2050 BAU Mapping to T &amp; C'!$B$3:$B$52)</f>
        <v>Sugar</v>
      </c>
      <c r="H3315" s="129">
        <f>_xlfn.XLOOKUP(G3315,'[1]T&amp;C emissions for 2050 analysis'!$B$3:$B$23,'[1]T&amp;C emissions for 2050 analysis'!$C$3:$C$23)</f>
        <v>7.3333333333333334E-2</v>
      </c>
      <c r="I3315" s="27">
        <f t="shared" si="153"/>
        <v>0.41771862329999998</v>
      </c>
      <c r="J3315" s="129">
        <f t="shared" si="154"/>
        <v>7.4652600000000007</v>
      </c>
    </row>
    <row r="3316" spans="1:10" hidden="1" x14ac:dyDescent="0.35">
      <c r="A3316" s="126" t="s">
        <v>357</v>
      </c>
      <c r="B3316" t="str">
        <f>_xlfn.XLOOKUP(A3316,'[1]2050Pop'!$A$7:$A$143,'[1]2050Pop'!$D$7:$D$143)</f>
        <v>Euro/AU/NZ</v>
      </c>
      <c r="C3316" s="127">
        <f>1000*_xlfn.XLOOKUP(A3316,'[1]2050Pop'!$A$7:$A$143,'[1]2050Pop'!$C$7:$C$143)</f>
        <v>2710</v>
      </c>
      <c r="D3316" s="126" t="s">
        <v>525</v>
      </c>
      <c r="E3316" s="130">
        <v>197.96</v>
      </c>
      <c r="F3316" s="129">
        <f t="shared" si="155"/>
        <v>0.53647159999999994</v>
      </c>
      <c r="G3316" t="str">
        <f>_xlfn.XLOOKUP(D3316,'[1]2050 BAU Mapping to T &amp; C'!$A$3:$A$52,'[1]2050 BAU Mapping to T &amp; C'!$B$3:$B$52)</f>
        <v>Sugar</v>
      </c>
      <c r="H3316" s="129">
        <f>_xlfn.XLOOKUP(G3316,'[1]T&amp;C emissions for 2050 analysis'!$B$3:$B$23,'[1]T&amp;C emissions for 2050 analysis'!$C$3:$C$23)</f>
        <v>7.3333333333333334E-2</v>
      </c>
      <c r="I3316" s="27">
        <f t="shared" si="153"/>
        <v>3.9341250666666661E-2</v>
      </c>
      <c r="J3316" s="129">
        <f t="shared" si="154"/>
        <v>14.517066666666667</v>
      </c>
    </row>
    <row r="3317" spans="1:10" hidden="1" x14ac:dyDescent="0.35">
      <c r="A3317" s="126" t="s">
        <v>358</v>
      </c>
      <c r="B3317" t="str">
        <f>_xlfn.XLOOKUP(A3317,'[1]2050Pop'!$A$7:$A$143,'[1]2050Pop'!$D$7:$D$143)</f>
        <v>MENA</v>
      </c>
      <c r="C3317" s="127">
        <f>1000*_xlfn.XLOOKUP(A3317,'[1]2050Pop'!$A$7:$A$143,'[1]2050Pop'!$C$7:$C$143)</f>
        <v>56461</v>
      </c>
      <c r="D3317" s="126" t="s">
        <v>525</v>
      </c>
      <c r="E3317" s="128">
        <v>294.024</v>
      </c>
      <c r="F3317" s="129">
        <f t="shared" si="155"/>
        <v>16.600889064</v>
      </c>
      <c r="G3317" t="str">
        <f>_xlfn.XLOOKUP(D3317,'[1]2050 BAU Mapping to T &amp; C'!$A$3:$A$52,'[1]2050 BAU Mapping to T &amp; C'!$B$3:$B$52)</f>
        <v>Sugar</v>
      </c>
      <c r="H3317" s="129">
        <f>_xlfn.XLOOKUP(G3317,'[1]T&amp;C emissions for 2050 analysis'!$B$3:$B$23,'[1]T&amp;C emissions for 2050 analysis'!$C$3:$C$23)</f>
        <v>7.3333333333333334E-2</v>
      </c>
      <c r="I3317" s="27">
        <f t="shared" si="153"/>
        <v>1.21739853136</v>
      </c>
      <c r="J3317" s="129">
        <f t="shared" si="154"/>
        <v>21.56176</v>
      </c>
    </row>
    <row r="3318" spans="1:10" hidden="1" x14ac:dyDescent="0.35">
      <c r="A3318" s="126" t="s">
        <v>359</v>
      </c>
      <c r="B3318" t="str">
        <f>_xlfn.XLOOKUP(A3318,'[1]2050Pop'!$A$7:$A$143,'[1]2050Pop'!$D$7:$D$143)</f>
        <v>SSA</v>
      </c>
      <c r="C3318" s="127">
        <f>1000*_xlfn.XLOOKUP(A3318,'[1]2050Pop'!$A$7:$A$143,'[1]2050Pop'!$C$7:$C$143)</f>
        <v>65473</v>
      </c>
      <c r="D3318" s="126" t="s">
        <v>525</v>
      </c>
      <c r="E3318" s="128">
        <v>120.26300000000001</v>
      </c>
      <c r="F3318" s="129">
        <f t="shared" si="155"/>
        <v>7.8739793990000004</v>
      </c>
      <c r="G3318" t="str">
        <f>_xlfn.XLOOKUP(D3318,'[1]2050 BAU Mapping to T &amp; C'!$A$3:$A$52,'[1]2050 BAU Mapping to T &amp; C'!$B$3:$B$52)</f>
        <v>Sugar</v>
      </c>
      <c r="H3318" s="129">
        <f>_xlfn.XLOOKUP(G3318,'[1]T&amp;C emissions for 2050 analysis'!$B$3:$B$23,'[1]T&amp;C emissions for 2050 analysis'!$C$3:$C$23)</f>
        <v>7.3333333333333334E-2</v>
      </c>
      <c r="I3318" s="27">
        <f t="shared" si="153"/>
        <v>0.57742515592666666</v>
      </c>
      <c r="J3318" s="129">
        <f t="shared" si="154"/>
        <v>8.8192866666666667</v>
      </c>
    </row>
    <row r="3319" spans="1:10" hidden="1" x14ac:dyDescent="0.35">
      <c r="A3319" s="126" t="s">
        <v>360</v>
      </c>
      <c r="B3319" t="str">
        <f>_xlfn.XLOOKUP(A3319,'[1]2050Pop'!$A$7:$A$143,'[1]2050Pop'!$D$7:$D$143)</f>
        <v>LatAm &amp; RSA</v>
      </c>
      <c r="C3319" s="127">
        <f>1000*_xlfn.XLOOKUP(A3319,'[1]2050Pop'!$A$7:$A$143,'[1]2050Pop'!$C$7:$C$143)</f>
        <v>55445</v>
      </c>
      <c r="D3319" s="126" t="s">
        <v>525</v>
      </c>
      <c r="E3319" s="128">
        <v>439.67399999999998</v>
      </c>
      <c r="F3319" s="129">
        <f t="shared" si="155"/>
        <v>24.377724929999999</v>
      </c>
      <c r="G3319" t="str">
        <f>_xlfn.XLOOKUP(D3319,'[1]2050 BAU Mapping to T &amp; C'!$A$3:$A$52,'[1]2050 BAU Mapping to T &amp; C'!$B$3:$B$52)</f>
        <v>Sugar</v>
      </c>
      <c r="H3319" s="129">
        <f>_xlfn.XLOOKUP(G3319,'[1]T&amp;C emissions for 2050 analysis'!$B$3:$B$23,'[1]T&amp;C emissions for 2050 analysis'!$C$3:$C$23)</f>
        <v>7.3333333333333334E-2</v>
      </c>
      <c r="I3319" s="27">
        <f t="shared" si="153"/>
        <v>1.7876998282000001</v>
      </c>
      <c r="J3319" s="129">
        <f t="shared" si="154"/>
        <v>32.242759999999997</v>
      </c>
    </row>
    <row r="3320" spans="1:10" hidden="1" x14ac:dyDescent="0.35">
      <c r="A3320" s="126" t="s">
        <v>361</v>
      </c>
      <c r="B3320" t="str">
        <f>_xlfn.XLOOKUP(A3320,'[1]2050Pop'!$A$7:$A$143,'[1]2050Pop'!$D$7:$D$143)</f>
        <v>MENA</v>
      </c>
      <c r="C3320" s="127">
        <f>1000*_xlfn.XLOOKUP(A3320,'[1]2050Pop'!$A$7:$A$143,'[1]2050Pop'!$C$7:$C$143)</f>
        <v>2729</v>
      </c>
      <c r="D3320" s="126" t="s">
        <v>525</v>
      </c>
      <c r="E3320" s="128">
        <v>385.30900000000003</v>
      </c>
      <c r="F3320" s="129">
        <f t="shared" si="155"/>
        <v>1.0515082610000002</v>
      </c>
      <c r="G3320" t="str">
        <f>_xlfn.XLOOKUP(D3320,'[1]2050 BAU Mapping to T &amp; C'!$A$3:$A$52,'[1]2050 BAU Mapping to T &amp; C'!$B$3:$B$52)</f>
        <v>Sugar</v>
      </c>
      <c r="H3320" s="129">
        <f>_xlfn.XLOOKUP(G3320,'[1]T&amp;C emissions for 2050 analysis'!$B$3:$B$23,'[1]T&amp;C emissions for 2050 analysis'!$C$3:$C$23)</f>
        <v>7.3333333333333334E-2</v>
      </c>
      <c r="I3320" s="27">
        <f t="shared" si="153"/>
        <v>7.7110605806666677E-2</v>
      </c>
      <c r="J3320" s="129">
        <f t="shared" si="154"/>
        <v>28.255993333333336</v>
      </c>
    </row>
    <row r="3321" spans="1:10" hidden="1" x14ac:dyDescent="0.35">
      <c r="A3321" s="126" t="s">
        <v>362</v>
      </c>
      <c r="B3321" t="str">
        <f>_xlfn.XLOOKUP(A3321,'[1]2050Pop'!$A$7:$A$143,'[1]2050Pop'!$D$7:$D$143)</f>
        <v>Euro/AU/NZ</v>
      </c>
      <c r="C3321" s="127">
        <f>1000*_xlfn.XLOOKUP(A3321,'[1]2050Pop'!$A$7:$A$143,'[1]2050Pop'!$C$7:$C$143)</f>
        <v>33496</v>
      </c>
      <c r="D3321" s="126" t="s">
        <v>525</v>
      </c>
      <c r="E3321" s="128">
        <v>414.75299999999999</v>
      </c>
      <c r="F3321" s="129">
        <f t="shared" si="155"/>
        <v>13.892566488</v>
      </c>
      <c r="G3321" t="str">
        <f>_xlfn.XLOOKUP(D3321,'[1]2050 BAU Mapping to T &amp; C'!$A$3:$A$52,'[1]2050 BAU Mapping to T &amp; C'!$B$3:$B$52)</f>
        <v>Sugar</v>
      </c>
      <c r="H3321" s="129">
        <f>_xlfn.XLOOKUP(G3321,'[1]T&amp;C emissions for 2050 analysis'!$B$3:$B$23,'[1]T&amp;C emissions for 2050 analysis'!$C$3:$C$23)</f>
        <v>7.3333333333333334E-2</v>
      </c>
      <c r="I3321" s="27">
        <f t="shared" si="153"/>
        <v>1.01878820912</v>
      </c>
      <c r="J3321" s="129">
        <f t="shared" si="154"/>
        <v>30.415219999999998</v>
      </c>
    </row>
    <row r="3322" spans="1:10" hidden="1" x14ac:dyDescent="0.35">
      <c r="A3322" s="126" t="s">
        <v>363</v>
      </c>
      <c r="B3322" t="str">
        <f>_xlfn.XLOOKUP(A3322,'[1]2050Pop'!$A$7:$A$143,'[1]2050Pop'!$D$7:$D$143)</f>
        <v>Euro/AU/NZ</v>
      </c>
      <c r="C3322" s="127">
        <f>1000*_xlfn.XLOOKUP(A3322,'[1]2050Pop'!$A$7:$A$143,'[1]2050Pop'!$C$7:$C$143)</f>
        <v>8846</v>
      </c>
      <c r="D3322" s="126" t="s">
        <v>525</v>
      </c>
      <c r="E3322" s="128">
        <v>423.625</v>
      </c>
      <c r="F3322" s="129">
        <f t="shared" si="155"/>
        <v>3.74738675</v>
      </c>
      <c r="G3322" t="str">
        <f>_xlfn.XLOOKUP(D3322,'[1]2050 BAU Mapping to T &amp; C'!$A$3:$A$52,'[1]2050 BAU Mapping to T &amp; C'!$B$3:$B$52)</f>
        <v>Sugar</v>
      </c>
      <c r="H3322" s="129">
        <f>_xlfn.XLOOKUP(G3322,'[1]T&amp;C emissions for 2050 analysis'!$B$3:$B$23,'[1]T&amp;C emissions for 2050 analysis'!$C$3:$C$23)</f>
        <v>7.3333333333333334E-2</v>
      </c>
      <c r="I3322" s="27">
        <f t="shared" si="153"/>
        <v>0.27480836166666667</v>
      </c>
      <c r="J3322" s="129">
        <f t="shared" si="154"/>
        <v>31.065833333333334</v>
      </c>
    </row>
    <row r="3323" spans="1:10" hidden="1" x14ac:dyDescent="0.35">
      <c r="A3323" s="126" t="s">
        <v>364</v>
      </c>
      <c r="B3323" t="str">
        <f>_xlfn.XLOOKUP(A3323,'[1]2050Pop'!$A$7:$A$143,'[1]2050Pop'!$D$7:$D$143)</f>
        <v>MENA</v>
      </c>
      <c r="C3323" s="127">
        <f>1000*_xlfn.XLOOKUP(A3323,'[1]2050Pop'!$A$7:$A$143,'[1]2050Pop'!$C$7:$C$143)</f>
        <v>10963</v>
      </c>
      <c r="D3323" s="126" t="s">
        <v>525</v>
      </c>
      <c r="E3323" s="128">
        <v>182.494</v>
      </c>
      <c r="F3323" s="129">
        <f t="shared" si="155"/>
        <v>2.0006817219999999</v>
      </c>
      <c r="G3323" t="str">
        <f>_xlfn.XLOOKUP(D3323,'[1]2050 BAU Mapping to T &amp; C'!$A$3:$A$52,'[1]2050 BAU Mapping to T &amp; C'!$B$3:$B$52)</f>
        <v>Sugar</v>
      </c>
      <c r="H3323" s="129">
        <f>_xlfn.XLOOKUP(G3323,'[1]T&amp;C emissions for 2050 analysis'!$B$3:$B$23,'[1]T&amp;C emissions for 2050 analysis'!$C$3:$C$23)</f>
        <v>7.3333333333333334E-2</v>
      </c>
      <c r="I3323" s="27">
        <f t="shared" si="153"/>
        <v>0.14671665961333333</v>
      </c>
      <c r="J3323" s="129">
        <f t="shared" si="154"/>
        <v>13.382893333333334</v>
      </c>
    </row>
    <row r="3324" spans="1:10" hidden="1" x14ac:dyDescent="0.35">
      <c r="A3324" s="126" t="s">
        <v>365</v>
      </c>
      <c r="B3324" t="str">
        <f>_xlfn.XLOOKUP(A3324,'[1]2050Pop'!$A$7:$A$143,'[1]2050Pop'!$D$7:$D$143)</f>
        <v>India/South Asia</v>
      </c>
      <c r="C3324" s="127">
        <f>1000*_xlfn.XLOOKUP(A3324,'[1]2050Pop'!$A$7:$A$143,'[1]2050Pop'!$C$7:$C$143)</f>
        <v>202209</v>
      </c>
      <c r="D3324" s="126" t="s">
        <v>525</v>
      </c>
      <c r="E3324" s="128">
        <v>94.486000000000004</v>
      </c>
      <c r="F3324" s="129">
        <f t="shared" si="155"/>
        <v>19.105919574000001</v>
      </c>
      <c r="G3324" t="str">
        <f>_xlfn.XLOOKUP(D3324,'[1]2050 BAU Mapping to T &amp; C'!$A$3:$A$52,'[1]2050 BAU Mapping to T &amp; C'!$B$3:$B$52)</f>
        <v>Sugar</v>
      </c>
      <c r="H3324" s="129">
        <f>_xlfn.XLOOKUP(G3324,'[1]T&amp;C emissions for 2050 analysis'!$B$3:$B$23,'[1]T&amp;C emissions for 2050 analysis'!$C$3:$C$23)</f>
        <v>7.3333333333333334E-2</v>
      </c>
      <c r="I3324" s="27">
        <f t="shared" si="153"/>
        <v>1.4011007687600001</v>
      </c>
      <c r="J3324" s="129">
        <f t="shared" si="154"/>
        <v>6.9289733333333334</v>
      </c>
    </row>
    <row r="3325" spans="1:10" hidden="1" x14ac:dyDescent="0.35">
      <c r="A3325" s="126" t="s">
        <v>366</v>
      </c>
      <c r="B3325" t="str">
        <f>_xlfn.XLOOKUP(A3325,'[1]2050Pop'!$A$7:$A$143,'[1]2050Pop'!$D$7:$D$143)</f>
        <v>Euro/AU/NZ</v>
      </c>
      <c r="C3325" s="127">
        <f>1000*_xlfn.XLOOKUP(A3325,'[1]2050Pop'!$A$7:$A$143,'[1]2050Pop'!$C$7:$C$143)</f>
        <v>8125</v>
      </c>
      <c r="D3325" s="126" t="s">
        <v>525</v>
      </c>
      <c r="E3325" s="128">
        <v>339.40800000000002</v>
      </c>
      <c r="F3325" s="129">
        <f t="shared" si="155"/>
        <v>2.7576900000000002</v>
      </c>
      <c r="G3325" t="str">
        <f>_xlfn.XLOOKUP(D3325,'[1]2050 BAU Mapping to T &amp; C'!$A$3:$A$52,'[1]2050 BAU Mapping to T &amp; C'!$B$3:$B$52)</f>
        <v>Sugar</v>
      </c>
      <c r="H3325" s="129">
        <f>_xlfn.XLOOKUP(G3325,'[1]T&amp;C emissions for 2050 analysis'!$B$3:$B$23,'[1]T&amp;C emissions for 2050 analysis'!$C$3:$C$23)</f>
        <v>7.3333333333333334E-2</v>
      </c>
      <c r="I3325" s="27">
        <f t="shared" si="153"/>
        <v>0.20223060000000001</v>
      </c>
      <c r="J3325" s="129">
        <f t="shared" si="154"/>
        <v>24.88992</v>
      </c>
    </row>
    <row r="3326" spans="1:10" hidden="1" x14ac:dyDescent="0.35">
      <c r="A3326" s="126" t="s">
        <v>367</v>
      </c>
      <c r="B3326" t="str">
        <f>_xlfn.XLOOKUP(A3326,'[1]2050Pop'!$A$7:$A$143,'[1]2050Pop'!$D$7:$D$143)</f>
        <v>Euro/AU/NZ</v>
      </c>
      <c r="C3326" s="127">
        <f>1000*_xlfn.XLOOKUP(A3326,'[1]2050Pop'!$A$7:$A$143,'[1]2050Pop'!$C$7:$C$143)</f>
        <v>12527</v>
      </c>
      <c r="D3326" s="126" t="s">
        <v>525</v>
      </c>
      <c r="E3326" s="128">
        <v>487.54599999999999</v>
      </c>
      <c r="F3326" s="129">
        <f t="shared" si="155"/>
        <v>6.1074887419999992</v>
      </c>
      <c r="G3326" t="str">
        <f>_xlfn.XLOOKUP(D3326,'[1]2050 BAU Mapping to T &amp; C'!$A$3:$A$52,'[1]2050 BAU Mapping to T &amp; C'!$B$3:$B$52)</f>
        <v>Sugar</v>
      </c>
      <c r="H3326" s="129">
        <f>_xlfn.XLOOKUP(G3326,'[1]T&amp;C emissions for 2050 analysis'!$B$3:$B$23,'[1]T&amp;C emissions for 2050 analysis'!$C$3:$C$23)</f>
        <v>7.3333333333333334E-2</v>
      </c>
      <c r="I3326" s="27">
        <f t="shared" si="153"/>
        <v>0.4478825077466666</v>
      </c>
      <c r="J3326" s="129">
        <f t="shared" si="154"/>
        <v>35.753373333333336</v>
      </c>
    </row>
    <row r="3327" spans="1:10" hidden="1" x14ac:dyDescent="0.35">
      <c r="A3327" s="126" t="s">
        <v>368</v>
      </c>
      <c r="B3327" t="str">
        <f>_xlfn.XLOOKUP(A3327,'[1]2050Pop'!$A$7:$A$143,'[1]2050Pop'!$D$7:$D$143)</f>
        <v>SSA</v>
      </c>
      <c r="C3327" s="127">
        <f>1000*_xlfn.XLOOKUP(A3327,'[1]2050Pop'!$A$7:$A$143,'[1]2050Pop'!$C$7:$C$143)</f>
        <v>22549</v>
      </c>
      <c r="D3327" s="126" t="s">
        <v>525</v>
      </c>
      <c r="E3327" s="128">
        <v>80.483999999999995</v>
      </c>
      <c r="F3327" s="129">
        <f t="shared" si="155"/>
        <v>1.8148337159999999</v>
      </c>
      <c r="G3327" t="str">
        <f>_xlfn.XLOOKUP(D3327,'[1]2050 BAU Mapping to T &amp; C'!$A$3:$A$52,'[1]2050 BAU Mapping to T &amp; C'!$B$3:$B$52)</f>
        <v>Sugar</v>
      </c>
      <c r="H3327" s="129">
        <f>_xlfn.XLOOKUP(G3327,'[1]T&amp;C emissions for 2050 analysis'!$B$3:$B$23,'[1]T&amp;C emissions for 2050 analysis'!$C$3:$C$23)</f>
        <v>7.3333333333333334E-2</v>
      </c>
      <c r="I3327" s="27">
        <f t="shared" si="153"/>
        <v>0.13308780583999999</v>
      </c>
      <c r="J3327" s="129">
        <f t="shared" si="154"/>
        <v>5.9021599999999994</v>
      </c>
    </row>
    <row r="3328" spans="1:10" hidden="1" x14ac:dyDescent="0.35">
      <c r="A3328" s="126" t="s">
        <v>369</v>
      </c>
      <c r="B3328" t="str">
        <f>_xlfn.XLOOKUP(A3328,'[1]2050Pop'!$A$7:$A$143,'[1]2050Pop'!$D$7:$D$143)</f>
        <v>LatAm &amp; RSA</v>
      </c>
      <c r="C3328" s="127">
        <f>1000*_xlfn.XLOOKUP(A3328,'[1]2050Pop'!$A$7:$A$143,'[1]2050Pop'!$C$7:$C$143)</f>
        <v>15963</v>
      </c>
      <c r="D3328" s="126" t="s">
        <v>525</v>
      </c>
      <c r="E3328" s="128">
        <v>322.57799999999997</v>
      </c>
      <c r="F3328" s="129">
        <f t="shared" si="155"/>
        <v>5.1493126139999994</v>
      </c>
      <c r="G3328" t="str">
        <f>_xlfn.XLOOKUP(D3328,'[1]2050 BAU Mapping to T &amp; C'!$A$3:$A$52,'[1]2050 BAU Mapping to T &amp; C'!$B$3:$B$52)</f>
        <v>Sugar</v>
      </c>
      <c r="H3328" s="129">
        <f>_xlfn.XLOOKUP(G3328,'[1]T&amp;C emissions for 2050 analysis'!$B$3:$B$23,'[1]T&amp;C emissions for 2050 analysis'!$C$3:$C$23)</f>
        <v>7.3333333333333334E-2</v>
      </c>
      <c r="I3328" s="27">
        <f t="shared" si="153"/>
        <v>0.37761625835999996</v>
      </c>
      <c r="J3328" s="129">
        <f t="shared" si="154"/>
        <v>23.655719999999999</v>
      </c>
    </row>
    <row r="3329" spans="1:10" hidden="1" x14ac:dyDescent="0.35">
      <c r="A3329" s="126" t="s">
        <v>370</v>
      </c>
      <c r="B3329" t="str">
        <f>_xlfn.XLOOKUP(A3329,'[1]2050Pop'!$A$7:$A$143,'[1]2050Pop'!$D$7:$D$143)</f>
        <v>Euro/AU/NZ</v>
      </c>
      <c r="C3329" s="127">
        <f>1000*_xlfn.XLOOKUP(A3329,'[1]2050Pop'!$A$7:$A$143,'[1]2050Pop'!$C$7:$C$143)</f>
        <v>3069</v>
      </c>
      <c r="D3329" s="126" t="s">
        <v>525</v>
      </c>
      <c r="E3329" s="128">
        <v>188.904</v>
      </c>
      <c r="F3329" s="129">
        <f t="shared" si="155"/>
        <v>0.5797463759999999</v>
      </c>
      <c r="G3329" t="str">
        <f>_xlfn.XLOOKUP(D3329,'[1]2050 BAU Mapping to T &amp; C'!$A$3:$A$52,'[1]2050 BAU Mapping to T &amp; C'!$B$3:$B$52)</f>
        <v>Sugar</v>
      </c>
      <c r="H3329" s="129">
        <f>_xlfn.XLOOKUP(G3329,'[1]T&amp;C emissions for 2050 analysis'!$B$3:$B$23,'[1]T&amp;C emissions for 2050 analysis'!$C$3:$C$23)</f>
        <v>7.3333333333333334E-2</v>
      </c>
      <c r="I3329" s="27">
        <f t="shared" si="153"/>
        <v>4.2514734239999991E-2</v>
      </c>
      <c r="J3329" s="129">
        <f t="shared" si="154"/>
        <v>13.852959999999999</v>
      </c>
    </row>
    <row r="3330" spans="1:10" hidden="1" x14ac:dyDescent="0.35">
      <c r="A3330" s="126" t="s">
        <v>371</v>
      </c>
      <c r="B3330" t="str">
        <f>_xlfn.XLOOKUP(A3330,'[1]2050Pop'!$A$7:$A$143,'[1]2050Pop'!$D$7:$D$143)</f>
        <v>SSA</v>
      </c>
      <c r="C3330" s="127">
        <f>1000*_xlfn.XLOOKUP(A3330,'[1]2050Pop'!$A$7:$A$143,'[1]2050Pop'!$C$7:$C$143)</f>
        <v>3389</v>
      </c>
      <c r="D3330" s="126" t="s">
        <v>525</v>
      </c>
      <c r="E3330" s="128">
        <v>286.32100000000003</v>
      </c>
      <c r="F3330" s="129">
        <f t="shared" si="155"/>
        <v>0.97034186900000008</v>
      </c>
      <c r="G3330" t="str">
        <f>_xlfn.XLOOKUP(D3330,'[1]2050 BAU Mapping to T &amp; C'!$A$3:$A$52,'[1]2050 BAU Mapping to T &amp; C'!$B$3:$B$52)</f>
        <v>Sugar</v>
      </c>
      <c r="H3330" s="129">
        <f>_xlfn.XLOOKUP(G3330,'[1]T&amp;C emissions for 2050 analysis'!$B$3:$B$23,'[1]T&amp;C emissions for 2050 analysis'!$C$3:$C$23)</f>
        <v>7.3333333333333334E-2</v>
      </c>
      <c r="I3330" s="27">
        <f t="shared" si="153"/>
        <v>7.1158403726666666E-2</v>
      </c>
      <c r="J3330" s="129">
        <f t="shared" si="154"/>
        <v>20.996873333333337</v>
      </c>
    </row>
    <row r="3331" spans="1:10" hidden="1" x14ac:dyDescent="0.35">
      <c r="A3331" s="126" t="s">
        <v>372</v>
      </c>
      <c r="B3331" t="str">
        <f>_xlfn.XLOOKUP(A3331,'[1]2050Pop'!$A$7:$A$143,'[1]2050Pop'!$D$7:$D$143)</f>
        <v>LatAm &amp; RSA</v>
      </c>
      <c r="C3331" s="127">
        <f>1000*_xlfn.XLOOKUP(A3331,'[1]2050Pop'!$A$7:$A$143,'[1]2050Pop'!$C$7:$C$143)</f>
        <v>238270</v>
      </c>
      <c r="D3331" s="126" t="s">
        <v>525</v>
      </c>
      <c r="E3331" s="130">
        <v>457.55</v>
      </c>
      <c r="F3331" s="129">
        <f t="shared" si="155"/>
        <v>109.0204385</v>
      </c>
      <c r="G3331" t="str">
        <f>_xlfn.XLOOKUP(D3331,'[1]2050 BAU Mapping to T &amp; C'!$A$3:$A$52,'[1]2050 BAU Mapping to T &amp; C'!$B$3:$B$52)</f>
        <v>Sugar</v>
      </c>
      <c r="H3331" s="129">
        <f>_xlfn.XLOOKUP(G3331,'[1]T&amp;C emissions for 2050 analysis'!$B$3:$B$23,'[1]T&amp;C emissions for 2050 analysis'!$C$3:$C$23)</f>
        <v>7.3333333333333334E-2</v>
      </c>
      <c r="I3331" s="27">
        <f t="shared" si="153"/>
        <v>7.9948321566666669</v>
      </c>
      <c r="J3331" s="129">
        <f t="shared" si="154"/>
        <v>33.553666666666665</v>
      </c>
    </row>
    <row r="3332" spans="1:10" hidden="1" x14ac:dyDescent="0.35">
      <c r="A3332" s="126" t="s">
        <v>373</v>
      </c>
      <c r="B3332" t="str">
        <f>_xlfn.XLOOKUP(A3332,'[1]2050Pop'!$A$7:$A$143,'[1]2050Pop'!$D$7:$D$143)</f>
        <v>Euro/AU/NZ</v>
      </c>
      <c r="C3332" s="127">
        <f>1000*_xlfn.XLOOKUP(A3332,'[1]2050Pop'!$A$7:$A$143,'[1]2050Pop'!$C$7:$C$143)</f>
        <v>5154</v>
      </c>
      <c r="D3332" s="126" t="s">
        <v>525</v>
      </c>
      <c r="E3332" s="130">
        <v>294.97000000000003</v>
      </c>
      <c r="F3332" s="129">
        <f t="shared" si="155"/>
        <v>1.5202753800000002</v>
      </c>
      <c r="G3332" t="str">
        <f>_xlfn.XLOOKUP(D3332,'[1]2050 BAU Mapping to T &amp; C'!$A$3:$A$52,'[1]2050 BAU Mapping to T &amp; C'!$B$3:$B$52)</f>
        <v>Sugar</v>
      </c>
      <c r="H3332" s="129">
        <f>_xlfn.XLOOKUP(G3332,'[1]T&amp;C emissions for 2050 analysis'!$B$3:$B$23,'[1]T&amp;C emissions for 2050 analysis'!$C$3:$C$23)</f>
        <v>7.3333333333333334E-2</v>
      </c>
      <c r="I3332" s="27">
        <f t="shared" ref="I3332:I3395" si="156">F3332*H3332</f>
        <v>0.11148686120000001</v>
      </c>
      <c r="J3332" s="129">
        <f t="shared" ref="J3332:J3395" si="157">E3332*H3332</f>
        <v>21.631133333333334</v>
      </c>
    </row>
    <row r="3333" spans="1:10" hidden="1" x14ac:dyDescent="0.35">
      <c r="A3333" s="126" t="s">
        <v>487</v>
      </c>
      <c r="B3333" t="str">
        <f>_xlfn.XLOOKUP(A3333,'[1]2050Pop'!$A$7:$A$143,'[1]2050Pop'!$D$7:$D$143)</f>
        <v>SSA</v>
      </c>
      <c r="C3333" s="127">
        <f>1000*_xlfn.XLOOKUP(A3333,'[1]2050Pop'!$A$7:$A$143,'[1]2050Pop'!$C$7:$C$143)</f>
        <v>42789</v>
      </c>
      <c r="D3333" s="126" t="s">
        <v>525</v>
      </c>
      <c r="E3333" s="128">
        <v>84.158000000000001</v>
      </c>
      <c r="F3333" s="129">
        <f t="shared" ref="F3333:F3396" si="158">C3333*E3333/1000000</f>
        <v>3.6010366619999998</v>
      </c>
      <c r="G3333" t="str">
        <f>_xlfn.XLOOKUP(D3333,'[1]2050 BAU Mapping to T &amp; C'!$A$3:$A$52,'[1]2050 BAU Mapping to T &amp; C'!$B$3:$B$52)</f>
        <v>Sugar</v>
      </c>
      <c r="H3333" s="129">
        <f>_xlfn.XLOOKUP(G3333,'[1]T&amp;C emissions for 2050 analysis'!$B$3:$B$23,'[1]T&amp;C emissions for 2050 analysis'!$C$3:$C$23)</f>
        <v>7.3333333333333334E-2</v>
      </c>
      <c r="I3333" s="27">
        <f t="shared" si="156"/>
        <v>0.26407602188000001</v>
      </c>
      <c r="J3333" s="129">
        <f t="shared" si="157"/>
        <v>6.1715866666666672</v>
      </c>
    </row>
    <row r="3334" spans="1:10" hidden="1" x14ac:dyDescent="0.35">
      <c r="A3334" s="126" t="s">
        <v>374</v>
      </c>
      <c r="B3334" t="str">
        <f>_xlfn.XLOOKUP(A3334,'[1]2050Pop'!$A$7:$A$143,'[1]2050Pop'!$D$7:$D$143)</f>
        <v>APAC</v>
      </c>
      <c r="C3334" s="127">
        <f>1000*_xlfn.XLOOKUP(A3334,'[1]2050Pop'!$A$7:$A$143,'[1]2050Pop'!$C$7:$C$143)</f>
        <v>22545</v>
      </c>
      <c r="D3334" s="126" t="s">
        <v>525</v>
      </c>
      <c r="E3334" s="128">
        <v>201.202</v>
      </c>
      <c r="F3334" s="129">
        <f t="shared" si="158"/>
        <v>4.5360990899999996</v>
      </c>
      <c r="G3334" t="str">
        <f>_xlfn.XLOOKUP(D3334,'[1]2050 BAU Mapping to T &amp; C'!$A$3:$A$52,'[1]2050 BAU Mapping to T &amp; C'!$B$3:$B$52)</f>
        <v>Sugar</v>
      </c>
      <c r="H3334" s="129">
        <f>_xlfn.XLOOKUP(G3334,'[1]T&amp;C emissions for 2050 analysis'!$B$3:$B$23,'[1]T&amp;C emissions for 2050 analysis'!$C$3:$C$23)</f>
        <v>7.3333333333333334E-2</v>
      </c>
      <c r="I3334" s="27">
        <f t="shared" si="156"/>
        <v>0.33264726659999999</v>
      </c>
      <c r="J3334" s="129">
        <f t="shared" si="157"/>
        <v>14.754813333333333</v>
      </c>
    </row>
    <row r="3335" spans="1:10" hidden="1" x14ac:dyDescent="0.35">
      <c r="A3335" s="126" t="s">
        <v>375</v>
      </c>
      <c r="B3335" t="str">
        <f>_xlfn.XLOOKUP(A3335,'[1]2050Pop'!$A$7:$A$143,'[1]2050Pop'!$D$7:$D$143)</f>
        <v>SSA</v>
      </c>
      <c r="C3335" s="127">
        <f>1000*_xlfn.XLOOKUP(A3335,'[1]2050Pop'!$A$7:$A$143,'[1]2050Pop'!$C$7:$C$143)</f>
        <v>48362</v>
      </c>
      <c r="D3335" s="126" t="s">
        <v>525</v>
      </c>
      <c r="E3335" s="128">
        <v>118.69199999999999</v>
      </c>
      <c r="F3335" s="129">
        <f t="shared" si="158"/>
        <v>5.7401825039999999</v>
      </c>
      <c r="G3335" t="str">
        <f>_xlfn.XLOOKUP(D3335,'[1]2050 BAU Mapping to T &amp; C'!$A$3:$A$52,'[1]2050 BAU Mapping to T &amp; C'!$B$3:$B$52)</f>
        <v>Sugar</v>
      </c>
      <c r="H3335" s="129">
        <f>_xlfn.XLOOKUP(G3335,'[1]T&amp;C emissions for 2050 analysis'!$B$3:$B$23,'[1]T&amp;C emissions for 2050 analysis'!$C$3:$C$23)</f>
        <v>7.3333333333333334E-2</v>
      </c>
      <c r="I3335" s="27">
        <f t="shared" si="156"/>
        <v>0.42094671695999997</v>
      </c>
      <c r="J3335" s="129">
        <f t="shared" si="157"/>
        <v>8.7040799999999994</v>
      </c>
    </row>
    <row r="3336" spans="1:10" hidden="1" x14ac:dyDescent="0.35">
      <c r="A3336" s="126" t="s">
        <v>376</v>
      </c>
      <c r="B3336" t="str">
        <f>_xlfn.XLOOKUP(A3336,'[1]2050Pop'!$A$7:$A$143,'[1]2050Pop'!$D$7:$D$143)</f>
        <v>NAm</v>
      </c>
      <c r="C3336" s="127">
        <f>1000*_xlfn.XLOOKUP(A3336,'[1]2050Pop'!$A$7:$A$143,'[1]2050Pop'!$C$7:$C$143)</f>
        <v>44136</v>
      </c>
      <c r="D3336" s="126" t="s">
        <v>525</v>
      </c>
      <c r="E3336" s="128">
        <v>366.29599999999999</v>
      </c>
      <c r="F3336" s="129">
        <f t="shared" si="158"/>
        <v>16.166840256</v>
      </c>
      <c r="G3336" t="str">
        <f>_xlfn.XLOOKUP(D3336,'[1]2050 BAU Mapping to T &amp; C'!$A$3:$A$52,'[1]2050 BAU Mapping to T &amp; C'!$B$3:$B$52)</f>
        <v>Sugar</v>
      </c>
      <c r="H3336" s="129">
        <f>_xlfn.XLOOKUP(G3336,'[1]T&amp;C emissions for 2050 analysis'!$B$3:$B$23,'[1]T&amp;C emissions for 2050 analysis'!$C$3:$C$23)</f>
        <v>7.3333333333333334E-2</v>
      </c>
      <c r="I3336" s="27">
        <f t="shared" si="156"/>
        <v>1.18556828544</v>
      </c>
      <c r="J3336" s="129">
        <f t="shared" si="157"/>
        <v>26.861706666666667</v>
      </c>
    </row>
    <row r="3337" spans="1:10" hidden="1" x14ac:dyDescent="0.35">
      <c r="A3337" s="126" t="s">
        <v>377</v>
      </c>
      <c r="B3337" t="str">
        <f>_xlfn.XLOOKUP(A3337,'[1]2050Pop'!$A$7:$A$143,'[1]2050Pop'!$D$7:$D$143)</f>
        <v>SSA</v>
      </c>
      <c r="C3337" s="127">
        <f>1000*_xlfn.XLOOKUP(A3337,'[1]2050Pop'!$A$7:$A$143,'[1]2050Pop'!$C$7:$C$143)</f>
        <v>8782</v>
      </c>
      <c r="D3337" s="126" t="s">
        <v>525</v>
      </c>
      <c r="E3337" s="128">
        <v>62.121000000000002</v>
      </c>
      <c r="F3337" s="129">
        <f t="shared" si="158"/>
        <v>0.54554662199999993</v>
      </c>
      <c r="G3337" t="str">
        <f>_xlfn.XLOOKUP(D3337,'[1]2050 BAU Mapping to T &amp; C'!$A$3:$A$52,'[1]2050 BAU Mapping to T &amp; C'!$B$3:$B$52)</f>
        <v>Sugar</v>
      </c>
      <c r="H3337" s="129">
        <f>_xlfn.XLOOKUP(G3337,'[1]T&amp;C emissions for 2050 analysis'!$B$3:$B$23,'[1]T&amp;C emissions for 2050 analysis'!$C$3:$C$23)</f>
        <v>7.3333333333333334E-2</v>
      </c>
      <c r="I3337" s="27">
        <f t="shared" si="156"/>
        <v>4.0006752279999995E-2</v>
      </c>
      <c r="J3337" s="129">
        <f t="shared" si="157"/>
        <v>4.5555400000000006</v>
      </c>
    </row>
    <row r="3338" spans="1:10" hidden="1" x14ac:dyDescent="0.35">
      <c r="A3338" s="126" t="s">
        <v>488</v>
      </c>
      <c r="B3338" t="str">
        <f>_xlfn.XLOOKUP(A3338,'[1]2050Pop'!$A$7:$A$143,'[1]2050Pop'!$D$7:$D$143)</f>
        <v>SSA</v>
      </c>
      <c r="C3338" s="127">
        <f>1000*_xlfn.XLOOKUP(A3338,'[1]2050Pop'!$A$7:$A$143,'[1]2050Pop'!$C$7:$C$143)</f>
        <v>35131</v>
      </c>
      <c r="D3338" s="126" t="s">
        <v>525</v>
      </c>
      <c r="E3338" s="128">
        <v>121.965</v>
      </c>
      <c r="F3338" s="129">
        <f t="shared" si="158"/>
        <v>4.2847524149999998</v>
      </c>
      <c r="G3338" t="str">
        <f>_xlfn.XLOOKUP(D3338,'[1]2050 BAU Mapping to T &amp; C'!$A$3:$A$52,'[1]2050 BAU Mapping to T &amp; C'!$B$3:$B$52)</f>
        <v>Sugar</v>
      </c>
      <c r="H3338" s="129">
        <f>_xlfn.XLOOKUP(G3338,'[1]T&amp;C emissions for 2050 analysis'!$B$3:$B$23,'[1]T&amp;C emissions for 2050 analysis'!$C$3:$C$23)</f>
        <v>7.3333333333333334E-2</v>
      </c>
      <c r="I3338" s="27">
        <f t="shared" si="156"/>
        <v>0.31421517709999996</v>
      </c>
      <c r="J3338" s="129">
        <f t="shared" si="157"/>
        <v>8.9441000000000006</v>
      </c>
    </row>
    <row r="3339" spans="1:10" hidden="1" x14ac:dyDescent="0.35">
      <c r="A3339" s="126" t="s">
        <v>378</v>
      </c>
      <c r="B3339" t="str">
        <f>_xlfn.XLOOKUP(A3339,'[1]2050Pop'!$A$7:$A$143,'[1]2050Pop'!$D$7:$D$143)</f>
        <v>LatAm &amp; RSA</v>
      </c>
      <c r="C3339" s="127">
        <f>1000*_xlfn.XLOOKUP(A3339,'[1]2050Pop'!$A$7:$A$143,'[1]2050Pop'!$C$7:$C$143)</f>
        <v>21601</v>
      </c>
      <c r="D3339" s="126" t="s">
        <v>525</v>
      </c>
      <c r="E3339" s="128">
        <v>493.97199999999998</v>
      </c>
      <c r="F3339" s="129">
        <f t="shared" si="158"/>
        <v>10.670289172</v>
      </c>
      <c r="G3339" t="str">
        <f>_xlfn.XLOOKUP(D3339,'[1]2050 BAU Mapping to T &amp; C'!$A$3:$A$52,'[1]2050 BAU Mapping to T &amp; C'!$B$3:$B$52)</f>
        <v>Sugar</v>
      </c>
      <c r="H3339" s="129">
        <f>_xlfn.XLOOKUP(G3339,'[1]T&amp;C emissions for 2050 analysis'!$B$3:$B$23,'[1]T&amp;C emissions for 2050 analysis'!$C$3:$C$23)</f>
        <v>7.3333333333333334E-2</v>
      </c>
      <c r="I3339" s="27">
        <f t="shared" si="156"/>
        <v>0.78248787261333341</v>
      </c>
      <c r="J3339" s="129">
        <f t="shared" si="157"/>
        <v>36.22461333333333</v>
      </c>
    </row>
    <row r="3340" spans="1:10" hidden="1" x14ac:dyDescent="0.35">
      <c r="A3340" s="126" t="s">
        <v>379</v>
      </c>
      <c r="B3340" t="str">
        <f>_xlfn.XLOOKUP(A3340,'[1]2050Pop'!$A$7:$A$143,'[1]2050Pop'!$D$7:$D$143)</f>
        <v>Greater China</v>
      </c>
      <c r="C3340" s="127">
        <f>1000*_xlfn.XLOOKUP(A3340,'[1]2050Pop'!$A$7:$A$143,'[1]2050Pop'!$C$7:$C$143)</f>
        <v>8148</v>
      </c>
      <c r="D3340" s="126" t="s">
        <v>525</v>
      </c>
      <c r="E3340" s="128">
        <v>309.17099999999999</v>
      </c>
      <c r="F3340" s="129">
        <f t="shared" si="158"/>
        <v>2.5191253079999996</v>
      </c>
      <c r="G3340" t="str">
        <f>_xlfn.XLOOKUP(D3340,'[1]2050 BAU Mapping to T &amp; C'!$A$3:$A$52,'[1]2050 BAU Mapping to T &amp; C'!$B$3:$B$52)</f>
        <v>Sugar</v>
      </c>
      <c r="H3340" s="129">
        <f>_xlfn.XLOOKUP(G3340,'[1]T&amp;C emissions for 2050 analysis'!$B$3:$B$23,'[1]T&amp;C emissions for 2050 analysis'!$C$3:$C$23)</f>
        <v>7.3333333333333334E-2</v>
      </c>
      <c r="I3340" s="27">
        <f t="shared" si="156"/>
        <v>0.18473585591999997</v>
      </c>
      <c r="J3340" s="129">
        <f t="shared" si="157"/>
        <v>22.672539999999998</v>
      </c>
    </row>
    <row r="3341" spans="1:10" hidden="1" x14ac:dyDescent="0.35">
      <c r="A3341" s="126" t="s">
        <v>380</v>
      </c>
      <c r="B3341" t="str">
        <f>_xlfn.XLOOKUP(A3341,'[1]2050Pop'!$A$7:$A$143,'[1]2050Pop'!$D$7:$D$143)</f>
        <v>Greater China</v>
      </c>
      <c r="C3341" s="127">
        <f>1000*_xlfn.XLOOKUP(A3341,'[1]2050Pop'!$A$7:$A$143,'[1]2050Pop'!$C$7:$C$143)</f>
        <v>1348056</v>
      </c>
      <c r="D3341" s="126" t="s">
        <v>525</v>
      </c>
      <c r="E3341" s="128">
        <v>79.164000000000001</v>
      </c>
      <c r="F3341" s="129">
        <f t="shared" si="158"/>
        <v>106.717505184</v>
      </c>
      <c r="G3341" t="str">
        <f>_xlfn.XLOOKUP(D3341,'[1]2050 BAU Mapping to T &amp; C'!$A$3:$A$52,'[1]2050 BAU Mapping to T &amp; C'!$B$3:$B$52)</f>
        <v>Sugar</v>
      </c>
      <c r="H3341" s="129">
        <f>_xlfn.XLOOKUP(G3341,'[1]T&amp;C emissions for 2050 analysis'!$B$3:$B$23,'[1]T&amp;C emissions for 2050 analysis'!$C$3:$C$23)</f>
        <v>7.3333333333333334E-2</v>
      </c>
      <c r="I3341" s="27">
        <f t="shared" si="156"/>
        <v>7.8259503801600001</v>
      </c>
      <c r="J3341" s="129">
        <f t="shared" si="157"/>
        <v>5.8053600000000003</v>
      </c>
    </row>
    <row r="3342" spans="1:10" hidden="1" x14ac:dyDescent="0.35">
      <c r="A3342" s="126" t="s">
        <v>381</v>
      </c>
      <c r="B3342" t="str">
        <f>_xlfn.XLOOKUP(A3342,'[1]2050Pop'!$A$7:$A$143,'[1]2050Pop'!$D$7:$D$143)</f>
        <v>Greater China</v>
      </c>
      <c r="C3342" s="127">
        <f>1000*_xlfn.XLOOKUP(A3342,'[1]2050Pop'!$A$7:$A$143,'[1]2050Pop'!$C$7:$C$143)</f>
        <v>20778</v>
      </c>
      <c r="D3342" s="126" t="s">
        <v>525</v>
      </c>
      <c r="E3342" s="128">
        <v>288.05099999999999</v>
      </c>
      <c r="F3342" s="129">
        <f t="shared" si="158"/>
        <v>5.985123677999999</v>
      </c>
      <c r="G3342" t="str">
        <f>_xlfn.XLOOKUP(D3342,'[1]2050 BAU Mapping to T &amp; C'!$A$3:$A$52,'[1]2050 BAU Mapping to T &amp; C'!$B$3:$B$52)</f>
        <v>Sugar</v>
      </c>
      <c r="H3342" s="129">
        <f>_xlfn.XLOOKUP(G3342,'[1]T&amp;C emissions for 2050 analysis'!$B$3:$B$23,'[1]T&amp;C emissions for 2050 analysis'!$C$3:$C$23)</f>
        <v>7.3333333333333334E-2</v>
      </c>
      <c r="I3342" s="27">
        <f t="shared" si="156"/>
        <v>0.43890906971999993</v>
      </c>
      <c r="J3342" s="129">
        <f t="shared" si="157"/>
        <v>21.123739999999998</v>
      </c>
    </row>
    <row r="3343" spans="1:10" hidden="1" x14ac:dyDescent="0.35">
      <c r="A3343" s="126" t="s">
        <v>382</v>
      </c>
      <c r="B3343" t="str">
        <f>_xlfn.XLOOKUP(A3343,'[1]2050Pop'!$A$7:$A$143,'[1]2050Pop'!$D$7:$D$143)</f>
        <v>LatAm &amp; RSA</v>
      </c>
      <c r="C3343" s="127">
        <f>1000*_xlfn.XLOOKUP(A3343,'[1]2050Pop'!$A$7:$A$143,'[1]2050Pop'!$C$7:$C$143)</f>
        <v>54927</v>
      </c>
      <c r="D3343" s="126" t="s">
        <v>525</v>
      </c>
      <c r="E3343" s="131">
        <v>603.5</v>
      </c>
      <c r="F3343" s="129">
        <f t="shared" si="158"/>
        <v>33.148444499999997</v>
      </c>
      <c r="G3343" t="str">
        <f>_xlfn.XLOOKUP(D3343,'[1]2050 BAU Mapping to T &amp; C'!$A$3:$A$52,'[1]2050 BAU Mapping to T &amp; C'!$B$3:$B$52)</f>
        <v>Sugar</v>
      </c>
      <c r="H3343" s="129">
        <f>_xlfn.XLOOKUP(G3343,'[1]T&amp;C emissions for 2050 analysis'!$B$3:$B$23,'[1]T&amp;C emissions for 2050 analysis'!$C$3:$C$23)</f>
        <v>7.3333333333333334E-2</v>
      </c>
      <c r="I3343" s="27">
        <f t="shared" si="156"/>
        <v>2.4308859299999996</v>
      </c>
      <c r="J3343" s="129">
        <f t="shared" si="157"/>
        <v>44.256666666666668</v>
      </c>
    </row>
    <row r="3344" spans="1:10" hidden="1" x14ac:dyDescent="0.35">
      <c r="A3344" s="126" t="s">
        <v>383</v>
      </c>
      <c r="B3344" t="str">
        <f>_xlfn.XLOOKUP(A3344,'[1]2050Pop'!$A$7:$A$143,'[1]2050Pop'!$D$7:$D$143)</f>
        <v>LatAm &amp; RSA</v>
      </c>
      <c r="C3344" s="127">
        <f>1000*_xlfn.XLOOKUP(A3344,'[1]2050Pop'!$A$7:$A$143,'[1]2050Pop'!$C$7:$C$143)</f>
        <v>5759</v>
      </c>
      <c r="D3344" s="126" t="s">
        <v>525</v>
      </c>
      <c r="E3344" s="128">
        <v>560.65200000000004</v>
      </c>
      <c r="F3344" s="129">
        <f t="shared" si="158"/>
        <v>3.228794868</v>
      </c>
      <c r="G3344" t="str">
        <f>_xlfn.XLOOKUP(D3344,'[1]2050 BAU Mapping to T &amp; C'!$A$3:$A$52,'[1]2050 BAU Mapping to T &amp; C'!$B$3:$B$52)</f>
        <v>Sugar</v>
      </c>
      <c r="H3344" s="129">
        <f>_xlfn.XLOOKUP(G3344,'[1]T&amp;C emissions for 2050 analysis'!$B$3:$B$23,'[1]T&amp;C emissions for 2050 analysis'!$C$3:$C$23)</f>
        <v>7.3333333333333334E-2</v>
      </c>
      <c r="I3344" s="27">
        <f t="shared" si="156"/>
        <v>0.23677829032</v>
      </c>
      <c r="J3344" s="129">
        <f t="shared" si="157"/>
        <v>41.11448</v>
      </c>
    </row>
    <row r="3345" spans="1:10" hidden="1" x14ac:dyDescent="0.35">
      <c r="A3345" s="126" t="s">
        <v>384</v>
      </c>
      <c r="B3345" t="str">
        <f>_xlfn.XLOOKUP(A3345,'[1]2050Pop'!$A$7:$A$143,'[1]2050Pop'!$D$7:$D$143)</f>
        <v>SSA</v>
      </c>
      <c r="C3345" s="127">
        <f>1000*_xlfn.XLOOKUP(A3345,'[1]2050Pop'!$A$7:$A$143,'[1]2050Pop'!$C$7:$C$143)</f>
        <v>48797</v>
      </c>
      <c r="D3345" s="126" t="s">
        <v>525</v>
      </c>
      <c r="E3345" s="128">
        <v>135.727</v>
      </c>
      <c r="F3345" s="129">
        <f t="shared" si="158"/>
        <v>6.6230704189999994</v>
      </c>
      <c r="G3345" t="str">
        <f>_xlfn.XLOOKUP(D3345,'[1]2050 BAU Mapping to T &amp; C'!$A$3:$A$52,'[1]2050 BAU Mapping to T &amp; C'!$B$3:$B$52)</f>
        <v>Sugar</v>
      </c>
      <c r="H3345" s="129">
        <f>_xlfn.XLOOKUP(G3345,'[1]T&amp;C emissions for 2050 analysis'!$B$3:$B$23,'[1]T&amp;C emissions for 2050 analysis'!$C$3:$C$23)</f>
        <v>7.3333333333333334E-2</v>
      </c>
      <c r="I3345" s="27">
        <f t="shared" si="156"/>
        <v>0.48569183072666661</v>
      </c>
      <c r="J3345" s="129">
        <f t="shared" si="157"/>
        <v>9.9533133333333339</v>
      </c>
    </row>
    <row r="3346" spans="1:10" hidden="1" x14ac:dyDescent="0.35">
      <c r="A3346" s="126" t="s">
        <v>385</v>
      </c>
      <c r="B3346" t="str">
        <f>_xlfn.XLOOKUP(A3346,'[1]2050Pop'!$A$7:$A$143,'[1]2050Pop'!$D$7:$D$143)</f>
        <v>Euro/AU/NZ</v>
      </c>
      <c r="C3346" s="127">
        <f>1000*_xlfn.XLOOKUP(A3346,'[1]2050Pop'!$A$7:$A$143,'[1]2050Pop'!$C$7:$C$143)</f>
        <v>3554</v>
      </c>
      <c r="D3346" s="126" t="s">
        <v>525</v>
      </c>
      <c r="E3346" s="130">
        <v>370.65</v>
      </c>
      <c r="F3346" s="129">
        <f t="shared" si="158"/>
        <v>1.3172900999999999</v>
      </c>
      <c r="G3346" t="str">
        <f>_xlfn.XLOOKUP(D3346,'[1]2050 BAU Mapping to T &amp; C'!$A$3:$A$52,'[1]2050 BAU Mapping to T &amp; C'!$B$3:$B$52)</f>
        <v>Sugar</v>
      </c>
      <c r="H3346" s="129">
        <f>_xlfn.XLOOKUP(G3346,'[1]T&amp;C emissions for 2050 analysis'!$B$3:$B$23,'[1]T&amp;C emissions for 2050 analysis'!$C$3:$C$23)</f>
        <v>7.3333333333333334E-2</v>
      </c>
      <c r="I3346" s="27">
        <f t="shared" si="156"/>
        <v>9.6601273999999987E-2</v>
      </c>
      <c r="J3346" s="129">
        <f t="shared" si="157"/>
        <v>27.180999999999997</v>
      </c>
    </row>
    <row r="3347" spans="1:10" hidden="1" x14ac:dyDescent="0.35">
      <c r="A3347" s="126" t="s">
        <v>386</v>
      </c>
      <c r="B3347" t="str">
        <f>_xlfn.XLOOKUP(A3347,'[1]2050Pop'!$A$7:$A$143,'[1]2050Pop'!$D$7:$D$143)</f>
        <v>LatAm &amp; RSA</v>
      </c>
      <c r="C3347" s="127">
        <f>1000*_xlfn.XLOOKUP(A3347,'[1]2050Pop'!$A$7:$A$143,'[1]2050Pop'!$C$7:$C$143)</f>
        <v>10339</v>
      </c>
      <c r="D3347" s="126" t="s">
        <v>525</v>
      </c>
      <c r="E3347" s="130">
        <v>585.80999999999995</v>
      </c>
      <c r="F3347" s="129">
        <f t="shared" si="158"/>
        <v>6.0566895899999995</v>
      </c>
      <c r="G3347" t="str">
        <f>_xlfn.XLOOKUP(D3347,'[1]2050 BAU Mapping to T &amp; C'!$A$3:$A$52,'[1]2050 BAU Mapping to T &amp; C'!$B$3:$B$52)</f>
        <v>Sugar</v>
      </c>
      <c r="H3347" s="129">
        <f>_xlfn.XLOOKUP(G3347,'[1]T&amp;C emissions for 2050 analysis'!$B$3:$B$23,'[1]T&amp;C emissions for 2050 analysis'!$C$3:$C$23)</f>
        <v>7.3333333333333334E-2</v>
      </c>
      <c r="I3347" s="27">
        <f t="shared" si="156"/>
        <v>0.44415723659999995</v>
      </c>
      <c r="J3347" s="129">
        <f t="shared" si="157"/>
        <v>42.959399999999995</v>
      </c>
    </row>
    <row r="3348" spans="1:10" hidden="1" x14ac:dyDescent="0.35">
      <c r="A3348" s="126" t="s">
        <v>387</v>
      </c>
      <c r="B3348" t="str">
        <f>_xlfn.XLOOKUP(A3348,'[1]2050Pop'!$A$7:$A$143,'[1]2050Pop'!$D$7:$D$143)</f>
        <v>Euro/AU/NZ</v>
      </c>
      <c r="C3348" s="127">
        <f>1000*_xlfn.XLOOKUP(A3348,'[1]2050Pop'!$A$7:$A$143,'[1]2050Pop'!$C$7:$C$143)</f>
        <v>9965</v>
      </c>
      <c r="D3348" s="126" t="s">
        <v>525</v>
      </c>
      <c r="E3348" s="128">
        <v>383.54899999999998</v>
      </c>
      <c r="F3348" s="129">
        <f t="shared" si="158"/>
        <v>3.8220657849999995</v>
      </c>
      <c r="G3348" t="str">
        <f>_xlfn.XLOOKUP(D3348,'[1]2050 BAU Mapping to T &amp; C'!$A$3:$A$52,'[1]2050 BAU Mapping to T &amp; C'!$B$3:$B$52)</f>
        <v>Sugar</v>
      </c>
      <c r="H3348" s="129">
        <f>_xlfn.XLOOKUP(G3348,'[1]T&amp;C emissions for 2050 analysis'!$B$3:$B$23,'[1]T&amp;C emissions for 2050 analysis'!$C$3:$C$23)</f>
        <v>7.3333333333333334E-2</v>
      </c>
      <c r="I3348" s="27">
        <f t="shared" si="156"/>
        <v>0.28028482423333329</v>
      </c>
      <c r="J3348" s="129">
        <f t="shared" si="157"/>
        <v>28.126926666666666</v>
      </c>
    </row>
    <row r="3349" spans="1:10" hidden="1" x14ac:dyDescent="0.35">
      <c r="A3349" s="126" t="s">
        <v>481</v>
      </c>
      <c r="B3349" t="str">
        <f>_xlfn.XLOOKUP(A3349,'[1]2050Pop'!$A$7:$A$143,'[1]2050Pop'!$D$7:$D$143)</f>
        <v>APAC</v>
      </c>
      <c r="C3349" s="127">
        <f>1000*_xlfn.XLOOKUP(A3349,'[1]2050Pop'!$A$7:$A$143,'[1]2050Pop'!$C$7:$C$143)</f>
        <v>26907</v>
      </c>
      <c r="D3349" s="126" t="s">
        <v>525</v>
      </c>
      <c r="E3349" s="128">
        <v>47.475999999999999</v>
      </c>
      <c r="F3349" s="129">
        <f t="shared" si="158"/>
        <v>1.2774367320000002</v>
      </c>
      <c r="G3349" t="str">
        <f>_xlfn.XLOOKUP(D3349,'[1]2050 BAU Mapping to T &amp; C'!$A$3:$A$52,'[1]2050 BAU Mapping to T &amp; C'!$B$3:$B$52)</f>
        <v>Sugar</v>
      </c>
      <c r="H3349" s="129">
        <f>_xlfn.XLOOKUP(G3349,'[1]T&amp;C emissions for 2050 analysis'!$B$3:$B$23,'[1]T&amp;C emissions for 2050 analysis'!$C$3:$C$23)</f>
        <v>7.3333333333333334E-2</v>
      </c>
      <c r="I3349" s="27">
        <f t="shared" si="156"/>
        <v>9.3678693680000008E-2</v>
      </c>
      <c r="J3349" s="129">
        <f t="shared" si="157"/>
        <v>3.4815733333333334</v>
      </c>
    </row>
    <row r="3350" spans="1:10" hidden="1" x14ac:dyDescent="0.35">
      <c r="A3350" s="126" t="s">
        <v>388</v>
      </c>
      <c r="B3350" t="str">
        <f>_xlfn.XLOOKUP(A3350,'[1]2050Pop'!$A$7:$A$143,'[1]2050Pop'!$D$7:$D$143)</f>
        <v>Euro/AU/NZ</v>
      </c>
      <c r="C3350" s="127">
        <f>1000*_xlfn.XLOOKUP(A3350,'[1]2050Pop'!$A$7:$A$143,'[1]2050Pop'!$C$7:$C$143)</f>
        <v>6299</v>
      </c>
      <c r="D3350" s="126" t="s">
        <v>525</v>
      </c>
      <c r="E3350" s="130">
        <v>436.04</v>
      </c>
      <c r="F3350" s="129">
        <f t="shared" si="158"/>
        <v>2.7466159599999997</v>
      </c>
      <c r="G3350" t="str">
        <f>_xlfn.XLOOKUP(D3350,'[1]2050 BAU Mapping to T &amp; C'!$A$3:$A$52,'[1]2050 BAU Mapping to T &amp; C'!$B$3:$B$52)</f>
        <v>Sugar</v>
      </c>
      <c r="H3350" s="129">
        <f>_xlfn.XLOOKUP(G3350,'[1]T&amp;C emissions for 2050 analysis'!$B$3:$B$23,'[1]T&amp;C emissions for 2050 analysis'!$C$3:$C$23)</f>
        <v>7.3333333333333334E-2</v>
      </c>
      <c r="I3350" s="27">
        <f t="shared" si="156"/>
        <v>0.20141850373333331</v>
      </c>
      <c r="J3350" s="129">
        <f t="shared" si="157"/>
        <v>31.976266666666668</v>
      </c>
    </row>
    <row r="3351" spans="1:10" hidden="1" x14ac:dyDescent="0.35">
      <c r="A3351" s="126" t="s">
        <v>389</v>
      </c>
      <c r="B3351" t="str">
        <f>_xlfn.XLOOKUP(A3351,'[1]2050Pop'!$A$7:$A$143,'[1]2050Pop'!$D$7:$D$143)</f>
        <v>LatAm &amp; RSA</v>
      </c>
      <c r="C3351" s="127">
        <f>1000*_xlfn.XLOOKUP(A3351,'[1]2050Pop'!$A$7:$A$143,'[1]2050Pop'!$C$7:$C$143)</f>
        <v>13238</v>
      </c>
      <c r="D3351" s="126" t="s">
        <v>525</v>
      </c>
      <c r="E3351" s="128">
        <v>352.22500000000002</v>
      </c>
      <c r="F3351" s="129">
        <f t="shared" si="158"/>
        <v>4.6627545500000007</v>
      </c>
      <c r="G3351" t="str">
        <f>_xlfn.XLOOKUP(D3351,'[1]2050 BAU Mapping to T &amp; C'!$A$3:$A$52,'[1]2050 BAU Mapping to T &amp; C'!$B$3:$B$52)</f>
        <v>Sugar</v>
      </c>
      <c r="H3351" s="129">
        <f>_xlfn.XLOOKUP(G3351,'[1]T&amp;C emissions for 2050 analysis'!$B$3:$B$23,'[1]T&amp;C emissions for 2050 analysis'!$C$3:$C$23)</f>
        <v>7.3333333333333334E-2</v>
      </c>
      <c r="I3351" s="27">
        <f t="shared" si="156"/>
        <v>0.34193533366666673</v>
      </c>
      <c r="J3351" s="129">
        <f t="shared" si="157"/>
        <v>25.829833333333337</v>
      </c>
    </row>
    <row r="3352" spans="1:10" hidden="1" x14ac:dyDescent="0.35">
      <c r="A3352" s="126" t="s">
        <v>390</v>
      </c>
      <c r="B3352" t="str">
        <f>_xlfn.XLOOKUP(A3352,'[1]2050Pop'!$A$7:$A$143,'[1]2050Pop'!$D$7:$D$143)</f>
        <v>LatAm &amp; RSA</v>
      </c>
      <c r="C3352" s="127">
        <f>1000*_xlfn.XLOOKUP(A3352,'[1]2050Pop'!$A$7:$A$143,'[1]2050Pop'!$C$7:$C$143)</f>
        <v>23013</v>
      </c>
      <c r="D3352" s="126" t="s">
        <v>525</v>
      </c>
      <c r="E3352" s="128">
        <v>217.58799999999999</v>
      </c>
      <c r="F3352" s="129">
        <f t="shared" si="158"/>
        <v>5.007352644</v>
      </c>
      <c r="G3352" t="str">
        <f>_xlfn.XLOOKUP(D3352,'[1]2050 BAU Mapping to T &amp; C'!$A$3:$A$52,'[1]2050 BAU Mapping to T &amp; C'!$B$3:$B$52)</f>
        <v>Sugar</v>
      </c>
      <c r="H3352" s="129">
        <f>_xlfn.XLOOKUP(G3352,'[1]T&amp;C emissions for 2050 analysis'!$B$3:$B$23,'[1]T&amp;C emissions for 2050 analysis'!$C$3:$C$23)</f>
        <v>7.3333333333333334E-2</v>
      </c>
      <c r="I3352" s="27">
        <f t="shared" si="156"/>
        <v>0.36720586055999999</v>
      </c>
      <c r="J3352" s="129">
        <f t="shared" si="157"/>
        <v>15.956453333333332</v>
      </c>
    </row>
    <row r="3353" spans="1:10" hidden="1" x14ac:dyDescent="0.35">
      <c r="A3353" s="126" t="s">
        <v>391</v>
      </c>
      <c r="B3353" t="str">
        <f>_xlfn.XLOOKUP(A3353,'[1]2050Pop'!$A$7:$A$143,'[1]2050Pop'!$D$7:$D$143)</f>
        <v>MENA</v>
      </c>
      <c r="C3353" s="127">
        <f>1000*_xlfn.XLOOKUP(A3353,'[1]2050Pop'!$A$7:$A$143,'[1]2050Pop'!$C$7:$C$143)</f>
        <v>151111</v>
      </c>
      <c r="D3353" s="126" t="s">
        <v>525</v>
      </c>
      <c r="E3353" s="128">
        <v>344.548</v>
      </c>
      <c r="F3353" s="129">
        <f t="shared" si="158"/>
        <v>52.064992828000001</v>
      </c>
      <c r="G3353" t="str">
        <f>_xlfn.XLOOKUP(D3353,'[1]2050 BAU Mapping to T &amp; C'!$A$3:$A$52,'[1]2050 BAU Mapping to T &amp; C'!$B$3:$B$52)</f>
        <v>Sugar</v>
      </c>
      <c r="H3353" s="129">
        <f>_xlfn.XLOOKUP(G3353,'[1]T&amp;C emissions for 2050 analysis'!$B$3:$B$23,'[1]T&amp;C emissions for 2050 analysis'!$C$3:$C$23)</f>
        <v>7.3333333333333334E-2</v>
      </c>
      <c r="I3353" s="27">
        <f t="shared" si="156"/>
        <v>3.8180994740533336</v>
      </c>
      <c r="J3353" s="129">
        <f t="shared" si="157"/>
        <v>25.266853333333334</v>
      </c>
    </row>
    <row r="3354" spans="1:10" hidden="1" x14ac:dyDescent="0.35">
      <c r="A3354" s="126" t="s">
        <v>392</v>
      </c>
      <c r="B3354" t="str">
        <f>_xlfn.XLOOKUP(A3354,'[1]2050Pop'!$A$7:$A$143,'[1]2050Pop'!$D$7:$D$143)</f>
        <v>LatAm &amp; RSA</v>
      </c>
      <c r="C3354" s="127">
        <f>1000*_xlfn.XLOOKUP(A3354,'[1]2050Pop'!$A$7:$A$143,'[1]2050Pop'!$C$7:$C$143)</f>
        <v>6390</v>
      </c>
      <c r="D3354" s="126" t="s">
        <v>525</v>
      </c>
      <c r="E3354" s="130">
        <v>434.58</v>
      </c>
      <c r="F3354" s="129">
        <f t="shared" si="158"/>
        <v>2.7769661999999999</v>
      </c>
      <c r="G3354" t="str">
        <f>_xlfn.XLOOKUP(D3354,'[1]2050 BAU Mapping to T &amp; C'!$A$3:$A$52,'[1]2050 BAU Mapping to T &amp; C'!$B$3:$B$52)</f>
        <v>Sugar</v>
      </c>
      <c r="H3354" s="129">
        <f>_xlfn.XLOOKUP(G3354,'[1]T&amp;C emissions for 2050 analysis'!$B$3:$B$23,'[1]T&amp;C emissions for 2050 analysis'!$C$3:$C$23)</f>
        <v>7.3333333333333334E-2</v>
      </c>
      <c r="I3354" s="27">
        <f t="shared" si="156"/>
        <v>0.203644188</v>
      </c>
      <c r="J3354" s="129">
        <f t="shared" si="157"/>
        <v>31.869199999999999</v>
      </c>
    </row>
    <row r="3355" spans="1:10" hidden="1" x14ac:dyDescent="0.35">
      <c r="A3355" s="126" t="s">
        <v>393</v>
      </c>
      <c r="B3355" t="str">
        <f>_xlfn.XLOOKUP(A3355,'[1]2050Pop'!$A$7:$A$143,'[1]2050Pop'!$D$7:$D$143)</f>
        <v>Euro/AU/NZ</v>
      </c>
      <c r="C3355" s="127">
        <f>1000*_xlfn.XLOOKUP(A3355,'[1]2050Pop'!$A$7:$A$143,'[1]2050Pop'!$C$7:$C$143)</f>
        <v>1129</v>
      </c>
      <c r="D3355" s="126" t="s">
        <v>525</v>
      </c>
      <c r="E3355" s="128">
        <v>306.29599999999999</v>
      </c>
      <c r="F3355" s="129">
        <f t="shared" si="158"/>
        <v>0.34580818400000002</v>
      </c>
      <c r="G3355" t="str">
        <f>_xlfn.XLOOKUP(D3355,'[1]2050 BAU Mapping to T &amp; C'!$A$3:$A$52,'[1]2050 BAU Mapping to T &amp; C'!$B$3:$B$52)</f>
        <v>Sugar</v>
      </c>
      <c r="H3355" s="129">
        <f>_xlfn.XLOOKUP(G3355,'[1]T&amp;C emissions for 2050 analysis'!$B$3:$B$23,'[1]T&amp;C emissions for 2050 analysis'!$C$3:$C$23)</f>
        <v>7.3333333333333334E-2</v>
      </c>
      <c r="I3355" s="27">
        <f t="shared" si="156"/>
        <v>2.5359266826666668E-2</v>
      </c>
      <c r="J3355" s="129">
        <f t="shared" si="157"/>
        <v>22.461706666666664</v>
      </c>
    </row>
    <row r="3356" spans="1:10" hidden="1" x14ac:dyDescent="0.35">
      <c r="A3356" s="126" t="s">
        <v>394</v>
      </c>
      <c r="B3356" t="str">
        <f>_xlfn.XLOOKUP(A3356,'[1]2050Pop'!$A$7:$A$143,'[1]2050Pop'!$D$7:$D$143)</f>
        <v>SSA</v>
      </c>
      <c r="C3356" s="127">
        <f>1000*_xlfn.XLOOKUP(A3356,'[1]2050Pop'!$A$7:$A$143,'[1]2050Pop'!$C$7:$C$143)</f>
        <v>188455</v>
      </c>
      <c r="D3356" s="126" t="s">
        <v>525</v>
      </c>
      <c r="E3356" s="128">
        <v>71.037000000000006</v>
      </c>
      <c r="F3356" s="129">
        <f t="shared" si="158"/>
        <v>13.387277835000001</v>
      </c>
      <c r="G3356" t="str">
        <f>_xlfn.XLOOKUP(D3356,'[1]2050 BAU Mapping to T &amp; C'!$A$3:$A$52,'[1]2050 BAU Mapping to T &amp; C'!$B$3:$B$52)</f>
        <v>Sugar</v>
      </c>
      <c r="H3356" s="129">
        <f>_xlfn.XLOOKUP(G3356,'[1]T&amp;C emissions for 2050 analysis'!$B$3:$B$23,'[1]T&amp;C emissions for 2050 analysis'!$C$3:$C$23)</f>
        <v>7.3333333333333334E-2</v>
      </c>
      <c r="I3356" s="27">
        <f t="shared" si="156"/>
        <v>0.98173370790000003</v>
      </c>
      <c r="J3356" s="129">
        <f t="shared" si="157"/>
        <v>5.2093800000000003</v>
      </c>
    </row>
    <row r="3357" spans="1:10" hidden="1" x14ac:dyDescent="0.35">
      <c r="A3357" s="126" t="s">
        <v>395</v>
      </c>
      <c r="B3357" t="str">
        <f>_xlfn.XLOOKUP(A3357,'[1]2050Pop'!$A$7:$A$143,'[1]2050Pop'!$D$7:$D$143)</f>
        <v>Euro/AU/NZ</v>
      </c>
      <c r="C3357" s="127">
        <f>1000*_xlfn.XLOOKUP(A3357,'[1]2050Pop'!$A$7:$A$143,'[1]2050Pop'!$C$7:$C$143)</f>
        <v>5752</v>
      </c>
      <c r="D3357" s="126" t="s">
        <v>525</v>
      </c>
      <c r="E3357" s="128">
        <v>289.14400000000001</v>
      </c>
      <c r="F3357" s="129">
        <f t="shared" si="158"/>
        <v>1.6631562879999999</v>
      </c>
      <c r="G3357" t="str">
        <f>_xlfn.XLOOKUP(D3357,'[1]2050 BAU Mapping to T &amp; C'!$A$3:$A$52,'[1]2050 BAU Mapping to T &amp; C'!$B$3:$B$52)</f>
        <v>Sugar</v>
      </c>
      <c r="H3357" s="129">
        <f>_xlfn.XLOOKUP(G3357,'[1]T&amp;C emissions for 2050 analysis'!$B$3:$B$23,'[1]T&amp;C emissions for 2050 analysis'!$C$3:$C$23)</f>
        <v>7.3333333333333334E-2</v>
      </c>
      <c r="I3357" s="27">
        <f t="shared" si="156"/>
        <v>0.12196479445333333</v>
      </c>
      <c r="J3357" s="129">
        <f t="shared" si="157"/>
        <v>21.203893333333333</v>
      </c>
    </row>
    <row r="3358" spans="1:10" hidden="1" x14ac:dyDescent="0.35">
      <c r="A3358" s="126" t="s">
        <v>396</v>
      </c>
      <c r="B3358" t="str">
        <f>_xlfn.XLOOKUP(A3358,'[1]2050Pop'!$A$7:$A$143,'[1]2050Pop'!$D$7:$D$143)</f>
        <v>Euro/AU/NZ</v>
      </c>
      <c r="C3358" s="127">
        <f>1000*_xlfn.XLOOKUP(A3358,'[1]2050Pop'!$A$7:$A$143,'[1]2050Pop'!$C$7:$C$143)</f>
        <v>71137</v>
      </c>
      <c r="D3358" s="126" t="s">
        <v>525</v>
      </c>
      <c r="E3358" s="128">
        <v>373.44099999999997</v>
      </c>
      <c r="F3358" s="129">
        <f t="shared" si="158"/>
        <v>26.565472416999999</v>
      </c>
      <c r="G3358" t="str">
        <f>_xlfn.XLOOKUP(D3358,'[1]2050 BAU Mapping to T &amp; C'!$A$3:$A$52,'[1]2050 BAU Mapping to T &amp; C'!$B$3:$B$52)</f>
        <v>Sugar</v>
      </c>
      <c r="H3358" s="129">
        <f>_xlfn.XLOOKUP(G3358,'[1]T&amp;C emissions for 2050 analysis'!$B$3:$B$23,'[1]T&amp;C emissions for 2050 analysis'!$C$3:$C$23)</f>
        <v>7.3333333333333334E-2</v>
      </c>
      <c r="I3358" s="27">
        <f t="shared" si="156"/>
        <v>1.9481346439133334</v>
      </c>
      <c r="J3358" s="129">
        <f t="shared" si="157"/>
        <v>27.385673333333333</v>
      </c>
    </row>
    <row r="3359" spans="1:10" hidden="1" x14ac:dyDescent="0.35">
      <c r="A3359" s="126" t="s">
        <v>397</v>
      </c>
      <c r="B3359" t="str">
        <f>_xlfn.XLOOKUP(A3359,'[1]2050Pop'!$A$7:$A$143,'[1]2050Pop'!$D$7:$D$143)</f>
        <v>SSA</v>
      </c>
      <c r="C3359" s="127">
        <f>1000*_xlfn.XLOOKUP(A3359,'[1]2050Pop'!$A$7:$A$143,'[1]2050Pop'!$C$7:$C$143)</f>
        <v>3164</v>
      </c>
      <c r="D3359" s="126" t="s">
        <v>525</v>
      </c>
      <c r="E3359" s="128">
        <v>167.232</v>
      </c>
      <c r="F3359" s="129">
        <f t="shared" si="158"/>
        <v>0.52912204799999996</v>
      </c>
      <c r="G3359" t="str">
        <f>_xlfn.XLOOKUP(D3359,'[1]2050 BAU Mapping to T &amp; C'!$A$3:$A$52,'[1]2050 BAU Mapping to T &amp; C'!$B$3:$B$52)</f>
        <v>Sugar</v>
      </c>
      <c r="H3359" s="129">
        <f>_xlfn.XLOOKUP(G3359,'[1]T&amp;C emissions for 2050 analysis'!$B$3:$B$23,'[1]T&amp;C emissions for 2050 analysis'!$C$3:$C$23)</f>
        <v>7.3333333333333334E-2</v>
      </c>
      <c r="I3359" s="27">
        <f t="shared" si="156"/>
        <v>3.8802283519999994E-2</v>
      </c>
      <c r="J3359" s="129">
        <f t="shared" si="157"/>
        <v>12.263680000000001</v>
      </c>
    </row>
    <row r="3360" spans="1:10" hidden="1" x14ac:dyDescent="0.35">
      <c r="A3360" s="126" t="s">
        <v>489</v>
      </c>
      <c r="B3360" t="str">
        <f>_xlfn.XLOOKUP(A3360,'[1]2050Pop'!$A$7:$A$143,'[1]2050Pop'!$D$7:$D$143)</f>
        <v>SSA</v>
      </c>
      <c r="C3360" s="127">
        <f>1000*_xlfn.XLOOKUP(A3360,'[1]2050Pop'!$A$7:$A$143,'[1]2050Pop'!$C$7:$C$143)</f>
        <v>4981</v>
      </c>
      <c r="D3360" s="126" t="s">
        <v>525</v>
      </c>
      <c r="E3360" s="128">
        <v>301.15699999999998</v>
      </c>
      <c r="F3360" s="129">
        <f t="shared" si="158"/>
        <v>1.500063017</v>
      </c>
      <c r="G3360" t="str">
        <f>_xlfn.XLOOKUP(D3360,'[1]2050 BAU Mapping to T &amp; C'!$A$3:$A$52,'[1]2050 BAU Mapping to T &amp; C'!$B$3:$B$52)</f>
        <v>Sugar</v>
      </c>
      <c r="H3360" s="129">
        <f>_xlfn.XLOOKUP(G3360,'[1]T&amp;C emissions for 2050 analysis'!$B$3:$B$23,'[1]T&amp;C emissions for 2050 analysis'!$C$3:$C$23)</f>
        <v>7.3333333333333334E-2</v>
      </c>
      <c r="I3360" s="27">
        <f t="shared" si="156"/>
        <v>0.11000462124666667</v>
      </c>
      <c r="J3360" s="129">
        <f t="shared" si="157"/>
        <v>22.084846666666664</v>
      </c>
    </row>
    <row r="3361" spans="1:10" hidden="1" x14ac:dyDescent="0.35">
      <c r="A3361" s="126" t="s">
        <v>398</v>
      </c>
      <c r="B3361" t="str">
        <f>_xlfn.XLOOKUP(A3361,'[1]2050Pop'!$A$7:$A$143,'[1]2050Pop'!$D$7:$D$143)</f>
        <v>MENA</v>
      </c>
      <c r="C3361" s="127">
        <f>1000*_xlfn.XLOOKUP(A3361,'[1]2050Pop'!$A$7:$A$143,'[1]2050Pop'!$C$7:$C$143)</f>
        <v>3483</v>
      </c>
      <c r="D3361" s="126" t="s">
        <v>525</v>
      </c>
      <c r="E3361" s="128">
        <v>397.57799999999997</v>
      </c>
      <c r="F3361" s="129">
        <f t="shared" si="158"/>
        <v>1.3847641739999998</v>
      </c>
      <c r="G3361" t="str">
        <f>_xlfn.XLOOKUP(D3361,'[1]2050 BAU Mapping to T &amp; C'!$A$3:$A$52,'[1]2050 BAU Mapping to T &amp; C'!$B$3:$B$52)</f>
        <v>Sugar</v>
      </c>
      <c r="H3361" s="129">
        <f>_xlfn.XLOOKUP(G3361,'[1]T&amp;C emissions for 2050 analysis'!$B$3:$B$23,'[1]T&amp;C emissions for 2050 analysis'!$C$3:$C$23)</f>
        <v>7.3333333333333334E-2</v>
      </c>
      <c r="I3361" s="27">
        <f t="shared" si="156"/>
        <v>0.10154937275999999</v>
      </c>
      <c r="J3361" s="129">
        <f t="shared" si="157"/>
        <v>29.155719999999999</v>
      </c>
    </row>
    <row r="3362" spans="1:10" hidden="1" x14ac:dyDescent="0.35">
      <c r="A3362" s="126" t="s">
        <v>399</v>
      </c>
      <c r="B3362" t="str">
        <f>_xlfn.XLOOKUP(A3362,'[1]2050Pop'!$A$7:$A$143,'[1]2050Pop'!$D$7:$D$143)</f>
        <v>Euro/AU/NZ</v>
      </c>
      <c r="C3362" s="127">
        <f>1000*_xlfn.XLOOKUP(A3362,'[1]2050Pop'!$A$7:$A$143,'[1]2050Pop'!$C$7:$C$143)</f>
        <v>74513</v>
      </c>
      <c r="D3362" s="126" t="s">
        <v>525</v>
      </c>
      <c r="E3362" s="128">
        <v>367.82499999999999</v>
      </c>
      <c r="F3362" s="129">
        <f t="shared" si="158"/>
        <v>27.407744224999998</v>
      </c>
      <c r="G3362" t="str">
        <f>_xlfn.XLOOKUP(D3362,'[1]2050 BAU Mapping to T &amp; C'!$A$3:$A$52,'[1]2050 BAU Mapping to T &amp; C'!$B$3:$B$52)</f>
        <v>Sugar</v>
      </c>
      <c r="H3362" s="129">
        <f>_xlfn.XLOOKUP(G3362,'[1]T&amp;C emissions for 2050 analysis'!$B$3:$B$23,'[1]T&amp;C emissions for 2050 analysis'!$C$3:$C$23)</f>
        <v>7.3333333333333334E-2</v>
      </c>
      <c r="I3362" s="27">
        <f t="shared" si="156"/>
        <v>2.0099012431666665</v>
      </c>
      <c r="J3362" s="129">
        <f t="shared" si="157"/>
        <v>26.973833333333332</v>
      </c>
    </row>
    <row r="3363" spans="1:10" hidden="1" x14ac:dyDescent="0.35">
      <c r="A3363" s="126" t="s">
        <v>400</v>
      </c>
      <c r="B3363" t="str">
        <f>_xlfn.XLOOKUP(A3363,'[1]2050Pop'!$A$7:$A$143,'[1]2050Pop'!$D$7:$D$143)</f>
        <v>SSA</v>
      </c>
      <c r="C3363" s="127">
        <f>1000*_xlfn.XLOOKUP(A3363,'[1]2050Pop'!$A$7:$A$143,'[1]2050Pop'!$C$7:$C$143)</f>
        <v>50071</v>
      </c>
      <c r="D3363" s="126" t="s">
        <v>525</v>
      </c>
      <c r="E3363" s="128">
        <v>165.60900000000001</v>
      </c>
      <c r="F3363" s="129">
        <f t="shared" si="158"/>
        <v>8.2922082390000007</v>
      </c>
      <c r="G3363" t="str">
        <f>_xlfn.XLOOKUP(D3363,'[1]2050 BAU Mapping to T &amp; C'!$A$3:$A$52,'[1]2050 BAU Mapping to T &amp; C'!$B$3:$B$52)</f>
        <v>Sugar</v>
      </c>
      <c r="H3363" s="129">
        <f>_xlfn.XLOOKUP(G3363,'[1]T&amp;C emissions for 2050 analysis'!$B$3:$B$23,'[1]T&amp;C emissions for 2050 analysis'!$C$3:$C$23)</f>
        <v>7.3333333333333334E-2</v>
      </c>
      <c r="I3363" s="27">
        <f t="shared" si="156"/>
        <v>0.60809527086000004</v>
      </c>
      <c r="J3363" s="129">
        <f t="shared" si="157"/>
        <v>12.14466</v>
      </c>
    </row>
    <row r="3364" spans="1:10" hidden="1" x14ac:dyDescent="0.35">
      <c r="A3364" s="126" t="s">
        <v>401</v>
      </c>
      <c r="B3364" t="str">
        <f>_xlfn.XLOOKUP(A3364,'[1]2050Pop'!$A$7:$A$143,'[1]2050Pop'!$D$7:$D$143)</f>
        <v>Euro/AU/NZ</v>
      </c>
      <c r="C3364" s="127">
        <f>1000*_xlfn.XLOOKUP(A3364,'[1]2050Pop'!$A$7:$A$143,'[1]2050Pop'!$C$7:$C$143)</f>
        <v>9705</v>
      </c>
      <c r="D3364" s="126" t="s">
        <v>525</v>
      </c>
      <c r="E3364" s="128">
        <v>283.76400000000001</v>
      </c>
      <c r="F3364" s="129">
        <f t="shared" si="158"/>
        <v>2.7539296200000001</v>
      </c>
      <c r="G3364" t="str">
        <f>_xlfn.XLOOKUP(D3364,'[1]2050 BAU Mapping to T &amp; C'!$A$3:$A$52,'[1]2050 BAU Mapping to T &amp; C'!$B$3:$B$52)</f>
        <v>Sugar</v>
      </c>
      <c r="H3364" s="129">
        <f>_xlfn.XLOOKUP(G3364,'[1]T&amp;C emissions for 2050 analysis'!$B$3:$B$23,'[1]T&amp;C emissions for 2050 analysis'!$C$3:$C$23)</f>
        <v>7.3333333333333334E-2</v>
      </c>
      <c r="I3364" s="27">
        <f t="shared" si="156"/>
        <v>0.20195483880000001</v>
      </c>
      <c r="J3364" s="129">
        <f t="shared" si="157"/>
        <v>20.809360000000002</v>
      </c>
    </row>
    <row r="3365" spans="1:10" hidden="1" x14ac:dyDescent="0.35">
      <c r="A3365" s="126" t="s">
        <v>402</v>
      </c>
      <c r="B3365" t="str">
        <f>_xlfn.XLOOKUP(A3365,'[1]2050Pop'!$A$7:$A$143,'[1]2050Pop'!$D$7:$D$143)</f>
        <v>LatAm &amp; RSA</v>
      </c>
      <c r="C3365" s="127">
        <f>1000*_xlfn.XLOOKUP(A3365,'[1]2050Pop'!$A$7:$A$143,'[1]2050Pop'!$C$7:$C$143)</f>
        <v>27754</v>
      </c>
      <c r="D3365" s="126" t="s">
        <v>525</v>
      </c>
      <c r="E3365" s="130">
        <v>530.66999999999996</v>
      </c>
      <c r="F3365" s="129">
        <f t="shared" si="158"/>
        <v>14.728215179999999</v>
      </c>
      <c r="G3365" t="str">
        <f>_xlfn.XLOOKUP(D3365,'[1]2050 BAU Mapping to T &amp; C'!$A$3:$A$52,'[1]2050 BAU Mapping to T &amp; C'!$B$3:$B$52)</f>
        <v>Sugar</v>
      </c>
      <c r="H3365" s="129">
        <f>_xlfn.XLOOKUP(G3365,'[1]T&amp;C emissions for 2050 analysis'!$B$3:$B$23,'[1]T&amp;C emissions for 2050 analysis'!$C$3:$C$23)</f>
        <v>7.3333333333333334E-2</v>
      </c>
      <c r="I3365" s="27">
        <f t="shared" si="156"/>
        <v>1.0800691132</v>
      </c>
      <c r="J3365" s="129">
        <f t="shared" si="157"/>
        <v>38.915799999999997</v>
      </c>
    </row>
    <row r="3366" spans="1:10" hidden="1" x14ac:dyDescent="0.35">
      <c r="A3366" s="126" t="s">
        <v>403</v>
      </c>
      <c r="B3366" t="str">
        <f>_xlfn.XLOOKUP(A3366,'[1]2050Pop'!$A$7:$A$143,'[1]2050Pop'!$D$7:$D$143)</f>
        <v>SSA</v>
      </c>
      <c r="C3366" s="127">
        <f>1000*_xlfn.XLOOKUP(A3366,'[1]2050Pop'!$A$7:$A$143,'[1]2050Pop'!$C$7:$C$143)</f>
        <v>27486</v>
      </c>
      <c r="D3366" s="126" t="s">
        <v>525</v>
      </c>
      <c r="E3366" s="128">
        <v>130.19499999999999</v>
      </c>
      <c r="F3366" s="129">
        <f t="shared" si="158"/>
        <v>3.5785397699999999</v>
      </c>
      <c r="G3366" t="str">
        <f>_xlfn.XLOOKUP(D3366,'[1]2050 BAU Mapping to T &amp; C'!$A$3:$A$52,'[1]2050 BAU Mapping to T &amp; C'!$B$3:$B$52)</f>
        <v>Sugar</v>
      </c>
      <c r="H3366" s="129">
        <f>_xlfn.XLOOKUP(G3366,'[1]T&amp;C emissions for 2050 analysis'!$B$3:$B$23,'[1]T&amp;C emissions for 2050 analysis'!$C$3:$C$23)</f>
        <v>7.3333333333333334E-2</v>
      </c>
      <c r="I3366" s="27">
        <f t="shared" si="156"/>
        <v>0.26242624980000001</v>
      </c>
      <c r="J3366" s="129">
        <f t="shared" si="157"/>
        <v>9.5476333333333336</v>
      </c>
    </row>
    <row r="3367" spans="1:10" hidden="1" x14ac:dyDescent="0.35">
      <c r="A3367" s="126" t="s">
        <v>404</v>
      </c>
      <c r="B3367" t="str">
        <f>_xlfn.XLOOKUP(A3367,'[1]2050Pop'!$A$7:$A$143,'[1]2050Pop'!$D$7:$D$143)</f>
        <v>LatAm &amp; RSA</v>
      </c>
      <c r="C3367" s="127">
        <f>1000*_xlfn.XLOOKUP(A3367,'[1]2050Pop'!$A$7:$A$143,'[1]2050Pop'!$C$7:$C$143)</f>
        <v>806</v>
      </c>
      <c r="D3367" s="126" t="s">
        <v>525</v>
      </c>
      <c r="E3367" s="128">
        <v>421.32100000000003</v>
      </c>
      <c r="F3367" s="129">
        <f t="shared" si="158"/>
        <v>0.339584726</v>
      </c>
      <c r="G3367" t="str">
        <f>_xlfn.XLOOKUP(D3367,'[1]2050 BAU Mapping to T &amp; C'!$A$3:$A$52,'[1]2050 BAU Mapping to T &amp; C'!$B$3:$B$52)</f>
        <v>Sugar</v>
      </c>
      <c r="H3367" s="129">
        <f>_xlfn.XLOOKUP(G3367,'[1]T&amp;C emissions for 2050 analysis'!$B$3:$B$23,'[1]T&amp;C emissions for 2050 analysis'!$C$3:$C$23)</f>
        <v>7.3333333333333334E-2</v>
      </c>
      <c r="I3367" s="27">
        <f t="shared" si="156"/>
        <v>2.4902879906666668E-2</v>
      </c>
      <c r="J3367" s="129">
        <f t="shared" si="157"/>
        <v>30.896873333333335</v>
      </c>
    </row>
    <row r="3368" spans="1:10" hidden="1" x14ac:dyDescent="0.35">
      <c r="A3368" s="126" t="s">
        <v>405</v>
      </c>
      <c r="B3368" t="str">
        <f>_xlfn.XLOOKUP(A3368,'[1]2050Pop'!$A$7:$A$143,'[1]2050Pop'!$D$7:$D$143)</f>
        <v>LatAm &amp; RSA</v>
      </c>
      <c r="C3368" s="127">
        <f>1000*_xlfn.XLOOKUP(A3368,'[1]2050Pop'!$A$7:$A$143,'[1]2050Pop'!$C$7:$C$143)</f>
        <v>14189</v>
      </c>
      <c r="D3368" s="126" t="s">
        <v>525</v>
      </c>
      <c r="E3368" s="128">
        <v>222.56800000000001</v>
      </c>
      <c r="F3368" s="129">
        <f t="shared" si="158"/>
        <v>3.1580173519999999</v>
      </c>
      <c r="G3368" t="str">
        <f>_xlfn.XLOOKUP(D3368,'[1]2050 BAU Mapping to T &amp; C'!$A$3:$A$52,'[1]2050 BAU Mapping to T &amp; C'!$B$3:$B$52)</f>
        <v>Sugar</v>
      </c>
      <c r="H3368" s="129">
        <f>_xlfn.XLOOKUP(G3368,'[1]T&amp;C emissions for 2050 analysis'!$B$3:$B$23,'[1]T&amp;C emissions for 2050 analysis'!$C$3:$C$23)</f>
        <v>7.3333333333333334E-2</v>
      </c>
      <c r="I3368" s="27">
        <f t="shared" si="156"/>
        <v>0.23158793914666667</v>
      </c>
      <c r="J3368" s="129">
        <f t="shared" si="157"/>
        <v>16.321653333333334</v>
      </c>
    </row>
    <row r="3369" spans="1:10" hidden="1" x14ac:dyDescent="0.35">
      <c r="A3369" s="126" t="s">
        <v>406</v>
      </c>
      <c r="B3369" t="str">
        <f>_xlfn.XLOOKUP(A3369,'[1]2050Pop'!$A$7:$A$143,'[1]2050Pop'!$D$7:$D$143)</f>
        <v>LatAm &amp; RSA</v>
      </c>
      <c r="C3369" s="127">
        <f>1000*_xlfn.XLOOKUP(A3369,'[1]2050Pop'!$A$7:$A$143,'[1]2050Pop'!$C$7:$C$143)</f>
        <v>11217</v>
      </c>
      <c r="D3369" s="126" t="s">
        <v>525</v>
      </c>
      <c r="E3369" s="128">
        <v>465.81599999999997</v>
      </c>
      <c r="F3369" s="129">
        <f t="shared" si="158"/>
        <v>5.2250580719999995</v>
      </c>
      <c r="G3369" t="str">
        <f>_xlfn.XLOOKUP(D3369,'[1]2050 BAU Mapping to T &amp; C'!$A$3:$A$52,'[1]2050 BAU Mapping to T &amp; C'!$B$3:$B$52)</f>
        <v>Sugar</v>
      </c>
      <c r="H3369" s="129">
        <f>_xlfn.XLOOKUP(G3369,'[1]T&amp;C emissions for 2050 analysis'!$B$3:$B$23,'[1]T&amp;C emissions for 2050 analysis'!$C$3:$C$23)</f>
        <v>7.3333333333333334E-2</v>
      </c>
      <c r="I3369" s="27">
        <f t="shared" si="156"/>
        <v>0.38317092527999996</v>
      </c>
      <c r="J3369" s="129">
        <f t="shared" si="157"/>
        <v>34.159839999999996</v>
      </c>
    </row>
    <row r="3370" spans="1:10" hidden="1" x14ac:dyDescent="0.35">
      <c r="A3370" s="126" t="s">
        <v>407</v>
      </c>
      <c r="B3370" t="str">
        <f>_xlfn.XLOOKUP(A3370,'[1]2050Pop'!$A$7:$A$143,'[1]2050Pop'!$D$7:$D$143)</f>
        <v>Euro/AU/NZ</v>
      </c>
      <c r="C3370" s="127">
        <f>1000*_xlfn.XLOOKUP(A3370,'[1]2050Pop'!$A$7:$A$143,'[1]2050Pop'!$C$7:$C$143)</f>
        <v>8318</v>
      </c>
      <c r="D3370" s="126" t="s">
        <v>525</v>
      </c>
      <c r="E3370" s="128">
        <v>204.40600000000001</v>
      </c>
      <c r="F3370" s="129">
        <f t="shared" si="158"/>
        <v>1.700249108</v>
      </c>
      <c r="G3370" t="str">
        <f>_xlfn.XLOOKUP(D3370,'[1]2050 BAU Mapping to T &amp; C'!$A$3:$A$52,'[1]2050 BAU Mapping to T &amp; C'!$B$3:$B$52)</f>
        <v>Sugar</v>
      </c>
      <c r="H3370" s="129">
        <f>_xlfn.XLOOKUP(G3370,'[1]T&amp;C emissions for 2050 analysis'!$B$3:$B$23,'[1]T&amp;C emissions for 2050 analysis'!$C$3:$C$23)</f>
        <v>7.3333333333333334E-2</v>
      </c>
      <c r="I3370" s="27">
        <f t="shared" si="156"/>
        <v>0.12468493458666666</v>
      </c>
      <c r="J3370" s="129">
        <f t="shared" si="157"/>
        <v>14.989773333333334</v>
      </c>
    </row>
    <row r="3371" spans="1:10" hidden="1" x14ac:dyDescent="0.35">
      <c r="A3371" s="126" t="s">
        <v>408</v>
      </c>
      <c r="B3371" t="str">
        <f>_xlfn.XLOOKUP(A3371,'[1]2050Pop'!$A$7:$A$143,'[1]2050Pop'!$D$7:$D$143)</f>
        <v>India/South Asia</v>
      </c>
      <c r="C3371" s="127">
        <f>1000*_xlfn.XLOOKUP(A3371,'[1]2050Pop'!$A$7:$A$143,'[1]2050Pop'!$C$7:$C$143)</f>
        <v>1705333</v>
      </c>
      <c r="D3371" s="126" t="s">
        <v>525</v>
      </c>
      <c r="E3371" s="128">
        <v>276.64800000000002</v>
      </c>
      <c r="F3371" s="129">
        <f t="shared" si="158"/>
        <v>471.77696378400003</v>
      </c>
      <c r="G3371" t="str">
        <f>_xlfn.XLOOKUP(D3371,'[1]2050 BAU Mapping to T &amp; C'!$A$3:$A$52,'[1]2050 BAU Mapping to T &amp; C'!$B$3:$B$52)</f>
        <v>Sugar</v>
      </c>
      <c r="H3371" s="129">
        <f>_xlfn.XLOOKUP(G3371,'[1]T&amp;C emissions for 2050 analysis'!$B$3:$B$23,'[1]T&amp;C emissions for 2050 analysis'!$C$3:$C$23)</f>
        <v>7.3333333333333334E-2</v>
      </c>
      <c r="I3371" s="27">
        <f t="shared" si="156"/>
        <v>34.596977344160003</v>
      </c>
      <c r="J3371" s="129">
        <f t="shared" si="157"/>
        <v>20.287520000000001</v>
      </c>
    </row>
    <row r="3372" spans="1:10" hidden="1" x14ac:dyDescent="0.35">
      <c r="A3372" s="126" t="s">
        <v>409</v>
      </c>
      <c r="B3372" t="str">
        <f>_xlfn.XLOOKUP(A3372,'[1]2050Pop'!$A$7:$A$143,'[1]2050Pop'!$D$7:$D$143)</f>
        <v>APAC</v>
      </c>
      <c r="C3372" s="127">
        <f>1000*_xlfn.XLOOKUP(A3372,'[1]2050Pop'!$A$7:$A$143,'[1]2050Pop'!$C$7:$C$143)</f>
        <v>322237</v>
      </c>
      <c r="D3372" s="126" t="s">
        <v>525</v>
      </c>
      <c r="E3372" s="128">
        <v>181.81700000000001</v>
      </c>
      <c r="F3372" s="129">
        <f t="shared" si="158"/>
        <v>58.588164628999998</v>
      </c>
      <c r="G3372" t="str">
        <f>_xlfn.XLOOKUP(D3372,'[1]2050 BAU Mapping to T &amp; C'!$A$3:$A$52,'[1]2050 BAU Mapping to T &amp; C'!$B$3:$B$52)</f>
        <v>Sugar</v>
      </c>
      <c r="H3372" s="129">
        <f>_xlfn.XLOOKUP(G3372,'[1]T&amp;C emissions for 2050 analysis'!$B$3:$B$23,'[1]T&amp;C emissions for 2050 analysis'!$C$3:$C$23)</f>
        <v>7.3333333333333334E-2</v>
      </c>
      <c r="I3372" s="27">
        <f t="shared" si="156"/>
        <v>4.2964654061266669</v>
      </c>
      <c r="J3372" s="129">
        <f t="shared" si="157"/>
        <v>13.333246666666668</v>
      </c>
    </row>
    <row r="3373" spans="1:10" hidden="1" x14ac:dyDescent="0.35">
      <c r="A3373" s="126" t="s">
        <v>410</v>
      </c>
      <c r="B3373" t="str">
        <f>_xlfn.XLOOKUP(A3373,'[1]2050Pop'!$A$7:$A$143,'[1]2050Pop'!$D$7:$D$143)</f>
        <v>India/South Asia</v>
      </c>
      <c r="C3373" s="127">
        <f>1000*_xlfn.XLOOKUP(A3373,'[1]2050Pop'!$A$7:$A$143,'[1]2050Pop'!$C$7:$C$143)</f>
        <v>92219</v>
      </c>
      <c r="D3373" s="126" t="s">
        <v>525</v>
      </c>
      <c r="E3373" s="128">
        <v>313.38200000000001</v>
      </c>
      <c r="F3373" s="129">
        <f t="shared" si="158"/>
        <v>28.899774657999998</v>
      </c>
      <c r="G3373" t="str">
        <f>_xlfn.XLOOKUP(D3373,'[1]2050 BAU Mapping to T &amp; C'!$A$3:$A$52,'[1]2050 BAU Mapping to T &amp; C'!$B$3:$B$52)</f>
        <v>Sugar</v>
      </c>
      <c r="H3373" s="129">
        <f>_xlfn.XLOOKUP(G3373,'[1]T&amp;C emissions for 2050 analysis'!$B$3:$B$23,'[1]T&amp;C emissions for 2050 analysis'!$C$3:$C$23)</f>
        <v>7.3333333333333334E-2</v>
      </c>
      <c r="I3373" s="27">
        <f t="shared" si="156"/>
        <v>2.1193168082533331</v>
      </c>
      <c r="J3373" s="129">
        <f t="shared" si="157"/>
        <v>22.981346666666667</v>
      </c>
    </row>
    <row r="3374" spans="1:10" hidden="1" x14ac:dyDescent="0.35">
      <c r="A3374" s="126" t="s">
        <v>411</v>
      </c>
      <c r="B3374" t="str">
        <f>_xlfn.XLOOKUP(A3374,'[1]2050Pop'!$A$7:$A$143,'[1]2050Pop'!$D$7:$D$143)</f>
        <v>MENA</v>
      </c>
      <c r="C3374" s="127">
        <f>1000*_xlfn.XLOOKUP(A3374,'[1]2050Pop'!$A$7:$A$143,'[1]2050Pop'!$C$7:$C$143)</f>
        <v>83652</v>
      </c>
      <c r="D3374" s="126" t="s">
        <v>525</v>
      </c>
      <c r="E3374" s="128">
        <v>205.328</v>
      </c>
      <c r="F3374" s="129">
        <f t="shared" si="158"/>
        <v>17.176097855999998</v>
      </c>
      <c r="G3374" t="str">
        <f>_xlfn.XLOOKUP(D3374,'[1]2050 BAU Mapping to T &amp; C'!$A$3:$A$52,'[1]2050 BAU Mapping to T &amp; C'!$B$3:$B$52)</f>
        <v>Sugar</v>
      </c>
      <c r="H3374" s="129">
        <f>_xlfn.XLOOKUP(G3374,'[1]T&amp;C emissions for 2050 analysis'!$B$3:$B$23,'[1]T&amp;C emissions for 2050 analysis'!$C$3:$C$23)</f>
        <v>7.3333333333333334E-2</v>
      </c>
      <c r="I3374" s="27">
        <f t="shared" si="156"/>
        <v>1.2595805094399999</v>
      </c>
      <c r="J3374" s="129">
        <f t="shared" si="157"/>
        <v>15.057386666666668</v>
      </c>
    </row>
    <row r="3375" spans="1:10" hidden="1" x14ac:dyDescent="0.35">
      <c r="A3375" s="126" t="s">
        <v>412</v>
      </c>
      <c r="B3375" t="str">
        <f>_xlfn.XLOOKUP(A3375,'[1]2050Pop'!$A$7:$A$143,'[1]2050Pop'!$D$7:$D$143)</f>
        <v>Euro/AU/NZ</v>
      </c>
      <c r="C3375" s="127">
        <f>1000*_xlfn.XLOOKUP(A3375,'[1]2050Pop'!$A$7:$A$143,'[1]2050Pop'!$C$7:$C$143)</f>
        <v>5789</v>
      </c>
      <c r="D3375" s="126" t="s">
        <v>525</v>
      </c>
      <c r="E3375" s="128">
        <v>292.18799999999999</v>
      </c>
      <c r="F3375" s="129">
        <f t="shared" si="158"/>
        <v>1.6914763319999999</v>
      </c>
      <c r="G3375" t="str">
        <f>_xlfn.XLOOKUP(D3375,'[1]2050 BAU Mapping to T &amp; C'!$A$3:$A$52,'[1]2050 BAU Mapping to T &amp; C'!$B$3:$B$52)</f>
        <v>Sugar</v>
      </c>
      <c r="H3375" s="129">
        <f>_xlfn.XLOOKUP(G3375,'[1]T&amp;C emissions for 2050 analysis'!$B$3:$B$23,'[1]T&amp;C emissions for 2050 analysis'!$C$3:$C$23)</f>
        <v>7.3333333333333334E-2</v>
      </c>
      <c r="I3375" s="27">
        <f t="shared" si="156"/>
        <v>0.12404159767999999</v>
      </c>
      <c r="J3375" s="129">
        <f t="shared" si="157"/>
        <v>21.427119999999999</v>
      </c>
    </row>
    <row r="3376" spans="1:10" hidden="1" x14ac:dyDescent="0.35">
      <c r="A3376" s="126" t="s">
        <v>413</v>
      </c>
      <c r="B3376" t="str">
        <f>_xlfn.XLOOKUP(A3376,'[1]2050Pop'!$A$7:$A$143,'[1]2050Pop'!$D$7:$D$143)</f>
        <v>MENA</v>
      </c>
      <c r="C3376" s="127">
        <f>1000*_xlfn.XLOOKUP(A3376,'[1]2050Pop'!$A$7:$A$143,'[1]2050Pop'!$C$7:$C$143)</f>
        <v>12610</v>
      </c>
      <c r="D3376" s="126" t="s">
        <v>525</v>
      </c>
      <c r="E3376" s="128">
        <v>273.012</v>
      </c>
      <c r="F3376" s="129">
        <f t="shared" si="158"/>
        <v>3.4426813199999997</v>
      </c>
      <c r="G3376" t="str">
        <f>_xlfn.XLOOKUP(D3376,'[1]2050 BAU Mapping to T &amp; C'!$A$3:$A$52,'[1]2050 BAU Mapping to T &amp; C'!$B$3:$B$52)</f>
        <v>Sugar</v>
      </c>
      <c r="H3376" s="129">
        <f>_xlfn.XLOOKUP(G3376,'[1]T&amp;C emissions for 2050 analysis'!$B$3:$B$23,'[1]T&amp;C emissions for 2050 analysis'!$C$3:$C$23)</f>
        <v>7.3333333333333334E-2</v>
      </c>
      <c r="I3376" s="27">
        <f t="shared" si="156"/>
        <v>0.25246329679999996</v>
      </c>
      <c r="J3376" s="129">
        <f t="shared" si="157"/>
        <v>20.020880000000002</v>
      </c>
    </row>
    <row r="3377" spans="1:10" hidden="1" x14ac:dyDescent="0.35">
      <c r="A3377" s="126" t="s">
        <v>414</v>
      </c>
      <c r="B3377" t="str">
        <f>_xlfn.XLOOKUP(A3377,'[1]2050Pop'!$A$7:$A$143,'[1]2050Pop'!$D$7:$D$143)</f>
        <v>Euro/AU/NZ</v>
      </c>
      <c r="C3377" s="127">
        <f>1000*_xlfn.XLOOKUP(A3377,'[1]2050Pop'!$A$7:$A$143,'[1]2050Pop'!$C$7:$C$143)</f>
        <v>56513</v>
      </c>
      <c r="D3377" s="126" t="s">
        <v>525</v>
      </c>
      <c r="E3377" s="130">
        <v>311.43</v>
      </c>
      <c r="F3377" s="129">
        <f t="shared" si="158"/>
        <v>17.599843589999999</v>
      </c>
      <c r="G3377" t="str">
        <f>_xlfn.XLOOKUP(D3377,'[1]2050 BAU Mapping to T &amp; C'!$A$3:$A$52,'[1]2050 BAU Mapping to T &amp; C'!$B$3:$B$52)</f>
        <v>Sugar</v>
      </c>
      <c r="H3377" s="129">
        <f>_xlfn.XLOOKUP(G3377,'[1]T&amp;C emissions for 2050 analysis'!$B$3:$B$23,'[1]T&amp;C emissions for 2050 analysis'!$C$3:$C$23)</f>
        <v>7.3333333333333334E-2</v>
      </c>
      <c r="I3377" s="27">
        <f t="shared" si="156"/>
        <v>1.2906551965999999</v>
      </c>
      <c r="J3377" s="129">
        <f t="shared" si="157"/>
        <v>22.838200000000001</v>
      </c>
    </row>
    <row r="3378" spans="1:10" hidden="1" x14ac:dyDescent="0.35">
      <c r="A3378" s="126" t="s">
        <v>415</v>
      </c>
      <c r="B3378" t="str">
        <f>_xlfn.XLOOKUP(A3378,'[1]2050Pop'!$A$7:$A$143,'[1]2050Pop'!$D$7:$D$143)</f>
        <v>LatAm &amp; RSA</v>
      </c>
      <c r="C3378" s="127">
        <f>1000*_xlfn.XLOOKUP(A3378,'[1]2050Pop'!$A$7:$A$143,'[1]2050Pop'!$C$7:$C$143)</f>
        <v>2710</v>
      </c>
      <c r="D3378" s="126" t="s">
        <v>525</v>
      </c>
      <c r="E3378" s="128">
        <v>494.988</v>
      </c>
      <c r="F3378" s="129">
        <f t="shared" si="158"/>
        <v>1.3414174800000001</v>
      </c>
      <c r="G3378" t="str">
        <f>_xlfn.XLOOKUP(D3378,'[1]2050 BAU Mapping to T &amp; C'!$A$3:$A$52,'[1]2050 BAU Mapping to T &amp; C'!$B$3:$B$52)</f>
        <v>Sugar</v>
      </c>
      <c r="H3378" s="129">
        <f>_xlfn.XLOOKUP(G3378,'[1]T&amp;C emissions for 2050 analysis'!$B$3:$B$23,'[1]T&amp;C emissions for 2050 analysis'!$C$3:$C$23)</f>
        <v>7.3333333333333334E-2</v>
      </c>
      <c r="I3378" s="27">
        <f t="shared" si="156"/>
        <v>9.8370615200000011E-2</v>
      </c>
      <c r="J3378" s="129">
        <f t="shared" si="157"/>
        <v>36.299120000000002</v>
      </c>
    </row>
    <row r="3379" spans="1:10" hidden="1" x14ac:dyDescent="0.35">
      <c r="A3379" s="126" t="s">
        <v>416</v>
      </c>
      <c r="B3379" t="str">
        <f>_xlfn.XLOOKUP(A3379,'[1]2050Pop'!$A$7:$A$143,'[1]2050Pop'!$D$7:$D$143)</f>
        <v>APAC</v>
      </c>
      <c r="C3379" s="127">
        <f>1000*_xlfn.XLOOKUP(A3379,'[1]2050Pop'!$A$7:$A$143,'[1]2050Pop'!$C$7:$C$143)</f>
        <v>107411</v>
      </c>
      <c r="D3379" s="126" t="s">
        <v>525</v>
      </c>
      <c r="E3379" s="128">
        <v>184.79599999999999</v>
      </c>
      <c r="F3379" s="129">
        <f t="shared" si="158"/>
        <v>19.849123156000001</v>
      </c>
      <c r="G3379" t="str">
        <f>_xlfn.XLOOKUP(D3379,'[1]2050 BAU Mapping to T &amp; C'!$A$3:$A$52,'[1]2050 BAU Mapping to T &amp; C'!$B$3:$B$52)</f>
        <v>Sugar</v>
      </c>
      <c r="H3379" s="129">
        <f>_xlfn.XLOOKUP(G3379,'[1]T&amp;C emissions for 2050 analysis'!$B$3:$B$23,'[1]T&amp;C emissions for 2050 analysis'!$C$3:$C$23)</f>
        <v>7.3333333333333334E-2</v>
      </c>
      <c r="I3379" s="27">
        <f t="shared" si="156"/>
        <v>1.4556023647733334</v>
      </c>
      <c r="J3379" s="129">
        <f t="shared" si="157"/>
        <v>13.551706666666666</v>
      </c>
    </row>
    <row r="3380" spans="1:10" hidden="1" x14ac:dyDescent="0.35">
      <c r="A3380" s="126" t="s">
        <v>417</v>
      </c>
      <c r="B3380" t="str">
        <f>_xlfn.XLOOKUP(A3380,'[1]2050Pop'!$A$7:$A$143,'[1]2050Pop'!$D$7:$D$143)</f>
        <v>MENA</v>
      </c>
      <c r="C3380" s="127">
        <f>1000*_xlfn.XLOOKUP(A3380,'[1]2050Pop'!$A$7:$A$143,'[1]2050Pop'!$C$7:$C$143)</f>
        <v>11717</v>
      </c>
      <c r="D3380" s="126" t="s">
        <v>525</v>
      </c>
      <c r="E3380" s="128">
        <v>533.79100000000005</v>
      </c>
      <c r="F3380" s="129">
        <f t="shared" si="158"/>
        <v>6.2544291470000006</v>
      </c>
      <c r="G3380" t="str">
        <f>_xlfn.XLOOKUP(D3380,'[1]2050 BAU Mapping to T &amp; C'!$A$3:$A$52,'[1]2050 BAU Mapping to T &amp; C'!$B$3:$B$52)</f>
        <v>Sugar</v>
      </c>
      <c r="H3380" s="129">
        <f>_xlfn.XLOOKUP(G3380,'[1]T&amp;C emissions for 2050 analysis'!$B$3:$B$23,'[1]T&amp;C emissions for 2050 analysis'!$C$3:$C$23)</f>
        <v>7.3333333333333334E-2</v>
      </c>
      <c r="I3380" s="27">
        <f t="shared" si="156"/>
        <v>0.45865813744666672</v>
      </c>
      <c r="J3380" s="129">
        <f t="shared" si="157"/>
        <v>39.144673333333337</v>
      </c>
    </row>
    <row r="3381" spans="1:10" hidden="1" x14ac:dyDescent="0.35">
      <c r="A3381" s="126" t="s">
        <v>418</v>
      </c>
      <c r="B3381" t="str">
        <f>_xlfn.XLOOKUP(A3381,'[1]2050Pop'!$A$7:$A$143,'[1]2050Pop'!$D$7:$D$143)</f>
        <v>APAC</v>
      </c>
      <c r="C3381" s="127">
        <f>1000*_xlfn.XLOOKUP(A3381,'[1]2050Pop'!$A$7:$A$143,'[1]2050Pop'!$C$7:$C$143)</f>
        <v>22447</v>
      </c>
      <c r="D3381" s="126" t="s">
        <v>525</v>
      </c>
      <c r="E3381" s="128">
        <v>330.30500000000001</v>
      </c>
      <c r="F3381" s="129">
        <f t="shared" si="158"/>
        <v>7.4143563349999999</v>
      </c>
      <c r="G3381" t="str">
        <f>_xlfn.XLOOKUP(D3381,'[1]2050 BAU Mapping to T &amp; C'!$A$3:$A$52,'[1]2050 BAU Mapping to T &amp; C'!$B$3:$B$52)</f>
        <v>Sugar</v>
      </c>
      <c r="H3381" s="129">
        <f>_xlfn.XLOOKUP(G3381,'[1]T&amp;C emissions for 2050 analysis'!$B$3:$B$23,'[1]T&amp;C emissions for 2050 analysis'!$C$3:$C$23)</f>
        <v>7.3333333333333334E-2</v>
      </c>
      <c r="I3381" s="27">
        <f t="shared" si="156"/>
        <v>0.54371946456666664</v>
      </c>
      <c r="J3381" s="129">
        <f t="shared" si="157"/>
        <v>24.222366666666666</v>
      </c>
    </row>
    <row r="3382" spans="1:10" hidden="1" x14ac:dyDescent="0.35">
      <c r="A3382" s="126" t="s">
        <v>419</v>
      </c>
      <c r="B3382" t="str">
        <f>_xlfn.XLOOKUP(A3382,'[1]2050Pop'!$A$7:$A$143,'[1]2050Pop'!$D$7:$D$143)</f>
        <v>SSA</v>
      </c>
      <c r="C3382" s="127">
        <f>1000*_xlfn.XLOOKUP(A3382,'[1]2050Pop'!$A$7:$A$143,'[1]2050Pop'!$C$7:$C$143)</f>
        <v>95505</v>
      </c>
      <c r="D3382" s="126" t="s">
        <v>525</v>
      </c>
      <c r="E3382" s="128">
        <v>203.59299999999999</v>
      </c>
      <c r="F3382" s="129">
        <f t="shared" si="158"/>
        <v>19.444149464999999</v>
      </c>
      <c r="G3382" t="str">
        <f>_xlfn.XLOOKUP(D3382,'[1]2050 BAU Mapping to T &amp; C'!$A$3:$A$52,'[1]2050 BAU Mapping to T &amp; C'!$B$3:$B$52)</f>
        <v>Sugar</v>
      </c>
      <c r="H3382" s="129">
        <f>_xlfn.XLOOKUP(G3382,'[1]T&amp;C emissions for 2050 analysis'!$B$3:$B$23,'[1]T&amp;C emissions for 2050 analysis'!$C$3:$C$23)</f>
        <v>7.3333333333333334E-2</v>
      </c>
      <c r="I3382" s="27">
        <f t="shared" si="156"/>
        <v>1.4259042941</v>
      </c>
      <c r="J3382" s="129">
        <f t="shared" si="157"/>
        <v>14.930153333333333</v>
      </c>
    </row>
    <row r="3383" spans="1:10" hidden="1" x14ac:dyDescent="0.35">
      <c r="A3383" s="126" t="s">
        <v>420</v>
      </c>
      <c r="B3383" t="str">
        <f>_xlfn.XLOOKUP(A3383,'[1]2050Pop'!$A$7:$A$143,'[1]2050Pop'!$D$7:$D$143)</f>
        <v>APAC</v>
      </c>
      <c r="C3383" s="127">
        <f>1000*_xlfn.XLOOKUP(A3383,'[1]2050Pop'!$A$7:$A$143,'[1]2050Pop'!$C$7:$C$143)</f>
        <v>8248</v>
      </c>
      <c r="D3383" s="126" t="s">
        <v>525</v>
      </c>
      <c r="E3383" s="128">
        <v>316.95100000000002</v>
      </c>
      <c r="F3383" s="129">
        <f t="shared" si="158"/>
        <v>2.6142118480000001</v>
      </c>
      <c r="G3383" t="str">
        <f>_xlfn.XLOOKUP(D3383,'[1]2050 BAU Mapping to T &amp; C'!$A$3:$A$52,'[1]2050 BAU Mapping to T &amp; C'!$B$3:$B$52)</f>
        <v>Sugar</v>
      </c>
      <c r="H3383" s="129">
        <f>_xlfn.XLOOKUP(G3383,'[1]T&amp;C emissions for 2050 analysis'!$B$3:$B$23,'[1]T&amp;C emissions for 2050 analysis'!$C$3:$C$23)</f>
        <v>7.3333333333333334E-2</v>
      </c>
      <c r="I3383" s="27">
        <f t="shared" si="156"/>
        <v>0.19170886885333333</v>
      </c>
      <c r="J3383" s="129">
        <f t="shared" si="157"/>
        <v>23.243073333333335</v>
      </c>
    </row>
    <row r="3384" spans="1:10" hidden="1" x14ac:dyDescent="0.35">
      <c r="A3384" s="126" t="s">
        <v>421</v>
      </c>
      <c r="B3384" t="str">
        <f>_xlfn.XLOOKUP(A3384,'[1]2050Pop'!$A$7:$A$143,'[1]2050Pop'!$D$7:$D$143)</f>
        <v>APAC</v>
      </c>
      <c r="C3384" s="127">
        <f>1000*_xlfn.XLOOKUP(A3384,'[1]2050Pop'!$A$7:$A$143,'[1]2050Pop'!$C$7:$C$143)</f>
        <v>10172</v>
      </c>
      <c r="D3384" s="126" t="s">
        <v>525</v>
      </c>
      <c r="E3384" s="128">
        <v>57.603000000000002</v>
      </c>
      <c r="F3384" s="129">
        <f t="shared" si="158"/>
        <v>0.585937716</v>
      </c>
      <c r="G3384" t="str">
        <f>_xlfn.XLOOKUP(D3384,'[1]2050 BAU Mapping to T &amp; C'!$A$3:$A$52,'[1]2050 BAU Mapping to T &amp; C'!$B$3:$B$52)</f>
        <v>Sugar</v>
      </c>
      <c r="H3384" s="129">
        <f>_xlfn.XLOOKUP(G3384,'[1]T&amp;C emissions for 2050 analysis'!$B$3:$B$23,'[1]T&amp;C emissions for 2050 analysis'!$C$3:$C$23)</f>
        <v>7.3333333333333334E-2</v>
      </c>
      <c r="I3384" s="27">
        <f t="shared" si="156"/>
        <v>4.2968765839999999E-2</v>
      </c>
      <c r="J3384" s="129">
        <f t="shared" si="157"/>
        <v>4.2242199999999999</v>
      </c>
    </row>
    <row r="3385" spans="1:10" hidden="1" x14ac:dyDescent="0.35">
      <c r="A3385" s="126" t="s">
        <v>422</v>
      </c>
      <c r="B3385" t="str">
        <f>_xlfn.XLOOKUP(A3385,'[1]2050Pop'!$A$7:$A$143,'[1]2050Pop'!$D$7:$D$143)</f>
        <v>Euro/AU/NZ</v>
      </c>
      <c r="C3385" s="127">
        <f>1000*_xlfn.XLOOKUP(A3385,'[1]2050Pop'!$A$7:$A$143,'[1]2050Pop'!$C$7:$C$143)</f>
        <v>1593</v>
      </c>
      <c r="D3385" s="126" t="s">
        <v>525</v>
      </c>
      <c r="E3385" s="128">
        <v>314.21300000000002</v>
      </c>
      <c r="F3385" s="129">
        <f t="shared" si="158"/>
        <v>0.50054130900000005</v>
      </c>
      <c r="G3385" t="str">
        <f>_xlfn.XLOOKUP(D3385,'[1]2050 BAU Mapping to T &amp; C'!$A$3:$A$52,'[1]2050 BAU Mapping to T &amp; C'!$B$3:$B$52)</f>
        <v>Sugar</v>
      </c>
      <c r="H3385" s="129">
        <f>_xlfn.XLOOKUP(G3385,'[1]T&amp;C emissions for 2050 analysis'!$B$3:$B$23,'[1]T&amp;C emissions for 2050 analysis'!$C$3:$C$23)</f>
        <v>7.3333333333333334E-2</v>
      </c>
      <c r="I3385" s="27">
        <f t="shared" si="156"/>
        <v>3.6706362660000005E-2</v>
      </c>
      <c r="J3385" s="129">
        <f t="shared" si="157"/>
        <v>23.042286666666669</v>
      </c>
    </row>
    <row r="3386" spans="1:10" hidden="1" x14ac:dyDescent="0.35">
      <c r="A3386" s="126" t="s">
        <v>423</v>
      </c>
      <c r="B3386" t="str">
        <f>_xlfn.XLOOKUP(A3386,'[1]2050Pop'!$A$7:$A$143,'[1]2050Pop'!$D$7:$D$143)</f>
        <v>MENA</v>
      </c>
      <c r="C3386" s="127">
        <f>1000*_xlfn.XLOOKUP(A3386,'[1]2050Pop'!$A$7:$A$143,'[1]2050Pop'!$C$7:$C$143)</f>
        <v>5610</v>
      </c>
      <c r="D3386" s="126" t="s">
        <v>525</v>
      </c>
      <c r="E3386" s="128">
        <v>459.83499999999998</v>
      </c>
      <c r="F3386" s="129">
        <f t="shared" si="158"/>
        <v>2.5796743499999999</v>
      </c>
      <c r="G3386" t="str">
        <f>_xlfn.XLOOKUP(D3386,'[1]2050 BAU Mapping to T &amp; C'!$A$3:$A$52,'[1]2050 BAU Mapping to T &amp; C'!$B$3:$B$52)</f>
        <v>Sugar</v>
      </c>
      <c r="H3386" s="129">
        <f>_xlfn.XLOOKUP(G3386,'[1]T&amp;C emissions for 2050 analysis'!$B$3:$B$23,'[1]T&amp;C emissions for 2050 analysis'!$C$3:$C$23)</f>
        <v>7.3333333333333334E-2</v>
      </c>
      <c r="I3386" s="27">
        <f t="shared" si="156"/>
        <v>0.189176119</v>
      </c>
      <c r="J3386" s="129">
        <f t="shared" si="157"/>
        <v>33.721233333333331</v>
      </c>
    </row>
    <row r="3387" spans="1:10" hidden="1" x14ac:dyDescent="0.35">
      <c r="A3387" s="126" t="s">
        <v>424</v>
      </c>
      <c r="B3387" t="str">
        <f>_xlfn.XLOOKUP(A3387,'[1]2050Pop'!$A$7:$A$143,'[1]2050Pop'!$D$7:$D$143)</f>
        <v>SSA</v>
      </c>
      <c r="C3387" s="127">
        <f>1000*_xlfn.XLOOKUP(A3387,'[1]2050Pop'!$A$7:$A$143,'[1]2050Pop'!$C$7:$C$143)</f>
        <v>2987</v>
      </c>
      <c r="D3387" s="126" t="s">
        <v>525</v>
      </c>
      <c r="E3387" s="128">
        <v>193.33799999999999</v>
      </c>
      <c r="F3387" s="129">
        <f t="shared" si="158"/>
        <v>0.57750060600000008</v>
      </c>
      <c r="G3387" t="str">
        <f>_xlfn.XLOOKUP(D3387,'[1]2050 BAU Mapping to T &amp; C'!$A$3:$A$52,'[1]2050 BAU Mapping to T &amp; C'!$B$3:$B$52)</f>
        <v>Sugar</v>
      </c>
      <c r="H3387" s="129">
        <f>_xlfn.XLOOKUP(G3387,'[1]T&amp;C emissions for 2050 analysis'!$B$3:$B$23,'[1]T&amp;C emissions for 2050 analysis'!$C$3:$C$23)</f>
        <v>7.3333333333333334E-2</v>
      </c>
      <c r="I3387" s="27">
        <f t="shared" si="156"/>
        <v>4.2350044440000005E-2</v>
      </c>
      <c r="J3387" s="129">
        <f t="shared" si="157"/>
        <v>14.17812</v>
      </c>
    </row>
    <row r="3388" spans="1:10" hidden="1" x14ac:dyDescent="0.35">
      <c r="A3388" s="126" t="s">
        <v>425</v>
      </c>
      <c r="B3388" t="str">
        <f>_xlfn.XLOOKUP(A3388,'[1]2050Pop'!$A$7:$A$143,'[1]2050Pop'!$D$7:$D$143)</f>
        <v>SSA</v>
      </c>
      <c r="C3388" s="127">
        <f>1000*_xlfn.XLOOKUP(A3388,'[1]2050Pop'!$A$7:$A$143,'[1]2050Pop'!$C$7:$C$143)</f>
        <v>9436</v>
      </c>
      <c r="D3388" s="126" t="s">
        <v>525</v>
      </c>
      <c r="E3388" s="128">
        <v>65.905000000000001</v>
      </c>
      <c r="F3388" s="129">
        <f t="shared" si="158"/>
        <v>0.62187957999999999</v>
      </c>
      <c r="G3388" t="str">
        <f>_xlfn.XLOOKUP(D3388,'[1]2050 BAU Mapping to T &amp; C'!$A$3:$A$52,'[1]2050 BAU Mapping to T &amp; C'!$B$3:$B$52)</f>
        <v>Sugar</v>
      </c>
      <c r="H3388" s="129">
        <f>_xlfn.XLOOKUP(G3388,'[1]T&amp;C emissions for 2050 analysis'!$B$3:$B$23,'[1]T&amp;C emissions for 2050 analysis'!$C$3:$C$23)</f>
        <v>7.3333333333333334E-2</v>
      </c>
      <c r="I3388" s="27">
        <f t="shared" si="156"/>
        <v>4.5604502533333334E-2</v>
      </c>
      <c r="J3388" s="129">
        <f t="shared" si="157"/>
        <v>4.8330333333333337</v>
      </c>
    </row>
    <row r="3389" spans="1:10" hidden="1" x14ac:dyDescent="0.35">
      <c r="A3389" s="126" t="s">
        <v>426</v>
      </c>
      <c r="B3389" t="str">
        <f>_xlfn.XLOOKUP(A3389,'[1]2050Pop'!$A$7:$A$143,'[1]2050Pop'!$D$7:$D$143)</f>
        <v>Euro/AU/NZ</v>
      </c>
      <c r="C3389" s="127">
        <f>1000*_xlfn.XLOOKUP(A3389,'[1]2050Pop'!$A$7:$A$143,'[1]2050Pop'!$C$7:$C$143)</f>
        <v>2375</v>
      </c>
      <c r="D3389" s="126" t="s">
        <v>525</v>
      </c>
      <c r="E3389" s="128">
        <v>330.29500000000002</v>
      </c>
      <c r="F3389" s="129">
        <f t="shared" si="158"/>
        <v>0.78445062499999996</v>
      </c>
      <c r="G3389" t="str">
        <f>_xlfn.XLOOKUP(D3389,'[1]2050 BAU Mapping to T &amp; C'!$A$3:$A$52,'[1]2050 BAU Mapping to T &amp; C'!$B$3:$B$52)</f>
        <v>Sugar</v>
      </c>
      <c r="H3389" s="129">
        <f>_xlfn.XLOOKUP(G3389,'[1]T&amp;C emissions for 2050 analysis'!$B$3:$B$23,'[1]T&amp;C emissions for 2050 analysis'!$C$3:$C$23)</f>
        <v>7.3333333333333334E-2</v>
      </c>
      <c r="I3389" s="27">
        <f t="shared" si="156"/>
        <v>5.7526379166666662E-2</v>
      </c>
      <c r="J3389" s="129">
        <f t="shared" si="157"/>
        <v>24.221633333333333</v>
      </c>
    </row>
    <row r="3390" spans="1:10" hidden="1" x14ac:dyDescent="0.35">
      <c r="A3390" s="126" t="s">
        <v>427</v>
      </c>
      <c r="B3390" t="str">
        <f>_xlfn.XLOOKUP(A3390,'[1]2050Pop'!$A$7:$A$143,'[1]2050Pop'!$D$7:$D$143)</f>
        <v>SSA</v>
      </c>
      <c r="C3390" s="127">
        <f>1000*_xlfn.XLOOKUP(A3390,'[1]2050Pop'!$A$7:$A$143,'[1]2050Pop'!$C$7:$C$143)</f>
        <v>55294</v>
      </c>
      <c r="D3390" s="126" t="s">
        <v>525</v>
      </c>
      <c r="E3390" s="128">
        <v>92.075000000000003</v>
      </c>
      <c r="F3390" s="129">
        <f t="shared" si="158"/>
        <v>5.0911950499999996</v>
      </c>
      <c r="G3390" t="str">
        <f>_xlfn.XLOOKUP(D3390,'[1]2050 BAU Mapping to T &amp; C'!$A$3:$A$52,'[1]2050 BAU Mapping to T &amp; C'!$B$3:$B$52)</f>
        <v>Sugar</v>
      </c>
      <c r="H3390" s="129">
        <f>_xlfn.XLOOKUP(G3390,'[1]T&amp;C emissions for 2050 analysis'!$B$3:$B$23,'[1]T&amp;C emissions for 2050 analysis'!$C$3:$C$23)</f>
        <v>7.3333333333333334E-2</v>
      </c>
      <c r="I3390" s="27">
        <f t="shared" si="156"/>
        <v>0.37335430366666666</v>
      </c>
      <c r="J3390" s="129">
        <f t="shared" si="157"/>
        <v>6.7521666666666667</v>
      </c>
    </row>
    <row r="3391" spans="1:10" hidden="1" x14ac:dyDescent="0.35">
      <c r="A3391" s="126" t="s">
        <v>428</v>
      </c>
      <c r="B3391" t="str">
        <f>_xlfn.XLOOKUP(A3391,'[1]2050Pop'!$A$7:$A$143,'[1]2050Pop'!$D$7:$D$143)</f>
        <v>SSA</v>
      </c>
      <c r="C3391" s="127">
        <f>1000*_xlfn.XLOOKUP(A3391,'[1]2050Pop'!$A$7:$A$143,'[1]2050Pop'!$C$7:$C$143)</f>
        <v>43155</v>
      </c>
      <c r="D3391" s="126" t="s">
        <v>525</v>
      </c>
      <c r="E3391" s="128">
        <v>112.996</v>
      </c>
      <c r="F3391" s="129">
        <f t="shared" si="158"/>
        <v>4.8763423799999996</v>
      </c>
      <c r="G3391" t="str">
        <f>_xlfn.XLOOKUP(D3391,'[1]2050 BAU Mapping to T &amp; C'!$A$3:$A$52,'[1]2050 BAU Mapping to T &amp; C'!$B$3:$B$52)</f>
        <v>Sugar</v>
      </c>
      <c r="H3391" s="129">
        <f>_xlfn.XLOOKUP(G3391,'[1]T&amp;C emissions for 2050 analysis'!$B$3:$B$23,'[1]T&amp;C emissions for 2050 analysis'!$C$3:$C$23)</f>
        <v>7.3333333333333334E-2</v>
      </c>
      <c r="I3391" s="27">
        <f t="shared" si="156"/>
        <v>0.35759844119999995</v>
      </c>
      <c r="J3391" s="129">
        <f t="shared" si="157"/>
        <v>8.2863733333333336</v>
      </c>
    </row>
    <row r="3392" spans="1:10" hidden="1" x14ac:dyDescent="0.35">
      <c r="A3392" s="126" t="s">
        <v>429</v>
      </c>
      <c r="B3392" t="str">
        <f>_xlfn.XLOOKUP(A3392,'[1]2050Pop'!$A$7:$A$143,'[1]2050Pop'!$D$7:$D$143)</f>
        <v>APAC</v>
      </c>
      <c r="C3392" s="127">
        <f>1000*_xlfn.XLOOKUP(A3392,'[1]2050Pop'!$A$7:$A$143,'[1]2050Pop'!$C$7:$C$143)</f>
        <v>40725</v>
      </c>
      <c r="D3392" s="126" t="s">
        <v>525</v>
      </c>
      <c r="E3392" s="128">
        <v>444.49200000000002</v>
      </c>
      <c r="F3392" s="129">
        <f t="shared" si="158"/>
        <v>18.1019367</v>
      </c>
      <c r="G3392" t="str">
        <f>_xlfn.XLOOKUP(D3392,'[1]2050 BAU Mapping to T &amp; C'!$A$3:$A$52,'[1]2050 BAU Mapping to T &amp; C'!$B$3:$B$52)</f>
        <v>Sugar</v>
      </c>
      <c r="H3392" s="129">
        <f>_xlfn.XLOOKUP(G3392,'[1]T&amp;C emissions for 2050 analysis'!$B$3:$B$23,'[1]T&amp;C emissions for 2050 analysis'!$C$3:$C$23)</f>
        <v>7.3333333333333334E-2</v>
      </c>
      <c r="I3392" s="27">
        <f t="shared" si="156"/>
        <v>1.327475358</v>
      </c>
      <c r="J3392" s="129">
        <f t="shared" si="157"/>
        <v>32.596080000000001</v>
      </c>
    </row>
    <row r="3393" spans="1:10" hidden="1" x14ac:dyDescent="0.35">
      <c r="A3393" s="126" t="s">
        <v>430</v>
      </c>
      <c r="B3393" t="str">
        <f>_xlfn.XLOOKUP(A3393,'[1]2050Pop'!$A$7:$A$143,'[1]2050Pop'!$D$7:$D$143)</f>
        <v>SSA</v>
      </c>
      <c r="C3393" s="127">
        <f>1000*_xlfn.XLOOKUP(A3393,'[1]2050Pop'!$A$7:$A$143,'[1]2050Pop'!$C$7:$C$143)</f>
        <v>45404</v>
      </c>
      <c r="D3393" s="126" t="s">
        <v>525</v>
      </c>
      <c r="E3393" s="128">
        <v>126.09399999999999</v>
      </c>
      <c r="F3393" s="129">
        <f t="shared" si="158"/>
        <v>5.7251719759999995</v>
      </c>
      <c r="G3393" t="str">
        <f>_xlfn.XLOOKUP(D3393,'[1]2050 BAU Mapping to T &amp; C'!$A$3:$A$52,'[1]2050 BAU Mapping to T &amp; C'!$B$3:$B$52)</f>
        <v>Sugar</v>
      </c>
      <c r="H3393" s="129">
        <f>_xlfn.XLOOKUP(G3393,'[1]T&amp;C emissions for 2050 analysis'!$B$3:$B$23,'[1]T&amp;C emissions for 2050 analysis'!$C$3:$C$23)</f>
        <v>7.3333333333333334E-2</v>
      </c>
      <c r="I3393" s="27">
        <f t="shared" si="156"/>
        <v>0.41984594490666666</v>
      </c>
      <c r="J3393" s="129">
        <f t="shared" si="157"/>
        <v>9.2468933333333325</v>
      </c>
    </row>
    <row r="3394" spans="1:10" hidden="1" x14ac:dyDescent="0.35">
      <c r="A3394" s="126" t="s">
        <v>431</v>
      </c>
      <c r="B3394" t="str">
        <f>_xlfn.XLOOKUP(A3394,'[1]2050Pop'!$A$7:$A$143,'[1]2050Pop'!$D$7:$D$143)</f>
        <v>SSA</v>
      </c>
      <c r="C3394" s="127">
        <f>1000*_xlfn.XLOOKUP(A3394,'[1]2050Pop'!$A$7:$A$143,'[1]2050Pop'!$C$7:$C$143)</f>
        <v>8048.9999999999991</v>
      </c>
      <c r="D3394" s="126" t="s">
        <v>525</v>
      </c>
      <c r="E3394" s="128">
        <v>408.101</v>
      </c>
      <c r="F3394" s="129">
        <f t="shared" si="158"/>
        <v>3.2848049489999998</v>
      </c>
      <c r="G3394" t="str">
        <f>_xlfn.XLOOKUP(D3394,'[1]2050 BAU Mapping to T &amp; C'!$A$3:$A$52,'[1]2050 BAU Mapping to T &amp; C'!$B$3:$B$52)</f>
        <v>Sugar</v>
      </c>
      <c r="H3394" s="129">
        <f>_xlfn.XLOOKUP(G3394,'[1]T&amp;C emissions for 2050 analysis'!$B$3:$B$23,'[1]T&amp;C emissions for 2050 analysis'!$C$3:$C$23)</f>
        <v>7.3333333333333334E-2</v>
      </c>
      <c r="I3394" s="27">
        <f t="shared" si="156"/>
        <v>0.24088569625999998</v>
      </c>
      <c r="J3394" s="129">
        <f t="shared" si="157"/>
        <v>29.927406666666666</v>
      </c>
    </row>
    <row r="3395" spans="1:10" hidden="1" x14ac:dyDescent="0.35">
      <c r="A3395" s="126" t="s">
        <v>432</v>
      </c>
      <c r="B3395" t="str">
        <f>_xlfn.XLOOKUP(A3395,'[1]2050Pop'!$A$7:$A$143,'[1]2050Pop'!$D$7:$D$143)</f>
        <v>SSA</v>
      </c>
      <c r="C3395" s="127">
        <f>1000*_xlfn.XLOOKUP(A3395,'[1]2050Pop'!$A$7:$A$143,'[1]2050Pop'!$C$7:$C$143)</f>
        <v>1249</v>
      </c>
      <c r="D3395" s="126" t="s">
        <v>525</v>
      </c>
      <c r="E3395" s="128">
        <v>344.99900000000002</v>
      </c>
      <c r="F3395" s="129">
        <f t="shared" si="158"/>
        <v>0.43090375100000006</v>
      </c>
      <c r="G3395" t="str">
        <f>_xlfn.XLOOKUP(D3395,'[1]2050 BAU Mapping to T &amp; C'!$A$3:$A$52,'[1]2050 BAU Mapping to T &amp; C'!$B$3:$B$52)</f>
        <v>Sugar</v>
      </c>
      <c r="H3395" s="129">
        <f>_xlfn.XLOOKUP(G3395,'[1]T&amp;C emissions for 2050 analysis'!$B$3:$B$23,'[1]T&amp;C emissions for 2050 analysis'!$C$3:$C$23)</f>
        <v>7.3333333333333334E-2</v>
      </c>
      <c r="I3395" s="27">
        <f t="shared" si="156"/>
        <v>3.1599608406666674E-2</v>
      </c>
      <c r="J3395" s="129">
        <f t="shared" si="157"/>
        <v>25.299926666666668</v>
      </c>
    </row>
    <row r="3396" spans="1:10" hidden="1" x14ac:dyDescent="0.35">
      <c r="A3396" s="126" t="s">
        <v>433</v>
      </c>
      <c r="B3396" t="str">
        <f>_xlfn.XLOOKUP(A3396,'[1]2050Pop'!$A$7:$A$143,'[1]2050Pop'!$D$7:$D$143)</f>
        <v>LatAm &amp; RSA</v>
      </c>
      <c r="C3396" s="127">
        <f>1000*_xlfn.XLOOKUP(A3396,'[1]2050Pop'!$A$7:$A$143,'[1]2050Pop'!$C$7:$C$143)</f>
        <v>163754</v>
      </c>
      <c r="D3396" s="126" t="s">
        <v>525</v>
      </c>
      <c r="E3396" s="128">
        <v>401.21300000000002</v>
      </c>
      <c r="F3396" s="129">
        <f t="shared" si="158"/>
        <v>65.700233602000012</v>
      </c>
      <c r="G3396" t="str">
        <f>_xlfn.XLOOKUP(D3396,'[1]2050 BAU Mapping to T &amp; C'!$A$3:$A$52,'[1]2050 BAU Mapping to T &amp; C'!$B$3:$B$52)</f>
        <v>Sugar</v>
      </c>
      <c r="H3396" s="129">
        <f>_xlfn.XLOOKUP(G3396,'[1]T&amp;C emissions for 2050 analysis'!$B$3:$B$23,'[1]T&amp;C emissions for 2050 analysis'!$C$3:$C$23)</f>
        <v>7.3333333333333334E-2</v>
      </c>
      <c r="I3396" s="27">
        <f t="shared" ref="I3396:I3459" si="159">F3396*H3396</f>
        <v>4.8180171308133346</v>
      </c>
      <c r="J3396" s="129">
        <f t="shared" ref="J3396:J3459" si="160">E3396*H3396</f>
        <v>29.422286666666668</v>
      </c>
    </row>
    <row r="3397" spans="1:10" hidden="1" x14ac:dyDescent="0.35">
      <c r="A3397" s="126" t="s">
        <v>434</v>
      </c>
      <c r="B3397" t="str">
        <f>_xlfn.XLOOKUP(A3397,'[1]2050Pop'!$A$7:$A$143,'[1]2050Pop'!$D$7:$D$143)</f>
        <v>APAC</v>
      </c>
      <c r="C3397" s="127">
        <f>1000*_xlfn.XLOOKUP(A3397,'[1]2050Pop'!$A$7:$A$143,'[1]2050Pop'!$C$7:$C$143)</f>
        <v>4027.9999999999995</v>
      </c>
      <c r="D3397" s="126" t="s">
        <v>525</v>
      </c>
      <c r="E3397" s="128">
        <v>161.11199999999999</v>
      </c>
      <c r="F3397" s="129">
        <f t="shared" ref="F3397:F3460" si="161">C3397*E3397/1000000</f>
        <v>0.64895913599999999</v>
      </c>
      <c r="G3397" t="str">
        <f>_xlfn.XLOOKUP(D3397,'[1]2050 BAU Mapping to T &amp; C'!$A$3:$A$52,'[1]2050 BAU Mapping to T &amp; C'!$B$3:$B$52)</f>
        <v>Sugar</v>
      </c>
      <c r="H3397" s="129">
        <f>_xlfn.XLOOKUP(G3397,'[1]T&amp;C emissions for 2050 analysis'!$B$3:$B$23,'[1]T&amp;C emissions for 2050 analysis'!$C$3:$C$23)</f>
        <v>7.3333333333333334E-2</v>
      </c>
      <c r="I3397" s="27">
        <f t="shared" si="159"/>
        <v>4.7590336640000001E-2</v>
      </c>
      <c r="J3397" s="129">
        <f t="shared" si="160"/>
        <v>11.81488</v>
      </c>
    </row>
    <row r="3398" spans="1:10" hidden="1" x14ac:dyDescent="0.35">
      <c r="A3398" s="126" t="s">
        <v>435</v>
      </c>
      <c r="B3398" t="str">
        <f>_xlfn.XLOOKUP(A3398,'[1]2050Pop'!$A$7:$A$143,'[1]2050Pop'!$D$7:$D$143)</f>
        <v>MENA</v>
      </c>
      <c r="C3398" s="127">
        <f>1000*_xlfn.XLOOKUP(A3398,'[1]2050Pop'!$A$7:$A$143,'[1]2050Pop'!$C$7:$C$143)</f>
        <v>43696</v>
      </c>
      <c r="D3398" s="126" t="s">
        <v>525</v>
      </c>
      <c r="E3398" s="128">
        <v>448.07299999999998</v>
      </c>
      <c r="F3398" s="129">
        <f t="shared" si="161"/>
        <v>19.578997807999997</v>
      </c>
      <c r="G3398" t="str">
        <f>_xlfn.XLOOKUP(D3398,'[1]2050 BAU Mapping to T &amp; C'!$A$3:$A$52,'[1]2050 BAU Mapping to T &amp; C'!$B$3:$B$52)</f>
        <v>Sugar</v>
      </c>
      <c r="H3398" s="129">
        <f>_xlfn.XLOOKUP(G3398,'[1]T&amp;C emissions for 2050 analysis'!$B$3:$B$23,'[1]T&amp;C emissions for 2050 analysis'!$C$3:$C$23)</f>
        <v>7.3333333333333334E-2</v>
      </c>
      <c r="I3398" s="27">
        <f t="shared" si="159"/>
        <v>1.4357931725866664</v>
      </c>
      <c r="J3398" s="129">
        <f t="shared" si="160"/>
        <v>32.858686666666664</v>
      </c>
    </row>
    <row r="3399" spans="1:10" hidden="1" x14ac:dyDescent="0.35">
      <c r="A3399" s="126" t="s">
        <v>436</v>
      </c>
      <c r="B3399" t="str">
        <f>_xlfn.XLOOKUP(A3399,'[1]2050Pop'!$A$7:$A$143,'[1]2050Pop'!$D$7:$D$143)</f>
        <v>SSA</v>
      </c>
      <c r="C3399" s="127">
        <f>1000*_xlfn.XLOOKUP(A3399,'[1]2050Pop'!$A$7:$A$143,'[1]2050Pop'!$C$7:$C$143)</f>
        <v>65544</v>
      </c>
      <c r="D3399" s="126" t="s">
        <v>525</v>
      </c>
      <c r="E3399" s="128">
        <v>136.81899999999999</v>
      </c>
      <c r="F3399" s="129">
        <f t="shared" si="161"/>
        <v>8.9676645359999991</v>
      </c>
      <c r="G3399" t="str">
        <f>_xlfn.XLOOKUP(D3399,'[1]2050 BAU Mapping to T &amp; C'!$A$3:$A$52,'[1]2050 BAU Mapping to T &amp; C'!$B$3:$B$52)</f>
        <v>Sugar</v>
      </c>
      <c r="H3399" s="129">
        <f>_xlfn.XLOOKUP(G3399,'[1]T&amp;C emissions for 2050 analysis'!$B$3:$B$23,'[1]T&amp;C emissions for 2050 analysis'!$C$3:$C$23)</f>
        <v>7.3333333333333334E-2</v>
      </c>
      <c r="I3399" s="27">
        <f t="shared" si="159"/>
        <v>0.65762873263999999</v>
      </c>
      <c r="J3399" s="129">
        <f t="shared" si="160"/>
        <v>10.033393333333333</v>
      </c>
    </row>
    <row r="3400" spans="1:10" hidden="1" x14ac:dyDescent="0.35">
      <c r="A3400" s="126" t="s">
        <v>490</v>
      </c>
      <c r="B3400" t="str">
        <f>_xlfn.XLOOKUP(A3400,'[1]2050Pop'!$A$7:$A$143,'[1]2050Pop'!$D$7:$D$143)</f>
        <v>APAC</v>
      </c>
      <c r="C3400" s="127">
        <f>1000*_xlfn.XLOOKUP(A3400,'[1]2050Pop'!$A$7:$A$143,'[1]2050Pop'!$C$7:$C$143)</f>
        <v>63575</v>
      </c>
      <c r="D3400" s="126" t="s">
        <v>525</v>
      </c>
      <c r="E3400" s="128">
        <v>190.80600000000001</v>
      </c>
      <c r="F3400" s="129">
        <f t="shared" si="161"/>
        <v>12.130491450000001</v>
      </c>
      <c r="G3400" t="str">
        <f>_xlfn.XLOOKUP(D3400,'[1]2050 BAU Mapping to T &amp; C'!$A$3:$A$52,'[1]2050 BAU Mapping to T &amp; C'!$B$3:$B$52)</f>
        <v>Sugar</v>
      </c>
      <c r="H3400" s="129">
        <f>_xlfn.XLOOKUP(G3400,'[1]T&amp;C emissions for 2050 analysis'!$B$3:$B$23,'[1]T&amp;C emissions for 2050 analysis'!$C$3:$C$23)</f>
        <v>7.3333333333333334E-2</v>
      </c>
      <c r="I3400" s="27">
        <f t="shared" si="159"/>
        <v>0.88956937300000005</v>
      </c>
      <c r="J3400" s="129">
        <f t="shared" si="160"/>
        <v>13.99244</v>
      </c>
    </row>
    <row r="3401" spans="1:10" hidden="1" x14ac:dyDescent="0.35">
      <c r="A3401" s="126" t="s">
        <v>437</v>
      </c>
      <c r="B3401" t="str">
        <f>_xlfn.XLOOKUP(A3401,'[1]2050Pop'!$A$7:$A$143,'[1]2050Pop'!$D$7:$D$143)</f>
        <v>SSA</v>
      </c>
      <c r="C3401" s="127">
        <f>1000*_xlfn.XLOOKUP(A3401,'[1]2050Pop'!$A$7:$A$143,'[1]2050Pop'!$C$7:$C$143)</f>
        <v>4322</v>
      </c>
      <c r="D3401" s="126" t="s">
        <v>525</v>
      </c>
      <c r="E3401" s="128">
        <v>219.74600000000001</v>
      </c>
      <c r="F3401" s="129">
        <f t="shared" si="161"/>
        <v>0.94974221200000009</v>
      </c>
      <c r="G3401" t="str">
        <f>_xlfn.XLOOKUP(D3401,'[1]2050 BAU Mapping to T &amp; C'!$A$3:$A$52,'[1]2050 BAU Mapping to T &amp; C'!$B$3:$B$52)</f>
        <v>Sugar</v>
      </c>
      <c r="H3401" s="129">
        <f>_xlfn.XLOOKUP(G3401,'[1]T&amp;C emissions for 2050 analysis'!$B$3:$B$23,'[1]T&amp;C emissions for 2050 analysis'!$C$3:$C$23)</f>
        <v>7.3333333333333334E-2</v>
      </c>
      <c r="I3401" s="27">
        <f t="shared" si="159"/>
        <v>6.9647762213333339E-2</v>
      </c>
      <c r="J3401" s="129">
        <f t="shared" si="160"/>
        <v>16.114706666666667</v>
      </c>
    </row>
    <row r="3402" spans="1:10" hidden="1" x14ac:dyDescent="0.35">
      <c r="A3402" s="126" t="s">
        <v>438</v>
      </c>
      <c r="B3402" t="str">
        <f>_xlfn.XLOOKUP(A3402,'[1]2050Pop'!$A$7:$A$143,'[1]2050Pop'!$D$7:$D$143)</f>
        <v>India/South Asia</v>
      </c>
      <c r="C3402" s="127">
        <f>1000*_xlfn.XLOOKUP(A3402,'[1]2050Pop'!$A$7:$A$143,'[1]2050Pop'!$C$7:$C$143)</f>
        <v>36159</v>
      </c>
      <c r="D3402" s="126" t="s">
        <v>525</v>
      </c>
      <c r="E3402" s="128">
        <v>43.526000000000003</v>
      </c>
      <c r="F3402" s="129">
        <f t="shared" si="161"/>
        <v>1.573856634</v>
      </c>
      <c r="G3402" t="str">
        <f>_xlfn.XLOOKUP(D3402,'[1]2050 BAU Mapping to T &amp; C'!$A$3:$A$52,'[1]2050 BAU Mapping to T &amp; C'!$B$3:$B$52)</f>
        <v>Sugar</v>
      </c>
      <c r="H3402" s="129">
        <f>_xlfn.XLOOKUP(G3402,'[1]T&amp;C emissions for 2050 analysis'!$B$3:$B$23,'[1]T&amp;C emissions for 2050 analysis'!$C$3:$C$23)</f>
        <v>7.3333333333333334E-2</v>
      </c>
      <c r="I3402" s="27">
        <f t="shared" si="159"/>
        <v>0.11541615315999999</v>
      </c>
      <c r="J3402" s="129">
        <f t="shared" si="160"/>
        <v>3.1919066666666671</v>
      </c>
    </row>
    <row r="3403" spans="1:10" hidden="1" x14ac:dyDescent="0.35">
      <c r="A3403" s="126" t="s">
        <v>439</v>
      </c>
      <c r="B3403" t="str">
        <f>_xlfn.XLOOKUP(A3403,'[1]2050Pop'!$A$7:$A$143,'[1]2050Pop'!$D$7:$D$143)</f>
        <v>Euro/AU/NZ</v>
      </c>
      <c r="C3403" s="127">
        <f>1000*_xlfn.XLOOKUP(A3403,'[1]2050Pop'!$A$7:$A$143,'[1]2050Pop'!$C$7:$C$143)</f>
        <v>17602</v>
      </c>
      <c r="D3403" s="126" t="s">
        <v>525</v>
      </c>
      <c r="E3403" s="128">
        <v>454.91399999999999</v>
      </c>
      <c r="F3403" s="129">
        <f t="shared" si="161"/>
        <v>8.0073962279999993</v>
      </c>
      <c r="G3403" t="str">
        <f>_xlfn.XLOOKUP(D3403,'[1]2050 BAU Mapping to T &amp; C'!$A$3:$A$52,'[1]2050 BAU Mapping to T &amp; C'!$B$3:$B$52)</f>
        <v>Sugar</v>
      </c>
      <c r="H3403" s="129">
        <f>_xlfn.XLOOKUP(G3403,'[1]T&amp;C emissions for 2050 analysis'!$B$3:$B$23,'[1]T&amp;C emissions for 2050 analysis'!$C$3:$C$23)</f>
        <v>7.3333333333333334E-2</v>
      </c>
      <c r="I3403" s="27">
        <f t="shared" si="159"/>
        <v>0.5872090567199999</v>
      </c>
      <c r="J3403" s="129">
        <f t="shared" si="160"/>
        <v>33.36036</v>
      </c>
    </row>
    <row r="3404" spans="1:10" hidden="1" x14ac:dyDescent="0.35">
      <c r="A3404" s="126" t="s">
        <v>440</v>
      </c>
      <c r="B3404" t="str">
        <f>_xlfn.XLOOKUP(A3404,'[1]2050Pop'!$A$7:$A$143,'[1]2050Pop'!$D$7:$D$143)</f>
        <v>Euro/AU/NZ</v>
      </c>
      <c r="C3404" s="127">
        <f>1000*_xlfn.XLOOKUP(A3404,'[1]2050Pop'!$A$7:$A$143,'[1]2050Pop'!$C$7:$C$143)</f>
        <v>5607</v>
      </c>
      <c r="D3404" s="126" t="s">
        <v>525</v>
      </c>
      <c r="E3404" s="128">
        <v>526.46500000000003</v>
      </c>
      <c r="F3404" s="129">
        <f t="shared" si="161"/>
        <v>2.9518892550000002</v>
      </c>
      <c r="G3404" t="str">
        <f>_xlfn.XLOOKUP(D3404,'[1]2050 BAU Mapping to T &amp; C'!$A$3:$A$52,'[1]2050 BAU Mapping to T &amp; C'!$B$3:$B$52)</f>
        <v>Sugar</v>
      </c>
      <c r="H3404" s="129">
        <f>_xlfn.XLOOKUP(G3404,'[1]T&amp;C emissions for 2050 analysis'!$B$3:$B$23,'[1]T&amp;C emissions for 2050 analysis'!$C$3:$C$23)</f>
        <v>7.3333333333333334E-2</v>
      </c>
      <c r="I3404" s="27">
        <f t="shared" si="159"/>
        <v>0.21647187870000001</v>
      </c>
      <c r="J3404" s="129">
        <f t="shared" si="160"/>
        <v>38.607433333333333</v>
      </c>
    </row>
    <row r="3405" spans="1:10" hidden="1" x14ac:dyDescent="0.35">
      <c r="A3405" s="126" t="s">
        <v>441</v>
      </c>
      <c r="B3405" t="str">
        <f>_xlfn.XLOOKUP(A3405,'[1]2050Pop'!$A$7:$A$143,'[1]2050Pop'!$D$7:$D$143)</f>
        <v>LatAm &amp; RSA</v>
      </c>
      <c r="C3405" s="127">
        <f>1000*_xlfn.XLOOKUP(A3405,'[1]2050Pop'!$A$7:$A$143,'[1]2050Pop'!$C$7:$C$143)</f>
        <v>7863</v>
      </c>
      <c r="D3405" s="126" t="s">
        <v>525</v>
      </c>
      <c r="E3405" s="128">
        <v>455.14600000000002</v>
      </c>
      <c r="F3405" s="129">
        <f t="shared" si="161"/>
        <v>3.5788129980000001</v>
      </c>
      <c r="G3405" t="str">
        <f>_xlfn.XLOOKUP(D3405,'[1]2050 BAU Mapping to T &amp; C'!$A$3:$A$52,'[1]2050 BAU Mapping to T &amp; C'!$B$3:$B$52)</f>
        <v>Sugar</v>
      </c>
      <c r="H3405" s="129">
        <f>_xlfn.XLOOKUP(G3405,'[1]T&amp;C emissions for 2050 analysis'!$B$3:$B$23,'[1]T&amp;C emissions for 2050 analysis'!$C$3:$C$23)</f>
        <v>7.3333333333333334E-2</v>
      </c>
      <c r="I3405" s="27">
        <f t="shared" si="159"/>
        <v>0.26244628652000002</v>
      </c>
      <c r="J3405" s="129">
        <f t="shared" si="160"/>
        <v>33.377373333333331</v>
      </c>
    </row>
    <row r="3406" spans="1:10" hidden="1" x14ac:dyDescent="0.35">
      <c r="A3406" s="126" t="s">
        <v>482</v>
      </c>
      <c r="B3406" t="str">
        <f>_xlfn.XLOOKUP(A3406,'[1]2050Pop'!$A$7:$A$143,'[1]2050Pop'!$D$7:$D$143)</f>
        <v>SSA</v>
      </c>
      <c r="C3406" s="127">
        <f>1000*_xlfn.XLOOKUP(A3406,'[1]2050Pop'!$A$7:$A$143,'[1]2050Pop'!$C$7:$C$143)</f>
        <v>72238</v>
      </c>
      <c r="D3406" s="126" t="s">
        <v>525</v>
      </c>
      <c r="E3406" s="128">
        <v>58.942</v>
      </c>
      <c r="F3406" s="129">
        <f t="shared" si="161"/>
        <v>4.2578521960000009</v>
      </c>
      <c r="G3406" t="str">
        <f>_xlfn.XLOOKUP(D3406,'[1]2050 BAU Mapping to T &amp; C'!$A$3:$A$52,'[1]2050 BAU Mapping to T &amp; C'!$B$3:$B$52)</f>
        <v>Sugar</v>
      </c>
      <c r="H3406" s="129">
        <f>_xlfn.XLOOKUP(G3406,'[1]T&amp;C emissions for 2050 analysis'!$B$3:$B$23,'[1]T&amp;C emissions for 2050 analysis'!$C$3:$C$23)</f>
        <v>7.3333333333333334E-2</v>
      </c>
      <c r="I3406" s="27">
        <f t="shared" si="159"/>
        <v>0.3122424943733334</v>
      </c>
      <c r="J3406" s="129">
        <f t="shared" si="160"/>
        <v>4.3224133333333334</v>
      </c>
    </row>
    <row r="3407" spans="1:10" hidden="1" x14ac:dyDescent="0.35">
      <c r="A3407" s="126" t="s">
        <v>491</v>
      </c>
      <c r="B3407" t="str">
        <f>_xlfn.XLOOKUP(A3407,'[1]2050Pop'!$A$7:$A$143,'[1]2050Pop'!$D$7:$D$143)</f>
        <v>SSA</v>
      </c>
      <c r="C3407" s="127">
        <f>1000*_xlfn.XLOOKUP(A3407,'[1]2050Pop'!$A$7:$A$143,'[1]2050Pop'!$C$7:$C$143)</f>
        <v>398508</v>
      </c>
      <c r="D3407" s="126" t="s">
        <v>525</v>
      </c>
      <c r="E3407" s="128">
        <v>113.91800000000001</v>
      </c>
      <c r="F3407" s="129">
        <f t="shared" si="161"/>
        <v>45.397234344000005</v>
      </c>
      <c r="G3407" t="str">
        <f>_xlfn.XLOOKUP(D3407,'[1]2050 BAU Mapping to T &amp; C'!$A$3:$A$52,'[1]2050 BAU Mapping to T &amp; C'!$B$3:$B$52)</f>
        <v>Sugar</v>
      </c>
      <c r="H3407" s="129">
        <f>_xlfn.XLOOKUP(G3407,'[1]T&amp;C emissions for 2050 analysis'!$B$3:$B$23,'[1]T&amp;C emissions for 2050 analysis'!$C$3:$C$23)</f>
        <v>7.3333333333333334E-2</v>
      </c>
      <c r="I3407" s="27">
        <f t="shared" si="159"/>
        <v>3.3291305185600004</v>
      </c>
      <c r="J3407" s="129">
        <f t="shared" si="160"/>
        <v>8.3539866666666676</v>
      </c>
    </row>
    <row r="3408" spans="1:10" hidden="1" x14ac:dyDescent="0.35">
      <c r="A3408" s="126" t="s">
        <v>442</v>
      </c>
      <c r="B3408" t="str">
        <f>_xlfn.XLOOKUP(A3408,'[1]2050Pop'!$A$7:$A$143,'[1]2050Pop'!$D$7:$D$143)</f>
        <v>Euro/AU/NZ</v>
      </c>
      <c r="C3408" s="127">
        <f>1000*_xlfn.XLOOKUP(A3408,'[1]2050Pop'!$A$7:$A$143,'[1]2050Pop'!$C$7:$C$143)</f>
        <v>6658</v>
      </c>
      <c r="D3408" s="126" t="s">
        <v>525</v>
      </c>
      <c r="E3408" s="128">
        <v>317.89400000000001</v>
      </c>
      <c r="F3408" s="129">
        <f t="shared" si="161"/>
        <v>2.1165382519999998</v>
      </c>
      <c r="G3408" t="str">
        <f>_xlfn.XLOOKUP(D3408,'[1]2050 BAU Mapping to T &amp; C'!$A$3:$A$52,'[1]2050 BAU Mapping to T &amp; C'!$B$3:$B$52)</f>
        <v>Sugar</v>
      </c>
      <c r="H3408" s="129">
        <f>_xlfn.XLOOKUP(G3408,'[1]T&amp;C emissions for 2050 analysis'!$B$3:$B$23,'[1]T&amp;C emissions for 2050 analysis'!$C$3:$C$23)</f>
        <v>7.3333333333333334E-2</v>
      </c>
      <c r="I3408" s="27">
        <f t="shared" si="159"/>
        <v>0.15521280514666666</v>
      </c>
      <c r="J3408" s="129">
        <f t="shared" si="160"/>
        <v>23.312226666666668</v>
      </c>
    </row>
    <row r="3409" spans="1:10" hidden="1" x14ac:dyDescent="0.35">
      <c r="A3409" s="126" t="s">
        <v>443</v>
      </c>
      <c r="B3409" t="str">
        <f>_xlfn.XLOOKUP(A3409,'[1]2050Pop'!$A$7:$A$143,'[1]2050Pop'!$D$7:$D$143)</f>
        <v>India/South Asia</v>
      </c>
      <c r="C3409" s="127">
        <f>1000*_xlfn.XLOOKUP(A3409,'[1]2050Pop'!$A$7:$A$143,'[1]2050Pop'!$C$7:$C$143)</f>
        <v>309640</v>
      </c>
      <c r="D3409" s="126" t="s">
        <v>525</v>
      </c>
      <c r="E3409" s="128">
        <v>332.76400000000001</v>
      </c>
      <c r="F3409" s="129">
        <f t="shared" si="161"/>
        <v>103.03704496</v>
      </c>
      <c r="G3409" t="str">
        <f>_xlfn.XLOOKUP(D3409,'[1]2050 BAU Mapping to T &amp; C'!$A$3:$A$52,'[1]2050 BAU Mapping to T &amp; C'!$B$3:$B$52)</f>
        <v>Sugar</v>
      </c>
      <c r="H3409" s="129">
        <f>_xlfn.XLOOKUP(G3409,'[1]T&amp;C emissions for 2050 analysis'!$B$3:$B$23,'[1]T&amp;C emissions for 2050 analysis'!$C$3:$C$23)</f>
        <v>7.3333333333333334E-2</v>
      </c>
      <c r="I3409" s="27">
        <f t="shared" si="159"/>
        <v>7.5560499637333338</v>
      </c>
      <c r="J3409" s="129">
        <f t="shared" si="160"/>
        <v>24.402693333333335</v>
      </c>
    </row>
    <row r="3410" spans="1:10" hidden="1" x14ac:dyDescent="0.35">
      <c r="A3410" s="126" t="s">
        <v>444</v>
      </c>
      <c r="B3410" t="str">
        <f>_xlfn.XLOOKUP(A3410,'[1]2050Pop'!$A$7:$A$143,'[1]2050Pop'!$D$7:$D$143)</f>
        <v>LatAm &amp; RSA</v>
      </c>
      <c r="C3410" s="127">
        <f>1000*_xlfn.XLOOKUP(A3410,'[1]2050Pop'!$A$7:$A$143,'[1]2050Pop'!$C$7:$C$143)</f>
        <v>5599</v>
      </c>
      <c r="D3410" s="126" t="s">
        <v>525</v>
      </c>
      <c r="E3410" s="128">
        <v>352.17500000000001</v>
      </c>
      <c r="F3410" s="129">
        <f t="shared" si="161"/>
        <v>1.9718278249999999</v>
      </c>
      <c r="G3410" t="str">
        <f>_xlfn.XLOOKUP(D3410,'[1]2050 BAU Mapping to T &amp; C'!$A$3:$A$52,'[1]2050 BAU Mapping to T &amp; C'!$B$3:$B$52)</f>
        <v>Sugar</v>
      </c>
      <c r="H3410" s="129">
        <f>_xlfn.XLOOKUP(G3410,'[1]T&amp;C emissions for 2050 analysis'!$B$3:$B$23,'[1]T&amp;C emissions for 2050 analysis'!$C$3:$C$23)</f>
        <v>7.3333333333333334E-2</v>
      </c>
      <c r="I3410" s="27">
        <f t="shared" si="159"/>
        <v>0.14460070716666665</v>
      </c>
      <c r="J3410" s="129">
        <f t="shared" si="160"/>
        <v>25.826166666666669</v>
      </c>
    </row>
    <row r="3411" spans="1:10" hidden="1" x14ac:dyDescent="0.35">
      <c r="A3411" s="126" t="s">
        <v>445</v>
      </c>
      <c r="B3411" t="str">
        <f>_xlfn.XLOOKUP(A3411,'[1]2050Pop'!$A$7:$A$143,'[1]2050Pop'!$D$7:$D$143)</f>
        <v>LatAm &amp; RSA</v>
      </c>
      <c r="C3411" s="127">
        <f>1000*_xlfn.XLOOKUP(A3411,'[1]2050Pop'!$A$7:$A$143,'[1]2050Pop'!$C$7:$C$143)</f>
        <v>8895</v>
      </c>
      <c r="D3411" s="126" t="s">
        <v>525</v>
      </c>
      <c r="E3411" s="128">
        <v>293.20400000000001</v>
      </c>
      <c r="F3411" s="129">
        <f t="shared" si="161"/>
        <v>2.6080495799999999</v>
      </c>
      <c r="G3411" t="str">
        <f>_xlfn.XLOOKUP(D3411,'[1]2050 BAU Mapping to T &amp; C'!$A$3:$A$52,'[1]2050 BAU Mapping to T &amp; C'!$B$3:$B$52)</f>
        <v>Sugar</v>
      </c>
      <c r="H3411" s="129">
        <f>_xlfn.XLOOKUP(G3411,'[1]T&amp;C emissions for 2050 analysis'!$B$3:$B$23,'[1]T&amp;C emissions for 2050 analysis'!$C$3:$C$23)</f>
        <v>7.3333333333333334E-2</v>
      </c>
      <c r="I3411" s="27">
        <f t="shared" si="159"/>
        <v>0.19125696919999999</v>
      </c>
      <c r="J3411" s="129">
        <f t="shared" si="160"/>
        <v>21.501626666666667</v>
      </c>
    </row>
    <row r="3412" spans="1:10" hidden="1" x14ac:dyDescent="0.35">
      <c r="A3412" s="126" t="s">
        <v>446</v>
      </c>
      <c r="B3412" t="str">
        <f>_xlfn.XLOOKUP(A3412,'[1]2050Pop'!$A$7:$A$143,'[1]2050Pop'!$D$7:$D$143)</f>
        <v>LatAm &amp; RSA</v>
      </c>
      <c r="C3412" s="127">
        <f>1000*_xlfn.XLOOKUP(A3412,'[1]2050Pop'!$A$7:$A$143,'[1]2050Pop'!$C$7:$C$143)</f>
        <v>41899</v>
      </c>
      <c r="D3412" s="126" t="s">
        <v>525</v>
      </c>
      <c r="E3412" s="128">
        <v>256.93200000000002</v>
      </c>
      <c r="F3412" s="129">
        <f t="shared" si="161"/>
        <v>10.765193868000001</v>
      </c>
      <c r="G3412" t="str">
        <f>_xlfn.XLOOKUP(D3412,'[1]2050 BAU Mapping to T &amp; C'!$A$3:$A$52,'[1]2050 BAU Mapping to T &amp; C'!$B$3:$B$52)</f>
        <v>Sugar</v>
      </c>
      <c r="H3412" s="129">
        <f>_xlfn.XLOOKUP(G3412,'[1]T&amp;C emissions for 2050 analysis'!$B$3:$B$23,'[1]T&amp;C emissions for 2050 analysis'!$C$3:$C$23)</f>
        <v>7.3333333333333334E-2</v>
      </c>
      <c r="I3412" s="27">
        <f t="shared" si="159"/>
        <v>0.78944755032000002</v>
      </c>
      <c r="J3412" s="129">
        <f t="shared" si="160"/>
        <v>18.84168</v>
      </c>
    </row>
    <row r="3413" spans="1:10" hidden="1" x14ac:dyDescent="0.35">
      <c r="A3413" s="126" t="s">
        <v>447</v>
      </c>
      <c r="B3413" t="str">
        <f>_xlfn.XLOOKUP(A3413,'[1]2050Pop'!$A$7:$A$143,'[1]2050Pop'!$D$7:$D$143)</f>
        <v>APAC</v>
      </c>
      <c r="C3413" s="127">
        <f>1000*_xlfn.XLOOKUP(A3413,'[1]2050Pop'!$A$7:$A$143,'[1]2050Pop'!$C$7:$C$143)</f>
        <v>148260</v>
      </c>
      <c r="D3413" s="126" t="s">
        <v>525</v>
      </c>
      <c r="E3413" s="128">
        <v>245.88200000000001</v>
      </c>
      <c r="F3413" s="129">
        <f t="shared" si="161"/>
        <v>36.454465319999997</v>
      </c>
      <c r="G3413" t="str">
        <f>_xlfn.XLOOKUP(D3413,'[1]2050 BAU Mapping to T &amp; C'!$A$3:$A$52,'[1]2050 BAU Mapping to T &amp; C'!$B$3:$B$52)</f>
        <v>Sugar</v>
      </c>
      <c r="H3413" s="129">
        <f>_xlfn.XLOOKUP(G3413,'[1]T&amp;C emissions for 2050 analysis'!$B$3:$B$23,'[1]T&amp;C emissions for 2050 analysis'!$C$3:$C$23)</f>
        <v>7.3333333333333334E-2</v>
      </c>
      <c r="I3413" s="27">
        <f t="shared" si="159"/>
        <v>2.6733274567999996</v>
      </c>
      <c r="J3413" s="129">
        <f t="shared" si="160"/>
        <v>18.031346666666668</v>
      </c>
    </row>
    <row r="3414" spans="1:10" hidden="1" x14ac:dyDescent="0.35">
      <c r="A3414" s="126" t="s">
        <v>448</v>
      </c>
      <c r="B3414" t="str">
        <f>_xlfn.XLOOKUP(A3414,'[1]2050Pop'!$A$7:$A$143,'[1]2050Pop'!$D$7:$D$143)</f>
        <v>Euro/AU/NZ</v>
      </c>
      <c r="C3414" s="127">
        <f>1000*_xlfn.XLOOKUP(A3414,'[1]2050Pop'!$A$7:$A$143,'[1]2050Pop'!$C$7:$C$143)</f>
        <v>33136</v>
      </c>
      <c r="D3414" s="126" t="s">
        <v>525</v>
      </c>
      <c r="E3414" s="128">
        <v>442.75400000000002</v>
      </c>
      <c r="F3414" s="129">
        <f t="shared" si="161"/>
        <v>14.671096543999999</v>
      </c>
      <c r="G3414" t="str">
        <f>_xlfn.XLOOKUP(D3414,'[1]2050 BAU Mapping to T &amp; C'!$A$3:$A$52,'[1]2050 BAU Mapping to T &amp; C'!$B$3:$B$52)</f>
        <v>Sugar</v>
      </c>
      <c r="H3414" s="129">
        <f>_xlfn.XLOOKUP(G3414,'[1]T&amp;C emissions for 2050 analysis'!$B$3:$B$23,'[1]T&amp;C emissions for 2050 analysis'!$C$3:$C$23)</f>
        <v>7.3333333333333334E-2</v>
      </c>
      <c r="I3414" s="27">
        <f t="shared" si="159"/>
        <v>1.0758804132266666</v>
      </c>
      <c r="J3414" s="129">
        <f t="shared" si="160"/>
        <v>32.468626666666665</v>
      </c>
    </row>
    <row r="3415" spans="1:10" hidden="1" x14ac:dyDescent="0.35">
      <c r="A3415" s="126" t="s">
        <v>449</v>
      </c>
      <c r="B3415" t="str">
        <f>_xlfn.XLOOKUP(A3415,'[1]2050Pop'!$A$7:$A$143,'[1]2050Pop'!$D$7:$D$143)</f>
        <v>Euro/AU/NZ</v>
      </c>
      <c r="C3415" s="127">
        <f>1000*_xlfn.XLOOKUP(A3415,'[1]2050Pop'!$A$7:$A$143,'[1]2050Pop'!$C$7:$C$143)</f>
        <v>9216</v>
      </c>
      <c r="D3415" s="126" t="s">
        <v>525</v>
      </c>
      <c r="E3415" s="128">
        <v>245.90700000000001</v>
      </c>
      <c r="F3415" s="129">
        <f t="shared" si="161"/>
        <v>2.2662789120000002</v>
      </c>
      <c r="G3415" t="str">
        <f>_xlfn.XLOOKUP(D3415,'[1]2050 BAU Mapping to T &amp; C'!$A$3:$A$52,'[1]2050 BAU Mapping to T &amp; C'!$B$3:$B$52)</f>
        <v>Sugar</v>
      </c>
      <c r="H3415" s="129">
        <f>_xlfn.XLOOKUP(G3415,'[1]T&amp;C emissions for 2050 analysis'!$B$3:$B$23,'[1]T&amp;C emissions for 2050 analysis'!$C$3:$C$23)</f>
        <v>7.3333333333333334E-2</v>
      </c>
      <c r="I3415" s="27">
        <f t="shared" si="159"/>
        <v>0.16619378688000003</v>
      </c>
      <c r="J3415" s="129">
        <f t="shared" si="160"/>
        <v>18.033180000000002</v>
      </c>
    </row>
    <row r="3416" spans="1:10" hidden="1" x14ac:dyDescent="0.35">
      <c r="A3416" s="126" t="s">
        <v>450</v>
      </c>
      <c r="B3416" t="str">
        <f>_xlfn.XLOOKUP(A3416,'[1]2050Pop'!$A$7:$A$143,'[1]2050Pop'!$D$7:$D$143)</f>
        <v>APAC</v>
      </c>
      <c r="C3416" s="127">
        <f>1000*_xlfn.XLOOKUP(A3416,'[1]2050Pop'!$A$7:$A$143,'[1]2050Pop'!$C$7:$C$143)</f>
        <v>50593</v>
      </c>
      <c r="D3416" s="126" t="s">
        <v>525</v>
      </c>
      <c r="E3416" s="128">
        <v>239.92599999999999</v>
      </c>
      <c r="F3416" s="129">
        <f t="shared" si="161"/>
        <v>12.138576118</v>
      </c>
      <c r="G3416" t="str">
        <f>_xlfn.XLOOKUP(D3416,'[1]2050 BAU Mapping to T &amp; C'!$A$3:$A$52,'[1]2050 BAU Mapping to T &amp; C'!$B$3:$B$52)</f>
        <v>Sugar</v>
      </c>
      <c r="H3416" s="129">
        <f>_xlfn.XLOOKUP(G3416,'[1]T&amp;C emissions for 2050 analysis'!$B$3:$B$23,'[1]T&amp;C emissions for 2050 analysis'!$C$3:$C$23)</f>
        <v>7.3333333333333334E-2</v>
      </c>
      <c r="I3416" s="27">
        <f t="shared" si="159"/>
        <v>0.89016224865333327</v>
      </c>
      <c r="J3416" s="129">
        <f t="shared" si="160"/>
        <v>17.594573333333333</v>
      </c>
    </row>
    <row r="3417" spans="1:10" hidden="1" x14ac:dyDescent="0.35">
      <c r="A3417" s="126" t="s">
        <v>451</v>
      </c>
      <c r="B3417" t="str">
        <f>_xlfn.XLOOKUP(A3417,'[1]2050Pop'!$A$7:$A$143,'[1]2050Pop'!$D$7:$D$143)</f>
        <v>Euro/AU/NZ</v>
      </c>
      <c r="C3417" s="127">
        <f>1000*_xlfn.XLOOKUP(A3417,'[1]2050Pop'!$A$7:$A$143,'[1]2050Pop'!$C$7:$C$143)</f>
        <v>3243</v>
      </c>
      <c r="D3417" s="126" t="s">
        <v>525</v>
      </c>
      <c r="E3417" s="128">
        <v>206.34299999999999</v>
      </c>
      <c r="F3417" s="129">
        <f t="shared" si="161"/>
        <v>0.66917034899999994</v>
      </c>
      <c r="G3417" t="str">
        <f>_xlfn.XLOOKUP(D3417,'[1]2050 BAU Mapping to T &amp; C'!$A$3:$A$52,'[1]2050 BAU Mapping to T &amp; C'!$B$3:$B$52)</f>
        <v>Sugar</v>
      </c>
      <c r="H3417" s="129">
        <f>_xlfn.XLOOKUP(G3417,'[1]T&amp;C emissions for 2050 analysis'!$B$3:$B$23,'[1]T&amp;C emissions for 2050 analysis'!$C$3:$C$23)</f>
        <v>7.3333333333333334E-2</v>
      </c>
      <c r="I3417" s="27">
        <f t="shared" si="159"/>
        <v>4.9072492259999996E-2</v>
      </c>
      <c r="J3417" s="129">
        <f t="shared" si="160"/>
        <v>15.131819999999999</v>
      </c>
    </row>
    <row r="3418" spans="1:10" hidden="1" x14ac:dyDescent="0.35">
      <c r="A3418" s="126" t="s">
        <v>452</v>
      </c>
      <c r="B3418" t="str">
        <f>_xlfn.XLOOKUP(A3418,'[1]2050Pop'!$A$7:$A$143,'[1]2050Pop'!$D$7:$D$143)</f>
        <v>SSA</v>
      </c>
      <c r="C3418" s="127">
        <f>1000*_xlfn.XLOOKUP(A3418,'[1]2050Pop'!$A$7:$A$143,'[1]2050Pop'!$C$7:$C$143)</f>
        <v>10732</v>
      </c>
      <c r="D3418" s="126" t="s">
        <v>525</v>
      </c>
      <c r="E3418" s="128">
        <v>178.524</v>
      </c>
      <c r="F3418" s="129">
        <f t="shared" si="161"/>
        <v>1.9159195680000001</v>
      </c>
      <c r="G3418" t="str">
        <f>_xlfn.XLOOKUP(D3418,'[1]2050 BAU Mapping to T &amp; C'!$A$3:$A$52,'[1]2050 BAU Mapping to T &amp; C'!$B$3:$B$52)</f>
        <v>Sugar</v>
      </c>
      <c r="H3418" s="129">
        <f>_xlfn.XLOOKUP(G3418,'[1]T&amp;C emissions for 2050 analysis'!$B$3:$B$23,'[1]T&amp;C emissions for 2050 analysis'!$C$3:$C$23)</f>
        <v>7.3333333333333334E-2</v>
      </c>
      <c r="I3418" s="27">
        <f t="shared" si="159"/>
        <v>0.14050076832</v>
      </c>
      <c r="J3418" s="129">
        <f t="shared" si="160"/>
        <v>13.091760000000001</v>
      </c>
    </row>
    <row r="3419" spans="1:10" hidden="1" x14ac:dyDescent="0.35">
      <c r="A3419" s="126" t="s">
        <v>453</v>
      </c>
      <c r="B3419" t="str">
        <f>_xlfn.XLOOKUP(A3419,'[1]2050Pop'!$A$7:$A$143,'[1]2050Pop'!$D$7:$D$143)</f>
        <v>Euro/AU/NZ</v>
      </c>
      <c r="C3419" s="127">
        <f>1000*_xlfn.XLOOKUP(A3419,'[1]2050Pop'!$A$7:$A$143,'[1]2050Pop'!$C$7:$C$143)</f>
        <v>15207</v>
      </c>
      <c r="D3419" s="126" t="s">
        <v>525</v>
      </c>
      <c r="E3419" s="130">
        <v>243.78</v>
      </c>
      <c r="F3419" s="129">
        <f t="shared" si="161"/>
        <v>3.7071624600000002</v>
      </c>
      <c r="G3419" t="str">
        <f>_xlfn.XLOOKUP(D3419,'[1]2050 BAU Mapping to T &amp; C'!$A$3:$A$52,'[1]2050 BAU Mapping to T &amp; C'!$B$3:$B$52)</f>
        <v>Sugar</v>
      </c>
      <c r="H3419" s="129">
        <f>_xlfn.XLOOKUP(G3419,'[1]T&amp;C emissions for 2050 analysis'!$B$3:$B$23,'[1]T&amp;C emissions for 2050 analysis'!$C$3:$C$23)</f>
        <v>7.3333333333333334E-2</v>
      </c>
      <c r="I3419" s="27">
        <f t="shared" si="159"/>
        <v>0.27185858039999999</v>
      </c>
      <c r="J3419" s="129">
        <f t="shared" si="160"/>
        <v>17.877199999999998</v>
      </c>
    </row>
    <row r="3420" spans="1:10" hidden="1" x14ac:dyDescent="0.35">
      <c r="A3420" s="126" t="s">
        <v>454</v>
      </c>
      <c r="B3420" t="str">
        <f>_xlfn.XLOOKUP(A3420,'[1]2050Pop'!$A$7:$A$143,'[1]2050Pop'!$D$7:$D$143)</f>
        <v>Euro/AU/NZ</v>
      </c>
      <c r="C3420" s="127">
        <f>1000*_xlfn.XLOOKUP(A3420,'[1]2050Pop'!$A$7:$A$143,'[1]2050Pop'!$C$7:$C$143)</f>
        <v>128598.99999999999</v>
      </c>
      <c r="D3420" s="126" t="s">
        <v>525</v>
      </c>
      <c r="E3420" s="128">
        <v>472.524</v>
      </c>
      <c r="F3420" s="129">
        <f t="shared" si="161"/>
        <v>60.766113875999991</v>
      </c>
      <c r="G3420" t="str">
        <f>_xlfn.XLOOKUP(D3420,'[1]2050 BAU Mapping to T &amp; C'!$A$3:$A$52,'[1]2050 BAU Mapping to T &amp; C'!$B$3:$B$52)</f>
        <v>Sugar</v>
      </c>
      <c r="H3420" s="129">
        <f>_xlfn.XLOOKUP(G3420,'[1]T&amp;C emissions for 2050 analysis'!$B$3:$B$23,'[1]T&amp;C emissions for 2050 analysis'!$C$3:$C$23)</f>
        <v>7.3333333333333334E-2</v>
      </c>
      <c r="I3420" s="27">
        <f t="shared" si="159"/>
        <v>4.4561816842399997</v>
      </c>
      <c r="J3420" s="129">
        <f t="shared" si="160"/>
        <v>34.651760000000003</v>
      </c>
    </row>
    <row r="3421" spans="1:10" hidden="1" x14ac:dyDescent="0.35">
      <c r="A3421" s="126" t="s">
        <v>455</v>
      </c>
      <c r="B3421" t="str">
        <f>_xlfn.XLOOKUP(A3421,'[1]2050Pop'!$A$7:$A$143,'[1]2050Pop'!$D$7:$D$143)</f>
        <v>SSA</v>
      </c>
      <c r="C3421" s="127">
        <f>1000*_xlfn.XLOOKUP(A3421,'[1]2050Pop'!$A$7:$A$143,'[1]2050Pop'!$C$7:$C$143)</f>
        <v>21187</v>
      </c>
      <c r="D3421" s="126" t="s">
        <v>525</v>
      </c>
      <c r="E3421" s="128">
        <v>64.665000000000006</v>
      </c>
      <c r="F3421" s="129">
        <f t="shared" si="161"/>
        <v>1.3700573550000001</v>
      </c>
      <c r="G3421" t="str">
        <f>_xlfn.XLOOKUP(D3421,'[1]2050 BAU Mapping to T &amp; C'!$A$3:$A$52,'[1]2050 BAU Mapping to T &amp; C'!$B$3:$B$52)</f>
        <v>Sugar</v>
      </c>
      <c r="H3421" s="129">
        <f>_xlfn.XLOOKUP(G3421,'[1]T&amp;C emissions for 2050 analysis'!$B$3:$B$23,'[1]T&amp;C emissions for 2050 analysis'!$C$3:$C$23)</f>
        <v>7.3333333333333334E-2</v>
      </c>
      <c r="I3421" s="27">
        <f t="shared" si="159"/>
        <v>0.10047087270000001</v>
      </c>
      <c r="J3421" s="129">
        <f t="shared" si="160"/>
        <v>4.7421000000000006</v>
      </c>
    </row>
    <row r="3422" spans="1:10" hidden="1" x14ac:dyDescent="0.35">
      <c r="A3422" s="126" t="s">
        <v>456</v>
      </c>
      <c r="B3422" t="str">
        <f>_xlfn.XLOOKUP(A3422,'[1]2050Pop'!$A$7:$A$143,'[1]2050Pop'!$D$7:$D$143)</f>
        <v>MENA</v>
      </c>
      <c r="C3422" s="127">
        <f>1000*_xlfn.XLOOKUP(A3422,'[1]2050Pop'!$A$7:$A$143,'[1]2050Pop'!$C$7:$C$143)</f>
        <v>46059</v>
      </c>
      <c r="D3422" s="126" t="s">
        <v>525</v>
      </c>
      <c r="E3422" s="128">
        <v>355.09199999999998</v>
      </c>
      <c r="F3422" s="129">
        <f t="shared" si="161"/>
        <v>16.355182427999999</v>
      </c>
      <c r="G3422" t="str">
        <f>_xlfn.XLOOKUP(D3422,'[1]2050 BAU Mapping to T &amp; C'!$A$3:$A$52,'[1]2050 BAU Mapping to T &amp; C'!$B$3:$B$52)</f>
        <v>Sugar</v>
      </c>
      <c r="H3422" s="129">
        <f>_xlfn.XLOOKUP(G3422,'[1]T&amp;C emissions for 2050 analysis'!$B$3:$B$23,'[1]T&amp;C emissions for 2050 analysis'!$C$3:$C$23)</f>
        <v>7.3333333333333334E-2</v>
      </c>
      <c r="I3422" s="27">
        <f t="shared" si="159"/>
        <v>1.19938004472</v>
      </c>
      <c r="J3422" s="129">
        <f t="shared" si="160"/>
        <v>26.04008</v>
      </c>
    </row>
    <row r="3423" spans="1:10" hidden="1" x14ac:dyDescent="0.35">
      <c r="A3423" s="126" t="s">
        <v>457</v>
      </c>
      <c r="B3423" t="str">
        <f>_xlfn.XLOOKUP(A3423,'[1]2050Pop'!$A$7:$A$143,'[1]2050Pop'!$D$7:$D$143)</f>
        <v>SSA</v>
      </c>
      <c r="C3423" s="127">
        <f>1000*_xlfn.XLOOKUP(A3423,'[1]2050Pop'!$A$7:$A$143,'[1]2050Pop'!$C$7:$C$143)</f>
        <v>36223</v>
      </c>
      <c r="D3423" s="126" t="s">
        <v>525</v>
      </c>
      <c r="E3423" s="128">
        <v>181.42400000000001</v>
      </c>
      <c r="F3423" s="129">
        <f t="shared" si="161"/>
        <v>6.5717215520000005</v>
      </c>
      <c r="G3423" t="str">
        <f>_xlfn.XLOOKUP(D3423,'[1]2050 BAU Mapping to T &amp; C'!$A$3:$A$52,'[1]2050 BAU Mapping to T &amp; C'!$B$3:$B$52)</f>
        <v>Sugar</v>
      </c>
      <c r="H3423" s="129">
        <f>_xlfn.XLOOKUP(G3423,'[1]T&amp;C emissions for 2050 analysis'!$B$3:$B$23,'[1]T&amp;C emissions for 2050 analysis'!$C$3:$C$23)</f>
        <v>7.3333333333333334E-2</v>
      </c>
      <c r="I3423" s="27">
        <f t="shared" si="159"/>
        <v>0.48192624714666671</v>
      </c>
      <c r="J3423" s="129">
        <f t="shared" si="160"/>
        <v>13.304426666666668</v>
      </c>
    </row>
    <row r="3424" spans="1:10" hidden="1" x14ac:dyDescent="0.35">
      <c r="A3424" s="126" t="s">
        <v>458</v>
      </c>
      <c r="B3424" t="str">
        <f>_xlfn.XLOOKUP(A3424,'[1]2050Pop'!$A$7:$A$143,'[1]2050Pop'!$D$7:$D$143)</f>
        <v>Euro/AU/NZ</v>
      </c>
      <c r="C3424" s="127">
        <f>1000*_xlfn.XLOOKUP(A3424,'[1]2050Pop'!$A$7:$A$143,'[1]2050Pop'!$C$7:$C$143)</f>
        <v>7331</v>
      </c>
      <c r="D3424" s="126" t="s">
        <v>525</v>
      </c>
      <c r="E3424" s="128">
        <v>294.48099999999999</v>
      </c>
      <c r="F3424" s="129">
        <f t="shared" si="161"/>
        <v>2.1588402110000002</v>
      </c>
      <c r="G3424" t="str">
        <f>_xlfn.XLOOKUP(D3424,'[1]2050 BAU Mapping to T &amp; C'!$A$3:$A$52,'[1]2050 BAU Mapping to T &amp; C'!$B$3:$B$52)</f>
        <v>Sugar</v>
      </c>
      <c r="H3424" s="129">
        <f>_xlfn.XLOOKUP(G3424,'[1]T&amp;C emissions for 2050 analysis'!$B$3:$B$23,'[1]T&amp;C emissions for 2050 analysis'!$C$3:$C$23)</f>
        <v>7.3333333333333334E-2</v>
      </c>
      <c r="I3424" s="27">
        <f t="shared" si="159"/>
        <v>0.15831494880666669</v>
      </c>
      <c r="J3424" s="129">
        <f t="shared" si="160"/>
        <v>21.595273333333331</v>
      </c>
    </row>
    <row r="3425" spans="1:10" hidden="1" x14ac:dyDescent="0.35">
      <c r="A3425" s="126" t="s">
        <v>492</v>
      </c>
      <c r="B3425" t="str">
        <f>_xlfn.XLOOKUP(A3425,'[1]2050Pop'!$A$7:$A$143,'[1]2050Pop'!$D$7:$D$143)</f>
        <v>SSA</v>
      </c>
      <c r="C3425" s="127">
        <f>1000*_xlfn.XLOOKUP(A3425,'[1]2050Pop'!$A$7:$A$143,'[1]2050Pop'!$C$7:$C$143)</f>
        <v>11392</v>
      </c>
      <c r="D3425" s="126" t="s">
        <v>525</v>
      </c>
      <c r="E3425" s="128">
        <v>65.013000000000005</v>
      </c>
      <c r="F3425" s="129">
        <f t="shared" si="161"/>
        <v>0.74062809600000001</v>
      </c>
      <c r="G3425" t="str">
        <f>_xlfn.XLOOKUP(D3425,'[1]2050 BAU Mapping to T &amp; C'!$A$3:$A$52,'[1]2050 BAU Mapping to T &amp; C'!$B$3:$B$52)</f>
        <v>Sugar</v>
      </c>
      <c r="H3425" s="129">
        <f>_xlfn.XLOOKUP(G3425,'[1]T&amp;C emissions for 2050 analysis'!$B$3:$B$23,'[1]T&amp;C emissions for 2050 analysis'!$C$3:$C$23)</f>
        <v>7.3333333333333334E-2</v>
      </c>
      <c r="I3425" s="27">
        <f t="shared" si="159"/>
        <v>5.4312727040000001E-2</v>
      </c>
      <c r="J3425" s="129">
        <f t="shared" si="160"/>
        <v>4.76762</v>
      </c>
    </row>
    <row r="3426" spans="1:10" hidden="1" x14ac:dyDescent="0.35">
      <c r="A3426" s="126" t="s">
        <v>459</v>
      </c>
      <c r="B3426" t="str">
        <f>_xlfn.XLOOKUP(A3426,'[1]2050Pop'!$A$7:$A$143,'[1]2050Pop'!$D$7:$D$143)</f>
        <v>Euro/AU/NZ</v>
      </c>
      <c r="C3426" s="127">
        <f>1000*_xlfn.XLOOKUP(A3426,'[1]2050Pop'!$A$7:$A$143,'[1]2050Pop'!$C$7:$C$143)</f>
        <v>4892</v>
      </c>
      <c r="D3426" s="126" t="s">
        <v>525</v>
      </c>
      <c r="E3426" s="128">
        <v>373.642</v>
      </c>
      <c r="F3426" s="129">
        <f t="shared" si="161"/>
        <v>1.8278566639999998</v>
      </c>
      <c r="G3426" t="str">
        <f>_xlfn.XLOOKUP(D3426,'[1]2050 BAU Mapping to T &amp; C'!$A$3:$A$52,'[1]2050 BAU Mapping to T &amp; C'!$B$3:$B$52)</f>
        <v>Sugar</v>
      </c>
      <c r="H3426" s="129">
        <f>_xlfn.XLOOKUP(G3426,'[1]T&amp;C emissions for 2050 analysis'!$B$3:$B$23,'[1]T&amp;C emissions for 2050 analysis'!$C$3:$C$23)</f>
        <v>7.3333333333333334E-2</v>
      </c>
      <c r="I3426" s="27">
        <f t="shared" si="159"/>
        <v>0.13404282202666665</v>
      </c>
      <c r="J3426" s="129">
        <f t="shared" si="160"/>
        <v>27.400413333333333</v>
      </c>
    </row>
    <row r="3427" spans="1:10" hidden="1" x14ac:dyDescent="0.35">
      <c r="A3427" s="126" t="s">
        <v>460</v>
      </c>
      <c r="B3427" t="str">
        <f>_xlfn.XLOOKUP(A3427,'[1]2050Pop'!$A$7:$A$143,'[1]2050Pop'!$D$7:$D$143)</f>
        <v>LatAm &amp; RSA</v>
      </c>
      <c r="C3427" s="127">
        <f>1000*_xlfn.XLOOKUP(A3427,'[1]2050Pop'!$A$7:$A$143,'[1]2050Pop'!$C$7:$C$143)</f>
        <v>65540</v>
      </c>
      <c r="D3427" s="126" t="s">
        <v>525</v>
      </c>
      <c r="E3427" s="128">
        <v>336.77699999999999</v>
      </c>
      <c r="F3427" s="129">
        <f t="shared" si="161"/>
        <v>22.072364579999999</v>
      </c>
      <c r="G3427" t="str">
        <f>_xlfn.XLOOKUP(D3427,'[1]2050 BAU Mapping to T &amp; C'!$A$3:$A$52,'[1]2050 BAU Mapping to T &amp; C'!$B$3:$B$52)</f>
        <v>Sugar</v>
      </c>
      <c r="H3427" s="129">
        <f>_xlfn.XLOOKUP(G3427,'[1]T&amp;C emissions for 2050 analysis'!$B$3:$B$23,'[1]T&amp;C emissions for 2050 analysis'!$C$3:$C$23)</f>
        <v>7.3333333333333334E-2</v>
      </c>
      <c r="I3427" s="27">
        <f t="shared" si="159"/>
        <v>1.6186400691999998</v>
      </c>
      <c r="J3427" s="129">
        <f t="shared" si="160"/>
        <v>24.69698</v>
      </c>
    </row>
    <row r="3428" spans="1:10" hidden="1" x14ac:dyDescent="0.35">
      <c r="A3428" s="126" t="s">
        <v>461</v>
      </c>
      <c r="B3428" t="str">
        <f>_xlfn.XLOOKUP(A3428,'[1]2050Pop'!$A$7:$A$143,'[1]2050Pop'!$D$7:$D$143)</f>
        <v>Euro/AU/NZ</v>
      </c>
      <c r="C3428" s="127">
        <f>1000*_xlfn.XLOOKUP(A3428,'[1]2050Pop'!$A$7:$A$143,'[1]2050Pop'!$C$7:$C$143)</f>
        <v>44840</v>
      </c>
      <c r="D3428" s="126" t="s">
        <v>525</v>
      </c>
      <c r="E3428" s="128">
        <v>311.62599999999998</v>
      </c>
      <c r="F3428" s="129">
        <f t="shared" si="161"/>
        <v>13.973309840000001</v>
      </c>
      <c r="G3428" t="str">
        <f>_xlfn.XLOOKUP(D3428,'[1]2050 BAU Mapping to T &amp; C'!$A$3:$A$52,'[1]2050 BAU Mapping to T &amp; C'!$B$3:$B$52)</f>
        <v>Sugar</v>
      </c>
      <c r="H3428" s="129">
        <f>_xlfn.XLOOKUP(G3428,'[1]T&amp;C emissions for 2050 analysis'!$B$3:$B$23,'[1]T&amp;C emissions for 2050 analysis'!$C$3:$C$23)</f>
        <v>7.3333333333333334E-2</v>
      </c>
      <c r="I3428" s="27">
        <f t="shared" si="159"/>
        <v>1.0247093882666667</v>
      </c>
      <c r="J3428" s="129">
        <f t="shared" si="160"/>
        <v>22.852573333333332</v>
      </c>
    </row>
    <row r="3429" spans="1:10" hidden="1" x14ac:dyDescent="0.35">
      <c r="A3429" s="126" t="s">
        <v>493</v>
      </c>
      <c r="B3429" t="str">
        <f>_xlfn.XLOOKUP(A3429,'[1]2050Pop'!$A$7:$A$143,'[1]2050Pop'!$D$7:$D$143)</f>
        <v>India/South Asia</v>
      </c>
      <c r="C3429" s="127">
        <f>1000*_xlfn.XLOOKUP(A3429,'[1]2050Pop'!$A$7:$A$143,'[1]2050Pop'!$C$7:$C$143)</f>
        <v>20836</v>
      </c>
      <c r="D3429" s="126" t="s">
        <v>525</v>
      </c>
      <c r="E3429" s="128">
        <v>336.99700000000001</v>
      </c>
      <c r="F3429" s="129">
        <f t="shared" si="161"/>
        <v>7.0216694920000009</v>
      </c>
      <c r="G3429" t="str">
        <f>_xlfn.XLOOKUP(D3429,'[1]2050 BAU Mapping to T &amp; C'!$A$3:$A$52,'[1]2050 BAU Mapping to T &amp; C'!$B$3:$B$52)</f>
        <v>Sugar</v>
      </c>
      <c r="H3429" s="129">
        <f>_xlfn.XLOOKUP(G3429,'[1]T&amp;C emissions for 2050 analysis'!$B$3:$B$23,'[1]T&amp;C emissions for 2050 analysis'!$C$3:$C$23)</f>
        <v>7.3333333333333334E-2</v>
      </c>
      <c r="I3429" s="27">
        <f t="shared" si="159"/>
        <v>0.51492242941333344</v>
      </c>
      <c r="J3429" s="129">
        <f t="shared" si="160"/>
        <v>24.713113333333336</v>
      </c>
    </row>
    <row r="3430" spans="1:10" hidden="1" x14ac:dyDescent="0.35">
      <c r="A3430" s="126" t="s">
        <v>462</v>
      </c>
      <c r="B3430" t="str">
        <f>_xlfn.XLOOKUP(A3430,'[1]2050Pop'!$A$7:$A$143,'[1]2050Pop'!$D$7:$D$143)</f>
        <v>LatAm &amp; RSA</v>
      </c>
      <c r="C3430" s="127">
        <f>1000*_xlfn.XLOOKUP(A3430,'[1]2050Pop'!$A$7:$A$143,'[1]2050Pop'!$C$7:$C$143)</f>
        <v>624</v>
      </c>
      <c r="D3430" s="126" t="s">
        <v>525</v>
      </c>
      <c r="E3430" s="128">
        <v>489.27699999999999</v>
      </c>
      <c r="F3430" s="129">
        <f t="shared" si="161"/>
        <v>0.30530884800000002</v>
      </c>
      <c r="G3430" t="str">
        <f>_xlfn.XLOOKUP(D3430,'[1]2050 BAU Mapping to T &amp; C'!$A$3:$A$52,'[1]2050 BAU Mapping to T &amp; C'!$B$3:$B$52)</f>
        <v>Sugar</v>
      </c>
      <c r="H3430" s="129">
        <f>_xlfn.XLOOKUP(G3430,'[1]T&amp;C emissions for 2050 analysis'!$B$3:$B$23,'[1]T&amp;C emissions for 2050 analysis'!$C$3:$C$23)</f>
        <v>7.3333333333333334E-2</v>
      </c>
      <c r="I3430" s="27">
        <f t="shared" si="159"/>
        <v>2.2389315520000001E-2</v>
      </c>
      <c r="J3430" s="129">
        <f t="shared" si="160"/>
        <v>35.880313333333334</v>
      </c>
    </row>
    <row r="3431" spans="1:10" hidden="1" x14ac:dyDescent="0.35">
      <c r="A3431" s="126" t="s">
        <v>463</v>
      </c>
      <c r="B3431" t="str">
        <f>_xlfn.XLOOKUP(A3431,'[1]2050Pop'!$A$7:$A$143,'[1]2050Pop'!$D$7:$D$143)</f>
        <v>SSA</v>
      </c>
      <c r="C3431" s="127">
        <f>1000*_xlfn.XLOOKUP(A3431,'[1]2050Pop'!$A$7:$A$143,'[1]2050Pop'!$C$7:$C$143)</f>
        <v>1792</v>
      </c>
      <c r="D3431" s="126" t="s">
        <v>525</v>
      </c>
      <c r="E3431" s="130">
        <v>253.12</v>
      </c>
      <c r="F3431" s="129">
        <f t="shared" si="161"/>
        <v>0.45359104000000006</v>
      </c>
      <c r="G3431" t="str">
        <f>_xlfn.XLOOKUP(D3431,'[1]2050 BAU Mapping to T &amp; C'!$A$3:$A$52,'[1]2050 BAU Mapping to T &amp; C'!$B$3:$B$52)</f>
        <v>Sugar</v>
      </c>
      <c r="H3431" s="129">
        <f>_xlfn.XLOOKUP(G3431,'[1]T&amp;C emissions for 2050 analysis'!$B$3:$B$23,'[1]T&amp;C emissions for 2050 analysis'!$C$3:$C$23)</f>
        <v>7.3333333333333334E-2</v>
      </c>
      <c r="I3431" s="27">
        <f t="shared" si="159"/>
        <v>3.3263342933333336E-2</v>
      </c>
      <c r="J3431" s="129">
        <f t="shared" si="160"/>
        <v>18.562133333333335</v>
      </c>
    </row>
    <row r="3432" spans="1:10" hidden="1" x14ac:dyDescent="0.35">
      <c r="A3432" s="126" t="s">
        <v>464</v>
      </c>
      <c r="B3432" t="str">
        <f>_xlfn.XLOOKUP(A3432,'[1]2050Pop'!$A$7:$A$143,'[1]2050Pop'!$D$7:$D$143)</f>
        <v>Euro/AU/NZ</v>
      </c>
      <c r="C3432" s="127">
        <f>1000*_xlfn.XLOOKUP(A3432,'[1]2050Pop'!$A$7:$A$143,'[1]2050Pop'!$C$7:$C$143)</f>
        <v>11881</v>
      </c>
      <c r="D3432" s="126" t="s">
        <v>525</v>
      </c>
      <c r="E3432" s="128">
        <v>415.11599999999999</v>
      </c>
      <c r="F3432" s="129">
        <f t="shared" si="161"/>
        <v>4.9319931959999996</v>
      </c>
      <c r="G3432" t="str">
        <f>_xlfn.XLOOKUP(D3432,'[1]2050 BAU Mapping to T &amp; C'!$A$3:$A$52,'[1]2050 BAU Mapping to T &amp; C'!$B$3:$B$52)</f>
        <v>Sugar</v>
      </c>
      <c r="H3432" s="129">
        <f>_xlfn.XLOOKUP(G3432,'[1]T&amp;C emissions for 2050 analysis'!$B$3:$B$23,'[1]T&amp;C emissions for 2050 analysis'!$C$3:$C$23)</f>
        <v>7.3333333333333334E-2</v>
      </c>
      <c r="I3432" s="27">
        <f t="shared" si="159"/>
        <v>0.36167950103999996</v>
      </c>
      <c r="J3432" s="129">
        <f t="shared" si="160"/>
        <v>30.441839999999999</v>
      </c>
    </row>
    <row r="3433" spans="1:10" hidden="1" x14ac:dyDescent="0.35">
      <c r="A3433" s="126" t="s">
        <v>483</v>
      </c>
      <c r="B3433" t="str">
        <f>_xlfn.XLOOKUP(A3433,'[1]2050Pop'!$A$7:$A$143,'[1]2050Pop'!$D$7:$D$143)</f>
        <v>APAC</v>
      </c>
      <c r="C3433" s="127">
        <f>1000*_xlfn.XLOOKUP(A3433,'[1]2050Pop'!$A$7:$A$143,'[1]2050Pop'!$C$7:$C$143)</f>
        <v>14288</v>
      </c>
      <c r="D3433" s="126" t="s">
        <v>525</v>
      </c>
      <c r="E3433" s="128">
        <v>219.59299999999999</v>
      </c>
      <c r="F3433" s="129">
        <f t="shared" si="161"/>
        <v>3.1375447840000001</v>
      </c>
      <c r="G3433" t="str">
        <f>_xlfn.XLOOKUP(D3433,'[1]2050 BAU Mapping to T &amp; C'!$A$3:$A$52,'[1]2050 BAU Mapping to T &amp; C'!$B$3:$B$52)</f>
        <v>Sugar</v>
      </c>
      <c r="H3433" s="129">
        <f>_xlfn.XLOOKUP(G3433,'[1]T&amp;C emissions for 2050 analysis'!$B$3:$B$23,'[1]T&amp;C emissions for 2050 analysis'!$C$3:$C$23)</f>
        <v>7.3333333333333334E-2</v>
      </c>
      <c r="I3433" s="27">
        <f t="shared" si="159"/>
        <v>0.23008661749333334</v>
      </c>
      <c r="J3433" s="129">
        <f t="shared" si="160"/>
        <v>16.103486666666665</v>
      </c>
    </row>
    <row r="3434" spans="1:10" hidden="1" x14ac:dyDescent="0.35">
      <c r="A3434" s="126" t="s">
        <v>465</v>
      </c>
      <c r="B3434" t="str">
        <f>_xlfn.XLOOKUP(A3434,'[1]2050Pop'!$A$7:$A$143,'[1]2050Pop'!$D$7:$D$143)</f>
        <v>APAC</v>
      </c>
      <c r="C3434" s="127">
        <f>1000*_xlfn.XLOOKUP(A3434,'[1]2050Pop'!$A$7:$A$143,'[1]2050Pop'!$C$7:$C$143)</f>
        <v>62452</v>
      </c>
      <c r="D3434" s="126" t="s">
        <v>525</v>
      </c>
      <c r="E3434" s="128">
        <v>414.53500000000003</v>
      </c>
      <c r="F3434" s="129">
        <f t="shared" si="161"/>
        <v>25.888539820000002</v>
      </c>
      <c r="G3434" t="str">
        <f>_xlfn.XLOOKUP(D3434,'[1]2050 BAU Mapping to T &amp; C'!$A$3:$A$52,'[1]2050 BAU Mapping to T &amp; C'!$B$3:$B$52)</f>
        <v>Sugar</v>
      </c>
      <c r="H3434" s="129">
        <f>_xlfn.XLOOKUP(G3434,'[1]T&amp;C emissions for 2050 analysis'!$B$3:$B$23,'[1]T&amp;C emissions for 2050 analysis'!$C$3:$C$23)</f>
        <v>7.3333333333333334E-2</v>
      </c>
      <c r="I3434" s="27">
        <f t="shared" si="159"/>
        <v>1.8984929201333334</v>
      </c>
      <c r="J3434" s="129">
        <f t="shared" si="160"/>
        <v>30.399233333333335</v>
      </c>
    </row>
    <row r="3435" spans="1:10" hidden="1" x14ac:dyDescent="0.35">
      <c r="A3435" s="126" t="s">
        <v>466</v>
      </c>
      <c r="B3435" t="str">
        <f>_xlfn.XLOOKUP(A3435,'[1]2050Pop'!$A$7:$A$143,'[1]2050Pop'!$D$7:$D$143)</f>
        <v>SSA</v>
      </c>
      <c r="C3435" s="127">
        <f>1000*_xlfn.XLOOKUP(A3435,'[1]2050Pop'!$A$7:$A$143,'[1]2050Pop'!$C$7:$C$143)</f>
        <v>15681</v>
      </c>
      <c r="D3435" s="126" t="s">
        <v>525</v>
      </c>
      <c r="E3435" s="128">
        <v>131.678</v>
      </c>
      <c r="F3435" s="129">
        <f t="shared" si="161"/>
        <v>2.064842718</v>
      </c>
      <c r="G3435" t="str">
        <f>_xlfn.XLOOKUP(D3435,'[1]2050 BAU Mapping to T &amp; C'!$A$3:$A$52,'[1]2050 BAU Mapping to T &amp; C'!$B$3:$B$52)</f>
        <v>Sugar</v>
      </c>
      <c r="H3435" s="129">
        <f>_xlfn.XLOOKUP(G3435,'[1]T&amp;C emissions for 2050 analysis'!$B$3:$B$23,'[1]T&amp;C emissions for 2050 analysis'!$C$3:$C$23)</f>
        <v>7.3333333333333334E-2</v>
      </c>
      <c r="I3435" s="27">
        <f t="shared" si="159"/>
        <v>0.15142179931999999</v>
      </c>
      <c r="J3435" s="129">
        <f t="shared" si="160"/>
        <v>9.6563866666666662</v>
      </c>
    </row>
    <row r="3436" spans="1:10" hidden="1" x14ac:dyDescent="0.35">
      <c r="A3436" s="126" t="s">
        <v>467</v>
      </c>
      <c r="B3436" t="str">
        <f>_xlfn.XLOOKUP(A3436,'[1]2050Pop'!$A$7:$A$143,'[1]2050Pop'!$D$7:$D$143)</f>
        <v>LatAm &amp; RSA</v>
      </c>
      <c r="C3436" s="127">
        <f>1000*_xlfn.XLOOKUP(A3436,'[1]2050Pop'!$A$7:$A$143,'[1]2050Pop'!$C$7:$C$143)</f>
        <v>1291</v>
      </c>
      <c r="D3436" s="126" t="s">
        <v>525</v>
      </c>
      <c r="E3436" s="128">
        <v>595.38099999999997</v>
      </c>
      <c r="F3436" s="129">
        <f t="shared" si="161"/>
        <v>0.76863687099999989</v>
      </c>
      <c r="G3436" t="str">
        <f>_xlfn.XLOOKUP(D3436,'[1]2050 BAU Mapping to T &amp; C'!$A$3:$A$52,'[1]2050 BAU Mapping to T &amp; C'!$B$3:$B$52)</f>
        <v>Sugar</v>
      </c>
      <c r="H3436" s="129">
        <f>_xlfn.XLOOKUP(G3436,'[1]T&amp;C emissions for 2050 analysis'!$B$3:$B$23,'[1]T&amp;C emissions for 2050 analysis'!$C$3:$C$23)</f>
        <v>7.3333333333333334E-2</v>
      </c>
      <c r="I3436" s="27">
        <f t="shared" si="159"/>
        <v>5.6366703873333326E-2</v>
      </c>
      <c r="J3436" s="129">
        <f t="shared" si="160"/>
        <v>43.661273333333334</v>
      </c>
    </row>
    <row r="3437" spans="1:10" hidden="1" x14ac:dyDescent="0.35">
      <c r="A3437" s="126" t="s">
        <v>468</v>
      </c>
      <c r="B3437" t="str">
        <f>_xlfn.XLOOKUP(A3437,'[1]2050Pop'!$A$7:$A$143,'[1]2050Pop'!$D$7:$D$143)</f>
        <v>MENA</v>
      </c>
      <c r="C3437" s="127">
        <f>1000*_xlfn.XLOOKUP(A3437,'[1]2050Pop'!$A$7:$A$143,'[1]2050Pop'!$C$7:$C$143)</f>
        <v>13476</v>
      </c>
      <c r="D3437" s="126" t="s">
        <v>525</v>
      </c>
      <c r="E3437" s="128">
        <v>391.74599999999998</v>
      </c>
      <c r="F3437" s="129">
        <f t="shared" si="161"/>
        <v>5.2791690959999995</v>
      </c>
      <c r="G3437" t="str">
        <f>_xlfn.XLOOKUP(D3437,'[1]2050 BAU Mapping to T &amp; C'!$A$3:$A$52,'[1]2050 BAU Mapping to T &amp; C'!$B$3:$B$52)</f>
        <v>Sugar</v>
      </c>
      <c r="H3437" s="129">
        <f>_xlfn.XLOOKUP(G3437,'[1]T&amp;C emissions for 2050 analysis'!$B$3:$B$23,'[1]T&amp;C emissions for 2050 analysis'!$C$3:$C$23)</f>
        <v>7.3333333333333334E-2</v>
      </c>
      <c r="I3437" s="27">
        <f t="shared" si="159"/>
        <v>0.38713906703999995</v>
      </c>
      <c r="J3437" s="129">
        <f t="shared" si="160"/>
        <v>28.72804</v>
      </c>
    </row>
    <row r="3438" spans="1:10" hidden="1" x14ac:dyDescent="0.35">
      <c r="A3438" s="126" t="s">
        <v>469</v>
      </c>
      <c r="B3438" t="str">
        <f>_xlfn.XLOOKUP(A3438,'[1]2050Pop'!$A$7:$A$143,'[1]2050Pop'!$D$7:$D$143)</f>
        <v>MENA</v>
      </c>
      <c r="C3438" s="127">
        <f>1000*_xlfn.XLOOKUP(A3438,'[1]2050Pop'!$A$7:$A$143,'[1]2050Pop'!$C$7:$C$143)</f>
        <v>95819</v>
      </c>
      <c r="D3438" s="126" t="s">
        <v>525</v>
      </c>
      <c r="E3438" s="128">
        <v>325.05099999999999</v>
      </c>
      <c r="F3438" s="129">
        <f t="shared" si="161"/>
        <v>31.146061768999999</v>
      </c>
      <c r="G3438" t="str">
        <f>_xlfn.XLOOKUP(D3438,'[1]2050 BAU Mapping to T &amp; C'!$A$3:$A$52,'[1]2050 BAU Mapping to T &amp; C'!$B$3:$B$52)</f>
        <v>Sugar</v>
      </c>
      <c r="H3438" s="129">
        <f>_xlfn.XLOOKUP(G3438,'[1]T&amp;C emissions for 2050 analysis'!$B$3:$B$23,'[1]T&amp;C emissions for 2050 analysis'!$C$3:$C$23)</f>
        <v>7.3333333333333334E-2</v>
      </c>
      <c r="I3438" s="27">
        <f t="shared" si="159"/>
        <v>2.2840445297266667</v>
      </c>
      <c r="J3438" s="129">
        <f t="shared" si="160"/>
        <v>23.837073333333333</v>
      </c>
    </row>
    <row r="3439" spans="1:10" hidden="1" x14ac:dyDescent="0.35">
      <c r="A3439" s="126" t="s">
        <v>484</v>
      </c>
      <c r="B3439" t="str">
        <f>_xlfn.XLOOKUP(A3439,'[1]2050Pop'!$A$7:$A$143,'[1]2050Pop'!$D$7:$D$143)</f>
        <v>APAC</v>
      </c>
      <c r="C3439" s="127">
        <f>1000*_xlfn.XLOOKUP(A3439,'[1]2050Pop'!$A$7:$A$143,'[1]2050Pop'!$C$7:$C$143)</f>
        <v>6555</v>
      </c>
      <c r="D3439" s="126" t="s">
        <v>525</v>
      </c>
      <c r="E3439" s="128">
        <v>108.482</v>
      </c>
      <c r="F3439" s="129">
        <f t="shared" si="161"/>
        <v>0.71109951000000005</v>
      </c>
      <c r="G3439" t="str">
        <f>_xlfn.XLOOKUP(D3439,'[1]2050 BAU Mapping to T &amp; C'!$A$3:$A$52,'[1]2050 BAU Mapping to T &amp; C'!$B$3:$B$52)</f>
        <v>Sugar</v>
      </c>
      <c r="H3439" s="129">
        <f>_xlfn.XLOOKUP(G3439,'[1]T&amp;C emissions for 2050 analysis'!$B$3:$B$23,'[1]T&amp;C emissions for 2050 analysis'!$C$3:$C$23)</f>
        <v>7.3333333333333334E-2</v>
      </c>
      <c r="I3439" s="27">
        <f t="shared" si="159"/>
        <v>5.2147297400000001E-2</v>
      </c>
      <c r="J3439" s="129">
        <f t="shared" si="160"/>
        <v>7.9553466666666663</v>
      </c>
    </row>
    <row r="3440" spans="1:10" hidden="1" x14ac:dyDescent="0.35">
      <c r="A3440" s="126" t="s">
        <v>470</v>
      </c>
      <c r="B3440" t="str">
        <f>_xlfn.XLOOKUP(A3440,'[1]2050Pop'!$A$7:$A$143,'[1]2050Pop'!$D$7:$D$143)</f>
        <v>SSA</v>
      </c>
      <c r="C3440" s="127">
        <f>1000*_xlfn.XLOOKUP(A3440,'[1]2050Pop'!$A$7:$A$143,'[1]2050Pop'!$C$7:$C$143)</f>
        <v>101873</v>
      </c>
      <c r="D3440" s="126" t="s">
        <v>525</v>
      </c>
      <c r="E3440" s="128">
        <v>118.17100000000001</v>
      </c>
      <c r="F3440" s="129">
        <f t="shared" si="161"/>
        <v>12.038434282999999</v>
      </c>
      <c r="G3440" t="str">
        <f>_xlfn.XLOOKUP(D3440,'[1]2050 BAU Mapping to T &amp; C'!$A$3:$A$52,'[1]2050 BAU Mapping to T &amp; C'!$B$3:$B$52)</f>
        <v>Sugar</v>
      </c>
      <c r="H3440" s="129">
        <f>_xlfn.XLOOKUP(G3440,'[1]T&amp;C emissions for 2050 analysis'!$B$3:$B$23,'[1]T&amp;C emissions for 2050 analysis'!$C$3:$C$23)</f>
        <v>7.3333333333333334E-2</v>
      </c>
      <c r="I3440" s="27">
        <f t="shared" si="159"/>
        <v>0.88281851408666656</v>
      </c>
      <c r="J3440" s="129">
        <f t="shared" si="160"/>
        <v>8.6658733333333338</v>
      </c>
    </row>
    <row r="3441" spans="1:10" hidden="1" x14ac:dyDescent="0.35">
      <c r="A3441" s="126" t="s">
        <v>471</v>
      </c>
      <c r="B3441" t="str">
        <f>_xlfn.XLOOKUP(A3441,'[1]2050Pop'!$A$7:$A$143,'[1]2050Pop'!$D$7:$D$143)</f>
        <v>Euro/AU/NZ</v>
      </c>
      <c r="C3441" s="127">
        <f>1000*_xlfn.XLOOKUP(A3441,'[1]2050Pop'!$A$7:$A$143,'[1]2050Pop'!$C$7:$C$143)</f>
        <v>35117</v>
      </c>
      <c r="D3441" s="126" t="s">
        <v>525</v>
      </c>
      <c r="E3441" s="128">
        <v>483.608</v>
      </c>
      <c r="F3441" s="129">
        <f t="shared" si="161"/>
        <v>16.982862136000001</v>
      </c>
      <c r="G3441" t="str">
        <f>_xlfn.XLOOKUP(D3441,'[1]2050 BAU Mapping to T &amp; C'!$A$3:$A$52,'[1]2050 BAU Mapping to T &amp; C'!$B$3:$B$52)</f>
        <v>Sugar</v>
      </c>
      <c r="H3441" s="129">
        <f>_xlfn.XLOOKUP(G3441,'[1]T&amp;C emissions for 2050 analysis'!$B$3:$B$23,'[1]T&amp;C emissions for 2050 analysis'!$C$3:$C$23)</f>
        <v>7.3333333333333334E-2</v>
      </c>
      <c r="I3441" s="27">
        <f t="shared" si="159"/>
        <v>1.2454098899733335</v>
      </c>
      <c r="J3441" s="129">
        <f t="shared" si="160"/>
        <v>35.464586666666669</v>
      </c>
    </row>
    <row r="3442" spans="1:10" hidden="1" x14ac:dyDescent="0.35">
      <c r="A3442" s="126" t="s">
        <v>472</v>
      </c>
      <c r="B3442" t="str">
        <f>_xlfn.XLOOKUP(A3442,'[1]2050Pop'!$A$7:$A$143,'[1]2050Pop'!$D$7:$D$143)</f>
        <v>Euro/AU/NZ</v>
      </c>
      <c r="C3442" s="127">
        <f>1000*_xlfn.XLOOKUP(A3442,'[1]2050Pop'!$A$7:$A$143,'[1]2050Pop'!$C$7:$C$143)</f>
        <v>75361</v>
      </c>
      <c r="D3442" s="126" t="s">
        <v>525</v>
      </c>
      <c r="E3442" s="128">
        <v>399.01900000000001</v>
      </c>
      <c r="F3442" s="129">
        <f t="shared" si="161"/>
        <v>30.070470859</v>
      </c>
      <c r="G3442" t="str">
        <f>_xlfn.XLOOKUP(D3442,'[1]2050 BAU Mapping to T &amp; C'!$A$3:$A$52,'[1]2050 BAU Mapping to T &amp; C'!$B$3:$B$52)</f>
        <v>Sugar</v>
      </c>
      <c r="H3442" s="129">
        <f>_xlfn.XLOOKUP(G3442,'[1]T&amp;C emissions for 2050 analysis'!$B$3:$B$23,'[1]T&amp;C emissions for 2050 analysis'!$C$3:$C$23)</f>
        <v>7.3333333333333334E-2</v>
      </c>
      <c r="I3442" s="27">
        <f t="shared" si="159"/>
        <v>2.2051678629933336</v>
      </c>
      <c r="J3442" s="129">
        <f t="shared" si="160"/>
        <v>29.261393333333334</v>
      </c>
    </row>
    <row r="3443" spans="1:10" hidden="1" x14ac:dyDescent="0.35">
      <c r="A3443" s="126" t="s">
        <v>473</v>
      </c>
      <c r="B3443" t="str">
        <f>_xlfn.XLOOKUP(A3443,'[1]2050Pop'!$A$7:$A$143,'[1]2050Pop'!$D$7:$D$143)</f>
        <v>SSA</v>
      </c>
      <c r="C3443" s="127">
        <f>1000*_xlfn.XLOOKUP(A3443,'[1]2050Pop'!$A$7:$A$143,'[1]2050Pop'!$C$7:$C$143)</f>
        <v>137136</v>
      </c>
      <c r="D3443" s="126" t="s">
        <v>525</v>
      </c>
      <c r="E3443" s="130">
        <v>120.95</v>
      </c>
      <c r="F3443" s="129">
        <f t="shared" si="161"/>
        <v>16.586599200000002</v>
      </c>
      <c r="G3443" t="str">
        <f>_xlfn.XLOOKUP(D3443,'[1]2050 BAU Mapping to T &amp; C'!$A$3:$A$52,'[1]2050 BAU Mapping to T &amp; C'!$B$3:$B$52)</f>
        <v>Sugar</v>
      </c>
      <c r="H3443" s="129">
        <f>_xlfn.XLOOKUP(G3443,'[1]T&amp;C emissions for 2050 analysis'!$B$3:$B$23,'[1]T&amp;C emissions for 2050 analysis'!$C$3:$C$23)</f>
        <v>7.3333333333333334E-2</v>
      </c>
      <c r="I3443" s="27">
        <f t="shared" si="159"/>
        <v>1.2163506080000002</v>
      </c>
      <c r="J3443" s="129">
        <f t="shared" si="160"/>
        <v>8.8696666666666673</v>
      </c>
    </row>
    <row r="3444" spans="1:10" hidden="1" x14ac:dyDescent="0.35">
      <c r="A3444" s="126" t="s">
        <v>474</v>
      </c>
      <c r="B3444" t="str">
        <f>_xlfn.XLOOKUP(A3444,'[1]2050Pop'!$A$7:$A$143,'[1]2050Pop'!$D$7:$D$143)</f>
        <v>NAm</v>
      </c>
      <c r="C3444" s="127">
        <f>1000*_xlfn.XLOOKUP(A3444,'[1]2050Pop'!$A$7:$A$143,'[1]2050Pop'!$C$7:$C$143)</f>
        <v>388865</v>
      </c>
      <c r="D3444" s="126" t="s">
        <v>525</v>
      </c>
      <c r="E3444" s="128">
        <v>337.03899999999999</v>
      </c>
      <c r="F3444" s="129">
        <f t="shared" si="161"/>
        <v>131.06267073500001</v>
      </c>
      <c r="G3444" t="str">
        <f>_xlfn.XLOOKUP(D3444,'[1]2050 BAU Mapping to T &amp; C'!$A$3:$A$52,'[1]2050 BAU Mapping to T &amp; C'!$B$3:$B$52)</f>
        <v>Sugar</v>
      </c>
      <c r="H3444" s="129">
        <f>_xlfn.XLOOKUP(G3444,'[1]T&amp;C emissions for 2050 analysis'!$B$3:$B$23,'[1]T&amp;C emissions for 2050 analysis'!$C$3:$C$23)</f>
        <v>7.3333333333333334E-2</v>
      </c>
      <c r="I3444" s="27">
        <f t="shared" si="159"/>
        <v>9.6112625205666671</v>
      </c>
      <c r="J3444" s="129">
        <f t="shared" si="160"/>
        <v>24.716193333333333</v>
      </c>
    </row>
    <row r="3445" spans="1:10" hidden="1" x14ac:dyDescent="0.35">
      <c r="A3445" s="126" t="s">
        <v>475</v>
      </c>
      <c r="B3445" t="str">
        <f>_xlfn.XLOOKUP(A3445,'[1]2050Pop'!$A$7:$A$143,'[1]2050Pop'!$D$7:$D$143)</f>
        <v>LatAm &amp; RSA</v>
      </c>
      <c r="C3445" s="127">
        <f>1000*_xlfn.XLOOKUP(A3445,'[1]2050Pop'!$A$7:$A$143,'[1]2050Pop'!$C$7:$C$143)</f>
        <v>3667</v>
      </c>
      <c r="D3445" s="126" t="s">
        <v>525</v>
      </c>
      <c r="E3445" s="128">
        <v>370.28500000000003</v>
      </c>
      <c r="F3445" s="129">
        <f t="shared" si="161"/>
        <v>1.3578350950000002</v>
      </c>
      <c r="G3445" t="str">
        <f>_xlfn.XLOOKUP(D3445,'[1]2050 BAU Mapping to T &amp; C'!$A$3:$A$52,'[1]2050 BAU Mapping to T &amp; C'!$B$3:$B$52)</f>
        <v>Sugar</v>
      </c>
      <c r="H3445" s="129">
        <f>_xlfn.XLOOKUP(G3445,'[1]T&amp;C emissions for 2050 analysis'!$B$3:$B$23,'[1]T&amp;C emissions for 2050 analysis'!$C$3:$C$23)</f>
        <v>7.3333333333333334E-2</v>
      </c>
      <c r="I3445" s="27">
        <f t="shared" si="159"/>
        <v>9.9574573633333344E-2</v>
      </c>
      <c r="J3445" s="129">
        <f t="shared" si="160"/>
        <v>27.154233333333334</v>
      </c>
    </row>
    <row r="3446" spans="1:10" hidden="1" x14ac:dyDescent="0.35">
      <c r="A3446" s="126" t="s">
        <v>485</v>
      </c>
      <c r="B3446" t="str">
        <f>_xlfn.XLOOKUP(A3446,'[1]2050Pop'!$A$7:$A$143,'[1]2050Pop'!$D$7:$D$143)</f>
        <v>APAC</v>
      </c>
      <c r="C3446" s="127">
        <f>1000*_xlfn.XLOOKUP(A3446,'[1]2050Pop'!$A$7:$A$143,'[1]2050Pop'!$C$7:$C$143)</f>
        <v>37126</v>
      </c>
      <c r="D3446" s="126" t="s">
        <v>525</v>
      </c>
      <c r="E3446" s="128">
        <v>125.09699999999999</v>
      </c>
      <c r="F3446" s="129">
        <f t="shared" si="161"/>
        <v>4.6443512220000001</v>
      </c>
      <c r="G3446" t="str">
        <f>_xlfn.XLOOKUP(D3446,'[1]2050 BAU Mapping to T &amp; C'!$A$3:$A$52,'[1]2050 BAU Mapping to T &amp; C'!$B$3:$B$52)</f>
        <v>Sugar</v>
      </c>
      <c r="H3446" s="129">
        <f>_xlfn.XLOOKUP(G3446,'[1]T&amp;C emissions for 2050 analysis'!$B$3:$B$23,'[1]T&amp;C emissions for 2050 analysis'!$C$3:$C$23)</f>
        <v>7.3333333333333334E-2</v>
      </c>
      <c r="I3446" s="27">
        <f t="shared" si="159"/>
        <v>0.34058575627999998</v>
      </c>
      <c r="J3446" s="129">
        <f t="shared" si="160"/>
        <v>9.1737799999999989</v>
      </c>
    </row>
    <row r="3447" spans="1:10" hidden="1" x14ac:dyDescent="0.35">
      <c r="A3447" s="126" t="s">
        <v>476</v>
      </c>
      <c r="B3447" t="str">
        <f>_xlfn.XLOOKUP(A3447,'[1]2050Pop'!$A$7:$A$143,'[1]2050Pop'!$D$7:$D$143)</f>
        <v>LatAm &amp; RSA</v>
      </c>
      <c r="C3447" s="127">
        <f>1000*_xlfn.XLOOKUP(A3447,'[1]2050Pop'!$A$7:$A$143,'[1]2050Pop'!$C$7:$C$143)</f>
        <v>41562</v>
      </c>
      <c r="D3447" s="126" t="s">
        <v>525</v>
      </c>
      <c r="E3447" s="130">
        <v>445.48</v>
      </c>
      <c r="F3447" s="129">
        <f t="shared" si="161"/>
        <v>18.515039760000001</v>
      </c>
      <c r="G3447" t="str">
        <f>_xlfn.XLOOKUP(D3447,'[1]2050 BAU Mapping to T &amp; C'!$A$3:$A$52,'[1]2050 BAU Mapping to T &amp; C'!$B$3:$B$52)</f>
        <v>Sugar</v>
      </c>
      <c r="H3447" s="129">
        <f>_xlfn.XLOOKUP(G3447,'[1]T&amp;C emissions for 2050 analysis'!$B$3:$B$23,'[1]T&amp;C emissions for 2050 analysis'!$C$3:$C$23)</f>
        <v>7.3333333333333334E-2</v>
      </c>
      <c r="I3447" s="27">
        <f t="shared" si="159"/>
        <v>1.3577695824</v>
      </c>
      <c r="J3447" s="129">
        <f t="shared" si="160"/>
        <v>32.668533333333336</v>
      </c>
    </row>
    <row r="3448" spans="1:10" hidden="1" x14ac:dyDescent="0.35">
      <c r="A3448" s="126" t="s">
        <v>477</v>
      </c>
      <c r="B3448" t="str">
        <f>_xlfn.XLOOKUP(A3448,'[1]2050Pop'!$A$7:$A$143,'[1]2050Pop'!$D$7:$D$143)</f>
        <v>APAC</v>
      </c>
      <c r="C3448" s="127">
        <f>1000*_xlfn.XLOOKUP(A3448,'[1]2050Pop'!$A$7:$A$143,'[1]2050Pop'!$C$7:$C$143)</f>
        <v>112783</v>
      </c>
      <c r="D3448" s="126" t="s">
        <v>525</v>
      </c>
      <c r="E3448" s="128">
        <v>99.632000000000005</v>
      </c>
      <c r="F3448" s="129">
        <f t="shared" si="161"/>
        <v>11.236795856000001</v>
      </c>
      <c r="G3448" t="str">
        <f>_xlfn.XLOOKUP(D3448,'[1]2050 BAU Mapping to T &amp; C'!$A$3:$A$52,'[1]2050 BAU Mapping to T &amp; C'!$B$3:$B$52)</f>
        <v>Sugar</v>
      </c>
      <c r="H3448" s="129">
        <f>_xlfn.XLOOKUP(G3448,'[1]T&amp;C emissions for 2050 analysis'!$B$3:$B$23,'[1]T&amp;C emissions for 2050 analysis'!$C$3:$C$23)</f>
        <v>7.3333333333333334E-2</v>
      </c>
      <c r="I3448" s="27">
        <f t="shared" si="159"/>
        <v>0.82403169610666671</v>
      </c>
      <c r="J3448" s="129">
        <f t="shared" si="160"/>
        <v>7.3063466666666672</v>
      </c>
    </row>
    <row r="3449" spans="1:10" hidden="1" x14ac:dyDescent="0.35">
      <c r="A3449" s="126" t="s">
        <v>478</v>
      </c>
      <c r="B3449" t="str">
        <f>_xlfn.XLOOKUP(A3449,'[1]2050Pop'!$A$7:$A$143,'[1]2050Pop'!$D$7:$D$143)</f>
        <v>MENA</v>
      </c>
      <c r="C3449" s="127">
        <f>1000*_xlfn.XLOOKUP(A3449,'[1]2050Pop'!$A$7:$A$143,'[1]2050Pop'!$C$7:$C$143)</f>
        <v>47170</v>
      </c>
      <c r="D3449" s="126" t="s">
        <v>525</v>
      </c>
      <c r="E3449" s="128">
        <v>314.06200000000001</v>
      </c>
      <c r="F3449" s="129">
        <f t="shared" si="161"/>
        <v>14.81430454</v>
      </c>
      <c r="G3449" t="str">
        <f>_xlfn.XLOOKUP(D3449,'[1]2050 BAU Mapping to T &amp; C'!$A$3:$A$52,'[1]2050 BAU Mapping to T &amp; C'!$B$3:$B$52)</f>
        <v>Sugar</v>
      </c>
      <c r="H3449" s="129">
        <f>_xlfn.XLOOKUP(G3449,'[1]T&amp;C emissions for 2050 analysis'!$B$3:$B$23,'[1]T&amp;C emissions for 2050 analysis'!$C$3:$C$23)</f>
        <v>7.3333333333333334E-2</v>
      </c>
      <c r="I3449" s="27">
        <f t="shared" si="159"/>
        <v>1.0863823329333333</v>
      </c>
      <c r="J3449" s="129">
        <f t="shared" si="160"/>
        <v>23.031213333333334</v>
      </c>
    </row>
    <row r="3450" spans="1:10" hidden="1" x14ac:dyDescent="0.35">
      <c r="A3450" s="126" t="s">
        <v>494</v>
      </c>
      <c r="B3450" t="str">
        <f>_xlfn.XLOOKUP(A3450,'[1]2050Pop'!$A$7:$A$143,'[1]2050Pop'!$D$7:$D$143)</f>
        <v>SSA</v>
      </c>
      <c r="C3450" s="127">
        <f>1000*_xlfn.XLOOKUP(A3450,'[1]2050Pop'!$A$7:$A$143,'[1]2050Pop'!$C$7:$C$143)</f>
        <v>42975</v>
      </c>
      <c r="D3450" s="126" t="s">
        <v>525</v>
      </c>
      <c r="E3450" s="128">
        <v>117.605</v>
      </c>
      <c r="F3450" s="129">
        <f t="shared" si="161"/>
        <v>5.0540748750000004</v>
      </c>
      <c r="G3450" t="str">
        <f>_xlfn.XLOOKUP(D3450,'[1]2050 BAU Mapping to T &amp; C'!$A$3:$A$52,'[1]2050 BAU Mapping to T &amp; C'!$B$3:$B$52)</f>
        <v>Sugar</v>
      </c>
      <c r="H3450" s="129">
        <f>_xlfn.XLOOKUP(G3450,'[1]T&amp;C emissions for 2050 analysis'!$B$3:$B$23,'[1]T&amp;C emissions for 2050 analysis'!$C$3:$C$23)</f>
        <v>7.3333333333333334E-2</v>
      </c>
      <c r="I3450" s="27">
        <f t="shared" si="159"/>
        <v>0.37063215750000006</v>
      </c>
      <c r="J3450" s="129">
        <f t="shared" si="160"/>
        <v>8.624366666666667</v>
      </c>
    </row>
    <row r="3451" spans="1:10" hidden="1" x14ac:dyDescent="0.35">
      <c r="A3451" s="126" t="s">
        <v>479</v>
      </c>
      <c r="B3451" t="str">
        <f>_xlfn.XLOOKUP(A3451,'[1]2050Pop'!$A$7:$A$143,'[1]2050Pop'!$D$7:$D$143)</f>
        <v>SSA</v>
      </c>
      <c r="C3451" s="127">
        <f>1000*_xlfn.XLOOKUP(A3451,'[1]2050Pop'!$A$7:$A$143,'[1]2050Pop'!$C$7:$C$143)</f>
        <v>29615</v>
      </c>
      <c r="D3451" s="126" t="s">
        <v>525</v>
      </c>
      <c r="E3451" s="128">
        <v>304.72300000000001</v>
      </c>
      <c r="F3451" s="129">
        <f t="shared" si="161"/>
        <v>9.0243716449999987</v>
      </c>
      <c r="G3451" t="str">
        <f>_xlfn.XLOOKUP(D3451,'[1]2050 BAU Mapping to T &amp; C'!$A$3:$A$52,'[1]2050 BAU Mapping to T &amp; C'!$B$3:$B$52)</f>
        <v>Sugar</v>
      </c>
      <c r="H3451" s="129">
        <f>_xlfn.XLOOKUP(G3451,'[1]T&amp;C emissions for 2050 analysis'!$B$3:$B$23,'[1]T&amp;C emissions for 2050 analysis'!$C$3:$C$23)</f>
        <v>7.3333333333333334E-2</v>
      </c>
      <c r="I3451" s="27">
        <f t="shared" si="159"/>
        <v>0.6617872539666666</v>
      </c>
      <c r="J3451" s="129">
        <f t="shared" si="160"/>
        <v>22.346353333333333</v>
      </c>
    </row>
    <row r="3452" spans="1:10" hidden="1" x14ac:dyDescent="0.35">
      <c r="A3452" s="126" t="s">
        <v>367</v>
      </c>
      <c r="B3452" t="str">
        <f>_xlfn.XLOOKUP(A3452,'[1]2050Pop'!$A$7:$A$143,'[1]2050Pop'!$D$7:$D$143)</f>
        <v>Euro/AU/NZ</v>
      </c>
      <c r="C3452" s="127">
        <f>1000*_xlfn.XLOOKUP(A3452,'[1]2050Pop'!$A$7:$A$143,'[1]2050Pop'!$C$7:$C$143)</f>
        <v>12527</v>
      </c>
      <c r="D3452" s="126" t="s">
        <v>526</v>
      </c>
      <c r="E3452" s="128">
        <v>7.9169999999999998</v>
      </c>
      <c r="F3452" s="129">
        <f t="shared" si="161"/>
        <v>9.9176258999999989E-2</v>
      </c>
      <c r="G3452" t="str">
        <f>_xlfn.XLOOKUP(D3452,'[1]2050 BAU Mapping to T &amp; C'!$A$3:$A$52,'[1]2050 BAU Mapping to T &amp; C'!$B$3:$B$52)</f>
        <v>Other veg</v>
      </c>
      <c r="H3452" s="129">
        <f>_xlfn.XLOOKUP(G3452,'[1]T&amp;C emissions for 2050 analysis'!$B$3:$B$23,'[1]T&amp;C emissions for 2050 analysis'!$C$3:$C$23)</f>
        <v>0.26766666666666666</v>
      </c>
      <c r="I3452" s="27">
        <f t="shared" si="159"/>
        <v>2.6546178658999997E-2</v>
      </c>
      <c r="J3452" s="129">
        <f t="shared" si="160"/>
        <v>2.1191170000000001</v>
      </c>
    </row>
    <row r="3453" spans="1:10" hidden="1" x14ac:dyDescent="0.35">
      <c r="A3453" s="126" t="s">
        <v>376</v>
      </c>
      <c r="B3453" t="str">
        <f>_xlfn.XLOOKUP(A3453,'[1]2050Pop'!$A$7:$A$143,'[1]2050Pop'!$D$7:$D$143)</f>
        <v>NAm</v>
      </c>
      <c r="C3453" s="127">
        <f>1000*_xlfn.XLOOKUP(A3453,'[1]2050Pop'!$A$7:$A$143,'[1]2050Pop'!$C$7:$C$143)</f>
        <v>44136</v>
      </c>
      <c r="D3453" s="126" t="s">
        <v>526</v>
      </c>
      <c r="E3453" s="128">
        <v>26.004000000000001</v>
      </c>
      <c r="F3453" s="129">
        <f t="shared" si="161"/>
        <v>1.147712544</v>
      </c>
      <c r="G3453" t="str">
        <f>_xlfn.XLOOKUP(D3453,'[1]2050 BAU Mapping to T &amp; C'!$A$3:$A$52,'[1]2050 BAU Mapping to T &amp; C'!$B$3:$B$52)</f>
        <v>Other veg</v>
      </c>
      <c r="H3453" s="129">
        <f>_xlfn.XLOOKUP(G3453,'[1]T&amp;C emissions for 2050 analysis'!$B$3:$B$23,'[1]T&amp;C emissions for 2050 analysis'!$C$3:$C$23)</f>
        <v>0.26766666666666666</v>
      </c>
      <c r="I3453" s="27">
        <f t="shared" si="159"/>
        <v>0.30720439094399998</v>
      </c>
      <c r="J3453" s="129">
        <f t="shared" si="160"/>
        <v>6.9604040000000005</v>
      </c>
    </row>
    <row r="3454" spans="1:10" hidden="1" x14ac:dyDescent="0.35">
      <c r="A3454" s="126" t="s">
        <v>397</v>
      </c>
      <c r="B3454" t="str">
        <f>_xlfn.XLOOKUP(A3454,'[1]2050Pop'!$A$7:$A$143,'[1]2050Pop'!$D$7:$D$143)</f>
        <v>SSA</v>
      </c>
      <c r="C3454" s="127">
        <f>1000*_xlfn.XLOOKUP(A3454,'[1]2050Pop'!$A$7:$A$143,'[1]2050Pop'!$C$7:$C$143)</f>
        <v>3164</v>
      </c>
      <c r="D3454" s="126" t="s">
        <v>526</v>
      </c>
      <c r="E3454" s="128">
        <v>6.202</v>
      </c>
      <c r="F3454" s="129">
        <f t="shared" si="161"/>
        <v>1.9623128E-2</v>
      </c>
      <c r="G3454" t="str">
        <f>_xlfn.XLOOKUP(D3454,'[1]2050 BAU Mapping to T &amp; C'!$A$3:$A$52,'[1]2050 BAU Mapping to T &amp; C'!$B$3:$B$52)</f>
        <v>Other veg</v>
      </c>
      <c r="H3454" s="129">
        <f>_xlfn.XLOOKUP(G3454,'[1]T&amp;C emissions for 2050 analysis'!$B$3:$B$23,'[1]T&amp;C emissions for 2050 analysis'!$C$3:$C$23)</f>
        <v>0.26766666666666666</v>
      </c>
      <c r="I3454" s="27">
        <f t="shared" si="159"/>
        <v>5.2524572613333329E-3</v>
      </c>
      <c r="J3454" s="129">
        <f t="shared" si="160"/>
        <v>1.6600686666666666</v>
      </c>
    </row>
    <row r="3455" spans="1:10" hidden="1" x14ac:dyDescent="0.35">
      <c r="A3455" s="126" t="s">
        <v>408</v>
      </c>
      <c r="B3455" t="str">
        <f>_xlfn.XLOOKUP(A3455,'[1]2050Pop'!$A$7:$A$143,'[1]2050Pop'!$D$7:$D$143)</f>
        <v>India/South Asia</v>
      </c>
      <c r="C3455" s="127">
        <f>1000*_xlfn.XLOOKUP(A3455,'[1]2050Pop'!$A$7:$A$143,'[1]2050Pop'!$C$7:$C$143)</f>
        <v>1705333</v>
      </c>
      <c r="D3455" s="126" t="s">
        <v>526</v>
      </c>
      <c r="E3455" s="128">
        <v>13.711</v>
      </c>
      <c r="F3455" s="129">
        <f t="shared" si="161"/>
        <v>23.381820763</v>
      </c>
      <c r="G3455" t="str">
        <f>_xlfn.XLOOKUP(D3455,'[1]2050 BAU Mapping to T &amp; C'!$A$3:$A$52,'[1]2050 BAU Mapping to T &amp; C'!$B$3:$B$52)</f>
        <v>Other veg</v>
      </c>
      <c r="H3455" s="129">
        <f>_xlfn.XLOOKUP(G3455,'[1]T&amp;C emissions for 2050 analysis'!$B$3:$B$23,'[1]T&amp;C emissions for 2050 analysis'!$C$3:$C$23)</f>
        <v>0.26766666666666666</v>
      </c>
      <c r="I3455" s="27">
        <f t="shared" si="159"/>
        <v>6.2585340242296663</v>
      </c>
      <c r="J3455" s="129">
        <f t="shared" si="160"/>
        <v>3.6699776666666666</v>
      </c>
    </row>
    <row r="3456" spans="1:10" hidden="1" x14ac:dyDescent="0.35">
      <c r="A3456" s="126" t="s">
        <v>459</v>
      </c>
      <c r="B3456" t="str">
        <f>_xlfn.XLOOKUP(A3456,'[1]2050Pop'!$A$7:$A$143,'[1]2050Pop'!$D$7:$D$143)</f>
        <v>Euro/AU/NZ</v>
      </c>
      <c r="C3456" s="127">
        <f>1000*_xlfn.XLOOKUP(A3456,'[1]2050Pop'!$A$7:$A$143,'[1]2050Pop'!$C$7:$C$143)</f>
        <v>4892</v>
      </c>
      <c r="D3456" s="126" t="s">
        <v>526</v>
      </c>
      <c r="E3456" s="128">
        <v>10.589</v>
      </c>
      <c r="F3456" s="129">
        <f t="shared" si="161"/>
        <v>5.1801387999999997E-2</v>
      </c>
      <c r="G3456" t="str">
        <f>_xlfn.XLOOKUP(D3456,'[1]2050 BAU Mapping to T &amp; C'!$A$3:$A$52,'[1]2050 BAU Mapping to T &amp; C'!$B$3:$B$52)</f>
        <v>Other veg</v>
      </c>
      <c r="H3456" s="129">
        <f>_xlfn.XLOOKUP(G3456,'[1]T&amp;C emissions for 2050 analysis'!$B$3:$B$23,'[1]T&amp;C emissions for 2050 analysis'!$C$3:$C$23)</f>
        <v>0.26766666666666666</v>
      </c>
      <c r="I3456" s="27">
        <f t="shared" si="159"/>
        <v>1.3865504854666666E-2</v>
      </c>
      <c r="J3456" s="129">
        <f t="shared" si="160"/>
        <v>2.8343223333333336</v>
      </c>
    </row>
    <row r="3457" spans="1:10" hidden="1" x14ac:dyDescent="0.35">
      <c r="A3457" s="126" t="s">
        <v>464</v>
      </c>
      <c r="B3457" t="str">
        <f>_xlfn.XLOOKUP(A3457,'[1]2050Pop'!$A$7:$A$143,'[1]2050Pop'!$D$7:$D$143)</f>
        <v>Euro/AU/NZ</v>
      </c>
      <c r="C3457" s="127">
        <f>1000*_xlfn.XLOOKUP(A3457,'[1]2050Pop'!$A$7:$A$143,'[1]2050Pop'!$C$7:$C$143)</f>
        <v>11881</v>
      </c>
      <c r="D3457" s="126" t="s">
        <v>526</v>
      </c>
      <c r="E3457" s="128">
        <v>6.3609999999999998</v>
      </c>
      <c r="F3457" s="129">
        <f t="shared" si="161"/>
        <v>7.5575040999999996E-2</v>
      </c>
      <c r="G3457" t="str">
        <f>_xlfn.XLOOKUP(D3457,'[1]2050 BAU Mapping to T &amp; C'!$A$3:$A$52,'[1]2050 BAU Mapping to T &amp; C'!$B$3:$B$52)</f>
        <v>Other veg</v>
      </c>
      <c r="H3457" s="129">
        <f>_xlfn.XLOOKUP(G3457,'[1]T&amp;C emissions for 2050 analysis'!$B$3:$B$23,'[1]T&amp;C emissions for 2050 analysis'!$C$3:$C$23)</f>
        <v>0.26766666666666666</v>
      </c>
      <c r="I3457" s="27">
        <f t="shared" si="159"/>
        <v>2.0228919307666664E-2</v>
      </c>
      <c r="J3457" s="129">
        <f t="shared" si="160"/>
        <v>1.7026276666666667</v>
      </c>
    </row>
    <row r="3458" spans="1:10" hidden="1" x14ac:dyDescent="0.35">
      <c r="A3458" s="126" t="s">
        <v>355</v>
      </c>
      <c r="B3458" t="str">
        <f>_xlfn.XLOOKUP(A3458,'[1]2050Pop'!$A$7:$A$143,'[1]2050Pop'!$D$7:$D$143)</f>
        <v>India/South Asia</v>
      </c>
      <c r="C3458" s="127">
        <f>1000*_xlfn.XLOOKUP(A3458,'[1]2050Pop'!$A$7:$A$143,'[1]2050Pop'!$C$7:$C$143)</f>
        <v>55955</v>
      </c>
      <c r="D3458" s="126" t="s">
        <v>527</v>
      </c>
      <c r="E3458" s="128">
        <v>3.5739999999999998</v>
      </c>
      <c r="F3458" s="129">
        <f t="shared" si="161"/>
        <v>0.19998316999999999</v>
      </c>
      <c r="G3458" t="str">
        <f>_xlfn.XLOOKUP(D3458,'[1]2050 BAU Mapping to T &amp; C'!$A$3:$A$52,'[1]2050 BAU Mapping to T &amp; C'!$B$3:$B$52)</f>
        <v xml:space="preserve">Oil crops </v>
      </c>
      <c r="H3458" s="129">
        <f>_xlfn.XLOOKUP(G3458,'[1]T&amp;C emissions for 2050 analysis'!$B$3:$B$23,'[1]T&amp;C emissions for 2050 analysis'!$C$3:$C$23)</f>
        <v>0.18333333333333335</v>
      </c>
      <c r="I3458" s="27">
        <f t="shared" si="159"/>
        <v>3.6663581166666667E-2</v>
      </c>
      <c r="J3458" s="129">
        <f t="shared" si="160"/>
        <v>0.65523333333333333</v>
      </c>
    </row>
    <row r="3459" spans="1:10" hidden="1" x14ac:dyDescent="0.35">
      <c r="A3459" s="126" t="s">
        <v>357</v>
      </c>
      <c r="B3459" t="str">
        <f>_xlfn.XLOOKUP(A3459,'[1]2050Pop'!$A$7:$A$143,'[1]2050Pop'!$D$7:$D$143)</f>
        <v>Euro/AU/NZ</v>
      </c>
      <c r="C3459" s="127">
        <f>1000*_xlfn.XLOOKUP(A3459,'[1]2050Pop'!$A$7:$A$143,'[1]2050Pop'!$C$7:$C$143)</f>
        <v>2710</v>
      </c>
      <c r="D3459" s="126" t="s">
        <v>527</v>
      </c>
      <c r="E3459" s="128">
        <v>1.1120000000000001</v>
      </c>
      <c r="F3459" s="129">
        <f t="shared" si="161"/>
        <v>3.0135200000000004E-3</v>
      </c>
      <c r="G3459" t="str">
        <f>_xlfn.XLOOKUP(D3459,'[1]2050 BAU Mapping to T &amp; C'!$A$3:$A$52,'[1]2050 BAU Mapping to T &amp; C'!$B$3:$B$52)</f>
        <v xml:space="preserve">Oil crops </v>
      </c>
      <c r="H3459" s="129">
        <f>_xlfn.XLOOKUP(G3459,'[1]T&amp;C emissions for 2050 analysis'!$B$3:$B$23,'[1]T&amp;C emissions for 2050 analysis'!$C$3:$C$23)</f>
        <v>0.18333333333333335</v>
      </c>
      <c r="I3459" s="27">
        <f t="shared" si="159"/>
        <v>5.5247866666666677E-4</v>
      </c>
      <c r="J3459" s="129">
        <f t="shared" si="160"/>
        <v>0.2038666666666667</v>
      </c>
    </row>
    <row r="3460" spans="1:10" hidden="1" x14ac:dyDescent="0.35">
      <c r="A3460" s="126" t="s">
        <v>358</v>
      </c>
      <c r="B3460" t="str">
        <f>_xlfn.XLOOKUP(A3460,'[1]2050Pop'!$A$7:$A$143,'[1]2050Pop'!$D$7:$D$143)</f>
        <v>MENA</v>
      </c>
      <c r="C3460" s="127">
        <f>1000*_xlfn.XLOOKUP(A3460,'[1]2050Pop'!$A$7:$A$143,'[1]2050Pop'!$C$7:$C$143)</f>
        <v>56461</v>
      </c>
      <c r="D3460" s="126" t="s">
        <v>527</v>
      </c>
      <c r="E3460" s="128">
        <v>13.843999999999999</v>
      </c>
      <c r="F3460" s="129">
        <f t="shared" si="161"/>
        <v>0.78164608399999991</v>
      </c>
      <c r="G3460" t="str">
        <f>_xlfn.XLOOKUP(D3460,'[1]2050 BAU Mapping to T &amp; C'!$A$3:$A$52,'[1]2050 BAU Mapping to T &amp; C'!$B$3:$B$52)</f>
        <v xml:space="preserve">Oil crops </v>
      </c>
      <c r="H3460" s="129">
        <f>_xlfn.XLOOKUP(G3460,'[1]T&amp;C emissions for 2050 analysis'!$B$3:$B$23,'[1]T&amp;C emissions for 2050 analysis'!$C$3:$C$23)</f>
        <v>0.18333333333333335</v>
      </c>
      <c r="I3460" s="27">
        <f t="shared" ref="I3460:I3523" si="162">F3460*H3460</f>
        <v>0.14330178206666666</v>
      </c>
      <c r="J3460" s="129">
        <f t="shared" ref="J3460:J3523" si="163">E3460*H3460</f>
        <v>2.5380666666666669</v>
      </c>
    </row>
    <row r="3461" spans="1:10" hidden="1" x14ac:dyDescent="0.35">
      <c r="A3461" s="126" t="s">
        <v>359</v>
      </c>
      <c r="B3461" t="str">
        <f>_xlfn.XLOOKUP(A3461,'[1]2050Pop'!$A$7:$A$143,'[1]2050Pop'!$D$7:$D$143)</f>
        <v>SSA</v>
      </c>
      <c r="C3461" s="127">
        <f>1000*_xlfn.XLOOKUP(A3461,'[1]2050Pop'!$A$7:$A$143,'[1]2050Pop'!$C$7:$C$143)</f>
        <v>65473</v>
      </c>
      <c r="D3461" s="126" t="s">
        <v>527</v>
      </c>
      <c r="E3461" s="128">
        <v>1.3759999999999999</v>
      </c>
      <c r="F3461" s="129">
        <f t="shared" ref="F3461:F3524" si="164">C3461*E3461/1000000</f>
        <v>9.0090848000000001E-2</v>
      </c>
      <c r="G3461" t="str">
        <f>_xlfn.XLOOKUP(D3461,'[1]2050 BAU Mapping to T &amp; C'!$A$3:$A$52,'[1]2050 BAU Mapping to T &amp; C'!$B$3:$B$52)</f>
        <v xml:space="preserve">Oil crops </v>
      </c>
      <c r="H3461" s="129">
        <f>_xlfn.XLOOKUP(G3461,'[1]T&amp;C emissions for 2050 analysis'!$B$3:$B$23,'[1]T&amp;C emissions for 2050 analysis'!$C$3:$C$23)</f>
        <v>0.18333333333333335</v>
      </c>
      <c r="I3461" s="27">
        <f t="shared" si="162"/>
        <v>1.6516655466666669E-2</v>
      </c>
      <c r="J3461" s="129">
        <f t="shared" si="163"/>
        <v>0.25226666666666669</v>
      </c>
    </row>
    <row r="3462" spans="1:10" hidden="1" x14ac:dyDescent="0.35">
      <c r="A3462" s="126" t="s">
        <v>360</v>
      </c>
      <c r="B3462" t="str">
        <f>_xlfn.XLOOKUP(A3462,'[1]2050Pop'!$A$7:$A$143,'[1]2050Pop'!$D$7:$D$143)</f>
        <v>LatAm &amp; RSA</v>
      </c>
      <c r="C3462" s="127">
        <f>1000*_xlfn.XLOOKUP(A3462,'[1]2050Pop'!$A$7:$A$143,'[1]2050Pop'!$C$7:$C$143)</f>
        <v>55445</v>
      </c>
      <c r="D3462" s="126" t="s">
        <v>527</v>
      </c>
      <c r="E3462" s="128">
        <v>1.238</v>
      </c>
      <c r="F3462" s="129">
        <f t="shared" si="164"/>
        <v>6.8640909999999999E-2</v>
      </c>
      <c r="G3462" t="str">
        <f>_xlfn.XLOOKUP(D3462,'[1]2050 BAU Mapping to T &amp; C'!$A$3:$A$52,'[1]2050 BAU Mapping to T &amp; C'!$B$3:$B$52)</f>
        <v xml:space="preserve">Oil crops </v>
      </c>
      <c r="H3462" s="129">
        <f>_xlfn.XLOOKUP(G3462,'[1]T&amp;C emissions for 2050 analysis'!$B$3:$B$23,'[1]T&amp;C emissions for 2050 analysis'!$C$3:$C$23)</f>
        <v>0.18333333333333335</v>
      </c>
      <c r="I3462" s="27">
        <f t="shared" si="162"/>
        <v>1.2584166833333334E-2</v>
      </c>
      <c r="J3462" s="129">
        <f t="shared" si="163"/>
        <v>0.22696666666666668</v>
      </c>
    </row>
    <row r="3463" spans="1:10" hidden="1" x14ac:dyDescent="0.35">
      <c r="A3463" s="126" t="s">
        <v>362</v>
      </c>
      <c r="B3463" t="str">
        <f>_xlfn.XLOOKUP(A3463,'[1]2050Pop'!$A$7:$A$143,'[1]2050Pop'!$D$7:$D$143)</f>
        <v>Euro/AU/NZ</v>
      </c>
      <c r="C3463" s="127">
        <f>1000*_xlfn.XLOOKUP(A3463,'[1]2050Pop'!$A$7:$A$143,'[1]2050Pop'!$C$7:$C$143)</f>
        <v>33496</v>
      </c>
      <c r="D3463" s="126" t="s">
        <v>527</v>
      </c>
      <c r="E3463" s="128">
        <v>293.56799999999998</v>
      </c>
      <c r="F3463" s="129">
        <f t="shared" si="164"/>
        <v>9.8333537280000005</v>
      </c>
      <c r="G3463" t="str">
        <f>_xlfn.XLOOKUP(D3463,'[1]2050 BAU Mapping to T &amp; C'!$A$3:$A$52,'[1]2050 BAU Mapping to T &amp; C'!$B$3:$B$52)</f>
        <v xml:space="preserve">Oil crops </v>
      </c>
      <c r="H3463" s="129">
        <f>_xlfn.XLOOKUP(G3463,'[1]T&amp;C emissions for 2050 analysis'!$B$3:$B$23,'[1]T&amp;C emissions for 2050 analysis'!$C$3:$C$23)</f>
        <v>0.18333333333333335</v>
      </c>
      <c r="I3463" s="27">
        <f t="shared" si="162"/>
        <v>1.8027815168000003</v>
      </c>
      <c r="J3463" s="129">
        <f t="shared" si="163"/>
        <v>53.820799999999998</v>
      </c>
    </row>
    <row r="3464" spans="1:10" hidden="1" x14ac:dyDescent="0.35">
      <c r="A3464" s="126" t="s">
        <v>363</v>
      </c>
      <c r="B3464" t="str">
        <f>_xlfn.XLOOKUP(A3464,'[1]2050Pop'!$A$7:$A$143,'[1]2050Pop'!$D$7:$D$143)</f>
        <v>Euro/AU/NZ</v>
      </c>
      <c r="C3464" s="127">
        <f>1000*_xlfn.XLOOKUP(A3464,'[1]2050Pop'!$A$7:$A$143,'[1]2050Pop'!$C$7:$C$143)</f>
        <v>8846</v>
      </c>
      <c r="D3464" s="126" t="s">
        <v>527</v>
      </c>
      <c r="E3464" s="130">
        <v>262.08999999999997</v>
      </c>
      <c r="F3464" s="129">
        <f t="shared" si="164"/>
        <v>2.3184481399999997</v>
      </c>
      <c r="G3464" t="str">
        <f>_xlfn.XLOOKUP(D3464,'[1]2050 BAU Mapping to T &amp; C'!$A$3:$A$52,'[1]2050 BAU Mapping to T &amp; C'!$B$3:$B$52)</f>
        <v xml:space="preserve">Oil crops </v>
      </c>
      <c r="H3464" s="129">
        <f>_xlfn.XLOOKUP(G3464,'[1]T&amp;C emissions for 2050 analysis'!$B$3:$B$23,'[1]T&amp;C emissions for 2050 analysis'!$C$3:$C$23)</f>
        <v>0.18333333333333335</v>
      </c>
      <c r="I3464" s="27">
        <f t="shared" si="162"/>
        <v>0.42504882566666663</v>
      </c>
      <c r="J3464" s="129">
        <f t="shared" si="163"/>
        <v>48.049833333333332</v>
      </c>
    </row>
    <row r="3465" spans="1:10" hidden="1" x14ac:dyDescent="0.35">
      <c r="A3465" s="126" t="s">
        <v>365</v>
      </c>
      <c r="B3465" t="str">
        <f>_xlfn.XLOOKUP(A3465,'[1]2050Pop'!$A$7:$A$143,'[1]2050Pop'!$D$7:$D$143)</f>
        <v>India/South Asia</v>
      </c>
      <c r="C3465" s="127">
        <f>1000*_xlfn.XLOOKUP(A3465,'[1]2050Pop'!$A$7:$A$143,'[1]2050Pop'!$C$7:$C$143)</f>
        <v>202209</v>
      </c>
      <c r="D3465" s="126" t="s">
        <v>527</v>
      </c>
      <c r="E3465" s="130">
        <v>37.28</v>
      </c>
      <c r="F3465" s="129">
        <f t="shared" si="164"/>
        <v>7.5383515200000009</v>
      </c>
      <c r="G3465" t="str">
        <f>_xlfn.XLOOKUP(D3465,'[1]2050 BAU Mapping to T &amp; C'!$A$3:$A$52,'[1]2050 BAU Mapping to T &amp; C'!$B$3:$B$52)</f>
        <v xml:space="preserve">Oil crops </v>
      </c>
      <c r="H3465" s="129">
        <f>_xlfn.XLOOKUP(G3465,'[1]T&amp;C emissions for 2050 analysis'!$B$3:$B$23,'[1]T&amp;C emissions for 2050 analysis'!$C$3:$C$23)</f>
        <v>0.18333333333333335</v>
      </c>
      <c r="I3465" s="27">
        <f t="shared" si="162"/>
        <v>1.3820311120000002</v>
      </c>
      <c r="J3465" s="129">
        <f t="shared" si="163"/>
        <v>6.8346666666666671</v>
      </c>
    </row>
    <row r="3466" spans="1:10" hidden="1" x14ac:dyDescent="0.35">
      <c r="A3466" s="126" t="s">
        <v>366</v>
      </c>
      <c r="B3466" t="str">
        <f>_xlfn.XLOOKUP(A3466,'[1]2050Pop'!$A$7:$A$143,'[1]2050Pop'!$D$7:$D$143)</f>
        <v>Euro/AU/NZ</v>
      </c>
      <c r="C3466" s="127">
        <f>1000*_xlfn.XLOOKUP(A3466,'[1]2050Pop'!$A$7:$A$143,'[1]2050Pop'!$C$7:$C$143)</f>
        <v>8125</v>
      </c>
      <c r="D3466" s="126" t="s">
        <v>527</v>
      </c>
      <c r="E3466" s="128">
        <v>213.71199999999999</v>
      </c>
      <c r="F3466" s="129">
        <f t="shared" si="164"/>
        <v>1.73641</v>
      </c>
      <c r="G3466" t="str">
        <f>_xlfn.XLOOKUP(D3466,'[1]2050 BAU Mapping to T &amp; C'!$A$3:$A$52,'[1]2050 BAU Mapping to T &amp; C'!$B$3:$B$52)</f>
        <v xml:space="preserve">Oil crops </v>
      </c>
      <c r="H3466" s="129">
        <f>_xlfn.XLOOKUP(G3466,'[1]T&amp;C emissions for 2050 analysis'!$B$3:$B$23,'[1]T&amp;C emissions for 2050 analysis'!$C$3:$C$23)</f>
        <v>0.18333333333333335</v>
      </c>
      <c r="I3466" s="27">
        <f t="shared" si="162"/>
        <v>0.31834183333333338</v>
      </c>
      <c r="J3466" s="129">
        <f t="shared" si="163"/>
        <v>39.180533333333337</v>
      </c>
    </row>
    <row r="3467" spans="1:10" hidden="1" x14ac:dyDescent="0.35">
      <c r="A3467" s="126" t="s">
        <v>367</v>
      </c>
      <c r="B3467" t="str">
        <f>_xlfn.XLOOKUP(A3467,'[1]2050Pop'!$A$7:$A$143,'[1]2050Pop'!$D$7:$D$143)</f>
        <v>Euro/AU/NZ</v>
      </c>
      <c r="C3467" s="127">
        <f>1000*_xlfn.XLOOKUP(A3467,'[1]2050Pop'!$A$7:$A$143,'[1]2050Pop'!$C$7:$C$143)</f>
        <v>12527</v>
      </c>
      <c r="D3467" s="126" t="s">
        <v>527</v>
      </c>
      <c r="E3467" s="128">
        <v>148.37700000000001</v>
      </c>
      <c r="F3467" s="129">
        <f t="shared" si="164"/>
        <v>1.8587186790000001</v>
      </c>
      <c r="G3467" t="str">
        <f>_xlfn.XLOOKUP(D3467,'[1]2050 BAU Mapping to T &amp; C'!$A$3:$A$52,'[1]2050 BAU Mapping to T &amp; C'!$B$3:$B$52)</f>
        <v xml:space="preserve">Oil crops </v>
      </c>
      <c r="H3467" s="129">
        <f>_xlfn.XLOOKUP(G3467,'[1]T&amp;C emissions for 2050 analysis'!$B$3:$B$23,'[1]T&amp;C emissions for 2050 analysis'!$C$3:$C$23)</f>
        <v>0.18333333333333335</v>
      </c>
      <c r="I3467" s="27">
        <f t="shared" si="162"/>
        <v>0.34076509115000003</v>
      </c>
      <c r="J3467" s="129">
        <f t="shared" si="163"/>
        <v>27.202450000000002</v>
      </c>
    </row>
    <row r="3468" spans="1:10" hidden="1" x14ac:dyDescent="0.35">
      <c r="A3468" s="126" t="s">
        <v>376</v>
      </c>
      <c r="B3468" t="str">
        <f>_xlfn.XLOOKUP(A3468,'[1]2050Pop'!$A$7:$A$143,'[1]2050Pop'!$D$7:$D$143)</f>
        <v>NAm</v>
      </c>
      <c r="C3468" s="127">
        <f>1000*_xlfn.XLOOKUP(A3468,'[1]2050Pop'!$A$7:$A$143,'[1]2050Pop'!$C$7:$C$143)</f>
        <v>44136</v>
      </c>
      <c r="D3468" s="126" t="s">
        <v>527</v>
      </c>
      <c r="E3468" s="130">
        <v>407.32</v>
      </c>
      <c r="F3468" s="129">
        <f t="shared" si="164"/>
        <v>17.977475519999999</v>
      </c>
      <c r="G3468" t="str">
        <f>_xlfn.XLOOKUP(D3468,'[1]2050 BAU Mapping to T &amp; C'!$A$3:$A$52,'[1]2050 BAU Mapping to T &amp; C'!$B$3:$B$52)</f>
        <v xml:space="preserve">Oil crops </v>
      </c>
      <c r="H3468" s="129">
        <f>_xlfn.XLOOKUP(G3468,'[1]T&amp;C emissions for 2050 analysis'!$B$3:$B$23,'[1]T&amp;C emissions for 2050 analysis'!$C$3:$C$23)</f>
        <v>0.18333333333333335</v>
      </c>
      <c r="I3468" s="27">
        <f t="shared" si="162"/>
        <v>3.295870512</v>
      </c>
      <c r="J3468" s="129">
        <f t="shared" si="163"/>
        <v>74.675333333333342</v>
      </c>
    </row>
    <row r="3469" spans="1:10" hidden="1" x14ac:dyDescent="0.35">
      <c r="A3469" s="126" t="s">
        <v>377</v>
      </c>
      <c r="B3469" t="str">
        <f>_xlfn.XLOOKUP(A3469,'[1]2050Pop'!$A$7:$A$143,'[1]2050Pop'!$D$7:$D$143)</f>
        <v>SSA</v>
      </c>
      <c r="C3469" s="127">
        <f>1000*_xlfn.XLOOKUP(A3469,'[1]2050Pop'!$A$7:$A$143,'[1]2050Pop'!$C$7:$C$143)</f>
        <v>8782</v>
      </c>
      <c r="D3469" s="126" t="s">
        <v>527</v>
      </c>
      <c r="E3469" s="128">
        <v>1.6160000000000001</v>
      </c>
      <c r="F3469" s="129">
        <f t="shared" si="164"/>
        <v>1.4191712000000002E-2</v>
      </c>
      <c r="G3469" t="str">
        <f>_xlfn.XLOOKUP(D3469,'[1]2050 BAU Mapping to T &amp; C'!$A$3:$A$52,'[1]2050 BAU Mapping to T &amp; C'!$B$3:$B$52)</f>
        <v xml:space="preserve">Oil crops </v>
      </c>
      <c r="H3469" s="129">
        <f>_xlfn.XLOOKUP(G3469,'[1]T&amp;C emissions for 2050 analysis'!$B$3:$B$23,'[1]T&amp;C emissions for 2050 analysis'!$C$3:$C$23)</f>
        <v>0.18333333333333335</v>
      </c>
      <c r="I3469" s="27">
        <f t="shared" si="162"/>
        <v>2.6018138666666674E-3</v>
      </c>
      <c r="J3469" s="129">
        <f t="shared" si="163"/>
        <v>0.29626666666666673</v>
      </c>
    </row>
    <row r="3470" spans="1:10" hidden="1" x14ac:dyDescent="0.35">
      <c r="A3470" s="126" t="s">
        <v>378</v>
      </c>
      <c r="B3470" t="str">
        <f>_xlfn.XLOOKUP(A3470,'[1]2050Pop'!$A$7:$A$143,'[1]2050Pop'!$D$7:$D$143)</f>
        <v>LatAm &amp; RSA</v>
      </c>
      <c r="C3470" s="127">
        <f>1000*_xlfn.XLOOKUP(A3470,'[1]2050Pop'!$A$7:$A$143,'[1]2050Pop'!$C$7:$C$143)</f>
        <v>21601</v>
      </c>
      <c r="D3470" s="126" t="s">
        <v>527</v>
      </c>
      <c r="E3470" s="128">
        <v>39.805999999999997</v>
      </c>
      <c r="F3470" s="129">
        <f t="shared" si="164"/>
        <v>0.85984940599999993</v>
      </c>
      <c r="G3470" t="str">
        <f>_xlfn.XLOOKUP(D3470,'[1]2050 BAU Mapping to T &amp; C'!$A$3:$A$52,'[1]2050 BAU Mapping to T &amp; C'!$B$3:$B$52)</f>
        <v xml:space="preserve">Oil crops </v>
      </c>
      <c r="H3470" s="129">
        <f>_xlfn.XLOOKUP(G3470,'[1]T&amp;C emissions for 2050 analysis'!$B$3:$B$23,'[1]T&amp;C emissions for 2050 analysis'!$C$3:$C$23)</f>
        <v>0.18333333333333335</v>
      </c>
      <c r="I3470" s="27">
        <f t="shared" si="162"/>
        <v>0.15763905776666667</v>
      </c>
      <c r="J3470" s="129">
        <f t="shared" si="163"/>
        <v>7.297766666666667</v>
      </c>
    </row>
    <row r="3471" spans="1:10" hidden="1" x14ac:dyDescent="0.35">
      <c r="A3471" s="126" t="s">
        <v>379</v>
      </c>
      <c r="B3471" t="str">
        <f>_xlfn.XLOOKUP(A3471,'[1]2050Pop'!$A$7:$A$143,'[1]2050Pop'!$D$7:$D$143)</f>
        <v>Greater China</v>
      </c>
      <c r="C3471" s="127">
        <f>1000*_xlfn.XLOOKUP(A3471,'[1]2050Pop'!$A$7:$A$143,'[1]2050Pop'!$C$7:$C$143)</f>
        <v>8148</v>
      </c>
      <c r="D3471" s="126" t="s">
        <v>527</v>
      </c>
      <c r="E3471" s="128">
        <v>36.396000000000001</v>
      </c>
      <c r="F3471" s="129">
        <f t="shared" si="164"/>
        <v>0.296554608</v>
      </c>
      <c r="G3471" t="str">
        <f>_xlfn.XLOOKUP(D3471,'[1]2050 BAU Mapping to T &amp; C'!$A$3:$A$52,'[1]2050 BAU Mapping to T &amp; C'!$B$3:$B$52)</f>
        <v xml:space="preserve">Oil crops </v>
      </c>
      <c r="H3471" s="129">
        <f>_xlfn.XLOOKUP(G3471,'[1]T&amp;C emissions for 2050 analysis'!$B$3:$B$23,'[1]T&amp;C emissions for 2050 analysis'!$C$3:$C$23)</f>
        <v>0.18333333333333335</v>
      </c>
      <c r="I3471" s="27">
        <f t="shared" si="162"/>
        <v>5.4368344800000003E-2</v>
      </c>
      <c r="J3471" s="129">
        <f t="shared" si="163"/>
        <v>6.672600000000001</v>
      </c>
    </row>
    <row r="3472" spans="1:10" hidden="1" x14ac:dyDescent="0.35">
      <c r="A3472" s="126" t="s">
        <v>380</v>
      </c>
      <c r="B3472" t="str">
        <f>_xlfn.XLOOKUP(A3472,'[1]2050Pop'!$A$7:$A$143,'[1]2050Pop'!$D$7:$D$143)</f>
        <v>Greater China</v>
      </c>
      <c r="C3472" s="127">
        <f>1000*_xlfn.XLOOKUP(A3472,'[1]2050Pop'!$A$7:$A$143,'[1]2050Pop'!$C$7:$C$143)</f>
        <v>1348056</v>
      </c>
      <c r="D3472" s="126" t="s">
        <v>527</v>
      </c>
      <c r="E3472" s="130">
        <v>62.44</v>
      </c>
      <c r="F3472" s="129">
        <f t="shared" si="164"/>
        <v>84.172616640000001</v>
      </c>
      <c r="G3472" t="str">
        <f>_xlfn.XLOOKUP(D3472,'[1]2050 BAU Mapping to T &amp; C'!$A$3:$A$52,'[1]2050 BAU Mapping to T &amp; C'!$B$3:$B$52)</f>
        <v xml:space="preserve">Oil crops </v>
      </c>
      <c r="H3472" s="129">
        <f>_xlfn.XLOOKUP(G3472,'[1]T&amp;C emissions for 2050 analysis'!$B$3:$B$23,'[1]T&amp;C emissions for 2050 analysis'!$C$3:$C$23)</f>
        <v>0.18333333333333335</v>
      </c>
      <c r="I3472" s="27">
        <f t="shared" si="162"/>
        <v>15.431646384000002</v>
      </c>
      <c r="J3472" s="129">
        <f t="shared" si="163"/>
        <v>11.447333333333335</v>
      </c>
    </row>
    <row r="3473" spans="1:10" hidden="1" x14ac:dyDescent="0.35">
      <c r="A3473" s="126" t="s">
        <v>382</v>
      </c>
      <c r="B3473" t="str">
        <f>_xlfn.XLOOKUP(A3473,'[1]2050Pop'!$A$7:$A$143,'[1]2050Pop'!$D$7:$D$143)</f>
        <v>LatAm &amp; RSA</v>
      </c>
      <c r="C3473" s="127">
        <f>1000*_xlfn.XLOOKUP(A3473,'[1]2050Pop'!$A$7:$A$143,'[1]2050Pop'!$C$7:$C$143)</f>
        <v>54927</v>
      </c>
      <c r="D3473" s="126" t="s">
        <v>527</v>
      </c>
      <c r="E3473" s="128">
        <v>11.868</v>
      </c>
      <c r="F3473" s="129">
        <f t="shared" si="164"/>
        <v>0.65187363600000003</v>
      </c>
      <c r="G3473" t="str">
        <f>_xlfn.XLOOKUP(D3473,'[1]2050 BAU Mapping to T &amp; C'!$A$3:$A$52,'[1]2050 BAU Mapping to T &amp; C'!$B$3:$B$52)</f>
        <v xml:space="preserve">Oil crops </v>
      </c>
      <c r="H3473" s="129">
        <f>_xlfn.XLOOKUP(G3473,'[1]T&amp;C emissions for 2050 analysis'!$B$3:$B$23,'[1]T&amp;C emissions for 2050 analysis'!$C$3:$C$23)</f>
        <v>0.18333333333333335</v>
      </c>
      <c r="I3473" s="27">
        <f t="shared" si="162"/>
        <v>0.11951016660000001</v>
      </c>
      <c r="J3473" s="129">
        <f t="shared" si="163"/>
        <v>2.1758000000000002</v>
      </c>
    </row>
    <row r="3474" spans="1:10" hidden="1" x14ac:dyDescent="0.35">
      <c r="A3474" s="126" t="s">
        <v>387</v>
      </c>
      <c r="B3474" t="str">
        <f>_xlfn.XLOOKUP(A3474,'[1]2050Pop'!$A$7:$A$143,'[1]2050Pop'!$D$7:$D$143)</f>
        <v>Euro/AU/NZ</v>
      </c>
      <c r="C3474" s="127">
        <f>1000*_xlfn.XLOOKUP(A3474,'[1]2050Pop'!$A$7:$A$143,'[1]2050Pop'!$C$7:$C$143)</f>
        <v>9965</v>
      </c>
      <c r="D3474" s="126" t="s">
        <v>527</v>
      </c>
      <c r="E3474" s="128">
        <v>439.38099999999997</v>
      </c>
      <c r="F3474" s="129">
        <f t="shared" si="164"/>
        <v>4.3784316649999999</v>
      </c>
      <c r="G3474" t="str">
        <f>_xlfn.XLOOKUP(D3474,'[1]2050 BAU Mapping to T &amp; C'!$A$3:$A$52,'[1]2050 BAU Mapping to T &amp; C'!$B$3:$B$52)</f>
        <v xml:space="preserve">Oil crops </v>
      </c>
      <c r="H3474" s="129">
        <f>_xlfn.XLOOKUP(G3474,'[1]T&amp;C emissions for 2050 analysis'!$B$3:$B$23,'[1]T&amp;C emissions for 2050 analysis'!$C$3:$C$23)</f>
        <v>0.18333333333333335</v>
      </c>
      <c r="I3474" s="27">
        <f t="shared" si="162"/>
        <v>0.80271247191666673</v>
      </c>
      <c r="J3474" s="129">
        <f t="shared" si="163"/>
        <v>80.553183333333337</v>
      </c>
    </row>
    <row r="3475" spans="1:10" hidden="1" x14ac:dyDescent="0.35">
      <c r="A3475" s="126" t="s">
        <v>393</v>
      </c>
      <c r="B3475" t="str">
        <f>_xlfn.XLOOKUP(A3475,'[1]2050Pop'!$A$7:$A$143,'[1]2050Pop'!$D$7:$D$143)</f>
        <v>Euro/AU/NZ</v>
      </c>
      <c r="C3475" s="127">
        <f>1000*_xlfn.XLOOKUP(A3475,'[1]2050Pop'!$A$7:$A$143,'[1]2050Pop'!$C$7:$C$143)</f>
        <v>1129</v>
      </c>
      <c r="D3475" s="126" t="s">
        <v>527</v>
      </c>
      <c r="E3475" s="128">
        <v>81.673000000000002</v>
      </c>
      <c r="F3475" s="129">
        <f t="shared" si="164"/>
        <v>9.2208816999999998E-2</v>
      </c>
      <c r="G3475" t="str">
        <f>_xlfn.XLOOKUP(D3475,'[1]2050 BAU Mapping to T &amp; C'!$A$3:$A$52,'[1]2050 BAU Mapping to T &amp; C'!$B$3:$B$52)</f>
        <v xml:space="preserve">Oil crops </v>
      </c>
      <c r="H3475" s="129">
        <f>_xlfn.XLOOKUP(G3475,'[1]T&amp;C emissions for 2050 analysis'!$B$3:$B$23,'[1]T&amp;C emissions for 2050 analysis'!$C$3:$C$23)</f>
        <v>0.18333333333333335</v>
      </c>
      <c r="I3475" s="27">
        <f t="shared" si="162"/>
        <v>1.6904949783333335E-2</v>
      </c>
      <c r="J3475" s="129">
        <f t="shared" si="163"/>
        <v>14.973383333333334</v>
      </c>
    </row>
    <row r="3476" spans="1:10" hidden="1" x14ac:dyDescent="0.35">
      <c r="A3476" s="126" t="s">
        <v>394</v>
      </c>
      <c r="B3476" t="str">
        <f>_xlfn.XLOOKUP(A3476,'[1]2050Pop'!$A$7:$A$143,'[1]2050Pop'!$D$7:$D$143)</f>
        <v>SSA</v>
      </c>
      <c r="C3476" s="127">
        <f>1000*_xlfn.XLOOKUP(A3476,'[1]2050Pop'!$A$7:$A$143,'[1]2050Pop'!$C$7:$C$143)</f>
        <v>188455</v>
      </c>
      <c r="D3476" s="126" t="s">
        <v>527</v>
      </c>
      <c r="E3476" s="128">
        <v>11.185</v>
      </c>
      <c r="F3476" s="129">
        <f t="shared" si="164"/>
        <v>2.1078691750000003</v>
      </c>
      <c r="G3476" t="str">
        <f>_xlfn.XLOOKUP(D3476,'[1]2050 BAU Mapping to T &amp; C'!$A$3:$A$52,'[1]2050 BAU Mapping to T &amp; C'!$B$3:$B$52)</f>
        <v xml:space="preserve">Oil crops </v>
      </c>
      <c r="H3476" s="129">
        <f>_xlfn.XLOOKUP(G3476,'[1]T&amp;C emissions for 2050 analysis'!$B$3:$B$23,'[1]T&amp;C emissions for 2050 analysis'!$C$3:$C$23)</f>
        <v>0.18333333333333335</v>
      </c>
      <c r="I3476" s="27">
        <f t="shared" si="162"/>
        <v>0.38644268208333343</v>
      </c>
      <c r="J3476" s="129">
        <f t="shared" si="163"/>
        <v>2.0505833333333334</v>
      </c>
    </row>
    <row r="3477" spans="1:10" hidden="1" x14ac:dyDescent="0.35">
      <c r="A3477" s="126" t="s">
        <v>395</v>
      </c>
      <c r="B3477" t="str">
        <f>_xlfn.XLOOKUP(A3477,'[1]2050Pop'!$A$7:$A$143,'[1]2050Pop'!$D$7:$D$143)</f>
        <v>Euro/AU/NZ</v>
      </c>
      <c r="C3477" s="127">
        <f>1000*_xlfn.XLOOKUP(A3477,'[1]2050Pop'!$A$7:$A$143,'[1]2050Pop'!$C$7:$C$143)</f>
        <v>5752</v>
      </c>
      <c r="D3477" s="126" t="s">
        <v>527</v>
      </c>
      <c r="E3477" s="130">
        <v>126.38</v>
      </c>
      <c r="F3477" s="129">
        <f t="shared" si="164"/>
        <v>0.72693775999999999</v>
      </c>
      <c r="G3477" t="str">
        <f>_xlfn.XLOOKUP(D3477,'[1]2050 BAU Mapping to T &amp; C'!$A$3:$A$52,'[1]2050 BAU Mapping to T &amp; C'!$B$3:$B$52)</f>
        <v xml:space="preserve">Oil crops </v>
      </c>
      <c r="H3477" s="129">
        <f>_xlfn.XLOOKUP(G3477,'[1]T&amp;C emissions for 2050 analysis'!$B$3:$B$23,'[1]T&amp;C emissions for 2050 analysis'!$C$3:$C$23)</f>
        <v>0.18333333333333335</v>
      </c>
      <c r="I3477" s="27">
        <f t="shared" si="162"/>
        <v>0.13327192266666668</v>
      </c>
      <c r="J3477" s="129">
        <f t="shared" si="163"/>
        <v>23.169666666666668</v>
      </c>
    </row>
    <row r="3478" spans="1:10" hidden="1" x14ac:dyDescent="0.35">
      <c r="A3478" s="126" t="s">
        <v>396</v>
      </c>
      <c r="B3478" t="str">
        <f>_xlfn.XLOOKUP(A3478,'[1]2050Pop'!$A$7:$A$143,'[1]2050Pop'!$D$7:$D$143)</f>
        <v>Euro/AU/NZ</v>
      </c>
      <c r="C3478" s="127">
        <f>1000*_xlfn.XLOOKUP(A3478,'[1]2050Pop'!$A$7:$A$143,'[1]2050Pop'!$C$7:$C$143)</f>
        <v>71137</v>
      </c>
      <c r="D3478" s="126" t="s">
        <v>527</v>
      </c>
      <c r="E3478" s="128">
        <v>92.513000000000005</v>
      </c>
      <c r="F3478" s="129">
        <f t="shared" si="164"/>
        <v>6.5810972810000008</v>
      </c>
      <c r="G3478" t="str">
        <f>_xlfn.XLOOKUP(D3478,'[1]2050 BAU Mapping to T &amp; C'!$A$3:$A$52,'[1]2050 BAU Mapping to T &amp; C'!$B$3:$B$52)</f>
        <v xml:space="preserve">Oil crops </v>
      </c>
      <c r="H3478" s="129">
        <f>_xlfn.XLOOKUP(G3478,'[1]T&amp;C emissions for 2050 analysis'!$B$3:$B$23,'[1]T&amp;C emissions for 2050 analysis'!$C$3:$C$23)</f>
        <v>0.18333333333333335</v>
      </c>
      <c r="I3478" s="27">
        <f t="shared" si="162"/>
        <v>1.2065345015166669</v>
      </c>
      <c r="J3478" s="129">
        <f t="shared" si="163"/>
        <v>16.96071666666667</v>
      </c>
    </row>
    <row r="3479" spans="1:10" hidden="1" x14ac:dyDescent="0.35">
      <c r="A3479" s="126" t="s">
        <v>397</v>
      </c>
      <c r="B3479" t="str">
        <f>_xlfn.XLOOKUP(A3479,'[1]2050Pop'!$A$7:$A$143,'[1]2050Pop'!$D$7:$D$143)</f>
        <v>SSA</v>
      </c>
      <c r="C3479" s="127">
        <f>1000*_xlfn.XLOOKUP(A3479,'[1]2050Pop'!$A$7:$A$143,'[1]2050Pop'!$C$7:$C$143)</f>
        <v>3164</v>
      </c>
      <c r="D3479" s="126" t="s">
        <v>527</v>
      </c>
      <c r="E3479" s="128">
        <v>5.0010000000000003</v>
      </c>
      <c r="F3479" s="129">
        <f t="shared" si="164"/>
        <v>1.5823164000000001E-2</v>
      </c>
      <c r="G3479" t="str">
        <f>_xlfn.XLOOKUP(D3479,'[1]2050 BAU Mapping to T &amp; C'!$A$3:$A$52,'[1]2050 BAU Mapping to T &amp; C'!$B$3:$B$52)</f>
        <v xml:space="preserve">Oil crops </v>
      </c>
      <c r="H3479" s="129">
        <f>_xlfn.XLOOKUP(G3479,'[1]T&amp;C emissions for 2050 analysis'!$B$3:$B$23,'[1]T&amp;C emissions for 2050 analysis'!$C$3:$C$23)</f>
        <v>0.18333333333333335</v>
      </c>
      <c r="I3479" s="27">
        <f t="shared" si="162"/>
        <v>2.9009134000000003E-3</v>
      </c>
      <c r="J3479" s="129">
        <f t="shared" si="163"/>
        <v>0.91685000000000016</v>
      </c>
    </row>
    <row r="3480" spans="1:10" hidden="1" x14ac:dyDescent="0.35">
      <c r="A3480" s="126" t="s">
        <v>489</v>
      </c>
      <c r="B3480" t="str">
        <f>_xlfn.XLOOKUP(A3480,'[1]2050Pop'!$A$7:$A$143,'[1]2050Pop'!$D$7:$D$143)</f>
        <v>SSA</v>
      </c>
      <c r="C3480" s="127">
        <f>1000*_xlfn.XLOOKUP(A3480,'[1]2050Pop'!$A$7:$A$143,'[1]2050Pop'!$C$7:$C$143)</f>
        <v>4981</v>
      </c>
      <c r="D3480" s="126" t="s">
        <v>527</v>
      </c>
      <c r="E3480" s="128">
        <v>6.335</v>
      </c>
      <c r="F3480" s="129">
        <f t="shared" si="164"/>
        <v>3.1554634999999998E-2</v>
      </c>
      <c r="G3480" t="str">
        <f>_xlfn.XLOOKUP(D3480,'[1]2050 BAU Mapping to T &amp; C'!$A$3:$A$52,'[1]2050 BAU Mapping to T &amp; C'!$B$3:$B$52)</f>
        <v xml:space="preserve">Oil crops </v>
      </c>
      <c r="H3480" s="129">
        <f>_xlfn.XLOOKUP(G3480,'[1]T&amp;C emissions for 2050 analysis'!$B$3:$B$23,'[1]T&amp;C emissions for 2050 analysis'!$C$3:$C$23)</f>
        <v>0.18333333333333335</v>
      </c>
      <c r="I3480" s="27">
        <f t="shared" si="162"/>
        <v>5.7850164166666669E-3</v>
      </c>
      <c r="J3480" s="129">
        <f t="shared" si="163"/>
        <v>1.1614166666666668</v>
      </c>
    </row>
    <row r="3481" spans="1:10" hidden="1" x14ac:dyDescent="0.35">
      <c r="A3481" s="126" t="s">
        <v>399</v>
      </c>
      <c r="B3481" t="str">
        <f>_xlfn.XLOOKUP(A3481,'[1]2050Pop'!$A$7:$A$143,'[1]2050Pop'!$D$7:$D$143)</f>
        <v>Euro/AU/NZ</v>
      </c>
      <c r="C3481" s="127">
        <f>1000*_xlfn.XLOOKUP(A3481,'[1]2050Pop'!$A$7:$A$143,'[1]2050Pop'!$C$7:$C$143)</f>
        <v>74513</v>
      </c>
      <c r="D3481" s="126" t="s">
        <v>527</v>
      </c>
      <c r="E3481" s="128">
        <v>165.50700000000001</v>
      </c>
      <c r="F3481" s="129">
        <f t="shared" si="164"/>
        <v>12.332423091000001</v>
      </c>
      <c r="G3481" t="str">
        <f>_xlfn.XLOOKUP(D3481,'[1]2050 BAU Mapping to T &amp; C'!$A$3:$A$52,'[1]2050 BAU Mapping to T &amp; C'!$B$3:$B$52)</f>
        <v xml:space="preserve">Oil crops </v>
      </c>
      <c r="H3481" s="129">
        <f>_xlfn.XLOOKUP(G3481,'[1]T&amp;C emissions for 2050 analysis'!$B$3:$B$23,'[1]T&amp;C emissions for 2050 analysis'!$C$3:$C$23)</f>
        <v>0.18333333333333335</v>
      </c>
      <c r="I3481" s="27">
        <f t="shared" si="162"/>
        <v>2.2609442333500005</v>
      </c>
      <c r="J3481" s="129">
        <f t="shared" si="163"/>
        <v>30.342950000000002</v>
      </c>
    </row>
    <row r="3482" spans="1:10" hidden="1" x14ac:dyDescent="0.35">
      <c r="A3482" s="126" t="s">
        <v>407</v>
      </c>
      <c r="B3482" t="str">
        <f>_xlfn.XLOOKUP(A3482,'[1]2050Pop'!$A$7:$A$143,'[1]2050Pop'!$D$7:$D$143)</f>
        <v>Euro/AU/NZ</v>
      </c>
      <c r="C3482" s="127">
        <f>1000*_xlfn.XLOOKUP(A3482,'[1]2050Pop'!$A$7:$A$143,'[1]2050Pop'!$C$7:$C$143)</f>
        <v>8318</v>
      </c>
      <c r="D3482" s="126" t="s">
        <v>527</v>
      </c>
      <c r="E3482" s="128">
        <v>66.713999999999999</v>
      </c>
      <c r="F3482" s="129">
        <f t="shared" si="164"/>
        <v>0.55492705200000003</v>
      </c>
      <c r="G3482" t="str">
        <f>_xlfn.XLOOKUP(D3482,'[1]2050 BAU Mapping to T &amp; C'!$A$3:$A$52,'[1]2050 BAU Mapping to T &amp; C'!$B$3:$B$52)</f>
        <v xml:space="preserve">Oil crops </v>
      </c>
      <c r="H3482" s="129">
        <f>_xlfn.XLOOKUP(G3482,'[1]T&amp;C emissions for 2050 analysis'!$B$3:$B$23,'[1]T&amp;C emissions for 2050 analysis'!$C$3:$C$23)</f>
        <v>0.18333333333333335</v>
      </c>
      <c r="I3482" s="27">
        <f t="shared" si="162"/>
        <v>0.10173662620000001</v>
      </c>
      <c r="J3482" s="129">
        <f t="shared" si="163"/>
        <v>12.2309</v>
      </c>
    </row>
    <row r="3483" spans="1:10" hidden="1" x14ac:dyDescent="0.35">
      <c r="A3483" s="126" t="s">
        <v>408</v>
      </c>
      <c r="B3483" t="str">
        <f>_xlfn.XLOOKUP(A3483,'[1]2050Pop'!$A$7:$A$143,'[1]2050Pop'!$D$7:$D$143)</f>
        <v>India/South Asia</v>
      </c>
      <c r="C3483" s="127">
        <f>1000*_xlfn.XLOOKUP(A3483,'[1]2050Pop'!$A$7:$A$143,'[1]2050Pop'!$C$7:$C$143)</f>
        <v>1705333</v>
      </c>
      <c r="D3483" s="126" t="s">
        <v>527</v>
      </c>
      <c r="E3483" s="128">
        <v>65.304000000000002</v>
      </c>
      <c r="F3483" s="129">
        <f t="shared" si="164"/>
        <v>111.365066232</v>
      </c>
      <c r="G3483" t="str">
        <f>_xlfn.XLOOKUP(D3483,'[1]2050 BAU Mapping to T &amp; C'!$A$3:$A$52,'[1]2050 BAU Mapping to T &amp; C'!$B$3:$B$52)</f>
        <v xml:space="preserve">Oil crops </v>
      </c>
      <c r="H3483" s="129">
        <f>_xlfn.XLOOKUP(G3483,'[1]T&amp;C emissions for 2050 analysis'!$B$3:$B$23,'[1]T&amp;C emissions for 2050 analysis'!$C$3:$C$23)</f>
        <v>0.18333333333333335</v>
      </c>
      <c r="I3483" s="27">
        <f t="shared" si="162"/>
        <v>20.416928809200002</v>
      </c>
      <c r="J3483" s="129">
        <f t="shared" si="163"/>
        <v>11.972400000000002</v>
      </c>
    </row>
    <row r="3484" spans="1:10" hidden="1" x14ac:dyDescent="0.35">
      <c r="A3484" s="126" t="s">
        <v>410</v>
      </c>
      <c r="B3484" t="str">
        <f>_xlfn.XLOOKUP(A3484,'[1]2050Pop'!$A$7:$A$143,'[1]2050Pop'!$D$7:$D$143)</f>
        <v>India/South Asia</v>
      </c>
      <c r="C3484" s="127">
        <f>1000*_xlfn.XLOOKUP(A3484,'[1]2050Pop'!$A$7:$A$143,'[1]2050Pop'!$C$7:$C$143)</f>
        <v>92219</v>
      </c>
      <c r="D3484" s="126" t="s">
        <v>527</v>
      </c>
      <c r="E3484" s="128">
        <v>49.497</v>
      </c>
      <c r="F3484" s="129">
        <f t="shared" si="164"/>
        <v>4.5645638430000002</v>
      </c>
      <c r="G3484" t="str">
        <f>_xlfn.XLOOKUP(D3484,'[1]2050 BAU Mapping to T &amp; C'!$A$3:$A$52,'[1]2050 BAU Mapping to T &amp; C'!$B$3:$B$52)</f>
        <v xml:space="preserve">Oil crops </v>
      </c>
      <c r="H3484" s="129">
        <f>_xlfn.XLOOKUP(G3484,'[1]T&amp;C emissions for 2050 analysis'!$B$3:$B$23,'[1]T&amp;C emissions for 2050 analysis'!$C$3:$C$23)</f>
        <v>0.18333333333333335</v>
      </c>
      <c r="I3484" s="27">
        <f t="shared" si="162"/>
        <v>0.83683670455000014</v>
      </c>
      <c r="J3484" s="129">
        <f t="shared" si="163"/>
        <v>9.0744500000000006</v>
      </c>
    </row>
    <row r="3485" spans="1:10" hidden="1" x14ac:dyDescent="0.35">
      <c r="A3485" s="126" t="s">
        <v>412</v>
      </c>
      <c r="B3485" t="str">
        <f>_xlfn.XLOOKUP(A3485,'[1]2050Pop'!$A$7:$A$143,'[1]2050Pop'!$D$7:$D$143)</f>
        <v>Euro/AU/NZ</v>
      </c>
      <c r="C3485" s="127">
        <f>1000*_xlfn.XLOOKUP(A3485,'[1]2050Pop'!$A$7:$A$143,'[1]2050Pop'!$C$7:$C$143)</f>
        <v>5789</v>
      </c>
      <c r="D3485" s="126" t="s">
        <v>527</v>
      </c>
      <c r="E3485" s="130">
        <v>160.36000000000001</v>
      </c>
      <c r="F3485" s="129">
        <f t="shared" si="164"/>
        <v>0.92832404000000002</v>
      </c>
      <c r="G3485" t="str">
        <f>_xlfn.XLOOKUP(D3485,'[1]2050 BAU Mapping to T &amp; C'!$A$3:$A$52,'[1]2050 BAU Mapping to T &amp; C'!$B$3:$B$52)</f>
        <v xml:space="preserve">Oil crops </v>
      </c>
      <c r="H3485" s="129">
        <f>_xlfn.XLOOKUP(G3485,'[1]T&amp;C emissions for 2050 analysis'!$B$3:$B$23,'[1]T&amp;C emissions for 2050 analysis'!$C$3:$C$23)</f>
        <v>0.18333333333333335</v>
      </c>
      <c r="I3485" s="27">
        <f t="shared" si="162"/>
        <v>0.17019274066666668</v>
      </c>
      <c r="J3485" s="129">
        <f t="shared" si="163"/>
        <v>29.399333333333338</v>
      </c>
    </row>
    <row r="3486" spans="1:10" hidden="1" x14ac:dyDescent="0.35">
      <c r="A3486" s="126" t="s">
        <v>413</v>
      </c>
      <c r="B3486" t="str">
        <f>_xlfn.XLOOKUP(A3486,'[1]2050Pop'!$A$7:$A$143,'[1]2050Pop'!$D$7:$D$143)</f>
        <v>MENA</v>
      </c>
      <c r="C3486" s="127">
        <f>1000*_xlfn.XLOOKUP(A3486,'[1]2050Pop'!$A$7:$A$143,'[1]2050Pop'!$C$7:$C$143)</f>
        <v>12610</v>
      </c>
      <c r="D3486" s="126" t="s">
        <v>527</v>
      </c>
      <c r="E3486" s="128">
        <v>172.148</v>
      </c>
      <c r="F3486" s="129">
        <f t="shared" si="164"/>
        <v>2.1707862799999997</v>
      </c>
      <c r="G3486" t="str">
        <f>_xlfn.XLOOKUP(D3486,'[1]2050 BAU Mapping to T &amp; C'!$A$3:$A$52,'[1]2050 BAU Mapping to T &amp; C'!$B$3:$B$52)</f>
        <v xml:space="preserve">Oil crops </v>
      </c>
      <c r="H3486" s="129">
        <f>_xlfn.XLOOKUP(G3486,'[1]T&amp;C emissions for 2050 analysis'!$B$3:$B$23,'[1]T&amp;C emissions for 2050 analysis'!$C$3:$C$23)</f>
        <v>0.18333333333333335</v>
      </c>
      <c r="I3486" s="27">
        <f t="shared" si="162"/>
        <v>0.39797748466666666</v>
      </c>
      <c r="J3486" s="129">
        <f t="shared" si="163"/>
        <v>31.56046666666667</v>
      </c>
    </row>
    <row r="3487" spans="1:10" hidden="1" x14ac:dyDescent="0.35">
      <c r="A3487" s="126" t="s">
        <v>414</v>
      </c>
      <c r="B3487" t="str">
        <f>_xlfn.XLOOKUP(A3487,'[1]2050Pop'!$A$7:$A$143,'[1]2050Pop'!$D$7:$D$143)</f>
        <v>Euro/AU/NZ</v>
      </c>
      <c r="C3487" s="127">
        <f>1000*_xlfn.XLOOKUP(A3487,'[1]2050Pop'!$A$7:$A$143,'[1]2050Pop'!$C$7:$C$143)</f>
        <v>56513</v>
      </c>
      <c r="D3487" s="126" t="s">
        <v>527</v>
      </c>
      <c r="E3487" s="128">
        <v>31.163</v>
      </c>
      <c r="F3487" s="129">
        <f t="shared" si="164"/>
        <v>1.761114619</v>
      </c>
      <c r="G3487" t="str">
        <f>_xlfn.XLOOKUP(D3487,'[1]2050 BAU Mapping to T &amp; C'!$A$3:$A$52,'[1]2050 BAU Mapping to T &amp; C'!$B$3:$B$52)</f>
        <v xml:space="preserve">Oil crops </v>
      </c>
      <c r="H3487" s="129">
        <f>_xlfn.XLOOKUP(G3487,'[1]T&amp;C emissions for 2050 analysis'!$B$3:$B$23,'[1]T&amp;C emissions for 2050 analysis'!$C$3:$C$23)</f>
        <v>0.18333333333333335</v>
      </c>
      <c r="I3487" s="27">
        <f t="shared" si="162"/>
        <v>0.32287101348333336</v>
      </c>
      <c r="J3487" s="129">
        <f t="shared" si="163"/>
        <v>5.7132166666666668</v>
      </c>
    </row>
    <row r="3488" spans="1:10" hidden="1" x14ac:dyDescent="0.35">
      <c r="A3488" s="126" t="s">
        <v>416</v>
      </c>
      <c r="B3488" t="str">
        <f>_xlfn.XLOOKUP(A3488,'[1]2050Pop'!$A$7:$A$143,'[1]2050Pop'!$D$7:$D$143)</f>
        <v>APAC</v>
      </c>
      <c r="C3488" s="127">
        <f>1000*_xlfn.XLOOKUP(A3488,'[1]2050Pop'!$A$7:$A$143,'[1]2050Pop'!$C$7:$C$143)</f>
        <v>107411</v>
      </c>
      <c r="D3488" s="126" t="s">
        <v>527</v>
      </c>
      <c r="E3488" s="128">
        <v>249.65899999999999</v>
      </c>
      <c r="F3488" s="129">
        <f t="shared" si="164"/>
        <v>26.816122848999999</v>
      </c>
      <c r="G3488" t="str">
        <f>_xlfn.XLOOKUP(D3488,'[1]2050 BAU Mapping to T &amp; C'!$A$3:$A$52,'[1]2050 BAU Mapping to T &amp; C'!$B$3:$B$52)</f>
        <v xml:space="preserve">Oil crops </v>
      </c>
      <c r="H3488" s="129">
        <f>_xlfn.XLOOKUP(G3488,'[1]T&amp;C emissions for 2050 analysis'!$B$3:$B$23,'[1]T&amp;C emissions for 2050 analysis'!$C$3:$C$23)</f>
        <v>0.18333333333333335</v>
      </c>
      <c r="I3488" s="27">
        <f t="shared" si="162"/>
        <v>4.9162891889833338</v>
      </c>
      <c r="J3488" s="129">
        <f t="shared" si="163"/>
        <v>45.770816666666668</v>
      </c>
    </row>
    <row r="3489" spans="1:10" hidden="1" x14ac:dyDescent="0.35">
      <c r="A3489" s="126" t="s">
        <v>417</v>
      </c>
      <c r="B3489" t="str">
        <f>_xlfn.XLOOKUP(A3489,'[1]2050Pop'!$A$7:$A$143,'[1]2050Pop'!$D$7:$D$143)</f>
        <v>MENA</v>
      </c>
      <c r="C3489" s="127">
        <f>1000*_xlfn.XLOOKUP(A3489,'[1]2050Pop'!$A$7:$A$143,'[1]2050Pop'!$C$7:$C$143)</f>
        <v>11717</v>
      </c>
      <c r="D3489" s="126" t="s">
        <v>527</v>
      </c>
      <c r="E3489" s="128">
        <v>3.302</v>
      </c>
      <c r="F3489" s="129">
        <f t="shared" si="164"/>
        <v>3.8689533999999998E-2</v>
      </c>
      <c r="G3489" t="str">
        <f>_xlfn.XLOOKUP(D3489,'[1]2050 BAU Mapping to T &amp; C'!$A$3:$A$52,'[1]2050 BAU Mapping to T &amp; C'!$B$3:$B$52)</f>
        <v xml:space="preserve">Oil crops </v>
      </c>
      <c r="H3489" s="129">
        <f>_xlfn.XLOOKUP(G3489,'[1]T&amp;C emissions for 2050 analysis'!$B$3:$B$23,'[1]T&amp;C emissions for 2050 analysis'!$C$3:$C$23)</f>
        <v>0.18333333333333335</v>
      </c>
      <c r="I3489" s="27">
        <f t="shared" si="162"/>
        <v>7.0930812333333338E-3</v>
      </c>
      <c r="J3489" s="129">
        <f t="shared" si="163"/>
        <v>0.60536666666666672</v>
      </c>
    </row>
    <row r="3490" spans="1:10" hidden="1" x14ac:dyDescent="0.35">
      <c r="A3490" s="126" t="s">
        <v>418</v>
      </c>
      <c r="B3490" t="str">
        <f>_xlfn.XLOOKUP(A3490,'[1]2050Pop'!$A$7:$A$143,'[1]2050Pop'!$D$7:$D$143)</f>
        <v>APAC</v>
      </c>
      <c r="C3490" s="127">
        <f>1000*_xlfn.XLOOKUP(A3490,'[1]2050Pop'!$A$7:$A$143,'[1]2050Pop'!$C$7:$C$143)</f>
        <v>22447</v>
      </c>
      <c r="D3490" s="126" t="s">
        <v>527</v>
      </c>
      <c r="E3490" s="128">
        <v>38.055</v>
      </c>
      <c r="F3490" s="129">
        <f t="shared" si="164"/>
        <v>0.85422058499999998</v>
      </c>
      <c r="G3490" t="str">
        <f>_xlfn.XLOOKUP(D3490,'[1]2050 BAU Mapping to T &amp; C'!$A$3:$A$52,'[1]2050 BAU Mapping to T &amp; C'!$B$3:$B$52)</f>
        <v xml:space="preserve">Oil crops </v>
      </c>
      <c r="H3490" s="129">
        <f>_xlfn.XLOOKUP(G3490,'[1]T&amp;C emissions for 2050 analysis'!$B$3:$B$23,'[1]T&amp;C emissions for 2050 analysis'!$C$3:$C$23)</f>
        <v>0.18333333333333335</v>
      </c>
      <c r="I3490" s="27">
        <f t="shared" si="162"/>
        <v>0.15660710725000002</v>
      </c>
      <c r="J3490" s="129">
        <f t="shared" si="163"/>
        <v>6.9767500000000009</v>
      </c>
    </row>
    <row r="3491" spans="1:10" hidden="1" x14ac:dyDescent="0.35">
      <c r="A3491" s="126" t="s">
        <v>420</v>
      </c>
      <c r="B3491" t="str">
        <f>_xlfn.XLOOKUP(A3491,'[1]2050Pop'!$A$7:$A$143,'[1]2050Pop'!$D$7:$D$143)</f>
        <v>APAC</v>
      </c>
      <c r="C3491" s="127">
        <f>1000*_xlfn.XLOOKUP(A3491,'[1]2050Pop'!$A$7:$A$143,'[1]2050Pop'!$C$7:$C$143)</f>
        <v>8248</v>
      </c>
      <c r="D3491" s="126" t="s">
        <v>527</v>
      </c>
      <c r="E3491" s="128">
        <v>3.6930000000000001</v>
      </c>
      <c r="F3491" s="129">
        <f t="shared" si="164"/>
        <v>3.0459864E-2</v>
      </c>
      <c r="G3491" t="str">
        <f>_xlfn.XLOOKUP(D3491,'[1]2050 BAU Mapping to T &amp; C'!$A$3:$A$52,'[1]2050 BAU Mapping to T &amp; C'!$B$3:$B$52)</f>
        <v xml:space="preserve">Oil crops </v>
      </c>
      <c r="H3491" s="129">
        <f>_xlfn.XLOOKUP(G3491,'[1]T&amp;C emissions for 2050 analysis'!$B$3:$B$23,'[1]T&amp;C emissions for 2050 analysis'!$C$3:$C$23)</f>
        <v>0.18333333333333335</v>
      </c>
      <c r="I3491" s="27">
        <f t="shared" si="162"/>
        <v>5.5843084000000006E-3</v>
      </c>
      <c r="J3491" s="129">
        <f t="shared" si="163"/>
        <v>0.67705000000000004</v>
      </c>
    </row>
    <row r="3492" spans="1:10" hidden="1" x14ac:dyDescent="0.35">
      <c r="A3492" s="126" t="s">
        <v>422</v>
      </c>
      <c r="B3492" t="str">
        <f>_xlfn.XLOOKUP(A3492,'[1]2050Pop'!$A$7:$A$143,'[1]2050Pop'!$D$7:$D$143)</f>
        <v>Euro/AU/NZ</v>
      </c>
      <c r="C3492" s="127">
        <f>1000*_xlfn.XLOOKUP(A3492,'[1]2050Pop'!$A$7:$A$143,'[1]2050Pop'!$C$7:$C$143)</f>
        <v>1593</v>
      </c>
      <c r="D3492" s="126" t="s">
        <v>527</v>
      </c>
      <c r="E3492" s="128">
        <v>175.45599999999999</v>
      </c>
      <c r="F3492" s="129">
        <f t="shared" si="164"/>
        <v>0.27950140800000001</v>
      </c>
      <c r="G3492" t="str">
        <f>_xlfn.XLOOKUP(D3492,'[1]2050 BAU Mapping to T &amp; C'!$A$3:$A$52,'[1]2050 BAU Mapping to T &amp; C'!$B$3:$B$52)</f>
        <v xml:space="preserve">Oil crops </v>
      </c>
      <c r="H3492" s="129">
        <f>_xlfn.XLOOKUP(G3492,'[1]T&amp;C emissions for 2050 analysis'!$B$3:$B$23,'[1]T&amp;C emissions for 2050 analysis'!$C$3:$C$23)</f>
        <v>0.18333333333333335</v>
      </c>
      <c r="I3492" s="27">
        <f t="shared" si="162"/>
        <v>5.1241924800000005E-2</v>
      </c>
      <c r="J3492" s="129">
        <f t="shared" si="163"/>
        <v>32.166933333333333</v>
      </c>
    </row>
    <row r="3493" spans="1:10" hidden="1" x14ac:dyDescent="0.35">
      <c r="A3493" s="126" t="s">
        <v>423</v>
      </c>
      <c r="B3493" t="str">
        <f>_xlfn.XLOOKUP(A3493,'[1]2050Pop'!$A$7:$A$143,'[1]2050Pop'!$D$7:$D$143)</f>
        <v>MENA</v>
      </c>
      <c r="C3493" s="127">
        <f>1000*_xlfn.XLOOKUP(A3493,'[1]2050Pop'!$A$7:$A$143,'[1]2050Pop'!$C$7:$C$143)</f>
        <v>5610</v>
      </c>
      <c r="D3493" s="126" t="s">
        <v>527</v>
      </c>
      <c r="E3493" s="128">
        <v>14.545</v>
      </c>
      <c r="F3493" s="129">
        <f t="shared" si="164"/>
        <v>8.1597450000000002E-2</v>
      </c>
      <c r="G3493" t="str">
        <f>_xlfn.XLOOKUP(D3493,'[1]2050 BAU Mapping to T &amp; C'!$A$3:$A$52,'[1]2050 BAU Mapping to T &amp; C'!$B$3:$B$52)</f>
        <v xml:space="preserve">Oil crops </v>
      </c>
      <c r="H3493" s="129">
        <f>_xlfn.XLOOKUP(G3493,'[1]T&amp;C emissions for 2050 analysis'!$B$3:$B$23,'[1]T&amp;C emissions for 2050 analysis'!$C$3:$C$23)</f>
        <v>0.18333333333333335</v>
      </c>
      <c r="I3493" s="27">
        <f t="shared" si="162"/>
        <v>1.4959532500000001E-2</v>
      </c>
      <c r="J3493" s="129">
        <f t="shared" si="163"/>
        <v>2.6665833333333335</v>
      </c>
    </row>
    <row r="3494" spans="1:10" hidden="1" x14ac:dyDescent="0.35">
      <c r="A3494" s="126" t="s">
        <v>425</v>
      </c>
      <c r="B3494" t="str">
        <f>_xlfn.XLOOKUP(A3494,'[1]2050Pop'!$A$7:$A$143,'[1]2050Pop'!$D$7:$D$143)</f>
        <v>SSA</v>
      </c>
      <c r="C3494" s="127">
        <f>1000*_xlfn.XLOOKUP(A3494,'[1]2050Pop'!$A$7:$A$143,'[1]2050Pop'!$C$7:$C$143)</f>
        <v>9436</v>
      </c>
      <c r="D3494" s="126" t="s">
        <v>527</v>
      </c>
      <c r="E3494" s="128">
        <v>7.5780000000000003</v>
      </c>
      <c r="F3494" s="129">
        <f t="shared" si="164"/>
        <v>7.1506007999999996E-2</v>
      </c>
      <c r="G3494" t="str">
        <f>_xlfn.XLOOKUP(D3494,'[1]2050 BAU Mapping to T &amp; C'!$A$3:$A$52,'[1]2050 BAU Mapping to T &amp; C'!$B$3:$B$52)</f>
        <v xml:space="preserve">Oil crops </v>
      </c>
      <c r="H3494" s="129">
        <f>_xlfn.XLOOKUP(G3494,'[1]T&amp;C emissions for 2050 analysis'!$B$3:$B$23,'[1]T&amp;C emissions for 2050 analysis'!$C$3:$C$23)</f>
        <v>0.18333333333333335</v>
      </c>
      <c r="I3494" s="27">
        <f t="shared" si="162"/>
        <v>1.31094348E-2</v>
      </c>
      <c r="J3494" s="129">
        <f t="shared" si="163"/>
        <v>1.3893000000000002</v>
      </c>
    </row>
    <row r="3495" spans="1:10" hidden="1" x14ac:dyDescent="0.35">
      <c r="A3495" s="126" t="s">
        <v>426</v>
      </c>
      <c r="B3495" t="str">
        <f>_xlfn.XLOOKUP(A3495,'[1]2050Pop'!$A$7:$A$143,'[1]2050Pop'!$D$7:$D$143)</f>
        <v>Euro/AU/NZ</v>
      </c>
      <c r="C3495" s="127">
        <f>1000*_xlfn.XLOOKUP(A3495,'[1]2050Pop'!$A$7:$A$143,'[1]2050Pop'!$C$7:$C$143)</f>
        <v>2375</v>
      </c>
      <c r="D3495" s="126" t="s">
        <v>527</v>
      </c>
      <c r="E3495" s="128">
        <v>45.539000000000001</v>
      </c>
      <c r="F3495" s="129">
        <f t="shared" si="164"/>
        <v>0.108155125</v>
      </c>
      <c r="G3495" t="str">
        <f>_xlfn.XLOOKUP(D3495,'[1]2050 BAU Mapping to T &amp; C'!$A$3:$A$52,'[1]2050 BAU Mapping to T &amp; C'!$B$3:$B$52)</f>
        <v xml:space="preserve">Oil crops </v>
      </c>
      <c r="H3495" s="129">
        <f>_xlfn.XLOOKUP(G3495,'[1]T&amp;C emissions for 2050 analysis'!$B$3:$B$23,'[1]T&amp;C emissions for 2050 analysis'!$C$3:$C$23)</f>
        <v>0.18333333333333335</v>
      </c>
      <c r="I3495" s="27">
        <f t="shared" si="162"/>
        <v>1.9828439583333336E-2</v>
      </c>
      <c r="J3495" s="129">
        <f t="shared" si="163"/>
        <v>8.3488166666666679</v>
      </c>
    </row>
    <row r="3496" spans="1:10" hidden="1" x14ac:dyDescent="0.35">
      <c r="A3496" s="126" t="s">
        <v>427</v>
      </c>
      <c r="B3496" t="str">
        <f>_xlfn.XLOOKUP(A3496,'[1]2050Pop'!$A$7:$A$143,'[1]2050Pop'!$D$7:$D$143)</f>
        <v>SSA</v>
      </c>
      <c r="C3496" s="127">
        <f>1000*_xlfn.XLOOKUP(A3496,'[1]2050Pop'!$A$7:$A$143,'[1]2050Pop'!$C$7:$C$143)</f>
        <v>55294</v>
      </c>
      <c r="D3496" s="126" t="s">
        <v>527</v>
      </c>
      <c r="E3496" s="128">
        <v>1.927</v>
      </c>
      <c r="F3496" s="129">
        <f t="shared" si="164"/>
        <v>0.106551538</v>
      </c>
      <c r="G3496" t="str">
        <f>_xlfn.XLOOKUP(D3496,'[1]2050 BAU Mapping to T &amp; C'!$A$3:$A$52,'[1]2050 BAU Mapping to T &amp; C'!$B$3:$B$52)</f>
        <v xml:space="preserve">Oil crops </v>
      </c>
      <c r="H3496" s="129">
        <f>_xlfn.XLOOKUP(G3496,'[1]T&amp;C emissions for 2050 analysis'!$B$3:$B$23,'[1]T&amp;C emissions for 2050 analysis'!$C$3:$C$23)</f>
        <v>0.18333333333333335</v>
      </c>
      <c r="I3496" s="27">
        <f t="shared" si="162"/>
        <v>1.9534448633333337E-2</v>
      </c>
      <c r="J3496" s="129">
        <f t="shared" si="163"/>
        <v>0.35328333333333339</v>
      </c>
    </row>
    <row r="3497" spans="1:10" hidden="1" x14ac:dyDescent="0.35">
      <c r="A3497" s="126" t="s">
        <v>429</v>
      </c>
      <c r="B3497" t="str">
        <f>_xlfn.XLOOKUP(A3497,'[1]2050Pop'!$A$7:$A$143,'[1]2050Pop'!$D$7:$D$143)</f>
        <v>APAC</v>
      </c>
      <c r="C3497" s="127">
        <f>1000*_xlfn.XLOOKUP(A3497,'[1]2050Pop'!$A$7:$A$143,'[1]2050Pop'!$C$7:$C$143)</f>
        <v>40725</v>
      </c>
      <c r="D3497" s="126" t="s">
        <v>527</v>
      </c>
      <c r="E3497" s="128">
        <v>2.6629999999999998</v>
      </c>
      <c r="F3497" s="129">
        <f t="shared" si="164"/>
        <v>0.10845067499999998</v>
      </c>
      <c r="G3497" t="str">
        <f>_xlfn.XLOOKUP(D3497,'[1]2050 BAU Mapping to T &amp; C'!$A$3:$A$52,'[1]2050 BAU Mapping to T &amp; C'!$B$3:$B$52)</f>
        <v xml:space="preserve">Oil crops </v>
      </c>
      <c r="H3497" s="129">
        <f>_xlfn.XLOOKUP(G3497,'[1]T&amp;C emissions for 2050 analysis'!$B$3:$B$23,'[1]T&amp;C emissions for 2050 analysis'!$C$3:$C$23)</f>
        <v>0.18333333333333335</v>
      </c>
      <c r="I3497" s="27">
        <f t="shared" si="162"/>
        <v>1.9882623749999998E-2</v>
      </c>
      <c r="J3497" s="129">
        <f t="shared" si="163"/>
        <v>0.48821666666666669</v>
      </c>
    </row>
    <row r="3498" spans="1:10" hidden="1" x14ac:dyDescent="0.35">
      <c r="A3498" s="126" t="s">
        <v>430</v>
      </c>
      <c r="B3498" t="str">
        <f>_xlfn.XLOOKUP(A3498,'[1]2050Pop'!$A$7:$A$143,'[1]2050Pop'!$D$7:$D$143)</f>
        <v>SSA</v>
      </c>
      <c r="C3498" s="127">
        <f>1000*_xlfn.XLOOKUP(A3498,'[1]2050Pop'!$A$7:$A$143,'[1]2050Pop'!$C$7:$C$143)</f>
        <v>45404</v>
      </c>
      <c r="D3498" s="126" t="s">
        <v>527</v>
      </c>
      <c r="E3498" s="128">
        <v>1.4570000000000001</v>
      </c>
      <c r="F3498" s="129">
        <f t="shared" si="164"/>
        <v>6.6153627999999992E-2</v>
      </c>
      <c r="G3498" t="str">
        <f>_xlfn.XLOOKUP(D3498,'[1]2050 BAU Mapping to T &amp; C'!$A$3:$A$52,'[1]2050 BAU Mapping to T &amp; C'!$B$3:$B$52)</f>
        <v xml:space="preserve">Oil crops </v>
      </c>
      <c r="H3498" s="129">
        <f>_xlfn.XLOOKUP(G3498,'[1]T&amp;C emissions for 2050 analysis'!$B$3:$B$23,'[1]T&amp;C emissions for 2050 analysis'!$C$3:$C$23)</f>
        <v>0.18333333333333335</v>
      </c>
      <c r="I3498" s="27">
        <f t="shared" si="162"/>
        <v>1.2128165133333332E-2</v>
      </c>
      <c r="J3498" s="129">
        <f t="shared" si="163"/>
        <v>0.26711666666666672</v>
      </c>
    </row>
    <row r="3499" spans="1:10" hidden="1" x14ac:dyDescent="0.35">
      <c r="A3499" s="126" t="s">
        <v>431</v>
      </c>
      <c r="B3499" t="str">
        <f>_xlfn.XLOOKUP(A3499,'[1]2050Pop'!$A$7:$A$143,'[1]2050Pop'!$D$7:$D$143)</f>
        <v>SSA</v>
      </c>
      <c r="C3499" s="127">
        <f>1000*_xlfn.XLOOKUP(A3499,'[1]2050Pop'!$A$7:$A$143,'[1]2050Pop'!$C$7:$C$143)</f>
        <v>8048.9999999999991</v>
      </c>
      <c r="D3499" s="126" t="s">
        <v>527</v>
      </c>
      <c r="E3499" s="128">
        <v>8.0180000000000007</v>
      </c>
      <c r="F3499" s="129">
        <f t="shared" si="164"/>
        <v>6.4536882000000004E-2</v>
      </c>
      <c r="G3499" t="str">
        <f>_xlfn.XLOOKUP(D3499,'[1]2050 BAU Mapping to T &amp; C'!$A$3:$A$52,'[1]2050 BAU Mapping to T &amp; C'!$B$3:$B$52)</f>
        <v xml:space="preserve">Oil crops </v>
      </c>
      <c r="H3499" s="129">
        <f>_xlfn.XLOOKUP(G3499,'[1]T&amp;C emissions for 2050 analysis'!$B$3:$B$23,'[1]T&amp;C emissions for 2050 analysis'!$C$3:$C$23)</f>
        <v>0.18333333333333335</v>
      </c>
      <c r="I3499" s="27">
        <f t="shared" si="162"/>
        <v>1.1831761700000002E-2</v>
      </c>
      <c r="J3499" s="129">
        <f t="shared" si="163"/>
        <v>1.4699666666666669</v>
      </c>
    </row>
    <row r="3500" spans="1:10" hidden="1" x14ac:dyDescent="0.35">
      <c r="A3500" s="126" t="s">
        <v>432</v>
      </c>
      <c r="B3500" t="str">
        <f>_xlfn.XLOOKUP(A3500,'[1]2050Pop'!$A$7:$A$143,'[1]2050Pop'!$D$7:$D$143)</f>
        <v>SSA</v>
      </c>
      <c r="C3500" s="127">
        <f>1000*_xlfn.XLOOKUP(A3500,'[1]2050Pop'!$A$7:$A$143,'[1]2050Pop'!$C$7:$C$143)</f>
        <v>1249</v>
      </c>
      <c r="D3500" s="126" t="s">
        <v>527</v>
      </c>
      <c r="E3500" s="128">
        <v>10.481</v>
      </c>
      <c r="F3500" s="129">
        <f t="shared" si="164"/>
        <v>1.3090769E-2</v>
      </c>
      <c r="G3500" t="str">
        <f>_xlfn.XLOOKUP(D3500,'[1]2050 BAU Mapping to T &amp; C'!$A$3:$A$52,'[1]2050 BAU Mapping to T &amp; C'!$B$3:$B$52)</f>
        <v xml:space="preserve">Oil crops </v>
      </c>
      <c r="H3500" s="129">
        <f>_xlfn.XLOOKUP(G3500,'[1]T&amp;C emissions for 2050 analysis'!$B$3:$B$23,'[1]T&amp;C emissions for 2050 analysis'!$C$3:$C$23)</f>
        <v>0.18333333333333335</v>
      </c>
      <c r="I3500" s="27">
        <f t="shared" si="162"/>
        <v>2.3999743166666669E-3</v>
      </c>
      <c r="J3500" s="129">
        <f t="shared" si="163"/>
        <v>1.9215166666666668</v>
      </c>
    </row>
    <row r="3501" spans="1:10" hidden="1" x14ac:dyDescent="0.35">
      <c r="A3501" s="126" t="s">
        <v>433</v>
      </c>
      <c r="B3501" t="str">
        <f>_xlfn.XLOOKUP(A3501,'[1]2050Pop'!$A$7:$A$143,'[1]2050Pop'!$D$7:$D$143)</f>
        <v>LatAm &amp; RSA</v>
      </c>
      <c r="C3501" s="127">
        <f>1000*_xlfn.XLOOKUP(A3501,'[1]2050Pop'!$A$7:$A$143,'[1]2050Pop'!$C$7:$C$143)</f>
        <v>163754</v>
      </c>
      <c r="D3501" s="126" t="s">
        <v>527</v>
      </c>
      <c r="E3501" s="130">
        <v>66.59</v>
      </c>
      <c r="F3501" s="129">
        <f t="shared" si="164"/>
        <v>10.904378860000001</v>
      </c>
      <c r="G3501" t="str">
        <f>_xlfn.XLOOKUP(D3501,'[1]2050 BAU Mapping to T &amp; C'!$A$3:$A$52,'[1]2050 BAU Mapping to T &amp; C'!$B$3:$B$52)</f>
        <v xml:space="preserve">Oil crops </v>
      </c>
      <c r="H3501" s="129">
        <f>_xlfn.XLOOKUP(G3501,'[1]T&amp;C emissions for 2050 analysis'!$B$3:$B$23,'[1]T&amp;C emissions for 2050 analysis'!$C$3:$C$23)</f>
        <v>0.18333333333333335</v>
      </c>
      <c r="I3501" s="27">
        <f t="shared" si="162"/>
        <v>1.9991361243333337</v>
      </c>
      <c r="J3501" s="129">
        <f t="shared" si="163"/>
        <v>12.208166666666669</v>
      </c>
    </row>
    <row r="3502" spans="1:10" hidden="1" x14ac:dyDescent="0.35">
      <c r="A3502" s="126" t="s">
        <v>434</v>
      </c>
      <c r="B3502" t="str">
        <f>_xlfn.XLOOKUP(A3502,'[1]2050Pop'!$A$7:$A$143,'[1]2050Pop'!$D$7:$D$143)</f>
        <v>APAC</v>
      </c>
      <c r="C3502" s="127">
        <f>1000*_xlfn.XLOOKUP(A3502,'[1]2050Pop'!$A$7:$A$143,'[1]2050Pop'!$C$7:$C$143)</f>
        <v>4027.9999999999995</v>
      </c>
      <c r="D3502" s="126" t="s">
        <v>527</v>
      </c>
      <c r="E3502" s="128">
        <v>4.4610000000000003</v>
      </c>
      <c r="F3502" s="129">
        <f t="shared" si="164"/>
        <v>1.7968907999999999E-2</v>
      </c>
      <c r="G3502" t="str">
        <f>_xlfn.XLOOKUP(D3502,'[1]2050 BAU Mapping to T &amp; C'!$A$3:$A$52,'[1]2050 BAU Mapping to T &amp; C'!$B$3:$B$52)</f>
        <v xml:space="preserve">Oil crops </v>
      </c>
      <c r="H3502" s="129">
        <f>_xlfn.XLOOKUP(G3502,'[1]T&amp;C emissions for 2050 analysis'!$B$3:$B$23,'[1]T&amp;C emissions for 2050 analysis'!$C$3:$C$23)</f>
        <v>0.18333333333333335</v>
      </c>
      <c r="I3502" s="27">
        <f t="shared" si="162"/>
        <v>3.2942997999999999E-3</v>
      </c>
      <c r="J3502" s="129">
        <f t="shared" si="163"/>
        <v>0.81785000000000008</v>
      </c>
    </row>
    <row r="3503" spans="1:10" hidden="1" x14ac:dyDescent="0.35">
      <c r="A3503" s="126" t="s">
        <v>435</v>
      </c>
      <c r="B3503" t="str">
        <f>_xlfn.XLOOKUP(A3503,'[1]2050Pop'!$A$7:$A$143,'[1]2050Pop'!$D$7:$D$143)</f>
        <v>MENA</v>
      </c>
      <c r="C3503" s="127">
        <f>1000*_xlfn.XLOOKUP(A3503,'[1]2050Pop'!$A$7:$A$143,'[1]2050Pop'!$C$7:$C$143)</f>
        <v>43696</v>
      </c>
      <c r="D3503" s="126" t="s">
        <v>527</v>
      </c>
      <c r="E3503" s="128">
        <v>3.516</v>
      </c>
      <c r="F3503" s="129">
        <f t="shared" si="164"/>
        <v>0.15363513600000001</v>
      </c>
      <c r="G3503" t="str">
        <f>_xlfn.XLOOKUP(D3503,'[1]2050 BAU Mapping to T &amp; C'!$A$3:$A$52,'[1]2050 BAU Mapping to T &amp; C'!$B$3:$B$52)</f>
        <v xml:space="preserve">Oil crops </v>
      </c>
      <c r="H3503" s="129">
        <f>_xlfn.XLOOKUP(G3503,'[1]T&amp;C emissions for 2050 analysis'!$B$3:$B$23,'[1]T&amp;C emissions for 2050 analysis'!$C$3:$C$23)</f>
        <v>0.18333333333333335</v>
      </c>
      <c r="I3503" s="27">
        <f t="shared" si="162"/>
        <v>2.8166441600000005E-2</v>
      </c>
      <c r="J3503" s="129">
        <f t="shared" si="163"/>
        <v>0.64460000000000006</v>
      </c>
    </row>
    <row r="3504" spans="1:10" hidden="1" x14ac:dyDescent="0.35">
      <c r="A3504" s="126" t="s">
        <v>438</v>
      </c>
      <c r="B3504" t="str">
        <f>_xlfn.XLOOKUP(A3504,'[1]2050Pop'!$A$7:$A$143,'[1]2050Pop'!$D$7:$D$143)</f>
        <v>India/South Asia</v>
      </c>
      <c r="C3504" s="127">
        <f>1000*_xlfn.XLOOKUP(A3504,'[1]2050Pop'!$A$7:$A$143,'[1]2050Pop'!$C$7:$C$143)</f>
        <v>36159</v>
      </c>
      <c r="D3504" s="126" t="s">
        <v>527</v>
      </c>
      <c r="E3504" s="128">
        <v>77.448999999999998</v>
      </c>
      <c r="F3504" s="129">
        <f t="shared" si="164"/>
        <v>2.800478391</v>
      </c>
      <c r="G3504" t="str">
        <f>_xlfn.XLOOKUP(D3504,'[1]2050 BAU Mapping to T &amp; C'!$A$3:$A$52,'[1]2050 BAU Mapping to T &amp; C'!$B$3:$B$52)</f>
        <v xml:space="preserve">Oil crops </v>
      </c>
      <c r="H3504" s="129">
        <f>_xlfn.XLOOKUP(G3504,'[1]T&amp;C emissions for 2050 analysis'!$B$3:$B$23,'[1]T&amp;C emissions for 2050 analysis'!$C$3:$C$23)</f>
        <v>0.18333333333333335</v>
      </c>
      <c r="I3504" s="27">
        <f t="shared" si="162"/>
        <v>0.51342103835000008</v>
      </c>
      <c r="J3504" s="129">
        <f t="shared" si="163"/>
        <v>14.198983333333334</v>
      </c>
    </row>
    <row r="3505" spans="1:10" hidden="1" x14ac:dyDescent="0.35">
      <c r="A3505" s="126" t="s">
        <v>439</v>
      </c>
      <c r="B3505" t="str">
        <f>_xlfn.XLOOKUP(A3505,'[1]2050Pop'!$A$7:$A$143,'[1]2050Pop'!$D$7:$D$143)</f>
        <v>Euro/AU/NZ</v>
      </c>
      <c r="C3505" s="127">
        <f>1000*_xlfn.XLOOKUP(A3505,'[1]2050Pop'!$A$7:$A$143,'[1]2050Pop'!$C$7:$C$143)</f>
        <v>17602</v>
      </c>
      <c r="D3505" s="126" t="s">
        <v>527</v>
      </c>
      <c r="E3505" s="128">
        <v>37.968000000000004</v>
      </c>
      <c r="F3505" s="129">
        <f t="shared" si="164"/>
        <v>0.66831273600000007</v>
      </c>
      <c r="G3505" t="str">
        <f>_xlfn.XLOOKUP(D3505,'[1]2050 BAU Mapping to T &amp; C'!$A$3:$A$52,'[1]2050 BAU Mapping to T &amp; C'!$B$3:$B$52)</f>
        <v xml:space="preserve">Oil crops </v>
      </c>
      <c r="H3505" s="129">
        <f>_xlfn.XLOOKUP(G3505,'[1]T&amp;C emissions for 2050 analysis'!$B$3:$B$23,'[1]T&amp;C emissions for 2050 analysis'!$C$3:$C$23)</f>
        <v>0.18333333333333335</v>
      </c>
      <c r="I3505" s="27">
        <f t="shared" si="162"/>
        <v>0.12252400160000003</v>
      </c>
      <c r="J3505" s="129">
        <f t="shared" si="163"/>
        <v>6.9608000000000008</v>
      </c>
    </row>
    <row r="3506" spans="1:10" hidden="1" x14ac:dyDescent="0.35">
      <c r="A3506" s="126" t="s">
        <v>440</v>
      </c>
      <c r="B3506" t="str">
        <f>_xlfn.XLOOKUP(A3506,'[1]2050Pop'!$A$7:$A$143,'[1]2050Pop'!$D$7:$D$143)</f>
        <v>Euro/AU/NZ</v>
      </c>
      <c r="C3506" s="127">
        <f>1000*_xlfn.XLOOKUP(A3506,'[1]2050Pop'!$A$7:$A$143,'[1]2050Pop'!$C$7:$C$143)</f>
        <v>5607</v>
      </c>
      <c r="D3506" s="126" t="s">
        <v>527</v>
      </c>
      <c r="E3506" s="128">
        <v>63.198</v>
      </c>
      <c r="F3506" s="129">
        <f t="shared" si="164"/>
        <v>0.35435118599999998</v>
      </c>
      <c r="G3506" t="str">
        <f>_xlfn.XLOOKUP(D3506,'[1]2050 BAU Mapping to T &amp; C'!$A$3:$A$52,'[1]2050 BAU Mapping to T &amp; C'!$B$3:$B$52)</f>
        <v xml:space="preserve">Oil crops </v>
      </c>
      <c r="H3506" s="129">
        <f>_xlfn.XLOOKUP(G3506,'[1]T&amp;C emissions for 2050 analysis'!$B$3:$B$23,'[1]T&amp;C emissions for 2050 analysis'!$C$3:$C$23)</f>
        <v>0.18333333333333335</v>
      </c>
      <c r="I3506" s="27">
        <f t="shared" si="162"/>
        <v>6.4964384100000008E-2</v>
      </c>
      <c r="J3506" s="129">
        <f t="shared" si="163"/>
        <v>11.586300000000001</v>
      </c>
    </row>
    <row r="3507" spans="1:10" hidden="1" x14ac:dyDescent="0.35">
      <c r="A3507" s="126" t="s">
        <v>442</v>
      </c>
      <c r="B3507" t="str">
        <f>_xlfn.XLOOKUP(A3507,'[1]2050Pop'!$A$7:$A$143,'[1]2050Pop'!$D$7:$D$143)</f>
        <v>Euro/AU/NZ</v>
      </c>
      <c r="C3507" s="127">
        <f>1000*_xlfn.XLOOKUP(A3507,'[1]2050Pop'!$A$7:$A$143,'[1]2050Pop'!$C$7:$C$143)</f>
        <v>6658</v>
      </c>
      <c r="D3507" s="126" t="s">
        <v>527</v>
      </c>
      <c r="E3507" s="128">
        <v>176.833</v>
      </c>
      <c r="F3507" s="129">
        <f t="shared" si="164"/>
        <v>1.1773541140000001</v>
      </c>
      <c r="G3507" t="str">
        <f>_xlfn.XLOOKUP(D3507,'[1]2050 BAU Mapping to T &amp; C'!$A$3:$A$52,'[1]2050 BAU Mapping to T &amp; C'!$B$3:$B$52)</f>
        <v xml:space="preserve">Oil crops </v>
      </c>
      <c r="H3507" s="129">
        <f>_xlfn.XLOOKUP(G3507,'[1]T&amp;C emissions for 2050 analysis'!$B$3:$B$23,'[1]T&amp;C emissions for 2050 analysis'!$C$3:$C$23)</f>
        <v>0.18333333333333335</v>
      </c>
      <c r="I3507" s="27">
        <f t="shared" si="162"/>
        <v>0.21584825423333337</v>
      </c>
      <c r="J3507" s="129">
        <f t="shared" si="163"/>
        <v>32.419383333333336</v>
      </c>
    </row>
    <row r="3508" spans="1:10" hidden="1" x14ac:dyDescent="0.35">
      <c r="A3508" s="126" t="s">
        <v>443</v>
      </c>
      <c r="B3508" t="str">
        <f>_xlfn.XLOOKUP(A3508,'[1]2050Pop'!$A$7:$A$143,'[1]2050Pop'!$D$7:$D$143)</f>
        <v>India/South Asia</v>
      </c>
      <c r="C3508" s="127">
        <f>1000*_xlfn.XLOOKUP(A3508,'[1]2050Pop'!$A$7:$A$143,'[1]2050Pop'!$C$7:$C$143)</f>
        <v>309640</v>
      </c>
      <c r="D3508" s="126" t="s">
        <v>527</v>
      </c>
      <c r="E3508" s="128">
        <v>52.030999999999999</v>
      </c>
      <c r="F3508" s="129">
        <f t="shared" si="164"/>
        <v>16.110878840000002</v>
      </c>
      <c r="G3508" t="str">
        <f>_xlfn.XLOOKUP(D3508,'[1]2050 BAU Mapping to T &amp; C'!$A$3:$A$52,'[1]2050 BAU Mapping to T &amp; C'!$B$3:$B$52)</f>
        <v xml:space="preserve">Oil crops </v>
      </c>
      <c r="H3508" s="129">
        <f>_xlfn.XLOOKUP(G3508,'[1]T&amp;C emissions for 2050 analysis'!$B$3:$B$23,'[1]T&amp;C emissions for 2050 analysis'!$C$3:$C$23)</f>
        <v>0.18333333333333335</v>
      </c>
      <c r="I3508" s="27">
        <f t="shared" si="162"/>
        <v>2.9536611206666672</v>
      </c>
      <c r="J3508" s="129">
        <f t="shared" si="163"/>
        <v>9.5390166666666669</v>
      </c>
    </row>
    <row r="3509" spans="1:10" hidden="1" x14ac:dyDescent="0.35">
      <c r="A3509" s="126" t="s">
        <v>444</v>
      </c>
      <c r="B3509" t="str">
        <f>_xlfn.XLOOKUP(A3509,'[1]2050Pop'!$A$7:$A$143,'[1]2050Pop'!$D$7:$D$143)</f>
        <v>LatAm &amp; RSA</v>
      </c>
      <c r="C3509" s="127">
        <f>1000*_xlfn.XLOOKUP(A3509,'[1]2050Pop'!$A$7:$A$143,'[1]2050Pop'!$C$7:$C$143)</f>
        <v>5599</v>
      </c>
      <c r="D3509" s="126" t="s">
        <v>527</v>
      </c>
      <c r="E3509" s="128">
        <v>18.202999999999999</v>
      </c>
      <c r="F3509" s="129">
        <f t="shared" si="164"/>
        <v>0.101918597</v>
      </c>
      <c r="G3509" t="str">
        <f>_xlfn.XLOOKUP(D3509,'[1]2050 BAU Mapping to T &amp; C'!$A$3:$A$52,'[1]2050 BAU Mapping to T &amp; C'!$B$3:$B$52)</f>
        <v xml:space="preserve">Oil crops </v>
      </c>
      <c r="H3509" s="129">
        <f>_xlfn.XLOOKUP(G3509,'[1]T&amp;C emissions for 2050 analysis'!$B$3:$B$23,'[1]T&amp;C emissions for 2050 analysis'!$C$3:$C$23)</f>
        <v>0.18333333333333335</v>
      </c>
      <c r="I3509" s="27">
        <f t="shared" si="162"/>
        <v>1.8685076116666668E-2</v>
      </c>
      <c r="J3509" s="129">
        <f t="shared" si="163"/>
        <v>3.3372166666666669</v>
      </c>
    </row>
    <row r="3510" spans="1:10" hidden="1" x14ac:dyDescent="0.35">
      <c r="A3510" s="126" t="s">
        <v>448</v>
      </c>
      <c r="B3510" t="str">
        <f>_xlfn.XLOOKUP(A3510,'[1]2050Pop'!$A$7:$A$143,'[1]2050Pop'!$D$7:$D$143)</f>
        <v>Euro/AU/NZ</v>
      </c>
      <c r="C3510" s="127">
        <f>1000*_xlfn.XLOOKUP(A3510,'[1]2050Pop'!$A$7:$A$143,'[1]2050Pop'!$C$7:$C$143)</f>
        <v>33136</v>
      </c>
      <c r="D3510" s="126" t="s">
        <v>527</v>
      </c>
      <c r="E3510" s="128">
        <v>155.524</v>
      </c>
      <c r="F3510" s="129">
        <f t="shared" si="164"/>
        <v>5.1534432640000007</v>
      </c>
      <c r="G3510" t="str">
        <f>_xlfn.XLOOKUP(D3510,'[1]2050 BAU Mapping to T &amp; C'!$A$3:$A$52,'[1]2050 BAU Mapping to T &amp; C'!$B$3:$B$52)</f>
        <v xml:space="preserve">Oil crops </v>
      </c>
      <c r="H3510" s="129">
        <f>_xlfn.XLOOKUP(G3510,'[1]T&amp;C emissions for 2050 analysis'!$B$3:$B$23,'[1]T&amp;C emissions for 2050 analysis'!$C$3:$C$23)</f>
        <v>0.18333333333333335</v>
      </c>
      <c r="I3510" s="27">
        <f t="shared" si="162"/>
        <v>0.9447979317333336</v>
      </c>
      <c r="J3510" s="129">
        <f t="shared" si="163"/>
        <v>28.512733333333337</v>
      </c>
    </row>
    <row r="3511" spans="1:10" hidden="1" x14ac:dyDescent="0.35">
      <c r="A3511" s="126" t="s">
        <v>450</v>
      </c>
      <c r="B3511" t="str">
        <f>_xlfn.XLOOKUP(A3511,'[1]2050Pop'!$A$7:$A$143,'[1]2050Pop'!$D$7:$D$143)</f>
        <v>APAC</v>
      </c>
      <c r="C3511" s="127">
        <f>1000*_xlfn.XLOOKUP(A3511,'[1]2050Pop'!$A$7:$A$143,'[1]2050Pop'!$C$7:$C$143)</f>
        <v>50593</v>
      </c>
      <c r="D3511" s="126" t="s">
        <v>527</v>
      </c>
      <c r="E3511" s="128">
        <v>75.966999999999999</v>
      </c>
      <c r="F3511" s="129">
        <f t="shared" si="164"/>
        <v>3.8433984309999998</v>
      </c>
      <c r="G3511" t="str">
        <f>_xlfn.XLOOKUP(D3511,'[1]2050 BAU Mapping to T &amp; C'!$A$3:$A$52,'[1]2050 BAU Mapping to T &amp; C'!$B$3:$B$52)</f>
        <v xml:space="preserve">Oil crops </v>
      </c>
      <c r="H3511" s="129">
        <f>_xlfn.XLOOKUP(G3511,'[1]T&amp;C emissions for 2050 analysis'!$B$3:$B$23,'[1]T&amp;C emissions for 2050 analysis'!$C$3:$C$23)</f>
        <v>0.18333333333333335</v>
      </c>
      <c r="I3511" s="27">
        <f t="shared" si="162"/>
        <v>0.70462304568333334</v>
      </c>
      <c r="J3511" s="129">
        <f t="shared" si="163"/>
        <v>13.927283333333333</v>
      </c>
    </row>
    <row r="3512" spans="1:10" hidden="1" x14ac:dyDescent="0.35">
      <c r="A3512" s="126" t="s">
        <v>451</v>
      </c>
      <c r="B3512" t="str">
        <f>_xlfn.XLOOKUP(A3512,'[1]2050Pop'!$A$7:$A$143,'[1]2050Pop'!$D$7:$D$143)</f>
        <v>Euro/AU/NZ</v>
      </c>
      <c r="C3512" s="127">
        <f>1000*_xlfn.XLOOKUP(A3512,'[1]2050Pop'!$A$7:$A$143,'[1]2050Pop'!$C$7:$C$143)</f>
        <v>3243</v>
      </c>
      <c r="D3512" s="126" t="s">
        <v>527</v>
      </c>
      <c r="E3512" s="128">
        <v>62.036999999999999</v>
      </c>
      <c r="F3512" s="129">
        <f t="shared" si="164"/>
        <v>0.20118599100000001</v>
      </c>
      <c r="G3512" t="str">
        <f>_xlfn.XLOOKUP(D3512,'[1]2050 BAU Mapping to T &amp; C'!$A$3:$A$52,'[1]2050 BAU Mapping to T &amp; C'!$B$3:$B$52)</f>
        <v xml:space="preserve">Oil crops </v>
      </c>
      <c r="H3512" s="129">
        <f>_xlfn.XLOOKUP(G3512,'[1]T&amp;C emissions for 2050 analysis'!$B$3:$B$23,'[1]T&amp;C emissions for 2050 analysis'!$C$3:$C$23)</f>
        <v>0.18333333333333335</v>
      </c>
      <c r="I3512" s="27">
        <f t="shared" si="162"/>
        <v>3.6884098350000005E-2</v>
      </c>
      <c r="J3512" s="129">
        <f t="shared" si="163"/>
        <v>11.37345</v>
      </c>
    </row>
    <row r="3513" spans="1:10" hidden="1" x14ac:dyDescent="0.35">
      <c r="A3513" s="126" t="s">
        <v>454</v>
      </c>
      <c r="B3513" t="str">
        <f>_xlfn.XLOOKUP(A3513,'[1]2050Pop'!$A$7:$A$143,'[1]2050Pop'!$D$7:$D$143)</f>
        <v>Euro/AU/NZ</v>
      </c>
      <c r="C3513" s="127">
        <f>1000*_xlfn.XLOOKUP(A3513,'[1]2050Pop'!$A$7:$A$143,'[1]2050Pop'!$C$7:$C$143)</f>
        <v>128598.99999999999</v>
      </c>
      <c r="D3513" s="126" t="s">
        <v>527</v>
      </c>
      <c r="E3513" s="128">
        <v>1.173</v>
      </c>
      <c r="F3513" s="129">
        <f t="shared" si="164"/>
        <v>0.15084662699999998</v>
      </c>
      <c r="G3513" t="str">
        <f>_xlfn.XLOOKUP(D3513,'[1]2050 BAU Mapping to T &amp; C'!$A$3:$A$52,'[1]2050 BAU Mapping to T &amp; C'!$B$3:$B$52)</f>
        <v xml:space="preserve">Oil crops </v>
      </c>
      <c r="H3513" s="129">
        <f>_xlfn.XLOOKUP(G3513,'[1]T&amp;C emissions for 2050 analysis'!$B$3:$B$23,'[1]T&amp;C emissions for 2050 analysis'!$C$3:$C$23)</f>
        <v>0.18333333333333335</v>
      </c>
      <c r="I3513" s="27">
        <f t="shared" si="162"/>
        <v>2.765521495E-2</v>
      </c>
      <c r="J3513" s="129">
        <f t="shared" si="163"/>
        <v>0.21505000000000002</v>
      </c>
    </row>
    <row r="3514" spans="1:10" hidden="1" x14ac:dyDescent="0.35">
      <c r="A3514" s="126" t="s">
        <v>456</v>
      </c>
      <c r="B3514" t="str">
        <f>_xlfn.XLOOKUP(A3514,'[1]2050Pop'!$A$7:$A$143,'[1]2050Pop'!$D$7:$D$143)</f>
        <v>MENA</v>
      </c>
      <c r="C3514" s="127">
        <f>1000*_xlfn.XLOOKUP(A3514,'[1]2050Pop'!$A$7:$A$143,'[1]2050Pop'!$C$7:$C$143)</f>
        <v>46059</v>
      </c>
      <c r="D3514" s="126" t="s">
        <v>527</v>
      </c>
      <c r="E3514" s="128">
        <v>3.9249999999999998</v>
      </c>
      <c r="F3514" s="129">
        <f t="shared" si="164"/>
        <v>0.18078157499999997</v>
      </c>
      <c r="G3514" t="str">
        <f>_xlfn.XLOOKUP(D3514,'[1]2050 BAU Mapping to T &amp; C'!$A$3:$A$52,'[1]2050 BAU Mapping to T &amp; C'!$B$3:$B$52)</f>
        <v xml:space="preserve">Oil crops </v>
      </c>
      <c r="H3514" s="129">
        <f>_xlfn.XLOOKUP(G3514,'[1]T&amp;C emissions for 2050 analysis'!$B$3:$B$23,'[1]T&amp;C emissions for 2050 analysis'!$C$3:$C$23)</f>
        <v>0.18333333333333335</v>
      </c>
      <c r="I3514" s="27">
        <f t="shared" si="162"/>
        <v>3.314328875E-2</v>
      </c>
      <c r="J3514" s="129">
        <f t="shared" si="163"/>
        <v>0.71958333333333335</v>
      </c>
    </row>
    <row r="3515" spans="1:10" hidden="1" x14ac:dyDescent="0.35">
      <c r="A3515" s="126" t="s">
        <v>459</v>
      </c>
      <c r="B3515" t="str">
        <f>_xlfn.XLOOKUP(A3515,'[1]2050Pop'!$A$7:$A$143,'[1]2050Pop'!$D$7:$D$143)</f>
        <v>Euro/AU/NZ</v>
      </c>
      <c r="C3515" s="127">
        <f>1000*_xlfn.XLOOKUP(A3515,'[1]2050Pop'!$A$7:$A$143,'[1]2050Pop'!$C$7:$C$143)</f>
        <v>4892</v>
      </c>
      <c r="D3515" s="126" t="s">
        <v>527</v>
      </c>
      <c r="E3515" s="128">
        <v>198.22499999999999</v>
      </c>
      <c r="F3515" s="129">
        <f t="shared" si="164"/>
        <v>0.96971669999999999</v>
      </c>
      <c r="G3515" t="str">
        <f>_xlfn.XLOOKUP(D3515,'[1]2050 BAU Mapping to T &amp; C'!$A$3:$A$52,'[1]2050 BAU Mapping to T &amp; C'!$B$3:$B$52)</f>
        <v xml:space="preserve">Oil crops </v>
      </c>
      <c r="H3515" s="129">
        <f>_xlfn.XLOOKUP(G3515,'[1]T&amp;C emissions for 2050 analysis'!$B$3:$B$23,'[1]T&amp;C emissions for 2050 analysis'!$C$3:$C$23)</f>
        <v>0.18333333333333335</v>
      </c>
      <c r="I3515" s="27">
        <f t="shared" si="162"/>
        <v>0.17778139500000001</v>
      </c>
      <c r="J3515" s="129">
        <f t="shared" si="163"/>
        <v>36.341250000000002</v>
      </c>
    </row>
    <row r="3516" spans="1:10" hidden="1" x14ac:dyDescent="0.35">
      <c r="A3516" s="126" t="s">
        <v>461</v>
      </c>
      <c r="B3516" t="str">
        <f>_xlfn.XLOOKUP(A3516,'[1]2050Pop'!$A$7:$A$143,'[1]2050Pop'!$D$7:$D$143)</f>
        <v>Euro/AU/NZ</v>
      </c>
      <c r="C3516" s="127">
        <f>1000*_xlfn.XLOOKUP(A3516,'[1]2050Pop'!$A$7:$A$143,'[1]2050Pop'!$C$7:$C$143)</f>
        <v>44840</v>
      </c>
      <c r="D3516" s="126" t="s">
        <v>527</v>
      </c>
      <c r="E3516" s="128">
        <v>8.6869999999999994</v>
      </c>
      <c r="F3516" s="129">
        <f t="shared" si="164"/>
        <v>0.38952507999999997</v>
      </c>
      <c r="G3516" t="str">
        <f>_xlfn.XLOOKUP(D3516,'[1]2050 BAU Mapping to T &amp; C'!$A$3:$A$52,'[1]2050 BAU Mapping to T &amp; C'!$B$3:$B$52)</f>
        <v xml:space="preserve">Oil crops </v>
      </c>
      <c r="H3516" s="129">
        <f>_xlfn.XLOOKUP(G3516,'[1]T&amp;C emissions for 2050 analysis'!$B$3:$B$23,'[1]T&amp;C emissions for 2050 analysis'!$C$3:$C$23)</f>
        <v>0.18333333333333335</v>
      </c>
      <c r="I3516" s="27">
        <f t="shared" si="162"/>
        <v>7.1412931333333332E-2</v>
      </c>
      <c r="J3516" s="129">
        <f t="shared" si="163"/>
        <v>1.5926166666666668</v>
      </c>
    </row>
    <row r="3517" spans="1:10" hidden="1" x14ac:dyDescent="0.35">
      <c r="A3517" s="126" t="s">
        <v>463</v>
      </c>
      <c r="B3517" t="str">
        <f>_xlfn.XLOOKUP(A3517,'[1]2050Pop'!$A$7:$A$143,'[1]2050Pop'!$D$7:$D$143)</f>
        <v>SSA</v>
      </c>
      <c r="C3517" s="127">
        <f>1000*_xlfn.XLOOKUP(A3517,'[1]2050Pop'!$A$7:$A$143,'[1]2050Pop'!$C$7:$C$143)</f>
        <v>1792</v>
      </c>
      <c r="D3517" s="126" t="s">
        <v>527</v>
      </c>
      <c r="E3517" s="128">
        <v>5.0419999999999998</v>
      </c>
      <c r="F3517" s="129">
        <f t="shared" si="164"/>
        <v>9.0352639999999994E-3</v>
      </c>
      <c r="G3517" t="str">
        <f>_xlfn.XLOOKUP(D3517,'[1]2050 BAU Mapping to T &amp; C'!$A$3:$A$52,'[1]2050 BAU Mapping to T &amp; C'!$B$3:$B$52)</f>
        <v xml:space="preserve">Oil crops </v>
      </c>
      <c r="H3517" s="129">
        <f>_xlfn.XLOOKUP(G3517,'[1]T&amp;C emissions for 2050 analysis'!$B$3:$B$23,'[1]T&amp;C emissions for 2050 analysis'!$C$3:$C$23)</f>
        <v>0.18333333333333335</v>
      </c>
      <c r="I3517" s="27">
        <f t="shared" si="162"/>
        <v>1.6564650666666667E-3</v>
      </c>
      <c r="J3517" s="129">
        <f t="shared" si="163"/>
        <v>0.92436666666666667</v>
      </c>
    </row>
    <row r="3518" spans="1:10" hidden="1" x14ac:dyDescent="0.35">
      <c r="A3518" s="126" t="s">
        <v>464</v>
      </c>
      <c r="B3518" t="str">
        <f>_xlfn.XLOOKUP(A3518,'[1]2050Pop'!$A$7:$A$143,'[1]2050Pop'!$D$7:$D$143)</f>
        <v>Euro/AU/NZ</v>
      </c>
      <c r="C3518" s="127">
        <f>1000*_xlfn.XLOOKUP(A3518,'[1]2050Pop'!$A$7:$A$143,'[1]2050Pop'!$C$7:$C$143)</f>
        <v>11881</v>
      </c>
      <c r="D3518" s="126" t="s">
        <v>527</v>
      </c>
      <c r="E3518" s="128">
        <v>135.90199999999999</v>
      </c>
      <c r="F3518" s="129">
        <f t="shared" si="164"/>
        <v>1.6146516619999998</v>
      </c>
      <c r="G3518" t="str">
        <f>_xlfn.XLOOKUP(D3518,'[1]2050 BAU Mapping to T &amp; C'!$A$3:$A$52,'[1]2050 BAU Mapping to T &amp; C'!$B$3:$B$52)</f>
        <v xml:space="preserve">Oil crops </v>
      </c>
      <c r="H3518" s="129">
        <f>_xlfn.XLOOKUP(G3518,'[1]T&amp;C emissions for 2050 analysis'!$B$3:$B$23,'[1]T&amp;C emissions for 2050 analysis'!$C$3:$C$23)</f>
        <v>0.18333333333333335</v>
      </c>
      <c r="I3518" s="27">
        <f t="shared" si="162"/>
        <v>0.29601947136666662</v>
      </c>
      <c r="J3518" s="129">
        <f t="shared" si="163"/>
        <v>24.915366666666667</v>
      </c>
    </row>
    <row r="3519" spans="1:10" hidden="1" x14ac:dyDescent="0.35">
      <c r="A3519" s="126" t="s">
        <v>466</v>
      </c>
      <c r="B3519" t="str">
        <f>_xlfn.XLOOKUP(A3519,'[1]2050Pop'!$A$7:$A$143,'[1]2050Pop'!$D$7:$D$143)</f>
        <v>SSA</v>
      </c>
      <c r="C3519" s="127">
        <f>1000*_xlfn.XLOOKUP(A3519,'[1]2050Pop'!$A$7:$A$143,'[1]2050Pop'!$C$7:$C$143)</f>
        <v>15681</v>
      </c>
      <c r="D3519" s="126" t="s">
        <v>527</v>
      </c>
      <c r="E3519" s="128">
        <v>9.0009999999999994</v>
      </c>
      <c r="F3519" s="129">
        <f t="shared" si="164"/>
        <v>0.14114468099999999</v>
      </c>
      <c r="G3519" t="str">
        <f>_xlfn.XLOOKUP(D3519,'[1]2050 BAU Mapping to T &amp; C'!$A$3:$A$52,'[1]2050 BAU Mapping to T &amp; C'!$B$3:$B$52)</f>
        <v xml:space="preserve">Oil crops </v>
      </c>
      <c r="H3519" s="129">
        <f>_xlfn.XLOOKUP(G3519,'[1]T&amp;C emissions for 2050 analysis'!$B$3:$B$23,'[1]T&amp;C emissions for 2050 analysis'!$C$3:$C$23)</f>
        <v>0.18333333333333335</v>
      </c>
      <c r="I3519" s="27">
        <f t="shared" si="162"/>
        <v>2.5876524850000002E-2</v>
      </c>
      <c r="J3519" s="129">
        <f t="shared" si="163"/>
        <v>1.6501833333333333</v>
      </c>
    </row>
    <row r="3520" spans="1:10" hidden="1" x14ac:dyDescent="0.35">
      <c r="A3520" s="126" t="s">
        <v>468</v>
      </c>
      <c r="B3520" t="str">
        <f>_xlfn.XLOOKUP(A3520,'[1]2050Pop'!$A$7:$A$143,'[1]2050Pop'!$D$7:$D$143)</f>
        <v>MENA</v>
      </c>
      <c r="C3520" s="127">
        <f>1000*_xlfn.XLOOKUP(A3520,'[1]2050Pop'!$A$7:$A$143,'[1]2050Pop'!$C$7:$C$143)</f>
        <v>13476</v>
      </c>
      <c r="D3520" s="126" t="s">
        <v>527</v>
      </c>
      <c r="E3520" s="128">
        <v>10.656000000000001</v>
      </c>
      <c r="F3520" s="129">
        <f t="shared" si="164"/>
        <v>0.14360025599999998</v>
      </c>
      <c r="G3520" t="str">
        <f>_xlfn.XLOOKUP(D3520,'[1]2050 BAU Mapping to T &amp; C'!$A$3:$A$52,'[1]2050 BAU Mapping to T &amp; C'!$B$3:$B$52)</f>
        <v xml:space="preserve">Oil crops </v>
      </c>
      <c r="H3520" s="129">
        <f>_xlfn.XLOOKUP(G3520,'[1]T&amp;C emissions for 2050 analysis'!$B$3:$B$23,'[1]T&amp;C emissions for 2050 analysis'!$C$3:$C$23)</f>
        <v>0.18333333333333335</v>
      </c>
      <c r="I3520" s="27">
        <f t="shared" si="162"/>
        <v>2.6326713599999999E-2</v>
      </c>
      <c r="J3520" s="129">
        <f t="shared" si="163"/>
        <v>1.9536000000000002</v>
      </c>
    </row>
    <row r="3521" spans="1:10" hidden="1" x14ac:dyDescent="0.35">
      <c r="A3521" s="126" t="s">
        <v>471</v>
      </c>
      <c r="B3521" t="str">
        <f>_xlfn.XLOOKUP(A3521,'[1]2050Pop'!$A$7:$A$143,'[1]2050Pop'!$D$7:$D$143)</f>
        <v>Euro/AU/NZ</v>
      </c>
      <c r="C3521" s="127">
        <f>1000*_xlfn.XLOOKUP(A3521,'[1]2050Pop'!$A$7:$A$143,'[1]2050Pop'!$C$7:$C$143)</f>
        <v>35117</v>
      </c>
      <c r="D3521" s="126" t="s">
        <v>527</v>
      </c>
      <c r="E3521" s="128">
        <v>15.779</v>
      </c>
      <c r="F3521" s="129">
        <f t="shared" si="164"/>
        <v>0.55411114300000008</v>
      </c>
      <c r="G3521" t="str">
        <f>_xlfn.XLOOKUP(D3521,'[1]2050 BAU Mapping to T &amp; C'!$A$3:$A$52,'[1]2050 BAU Mapping to T &amp; C'!$B$3:$B$52)</f>
        <v xml:space="preserve">Oil crops </v>
      </c>
      <c r="H3521" s="129">
        <f>_xlfn.XLOOKUP(G3521,'[1]T&amp;C emissions for 2050 analysis'!$B$3:$B$23,'[1]T&amp;C emissions for 2050 analysis'!$C$3:$C$23)</f>
        <v>0.18333333333333335</v>
      </c>
      <c r="I3521" s="27">
        <f t="shared" si="162"/>
        <v>0.10158704288333335</v>
      </c>
      <c r="J3521" s="129">
        <f t="shared" si="163"/>
        <v>2.892816666666667</v>
      </c>
    </row>
    <row r="3522" spans="1:10" hidden="1" x14ac:dyDescent="0.35">
      <c r="A3522" s="126" t="s">
        <v>472</v>
      </c>
      <c r="B3522" t="str">
        <f>_xlfn.XLOOKUP(A3522,'[1]2050Pop'!$A$7:$A$143,'[1]2050Pop'!$D$7:$D$143)</f>
        <v>Euro/AU/NZ</v>
      </c>
      <c r="C3522" s="127">
        <f>1000*_xlfn.XLOOKUP(A3522,'[1]2050Pop'!$A$7:$A$143,'[1]2050Pop'!$C$7:$C$143)</f>
        <v>75361</v>
      </c>
      <c r="D3522" s="126" t="s">
        <v>527</v>
      </c>
      <c r="E3522" s="128">
        <v>244.17599999999999</v>
      </c>
      <c r="F3522" s="129">
        <f t="shared" si="164"/>
        <v>18.401347535999999</v>
      </c>
      <c r="G3522" t="str">
        <f>_xlfn.XLOOKUP(D3522,'[1]2050 BAU Mapping to T &amp; C'!$A$3:$A$52,'[1]2050 BAU Mapping to T &amp; C'!$B$3:$B$52)</f>
        <v xml:space="preserve">Oil crops </v>
      </c>
      <c r="H3522" s="129">
        <f>_xlfn.XLOOKUP(G3522,'[1]T&amp;C emissions for 2050 analysis'!$B$3:$B$23,'[1]T&amp;C emissions for 2050 analysis'!$C$3:$C$23)</f>
        <v>0.18333333333333335</v>
      </c>
      <c r="I3522" s="27">
        <f t="shared" si="162"/>
        <v>3.3735803816000001</v>
      </c>
      <c r="J3522" s="129">
        <f t="shared" si="163"/>
        <v>44.765599999999999</v>
      </c>
    </row>
    <row r="3523" spans="1:10" hidden="1" x14ac:dyDescent="0.35">
      <c r="A3523" s="126" t="s">
        <v>474</v>
      </c>
      <c r="B3523" t="str">
        <f>_xlfn.XLOOKUP(A3523,'[1]2050Pop'!$A$7:$A$143,'[1]2050Pop'!$D$7:$D$143)</f>
        <v>NAm</v>
      </c>
      <c r="C3523" s="127">
        <f>1000*_xlfn.XLOOKUP(A3523,'[1]2050Pop'!$A$7:$A$143,'[1]2050Pop'!$C$7:$C$143)</f>
        <v>388865</v>
      </c>
      <c r="D3523" s="126" t="s">
        <v>527</v>
      </c>
      <c r="E3523" s="128">
        <v>59.558</v>
      </c>
      <c r="F3523" s="129">
        <f t="shared" si="164"/>
        <v>23.160021670000003</v>
      </c>
      <c r="G3523" t="str">
        <f>_xlfn.XLOOKUP(D3523,'[1]2050 BAU Mapping to T &amp; C'!$A$3:$A$52,'[1]2050 BAU Mapping to T &amp; C'!$B$3:$B$52)</f>
        <v xml:space="preserve">Oil crops </v>
      </c>
      <c r="H3523" s="129">
        <f>_xlfn.XLOOKUP(G3523,'[1]T&amp;C emissions for 2050 analysis'!$B$3:$B$23,'[1]T&amp;C emissions for 2050 analysis'!$C$3:$C$23)</f>
        <v>0.18333333333333335</v>
      </c>
      <c r="I3523" s="27">
        <f t="shared" si="162"/>
        <v>4.2460039728333339</v>
      </c>
      <c r="J3523" s="129">
        <f t="shared" si="163"/>
        <v>10.918966666666668</v>
      </c>
    </row>
    <row r="3524" spans="1:10" hidden="1" x14ac:dyDescent="0.35">
      <c r="A3524" s="126" t="s">
        <v>476</v>
      </c>
      <c r="B3524" t="str">
        <f>_xlfn.XLOOKUP(A3524,'[1]2050Pop'!$A$7:$A$143,'[1]2050Pop'!$D$7:$D$143)</f>
        <v>LatAm &amp; RSA</v>
      </c>
      <c r="C3524" s="127">
        <f>1000*_xlfn.XLOOKUP(A3524,'[1]2050Pop'!$A$7:$A$143,'[1]2050Pop'!$C$7:$C$143)</f>
        <v>41562</v>
      </c>
      <c r="D3524" s="126" t="s">
        <v>527</v>
      </c>
      <c r="E3524" s="128">
        <v>5.6269999999999998</v>
      </c>
      <c r="F3524" s="129">
        <f t="shared" si="164"/>
        <v>0.23386937399999999</v>
      </c>
      <c r="G3524" t="str">
        <f>_xlfn.XLOOKUP(D3524,'[1]2050 BAU Mapping to T &amp; C'!$A$3:$A$52,'[1]2050 BAU Mapping to T &amp; C'!$B$3:$B$52)</f>
        <v xml:space="preserve">Oil crops </v>
      </c>
      <c r="H3524" s="129">
        <f>_xlfn.XLOOKUP(G3524,'[1]T&amp;C emissions for 2050 analysis'!$B$3:$B$23,'[1]T&amp;C emissions for 2050 analysis'!$C$3:$C$23)</f>
        <v>0.18333333333333335</v>
      </c>
      <c r="I3524" s="27">
        <f t="shared" ref="I3524:I3587" si="165">F3524*H3524</f>
        <v>4.2876051900000003E-2</v>
      </c>
      <c r="J3524" s="129">
        <f t="shared" ref="J3524:J3587" si="166">E3524*H3524</f>
        <v>1.0316166666666666</v>
      </c>
    </row>
    <row r="3525" spans="1:10" hidden="1" x14ac:dyDescent="0.35">
      <c r="A3525" s="126" t="s">
        <v>477</v>
      </c>
      <c r="B3525" t="str">
        <f>_xlfn.XLOOKUP(A3525,'[1]2050Pop'!$A$7:$A$143,'[1]2050Pop'!$D$7:$D$143)</f>
        <v>APAC</v>
      </c>
      <c r="C3525" s="127">
        <f>1000*_xlfn.XLOOKUP(A3525,'[1]2050Pop'!$A$7:$A$143,'[1]2050Pop'!$C$7:$C$143)</f>
        <v>112783</v>
      </c>
      <c r="D3525" s="126" t="s">
        <v>527</v>
      </c>
      <c r="E3525" s="128">
        <v>1.873</v>
      </c>
      <c r="F3525" s="129">
        <f t="shared" ref="F3525:F3588" si="167">C3525*E3525/1000000</f>
        <v>0.211242559</v>
      </c>
      <c r="G3525" t="str">
        <f>_xlfn.XLOOKUP(D3525,'[1]2050 BAU Mapping to T &amp; C'!$A$3:$A$52,'[1]2050 BAU Mapping to T &amp; C'!$B$3:$B$52)</f>
        <v xml:space="preserve">Oil crops </v>
      </c>
      <c r="H3525" s="129">
        <f>_xlfn.XLOOKUP(G3525,'[1]T&amp;C emissions for 2050 analysis'!$B$3:$B$23,'[1]T&amp;C emissions for 2050 analysis'!$C$3:$C$23)</f>
        <v>0.18333333333333335</v>
      </c>
      <c r="I3525" s="27">
        <f t="shared" si="165"/>
        <v>3.8727802483333337E-2</v>
      </c>
      <c r="J3525" s="129">
        <f t="shared" si="166"/>
        <v>0.34338333333333337</v>
      </c>
    </row>
    <row r="3526" spans="1:10" hidden="1" x14ac:dyDescent="0.35">
      <c r="A3526" s="126" t="s">
        <v>478</v>
      </c>
      <c r="B3526" t="str">
        <f>_xlfn.XLOOKUP(A3526,'[1]2050Pop'!$A$7:$A$143,'[1]2050Pop'!$D$7:$D$143)</f>
        <v>MENA</v>
      </c>
      <c r="C3526" s="127">
        <f>1000*_xlfn.XLOOKUP(A3526,'[1]2050Pop'!$A$7:$A$143,'[1]2050Pop'!$C$7:$C$143)</f>
        <v>47170</v>
      </c>
      <c r="D3526" s="126" t="s">
        <v>527</v>
      </c>
      <c r="E3526" s="128">
        <v>3.0150000000000001</v>
      </c>
      <c r="F3526" s="129">
        <f t="shared" si="167"/>
        <v>0.14221755000000003</v>
      </c>
      <c r="G3526" t="str">
        <f>_xlfn.XLOOKUP(D3526,'[1]2050 BAU Mapping to T &amp; C'!$A$3:$A$52,'[1]2050 BAU Mapping to T &amp; C'!$B$3:$B$52)</f>
        <v xml:space="preserve">Oil crops </v>
      </c>
      <c r="H3526" s="129">
        <f>_xlfn.XLOOKUP(G3526,'[1]T&amp;C emissions for 2050 analysis'!$B$3:$B$23,'[1]T&amp;C emissions for 2050 analysis'!$C$3:$C$23)</f>
        <v>0.18333333333333335</v>
      </c>
      <c r="I3526" s="27">
        <f t="shared" si="165"/>
        <v>2.6073217500000006E-2</v>
      </c>
      <c r="J3526" s="129">
        <f t="shared" si="166"/>
        <v>0.55275000000000007</v>
      </c>
    </row>
    <row r="3527" spans="1:10" hidden="1" x14ac:dyDescent="0.35">
      <c r="A3527" s="126" t="s">
        <v>355</v>
      </c>
      <c r="B3527" t="str">
        <f>_xlfn.XLOOKUP(A3527,'[1]2050Pop'!$A$7:$A$143,'[1]2050Pop'!$D$7:$D$143)</f>
        <v>India/South Asia</v>
      </c>
      <c r="C3527" s="127">
        <f>1000*_xlfn.XLOOKUP(A3527,'[1]2050Pop'!$A$7:$A$143,'[1]2050Pop'!$C$7:$C$143)</f>
        <v>55955</v>
      </c>
      <c r="D3527" s="126" t="s">
        <v>528</v>
      </c>
      <c r="E3527" s="128">
        <v>127.902</v>
      </c>
      <c r="F3527" s="129">
        <f t="shared" si="167"/>
        <v>7.1567564099999998</v>
      </c>
      <c r="G3527" t="str">
        <f>_xlfn.XLOOKUP(D3527,'[1]2050 BAU Mapping to T &amp; C'!$A$3:$A$52,'[1]2050 BAU Mapping to T &amp; C'!$B$3:$B$52)</f>
        <v>Dairy</v>
      </c>
      <c r="H3527" s="129">
        <f>_xlfn.XLOOKUP(G3527,'[1]T&amp;C emissions for 2050 analysis'!$B$3:$B$23,'[1]T&amp;C emissions for 2050 analysis'!$C$3:$C$23)</f>
        <v>1.906666666666667</v>
      </c>
      <c r="I3527" s="27">
        <f t="shared" si="165"/>
        <v>13.645548888400002</v>
      </c>
      <c r="J3527" s="129">
        <f t="shared" si="166"/>
        <v>243.86648000000005</v>
      </c>
    </row>
    <row r="3528" spans="1:10" hidden="1" x14ac:dyDescent="0.35">
      <c r="A3528" s="126" t="s">
        <v>357</v>
      </c>
      <c r="B3528" t="str">
        <f>_xlfn.XLOOKUP(A3528,'[1]2050Pop'!$A$7:$A$143,'[1]2050Pop'!$D$7:$D$143)</f>
        <v>Euro/AU/NZ</v>
      </c>
      <c r="C3528" s="127">
        <f>1000*_xlfn.XLOOKUP(A3528,'[1]2050Pop'!$A$7:$A$143,'[1]2050Pop'!$C$7:$C$143)</f>
        <v>2710</v>
      </c>
      <c r="D3528" s="126" t="s">
        <v>528</v>
      </c>
      <c r="E3528" s="128">
        <v>569.81600000000003</v>
      </c>
      <c r="F3528" s="129">
        <f t="shared" si="167"/>
        <v>1.5442013600000002</v>
      </c>
      <c r="G3528" t="str">
        <f>_xlfn.XLOOKUP(D3528,'[1]2050 BAU Mapping to T &amp; C'!$A$3:$A$52,'[1]2050 BAU Mapping to T &amp; C'!$B$3:$B$52)</f>
        <v>Dairy</v>
      </c>
      <c r="H3528" s="129">
        <f>_xlfn.XLOOKUP(G3528,'[1]T&amp;C emissions for 2050 analysis'!$B$3:$B$23,'[1]T&amp;C emissions for 2050 analysis'!$C$3:$C$23)</f>
        <v>1.906666666666667</v>
      </c>
      <c r="I3528" s="27">
        <f t="shared" si="165"/>
        <v>2.944277259733334</v>
      </c>
      <c r="J3528" s="129">
        <f t="shared" si="166"/>
        <v>1086.4491733333336</v>
      </c>
    </row>
    <row r="3529" spans="1:10" hidden="1" x14ac:dyDescent="0.35">
      <c r="A3529" s="126" t="s">
        <v>358</v>
      </c>
      <c r="B3529" t="str">
        <f>_xlfn.XLOOKUP(A3529,'[1]2050Pop'!$A$7:$A$143,'[1]2050Pop'!$D$7:$D$143)</f>
        <v>MENA</v>
      </c>
      <c r="C3529" s="127">
        <f>1000*_xlfn.XLOOKUP(A3529,'[1]2050Pop'!$A$7:$A$143,'[1]2050Pop'!$C$7:$C$143)</f>
        <v>56461</v>
      </c>
      <c r="D3529" s="126" t="s">
        <v>528</v>
      </c>
      <c r="E3529" s="128">
        <v>262.23200000000003</v>
      </c>
      <c r="F3529" s="129">
        <f t="shared" si="167"/>
        <v>14.805880952000001</v>
      </c>
      <c r="G3529" t="str">
        <f>_xlfn.XLOOKUP(D3529,'[1]2050 BAU Mapping to T &amp; C'!$A$3:$A$52,'[1]2050 BAU Mapping to T &amp; C'!$B$3:$B$52)</f>
        <v>Dairy</v>
      </c>
      <c r="H3529" s="129">
        <f>_xlfn.XLOOKUP(G3529,'[1]T&amp;C emissions for 2050 analysis'!$B$3:$B$23,'[1]T&amp;C emissions for 2050 analysis'!$C$3:$C$23)</f>
        <v>1.906666666666667</v>
      </c>
      <c r="I3529" s="27">
        <f t="shared" si="165"/>
        <v>28.22987968181334</v>
      </c>
      <c r="J3529" s="129">
        <f t="shared" si="166"/>
        <v>499.98901333333345</v>
      </c>
    </row>
    <row r="3530" spans="1:10" hidden="1" x14ac:dyDescent="0.35">
      <c r="A3530" s="126" t="s">
        <v>359</v>
      </c>
      <c r="B3530" t="str">
        <f>_xlfn.XLOOKUP(A3530,'[1]2050Pop'!$A$7:$A$143,'[1]2050Pop'!$D$7:$D$143)</f>
        <v>SSA</v>
      </c>
      <c r="C3530" s="127">
        <f>1000*_xlfn.XLOOKUP(A3530,'[1]2050Pop'!$A$7:$A$143,'[1]2050Pop'!$C$7:$C$143)</f>
        <v>65473</v>
      </c>
      <c r="D3530" s="126" t="s">
        <v>528</v>
      </c>
      <c r="E3530" s="128">
        <v>23.087</v>
      </c>
      <c r="F3530" s="129">
        <f t="shared" si="167"/>
        <v>1.5115751510000002</v>
      </c>
      <c r="G3530" t="str">
        <f>_xlfn.XLOOKUP(D3530,'[1]2050 BAU Mapping to T &amp; C'!$A$3:$A$52,'[1]2050 BAU Mapping to T &amp; C'!$B$3:$B$52)</f>
        <v>Dairy</v>
      </c>
      <c r="H3530" s="129">
        <f>_xlfn.XLOOKUP(G3530,'[1]T&amp;C emissions for 2050 analysis'!$B$3:$B$23,'[1]T&amp;C emissions for 2050 analysis'!$C$3:$C$23)</f>
        <v>1.906666666666667</v>
      </c>
      <c r="I3530" s="27">
        <f t="shared" si="165"/>
        <v>2.8820699545733341</v>
      </c>
      <c r="J3530" s="129">
        <f t="shared" si="166"/>
        <v>44.01921333333334</v>
      </c>
    </row>
    <row r="3531" spans="1:10" hidden="1" x14ac:dyDescent="0.35">
      <c r="A3531" s="126" t="s">
        <v>360</v>
      </c>
      <c r="B3531" t="str">
        <f>_xlfn.XLOOKUP(A3531,'[1]2050Pop'!$A$7:$A$143,'[1]2050Pop'!$D$7:$D$143)</f>
        <v>LatAm &amp; RSA</v>
      </c>
      <c r="C3531" s="127">
        <f>1000*_xlfn.XLOOKUP(A3531,'[1]2050Pop'!$A$7:$A$143,'[1]2050Pop'!$C$7:$C$143)</f>
        <v>55445</v>
      </c>
      <c r="D3531" s="126" t="s">
        <v>528</v>
      </c>
      <c r="E3531" s="128">
        <v>279.72199999999998</v>
      </c>
      <c r="F3531" s="129">
        <f t="shared" si="167"/>
        <v>15.509186289999999</v>
      </c>
      <c r="G3531" t="str">
        <f>_xlfn.XLOOKUP(D3531,'[1]2050 BAU Mapping to T &amp; C'!$A$3:$A$52,'[1]2050 BAU Mapping to T &amp; C'!$B$3:$B$52)</f>
        <v>Dairy</v>
      </c>
      <c r="H3531" s="129">
        <f>_xlfn.XLOOKUP(G3531,'[1]T&amp;C emissions for 2050 analysis'!$B$3:$B$23,'[1]T&amp;C emissions for 2050 analysis'!$C$3:$C$23)</f>
        <v>1.906666666666667</v>
      </c>
      <c r="I3531" s="27">
        <f t="shared" si="165"/>
        <v>29.570848526266669</v>
      </c>
      <c r="J3531" s="129">
        <f t="shared" si="166"/>
        <v>533.33661333333339</v>
      </c>
    </row>
    <row r="3532" spans="1:10" hidden="1" x14ac:dyDescent="0.35">
      <c r="A3532" s="126" t="s">
        <v>361</v>
      </c>
      <c r="B3532" t="str">
        <f>_xlfn.XLOOKUP(A3532,'[1]2050Pop'!$A$7:$A$143,'[1]2050Pop'!$D$7:$D$143)</f>
        <v>MENA</v>
      </c>
      <c r="C3532" s="127">
        <f>1000*_xlfn.XLOOKUP(A3532,'[1]2050Pop'!$A$7:$A$143,'[1]2050Pop'!$C$7:$C$143)</f>
        <v>2729</v>
      </c>
      <c r="D3532" s="126" t="s">
        <v>528</v>
      </c>
      <c r="E3532" s="130">
        <v>397.08</v>
      </c>
      <c r="F3532" s="129">
        <f t="shared" si="167"/>
        <v>1.0836313200000001</v>
      </c>
      <c r="G3532" t="str">
        <f>_xlfn.XLOOKUP(D3532,'[1]2050 BAU Mapping to T &amp; C'!$A$3:$A$52,'[1]2050 BAU Mapping to T &amp; C'!$B$3:$B$52)</f>
        <v>Dairy</v>
      </c>
      <c r="H3532" s="129">
        <f>_xlfn.XLOOKUP(G3532,'[1]T&amp;C emissions for 2050 analysis'!$B$3:$B$23,'[1]T&amp;C emissions for 2050 analysis'!$C$3:$C$23)</f>
        <v>1.906666666666667</v>
      </c>
      <c r="I3532" s="27">
        <f t="shared" si="165"/>
        <v>2.0661237168000004</v>
      </c>
      <c r="J3532" s="129">
        <f t="shared" si="166"/>
        <v>757.09920000000011</v>
      </c>
    </row>
    <row r="3533" spans="1:10" hidden="1" x14ac:dyDescent="0.35">
      <c r="A3533" s="126" t="s">
        <v>362</v>
      </c>
      <c r="B3533" t="str">
        <f>_xlfn.XLOOKUP(A3533,'[1]2050Pop'!$A$7:$A$143,'[1]2050Pop'!$D$7:$D$143)</f>
        <v>Euro/AU/NZ</v>
      </c>
      <c r="C3533" s="127">
        <f>1000*_xlfn.XLOOKUP(A3533,'[1]2050Pop'!$A$7:$A$143,'[1]2050Pop'!$C$7:$C$143)</f>
        <v>33496</v>
      </c>
      <c r="D3533" s="126" t="s">
        <v>528</v>
      </c>
      <c r="E3533" s="128">
        <v>405.13499999999999</v>
      </c>
      <c r="F3533" s="129">
        <f t="shared" si="167"/>
        <v>13.57040196</v>
      </c>
      <c r="G3533" t="str">
        <f>_xlfn.XLOOKUP(D3533,'[1]2050 BAU Mapping to T &amp; C'!$A$3:$A$52,'[1]2050 BAU Mapping to T &amp; C'!$B$3:$B$52)</f>
        <v>Dairy</v>
      </c>
      <c r="H3533" s="129">
        <f>_xlfn.XLOOKUP(G3533,'[1]T&amp;C emissions for 2050 analysis'!$B$3:$B$23,'[1]T&amp;C emissions for 2050 analysis'!$C$3:$C$23)</f>
        <v>1.906666666666667</v>
      </c>
      <c r="I3533" s="27">
        <f t="shared" si="165"/>
        <v>25.874233070400003</v>
      </c>
      <c r="J3533" s="129">
        <f t="shared" si="166"/>
        <v>772.45740000000012</v>
      </c>
    </row>
    <row r="3534" spans="1:10" hidden="1" x14ac:dyDescent="0.35">
      <c r="A3534" s="126" t="s">
        <v>363</v>
      </c>
      <c r="B3534" t="str">
        <f>_xlfn.XLOOKUP(A3534,'[1]2050Pop'!$A$7:$A$143,'[1]2050Pop'!$D$7:$D$143)</f>
        <v>Euro/AU/NZ</v>
      </c>
      <c r="C3534" s="127">
        <f>1000*_xlfn.XLOOKUP(A3534,'[1]2050Pop'!$A$7:$A$143,'[1]2050Pop'!$C$7:$C$143)</f>
        <v>8846</v>
      </c>
      <c r="D3534" s="126" t="s">
        <v>528</v>
      </c>
      <c r="E3534" s="128">
        <v>408.21899999999999</v>
      </c>
      <c r="F3534" s="129">
        <f t="shared" si="167"/>
        <v>3.6111052739999998</v>
      </c>
      <c r="G3534" t="str">
        <f>_xlfn.XLOOKUP(D3534,'[1]2050 BAU Mapping to T &amp; C'!$A$3:$A$52,'[1]2050 BAU Mapping to T &amp; C'!$B$3:$B$52)</f>
        <v>Dairy</v>
      </c>
      <c r="H3534" s="129">
        <f>_xlfn.XLOOKUP(G3534,'[1]T&amp;C emissions for 2050 analysis'!$B$3:$B$23,'[1]T&amp;C emissions for 2050 analysis'!$C$3:$C$23)</f>
        <v>1.906666666666667</v>
      </c>
      <c r="I3534" s="27">
        <f t="shared" si="165"/>
        <v>6.8851740557600003</v>
      </c>
      <c r="J3534" s="129">
        <f t="shared" si="166"/>
        <v>778.33756000000005</v>
      </c>
    </row>
    <row r="3535" spans="1:10" hidden="1" x14ac:dyDescent="0.35">
      <c r="A3535" s="126" t="s">
        <v>364</v>
      </c>
      <c r="B3535" t="str">
        <f>_xlfn.XLOOKUP(A3535,'[1]2050Pop'!$A$7:$A$143,'[1]2050Pop'!$D$7:$D$143)</f>
        <v>MENA</v>
      </c>
      <c r="C3535" s="127">
        <f>1000*_xlfn.XLOOKUP(A3535,'[1]2050Pop'!$A$7:$A$143,'[1]2050Pop'!$C$7:$C$143)</f>
        <v>10963</v>
      </c>
      <c r="D3535" s="126" t="s">
        <v>528</v>
      </c>
      <c r="E3535" s="128">
        <v>308.15699999999998</v>
      </c>
      <c r="F3535" s="129">
        <f t="shared" si="167"/>
        <v>3.3783251909999996</v>
      </c>
      <c r="G3535" t="str">
        <f>_xlfn.XLOOKUP(D3535,'[1]2050 BAU Mapping to T &amp; C'!$A$3:$A$52,'[1]2050 BAU Mapping to T &amp; C'!$B$3:$B$52)</f>
        <v>Dairy</v>
      </c>
      <c r="H3535" s="129">
        <f>_xlfn.XLOOKUP(G3535,'[1]T&amp;C emissions for 2050 analysis'!$B$3:$B$23,'[1]T&amp;C emissions for 2050 analysis'!$C$3:$C$23)</f>
        <v>1.906666666666667</v>
      </c>
      <c r="I3535" s="27">
        <f t="shared" si="165"/>
        <v>6.4413400308400002</v>
      </c>
      <c r="J3535" s="129">
        <f t="shared" si="166"/>
        <v>587.55268000000001</v>
      </c>
    </row>
    <row r="3536" spans="1:10" hidden="1" x14ac:dyDescent="0.35">
      <c r="A3536" s="126" t="s">
        <v>365</v>
      </c>
      <c r="B3536" t="str">
        <f>_xlfn.XLOOKUP(A3536,'[1]2050Pop'!$A$7:$A$143,'[1]2050Pop'!$D$7:$D$143)</f>
        <v>India/South Asia</v>
      </c>
      <c r="C3536" s="127">
        <f>1000*_xlfn.XLOOKUP(A3536,'[1]2050Pop'!$A$7:$A$143,'[1]2050Pop'!$C$7:$C$143)</f>
        <v>202209</v>
      </c>
      <c r="D3536" s="126" t="s">
        <v>528</v>
      </c>
      <c r="E3536" s="128">
        <v>50.536000000000001</v>
      </c>
      <c r="F3536" s="129">
        <f t="shared" si="167"/>
        <v>10.218834024</v>
      </c>
      <c r="G3536" t="str">
        <f>_xlfn.XLOOKUP(D3536,'[1]2050 BAU Mapping to T &amp; C'!$A$3:$A$52,'[1]2050 BAU Mapping to T &amp; C'!$B$3:$B$52)</f>
        <v>Dairy</v>
      </c>
      <c r="H3536" s="129">
        <f>_xlfn.XLOOKUP(G3536,'[1]T&amp;C emissions for 2050 analysis'!$B$3:$B$23,'[1]T&amp;C emissions for 2050 analysis'!$C$3:$C$23)</f>
        <v>1.906666666666667</v>
      </c>
      <c r="I3536" s="27">
        <f t="shared" si="165"/>
        <v>19.483910205760001</v>
      </c>
      <c r="J3536" s="129">
        <f t="shared" si="166"/>
        <v>96.355306666666678</v>
      </c>
    </row>
    <row r="3537" spans="1:10" hidden="1" x14ac:dyDescent="0.35">
      <c r="A3537" s="126" t="s">
        <v>366</v>
      </c>
      <c r="B3537" t="str">
        <f>_xlfn.XLOOKUP(A3537,'[1]2050Pop'!$A$7:$A$143,'[1]2050Pop'!$D$7:$D$143)</f>
        <v>Euro/AU/NZ</v>
      </c>
      <c r="C3537" s="127">
        <f>1000*_xlfn.XLOOKUP(A3537,'[1]2050Pop'!$A$7:$A$143,'[1]2050Pop'!$C$7:$C$143)</f>
        <v>8125</v>
      </c>
      <c r="D3537" s="126" t="s">
        <v>528</v>
      </c>
      <c r="E3537" s="128">
        <v>284.10899999999998</v>
      </c>
      <c r="F3537" s="129">
        <f t="shared" si="167"/>
        <v>2.3083856250000001</v>
      </c>
      <c r="G3537" t="str">
        <f>_xlfn.XLOOKUP(D3537,'[1]2050 BAU Mapping to T &amp; C'!$A$3:$A$52,'[1]2050 BAU Mapping to T &amp; C'!$B$3:$B$52)</f>
        <v>Dairy</v>
      </c>
      <c r="H3537" s="129">
        <f>_xlfn.XLOOKUP(G3537,'[1]T&amp;C emissions for 2050 analysis'!$B$3:$B$23,'[1]T&amp;C emissions for 2050 analysis'!$C$3:$C$23)</f>
        <v>1.906666666666667</v>
      </c>
      <c r="I3537" s="27">
        <f t="shared" si="165"/>
        <v>4.4013219250000013</v>
      </c>
      <c r="J3537" s="129">
        <f t="shared" si="166"/>
        <v>541.70116000000007</v>
      </c>
    </row>
    <row r="3538" spans="1:10" hidden="1" x14ac:dyDescent="0.35">
      <c r="A3538" s="126" t="s">
        <v>367</v>
      </c>
      <c r="B3538" t="str">
        <f>_xlfn.XLOOKUP(A3538,'[1]2050Pop'!$A$7:$A$143,'[1]2050Pop'!$D$7:$D$143)</f>
        <v>Euro/AU/NZ</v>
      </c>
      <c r="C3538" s="127">
        <f>1000*_xlfn.XLOOKUP(A3538,'[1]2050Pop'!$A$7:$A$143,'[1]2050Pop'!$C$7:$C$143)</f>
        <v>12527</v>
      </c>
      <c r="D3538" s="126" t="s">
        <v>528</v>
      </c>
      <c r="E3538" s="128">
        <v>552.43499999999995</v>
      </c>
      <c r="F3538" s="129">
        <f t="shared" si="167"/>
        <v>6.9203532449999994</v>
      </c>
      <c r="G3538" t="str">
        <f>_xlfn.XLOOKUP(D3538,'[1]2050 BAU Mapping to T &amp; C'!$A$3:$A$52,'[1]2050 BAU Mapping to T &amp; C'!$B$3:$B$52)</f>
        <v>Dairy</v>
      </c>
      <c r="H3538" s="129">
        <f>_xlfn.XLOOKUP(G3538,'[1]T&amp;C emissions for 2050 analysis'!$B$3:$B$23,'[1]T&amp;C emissions for 2050 analysis'!$C$3:$C$23)</f>
        <v>1.906666666666667</v>
      </c>
      <c r="I3538" s="27">
        <f t="shared" si="165"/>
        <v>13.194806853800001</v>
      </c>
      <c r="J3538" s="129">
        <f t="shared" si="166"/>
        <v>1053.3094000000001</v>
      </c>
    </row>
    <row r="3539" spans="1:10" hidden="1" x14ac:dyDescent="0.35">
      <c r="A3539" s="126" t="s">
        <v>368</v>
      </c>
      <c r="B3539" t="str">
        <f>_xlfn.XLOOKUP(A3539,'[1]2050Pop'!$A$7:$A$143,'[1]2050Pop'!$D$7:$D$143)</f>
        <v>SSA</v>
      </c>
      <c r="C3539" s="127">
        <f>1000*_xlfn.XLOOKUP(A3539,'[1]2050Pop'!$A$7:$A$143,'[1]2050Pop'!$C$7:$C$143)</f>
        <v>22549</v>
      </c>
      <c r="D3539" s="126" t="s">
        <v>528</v>
      </c>
      <c r="E3539" s="128">
        <v>22.744</v>
      </c>
      <c r="F3539" s="129">
        <f t="shared" si="167"/>
        <v>0.51285445600000001</v>
      </c>
      <c r="G3539" t="str">
        <f>_xlfn.XLOOKUP(D3539,'[1]2050 BAU Mapping to T &amp; C'!$A$3:$A$52,'[1]2050 BAU Mapping to T &amp; C'!$B$3:$B$52)</f>
        <v>Dairy</v>
      </c>
      <c r="H3539" s="129">
        <f>_xlfn.XLOOKUP(G3539,'[1]T&amp;C emissions for 2050 analysis'!$B$3:$B$23,'[1]T&amp;C emissions for 2050 analysis'!$C$3:$C$23)</f>
        <v>1.906666666666667</v>
      </c>
      <c r="I3539" s="27">
        <f t="shared" si="165"/>
        <v>0.97784249610666685</v>
      </c>
      <c r="J3539" s="129">
        <f t="shared" si="166"/>
        <v>43.365226666666672</v>
      </c>
    </row>
    <row r="3540" spans="1:10" hidden="1" x14ac:dyDescent="0.35">
      <c r="A3540" s="126" t="s">
        <v>369</v>
      </c>
      <c r="B3540" t="str">
        <f>_xlfn.XLOOKUP(A3540,'[1]2050Pop'!$A$7:$A$143,'[1]2050Pop'!$D$7:$D$143)</f>
        <v>LatAm &amp; RSA</v>
      </c>
      <c r="C3540" s="127">
        <f>1000*_xlfn.XLOOKUP(A3540,'[1]2050Pop'!$A$7:$A$143,'[1]2050Pop'!$C$7:$C$143)</f>
        <v>15963</v>
      </c>
      <c r="D3540" s="126" t="s">
        <v>528</v>
      </c>
      <c r="E3540" s="128">
        <v>78.619</v>
      </c>
      <c r="F3540" s="129">
        <f t="shared" si="167"/>
        <v>1.2549950970000001</v>
      </c>
      <c r="G3540" t="str">
        <f>_xlfn.XLOOKUP(D3540,'[1]2050 BAU Mapping to T &amp; C'!$A$3:$A$52,'[1]2050 BAU Mapping to T &amp; C'!$B$3:$B$52)</f>
        <v>Dairy</v>
      </c>
      <c r="H3540" s="129">
        <f>_xlfn.XLOOKUP(G3540,'[1]T&amp;C emissions for 2050 analysis'!$B$3:$B$23,'[1]T&amp;C emissions for 2050 analysis'!$C$3:$C$23)</f>
        <v>1.906666666666667</v>
      </c>
      <c r="I3540" s="27">
        <f t="shared" si="165"/>
        <v>2.3928573182800004</v>
      </c>
      <c r="J3540" s="129">
        <f t="shared" si="166"/>
        <v>149.9002266666667</v>
      </c>
    </row>
    <row r="3541" spans="1:10" hidden="1" x14ac:dyDescent="0.35">
      <c r="A3541" s="126" t="s">
        <v>370</v>
      </c>
      <c r="B3541" t="str">
        <f>_xlfn.XLOOKUP(A3541,'[1]2050Pop'!$A$7:$A$143,'[1]2050Pop'!$D$7:$D$143)</f>
        <v>Euro/AU/NZ</v>
      </c>
      <c r="C3541" s="127">
        <f>1000*_xlfn.XLOOKUP(A3541,'[1]2050Pop'!$A$7:$A$143,'[1]2050Pop'!$C$7:$C$143)</f>
        <v>3069</v>
      </c>
      <c r="D3541" s="126" t="s">
        <v>528</v>
      </c>
      <c r="E3541" s="128">
        <v>311.29199999999997</v>
      </c>
      <c r="F3541" s="129">
        <f t="shared" si="167"/>
        <v>0.95535514799999988</v>
      </c>
      <c r="G3541" t="str">
        <f>_xlfn.XLOOKUP(D3541,'[1]2050 BAU Mapping to T &amp; C'!$A$3:$A$52,'[1]2050 BAU Mapping to T &amp; C'!$B$3:$B$52)</f>
        <v>Dairy</v>
      </c>
      <c r="H3541" s="129">
        <f>_xlfn.XLOOKUP(G3541,'[1]T&amp;C emissions for 2050 analysis'!$B$3:$B$23,'[1]T&amp;C emissions for 2050 analysis'!$C$3:$C$23)</f>
        <v>1.906666666666667</v>
      </c>
      <c r="I3541" s="27">
        <f t="shared" si="165"/>
        <v>1.8215438155200001</v>
      </c>
      <c r="J3541" s="129">
        <f t="shared" si="166"/>
        <v>593.53008</v>
      </c>
    </row>
    <row r="3542" spans="1:10" hidden="1" x14ac:dyDescent="0.35">
      <c r="A3542" s="126" t="s">
        <v>371</v>
      </c>
      <c r="B3542" t="str">
        <f>_xlfn.XLOOKUP(A3542,'[1]2050Pop'!$A$7:$A$143,'[1]2050Pop'!$D$7:$D$143)</f>
        <v>SSA</v>
      </c>
      <c r="C3542" s="127">
        <f>1000*_xlfn.XLOOKUP(A3542,'[1]2050Pop'!$A$7:$A$143,'[1]2050Pop'!$C$7:$C$143)</f>
        <v>3389</v>
      </c>
      <c r="D3542" s="126" t="s">
        <v>528</v>
      </c>
      <c r="E3542" s="128">
        <v>215.721</v>
      </c>
      <c r="F3542" s="129">
        <f t="shared" si="167"/>
        <v>0.73107846900000006</v>
      </c>
      <c r="G3542" t="str">
        <f>_xlfn.XLOOKUP(D3542,'[1]2050 BAU Mapping to T &amp; C'!$A$3:$A$52,'[1]2050 BAU Mapping to T &amp; C'!$B$3:$B$52)</f>
        <v>Dairy</v>
      </c>
      <c r="H3542" s="129">
        <f>_xlfn.XLOOKUP(G3542,'[1]T&amp;C emissions for 2050 analysis'!$B$3:$B$23,'[1]T&amp;C emissions for 2050 analysis'!$C$3:$C$23)</f>
        <v>1.906666666666667</v>
      </c>
      <c r="I3542" s="27">
        <f t="shared" si="165"/>
        <v>1.3939229475600003</v>
      </c>
      <c r="J3542" s="129">
        <f t="shared" si="166"/>
        <v>411.30804000000006</v>
      </c>
    </row>
    <row r="3543" spans="1:10" hidden="1" x14ac:dyDescent="0.35">
      <c r="A3543" s="126" t="s">
        <v>372</v>
      </c>
      <c r="B3543" t="str">
        <f>_xlfn.XLOOKUP(A3543,'[1]2050Pop'!$A$7:$A$143,'[1]2050Pop'!$D$7:$D$143)</f>
        <v>LatAm &amp; RSA</v>
      </c>
      <c r="C3543" s="127">
        <f>1000*_xlfn.XLOOKUP(A3543,'[1]2050Pop'!$A$7:$A$143,'[1]2050Pop'!$C$7:$C$143)</f>
        <v>238270</v>
      </c>
      <c r="D3543" s="126" t="s">
        <v>528</v>
      </c>
      <c r="E3543" s="128">
        <v>297.17099999999999</v>
      </c>
      <c r="F3543" s="129">
        <f t="shared" si="167"/>
        <v>70.806934170000005</v>
      </c>
      <c r="G3543" t="str">
        <f>_xlfn.XLOOKUP(D3543,'[1]2050 BAU Mapping to T &amp; C'!$A$3:$A$52,'[1]2050 BAU Mapping to T &amp; C'!$B$3:$B$52)</f>
        <v>Dairy</v>
      </c>
      <c r="H3543" s="129">
        <f>_xlfn.XLOOKUP(G3543,'[1]T&amp;C emissions for 2050 analysis'!$B$3:$B$23,'[1]T&amp;C emissions for 2050 analysis'!$C$3:$C$23)</f>
        <v>1.906666666666667</v>
      </c>
      <c r="I3543" s="27">
        <f t="shared" si="165"/>
        <v>135.00522115080003</v>
      </c>
      <c r="J3543" s="129">
        <f t="shared" si="166"/>
        <v>566.60604000000012</v>
      </c>
    </row>
    <row r="3544" spans="1:10" hidden="1" x14ac:dyDescent="0.35">
      <c r="A3544" s="126" t="s">
        <v>373</v>
      </c>
      <c r="B3544" t="str">
        <f>_xlfn.XLOOKUP(A3544,'[1]2050Pop'!$A$7:$A$143,'[1]2050Pop'!$D$7:$D$143)</f>
        <v>Euro/AU/NZ</v>
      </c>
      <c r="C3544" s="127">
        <f>1000*_xlfn.XLOOKUP(A3544,'[1]2050Pop'!$A$7:$A$143,'[1]2050Pop'!$C$7:$C$143)</f>
        <v>5154</v>
      </c>
      <c r="D3544" s="126" t="s">
        <v>528</v>
      </c>
      <c r="E3544" s="128">
        <v>260.89800000000002</v>
      </c>
      <c r="F3544" s="129">
        <f t="shared" si="167"/>
        <v>1.3446682920000002</v>
      </c>
      <c r="G3544" t="str">
        <f>_xlfn.XLOOKUP(D3544,'[1]2050 BAU Mapping to T &amp; C'!$A$3:$A$52,'[1]2050 BAU Mapping to T &amp; C'!$B$3:$B$52)</f>
        <v>Dairy</v>
      </c>
      <c r="H3544" s="129">
        <f>_xlfn.XLOOKUP(G3544,'[1]T&amp;C emissions for 2050 analysis'!$B$3:$B$23,'[1]T&amp;C emissions for 2050 analysis'!$C$3:$C$23)</f>
        <v>1.906666666666667</v>
      </c>
      <c r="I3544" s="27">
        <f t="shared" si="165"/>
        <v>2.5638342100800009</v>
      </c>
      <c r="J3544" s="129">
        <f t="shared" si="166"/>
        <v>497.4455200000001</v>
      </c>
    </row>
    <row r="3545" spans="1:10" hidden="1" x14ac:dyDescent="0.35">
      <c r="A3545" s="126" t="s">
        <v>487</v>
      </c>
      <c r="B3545" t="str">
        <f>_xlfn.XLOOKUP(A3545,'[1]2050Pop'!$A$7:$A$143,'[1]2050Pop'!$D$7:$D$143)</f>
        <v>SSA</v>
      </c>
      <c r="C3545" s="127">
        <f>1000*_xlfn.XLOOKUP(A3545,'[1]2050Pop'!$A$7:$A$143,'[1]2050Pop'!$C$7:$C$143)</f>
        <v>42789</v>
      </c>
      <c r="D3545" s="126" t="s">
        <v>528</v>
      </c>
      <c r="E3545" s="128">
        <v>64.802999999999997</v>
      </c>
      <c r="F3545" s="129">
        <f t="shared" si="167"/>
        <v>2.7728555669999997</v>
      </c>
      <c r="G3545" t="str">
        <f>_xlfn.XLOOKUP(D3545,'[1]2050 BAU Mapping to T &amp; C'!$A$3:$A$52,'[1]2050 BAU Mapping to T &amp; C'!$B$3:$B$52)</f>
        <v>Dairy</v>
      </c>
      <c r="H3545" s="129">
        <f>_xlfn.XLOOKUP(G3545,'[1]T&amp;C emissions for 2050 analysis'!$B$3:$B$23,'[1]T&amp;C emissions for 2050 analysis'!$C$3:$C$23)</f>
        <v>1.906666666666667</v>
      </c>
      <c r="I3545" s="27">
        <f t="shared" si="165"/>
        <v>5.2869112810800001</v>
      </c>
      <c r="J3545" s="129">
        <f t="shared" si="166"/>
        <v>123.55772000000002</v>
      </c>
    </row>
    <row r="3546" spans="1:10" hidden="1" x14ac:dyDescent="0.35">
      <c r="A3546" s="126" t="s">
        <v>374</v>
      </c>
      <c r="B3546" t="str">
        <f>_xlfn.XLOOKUP(A3546,'[1]2050Pop'!$A$7:$A$143,'[1]2050Pop'!$D$7:$D$143)</f>
        <v>APAC</v>
      </c>
      <c r="C3546" s="127">
        <f>1000*_xlfn.XLOOKUP(A3546,'[1]2050Pop'!$A$7:$A$143,'[1]2050Pop'!$C$7:$C$143)</f>
        <v>22545</v>
      </c>
      <c r="D3546" s="126" t="s">
        <v>528</v>
      </c>
      <c r="E3546" s="128">
        <v>6.0069999999999997</v>
      </c>
      <c r="F3546" s="129">
        <f t="shared" si="167"/>
        <v>0.13542781500000001</v>
      </c>
      <c r="G3546" t="str">
        <f>_xlfn.XLOOKUP(D3546,'[1]2050 BAU Mapping to T &amp; C'!$A$3:$A$52,'[1]2050 BAU Mapping to T &amp; C'!$B$3:$B$52)</f>
        <v>Dairy</v>
      </c>
      <c r="H3546" s="129">
        <f>_xlfn.XLOOKUP(G3546,'[1]T&amp;C emissions for 2050 analysis'!$B$3:$B$23,'[1]T&amp;C emissions for 2050 analysis'!$C$3:$C$23)</f>
        <v>1.906666666666667</v>
      </c>
      <c r="I3546" s="27">
        <f t="shared" si="165"/>
        <v>0.25821570060000004</v>
      </c>
      <c r="J3546" s="129">
        <f t="shared" si="166"/>
        <v>11.453346666666668</v>
      </c>
    </row>
    <row r="3547" spans="1:10" hidden="1" x14ac:dyDescent="0.35">
      <c r="A3547" s="126" t="s">
        <v>375</v>
      </c>
      <c r="B3547" t="str">
        <f>_xlfn.XLOOKUP(A3547,'[1]2050Pop'!$A$7:$A$143,'[1]2050Pop'!$D$7:$D$143)</f>
        <v>SSA</v>
      </c>
      <c r="C3547" s="127">
        <f>1000*_xlfn.XLOOKUP(A3547,'[1]2050Pop'!$A$7:$A$143,'[1]2050Pop'!$C$7:$C$143)</f>
        <v>48362</v>
      </c>
      <c r="D3547" s="126" t="s">
        <v>528</v>
      </c>
      <c r="E3547" s="128">
        <v>33.406999999999996</v>
      </c>
      <c r="F3547" s="129">
        <f t="shared" si="167"/>
        <v>1.6156293339999999</v>
      </c>
      <c r="G3547" t="str">
        <f>_xlfn.XLOOKUP(D3547,'[1]2050 BAU Mapping to T &amp; C'!$A$3:$A$52,'[1]2050 BAU Mapping to T &amp; C'!$B$3:$B$52)</f>
        <v>Dairy</v>
      </c>
      <c r="H3547" s="129">
        <f>_xlfn.XLOOKUP(G3547,'[1]T&amp;C emissions for 2050 analysis'!$B$3:$B$23,'[1]T&amp;C emissions for 2050 analysis'!$C$3:$C$23)</f>
        <v>1.906666666666667</v>
      </c>
      <c r="I3547" s="27">
        <f t="shared" si="165"/>
        <v>3.0804665968266667</v>
      </c>
      <c r="J3547" s="129">
        <f t="shared" si="166"/>
        <v>63.696013333333333</v>
      </c>
    </row>
    <row r="3548" spans="1:10" hidden="1" x14ac:dyDescent="0.35">
      <c r="A3548" s="126" t="s">
        <v>376</v>
      </c>
      <c r="B3548" t="str">
        <f>_xlfn.XLOOKUP(A3548,'[1]2050Pop'!$A$7:$A$143,'[1]2050Pop'!$D$7:$D$143)</f>
        <v>NAm</v>
      </c>
      <c r="C3548" s="127">
        <f>1000*_xlfn.XLOOKUP(A3548,'[1]2050Pop'!$A$7:$A$143,'[1]2050Pop'!$C$7:$C$143)</f>
        <v>44136</v>
      </c>
      <c r="D3548" s="126" t="s">
        <v>528</v>
      </c>
      <c r="E3548" s="128">
        <v>312.86799999999999</v>
      </c>
      <c r="F3548" s="129">
        <f t="shared" si="167"/>
        <v>13.808742048000001</v>
      </c>
      <c r="G3548" t="str">
        <f>_xlfn.XLOOKUP(D3548,'[1]2050 BAU Mapping to T &amp; C'!$A$3:$A$52,'[1]2050 BAU Mapping to T &amp; C'!$B$3:$B$52)</f>
        <v>Dairy</v>
      </c>
      <c r="H3548" s="129">
        <f>_xlfn.XLOOKUP(G3548,'[1]T&amp;C emissions for 2050 analysis'!$B$3:$B$23,'[1]T&amp;C emissions for 2050 analysis'!$C$3:$C$23)</f>
        <v>1.906666666666667</v>
      </c>
      <c r="I3548" s="27">
        <f t="shared" si="165"/>
        <v>26.328668171520007</v>
      </c>
      <c r="J3548" s="129">
        <f t="shared" si="166"/>
        <v>596.53498666666678</v>
      </c>
    </row>
    <row r="3549" spans="1:10" hidden="1" x14ac:dyDescent="0.35">
      <c r="A3549" s="126" t="s">
        <v>377</v>
      </c>
      <c r="B3549" t="str">
        <f>_xlfn.XLOOKUP(A3549,'[1]2050Pop'!$A$7:$A$143,'[1]2050Pop'!$D$7:$D$143)</f>
        <v>SSA</v>
      </c>
      <c r="C3549" s="127">
        <f>1000*_xlfn.XLOOKUP(A3549,'[1]2050Pop'!$A$7:$A$143,'[1]2050Pop'!$C$7:$C$143)</f>
        <v>8782</v>
      </c>
      <c r="D3549" s="126" t="s">
        <v>528</v>
      </c>
      <c r="E3549" s="128">
        <v>36.655999999999999</v>
      </c>
      <c r="F3549" s="129">
        <f t="shared" si="167"/>
        <v>0.32191299199999995</v>
      </c>
      <c r="G3549" t="str">
        <f>_xlfn.XLOOKUP(D3549,'[1]2050 BAU Mapping to T &amp; C'!$A$3:$A$52,'[1]2050 BAU Mapping to T &amp; C'!$B$3:$B$52)</f>
        <v>Dairy</v>
      </c>
      <c r="H3549" s="129">
        <f>_xlfn.XLOOKUP(G3549,'[1]T&amp;C emissions for 2050 analysis'!$B$3:$B$23,'[1]T&amp;C emissions for 2050 analysis'!$C$3:$C$23)</f>
        <v>1.906666666666667</v>
      </c>
      <c r="I3549" s="27">
        <f t="shared" si="165"/>
        <v>0.61378077141333331</v>
      </c>
      <c r="J3549" s="129">
        <f t="shared" si="166"/>
        <v>69.890773333333343</v>
      </c>
    </row>
    <row r="3550" spans="1:10" hidden="1" x14ac:dyDescent="0.35">
      <c r="A3550" s="126" t="s">
        <v>488</v>
      </c>
      <c r="B3550" t="str">
        <f>_xlfn.XLOOKUP(A3550,'[1]2050Pop'!$A$7:$A$143,'[1]2050Pop'!$D$7:$D$143)</f>
        <v>SSA</v>
      </c>
      <c r="C3550" s="127">
        <f>1000*_xlfn.XLOOKUP(A3550,'[1]2050Pop'!$A$7:$A$143,'[1]2050Pop'!$C$7:$C$143)</f>
        <v>35131</v>
      </c>
      <c r="D3550" s="126" t="s">
        <v>528</v>
      </c>
      <c r="E3550" s="128">
        <v>44.506</v>
      </c>
      <c r="F3550" s="129">
        <f t="shared" si="167"/>
        <v>1.5635402860000001</v>
      </c>
      <c r="G3550" t="str">
        <f>_xlfn.XLOOKUP(D3550,'[1]2050 BAU Mapping to T &amp; C'!$A$3:$A$52,'[1]2050 BAU Mapping to T &amp; C'!$B$3:$B$52)</f>
        <v>Dairy</v>
      </c>
      <c r="H3550" s="129">
        <f>_xlfn.XLOOKUP(G3550,'[1]T&amp;C emissions for 2050 analysis'!$B$3:$B$23,'[1]T&amp;C emissions for 2050 analysis'!$C$3:$C$23)</f>
        <v>1.906666666666667</v>
      </c>
      <c r="I3550" s="27">
        <f t="shared" si="165"/>
        <v>2.9811501453066671</v>
      </c>
      <c r="J3550" s="129">
        <f t="shared" si="166"/>
        <v>84.858106666666686</v>
      </c>
    </row>
    <row r="3551" spans="1:10" hidden="1" x14ac:dyDescent="0.35">
      <c r="A3551" s="126" t="s">
        <v>378</v>
      </c>
      <c r="B3551" t="str">
        <f>_xlfn.XLOOKUP(A3551,'[1]2050Pop'!$A$7:$A$143,'[1]2050Pop'!$D$7:$D$143)</f>
        <v>LatAm &amp; RSA</v>
      </c>
      <c r="C3551" s="127">
        <f>1000*_xlfn.XLOOKUP(A3551,'[1]2050Pop'!$A$7:$A$143,'[1]2050Pop'!$C$7:$C$143)</f>
        <v>21601</v>
      </c>
      <c r="D3551" s="126" t="s">
        <v>528</v>
      </c>
      <c r="E3551" s="128">
        <v>179.661</v>
      </c>
      <c r="F3551" s="129">
        <f t="shared" si="167"/>
        <v>3.8808572610000001</v>
      </c>
      <c r="G3551" t="str">
        <f>_xlfn.XLOOKUP(D3551,'[1]2050 BAU Mapping to T &amp; C'!$A$3:$A$52,'[1]2050 BAU Mapping to T &amp; C'!$B$3:$B$52)</f>
        <v>Dairy</v>
      </c>
      <c r="H3551" s="129">
        <f>_xlfn.XLOOKUP(G3551,'[1]T&amp;C emissions for 2050 analysis'!$B$3:$B$23,'[1]T&amp;C emissions for 2050 analysis'!$C$3:$C$23)</f>
        <v>1.906666666666667</v>
      </c>
      <c r="I3551" s="27">
        <f t="shared" si="165"/>
        <v>7.3995011776400013</v>
      </c>
      <c r="J3551" s="129">
        <f t="shared" si="166"/>
        <v>342.55364000000003</v>
      </c>
    </row>
    <row r="3552" spans="1:10" hidden="1" x14ac:dyDescent="0.35">
      <c r="A3552" s="126" t="s">
        <v>379</v>
      </c>
      <c r="B3552" t="str">
        <f>_xlfn.XLOOKUP(A3552,'[1]2050Pop'!$A$7:$A$143,'[1]2050Pop'!$D$7:$D$143)</f>
        <v>Greater China</v>
      </c>
      <c r="C3552" s="127">
        <f>1000*_xlfn.XLOOKUP(A3552,'[1]2050Pop'!$A$7:$A$143,'[1]2050Pop'!$C$7:$C$143)</f>
        <v>8148</v>
      </c>
      <c r="D3552" s="126" t="s">
        <v>528</v>
      </c>
      <c r="E3552" s="128">
        <v>252.13499999999999</v>
      </c>
      <c r="F3552" s="129">
        <f t="shared" si="167"/>
        <v>2.0543959799999998</v>
      </c>
      <c r="G3552" t="str">
        <f>_xlfn.XLOOKUP(D3552,'[1]2050 BAU Mapping to T &amp; C'!$A$3:$A$52,'[1]2050 BAU Mapping to T &amp; C'!$B$3:$B$52)</f>
        <v>Dairy</v>
      </c>
      <c r="H3552" s="129">
        <f>_xlfn.XLOOKUP(G3552,'[1]T&amp;C emissions for 2050 analysis'!$B$3:$B$23,'[1]T&amp;C emissions for 2050 analysis'!$C$3:$C$23)</f>
        <v>1.906666666666667</v>
      </c>
      <c r="I3552" s="27">
        <f t="shared" si="165"/>
        <v>3.9170483352000001</v>
      </c>
      <c r="J3552" s="129">
        <f t="shared" si="166"/>
        <v>480.73740000000004</v>
      </c>
    </row>
    <row r="3553" spans="1:10" hidden="1" x14ac:dyDescent="0.35">
      <c r="A3553" s="126" t="s">
        <v>380</v>
      </c>
      <c r="B3553" t="str">
        <f>_xlfn.XLOOKUP(A3553,'[1]2050Pop'!$A$7:$A$143,'[1]2050Pop'!$D$7:$D$143)</f>
        <v>Greater China</v>
      </c>
      <c r="C3553" s="127">
        <f>1000*_xlfn.XLOOKUP(A3553,'[1]2050Pop'!$A$7:$A$143,'[1]2050Pop'!$C$7:$C$143)</f>
        <v>1348056</v>
      </c>
      <c r="D3553" s="126" t="s">
        <v>528</v>
      </c>
      <c r="E3553" s="128">
        <v>62.095999999999997</v>
      </c>
      <c r="F3553" s="129">
        <f t="shared" si="167"/>
        <v>83.708885375999998</v>
      </c>
      <c r="G3553" t="str">
        <f>_xlfn.XLOOKUP(D3553,'[1]2050 BAU Mapping to T &amp; C'!$A$3:$A$52,'[1]2050 BAU Mapping to T &amp; C'!$B$3:$B$52)</f>
        <v>Dairy</v>
      </c>
      <c r="H3553" s="129">
        <f>_xlfn.XLOOKUP(G3553,'[1]T&amp;C emissions for 2050 analysis'!$B$3:$B$23,'[1]T&amp;C emissions for 2050 analysis'!$C$3:$C$23)</f>
        <v>1.906666666666667</v>
      </c>
      <c r="I3553" s="27">
        <f t="shared" si="165"/>
        <v>159.60494145024003</v>
      </c>
      <c r="J3553" s="129">
        <f t="shared" si="166"/>
        <v>118.39637333333334</v>
      </c>
    </row>
    <row r="3554" spans="1:10" hidden="1" x14ac:dyDescent="0.35">
      <c r="A3554" s="126" t="s">
        <v>381</v>
      </c>
      <c r="B3554" t="str">
        <f>_xlfn.XLOOKUP(A3554,'[1]2050Pop'!$A$7:$A$143,'[1]2050Pop'!$D$7:$D$143)</f>
        <v>Greater China</v>
      </c>
      <c r="C3554" s="127">
        <f>1000*_xlfn.XLOOKUP(A3554,'[1]2050Pop'!$A$7:$A$143,'[1]2050Pop'!$C$7:$C$143)</f>
        <v>20778</v>
      </c>
      <c r="D3554" s="126" t="s">
        <v>528</v>
      </c>
      <c r="E3554" s="128">
        <v>92.721000000000004</v>
      </c>
      <c r="F3554" s="129">
        <f t="shared" si="167"/>
        <v>1.9265569380000001</v>
      </c>
      <c r="G3554" t="str">
        <f>_xlfn.XLOOKUP(D3554,'[1]2050 BAU Mapping to T &amp; C'!$A$3:$A$52,'[1]2050 BAU Mapping to T &amp; C'!$B$3:$B$52)</f>
        <v>Dairy</v>
      </c>
      <c r="H3554" s="129">
        <f>_xlfn.XLOOKUP(G3554,'[1]T&amp;C emissions for 2050 analysis'!$B$3:$B$23,'[1]T&amp;C emissions for 2050 analysis'!$C$3:$C$23)</f>
        <v>1.906666666666667</v>
      </c>
      <c r="I3554" s="27">
        <f t="shared" si="165"/>
        <v>3.6733018951200007</v>
      </c>
      <c r="J3554" s="129">
        <f t="shared" si="166"/>
        <v>176.78804000000002</v>
      </c>
    </row>
    <row r="3555" spans="1:10" hidden="1" x14ac:dyDescent="0.35">
      <c r="A3555" s="126" t="s">
        <v>382</v>
      </c>
      <c r="B3555" t="str">
        <f>_xlfn.XLOOKUP(A3555,'[1]2050Pop'!$A$7:$A$143,'[1]2050Pop'!$D$7:$D$143)</f>
        <v>LatAm &amp; RSA</v>
      </c>
      <c r="C3555" s="127">
        <f>1000*_xlfn.XLOOKUP(A3555,'[1]2050Pop'!$A$7:$A$143,'[1]2050Pop'!$C$7:$C$143)</f>
        <v>54927</v>
      </c>
      <c r="D3555" s="126" t="s">
        <v>528</v>
      </c>
      <c r="E3555" s="128">
        <v>199.596</v>
      </c>
      <c r="F3555" s="129">
        <f t="shared" si="167"/>
        <v>10.963209492000001</v>
      </c>
      <c r="G3555" t="str">
        <f>_xlfn.XLOOKUP(D3555,'[1]2050 BAU Mapping to T &amp; C'!$A$3:$A$52,'[1]2050 BAU Mapping to T &amp; C'!$B$3:$B$52)</f>
        <v>Dairy</v>
      </c>
      <c r="H3555" s="129">
        <f>_xlfn.XLOOKUP(G3555,'[1]T&amp;C emissions for 2050 analysis'!$B$3:$B$23,'[1]T&amp;C emissions for 2050 analysis'!$C$3:$C$23)</f>
        <v>1.906666666666667</v>
      </c>
      <c r="I3555" s="27">
        <f t="shared" si="165"/>
        <v>20.903186098080006</v>
      </c>
      <c r="J3555" s="129">
        <f t="shared" si="166"/>
        <v>380.56304000000006</v>
      </c>
    </row>
    <row r="3556" spans="1:10" hidden="1" x14ac:dyDescent="0.35">
      <c r="A3556" s="126" t="s">
        <v>383</v>
      </c>
      <c r="B3556" t="str">
        <f>_xlfn.XLOOKUP(A3556,'[1]2050Pop'!$A$7:$A$143,'[1]2050Pop'!$D$7:$D$143)</f>
        <v>LatAm &amp; RSA</v>
      </c>
      <c r="C3556" s="127">
        <f>1000*_xlfn.XLOOKUP(A3556,'[1]2050Pop'!$A$7:$A$143,'[1]2050Pop'!$C$7:$C$143)</f>
        <v>5759</v>
      </c>
      <c r="D3556" s="126" t="s">
        <v>528</v>
      </c>
      <c r="E3556" s="130">
        <v>316.27</v>
      </c>
      <c r="F3556" s="129">
        <f t="shared" si="167"/>
        <v>1.82139893</v>
      </c>
      <c r="G3556" t="str">
        <f>_xlfn.XLOOKUP(D3556,'[1]2050 BAU Mapping to T &amp; C'!$A$3:$A$52,'[1]2050 BAU Mapping to T &amp; C'!$B$3:$B$52)</f>
        <v>Dairy</v>
      </c>
      <c r="H3556" s="129">
        <f>_xlfn.XLOOKUP(G3556,'[1]T&amp;C emissions for 2050 analysis'!$B$3:$B$23,'[1]T&amp;C emissions for 2050 analysis'!$C$3:$C$23)</f>
        <v>1.906666666666667</v>
      </c>
      <c r="I3556" s="27">
        <f t="shared" si="165"/>
        <v>3.472800626533334</v>
      </c>
      <c r="J3556" s="129">
        <f t="shared" si="166"/>
        <v>603.0214666666667</v>
      </c>
    </row>
    <row r="3557" spans="1:10" hidden="1" x14ac:dyDescent="0.35">
      <c r="A3557" s="126" t="s">
        <v>384</v>
      </c>
      <c r="B3557" t="str">
        <f>_xlfn.XLOOKUP(A3557,'[1]2050Pop'!$A$7:$A$143,'[1]2050Pop'!$D$7:$D$143)</f>
        <v>SSA</v>
      </c>
      <c r="C3557" s="127">
        <f>1000*_xlfn.XLOOKUP(A3557,'[1]2050Pop'!$A$7:$A$143,'[1]2050Pop'!$C$7:$C$143)</f>
        <v>48797</v>
      </c>
      <c r="D3557" s="126" t="s">
        <v>528</v>
      </c>
      <c r="E3557" s="128">
        <v>16.911000000000001</v>
      </c>
      <c r="F3557" s="129">
        <f t="shared" si="167"/>
        <v>0.82520606699999999</v>
      </c>
      <c r="G3557" t="str">
        <f>_xlfn.XLOOKUP(D3557,'[1]2050 BAU Mapping to T &amp; C'!$A$3:$A$52,'[1]2050 BAU Mapping to T &amp; C'!$B$3:$B$52)</f>
        <v>Dairy</v>
      </c>
      <c r="H3557" s="129">
        <f>_xlfn.XLOOKUP(G3557,'[1]T&amp;C emissions for 2050 analysis'!$B$3:$B$23,'[1]T&amp;C emissions for 2050 analysis'!$C$3:$C$23)</f>
        <v>1.906666666666667</v>
      </c>
      <c r="I3557" s="27">
        <f t="shared" si="165"/>
        <v>1.5733929010800003</v>
      </c>
      <c r="J3557" s="129">
        <f t="shared" si="166"/>
        <v>32.243640000000006</v>
      </c>
    </row>
    <row r="3558" spans="1:10" hidden="1" x14ac:dyDescent="0.35">
      <c r="A3558" s="126" t="s">
        <v>385</v>
      </c>
      <c r="B3558" t="str">
        <f>_xlfn.XLOOKUP(A3558,'[1]2050Pop'!$A$7:$A$143,'[1]2050Pop'!$D$7:$D$143)</f>
        <v>Euro/AU/NZ</v>
      </c>
      <c r="C3558" s="127">
        <f>1000*_xlfn.XLOOKUP(A3558,'[1]2050Pop'!$A$7:$A$143,'[1]2050Pop'!$C$7:$C$143)</f>
        <v>3554</v>
      </c>
      <c r="D3558" s="126" t="s">
        <v>528</v>
      </c>
      <c r="E3558" s="128">
        <v>343.37799999999999</v>
      </c>
      <c r="F3558" s="129">
        <f t="shared" si="167"/>
        <v>1.220365412</v>
      </c>
      <c r="G3558" t="str">
        <f>_xlfn.XLOOKUP(D3558,'[1]2050 BAU Mapping to T &amp; C'!$A$3:$A$52,'[1]2050 BAU Mapping to T &amp; C'!$B$3:$B$52)</f>
        <v>Dairy</v>
      </c>
      <c r="H3558" s="129">
        <f>_xlfn.XLOOKUP(G3558,'[1]T&amp;C emissions for 2050 analysis'!$B$3:$B$23,'[1]T&amp;C emissions for 2050 analysis'!$C$3:$C$23)</f>
        <v>1.906666666666667</v>
      </c>
      <c r="I3558" s="27">
        <f t="shared" si="165"/>
        <v>2.3268300522133338</v>
      </c>
      <c r="J3558" s="129">
        <f t="shared" si="166"/>
        <v>654.70738666666671</v>
      </c>
    </row>
    <row r="3559" spans="1:10" hidden="1" x14ac:dyDescent="0.35">
      <c r="A3559" s="126" t="s">
        <v>386</v>
      </c>
      <c r="B3559" t="str">
        <f>_xlfn.XLOOKUP(A3559,'[1]2050Pop'!$A$7:$A$143,'[1]2050Pop'!$D$7:$D$143)</f>
        <v>LatAm &amp; RSA</v>
      </c>
      <c r="C3559" s="127">
        <f>1000*_xlfn.XLOOKUP(A3559,'[1]2050Pop'!$A$7:$A$143,'[1]2050Pop'!$C$7:$C$143)</f>
        <v>10339</v>
      </c>
      <c r="D3559" s="126" t="s">
        <v>528</v>
      </c>
      <c r="E3559" s="128">
        <v>171.46100000000001</v>
      </c>
      <c r="F3559" s="129">
        <f t="shared" si="167"/>
        <v>1.7727352790000002</v>
      </c>
      <c r="G3559" t="str">
        <f>_xlfn.XLOOKUP(D3559,'[1]2050 BAU Mapping to T &amp; C'!$A$3:$A$52,'[1]2050 BAU Mapping to T &amp; C'!$B$3:$B$52)</f>
        <v>Dairy</v>
      </c>
      <c r="H3559" s="129">
        <f>_xlfn.XLOOKUP(G3559,'[1]T&amp;C emissions for 2050 analysis'!$B$3:$B$23,'[1]T&amp;C emissions for 2050 analysis'!$C$3:$C$23)</f>
        <v>1.906666666666667</v>
      </c>
      <c r="I3559" s="27">
        <f t="shared" si="165"/>
        <v>3.3800152652933342</v>
      </c>
      <c r="J3559" s="129">
        <f t="shared" si="166"/>
        <v>326.91897333333338</v>
      </c>
    </row>
    <row r="3560" spans="1:10" hidden="1" x14ac:dyDescent="0.35">
      <c r="A3560" s="126" t="s">
        <v>387</v>
      </c>
      <c r="B3560" t="str">
        <f>_xlfn.XLOOKUP(A3560,'[1]2050Pop'!$A$7:$A$143,'[1]2050Pop'!$D$7:$D$143)</f>
        <v>Euro/AU/NZ</v>
      </c>
      <c r="C3560" s="127">
        <f>1000*_xlfn.XLOOKUP(A3560,'[1]2050Pop'!$A$7:$A$143,'[1]2050Pop'!$C$7:$C$143)</f>
        <v>9965</v>
      </c>
      <c r="D3560" s="126" t="s">
        <v>528</v>
      </c>
      <c r="E3560" s="128">
        <v>395.89100000000002</v>
      </c>
      <c r="F3560" s="129">
        <f t="shared" si="167"/>
        <v>3.9450538150000005</v>
      </c>
      <c r="G3560" t="str">
        <f>_xlfn.XLOOKUP(D3560,'[1]2050 BAU Mapping to T &amp; C'!$A$3:$A$52,'[1]2050 BAU Mapping to T &amp; C'!$B$3:$B$52)</f>
        <v>Dairy</v>
      </c>
      <c r="H3560" s="129">
        <f>_xlfn.XLOOKUP(G3560,'[1]T&amp;C emissions for 2050 analysis'!$B$3:$B$23,'[1]T&amp;C emissions for 2050 analysis'!$C$3:$C$23)</f>
        <v>1.906666666666667</v>
      </c>
      <c r="I3560" s="27">
        <f t="shared" si="165"/>
        <v>7.5219026072666688</v>
      </c>
      <c r="J3560" s="129">
        <f t="shared" si="166"/>
        <v>754.83217333333346</v>
      </c>
    </row>
    <row r="3561" spans="1:10" hidden="1" x14ac:dyDescent="0.35">
      <c r="A3561" s="126" t="s">
        <v>481</v>
      </c>
      <c r="B3561" t="str">
        <f>_xlfn.XLOOKUP(A3561,'[1]2050Pop'!$A$7:$A$143,'[1]2050Pop'!$D$7:$D$143)</f>
        <v>APAC</v>
      </c>
      <c r="C3561" s="127">
        <f>1000*_xlfn.XLOOKUP(A3561,'[1]2050Pop'!$A$7:$A$143,'[1]2050Pop'!$C$7:$C$143)</f>
        <v>26907</v>
      </c>
      <c r="D3561" s="126" t="s">
        <v>528</v>
      </c>
      <c r="E3561" s="128">
        <v>7.3150000000000004</v>
      </c>
      <c r="F3561" s="129">
        <f t="shared" si="167"/>
        <v>0.19682470500000002</v>
      </c>
      <c r="G3561" t="str">
        <f>_xlfn.XLOOKUP(D3561,'[1]2050 BAU Mapping to T &amp; C'!$A$3:$A$52,'[1]2050 BAU Mapping to T &amp; C'!$B$3:$B$52)</f>
        <v>Dairy</v>
      </c>
      <c r="H3561" s="129">
        <f>_xlfn.XLOOKUP(G3561,'[1]T&amp;C emissions for 2050 analysis'!$B$3:$B$23,'[1]T&amp;C emissions for 2050 analysis'!$C$3:$C$23)</f>
        <v>1.906666666666667</v>
      </c>
      <c r="I3561" s="27">
        <f t="shared" si="165"/>
        <v>0.3752791042000001</v>
      </c>
      <c r="J3561" s="129">
        <f t="shared" si="166"/>
        <v>13.947266666666669</v>
      </c>
    </row>
    <row r="3562" spans="1:10" hidden="1" x14ac:dyDescent="0.35">
      <c r="A3562" s="126" t="s">
        <v>388</v>
      </c>
      <c r="B3562" t="str">
        <f>_xlfn.XLOOKUP(A3562,'[1]2050Pop'!$A$7:$A$143,'[1]2050Pop'!$D$7:$D$143)</f>
        <v>Euro/AU/NZ</v>
      </c>
      <c r="C3562" s="127">
        <f>1000*_xlfn.XLOOKUP(A3562,'[1]2050Pop'!$A$7:$A$143,'[1]2050Pop'!$C$7:$C$143)</f>
        <v>6299</v>
      </c>
      <c r="D3562" s="126" t="s">
        <v>528</v>
      </c>
      <c r="E3562" s="130">
        <v>412.84</v>
      </c>
      <c r="F3562" s="129">
        <f t="shared" si="167"/>
        <v>2.6004791599999999</v>
      </c>
      <c r="G3562" t="str">
        <f>_xlfn.XLOOKUP(D3562,'[1]2050 BAU Mapping to T &amp; C'!$A$3:$A$52,'[1]2050 BAU Mapping to T &amp; C'!$B$3:$B$52)</f>
        <v>Dairy</v>
      </c>
      <c r="H3562" s="129">
        <f>_xlfn.XLOOKUP(G3562,'[1]T&amp;C emissions for 2050 analysis'!$B$3:$B$23,'[1]T&amp;C emissions for 2050 analysis'!$C$3:$C$23)</f>
        <v>1.906666666666667</v>
      </c>
      <c r="I3562" s="27">
        <f t="shared" si="165"/>
        <v>4.958246931733334</v>
      </c>
      <c r="J3562" s="129">
        <f t="shared" si="166"/>
        <v>787.1482666666667</v>
      </c>
    </row>
    <row r="3563" spans="1:10" hidden="1" x14ac:dyDescent="0.35">
      <c r="A3563" s="126" t="s">
        <v>389</v>
      </c>
      <c r="B3563" t="str">
        <f>_xlfn.XLOOKUP(A3563,'[1]2050Pop'!$A$7:$A$143,'[1]2050Pop'!$D$7:$D$143)</f>
        <v>LatAm &amp; RSA</v>
      </c>
      <c r="C3563" s="127">
        <f>1000*_xlfn.XLOOKUP(A3563,'[1]2050Pop'!$A$7:$A$143,'[1]2050Pop'!$C$7:$C$143)</f>
        <v>13238</v>
      </c>
      <c r="D3563" s="126" t="s">
        <v>528</v>
      </c>
      <c r="E3563" s="128">
        <v>112.664</v>
      </c>
      <c r="F3563" s="129">
        <f t="shared" si="167"/>
        <v>1.491446032</v>
      </c>
      <c r="G3563" t="str">
        <f>_xlfn.XLOOKUP(D3563,'[1]2050 BAU Mapping to T &amp; C'!$A$3:$A$52,'[1]2050 BAU Mapping to T &amp; C'!$B$3:$B$52)</f>
        <v>Dairy</v>
      </c>
      <c r="H3563" s="129">
        <f>_xlfn.XLOOKUP(G3563,'[1]T&amp;C emissions for 2050 analysis'!$B$3:$B$23,'[1]T&amp;C emissions for 2050 analysis'!$C$3:$C$23)</f>
        <v>1.906666666666667</v>
      </c>
      <c r="I3563" s="27">
        <f t="shared" si="165"/>
        <v>2.8436904343466671</v>
      </c>
      <c r="J3563" s="129">
        <f t="shared" si="166"/>
        <v>214.81269333333336</v>
      </c>
    </row>
    <row r="3564" spans="1:10" hidden="1" x14ac:dyDescent="0.35">
      <c r="A3564" s="126" t="s">
        <v>390</v>
      </c>
      <c r="B3564" t="str">
        <f>_xlfn.XLOOKUP(A3564,'[1]2050Pop'!$A$7:$A$143,'[1]2050Pop'!$D$7:$D$143)</f>
        <v>LatAm &amp; RSA</v>
      </c>
      <c r="C3564" s="127">
        <f>1000*_xlfn.XLOOKUP(A3564,'[1]2050Pop'!$A$7:$A$143,'[1]2050Pop'!$C$7:$C$143)</f>
        <v>23013</v>
      </c>
      <c r="D3564" s="126" t="s">
        <v>528</v>
      </c>
      <c r="E3564" s="128">
        <v>237.387</v>
      </c>
      <c r="F3564" s="129">
        <f t="shared" si="167"/>
        <v>5.4629870310000008</v>
      </c>
      <c r="G3564" t="str">
        <f>_xlfn.XLOOKUP(D3564,'[1]2050 BAU Mapping to T &amp; C'!$A$3:$A$52,'[1]2050 BAU Mapping to T &amp; C'!$B$3:$B$52)</f>
        <v>Dairy</v>
      </c>
      <c r="H3564" s="129">
        <f>_xlfn.XLOOKUP(G3564,'[1]T&amp;C emissions for 2050 analysis'!$B$3:$B$23,'[1]T&amp;C emissions for 2050 analysis'!$C$3:$C$23)</f>
        <v>1.906666666666667</v>
      </c>
      <c r="I3564" s="27">
        <f t="shared" si="165"/>
        <v>10.416095272440003</v>
      </c>
      <c r="J3564" s="129">
        <f t="shared" si="166"/>
        <v>452.61788000000007</v>
      </c>
    </row>
    <row r="3565" spans="1:10" hidden="1" x14ac:dyDescent="0.35">
      <c r="A3565" s="126" t="s">
        <v>391</v>
      </c>
      <c r="B3565" t="str">
        <f>_xlfn.XLOOKUP(A3565,'[1]2050Pop'!$A$7:$A$143,'[1]2050Pop'!$D$7:$D$143)</f>
        <v>MENA</v>
      </c>
      <c r="C3565" s="127">
        <f>1000*_xlfn.XLOOKUP(A3565,'[1]2050Pop'!$A$7:$A$143,'[1]2050Pop'!$C$7:$C$143)</f>
        <v>151111</v>
      </c>
      <c r="D3565" s="126" t="s">
        <v>528</v>
      </c>
      <c r="E3565" s="128">
        <v>170.26900000000001</v>
      </c>
      <c r="F3565" s="129">
        <f t="shared" si="167"/>
        <v>25.729518859000002</v>
      </c>
      <c r="G3565" t="str">
        <f>_xlfn.XLOOKUP(D3565,'[1]2050 BAU Mapping to T &amp; C'!$A$3:$A$52,'[1]2050 BAU Mapping to T &amp; C'!$B$3:$B$52)</f>
        <v>Dairy</v>
      </c>
      <c r="H3565" s="129">
        <f>_xlfn.XLOOKUP(G3565,'[1]T&amp;C emissions for 2050 analysis'!$B$3:$B$23,'[1]T&amp;C emissions for 2050 analysis'!$C$3:$C$23)</f>
        <v>1.906666666666667</v>
      </c>
      <c r="I3565" s="27">
        <f t="shared" si="165"/>
        <v>49.057615957826677</v>
      </c>
      <c r="J3565" s="129">
        <f t="shared" si="166"/>
        <v>324.64622666666673</v>
      </c>
    </row>
    <row r="3566" spans="1:10" hidden="1" x14ac:dyDescent="0.35">
      <c r="A3566" s="126" t="s">
        <v>392</v>
      </c>
      <c r="B3566" t="str">
        <f>_xlfn.XLOOKUP(A3566,'[1]2050Pop'!$A$7:$A$143,'[1]2050Pop'!$D$7:$D$143)</f>
        <v>LatAm &amp; RSA</v>
      </c>
      <c r="C3566" s="127">
        <f>1000*_xlfn.XLOOKUP(A3566,'[1]2050Pop'!$A$7:$A$143,'[1]2050Pop'!$C$7:$C$143)</f>
        <v>6390</v>
      </c>
      <c r="D3566" s="126" t="s">
        <v>528</v>
      </c>
      <c r="E3566" s="130">
        <v>196.85</v>
      </c>
      <c r="F3566" s="129">
        <f t="shared" si="167"/>
        <v>1.2578715</v>
      </c>
      <c r="G3566" t="str">
        <f>_xlfn.XLOOKUP(D3566,'[1]2050 BAU Mapping to T &amp; C'!$A$3:$A$52,'[1]2050 BAU Mapping to T &amp; C'!$B$3:$B$52)</f>
        <v>Dairy</v>
      </c>
      <c r="H3566" s="129">
        <f>_xlfn.XLOOKUP(G3566,'[1]T&amp;C emissions for 2050 analysis'!$B$3:$B$23,'[1]T&amp;C emissions for 2050 analysis'!$C$3:$C$23)</f>
        <v>1.906666666666667</v>
      </c>
      <c r="I3566" s="27">
        <f t="shared" si="165"/>
        <v>2.3983416600000003</v>
      </c>
      <c r="J3566" s="129">
        <f t="shared" si="166"/>
        <v>375.3273333333334</v>
      </c>
    </row>
    <row r="3567" spans="1:10" hidden="1" x14ac:dyDescent="0.35">
      <c r="A3567" s="126" t="s">
        <v>393</v>
      </c>
      <c r="B3567" t="str">
        <f>_xlfn.XLOOKUP(A3567,'[1]2050Pop'!$A$7:$A$143,'[1]2050Pop'!$D$7:$D$143)</f>
        <v>Euro/AU/NZ</v>
      </c>
      <c r="C3567" s="127">
        <f>1000*_xlfn.XLOOKUP(A3567,'[1]2050Pop'!$A$7:$A$143,'[1]2050Pop'!$C$7:$C$143)</f>
        <v>1129</v>
      </c>
      <c r="D3567" s="126" t="s">
        <v>528</v>
      </c>
      <c r="E3567" s="128">
        <v>451.03399999999999</v>
      </c>
      <c r="F3567" s="129">
        <f t="shared" si="167"/>
        <v>0.50921738599999999</v>
      </c>
      <c r="G3567" t="str">
        <f>_xlfn.XLOOKUP(D3567,'[1]2050 BAU Mapping to T &amp; C'!$A$3:$A$52,'[1]2050 BAU Mapping to T &amp; C'!$B$3:$B$52)</f>
        <v>Dairy</v>
      </c>
      <c r="H3567" s="129">
        <f>_xlfn.XLOOKUP(G3567,'[1]T&amp;C emissions for 2050 analysis'!$B$3:$B$23,'[1]T&amp;C emissions for 2050 analysis'!$C$3:$C$23)</f>
        <v>1.906666666666667</v>
      </c>
      <c r="I3567" s="27">
        <f t="shared" si="165"/>
        <v>0.97090781597333342</v>
      </c>
      <c r="J3567" s="129">
        <f t="shared" si="166"/>
        <v>859.97149333333346</v>
      </c>
    </row>
    <row r="3568" spans="1:10" hidden="1" x14ac:dyDescent="0.35">
      <c r="A3568" s="126" t="s">
        <v>394</v>
      </c>
      <c r="B3568" t="str">
        <f>_xlfn.XLOOKUP(A3568,'[1]2050Pop'!$A$7:$A$143,'[1]2050Pop'!$D$7:$D$143)</f>
        <v>SSA</v>
      </c>
      <c r="C3568" s="127">
        <f>1000*_xlfn.XLOOKUP(A3568,'[1]2050Pop'!$A$7:$A$143,'[1]2050Pop'!$C$7:$C$143)</f>
        <v>188455</v>
      </c>
      <c r="D3568" s="126" t="s">
        <v>528</v>
      </c>
      <c r="E3568" s="128">
        <v>88.081000000000003</v>
      </c>
      <c r="F3568" s="129">
        <f t="shared" si="167"/>
        <v>16.599304855</v>
      </c>
      <c r="G3568" t="str">
        <f>_xlfn.XLOOKUP(D3568,'[1]2050 BAU Mapping to T &amp; C'!$A$3:$A$52,'[1]2050 BAU Mapping to T &amp; C'!$B$3:$B$52)</f>
        <v>Dairy</v>
      </c>
      <c r="H3568" s="129">
        <f>_xlfn.XLOOKUP(G3568,'[1]T&amp;C emissions for 2050 analysis'!$B$3:$B$23,'[1]T&amp;C emissions for 2050 analysis'!$C$3:$C$23)</f>
        <v>1.906666666666667</v>
      </c>
      <c r="I3568" s="27">
        <f t="shared" si="165"/>
        <v>31.64934125686667</v>
      </c>
      <c r="J3568" s="129">
        <f t="shared" si="166"/>
        <v>167.94110666666668</v>
      </c>
    </row>
    <row r="3569" spans="1:10" hidden="1" x14ac:dyDescent="0.35">
      <c r="A3569" s="126" t="s">
        <v>395</v>
      </c>
      <c r="B3569" t="str">
        <f>_xlfn.XLOOKUP(A3569,'[1]2050Pop'!$A$7:$A$143,'[1]2050Pop'!$D$7:$D$143)</f>
        <v>Euro/AU/NZ</v>
      </c>
      <c r="C3569" s="127">
        <f>1000*_xlfn.XLOOKUP(A3569,'[1]2050Pop'!$A$7:$A$143,'[1]2050Pop'!$C$7:$C$143)</f>
        <v>5752</v>
      </c>
      <c r="D3569" s="126" t="s">
        <v>528</v>
      </c>
      <c r="E3569" s="128">
        <v>634.78599999999994</v>
      </c>
      <c r="F3569" s="129">
        <f t="shared" si="167"/>
        <v>3.6512890719999995</v>
      </c>
      <c r="G3569" t="str">
        <f>_xlfn.XLOOKUP(D3569,'[1]2050 BAU Mapping to T &amp; C'!$A$3:$A$52,'[1]2050 BAU Mapping to T &amp; C'!$B$3:$B$52)</f>
        <v>Dairy</v>
      </c>
      <c r="H3569" s="129">
        <f>_xlfn.XLOOKUP(G3569,'[1]T&amp;C emissions for 2050 analysis'!$B$3:$B$23,'[1]T&amp;C emissions for 2050 analysis'!$C$3:$C$23)</f>
        <v>1.906666666666667</v>
      </c>
      <c r="I3569" s="27">
        <f t="shared" si="165"/>
        <v>6.9617911639466667</v>
      </c>
      <c r="J3569" s="129">
        <f t="shared" si="166"/>
        <v>1210.3253066666668</v>
      </c>
    </row>
    <row r="3570" spans="1:10" hidden="1" x14ac:dyDescent="0.35">
      <c r="A3570" s="126" t="s">
        <v>396</v>
      </c>
      <c r="B3570" t="str">
        <f>_xlfn.XLOOKUP(A3570,'[1]2050Pop'!$A$7:$A$143,'[1]2050Pop'!$D$7:$D$143)</f>
        <v>Euro/AU/NZ</v>
      </c>
      <c r="C3570" s="127">
        <f>1000*_xlfn.XLOOKUP(A3570,'[1]2050Pop'!$A$7:$A$143,'[1]2050Pop'!$C$7:$C$143)</f>
        <v>71137</v>
      </c>
      <c r="D3570" s="126" t="s">
        <v>528</v>
      </c>
      <c r="E3570" s="128">
        <v>523.17499999999995</v>
      </c>
      <c r="F3570" s="129">
        <f t="shared" si="167"/>
        <v>37.217099974999996</v>
      </c>
      <c r="G3570" t="str">
        <f>_xlfn.XLOOKUP(D3570,'[1]2050 BAU Mapping to T &amp; C'!$A$3:$A$52,'[1]2050 BAU Mapping to T &amp; C'!$B$3:$B$52)</f>
        <v>Dairy</v>
      </c>
      <c r="H3570" s="129">
        <f>_xlfn.XLOOKUP(G3570,'[1]T&amp;C emissions for 2050 analysis'!$B$3:$B$23,'[1]T&amp;C emissions for 2050 analysis'!$C$3:$C$23)</f>
        <v>1.906666666666667</v>
      </c>
      <c r="I3570" s="27">
        <f t="shared" si="165"/>
        <v>70.960603952333344</v>
      </c>
      <c r="J3570" s="129">
        <f t="shared" si="166"/>
        <v>997.52033333333338</v>
      </c>
    </row>
    <row r="3571" spans="1:10" hidden="1" x14ac:dyDescent="0.35">
      <c r="A3571" s="126" t="s">
        <v>397</v>
      </c>
      <c r="B3571" t="str">
        <f>_xlfn.XLOOKUP(A3571,'[1]2050Pop'!$A$7:$A$143,'[1]2050Pop'!$D$7:$D$143)</f>
        <v>SSA</v>
      </c>
      <c r="C3571" s="127">
        <f>1000*_xlfn.XLOOKUP(A3571,'[1]2050Pop'!$A$7:$A$143,'[1]2050Pop'!$C$7:$C$143)</f>
        <v>3164</v>
      </c>
      <c r="D3571" s="126" t="s">
        <v>528</v>
      </c>
      <c r="E3571" s="128">
        <v>71.786000000000001</v>
      </c>
      <c r="F3571" s="129">
        <f t="shared" si="167"/>
        <v>0.22713090400000002</v>
      </c>
      <c r="G3571" t="str">
        <f>_xlfn.XLOOKUP(D3571,'[1]2050 BAU Mapping to T &amp; C'!$A$3:$A$52,'[1]2050 BAU Mapping to T &amp; C'!$B$3:$B$52)</f>
        <v>Dairy</v>
      </c>
      <c r="H3571" s="129">
        <f>_xlfn.XLOOKUP(G3571,'[1]T&amp;C emissions for 2050 analysis'!$B$3:$B$23,'[1]T&amp;C emissions for 2050 analysis'!$C$3:$C$23)</f>
        <v>1.906666666666667</v>
      </c>
      <c r="I3571" s="27">
        <f t="shared" si="165"/>
        <v>0.43306292362666676</v>
      </c>
      <c r="J3571" s="129">
        <f t="shared" si="166"/>
        <v>136.87197333333336</v>
      </c>
    </row>
    <row r="3572" spans="1:10" hidden="1" x14ac:dyDescent="0.35">
      <c r="A3572" s="126" t="s">
        <v>489</v>
      </c>
      <c r="B3572" t="str">
        <f>_xlfn.XLOOKUP(A3572,'[1]2050Pop'!$A$7:$A$143,'[1]2050Pop'!$D$7:$D$143)</f>
        <v>SSA</v>
      </c>
      <c r="C3572" s="127">
        <f>1000*_xlfn.XLOOKUP(A3572,'[1]2050Pop'!$A$7:$A$143,'[1]2050Pop'!$C$7:$C$143)</f>
        <v>4981</v>
      </c>
      <c r="D3572" s="126" t="s">
        <v>528</v>
      </c>
      <c r="E3572" s="128">
        <v>115.914</v>
      </c>
      <c r="F3572" s="129">
        <f t="shared" si="167"/>
        <v>0.57736763399999991</v>
      </c>
      <c r="G3572" t="str">
        <f>_xlfn.XLOOKUP(D3572,'[1]2050 BAU Mapping to T &amp; C'!$A$3:$A$52,'[1]2050 BAU Mapping to T &amp; C'!$B$3:$B$52)</f>
        <v>Dairy</v>
      </c>
      <c r="H3572" s="129">
        <f>_xlfn.XLOOKUP(G3572,'[1]T&amp;C emissions for 2050 analysis'!$B$3:$B$23,'[1]T&amp;C emissions for 2050 analysis'!$C$3:$C$23)</f>
        <v>1.906666666666667</v>
      </c>
      <c r="I3572" s="27">
        <f t="shared" si="165"/>
        <v>1.1008476221600001</v>
      </c>
      <c r="J3572" s="129">
        <f t="shared" si="166"/>
        <v>221.00936000000004</v>
      </c>
    </row>
    <row r="3573" spans="1:10" hidden="1" x14ac:dyDescent="0.35">
      <c r="A3573" s="126" t="s">
        <v>398</v>
      </c>
      <c r="B3573" t="str">
        <f>_xlfn.XLOOKUP(A3573,'[1]2050Pop'!$A$7:$A$143,'[1]2050Pop'!$D$7:$D$143)</f>
        <v>MENA</v>
      </c>
      <c r="C3573" s="127">
        <f>1000*_xlfn.XLOOKUP(A3573,'[1]2050Pop'!$A$7:$A$143,'[1]2050Pop'!$C$7:$C$143)</f>
        <v>3483</v>
      </c>
      <c r="D3573" s="126" t="s">
        <v>528</v>
      </c>
      <c r="E3573" s="128">
        <v>272.87200000000001</v>
      </c>
      <c r="F3573" s="129">
        <f t="shared" si="167"/>
        <v>0.95041317600000008</v>
      </c>
      <c r="G3573" t="str">
        <f>_xlfn.XLOOKUP(D3573,'[1]2050 BAU Mapping to T &amp; C'!$A$3:$A$52,'[1]2050 BAU Mapping to T &amp; C'!$B$3:$B$52)</f>
        <v>Dairy</v>
      </c>
      <c r="H3573" s="129">
        <f>_xlfn.XLOOKUP(G3573,'[1]T&amp;C emissions for 2050 analysis'!$B$3:$B$23,'[1]T&amp;C emissions for 2050 analysis'!$C$3:$C$23)</f>
        <v>1.906666666666667</v>
      </c>
      <c r="I3573" s="27">
        <f t="shared" si="165"/>
        <v>1.8121211222400004</v>
      </c>
      <c r="J3573" s="129">
        <f t="shared" si="166"/>
        <v>520.27594666666675</v>
      </c>
    </row>
    <row r="3574" spans="1:10" hidden="1" x14ac:dyDescent="0.35">
      <c r="A3574" s="126" t="s">
        <v>399</v>
      </c>
      <c r="B3574" t="str">
        <f>_xlfn.XLOOKUP(A3574,'[1]2050Pop'!$A$7:$A$143,'[1]2050Pop'!$D$7:$D$143)</f>
        <v>Euro/AU/NZ</v>
      </c>
      <c r="C3574" s="127">
        <f>1000*_xlfn.XLOOKUP(A3574,'[1]2050Pop'!$A$7:$A$143,'[1]2050Pop'!$C$7:$C$143)</f>
        <v>74513</v>
      </c>
      <c r="D3574" s="126" t="s">
        <v>528</v>
      </c>
      <c r="E3574" s="128">
        <v>486.10199999999998</v>
      </c>
      <c r="F3574" s="129">
        <f t="shared" si="167"/>
        <v>36.220918325999996</v>
      </c>
      <c r="G3574" t="str">
        <f>_xlfn.XLOOKUP(D3574,'[1]2050 BAU Mapping to T &amp; C'!$A$3:$A$52,'[1]2050 BAU Mapping to T &amp; C'!$B$3:$B$52)</f>
        <v>Dairy</v>
      </c>
      <c r="H3574" s="129">
        <f>_xlfn.XLOOKUP(G3574,'[1]T&amp;C emissions for 2050 analysis'!$B$3:$B$23,'[1]T&amp;C emissions for 2050 analysis'!$C$3:$C$23)</f>
        <v>1.906666666666667</v>
      </c>
      <c r="I3574" s="27">
        <f t="shared" si="165"/>
        <v>69.06121760824</v>
      </c>
      <c r="J3574" s="129">
        <f t="shared" si="166"/>
        <v>926.8344800000001</v>
      </c>
    </row>
    <row r="3575" spans="1:10" hidden="1" x14ac:dyDescent="0.35">
      <c r="A3575" s="126" t="s">
        <v>400</v>
      </c>
      <c r="B3575" t="str">
        <f>_xlfn.XLOOKUP(A3575,'[1]2050Pop'!$A$7:$A$143,'[1]2050Pop'!$D$7:$D$143)</f>
        <v>SSA</v>
      </c>
      <c r="C3575" s="127">
        <f>1000*_xlfn.XLOOKUP(A3575,'[1]2050Pop'!$A$7:$A$143,'[1]2050Pop'!$C$7:$C$143)</f>
        <v>50071</v>
      </c>
      <c r="D3575" s="126" t="s">
        <v>528</v>
      </c>
      <c r="E3575" s="128">
        <v>18.617000000000001</v>
      </c>
      <c r="F3575" s="129">
        <f t="shared" si="167"/>
        <v>0.93217180700000002</v>
      </c>
      <c r="G3575" t="str">
        <f>_xlfn.XLOOKUP(D3575,'[1]2050 BAU Mapping to T &amp; C'!$A$3:$A$52,'[1]2050 BAU Mapping to T &amp; C'!$B$3:$B$52)</f>
        <v>Dairy</v>
      </c>
      <c r="H3575" s="129">
        <f>_xlfn.XLOOKUP(G3575,'[1]T&amp;C emissions for 2050 analysis'!$B$3:$B$23,'[1]T&amp;C emissions for 2050 analysis'!$C$3:$C$23)</f>
        <v>1.906666666666667</v>
      </c>
      <c r="I3575" s="27">
        <f t="shared" si="165"/>
        <v>1.7773409120133337</v>
      </c>
      <c r="J3575" s="129">
        <f t="shared" si="166"/>
        <v>35.496413333333344</v>
      </c>
    </row>
    <row r="3576" spans="1:10" hidden="1" x14ac:dyDescent="0.35">
      <c r="A3576" s="126" t="s">
        <v>401</v>
      </c>
      <c r="B3576" t="str">
        <f>_xlfn.XLOOKUP(A3576,'[1]2050Pop'!$A$7:$A$143,'[1]2050Pop'!$D$7:$D$143)</f>
        <v>Euro/AU/NZ</v>
      </c>
      <c r="C3576" s="127">
        <f>1000*_xlfn.XLOOKUP(A3576,'[1]2050Pop'!$A$7:$A$143,'[1]2050Pop'!$C$7:$C$143)</f>
        <v>9705</v>
      </c>
      <c r="D3576" s="126" t="s">
        <v>528</v>
      </c>
      <c r="E3576" s="128">
        <v>441.39699999999999</v>
      </c>
      <c r="F3576" s="129">
        <f t="shared" si="167"/>
        <v>4.283757885</v>
      </c>
      <c r="G3576" t="str">
        <f>_xlfn.XLOOKUP(D3576,'[1]2050 BAU Mapping to T &amp; C'!$A$3:$A$52,'[1]2050 BAU Mapping to T &amp; C'!$B$3:$B$52)</f>
        <v>Dairy</v>
      </c>
      <c r="H3576" s="129">
        <f>_xlfn.XLOOKUP(G3576,'[1]T&amp;C emissions for 2050 analysis'!$B$3:$B$23,'[1]T&amp;C emissions for 2050 analysis'!$C$3:$C$23)</f>
        <v>1.906666666666667</v>
      </c>
      <c r="I3576" s="27">
        <f t="shared" si="165"/>
        <v>8.1676983674000017</v>
      </c>
      <c r="J3576" s="129">
        <f t="shared" si="166"/>
        <v>841.59694666666678</v>
      </c>
    </row>
    <row r="3577" spans="1:10" hidden="1" x14ac:dyDescent="0.35">
      <c r="A3577" s="126" t="s">
        <v>402</v>
      </c>
      <c r="B3577" t="str">
        <f>_xlfn.XLOOKUP(A3577,'[1]2050Pop'!$A$7:$A$143,'[1]2050Pop'!$D$7:$D$143)</f>
        <v>LatAm &amp; RSA</v>
      </c>
      <c r="C3577" s="127">
        <f>1000*_xlfn.XLOOKUP(A3577,'[1]2050Pop'!$A$7:$A$143,'[1]2050Pop'!$C$7:$C$143)</f>
        <v>27754</v>
      </c>
      <c r="D3577" s="126" t="s">
        <v>528</v>
      </c>
      <c r="E3577" s="128">
        <v>90.588999999999999</v>
      </c>
      <c r="F3577" s="129">
        <f t="shared" si="167"/>
        <v>2.5142071060000002</v>
      </c>
      <c r="G3577" t="str">
        <f>_xlfn.XLOOKUP(D3577,'[1]2050 BAU Mapping to T &amp; C'!$A$3:$A$52,'[1]2050 BAU Mapping to T &amp; C'!$B$3:$B$52)</f>
        <v>Dairy</v>
      </c>
      <c r="H3577" s="129">
        <f>_xlfn.XLOOKUP(G3577,'[1]T&amp;C emissions for 2050 analysis'!$B$3:$B$23,'[1]T&amp;C emissions for 2050 analysis'!$C$3:$C$23)</f>
        <v>1.906666666666667</v>
      </c>
      <c r="I3577" s="27">
        <f t="shared" si="165"/>
        <v>4.7937548821066676</v>
      </c>
      <c r="J3577" s="129">
        <f t="shared" si="166"/>
        <v>172.7230266666667</v>
      </c>
    </row>
    <row r="3578" spans="1:10" hidden="1" x14ac:dyDescent="0.35">
      <c r="A3578" s="126" t="s">
        <v>403</v>
      </c>
      <c r="B3578" t="str">
        <f>_xlfn.XLOOKUP(A3578,'[1]2050Pop'!$A$7:$A$143,'[1]2050Pop'!$D$7:$D$143)</f>
        <v>SSA</v>
      </c>
      <c r="C3578" s="127">
        <f>1000*_xlfn.XLOOKUP(A3578,'[1]2050Pop'!$A$7:$A$143,'[1]2050Pop'!$C$7:$C$143)</f>
        <v>27486</v>
      </c>
      <c r="D3578" s="126" t="s">
        <v>528</v>
      </c>
      <c r="E3578" s="128">
        <v>44.231999999999999</v>
      </c>
      <c r="F3578" s="129">
        <f t="shared" si="167"/>
        <v>1.215760752</v>
      </c>
      <c r="G3578" t="str">
        <f>_xlfn.XLOOKUP(D3578,'[1]2050 BAU Mapping to T &amp; C'!$A$3:$A$52,'[1]2050 BAU Mapping to T &amp; C'!$B$3:$B$52)</f>
        <v>Dairy</v>
      </c>
      <c r="H3578" s="129">
        <f>_xlfn.XLOOKUP(G3578,'[1]T&amp;C emissions for 2050 analysis'!$B$3:$B$23,'[1]T&amp;C emissions for 2050 analysis'!$C$3:$C$23)</f>
        <v>1.906666666666667</v>
      </c>
      <c r="I3578" s="27">
        <f t="shared" si="165"/>
        <v>2.3180505004800005</v>
      </c>
      <c r="J3578" s="129">
        <f t="shared" si="166"/>
        <v>84.335680000000011</v>
      </c>
    </row>
    <row r="3579" spans="1:10" hidden="1" x14ac:dyDescent="0.35">
      <c r="A3579" s="126" t="s">
        <v>404</v>
      </c>
      <c r="B3579" t="str">
        <f>_xlfn.XLOOKUP(A3579,'[1]2050Pop'!$A$7:$A$143,'[1]2050Pop'!$D$7:$D$143)</f>
        <v>LatAm &amp; RSA</v>
      </c>
      <c r="C3579" s="127">
        <f>1000*_xlfn.XLOOKUP(A3579,'[1]2050Pop'!$A$7:$A$143,'[1]2050Pop'!$C$7:$C$143)</f>
        <v>806</v>
      </c>
      <c r="D3579" s="126" t="s">
        <v>528</v>
      </c>
      <c r="E3579" s="128">
        <v>209.10599999999999</v>
      </c>
      <c r="F3579" s="129">
        <f t="shared" si="167"/>
        <v>0.16853943599999999</v>
      </c>
      <c r="G3579" t="str">
        <f>_xlfn.XLOOKUP(D3579,'[1]2050 BAU Mapping to T &amp; C'!$A$3:$A$52,'[1]2050 BAU Mapping to T &amp; C'!$B$3:$B$52)</f>
        <v>Dairy</v>
      </c>
      <c r="H3579" s="129">
        <f>_xlfn.XLOOKUP(G3579,'[1]T&amp;C emissions for 2050 analysis'!$B$3:$B$23,'[1]T&amp;C emissions for 2050 analysis'!$C$3:$C$23)</f>
        <v>1.906666666666667</v>
      </c>
      <c r="I3579" s="27">
        <f t="shared" si="165"/>
        <v>0.32134852464000002</v>
      </c>
      <c r="J3579" s="129">
        <f t="shared" si="166"/>
        <v>398.69544000000008</v>
      </c>
    </row>
    <row r="3580" spans="1:10" hidden="1" x14ac:dyDescent="0.35">
      <c r="A3580" s="126" t="s">
        <v>405</v>
      </c>
      <c r="B3580" t="str">
        <f>_xlfn.XLOOKUP(A3580,'[1]2050Pop'!$A$7:$A$143,'[1]2050Pop'!$D$7:$D$143)</f>
        <v>LatAm &amp; RSA</v>
      </c>
      <c r="C3580" s="127">
        <f>1000*_xlfn.XLOOKUP(A3580,'[1]2050Pop'!$A$7:$A$143,'[1]2050Pop'!$C$7:$C$143)</f>
        <v>14189</v>
      </c>
      <c r="D3580" s="126" t="s">
        <v>528</v>
      </c>
      <c r="E3580" s="128">
        <v>48.076999999999998</v>
      </c>
      <c r="F3580" s="129">
        <f t="shared" si="167"/>
        <v>0.68216455300000001</v>
      </c>
      <c r="G3580" t="str">
        <f>_xlfn.XLOOKUP(D3580,'[1]2050 BAU Mapping to T &amp; C'!$A$3:$A$52,'[1]2050 BAU Mapping to T &amp; C'!$B$3:$B$52)</f>
        <v>Dairy</v>
      </c>
      <c r="H3580" s="129">
        <f>_xlfn.XLOOKUP(G3580,'[1]T&amp;C emissions for 2050 analysis'!$B$3:$B$23,'[1]T&amp;C emissions for 2050 analysis'!$C$3:$C$23)</f>
        <v>1.906666666666667</v>
      </c>
      <c r="I3580" s="27">
        <f t="shared" si="165"/>
        <v>1.3006604143866669</v>
      </c>
      <c r="J3580" s="129">
        <f t="shared" si="166"/>
        <v>91.666813333333337</v>
      </c>
    </row>
    <row r="3581" spans="1:10" hidden="1" x14ac:dyDescent="0.35">
      <c r="A3581" s="126" t="s">
        <v>406</v>
      </c>
      <c r="B3581" t="str">
        <f>_xlfn.XLOOKUP(A3581,'[1]2050Pop'!$A$7:$A$143,'[1]2050Pop'!$D$7:$D$143)</f>
        <v>LatAm &amp; RSA</v>
      </c>
      <c r="C3581" s="127">
        <f>1000*_xlfn.XLOOKUP(A3581,'[1]2050Pop'!$A$7:$A$143,'[1]2050Pop'!$C$7:$C$143)</f>
        <v>11217</v>
      </c>
      <c r="D3581" s="126" t="s">
        <v>528</v>
      </c>
      <c r="E3581" s="128">
        <v>179.23500000000001</v>
      </c>
      <c r="F3581" s="129">
        <f t="shared" si="167"/>
        <v>2.0104789950000002</v>
      </c>
      <c r="G3581" t="str">
        <f>_xlfn.XLOOKUP(D3581,'[1]2050 BAU Mapping to T &amp; C'!$A$3:$A$52,'[1]2050 BAU Mapping to T &amp; C'!$B$3:$B$52)</f>
        <v>Dairy</v>
      </c>
      <c r="H3581" s="129">
        <f>_xlfn.XLOOKUP(G3581,'[1]T&amp;C emissions for 2050 analysis'!$B$3:$B$23,'[1]T&amp;C emissions for 2050 analysis'!$C$3:$C$23)</f>
        <v>1.906666666666667</v>
      </c>
      <c r="I3581" s="27">
        <f t="shared" si="165"/>
        <v>3.8333132838000008</v>
      </c>
      <c r="J3581" s="129">
        <f t="shared" si="166"/>
        <v>341.74140000000006</v>
      </c>
    </row>
    <row r="3582" spans="1:10" hidden="1" x14ac:dyDescent="0.35">
      <c r="A3582" s="126" t="s">
        <v>407</v>
      </c>
      <c r="B3582" t="str">
        <f>_xlfn.XLOOKUP(A3582,'[1]2050Pop'!$A$7:$A$143,'[1]2050Pop'!$D$7:$D$143)</f>
        <v>Euro/AU/NZ</v>
      </c>
      <c r="C3582" s="127">
        <f>1000*_xlfn.XLOOKUP(A3582,'[1]2050Pop'!$A$7:$A$143,'[1]2050Pop'!$C$7:$C$143)</f>
        <v>8318</v>
      </c>
      <c r="D3582" s="126" t="s">
        <v>528</v>
      </c>
      <c r="E3582" s="128">
        <v>278.48500000000001</v>
      </c>
      <c r="F3582" s="129">
        <f t="shared" si="167"/>
        <v>2.3164382300000002</v>
      </c>
      <c r="G3582" t="str">
        <f>_xlfn.XLOOKUP(D3582,'[1]2050 BAU Mapping to T &amp; C'!$A$3:$A$52,'[1]2050 BAU Mapping to T &amp; C'!$B$3:$B$52)</f>
        <v>Dairy</v>
      </c>
      <c r="H3582" s="129">
        <f>_xlfn.XLOOKUP(G3582,'[1]T&amp;C emissions for 2050 analysis'!$B$3:$B$23,'[1]T&amp;C emissions for 2050 analysis'!$C$3:$C$23)</f>
        <v>1.906666666666667</v>
      </c>
      <c r="I3582" s="27">
        <f t="shared" si="165"/>
        <v>4.4166755585333339</v>
      </c>
      <c r="J3582" s="129">
        <f t="shared" si="166"/>
        <v>530.97806666666679</v>
      </c>
    </row>
    <row r="3583" spans="1:10" hidden="1" x14ac:dyDescent="0.35">
      <c r="A3583" s="126" t="s">
        <v>408</v>
      </c>
      <c r="B3583" t="str">
        <f>_xlfn.XLOOKUP(A3583,'[1]2050Pop'!$A$7:$A$143,'[1]2050Pop'!$D$7:$D$143)</f>
        <v>India/South Asia</v>
      </c>
      <c r="C3583" s="127">
        <f>1000*_xlfn.XLOOKUP(A3583,'[1]2050Pop'!$A$7:$A$143,'[1]2050Pop'!$C$7:$C$143)</f>
        <v>1705333</v>
      </c>
      <c r="D3583" s="126" t="s">
        <v>528</v>
      </c>
      <c r="E3583" s="128">
        <v>221.23400000000001</v>
      </c>
      <c r="F3583" s="129">
        <f t="shared" si="167"/>
        <v>377.27764092199999</v>
      </c>
      <c r="G3583" t="str">
        <f>_xlfn.XLOOKUP(D3583,'[1]2050 BAU Mapping to T &amp; C'!$A$3:$A$52,'[1]2050 BAU Mapping to T &amp; C'!$B$3:$B$52)</f>
        <v>Dairy</v>
      </c>
      <c r="H3583" s="129">
        <f>_xlfn.XLOOKUP(G3583,'[1]T&amp;C emissions for 2050 analysis'!$B$3:$B$23,'[1]T&amp;C emissions for 2050 analysis'!$C$3:$C$23)</f>
        <v>1.906666666666667</v>
      </c>
      <c r="I3583" s="27">
        <f t="shared" si="165"/>
        <v>719.34270202461346</v>
      </c>
      <c r="J3583" s="129">
        <f t="shared" si="166"/>
        <v>421.81949333333341</v>
      </c>
    </row>
    <row r="3584" spans="1:10" hidden="1" x14ac:dyDescent="0.35">
      <c r="A3584" s="126" t="s">
        <v>409</v>
      </c>
      <c r="B3584" t="str">
        <f>_xlfn.XLOOKUP(A3584,'[1]2050Pop'!$A$7:$A$143,'[1]2050Pop'!$D$7:$D$143)</f>
        <v>APAC</v>
      </c>
      <c r="C3584" s="127">
        <f>1000*_xlfn.XLOOKUP(A3584,'[1]2050Pop'!$A$7:$A$143,'[1]2050Pop'!$C$7:$C$143)</f>
        <v>322237</v>
      </c>
      <c r="D3584" s="126" t="s">
        <v>528</v>
      </c>
      <c r="E3584" s="128">
        <v>22.609000000000002</v>
      </c>
      <c r="F3584" s="129">
        <f t="shared" si="167"/>
        <v>7.2854563330000008</v>
      </c>
      <c r="G3584" t="str">
        <f>_xlfn.XLOOKUP(D3584,'[1]2050 BAU Mapping to T &amp; C'!$A$3:$A$52,'[1]2050 BAU Mapping to T &amp; C'!$B$3:$B$52)</f>
        <v>Dairy</v>
      </c>
      <c r="H3584" s="129">
        <f>_xlfn.XLOOKUP(G3584,'[1]T&amp;C emissions for 2050 analysis'!$B$3:$B$23,'[1]T&amp;C emissions for 2050 analysis'!$C$3:$C$23)</f>
        <v>1.906666666666667</v>
      </c>
      <c r="I3584" s="27">
        <f t="shared" si="165"/>
        <v>13.890936741586671</v>
      </c>
      <c r="J3584" s="129">
        <f t="shared" si="166"/>
        <v>43.107826666666675</v>
      </c>
    </row>
    <row r="3585" spans="1:10" hidden="1" x14ac:dyDescent="0.35">
      <c r="A3585" s="126" t="s">
        <v>410</v>
      </c>
      <c r="B3585" t="str">
        <f>_xlfn.XLOOKUP(A3585,'[1]2050Pop'!$A$7:$A$143,'[1]2050Pop'!$D$7:$D$143)</f>
        <v>India/South Asia</v>
      </c>
      <c r="C3585" s="127">
        <f>1000*_xlfn.XLOOKUP(A3585,'[1]2050Pop'!$A$7:$A$143,'[1]2050Pop'!$C$7:$C$143)</f>
        <v>92219</v>
      </c>
      <c r="D3585" s="126" t="s">
        <v>528</v>
      </c>
      <c r="E3585" s="128">
        <v>147.58199999999999</v>
      </c>
      <c r="F3585" s="129">
        <f t="shared" si="167"/>
        <v>13.609864457999999</v>
      </c>
      <c r="G3585" t="str">
        <f>_xlfn.XLOOKUP(D3585,'[1]2050 BAU Mapping to T &amp; C'!$A$3:$A$52,'[1]2050 BAU Mapping to T &amp; C'!$B$3:$B$52)</f>
        <v>Dairy</v>
      </c>
      <c r="H3585" s="129">
        <f>_xlfn.XLOOKUP(G3585,'[1]T&amp;C emissions for 2050 analysis'!$B$3:$B$23,'[1]T&amp;C emissions for 2050 analysis'!$C$3:$C$23)</f>
        <v>1.906666666666667</v>
      </c>
      <c r="I3585" s="27">
        <f t="shared" si="165"/>
        <v>25.949474899920002</v>
      </c>
      <c r="J3585" s="129">
        <f t="shared" si="166"/>
        <v>281.38968000000006</v>
      </c>
    </row>
    <row r="3586" spans="1:10" hidden="1" x14ac:dyDescent="0.35">
      <c r="A3586" s="126" t="s">
        <v>411</v>
      </c>
      <c r="B3586" t="str">
        <f>_xlfn.XLOOKUP(A3586,'[1]2050Pop'!$A$7:$A$143,'[1]2050Pop'!$D$7:$D$143)</f>
        <v>MENA</v>
      </c>
      <c r="C3586" s="127">
        <f>1000*_xlfn.XLOOKUP(A3586,'[1]2050Pop'!$A$7:$A$143,'[1]2050Pop'!$C$7:$C$143)</f>
        <v>83652</v>
      </c>
      <c r="D3586" s="126" t="s">
        <v>528</v>
      </c>
      <c r="E3586" s="128">
        <v>39.061</v>
      </c>
      <c r="F3586" s="129">
        <f t="shared" si="167"/>
        <v>3.2675307719999998</v>
      </c>
      <c r="G3586" t="str">
        <f>_xlfn.XLOOKUP(D3586,'[1]2050 BAU Mapping to T &amp; C'!$A$3:$A$52,'[1]2050 BAU Mapping to T &amp; C'!$B$3:$B$52)</f>
        <v>Dairy</v>
      </c>
      <c r="H3586" s="129">
        <f>_xlfn.XLOOKUP(G3586,'[1]T&amp;C emissions for 2050 analysis'!$B$3:$B$23,'[1]T&amp;C emissions for 2050 analysis'!$C$3:$C$23)</f>
        <v>1.906666666666667</v>
      </c>
      <c r="I3586" s="27">
        <f t="shared" si="165"/>
        <v>6.2300920052800004</v>
      </c>
      <c r="J3586" s="129">
        <f t="shared" si="166"/>
        <v>74.476306666666673</v>
      </c>
    </row>
    <row r="3587" spans="1:10" hidden="1" x14ac:dyDescent="0.35">
      <c r="A3587" s="126" t="s">
        <v>412</v>
      </c>
      <c r="B3587" t="str">
        <f>_xlfn.XLOOKUP(A3587,'[1]2050Pop'!$A$7:$A$143,'[1]2050Pop'!$D$7:$D$143)</f>
        <v>Euro/AU/NZ</v>
      </c>
      <c r="C3587" s="127">
        <f>1000*_xlfn.XLOOKUP(A3587,'[1]2050Pop'!$A$7:$A$143,'[1]2050Pop'!$C$7:$C$143)</f>
        <v>5789</v>
      </c>
      <c r="D3587" s="126" t="s">
        <v>528</v>
      </c>
      <c r="E3587" s="128">
        <v>454.26299999999998</v>
      </c>
      <c r="F3587" s="129">
        <f t="shared" si="167"/>
        <v>2.6297285069999998</v>
      </c>
      <c r="G3587" t="str">
        <f>_xlfn.XLOOKUP(D3587,'[1]2050 BAU Mapping to T &amp; C'!$A$3:$A$52,'[1]2050 BAU Mapping to T &amp; C'!$B$3:$B$52)</f>
        <v>Dairy</v>
      </c>
      <c r="H3587" s="129">
        <f>_xlfn.XLOOKUP(G3587,'[1]T&amp;C emissions for 2050 analysis'!$B$3:$B$23,'[1]T&amp;C emissions for 2050 analysis'!$C$3:$C$23)</f>
        <v>1.906666666666667</v>
      </c>
      <c r="I3587" s="27">
        <f t="shared" si="165"/>
        <v>5.0140156866800005</v>
      </c>
      <c r="J3587" s="129">
        <f t="shared" si="166"/>
        <v>866.12812000000008</v>
      </c>
    </row>
    <row r="3588" spans="1:10" hidden="1" x14ac:dyDescent="0.35">
      <c r="A3588" s="126" t="s">
        <v>413</v>
      </c>
      <c r="B3588" t="str">
        <f>_xlfn.XLOOKUP(A3588,'[1]2050Pop'!$A$7:$A$143,'[1]2050Pop'!$D$7:$D$143)</f>
        <v>MENA</v>
      </c>
      <c r="C3588" s="127">
        <f>1000*_xlfn.XLOOKUP(A3588,'[1]2050Pop'!$A$7:$A$143,'[1]2050Pop'!$C$7:$C$143)</f>
        <v>12610</v>
      </c>
      <c r="D3588" s="126" t="s">
        <v>528</v>
      </c>
      <c r="E3588" s="128">
        <v>291.589</v>
      </c>
      <c r="F3588" s="129">
        <f t="shared" si="167"/>
        <v>3.6769372900000001</v>
      </c>
      <c r="G3588" t="str">
        <f>_xlfn.XLOOKUP(D3588,'[1]2050 BAU Mapping to T &amp; C'!$A$3:$A$52,'[1]2050 BAU Mapping to T &amp; C'!$B$3:$B$52)</f>
        <v>Dairy</v>
      </c>
      <c r="H3588" s="129">
        <f>_xlfn.XLOOKUP(G3588,'[1]T&amp;C emissions for 2050 analysis'!$B$3:$B$23,'[1]T&amp;C emissions for 2050 analysis'!$C$3:$C$23)</f>
        <v>1.906666666666667</v>
      </c>
      <c r="I3588" s="27">
        <f t="shared" ref="I3588:I3651" si="168">F3588*H3588</f>
        <v>7.0106937662666677</v>
      </c>
      <c r="J3588" s="129">
        <f t="shared" ref="J3588:J3651" si="169">E3588*H3588</f>
        <v>555.96302666666679</v>
      </c>
    </row>
    <row r="3589" spans="1:10" hidden="1" x14ac:dyDescent="0.35">
      <c r="A3589" s="126" t="s">
        <v>414</v>
      </c>
      <c r="B3589" t="str">
        <f>_xlfn.XLOOKUP(A3589,'[1]2050Pop'!$A$7:$A$143,'[1]2050Pop'!$D$7:$D$143)</f>
        <v>Euro/AU/NZ</v>
      </c>
      <c r="C3589" s="127">
        <f>1000*_xlfn.XLOOKUP(A3589,'[1]2050Pop'!$A$7:$A$143,'[1]2050Pop'!$C$7:$C$143)</f>
        <v>56513</v>
      </c>
      <c r="D3589" s="126" t="s">
        <v>528</v>
      </c>
      <c r="E3589" s="128">
        <v>363.42700000000002</v>
      </c>
      <c r="F3589" s="129">
        <f t="shared" ref="F3589:F3652" si="170">C3589*E3589/1000000</f>
        <v>20.538350051000002</v>
      </c>
      <c r="G3589" t="str">
        <f>_xlfn.XLOOKUP(D3589,'[1]2050 BAU Mapping to T &amp; C'!$A$3:$A$52,'[1]2050 BAU Mapping to T &amp; C'!$B$3:$B$52)</f>
        <v>Dairy</v>
      </c>
      <c r="H3589" s="129">
        <f>_xlfn.XLOOKUP(G3589,'[1]T&amp;C emissions for 2050 analysis'!$B$3:$B$23,'[1]T&amp;C emissions for 2050 analysis'!$C$3:$C$23)</f>
        <v>1.906666666666667</v>
      </c>
      <c r="I3589" s="27">
        <f t="shared" si="168"/>
        <v>39.159787430573346</v>
      </c>
      <c r="J3589" s="129">
        <f t="shared" si="169"/>
        <v>692.93414666666683</v>
      </c>
    </row>
    <row r="3590" spans="1:10" hidden="1" x14ac:dyDescent="0.35">
      <c r="A3590" s="126" t="s">
        <v>415</v>
      </c>
      <c r="B3590" t="str">
        <f>_xlfn.XLOOKUP(A3590,'[1]2050Pop'!$A$7:$A$143,'[1]2050Pop'!$D$7:$D$143)</f>
        <v>LatAm &amp; RSA</v>
      </c>
      <c r="C3590" s="127">
        <f>1000*_xlfn.XLOOKUP(A3590,'[1]2050Pop'!$A$7:$A$143,'[1]2050Pop'!$C$7:$C$143)</f>
        <v>2710</v>
      </c>
      <c r="D3590" s="126" t="s">
        <v>528</v>
      </c>
      <c r="E3590" s="130">
        <v>189.06</v>
      </c>
      <c r="F3590" s="129">
        <f t="shared" si="170"/>
        <v>0.51235260000000005</v>
      </c>
      <c r="G3590" t="str">
        <f>_xlfn.XLOOKUP(D3590,'[1]2050 BAU Mapping to T &amp; C'!$A$3:$A$52,'[1]2050 BAU Mapping to T &amp; C'!$B$3:$B$52)</f>
        <v>Dairy</v>
      </c>
      <c r="H3590" s="129">
        <f>_xlfn.XLOOKUP(G3590,'[1]T&amp;C emissions for 2050 analysis'!$B$3:$B$23,'[1]T&amp;C emissions for 2050 analysis'!$C$3:$C$23)</f>
        <v>1.906666666666667</v>
      </c>
      <c r="I3590" s="27">
        <f t="shared" si="168"/>
        <v>0.97688562400000023</v>
      </c>
      <c r="J3590" s="129">
        <f t="shared" si="169"/>
        <v>360.47440000000006</v>
      </c>
    </row>
    <row r="3591" spans="1:10" hidden="1" x14ac:dyDescent="0.35">
      <c r="A3591" s="126" t="s">
        <v>416</v>
      </c>
      <c r="B3591" t="str">
        <f>_xlfn.XLOOKUP(A3591,'[1]2050Pop'!$A$7:$A$143,'[1]2050Pop'!$D$7:$D$143)</f>
        <v>APAC</v>
      </c>
      <c r="C3591" s="127">
        <f>1000*_xlfn.XLOOKUP(A3591,'[1]2050Pop'!$A$7:$A$143,'[1]2050Pop'!$C$7:$C$143)</f>
        <v>107411</v>
      </c>
      <c r="D3591" s="126" t="s">
        <v>528</v>
      </c>
      <c r="E3591" s="128">
        <v>128.64099999999999</v>
      </c>
      <c r="F3591" s="129">
        <f t="shared" si="170"/>
        <v>13.817458451</v>
      </c>
      <c r="G3591" t="str">
        <f>_xlfn.XLOOKUP(D3591,'[1]2050 BAU Mapping to T &amp; C'!$A$3:$A$52,'[1]2050 BAU Mapping to T &amp; C'!$B$3:$B$52)</f>
        <v>Dairy</v>
      </c>
      <c r="H3591" s="129">
        <f>_xlfn.XLOOKUP(G3591,'[1]T&amp;C emissions for 2050 analysis'!$B$3:$B$23,'[1]T&amp;C emissions for 2050 analysis'!$C$3:$C$23)</f>
        <v>1.906666666666667</v>
      </c>
      <c r="I3591" s="27">
        <f t="shared" si="168"/>
        <v>26.345287446573337</v>
      </c>
      <c r="J3591" s="129">
        <f t="shared" si="169"/>
        <v>245.2755066666667</v>
      </c>
    </row>
    <row r="3592" spans="1:10" hidden="1" x14ac:dyDescent="0.35">
      <c r="A3592" s="126" t="s">
        <v>417</v>
      </c>
      <c r="B3592" t="str">
        <f>_xlfn.XLOOKUP(A3592,'[1]2050Pop'!$A$7:$A$143,'[1]2050Pop'!$D$7:$D$143)</f>
        <v>MENA</v>
      </c>
      <c r="C3592" s="127">
        <f>1000*_xlfn.XLOOKUP(A3592,'[1]2050Pop'!$A$7:$A$143,'[1]2050Pop'!$C$7:$C$143)</f>
        <v>11717</v>
      </c>
      <c r="D3592" s="126" t="s">
        <v>528</v>
      </c>
      <c r="E3592" s="128">
        <v>157.166</v>
      </c>
      <c r="F3592" s="129">
        <f t="shared" si="170"/>
        <v>1.8415140219999999</v>
      </c>
      <c r="G3592" t="str">
        <f>_xlfn.XLOOKUP(D3592,'[1]2050 BAU Mapping to T &amp; C'!$A$3:$A$52,'[1]2050 BAU Mapping to T &amp; C'!$B$3:$B$52)</f>
        <v>Dairy</v>
      </c>
      <c r="H3592" s="129">
        <f>_xlfn.XLOOKUP(G3592,'[1]T&amp;C emissions for 2050 analysis'!$B$3:$B$23,'[1]T&amp;C emissions for 2050 analysis'!$C$3:$C$23)</f>
        <v>1.906666666666667</v>
      </c>
      <c r="I3592" s="27">
        <f t="shared" si="168"/>
        <v>3.5111534019466673</v>
      </c>
      <c r="J3592" s="129">
        <f t="shared" si="169"/>
        <v>299.66317333333336</v>
      </c>
    </row>
    <row r="3593" spans="1:10" hidden="1" x14ac:dyDescent="0.35">
      <c r="A3593" s="126" t="s">
        <v>418</v>
      </c>
      <c r="B3593" t="str">
        <f>_xlfn.XLOOKUP(A3593,'[1]2050Pop'!$A$7:$A$143,'[1]2050Pop'!$D$7:$D$143)</f>
        <v>APAC</v>
      </c>
      <c r="C3593" s="127">
        <f>1000*_xlfn.XLOOKUP(A3593,'[1]2050Pop'!$A$7:$A$143,'[1]2050Pop'!$C$7:$C$143)</f>
        <v>22447</v>
      </c>
      <c r="D3593" s="126" t="s">
        <v>528</v>
      </c>
      <c r="E3593" s="130">
        <v>524.54</v>
      </c>
      <c r="F3593" s="129">
        <f t="shared" si="170"/>
        <v>11.774349379999999</v>
      </c>
      <c r="G3593" t="str">
        <f>_xlfn.XLOOKUP(D3593,'[1]2050 BAU Mapping to T &amp; C'!$A$3:$A$52,'[1]2050 BAU Mapping to T &amp; C'!$B$3:$B$52)</f>
        <v>Dairy</v>
      </c>
      <c r="H3593" s="129">
        <f>_xlfn.XLOOKUP(G3593,'[1]T&amp;C emissions for 2050 analysis'!$B$3:$B$23,'[1]T&amp;C emissions for 2050 analysis'!$C$3:$C$23)</f>
        <v>1.906666666666667</v>
      </c>
      <c r="I3593" s="27">
        <f t="shared" si="168"/>
        <v>22.449759484533335</v>
      </c>
      <c r="J3593" s="129">
        <f t="shared" si="169"/>
        <v>1000.1229333333334</v>
      </c>
    </row>
    <row r="3594" spans="1:10" hidden="1" x14ac:dyDescent="0.35">
      <c r="A3594" s="126" t="s">
        <v>419</v>
      </c>
      <c r="B3594" t="str">
        <f>_xlfn.XLOOKUP(A3594,'[1]2050Pop'!$A$7:$A$143,'[1]2050Pop'!$D$7:$D$143)</f>
        <v>SSA</v>
      </c>
      <c r="C3594" s="127">
        <f>1000*_xlfn.XLOOKUP(A3594,'[1]2050Pop'!$A$7:$A$143,'[1]2050Pop'!$C$7:$C$143)</f>
        <v>95505</v>
      </c>
      <c r="D3594" s="126" t="s">
        <v>528</v>
      </c>
      <c r="E3594" s="130">
        <v>214.57</v>
      </c>
      <c r="F3594" s="129">
        <f t="shared" si="170"/>
        <v>20.492507849999999</v>
      </c>
      <c r="G3594" t="str">
        <f>_xlfn.XLOOKUP(D3594,'[1]2050 BAU Mapping to T &amp; C'!$A$3:$A$52,'[1]2050 BAU Mapping to T &amp; C'!$B$3:$B$52)</f>
        <v>Dairy</v>
      </c>
      <c r="H3594" s="129">
        <f>_xlfn.XLOOKUP(G3594,'[1]T&amp;C emissions for 2050 analysis'!$B$3:$B$23,'[1]T&amp;C emissions for 2050 analysis'!$C$3:$C$23)</f>
        <v>1.906666666666667</v>
      </c>
      <c r="I3594" s="27">
        <f t="shared" si="168"/>
        <v>39.072381634000003</v>
      </c>
      <c r="J3594" s="129">
        <f t="shared" si="169"/>
        <v>409.11346666666674</v>
      </c>
    </row>
    <row r="3595" spans="1:10" hidden="1" x14ac:dyDescent="0.35">
      <c r="A3595" s="126" t="s">
        <v>420</v>
      </c>
      <c r="B3595" t="str">
        <f>_xlfn.XLOOKUP(A3595,'[1]2050Pop'!$A$7:$A$143,'[1]2050Pop'!$D$7:$D$143)</f>
        <v>APAC</v>
      </c>
      <c r="C3595" s="127">
        <f>1000*_xlfn.XLOOKUP(A3595,'[1]2050Pop'!$A$7:$A$143,'[1]2050Pop'!$C$7:$C$143)</f>
        <v>8248</v>
      </c>
      <c r="D3595" s="126" t="s">
        <v>528</v>
      </c>
      <c r="E3595" s="128">
        <v>409.90699999999998</v>
      </c>
      <c r="F3595" s="129">
        <f t="shared" si="170"/>
        <v>3.3809129359999996</v>
      </c>
      <c r="G3595" t="str">
        <f>_xlfn.XLOOKUP(D3595,'[1]2050 BAU Mapping to T &amp; C'!$A$3:$A$52,'[1]2050 BAU Mapping to T &amp; C'!$B$3:$B$52)</f>
        <v>Dairy</v>
      </c>
      <c r="H3595" s="129">
        <f>_xlfn.XLOOKUP(G3595,'[1]T&amp;C emissions for 2050 analysis'!$B$3:$B$23,'[1]T&amp;C emissions for 2050 analysis'!$C$3:$C$23)</f>
        <v>1.906666666666667</v>
      </c>
      <c r="I3595" s="27">
        <f t="shared" si="168"/>
        <v>6.4462739979733339</v>
      </c>
      <c r="J3595" s="129">
        <f t="shared" si="169"/>
        <v>781.55601333333345</v>
      </c>
    </row>
    <row r="3596" spans="1:10" hidden="1" x14ac:dyDescent="0.35">
      <c r="A3596" s="126" t="s">
        <v>421</v>
      </c>
      <c r="B3596" t="str">
        <f>_xlfn.XLOOKUP(A3596,'[1]2050Pop'!$A$7:$A$143,'[1]2050Pop'!$D$7:$D$143)</f>
        <v>APAC</v>
      </c>
      <c r="C3596" s="127">
        <f>1000*_xlfn.XLOOKUP(A3596,'[1]2050Pop'!$A$7:$A$143,'[1]2050Pop'!$C$7:$C$143)</f>
        <v>10172</v>
      </c>
      <c r="D3596" s="126" t="s">
        <v>528</v>
      </c>
      <c r="E3596" s="128">
        <v>8.0210000000000008</v>
      </c>
      <c r="F3596" s="129">
        <f t="shared" si="170"/>
        <v>8.1589612000000006E-2</v>
      </c>
      <c r="G3596" t="str">
        <f>_xlfn.XLOOKUP(D3596,'[1]2050 BAU Mapping to T &amp; C'!$A$3:$A$52,'[1]2050 BAU Mapping to T &amp; C'!$B$3:$B$52)</f>
        <v>Dairy</v>
      </c>
      <c r="H3596" s="129">
        <f>_xlfn.XLOOKUP(G3596,'[1]T&amp;C emissions for 2050 analysis'!$B$3:$B$23,'[1]T&amp;C emissions for 2050 analysis'!$C$3:$C$23)</f>
        <v>1.906666666666667</v>
      </c>
      <c r="I3596" s="27">
        <f t="shared" si="168"/>
        <v>0.1555641935466667</v>
      </c>
      <c r="J3596" s="129">
        <f t="shared" si="169"/>
        <v>15.293373333333337</v>
      </c>
    </row>
    <row r="3597" spans="1:10" hidden="1" x14ac:dyDescent="0.35">
      <c r="A3597" s="126" t="s">
        <v>422</v>
      </c>
      <c r="B3597" t="str">
        <f>_xlfn.XLOOKUP(A3597,'[1]2050Pop'!$A$7:$A$143,'[1]2050Pop'!$D$7:$D$143)</f>
        <v>Euro/AU/NZ</v>
      </c>
      <c r="C3597" s="127">
        <f>1000*_xlfn.XLOOKUP(A3597,'[1]2050Pop'!$A$7:$A$143,'[1]2050Pop'!$C$7:$C$143)</f>
        <v>1593</v>
      </c>
      <c r="D3597" s="126" t="s">
        <v>528</v>
      </c>
      <c r="E3597" s="128">
        <v>419.23099999999999</v>
      </c>
      <c r="F3597" s="129">
        <f t="shared" si="170"/>
        <v>0.66783498299999999</v>
      </c>
      <c r="G3597" t="str">
        <f>_xlfn.XLOOKUP(D3597,'[1]2050 BAU Mapping to T &amp; C'!$A$3:$A$52,'[1]2050 BAU Mapping to T &amp; C'!$B$3:$B$52)</f>
        <v>Dairy</v>
      </c>
      <c r="H3597" s="129">
        <f>_xlfn.XLOOKUP(G3597,'[1]T&amp;C emissions for 2050 analysis'!$B$3:$B$23,'[1]T&amp;C emissions for 2050 analysis'!$C$3:$C$23)</f>
        <v>1.906666666666667</v>
      </c>
      <c r="I3597" s="27">
        <f t="shared" si="168"/>
        <v>1.2733387009200001</v>
      </c>
      <c r="J3597" s="129">
        <f t="shared" si="169"/>
        <v>799.3337733333334</v>
      </c>
    </row>
    <row r="3598" spans="1:10" hidden="1" x14ac:dyDescent="0.35">
      <c r="A3598" s="126" t="s">
        <v>423</v>
      </c>
      <c r="B3598" t="str">
        <f>_xlfn.XLOOKUP(A3598,'[1]2050Pop'!$A$7:$A$143,'[1]2050Pop'!$D$7:$D$143)</f>
        <v>MENA</v>
      </c>
      <c r="C3598" s="127">
        <f>1000*_xlfn.XLOOKUP(A3598,'[1]2050Pop'!$A$7:$A$143,'[1]2050Pop'!$C$7:$C$143)</f>
        <v>5610</v>
      </c>
      <c r="D3598" s="126" t="s">
        <v>528</v>
      </c>
      <c r="E3598" s="128">
        <v>197.78100000000001</v>
      </c>
      <c r="F3598" s="129">
        <f t="shared" si="170"/>
        <v>1.1095514100000001</v>
      </c>
      <c r="G3598" t="str">
        <f>_xlfn.XLOOKUP(D3598,'[1]2050 BAU Mapping to T &amp; C'!$A$3:$A$52,'[1]2050 BAU Mapping to T &amp; C'!$B$3:$B$52)</f>
        <v>Dairy</v>
      </c>
      <c r="H3598" s="129">
        <f>_xlfn.XLOOKUP(G3598,'[1]T&amp;C emissions for 2050 analysis'!$B$3:$B$23,'[1]T&amp;C emissions for 2050 analysis'!$C$3:$C$23)</f>
        <v>1.906666666666667</v>
      </c>
      <c r="I3598" s="27">
        <f t="shared" si="168"/>
        <v>2.1155446884000004</v>
      </c>
      <c r="J3598" s="129">
        <f t="shared" si="169"/>
        <v>377.10244000000006</v>
      </c>
    </row>
    <row r="3599" spans="1:10" hidden="1" x14ac:dyDescent="0.35">
      <c r="A3599" s="126" t="s">
        <v>424</v>
      </c>
      <c r="B3599" t="str">
        <f>_xlfn.XLOOKUP(A3599,'[1]2050Pop'!$A$7:$A$143,'[1]2050Pop'!$D$7:$D$143)</f>
        <v>SSA</v>
      </c>
      <c r="C3599" s="127">
        <f>1000*_xlfn.XLOOKUP(A3599,'[1]2050Pop'!$A$7:$A$143,'[1]2050Pop'!$C$7:$C$143)</f>
        <v>2987</v>
      </c>
      <c r="D3599" s="126" t="s">
        <v>528</v>
      </c>
      <c r="E3599" s="128">
        <v>43.576000000000001</v>
      </c>
      <c r="F3599" s="129">
        <f t="shared" si="170"/>
        <v>0.13016151200000001</v>
      </c>
      <c r="G3599" t="str">
        <f>_xlfn.XLOOKUP(D3599,'[1]2050 BAU Mapping to T &amp; C'!$A$3:$A$52,'[1]2050 BAU Mapping to T &amp; C'!$B$3:$B$52)</f>
        <v>Dairy</v>
      </c>
      <c r="H3599" s="129">
        <f>_xlfn.XLOOKUP(G3599,'[1]T&amp;C emissions for 2050 analysis'!$B$3:$B$23,'[1]T&amp;C emissions for 2050 analysis'!$C$3:$C$23)</f>
        <v>1.906666666666667</v>
      </c>
      <c r="I3599" s="27">
        <f t="shared" si="168"/>
        <v>0.24817461621333339</v>
      </c>
      <c r="J3599" s="129">
        <f t="shared" si="169"/>
        <v>83.084906666666683</v>
      </c>
    </row>
    <row r="3600" spans="1:10" hidden="1" x14ac:dyDescent="0.35">
      <c r="A3600" s="126" t="s">
        <v>425</v>
      </c>
      <c r="B3600" t="str">
        <f>_xlfn.XLOOKUP(A3600,'[1]2050Pop'!$A$7:$A$143,'[1]2050Pop'!$D$7:$D$143)</f>
        <v>SSA</v>
      </c>
      <c r="C3600" s="127">
        <f>1000*_xlfn.XLOOKUP(A3600,'[1]2050Pop'!$A$7:$A$143,'[1]2050Pop'!$C$7:$C$143)</f>
        <v>9436</v>
      </c>
      <c r="D3600" s="126" t="s">
        <v>528</v>
      </c>
      <c r="E3600" s="128">
        <v>5.5389999999999997</v>
      </c>
      <c r="F3600" s="129">
        <f t="shared" si="170"/>
        <v>5.2266003999999998E-2</v>
      </c>
      <c r="G3600" t="str">
        <f>_xlfn.XLOOKUP(D3600,'[1]2050 BAU Mapping to T &amp; C'!$A$3:$A$52,'[1]2050 BAU Mapping to T &amp; C'!$B$3:$B$52)</f>
        <v>Dairy</v>
      </c>
      <c r="H3600" s="129">
        <f>_xlfn.XLOOKUP(G3600,'[1]T&amp;C emissions for 2050 analysis'!$B$3:$B$23,'[1]T&amp;C emissions for 2050 analysis'!$C$3:$C$23)</f>
        <v>1.906666666666667</v>
      </c>
      <c r="I3600" s="27">
        <f t="shared" si="168"/>
        <v>9.9653847626666681E-2</v>
      </c>
      <c r="J3600" s="129">
        <f t="shared" si="169"/>
        <v>10.561026666666669</v>
      </c>
    </row>
    <row r="3601" spans="1:10" hidden="1" x14ac:dyDescent="0.35">
      <c r="A3601" s="126" t="s">
        <v>426</v>
      </c>
      <c r="B3601" t="str">
        <f>_xlfn.XLOOKUP(A3601,'[1]2050Pop'!$A$7:$A$143,'[1]2050Pop'!$D$7:$D$143)</f>
        <v>Euro/AU/NZ</v>
      </c>
      <c r="C3601" s="127">
        <f>1000*_xlfn.XLOOKUP(A3601,'[1]2050Pop'!$A$7:$A$143,'[1]2050Pop'!$C$7:$C$143)</f>
        <v>2375</v>
      </c>
      <c r="D3601" s="126" t="s">
        <v>528</v>
      </c>
      <c r="E3601" s="128">
        <v>367.26600000000002</v>
      </c>
      <c r="F3601" s="129">
        <f t="shared" si="170"/>
        <v>0.87225675000000003</v>
      </c>
      <c r="G3601" t="str">
        <f>_xlfn.XLOOKUP(D3601,'[1]2050 BAU Mapping to T &amp; C'!$A$3:$A$52,'[1]2050 BAU Mapping to T &amp; C'!$B$3:$B$52)</f>
        <v>Dairy</v>
      </c>
      <c r="H3601" s="129">
        <f>_xlfn.XLOOKUP(G3601,'[1]T&amp;C emissions for 2050 analysis'!$B$3:$B$23,'[1]T&amp;C emissions for 2050 analysis'!$C$3:$C$23)</f>
        <v>1.906666666666667</v>
      </c>
      <c r="I3601" s="27">
        <f t="shared" si="168"/>
        <v>1.6631028700000003</v>
      </c>
      <c r="J3601" s="129">
        <f t="shared" si="169"/>
        <v>700.2538400000002</v>
      </c>
    </row>
    <row r="3602" spans="1:10" hidden="1" x14ac:dyDescent="0.35">
      <c r="A3602" s="126" t="s">
        <v>427</v>
      </c>
      <c r="B3602" t="str">
        <f>_xlfn.XLOOKUP(A3602,'[1]2050Pop'!$A$7:$A$143,'[1]2050Pop'!$D$7:$D$143)</f>
        <v>SSA</v>
      </c>
      <c r="C3602" s="127">
        <f>1000*_xlfn.XLOOKUP(A3602,'[1]2050Pop'!$A$7:$A$143,'[1]2050Pop'!$C$7:$C$143)</f>
        <v>55294</v>
      </c>
      <c r="D3602" s="126" t="s">
        <v>528</v>
      </c>
      <c r="E3602" s="128">
        <v>50.389000000000003</v>
      </c>
      <c r="F3602" s="129">
        <f t="shared" si="170"/>
        <v>2.7862093660000005</v>
      </c>
      <c r="G3602" t="str">
        <f>_xlfn.XLOOKUP(D3602,'[1]2050 BAU Mapping to T &amp; C'!$A$3:$A$52,'[1]2050 BAU Mapping to T &amp; C'!$B$3:$B$52)</f>
        <v>Dairy</v>
      </c>
      <c r="H3602" s="129">
        <f>_xlfn.XLOOKUP(G3602,'[1]T&amp;C emissions for 2050 analysis'!$B$3:$B$23,'[1]T&amp;C emissions for 2050 analysis'!$C$3:$C$23)</f>
        <v>1.906666666666667</v>
      </c>
      <c r="I3602" s="27">
        <f t="shared" si="168"/>
        <v>5.3123725245066682</v>
      </c>
      <c r="J3602" s="129">
        <f t="shared" si="169"/>
        <v>96.075026666666687</v>
      </c>
    </row>
    <row r="3603" spans="1:10" hidden="1" x14ac:dyDescent="0.35">
      <c r="A3603" s="126" t="s">
        <v>428</v>
      </c>
      <c r="B3603" t="str">
        <f>_xlfn.XLOOKUP(A3603,'[1]2050Pop'!$A$7:$A$143,'[1]2050Pop'!$D$7:$D$143)</f>
        <v>SSA</v>
      </c>
      <c r="C3603" s="127">
        <f>1000*_xlfn.XLOOKUP(A3603,'[1]2050Pop'!$A$7:$A$143,'[1]2050Pop'!$C$7:$C$143)</f>
        <v>43155</v>
      </c>
      <c r="D3603" s="126" t="s">
        <v>528</v>
      </c>
      <c r="E3603" s="131">
        <v>10.8</v>
      </c>
      <c r="F3603" s="129">
        <f t="shared" si="170"/>
        <v>0.46607400000000004</v>
      </c>
      <c r="G3603" t="str">
        <f>_xlfn.XLOOKUP(D3603,'[1]2050 BAU Mapping to T &amp; C'!$A$3:$A$52,'[1]2050 BAU Mapping to T &amp; C'!$B$3:$B$52)</f>
        <v>Dairy</v>
      </c>
      <c r="H3603" s="129">
        <f>_xlfn.XLOOKUP(G3603,'[1]T&amp;C emissions for 2050 analysis'!$B$3:$B$23,'[1]T&amp;C emissions for 2050 analysis'!$C$3:$C$23)</f>
        <v>1.906666666666667</v>
      </c>
      <c r="I3603" s="27">
        <f t="shared" si="168"/>
        <v>0.88864776000000023</v>
      </c>
      <c r="J3603" s="129">
        <f t="shared" si="169"/>
        <v>20.592000000000006</v>
      </c>
    </row>
    <row r="3604" spans="1:10" hidden="1" x14ac:dyDescent="0.35">
      <c r="A3604" s="126" t="s">
        <v>429</v>
      </c>
      <c r="B3604" t="str">
        <f>_xlfn.XLOOKUP(A3604,'[1]2050Pop'!$A$7:$A$143,'[1]2050Pop'!$D$7:$D$143)</f>
        <v>APAC</v>
      </c>
      <c r="C3604" s="127">
        <f>1000*_xlfn.XLOOKUP(A3604,'[1]2050Pop'!$A$7:$A$143,'[1]2050Pop'!$C$7:$C$143)</f>
        <v>40725</v>
      </c>
      <c r="D3604" s="126" t="s">
        <v>528</v>
      </c>
      <c r="E3604" s="128">
        <v>78.855999999999995</v>
      </c>
      <c r="F3604" s="129">
        <f t="shared" si="170"/>
        <v>3.2114105999999998</v>
      </c>
      <c r="G3604" t="str">
        <f>_xlfn.XLOOKUP(D3604,'[1]2050 BAU Mapping to T &amp; C'!$A$3:$A$52,'[1]2050 BAU Mapping to T &amp; C'!$B$3:$B$52)</f>
        <v>Dairy</v>
      </c>
      <c r="H3604" s="129">
        <f>_xlfn.XLOOKUP(G3604,'[1]T&amp;C emissions for 2050 analysis'!$B$3:$B$23,'[1]T&amp;C emissions for 2050 analysis'!$C$3:$C$23)</f>
        <v>1.906666666666667</v>
      </c>
      <c r="I3604" s="27">
        <f t="shared" si="168"/>
        <v>6.1230895440000008</v>
      </c>
      <c r="J3604" s="129">
        <f t="shared" si="169"/>
        <v>150.35210666666669</v>
      </c>
    </row>
    <row r="3605" spans="1:10" hidden="1" x14ac:dyDescent="0.35">
      <c r="A3605" s="126" t="s">
        <v>430</v>
      </c>
      <c r="B3605" t="str">
        <f>_xlfn.XLOOKUP(A3605,'[1]2050Pop'!$A$7:$A$143,'[1]2050Pop'!$D$7:$D$143)</f>
        <v>SSA</v>
      </c>
      <c r="C3605" s="127">
        <f>1000*_xlfn.XLOOKUP(A3605,'[1]2050Pop'!$A$7:$A$143,'[1]2050Pop'!$C$7:$C$143)</f>
        <v>45404</v>
      </c>
      <c r="D3605" s="126" t="s">
        <v>528</v>
      </c>
      <c r="E3605" s="128">
        <v>245.90700000000001</v>
      </c>
      <c r="F3605" s="129">
        <f t="shared" si="170"/>
        <v>11.165161428000001</v>
      </c>
      <c r="G3605" t="str">
        <f>_xlfn.XLOOKUP(D3605,'[1]2050 BAU Mapping to T &amp; C'!$A$3:$A$52,'[1]2050 BAU Mapping to T &amp; C'!$B$3:$B$52)</f>
        <v>Dairy</v>
      </c>
      <c r="H3605" s="129">
        <f>_xlfn.XLOOKUP(G3605,'[1]T&amp;C emissions for 2050 analysis'!$B$3:$B$23,'[1]T&amp;C emissions for 2050 analysis'!$C$3:$C$23)</f>
        <v>1.906666666666667</v>
      </c>
      <c r="I3605" s="27">
        <f t="shared" si="168"/>
        <v>21.288241122720006</v>
      </c>
      <c r="J3605" s="129">
        <f t="shared" si="169"/>
        <v>468.86268000000007</v>
      </c>
    </row>
    <row r="3606" spans="1:10" hidden="1" x14ac:dyDescent="0.35">
      <c r="A3606" s="126" t="s">
        <v>431</v>
      </c>
      <c r="B3606" t="str">
        <f>_xlfn.XLOOKUP(A3606,'[1]2050Pop'!$A$7:$A$143,'[1]2050Pop'!$D$7:$D$143)</f>
        <v>SSA</v>
      </c>
      <c r="C3606" s="127">
        <f>1000*_xlfn.XLOOKUP(A3606,'[1]2050Pop'!$A$7:$A$143,'[1]2050Pop'!$C$7:$C$143)</f>
        <v>8048.9999999999991</v>
      </c>
      <c r="D3606" s="126" t="s">
        <v>528</v>
      </c>
      <c r="E3606" s="128">
        <v>330.19400000000002</v>
      </c>
      <c r="F3606" s="129">
        <f t="shared" si="170"/>
        <v>2.6577315060000002</v>
      </c>
      <c r="G3606" t="str">
        <f>_xlfn.XLOOKUP(D3606,'[1]2050 BAU Mapping to T &amp; C'!$A$3:$A$52,'[1]2050 BAU Mapping to T &amp; C'!$B$3:$B$52)</f>
        <v>Dairy</v>
      </c>
      <c r="H3606" s="129">
        <f>_xlfn.XLOOKUP(G3606,'[1]T&amp;C emissions for 2050 analysis'!$B$3:$B$23,'[1]T&amp;C emissions for 2050 analysis'!$C$3:$C$23)</f>
        <v>1.906666666666667</v>
      </c>
      <c r="I3606" s="27">
        <f t="shared" si="168"/>
        <v>5.0674080714400009</v>
      </c>
      <c r="J3606" s="129">
        <f t="shared" si="169"/>
        <v>629.56989333333343</v>
      </c>
    </row>
    <row r="3607" spans="1:10" hidden="1" x14ac:dyDescent="0.35">
      <c r="A3607" s="126" t="s">
        <v>432</v>
      </c>
      <c r="B3607" t="str">
        <f>_xlfn.XLOOKUP(A3607,'[1]2050Pop'!$A$7:$A$143,'[1]2050Pop'!$D$7:$D$143)</f>
        <v>SSA</v>
      </c>
      <c r="C3607" s="127">
        <f>1000*_xlfn.XLOOKUP(A3607,'[1]2050Pop'!$A$7:$A$143,'[1]2050Pop'!$C$7:$C$143)</f>
        <v>1249</v>
      </c>
      <c r="D3607" s="126" t="s">
        <v>528</v>
      </c>
      <c r="E3607" s="128">
        <v>208.804</v>
      </c>
      <c r="F3607" s="129">
        <f t="shared" si="170"/>
        <v>0.26079619599999998</v>
      </c>
      <c r="G3607" t="str">
        <f>_xlfn.XLOOKUP(D3607,'[1]2050 BAU Mapping to T &amp; C'!$A$3:$A$52,'[1]2050 BAU Mapping to T &amp; C'!$B$3:$B$52)</f>
        <v>Dairy</v>
      </c>
      <c r="H3607" s="129">
        <f>_xlfn.XLOOKUP(G3607,'[1]T&amp;C emissions for 2050 analysis'!$B$3:$B$23,'[1]T&amp;C emissions for 2050 analysis'!$C$3:$C$23)</f>
        <v>1.906666666666667</v>
      </c>
      <c r="I3607" s="27">
        <f t="shared" si="168"/>
        <v>0.4972514137066667</v>
      </c>
      <c r="J3607" s="129">
        <f t="shared" si="169"/>
        <v>398.1196266666667</v>
      </c>
    </row>
    <row r="3608" spans="1:10" hidden="1" x14ac:dyDescent="0.35">
      <c r="A3608" s="126" t="s">
        <v>433</v>
      </c>
      <c r="B3608" t="str">
        <f>_xlfn.XLOOKUP(A3608,'[1]2050Pop'!$A$7:$A$143,'[1]2050Pop'!$D$7:$D$143)</f>
        <v>LatAm &amp; RSA</v>
      </c>
      <c r="C3608" s="127">
        <f>1000*_xlfn.XLOOKUP(A3608,'[1]2050Pop'!$A$7:$A$143,'[1]2050Pop'!$C$7:$C$143)</f>
        <v>163754</v>
      </c>
      <c r="D3608" s="126" t="s">
        <v>528</v>
      </c>
      <c r="E3608" s="128">
        <v>174.91399999999999</v>
      </c>
      <c r="F3608" s="129">
        <f t="shared" si="170"/>
        <v>28.642867156000001</v>
      </c>
      <c r="G3608" t="str">
        <f>_xlfn.XLOOKUP(D3608,'[1]2050 BAU Mapping to T &amp; C'!$A$3:$A$52,'[1]2050 BAU Mapping to T &amp; C'!$B$3:$B$52)</f>
        <v>Dairy</v>
      </c>
      <c r="H3608" s="129">
        <f>_xlfn.XLOOKUP(G3608,'[1]T&amp;C emissions for 2050 analysis'!$B$3:$B$23,'[1]T&amp;C emissions for 2050 analysis'!$C$3:$C$23)</f>
        <v>1.906666666666667</v>
      </c>
      <c r="I3608" s="27">
        <f t="shared" si="168"/>
        <v>54.612400044106678</v>
      </c>
      <c r="J3608" s="129">
        <f t="shared" si="169"/>
        <v>333.50269333333335</v>
      </c>
    </row>
    <row r="3609" spans="1:10" hidden="1" x14ac:dyDescent="0.35">
      <c r="A3609" s="126" t="s">
        <v>434</v>
      </c>
      <c r="B3609" t="str">
        <f>_xlfn.XLOOKUP(A3609,'[1]2050Pop'!$A$7:$A$143,'[1]2050Pop'!$D$7:$D$143)</f>
        <v>APAC</v>
      </c>
      <c r="C3609" s="127">
        <f>1000*_xlfn.XLOOKUP(A3609,'[1]2050Pop'!$A$7:$A$143,'[1]2050Pop'!$C$7:$C$143)</f>
        <v>4027.9999999999995</v>
      </c>
      <c r="D3609" s="126" t="s">
        <v>528</v>
      </c>
      <c r="E3609" s="128">
        <v>249.17500000000001</v>
      </c>
      <c r="F3609" s="129">
        <f t="shared" si="170"/>
        <v>1.0036768999999999</v>
      </c>
      <c r="G3609" t="str">
        <f>_xlfn.XLOOKUP(D3609,'[1]2050 BAU Mapping to T &amp; C'!$A$3:$A$52,'[1]2050 BAU Mapping to T &amp; C'!$B$3:$B$52)</f>
        <v>Dairy</v>
      </c>
      <c r="H3609" s="129">
        <f>_xlfn.XLOOKUP(G3609,'[1]T&amp;C emissions for 2050 analysis'!$B$3:$B$23,'[1]T&amp;C emissions for 2050 analysis'!$C$3:$C$23)</f>
        <v>1.906666666666667</v>
      </c>
      <c r="I3609" s="27">
        <f t="shared" si="168"/>
        <v>1.9136772893333334</v>
      </c>
      <c r="J3609" s="129">
        <f t="shared" si="169"/>
        <v>475.09366666666676</v>
      </c>
    </row>
    <row r="3610" spans="1:10" hidden="1" x14ac:dyDescent="0.35">
      <c r="A3610" s="126" t="s">
        <v>435</v>
      </c>
      <c r="B3610" t="str">
        <f>_xlfn.XLOOKUP(A3610,'[1]2050Pop'!$A$7:$A$143,'[1]2050Pop'!$D$7:$D$143)</f>
        <v>MENA</v>
      </c>
      <c r="C3610" s="127">
        <f>1000*_xlfn.XLOOKUP(A3610,'[1]2050Pop'!$A$7:$A$143,'[1]2050Pop'!$C$7:$C$143)</f>
        <v>43696</v>
      </c>
      <c r="D3610" s="126" t="s">
        <v>528</v>
      </c>
      <c r="E3610" s="128">
        <v>116.726</v>
      </c>
      <c r="F3610" s="129">
        <f t="shared" si="170"/>
        <v>5.1004592960000004</v>
      </c>
      <c r="G3610" t="str">
        <f>_xlfn.XLOOKUP(D3610,'[1]2050 BAU Mapping to T &amp; C'!$A$3:$A$52,'[1]2050 BAU Mapping to T &amp; C'!$B$3:$B$52)</f>
        <v>Dairy</v>
      </c>
      <c r="H3610" s="129">
        <f>_xlfn.XLOOKUP(G3610,'[1]T&amp;C emissions for 2050 analysis'!$B$3:$B$23,'[1]T&amp;C emissions for 2050 analysis'!$C$3:$C$23)</f>
        <v>1.906666666666667</v>
      </c>
      <c r="I3610" s="27">
        <f t="shared" si="168"/>
        <v>9.7248757243733355</v>
      </c>
      <c r="J3610" s="129">
        <f t="shared" si="169"/>
        <v>222.55757333333335</v>
      </c>
    </row>
    <row r="3611" spans="1:10" hidden="1" x14ac:dyDescent="0.35">
      <c r="A3611" s="126" t="s">
        <v>436</v>
      </c>
      <c r="B3611" t="str">
        <f>_xlfn.XLOOKUP(A3611,'[1]2050Pop'!$A$7:$A$143,'[1]2050Pop'!$D$7:$D$143)</f>
        <v>SSA</v>
      </c>
      <c r="C3611" s="127">
        <f>1000*_xlfn.XLOOKUP(A3611,'[1]2050Pop'!$A$7:$A$143,'[1]2050Pop'!$C$7:$C$143)</f>
        <v>65544</v>
      </c>
      <c r="D3611" s="126" t="s">
        <v>528</v>
      </c>
      <c r="E3611" s="128">
        <v>8.6449999999999996</v>
      </c>
      <c r="F3611" s="129">
        <f t="shared" si="170"/>
        <v>0.56662787999999997</v>
      </c>
      <c r="G3611" t="str">
        <f>_xlfn.XLOOKUP(D3611,'[1]2050 BAU Mapping to T &amp; C'!$A$3:$A$52,'[1]2050 BAU Mapping to T &amp; C'!$B$3:$B$52)</f>
        <v>Dairy</v>
      </c>
      <c r="H3611" s="129">
        <f>_xlfn.XLOOKUP(G3611,'[1]T&amp;C emissions for 2050 analysis'!$B$3:$B$23,'[1]T&amp;C emissions for 2050 analysis'!$C$3:$C$23)</f>
        <v>1.906666666666667</v>
      </c>
      <c r="I3611" s="27">
        <f t="shared" si="168"/>
        <v>1.0803704912000001</v>
      </c>
      <c r="J3611" s="129">
        <f t="shared" si="169"/>
        <v>16.483133333333335</v>
      </c>
    </row>
    <row r="3612" spans="1:10" hidden="1" x14ac:dyDescent="0.35">
      <c r="A3612" s="126" t="s">
        <v>490</v>
      </c>
      <c r="B3612" t="str">
        <f>_xlfn.XLOOKUP(A3612,'[1]2050Pop'!$A$7:$A$143,'[1]2050Pop'!$D$7:$D$143)</f>
        <v>APAC</v>
      </c>
      <c r="C3612" s="127">
        <f>1000*_xlfn.XLOOKUP(A3612,'[1]2050Pop'!$A$7:$A$143,'[1]2050Pop'!$C$7:$C$143)</f>
        <v>63575</v>
      </c>
      <c r="D3612" s="126" t="s">
        <v>528</v>
      </c>
      <c r="E3612" s="128">
        <v>75.709000000000003</v>
      </c>
      <c r="F3612" s="129">
        <f t="shared" si="170"/>
        <v>4.8131996749999999</v>
      </c>
      <c r="G3612" t="str">
        <f>_xlfn.XLOOKUP(D3612,'[1]2050 BAU Mapping to T &amp; C'!$A$3:$A$52,'[1]2050 BAU Mapping to T &amp; C'!$B$3:$B$52)</f>
        <v>Dairy</v>
      </c>
      <c r="H3612" s="129">
        <f>_xlfn.XLOOKUP(G3612,'[1]T&amp;C emissions for 2050 analysis'!$B$3:$B$23,'[1]T&amp;C emissions for 2050 analysis'!$C$3:$C$23)</f>
        <v>1.906666666666667</v>
      </c>
      <c r="I3612" s="27">
        <f t="shared" si="168"/>
        <v>9.1771673803333353</v>
      </c>
      <c r="J3612" s="129">
        <f t="shared" si="169"/>
        <v>144.35182666666668</v>
      </c>
    </row>
    <row r="3613" spans="1:10" hidden="1" x14ac:dyDescent="0.35">
      <c r="A3613" s="126" t="s">
        <v>437</v>
      </c>
      <c r="B3613" t="str">
        <f>_xlfn.XLOOKUP(A3613,'[1]2050Pop'!$A$7:$A$143,'[1]2050Pop'!$D$7:$D$143)</f>
        <v>SSA</v>
      </c>
      <c r="C3613" s="127">
        <f>1000*_xlfn.XLOOKUP(A3613,'[1]2050Pop'!$A$7:$A$143,'[1]2050Pop'!$C$7:$C$143)</f>
        <v>4322</v>
      </c>
      <c r="D3613" s="126" t="s">
        <v>528</v>
      </c>
      <c r="E3613" s="130">
        <v>132.59</v>
      </c>
      <c r="F3613" s="129">
        <f t="shared" si="170"/>
        <v>0.57305397999999996</v>
      </c>
      <c r="G3613" t="str">
        <f>_xlfn.XLOOKUP(D3613,'[1]2050 BAU Mapping to T &amp; C'!$A$3:$A$52,'[1]2050 BAU Mapping to T &amp; C'!$B$3:$B$52)</f>
        <v>Dairy</v>
      </c>
      <c r="H3613" s="129">
        <f>_xlfn.XLOOKUP(G3613,'[1]T&amp;C emissions for 2050 analysis'!$B$3:$B$23,'[1]T&amp;C emissions for 2050 analysis'!$C$3:$C$23)</f>
        <v>1.906666666666667</v>
      </c>
      <c r="I3613" s="27">
        <f t="shared" si="168"/>
        <v>1.0926229218666668</v>
      </c>
      <c r="J3613" s="129">
        <f t="shared" si="169"/>
        <v>252.80493333333337</v>
      </c>
    </row>
    <row r="3614" spans="1:10" hidden="1" x14ac:dyDescent="0.35">
      <c r="A3614" s="126" t="s">
        <v>438</v>
      </c>
      <c r="B3614" t="str">
        <f>_xlfn.XLOOKUP(A3614,'[1]2050Pop'!$A$7:$A$143,'[1]2050Pop'!$D$7:$D$143)</f>
        <v>India/South Asia</v>
      </c>
      <c r="C3614" s="127">
        <f>1000*_xlfn.XLOOKUP(A3614,'[1]2050Pop'!$A$7:$A$143,'[1]2050Pop'!$C$7:$C$143)</f>
        <v>36159</v>
      </c>
      <c r="D3614" s="126" t="s">
        <v>528</v>
      </c>
      <c r="E3614" s="128">
        <v>151.50399999999999</v>
      </c>
      <c r="F3614" s="129">
        <f t="shared" si="170"/>
        <v>5.4782331360000001</v>
      </c>
      <c r="G3614" t="str">
        <f>_xlfn.XLOOKUP(D3614,'[1]2050 BAU Mapping to T &amp; C'!$A$3:$A$52,'[1]2050 BAU Mapping to T &amp; C'!$B$3:$B$52)</f>
        <v>Dairy</v>
      </c>
      <c r="H3614" s="129">
        <f>_xlfn.XLOOKUP(G3614,'[1]T&amp;C emissions for 2050 analysis'!$B$3:$B$23,'[1]T&amp;C emissions for 2050 analysis'!$C$3:$C$23)</f>
        <v>1.906666666666667</v>
      </c>
      <c r="I3614" s="27">
        <f t="shared" si="168"/>
        <v>10.445164512640002</v>
      </c>
      <c r="J3614" s="129">
        <f t="shared" si="169"/>
        <v>288.86762666666669</v>
      </c>
    </row>
    <row r="3615" spans="1:10" hidden="1" x14ac:dyDescent="0.35">
      <c r="A3615" s="126" t="s">
        <v>439</v>
      </c>
      <c r="B3615" t="str">
        <f>_xlfn.XLOOKUP(A3615,'[1]2050Pop'!$A$7:$A$143,'[1]2050Pop'!$D$7:$D$143)</f>
        <v>Euro/AU/NZ</v>
      </c>
      <c r="C3615" s="127">
        <f>1000*_xlfn.XLOOKUP(A3615,'[1]2050Pop'!$A$7:$A$143,'[1]2050Pop'!$C$7:$C$143)</f>
        <v>17602</v>
      </c>
      <c r="D3615" s="126" t="s">
        <v>528</v>
      </c>
      <c r="E3615" s="128">
        <v>479.52300000000002</v>
      </c>
      <c r="F3615" s="129">
        <f t="shared" si="170"/>
        <v>8.4405638460000016</v>
      </c>
      <c r="G3615" t="str">
        <f>_xlfn.XLOOKUP(D3615,'[1]2050 BAU Mapping to T &amp; C'!$A$3:$A$52,'[1]2050 BAU Mapping to T &amp; C'!$B$3:$B$52)</f>
        <v>Dairy</v>
      </c>
      <c r="H3615" s="129">
        <f>_xlfn.XLOOKUP(G3615,'[1]T&amp;C emissions for 2050 analysis'!$B$3:$B$23,'[1]T&amp;C emissions for 2050 analysis'!$C$3:$C$23)</f>
        <v>1.906666666666667</v>
      </c>
      <c r="I3615" s="27">
        <f t="shared" si="168"/>
        <v>16.093341733040006</v>
      </c>
      <c r="J3615" s="129">
        <f t="shared" si="169"/>
        <v>914.29052000000013</v>
      </c>
    </row>
    <row r="3616" spans="1:10" hidden="1" x14ac:dyDescent="0.35">
      <c r="A3616" s="126" t="s">
        <v>440</v>
      </c>
      <c r="B3616" t="str">
        <f>_xlfn.XLOOKUP(A3616,'[1]2050Pop'!$A$7:$A$143,'[1]2050Pop'!$D$7:$D$143)</f>
        <v>Euro/AU/NZ</v>
      </c>
      <c r="C3616" s="127">
        <f>1000*_xlfn.XLOOKUP(A3616,'[1]2050Pop'!$A$7:$A$143,'[1]2050Pop'!$C$7:$C$143)</f>
        <v>5607</v>
      </c>
      <c r="D3616" s="126" t="s">
        <v>528</v>
      </c>
      <c r="E3616" s="128">
        <v>357.45100000000002</v>
      </c>
      <c r="F3616" s="129">
        <f t="shared" si="170"/>
        <v>2.0042277570000002</v>
      </c>
      <c r="G3616" t="str">
        <f>_xlfn.XLOOKUP(D3616,'[1]2050 BAU Mapping to T &amp; C'!$A$3:$A$52,'[1]2050 BAU Mapping to T &amp; C'!$B$3:$B$52)</f>
        <v>Dairy</v>
      </c>
      <c r="H3616" s="129">
        <f>_xlfn.XLOOKUP(G3616,'[1]T&amp;C emissions for 2050 analysis'!$B$3:$B$23,'[1]T&amp;C emissions for 2050 analysis'!$C$3:$C$23)</f>
        <v>1.906666666666667</v>
      </c>
      <c r="I3616" s="27">
        <f t="shared" si="168"/>
        <v>3.821394256680001</v>
      </c>
      <c r="J3616" s="129">
        <f t="shared" si="169"/>
        <v>681.53990666666687</v>
      </c>
    </row>
    <row r="3617" spans="1:10" hidden="1" x14ac:dyDescent="0.35">
      <c r="A3617" s="126" t="s">
        <v>441</v>
      </c>
      <c r="B3617" t="str">
        <f>_xlfn.XLOOKUP(A3617,'[1]2050Pop'!$A$7:$A$143,'[1]2050Pop'!$D$7:$D$143)</f>
        <v>LatAm &amp; RSA</v>
      </c>
      <c r="C3617" s="127">
        <f>1000*_xlfn.XLOOKUP(A3617,'[1]2050Pop'!$A$7:$A$143,'[1]2050Pop'!$C$7:$C$143)</f>
        <v>7863</v>
      </c>
      <c r="D3617" s="126" t="s">
        <v>528</v>
      </c>
      <c r="E3617" s="128">
        <v>148.791</v>
      </c>
      <c r="F3617" s="129">
        <f t="shared" si="170"/>
        <v>1.1699436329999999</v>
      </c>
      <c r="G3617" t="str">
        <f>_xlfn.XLOOKUP(D3617,'[1]2050 BAU Mapping to T &amp; C'!$A$3:$A$52,'[1]2050 BAU Mapping to T &amp; C'!$B$3:$B$52)</f>
        <v>Dairy</v>
      </c>
      <c r="H3617" s="129">
        <f>_xlfn.XLOOKUP(G3617,'[1]T&amp;C emissions for 2050 analysis'!$B$3:$B$23,'[1]T&amp;C emissions for 2050 analysis'!$C$3:$C$23)</f>
        <v>1.906666666666667</v>
      </c>
      <c r="I3617" s="27">
        <f t="shared" si="168"/>
        <v>2.2306925269200004</v>
      </c>
      <c r="J3617" s="129">
        <f t="shared" si="169"/>
        <v>283.69484000000006</v>
      </c>
    </row>
    <row r="3618" spans="1:10" hidden="1" x14ac:dyDescent="0.35">
      <c r="A3618" s="126" t="s">
        <v>482</v>
      </c>
      <c r="B3618" t="str">
        <f>_xlfn.XLOOKUP(A3618,'[1]2050Pop'!$A$7:$A$143,'[1]2050Pop'!$D$7:$D$143)</f>
        <v>SSA</v>
      </c>
      <c r="C3618" s="127">
        <f>1000*_xlfn.XLOOKUP(A3618,'[1]2050Pop'!$A$7:$A$143,'[1]2050Pop'!$C$7:$C$143)</f>
        <v>72238</v>
      </c>
      <c r="D3618" s="126" t="s">
        <v>528</v>
      </c>
      <c r="E3618" s="128">
        <v>130.268</v>
      </c>
      <c r="F3618" s="129">
        <f t="shared" si="170"/>
        <v>9.4102997839999993</v>
      </c>
      <c r="G3618" t="str">
        <f>_xlfn.XLOOKUP(D3618,'[1]2050 BAU Mapping to T &amp; C'!$A$3:$A$52,'[1]2050 BAU Mapping to T &amp; C'!$B$3:$B$52)</f>
        <v>Dairy</v>
      </c>
      <c r="H3618" s="129">
        <f>_xlfn.XLOOKUP(G3618,'[1]T&amp;C emissions for 2050 analysis'!$B$3:$B$23,'[1]T&amp;C emissions for 2050 analysis'!$C$3:$C$23)</f>
        <v>1.906666666666667</v>
      </c>
      <c r="I3618" s="27">
        <f t="shared" si="168"/>
        <v>17.942304921493335</v>
      </c>
      <c r="J3618" s="129">
        <f t="shared" si="169"/>
        <v>248.37765333333337</v>
      </c>
    </row>
    <row r="3619" spans="1:10" hidden="1" x14ac:dyDescent="0.35">
      <c r="A3619" s="126" t="s">
        <v>491</v>
      </c>
      <c r="B3619" t="str">
        <f>_xlfn.XLOOKUP(A3619,'[1]2050Pop'!$A$7:$A$143,'[1]2050Pop'!$D$7:$D$143)</f>
        <v>SSA</v>
      </c>
      <c r="C3619" s="127">
        <f>1000*_xlfn.XLOOKUP(A3619,'[1]2050Pop'!$A$7:$A$143,'[1]2050Pop'!$C$7:$C$143)</f>
        <v>398508</v>
      </c>
      <c r="D3619" s="126" t="s">
        <v>528</v>
      </c>
      <c r="E3619" s="128">
        <v>18.914000000000001</v>
      </c>
      <c r="F3619" s="129">
        <f t="shared" si="170"/>
        <v>7.5373803120000007</v>
      </c>
      <c r="G3619" t="str">
        <f>_xlfn.XLOOKUP(D3619,'[1]2050 BAU Mapping to T &amp; C'!$A$3:$A$52,'[1]2050 BAU Mapping to T &amp; C'!$B$3:$B$52)</f>
        <v>Dairy</v>
      </c>
      <c r="H3619" s="129">
        <f>_xlfn.XLOOKUP(G3619,'[1]T&amp;C emissions for 2050 analysis'!$B$3:$B$23,'[1]T&amp;C emissions for 2050 analysis'!$C$3:$C$23)</f>
        <v>1.906666666666667</v>
      </c>
      <c r="I3619" s="27">
        <f t="shared" si="168"/>
        <v>14.371271794880004</v>
      </c>
      <c r="J3619" s="129">
        <f t="shared" si="169"/>
        <v>36.062693333333343</v>
      </c>
    </row>
    <row r="3620" spans="1:10" hidden="1" x14ac:dyDescent="0.35">
      <c r="A3620" s="126" t="s">
        <v>442</v>
      </c>
      <c r="B3620" t="str">
        <f>_xlfn.XLOOKUP(A3620,'[1]2050Pop'!$A$7:$A$143,'[1]2050Pop'!$D$7:$D$143)</f>
        <v>Euro/AU/NZ</v>
      </c>
      <c r="C3620" s="127">
        <f>1000*_xlfn.XLOOKUP(A3620,'[1]2050Pop'!$A$7:$A$143,'[1]2050Pop'!$C$7:$C$143)</f>
        <v>6658</v>
      </c>
      <c r="D3620" s="126" t="s">
        <v>528</v>
      </c>
      <c r="E3620" s="128">
        <v>439.13299999999998</v>
      </c>
      <c r="F3620" s="129">
        <f t="shared" si="170"/>
        <v>2.923747514</v>
      </c>
      <c r="G3620" t="str">
        <f>_xlfn.XLOOKUP(D3620,'[1]2050 BAU Mapping to T &amp; C'!$A$3:$A$52,'[1]2050 BAU Mapping to T &amp; C'!$B$3:$B$52)</f>
        <v>Dairy</v>
      </c>
      <c r="H3620" s="129">
        <f>_xlfn.XLOOKUP(G3620,'[1]T&amp;C emissions for 2050 analysis'!$B$3:$B$23,'[1]T&amp;C emissions for 2050 analysis'!$C$3:$C$23)</f>
        <v>1.906666666666667</v>
      </c>
      <c r="I3620" s="27">
        <f t="shared" si="168"/>
        <v>5.5746119266933345</v>
      </c>
      <c r="J3620" s="129">
        <f t="shared" si="169"/>
        <v>837.28025333333346</v>
      </c>
    </row>
    <row r="3621" spans="1:10" hidden="1" x14ac:dyDescent="0.35">
      <c r="A3621" s="126" t="s">
        <v>443</v>
      </c>
      <c r="B3621" t="str">
        <f>_xlfn.XLOOKUP(A3621,'[1]2050Pop'!$A$7:$A$143,'[1]2050Pop'!$D$7:$D$143)</f>
        <v>India/South Asia</v>
      </c>
      <c r="C3621" s="127">
        <f>1000*_xlfn.XLOOKUP(A3621,'[1]2050Pop'!$A$7:$A$143,'[1]2050Pop'!$C$7:$C$143)</f>
        <v>309640</v>
      </c>
      <c r="D3621" s="126" t="s">
        <v>528</v>
      </c>
      <c r="E3621" s="130">
        <v>439.39</v>
      </c>
      <c r="F3621" s="129">
        <f t="shared" si="170"/>
        <v>136.05271959999999</v>
      </c>
      <c r="G3621" t="str">
        <f>_xlfn.XLOOKUP(D3621,'[1]2050 BAU Mapping to T &amp; C'!$A$3:$A$52,'[1]2050 BAU Mapping to T &amp; C'!$B$3:$B$52)</f>
        <v>Dairy</v>
      </c>
      <c r="H3621" s="129">
        <f>_xlfn.XLOOKUP(G3621,'[1]T&amp;C emissions for 2050 analysis'!$B$3:$B$23,'[1]T&amp;C emissions for 2050 analysis'!$C$3:$C$23)</f>
        <v>1.906666666666667</v>
      </c>
      <c r="I3621" s="27">
        <f t="shared" si="168"/>
        <v>259.4071853706667</v>
      </c>
      <c r="J3621" s="129">
        <f t="shared" si="169"/>
        <v>837.77026666666677</v>
      </c>
    </row>
    <row r="3622" spans="1:10" hidden="1" x14ac:dyDescent="0.35">
      <c r="A3622" s="126" t="s">
        <v>444</v>
      </c>
      <c r="B3622" t="str">
        <f>_xlfn.XLOOKUP(A3622,'[1]2050Pop'!$A$7:$A$143,'[1]2050Pop'!$D$7:$D$143)</f>
        <v>LatAm &amp; RSA</v>
      </c>
      <c r="C3622" s="127">
        <f>1000*_xlfn.XLOOKUP(A3622,'[1]2050Pop'!$A$7:$A$143,'[1]2050Pop'!$C$7:$C$143)</f>
        <v>5599</v>
      </c>
      <c r="D3622" s="126" t="s">
        <v>528</v>
      </c>
      <c r="E3622" s="128">
        <v>199.88399999999999</v>
      </c>
      <c r="F3622" s="129">
        <f t="shared" si="170"/>
        <v>1.1191505159999999</v>
      </c>
      <c r="G3622" t="str">
        <f>_xlfn.XLOOKUP(D3622,'[1]2050 BAU Mapping to T &amp; C'!$A$3:$A$52,'[1]2050 BAU Mapping to T &amp; C'!$B$3:$B$52)</f>
        <v>Dairy</v>
      </c>
      <c r="H3622" s="129">
        <f>_xlfn.XLOOKUP(G3622,'[1]T&amp;C emissions for 2050 analysis'!$B$3:$B$23,'[1]T&amp;C emissions for 2050 analysis'!$C$3:$C$23)</f>
        <v>1.906666666666667</v>
      </c>
      <c r="I3622" s="27">
        <f t="shared" si="168"/>
        <v>2.1338469838400003</v>
      </c>
      <c r="J3622" s="129">
        <f t="shared" si="169"/>
        <v>381.11216000000002</v>
      </c>
    </row>
    <row r="3623" spans="1:10" hidden="1" x14ac:dyDescent="0.35">
      <c r="A3623" s="126" t="s">
        <v>445</v>
      </c>
      <c r="B3623" t="str">
        <f>_xlfn.XLOOKUP(A3623,'[1]2050Pop'!$A$7:$A$143,'[1]2050Pop'!$D$7:$D$143)</f>
        <v>LatAm &amp; RSA</v>
      </c>
      <c r="C3623" s="127">
        <f>1000*_xlfn.XLOOKUP(A3623,'[1]2050Pop'!$A$7:$A$143,'[1]2050Pop'!$C$7:$C$143)</f>
        <v>8895</v>
      </c>
      <c r="D3623" s="126" t="s">
        <v>528</v>
      </c>
      <c r="E3623" s="128">
        <v>143.06200000000001</v>
      </c>
      <c r="F3623" s="129">
        <f t="shared" si="170"/>
        <v>1.27253649</v>
      </c>
      <c r="G3623" t="str">
        <f>_xlfn.XLOOKUP(D3623,'[1]2050 BAU Mapping to T &amp; C'!$A$3:$A$52,'[1]2050 BAU Mapping to T &amp; C'!$B$3:$B$52)</f>
        <v>Dairy</v>
      </c>
      <c r="H3623" s="129">
        <f>_xlfn.XLOOKUP(G3623,'[1]T&amp;C emissions for 2050 analysis'!$B$3:$B$23,'[1]T&amp;C emissions for 2050 analysis'!$C$3:$C$23)</f>
        <v>1.906666666666667</v>
      </c>
      <c r="I3623" s="27">
        <f t="shared" si="168"/>
        <v>2.4263029076000002</v>
      </c>
      <c r="J3623" s="129">
        <f t="shared" si="169"/>
        <v>272.77154666666672</v>
      </c>
    </row>
    <row r="3624" spans="1:10" hidden="1" x14ac:dyDescent="0.35">
      <c r="A3624" s="126" t="s">
        <v>446</v>
      </c>
      <c r="B3624" t="str">
        <f>_xlfn.XLOOKUP(A3624,'[1]2050Pop'!$A$7:$A$143,'[1]2050Pop'!$D$7:$D$143)</f>
        <v>LatAm &amp; RSA</v>
      </c>
      <c r="C3624" s="127">
        <f>1000*_xlfn.XLOOKUP(A3624,'[1]2050Pop'!$A$7:$A$143,'[1]2050Pop'!$C$7:$C$143)</f>
        <v>41899</v>
      </c>
      <c r="D3624" s="126" t="s">
        <v>528</v>
      </c>
      <c r="E3624" s="128">
        <v>110.517</v>
      </c>
      <c r="F3624" s="129">
        <f t="shared" si="170"/>
        <v>4.6305517829999996</v>
      </c>
      <c r="G3624" t="str">
        <f>_xlfn.XLOOKUP(D3624,'[1]2050 BAU Mapping to T &amp; C'!$A$3:$A$52,'[1]2050 BAU Mapping to T &amp; C'!$B$3:$B$52)</f>
        <v>Dairy</v>
      </c>
      <c r="H3624" s="129">
        <f>_xlfn.XLOOKUP(G3624,'[1]T&amp;C emissions for 2050 analysis'!$B$3:$B$23,'[1]T&amp;C emissions for 2050 analysis'!$C$3:$C$23)</f>
        <v>1.906666666666667</v>
      </c>
      <c r="I3624" s="27">
        <f t="shared" si="168"/>
        <v>8.8289187329200001</v>
      </c>
      <c r="J3624" s="129">
        <f t="shared" si="169"/>
        <v>210.71908000000002</v>
      </c>
    </row>
    <row r="3625" spans="1:10" hidden="1" x14ac:dyDescent="0.35">
      <c r="A3625" s="126" t="s">
        <v>447</v>
      </c>
      <c r="B3625" t="str">
        <f>_xlfn.XLOOKUP(A3625,'[1]2050Pop'!$A$7:$A$143,'[1]2050Pop'!$D$7:$D$143)</f>
        <v>APAC</v>
      </c>
      <c r="C3625" s="127">
        <f>1000*_xlfn.XLOOKUP(A3625,'[1]2050Pop'!$A$7:$A$143,'[1]2050Pop'!$C$7:$C$143)</f>
        <v>148260</v>
      </c>
      <c r="D3625" s="126" t="s">
        <v>528</v>
      </c>
      <c r="E3625" s="128">
        <v>22.791</v>
      </c>
      <c r="F3625" s="129">
        <f t="shared" si="170"/>
        <v>3.3789936600000003</v>
      </c>
      <c r="G3625" t="str">
        <f>_xlfn.XLOOKUP(D3625,'[1]2050 BAU Mapping to T &amp; C'!$A$3:$A$52,'[1]2050 BAU Mapping to T &amp; C'!$B$3:$B$52)</f>
        <v>Dairy</v>
      </c>
      <c r="H3625" s="129">
        <f>_xlfn.XLOOKUP(G3625,'[1]T&amp;C emissions for 2050 analysis'!$B$3:$B$23,'[1]T&amp;C emissions for 2050 analysis'!$C$3:$C$23)</f>
        <v>1.906666666666667</v>
      </c>
      <c r="I3625" s="27">
        <f t="shared" si="168"/>
        <v>6.4426145784000015</v>
      </c>
      <c r="J3625" s="129">
        <f t="shared" si="169"/>
        <v>43.454840000000004</v>
      </c>
    </row>
    <row r="3626" spans="1:10" hidden="1" x14ac:dyDescent="0.35">
      <c r="A3626" s="126" t="s">
        <v>448</v>
      </c>
      <c r="B3626" t="str">
        <f>_xlfn.XLOOKUP(A3626,'[1]2050Pop'!$A$7:$A$143,'[1]2050Pop'!$D$7:$D$143)</f>
        <v>Euro/AU/NZ</v>
      </c>
      <c r="C3626" s="127">
        <f>1000*_xlfn.XLOOKUP(A3626,'[1]2050Pop'!$A$7:$A$143,'[1]2050Pop'!$C$7:$C$143)</f>
        <v>33136</v>
      </c>
      <c r="D3626" s="126" t="s">
        <v>528</v>
      </c>
      <c r="E3626" s="128">
        <v>358.95299999999997</v>
      </c>
      <c r="F3626" s="129">
        <f t="shared" si="170"/>
        <v>11.894266607999999</v>
      </c>
      <c r="G3626" t="str">
        <f>_xlfn.XLOOKUP(D3626,'[1]2050 BAU Mapping to T &amp; C'!$A$3:$A$52,'[1]2050 BAU Mapping to T &amp; C'!$B$3:$B$52)</f>
        <v>Dairy</v>
      </c>
      <c r="H3626" s="129">
        <f>_xlfn.XLOOKUP(G3626,'[1]T&amp;C emissions for 2050 analysis'!$B$3:$B$23,'[1]T&amp;C emissions for 2050 analysis'!$C$3:$C$23)</f>
        <v>1.906666666666667</v>
      </c>
      <c r="I3626" s="27">
        <f t="shared" si="168"/>
        <v>22.678401665920003</v>
      </c>
      <c r="J3626" s="129">
        <f t="shared" si="169"/>
        <v>684.40372000000002</v>
      </c>
    </row>
    <row r="3627" spans="1:10" hidden="1" x14ac:dyDescent="0.35">
      <c r="A3627" s="126" t="s">
        <v>449</v>
      </c>
      <c r="B3627" t="str">
        <f>_xlfn.XLOOKUP(A3627,'[1]2050Pop'!$A$7:$A$143,'[1]2050Pop'!$D$7:$D$143)</f>
        <v>Euro/AU/NZ</v>
      </c>
      <c r="C3627" s="127">
        <f>1000*_xlfn.XLOOKUP(A3627,'[1]2050Pop'!$A$7:$A$143,'[1]2050Pop'!$C$7:$C$143)</f>
        <v>9216</v>
      </c>
      <c r="D3627" s="126" t="s">
        <v>528</v>
      </c>
      <c r="E3627" s="128">
        <v>303.22500000000002</v>
      </c>
      <c r="F3627" s="129">
        <f t="shared" si="170"/>
        <v>2.7945215999999999</v>
      </c>
      <c r="G3627" t="str">
        <f>_xlfn.XLOOKUP(D3627,'[1]2050 BAU Mapping to T &amp; C'!$A$3:$A$52,'[1]2050 BAU Mapping to T &amp; C'!$B$3:$B$52)</f>
        <v>Dairy</v>
      </c>
      <c r="H3627" s="129">
        <f>_xlfn.XLOOKUP(G3627,'[1]T&amp;C emissions for 2050 analysis'!$B$3:$B$23,'[1]T&amp;C emissions for 2050 analysis'!$C$3:$C$23)</f>
        <v>1.906666666666667</v>
      </c>
      <c r="I3627" s="27">
        <f t="shared" si="168"/>
        <v>5.3282211840000011</v>
      </c>
      <c r="J3627" s="129">
        <f t="shared" si="169"/>
        <v>578.14900000000011</v>
      </c>
    </row>
    <row r="3628" spans="1:10" hidden="1" x14ac:dyDescent="0.35">
      <c r="A3628" s="126" t="s">
        <v>450</v>
      </c>
      <c r="B3628" t="str">
        <f>_xlfn.XLOOKUP(A3628,'[1]2050Pop'!$A$7:$A$143,'[1]2050Pop'!$D$7:$D$143)</f>
        <v>APAC</v>
      </c>
      <c r="C3628" s="127">
        <f>1000*_xlfn.XLOOKUP(A3628,'[1]2050Pop'!$A$7:$A$143,'[1]2050Pop'!$C$7:$C$143)</f>
        <v>50593</v>
      </c>
      <c r="D3628" s="126" t="s">
        <v>528</v>
      </c>
      <c r="E3628" s="128">
        <v>68.917000000000002</v>
      </c>
      <c r="F3628" s="129">
        <f t="shared" si="170"/>
        <v>3.4867177809999998</v>
      </c>
      <c r="G3628" t="str">
        <f>_xlfn.XLOOKUP(D3628,'[1]2050 BAU Mapping to T &amp; C'!$A$3:$A$52,'[1]2050 BAU Mapping to T &amp; C'!$B$3:$B$52)</f>
        <v>Dairy</v>
      </c>
      <c r="H3628" s="129">
        <f>_xlfn.XLOOKUP(G3628,'[1]T&amp;C emissions for 2050 analysis'!$B$3:$B$23,'[1]T&amp;C emissions for 2050 analysis'!$C$3:$C$23)</f>
        <v>1.906666666666667</v>
      </c>
      <c r="I3628" s="27">
        <f t="shared" si="168"/>
        <v>6.6480085691066675</v>
      </c>
      <c r="J3628" s="129">
        <f t="shared" si="169"/>
        <v>131.4017466666667</v>
      </c>
    </row>
    <row r="3629" spans="1:10" hidden="1" x14ac:dyDescent="0.35">
      <c r="A3629" s="126" t="s">
        <v>451</v>
      </c>
      <c r="B3629" t="str">
        <f>_xlfn.XLOOKUP(A3629,'[1]2050Pop'!$A$7:$A$143,'[1]2050Pop'!$D$7:$D$143)</f>
        <v>Euro/AU/NZ</v>
      </c>
      <c r="C3629" s="127">
        <f>1000*_xlfn.XLOOKUP(A3629,'[1]2050Pop'!$A$7:$A$143,'[1]2050Pop'!$C$7:$C$143)</f>
        <v>3243</v>
      </c>
      <c r="D3629" s="126" t="s">
        <v>528</v>
      </c>
      <c r="E3629" s="128">
        <v>362.95100000000002</v>
      </c>
      <c r="F3629" s="129">
        <f t="shared" si="170"/>
        <v>1.1770500930000001</v>
      </c>
      <c r="G3629" t="str">
        <f>_xlfn.XLOOKUP(D3629,'[1]2050 BAU Mapping to T &amp; C'!$A$3:$A$52,'[1]2050 BAU Mapping to T &amp; C'!$B$3:$B$52)</f>
        <v>Dairy</v>
      </c>
      <c r="H3629" s="129">
        <f>_xlfn.XLOOKUP(G3629,'[1]T&amp;C emissions for 2050 analysis'!$B$3:$B$23,'[1]T&amp;C emissions for 2050 analysis'!$C$3:$C$23)</f>
        <v>1.906666666666667</v>
      </c>
      <c r="I3629" s="27">
        <f t="shared" si="168"/>
        <v>2.2442421773200003</v>
      </c>
      <c r="J3629" s="129">
        <f t="shared" si="169"/>
        <v>692.02657333333343</v>
      </c>
    </row>
    <row r="3630" spans="1:10" hidden="1" x14ac:dyDescent="0.35">
      <c r="A3630" s="126" t="s">
        <v>452</v>
      </c>
      <c r="B3630" t="str">
        <f>_xlfn.XLOOKUP(A3630,'[1]2050Pop'!$A$7:$A$143,'[1]2050Pop'!$D$7:$D$143)</f>
        <v>SSA</v>
      </c>
      <c r="C3630" s="127">
        <f>1000*_xlfn.XLOOKUP(A3630,'[1]2050Pop'!$A$7:$A$143,'[1]2050Pop'!$C$7:$C$143)</f>
        <v>10732</v>
      </c>
      <c r="D3630" s="126" t="s">
        <v>528</v>
      </c>
      <c r="E3630" s="128">
        <v>26.446999999999999</v>
      </c>
      <c r="F3630" s="129">
        <f t="shared" si="170"/>
        <v>0.28382920399999995</v>
      </c>
      <c r="G3630" t="str">
        <f>_xlfn.XLOOKUP(D3630,'[1]2050 BAU Mapping to T &amp; C'!$A$3:$A$52,'[1]2050 BAU Mapping to T &amp; C'!$B$3:$B$52)</f>
        <v>Dairy</v>
      </c>
      <c r="H3630" s="129">
        <f>_xlfn.XLOOKUP(G3630,'[1]T&amp;C emissions for 2050 analysis'!$B$3:$B$23,'[1]T&amp;C emissions for 2050 analysis'!$C$3:$C$23)</f>
        <v>1.906666666666667</v>
      </c>
      <c r="I3630" s="27">
        <f t="shared" si="168"/>
        <v>0.54116768229333334</v>
      </c>
      <c r="J3630" s="129">
        <f t="shared" si="169"/>
        <v>50.425613333333338</v>
      </c>
    </row>
    <row r="3631" spans="1:10" hidden="1" x14ac:dyDescent="0.35">
      <c r="A3631" s="126" t="s">
        <v>453</v>
      </c>
      <c r="B3631" t="str">
        <f>_xlfn.XLOOKUP(A3631,'[1]2050Pop'!$A$7:$A$143,'[1]2050Pop'!$D$7:$D$143)</f>
        <v>Euro/AU/NZ</v>
      </c>
      <c r="C3631" s="127">
        <f>1000*_xlfn.XLOOKUP(A3631,'[1]2050Pop'!$A$7:$A$143,'[1]2050Pop'!$C$7:$C$143)</f>
        <v>15207</v>
      </c>
      <c r="D3631" s="126" t="s">
        <v>528</v>
      </c>
      <c r="E3631" s="128">
        <v>451.834</v>
      </c>
      <c r="F3631" s="129">
        <f t="shared" si="170"/>
        <v>6.8710396380000001</v>
      </c>
      <c r="G3631" t="str">
        <f>_xlfn.XLOOKUP(D3631,'[1]2050 BAU Mapping to T &amp; C'!$A$3:$A$52,'[1]2050 BAU Mapping to T &amp; C'!$B$3:$B$52)</f>
        <v>Dairy</v>
      </c>
      <c r="H3631" s="129">
        <f>_xlfn.XLOOKUP(G3631,'[1]T&amp;C emissions for 2050 analysis'!$B$3:$B$23,'[1]T&amp;C emissions for 2050 analysis'!$C$3:$C$23)</f>
        <v>1.906666666666667</v>
      </c>
      <c r="I3631" s="27">
        <f t="shared" si="168"/>
        <v>13.100782243120003</v>
      </c>
      <c r="J3631" s="129">
        <f t="shared" si="169"/>
        <v>861.49682666666683</v>
      </c>
    </row>
    <row r="3632" spans="1:10" hidden="1" x14ac:dyDescent="0.35">
      <c r="A3632" s="126" t="s">
        <v>454</v>
      </c>
      <c r="B3632" t="str">
        <f>_xlfn.XLOOKUP(A3632,'[1]2050Pop'!$A$7:$A$143,'[1]2050Pop'!$D$7:$D$143)</f>
        <v>Euro/AU/NZ</v>
      </c>
      <c r="C3632" s="127">
        <f>1000*_xlfn.XLOOKUP(A3632,'[1]2050Pop'!$A$7:$A$143,'[1]2050Pop'!$C$7:$C$143)</f>
        <v>128598.99999999999</v>
      </c>
      <c r="D3632" s="126" t="s">
        <v>528</v>
      </c>
      <c r="E3632" s="128">
        <v>340.25299999999999</v>
      </c>
      <c r="F3632" s="129">
        <f t="shared" si="170"/>
        <v>43.75619554699999</v>
      </c>
      <c r="G3632" t="str">
        <f>_xlfn.XLOOKUP(D3632,'[1]2050 BAU Mapping to T &amp; C'!$A$3:$A$52,'[1]2050 BAU Mapping to T &amp; C'!$B$3:$B$52)</f>
        <v>Dairy</v>
      </c>
      <c r="H3632" s="129">
        <f>_xlfn.XLOOKUP(G3632,'[1]T&amp;C emissions for 2050 analysis'!$B$3:$B$23,'[1]T&amp;C emissions for 2050 analysis'!$C$3:$C$23)</f>
        <v>1.906666666666667</v>
      </c>
      <c r="I3632" s="27">
        <f t="shared" si="168"/>
        <v>83.428479509613325</v>
      </c>
      <c r="J3632" s="129">
        <f t="shared" si="169"/>
        <v>648.74905333333345</v>
      </c>
    </row>
    <row r="3633" spans="1:10" hidden="1" x14ac:dyDescent="0.35">
      <c r="A3633" s="126" t="s">
        <v>455</v>
      </c>
      <c r="B3633" t="str">
        <f>_xlfn.XLOOKUP(A3633,'[1]2050Pop'!$A$7:$A$143,'[1]2050Pop'!$D$7:$D$143)</f>
        <v>SSA</v>
      </c>
      <c r="C3633" s="127">
        <f>1000*_xlfn.XLOOKUP(A3633,'[1]2050Pop'!$A$7:$A$143,'[1]2050Pop'!$C$7:$C$143)</f>
        <v>21187</v>
      </c>
      <c r="D3633" s="126" t="s">
        <v>528</v>
      </c>
      <c r="E3633" s="128">
        <v>35.064999999999998</v>
      </c>
      <c r="F3633" s="129">
        <f t="shared" si="170"/>
        <v>0.74292215499999992</v>
      </c>
      <c r="G3633" t="str">
        <f>_xlfn.XLOOKUP(D3633,'[1]2050 BAU Mapping to T &amp; C'!$A$3:$A$52,'[1]2050 BAU Mapping to T &amp; C'!$B$3:$B$52)</f>
        <v>Dairy</v>
      </c>
      <c r="H3633" s="129">
        <f>_xlfn.XLOOKUP(G3633,'[1]T&amp;C emissions for 2050 analysis'!$B$3:$B$23,'[1]T&amp;C emissions for 2050 analysis'!$C$3:$C$23)</f>
        <v>1.906666666666667</v>
      </c>
      <c r="I3633" s="27">
        <f t="shared" si="168"/>
        <v>1.4165049088666668</v>
      </c>
      <c r="J3633" s="129">
        <f t="shared" si="169"/>
        <v>66.857266666666675</v>
      </c>
    </row>
    <row r="3634" spans="1:10" hidden="1" x14ac:dyDescent="0.35">
      <c r="A3634" s="126" t="s">
        <v>456</v>
      </c>
      <c r="B3634" t="str">
        <f>_xlfn.XLOOKUP(A3634,'[1]2050Pop'!$A$7:$A$143,'[1]2050Pop'!$D$7:$D$143)</f>
        <v>MENA</v>
      </c>
      <c r="C3634" s="127">
        <f>1000*_xlfn.XLOOKUP(A3634,'[1]2050Pop'!$A$7:$A$143,'[1]2050Pop'!$C$7:$C$143)</f>
        <v>46059</v>
      </c>
      <c r="D3634" s="126" t="s">
        <v>528</v>
      </c>
      <c r="E3634" s="128">
        <v>230.608</v>
      </c>
      <c r="F3634" s="129">
        <f t="shared" si="170"/>
        <v>10.621573871999999</v>
      </c>
      <c r="G3634" t="str">
        <f>_xlfn.XLOOKUP(D3634,'[1]2050 BAU Mapping to T &amp; C'!$A$3:$A$52,'[1]2050 BAU Mapping to T &amp; C'!$B$3:$B$52)</f>
        <v>Dairy</v>
      </c>
      <c r="H3634" s="129">
        <f>_xlfn.XLOOKUP(G3634,'[1]T&amp;C emissions for 2050 analysis'!$B$3:$B$23,'[1]T&amp;C emissions for 2050 analysis'!$C$3:$C$23)</f>
        <v>1.906666666666667</v>
      </c>
      <c r="I3634" s="27">
        <f t="shared" si="168"/>
        <v>20.251800849280002</v>
      </c>
      <c r="J3634" s="129">
        <f t="shared" si="169"/>
        <v>439.69258666666673</v>
      </c>
    </row>
    <row r="3635" spans="1:10" hidden="1" x14ac:dyDescent="0.35">
      <c r="A3635" s="126" t="s">
        <v>457</v>
      </c>
      <c r="B3635" t="str">
        <f>_xlfn.XLOOKUP(A3635,'[1]2050Pop'!$A$7:$A$143,'[1]2050Pop'!$D$7:$D$143)</f>
        <v>SSA</v>
      </c>
      <c r="C3635" s="127">
        <f>1000*_xlfn.XLOOKUP(A3635,'[1]2050Pop'!$A$7:$A$143,'[1]2050Pop'!$C$7:$C$143)</f>
        <v>36223</v>
      </c>
      <c r="D3635" s="126" t="s">
        <v>528</v>
      </c>
      <c r="E3635" s="128">
        <v>52.484000000000002</v>
      </c>
      <c r="F3635" s="129">
        <f t="shared" si="170"/>
        <v>1.9011279320000001</v>
      </c>
      <c r="G3635" t="str">
        <f>_xlfn.XLOOKUP(D3635,'[1]2050 BAU Mapping to T &amp; C'!$A$3:$A$52,'[1]2050 BAU Mapping to T &amp; C'!$B$3:$B$52)</f>
        <v>Dairy</v>
      </c>
      <c r="H3635" s="129">
        <f>_xlfn.XLOOKUP(G3635,'[1]T&amp;C emissions for 2050 analysis'!$B$3:$B$23,'[1]T&amp;C emissions for 2050 analysis'!$C$3:$C$23)</f>
        <v>1.906666666666667</v>
      </c>
      <c r="I3635" s="27">
        <f t="shared" si="168"/>
        <v>3.6248172570133339</v>
      </c>
      <c r="J3635" s="129">
        <f t="shared" si="169"/>
        <v>100.06949333333336</v>
      </c>
    </row>
    <row r="3636" spans="1:10" hidden="1" x14ac:dyDescent="0.35">
      <c r="A3636" s="126" t="s">
        <v>458</v>
      </c>
      <c r="B3636" t="str">
        <f>_xlfn.XLOOKUP(A3636,'[1]2050Pop'!$A$7:$A$143,'[1]2050Pop'!$D$7:$D$143)</f>
        <v>Euro/AU/NZ</v>
      </c>
      <c r="C3636" s="127">
        <f>1000*_xlfn.XLOOKUP(A3636,'[1]2050Pop'!$A$7:$A$143,'[1]2050Pop'!$C$7:$C$143)</f>
        <v>7331</v>
      </c>
      <c r="D3636" s="126" t="s">
        <v>528</v>
      </c>
      <c r="E3636" s="130">
        <v>244.13</v>
      </c>
      <c r="F3636" s="129">
        <f t="shared" si="170"/>
        <v>1.78971703</v>
      </c>
      <c r="G3636" t="str">
        <f>_xlfn.XLOOKUP(D3636,'[1]2050 BAU Mapping to T &amp; C'!$A$3:$A$52,'[1]2050 BAU Mapping to T &amp; C'!$B$3:$B$52)</f>
        <v>Dairy</v>
      </c>
      <c r="H3636" s="129">
        <f>_xlfn.XLOOKUP(G3636,'[1]T&amp;C emissions for 2050 analysis'!$B$3:$B$23,'[1]T&amp;C emissions for 2050 analysis'!$C$3:$C$23)</f>
        <v>1.906666666666667</v>
      </c>
      <c r="I3636" s="27">
        <f t="shared" si="168"/>
        <v>3.4123938038666672</v>
      </c>
      <c r="J3636" s="129">
        <f t="shared" si="169"/>
        <v>465.4745333333334</v>
      </c>
    </row>
    <row r="3637" spans="1:10" hidden="1" x14ac:dyDescent="0.35">
      <c r="A3637" s="126" t="s">
        <v>492</v>
      </c>
      <c r="B3637" t="str">
        <f>_xlfn.XLOOKUP(A3637,'[1]2050Pop'!$A$7:$A$143,'[1]2050Pop'!$D$7:$D$143)</f>
        <v>SSA</v>
      </c>
      <c r="C3637" s="127">
        <f>1000*_xlfn.XLOOKUP(A3637,'[1]2050Pop'!$A$7:$A$143,'[1]2050Pop'!$C$7:$C$143)</f>
        <v>11392</v>
      </c>
      <c r="D3637" s="126" t="s">
        <v>528</v>
      </c>
      <c r="E3637" s="128">
        <v>15.007999999999999</v>
      </c>
      <c r="F3637" s="129">
        <f t="shared" si="170"/>
        <v>0.170971136</v>
      </c>
      <c r="G3637" t="str">
        <f>_xlfn.XLOOKUP(D3637,'[1]2050 BAU Mapping to T &amp; C'!$A$3:$A$52,'[1]2050 BAU Mapping to T &amp; C'!$B$3:$B$52)</f>
        <v>Dairy</v>
      </c>
      <c r="H3637" s="129">
        <f>_xlfn.XLOOKUP(G3637,'[1]T&amp;C emissions for 2050 analysis'!$B$3:$B$23,'[1]T&amp;C emissions for 2050 analysis'!$C$3:$C$23)</f>
        <v>1.906666666666667</v>
      </c>
      <c r="I3637" s="27">
        <f t="shared" si="168"/>
        <v>0.32598496597333337</v>
      </c>
      <c r="J3637" s="129">
        <f t="shared" si="169"/>
        <v>28.615253333333335</v>
      </c>
    </row>
    <row r="3638" spans="1:10" hidden="1" x14ac:dyDescent="0.35">
      <c r="A3638" s="126" t="s">
        <v>459</v>
      </c>
      <c r="B3638" t="str">
        <f>_xlfn.XLOOKUP(A3638,'[1]2050Pop'!$A$7:$A$143,'[1]2050Pop'!$D$7:$D$143)</f>
        <v>Euro/AU/NZ</v>
      </c>
      <c r="C3638" s="127">
        <f>1000*_xlfn.XLOOKUP(A3638,'[1]2050Pop'!$A$7:$A$143,'[1]2050Pop'!$C$7:$C$143)</f>
        <v>4892</v>
      </c>
      <c r="D3638" s="126" t="s">
        <v>528</v>
      </c>
      <c r="E3638" s="128">
        <v>229.95599999999999</v>
      </c>
      <c r="F3638" s="129">
        <f t="shared" si="170"/>
        <v>1.1249447519999998</v>
      </c>
      <c r="G3638" t="str">
        <f>_xlfn.XLOOKUP(D3638,'[1]2050 BAU Mapping to T &amp; C'!$A$3:$A$52,'[1]2050 BAU Mapping to T &amp; C'!$B$3:$B$52)</f>
        <v>Dairy</v>
      </c>
      <c r="H3638" s="129">
        <f>_xlfn.XLOOKUP(G3638,'[1]T&amp;C emissions for 2050 analysis'!$B$3:$B$23,'[1]T&amp;C emissions for 2050 analysis'!$C$3:$C$23)</f>
        <v>1.906666666666667</v>
      </c>
      <c r="I3638" s="27">
        <f t="shared" si="168"/>
        <v>2.1448946604799999</v>
      </c>
      <c r="J3638" s="129">
        <f t="shared" si="169"/>
        <v>438.44944000000004</v>
      </c>
    </row>
    <row r="3639" spans="1:10" hidden="1" x14ac:dyDescent="0.35">
      <c r="A3639" s="126" t="s">
        <v>460</v>
      </c>
      <c r="B3639" t="str">
        <f>_xlfn.XLOOKUP(A3639,'[1]2050Pop'!$A$7:$A$143,'[1]2050Pop'!$D$7:$D$143)</f>
        <v>LatAm &amp; RSA</v>
      </c>
      <c r="C3639" s="127">
        <f>1000*_xlfn.XLOOKUP(A3639,'[1]2050Pop'!$A$7:$A$143,'[1]2050Pop'!$C$7:$C$143)</f>
        <v>65540</v>
      </c>
      <c r="D3639" s="126" t="s">
        <v>528</v>
      </c>
      <c r="E3639" s="128">
        <v>104.756</v>
      </c>
      <c r="F3639" s="129">
        <f t="shared" si="170"/>
        <v>6.86570824</v>
      </c>
      <c r="G3639" t="str">
        <f>_xlfn.XLOOKUP(D3639,'[1]2050 BAU Mapping to T &amp; C'!$A$3:$A$52,'[1]2050 BAU Mapping to T &amp; C'!$B$3:$B$52)</f>
        <v>Dairy</v>
      </c>
      <c r="H3639" s="129">
        <f>_xlfn.XLOOKUP(G3639,'[1]T&amp;C emissions for 2050 analysis'!$B$3:$B$23,'[1]T&amp;C emissions for 2050 analysis'!$C$3:$C$23)</f>
        <v>1.906666666666667</v>
      </c>
      <c r="I3639" s="27">
        <f t="shared" si="168"/>
        <v>13.090617044266669</v>
      </c>
      <c r="J3639" s="129">
        <f t="shared" si="169"/>
        <v>199.73477333333335</v>
      </c>
    </row>
    <row r="3640" spans="1:10" hidden="1" x14ac:dyDescent="0.35">
      <c r="A3640" s="126" t="s">
        <v>461</v>
      </c>
      <c r="B3640" t="str">
        <f>_xlfn.XLOOKUP(A3640,'[1]2050Pop'!$A$7:$A$143,'[1]2050Pop'!$D$7:$D$143)</f>
        <v>Euro/AU/NZ</v>
      </c>
      <c r="C3640" s="127">
        <f>1000*_xlfn.XLOOKUP(A3640,'[1]2050Pop'!$A$7:$A$143,'[1]2050Pop'!$C$7:$C$143)</f>
        <v>44840</v>
      </c>
      <c r="D3640" s="126" t="s">
        <v>528</v>
      </c>
      <c r="E3640" s="128">
        <v>281.84500000000003</v>
      </c>
      <c r="F3640" s="129">
        <f t="shared" si="170"/>
        <v>12.6379298</v>
      </c>
      <c r="G3640" t="str">
        <f>_xlfn.XLOOKUP(D3640,'[1]2050 BAU Mapping to T &amp; C'!$A$3:$A$52,'[1]2050 BAU Mapping to T &amp; C'!$B$3:$B$52)</f>
        <v>Dairy</v>
      </c>
      <c r="H3640" s="129">
        <f>_xlfn.XLOOKUP(G3640,'[1]T&amp;C emissions for 2050 analysis'!$B$3:$B$23,'[1]T&amp;C emissions for 2050 analysis'!$C$3:$C$23)</f>
        <v>1.906666666666667</v>
      </c>
      <c r="I3640" s="27">
        <f t="shared" si="168"/>
        <v>24.096319485333339</v>
      </c>
      <c r="J3640" s="129">
        <f t="shared" si="169"/>
        <v>537.38446666666675</v>
      </c>
    </row>
    <row r="3641" spans="1:10" hidden="1" x14ac:dyDescent="0.35">
      <c r="A3641" s="126" t="s">
        <v>493</v>
      </c>
      <c r="B3641" t="str">
        <f>_xlfn.XLOOKUP(A3641,'[1]2050Pop'!$A$7:$A$143,'[1]2050Pop'!$D$7:$D$143)</f>
        <v>India/South Asia</v>
      </c>
      <c r="C3641" s="127">
        <f>1000*_xlfn.XLOOKUP(A3641,'[1]2050Pop'!$A$7:$A$143,'[1]2050Pop'!$C$7:$C$143)</f>
        <v>20836</v>
      </c>
      <c r="D3641" s="126" t="s">
        <v>528</v>
      </c>
      <c r="E3641" s="128">
        <v>78.968000000000004</v>
      </c>
      <c r="F3641" s="129">
        <f t="shared" si="170"/>
        <v>1.6453772480000002</v>
      </c>
      <c r="G3641" t="str">
        <f>_xlfn.XLOOKUP(D3641,'[1]2050 BAU Mapping to T &amp; C'!$A$3:$A$52,'[1]2050 BAU Mapping to T &amp; C'!$B$3:$B$52)</f>
        <v>Dairy</v>
      </c>
      <c r="H3641" s="129">
        <f>_xlfn.XLOOKUP(G3641,'[1]T&amp;C emissions for 2050 analysis'!$B$3:$B$23,'[1]T&amp;C emissions for 2050 analysis'!$C$3:$C$23)</f>
        <v>1.906666666666667</v>
      </c>
      <c r="I3641" s="27">
        <f t="shared" si="168"/>
        <v>3.1371859528533341</v>
      </c>
      <c r="J3641" s="129">
        <f t="shared" si="169"/>
        <v>150.56565333333336</v>
      </c>
    </row>
    <row r="3642" spans="1:10" hidden="1" x14ac:dyDescent="0.35">
      <c r="A3642" s="126" t="s">
        <v>462</v>
      </c>
      <c r="B3642" t="str">
        <f>_xlfn.XLOOKUP(A3642,'[1]2050Pop'!$A$7:$A$143,'[1]2050Pop'!$D$7:$D$143)</f>
        <v>LatAm &amp; RSA</v>
      </c>
      <c r="C3642" s="127">
        <f>1000*_xlfn.XLOOKUP(A3642,'[1]2050Pop'!$A$7:$A$143,'[1]2050Pop'!$C$7:$C$143)</f>
        <v>624</v>
      </c>
      <c r="D3642" s="126" t="s">
        <v>528</v>
      </c>
      <c r="E3642" s="128">
        <v>86.656000000000006</v>
      </c>
      <c r="F3642" s="129">
        <f t="shared" si="170"/>
        <v>5.4073344000000002E-2</v>
      </c>
      <c r="G3642" t="str">
        <f>_xlfn.XLOOKUP(D3642,'[1]2050 BAU Mapping to T &amp; C'!$A$3:$A$52,'[1]2050 BAU Mapping to T &amp; C'!$B$3:$B$52)</f>
        <v>Dairy</v>
      </c>
      <c r="H3642" s="129">
        <f>_xlfn.XLOOKUP(G3642,'[1]T&amp;C emissions for 2050 analysis'!$B$3:$B$23,'[1]T&amp;C emissions for 2050 analysis'!$C$3:$C$23)</f>
        <v>1.906666666666667</v>
      </c>
      <c r="I3642" s="27">
        <f t="shared" si="168"/>
        <v>0.10309984256000002</v>
      </c>
      <c r="J3642" s="129">
        <f t="shared" si="169"/>
        <v>165.2241066666667</v>
      </c>
    </row>
    <row r="3643" spans="1:10" hidden="1" x14ac:dyDescent="0.35">
      <c r="A3643" s="126" t="s">
        <v>463</v>
      </c>
      <c r="B3643" t="str">
        <f>_xlfn.XLOOKUP(A3643,'[1]2050Pop'!$A$7:$A$143,'[1]2050Pop'!$D$7:$D$143)</f>
        <v>SSA</v>
      </c>
      <c r="C3643" s="127">
        <f>1000*_xlfn.XLOOKUP(A3643,'[1]2050Pop'!$A$7:$A$143,'[1]2050Pop'!$C$7:$C$143)</f>
        <v>1792</v>
      </c>
      <c r="D3643" s="126" t="s">
        <v>528</v>
      </c>
      <c r="E3643" s="128">
        <v>131.65700000000001</v>
      </c>
      <c r="F3643" s="129">
        <f t="shared" si="170"/>
        <v>0.23592934400000001</v>
      </c>
      <c r="G3643" t="str">
        <f>_xlfn.XLOOKUP(D3643,'[1]2050 BAU Mapping to T &amp; C'!$A$3:$A$52,'[1]2050 BAU Mapping to T &amp; C'!$B$3:$B$52)</f>
        <v>Dairy</v>
      </c>
      <c r="H3643" s="129">
        <f>_xlfn.XLOOKUP(G3643,'[1]T&amp;C emissions for 2050 analysis'!$B$3:$B$23,'[1]T&amp;C emissions for 2050 analysis'!$C$3:$C$23)</f>
        <v>1.906666666666667</v>
      </c>
      <c r="I3643" s="27">
        <f t="shared" si="168"/>
        <v>0.4498386158933334</v>
      </c>
      <c r="J3643" s="129">
        <f t="shared" si="169"/>
        <v>251.0260133333334</v>
      </c>
    </row>
    <row r="3644" spans="1:10" hidden="1" x14ac:dyDescent="0.35">
      <c r="A3644" s="126" t="s">
        <v>464</v>
      </c>
      <c r="B3644" t="str">
        <f>_xlfn.XLOOKUP(A3644,'[1]2050Pop'!$A$7:$A$143,'[1]2050Pop'!$D$7:$D$143)</f>
        <v>Euro/AU/NZ</v>
      </c>
      <c r="C3644" s="127">
        <f>1000*_xlfn.XLOOKUP(A3644,'[1]2050Pop'!$A$7:$A$143,'[1]2050Pop'!$C$7:$C$143)</f>
        <v>11881</v>
      </c>
      <c r="D3644" s="126" t="s">
        <v>528</v>
      </c>
      <c r="E3644" s="130">
        <v>549.86</v>
      </c>
      <c r="F3644" s="129">
        <f t="shared" si="170"/>
        <v>6.53288666</v>
      </c>
      <c r="G3644" t="str">
        <f>_xlfn.XLOOKUP(D3644,'[1]2050 BAU Mapping to T &amp; C'!$A$3:$A$52,'[1]2050 BAU Mapping to T &amp; C'!$B$3:$B$52)</f>
        <v>Dairy</v>
      </c>
      <c r="H3644" s="129">
        <f>_xlfn.XLOOKUP(G3644,'[1]T&amp;C emissions for 2050 analysis'!$B$3:$B$23,'[1]T&amp;C emissions for 2050 analysis'!$C$3:$C$23)</f>
        <v>1.906666666666667</v>
      </c>
      <c r="I3644" s="27">
        <f t="shared" si="168"/>
        <v>12.456037231733335</v>
      </c>
      <c r="J3644" s="129">
        <f t="shared" si="169"/>
        <v>1048.3997333333334</v>
      </c>
    </row>
    <row r="3645" spans="1:10" hidden="1" x14ac:dyDescent="0.35">
      <c r="A3645" s="126" t="s">
        <v>483</v>
      </c>
      <c r="B3645" t="str">
        <f>_xlfn.XLOOKUP(A3645,'[1]2050Pop'!$A$7:$A$143,'[1]2050Pop'!$D$7:$D$143)</f>
        <v>APAC</v>
      </c>
      <c r="C3645" s="127">
        <f>1000*_xlfn.XLOOKUP(A3645,'[1]2050Pop'!$A$7:$A$143,'[1]2050Pop'!$C$7:$C$143)</f>
        <v>14288</v>
      </c>
      <c r="D3645" s="126" t="s">
        <v>528</v>
      </c>
      <c r="E3645" s="128">
        <v>107.491</v>
      </c>
      <c r="F3645" s="129">
        <f t="shared" si="170"/>
        <v>1.535831408</v>
      </c>
      <c r="G3645" t="str">
        <f>_xlfn.XLOOKUP(D3645,'[1]2050 BAU Mapping to T &amp; C'!$A$3:$A$52,'[1]2050 BAU Mapping to T &amp; C'!$B$3:$B$52)</f>
        <v>Dairy</v>
      </c>
      <c r="H3645" s="129">
        <f>_xlfn.XLOOKUP(G3645,'[1]T&amp;C emissions for 2050 analysis'!$B$3:$B$23,'[1]T&amp;C emissions for 2050 analysis'!$C$3:$C$23)</f>
        <v>1.906666666666667</v>
      </c>
      <c r="I3645" s="27">
        <f t="shared" si="168"/>
        <v>2.9283185512533336</v>
      </c>
      <c r="J3645" s="129">
        <f t="shared" si="169"/>
        <v>204.94950666666671</v>
      </c>
    </row>
    <row r="3646" spans="1:10" hidden="1" x14ac:dyDescent="0.35">
      <c r="A3646" s="126" t="s">
        <v>465</v>
      </c>
      <c r="B3646" t="str">
        <f>_xlfn.XLOOKUP(A3646,'[1]2050Pop'!$A$7:$A$143,'[1]2050Pop'!$D$7:$D$143)</f>
        <v>APAC</v>
      </c>
      <c r="C3646" s="127">
        <f>1000*_xlfn.XLOOKUP(A3646,'[1]2050Pop'!$A$7:$A$143,'[1]2050Pop'!$C$7:$C$143)</f>
        <v>62452</v>
      </c>
      <c r="D3646" s="126" t="s">
        <v>528</v>
      </c>
      <c r="E3646" s="128">
        <v>51.494999999999997</v>
      </c>
      <c r="F3646" s="129">
        <f t="shared" si="170"/>
        <v>3.2159657399999997</v>
      </c>
      <c r="G3646" t="str">
        <f>_xlfn.XLOOKUP(D3646,'[1]2050 BAU Mapping to T &amp; C'!$A$3:$A$52,'[1]2050 BAU Mapping to T &amp; C'!$B$3:$B$52)</f>
        <v>Dairy</v>
      </c>
      <c r="H3646" s="129">
        <f>_xlfn.XLOOKUP(G3646,'[1]T&amp;C emissions for 2050 analysis'!$B$3:$B$23,'[1]T&amp;C emissions for 2050 analysis'!$C$3:$C$23)</f>
        <v>1.906666666666667</v>
      </c>
      <c r="I3646" s="27">
        <f t="shared" si="168"/>
        <v>6.1317746776000002</v>
      </c>
      <c r="J3646" s="129">
        <f t="shared" si="169"/>
        <v>98.183800000000005</v>
      </c>
    </row>
    <row r="3647" spans="1:10" hidden="1" x14ac:dyDescent="0.35">
      <c r="A3647" s="126" t="s">
        <v>466</v>
      </c>
      <c r="B3647" t="str">
        <f>_xlfn.XLOOKUP(A3647,'[1]2050Pop'!$A$7:$A$143,'[1]2050Pop'!$D$7:$D$143)</f>
        <v>SSA</v>
      </c>
      <c r="C3647" s="127">
        <f>1000*_xlfn.XLOOKUP(A3647,'[1]2050Pop'!$A$7:$A$143,'[1]2050Pop'!$C$7:$C$143)</f>
        <v>15681</v>
      </c>
      <c r="D3647" s="126" t="s">
        <v>528</v>
      </c>
      <c r="E3647" s="128">
        <v>11.614000000000001</v>
      </c>
      <c r="F3647" s="129">
        <f t="shared" si="170"/>
        <v>0.18211913400000002</v>
      </c>
      <c r="G3647" t="str">
        <f>_xlfn.XLOOKUP(D3647,'[1]2050 BAU Mapping to T &amp; C'!$A$3:$A$52,'[1]2050 BAU Mapping to T &amp; C'!$B$3:$B$52)</f>
        <v>Dairy</v>
      </c>
      <c r="H3647" s="129">
        <f>_xlfn.XLOOKUP(G3647,'[1]T&amp;C emissions for 2050 analysis'!$B$3:$B$23,'[1]T&amp;C emissions for 2050 analysis'!$C$3:$C$23)</f>
        <v>1.906666666666667</v>
      </c>
      <c r="I3647" s="27">
        <f t="shared" si="168"/>
        <v>0.34724048216000009</v>
      </c>
      <c r="J3647" s="129">
        <f t="shared" si="169"/>
        <v>22.144026666666672</v>
      </c>
    </row>
    <row r="3648" spans="1:10" hidden="1" x14ac:dyDescent="0.35">
      <c r="A3648" s="126" t="s">
        <v>467</v>
      </c>
      <c r="B3648" t="str">
        <f>_xlfn.XLOOKUP(A3648,'[1]2050Pop'!$A$7:$A$143,'[1]2050Pop'!$D$7:$D$143)</f>
        <v>LatAm &amp; RSA</v>
      </c>
      <c r="C3648" s="127">
        <f>1000*_xlfn.XLOOKUP(A3648,'[1]2050Pop'!$A$7:$A$143,'[1]2050Pop'!$C$7:$C$143)</f>
        <v>1291</v>
      </c>
      <c r="D3648" s="126" t="s">
        <v>528</v>
      </c>
      <c r="E3648" s="128">
        <v>193.63900000000001</v>
      </c>
      <c r="F3648" s="129">
        <f t="shared" si="170"/>
        <v>0.24998794900000001</v>
      </c>
      <c r="G3648" t="str">
        <f>_xlfn.XLOOKUP(D3648,'[1]2050 BAU Mapping to T &amp; C'!$A$3:$A$52,'[1]2050 BAU Mapping to T &amp; C'!$B$3:$B$52)</f>
        <v>Dairy</v>
      </c>
      <c r="H3648" s="129">
        <f>_xlfn.XLOOKUP(G3648,'[1]T&amp;C emissions for 2050 analysis'!$B$3:$B$23,'[1]T&amp;C emissions for 2050 analysis'!$C$3:$C$23)</f>
        <v>1.906666666666667</v>
      </c>
      <c r="I3648" s="27">
        <f t="shared" si="168"/>
        <v>0.47664368942666679</v>
      </c>
      <c r="J3648" s="129">
        <f t="shared" si="169"/>
        <v>369.20502666666675</v>
      </c>
    </row>
    <row r="3649" spans="1:10" hidden="1" x14ac:dyDescent="0.35">
      <c r="A3649" s="126" t="s">
        <v>468</v>
      </c>
      <c r="B3649" t="str">
        <f>_xlfn.XLOOKUP(A3649,'[1]2050Pop'!$A$7:$A$143,'[1]2050Pop'!$D$7:$D$143)</f>
        <v>MENA</v>
      </c>
      <c r="C3649" s="127">
        <f>1000*_xlfn.XLOOKUP(A3649,'[1]2050Pop'!$A$7:$A$143,'[1]2050Pop'!$C$7:$C$143)</f>
        <v>13476</v>
      </c>
      <c r="D3649" s="126" t="s">
        <v>528</v>
      </c>
      <c r="E3649" s="128">
        <v>188.57300000000001</v>
      </c>
      <c r="F3649" s="129">
        <f t="shared" si="170"/>
        <v>2.541209748</v>
      </c>
      <c r="G3649" t="str">
        <f>_xlfn.XLOOKUP(D3649,'[1]2050 BAU Mapping to T &amp; C'!$A$3:$A$52,'[1]2050 BAU Mapping to T &amp; C'!$B$3:$B$52)</f>
        <v>Dairy</v>
      </c>
      <c r="H3649" s="129">
        <f>_xlfn.XLOOKUP(G3649,'[1]T&amp;C emissions for 2050 analysis'!$B$3:$B$23,'[1]T&amp;C emissions for 2050 analysis'!$C$3:$C$23)</f>
        <v>1.906666666666667</v>
      </c>
      <c r="I3649" s="27">
        <f t="shared" si="168"/>
        <v>4.8452399195200009</v>
      </c>
      <c r="J3649" s="129">
        <f t="shared" si="169"/>
        <v>359.54585333333341</v>
      </c>
    </row>
    <row r="3650" spans="1:10" hidden="1" x14ac:dyDescent="0.35">
      <c r="A3650" s="126" t="s">
        <v>469</v>
      </c>
      <c r="B3650" t="str">
        <f>_xlfn.XLOOKUP(A3650,'[1]2050Pop'!$A$7:$A$143,'[1]2050Pop'!$D$7:$D$143)</f>
        <v>MENA</v>
      </c>
      <c r="C3650" s="127">
        <f>1000*_xlfn.XLOOKUP(A3650,'[1]2050Pop'!$A$7:$A$143,'[1]2050Pop'!$C$7:$C$143)</f>
        <v>95819</v>
      </c>
      <c r="D3650" s="126" t="s">
        <v>528</v>
      </c>
      <c r="E3650" s="128">
        <v>356.50299999999999</v>
      </c>
      <c r="F3650" s="129">
        <f t="shared" si="170"/>
        <v>34.159760957000003</v>
      </c>
      <c r="G3650" t="str">
        <f>_xlfn.XLOOKUP(D3650,'[1]2050 BAU Mapping to T &amp; C'!$A$3:$A$52,'[1]2050 BAU Mapping to T &amp; C'!$B$3:$B$52)</f>
        <v>Dairy</v>
      </c>
      <c r="H3650" s="129">
        <f>_xlfn.XLOOKUP(G3650,'[1]T&amp;C emissions for 2050 analysis'!$B$3:$B$23,'[1]T&amp;C emissions for 2050 analysis'!$C$3:$C$23)</f>
        <v>1.906666666666667</v>
      </c>
      <c r="I3650" s="27">
        <f t="shared" si="168"/>
        <v>65.131277558013352</v>
      </c>
      <c r="J3650" s="129">
        <f t="shared" si="169"/>
        <v>679.7323866666668</v>
      </c>
    </row>
    <row r="3651" spans="1:10" hidden="1" x14ac:dyDescent="0.35">
      <c r="A3651" s="126" t="s">
        <v>484</v>
      </c>
      <c r="B3651" t="str">
        <f>_xlfn.XLOOKUP(A3651,'[1]2050Pop'!$A$7:$A$143,'[1]2050Pop'!$D$7:$D$143)</f>
        <v>APAC</v>
      </c>
      <c r="C3651" s="127">
        <f>1000*_xlfn.XLOOKUP(A3651,'[1]2050Pop'!$A$7:$A$143,'[1]2050Pop'!$C$7:$C$143)</f>
        <v>6555</v>
      </c>
      <c r="D3651" s="126" t="s">
        <v>528</v>
      </c>
      <c r="E3651" s="128">
        <v>268.76400000000001</v>
      </c>
      <c r="F3651" s="129">
        <f t="shared" si="170"/>
        <v>1.76174802</v>
      </c>
      <c r="G3651" t="str">
        <f>_xlfn.XLOOKUP(D3651,'[1]2050 BAU Mapping to T &amp; C'!$A$3:$A$52,'[1]2050 BAU Mapping to T &amp; C'!$B$3:$B$52)</f>
        <v>Dairy</v>
      </c>
      <c r="H3651" s="129">
        <f>_xlfn.XLOOKUP(G3651,'[1]T&amp;C emissions for 2050 analysis'!$B$3:$B$23,'[1]T&amp;C emissions for 2050 analysis'!$C$3:$C$23)</f>
        <v>1.906666666666667</v>
      </c>
      <c r="I3651" s="27">
        <f t="shared" si="168"/>
        <v>3.3590662248000003</v>
      </c>
      <c r="J3651" s="129">
        <f t="shared" si="169"/>
        <v>512.4433600000001</v>
      </c>
    </row>
    <row r="3652" spans="1:10" hidden="1" x14ac:dyDescent="0.35">
      <c r="A3652" s="126" t="s">
        <v>470</v>
      </c>
      <c r="B3652" t="str">
        <f>_xlfn.XLOOKUP(A3652,'[1]2050Pop'!$A$7:$A$143,'[1]2050Pop'!$D$7:$D$143)</f>
        <v>SSA</v>
      </c>
      <c r="C3652" s="127">
        <f>1000*_xlfn.XLOOKUP(A3652,'[1]2050Pop'!$A$7:$A$143,'[1]2050Pop'!$C$7:$C$143)</f>
        <v>101873</v>
      </c>
      <c r="D3652" s="126" t="s">
        <v>528</v>
      </c>
      <c r="E3652" s="128">
        <v>77.954999999999998</v>
      </c>
      <c r="F3652" s="129">
        <f t="shared" si="170"/>
        <v>7.9415097149999996</v>
      </c>
      <c r="G3652" t="str">
        <f>_xlfn.XLOOKUP(D3652,'[1]2050 BAU Mapping to T &amp; C'!$A$3:$A$52,'[1]2050 BAU Mapping to T &amp; C'!$B$3:$B$52)</f>
        <v>Dairy</v>
      </c>
      <c r="H3652" s="129">
        <f>_xlfn.XLOOKUP(G3652,'[1]T&amp;C emissions for 2050 analysis'!$B$3:$B$23,'[1]T&amp;C emissions for 2050 analysis'!$C$3:$C$23)</f>
        <v>1.906666666666667</v>
      </c>
      <c r="I3652" s="27">
        <f t="shared" ref="I3652:I3715" si="171">F3652*H3652</f>
        <v>15.141811856600002</v>
      </c>
      <c r="J3652" s="129">
        <f t="shared" ref="J3652:J3715" si="172">E3652*H3652</f>
        <v>148.63420000000002</v>
      </c>
    </row>
    <row r="3653" spans="1:10" hidden="1" x14ac:dyDescent="0.35">
      <c r="A3653" s="126" t="s">
        <v>471</v>
      </c>
      <c r="B3653" t="str">
        <f>_xlfn.XLOOKUP(A3653,'[1]2050Pop'!$A$7:$A$143,'[1]2050Pop'!$D$7:$D$143)</f>
        <v>Euro/AU/NZ</v>
      </c>
      <c r="C3653" s="127">
        <f>1000*_xlfn.XLOOKUP(A3653,'[1]2050Pop'!$A$7:$A$143,'[1]2050Pop'!$C$7:$C$143)</f>
        <v>35117</v>
      </c>
      <c r="D3653" s="126" t="s">
        <v>528</v>
      </c>
      <c r="E3653" s="128">
        <v>296.25599999999997</v>
      </c>
      <c r="F3653" s="129">
        <f t="shared" ref="F3653:F3716" si="173">C3653*E3653/1000000</f>
        <v>10.403621952</v>
      </c>
      <c r="G3653" t="str">
        <f>_xlfn.XLOOKUP(D3653,'[1]2050 BAU Mapping to T &amp; C'!$A$3:$A$52,'[1]2050 BAU Mapping to T &amp; C'!$B$3:$B$52)</f>
        <v>Dairy</v>
      </c>
      <c r="H3653" s="129">
        <f>_xlfn.XLOOKUP(G3653,'[1]T&amp;C emissions for 2050 analysis'!$B$3:$B$23,'[1]T&amp;C emissions for 2050 analysis'!$C$3:$C$23)</f>
        <v>1.906666666666667</v>
      </c>
      <c r="I3653" s="27">
        <f t="shared" si="171"/>
        <v>19.836239188480004</v>
      </c>
      <c r="J3653" s="129">
        <f t="shared" si="172"/>
        <v>564.86144000000002</v>
      </c>
    </row>
    <row r="3654" spans="1:10" hidden="1" x14ac:dyDescent="0.35">
      <c r="A3654" s="126" t="s">
        <v>472</v>
      </c>
      <c r="B3654" t="str">
        <f>_xlfn.XLOOKUP(A3654,'[1]2050Pop'!$A$7:$A$143,'[1]2050Pop'!$D$7:$D$143)</f>
        <v>Euro/AU/NZ</v>
      </c>
      <c r="C3654" s="127">
        <f>1000*_xlfn.XLOOKUP(A3654,'[1]2050Pop'!$A$7:$A$143,'[1]2050Pop'!$C$7:$C$143)</f>
        <v>75361</v>
      </c>
      <c r="D3654" s="126" t="s">
        <v>528</v>
      </c>
      <c r="E3654" s="128">
        <v>421.60500000000002</v>
      </c>
      <c r="F3654" s="129">
        <f t="shared" si="173"/>
        <v>31.772574405</v>
      </c>
      <c r="G3654" t="str">
        <f>_xlfn.XLOOKUP(D3654,'[1]2050 BAU Mapping to T &amp; C'!$A$3:$A$52,'[1]2050 BAU Mapping to T &amp; C'!$B$3:$B$52)</f>
        <v>Dairy</v>
      </c>
      <c r="H3654" s="129">
        <f>_xlfn.XLOOKUP(G3654,'[1]T&amp;C emissions for 2050 analysis'!$B$3:$B$23,'[1]T&amp;C emissions for 2050 analysis'!$C$3:$C$23)</f>
        <v>1.906666666666667</v>
      </c>
      <c r="I3654" s="27">
        <f t="shared" si="171"/>
        <v>60.579708532200009</v>
      </c>
      <c r="J3654" s="129">
        <f t="shared" si="172"/>
        <v>803.86020000000019</v>
      </c>
    </row>
    <row r="3655" spans="1:10" hidden="1" x14ac:dyDescent="0.35">
      <c r="A3655" s="126" t="s">
        <v>473</v>
      </c>
      <c r="B3655" t="str">
        <f>_xlfn.XLOOKUP(A3655,'[1]2050Pop'!$A$7:$A$143,'[1]2050Pop'!$D$7:$D$143)</f>
        <v>SSA</v>
      </c>
      <c r="C3655" s="127">
        <f>1000*_xlfn.XLOOKUP(A3655,'[1]2050Pop'!$A$7:$A$143,'[1]2050Pop'!$C$7:$C$143)</f>
        <v>137136</v>
      </c>
      <c r="D3655" s="126" t="s">
        <v>528</v>
      </c>
      <c r="E3655" s="128">
        <v>79.435000000000002</v>
      </c>
      <c r="F3655" s="129">
        <f t="shared" si="173"/>
        <v>10.89339816</v>
      </c>
      <c r="G3655" t="str">
        <f>_xlfn.XLOOKUP(D3655,'[1]2050 BAU Mapping to T &amp; C'!$A$3:$A$52,'[1]2050 BAU Mapping to T &amp; C'!$B$3:$B$52)</f>
        <v>Dairy</v>
      </c>
      <c r="H3655" s="129">
        <f>_xlfn.XLOOKUP(G3655,'[1]T&amp;C emissions for 2050 analysis'!$B$3:$B$23,'[1]T&amp;C emissions for 2050 analysis'!$C$3:$C$23)</f>
        <v>1.906666666666667</v>
      </c>
      <c r="I3655" s="27">
        <f t="shared" si="171"/>
        <v>20.770079158400005</v>
      </c>
      <c r="J3655" s="129">
        <f t="shared" si="172"/>
        <v>151.45606666666669</v>
      </c>
    </row>
    <row r="3656" spans="1:10" hidden="1" x14ac:dyDescent="0.35">
      <c r="A3656" s="126" t="s">
        <v>474</v>
      </c>
      <c r="B3656" t="str">
        <f>_xlfn.XLOOKUP(A3656,'[1]2050Pop'!$A$7:$A$143,'[1]2050Pop'!$D$7:$D$143)</f>
        <v>NAm</v>
      </c>
      <c r="C3656" s="127">
        <f>1000*_xlfn.XLOOKUP(A3656,'[1]2050Pop'!$A$7:$A$143,'[1]2050Pop'!$C$7:$C$143)</f>
        <v>388865</v>
      </c>
      <c r="D3656" s="126" t="s">
        <v>528</v>
      </c>
      <c r="E3656" s="128">
        <v>412.49700000000001</v>
      </c>
      <c r="F3656" s="129">
        <f t="shared" si="173"/>
        <v>160.405645905</v>
      </c>
      <c r="G3656" t="str">
        <f>_xlfn.XLOOKUP(D3656,'[1]2050 BAU Mapping to T &amp; C'!$A$3:$A$52,'[1]2050 BAU Mapping to T &amp; C'!$B$3:$B$52)</f>
        <v>Dairy</v>
      </c>
      <c r="H3656" s="129">
        <f>_xlfn.XLOOKUP(G3656,'[1]T&amp;C emissions for 2050 analysis'!$B$3:$B$23,'[1]T&amp;C emissions for 2050 analysis'!$C$3:$C$23)</f>
        <v>1.906666666666667</v>
      </c>
      <c r="I3656" s="27">
        <f t="shared" si="171"/>
        <v>305.84009819220006</v>
      </c>
      <c r="J3656" s="129">
        <f t="shared" si="172"/>
        <v>786.49428000000012</v>
      </c>
    </row>
    <row r="3657" spans="1:10" hidden="1" x14ac:dyDescent="0.35">
      <c r="A3657" s="126" t="s">
        <v>475</v>
      </c>
      <c r="B3657" t="str">
        <f>_xlfn.XLOOKUP(A3657,'[1]2050Pop'!$A$7:$A$143,'[1]2050Pop'!$D$7:$D$143)</f>
        <v>LatAm &amp; RSA</v>
      </c>
      <c r="C3657" s="127">
        <f>1000*_xlfn.XLOOKUP(A3657,'[1]2050Pop'!$A$7:$A$143,'[1]2050Pop'!$C$7:$C$143)</f>
        <v>3667</v>
      </c>
      <c r="D3657" s="126" t="s">
        <v>528</v>
      </c>
      <c r="E3657" s="128">
        <v>384.072</v>
      </c>
      <c r="F3657" s="129">
        <f t="shared" si="173"/>
        <v>1.4083920240000001</v>
      </c>
      <c r="G3657" t="str">
        <f>_xlfn.XLOOKUP(D3657,'[1]2050 BAU Mapping to T &amp; C'!$A$3:$A$52,'[1]2050 BAU Mapping to T &amp; C'!$B$3:$B$52)</f>
        <v>Dairy</v>
      </c>
      <c r="H3657" s="129">
        <f>_xlfn.XLOOKUP(G3657,'[1]T&amp;C emissions for 2050 analysis'!$B$3:$B$23,'[1]T&amp;C emissions for 2050 analysis'!$C$3:$C$23)</f>
        <v>1.906666666666667</v>
      </c>
      <c r="I3657" s="27">
        <f t="shared" si="171"/>
        <v>2.6853341257600007</v>
      </c>
      <c r="J3657" s="129">
        <f t="shared" si="172"/>
        <v>732.29728000000011</v>
      </c>
    </row>
    <row r="3658" spans="1:10" hidden="1" x14ac:dyDescent="0.35">
      <c r="A3658" s="126" t="s">
        <v>485</v>
      </c>
      <c r="B3658" t="str">
        <f>_xlfn.XLOOKUP(A3658,'[1]2050Pop'!$A$7:$A$143,'[1]2050Pop'!$D$7:$D$143)</f>
        <v>APAC</v>
      </c>
      <c r="C3658" s="127">
        <f>1000*_xlfn.XLOOKUP(A3658,'[1]2050Pop'!$A$7:$A$143,'[1]2050Pop'!$C$7:$C$143)</f>
        <v>37126</v>
      </c>
      <c r="D3658" s="126" t="s">
        <v>528</v>
      </c>
      <c r="E3658" s="128">
        <v>243.68799999999999</v>
      </c>
      <c r="F3658" s="129">
        <f t="shared" si="173"/>
        <v>9.047160688</v>
      </c>
      <c r="G3658" t="str">
        <f>_xlfn.XLOOKUP(D3658,'[1]2050 BAU Mapping to T &amp; C'!$A$3:$A$52,'[1]2050 BAU Mapping to T &amp; C'!$B$3:$B$52)</f>
        <v>Dairy</v>
      </c>
      <c r="H3658" s="129">
        <f>_xlfn.XLOOKUP(G3658,'[1]T&amp;C emissions for 2050 analysis'!$B$3:$B$23,'[1]T&amp;C emissions for 2050 analysis'!$C$3:$C$23)</f>
        <v>1.906666666666667</v>
      </c>
      <c r="I3658" s="27">
        <f t="shared" si="171"/>
        <v>17.249919711786671</v>
      </c>
      <c r="J3658" s="129">
        <f t="shared" si="172"/>
        <v>464.6317866666667</v>
      </c>
    </row>
    <row r="3659" spans="1:10" hidden="1" x14ac:dyDescent="0.35">
      <c r="A3659" s="126" t="s">
        <v>476</v>
      </c>
      <c r="B3659" t="str">
        <f>_xlfn.XLOOKUP(A3659,'[1]2050Pop'!$A$7:$A$143,'[1]2050Pop'!$D$7:$D$143)</f>
        <v>LatAm &amp; RSA</v>
      </c>
      <c r="C3659" s="127">
        <f>1000*_xlfn.XLOOKUP(A3659,'[1]2050Pop'!$A$7:$A$143,'[1]2050Pop'!$C$7:$C$143)</f>
        <v>41562</v>
      </c>
      <c r="D3659" s="126" t="s">
        <v>528</v>
      </c>
      <c r="E3659" s="128">
        <v>185.315</v>
      </c>
      <c r="F3659" s="129">
        <f t="shared" si="173"/>
        <v>7.7020620300000004</v>
      </c>
      <c r="G3659" t="str">
        <f>_xlfn.XLOOKUP(D3659,'[1]2050 BAU Mapping to T &amp; C'!$A$3:$A$52,'[1]2050 BAU Mapping to T &amp; C'!$B$3:$B$52)</f>
        <v>Dairy</v>
      </c>
      <c r="H3659" s="129">
        <f>_xlfn.XLOOKUP(G3659,'[1]T&amp;C emissions for 2050 analysis'!$B$3:$B$23,'[1]T&amp;C emissions for 2050 analysis'!$C$3:$C$23)</f>
        <v>1.906666666666667</v>
      </c>
      <c r="I3659" s="27">
        <f t="shared" si="171"/>
        <v>14.685264937200003</v>
      </c>
      <c r="J3659" s="129">
        <f t="shared" si="172"/>
        <v>353.33393333333339</v>
      </c>
    </row>
    <row r="3660" spans="1:10" hidden="1" x14ac:dyDescent="0.35">
      <c r="A3660" s="126" t="s">
        <v>477</v>
      </c>
      <c r="B3660" t="str">
        <f>_xlfn.XLOOKUP(A3660,'[1]2050Pop'!$A$7:$A$143,'[1]2050Pop'!$D$7:$D$143)</f>
        <v>APAC</v>
      </c>
      <c r="C3660" s="127">
        <f>1000*_xlfn.XLOOKUP(A3660,'[1]2050Pop'!$A$7:$A$143,'[1]2050Pop'!$C$7:$C$143)</f>
        <v>112783</v>
      </c>
      <c r="D3660" s="126" t="s">
        <v>528</v>
      </c>
      <c r="E3660" s="128">
        <v>32.124000000000002</v>
      </c>
      <c r="F3660" s="129">
        <f t="shared" si="173"/>
        <v>3.6230410920000002</v>
      </c>
      <c r="G3660" t="str">
        <f>_xlfn.XLOOKUP(D3660,'[1]2050 BAU Mapping to T &amp; C'!$A$3:$A$52,'[1]2050 BAU Mapping to T &amp; C'!$B$3:$B$52)</f>
        <v>Dairy</v>
      </c>
      <c r="H3660" s="129">
        <f>_xlfn.XLOOKUP(G3660,'[1]T&amp;C emissions for 2050 analysis'!$B$3:$B$23,'[1]T&amp;C emissions for 2050 analysis'!$C$3:$C$23)</f>
        <v>1.906666666666667</v>
      </c>
      <c r="I3660" s="27">
        <f t="shared" si="171"/>
        <v>6.9079316820800019</v>
      </c>
      <c r="J3660" s="129">
        <f t="shared" si="172"/>
        <v>61.249760000000016</v>
      </c>
    </row>
    <row r="3661" spans="1:10" hidden="1" x14ac:dyDescent="0.35">
      <c r="A3661" s="126" t="s">
        <v>478</v>
      </c>
      <c r="B3661" t="str">
        <f>_xlfn.XLOOKUP(A3661,'[1]2050Pop'!$A$7:$A$143,'[1]2050Pop'!$D$7:$D$143)</f>
        <v>MENA</v>
      </c>
      <c r="C3661" s="127">
        <f>1000*_xlfn.XLOOKUP(A3661,'[1]2050Pop'!$A$7:$A$143,'[1]2050Pop'!$C$7:$C$143)</f>
        <v>47170</v>
      </c>
      <c r="D3661" s="126" t="s">
        <v>528</v>
      </c>
      <c r="E3661" s="128">
        <v>62.823</v>
      </c>
      <c r="F3661" s="129">
        <f t="shared" si="173"/>
        <v>2.96336091</v>
      </c>
      <c r="G3661" t="str">
        <f>_xlfn.XLOOKUP(D3661,'[1]2050 BAU Mapping to T &amp; C'!$A$3:$A$52,'[1]2050 BAU Mapping to T &amp; C'!$B$3:$B$52)</f>
        <v>Dairy</v>
      </c>
      <c r="H3661" s="129">
        <f>_xlfn.XLOOKUP(G3661,'[1]T&amp;C emissions for 2050 analysis'!$B$3:$B$23,'[1]T&amp;C emissions for 2050 analysis'!$C$3:$C$23)</f>
        <v>1.906666666666667</v>
      </c>
      <c r="I3661" s="27">
        <f t="shared" si="171"/>
        <v>5.6501414684000011</v>
      </c>
      <c r="J3661" s="129">
        <f t="shared" si="172"/>
        <v>119.78252000000002</v>
      </c>
    </row>
    <row r="3662" spans="1:10" hidden="1" x14ac:dyDescent="0.35">
      <c r="A3662" s="126" t="s">
        <v>494</v>
      </c>
      <c r="B3662" t="str">
        <f>_xlfn.XLOOKUP(A3662,'[1]2050Pop'!$A$7:$A$143,'[1]2050Pop'!$D$7:$D$143)</f>
        <v>SSA</v>
      </c>
      <c r="C3662" s="127">
        <f>1000*_xlfn.XLOOKUP(A3662,'[1]2050Pop'!$A$7:$A$143,'[1]2050Pop'!$C$7:$C$143)</f>
        <v>42975</v>
      </c>
      <c r="D3662" s="126" t="s">
        <v>528</v>
      </c>
      <c r="E3662" s="128">
        <v>15.773999999999999</v>
      </c>
      <c r="F3662" s="129">
        <f t="shared" si="173"/>
        <v>0.67788764999999995</v>
      </c>
      <c r="G3662" t="str">
        <f>_xlfn.XLOOKUP(D3662,'[1]2050 BAU Mapping to T &amp; C'!$A$3:$A$52,'[1]2050 BAU Mapping to T &amp; C'!$B$3:$B$52)</f>
        <v>Dairy</v>
      </c>
      <c r="H3662" s="129">
        <f>_xlfn.XLOOKUP(G3662,'[1]T&amp;C emissions for 2050 analysis'!$B$3:$B$23,'[1]T&amp;C emissions for 2050 analysis'!$C$3:$C$23)</f>
        <v>1.906666666666667</v>
      </c>
      <c r="I3662" s="27">
        <f t="shared" si="171"/>
        <v>1.2925057860000002</v>
      </c>
      <c r="J3662" s="129">
        <f t="shared" si="172"/>
        <v>30.075760000000002</v>
      </c>
    </row>
    <row r="3663" spans="1:10" hidden="1" x14ac:dyDescent="0.35">
      <c r="A3663" s="126" t="s">
        <v>479</v>
      </c>
      <c r="B3663" t="str">
        <f>_xlfn.XLOOKUP(A3663,'[1]2050Pop'!$A$7:$A$143,'[1]2050Pop'!$D$7:$D$143)</f>
        <v>SSA</v>
      </c>
      <c r="C3663" s="127">
        <f>1000*_xlfn.XLOOKUP(A3663,'[1]2050Pop'!$A$7:$A$143,'[1]2050Pop'!$C$7:$C$143)</f>
        <v>29615</v>
      </c>
      <c r="D3663" s="126" t="s">
        <v>528</v>
      </c>
      <c r="E3663" s="128">
        <v>59.728000000000002</v>
      </c>
      <c r="F3663" s="129">
        <f t="shared" si="173"/>
        <v>1.7688447199999999</v>
      </c>
      <c r="G3663" t="str">
        <f>_xlfn.XLOOKUP(D3663,'[1]2050 BAU Mapping to T &amp; C'!$A$3:$A$52,'[1]2050 BAU Mapping to T &amp; C'!$B$3:$B$52)</f>
        <v>Dairy</v>
      </c>
      <c r="H3663" s="129">
        <f>_xlfn.XLOOKUP(G3663,'[1]T&amp;C emissions for 2050 analysis'!$B$3:$B$23,'[1]T&amp;C emissions for 2050 analysis'!$C$3:$C$23)</f>
        <v>1.906666666666667</v>
      </c>
      <c r="I3663" s="27">
        <f t="shared" si="171"/>
        <v>3.3725972661333339</v>
      </c>
      <c r="J3663" s="129">
        <f t="shared" si="172"/>
        <v>113.88138666666669</v>
      </c>
    </row>
    <row r="3664" spans="1:10" hidden="1" x14ac:dyDescent="0.35">
      <c r="A3664" s="126" t="s">
        <v>355</v>
      </c>
      <c r="B3664" t="str">
        <f>_xlfn.XLOOKUP(A3664,'[1]2050Pop'!$A$7:$A$143,'[1]2050Pop'!$D$7:$D$143)</f>
        <v>India/South Asia</v>
      </c>
      <c r="C3664" s="127">
        <f>1000*_xlfn.XLOOKUP(A3664,'[1]2050Pop'!$A$7:$A$143,'[1]2050Pop'!$C$7:$C$143)</f>
        <v>55955</v>
      </c>
      <c r="D3664" s="126" t="s">
        <v>529</v>
      </c>
      <c r="E3664" s="128">
        <v>12.603</v>
      </c>
      <c r="F3664" s="129">
        <f t="shared" si="173"/>
        <v>0.70520086500000001</v>
      </c>
      <c r="G3664" t="str">
        <f>_xlfn.XLOOKUP(D3664,'[1]2050 BAU Mapping to T &amp; C'!$A$3:$A$52,'[1]2050 BAU Mapping to T &amp; C'!$B$3:$B$52)</f>
        <v xml:space="preserve">Oil crops </v>
      </c>
      <c r="H3664" s="129">
        <f>_xlfn.XLOOKUP(G3664,'[1]T&amp;C emissions for 2050 analysis'!$B$3:$B$23,'[1]T&amp;C emissions for 2050 analysis'!$C$3:$C$23)</f>
        <v>0.18333333333333335</v>
      </c>
      <c r="I3664" s="27">
        <f t="shared" si="171"/>
        <v>0.12928682525000001</v>
      </c>
      <c r="J3664" s="129">
        <f t="shared" si="172"/>
        <v>2.3105500000000001</v>
      </c>
    </row>
    <row r="3665" spans="1:10" hidden="1" x14ac:dyDescent="0.35">
      <c r="A3665" s="126" t="s">
        <v>358</v>
      </c>
      <c r="B3665" t="str">
        <f>_xlfn.XLOOKUP(A3665,'[1]2050Pop'!$A$7:$A$143,'[1]2050Pop'!$D$7:$D$143)</f>
        <v>MENA</v>
      </c>
      <c r="C3665" s="127">
        <f>1000*_xlfn.XLOOKUP(A3665,'[1]2050Pop'!$A$7:$A$143,'[1]2050Pop'!$C$7:$C$143)</f>
        <v>56461</v>
      </c>
      <c r="D3665" s="126" t="s">
        <v>529</v>
      </c>
      <c r="E3665" s="128">
        <v>2.1909999999999998</v>
      </c>
      <c r="F3665" s="129">
        <f t="shared" si="173"/>
        <v>0.123706051</v>
      </c>
      <c r="G3665" t="str">
        <f>_xlfn.XLOOKUP(D3665,'[1]2050 BAU Mapping to T &amp; C'!$A$3:$A$52,'[1]2050 BAU Mapping to T &amp; C'!$B$3:$B$52)</f>
        <v xml:space="preserve">Oil crops </v>
      </c>
      <c r="H3665" s="129">
        <f>_xlfn.XLOOKUP(G3665,'[1]T&amp;C emissions for 2050 analysis'!$B$3:$B$23,'[1]T&amp;C emissions for 2050 analysis'!$C$3:$C$23)</f>
        <v>0.18333333333333335</v>
      </c>
      <c r="I3665" s="27">
        <f t="shared" si="171"/>
        <v>2.2679442683333335E-2</v>
      </c>
      <c r="J3665" s="129">
        <f t="shared" si="172"/>
        <v>0.40168333333333334</v>
      </c>
    </row>
    <row r="3666" spans="1:10" hidden="1" x14ac:dyDescent="0.35">
      <c r="A3666" s="126" t="s">
        <v>359</v>
      </c>
      <c r="B3666" t="str">
        <f>_xlfn.XLOOKUP(A3666,'[1]2050Pop'!$A$7:$A$143,'[1]2050Pop'!$D$7:$D$143)</f>
        <v>SSA</v>
      </c>
      <c r="C3666" s="127">
        <f>1000*_xlfn.XLOOKUP(A3666,'[1]2050Pop'!$A$7:$A$143,'[1]2050Pop'!$C$7:$C$143)</f>
        <v>65473</v>
      </c>
      <c r="D3666" s="126" t="s">
        <v>529</v>
      </c>
      <c r="E3666" s="128">
        <v>2.1059999999999999</v>
      </c>
      <c r="F3666" s="129">
        <f t="shared" si="173"/>
        <v>0.13788613799999996</v>
      </c>
      <c r="G3666" t="str">
        <f>_xlfn.XLOOKUP(D3666,'[1]2050 BAU Mapping to T &amp; C'!$A$3:$A$52,'[1]2050 BAU Mapping to T &amp; C'!$B$3:$B$52)</f>
        <v xml:space="preserve">Oil crops </v>
      </c>
      <c r="H3666" s="129">
        <f>_xlfn.XLOOKUP(G3666,'[1]T&amp;C emissions for 2050 analysis'!$B$3:$B$23,'[1]T&amp;C emissions for 2050 analysis'!$C$3:$C$23)</f>
        <v>0.18333333333333335</v>
      </c>
      <c r="I3666" s="27">
        <f t="shared" si="171"/>
        <v>2.5279125299999997E-2</v>
      </c>
      <c r="J3666" s="129">
        <f t="shared" si="172"/>
        <v>0.3861</v>
      </c>
    </row>
    <row r="3667" spans="1:10" hidden="1" x14ac:dyDescent="0.35">
      <c r="A3667" s="126" t="s">
        <v>360</v>
      </c>
      <c r="B3667" t="str">
        <f>_xlfn.XLOOKUP(A3667,'[1]2050Pop'!$A$7:$A$143,'[1]2050Pop'!$D$7:$D$143)</f>
        <v>LatAm &amp; RSA</v>
      </c>
      <c r="C3667" s="127">
        <f>1000*_xlfn.XLOOKUP(A3667,'[1]2050Pop'!$A$7:$A$143,'[1]2050Pop'!$C$7:$C$143)</f>
        <v>55445</v>
      </c>
      <c r="D3667" s="126" t="s">
        <v>529</v>
      </c>
      <c r="E3667" s="128">
        <v>1.3129999999999999</v>
      </c>
      <c r="F3667" s="129">
        <f t="shared" si="173"/>
        <v>7.2799285000000005E-2</v>
      </c>
      <c r="G3667" t="str">
        <f>_xlfn.XLOOKUP(D3667,'[1]2050 BAU Mapping to T &amp; C'!$A$3:$A$52,'[1]2050 BAU Mapping to T &amp; C'!$B$3:$B$52)</f>
        <v xml:space="preserve">Oil crops </v>
      </c>
      <c r="H3667" s="129">
        <f>_xlfn.XLOOKUP(G3667,'[1]T&amp;C emissions for 2050 analysis'!$B$3:$B$23,'[1]T&amp;C emissions for 2050 analysis'!$C$3:$C$23)</f>
        <v>0.18333333333333335</v>
      </c>
      <c r="I3667" s="27">
        <f t="shared" si="171"/>
        <v>1.3346535583333336E-2</v>
      </c>
      <c r="J3667" s="129">
        <f t="shared" si="172"/>
        <v>0.24071666666666669</v>
      </c>
    </row>
    <row r="3668" spans="1:10" hidden="1" x14ac:dyDescent="0.35">
      <c r="A3668" s="126" t="s">
        <v>363</v>
      </c>
      <c r="B3668" t="str">
        <f>_xlfn.XLOOKUP(A3668,'[1]2050Pop'!$A$7:$A$143,'[1]2050Pop'!$D$7:$D$143)</f>
        <v>Euro/AU/NZ</v>
      </c>
      <c r="C3668" s="127">
        <f>1000*_xlfn.XLOOKUP(A3668,'[1]2050Pop'!$A$7:$A$143,'[1]2050Pop'!$C$7:$C$143)</f>
        <v>8846</v>
      </c>
      <c r="D3668" s="126" t="s">
        <v>529</v>
      </c>
      <c r="E3668" s="128">
        <v>5.2720000000000002</v>
      </c>
      <c r="F3668" s="129">
        <f t="shared" si="173"/>
        <v>4.6636112E-2</v>
      </c>
      <c r="G3668" t="str">
        <f>_xlfn.XLOOKUP(D3668,'[1]2050 BAU Mapping to T &amp; C'!$A$3:$A$52,'[1]2050 BAU Mapping to T &amp; C'!$B$3:$B$52)</f>
        <v xml:space="preserve">Oil crops </v>
      </c>
      <c r="H3668" s="129">
        <f>_xlfn.XLOOKUP(G3668,'[1]T&amp;C emissions for 2050 analysis'!$B$3:$B$23,'[1]T&amp;C emissions for 2050 analysis'!$C$3:$C$23)</f>
        <v>0.18333333333333335</v>
      </c>
      <c r="I3668" s="27">
        <f t="shared" si="171"/>
        <v>8.549953866666668E-3</v>
      </c>
      <c r="J3668" s="129">
        <f t="shared" si="172"/>
        <v>0.96653333333333347</v>
      </c>
    </row>
    <row r="3669" spans="1:10" hidden="1" x14ac:dyDescent="0.35">
      <c r="A3669" s="126" t="s">
        <v>368</v>
      </c>
      <c r="B3669" t="str">
        <f>_xlfn.XLOOKUP(A3669,'[1]2050Pop'!$A$7:$A$143,'[1]2050Pop'!$D$7:$D$143)</f>
        <v>SSA</v>
      </c>
      <c r="C3669" s="127">
        <f>1000*_xlfn.XLOOKUP(A3669,'[1]2050Pop'!$A$7:$A$143,'[1]2050Pop'!$C$7:$C$143)</f>
        <v>22549</v>
      </c>
      <c r="D3669" s="126" t="s">
        <v>529</v>
      </c>
      <c r="E3669" s="128">
        <v>21.675000000000001</v>
      </c>
      <c r="F3669" s="129">
        <f t="shared" si="173"/>
        <v>0.48874957499999999</v>
      </c>
      <c r="G3669" t="str">
        <f>_xlfn.XLOOKUP(D3669,'[1]2050 BAU Mapping to T &amp; C'!$A$3:$A$52,'[1]2050 BAU Mapping to T &amp; C'!$B$3:$B$52)</f>
        <v xml:space="preserve">Oil crops </v>
      </c>
      <c r="H3669" s="129">
        <f>_xlfn.XLOOKUP(G3669,'[1]T&amp;C emissions for 2050 analysis'!$B$3:$B$23,'[1]T&amp;C emissions for 2050 analysis'!$C$3:$C$23)</f>
        <v>0.18333333333333335</v>
      </c>
      <c r="I3669" s="27">
        <f t="shared" si="171"/>
        <v>8.9604088750000005E-2</v>
      </c>
      <c r="J3669" s="129">
        <f t="shared" si="172"/>
        <v>3.9737500000000003</v>
      </c>
    </row>
    <row r="3670" spans="1:10" hidden="1" x14ac:dyDescent="0.35">
      <c r="A3670" s="126" t="s">
        <v>369</v>
      </c>
      <c r="B3670" t="str">
        <f>_xlfn.XLOOKUP(A3670,'[1]2050Pop'!$A$7:$A$143,'[1]2050Pop'!$D$7:$D$143)</f>
        <v>LatAm &amp; RSA</v>
      </c>
      <c r="C3670" s="127">
        <f>1000*_xlfn.XLOOKUP(A3670,'[1]2050Pop'!$A$7:$A$143,'[1]2050Pop'!$C$7:$C$143)</f>
        <v>15963</v>
      </c>
      <c r="D3670" s="126" t="s">
        <v>529</v>
      </c>
      <c r="E3670" s="130">
        <v>9.2899999999999991</v>
      </c>
      <c r="F3670" s="129">
        <f t="shared" si="173"/>
        <v>0.14829626999999998</v>
      </c>
      <c r="G3670" t="str">
        <f>_xlfn.XLOOKUP(D3670,'[1]2050 BAU Mapping to T &amp; C'!$A$3:$A$52,'[1]2050 BAU Mapping to T &amp; C'!$B$3:$B$52)</f>
        <v xml:space="preserve">Oil crops </v>
      </c>
      <c r="H3670" s="129">
        <f>_xlfn.XLOOKUP(G3670,'[1]T&amp;C emissions for 2050 analysis'!$B$3:$B$23,'[1]T&amp;C emissions for 2050 analysis'!$C$3:$C$23)</f>
        <v>0.18333333333333335</v>
      </c>
      <c r="I3670" s="27">
        <f t="shared" si="171"/>
        <v>2.7187649499999997E-2</v>
      </c>
      <c r="J3670" s="129">
        <f t="shared" si="172"/>
        <v>1.7031666666666667</v>
      </c>
    </row>
    <row r="3671" spans="1:10" hidden="1" x14ac:dyDescent="0.35">
      <c r="A3671" s="126" t="s">
        <v>372</v>
      </c>
      <c r="B3671" t="str">
        <f>_xlfn.XLOOKUP(A3671,'[1]2050Pop'!$A$7:$A$143,'[1]2050Pop'!$D$7:$D$143)</f>
        <v>LatAm &amp; RSA</v>
      </c>
      <c r="C3671" s="127">
        <f>1000*_xlfn.XLOOKUP(A3671,'[1]2050Pop'!$A$7:$A$143,'[1]2050Pop'!$C$7:$C$143)</f>
        <v>238270</v>
      </c>
      <c r="D3671" s="126" t="s">
        <v>529</v>
      </c>
      <c r="E3671" s="128">
        <v>1.3779999999999999</v>
      </c>
      <c r="F3671" s="129">
        <f t="shared" si="173"/>
        <v>0.32833605999999999</v>
      </c>
      <c r="G3671" t="str">
        <f>_xlfn.XLOOKUP(D3671,'[1]2050 BAU Mapping to T &amp; C'!$A$3:$A$52,'[1]2050 BAU Mapping to T &amp; C'!$B$3:$B$52)</f>
        <v xml:space="preserve">Oil crops </v>
      </c>
      <c r="H3671" s="129">
        <f>_xlfn.XLOOKUP(G3671,'[1]T&amp;C emissions for 2050 analysis'!$B$3:$B$23,'[1]T&amp;C emissions for 2050 analysis'!$C$3:$C$23)</f>
        <v>0.18333333333333335</v>
      </c>
      <c r="I3671" s="27">
        <f t="shared" si="171"/>
        <v>6.0194944333333333E-2</v>
      </c>
      <c r="J3671" s="129">
        <f t="shared" si="172"/>
        <v>0.25263333333333332</v>
      </c>
    </row>
    <row r="3672" spans="1:10" hidden="1" x14ac:dyDescent="0.35">
      <c r="A3672" s="126" t="s">
        <v>373</v>
      </c>
      <c r="B3672" t="str">
        <f>_xlfn.XLOOKUP(A3672,'[1]2050Pop'!$A$7:$A$143,'[1]2050Pop'!$D$7:$D$143)</f>
        <v>Euro/AU/NZ</v>
      </c>
      <c r="C3672" s="127">
        <f>1000*_xlfn.XLOOKUP(A3672,'[1]2050Pop'!$A$7:$A$143,'[1]2050Pop'!$C$7:$C$143)</f>
        <v>5154</v>
      </c>
      <c r="D3672" s="126" t="s">
        <v>529</v>
      </c>
      <c r="E3672" s="128">
        <v>2.444</v>
      </c>
      <c r="F3672" s="129">
        <f t="shared" si="173"/>
        <v>1.2596375999999999E-2</v>
      </c>
      <c r="G3672" t="str">
        <f>_xlfn.XLOOKUP(D3672,'[1]2050 BAU Mapping to T &amp; C'!$A$3:$A$52,'[1]2050 BAU Mapping to T &amp; C'!$B$3:$B$52)</f>
        <v xml:space="preserve">Oil crops </v>
      </c>
      <c r="H3672" s="129">
        <f>_xlfn.XLOOKUP(G3672,'[1]T&amp;C emissions for 2050 analysis'!$B$3:$B$23,'[1]T&amp;C emissions for 2050 analysis'!$C$3:$C$23)</f>
        <v>0.18333333333333335</v>
      </c>
      <c r="I3672" s="27">
        <f t="shared" si="171"/>
        <v>2.3093356000000002E-3</v>
      </c>
      <c r="J3672" s="129">
        <f t="shared" si="172"/>
        <v>0.44806666666666667</v>
      </c>
    </row>
    <row r="3673" spans="1:10" hidden="1" x14ac:dyDescent="0.35">
      <c r="A3673" s="126" t="s">
        <v>487</v>
      </c>
      <c r="B3673" t="str">
        <f>_xlfn.XLOOKUP(A3673,'[1]2050Pop'!$A$7:$A$143,'[1]2050Pop'!$D$7:$D$143)</f>
        <v>SSA</v>
      </c>
      <c r="C3673" s="127">
        <f>1000*_xlfn.XLOOKUP(A3673,'[1]2050Pop'!$A$7:$A$143,'[1]2050Pop'!$C$7:$C$143)</f>
        <v>42789</v>
      </c>
      <c r="D3673" s="126" t="s">
        <v>529</v>
      </c>
      <c r="E3673" s="128">
        <v>20.728000000000002</v>
      </c>
      <c r="F3673" s="129">
        <f t="shared" si="173"/>
        <v>0.88693039200000012</v>
      </c>
      <c r="G3673" t="str">
        <f>_xlfn.XLOOKUP(D3673,'[1]2050 BAU Mapping to T &amp; C'!$A$3:$A$52,'[1]2050 BAU Mapping to T &amp; C'!$B$3:$B$52)</f>
        <v xml:space="preserve">Oil crops </v>
      </c>
      <c r="H3673" s="129">
        <f>_xlfn.XLOOKUP(G3673,'[1]T&amp;C emissions for 2050 analysis'!$B$3:$B$23,'[1]T&amp;C emissions for 2050 analysis'!$C$3:$C$23)</f>
        <v>0.18333333333333335</v>
      </c>
      <c r="I3673" s="27">
        <f t="shared" si="171"/>
        <v>0.16260390520000004</v>
      </c>
      <c r="J3673" s="129">
        <f t="shared" si="172"/>
        <v>3.800133333333334</v>
      </c>
    </row>
    <row r="3674" spans="1:10" hidden="1" x14ac:dyDescent="0.35">
      <c r="A3674" s="126" t="s">
        <v>374</v>
      </c>
      <c r="B3674" t="str">
        <f>_xlfn.XLOOKUP(A3674,'[1]2050Pop'!$A$7:$A$143,'[1]2050Pop'!$D$7:$D$143)</f>
        <v>APAC</v>
      </c>
      <c r="C3674" s="127">
        <f>1000*_xlfn.XLOOKUP(A3674,'[1]2050Pop'!$A$7:$A$143,'[1]2050Pop'!$C$7:$C$143)</f>
        <v>22545</v>
      </c>
      <c r="D3674" s="126" t="s">
        <v>529</v>
      </c>
      <c r="E3674" s="130">
        <v>53.27</v>
      </c>
      <c r="F3674" s="129">
        <f t="shared" si="173"/>
        <v>1.2009721500000001</v>
      </c>
      <c r="G3674" t="str">
        <f>_xlfn.XLOOKUP(D3674,'[1]2050 BAU Mapping to T &amp; C'!$A$3:$A$52,'[1]2050 BAU Mapping to T &amp; C'!$B$3:$B$52)</f>
        <v xml:space="preserve">Oil crops </v>
      </c>
      <c r="H3674" s="129">
        <f>_xlfn.XLOOKUP(G3674,'[1]T&amp;C emissions for 2050 analysis'!$B$3:$B$23,'[1]T&amp;C emissions for 2050 analysis'!$C$3:$C$23)</f>
        <v>0.18333333333333335</v>
      </c>
      <c r="I3674" s="27">
        <f t="shared" si="171"/>
        <v>0.22017822750000005</v>
      </c>
      <c r="J3674" s="129">
        <f t="shared" si="172"/>
        <v>9.7661666666666687</v>
      </c>
    </row>
    <row r="3675" spans="1:10" hidden="1" x14ac:dyDescent="0.35">
      <c r="A3675" s="126" t="s">
        <v>375</v>
      </c>
      <c r="B3675" t="str">
        <f>_xlfn.XLOOKUP(A3675,'[1]2050Pop'!$A$7:$A$143,'[1]2050Pop'!$D$7:$D$143)</f>
        <v>SSA</v>
      </c>
      <c r="C3675" s="127">
        <f>1000*_xlfn.XLOOKUP(A3675,'[1]2050Pop'!$A$7:$A$143,'[1]2050Pop'!$C$7:$C$143)</f>
        <v>48362</v>
      </c>
      <c r="D3675" s="126" t="s">
        <v>529</v>
      </c>
      <c r="E3675" s="128">
        <v>26.885999999999999</v>
      </c>
      <c r="F3675" s="129">
        <f t="shared" si="173"/>
        <v>1.3002607320000001</v>
      </c>
      <c r="G3675" t="str">
        <f>_xlfn.XLOOKUP(D3675,'[1]2050 BAU Mapping to T &amp; C'!$A$3:$A$52,'[1]2050 BAU Mapping to T &amp; C'!$B$3:$B$52)</f>
        <v xml:space="preserve">Oil crops </v>
      </c>
      <c r="H3675" s="129">
        <f>_xlfn.XLOOKUP(G3675,'[1]T&amp;C emissions for 2050 analysis'!$B$3:$B$23,'[1]T&amp;C emissions for 2050 analysis'!$C$3:$C$23)</f>
        <v>0.18333333333333335</v>
      </c>
      <c r="I3675" s="27">
        <f t="shared" si="171"/>
        <v>0.23838113420000004</v>
      </c>
      <c r="J3675" s="129">
        <f t="shared" si="172"/>
        <v>4.9291</v>
      </c>
    </row>
    <row r="3676" spans="1:10" hidden="1" x14ac:dyDescent="0.35">
      <c r="A3676" s="126" t="s">
        <v>376</v>
      </c>
      <c r="B3676" t="str">
        <f>_xlfn.XLOOKUP(A3676,'[1]2050Pop'!$A$7:$A$143,'[1]2050Pop'!$D$7:$D$143)</f>
        <v>NAm</v>
      </c>
      <c r="C3676" s="127">
        <f>1000*_xlfn.XLOOKUP(A3676,'[1]2050Pop'!$A$7:$A$143,'[1]2050Pop'!$C$7:$C$143)</f>
        <v>44136</v>
      </c>
      <c r="D3676" s="126" t="s">
        <v>529</v>
      </c>
      <c r="E3676" s="128">
        <v>3.806</v>
      </c>
      <c r="F3676" s="129">
        <f t="shared" si="173"/>
        <v>0.167981616</v>
      </c>
      <c r="G3676" t="str">
        <f>_xlfn.XLOOKUP(D3676,'[1]2050 BAU Mapping to T &amp; C'!$A$3:$A$52,'[1]2050 BAU Mapping to T &amp; C'!$B$3:$B$52)</f>
        <v xml:space="preserve">Oil crops </v>
      </c>
      <c r="H3676" s="129">
        <f>_xlfn.XLOOKUP(G3676,'[1]T&amp;C emissions for 2050 analysis'!$B$3:$B$23,'[1]T&amp;C emissions for 2050 analysis'!$C$3:$C$23)</f>
        <v>0.18333333333333335</v>
      </c>
      <c r="I3676" s="27">
        <f t="shared" si="171"/>
        <v>3.0796629600000004E-2</v>
      </c>
      <c r="J3676" s="129">
        <f t="shared" si="172"/>
        <v>0.69776666666666676</v>
      </c>
    </row>
    <row r="3677" spans="1:10" hidden="1" x14ac:dyDescent="0.35">
      <c r="A3677" s="126" t="s">
        <v>377</v>
      </c>
      <c r="B3677" t="str">
        <f>_xlfn.XLOOKUP(A3677,'[1]2050Pop'!$A$7:$A$143,'[1]2050Pop'!$D$7:$D$143)</f>
        <v>SSA</v>
      </c>
      <c r="C3677" s="127">
        <f>1000*_xlfn.XLOOKUP(A3677,'[1]2050Pop'!$A$7:$A$143,'[1]2050Pop'!$C$7:$C$143)</f>
        <v>8782</v>
      </c>
      <c r="D3677" s="126" t="s">
        <v>529</v>
      </c>
      <c r="E3677" s="128">
        <v>42.271000000000001</v>
      </c>
      <c r="F3677" s="129">
        <f t="shared" si="173"/>
        <v>0.37122392200000004</v>
      </c>
      <c r="G3677" t="str">
        <f>_xlfn.XLOOKUP(D3677,'[1]2050 BAU Mapping to T &amp; C'!$A$3:$A$52,'[1]2050 BAU Mapping to T &amp; C'!$B$3:$B$52)</f>
        <v xml:space="preserve">Oil crops </v>
      </c>
      <c r="H3677" s="129">
        <f>_xlfn.XLOOKUP(G3677,'[1]T&amp;C emissions for 2050 analysis'!$B$3:$B$23,'[1]T&amp;C emissions for 2050 analysis'!$C$3:$C$23)</f>
        <v>0.18333333333333335</v>
      </c>
      <c r="I3677" s="27">
        <f t="shared" si="171"/>
        <v>6.8057719033333353E-2</v>
      </c>
      <c r="J3677" s="129">
        <f t="shared" si="172"/>
        <v>7.7496833333333344</v>
      </c>
    </row>
    <row r="3678" spans="1:10" hidden="1" x14ac:dyDescent="0.35">
      <c r="A3678" s="126" t="s">
        <v>488</v>
      </c>
      <c r="B3678" t="str">
        <f>_xlfn.XLOOKUP(A3678,'[1]2050Pop'!$A$7:$A$143,'[1]2050Pop'!$D$7:$D$143)</f>
        <v>SSA</v>
      </c>
      <c r="C3678" s="127">
        <f>1000*_xlfn.XLOOKUP(A3678,'[1]2050Pop'!$A$7:$A$143,'[1]2050Pop'!$C$7:$C$143)</f>
        <v>35131</v>
      </c>
      <c r="D3678" s="126" t="s">
        <v>529</v>
      </c>
      <c r="E3678" s="128">
        <v>59.823</v>
      </c>
      <c r="F3678" s="129">
        <f t="shared" si="173"/>
        <v>2.1016418130000001</v>
      </c>
      <c r="G3678" t="str">
        <f>_xlfn.XLOOKUP(D3678,'[1]2050 BAU Mapping to T &amp; C'!$A$3:$A$52,'[1]2050 BAU Mapping to T &amp; C'!$B$3:$B$52)</f>
        <v xml:space="preserve">Oil crops </v>
      </c>
      <c r="H3678" s="129">
        <f>_xlfn.XLOOKUP(G3678,'[1]T&amp;C emissions for 2050 analysis'!$B$3:$B$23,'[1]T&amp;C emissions for 2050 analysis'!$C$3:$C$23)</f>
        <v>0.18333333333333335</v>
      </c>
      <c r="I3678" s="27">
        <f t="shared" si="171"/>
        <v>0.38530099905000004</v>
      </c>
      <c r="J3678" s="129">
        <f t="shared" si="172"/>
        <v>10.967550000000001</v>
      </c>
    </row>
    <row r="3679" spans="1:10" hidden="1" x14ac:dyDescent="0.35">
      <c r="A3679" s="126" t="s">
        <v>379</v>
      </c>
      <c r="B3679" t="str">
        <f>_xlfn.XLOOKUP(A3679,'[1]2050Pop'!$A$7:$A$143,'[1]2050Pop'!$D$7:$D$143)</f>
        <v>Greater China</v>
      </c>
      <c r="C3679" s="127">
        <f>1000*_xlfn.XLOOKUP(A3679,'[1]2050Pop'!$A$7:$A$143,'[1]2050Pop'!$C$7:$C$143)</f>
        <v>8148</v>
      </c>
      <c r="D3679" s="126" t="s">
        <v>529</v>
      </c>
      <c r="E3679" s="130">
        <v>1.82</v>
      </c>
      <c r="F3679" s="129">
        <f t="shared" si="173"/>
        <v>1.482936E-2</v>
      </c>
      <c r="G3679" t="str">
        <f>_xlfn.XLOOKUP(D3679,'[1]2050 BAU Mapping to T &amp; C'!$A$3:$A$52,'[1]2050 BAU Mapping to T &amp; C'!$B$3:$B$52)</f>
        <v xml:space="preserve">Oil crops </v>
      </c>
      <c r="H3679" s="129">
        <f>_xlfn.XLOOKUP(G3679,'[1]T&amp;C emissions for 2050 analysis'!$B$3:$B$23,'[1]T&amp;C emissions for 2050 analysis'!$C$3:$C$23)</f>
        <v>0.18333333333333335</v>
      </c>
      <c r="I3679" s="27">
        <f t="shared" si="171"/>
        <v>2.7187160000000004E-3</v>
      </c>
      <c r="J3679" s="129">
        <f t="shared" si="172"/>
        <v>0.33366666666666672</v>
      </c>
    </row>
    <row r="3680" spans="1:10" hidden="1" x14ac:dyDescent="0.35">
      <c r="A3680" s="126" t="s">
        <v>380</v>
      </c>
      <c r="B3680" t="str">
        <f>_xlfn.XLOOKUP(A3680,'[1]2050Pop'!$A$7:$A$143,'[1]2050Pop'!$D$7:$D$143)</f>
        <v>Greater China</v>
      </c>
      <c r="C3680" s="127">
        <f>1000*_xlfn.XLOOKUP(A3680,'[1]2050Pop'!$A$7:$A$143,'[1]2050Pop'!$C$7:$C$143)</f>
        <v>1348056</v>
      </c>
      <c r="D3680" s="126" t="s">
        <v>529</v>
      </c>
      <c r="E3680" s="128">
        <v>7.6760000000000002</v>
      </c>
      <c r="F3680" s="129">
        <f t="shared" si="173"/>
        <v>10.347677856000001</v>
      </c>
      <c r="G3680" t="str">
        <f>_xlfn.XLOOKUP(D3680,'[1]2050 BAU Mapping to T &amp; C'!$A$3:$A$52,'[1]2050 BAU Mapping to T &amp; C'!$B$3:$B$52)</f>
        <v xml:space="preserve">Oil crops </v>
      </c>
      <c r="H3680" s="129">
        <f>_xlfn.XLOOKUP(G3680,'[1]T&amp;C emissions for 2050 analysis'!$B$3:$B$23,'[1]T&amp;C emissions for 2050 analysis'!$C$3:$C$23)</f>
        <v>0.18333333333333335</v>
      </c>
      <c r="I3680" s="27">
        <f t="shared" si="171"/>
        <v>1.8970742736000004</v>
      </c>
      <c r="J3680" s="129">
        <f t="shared" si="172"/>
        <v>1.4072666666666669</v>
      </c>
    </row>
    <row r="3681" spans="1:10" hidden="1" x14ac:dyDescent="0.35">
      <c r="A3681" s="126" t="s">
        <v>381</v>
      </c>
      <c r="B3681" t="str">
        <f>_xlfn.XLOOKUP(A3681,'[1]2050Pop'!$A$7:$A$143,'[1]2050Pop'!$D$7:$D$143)</f>
        <v>Greater China</v>
      </c>
      <c r="C3681" s="127">
        <f>1000*_xlfn.XLOOKUP(A3681,'[1]2050Pop'!$A$7:$A$143,'[1]2050Pop'!$C$7:$C$143)</f>
        <v>20778</v>
      </c>
      <c r="D3681" s="126" t="s">
        <v>529</v>
      </c>
      <c r="E3681" s="128">
        <v>4.3440000000000003</v>
      </c>
      <c r="F3681" s="129">
        <f t="shared" si="173"/>
        <v>9.0259632000000006E-2</v>
      </c>
      <c r="G3681" t="str">
        <f>_xlfn.XLOOKUP(D3681,'[1]2050 BAU Mapping to T &amp; C'!$A$3:$A$52,'[1]2050 BAU Mapping to T &amp; C'!$B$3:$B$52)</f>
        <v xml:space="preserve">Oil crops </v>
      </c>
      <c r="H3681" s="129">
        <f>_xlfn.XLOOKUP(G3681,'[1]T&amp;C emissions for 2050 analysis'!$B$3:$B$23,'[1]T&amp;C emissions for 2050 analysis'!$C$3:$C$23)</f>
        <v>0.18333333333333335</v>
      </c>
      <c r="I3681" s="27">
        <f t="shared" si="171"/>
        <v>1.6547599200000002E-2</v>
      </c>
      <c r="J3681" s="129">
        <f t="shared" si="172"/>
        <v>0.79640000000000011</v>
      </c>
    </row>
    <row r="3682" spans="1:10" hidden="1" x14ac:dyDescent="0.35">
      <c r="A3682" s="126" t="s">
        <v>384</v>
      </c>
      <c r="B3682" t="str">
        <f>_xlfn.XLOOKUP(A3682,'[1]2050Pop'!$A$7:$A$143,'[1]2050Pop'!$D$7:$D$143)</f>
        <v>SSA</v>
      </c>
      <c r="C3682" s="127">
        <f>1000*_xlfn.XLOOKUP(A3682,'[1]2050Pop'!$A$7:$A$143,'[1]2050Pop'!$C$7:$C$143)</f>
        <v>48797</v>
      </c>
      <c r="D3682" s="126" t="s">
        <v>529</v>
      </c>
      <c r="E3682" s="128">
        <v>3.2869999999999999</v>
      </c>
      <c r="F3682" s="129">
        <f t="shared" si="173"/>
        <v>0.16039573900000001</v>
      </c>
      <c r="G3682" t="str">
        <f>_xlfn.XLOOKUP(D3682,'[1]2050 BAU Mapping to T &amp; C'!$A$3:$A$52,'[1]2050 BAU Mapping to T &amp; C'!$B$3:$B$52)</f>
        <v xml:space="preserve">Oil crops </v>
      </c>
      <c r="H3682" s="129">
        <f>_xlfn.XLOOKUP(G3682,'[1]T&amp;C emissions for 2050 analysis'!$B$3:$B$23,'[1]T&amp;C emissions for 2050 analysis'!$C$3:$C$23)</f>
        <v>0.18333333333333335</v>
      </c>
      <c r="I3682" s="27">
        <f t="shared" si="171"/>
        <v>2.9405885483333338E-2</v>
      </c>
      <c r="J3682" s="129">
        <f t="shared" si="172"/>
        <v>0.60261666666666669</v>
      </c>
    </row>
    <row r="3683" spans="1:10" hidden="1" x14ac:dyDescent="0.35">
      <c r="A3683" s="126" t="s">
        <v>385</v>
      </c>
      <c r="B3683" t="str">
        <f>_xlfn.XLOOKUP(A3683,'[1]2050Pop'!$A$7:$A$143,'[1]2050Pop'!$D$7:$D$143)</f>
        <v>Euro/AU/NZ</v>
      </c>
      <c r="C3683" s="127">
        <f>1000*_xlfn.XLOOKUP(A3683,'[1]2050Pop'!$A$7:$A$143,'[1]2050Pop'!$C$7:$C$143)</f>
        <v>3554</v>
      </c>
      <c r="D3683" s="126" t="s">
        <v>529</v>
      </c>
      <c r="E3683" s="128">
        <v>1.3540000000000001</v>
      </c>
      <c r="F3683" s="129">
        <f t="shared" si="173"/>
        <v>4.812116E-3</v>
      </c>
      <c r="G3683" t="str">
        <f>_xlfn.XLOOKUP(D3683,'[1]2050 BAU Mapping to T &amp; C'!$A$3:$A$52,'[1]2050 BAU Mapping to T &amp; C'!$B$3:$B$52)</f>
        <v xml:space="preserve">Oil crops </v>
      </c>
      <c r="H3683" s="129">
        <f>_xlfn.XLOOKUP(G3683,'[1]T&amp;C emissions for 2050 analysis'!$B$3:$B$23,'[1]T&amp;C emissions for 2050 analysis'!$C$3:$C$23)</f>
        <v>0.18333333333333335</v>
      </c>
      <c r="I3683" s="27">
        <f t="shared" si="171"/>
        <v>8.822212666666667E-4</v>
      </c>
      <c r="J3683" s="129">
        <f t="shared" si="172"/>
        <v>0.24823333333333336</v>
      </c>
    </row>
    <row r="3684" spans="1:10" hidden="1" x14ac:dyDescent="0.35">
      <c r="A3684" s="126" t="s">
        <v>391</v>
      </c>
      <c r="B3684" t="str">
        <f>_xlfn.XLOOKUP(A3684,'[1]2050Pop'!$A$7:$A$143,'[1]2050Pop'!$D$7:$D$143)</f>
        <v>MENA</v>
      </c>
      <c r="C3684" s="127">
        <f>1000*_xlfn.XLOOKUP(A3684,'[1]2050Pop'!$A$7:$A$143,'[1]2050Pop'!$C$7:$C$143)</f>
        <v>151111</v>
      </c>
      <c r="D3684" s="126" t="s">
        <v>529</v>
      </c>
      <c r="E3684" s="128">
        <v>16.707999999999998</v>
      </c>
      <c r="F3684" s="129">
        <f t="shared" si="173"/>
        <v>2.5247625880000002</v>
      </c>
      <c r="G3684" t="str">
        <f>_xlfn.XLOOKUP(D3684,'[1]2050 BAU Mapping to T &amp; C'!$A$3:$A$52,'[1]2050 BAU Mapping to T &amp; C'!$B$3:$B$52)</f>
        <v xml:space="preserve">Oil crops </v>
      </c>
      <c r="H3684" s="129">
        <f>_xlfn.XLOOKUP(G3684,'[1]T&amp;C emissions for 2050 analysis'!$B$3:$B$23,'[1]T&amp;C emissions for 2050 analysis'!$C$3:$C$23)</f>
        <v>0.18333333333333335</v>
      </c>
      <c r="I3684" s="27">
        <f t="shared" si="171"/>
        <v>0.46287314113333339</v>
      </c>
      <c r="J3684" s="129">
        <f t="shared" si="172"/>
        <v>3.0631333333333335</v>
      </c>
    </row>
    <row r="3685" spans="1:10" hidden="1" x14ac:dyDescent="0.35">
      <c r="A3685" s="126" t="s">
        <v>392</v>
      </c>
      <c r="B3685" t="str">
        <f>_xlfn.XLOOKUP(A3685,'[1]2050Pop'!$A$7:$A$143,'[1]2050Pop'!$D$7:$D$143)</f>
        <v>LatAm &amp; RSA</v>
      </c>
      <c r="C3685" s="127">
        <f>1000*_xlfn.XLOOKUP(A3685,'[1]2050Pop'!$A$7:$A$143,'[1]2050Pop'!$C$7:$C$143)</f>
        <v>6390</v>
      </c>
      <c r="D3685" s="126" t="s">
        <v>529</v>
      </c>
      <c r="E3685" s="128">
        <v>5.0919999999999996</v>
      </c>
      <c r="F3685" s="129">
        <f t="shared" si="173"/>
        <v>3.2537879999999998E-2</v>
      </c>
      <c r="G3685" t="str">
        <f>_xlfn.XLOOKUP(D3685,'[1]2050 BAU Mapping to T &amp; C'!$A$3:$A$52,'[1]2050 BAU Mapping to T &amp; C'!$B$3:$B$52)</f>
        <v xml:space="preserve">Oil crops </v>
      </c>
      <c r="H3685" s="129">
        <f>_xlfn.XLOOKUP(G3685,'[1]T&amp;C emissions for 2050 analysis'!$B$3:$B$23,'[1]T&amp;C emissions for 2050 analysis'!$C$3:$C$23)</f>
        <v>0.18333333333333335</v>
      </c>
      <c r="I3685" s="27">
        <f t="shared" si="171"/>
        <v>5.9652780000000001E-3</v>
      </c>
      <c r="J3685" s="129">
        <f t="shared" si="172"/>
        <v>0.93353333333333333</v>
      </c>
    </row>
    <row r="3686" spans="1:10" hidden="1" x14ac:dyDescent="0.35">
      <c r="A3686" s="126" t="s">
        <v>394</v>
      </c>
      <c r="B3686" t="str">
        <f>_xlfn.XLOOKUP(A3686,'[1]2050Pop'!$A$7:$A$143,'[1]2050Pop'!$D$7:$D$143)</f>
        <v>SSA</v>
      </c>
      <c r="C3686" s="127">
        <f>1000*_xlfn.XLOOKUP(A3686,'[1]2050Pop'!$A$7:$A$143,'[1]2050Pop'!$C$7:$C$143)</f>
        <v>188455</v>
      </c>
      <c r="D3686" s="126" t="s">
        <v>529</v>
      </c>
      <c r="E3686" s="128">
        <v>2.9940000000000002</v>
      </c>
      <c r="F3686" s="129">
        <f t="shared" si="173"/>
        <v>0.56423427000000004</v>
      </c>
      <c r="G3686" t="str">
        <f>_xlfn.XLOOKUP(D3686,'[1]2050 BAU Mapping to T &amp; C'!$A$3:$A$52,'[1]2050 BAU Mapping to T &amp; C'!$B$3:$B$52)</f>
        <v xml:space="preserve">Oil crops </v>
      </c>
      <c r="H3686" s="129">
        <f>_xlfn.XLOOKUP(G3686,'[1]T&amp;C emissions for 2050 analysis'!$B$3:$B$23,'[1]T&amp;C emissions for 2050 analysis'!$C$3:$C$23)</f>
        <v>0.18333333333333335</v>
      </c>
      <c r="I3686" s="27">
        <f t="shared" si="171"/>
        <v>0.10344294950000002</v>
      </c>
      <c r="J3686" s="129">
        <f t="shared" si="172"/>
        <v>0.54890000000000005</v>
      </c>
    </row>
    <row r="3687" spans="1:10" hidden="1" x14ac:dyDescent="0.35">
      <c r="A3687" s="126" t="s">
        <v>395</v>
      </c>
      <c r="B3687" t="str">
        <f>_xlfn.XLOOKUP(A3687,'[1]2050Pop'!$A$7:$A$143,'[1]2050Pop'!$D$7:$D$143)</f>
        <v>Euro/AU/NZ</v>
      </c>
      <c r="C3687" s="127">
        <f>1000*_xlfn.XLOOKUP(A3687,'[1]2050Pop'!$A$7:$A$143,'[1]2050Pop'!$C$7:$C$143)</f>
        <v>5752</v>
      </c>
      <c r="D3687" s="126" t="s">
        <v>529</v>
      </c>
      <c r="E3687" s="128">
        <v>1.246</v>
      </c>
      <c r="F3687" s="129">
        <f t="shared" si="173"/>
        <v>7.1669920000000005E-3</v>
      </c>
      <c r="G3687" t="str">
        <f>_xlfn.XLOOKUP(D3687,'[1]2050 BAU Mapping to T &amp; C'!$A$3:$A$52,'[1]2050 BAU Mapping to T &amp; C'!$B$3:$B$52)</f>
        <v xml:space="preserve">Oil crops </v>
      </c>
      <c r="H3687" s="129">
        <f>_xlfn.XLOOKUP(G3687,'[1]T&amp;C emissions for 2050 analysis'!$B$3:$B$23,'[1]T&amp;C emissions for 2050 analysis'!$C$3:$C$23)</f>
        <v>0.18333333333333335</v>
      </c>
      <c r="I3687" s="27">
        <f t="shared" si="171"/>
        <v>1.3139485333333336E-3</v>
      </c>
      <c r="J3687" s="129">
        <f t="shared" si="172"/>
        <v>0.22843333333333335</v>
      </c>
    </row>
    <row r="3688" spans="1:10" hidden="1" x14ac:dyDescent="0.35">
      <c r="A3688" s="126" t="s">
        <v>489</v>
      </c>
      <c r="B3688" t="str">
        <f>_xlfn.XLOOKUP(A3688,'[1]2050Pop'!$A$7:$A$143,'[1]2050Pop'!$D$7:$D$143)</f>
        <v>SSA</v>
      </c>
      <c r="C3688" s="127">
        <f>1000*_xlfn.XLOOKUP(A3688,'[1]2050Pop'!$A$7:$A$143,'[1]2050Pop'!$C$7:$C$143)</f>
        <v>4981</v>
      </c>
      <c r="D3688" s="126" t="s">
        <v>529</v>
      </c>
      <c r="E3688" s="128">
        <v>32.298999999999999</v>
      </c>
      <c r="F3688" s="129">
        <f t="shared" si="173"/>
        <v>0.16088131899999999</v>
      </c>
      <c r="G3688" t="str">
        <f>_xlfn.XLOOKUP(D3688,'[1]2050 BAU Mapping to T &amp; C'!$A$3:$A$52,'[1]2050 BAU Mapping to T &amp; C'!$B$3:$B$52)</f>
        <v xml:space="preserve">Oil crops </v>
      </c>
      <c r="H3688" s="129">
        <f>_xlfn.XLOOKUP(G3688,'[1]T&amp;C emissions for 2050 analysis'!$B$3:$B$23,'[1]T&amp;C emissions for 2050 analysis'!$C$3:$C$23)</f>
        <v>0.18333333333333335</v>
      </c>
      <c r="I3688" s="27">
        <f t="shared" si="171"/>
        <v>2.9494908483333335E-2</v>
      </c>
      <c r="J3688" s="129">
        <f t="shared" si="172"/>
        <v>5.9214833333333337</v>
      </c>
    </row>
    <row r="3689" spans="1:10" hidden="1" x14ac:dyDescent="0.35">
      <c r="A3689" s="126" t="s">
        <v>401</v>
      </c>
      <c r="B3689" t="str">
        <f>_xlfn.XLOOKUP(A3689,'[1]2050Pop'!$A$7:$A$143,'[1]2050Pop'!$D$7:$D$143)</f>
        <v>Euro/AU/NZ</v>
      </c>
      <c r="C3689" s="127">
        <f>1000*_xlfn.XLOOKUP(A3689,'[1]2050Pop'!$A$7:$A$143,'[1]2050Pop'!$C$7:$C$143)</f>
        <v>9705</v>
      </c>
      <c r="D3689" s="126" t="s">
        <v>529</v>
      </c>
      <c r="E3689" s="128">
        <v>22.613</v>
      </c>
      <c r="F3689" s="129">
        <f t="shared" si="173"/>
        <v>0.21945916500000001</v>
      </c>
      <c r="G3689" t="str">
        <f>_xlfn.XLOOKUP(D3689,'[1]2050 BAU Mapping to T &amp; C'!$A$3:$A$52,'[1]2050 BAU Mapping to T &amp; C'!$B$3:$B$52)</f>
        <v xml:space="preserve">Oil crops </v>
      </c>
      <c r="H3689" s="129">
        <f>_xlfn.XLOOKUP(G3689,'[1]T&amp;C emissions for 2050 analysis'!$B$3:$B$23,'[1]T&amp;C emissions for 2050 analysis'!$C$3:$C$23)</f>
        <v>0.18333333333333335</v>
      </c>
      <c r="I3689" s="27">
        <f t="shared" si="171"/>
        <v>4.0234180250000008E-2</v>
      </c>
      <c r="J3689" s="129">
        <f t="shared" si="172"/>
        <v>4.1457166666666669</v>
      </c>
    </row>
    <row r="3690" spans="1:10" hidden="1" x14ac:dyDescent="0.35">
      <c r="A3690" s="126" t="s">
        <v>402</v>
      </c>
      <c r="B3690" t="str">
        <f>_xlfn.XLOOKUP(A3690,'[1]2050Pop'!$A$7:$A$143,'[1]2050Pop'!$D$7:$D$143)</f>
        <v>LatAm &amp; RSA</v>
      </c>
      <c r="C3690" s="127">
        <f>1000*_xlfn.XLOOKUP(A3690,'[1]2050Pop'!$A$7:$A$143,'[1]2050Pop'!$C$7:$C$143)</f>
        <v>27754</v>
      </c>
      <c r="D3690" s="126" t="s">
        <v>529</v>
      </c>
      <c r="E3690" s="128">
        <v>41.683999999999997</v>
      </c>
      <c r="F3690" s="129">
        <f t="shared" si="173"/>
        <v>1.1568977360000001</v>
      </c>
      <c r="G3690" t="str">
        <f>_xlfn.XLOOKUP(D3690,'[1]2050 BAU Mapping to T &amp; C'!$A$3:$A$52,'[1]2050 BAU Mapping to T &amp; C'!$B$3:$B$52)</f>
        <v xml:space="preserve">Oil crops </v>
      </c>
      <c r="H3690" s="129">
        <f>_xlfn.XLOOKUP(G3690,'[1]T&amp;C emissions for 2050 analysis'!$B$3:$B$23,'[1]T&amp;C emissions for 2050 analysis'!$C$3:$C$23)</f>
        <v>0.18333333333333335</v>
      </c>
      <c r="I3690" s="27">
        <f t="shared" si="171"/>
        <v>0.21209791826666671</v>
      </c>
      <c r="J3690" s="129">
        <f t="shared" si="172"/>
        <v>7.6420666666666666</v>
      </c>
    </row>
    <row r="3691" spans="1:10" hidden="1" x14ac:dyDescent="0.35">
      <c r="A3691" s="126" t="s">
        <v>405</v>
      </c>
      <c r="B3691" t="str">
        <f>_xlfn.XLOOKUP(A3691,'[1]2050Pop'!$A$7:$A$143,'[1]2050Pop'!$D$7:$D$143)</f>
        <v>LatAm &amp; RSA</v>
      </c>
      <c r="C3691" s="127">
        <f>1000*_xlfn.XLOOKUP(A3691,'[1]2050Pop'!$A$7:$A$143,'[1]2050Pop'!$C$7:$C$143)</f>
        <v>14189</v>
      </c>
      <c r="D3691" s="126" t="s">
        <v>529</v>
      </c>
      <c r="E3691" s="128">
        <v>8.1110000000000007</v>
      </c>
      <c r="F3691" s="129">
        <f t="shared" si="173"/>
        <v>0.11508697900000001</v>
      </c>
      <c r="G3691" t="str">
        <f>_xlfn.XLOOKUP(D3691,'[1]2050 BAU Mapping to T &amp; C'!$A$3:$A$52,'[1]2050 BAU Mapping to T &amp; C'!$B$3:$B$52)</f>
        <v xml:space="preserve">Oil crops </v>
      </c>
      <c r="H3691" s="129">
        <f>_xlfn.XLOOKUP(G3691,'[1]T&amp;C emissions for 2050 analysis'!$B$3:$B$23,'[1]T&amp;C emissions for 2050 analysis'!$C$3:$C$23)</f>
        <v>0.18333333333333335</v>
      </c>
      <c r="I3691" s="27">
        <f t="shared" si="171"/>
        <v>2.1099279483333337E-2</v>
      </c>
      <c r="J3691" s="129">
        <f t="shared" si="172"/>
        <v>1.4870166666666669</v>
      </c>
    </row>
    <row r="3692" spans="1:10" hidden="1" x14ac:dyDescent="0.35">
      <c r="A3692" s="126" t="s">
        <v>407</v>
      </c>
      <c r="B3692" t="str">
        <f>_xlfn.XLOOKUP(A3692,'[1]2050Pop'!$A$7:$A$143,'[1]2050Pop'!$D$7:$D$143)</f>
        <v>Euro/AU/NZ</v>
      </c>
      <c r="C3692" s="127">
        <f>1000*_xlfn.XLOOKUP(A3692,'[1]2050Pop'!$A$7:$A$143,'[1]2050Pop'!$C$7:$C$143)</f>
        <v>8318</v>
      </c>
      <c r="D3692" s="126" t="s">
        <v>529</v>
      </c>
      <c r="E3692" s="128">
        <v>2.3740000000000001</v>
      </c>
      <c r="F3692" s="129">
        <f t="shared" si="173"/>
        <v>1.9746932000000002E-2</v>
      </c>
      <c r="G3692" t="str">
        <f>_xlfn.XLOOKUP(D3692,'[1]2050 BAU Mapping to T &amp; C'!$A$3:$A$52,'[1]2050 BAU Mapping to T &amp; C'!$B$3:$B$52)</f>
        <v xml:space="preserve">Oil crops </v>
      </c>
      <c r="H3692" s="129">
        <f>_xlfn.XLOOKUP(G3692,'[1]T&amp;C emissions for 2050 analysis'!$B$3:$B$23,'[1]T&amp;C emissions for 2050 analysis'!$C$3:$C$23)</f>
        <v>0.18333333333333335</v>
      </c>
      <c r="I3692" s="27">
        <f t="shared" si="171"/>
        <v>3.6202708666666673E-3</v>
      </c>
      <c r="J3692" s="129">
        <f t="shared" si="172"/>
        <v>0.43523333333333336</v>
      </c>
    </row>
    <row r="3693" spans="1:10" hidden="1" x14ac:dyDescent="0.35">
      <c r="A3693" s="126" t="s">
        <v>408</v>
      </c>
      <c r="B3693" t="str">
        <f>_xlfn.XLOOKUP(A3693,'[1]2050Pop'!$A$7:$A$143,'[1]2050Pop'!$D$7:$D$143)</f>
        <v>India/South Asia</v>
      </c>
      <c r="C3693" s="127">
        <f>1000*_xlfn.XLOOKUP(A3693,'[1]2050Pop'!$A$7:$A$143,'[1]2050Pop'!$C$7:$C$143)</f>
        <v>1705333</v>
      </c>
      <c r="D3693" s="126" t="s">
        <v>529</v>
      </c>
      <c r="E3693" s="128">
        <v>1.4590000000000001</v>
      </c>
      <c r="F3693" s="129">
        <f t="shared" si="173"/>
        <v>2.488080847</v>
      </c>
      <c r="G3693" t="str">
        <f>_xlfn.XLOOKUP(D3693,'[1]2050 BAU Mapping to T &amp; C'!$A$3:$A$52,'[1]2050 BAU Mapping to T &amp; C'!$B$3:$B$52)</f>
        <v xml:space="preserve">Oil crops </v>
      </c>
      <c r="H3693" s="129">
        <f>_xlfn.XLOOKUP(G3693,'[1]T&amp;C emissions for 2050 analysis'!$B$3:$B$23,'[1]T&amp;C emissions for 2050 analysis'!$C$3:$C$23)</f>
        <v>0.18333333333333335</v>
      </c>
      <c r="I3693" s="27">
        <f t="shared" si="171"/>
        <v>0.45614815528333336</v>
      </c>
      <c r="J3693" s="129">
        <f t="shared" si="172"/>
        <v>0.26748333333333335</v>
      </c>
    </row>
    <row r="3694" spans="1:10" hidden="1" x14ac:dyDescent="0.35">
      <c r="A3694" s="126" t="s">
        <v>409</v>
      </c>
      <c r="B3694" t="str">
        <f>_xlfn.XLOOKUP(A3694,'[1]2050Pop'!$A$7:$A$143,'[1]2050Pop'!$D$7:$D$143)</f>
        <v>APAC</v>
      </c>
      <c r="C3694" s="127">
        <f>1000*_xlfn.XLOOKUP(A3694,'[1]2050Pop'!$A$7:$A$143,'[1]2050Pop'!$C$7:$C$143)</f>
        <v>322237</v>
      </c>
      <c r="D3694" s="126" t="s">
        <v>529</v>
      </c>
      <c r="E3694" s="128">
        <v>1.7170000000000001</v>
      </c>
      <c r="F3694" s="129">
        <f t="shared" si="173"/>
        <v>0.55328092900000003</v>
      </c>
      <c r="G3694" t="str">
        <f>_xlfn.XLOOKUP(D3694,'[1]2050 BAU Mapping to T &amp; C'!$A$3:$A$52,'[1]2050 BAU Mapping to T &amp; C'!$B$3:$B$52)</f>
        <v xml:space="preserve">Oil crops </v>
      </c>
      <c r="H3694" s="129">
        <f>_xlfn.XLOOKUP(G3694,'[1]T&amp;C emissions for 2050 analysis'!$B$3:$B$23,'[1]T&amp;C emissions for 2050 analysis'!$C$3:$C$23)</f>
        <v>0.18333333333333335</v>
      </c>
      <c r="I3694" s="27">
        <f t="shared" si="171"/>
        <v>0.10143483698333335</v>
      </c>
      <c r="J3694" s="129">
        <f t="shared" si="172"/>
        <v>0.31478333333333336</v>
      </c>
    </row>
    <row r="3695" spans="1:10" hidden="1" x14ac:dyDescent="0.35">
      <c r="A3695" s="126" t="s">
        <v>411</v>
      </c>
      <c r="B3695" t="str">
        <f>_xlfn.XLOOKUP(A3695,'[1]2050Pop'!$A$7:$A$143,'[1]2050Pop'!$D$7:$D$143)</f>
        <v>MENA</v>
      </c>
      <c r="C3695" s="127">
        <f>1000*_xlfn.XLOOKUP(A3695,'[1]2050Pop'!$A$7:$A$143,'[1]2050Pop'!$C$7:$C$143)</f>
        <v>83652</v>
      </c>
      <c r="D3695" s="126" t="s">
        <v>529</v>
      </c>
      <c r="E3695" s="128">
        <v>3.4089999999999998</v>
      </c>
      <c r="F3695" s="129">
        <f t="shared" si="173"/>
        <v>0.28516966799999999</v>
      </c>
      <c r="G3695" t="str">
        <f>_xlfn.XLOOKUP(D3695,'[1]2050 BAU Mapping to T &amp; C'!$A$3:$A$52,'[1]2050 BAU Mapping to T &amp; C'!$B$3:$B$52)</f>
        <v xml:space="preserve">Oil crops </v>
      </c>
      <c r="H3695" s="129">
        <f>_xlfn.XLOOKUP(G3695,'[1]T&amp;C emissions for 2050 analysis'!$B$3:$B$23,'[1]T&amp;C emissions for 2050 analysis'!$C$3:$C$23)</f>
        <v>0.18333333333333335</v>
      </c>
      <c r="I3695" s="27">
        <f t="shared" si="171"/>
        <v>5.2281105800000005E-2</v>
      </c>
      <c r="J3695" s="129">
        <f t="shared" si="172"/>
        <v>0.62498333333333334</v>
      </c>
    </row>
    <row r="3696" spans="1:10" hidden="1" x14ac:dyDescent="0.35">
      <c r="A3696" s="126" t="s">
        <v>412</v>
      </c>
      <c r="B3696" t="str">
        <f>_xlfn.XLOOKUP(A3696,'[1]2050Pop'!$A$7:$A$143,'[1]2050Pop'!$D$7:$D$143)</f>
        <v>Euro/AU/NZ</v>
      </c>
      <c r="C3696" s="127">
        <f>1000*_xlfn.XLOOKUP(A3696,'[1]2050Pop'!$A$7:$A$143,'[1]2050Pop'!$C$7:$C$143)</f>
        <v>5789</v>
      </c>
      <c r="D3696" s="126" t="s">
        <v>529</v>
      </c>
      <c r="E3696" s="130">
        <v>1.73</v>
      </c>
      <c r="F3696" s="129">
        <f t="shared" si="173"/>
        <v>1.001497E-2</v>
      </c>
      <c r="G3696" t="str">
        <f>_xlfn.XLOOKUP(D3696,'[1]2050 BAU Mapping to T &amp; C'!$A$3:$A$52,'[1]2050 BAU Mapping to T &amp; C'!$B$3:$B$52)</f>
        <v xml:space="preserve">Oil crops </v>
      </c>
      <c r="H3696" s="129">
        <f>_xlfn.XLOOKUP(G3696,'[1]T&amp;C emissions for 2050 analysis'!$B$3:$B$23,'[1]T&amp;C emissions for 2050 analysis'!$C$3:$C$23)</f>
        <v>0.18333333333333335</v>
      </c>
      <c r="I3696" s="27">
        <f t="shared" si="171"/>
        <v>1.8360778333333335E-3</v>
      </c>
      <c r="J3696" s="129">
        <f t="shared" si="172"/>
        <v>0.31716666666666671</v>
      </c>
    </row>
    <row r="3697" spans="1:10" hidden="1" x14ac:dyDescent="0.35">
      <c r="A3697" s="126" t="s">
        <v>413</v>
      </c>
      <c r="B3697" t="str">
        <f>_xlfn.XLOOKUP(A3697,'[1]2050Pop'!$A$7:$A$143,'[1]2050Pop'!$D$7:$D$143)</f>
        <v>MENA</v>
      </c>
      <c r="C3697" s="127">
        <f>1000*_xlfn.XLOOKUP(A3697,'[1]2050Pop'!$A$7:$A$143,'[1]2050Pop'!$C$7:$C$143)</f>
        <v>12610</v>
      </c>
      <c r="D3697" s="126" t="s">
        <v>529</v>
      </c>
      <c r="E3697" s="128">
        <v>95.111000000000004</v>
      </c>
      <c r="F3697" s="129">
        <f t="shared" si="173"/>
        <v>1.1993497099999999</v>
      </c>
      <c r="G3697" t="str">
        <f>_xlfn.XLOOKUP(D3697,'[1]2050 BAU Mapping to T &amp; C'!$A$3:$A$52,'[1]2050 BAU Mapping to T &amp; C'!$B$3:$B$52)</f>
        <v xml:space="preserve">Oil crops </v>
      </c>
      <c r="H3697" s="129">
        <f>_xlfn.XLOOKUP(G3697,'[1]T&amp;C emissions for 2050 analysis'!$B$3:$B$23,'[1]T&amp;C emissions for 2050 analysis'!$C$3:$C$23)</f>
        <v>0.18333333333333335</v>
      </c>
      <c r="I3697" s="27">
        <f t="shared" si="171"/>
        <v>0.21988078016666668</v>
      </c>
      <c r="J3697" s="129">
        <f t="shared" si="172"/>
        <v>17.437016666666668</v>
      </c>
    </row>
    <row r="3698" spans="1:10" hidden="1" x14ac:dyDescent="0.35">
      <c r="A3698" s="126" t="s">
        <v>416</v>
      </c>
      <c r="B3698" t="str">
        <f>_xlfn.XLOOKUP(A3698,'[1]2050Pop'!$A$7:$A$143,'[1]2050Pop'!$D$7:$D$143)</f>
        <v>APAC</v>
      </c>
      <c r="C3698" s="127">
        <f>1000*_xlfn.XLOOKUP(A3698,'[1]2050Pop'!$A$7:$A$143,'[1]2050Pop'!$C$7:$C$143)</f>
        <v>107411</v>
      </c>
      <c r="D3698" s="126" t="s">
        <v>529</v>
      </c>
      <c r="E3698" s="128">
        <v>9.6850000000000005</v>
      </c>
      <c r="F3698" s="129">
        <f t="shared" si="173"/>
        <v>1.0402755350000001</v>
      </c>
      <c r="G3698" t="str">
        <f>_xlfn.XLOOKUP(D3698,'[1]2050 BAU Mapping to T &amp; C'!$A$3:$A$52,'[1]2050 BAU Mapping to T &amp; C'!$B$3:$B$52)</f>
        <v xml:space="preserve">Oil crops </v>
      </c>
      <c r="H3698" s="129">
        <f>_xlfn.XLOOKUP(G3698,'[1]T&amp;C emissions for 2050 analysis'!$B$3:$B$23,'[1]T&amp;C emissions for 2050 analysis'!$C$3:$C$23)</f>
        <v>0.18333333333333335</v>
      </c>
      <c r="I3698" s="27">
        <f t="shared" si="171"/>
        <v>0.19071718141666671</v>
      </c>
      <c r="J3698" s="129">
        <f t="shared" si="172"/>
        <v>1.7755833333333335</v>
      </c>
    </row>
    <row r="3699" spans="1:10" hidden="1" x14ac:dyDescent="0.35">
      <c r="A3699" s="126" t="s">
        <v>417</v>
      </c>
      <c r="B3699" t="str">
        <f>_xlfn.XLOOKUP(A3699,'[1]2050Pop'!$A$7:$A$143,'[1]2050Pop'!$D$7:$D$143)</f>
        <v>MENA</v>
      </c>
      <c r="C3699" s="127">
        <f>1000*_xlfn.XLOOKUP(A3699,'[1]2050Pop'!$A$7:$A$143,'[1]2050Pop'!$C$7:$C$143)</f>
        <v>11717</v>
      </c>
      <c r="D3699" s="126" t="s">
        <v>529</v>
      </c>
      <c r="E3699" s="128">
        <v>17.702999999999999</v>
      </c>
      <c r="F3699" s="129">
        <f t="shared" si="173"/>
        <v>0.207426051</v>
      </c>
      <c r="G3699" t="str">
        <f>_xlfn.XLOOKUP(D3699,'[1]2050 BAU Mapping to T &amp; C'!$A$3:$A$52,'[1]2050 BAU Mapping to T &amp; C'!$B$3:$B$52)</f>
        <v xml:space="preserve">Oil crops </v>
      </c>
      <c r="H3699" s="129">
        <f>_xlfn.XLOOKUP(G3699,'[1]T&amp;C emissions for 2050 analysis'!$B$3:$B$23,'[1]T&amp;C emissions for 2050 analysis'!$C$3:$C$23)</f>
        <v>0.18333333333333335</v>
      </c>
      <c r="I3699" s="27">
        <f t="shared" si="171"/>
        <v>3.8028109350000006E-2</v>
      </c>
      <c r="J3699" s="129">
        <f t="shared" si="172"/>
        <v>3.2455500000000002</v>
      </c>
    </row>
    <row r="3700" spans="1:10" hidden="1" x14ac:dyDescent="0.35">
      <c r="A3700" s="126" t="s">
        <v>419</v>
      </c>
      <c r="B3700" t="str">
        <f>_xlfn.XLOOKUP(A3700,'[1]2050Pop'!$A$7:$A$143,'[1]2050Pop'!$D$7:$D$143)</f>
        <v>SSA</v>
      </c>
      <c r="C3700" s="127">
        <f>1000*_xlfn.XLOOKUP(A3700,'[1]2050Pop'!$A$7:$A$143,'[1]2050Pop'!$C$7:$C$143)</f>
        <v>95505</v>
      </c>
      <c r="D3700" s="126" t="s">
        <v>529</v>
      </c>
      <c r="E3700" s="128">
        <v>6.9240000000000004</v>
      </c>
      <c r="F3700" s="129">
        <f t="shared" si="173"/>
        <v>0.66127661999999998</v>
      </c>
      <c r="G3700" t="str">
        <f>_xlfn.XLOOKUP(D3700,'[1]2050 BAU Mapping to T &amp; C'!$A$3:$A$52,'[1]2050 BAU Mapping to T &amp; C'!$B$3:$B$52)</f>
        <v xml:space="preserve">Oil crops </v>
      </c>
      <c r="H3700" s="129">
        <f>_xlfn.XLOOKUP(G3700,'[1]T&amp;C emissions for 2050 analysis'!$B$3:$B$23,'[1]T&amp;C emissions for 2050 analysis'!$C$3:$C$23)</f>
        <v>0.18333333333333335</v>
      </c>
      <c r="I3700" s="27">
        <f t="shared" si="171"/>
        <v>0.12123404700000001</v>
      </c>
      <c r="J3700" s="129">
        <f t="shared" si="172"/>
        <v>1.2694000000000001</v>
      </c>
    </row>
    <row r="3701" spans="1:10" hidden="1" x14ac:dyDescent="0.35">
      <c r="A3701" s="126" t="s">
        <v>421</v>
      </c>
      <c r="B3701" t="str">
        <f>_xlfn.XLOOKUP(A3701,'[1]2050Pop'!$A$7:$A$143,'[1]2050Pop'!$D$7:$D$143)</f>
        <v>APAC</v>
      </c>
      <c r="C3701" s="127">
        <f>1000*_xlfn.XLOOKUP(A3701,'[1]2050Pop'!$A$7:$A$143,'[1]2050Pop'!$C$7:$C$143)</f>
        <v>10172</v>
      </c>
      <c r="D3701" s="126" t="s">
        <v>529</v>
      </c>
      <c r="E3701" s="128">
        <v>32.268000000000001</v>
      </c>
      <c r="F3701" s="129">
        <f t="shared" si="173"/>
        <v>0.32823009600000003</v>
      </c>
      <c r="G3701" t="str">
        <f>_xlfn.XLOOKUP(D3701,'[1]2050 BAU Mapping to T &amp; C'!$A$3:$A$52,'[1]2050 BAU Mapping to T &amp; C'!$B$3:$B$52)</f>
        <v xml:space="preserve">Oil crops </v>
      </c>
      <c r="H3701" s="129">
        <f>_xlfn.XLOOKUP(G3701,'[1]T&amp;C emissions for 2050 analysis'!$B$3:$B$23,'[1]T&amp;C emissions for 2050 analysis'!$C$3:$C$23)</f>
        <v>0.18333333333333335</v>
      </c>
      <c r="I3701" s="27">
        <f t="shared" si="171"/>
        <v>6.0175517600000013E-2</v>
      </c>
      <c r="J3701" s="129">
        <f t="shared" si="172"/>
        <v>5.9158000000000008</v>
      </c>
    </row>
    <row r="3702" spans="1:10" hidden="1" x14ac:dyDescent="0.35">
      <c r="A3702" s="126" t="s">
        <v>422</v>
      </c>
      <c r="B3702" t="str">
        <f>_xlfn.XLOOKUP(A3702,'[1]2050Pop'!$A$7:$A$143,'[1]2050Pop'!$D$7:$D$143)</f>
        <v>Euro/AU/NZ</v>
      </c>
      <c r="C3702" s="127">
        <f>1000*_xlfn.XLOOKUP(A3702,'[1]2050Pop'!$A$7:$A$143,'[1]2050Pop'!$C$7:$C$143)</f>
        <v>1593</v>
      </c>
      <c r="D3702" s="126" t="s">
        <v>529</v>
      </c>
      <c r="E3702" s="128">
        <v>1.452</v>
      </c>
      <c r="F3702" s="129">
        <f t="shared" si="173"/>
        <v>2.3130360000000001E-3</v>
      </c>
      <c r="G3702" t="str">
        <f>_xlfn.XLOOKUP(D3702,'[1]2050 BAU Mapping to T &amp; C'!$A$3:$A$52,'[1]2050 BAU Mapping to T &amp; C'!$B$3:$B$52)</f>
        <v xml:space="preserve">Oil crops </v>
      </c>
      <c r="H3702" s="129">
        <f>_xlfn.XLOOKUP(G3702,'[1]T&amp;C emissions for 2050 analysis'!$B$3:$B$23,'[1]T&amp;C emissions for 2050 analysis'!$C$3:$C$23)</f>
        <v>0.18333333333333335</v>
      </c>
      <c r="I3702" s="27">
        <f t="shared" si="171"/>
        <v>4.2405660000000006E-4</v>
      </c>
      <c r="J3702" s="129">
        <f t="shared" si="172"/>
        <v>0.26619999999999999</v>
      </c>
    </row>
    <row r="3703" spans="1:10" hidden="1" x14ac:dyDescent="0.35">
      <c r="A3703" s="126" t="s">
        <v>423</v>
      </c>
      <c r="B3703" t="str">
        <f>_xlfn.XLOOKUP(A3703,'[1]2050Pop'!$A$7:$A$143,'[1]2050Pop'!$D$7:$D$143)</f>
        <v>MENA</v>
      </c>
      <c r="C3703" s="127">
        <f>1000*_xlfn.XLOOKUP(A3703,'[1]2050Pop'!$A$7:$A$143,'[1]2050Pop'!$C$7:$C$143)</f>
        <v>5610</v>
      </c>
      <c r="D3703" s="126" t="s">
        <v>529</v>
      </c>
      <c r="E3703" s="128">
        <v>53.575000000000003</v>
      </c>
      <c r="F3703" s="129">
        <f t="shared" si="173"/>
        <v>0.30055575000000001</v>
      </c>
      <c r="G3703" t="str">
        <f>_xlfn.XLOOKUP(D3703,'[1]2050 BAU Mapping to T &amp; C'!$A$3:$A$52,'[1]2050 BAU Mapping to T &amp; C'!$B$3:$B$52)</f>
        <v xml:space="preserve">Oil crops </v>
      </c>
      <c r="H3703" s="129">
        <f>_xlfn.XLOOKUP(G3703,'[1]T&amp;C emissions for 2050 analysis'!$B$3:$B$23,'[1]T&amp;C emissions for 2050 analysis'!$C$3:$C$23)</f>
        <v>0.18333333333333335</v>
      </c>
      <c r="I3703" s="27">
        <f t="shared" si="171"/>
        <v>5.5101887500000009E-2</v>
      </c>
      <c r="J3703" s="129">
        <f t="shared" si="172"/>
        <v>9.8220833333333353</v>
      </c>
    </row>
    <row r="3704" spans="1:10" hidden="1" x14ac:dyDescent="0.35">
      <c r="A3704" s="126" t="s">
        <v>430</v>
      </c>
      <c r="B3704" t="str">
        <f>_xlfn.XLOOKUP(A3704,'[1]2050Pop'!$A$7:$A$143,'[1]2050Pop'!$D$7:$D$143)</f>
        <v>SSA</v>
      </c>
      <c r="C3704" s="127">
        <f>1000*_xlfn.XLOOKUP(A3704,'[1]2050Pop'!$A$7:$A$143,'[1]2050Pop'!$C$7:$C$143)</f>
        <v>45404</v>
      </c>
      <c r="D3704" s="126" t="s">
        <v>529</v>
      </c>
      <c r="E3704" s="131">
        <v>27</v>
      </c>
      <c r="F3704" s="129">
        <f t="shared" si="173"/>
        <v>1.225908</v>
      </c>
      <c r="G3704" t="str">
        <f>_xlfn.XLOOKUP(D3704,'[1]2050 BAU Mapping to T &amp; C'!$A$3:$A$52,'[1]2050 BAU Mapping to T &amp; C'!$B$3:$B$52)</f>
        <v xml:space="preserve">Oil crops </v>
      </c>
      <c r="H3704" s="129">
        <f>_xlfn.XLOOKUP(G3704,'[1]T&amp;C emissions for 2050 analysis'!$B$3:$B$23,'[1]T&amp;C emissions for 2050 analysis'!$C$3:$C$23)</f>
        <v>0.18333333333333335</v>
      </c>
      <c r="I3704" s="27">
        <f t="shared" si="171"/>
        <v>0.22474980000000003</v>
      </c>
      <c r="J3704" s="129">
        <f t="shared" si="172"/>
        <v>4.95</v>
      </c>
    </row>
    <row r="3705" spans="1:10" hidden="1" x14ac:dyDescent="0.35">
      <c r="A3705" s="126" t="s">
        <v>432</v>
      </c>
      <c r="B3705" t="str">
        <f>_xlfn.XLOOKUP(A3705,'[1]2050Pop'!$A$7:$A$143,'[1]2050Pop'!$D$7:$D$143)</f>
        <v>SSA</v>
      </c>
      <c r="C3705" s="127">
        <f>1000*_xlfn.XLOOKUP(A3705,'[1]2050Pop'!$A$7:$A$143,'[1]2050Pop'!$C$7:$C$143)</f>
        <v>1249</v>
      </c>
      <c r="D3705" s="126" t="s">
        <v>529</v>
      </c>
      <c r="E3705" s="128">
        <v>1.4319999999999999</v>
      </c>
      <c r="F3705" s="129">
        <f t="shared" si="173"/>
        <v>1.7885679999999999E-3</v>
      </c>
      <c r="G3705" t="str">
        <f>_xlfn.XLOOKUP(D3705,'[1]2050 BAU Mapping to T &amp; C'!$A$3:$A$52,'[1]2050 BAU Mapping to T &amp; C'!$B$3:$B$52)</f>
        <v xml:space="preserve">Oil crops </v>
      </c>
      <c r="H3705" s="129">
        <f>_xlfn.XLOOKUP(G3705,'[1]T&amp;C emissions for 2050 analysis'!$B$3:$B$23,'[1]T&amp;C emissions for 2050 analysis'!$C$3:$C$23)</f>
        <v>0.18333333333333335</v>
      </c>
      <c r="I3705" s="27">
        <f t="shared" si="171"/>
        <v>3.2790413333333337E-4</v>
      </c>
      <c r="J3705" s="129">
        <f t="shared" si="172"/>
        <v>0.26253333333333334</v>
      </c>
    </row>
    <row r="3706" spans="1:10" hidden="1" x14ac:dyDescent="0.35">
      <c r="A3706" s="126" t="s">
        <v>433</v>
      </c>
      <c r="B3706" t="str">
        <f>_xlfn.XLOOKUP(A3706,'[1]2050Pop'!$A$7:$A$143,'[1]2050Pop'!$D$7:$D$143)</f>
        <v>LatAm &amp; RSA</v>
      </c>
      <c r="C3706" s="127">
        <f>1000*_xlfn.XLOOKUP(A3706,'[1]2050Pop'!$A$7:$A$143,'[1]2050Pop'!$C$7:$C$143)</f>
        <v>163754</v>
      </c>
      <c r="D3706" s="126" t="s">
        <v>529</v>
      </c>
      <c r="E3706" s="128">
        <v>3.976</v>
      </c>
      <c r="F3706" s="129">
        <f t="shared" si="173"/>
        <v>0.65108590399999999</v>
      </c>
      <c r="G3706" t="str">
        <f>_xlfn.XLOOKUP(D3706,'[1]2050 BAU Mapping to T &amp; C'!$A$3:$A$52,'[1]2050 BAU Mapping to T &amp; C'!$B$3:$B$52)</f>
        <v xml:space="preserve">Oil crops </v>
      </c>
      <c r="H3706" s="129">
        <f>_xlfn.XLOOKUP(G3706,'[1]T&amp;C emissions for 2050 analysis'!$B$3:$B$23,'[1]T&amp;C emissions for 2050 analysis'!$C$3:$C$23)</f>
        <v>0.18333333333333335</v>
      </c>
      <c r="I3706" s="27">
        <f t="shared" si="171"/>
        <v>0.11936574906666668</v>
      </c>
      <c r="J3706" s="129">
        <f t="shared" si="172"/>
        <v>0.72893333333333343</v>
      </c>
    </row>
    <row r="3707" spans="1:10" hidden="1" x14ac:dyDescent="0.35">
      <c r="A3707" s="126" t="s">
        <v>435</v>
      </c>
      <c r="B3707" t="str">
        <f>_xlfn.XLOOKUP(A3707,'[1]2050Pop'!$A$7:$A$143,'[1]2050Pop'!$D$7:$D$143)</f>
        <v>MENA</v>
      </c>
      <c r="C3707" s="127">
        <f>1000*_xlfn.XLOOKUP(A3707,'[1]2050Pop'!$A$7:$A$143,'[1]2050Pop'!$C$7:$C$143)</f>
        <v>43696</v>
      </c>
      <c r="D3707" s="126" t="s">
        <v>529</v>
      </c>
      <c r="E3707" s="128">
        <v>2.819</v>
      </c>
      <c r="F3707" s="129">
        <f t="shared" si="173"/>
        <v>0.123179024</v>
      </c>
      <c r="G3707" t="str">
        <f>_xlfn.XLOOKUP(D3707,'[1]2050 BAU Mapping to T &amp; C'!$A$3:$A$52,'[1]2050 BAU Mapping to T &amp; C'!$B$3:$B$52)</f>
        <v xml:space="preserve">Oil crops </v>
      </c>
      <c r="H3707" s="129">
        <f>_xlfn.XLOOKUP(G3707,'[1]T&amp;C emissions for 2050 analysis'!$B$3:$B$23,'[1]T&amp;C emissions for 2050 analysis'!$C$3:$C$23)</f>
        <v>0.18333333333333335</v>
      </c>
      <c r="I3707" s="27">
        <f t="shared" si="171"/>
        <v>2.2582821066666668E-2</v>
      </c>
      <c r="J3707" s="129">
        <f t="shared" si="172"/>
        <v>0.5168166666666667</v>
      </c>
    </row>
    <row r="3708" spans="1:10" hidden="1" x14ac:dyDescent="0.35">
      <c r="A3708" s="126" t="s">
        <v>490</v>
      </c>
      <c r="B3708" t="str">
        <f>_xlfn.XLOOKUP(A3708,'[1]2050Pop'!$A$7:$A$143,'[1]2050Pop'!$D$7:$D$143)</f>
        <v>APAC</v>
      </c>
      <c r="C3708" s="127">
        <f>1000*_xlfn.XLOOKUP(A3708,'[1]2050Pop'!$A$7:$A$143,'[1]2050Pop'!$C$7:$C$143)</f>
        <v>63575</v>
      </c>
      <c r="D3708" s="126" t="s">
        <v>529</v>
      </c>
      <c r="E3708" s="130">
        <v>28.49</v>
      </c>
      <c r="F3708" s="129">
        <f t="shared" si="173"/>
        <v>1.81125175</v>
      </c>
      <c r="G3708" t="str">
        <f>_xlfn.XLOOKUP(D3708,'[1]2050 BAU Mapping to T &amp; C'!$A$3:$A$52,'[1]2050 BAU Mapping to T &amp; C'!$B$3:$B$52)</f>
        <v xml:space="preserve">Oil crops </v>
      </c>
      <c r="H3708" s="129">
        <f>_xlfn.XLOOKUP(G3708,'[1]T&amp;C emissions for 2050 analysis'!$B$3:$B$23,'[1]T&amp;C emissions for 2050 analysis'!$C$3:$C$23)</f>
        <v>0.18333333333333335</v>
      </c>
      <c r="I3708" s="27">
        <f t="shared" si="171"/>
        <v>0.33206282083333338</v>
      </c>
      <c r="J3708" s="129">
        <f t="shared" si="172"/>
        <v>5.2231666666666667</v>
      </c>
    </row>
    <row r="3709" spans="1:10" hidden="1" x14ac:dyDescent="0.35">
      <c r="A3709" s="126" t="s">
        <v>438</v>
      </c>
      <c r="B3709" t="str">
        <f>_xlfn.XLOOKUP(A3709,'[1]2050Pop'!$A$7:$A$143,'[1]2050Pop'!$D$7:$D$143)</f>
        <v>India/South Asia</v>
      </c>
      <c r="C3709" s="127">
        <f>1000*_xlfn.XLOOKUP(A3709,'[1]2050Pop'!$A$7:$A$143,'[1]2050Pop'!$C$7:$C$143)</f>
        <v>36159</v>
      </c>
      <c r="D3709" s="126" t="s">
        <v>529</v>
      </c>
      <c r="E3709" s="128">
        <v>1.4039999999999999</v>
      </c>
      <c r="F3709" s="129">
        <f t="shared" si="173"/>
        <v>5.0767236E-2</v>
      </c>
      <c r="G3709" t="str">
        <f>_xlfn.XLOOKUP(D3709,'[1]2050 BAU Mapping to T &amp; C'!$A$3:$A$52,'[1]2050 BAU Mapping to T &amp; C'!$B$3:$B$52)</f>
        <v xml:space="preserve">Oil crops </v>
      </c>
      <c r="H3709" s="129">
        <f>_xlfn.XLOOKUP(G3709,'[1]T&amp;C emissions for 2050 analysis'!$B$3:$B$23,'[1]T&amp;C emissions for 2050 analysis'!$C$3:$C$23)</f>
        <v>0.18333333333333335</v>
      </c>
      <c r="I3709" s="27">
        <f t="shared" si="171"/>
        <v>9.3073266000000005E-3</v>
      </c>
      <c r="J3709" s="129">
        <f t="shared" si="172"/>
        <v>0.25740000000000002</v>
      </c>
    </row>
    <row r="3710" spans="1:10" hidden="1" x14ac:dyDescent="0.35">
      <c r="A3710" s="126" t="s">
        <v>439</v>
      </c>
      <c r="B3710" t="str">
        <f>_xlfn.XLOOKUP(A3710,'[1]2050Pop'!$A$7:$A$143,'[1]2050Pop'!$D$7:$D$143)</f>
        <v>Euro/AU/NZ</v>
      </c>
      <c r="C3710" s="127">
        <f>1000*_xlfn.XLOOKUP(A3710,'[1]2050Pop'!$A$7:$A$143,'[1]2050Pop'!$C$7:$C$143)</f>
        <v>17602</v>
      </c>
      <c r="D3710" s="126" t="s">
        <v>529</v>
      </c>
      <c r="E3710" s="128">
        <v>2.5920000000000001</v>
      </c>
      <c r="F3710" s="129">
        <f t="shared" si="173"/>
        <v>4.5624383999999997E-2</v>
      </c>
      <c r="G3710" t="str">
        <f>_xlfn.XLOOKUP(D3710,'[1]2050 BAU Mapping to T &amp; C'!$A$3:$A$52,'[1]2050 BAU Mapping to T &amp; C'!$B$3:$B$52)</f>
        <v xml:space="preserve">Oil crops </v>
      </c>
      <c r="H3710" s="129">
        <f>_xlfn.XLOOKUP(G3710,'[1]T&amp;C emissions for 2050 analysis'!$B$3:$B$23,'[1]T&amp;C emissions for 2050 analysis'!$C$3:$C$23)</f>
        <v>0.18333333333333335</v>
      </c>
      <c r="I3710" s="27">
        <f t="shared" si="171"/>
        <v>8.3644704000000007E-3</v>
      </c>
      <c r="J3710" s="129">
        <f t="shared" si="172"/>
        <v>0.47520000000000007</v>
      </c>
    </row>
    <row r="3711" spans="1:10" hidden="1" x14ac:dyDescent="0.35">
      <c r="A3711" s="126" t="s">
        <v>440</v>
      </c>
      <c r="B3711" t="str">
        <f>_xlfn.XLOOKUP(A3711,'[1]2050Pop'!$A$7:$A$143,'[1]2050Pop'!$D$7:$D$143)</f>
        <v>Euro/AU/NZ</v>
      </c>
      <c r="C3711" s="127">
        <f>1000*_xlfn.XLOOKUP(A3711,'[1]2050Pop'!$A$7:$A$143,'[1]2050Pop'!$C$7:$C$143)</f>
        <v>5607</v>
      </c>
      <c r="D3711" s="126" t="s">
        <v>529</v>
      </c>
      <c r="E3711" s="128">
        <v>3.2250000000000001</v>
      </c>
      <c r="F3711" s="129">
        <f t="shared" si="173"/>
        <v>1.8082575E-2</v>
      </c>
      <c r="G3711" t="str">
        <f>_xlfn.XLOOKUP(D3711,'[1]2050 BAU Mapping to T &amp; C'!$A$3:$A$52,'[1]2050 BAU Mapping to T &amp; C'!$B$3:$B$52)</f>
        <v xml:space="preserve">Oil crops </v>
      </c>
      <c r="H3711" s="129">
        <f>_xlfn.XLOOKUP(G3711,'[1]T&amp;C emissions for 2050 analysis'!$B$3:$B$23,'[1]T&amp;C emissions for 2050 analysis'!$C$3:$C$23)</f>
        <v>0.18333333333333335</v>
      </c>
      <c r="I3711" s="27">
        <f t="shared" si="171"/>
        <v>3.3151387500000001E-3</v>
      </c>
      <c r="J3711" s="129">
        <f t="shared" si="172"/>
        <v>0.59125000000000005</v>
      </c>
    </row>
    <row r="3712" spans="1:10" hidden="1" x14ac:dyDescent="0.35">
      <c r="A3712" s="126" t="s">
        <v>482</v>
      </c>
      <c r="B3712" t="str">
        <f>_xlfn.XLOOKUP(A3712,'[1]2050Pop'!$A$7:$A$143,'[1]2050Pop'!$D$7:$D$143)</f>
        <v>SSA</v>
      </c>
      <c r="C3712" s="127">
        <f>1000*_xlfn.XLOOKUP(A3712,'[1]2050Pop'!$A$7:$A$143,'[1]2050Pop'!$C$7:$C$143)</f>
        <v>72238</v>
      </c>
      <c r="D3712" s="126" t="s">
        <v>529</v>
      </c>
      <c r="E3712" s="128">
        <v>74.168000000000006</v>
      </c>
      <c r="F3712" s="129">
        <f t="shared" si="173"/>
        <v>5.3577479840000004</v>
      </c>
      <c r="G3712" t="str">
        <f>_xlfn.XLOOKUP(D3712,'[1]2050 BAU Mapping to T &amp; C'!$A$3:$A$52,'[1]2050 BAU Mapping to T &amp; C'!$B$3:$B$52)</f>
        <v xml:space="preserve">Oil crops </v>
      </c>
      <c r="H3712" s="129">
        <f>_xlfn.XLOOKUP(G3712,'[1]T&amp;C emissions for 2050 analysis'!$B$3:$B$23,'[1]T&amp;C emissions for 2050 analysis'!$C$3:$C$23)</f>
        <v>0.18333333333333335</v>
      </c>
      <c r="I3712" s="27">
        <f t="shared" si="171"/>
        <v>0.98225379706666682</v>
      </c>
      <c r="J3712" s="129">
        <f t="shared" si="172"/>
        <v>13.597466666666669</v>
      </c>
    </row>
    <row r="3713" spans="1:10" hidden="1" x14ac:dyDescent="0.35">
      <c r="A3713" s="126" t="s">
        <v>491</v>
      </c>
      <c r="B3713" t="str">
        <f>_xlfn.XLOOKUP(A3713,'[1]2050Pop'!$A$7:$A$143,'[1]2050Pop'!$D$7:$D$143)</f>
        <v>SSA</v>
      </c>
      <c r="C3713" s="127">
        <f>1000*_xlfn.XLOOKUP(A3713,'[1]2050Pop'!$A$7:$A$143,'[1]2050Pop'!$C$7:$C$143)</f>
        <v>398508</v>
      </c>
      <c r="D3713" s="126" t="s">
        <v>529</v>
      </c>
      <c r="E3713" s="128">
        <v>1.3819999999999999</v>
      </c>
      <c r="F3713" s="129">
        <f t="shared" si="173"/>
        <v>0.55073805600000003</v>
      </c>
      <c r="G3713" t="str">
        <f>_xlfn.XLOOKUP(D3713,'[1]2050 BAU Mapping to T &amp; C'!$A$3:$A$52,'[1]2050 BAU Mapping to T &amp; C'!$B$3:$B$52)</f>
        <v xml:space="preserve">Oil crops </v>
      </c>
      <c r="H3713" s="129">
        <f>_xlfn.XLOOKUP(G3713,'[1]T&amp;C emissions for 2050 analysis'!$B$3:$B$23,'[1]T&amp;C emissions for 2050 analysis'!$C$3:$C$23)</f>
        <v>0.18333333333333335</v>
      </c>
      <c r="I3713" s="27">
        <f t="shared" si="171"/>
        <v>0.10096864360000002</v>
      </c>
      <c r="J3713" s="129">
        <f t="shared" si="172"/>
        <v>0.25336666666666668</v>
      </c>
    </row>
    <row r="3714" spans="1:10" hidden="1" x14ac:dyDescent="0.35">
      <c r="A3714" s="126" t="s">
        <v>442</v>
      </c>
      <c r="B3714" t="str">
        <f>_xlfn.XLOOKUP(A3714,'[1]2050Pop'!$A$7:$A$143,'[1]2050Pop'!$D$7:$D$143)</f>
        <v>Euro/AU/NZ</v>
      </c>
      <c r="C3714" s="127">
        <f>1000*_xlfn.XLOOKUP(A3714,'[1]2050Pop'!$A$7:$A$143,'[1]2050Pop'!$C$7:$C$143)</f>
        <v>6658</v>
      </c>
      <c r="D3714" s="126" t="s">
        <v>529</v>
      </c>
      <c r="E3714" s="128">
        <v>5.3150000000000004</v>
      </c>
      <c r="F3714" s="129">
        <f t="shared" si="173"/>
        <v>3.5387270000000005E-2</v>
      </c>
      <c r="G3714" t="str">
        <f>_xlfn.XLOOKUP(D3714,'[1]2050 BAU Mapping to T &amp; C'!$A$3:$A$52,'[1]2050 BAU Mapping to T &amp; C'!$B$3:$B$52)</f>
        <v xml:space="preserve">Oil crops </v>
      </c>
      <c r="H3714" s="129">
        <f>_xlfn.XLOOKUP(G3714,'[1]T&amp;C emissions for 2050 analysis'!$B$3:$B$23,'[1]T&amp;C emissions for 2050 analysis'!$C$3:$C$23)</f>
        <v>0.18333333333333335</v>
      </c>
      <c r="I3714" s="27">
        <f t="shared" si="171"/>
        <v>6.4876661666666679E-3</v>
      </c>
      <c r="J3714" s="129">
        <f t="shared" si="172"/>
        <v>0.97441666666666682</v>
      </c>
    </row>
    <row r="3715" spans="1:10" hidden="1" x14ac:dyDescent="0.35">
      <c r="A3715" s="126" t="s">
        <v>445</v>
      </c>
      <c r="B3715" t="str">
        <f>_xlfn.XLOOKUP(A3715,'[1]2050Pop'!$A$7:$A$143,'[1]2050Pop'!$D$7:$D$143)</f>
        <v>LatAm &amp; RSA</v>
      </c>
      <c r="C3715" s="127">
        <f>1000*_xlfn.XLOOKUP(A3715,'[1]2050Pop'!$A$7:$A$143,'[1]2050Pop'!$C$7:$C$143)</f>
        <v>8895</v>
      </c>
      <c r="D3715" s="126" t="s">
        <v>529</v>
      </c>
      <c r="E3715" s="128">
        <v>37.441000000000003</v>
      </c>
      <c r="F3715" s="129">
        <f t="shared" si="173"/>
        <v>0.33303769500000002</v>
      </c>
      <c r="G3715" t="str">
        <f>_xlfn.XLOOKUP(D3715,'[1]2050 BAU Mapping to T &amp; C'!$A$3:$A$52,'[1]2050 BAU Mapping to T &amp; C'!$B$3:$B$52)</f>
        <v xml:space="preserve">Oil crops </v>
      </c>
      <c r="H3715" s="129">
        <f>_xlfn.XLOOKUP(G3715,'[1]T&amp;C emissions for 2050 analysis'!$B$3:$B$23,'[1]T&amp;C emissions for 2050 analysis'!$C$3:$C$23)</f>
        <v>0.18333333333333335</v>
      </c>
      <c r="I3715" s="27">
        <f t="shared" si="171"/>
        <v>6.1056910750000012E-2</v>
      </c>
      <c r="J3715" s="129">
        <f t="shared" si="172"/>
        <v>6.864183333333334</v>
      </c>
    </row>
    <row r="3716" spans="1:10" hidden="1" x14ac:dyDescent="0.35">
      <c r="A3716" s="126" t="s">
        <v>450</v>
      </c>
      <c r="B3716" t="str">
        <f>_xlfn.XLOOKUP(A3716,'[1]2050Pop'!$A$7:$A$143,'[1]2050Pop'!$D$7:$D$143)</f>
        <v>APAC</v>
      </c>
      <c r="C3716" s="127">
        <f>1000*_xlfn.XLOOKUP(A3716,'[1]2050Pop'!$A$7:$A$143,'[1]2050Pop'!$C$7:$C$143)</f>
        <v>50593</v>
      </c>
      <c r="D3716" s="126" t="s">
        <v>529</v>
      </c>
      <c r="E3716" s="128">
        <v>10.066000000000001</v>
      </c>
      <c r="F3716" s="129">
        <f t="shared" si="173"/>
        <v>0.50926913800000007</v>
      </c>
      <c r="G3716" t="str">
        <f>_xlfn.XLOOKUP(D3716,'[1]2050 BAU Mapping to T &amp; C'!$A$3:$A$52,'[1]2050 BAU Mapping to T &amp; C'!$B$3:$B$52)</f>
        <v xml:space="preserve">Oil crops </v>
      </c>
      <c r="H3716" s="129">
        <f>_xlfn.XLOOKUP(G3716,'[1]T&amp;C emissions for 2050 analysis'!$B$3:$B$23,'[1]T&amp;C emissions for 2050 analysis'!$C$3:$C$23)</f>
        <v>0.18333333333333335</v>
      </c>
      <c r="I3716" s="27">
        <f t="shared" ref="I3716:I3779" si="174">F3716*H3716</f>
        <v>9.3366008633333358E-2</v>
      </c>
      <c r="J3716" s="129">
        <f t="shared" ref="J3716:J3779" si="175">E3716*H3716</f>
        <v>1.8454333333333337</v>
      </c>
    </row>
    <row r="3717" spans="1:10" hidden="1" x14ac:dyDescent="0.35">
      <c r="A3717" s="126" t="s">
        <v>451</v>
      </c>
      <c r="B3717" t="str">
        <f>_xlfn.XLOOKUP(A3717,'[1]2050Pop'!$A$7:$A$143,'[1]2050Pop'!$D$7:$D$143)</f>
        <v>Euro/AU/NZ</v>
      </c>
      <c r="C3717" s="127">
        <f>1000*_xlfn.XLOOKUP(A3717,'[1]2050Pop'!$A$7:$A$143,'[1]2050Pop'!$C$7:$C$143)</f>
        <v>3243</v>
      </c>
      <c r="D3717" s="126" t="s">
        <v>529</v>
      </c>
      <c r="E3717" s="128">
        <v>1.5249999999999999</v>
      </c>
      <c r="F3717" s="129">
        <f t="shared" ref="F3717:F3780" si="176">C3717*E3717/1000000</f>
        <v>4.9455749999999998E-3</v>
      </c>
      <c r="G3717" t="str">
        <f>_xlfn.XLOOKUP(D3717,'[1]2050 BAU Mapping to T &amp; C'!$A$3:$A$52,'[1]2050 BAU Mapping to T &amp; C'!$B$3:$B$52)</f>
        <v xml:space="preserve">Oil crops </v>
      </c>
      <c r="H3717" s="129">
        <f>_xlfn.XLOOKUP(G3717,'[1]T&amp;C emissions for 2050 analysis'!$B$3:$B$23,'[1]T&amp;C emissions for 2050 analysis'!$C$3:$C$23)</f>
        <v>0.18333333333333335</v>
      </c>
      <c r="I3717" s="27">
        <f t="shared" si="174"/>
        <v>9.0668875000000004E-4</v>
      </c>
      <c r="J3717" s="129">
        <f t="shared" si="175"/>
        <v>0.27958333333333335</v>
      </c>
    </row>
    <row r="3718" spans="1:10" hidden="1" x14ac:dyDescent="0.35">
      <c r="A3718" s="126" t="s">
        <v>452</v>
      </c>
      <c r="B3718" t="str">
        <f>_xlfn.XLOOKUP(A3718,'[1]2050Pop'!$A$7:$A$143,'[1]2050Pop'!$D$7:$D$143)</f>
        <v>SSA</v>
      </c>
      <c r="C3718" s="127">
        <f>1000*_xlfn.XLOOKUP(A3718,'[1]2050Pop'!$A$7:$A$143,'[1]2050Pop'!$C$7:$C$143)</f>
        <v>10732</v>
      </c>
      <c r="D3718" s="126" t="s">
        <v>529</v>
      </c>
      <c r="E3718" s="128">
        <v>1.5309999999999999</v>
      </c>
      <c r="F3718" s="129">
        <f t="shared" si="176"/>
        <v>1.6430692E-2</v>
      </c>
      <c r="G3718" t="str">
        <f>_xlfn.XLOOKUP(D3718,'[1]2050 BAU Mapping to T &amp; C'!$A$3:$A$52,'[1]2050 BAU Mapping to T &amp; C'!$B$3:$B$52)</f>
        <v xml:space="preserve">Oil crops </v>
      </c>
      <c r="H3718" s="129">
        <f>_xlfn.XLOOKUP(G3718,'[1]T&amp;C emissions for 2050 analysis'!$B$3:$B$23,'[1]T&amp;C emissions for 2050 analysis'!$C$3:$C$23)</f>
        <v>0.18333333333333335</v>
      </c>
      <c r="I3718" s="27">
        <f t="shared" si="174"/>
        <v>3.0122935333333337E-3</v>
      </c>
      <c r="J3718" s="129">
        <f t="shared" si="175"/>
        <v>0.28068333333333334</v>
      </c>
    </row>
    <row r="3719" spans="1:10" hidden="1" x14ac:dyDescent="0.35">
      <c r="A3719" s="126" t="s">
        <v>453</v>
      </c>
      <c r="B3719" t="str">
        <f>_xlfn.XLOOKUP(A3719,'[1]2050Pop'!$A$7:$A$143,'[1]2050Pop'!$D$7:$D$143)</f>
        <v>Euro/AU/NZ</v>
      </c>
      <c r="C3719" s="127">
        <f>1000*_xlfn.XLOOKUP(A3719,'[1]2050Pop'!$A$7:$A$143,'[1]2050Pop'!$C$7:$C$143)</f>
        <v>15207</v>
      </c>
      <c r="D3719" s="126" t="s">
        <v>529</v>
      </c>
      <c r="E3719" s="128">
        <v>1.825</v>
      </c>
      <c r="F3719" s="129">
        <f t="shared" si="176"/>
        <v>2.7752774999999997E-2</v>
      </c>
      <c r="G3719" t="str">
        <f>_xlfn.XLOOKUP(D3719,'[1]2050 BAU Mapping to T &amp; C'!$A$3:$A$52,'[1]2050 BAU Mapping to T &amp; C'!$B$3:$B$52)</f>
        <v xml:space="preserve">Oil crops </v>
      </c>
      <c r="H3719" s="129">
        <f>_xlfn.XLOOKUP(G3719,'[1]T&amp;C emissions for 2050 analysis'!$B$3:$B$23,'[1]T&amp;C emissions for 2050 analysis'!$C$3:$C$23)</f>
        <v>0.18333333333333335</v>
      </c>
      <c r="I3719" s="27">
        <f t="shared" si="174"/>
        <v>5.0880087500000002E-3</v>
      </c>
      <c r="J3719" s="129">
        <f t="shared" si="175"/>
        <v>0.33458333333333334</v>
      </c>
    </row>
    <row r="3720" spans="1:10" hidden="1" x14ac:dyDescent="0.35">
      <c r="A3720" s="126" t="s">
        <v>454</v>
      </c>
      <c r="B3720" t="str">
        <f>_xlfn.XLOOKUP(A3720,'[1]2050Pop'!$A$7:$A$143,'[1]2050Pop'!$D$7:$D$143)</f>
        <v>Euro/AU/NZ</v>
      </c>
      <c r="C3720" s="127">
        <f>1000*_xlfn.XLOOKUP(A3720,'[1]2050Pop'!$A$7:$A$143,'[1]2050Pop'!$C$7:$C$143)</f>
        <v>128598.99999999999</v>
      </c>
      <c r="D3720" s="126" t="s">
        <v>529</v>
      </c>
      <c r="E3720" s="128">
        <v>1.4339999999999999</v>
      </c>
      <c r="F3720" s="129">
        <f t="shared" si="176"/>
        <v>0.18441096599999998</v>
      </c>
      <c r="G3720" t="str">
        <f>_xlfn.XLOOKUP(D3720,'[1]2050 BAU Mapping to T &amp; C'!$A$3:$A$52,'[1]2050 BAU Mapping to T &amp; C'!$B$3:$B$52)</f>
        <v xml:space="preserve">Oil crops </v>
      </c>
      <c r="H3720" s="129">
        <f>_xlfn.XLOOKUP(G3720,'[1]T&amp;C emissions for 2050 analysis'!$B$3:$B$23,'[1]T&amp;C emissions for 2050 analysis'!$C$3:$C$23)</f>
        <v>0.18333333333333335</v>
      </c>
      <c r="I3720" s="27">
        <f t="shared" si="174"/>
        <v>3.3808677099999997E-2</v>
      </c>
      <c r="J3720" s="129">
        <f t="shared" si="175"/>
        <v>0.26290000000000002</v>
      </c>
    </row>
    <row r="3721" spans="1:10" hidden="1" x14ac:dyDescent="0.35">
      <c r="A3721" s="126" t="s">
        <v>457</v>
      </c>
      <c r="B3721" t="str">
        <f>_xlfn.XLOOKUP(A3721,'[1]2050Pop'!$A$7:$A$143,'[1]2050Pop'!$D$7:$D$143)</f>
        <v>SSA</v>
      </c>
      <c r="C3721" s="127">
        <f>1000*_xlfn.XLOOKUP(A3721,'[1]2050Pop'!$A$7:$A$143,'[1]2050Pop'!$C$7:$C$143)</f>
        <v>36223</v>
      </c>
      <c r="D3721" s="126" t="s">
        <v>529</v>
      </c>
      <c r="E3721" s="130">
        <v>9.42</v>
      </c>
      <c r="F3721" s="129">
        <f t="shared" si="176"/>
        <v>0.34122065999999995</v>
      </c>
      <c r="G3721" t="str">
        <f>_xlfn.XLOOKUP(D3721,'[1]2050 BAU Mapping to T &amp; C'!$A$3:$A$52,'[1]2050 BAU Mapping to T &amp; C'!$B$3:$B$52)</f>
        <v xml:space="preserve">Oil crops </v>
      </c>
      <c r="H3721" s="129">
        <f>_xlfn.XLOOKUP(G3721,'[1]T&amp;C emissions for 2050 analysis'!$B$3:$B$23,'[1]T&amp;C emissions for 2050 analysis'!$C$3:$C$23)</f>
        <v>0.18333333333333335</v>
      </c>
      <c r="I3721" s="27">
        <f t="shared" si="174"/>
        <v>6.2557120999999993E-2</v>
      </c>
      <c r="J3721" s="129">
        <f t="shared" si="175"/>
        <v>1.7270000000000001</v>
      </c>
    </row>
    <row r="3722" spans="1:10" hidden="1" x14ac:dyDescent="0.35">
      <c r="A3722" s="126" t="s">
        <v>458</v>
      </c>
      <c r="B3722" t="str">
        <f>_xlfn.XLOOKUP(A3722,'[1]2050Pop'!$A$7:$A$143,'[1]2050Pop'!$D$7:$D$143)</f>
        <v>Euro/AU/NZ</v>
      </c>
      <c r="C3722" s="127">
        <f>1000*_xlfn.XLOOKUP(A3722,'[1]2050Pop'!$A$7:$A$143,'[1]2050Pop'!$C$7:$C$143)</f>
        <v>7331</v>
      </c>
      <c r="D3722" s="126" t="s">
        <v>529</v>
      </c>
      <c r="E3722" s="128">
        <v>3.5289999999999999</v>
      </c>
      <c r="F3722" s="129">
        <f t="shared" si="176"/>
        <v>2.5871098999999998E-2</v>
      </c>
      <c r="G3722" t="str">
        <f>_xlfn.XLOOKUP(D3722,'[1]2050 BAU Mapping to T &amp; C'!$A$3:$A$52,'[1]2050 BAU Mapping to T &amp; C'!$B$3:$B$52)</f>
        <v xml:space="preserve">Oil crops </v>
      </c>
      <c r="H3722" s="129">
        <f>_xlfn.XLOOKUP(G3722,'[1]T&amp;C emissions for 2050 analysis'!$B$3:$B$23,'[1]T&amp;C emissions for 2050 analysis'!$C$3:$C$23)</f>
        <v>0.18333333333333335</v>
      </c>
      <c r="I3722" s="27">
        <f t="shared" si="174"/>
        <v>4.7430348166666667E-3</v>
      </c>
      <c r="J3722" s="129">
        <f t="shared" si="175"/>
        <v>0.64698333333333335</v>
      </c>
    </row>
    <row r="3723" spans="1:10" hidden="1" x14ac:dyDescent="0.35">
      <c r="A3723" s="126" t="s">
        <v>492</v>
      </c>
      <c r="B3723" t="str">
        <f>_xlfn.XLOOKUP(A3723,'[1]2050Pop'!$A$7:$A$143,'[1]2050Pop'!$D$7:$D$143)</f>
        <v>SSA</v>
      </c>
      <c r="C3723" s="127">
        <f>1000*_xlfn.XLOOKUP(A3723,'[1]2050Pop'!$A$7:$A$143,'[1]2050Pop'!$C$7:$C$143)</f>
        <v>11392</v>
      </c>
      <c r="D3723" s="126" t="s">
        <v>529</v>
      </c>
      <c r="E3723" s="128">
        <v>10.863</v>
      </c>
      <c r="F3723" s="129">
        <f t="shared" si="176"/>
        <v>0.123751296</v>
      </c>
      <c r="G3723" t="str">
        <f>_xlfn.XLOOKUP(D3723,'[1]2050 BAU Mapping to T &amp; C'!$A$3:$A$52,'[1]2050 BAU Mapping to T &amp; C'!$B$3:$B$52)</f>
        <v xml:space="preserve">Oil crops </v>
      </c>
      <c r="H3723" s="129">
        <f>_xlfn.XLOOKUP(G3723,'[1]T&amp;C emissions for 2050 analysis'!$B$3:$B$23,'[1]T&amp;C emissions for 2050 analysis'!$C$3:$C$23)</f>
        <v>0.18333333333333335</v>
      </c>
      <c r="I3723" s="27">
        <f t="shared" si="174"/>
        <v>2.2687737600000001E-2</v>
      </c>
      <c r="J3723" s="129">
        <f t="shared" si="175"/>
        <v>1.9915500000000002</v>
      </c>
    </row>
    <row r="3724" spans="1:10" hidden="1" x14ac:dyDescent="0.35">
      <c r="A3724" s="126" t="s">
        <v>459</v>
      </c>
      <c r="B3724" t="str">
        <f>_xlfn.XLOOKUP(A3724,'[1]2050Pop'!$A$7:$A$143,'[1]2050Pop'!$D$7:$D$143)</f>
        <v>Euro/AU/NZ</v>
      </c>
      <c r="C3724" s="127">
        <f>1000*_xlfn.XLOOKUP(A3724,'[1]2050Pop'!$A$7:$A$143,'[1]2050Pop'!$C$7:$C$143)</f>
        <v>4892</v>
      </c>
      <c r="D3724" s="126" t="s">
        <v>529</v>
      </c>
      <c r="E3724" s="128">
        <v>1.3049999999999999</v>
      </c>
      <c r="F3724" s="129">
        <f t="shared" si="176"/>
        <v>6.3840599999999996E-3</v>
      </c>
      <c r="G3724" t="str">
        <f>_xlfn.XLOOKUP(D3724,'[1]2050 BAU Mapping to T &amp; C'!$A$3:$A$52,'[1]2050 BAU Mapping to T &amp; C'!$B$3:$B$52)</f>
        <v xml:space="preserve">Oil crops </v>
      </c>
      <c r="H3724" s="129">
        <f>_xlfn.XLOOKUP(G3724,'[1]T&amp;C emissions for 2050 analysis'!$B$3:$B$23,'[1]T&amp;C emissions for 2050 analysis'!$C$3:$C$23)</f>
        <v>0.18333333333333335</v>
      </c>
      <c r="I3724" s="27">
        <f t="shared" si="174"/>
        <v>1.1704110000000001E-3</v>
      </c>
      <c r="J3724" s="129">
        <f t="shared" si="175"/>
        <v>0.23925000000000002</v>
      </c>
    </row>
    <row r="3725" spans="1:10" hidden="1" x14ac:dyDescent="0.35">
      <c r="A3725" s="126" t="s">
        <v>461</v>
      </c>
      <c r="B3725" t="str">
        <f>_xlfn.XLOOKUP(A3725,'[1]2050Pop'!$A$7:$A$143,'[1]2050Pop'!$D$7:$D$143)</f>
        <v>Euro/AU/NZ</v>
      </c>
      <c r="C3725" s="127">
        <f>1000*_xlfn.XLOOKUP(A3725,'[1]2050Pop'!$A$7:$A$143,'[1]2050Pop'!$C$7:$C$143)</f>
        <v>44840</v>
      </c>
      <c r="D3725" s="126" t="s">
        <v>529</v>
      </c>
      <c r="E3725" s="128">
        <v>1.2070000000000001</v>
      </c>
      <c r="F3725" s="129">
        <f t="shared" si="176"/>
        <v>5.4121880000000004E-2</v>
      </c>
      <c r="G3725" t="str">
        <f>_xlfn.XLOOKUP(D3725,'[1]2050 BAU Mapping to T &amp; C'!$A$3:$A$52,'[1]2050 BAU Mapping to T &amp; C'!$B$3:$B$52)</f>
        <v xml:space="preserve">Oil crops </v>
      </c>
      <c r="H3725" s="129">
        <f>_xlfn.XLOOKUP(G3725,'[1]T&amp;C emissions for 2050 analysis'!$B$3:$B$23,'[1]T&amp;C emissions for 2050 analysis'!$C$3:$C$23)</f>
        <v>0.18333333333333335</v>
      </c>
      <c r="I3725" s="27">
        <f t="shared" si="174"/>
        <v>9.9223446666666677E-3</v>
      </c>
      <c r="J3725" s="129">
        <f t="shared" si="175"/>
        <v>0.22128333333333336</v>
      </c>
    </row>
    <row r="3726" spans="1:10" hidden="1" x14ac:dyDescent="0.35">
      <c r="A3726" s="126" t="s">
        <v>493</v>
      </c>
      <c r="B3726" t="str">
        <f>_xlfn.XLOOKUP(A3726,'[1]2050Pop'!$A$7:$A$143,'[1]2050Pop'!$D$7:$D$143)</f>
        <v>India/South Asia</v>
      </c>
      <c r="C3726" s="127">
        <f>1000*_xlfn.XLOOKUP(A3726,'[1]2050Pop'!$A$7:$A$143,'[1]2050Pop'!$C$7:$C$143)</f>
        <v>20836</v>
      </c>
      <c r="D3726" s="126" t="s">
        <v>529</v>
      </c>
      <c r="E3726" s="128">
        <v>9.7569999999999997</v>
      </c>
      <c r="F3726" s="129">
        <f t="shared" si="176"/>
        <v>0.20329685199999997</v>
      </c>
      <c r="G3726" t="str">
        <f>_xlfn.XLOOKUP(D3726,'[1]2050 BAU Mapping to T &amp; C'!$A$3:$A$52,'[1]2050 BAU Mapping to T &amp; C'!$B$3:$B$52)</f>
        <v xml:space="preserve">Oil crops </v>
      </c>
      <c r="H3726" s="129">
        <f>_xlfn.XLOOKUP(G3726,'[1]T&amp;C emissions for 2050 analysis'!$B$3:$B$23,'[1]T&amp;C emissions for 2050 analysis'!$C$3:$C$23)</f>
        <v>0.18333333333333335</v>
      </c>
      <c r="I3726" s="27">
        <f t="shared" si="174"/>
        <v>3.7271089533333329E-2</v>
      </c>
      <c r="J3726" s="129">
        <f t="shared" si="175"/>
        <v>1.7887833333333334</v>
      </c>
    </row>
    <row r="3727" spans="1:10" hidden="1" x14ac:dyDescent="0.35">
      <c r="A3727" s="126" t="s">
        <v>464</v>
      </c>
      <c r="B3727" t="str">
        <f>_xlfn.XLOOKUP(A3727,'[1]2050Pop'!$A$7:$A$143,'[1]2050Pop'!$D$7:$D$143)</f>
        <v>Euro/AU/NZ</v>
      </c>
      <c r="C3727" s="127">
        <f>1000*_xlfn.XLOOKUP(A3727,'[1]2050Pop'!$A$7:$A$143,'[1]2050Pop'!$C$7:$C$143)</f>
        <v>11881</v>
      </c>
      <c r="D3727" s="126" t="s">
        <v>529</v>
      </c>
      <c r="E3727" s="128">
        <v>3.4369999999999998</v>
      </c>
      <c r="F3727" s="129">
        <f t="shared" si="176"/>
        <v>4.0834996999999998E-2</v>
      </c>
      <c r="G3727" t="str">
        <f>_xlfn.XLOOKUP(D3727,'[1]2050 BAU Mapping to T &amp; C'!$A$3:$A$52,'[1]2050 BAU Mapping to T &amp; C'!$B$3:$B$52)</f>
        <v xml:space="preserve">Oil crops </v>
      </c>
      <c r="H3727" s="129">
        <f>_xlfn.XLOOKUP(G3727,'[1]T&amp;C emissions for 2050 analysis'!$B$3:$B$23,'[1]T&amp;C emissions for 2050 analysis'!$C$3:$C$23)</f>
        <v>0.18333333333333335</v>
      </c>
      <c r="I3727" s="27">
        <f t="shared" si="174"/>
        <v>7.4864161166666669E-3</v>
      </c>
      <c r="J3727" s="129">
        <f t="shared" si="175"/>
        <v>0.63011666666666666</v>
      </c>
    </row>
    <row r="3728" spans="1:10" hidden="1" x14ac:dyDescent="0.35">
      <c r="A3728" s="126" t="s">
        <v>483</v>
      </c>
      <c r="B3728" t="str">
        <f>_xlfn.XLOOKUP(A3728,'[1]2050Pop'!$A$7:$A$143,'[1]2050Pop'!$D$7:$D$143)</f>
        <v>APAC</v>
      </c>
      <c r="C3728" s="127">
        <f>1000*_xlfn.XLOOKUP(A3728,'[1]2050Pop'!$A$7:$A$143,'[1]2050Pop'!$C$7:$C$143)</f>
        <v>14288</v>
      </c>
      <c r="D3728" s="126" t="s">
        <v>529</v>
      </c>
      <c r="E3728" s="128">
        <v>1.917</v>
      </c>
      <c r="F3728" s="129">
        <f t="shared" si="176"/>
        <v>2.7390096000000003E-2</v>
      </c>
      <c r="G3728" t="str">
        <f>_xlfn.XLOOKUP(D3728,'[1]2050 BAU Mapping to T &amp; C'!$A$3:$A$52,'[1]2050 BAU Mapping to T &amp; C'!$B$3:$B$52)</f>
        <v xml:space="preserve">Oil crops </v>
      </c>
      <c r="H3728" s="129">
        <f>_xlfn.XLOOKUP(G3728,'[1]T&amp;C emissions for 2050 analysis'!$B$3:$B$23,'[1]T&amp;C emissions for 2050 analysis'!$C$3:$C$23)</f>
        <v>0.18333333333333335</v>
      </c>
      <c r="I3728" s="27">
        <f t="shared" si="174"/>
        <v>5.0215176000000007E-3</v>
      </c>
      <c r="J3728" s="129">
        <f t="shared" si="175"/>
        <v>0.35145000000000004</v>
      </c>
    </row>
    <row r="3729" spans="1:10" hidden="1" x14ac:dyDescent="0.35">
      <c r="A3729" s="126" t="s">
        <v>465</v>
      </c>
      <c r="B3729" t="str">
        <f>_xlfn.XLOOKUP(A3729,'[1]2050Pop'!$A$7:$A$143,'[1]2050Pop'!$D$7:$D$143)</f>
        <v>APAC</v>
      </c>
      <c r="C3729" s="127">
        <f>1000*_xlfn.XLOOKUP(A3729,'[1]2050Pop'!$A$7:$A$143,'[1]2050Pop'!$C$7:$C$143)</f>
        <v>62452</v>
      </c>
      <c r="D3729" s="126" t="s">
        <v>529</v>
      </c>
      <c r="E3729" s="128">
        <v>2.2160000000000002</v>
      </c>
      <c r="F3729" s="129">
        <f t="shared" si="176"/>
        <v>0.13839363200000002</v>
      </c>
      <c r="G3729" t="str">
        <f>_xlfn.XLOOKUP(D3729,'[1]2050 BAU Mapping to T &amp; C'!$A$3:$A$52,'[1]2050 BAU Mapping to T &amp; C'!$B$3:$B$52)</f>
        <v xml:space="preserve">Oil crops </v>
      </c>
      <c r="H3729" s="129">
        <f>_xlfn.XLOOKUP(G3729,'[1]T&amp;C emissions for 2050 analysis'!$B$3:$B$23,'[1]T&amp;C emissions for 2050 analysis'!$C$3:$C$23)</f>
        <v>0.18333333333333335</v>
      </c>
      <c r="I3729" s="27">
        <f t="shared" si="174"/>
        <v>2.5372165866666671E-2</v>
      </c>
      <c r="J3729" s="129">
        <f t="shared" si="175"/>
        <v>0.40626666666666672</v>
      </c>
    </row>
    <row r="3730" spans="1:10" hidden="1" x14ac:dyDescent="0.35">
      <c r="A3730" s="126" t="s">
        <v>466</v>
      </c>
      <c r="B3730" t="str">
        <f>_xlfn.XLOOKUP(A3730,'[1]2050Pop'!$A$7:$A$143,'[1]2050Pop'!$D$7:$D$143)</f>
        <v>SSA</v>
      </c>
      <c r="C3730" s="127">
        <f>1000*_xlfn.XLOOKUP(A3730,'[1]2050Pop'!$A$7:$A$143,'[1]2050Pop'!$C$7:$C$143)</f>
        <v>15681</v>
      </c>
      <c r="D3730" s="126" t="s">
        <v>529</v>
      </c>
      <c r="E3730" s="130">
        <v>1.44</v>
      </c>
      <c r="F3730" s="129">
        <f t="shared" si="176"/>
        <v>2.2580639999999999E-2</v>
      </c>
      <c r="G3730" t="str">
        <f>_xlfn.XLOOKUP(D3730,'[1]2050 BAU Mapping to T &amp; C'!$A$3:$A$52,'[1]2050 BAU Mapping to T &amp; C'!$B$3:$B$52)</f>
        <v xml:space="preserve">Oil crops </v>
      </c>
      <c r="H3730" s="129">
        <f>_xlfn.XLOOKUP(G3730,'[1]T&amp;C emissions for 2050 analysis'!$B$3:$B$23,'[1]T&amp;C emissions for 2050 analysis'!$C$3:$C$23)</f>
        <v>0.18333333333333335</v>
      </c>
      <c r="I3730" s="27">
        <f t="shared" si="174"/>
        <v>4.1397840000000005E-3</v>
      </c>
      <c r="J3730" s="129">
        <f t="shared" si="175"/>
        <v>0.26400000000000001</v>
      </c>
    </row>
    <row r="3731" spans="1:10" hidden="1" x14ac:dyDescent="0.35">
      <c r="A3731" s="126" t="s">
        <v>467</v>
      </c>
      <c r="B3731" t="str">
        <f>_xlfn.XLOOKUP(A3731,'[1]2050Pop'!$A$7:$A$143,'[1]2050Pop'!$D$7:$D$143)</f>
        <v>LatAm &amp; RSA</v>
      </c>
      <c r="C3731" s="127">
        <f>1000*_xlfn.XLOOKUP(A3731,'[1]2050Pop'!$A$7:$A$143,'[1]2050Pop'!$C$7:$C$143)</f>
        <v>1291</v>
      </c>
      <c r="D3731" s="126" t="s">
        <v>529</v>
      </c>
      <c r="E3731" s="128">
        <v>1.425</v>
      </c>
      <c r="F3731" s="129">
        <f t="shared" si="176"/>
        <v>1.839675E-3</v>
      </c>
      <c r="G3731" t="str">
        <f>_xlfn.XLOOKUP(D3731,'[1]2050 BAU Mapping to T &amp; C'!$A$3:$A$52,'[1]2050 BAU Mapping to T &amp; C'!$B$3:$B$52)</f>
        <v xml:space="preserve">Oil crops </v>
      </c>
      <c r="H3731" s="129">
        <f>_xlfn.XLOOKUP(G3731,'[1]T&amp;C emissions for 2050 analysis'!$B$3:$B$23,'[1]T&amp;C emissions for 2050 analysis'!$C$3:$C$23)</f>
        <v>0.18333333333333335</v>
      </c>
      <c r="I3731" s="27">
        <f t="shared" si="174"/>
        <v>3.3727375000000006E-4</v>
      </c>
      <c r="J3731" s="129">
        <f t="shared" si="175"/>
        <v>0.26125000000000004</v>
      </c>
    </row>
    <row r="3732" spans="1:10" hidden="1" x14ac:dyDescent="0.35">
      <c r="A3732" s="126" t="s">
        <v>468</v>
      </c>
      <c r="B3732" t="str">
        <f>_xlfn.XLOOKUP(A3732,'[1]2050Pop'!$A$7:$A$143,'[1]2050Pop'!$D$7:$D$143)</f>
        <v>MENA</v>
      </c>
      <c r="C3732" s="127">
        <f>1000*_xlfn.XLOOKUP(A3732,'[1]2050Pop'!$A$7:$A$143,'[1]2050Pop'!$C$7:$C$143)</f>
        <v>13476</v>
      </c>
      <c r="D3732" s="126" t="s">
        <v>529</v>
      </c>
      <c r="E3732" s="128">
        <v>24.242999999999999</v>
      </c>
      <c r="F3732" s="129">
        <f t="shared" si="176"/>
        <v>0.32669866800000003</v>
      </c>
      <c r="G3732" t="str">
        <f>_xlfn.XLOOKUP(D3732,'[1]2050 BAU Mapping to T &amp; C'!$A$3:$A$52,'[1]2050 BAU Mapping to T &amp; C'!$B$3:$B$52)</f>
        <v xml:space="preserve">Oil crops </v>
      </c>
      <c r="H3732" s="129">
        <f>_xlfn.XLOOKUP(G3732,'[1]T&amp;C emissions for 2050 analysis'!$B$3:$B$23,'[1]T&amp;C emissions for 2050 analysis'!$C$3:$C$23)</f>
        <v>0.18333333333333335</v>
      </c>
      <c r="I3732" s="27">
        <f t="shared" si="174"/>
        <v>5.9894755800000012E-2</v>
      </c>
      <c r="J3732" s="129">
        <f t="shared" si="175"/>
        <v>4.4445500000000004</v>
      </c>
    </row>
    <row r="3733" spans="1:10" hidden="1" x14ac:dyDescent="0.35">
      <c r="A3733" s="126" t="s">
        <v>469</v>
      </c>
      <c r="B3733" t="str">
        <f>_xlfn.XLOOKUP(A3733,'[1]2050Pop'!$A$7:$A$143,'[1]2050Pop'!$D$7:$D$143)</f>
        <v>MENA</v>
      </c>
      <c r="C3733" s="127">
        <f>1000*_xlfn.XLOOKUP(A3733,'[1]2050Pop'!$A$7:$A$143,'[1]2050Pop'!$C$7:$C$143)</f>
        <v>95819</v>
      </c>
      <c r="D3733" s="126" t="s">
        <v>529</v>
      </c>
      <c r="E3733" s="128">
        <v>10.345000000000001</v>
      </c>
      <c r="F3733" s="129">
        <f t="shared" si="176"/>
        <v>0.99124755500000006</v>
      </c>
      <c r="G3733" t="str">
        <f>_xlfn.XLOOKUP(D3733,'[1]2050 BAU Mapping to T &amp; C'!$A$3:$A$52,'[1]2050 BAU Mapping to T &amp; C'!$B$3:$B$52)</f>
        <v xml:space="preserve">Oil crops </v>
      </c>
      <c r="H3733" s="129">
        <f>_xlfn.XLOOKUP(G3733,'[1]T&amp;C emissions for 2050 analysis'!$B$3:$B$23,'[1]T&amp;C emissions for 2050 analysis'!$C$3:$C$23)</f>
        <v>0.18333333333333335</v>
      </c>
      <c r="I3733" s="27">
        <f t="shared" si="174"/>
        <v>0.18172871841666668</v>
      </c>
      <c r="J3733" s="129">
        <f t="shared" si="175"/>
        <v>1.8965833333333335</v>
      </c>
    </row>
    <row r="3734" spans="1:10" hidden="1" x14ac:dyDescent="0.35">
      <c r="A3734" s="126" t="s">
        <v>470</v>
      </c>
      <c r="B3734" t="str">
        <f>_xlfn.XLOOKUP(A3734,'[1]2050Pop'!$A$7:$A$143,'[1]2050Pop'!$D$7:$D$143)</f>
        <v>SSA</v>
      </c>
      <c r="C3734" s="127">
        <f>1000*_xlfn.XLOOKUP(A3734,'[1]2050Pop'!$A$7:$A$143,'[1]2050Pop'!$C$7:$C$143)</f>
        <v>101873</v>
      </c>
      <c r="D3734" s="126" t="s">
        <v>529</v>
      </c>
      <c r="E3734" s="128">
        <v>32.076000000000001</v>
      </c>
      <c r="F3734" s="129">
        <f t="shared" si="176"/>
        <v>3.267678348</v>
      </c>
      <c r="G3734" t="str">
        <f>_xlfn.XLOOKUP(D3734,'[1]2050 BAU Mapping to T &amp; C'!$A$3:$A$52,'[1]2050 BAU Mapping to T &amp; C'!$B$3:$B$52)</f>
        <v xml:space="preserve">Oil crops </v>
      </c>
      <c r="H3734" s="129">
        <f>_xlfn.XLOOKUP(G3734,'[1]T&amp;C emissions for 2050 analysis'!$B$3:$B$23,'[1]T&amp;C emissions for 2050 analysis'!$C$3:$C$23)</f>
        <v>0.18333333333333335</v>
      </c>
      <c r="I3734" s="27">
        <f t="shared" si="174"/>
        <v>0.59907436380000001</v>
      </c>
      <c r="J3734" s="129">
        <f t="shared" si="175"/>
        <v>5.8806000000000003</v>
      </c>
    </row>
    <row r="3735" spans="1:10" hidden="1" x14ac:dyDescent="0.35">
      <c r="A3735" s="126" t="s">
        <v>472</v>
      </c>
      <c r="B3735" t="str">
        <f>_xlfn.XLOOKUP(A3735,'[1]2050Pop'!$A$7:$A$143,'[1]2050Pop'!$D$7:$D$143)</f>
        <v>Euro/AU/NZ</v>
      </c>
      <c r="C3735" s="127">
        <f>1000*_xlfn.XLOOKUP(A3735,'[1]2050Pop'!$A$7:$A$143,'[1]2050Pop'!$C$7:$C$143)</f>
        <v>75361</v>
      </c>
      <c r="D3735" s="126" t="s">
        <v>529</v>
      </c>
      <c r="E3735" s="128">
        <v>2.2690000000000001</v>
      </c>
      <c r="F3735" s="129">
        <f t="shared" si="176"/>
        <v>0.17099410900000001</v>
      </c>
      <c r="G3735" t="str">
        <f>_xlfn.XLOOKUP(D3735,'[1]2050 BAU Mapping to T &amp; C'!$A$3:$A$52,'[1]2050 BAU Mapping to T &amp; C'!$B$3:$B$52)</f>
        <v xml:space="preserve">Oil crops </v>
      </c>
      <c r="H3735" s="129">
        <f>_xlfn.XLOOKUP(G3735,'[1]T&amp;C emissions for 2050 analysis'!$B$3:$B$23,'[1]T&amp;C emissions for 2050 analysis'!$C$3:$C$23)</f>
        <v>0.18333333333333335</v>
      </c>
      <c r="I3735" s="27">
        <f t="shared" si="174"/>
        <v>3.1348919983333334E-2</v>
      </c>
      <c r="J3735" s="129">
        <f t="shared" si="175"/>
        <v>0.41598333333333337</v>
      </c>
    </row>
    <row r="3736" spans="1:10" hidden="1" x14ac:dyDescent="0.35">
      <c r="A3736" s="126" t="s">
        <v>474</v>
      </c>
      <c r="B3736" t="str">
        <f>_xlfn.XLOOKUP(A3736,'[1]2050Pop'!$A$7:$A$143,'[1]2050Pop'!$D$7:$D$143)</f>
        <v>NAm</v>
      </c>
      <c r="C3736" s="127">
        <f>1000*_xlfn.XLOOKUP(A3736,'[1]2050Pop'!$A$7:$A$143,'[1]2050Pop'!$C$7:$C$143)</f>
        <v>388865</v>
      </c>
      <c r="D3736" s="126" t="s">
        <v>529</v>
      </c>
      <c r="E3736" s="128">
        <v>2.556</v>
      </c>
      <c r="F3736" s="129">
        <f t="shared" si="176"/>
        <v>0.99393894000000005</v>
      </c>
      <c r="G3736" t="str">
        <f>_xlfn.XLOOKUP(D3736,'[1]2050 BAU Mapping to T &amp; C'!$A$3:$A$52,'[1]2050 BAU Mapping to T &amp; C'!$B$3:$B$52)</f>
        <v xml:space="preserve">Oil crops </v>
      </c>
      <c r="H3736" s="129">
        <f>_xlfn.XLOOKUP(G3736,'[1]T&amp;C emissions for 2050 analysis'!$B$3:$B$23,'[1]T&amp;C emissions for 2050 analysis'!$C$3:$C$23)</f>
        <v>0.18333333333333335</v>
      </c>
      <c r="I3736" s="27">
        <f t="shared" si="174"/>
        <v>0.18222213900000003</v>
      </c>
      <c r="J3736" s="129">
        <f t="shared" si="175"/>
        <v>0.46860000000000007</v>
      </c>
    </row>
    <row r="3737" spans="1:10" hidden="1" x14ac:dyDescent="0.35">
      <c r="A3737" s="126" t="s">
        <v>475</v>
      </c>
      <c r="B3737" t="str">
        <f>_xlfn.XLOOKUP(A3737,'[1]2050Pop'!$A$7:$A$143,'[1]2050Pop'!$D$7:$D$143)</f>
        <v>LatAm &amp; RSA</v>
      </c>
      <c r="C3737" s="127">
        <f>1000*_xlfn.XLOOKUP(A3737,'[1]2050Pop'!$A$7:$A$143,'[1]2050Pop'!$C$7:$C$143)</f>
        <v>3667</v>
      </c>
      <c r="D3737" s="126" t="s">
        <v>529</v>
      </c>
      <c r="E3737" s="128">
        <v>1.5249999999999999</v>
      </c>
      <c r="F3737" s="129">
        <f t="shared" si="176"/>
        <v>5.5921749999999996E-3</v>
      </c>
      <c r="G3737" t="str">
        <f>_xlfn.XLOOKUP(D3737,'[1]2050 BAU Mapping to T &amp; C'!$A$3:$A$52,'[1]2050 BAU Mapping to T &amp; C'!$B$3:$B$52)</f>
        <v xml:space="preserve">Oil crops </v>
      </c>
      <c r="H3737" s="129">
        <f>_xlfn.XLOOKUP(G3737,'[1]T&amp;C emissions for 2050 analysis'!$B$3:$B$23,'[1]T&amp;C emissions for 2050 analysis'!$C$3:$C$23)</f>
        <v>0.18333333333333335</v>
      </c>
      <c r="I3737" s="27">
        <f t="shared" si="174"/>
        <v>1.0252320833333333E-3</v>
      </c>
      <c r="J3737" s="129">
        <f t="shared" si="175"/>
        <v>0.27958333333333335</v>
      </c>
    </row>
    <row r="3738" spans="1:10" hidden="1" x14ac:dyDescent="0.35">
      <c r="A3738" s="126" t="s">
        <v>485</v>
      </c>
      <c r="B3738" t="str">
        <f>_xlfn.XLOOKUP(A3738,'[1]2050Pop'!$A$7:$A$143,'[1]2050Pop'!$D$7:$D$143)</f>
        <v>APAC</v>
      </c>
      <c r="C3738" s="127">
        <f>1000*_xlfn.XLOOKUP(A3738,'[1]2050Pop'!$A$7:$A$143,'[1]2050Pop'!$C$7:$C$143)</f>
        <v>37126</v>
      </c>
      <c r="D3738" s="126" t="s">
        <v>529</v>
      </c>
      <c r="E3738" s="128">
        <v>1.8260000000000001</v>
      </c>
      <c r="F3738" s="129">
        <f t="shared" si="176"/>
        <v>6.7792076000000007E-2</v>
      </c>
      <c r="G3738" t="str">
        <f>_xlfn.XLOOKUP(D3738,'[1]2050 BAU Mapping to T &amp; C'!$A$3:$A$52,'[1]2050 BAU Mapping to T &amp; C'!$B$3:$B$52)</f>
        <v xml:space="preserve">Oil crops </v>
      </c>
      <c r="H3738" s="129">
        <f>_xlfn.XLOOKUP(G3738,'[1]T&amp;C emissions for 2050 analysis'!$B$3:$B$23,'[1]T&amp;C emissions for 2050 analysis'!$C$3:$C$23)</f>
        <v>0.18333333333333335</v>
      </c>
      <c r="I3738" s="27">
        <f t="shared" si="174"/>
        <v>1.242854726666667E-2</v>
      </c>
      <c r="J3738" s="129">
        <f t="shared" si="175"/>
        <v>0.33476666666666671</v>
      </c>
    </row>
    <row r="3739" spans="1:10" hidden="1" x14ac:dyDescent="0.35">
      <c r="A3739" s="126" t="s">
        <v>478</v>
      </c>
      <c r="B3739" t="str">
        <f>_xlfn.XLOOKUP(A3739,'[1]2050Pop'!$A$7:$A$143,'[1]2050Pop'!$D$7:$D$143)</f>
        <v>MENA</v>
      </c>
      <c r="C3739" s="127">
        <f>1000*_xlfn.XLOOKUP(A3739,'[1]2050Pop'!$A$7:$A$143,'[1]2050Pop'!$C$7:$C$143)</f>
        <v>47170</v>
      </c>
      <c r="D3739" s="126" t="s">
        <v>529</v>
      </c>
      <c r="E3739" s="130">
        <v>9.98</v>
      </c>
      <c r="F3739" s="129">
        <f t="shared" si="176"/>
        <v>0.47075660000000003</v>
      </c>
      <c r="G3739" t="str">
        <f>_xlfn.XLOOKUP(D3739,'[1]2050 BAU Mapping to T &amp; C'!$A$3:$A$52,'[1]2050 BAU Mapping to T &amp; C'!$B$3:$B$52)</f>
        <v xml:space="preserve">Oil crops </v>
      </c>
      <c r="H3739" s="129">
        <f>_xlfn.XLOOKUP(G3739,'[1]T&amp;C emissions for 2050 analysis'!$B$3:$B$23,'[1]T&amp;C emissions for 2050 analysis'!$C$3:$C$23)</f>
        <v>0.18333333333333335</v>
      </c>
      <c r="I3739" s="27">
        <f t="shared" si="174"/>
        <v>8.6305376666666683E-2</v>
      </c>
      <c r="J3739" s="129">
        <f t="shared" si="175"/>
        <v>1.829666666666667</v>
      </c>
    </row>
    <row r="3740" spans="1:10" hidden="1" x14ac:dyDescent="0.35">
      <c r="A3740" s="126" t="s">
        <v>355</v>
      </c>
      <c r="B3740" t="str">
        <f>_xlfn.XLOOKUP(A3740,'[1]2050Pop'!$A$7:$A$143,'[1]2050Pop'!$D$7:$D$143)</f>
        <v>India/South Asia</v>
      </c>
      <c r="C3740" s="127">
        <f>1000*_xlfn.XLOOKUP(A3740,'[1]2050Pop'!$A$7:$A$143,'[1]2050Pop'!$C$7:$C$143)</f>
        <v>55955</v>
      </c>
      <c r="D3740" s="126" t="s">
        <v>530</v>
      </c>
      <c r="E3740" s="128">
        <v>1.2789999999999999</v>
      </c>
      <c r="F3740" s="129">
        <f t="shared" si="176"/>
        <v>7.1566444999999992E-2</v>
      </c>
      <c r="G3740" t="str">
        <f>_xlfn.XLOOKUP(D3740,'[1]2050 BAU Mapping to T &amp; C'!$A$3:$A$52,'[1]2050 BAU Mapping to T &amp; C'!$B$3:$B$52)</f>
        <v xml:space="preserve">Oil crops </v>
      </c>
      <c r="H3740" s="129">
        <f>_xlfn.XLOOKUP(G3740,'[1]T&amp;C emissions for 2050 analysis'!$B$3:$B$23,'[1]T&amp;C emissions for 2050 analysis'!$C$3:$C$23)</f>
        <v>0.18333333333333335</v>
      </c>
      <c r="I3740" s="27">
        <f t="shared" si="174"/>
        <v>1.3120514916666666E-2</v>
      </c>
      <c r="J3740" s="129">
        <f t="shared" si="175"/>
        <v>0.23448333333333335</v>
      </c>
    </row>
    <row r="3741" spans="1:10" hidden="1" x14ac:dyDescent="0.35">
      <c r="A3741" s="126" t="s">
        <v>362</v>
      </c>
      <c r="B3741" t="str">
        <f>_xlfn.XLOOKUP(A3741,'[1]2050Pop'!$A$7:$A$143,'[1]2050Pop'!$D$7:$D$143)</f>
        <v>Euro/AU/NZ</v>
      </c>
      <c r="C3741" s="127">
        <f>1000*_xlfn.XLOOKUP(A3741,'[1]2050Pop'!$A$7:$A$143,'[1]2050Pop'!$C$7:$C$143)</f>
        <v>33496</v>
      </c>
      <c r="D3741" s="126" t="s">
        <v>530</v>
      </c>
      <c r="E3741" s="130">
        <v>3.54</v>
      </c>
      <c r="F3741" s="129">
        <f t="shared" si="176"/>
        <v>0.11857584</v>
      </c>
      <c r="G3741" t="str">
        <f>_xlfn.XLOOKUP(D3741,'[1]2050 BAU Mapping to T &amp; C'!$A$3:$A$52,'[1]2050 BAU Mapping to T &amp; C'!$B$3:$B$52)</f>
        <v xml:space="preserve">Oil crops </v>
      </c>
      <c r="H3741" s="129">
        <f>_xlfn.XLOOKUP(G3741,'[1]T&amp;C emissions for 2050 analysis'!$B$3:$B$23,'[1]T&amp;C emissions for 2050 analysis'!$C$3:$C$23)</f>
        <v>0.18333333333333335</v>
      </c>
      <c r="I3741" s="27">
        <f t="shared" si="174"/>
        <v>2.1738904000000003E-2</v>
      </c>
      <c r="J3741" s="129">
        <f t="shared" si="175"/>
        <v>0.64900000000000002</v>
      </c>
    </row>
    <row r="3742" spans="1:10" hidden="1" x14ac:dyDescent="0.35">
      <c r="A3742" s="126" t="s">
        <v>363</v>
      </c>
      <c r="B3742" t="str">
        <f>_xlfn.XLOOKUP(A3742,'[1]2050Pop'!$A$7:$A$143,'[1]2050Pop'!$D$7:$D$143)</f>
        <v>Euro/AU/NZ</v>
      </c>
      <c r="C3742" s="127">
        <f>1000*_xlfn.XLOOKUP(A3742,'[1]2050Pop'!$A$7:$A$143,'[1]2050Pop'!$C$7:$C$143)</f>
        <v>8846</v>
      </c>
      <c r="D3742" s="126" t="s">
        <v>530</v>
      </c>
      <c r="E3742" s="128">
        <v>0.83099999999999996</v>
      </c>
      <c r="F3742" s="129">
        <f t="shared" si="176"/>
        <v>7.3510260000000001E-3</v>
      </c>
      <c r="G3742" t="str">
        <f>_xlfn.XLOOKUP(D3742,'[1]2050 BAU Mapping to T &amp; C'!$A$3:$A$52,'[1]2050 BAU Mapping to T &amp; C'!$B$3:$B$52)</f>
        <v xml:space="preserve">Oil crops </v>
      </c>
      <c r="H3742" s="129">
        <f>_xlfn.XLOOKUP(G3742,'[1]T&amp;C emissions for 2050 analysis'!$B$3:$B$23,'[1]T&amp;C emissions for 2050 analysis'!$C$3:$C$23)</f>
        <v>0.18333333333333335</v>
      </c>
      <c r="I3742" s="27">
        <f t="shared" si="174"/>
        <v>1.3476881000000001E-3</v>
      </c>
      <c r="J3742" s="129">
        <f t="shared" si="175"/>
        <v>0.15235000000000001</v>
      </c>
    </row>
    <row r="3743" spans="1:10" hidden="1" x14ac:dyDescent="0.35">
      <c r="A3743" s="126" t="s">
        <v>365</v>
      </c>
      <c r="B3743" t="str">
        <f>_xlfn.XLOOKUP(A3743,'[1]2050Pop'!$A$7:$A$143,'[1]2050Pop'!$D$7:$D$143)</f>
        <v>India/South Asia</v>
      </c>
      <c r="C3743" s="127">
        <f>1000*_xlfn.XLOOKUP(A3743,'[1]2050Pop'!$A$7:$A$143,'[1]2050Pop'!$C$7:$C$143)</f>
        <v>202209</v>
      </c>
      <c r="D3743" s="126" t="s">
        <v>530</v>
      </c>
      <c r="E3743" s="128">
        <v>2.4260000000000002</v>
      </c>
      <c r="F3743" s="129">
        <f t="shared" si="176"/>
        <v>0.49055903400000006</v>
      </c>
      <c r="G3743" t="str">
        <f>_xlfn.XLOOKUP(D3743,'[1]2050 BAU Mapping to T &amp; C'!$A$3:$A$52,'[1]2050 BAU Mapping to T &amp; C'!$B$3:$B$52)</f>
        <v xml:space="preserve">Oil crops </v>
      </c>
      <c r="H3743" s="129">
        <f>_xlfn.XLOOKUP(G3743,'[1]T&amp;C emissions for 2050 analysis'!$B$3:$B$23,'[1]T&amp;C emissions for 2050 analysis'!$C$3:$C$23)</f>
        <v>0.18333333333333335</v>
      </c>
      <c r="I3743" s="27">
        <f t="shared" si="174"/>
        <v>8.9935822900000018E-2</v>
      </c>
      <c r="J3743" s="129">
        <f t="shared" si="175"/>
        <v>0.44476666666666675</v>
      </c>
    </row>
    <row r="3744" spans="1:10" hidden="1" x14ac:dyDescent="0.35">
      <c r="A3744" s="126" t="s">
        <v>371</v>
      </c>
      <c r="B3744" t="str">
        <f>_xlfn.XLOOKUP(A3744,'[1]2050Pop'!$A$7:$A$143,'[1]2050Pop'!$D$7:$D$143)</f>
        <v>SSA</v>
      </c>
      <c r="C3744" s="127">
        <f>1000*_xlfn.XLOOKUP(A3744,'[1]2050Pop'!$A$7:$A$143,'[1]2050Pop'!$C$7:$C$143)</f>
        <v>3389</v>
      </c>
      <c r="D3744" s="126" t="s">
        <v>530</v>
      </c>
      <c r="E3744" s="128">
        <v>5.298</v>
      </c>
      <c r="F3744" s="129">
        <f t="shared" si="176"/>
        <v>1.7954921999999998E-2</v>
      </c>
      <c r="G3744" t="str">
        <f>_xlfn.XLOOKUP(D3744,'[1]2050 BAU Mapping to T &amp; C'!$A$3:$A$52,'[1]2050 BAU Mapping to T &amp; C'!$B$3:$B$52)</f>
        <v xml:space="preserve">Oil crops </v>
      </c>
      <c r="H3744" s="129">
        <f>_xlfn.XLOOKUP(G3744,'[1]T&amp;C emissions for 2050 analysis'!$B$3:$B$23,'[1]T&amp;C emissions for 2050 analysis'!$C$3:$C$23)</f>
        <v>0.18333333333333335</v>
      </c>
      <c r="I3744" s="27">
        <f t="shared" si="174"/>
        <v>3.2917356999999999E-3</v>
      </c>
      <c r="J3744" s="129">
        <f t="shared" si="175"/>
        <v>0.97130000000000005</v>
      </c>
    </row>
    <row r="3745" spans="1:10" hidden="1" x14ac:dyDescent="0.35">
      <c r="A3745" s="126" t="s">
        <v>376</v>
      </c>
      <c r="B3745" t="str">
        <f>_xlfn.XLOOKUP(A3745,'[1]2050Pop'!$A$7:$A$143,'[1]2050Pop'!$D$7:$D$143)</f>
        <v>NAm</v>
      </c>
      <c r="C3745" s="127">
        <f>1000*_xlfn.XLOOKUP(A3745,'[1]2050Pop'!$A$7:$A$143,'[1]2050Pop'!$C$7:$C$143)</f>
        <v>44136</v>
      </c>
      <c r="D3745" s="126" t="s">
        <v>530</v>
      </c>
      <c r="E3745" s="128">
        <v>0.82299999999999995</v>
      </c>
      <c r="F3745" s="129">
        <f t="shared" si="176"/>
        <v>3.6323927999999998E-2</v>
      </c>
      <c r="G3745" t="str">
        <f>_xlfn.XLOOKUP(D3745,'[1]2050 BAU Mapping to T &amp; C'!$A$3:$A$52,'[1]2050 BAU Mapping to T &amp; C'!$B$3:$B$52)</f>
        <v xml:space="preserve">Oil crops </v>
      </c>
      <c r="H3745" s="129">
        <f>_xlfn.XLOOKUP(G3745,'[1]T&amp;C emissions for 2050 analysis'!$B$3:$B$23,'[1]T&amp;C emissions for 2050 analysis'!$C$3:$C$23)</f>
        <v>0.18333333333333335</v>
      </c>
      <c r="I3745" s="27">
        <f t="shared" si="174"/>
        <v>6.6593868000000001E-3</v>
      </c>
      <c r="J3745" s="129">
        <f t="shared" si="175"/>
        <v>0.15088333333333334</v>
      </c>
    </row>
    <row r="3746" spans="1:10" hidden="1" x14ac:dyDescent="0.35">
      <c r="A3746" s="126" t="s">
        <v>377</v>
      </c>
      <c r="B3746" t="str">
        <f>_xlfn.XLOOKUP(A3746,'[1]2050Pop'!$A$7:$A$143,'[1]2050Pop'!$D$7:$D$143)</f>
        <v>SSA</v>
      </c>
      <c r="C3746" s="127">
        <f>1000*_xlfn.XLOOKUP(A3746,'[1]2050Pop'!$A$7:$A$143,'[1]2050Pop'!$C$7:$C$143)</f>
        <v>8782</v>
      </c>
      <c r="D3746" s="126" t="s">
        <v>530</v>
      </c>
      <c r="E3746" s="128">
        <v>47.814999999999998</v>
      </c>
      <c r="F3746" s="129">
        <f t="shared" si="176"/>
        <v>0.41991132999999997</v>
      </c>
      <c r="G3746" t="str">
        <f>_xlfn.XLOOKUP(D3746,'[1]2050 BAU Mapping to T &amp; C'!$A$3:$A$52,'[1]2050 BAU Mapping to T &amp; C'!$B$3:$B$52)</f>
        <v xml:space="preserve">Oil crops </v>
      </c>
      <c r="H3746" s="129">
        <f>_xlfn.XLOOKUP(G3746,'[1]T&amp;C emissions for 2050 analysis'!$B$3:$B$23,'[1]T&amp;C emissions for 2050 analysis'!$C$3:$C$23)</f>
        <v>0.18333333333333335</v>
      </c>
      <c r="I3746" s="27">
        <f t="shared" si="174"/>
        <v>7.698374383333334E-2</v>
      </c>
      <c r="J3746" s="129">
        <f t="shared" si="175"/>
        <v>8.7660833333333343</v>
      </c>
    </row>
    <row r="3747" spans="1:10" hidden="1" x14ac:dyDescent="0.35">
      <c r="A3747" s="126" t="s">
        <v>379</v>
      </c>
      <c r="B3747" t="str">
        <f>_xlfn.XLOOKUP(A3747,'[1]2050Pop'!$A$7:$A$143,'[1]2050Pop'!$D$7:$D$143)</f>
        <v>Greater China</v>
      </c>
      <c r="C3747" s="127">
        <f>1000*_xlfn.XLOOKUP(A3747,'[1]2050Pop'!$A$7:$A$143,'[1]2050Pop'!$C$7:$C$143)</f>
        <v>8148</v>
      </c>
      <c r="D3747" s="126" t="s">
        <v>530</v>
      </c>
      <c r="E3747" s="128">
        <v>4.9470000000000001</v>
      </c>
      <c r="F3747" s="129">
        <f t="shared" si="176"/>
        <v>4.0308156000000005E-2</v>
      </c>
      <c r="G3747" t="str">
        <f>_xlfn.XLOOKUP(D3747,'[1]2050 BAU Mapping to T &amp; C'!$A$3:$A$52,'[1]2050 BAU Mapping to T &amp; C'!$B$3:$B$52)</f>
        <v xml:space="preserve">Oil crops </v>
      </c>
      <c r="H3747" s="129">
        <f>_xlfn.XLOOKUP(G3747,'[1]T&amp;C emissions for 2050 analysis'!$B$3:$B$23,'[1]T&amp;C emissions for 2050 analysis'!$C$3:$C$23)</f>
        <v>0.18333333333333335</v>
      </c>
      <c r="I3747" s="27">
        <f t="shared" si="174"/>
        <v>7.3898286000000013E-3</v>
      </c>
      <c r="J3747" s="129">
        <f t="shared" si="175"/>
        <v>0.90695000000000003</v>
      </c>
    </row>
    <row r="3748" spans="1:10" hidden="1" x14ac:dyDescent="0.35">
      <c r="A3748" s="126" t="s">
        <v>380</v>
      </c>
      <c r="B3748" t="str">
        <f>_xlfn.XLOOKUP(A3748,'[1]2050Pop'!$A$7:$A$143,'[1]2050Pop'!$D$7:$D$143)</f>
        <v>Greater China</v>
      </c>
      <c r="C3748" s="127">
        <f>1000*_xlfn.XLOOKUP(A3748,'[1]2050Pop'!$A$7:$A$143,'[1]2050Pop'!$C$7:$C$143)</f>
        <v>1348056</v>
      </c>
      <c r="D3748" s="126" t="s">
        <v>530</v>
      </c>
      <c r="E3748" s="128">
        <v>4.5839999999999996</v>
      </c>
      <c r="F3748" s="129">
        <f t="shared" si="176"/>
        <v>6.1794887039999997</v>
      </c>
      <c r="G3748" t="str">
        <f>_xlfn.XLOOKUP(D3748,'[1]2050 BAU Mapping to T &amp; C'!$A$3:$A$52,'[1]2050 BAU Mapping to T &amp; C'!$B$3:$B$52)</f>
        <v xml:space="preserve">Oil crops </v>
      </c>
      <c r="H3748" s="129">
        <f>_xlfn.XLOOKUP(G3748,'[1]T&amp;C emissions for 2050 analysis'!$B$3:$B$23,'[1]T&amp;C emissions for 2050 analysis'!$C$3:$C$23)</f>
        <v>0.18333333333333335</v>
      </c>
      <c r="I3748" s="27">
        <f t="shared" si="174"/>
        <v>1.1329062624000001</v>
      </c>
      <c r="J3748" s="129">
        <f t="shared" si="175"/>
        <v>0.84040000000000004</v>
      </c>
    </row>
    <row r="3749" spans="1:10" hidden="1" x14ac:dyDescent="0.35">
      <c r="A3749" s="126" t="s">
        <v>381</v>
      </c>
      <c r="B3749" t="str">
        <f>_xlfn.XLOOKUP(A3749,'[1]2050Pop'!$A$7:$A$143,'[1]2050Pop'!$D$7:$D$143)</f>
        <v>Greater China</v>
      </c>
      <c r="C3749" s="127">
        <f>1000*_xlfn.XLOOKUP(A3749,'[1]2050Pop'!$A$7:$A$143,'[1]2050Pop'!$C$7:$C$143)</f>
        <v>20778</v>
      </c>
      <c r="D3749" s="126" t="s">
        <v>530</v>
      </c>
      <c r="E3749" s="128">
        <v>12.247</v>
      </c>
      <c r="F3749" s="129">
        <f t="shared" si="176"/>
        <v>0.254468166</v>
      </c>
      <c r="G3749" t="str">
        <f>_xlfn.XLOOKUP(D3749,'[1]2050 BAU Mapping to T &amp; C'!$A$3:$A$52,'[1]2050 BAU Mapping to T &amp; C'!$B$3:$B$52)</f>
        <v xml:space="preserve">Oil crops </v>
      </c>
      <c r="H3749" s="129">
        <f>_xlfn.XLOOKUP(G3749,'[1]T&amp;C emissions for 2050 analysis'!$B$3:$B$23,'[1]T&amp;C emissions for 2050 analysis'!$C$3:$C$23)</f>
        <v>0.18333333333333335</v>
      </c>
      <c r="I3749" s="27">
        <f t="shared" si="174"/>
        <v>4.6652497100000002E-2</v>
      </c>
      <c r="J3749" s="129">
        <f t="shared" si="175"/>
        <v>2.2452833333333335</v>
      </c>
    </row>
    <row r="3750" spans="1:10" hidden="1" x14ac:dyDescent="0.35">
      <c r="A3750" s="126" t="s">
        <v>382</v>
      </c>
      <c r="B3750" t="str">
        <f>_xlfn.XLOOKUP(A3750,'[1]2050Pop'!$A$7:$A$143,'[1]2050Pop'!$D$7:$D$143)</f>
        <v>LatAm &amp; RSA</v>
      </c>
      <c r="C3750" s="127">
        <f>1000*_xlfn.XLOOKUP(A3750,'[1]2050Pop'!$A$7:$A$143,'[1]2050Pop'!$C$7:$C$143)</f>
        <v>54927</v>
      </c>
      <c r="D3750" s="126" t="s">
        <v>530</v>
      </c>
      <c r="E3750" s="128">
        <v>1.341</v>
      </c>
      <c r="F3750" s="129">
        <f t="shared" si="176"/>
        <v>7.3657106999999999E-2</v>
      </c>
      <c r="G3750" t="str">
        <f>_xlfn.XLOOKUP(D3750,'[1]2050 BAU Mapping to T &amp; C'!$A$3:$A$52,'[1]2050 BAU Mapping to T &amp; C'!$B$3:$B$52)</f>
        <v xml:space="preserve">Oil crops </v>
      </c>
      <c r="H3750" s="129">
        <f>_xlfn.XLOOKUP(G3750,'[1]T&amp;C emissions for 2050 analysis'!$B$3:$B$23,'[1]T&amp;C emissions for 2050 analysis'!$C$3:$C$23)</f>
        <v>0.18333333333333335</v>
      </c>
      <c r="I3750" s="27">
        <f t="shared" si="174"/>
        <v>1.3503802950000001E-2</v>
      </c>
      <c r="J3750" s="129">
        <f t="shared" si="175"/>
        <v>0.24585000000000001</v>
      </c>
    </row>
    <row r="3751" spans="1:10" hidden="1" x14ac:dyDescent="0.35">
      <c r="A3751" s="126" t="s">
        <v>383</v>
      </c>
      <c r="B3751" t="str">
        <f>_xlfn.XLOOKUP(A3751,'[1]2050Pop'!$A$7:$A$143,'[1]2050Pop'!$D$7:$D$143)</f>
        <v>LatAm &amp; RSA</v>
      </c>
      <c r="C3751" s="127">
        <f>1000*_xlfn.XLOOKUP(A3751,'[1]2050Pop'!$A$7:$A$143,'[1]2050Pop'!$C$7:$C$143)</f>
        <v>5759</v>
      </c>
      <c r="D3751" s="126" t="s">
        <v>530</v>
      </c>
      <c r="E3751" s="128">
        <v>2.145</v>
      </c>
      <c r="F3751" s="129">
        <f t="shared" si="176"/>
        <v>1.2353055E-2</v>
      </c>
      <c r="G3751" t="str">
        <f>_xlfn.XLOOKUP(D3751,'[1]2050 BAU Mapping to T &amp; C'!$A$3:$A$52,'[1]2050 BAU Mapping to T &amp; C'!$B$3:$B$52)</f>
        <v xml:space="preserve">Oil crops </v>
      </c>
      <c r="H3751" s="129">
        <f>_xlfn.XLOOKUP(G3751,'[1]T&amp;C emissions for 2050 analysis'!$B$3:$B$23,'[1]T&amp;C emissions for 2050 analysis'!$C$3:$C$23)</f>
        <v>0.18333333333333335</v>
      </c>
      <c r="I3751" s="27">
        <f t="shared" si="174"/>
        <v>2.2647267500000004E-3</v>
      </c>
      <c r="J3751" s="129">
        <f t="shared" si="175"/>
        <v>0.39325000000000004</v>
      </c>
    </row>
    <row r="3752" spans="1:10" hidden="1" x14ac:dyDescent="0.35">
      <c r="A3752" s="126" t="s">
        <v>388</v>
      </c>
      <c r="B3752" t="str">
        <f>_xlfn.XLOOKUP(A3752,'[1]2050Pop'!$A$7:$A$143,'[1]2050Pop'!$D$7:$D$143)</f>
        <v>Euro/AU/NZ</v>
      </c>
      <c r="C3752" s="127">
        <f>1000*_xlfn.XLOOKUP(A3752,'[1]2050Pop'!$A$7:$A$143,'[1]2050Pop'!$C$7:$C$143)</f>
        <v>6299</v>
      </c>
      <c r="D3752" s="126" t="s">
        <v>530</v>
      </c>
      <c r="E3752" s="128">
        <v>4.8579999999999997</v>
      </c>
      <c r="F3752" s="129">
        <f t="shared" si="176"/>
        <v>3.0600541999999998E-2</v>
      </c>
      <c r="G3752" t="str">
        <f>_xlfn.XLOOKUP(D3752,'[1]2050 BAU Mapping to T &amp; C'!$A$3:$A$52,'[1]2050 BAU Mapping to T &amp; C'!$B$3:$B$52)</f>
        <v xml:space="preserve">Oil crops </v>
      </c>
      <c r="H3752" s="129">
        <f>_xlfn.XLOOKUP(G3752,'[1]T&amp;C emissions for 2050 analysis'!$B$3:$B$23,'[1]T&amp;C emissions for 2050 analysis'!$C$3:$C$23)</f>
        <v>0.18333333333333335</v>
      </c>
      <c r="I3752" s="27">
        <f t="shared" si="174"/>
        <v>5.610099366666667E-3</v>
      </c>
      <c r="J3752" s="129">
        <f t="shared" si="175"/>
        <v>0.89063333333333339</v>
      </c>
    </row>
    <row r="3753" spans="1:10" hidden="1" x14ac:dyDescent="0.35">
      <c r="A3753" s="126" t="s">
        <v>394</v>
      </c>
      <c r="B3753" t="str">
        <f>_xlfn.XLOOKUP(A3753,'[1]2050Pop'!$A$7:$A$143,'[1]2050Pop'!$D$7:$D$143)</f>
        <v>SSA</v>
      </c>
      <c r="C3753" s="127">
        <f>1000*_xlfn.XLOOKUP(A3753,'[1]2050Pop'!$A$7:$A$143,'[1]2050Pop'!$C$7:$C$143)</f>
        <v>188455</v>
      </c>
      <c r="D3753" s="126" t="s">
        <v>530</v>
      </c>
      <c r="E3753" s="128">
        <v>3.2029999999999998</v>
      </c>
      <c r="F3753" s="129">
        <f t="shared" si="176"/>
        <v>0.60362136499999997</v>
      </c>
      <c r="G3753" t="str">
        <f>_xlfn.XLOOKUP(D3753,'[1]2050 BAU Mapping to T &amp; C'!$A$3:$A$52,'[1]2050 BAU Mapping to T &amp; C'!$B$3:$B$52)</f>
        <v xml:space="preserve">Oil crops </v>
      </c>
      <c r="H3753" s="129">
        <f>_xlfn.XLOOKUP(G3753,'[1]T&amp;C emissions for 2050 analysis'!$B$3:$B$23,'[1]T&amp;C emissions for 2050 analysis'!$C$3:$C$23)</f>
        <v>0.18333333333333335</v>
      </c>
      <c r="I3753" s="27">
        <f t="shared" si="174"/>
        <v>0.11066391691666667</v>
      </c>
      <c r="J3753" s="129">
        <f t="shared" si="175"/>
        <v>0.58721666666666672</v>
      </c>
    </row>
    <row r="3754" spans="1:10" hidden="1" x14ac:dyDescent="0.35">
      <c r="A3754" s="126" t="s">
        <v>396</v>
      </c>
      <c r="B3754" t="str">
        <f>_xlfn.XLOOKUP(A3754,'[1]2050Pop'!$A$7:$A$143,'[1]2050Pop'!$D$7:$D$143)</f>
        <v>Euro/AU/NZ</v>
      </c>
      <c r="C3754" s="127">
        <f>1000*_xlfn.XLOOKUP(A3754,'[1]2050Pop'!$A$7:$A$143,'[1]2050Pop'!$C$7:$C$143)</f>
        <v>71137</v>
      </c>
      <c r="D3754" s="126" t="s">
        <v>530</v>
      </c>
      <c r="E3754" s="128">
        <v>1.782</v>
      </c>
      <c r="F3754" s="129">
        <f t="shared" si="176"/>
        <v>0.126766134</v>
      </c>
      <c r="G3754" t="str">
        <f>_xlfn.XLOOKUP(D3754,'[1]2050 BAU Mapping to T &amp; C'!$A$3:$A$52,'[1]2050 BAU Mapping to T &amp; C'!$B$3:$B$52)</f>
        <v xml:space="preserve">Oil crops </v>
      </c>
      <c r="H3754" s="129">
        <f>_xlfn.XLOOKUP(G3754,'[1]T&amp;C emissions for 2050 analysis'!$B$3:$B$23,'[1]T&amp;C emissions for 2050 analysis'!$C$3:$C$23)</f>
        <v>0.18333333333333335</v>
      </c>
      <c r="I3754" s="27">
        <f t="shared" si="174"/>
        <v>2.3240457900000001E-2</v>
      </c>
      <c r="J3754" s="129">
        <f t="shared" si="175"/>
        <v>0.32670000000000005</v>
      </c>
    </row>
    <row r="3755" spans="1:10" hidden="1" x14ac:dyDescent="0.35">
      <c r="A3755" s="126" t="s">
        <v>399</v>
      </c>
      <c r="B3755" t="str">
        <f>_xlfn.XLOOKUP(A3755,'[1]2050Pop'!$A$7:$A$143,'[1]2050Pop'!$D$7:$D$143)</f>
        <v>Euro/AU/NZ</v>
      </c>
      <c r="C3755" s="127">
        <f>1000*_xlfn.XLOOKUP(A3755,'[1]2050Pop'!$A$7:$A$143,'[1]2050Pop'!$C$7:$C$143)</f>
        <v>74513</v>
      </c>
      <c r="D3755" s="126" t="s">
        <v>530</v>
      </c>
      <c r="E3755" s="128">
        <v>2.351</v>
      </c>
      <c r="F3755" s="129">
        <f t="shared" si="176"/>
        <v>0.175180063</v>
      </c>
      <c r="G3755" t="str">
        <f>_xlfn.XLOOKUP(D3755,'[1]2050 BAU Mapping to T &amp; C'!$A$3:$A$52,'[1]2050 BAU Mapping to T &amp; C'!$B$3:$B$52)</f>
        <v xml:space="preserve">Oil crops </v>
      </c>
      <c r="H3755" s="129">
        <f>_xlfn.XLOOKUP(G3755,'[1]T&amp;C emissions for 2050 analysis'!$B$3:$B$23,'[1]T&amp;C emissions for 2050 analysis'!$C$3:$C$23)</f>
        <v>0.18333333333333335</v>
      </c>
      <c r="I3755" s="27">
        <f t="shared" si="174"/>
        <v>3.2116344883333335E-2</v>
      </c>
      <c r="J3755" s="129">
        <f t="shared" si="175"/>
        <v>0.43101666666666671</v>
      </c>
    </row>
    <row r="3756" spans="1:10" hidden="1" x14ac:dyDescent="0.35">
      <c r="A3756" s="126" t="s">
        <v>401</v>
      </c>
      <c r="B3756" t="str">
        <f>_xlfn.XLOOKUP(A3756,'[1]2050Pop'!$A$7:$A$143,'[1]2050Pop'!$D$7:$D$143)</f>
        <v>Euro/AU/NZ</v>
      </c>
      <c r="C3756" s="127">
        <f>1000*_xlfn.XLOOKUP(A3756,'[1]2050Pop'!$A$7:$A$143,'[1]2050Pop'!$C$7:$C$143)</f>
        <v>9705</v>
      </c>
      <c r="D3756" s="126" t="s">
        <v>530</v>
      </c>
      <c r="E3756" s="128">
        <v>7.8639999999999999</v>
      </c>
      <c r="F3756" s="129">
        <f t="shared" si="176"/>
        <v>7.6320119999999991E-2</v>
      </c>
      <c r="G3756" t="str">
        <f>_xlfn.XLOOKUP(D3756,'[1]2050 BAU Mapping to T &amp; C'!$A$3:$A$52,'[1]2050 BAU Mapping to T &amp; C'!$B$3:$B$52)</f>
        <v xml:space="preserve">Oil crops </v>
      </c>
      <c r="H3756" s="129">
        <f>_xlfn.XLOOKUP(G3756,'[1]T&amp;C emissions for 2050 analysis'!$B$3:$B$23,'[1]T&amp;C emissions for 2050 analysis'!$C$3:$C$23)</f>
        <v>0.18333333333333335</v>
      </c>
      <c r="I3756" s="27">
        <f t="shared" si="174"/>
        <v>1.3992022E-2</v>
      </c>
      <c r="J3756" s="129">
        <f t="shared" si="175"/>
        <v>1.4417333333333335</v>
      </c>
    </row>
    <row r="3757" spans="1:10" hidden="1" x14ac:dyDescent="0.35">
      <c r="A3757" s="126" t="s">
        <v>402</v>
      </c>
      <c r="B3757" t="str">
        <f>_xlfn.XLOOKUP(A3757,'[1]2050Pop'!$A$7:$A$143,'[1]2050Pop'!$D$7:$D$143)</f>
        <v>LatAm &amp; RSA</v>
      </c>
      <c r="C3757" s="127">
        <f>1000*_xlfn.XLOOKUP(A3757,'[1]2050Pop'!$A$7:$A$143,'[1]2050Pop'!$C$7:$C$143)</f>
        <v>27754</v>
      </c>
      <c r="D3757" s="126" t="s">
        <v>530</v>
      </c>
      <c r="E3757" s="128">
        <v>6.0140000000000002</v>
      </c>
      <c r="F3757" s="129">
        <f t="shared" si="176"/>
        <v>0.16691255600000002</v>
      </c>
      <c r="G3757" t="str">
        <f>_xlfn.XLOOKUP(D3757,'[1]2050 BAU Mapping to T &amp; C'!$A$3:$A$52,'[1]2050 BAU Mapping to T &amp; C'!$B$3:$B$52)</f>
        <v xml:space="preserve">Oil crops </v>
      </c>
      <c r="H3757" s="129">
        <f>_xlfn.XLOOKUP(G3757,'[1]T&amp;C emissions for 2050 analysis'!$B$3:$B$23,'[1]T&amp;C emissions for 2050 analysis'!$C$3:$C$23)</f>
        <v>0.18333333333333335</v>
      </c>
      <c r="I3757" s="27">
        <f t="shared" si="174"/>
        <v>3.0600635266666672E-2</v>
      </c>
      <c r="J3757" s="129">
        <f t="shared" si="175"/>
        <v>1.1025666666666667</v>
      </c>
    </row>
    <row r="3758" spans="1:10" hidden="1" x14ac:dyDescent="0.35">
      <c r="A3758" s="126" t="s">
        <v>406</v>
      </c>
      <c r="B3758" t="str">
        <f>_xlfn.XLOOKUP(A3758,'[1]2050Pop'!$A$7:$A$143,'[1]2050Pop'!$D$7:$D$143)</f>
        <v>LatAm &amp; RSA</v>
      </c>
      <c r="C3758" s="127">
        <f>1000*_xlfn.XLOOKUP(A3758,'[1]2050Pop'!$A$7:$A$143,'[1]2050Pop'!$C$7:$C$143)</f>
        <v>11217</v>
      </c>
      <c r="D3758" s="126" t="s">
        <v>530</v>
      </c>
      <c r="E3758" s="128">
        <v>1.847</v>
      </c>
      <c r="F3758" s="129">
        <f t="shared" si="176"/>
        <v>2.0717798999999999E-2</v>
      </c>
      <c r="G3758" t="str">
        <f>_xlfn.XLOOKUP(D3758,'[1]2050 BAU Mapping to T &amp; C'!$A$3:$A$52,'[1]2050 BAU Mapping to T &amp; C'!$B$3:$B$52)</f>
        <v xml:space="preserve">Oil crops </v>
      </c>
      <c r="H3758" s="129">
        <f>_xlfn.XLOOKUP(G3758,'[1]T&amp;C emissions for 2050 analysis'!$B$3:$B$23,'[1]T&amp;C emissions for 2050 analysis'!$C$3:$C$23)</f>
        <v>0.18333333333333335</v>
      </c>
      <c r="I3758" s="27">
        <f t="shared" si="174"/>
        <v>3.7982631499999999E-3</v>
      </c>
      <c r="J3758" s="129">
        <f t="shared" si="175"/>
        <v>0.33861666666666668</v>
      </c>
    </row>
    <row r="3759" spans="1:10" hidden="1" x14ac:dyDescent="0.35">
      <c r="A3759" s="126" t="s">
        <v>408</v>
      </c>
      <c r="B3759" t="str">
        <f>_xlfn.XLOOKUP(A3759,'[1]2050Pop'!$A$7:$A$143,'[1]2050Pop'!$D$7:$D$143)</f>
        <v>India/South Asia</v>
      </c>
      <c r="C3759" s="127">
        <f>1000*_xlfn.XLOOKUP(A3759,'[1]2050Pop'!$A$7:$A$143,'[1]2050Pop'!$C$7:$C$143)</f>
        <v>1705333</v>
      </c>
      <c r="D3759" s="126" t="s">
        <v>530</v>
      </c>
      <c r="E3759" s="128">
        <v>2.0619999999999998</v>
      </c>
      <c r="F3759" s="129">
        <f t="shared" si="176"/>
        <v>3.5163966459999996</v>
      </c>
      <c r="G3759" t="str">
        <f>_xlfn.XLOOKUP(D3759,'[1]2050 BAU Mapping to T &amp; C'!$A$3:$A$52,'[1]2050 BAU Mapping to T &amp; C'!$B$3:$B$52)</f>
        <v xml:space="preserve">Oil crops </v>
      </c>
      <c r="H3759" s="129">
        <f>_xlfn.XLOOKUP(G3759,'[1]T&amp;C emissions for 2050 analysis'!$B$3:$B$23,'[1]T&amp;C emissions for 2050 analysis'!$C$3:$C$23)</f>
        <v>0.18333333333333335</v>
      </c>
      <c r="I3759" s="27">
        <f t="shared" si="174"/>
        <v>0.64467271843333329</v>
      </c>
      <c r="J3759" s="129">
        <f t="shared" si="175"/>
        <v>0.37803333333333333</v>
      </c>
    </row>
    <row r="3760" spans="1:10" hidden="1" x14ac:dyDescent="0.35">
      <c r="A3760" s="126" t="s">
        <v>410</v>
      </c>
      <c r="B3760" t="str">
        <f>_xlfn.XLOOKUP(A3760,'[1]2050Pop'!$A$7:$A$143,'[1]2050Pop'!$D$7:$D$143)</f>
        <v>India/South Asia</v>
      </c>
      <c r="C3760" s="127">
        <f>1000*_xlfn.XLOOKUP(A3760,'[1]2050Pop'!$A$7:$A$143,'[1]2050Pop'!$C$7:$C$143)</f>
        <v>92219</v>
      </c>
      <c r="D3760" s="126" t="s">
        <v>530</v>
      </c>
      <c r="E3760" s="128">
        <v>6.2329999999999997</v>
      </c>
      <c r="F3760" s="129">
        <f t="shared" si="176"/>
        <v>0.57480102700000002</v>
      </c>
      <c r="G3760" t="str">
        <f>_xlfn.XLOOKUP(D3760,'[1]2050 BAU Mapping to T &amp; C'!$A$3:$A$52,'[1]2050 BAU Mapping to T &amp; C'!$B$3:$B$52)</f>
        <v xml:space="preserve">Oil crops </v>
      </c>
      <c r="H3760" s="129">
        <f>_xlfn.XLOOKUP(G3760,'[1]T&amp;C emissions for 2050 analysis'!$B$3:$B$23,'[1]T&amp;C emissions for 2050 analysis'!$C$3:$C$23)</f>
        <v>0.18333333333333335</v>
      </c>
      <c r="I3760" s="27">
        <f t="shared" si="174"/>
        <v>0.10538018828333334</v>
      </c>
      <c r="J3760" s="129">
        <f t="shared" si="175"/>
        <v>1.1427166666666666</v>
      </c>
    </row>
    <row r="3761" spans="1:10" hidden="1" x14ac:dyDescent="0.35">
      <c r="A3761" s="126" t="s">
        <v>411</v>
      </c>
      <c r="B3761" t="str">
        <f>_xlfn.XLOOKUP(A3761,'[1]2050Pop'!$A$7:$A$143,'[1]2050Pop'!$D$7:$D$143)</f>
        <v>MENA</v>
      </c>
      <c r="C3761" s="127">
        <f>1000*_xlfn.XLOOKUP(A3761,'[1]2050Pop'!$A$7:$A$143,'[1]2050Pop'!$C$7:$C$143)</f>
        <v>83652</v>
      </c>
      <c r="D3761" s="126" t="s">
        <v>530</v>
      </c>
      <c r="E3761" s="128">
        <v>3.8050000000000002</v>
      </c>
      <c r="F3761" s="129">
        <f t="shared" si="176"/>
        <v>0.31829585999999999</v>
      </c>
      <c r="G3761" t="str">
        <f>_xlfn.XLOOKUP(D3761,'[1]2050 BAU Mapping to T &amp; C'!$A$3:$A$52,'[1]2050 BAU Mapping to T &amp; C'!$B$3:$B$52)</f>
        <v xml:space="preserve">Oil crops </v>
      </c>
      <c r="H3761" s="129">
        <f>_xlfn.XLOOKUP(G3761,'[1]T&amp;C emissions for 2050 analysis'!$B$3:$B$23,'[1]T&amp;C emissions for 2050 analysis'!$C$3:$C$23)</f>
        <v>0.18333333333333335</v>
      </c>
      <c r="I3761" s="27">
        <f t="shared" si="174"/>
        <v>5.8354241000000001E-2</v>
      </c>
      <c r="J3761" s="129">
        <f t="shared" si="175"/>
        <v>0.69758333333333344</v>
      </c>
    </row>
    <row r="3762" spans="1:10" hidden="1" x14ac:dyDescent="0.35">
      <c r="A3762" s="126" t="s">
        <v>412</v>
      </c>
      <c r="B3762" t="str">
        <f>_xlfn.XLOOKUP(A3762,'[1]2050Pop'!$A$7:$A$143,'[1]2050Pop'!$D$7:$D$143)</f>
        <v>Euro/AU/NZ</v>
      </c>
      <c r="C3762" s="127">
        <f>1000*_xlfn.XLOOKUP(A3762,'[1]2050Pop'!$A$7:$A$143,'[1]2050Pop'!$C$7:$C$143)</f>
        <v>5789</v>
      </c>
      <c r="D3762" s="126" t="s">
        <v>530</v>
      </c>
      <c r="E3762" s="128">
        <v>1.5509999999999999</v>
      </c>
      <c r="F3762" s="129">
        <f t="shared" si="176"/>
        <v>8.9787389999999995E-3</v>
      </c>
      <c r="G3762" t="str">
        <f>_xlfn.XLOOKUP(D3762,'[1]2050 BAU Mapping to T &amp; C'!$A$3:$A$52,'[1]2050 BAU Mapping to T &amp; C'!$B$3:$B$52)</f>
        <v xml:space="preserve">Oil crops </v>
      </c>
      <c r="H3762" s="129">
        <f>_xlfn.XLOOKUP(G3762,'[1]T&amp;C emissions for 2050 analysis'!$B$3:$B$23,'[1]T&amp;C emissions for 2050 analysis'!$C$3:$C$23)</f>
        <v>0.18333333333333335</v>
      </c>
      <c r="I3762" s="27">
        <f t="shared" si="174"/>
        <v>1.64610215E-3</v>
      </c>
      <c r="J3762" s="129">
        <f t="shared" si="175"/>
        <v>0.28434999999999999</v>
      </c>
    </row>
    <row r="3763" spans="1:10" hidden="1" x14ac:dyDescent="0.35">
      <c r="A3763" s="126" t="s">
        <v>414</v>
      </c>
      <c r="B3763" t="str">
        <f>_xlfn.XLOOKUP(A3763,'[1]2050Pop'!$A$7:$A$143,'[1]2050Pop'!$D$7:$D$143)</f>
        <v>Euro/AU/NZ</v>
      </c>
      <c r="C3763" s="127">
        <f>1000*_xlfn.XLOOKUP(A3763,'[1]2050Pop'!$A$7:$A$143,'[1]2050Pop'!$C$7:$C$143)</f>
        <v>56513</v>
      </c>
      <c r="D3763" s="126" t="s">
        <v>530</v>
      </c>
      <c r="E3763" s="128">
        <v>0.94299999999999995</v>
      </c>
      <c r="F3763" s="129">
        <f t="shared" si="176"/>
        <v>5.3291759000000001E-2</v>
      </c>
      <c r="G3763" t="str">
        <f>_xlfn.XLOOKUP(D3763,'[1]2050 BAU Mapping to T &amp; C'!$A$3:$A$52,'[1]2050 BAU Mapping to T &amp; C'!$B$3:$B$52)</f>
        <v xml:space="preserve">Oil crops </v>
      </c>
      <c r="H3763" s="129">
        <f>_xlfn.XLOOKUP(G3763,'[1]T&amp;C emissions for 2050 analysis'!$B$3:$B$23,'[1]T&amp;C emissions for 2050 analysis'!$C$3:$C$23)</f>
        <v>0.18333333333333335</v>
      </c>
      <c r="I3763" s="27">
        <f t="shared" si="174"/>
        <v>9.7701558166666674E-3</v>
      </c>
      <c r="J3763" s="129">
        <f t="shared" si="175"/>
        <v>0.17288333333333333</v>
      </c>
    </row>
    <row r="3764" spans="1:10" hidden="1" x14ac:dyDescent="0.35">
      <c r="A3764" s="126" t="s">
        <v>417</v>
      </c>
      <c r="B3764" t="str">
        <f>_xlfn.XLOOKUP(A3764,'[1]2050Pop'!$A$7:$A$143,'[1]2050Pop'!$D$7:$D$143)</f>
        <v>MENA</v>
      </c>
      <c r="C3764" s="127">
        <f>1000*_xlfn.XLOOKUP(A3764,'[1]2050Pop'!$A$7:$A$143,'[1]2050Pop'!$C$7:$C$143)</f>
        <v>11717</v>
      </c>
      <c r="D3764" s="126" t="s">
        <v>530</v>
      </c>
      <c r="E3764" s="128">
        <v>19.306000000000001</v>
      </c>
      <c r="F3764" s="129">
        <f t="shared" si="176"/>
        <v>0.226208402</v>
      </c>
      <c r="G3764" t="str">
        <f>_xlfn.XLOOKUP(D3764,'[1]2050 BAU Mapping to T &amp; C'!$A$3:$A$52,'[1]2050 BAU Mapping to T &amp; C'!$B$3:$B$52)</f>
        <v xml:space="preserve">Oil crops </v>
      </c>
      <c r="H3764" s="129">
        <f>_xlfn.XLOOKUP(G3764,'[1]T&amp;C emissions for 2050 analysis'!$B$3:$B$23,'[1]T&amp;C emissions for 2050 analysis'!$C$3:$C$23)</f>
        <v>0.18333333333333335</v>
      </c>
      <c r="I3764" s="27">
        <f t="shared" si="174"/>
        <v>4.147154036666667E-2</v>
      </c>
      <c r="J3764" s="129">
        <f t="shared" si="175"/>
        <v>3.5394333333333337</v>
      </c>
    </row>
    <row r="3765" spans="1:10" hidden="1" x14ac:dyDescent="0.35">
      <c r="A3765" s="126" t="s">
        <v>423</v>
      </c>
      <c r="B3765" t="str">
        <f>_xlfn.XLOOKUP(A3765,'[1]2050Pop'!$A$7:$A$143,'[1]2050Pop'!$D$7:$D$143)</f>
        <v>MENA</v>
      </c>
      <c r="C3765" s="127">
        <f>1000*_xlfn.XLOOKUP(A3765,'[1]2050Pop'!$A$7:$A$143,'[1]2050Pop'!$C$7:$C$143)</f>
        <v>5610</v>
      </c>
      <c r="D3765" s="126" t="s">
        <v>530</v>
      </c>
      <c r="E3765" s="128">
        <v>22.716999999999999</v>
      </c>
      <c r="F3765" s="129">
        <f t="shared" si="176"/>
        <v>0.12744237</v>
      </c>
      <c r="G3765" t="str">
        <f>_xlfn.XLOOKUP(D3765,'[1]2050 BAU Mapping to T &amp; C'!$A$3:$A$52,'[1]2050 BAU Mapping to T &amp; C'!$B$3:$B$52)</f>
        <v xml:space="preserve">Oil crops </v>
      </c>
      <c r="H3765" s="129">
        <f>_xlfn.XLOOKUP(G3765,'[1]T&amp;C emissions for 2050 analysis'!$B$3:$B$23,'[1]T&amp;C emissions for 2050 analysis'!$C$3:$C$23)</f>
        <v>0.18333333333333335</v>
      </c>
      <c r="I3765" s="27">
        <f t="shared" si="174"/>
        <v>2.3364434500000003E-2</v>
      </c>
      <c r="J3765" s="129">
        <f t="shared" si="175"/>
        <v>4.1647833333333333</v>
      </c>
    </row>
    <row r="3766" spans="1:10" hidden="1" x14ac:dyDescent="0.35">
      <c r="A3766" s="126" t="s">
        <v>429</v>
      </c>
      <c r="B3766" t="str">
        <f>_xlfn.XLOOKUP(A3766,'[1]2050Pop'!$A$7:$A$143,'[1]2050Pop'!$D$7:$D$143)</f>
        <v>APAC</v>
      </c>
      <c r="C3766" s="127">
        <f>1000*_xlfn.XLOOKUP(A3766,'[1]2050Pop'!$A$7:$A$143,'[1]2050Pop'!$C$7:$C$143)</f>
        <v>40725</v>
      </c>
      <c r="D3766" s="126" t="s">
        <v>530</v>
      </c>
      <c r="E3766" s="128">
        <v>7.6260000000000003</v>
      </c>
      <c r="F3766" s="129">
        <f t="shared" si="176"/>
        <v>0.31056885000000001</v>
      </c>
      <c r="G3766" t="str">
        <f>_xlfn.XLOOKUP(D3766,'[1]2050 BAU Mapping to T &amp; C'!$A$3:$A$52,'[1]2050 BAU Mapping to T &amp; C'!$B$3:$B$52)</f>
        <v xml:space="preserve">Oil crops </v>
      </c>
      <c r="H3766" s="129">
        <f>_xlfn.XLOOKUP(G3766,'[1]T&amp;C emissions for 2050 analysis'!$B$3:$B$23,'[1]T&amp;C emissions for 2050 analysis'!$C$3:$C$23)</f>
        <v>0.18333333333333335</v>
      </c>
      <c r="I3766" s="27">
        <f t="shared" si="174"/>
        <v>5.6937622500000007E-2</v>
      </c>
      <c r="J3766" s="129">
        <f t="shared" si="175"/>
        <v>1.3981000000000001</v>
      </c>
    </row>
    <row r="3767" spans="1:10" hidden="1" x14ac:dyDescent="0.35">
      <c r="A3767" s="126" t="s">
        <v>431</v>
      </c>
      <c r="B3767" t="str">
        <f>_xlfn.XLOOKUP(A3767,'[1]2050Pop'!$A$7:$A$143,'[1]2050Pop'!$D$7:$D$143)</f>
        <v>SSA</v>
      </c>
      <c r="C3767" s="127">
        <f>1000*_xlfn.XLOOKUP(A3767,'[1]2050Pop'!$A$7:$A$143,'[1]2050Pop'!$C$7:$C$143)</f>
        <v>8048.9999999999991</v>
      </c>
      <c r="D3767" s="126" t="s">
        <v>530</v>
      </c>
      <c r="E3767" s="128">
        <v>1.4350000000000001</v>
      </c>
      <c r="F3767" s="129">
        <f t="shared" si="176"/>
        <v>1.1550314999999998E-2</v>
      </c>
      <c r="G3767" t="str">
        <f>_xlfn.XLOOKUP(D3767,'[1]2050 BAU Mapping to T &amp; C'!$A$3:$A$52,'[1]2050 BAU Mapping to T &amp; C'!$B$3:$B$52)</f>
        <v xml:space="preserve">Oil crops </v>
      </c>
      <c r="H3767" s="129">
        <f>_xlfn.XLOOKUP(G3767,'[1]T&amp;C emissions for 2050 analysis'!$B$3:$B$23,'[1]T&amp;C emissions for 2050 analysis'!$C$3:$C$23)</f>
        <v>0.18333333333333335</v>
      </c>
      <c r="I3767" s="27">
        <f t="shared" si="174"/>
        <v>2.11755775E-3</v>
      </c>
      <c r="J3767" s="129">
        <f t="shared" si="175"/>
        <v>0.26308333333333339</v>
      </c>
    </row>
    <row r="3768" spans="1:10" hidden="1" x14ac:dyDescent="0.35">
      <c r="A3768" s="126" t="s">
        <v>432</v>
      </c>
      <c r="B3768" t="str">
        <f>_xlfn.XLOOKUP(A3768,'[1]2050Pop'!$A$7:$A$143,'[1]2050Pop'!$D$7:$D$143)</f>
        <v>SSA</v>
      </c>
      <c r="C3768" s="127">
        <f>1000*_xlfn.XLOOKUP(A3768,'[1]2050Pop'!$A$7:$A$143,'[1]2050Pop'!$C$7:$C$143)</f>
        <v>1249</v>
      </c>
      <c r="D3768" s="126" t="s">
        <v>530</v>
      </c>
      <c r="E3768" s="128">
        <v>0.97899999999999998</v>
      </c>
      <c r="F3768" s="129">
        <f t="shared" si="176"/>
        <v>1.2227709999999999E-3</v>
      </c>
      <c r="G3768" t="str">
        <f>_xlfn.XLOOKUP(D3768,'[1]2050 BAU Mapping to T &amp; C'!$A$3:$A$52,'[1]2050 BAU Mapping to T &amp; C'!$B$3:$B$52)</f>
        <v xml:space="preserve">Oil crops </v>
      </c>
      <c r="H3768" s="129">
        <f>_xlfn.XLOOKUP(G3768,'[1]T&amp;C emissions for 2050 analysis'!$B$3:$B$23,'[1]T&amp;C emissions for 2050 analysis'!$C$3:$C$23)</f>
        <v>0.18333333333333335</v>
      </c>
      <c r="I3768" s="27">
        <f t="shared" si="174"/>
        <v>2.2417468333333333E-4</v>
      </c>
      <c r="J3768" s="129">
        <f t="shared" si="175"/>
        <v>0.17948333333333336</v>
      </c>
    </row>
    <row r="3769" spans="1:10" hidden="1" x14ac:dyDescent="0.35">
      <c r="A3769" s="126" t="s">
        <v>433</v>
      </c>
      <c r="B3769" t="str">
        <f>_xlfn.XLOOKUP(A3769,'[1]2050Pop'!$A$7:$A$143,'[1]2050Pop'!$D$7:$D$143)</f>
        <v>LatAm &amp; RSA</v>
      </c>
      <c r="C3769" s="127">
        <f>1000*_xlfn.XLOOKUP(A3769,'[1]2050Pop'!$A$7:$A$143,'[1]2050Pop'!$C$7:$C$143)</f>
        <v>163754</v>
      </c>
      <c r="D3769" s="126" t="s">
        <v>530</v>
      </c>
      <c r="E3769" s="128">
        <v>2.383</v>
      </c>
      <c r="F3769" s="129">
        <f t="shared" si="176"/>
        <v>0.39022578200000002</v>
      </c>
      <c r="G3769" t="str">
        <f>_xlfn.XLOOKUP(D3769,'[1]2050 BAU Mapping to T &amp; C'!$A$3:$A$52,'[1]2050 BAU Mapping to T &amp; C'!$B$3:$B$52)</f>
        <v xml:space="preserve">Oil crops </v>
      </c>
      <c r="H3769" s="129">
        <f>_xlfn.XLOOKUP(G3769,'[1]T&amp;C emissions for 2050 analysis'!$B$3:$B$23,'[1]T&amp;C emissions for 2050 analysis'!$C$3:$C$23)</f>
        <v>0.18333333333333335</v>
      </c>
      <c r="I3769" s="27">
        <f t="shared" si="174"/>
        <v>7.1541393366666678E-2</v>
      </c>
      <c r="J3769" s="129">
        <f t="shared" si="175"/>
        <v>0.43688333333333335</v>
      </c>
    </row>
    <row r="3770" spans="1:10" hidden="1" x14ac:dyDescent="0.35">
      <c r="A3770" s="126" t="s">
        <v>436</v>
      </c>
      <c r="B3770" t="str">
        <f>_xlfn.XLOOKUP(A3770,'[1]2050Pop'!$A$7:$A$143,'[1]2050Pop'!$D$7:$D$143)</f>
        <v>SSA</v>
      </c>
      <c r="C3770" s="127">
        <f>1000*_xlfn.XLOOKUP(A3770,'[1]2050Pop'!$A$7:$A$143,'[1]2050Pop'!$C$7:$C$143)</f>
        <v>65544</v>
      </c>
      <c r="D3770" s="126" t="s">
        <v>530</v>
      </c>
      <c r="E3770" s="128">
        <v>50.161999999999999</v>
      </c>
      <c r="F3770" s="129">
        <f t="shared" si="176"/>
        <v>3.2878181280000001</v>
      </c>
      <c r="G3770" t="str">
        <f>_xlfn.XLOOKUP(D3770,'[1]2050 BAU Mapping to T &amp; C'!$A$3:$A$52,'[1]2050 BAU Mapping to T &amp; C'!$B$3:$B$52)</f>
        <v xml:space="preserve">Oil crops </v>
      </c>
      <c r="H3770" s="129">
        <f>_xlfn.XLOOKUP(G3770,'[1]T&amp;C emissions for 2050 analysis'!$B$3:$B$23,'[1]T&amp;C emissions for 2050 analysis'!$C$3:$C$23)</f>
        <v>0.18333333333333335</v>
      </c>
      <c r="I3770" s="27">
        <f t="shared" si="174"/>
        <v>0.60276665680000008</v>
      </c>
      <c r="J3770" s="129">
        <f t="shared" si="175"/>
        <v>9.1963666666666679</v>
      </c>
    </row>
    <row r="3771" spans="1:10" hidden="1" x14ac:dyDescent="0.35">
      <c r="A3771" s="126" t="s">
        <v>490</v>
      </c>
      <c r="B3771" t="str">
        <f>_xlfn.XLOOKUP(A3771,'[1]2050Pop'!$A$7:$A$143,'[1]2050Pop'!$D$7:$D$143)</f>
        <v>APAC</v>
      </c>
      <c r="C3771" s="127">
        <f>1000*_xlfn.XLOOKUP(A3771,'[1]2050Pop'!$A$7:$A$143,'[1]2050Pop'!$C$7:$C$143)</f>
        <v>63575</v>
      </c>
      <c r="D3771" s="126" t="s">
        <v>530</v>
      </c>
      <c r="E3771" s="128">
        <v>29.780999999999999</v>
      </c>
      <c r="F3771" s="129">
        <f t="shared" si="176"/>
        <v>1.893327075</v>
      </c>
      <c r="G3771" t="str">
        <f>_xlfn.XLOOKUP(D3771,'[1]2050 BAU Mapping to T &amp; C'!$A$3:$A$52,'[1]2050 BAU Mapping to T &amp; C'!$B$3:$B$52)</f>
        <v xml:space="preserve">Oil crops </v>
      </c>
      <c r="H3771" s="129">
        <f>_xlfn.XLOOKUP(G3771,'[1]T&amp;C emissions for 2050 analysis'!$B$3:$B$23,'[1]T&amp;C emissions for 2050 analysis'!$C$3:$C$23)</f>
        <v>0.18333333333333335</v>
      </c>
      <c r="I3771" s="27">
        <f t="shared" si="174"/>
        <v>0.34710996375000003</v>
      </c>
      <c r="J3771" s="129">
        <f t="shared" si="175"/>
        <v>5.4598500000000003</v>
      </c>
    </row>
    <row r="3772" spans="1:10" hidden="1" x14ac:dyDescent="0.35">
      <c r="A3772" s="126" t="s">
        <v>440</v>
      </c>
      <c r="B3772" t="str">
        <f>_xlfn.XLOOKUP(A3772,'[1]2050Pop'!$A$7:$A$143,'[1]2050Pop'!$D$7:$D$143)</f>
        <v>Euro/AU/NZ</v>
      </c>
      <c r="C3772" s="127">
        <f>1000*_xlfn.XLOOKUP(A3772,'[1]2050Pop'!$A$7:$A$143,'[1]2050Pop'!$C$7:$C$143)</f>
        <v>5607</v>
      </c>
      <c r="D3772" s="126" t="s">
        <v>530</v>
      </c>
      <c r="E3772" s="128">
        <v>1.478</v>
      </c>
      <c r="F3772" s="129">
        <f t="shared" si="176"/>
        <v>8.2871460000000004E-3</v>
      </c>
      <c r="G3772" t="str">
        <f>_xlfn.XLOOKUP(D3772,'[1]2050 BAU Mapping to T &amp; C'!$A$3:$A$52,'[1]2050 BAU Mapping to T &amp; C'!$B$3:$B$52)</f>
        <v xml:space="preserve">Oil crops </v>
      </c>
      <c r="H3772" s="129">
        <f>_xlfn.XLOOKUP(G3772,'[1]T&amp;C emissions for 2050 analysis'!$B$3:$B$23,'[1]T&amp;C emissions for 2050 analysis'!$C$3:$C$23)</f>
        <v>0.18333333333333335</v>
      </c>
      <c r="I3772" s="27">
        <f t="shared" si="174"/>
        <v>1.5193101000000001E-3</v>
      </c>
      <c r="J3772" s="129">
        <f t="shared" si="175"/>
        <v>0.27096666666666669</v>
      </c>
    </row>
    <row r="3773" spans="1:10" hidden="1" x14ac:dyDescent="0.35">
      <c r="A3773" s="126" t="s">
        <v>443</v>
      </c>
      <c r="B3773" t="str">
        <f>_xlfn.XLOOKUP(A3773,'[1]2050Pop'!$A$7:$A$143,'[1]2050Pop'!$D$7:$D$143)</f>
        <v>India/South Asia</v>
      </c>
      <c r="C3773" s="127">
        <f>1000*_xlfn.XLOOKUP(A3773,'[1]2050Pop'!$A$7:$A$143,'[1]2050Pop'!$C$7:$C$143)</f>
        <v>309640</v>
      </c>
      <c r="D3773" s="126" t="s">
        <v>530</v>
      </c>
      <c r="E3773" s="130">
        <v>1.33</v>
      </c>
      <c r="F3773" s="129">
        <f t="shared" si="176"/>
        <v>0.4118212</v>
      </c>
      <c r="G3773" t="str">
        <f>_xlfn.XLOOKUP(D3773,'[1]2050 BAU Mapping to T &amp; C'!$A$3:$A$52,'[1]2050 BAU Mapping to T &amp; C'!$B$3:$B$52)</f>
        <v xml:space="preserve">Oil crops </v>
      </c>
      <c r="H3773" s="129">
        <f>_xlfn.XLOOKUP(G3773,'[1]T&amp;C emissions for 2050 analysis'!$B$3:$B$23,'[1]T&amp;C emissions for 2050 analysis'!$C$3:$C$23)</f>
        <v>0.18333333333333335</v>
      </c>
      <c r="I3773" s="27">
        <f t="shared" si="174"/>
        <v>7.5500553333333345E-2</v>
      </c>
      <c r="J3773" s="129">
        <f t="shared" si="175"/>
        <v>0.24383333333333337</v>
      </c>
    </row>
    <row r="3774" spans="1:10" hidden="1" x14ac:dyDescent="0.35">
      <c r="A3774" s="126" t="s">
        <v>444</v>
      </c>
      <c r="B3774" t="str">
        <f>_xlfn.XLOOKUP(A3774,'[1]2050Pop'!$A$7:$A$143,'[1]2050Pop'!$D$7:$D$143)</f>
        <v>LatAm &amp; RSA</v>
      </c>
      <c r="C3774" s="127">
        <f>1000*_xlfn.XLOOKUP(A3774,'[1]2050Pop'!$A$7:$A$143,'[1]2050Pop'!$C$7:$C$143)</f>
        <v>5599</v>
      </c>
      <c r="D3774" s="126" t="s">
        <v>530</v>
      </c>
      <c r="E3774" s="128">
        <v>1.056</v>
      </c>
      <c r="F3774" s="129">
        <f t="shared" si="176"/>
        <v>5.9125439999999996E-3</v>
      </c>
      <c r="G3774" t="str">
        <f>_xlfn.XLOOKUP(D3774,'[1]2050 BAU Mapping to T &amp; C'!$A$3:$A$52,'[1]2050 BAU Mapping to T &amp; C'!$B$3:$B$52)</f>
        <v xml:space="preserve">Oil crops </v>
      </c>
      <c r="H3774" s="129">
        <f>_xlfn.XLOOKUP(G3774,'[1]T&amp;C emissions for 2050 analysis'!$B$3:$B$23,'[1]T&amp;C emissions for 2050 analysis'!$C$3:$C$23)</f>
        <v>0.18333333333333335</v>
      </c>
      <c r="I3774" s="27">
        <f t="shared" si="174"/>
        <v>1.0839663999999999E-3</v>
      </c>
      <c r="J3774" s="129">
        <f t="shared" si="175"/>
        <v>0.19360000000000002</v>
      </c>
    </row>
    <row r="3775" spans="1:10" hidden="1" x14ac:dyDescent="0.35">
      <c r="A3775" s="126" t="s">
        <v>448</v>
      </c>
      <c r="B3775" t="str">
        <f>_xlfn.XLOOKUP(A3775,'[1]2050Pop'!$A$7:$A$143,'[1]2050Pop'!$D$7:$D$143)</f>
        <v>Euro/AU/NZ</v>
      </c>
      <c r="C3775" s="127">
        <f>1000*_xlfn.XLOOKUP(A3775,'[1]2050Pop'!$A$7:$A$143,'[1]2050Pop'!$C$7:$C$143)</f>
        <v>33136</v>
      </c>
      <c r="D3775" s="126" t="s">
        <v>530</v>
      </c>
      <c r="E3775" s="128">
        <v>2.101</v>
      </c>
      <c r="F3775" s="129">
        <f t="shared" si="176"/>
        <v>6.9618736000000001E-2</v>
      </c>
      <c r="G3775" t="str">
        <f>_xlfn.XLOOKUP(D3775,'[1]2050 BAU Mapping to T &amp; C'!$A$3:$A$52,'[1]2050 BAU Mapping to T &amp; C'!$B$3:$B$52)</f>
        <v xml:space="preserve">Oil crops </v>
      </c>
      <c r="H3775" s="129">
        <f>_xlfn.XLOOKUP(G3775,'[1]T&amp;C emissions for 2050 analysis'!$B$3:$B$23,'[1]T&amp;C emissions for 2050 analysis'!$C$3:$C$23)</f>
        <v>0.18333333333333335</v>
      </c>
      <c r="I3775" s="27">
        <f t="shared" si="174"/>
        <v>1.2763434933333335E-2</v>
      </c>
      <c r="J3775" s="129">
        <f t="shared" si="175"/>
        <v>0.38518333333333338</v>
      </c>
    </row>
    <row r="3776" spans="1:10" hidden="1" x14ac:dyDescent="0.35">
      <c r="A3776" s="126" t="s">
        <v>450</v>
      </c>
      <c r="B3776" t="str">
        <f>_xlfn.XLOOKUP(A3776,'[1]2050Pop'!$A$7:$A$143,'[1]2050Pop'!$D$7:$D$143)</f>
        <v>APAC</v>
      </c>
      <c r="C3776" s="127">
        <f>1000*_xlfn.XLOOKUP(A3776,'[1]2050Pop'!$A$7:$A$143,'[1]2050Pop'!$C$7:$C$143)</f>
        <v>50593</v>
      </c>
      <c r="D3776" s="126" t="s">
        <v>530</v>
      </c>
      <c r="E3776" s="128">
        <v>15.752000000000001</v>
      </c>
      <c r="F3776" s="129">
        <f t="shared" si="176"/>
        <v>0.79694093599999993</v>
      </c>
      <c r="G3776" t="str">
        <f>_xlfn.XLOOKUP(D3776,'[1]2050 BAU Mapping to T &amp; C'!$A$3:$A$52,'[1]2050 BAU Mapping to T &amp; C'!$B$3:$B$52)</f>
        <v xml:space="preserve">Oil crops </v>
      </c>
      <c r="H3776" s="129">
        <f>_xlfn.XLOOKUP(G3776,'[1]T&amp;C emissions for 2050 analysis'!$B$3:$B$23,'[1]T&amp;C emissions for 2050 analysis'!$C$3:$C$23)</f>
        <v>0.18333333333333335</v>
      </c>
      <c r="I3776" s="27">
        <f t="shared" si="174"/>
        <v>0.14610583826666668</v>
      </c>
      <c r="J3776" s="129">
        <f t="shared" si="175"/>
        <v>2.887866666666667</v>
      </c>
    </row>
    <row r="3777" spans="1:10" hidden="1" x14ac:dyDescent="0.35">
      <c r="A3777" s="126" t="s">
        <v>456</v>
      </c>
      <c r="B3777" t="str">
        <f>_xlfn.XLOOKUP(A3777,'[1]2050Pop'!$A$7:$A$143,'[1]2050Pop'!$D$7:$D$143)</f>
        <v>MENA</v>
      </c>
      <c r="C3777" s="127">
        <f>1000*_xlfn.XLOOKUP(A3777,'[1]2050Pop'!$A$7:$A$143,'[1]2050Pop'!$C$7:$C$143)</f>
        <v>46059</v>
      </c>
      <c r="D3777" s="126" t="s">
        <v>530</v>
      </c>
      <c r="E3777" s="128">
        <v>24.818000000000001</v>
      </c>
      <c r="F3777" s="129">
        <f t="shared" si="176"/>
        <v>1.1430922620000001</v>
      </c>
      <c r="G3777" t="str">
        <f>_xlfn.XLOOKUP(D3777,'[1]2050 BAU Mapping to T &amp; C'!$A$3:$A$52,'[1]2050 BAU Mapping to T &amp; C'!$B$3:$B$52)</f>
        <v xml:space="preserve">Oil crops </v>
      </c>
      <c r="H3777" s="129">
        <f>_xlfn.XLOOKUP(G3777,'[1]T&amp;C emissions for 2050 analysis'!$B$3:$B$23,'[1]T&amp;C emissions for 2050 analysis'!$C$3:$C$23)</f>
        <v>0.18333333333333335</v>
      </c>
      <c r="I3777" s="27">
        <f t="shared" si="174"/>
        <v>0.20956691470000005</v>
      </c>
      <c r="J3777" s="129">
        <f t="shared" si="175"/>
        <v>4.5499666666666672</v>
      </c>
    </row>
    <row r="3778" spans="1:10" hidden="1" x14ac:dyDescent="0.35">
      <c r="A3778" s="126" t="s">
        <v>493</v>
      </c>
      <c r="B3778" t="str">
        <f>_xlfn.XLOOKUP(A3778,'[1]2050Pop'!$A$7:$A$143,'[1]2050Pop'!$D$7:$D$143)</f>
        <v>India/South Asia</v>
      </c>
      <c r="C3778" s="127">
        <f>1000*_xlfn.XLOOKUP(A3778,'[1]2050Pop'!$A$7:$A$143,'[1]2050Pop'!$C$7:$C$143)</f>
        <v>20836</v>
      </c>
      <c r="D3778" s="126" t="s">
        <v>530</v>
      </c>
      <c r="E3778" s="128">
        <v>1.5820000000000001</v>
      </c>
      <c r="F3778" s="129">
        <f t="shared" si="176"/>
        <v>3.2962552000000006E-2</v>
      </c>
      <c r="G3778" t="str">
        <f>_xlfn.XLOOKUP(D3778,'[1]2050 BAU Mapping to T &amp; C'!$A$3:$A$52,'[1]2050 BAU Mapping to T &amp; C'!$B$3:$B$52)</f>
        <v xml:space="preserve">Oil crops </v>
      </c>
      <c r="H3778" s="129">
        <f>_xlfn.XLOOKUP(G3778,'[1]T&amp;C emissions for 2050 analysis'!$B$3:$B$23,'[1]T&amp;C emissions for 2050 analysis'!$C$3:$C$23)</f>
        <v>0.18333333333333335</v>
      </c>
      <c r="I3778" s="27">
        <f t="shared" si="174"/>
        <v>6.0431345333333353E-3</v>
      </c>
      <c r="J3778" s="129">
        <f t="shared" si="175"/>
        <v>0.29003333333333337</v>
      </c>
    </row>
    <row r="3779" spans="1:10" hidden="1" x14ac:dyDescent="0.35">
      <c r="A3779" s="126" t="s">
        <v>462</v>
      </c>
      <c r="B3779" t="str">
        <f>_xlfn.XLOOKUP(A3779,'[1]2050Pop'!$A$7:$A$143,'[1]2050Pop'!$D$7:$D$143)</f>
        <v>LatAm &amp; RSA</v>
      </c>
      <c r="C3779" s="127">
        <f>1000*_xlfn.XLOOKUP(A3779,'[1]2050Pop'!$A$7:$A$143,'[1]2050Pop'!$C$7:$C$143)</f>
        <v>624</v>
      </c>
      <c r="D3779" s="126" t="s">
        <v>530</v>
      </c>
      <c r="E3779" s="128">
        <v>1.1060000000000001</v>
      </c>
      <c r="F3779" s="129">
        <f t="shared" si="176"/>
        <v>6.9014399999999996E-4</v>
      </c>
      <c r="G3779" t="str">
        <f>_xlfn.XLOOKUP(D3779,'[1]2050 BAU Mapping to T &amp; C'!$A$3:$A$52,'[1]2050 BAU Mapping to T &amp; C'!$B$3:$B$52)</f>
        <v xml:space="preserve">Oil crops </v>
      </c>
      <c r="H3779" s="129">
        <f>_xlfn.XLOOKUP(G3779,'[1]T&amp;C emissions for 2050 analysis'!$B$3:$B$23,'[1]T&amp;C emissions for 2050 analysis'!$C$3:$C$23)</f>
        <v>0.18333333333333335</v>
      </c>
      <c r="I3779" s="27">
        <f t="shared" si="174"/>
        <v>1.2652640000000002E-4</v>
      </c>
      <c r="J3779" s="129">
        <f t="shared" si="175"/>
        <v>0.20276666666666671</v>
      </c>
    </row>
    <row r="3780" spans="1:10" hidden="1" x14ac:dyDescent="0.35">
      <c r="A3780" s="126" t="s">
        <v>465</v>
      </c>
      <c r="B3780" t="str">
        <f>_xlfn.XLOOKUP(A3780,'[1]2050Pop'!$A$7:$A$143,'[1]2050Pop'!$D$7:$D$143)</f>
        <v>APAC</v>
      </c>
      <c r="C3780" s="127">
        <f>1000*_xlfn.XLOOKUP(A3780,'[1]2050Pop'!$A$7:$A$143,'[1]2050Pop'!$C$7:$C$143)</f>
        <v>62452</v>
      </c>
      <c r="D3780" s="126" t="s">
        <v>530</v>
      </c>
      <c r="E3780" s="128">
        <v>8.3970000000000002</v>
      </c>
      <c r="F3780" s="129">
        <f t="shared" si="176"/>
        <v>0.524409444</v>
      </c>
      <c r="G3780" t="str">
        <f>_xlfn.XLOOKUP(D3780,'[1]2050 BAU Mapping to T &amp; C'!$A$3:$A$52,'[1]2050 BAU Mapping to T &amp; C'!$B$3:$B$52)</f>
        <v xml:space="preserve">Oil crops </v>
      </c>
      <c r="H3780" s="129">
        <f>_xlfn.XLOOKUP(G3780,'[1]T&amp;C emissions for 2050 analysis'!$B$3:$B$23,'[1]T&amp;C emissions for 2050 analysis'!$C$3:$C$23)</f>
        <v>0.18333333333333335</v>
      </c>
      <c r="I3780" s="27">
        <f t="shared" ref="I3780:I3843" si="177">F3780*H3780</f>
        <v>9.6141731400000013E-2</v>
      </c>
      <c r="J3780" s="129">
        <f t="shared" ref="J3780:J3843" si="178">E3780*H3780</f>
        <v>1.5394500000000002</v>
      </c>
    </row>
    <row r="3781" spans="1:10" hidden="1" x14ac:dyDescent="0.35">
      <c r="A3781" s="126" t="s">
        <v>467</v>
      </c>
      <c r="B3781" t="str">
        <f>_xlfn.XLOOKUP(A3781,'[1]2050Pop'!$A$7:$A$143,'[1]2050Pop'!$D$7:$D$143)</f>
        <v>LatAm &amp; RSA</v>
      </c>
      <c r="C3781" s="127">
        <f>1000*_xlfn.XLOOKUP(A3781,'[1]2050Pop'!$A$7:$A$143,'[1]2050Pop'!$C$7:$C$143)</f>
        <v>1291</v>
      </c>
      <c r="D3781" s="126" t="s">
        <v>530</v>
      </c>
      <c r="E3781" s="128">
        <v>1.248</v>
      </c>
      <c r="F3781" s="129">
        <f t="shared" ref="F3781:F3844" si="179">C3781*E3781/1000000</f>
        <v>1.6111679999999998E-3</v>
      </c>
      <c r="G3781" t="str">
        <f>_xlfn.XLOOKUP(D3781,'[1]2050 BAU Mapping to T &amp; C'!$A$3:$A$52,'[1]2050 BAU Mapping to T &amp; C'!$B$3:$B$52)</f>
        <v xml:space="preserve">Oil crops </v>
      </c>
      <c r="H3781" s="129">
        <f>_xlfn.XLOOKUP(G3781,'[1]T&amp;C emissions for 2050 analysis'!$B$3:$B$23,'[1]T&amp;C emissions for 2050 analysis'!$C$3:$C$23)</f>
        <v>0.18333333333333335</v>
      </c>
      <c r="I3781" s="27">
        <f t="shared" si="177"/>
        <v>2.9538079999999998E-4</v>
      </c>
      <c r="J3781" s="129">
        <f t="shared" si="178"/>
        <v>0.22880000000000003</v>
      </c>
    </row>
    <row r="3782" spans="1:10" hidden="1" x14ac:dyDescent="0.35">
      <c r="A3782" s="126" t="s">
        <v>468</v>
      </c>
      <c r="B3782" t="str">
        <f>_xlfn.XLOOKUP(A3782,'[1]2050Pop'!$A$7:$A$143,'[1]2050Pop'!$D$7:$D$143)</f>
        <v>MENA</v>
      </c>
      <c r="C3782" s="127">
        <f>1000*_xlfn.XLOOKUP(A3782,'[1]2050Pop'!$A$7:$A$143,'[1]2050Pop'!$C$7:$C$143)</f>
        <v>13476</v>
      </c>
      <c r="D3782" s="126" t="s">
        <v>530</v>
      </c>
      <c r="E3782" s="130">
        <v>1.04</v>
      </c>
      <c r="F3782" s="129">
        <f t="shared" si="179"/>
        <v>1.4015040000000001E-2</v>
      </c>
      <c r="G3782" t="str">
        <f>_xlfn.XLOOKUP(D3782,'[1]2050 BAU Mapping to T &amp; C'!$A$3:$A$52,'[1]2050 BAU Mapping to T &amp; C'!$B$3:$B$52)</f>
        <v xml:space="preserve">Oil crops </v>
      </c>
      <c r="H3782" s="129">
        <f>_xlfn.XLOOKUP(G3782,'[1]T&amp;C emissions for 2050 analysis'!$B$3:$B$23,'[1]T&amp;C emissions for 2050 analysis'!$C$3:$C$23)</f>
        <v>0.18333333333333335</v>
      </c>
      <c r="I3782" s="27">
        <f t="shared" si="177"/>
        <v>2.5694240000000003E-3</v>
      </c>
      <c r="J3782" s="129">
        <f t="shared" si="178"/>
        <v>0.19066666666666668</v>
      </c>
    </row>
    <row r="3783" spans="1:10" hidden="1" x14ac:dyDescent="0.35">
      <c r="A3783" s="126" t="s">
        <v>469</v>
      </c>
      <c r="B3783" t="str">
        <f>_xlfn.XLOOKUP(A3783,'[1]2050Pop'!$A$7:$A$143,'[1]2050Pop'!$D$7:$D$143)</f>
        <v>MENA</v>
      </c>
      <c r="C3783" s="127">
        <f>1000*_xlfn.XLOOKUP(A3783,'[1]2050Pop'!$A$7:$A$143,'[1]2050Pop'!$C$7:$C$143)</f>
        <v>95819</v>
      </c>
      <c r="D3783" s="126" t="s">
        <v>530</v>
      </c>
      <c r="E3783" s="128">
        <v>10.355</v>
      </c>
      <c r="F3783" s="129">
        <f t="shared" si="179"/>
        <v>0.99220574500000003</v>
      </c>
      <c r="G3783" t="str">
        <f>_xlfn.XLOOKUP(D3783,'[1]2050 BAU Mapping to T &amp; C'!$A$3:$A$52,'[1]2050 BAU Mapping to T &amp; C'!$B$3:$B$52)</f>
        <v xml:space="preserve">Oil crops </v>
      </c>
      <c r="H3783" s="129">
        <f>_xlfn.XLOOKUP(G3783,'[1]T&amp;C emissions for 2050 analysis'!$B$3:$B$23,'[1]T&amp;C emissions for 2050 analysis'!$C$3:$C$23)</f>
        <v>0.18333333333333335</v>
      </c>
      <c r="I3783" s="27">
        <f t="shared" si="177"/>
        <v>0.18190438658333336</v>
      </c>
      <c r="J3783" s="129">
        <f t="shared" si="178"/>
        <v>1.8984166666666669</v>
      </c>
    </row>
    <row r="3784" spans="1:10" hidden="1" x14ac:dyDescent="0.35">
      <c r="A3784" s="126" t="s">
        <v>470</v>
      </c>
      <c r="B3784" t="str">
        <f>_xlfn.XLOOKUP(A3784,'[1]2050Pop'!$A$7:$A$143,'[1]2050Pop'!$D$7:$D$143)</f>
        <v>SSA</v>
      </c>
      <c r="C3784" s="127">
        <f>1000*_xlfn.XLOOKUP(A3784,'[1]2050Pop'!$A$7:$A$143,'[1]2050Pop'!$C$7:$C$143)</f>
        <v>101873</v>
      </c>
      <c r="D3784" s="126" t="s">
        <v>530</v>
      </c>
      <c r="E3784" s="128">
        <v>25.792000000000002</v>
      </c>
      <c r="F3784" s="129">
        <f t="shared" si="179"/>
        <v>2.6275084160000004</v>
      </c>
      <c r="G3784" t="str">
        <f>_xlfn.XLOOKUP(D3784,'[1]2050 BAU Mapping to T &amp; C'!$A$3:$A$52,'[1]2050 BAU Mapping to T &amp; C'!$B$3:$B$52)</f>
        <v xml:space="preserve">Oil crops </v>
      </c>
      <c r="H3784" s="129">
        <f>_xlfn.XLOOKUP(G3784,'[1]T&amp;C emissions for 2050 analysis'!$B$3:$B$23,'[1]T&amp;C emissions for 2050 analysis'!$C$3:$C$23)</f>
        <v>0.18333333333333335</v>
      </c>
      <c r="I3784" s="27">
        <f t="shared" si="177"/>
        <v>0.48170987626666678</v>
      </c>
      <c r="J3784" s="129">
        <f t="shared" si="178"/>
        <v>4.7285333333333339</v>
      </c>
    </row>
    <row r="3785" spans="1:10" hidden="1" x14ac:dyDescent="0.35">
      <c r="A3785" s="126" t="s">
        <v>472</v>
      </c>
      <c r="B3785" t="str">
        <f>_xlfn.XLOOKUP(A3785,'[1]2050Pop'!$A$7:$A$143,'[1]2050Pop'!$D$7:$D$143)</f>
        <v>Euro/AU/NZ</v>
      </c>
      <c r="C3785" s="127">
        <f>1000*_xlfn.XLOOKUP(A3785,'[1]2050Pop'!$A$7:$A$143,'[1]2050Pop'!$C$7:$C$143)</f>
        <v>75361</v>
      </c>
      <c r="D3785" s="126" t="s">
        <v>530</v>
      </c>
      <c r="E3785" s="130">
        <v>0.85</v>
      </c>
      <c r="F3785" s="129">
        <f t="shared" si="179"/>
        <v>6.4056849999999999E-2</v>
      </c>
      <c r="G3785" t="str">
        <f>_xlfn.XLOOKUP(D3785,'[1]2050 BAU Mapping to T &amp; C'!$A$3:$A$52,'[1]2050 BAU Mapping to T &amp; C'!$B$3:$B$52)</f>
        <v xml:space="preserve">Oil crops </v>
      </c>
      <c r="H3785" s="129">
        <f>_xlfn.XLOOKUP(G3785,'[1]T&amp;C emissions for 2050 analysis'!$B$3:$B$23,'[1]T&amp;C emissions for 2050 analysis'!$C$3:$C$23)</f>
        <v>0.18333333333333335</v>
      </c>
      <c r="I3785" s="27">
        <f t="shared" si="177"/>
        <v>1.1743755833333334E-2</v>
      </c>
      <c r="J3785" s="129">
        <f t="shared" si="178"/>
        <v>0.15583333333333335</v>
      </c>
    </row>
    <row r="3786" spans="1:10" hidden="1" x14ac:dyDescent="0.35">
      <c r="A3786" s="126" t="s">
        <v>473</v>
      </c>
      <c r="B3786" t="str">
        <f>_xlfn.XLOOKUP(A3786,'[1]2050Pop'!$A$7:$A$143,'[1]2050Pop'!$D$7:$D$143)</f>
        <v>SSA</v>
      </c>
      <c r="C3786" s="127">
        <f>1000*_xlfn.XLOOKUP(A3786,'[1]2050Pop'!$A$7:$A$143,'[1]2050Pop'!$C$7:$C$143)</f>
        <v>137136</v>
      </c>
      <c r="D3786" s="126" t="s">
        <v>530</v>
      </c>
      <c r="E3786" s="128">
        <v>5.3360000000000003</v>
      </c>
      <c r="F3786" s="129">
        <f t="shared" si="179"/>
        <v>0.73175769599999996</v>
      </c>
      <c r="G3786" t="str">
        <f>_xlfn.XLOOKUP(D3786,'[1]2050 BAU Mapping to T &amp; C'!$A$3:$A$52,'[1]2050 BAU Mapping to T &amp; C'!$B$3:$B$52)</f>
        <v xml:space="preserve">Oil crops </v>
      </c>
      <c r="H3786" s="129">
        <f>_xlfn.XLOOKUP(G3786,'[1]T&amp;C emissions for 2050 analysis'!$B$3:$B$23,'[1]T&amp;C emissions for 2050 analysis'!$C$3:$C$23)</f>
        <v>0.18333333333333335</v>
      </c>
      <c r="I3786" s="27">
        <f t="shared" si="177"/>
        <v>0.13415557759999999</v>
      </c>
      <c r="J3786" s="129">
        <f t="shared" si="178"/>
        <v>0.97826666666666684</v>
      </c>
    </row>
    <row r="3787" spans="1:10" hidden="1" x14ac:dyDescent="0.35">
      <c r="A3787" s="126" t="s">
        <v>476</v>
      </c>
      <c r="B3787" t="str">
        <f>_xlfn.XLOOKUP(A3787,'[1]2050Pop'!$A$7:$A$143,'[1]2050Pop'!$D$7:$D$143)</f>
        <v>LatAm &amp; RSA</v>
      </c>
      <c r="C3787" s="127">
        <f>1000*_xlfn.XLOOKUP(A3787,'[1]2050Pop'!$A$7:$A$143,'[1]2050Pop'!$C$7:$C$143)</f>
        <v>41562</v>
      </c>
      <c r="D3787" s="126" t="s">
        <v>530</v>
      </c>
      <c r="E3787" s="128">
        <v>5.4379999999999997</v>
      </c>
      <c r="F3787" s="129">
        <f t="shared" si="179"/>
        <v>0.22601415599999999</v>
      </c>
      <c r="G3787" t="str">
        <f>_xlfn.XLOOKUP(D3787,'[1]2050 BAU Mapping to T &amp; C'!$A$3:$A$52,'[1]2050 BAU Mapping to T &amp; C'!$B$3:$B$52)</f>
        <v xml:space="preserve">Oil crops </v>
      </c>
      <c r="H3787" s="129">
        <f>_xlfn.XLOOKUP(G3787,'[1]T&amp;C emissions for 2050 analysis'!$B$3:$B$23,'[1]T&amp;C emissions for 2050 analysis'!$C$3:$C$23)</f>
        <v>0.18333333333333335</v>
      </c>
      <c r="I3787" s="27">
        <f t="shared" si="177"/>
        <v>4.1435928600000005E-2</v>
      </c>
      <c r="J3787" s="129">
        <f t="shared" si="178"/>
        <v>0.99696666666666667</v>
      </c>
    </row>
    <row r="3788" spans="1:10" hidden="1" x14ac:dyDescent="0.35">
      <c r="A3788" s="126" t="s">
        <v>477</v>
      </c>
      <c r="B3788" t="str">
        <f>_xlfn.XLOOKUP(A3788,'[1]2050Pop'!$A$7:$A$143,'[1]2050Pop'!$D$7:$D$143)</f>
        <v>APAC</v>
      </c>
      <c r="C3788" s="127">
        <f>1000*_xlfn.XLOOKUP(A3788,'[1]2050Pop'!$A$7:$A$143,'[1]2050Pop'!$C$7:$C$143)</f>
        <v>112783</v>
      </c>
      <c r="D3788" s="126" t="s">
        <v>530</v>
      </c>
      <c r="E3788" s="128">
        <v>2.234</v>
      </c>
      <c r="F3788" s="129">
        <f t="shared" si="179"/>
        <v>0.25195722200000004</v>
      </c>
      <c r="G3788" t="str">
        <f>_xlfn.XLOOKUP(D3788,'[1]2050 BAU Mapping to T &amp; C'!$A$3:$A$52,'[1]2050 BAU Mapping to T &amp; C'!$B$3:$B$52)</f>
        <v xml:space="preserve">Oil crops </v>
      </c>
      <c r="H3788" s="129">
        <f>_xlfn.XLOOKUP(G3788,'[1]T&amp;C emissions for 2050 analysis'!$B$3:$B$23,'[1]T&amp;C emissions for 2050 analysis'!$C$3:$C$23)</f>
        <v>0.18333333333333335</v>
      </c>
      <c r="I3788" s="27">
        <f t="shared" si="177"/>
        <v>4.6192157366666674E-2</v>
      </c>
      <c r="J3788" s="129">
        <f t="shared" si="178"/>
        <v>0.40956666666666669</v>
      </c>
    </row>
    <row r="3789" spans="1:10" hidden="1" x14ac:dyDescent="0.35">
      <c r="A3789" s="126" t="s">
        <v>478</v>
      </c>
      <c r="B3789" t="str">
        <f>_xlfn.XLOOKUP(A3789,'[1]2050Pop'!$A$7:$A$143,'[1]2050Pop'!$D$7:$D$143)</f>
        <v>MENA</v>
      </c>
      <c r="C3789" s="127">
        <f>1000*_xlfn.XLOOKUP(A3789,'[1]2050Pop'!$A$7:$A$143,'[1]2050Pop'!$C$7:$C$143)</f>
        <v>47170</v>
      </c>
      <c r="D3789" s="126" t="s">
        <v>530</v>
      </c>
      <c r="E3789" s="128">
        <v>15.109</v>
      </c>
      <c r="F3789" s="129">
        <f t="shared" si="179"/>
        <v>0.71269153000000007</v>
      </c>
      <c r="G3789" t="str">
        <f>_xlfn.XLOOKUP(D3789,'[1]2050 BAU Mapping to T &amp; C'!$A$3:$A$52,'[1]2050 BAU Mapping to T &amp; C'!$B$3:$B$52)</f>
        <v xml:space="preserve">Oil crops </v>
      </c>
      <c r="H3789" s="129">
        <f>_xlfn.XLOOKUP(G3789,'[1]T&amp;C emissions for 2050 analysis'!$B$3:$B$23,'[1]T&amp;C emissions for 2050 analysis'!$C$3:$C$23)</f>
        <v>0.18333333333333335</v>
      </c>
      <c r="I3789" s="27">
        <f t="shared" si="177"/>
        <v>0.13066011383333337</v>
      </c>
      <c r="J3789" s="129">
        <f t="shared" si="178"/>
        <v>2.7699833333333337</v>
      </c>
    </row>
    <row r="3790" spans="1:10" hidden="1" x14ac:dyDescent="0.35">
      <c r="A3790" s="126" t="s">
        <v>479</v>
      </c>
      <c r="B3790" t="str">
        <f>_xlfn.XLOOKUP(A3790,'[1]2050Pop'!$A$7:$A$143,'[1]2050Pop'!$D$7:$D$143)</f>
        <v>SSA</v>
      </c>
      <c r="C3790" s="127">
        <f>1000*_xlfn.XLOOKUP(A3790,'[1]2050Pop'!$A$7:$A$143,'[1]2050Pop'!$C$7:$C$143)</f>
        <v>29615</v>
      </c>
      <c r="D3790" s="126" t="s">
        <v>530</v>
      </c>
      <c r="E3790" s="128">
        <v>1.097</v>
      </c>
      <c r="F3790" s="129">
        <f t="shared" si="179"/>
        <v>3.2487654999999997E-2</v>
      </c>
      <c r="G3790" t="str">
        <f>_xlfn.XLOOKUP(D3790,'[1]2050 BAU Mapping to T &amp; C'!$A$3:$A$52,'[1]2050 BAU Mapping to T &amp; C'!$B$3:$B$52)</f>
        <v xml:space="preserve">Oil crops </v>
      </c>
      <c r="H3790" s="129">
        <f>_xlfn.XLOOKUP(G3790,'[1]T&amp;C emissions for 2050 analysis'!$B$3:$B$23,'[1]T&amp;C emissions for 2050 analysis'!$C$3:$C$23)</f>
        <v>0.18333333333333335</v>
      </c>
      <c r="I3790" s="27">
        <f t="shared" si="177"/>
        <v>5.9560700833333332E-3</v>
      </c>
      <c r="J3790" s="129">
        <f t="shared" si="178"/>
        <v>0.20111666666666667</v>
      </c>
    </row>
    <row r="3791" spans="1:10" hidden="1" x14ac:dyDescent="0.35">
      <c r="A3791" s="126" t="s">
        <v>355</v>
      </c>
      <c r="B3791" t="str">
        <f>_xlfn.XLOOKUP(A3791,'[1]2050Pop'!$A$7:$A$143,'[1]2050Pop'!$D$7:$D$143)</f>
        <v>India/South Asia</v>
      </c>
      <c r="C3791" s="127">
        <f>1000*_xlfn.XLOOKUP(A3791,'[1]2050Pop'!$A$7:$A$143,'[1]2050Pop'!$C$7:$C$143)</f>
        <v>55955</v>
      </c>
      <c r="D3791" s="126" t="s">
        <v>531</v>
      </c>
      <c r="E3791" s="130">
        <v>35.56</v>
      </c>
      <c r="F3791" s="129">
        <f t="shared" si="179"/>
        <v>1.9897598000000001</v>
      </c>
      <c r="G3791" t="str">
        <f>_xlfn.XLOOKUP(D3791,'[1]2050 BAU Mapping to T &amp; C'!$A$3:$A$52,'[1]2050 BAU Mapping to T &amp; C'!$B$3:$B$52)</f>
        <v>Ruminant Meats</v>
      </c>
      <c r="H3791" s="129">
        <f>_xlfn.XLOOKUP(G3791,'[1]T&amp;C emissions for 2050 analysis'!$B$3:$B$23,'[1]T&amp;C emissions for 2050 analysis'!$C$3:$C$23)</f>
        <v>20.533333333333331</v>
      </c>
      <c r="I3791" s="27">
        <f t="shared" si="177"/>
        <v>40.856401226666662</v>
      </c>
      <c r="J3791" s="129">
        <f t="shared" si="178"/>
        <v>730.16533333333336</v>
      </c>
    </row>
    <row r="3792" spans="1:10" hidden="1" x14ac:dyDescent="0.35">
      <c r="A3792" s="126" t="s">
        <v>357</v>
      </c>
      <c r="B3792" t="str">
        <f>_xlfn.XLOOKUP(A3792,'[1]2050Pop'!$A$7:$A$143,'[1]2050Pop'!$D$7:$D$143)</f>
        <v>Euro/AU/NZ</v>
      </c>
      <c r="C3792" s="127">
        <f>1000*_xlfn.XLOOKUP(A3792,'[1]2050Pop'!$A$7:$A$143,'[1]2050Pop'!$C$7:$C$143)</f>
        <v>2710</v>
      </c>
      <c r="D3792" s="126" t="s">
        <v>531</v>
      </c>
      <c r="E3792" s="128">
        <v>79.819000000000003</v>
      </c>
      <c r="F3792" s="129">
        <f t="shared" si="179"/>
        <v>0.21630949000000002</v>
      </c>
      <c r="G3792" t="str">
        <f>_xlfn.XLOOKUP(D3792,'[1]2050 BAU Mapping to T &amp; C'!$A$3:$A$52,'[1]2050 BAU Mapping to T &amp; C'!$B$3:$B$52)</f>
        <v>Ruminant Meats</v>
      </c>
      <c r="H3792" s="129">
        <f>_xlfn.XLOOKUP(G3792,'[1]T&amp;C emissions for 2050 analysis'!$B$3:$B$23,'[1]T&amp;C emissions for 2050 analysis'!$C$3:$C$23)</f>
        <v>20.533333333333331</v>
      </c>
      <c r="I3792" s="27">
        <f t="shared" si="177"/>
        <v>4.4415548613333335</v>
      </c>
      <c r="J3792" s="129">
        <f t="shared" si="178"/>
        <v>1638.9501333333333</v>
      </c>
    </row>
    <row r="3793" spans="1:10" hidden="1" x14ac:dyDescent="0.35">
      <c r="A3793" s="126" t="s">
        <v>358</v>
      </c>
      <c r="B3793" t="str">
        <f>_xlfn.XLOOKUP(A3793,'[1]2050Pop'!$A$7:$A$143,'[1]2050Pop'!$D$7:$D$143)</f>
        <v>MENA</v>
      </c>
      <c r="C3793" s="127">
        <f>1000*_xlfn.XLOOKUP(A3793,'[1]2050Pop'!$A$7:$A$143,'[1]2050Pop'!$C$7:$C$143)</f>
        <v>56461</v>
      </c>
      <c r="D3793" s="126" t="s">
        <v>531</v>
      </c>
      <c r="E3793" s="130">
        <v>39.729999999999997</v>
      </c>
      <c r="F3793" s="129">
        <f t="shared" si="179"/>
        <v>2.2431955299999999</v>
      </c>
      <c r="G3793" t="str">
        <f>_xlfn.XLOOKUP(D3793,'[1]2050 BAU Mapping to T &amp; C'!$A$3:$A$52,'[1]2050 BAU Mapping to T &amp; C'!$B$3:$B$52)</f>
        <v>Ruminant Meats</v>
      </c>
      <c r="H3793" s="129">
        <f>_xlfn.XLOOKUP(G3793,'[1]T&amp;C emissions for 2050 analysis'!$B$3:$B$23,'[1]T&amp;C emissions for 2050 analysis'!$C$3:$C$23)</f>
        <v>20.533333333333331</v>
      </c>
      <c r="I3793" s="27">
        <f t="shared" si="177"/>
        <v>46.060281549333325</v>
      </c>
      <c r="J3793" s="129">
        <f t="shared" si="178"/>
        <v>815.78933333333316</v>
      </c>
    </row>
    <row r="3794" spans="1:10" hidden="1" x14ac:dyDescent="0.35">
      <c r="A3794" s="126" t="s">
        <v>359</v>
      </c>
      <c r="B3794" t="str">
        <f>_xlfn.XLOOKUP(A3794,'[1]2050Pop'!$A$7:$A$143,'[1]2050Pop'!$D$7:$D$143)</f>
        <v>SSA</v>
      </c>
      <c r="C3794" s="127">
        <f>1000*_xlfn.XLOOKUP(A3794,'[1]2050Pop'!$A$7:$A$143,'[1]2050Pop'!$C$7:$C$143)</f>
        <v>65473</v>
      </c>
      <c r="D3794" s="126" t="s">
        <v>531</v>
      </c>
      <c r="E3794" s="128">
        <v>3.7650000000000001</v>
      </c>
      <c r="F3794" s="129">
        <f t="shared" si="179"/>
        <v>0.246505845</v>
      </c>
      <c r="G3794" t="str">
        <f>_xlfn.XLOOKUP(D3794,'[1]2050 BAU Mapping to T &amp; C'!$A$3:$A$52,'[1]2050 BAU Mapping to T &amp; C'!$B$3:$B$52)</f>
        <v>Ruminant Meats</v>
      </c>
      <c r="H3794" s="129">
        <f>_xlfn.XLOOKUP(G3794,'[1]T&amp;C emissions for 2050 analysis'!$B$3:$B$23,'[1]T&amp;C emissions for 2050 analysis'!$C$3:$C$23)</f>
        <v>20.533333333333331</v>
      </c>
      <c r="I3794" s="27">
        <f t="shared" si="177"/>
        <v>5.0615866839999999</v>
      </c>
      <c r="J3794" s="129">
        <f t="shared" si="178"/>
        <v>77.307999999999993</v>
      </c>
    </row>
    <row r="3795" spans="1:10" hidden="1" x14ac:dyDescent="0.35">
      <c r="A3795" s="126" t="s">
        <v>360</v>
      </c>
      <c r="B3795" t="str">
        <f>_xlfn.XLOOKUP(A3795,'[1]2050Pop'!$A$7:$A$143,'[1]2050Pop'!$D$7:$D$143)</f>
        <v>LatAm &amp; RSA</v>
      </c>
      <c r="C3795" s="127">
        <f>1000*_xlfn.XLOOKUP(A3795,'[1]2050Pop'!$A$7:$A$143,'[1]2050Pop'!$C$7:$C$143)</f>
        <v>55445</v>
      </c>
      <c r="D3795" s="126" t="s">
        <v>531</v>
      </c>
      <c r="E3795" s="128">
        <v>9.1809999999999992</v>
      </c>
      <c r="F3795" s="129">
        <f t="shared" si="179"/>
        <v>0.50904054499999996</v>
      </c>
      <c r="G3795" t="str">
        <f>_xlfn.XLOOKUP(D3795,'[1]2050 BAU Mapping to T &amp; C'!$A$3:$A$52,'[1]2050 BAU Mapping to T &amp; C'!$B$3:$B$52)</f>
        <v>Ruminant Meats</v>
      </c>
      <c r="H3795" s="129">
        <f>_xlfn.XLOOKUP(G3795,'[1]T&amp;C emissions for 2050 analysis'!$B$3:$B$23,'[1]T&amp;C emissions for 2050 analysis'!$C$3:$C$23)</f>
        <v>20.533333333333331</v>
      </c>
      <c r="I3795" s="27">
        <f t="shared" si="177"/>
        <v>10.452299190666665</v>
      </c>
      <c r="J3795" s="129">
        <f t="shared" si="178"/>
        <v>188.51653333333329</v>
      </c>
    </row>
    <row r="3796" spans="1:10" hidden="1" x14ac:dyDescent="0.35">
      <c r="A3796" s="126" t="s">
        <v>361</v>
      </c>
      <c r="B3796" t="str">
        <f>_xlfn.XLOOKUP(A3796,'[1]2050Pop'!$A$7:$A$143,'[1]2050Pop'!$D$7:$D$143)</f>
        <v>MENA</v>
      </c>
      <c r="C3796" s="127">
        <f>1000*_xlfn.XLOOKUP(A3796,'[1]2050Pop'!$A$7:$A$143,'[1]2050Pop'!$C$7:$C$143)</f>
        <v>2729</v>
      </c>
      <c r="D3796" s="126" t="s">
        <v>531</v>
      </c>
      <c r="E3796" s="128">
        <v>23.544</v>
      </c>
      <c r="F3796" s="129">
        <f t="shared" si="179"/>
        <v>6.4251576000000005E-2</v>
      </c>
      <c r="G3796" t="str">
        <f>_xlfn.XLOOKUP(D3796,'[1]2050 BAU Mapping to T &amp; C'!$A$3:$A$52,'[1]2050 BAU Mapping to T &amp; C'!$B$3:$B$52)</f>
        <v>Ruminant Meats</v>
      </c>
      <c r="H3796" s="129">
        <f>_xlfn.XLOOKUP(G3796,'[1]T&amp;C emissions for 2050 analysis'!$B$3:$B$23,'[1]T&amp;C emissions for 2050 analysis'!$C$3:$C$23)</f>
        <v>20.533333333333331</v>
      </c>
      <c r="I3796" s="27">
        <f t="shared" si="177"/>
        <v>1.3192990272</v>
      </c>
      <c r="J3796" s="129">
        <f t="shared" si="178"/>
        <v>483.43679999999995</v>
      </c>
    </row>
    <row r="3797" spans="1:10" hidden="1" x14ac:dyDescent="0.35">
      <c r="A3797" s="126" t="s">
        <v>362</v>
      </c>
      <c r="B3797" t="str">
        <f>_xlfn.XLOOKUP(A3797,'[1]2050Pop'!$A$7:$A$143,'[1]2050Pop'!$D$7:$D$143)</f>
        <v>Euro/AU/NZ</v>
      </c>
      <c r="C3797" s="127">
        <f>1000*_xlfn.XLOOKUP(A3797,'[1]2050Pop'!$A$7:$A$143,'[1]2050Pop'!$C$7:$C$143)</f>
        <v>33496</v>
      </c>
      <c r="D3797" s="126" t="s">
        <v>531</v>
      </c>
      <c r="E3797" s="128">
        <v>63.963999999999999</v>
      </c>
      <c r="F3797" s="129">
        <f t="shared" si="179"/>
        <v>2.142538144</v>
      </c>
      <c r="G3797" t="str">
        <f>_xlfn.XLOOKUP(D3797,'[1]2050 BAU Mapping to T &amp; C'!$A$3:$A$52,'[1]2050 BAU Mapping to T &amp; C'!$B$3:$B$52)</f>
        <v>Ruminant Meats</v>
      </c>
      <c r="H3797" s="129">
        <f>_xlfn.XLOOKUP(G3797,'[1]T&amp;C emissions for 2050 analysis'!$B$3:$B$23,'[1]T&amp;C emissions for 2050 analysis'!$C$3:$C$23)</f>
        <v>20.533333333333331</v>
      </c>
      <c r="I3797" s="27">
        <f t="shared" si="177"/>
        <v>43.993449890133327</v>
      </c>
      <c r="J3797" s="129">
        <f t="shared" si="178"/>
        <v>1313.3941333333332</v>
      </c>
    </row>
    <row r="3798" spans="1:10" hidden="1" x14ac:dyDescent="0.35">
      <c r="A3798" s="126" t="s">
        <v>363</v>
      </c>
      <c r="B3798" t="str">
        <f>_xlfn.XLOOKUP(A3798,'[1]2050Pop'!$A$7:$A$143,'[1]2050Pop'!$D$7:$D$143)</f>
        <v>Euro/AU/NZ</v>
      </c>
      <c r="C3798" s="127">
        <f>1000*_xlfn.XLOOKUP(A3798,'[1]2050Pop'!$A$7:$A$143,'[1]2050Pop'!$C$7:$C$143)</f>
        <v>8846</v>
      </c>
      <c r="D3798" s="126" t="s">
        <v>531</v>
      </c>
      <c r="E3798" s="128">
        <v>6.5309999999999997</v>
      </c>
      <c r="F3798" s="129">
        <f t="shared" si="179"/>
        <v>5.7773225999999997E-2</v>
      </c>
      <c r="G3798" t="str">
        <f>_xlfn.XLOOKUP(D3798,'[1]2050 BAU Mapping to T &amp; C'!$A$3:$A$52,'[1]2050 BAU Mapping to T &amp; C'!$B$3:$B$52)</f>
        <v>Ruminant Meats</v>
      </c>
      <c r="H3798" s="129">
        <f>_xlfn.XLOOKUP(G3798,'[1]T&amp;C emissions for 2050 analysis'!$B$3:$B$23,'[1]T&amp;C emissions for 2050 analysis'!$C$3:$C$23)</f>
        <v>20.533333333333331</v>
      </c>
      <c r="I3798" s="27">
        <f t="shared" si="177"/>
        <v>1.1862769071999999</v>
      </c>
      <c r="J3798" s="129">
        <f t="shared" si="178"/>
        <v>134.10319999999999</v>
      </c>
    </row>
    <row r="3799" spans="1:10" hidden="1" x14ac:dyDescent="0.35">
      <c r="A3799" s="126" t="s">
        <v>364</v>
      </c>
      <c r="B3799" t="str">
        <f>_xlfn.XLOOKUP(A3799,'[1]2050Pop'!$A$7:$A$143,'[1]2050Pop'!$D$7:$D$143)</f>
        <v>MENA</v>
      </c>
      <c r="C3799" s="127">
        <f>1000*_xlfn.XLOOKUP(A3799,'[1]2050Pop'!$A$7:$A$143,'[1]2050Pop'!$C$7:$C$143)</f>
        <v>10963</v>
      </c>
      <c r="D3799" s="126" t="s">
        <v>531</v>
      </c>
      <c r="E3799" s="128">
        <v>49.033000000000001</v>
      </c>
      <c r="F3799" s="129">
        <f t="shared" si="179"/>
        <v>0.53754877899999998</v>
      </c>
      <c r="G3799" t="str">
        <f>_xlfn.XLOOKUP(D3799,'[1]2050 BAU Mapping to T &amp; C'!$A$3:$A$52,'[1]2050 BAU Mapping to T &amp; C'!$B$3:$B$52)</f>
        <v>Ruminant Meats</v>
      </c>
      <c r="H3799" s="129">
        <f>_xlfn.XLOOKUP(G3799,'[1]T&amp;C emissions for 2050 analysis'!$B$3:$B$23,'[1]T&amp;C emissions for 2050 analysis'!$C$3:$C$23)</f>
        <v>20.533333333333331</v>
      </c>
      <c r="I3799" s="27">
        <f t="shared" si="177"/>
        <v>11.037668262133332</v>
      </c>
      <c r="J3799" s="129">
        <f t="shared" si="178"/>
        <v>1006.8109333333333</v>
      </c>
    </row>
    <row r="3800" spans="1:10" hidden="1" x14ac:dyDescent="0.35">
      <c r="A3800" s="126" t="s">
        <v>365</v>
      </c>
      <c r="B3800" t="str">
        <f>_xlfn.XLOOKUP(A3800,'[1]2050Pop'!$A$7:$A$143,'[1]2050Pop'!$D$7:$D$143)</f>
        <v>India/South Asia</v>
      </c>
      <c r="C3800" s="127">
        <f>1000*_xlfn.XLOOKUP(A3800,'[1]2050Pop'!$A$7:$A$143,'[1]2050Pop'!$C$7:$C$143)</f>
        <v>202209</v>
      </c>
      <c r="D3800" s="126" t="s">
        <v>531</v>
      </c>
      <c r="E3800" s="128">
        <v>7.9320000000000004</v>
      </c>
      <c r="F3800" s="129">
        <f t="shared" si="179"/>
        <v>1.6039217880000001</v>
      </c>
      <c r="G3800" t="str">
        <f>_xlfn.XLOOKUP(D3800,'[1]2050 BAU Mapping to T &amp; C'!$A$3:$A$52,'[1]2050 BAU Mapping to T &amp; C'!$B$3:$B$52)</f>
        <v>Ruminant Meats</v>
      </c>
      <c r="H3800" s="129">
        <f>_xlfn.XLOOKUP(G3800,'[1]T&amp;C emissions for 2050 analysis'!$B$3:$B$23,'[1]T&amp;C emissions for 2050 analysis'!$C$3:$C$23)</f>
        <v>20.533333333333331</v>
      </c>
      <c r="I3800" s="27">
        <f t="shared" si="177"/>
        <v>32.933860713599998</v>
      </c>
      <c r="J3800" s="129">
        <f t="shared" si="178"/>
        <v>162.87039999999999</v>
      </c>
    </row>
    <row r="3801" spans="1:10" hidden="1" x14ac:dyDescent="0.35">
      <c r="A3801" s="126" t="s">
        <v>366</v>
      </c>
      <c r="B3801" t="str">
        <f>_xlfn.XLOOKUP(A3801,'[1]2050Pop'!$A$7:$A$143,'[1]2050Pop'!$D$7:$D$143)</f>
        <v>Euro/AU/NZ</v>
      </c>
      <c r="C3801" s="127">
        <f>1000*_xlfn.XLOOKUP(A3801,'[1]2050Pop'!$A$7:$A$143,'[1]2050Pop'!$C$7:$C$143)</f>
        <v>8125</v>
      </c>
      <c r="D3801" s="126" t="s">
        <v>531</v>
      </c>
      <c r="E3801" s="128">
        <v>1.0209999999999999</v>
      </c>
      <c r="F3801" s="129">
        <f t="shared" si="179"/>
        <v>8.2956249999999992E-3</v>
      </c>
      <c r="G3801" t="str">
        <f>_xlfn.XLOOKUP(D3801,'[1]2050 BAU Mapping to T &amp; C'!$A$3:$A$52,'[1]2050 BAU Mapping to T &amp; C'!$B$3:$B$52)</f>
        <v>Ruminant Meats</v>
      </c>
      <c r="H3801" s="129">
        <f>_xlfn.XLOOKUP(G3801,'[1]T&amp;C emissions for 2050 analysis'!$B$3:$B$23,'[1]T&amp;C emissions for 2050 analysis'!$C$3:$C$23)</f>
        <v>20.533333333333331</v>
      </c>
      <c r="I3801" s="27">
        <f t="shared" si="177"/>
        <v>0.1703368333333333</v>
      </c>
      <c r="J3801" s="129">
        <f t="shared" si="178"/>
        <v>20.964533333333328</v>
      </c>
    </row>
    <row r="3802" spans="1:10" hidden="1" x14ac:dyDescent="0.35">
      <c r="A3802" s="126" t="s">
        <v>367</v>
      </c>
      <c r="B3802" t="str">
        <f>_xlfn.XLOOKUP(A3802,'[1]2050Pop'!$A$7:$A$143,'[1]2050Pop'!$D$7:$D$143)</f>
        <v>Euro/AU/NZ</v>
      </c>
      <c r="C3802" s="127">
        <f>1000*_xlfn.XLOOKUP(A3802,'[1]2050Pop'!$A$7:$A$143,'[1]2050Pop'!$C$7:$C$143)</f>
        <v>12527</v>
      </c>
      <c r="D3802" s="126" t="s">
        <v>531</v>
      </c>
      <c r="E3802" s="128">
        <v>9.4510000000000005</v>
      </c>
      <c r="F3802" s="129">
        <f t="shared" si="179"/>
        <v>0.11839267700000002</v>
      </c>
      <c r="G3802" t="str">
        <f>_xlfn.XLOOKUP(D3802,'[1]2050 BAU Mapping to T &amp; C'!$A$3:$A$52,'[1]2050 BAU Mapping to T &amp; C'!$B$3:$B$52)</f>
        <v>Ruminant Meats</v>
      </c>
      <c r="H3802" s="129">
        <f>_xlfn.XLOOKUP(G3802,'[1]T&amp;C emissions for 2050 analysis'!$B$3:$B$23,'[1]T&amp;C emissions for 2050 analysis'!$C$3:$C$23)</f>
        <v>20.533333333333331</v>
      </c>
      <c r="I3802" s="27">
        <f t="shared" si="177"/>
        <v>2.4309963010666666</v>
      </c>
      <c r="J3802" s="129">
        <f t="shared" si="178"/>
        <v>194.06053333333332</v>
      </c>
    </row>
    <row r="3803" spans="1:10" hidden="1" x14ac:dyDescent="0.35">
      <c r="A3803" s="126" t="s">
        <v>368</v>
      </c>
      <c r="B3803" t="str">
        <f>_xlfn.XLOOKUP(A3803,'[1]2050Pop'!$A$7:$A$143,'[1]2050Pop'!$D$7:$D$143)</f>
        <v>SSA</v>
      </c>
      <c r="C3803" s="127">
        <f>1000*_xlfn.XLOOKUP(A3803,'[1]2050Pop'!$A$7:$A$143,'[1]2050Pop'!$C$7:$C$143)</f>
        <v>22549</v>
      </c>
      <c r="D3803" s="126" t="s">
        <v>531</v>
      </c>
      <c r="E3803" s="128">
        <v>4.2050000000000001</v>
      </c>
      <c r="F3803" s="129">
        <f t="shared" si="179"/>
        <v>9.4818545000000004E-2</v>
      </c>
      <c r="G3803" t="str">
        <f>_xlfn.XLOOKUP(D3803,'[1]2050 BAU Mapping to T &amp; C'!$A$3:$A$52,'[1]2050 BAU Mapping to T &amp; C'!$B$3:$B$52)</f>
        <v>Ruminant Meats</v>
      </c>
      <c r="H3803" s="129">
        <f>_xlfn.XLOOKUP(G3803,'[1]T&amp;C emissions for 2050 analysis'!$B$3:$B$23,'[1]T&amp;C emissions for 2050 analysis'!$C$3:$C$23)</f>
        <v>20.533333333333331</v>
      </c>
      <c r="I3803" s="27">
        <f t="shared" si="177"/>
        <v>1.9469407906666665</v>
      </c>
      <c r="J3803" s="129">
        <f t="shared" si="178"/>
        <v>86.342666666666659</v>
      </c>
    </row>
    <row r="3804" spans="1:10" hidden="1" x14ac:dyDescent="0.35">
      <c r="A3804" s="126" t="s">
        <v>369</v>
      </c>
      <c r="B3804" t="str">
        <f>_xlfn.XLOOKUP(A3804,'[1]2050Pop'!$A$7:$A$143,'[1]2050Pop'!$D$7:$D$143)</f>
        <v>LatAm &amp; RSA</v>
      </c>
      <c r="C3804" s="127">
        <f>1000*_xlfn.XLOOKUP(A3804,'[1]2050Pop'!$A$7:$A$143,'[1]2050Pop'!$C$7:$C$143)</f>
        <v>15963</v>
      </c>
      <c r="D3804" s="126" t="s">
        <v>531</v>
      </c>
      <c r="E3804" s="128">
        <v>10.521000000000001</v>
      </c>
      <c r="F3804" s="129">
        <f t="shared" si="179"/>
        <v>0.16794672300000002</v>
      </c>
      <c r="G3804" t="str">
        <f>_xlfn.XLOOKUP(D3804,'[1]2050 BAU Mapping to T &amp; C'!$A$3:$A$52,'[1]2050 BAU Mapping to T &amp; C'!$B$3:$B$52)</f>
        <v>Ruminant Meats</v>
      </c>
      <c r="H3804" s="129">
        <f>_xlfn.XLOOKUP(G3804,'[1]T&amp;C emissions for 2050 analysis'!$B$3:$B$23,'[1]T&amp;C emissions for 2050 analysis'!$C$3:$C$23)</f>
        <v>20.533333333333331</v>
      </c>
      <c r="I3804" s="27">
        <f t="shared" si="177"/>
        <v>3.4485060456000003</v>
      </c>
      <c r="J3804" s="129">
        <f t="shared" si="178"/>
        <v>216.03119999999998</v>
      </c>
    </row>
    <row r="3805" spans="1:10" hidden="1" x14ac:dyDescent="0.35">
      <c r="A3805" s="126" t="s">
        <v>370</v>
      </c>
      <c r="B3805" t="str">
        <f>_xlfn.XLOOKUP(A3805,'[1]2050Pop'!$A$7:$A$143,'[1]2050Pop'!$D$7:$D$143)</f>
        <v>Euro/AU/NZ</v>
      </c>
      <c r="C3805" s="127">
        <f>1000*_xlfn.XLOOKUP(A3805,'[1]2050Pop'!$A$7:$A$143,'[1]2050Pop'!$C$7:$C$143)</f>
        <v>3069</v>
      </c>
      <c r="D3805" s="126" t="s">
        <v>531</v>
      </c>
      <c r="E3805" s="130">
        <v>4.62</v>
      </c>
      <c r="F3805" s="129">
        <f t="shared" si="179"/>
        <v>1.417878E-2</v>
      </c>
      <c r="G3805" t="str">
        <f>_xlfn.XLOOKUP(D3805,'[1]2050 BAU Mapping to T &amp; C'!$A$3:$A$52,'[1]2050 BAU Mapping to T &amp; C'!$B$3:$B$52)</f>
        <v>Ruminant Meats</v>
      </c>
      <c r="H3805" s="129">
        <f>_xlfn.XLOOKUP(G3805,'[1]T&amp;C emissions for 2050 analysis'!$B$3:$B$23,'[1]T&amp;C emissions for 2050 analysis'!$C$3:$C$23)</f>
        <v>20.533333333333331</v>
      </c>
      <c r="I3805" s="27">
        <f t="shared" si="177"/>
        <v>0.29113761599999999</v>
      </c>
      <c r="J3805" s="129">
        <f t="shared" si="178"/>
        <v>94.86399999999999</v>
      </c>
    </row>
    <row r="3806" spans="1:10" hidden="1" x14ac:dyDescent="0.35">
      <c r="A3806" s="126" t="s">
        <v>371</v>
      </c>
      <c r="B3806" t="str">
        <f>_xlfn.XLOOKUP(A3806,'[1]2050Pop'!$A$7:$A$143,'[1]2050Pop'!$D$7:$D$143)</f>
        <v>SSA</v>
      </c>
      <c r="C3806" s="127">
        <f>1000*_xlfn.XLOOKUP(A3806,'[1]2050Pop'!$A$7:$A$143,'[1]2050Pop'!$C$7:$C$143)</f>
        <v>3389</v>
      </c>
      <c r="D3806" s="126" t="s">
        <v>531</v>
      </c>
      <c r="E3806" s="128">
        <v>16.140999999999998</v>
      </c>
      <c r="F3806" s="129">
        <f t="shared" si="179"/>
        <v>5.4701848999999997E-2</v>
      </c>
      <c r="G3806" t="str">
        <f>_xlfn.XLOOKUP(D3806,'[1]2050 BAU Mapping to T &amp; C'!$A$3:$A$52,'[1]2050 BAU Mapping to T &amp; C'!$B$3:$B$52)</f>
        <v>Ruminant Meats</v>
      </c>
      <c r="H3806" s="129">
        <f>_xlfn.XLOOKUP(G3806,'[1]T&amp;C emissions for 2050 analysis'!$B$3:$B$23,'[1]T&amp;C emissions for 2050 analysis'!$C$3:$C$23)</f>
        <v>20.533333333333331</v>
      </c>
      <c r="I3806" s="27">
        <f t="shared" si="177"/>
        <v>1.1232112994666665</v>
      </c>
      <c r="J3806" s="129">
        <f t="shared" si="178"/>
        <v>331.42853333333329</v>
      </c>
    </row>
    <row r="3807" spans="1:10" hidden="1" x14ac:dyDescent="0.35">
      <c r="A3807" s="126" t="s">
        <v>372</v>
      </c>
      <c r="B3807" t="str">
        <f>_xlfn.XLOOKUP(A3807,'[1]2050Pop'!$A$7:$A$143,'[1]2050Pop'!$D$7:$D$143)</f>
        <v>LatAm &amp; RSA</v>
      </c>
      <c r="C3807" s="127">
        <f>1000*_xlfn.XLOOKUP(A3807,'[1]2050Pop'!$A$7:$A$143,'[1]2050Pop'!$C$7:$C$143)</f>
        <v>238270</v>
      </c>
      <c r="D3807" s="126" t="s">
        <v>531</v>
      </c>
      <c r="E3807" s="128">
        <v>3.5790000000000002</v>
      </c>
      <c r="F3807" s="129">
        <f t="shared" si="179"/>
        <v>0.85276833000000007</v>
      </c>
      <c r="G3807" t="str">
        <f>_xlfn.XLOOKUP(D3807,'[1]2050 BAU Mapping to T &amp; C'!$A$3:$A$52,'[1]2050 BAU Mapping to T &amp; C'!$B$3:$B$52)</f>
        <v>Ruminant Meats</v>
      </c>
      <c r="H3807" s="129">
        <f>_xlfn.XLOOKUP(G3807,'[1]T&amp;C emissions for 2050 analysis'!$B$3:$B$23,'[1]T&amp;C emissions for 2050 analysis'!$C$3:$C$23)</f>
        <v>20.533333333333331</v>
      </c>
      <c r="I3807" s="27">
        <f t="shared" si="177"/>
        <v>17.510176376</v>
      </c>
      <c r="J3807" s="129">
        <f t="shared" si="178"/>
        <v>73.488799999999998</v>
      </c>
    </row>
    <row r="3808" spans="1:10" hidden="1" x14ac:dyDescent="0.35">
      <c r="A3808" s="126" t="s">
        <v>373</v>
      </c>
      <c r="B3808" t="str">
        <f>_xlfn.XLOOKUP(A3808,'[1]2050Pop'!$A$7:$A$143,'[1]2050Pop'!$D$7:$D$143)</f>
        <v>Euro/AU/NZ</v>
      </c>
      <c r="C3808" s="127">
        <f>1000*_xlfn.XLOOKUP(A3808,'[1]2050Pop'!$A$7:$A$143,'[1]2050Pop'!$C$7:$C$143)</f>
        <v>5154</v>
      </c>
      <c r="D3808" s="126" t="s">
        <v>531</v>
      </c>
      <c r="E3808" s="128">
        <v>11.515000000000001</v>
      </c>
      <c r="F3808" s="129">
        <f t="shared" si="179"/>
        <v>5.9348310000000008E-2</v>
      </c>
      <c r="G3808" t="str">
        <f>_xlfn.XLOOKUP(D3808,'[1]2050 BAU Mapping to T &amp; C'!$A$3:$A$52,'[1]2050 BAU Mapping to T &amp; C'!$B$3:$B$52)</f>
        <v>Ruminant Meats</v>
      </c>
      <c r="H3808" s="129">
        <f>_xlfn.XLOOKUP(G3808,'[1]T&amp;C emissions for 2050 analysis'!$B$3:$B$23,'[1]T&amp;C emissions for 2050 analysis'!$C$3:$C$23)</f>
        <v>20.533333333333331</v>
      </c>
      <c r="I3808" s="27">
        <f t="shared" si="177"/>
        <v>1.2186186320000001</v>
      </c>
      <c r="J3808" s="129">
        <f t="shared" si="178"/>
        <v>236.44133333333332</v>
      </c>
    </row>
    <row r="3809" spans="1:10" hidden="1" x14ac:dyDescent="0.35">
      <c r="A3809" s="126" t="s">
        <v>487</v>
      </c>
      <c r="B3809" t="str">
        <f>_xlfn.XLOOKUP(A3809,'[1]2050Pop'!$A$7:$A$143,'[1]2050Pop'!$D$7:$D$143)</f>
        <v>SSA</v>
      </c>
      <c r="C3809" s="127">
        <f>1000*_xlfn.XLOOKUP(A3809,'[1]2050Pop'!$A$7:$A$143,'[1]2050Pop'!$C$7:$C$143)</f>
        <v>42789</v>
      </c>
      <c r="D3809" s="126" t="s">
        <v>531</v>
      </c>
      <c r="E3809" s="128">
        <v>22.888000000000002</v>
      </c>
      <c r="F3809" s="129">
        <f t="shared" si="179"/>
        <v>0.97935463200000006</v>
      </c>
      <c r="G3809" t="str">
        <f>_xlfn.XLOOKUP(D3809,'[1]2050 BAU Mapping to T &amp; C'!$A$3:$A$52,'[1]2050 BAU Mapping to T &amp; C'!$B$3:$B$52)</f>
        <v>Ruminant Meats</v>
      </c>
      <c r="H3809" s="129">
        <f>_xlfn.XLOOKUP(G3809,'[1]T&amp;C emissions for 2050 analysis'!$B$3:$B$23,'[1]T&amp;C emissions for 2050 analysis'!$C$3:$C$23)</f>
        <v>20.533333333333331</v>
      </c>
      <c r="I3809" s="27">
        <f t="shared" si="177"/>
        <v>20.109415110400001</v>
      </c>
      <c r="J3809" s="129">
        <f t="shared" si="178"/>
        <v>469.96693333333332</v>
      </c>
    </row>
    <row r="3810" spans="1:10" hidden="1" x14ac:dyDescent="0.35">
      <c r="A3810" s="126" t="s">
        <v>375</v>
      </c>
      <c r="B3810" t="str">
        <f>_xlfn.XLOOKUP(A3810,'[1]2050Pop'!$A$7:$A$143,'[1]2050Pop'!$D$7:$D$143)</f>
        <v>SSA</v>
      </c>
      <c r="C3810" s="127">
        <f>1000*_xlfn.XLOOKUP(A3810,'[1]2050Pop'!$A$7:$A$143,'[1]2050Pop'!$C$7:$C$143)</f>
        <v>48362</v>
      </c>
      <c r="D3810" s="126" t="s">
        <v>531</v>
      </c>
      <c r="E3810" s="128">
        <v>11.198</v>
      </c>
      <c r="F3810" s="129">
        <f t="shared" si="179"/>
        <v>0.54155767599999993</v>
      </c>
      <c r="G3810" t="str">
        <f>_xlfn.XLOOKUP(D3810,'[1]2050 BAU Mapping to T &amp; C'!$A$3:$A$52,'[1]2050 BAU Mapping to T &amp; C'!$B$3:$B$52)</f>
        <v>Ruminant Meats</v>
      </c>
      <c r="H3810" s="129">
        <f>_xlfn.XLOOKUP(G3810,'[1]T&amp;C emissions for 2050 analysis'!$B$3:$B$23,'[1]T&amp;C emissions for 2050 analysis'!$C$3:$C$23)</f>
        <v>20.533333333333331</v>
      </c>
      <c r="I3810" s="27">
        <f t="shared" si="177"/>
        <v>11.11998428053333</v>
      </c>
      <c r="J3810" s="129">
        <f t="shared" si="178"/>
        <v>229.93226666666666</v>
      </c>
    </row>
    <row r="3811" spans="1:10" hidden="1" x14ac:dyDescent="0.35">
      <c r="A3811" s="126" t="s">
        <v>376</v>
      </c>
      <c r="B3811" t="str">
        <f>_xlfn.XLOOKUP(A3811,'[1]2050Pop'!$A$7:$A$143,'[1]2050Pop'!$D$7:$D$143)</f>
        <v>NAm</v>
      </c>
      <c r="C3811" s="127">
        <f>1000*_xlfn.XLOOKUP(A3811,'[1]2050Pop'!$A$7:$A$143,'[1]2050Pop'!$C$7:$C$143)</f>
        <v>44136</v>
      </c>
      <c r="D3811" s="126" t="s">
        <v>531</v>
      </c>
      <c r="E3811" s="128">
        <v>6.3360000000000003</v>
      </c>
      <c r="F3811" s="129">
        <f t="shared" si="179"/>
        <v>0.279645696</v>
      </c>
      <c r="G3811" t="str">
        <f>_xlfn.XLOOKUP(D3811,'[1]2050 BAU Mapping to T &amp; C'!$A$3:$A$52,'[1]2050 BAU Mapping to T &amp; C'!$B$3:$B$52)</f>
        <v>Ruminant Meats</v>
      </c>
      <c r="H3811" s="129">
        <f>_xlfn.XLOOKUP(G3811,'[1]T&amp;C emissions for 2050 analysis'!$B$3:$B$23,'[1]T&amp;C emissions for 2050 analysis'!$C$3:$C$23)</f>
        <v>20.533333333333331</v>
      </c>
      <c r="I3811" s="27">
        <f t="shared" si="177"/>
        <v>5.7420582911999993</v>
      </c>
      <c r="J3811" s="129">
        <f t="shared" si="178"/>
        <v>130.0992</v>
      </c>
    </row>
    <row r="3812" spans="1:10" hidden="1" x14ac:dyDescent="0.35">
      <c r="A3812" s="126" t="s">
        <v>377</v>
      </c>
      <c r="B3812" t="str">
        <f>_xlfn.XLOOKUP(A3812,'[1]2050Pop'!$A$7:$A$143,'[1]2050Pop'!$D$7:$D$143)</f>
        <v>SSA</v>
      </c>
      <c r="C3812" s="127">
        <f>1000*_xlfn.XLOOKUP(A3812,'[1]2050Pop'!$A$7:$A$143,'[1]2050Pop'!$C$7:$C$143)</f>
        <v>8782</v>
      </c>
      <c r="D3812" s="126" t="s">
        <v>531</v>
      </c>
      <c r="E3812" s="128">
        <v>25.812000000000001</v>
      </c>
      <c r="F3812" s="129">
        <f t="shared" si="179"/>
        <v>0.226680984</v>
      </c>
      <c r="G3812" t="str">
        <f>_xlfn.XLOOKUP(D3812,'[1]2050 BAU Mapping to T &amp; C'!$A$3:$A$52,'[1]2050 BAU Mapping to T &amp; C'!$B$3:$B$52)</f>
        <v>Ruminant Meats</v>
      </c>
      <c r="H3812" s="129">
        <f>_xlfn.XLOOKUP(G3812,'[1]T&amp;C emissions for 2050 analysis'!$B$3:$B$23,'[1]T&amp;C emissions for 2050 analysis'!$C$3:$C$23)</f>
        <v>20.533333333333331</v>
      </c>
      <c r="I3812" s="27">
        <f t="shared" si="177"/>
        <v>4.6545162047999993</v>
      </c>
      <c r="J3812" s="129">
        <f t="shared" si="178"/>
        <v>530.00639999999999</v>
      </c>
    </row>
    <row r="3813" spans="1:10" hidden="1" x14ac:dyDescent="0.35">
      <c r="A3813" s="126" t="s">
        <v>488</v>
      </c>
      <c r="B3813" t="str">
        <f>_xlfn.XLOOKUP(A3813,'[1]2050Pop'!$A$7:$A$143,'[1]2050Pop'!$D$7:$D$143)</f>
        <v>SSA</v>
      </c>
      <c r="C3813" s="127">
        <f>1000*_xlfn.XLOOKUP(A3813,'[1]2050Pop'!$A$7:$A$143,'[1]2050Pop'!$C$7:$C$143)</f>
        <v>35131</v>
      </c>
      <c r="D3813" s="126" t="s">
        <v>531</v>
      </c>
      <c r="E3813" s="128">
        <v>23.895</v>
      </c>
      <c r="F3813" s="129">
        <f t="shared" si="179"/>
        <v>0.83945524500000002</v>
      </c>
      <c r="G3813" t="str">
        <f>_xlfn.XLOOKUP(D3813,'[1]2050 BAU Mapping to T &amp; C'!$A$3:$A$52,'[1]2050 BAU Mapping to T &amp; C'!$B$3:$B$52)</f>
        <v>Ruminant Meats</v>
      </c>
      <c r="H3813" s="129">
        <f>_xlfn.XLOOKUP(G3813,'[1]T&amp;C emissions for 2050 analysis'!$B$3:$B$23,'[1]T&amp;C emissions for 2050 analysis'!$C$3:$C$23)</f>
        <v>20.533333333333331</v>
      </c>
      <c r="I3813" s="27">
        <f t="shared" si="177"/>
        <v>17.236814363999997</v>
      </c>
      <c r="J3813" s="129">
        <f t="shared" si="178"/>
        <v>490.64399999999995</v>
      </c>
    </row>
    <row r="3814" spans="1:10" hidden="1" x14ac:dyDescent="0.35">
      <c r="A3814" s="126" t="s">
        <v>378</v>
      </c>
      <c r="B3814" t="str">
        <f>_xlfn.XLOOKUP(A3814,'[1]2050Pop'!$A$7:$A$143,'[1]2050Pop'!$D$7:$D$143)</f>
        <v>LatAm &amp; RSA</v>
      </c>
      <c r="C3814" s="127">
        <f>1000*_xlfn.XLOOKUP(A3814,'[1]2050Pop'!$A$7:$A$143,'[1]2050Pop'!$C$7:$C$143)</f>
        <v>21601</v>
      </c>
      <c r="D3814" s="126" t="s">
        <v>531</v>
      </c>
      <c r="E3814" s="128">
        <v>2.718</v>
      </c>
      <c r="F3814" s="129">
        <f t="shared" si="179"/>
        <v>5.8711517999999997E-2</v>
      </c>
      <c r="G3814" t="str">
        <f>_xlfn.XLOOKUP(D3814,'[1]2050 BAU Mapping to T &amp; C'!$A$3:$A$52,'[1]2050 BAU Mapping to T &amp; C'!$B$3:$B$52)</f>
        <v>Ruminant Meats</v>
      </c>
      <c r="H3814" s="129">
        <f>_xlfn.XLOOKUP(G3814,'[1]T&amp;C emissions for 2050 analysis'!$B$3:$B$23,'[1]T&amp;C emissions for 2050 analysis'!$C$3:$C$23)</f>
        <v>20.533333333333331</v>
      </c>
      <c r="I3814" s="27">
        <f t="shared" si="177"/>
        <v>1.2055431695999999</v>
      </c>
      <c r="J3814" s="129">
        <f t="shared" si="178"/>
        <v>55.809599999999996</v>
      </c>
    </row>
    <row r="3815" spans="1:10" hidden="1" x14ac:dyDescent="0.35">
      <c r="A3815" s="126" t="s">
        <v>379</v>
      </c>
      <c r="B3815" t="str">
        <f>_xlfn.XLOOKUP(A3815,'[1]2050Pop'!$A$7:$A$143,'[1]2050Pop'!$D$7:$D$143)</f>
        <v>Greater China</v>
      </c>
      <c r="C3815" s="127">
        <f>1000*_xlfn.XLOOKUP(A3815,'[1]2050Pop'!$A$7:$A$143,'[1]2050Pop'!$C$7:$C$143)</f>
        <v>8148</v>
      </c>
      <c r="D3815" s="126" t="s">
        <v>531</v>
      </c>
      <c r="E3815" s="128">
        <v>12.459</v>
      </c>
      <c r="F3815" s="129">
        <f t="shared" si="179"/>
        <v>0.101515932</v>
      </c>
      <c r="G3815" t="str">
        <f>_xlfn.XLOOKUP(D3815,'[1]2050 BAU Mapping to T &amp; C'!$A$3:$A$52,'[1]2050 BAU Mapping to T &amp; C'!$B$3:$B$52)</f>
        <v>Ruminant Meats</v>
      </c>
      <c r="H3815" s="129">
        <f>_xlfn.XLOOKUP(G3815,'[1]T&amp;C emissions for 2050 analysis'!$B$3:$B$23,'[1]T&amp;C emissions for 2050 analysis'!$C$3:$C$23)</f>
        <v>20.533333333333331</v>
      </c>
      <c r="I3815" s="27">
        <f t="shared" si="177"/>
        <v>2.0844604703999998</v>
      </c>
      <c r="J3815" s="129">
        <f t="shared" si="178"/>
        <v>255.82479999999998</v>
      </c>
    </row>
    <row r="3816" spans="1:10" hidden="1" x14ac:dyDescent="0.35">
      <c r="A3816" s="126" t="s">
        <v>380</v>
      </c>
      <c r="B3816" t="str">
        <f>_xlfn.XLOOKUP(A3816,'[1]2050Pop'!$A$7:$A$143,'[1]2050Pop'!$D$7:$D$143)</f>
        <v>Greater China</v>
      </c>
      <c r="C3816" s="127">
        <f>1000*_xlfn.XLOOKUP(A3816,'[1]2050Pop'!$A$7:$A$143,'[1]2050Pop'!$C$7:$C$143)</f>
        <v>1348056</v>
      </c>
      <c r="D3816" s="126" t="s">
        <v>531</v>
      </c>
      <c r="E3816" s="128">
        <v>19.608000000000001</v>
      </c>
      <c r="F3816" s="129">
        <f t="shared" si="179"/>
        <v>26.432682048</v>
      </c>
      <c r="G3816" t="str">
        <f>_xlfn.XLOOKUP(D3816,'[1]2050 BAU Mapping to T &amp; C'!$A$3:$A$52,'[1]2050 BAU Mapping to T &amp; C'!$B$3:$B$52)</f>
        <v>Ruminant Meats</v>
      </c>
      <c r="H3816" s="129">
        <f>_xlfn.XLOOKUP(G3816,'[1]T&amp;C emissions for 2050 analysis'!$B$3:$B$23,'[1]T&amp;C emissions for 2050 analysis'!$C$3:$C$23)</f>
        <v>20.533333333333331</v>
      </c>
      <c r="I3816" s="27">
        <f t="shared" si="177"/>
        <v>542.75107138559997</v>
      </c>
      <c r="J3816" s="129">
        <f t="shared" si="178"/>
        <v>402.61759999999998</v>
      </c>
    </row>
    <row r="3817" spans="1:10" hidden="1" x14ac:dyDescent="0.35">
      <c r="A3817" s="126" t="s">
        <v>381</v>
      </c>
      <c r="B3817" t="str">
        <f>_xlfn.XLOOKUP(A3817,'[1]2050Pop'!$A$7:$A$143,'[1]2050Pop'!$D$7:$D$143)</f>
        <v>Greater China</v>
      </c>
      <c r="C3817" s="127">
        <f>1000*_xlfn.XLOOKUP(A3817,'[1]2050Pop'!$A$7:$A$143,'[1]2050Pop'!$C$7:$C$143)</f>
        <v>20778</v>
      </c>
      <c r="D3817" s="126" t="s">
        <v>531</v>
      </c>
      <c r="E3817" s="130">
        <v>6.42</v>
      </c>
      <c r="F3817" s="129">
        <f t="shared" si="179"/>
        <v>0.13339476</v>
      </c>
      <c r="G3817" t="str">
        <f>_xlfn.XLOOKUP(D3817,'[1]2050 BAU Mapping to T &amp; C'!$A$3:$A$52,'[1]2050 BAU Mapping to T &amp; C'!$B$3:$B$52)</f>
        <v>Ruminant Meats</v>
      </c>
      <c r="H3817" s="129">
        <f>_xlfn.XLOOKUP(G3817,'[1]T&amp;C emissions for 2050 analysis'!$B$3:$B$23,'[1]T&amp;C emissions for 2050 analysis'!$C$3:$C$23)</f>
        <v>20.533333333333331</v>
      </c>
      <c r="I3817" s="27">
        <f t="shared" si="177"/>
        <v>2.7390390719999997</v>
      </c>
      <c r="J3817" s="129">
        <f t="shared" si="178"/>
        <v>131.82399999999998</v>
      </c>
    </row>
    <row r="3818" spans="1:10" hidden="1" x14ac:dyDescent="0.35">
      <c r="A3818" s="126" t="s">
        <v>382</v>
      </c>
      <c r="B3818" t="str">
        <f>_xlfn.XLOOKUP(A3818,'[1]2050Pop'!$A$7:$A$143,'[1]2050Pop'!$D$7:$D$143)</f>
        <v>LatAm &amp; RSA</v>
      </c>
      <c r="C3818" s="127">
        <f>1000*_xlfn.XLOOKUP(A3818,'[1]2050Pop'!$A$7:$A$143,'[1]2050Pop'!$C$7:$C$143)</f>
        <v>54927</v>
      </c>
      <c r="D3818" s="126" t="s">
        <v>531</v>
      </c>
      <c r="E3818" s="128">
        <v>1.0269999999999999</v>
      </c>
      <c r="F3818" s="129">
        <f t="shared" si="179"/>
        <v>5.6410028999999993E-2</v>
      </c>
      <c r="G3818" t="str">
        <f>_xlfn.XLOOKUP(D3818,'[1]2050 BAU Mapping to T &amp; C'!$A$3:$A$52,'[1]2050 BAU Mapping to T &amp; C'!$B$3:$B$52)</f>
        <v>Ruminant Meats</v>
      </c>
      <c r="H3818" s="129">
        <f>_xlfn.XLOOKUP(G3818,'[1]T&amp;C emissions for 2050 analysis'!$B$3:$B$23,'[1]T&amp;C emissions for 2050 analysis'!$C$3:$C$23)</f>
        <v>20.533333333333331</v>
      </c>
      <c r="I3818" s="27">
        <f t="shared" si="177"/>
        <v>1.1582859287999998</v>
      </c>
      <c r="J3818" s="129">
        <f t="shared" si="178"/>
        <v>21.087733333333329</v>
      </c>
    </row>
    <row r="3819" spans="1:10" hidden="1" x14ac:dyDescent="0.35">
      <c r="A3819" s="126" t="s">
        <v>384</v>
      </c>
      <c r="B3819" t="str">
        <f>_xlfn.XLOOKUP(A3819,'[1]2050Pop'!$A$7:$A$143,'[1]2050Pop'!$D$7:$D$143)</f>
        <v>SSA</v>
      </c>
      <c r="C3819" s="127">
        <f>1000*_xlfn.XLOOKUP(A3819,'[1]2050Pop'!$A$7:$A$143,'[1]2050Pop'!$C$7:$C$143)</f>
        <v>48797</v>
      </c>
      <c r="D3819" s="126" t="s">
        <v>531</v>
      </c>
      <c r="E3819" s="128">
        <v>6.2460000000000004</v>
      </c>
      <c r="F3819" s="129">
        <f t="shared" si="179"/>
        <v>0.30478606200000002</v>
      </c>
      <c r="G3819" t="str">
        <f>_xlfn.XLOOKUP(D3819,'[1]2050 BAU Mapping to T &amp; C'!$A$3:$A$52,'[1]2050 BAU Mapping to T &amp; C'!$B$3:$B$52)</f>
        <v>Ruminant Meats</v>
      </c>
      <c r="H3819" s="129">
        <f>_xlfn.XLOOKUP(G3819,'[1]T&amp;C emissions for 2050 analysis'!$B$3:$B$23,'[1]T&amp;C emissions for 2050 analysis'!$C$3:$C$23)</f>
        <v>20.533333333333331</v>
      </c>
      <c r="I3819" s="27">
        <f t="shared" si="177"/>
        <v>6.2582738064000001</v>
      </c>
      <c r="J3819" s="129">
        <f t="shared" si="178"/>
        <v>128.25120000000001</v>
      </c>
    </row>
    <row r="3820" spans="1:10" hidden="1" x14ac:dyDescent="0.35">
      <c r="A3820" s="126" t="s">
        <v>385</v>
      </c>
      <c r="B3820" t="str">
        <f>_xlfn.XLOOKUP(A3820,'[1]2050Pop'!$A$7:$A$143,'[1]2050Pop'!$D$7:$D$143)</f>
        <v>Euro/AU/NZ</v>
      </c>
      <c r="C3820" s="127">
        <f>1000*_xlfn.XLOOKUP(A3820,'[1]2050Pop'!$A$7:$A$143,'[1]2050Pop'!$C$7:$C$143)</f>
        <v>3554</v>
      </c>
      <c r="D3820" s="126" t="s">
        <v>531</v>
      </c>
      <c r="E3820" s="128">
        <v>9.5579999999999998</v>
      </c>
      <c r="F3820" s="129">
        <f t="shared" si="179"/>
        <v>3.3969131999999999E-2</v>
      </c>
      <c r="G3820" t="str">
        <f>_xlfn.XLOOKUP(D3820,'[1]2050 BAU Mapping to T &amp; C'!$A$3:$A$52,'[1]2050 BAU Mapping to T &amp; C'!$B$3:$B$52)</f>
        <v>Ruminant Meats</v>
      </c>
      <c r="H3820" s="129">
        <f>_xlfn.XLOOKUP(G3820,'[1]T&amp;C emissions for 2050 analysis'!$B$3:$B$23,'[1]T&amp;C emissions for 2050 analysis'!$C$3:$C$23)</f>
        <v>20.533333333333331</v>
      </c>
      <c r="I3820" s="27">
        <f t="shared" si="177"/>
        <v>0.69749951039999991</v>
      </c>
      <c r="J3820" s="129">
        <f t="shared" si="178"/>
        <v>196.25759999999997</v>
      </c>
    </row>
    <row r="3821" spans="1:10" hidden="1" x14ac:dyDescent="0.35">
      <c r="A3821" s="126" t="s">
        <v>386</v>
      </c>
      <c r="B3821" t="str">
        <f>_xlfn.XLOOKUP(A3821,'[1]2050Pop'!$A$7:$A$143,'[1]2050Pop'!$D$7:$D$143)</f>
        <v>LatAm &amp; RSA</v>
      </c>
      <c r="C3821" s="127">
        <f>1000*_xlfn.XLOOKUP(A3821,'[1]2050Pop'!$A$7:$A$143,'[1]2050Pop'!$C$7:$C$143)</f>
        <v>10339</v>
      </c>
      <c r="D3821" s="126" t="s">
        <v>531</v>
      </c>
      <c r="E3821" s="128">
        <v>6.9660000000000002</v>
      </c>
      <c r="F3821" s="129">
        <f t="shared" si="179"/>
        <v>7.2021474000000002E-2</v>
      </c>
      <c r="G3821" t="str">
        <f>_xlfn.XLOOKUP(D3821,'[1]2050 BAU Mapping to T &amp; C'!$A$3:$A$52,'[1]2050 BAU Mapping to T &amp; C'!$B$3:$B$52)</f>
        <v>Ruminant Meats</v>
      </c>
      <c r="H3821" s="129">
        <f>_xlfn.XLOOKUP(G3821,'[1]T&amp;C emissions for 2050 analysis'!$B$3:$B$23,'[1]T&amp;C emissions for 2050 analysis'!$C$3:$C$23)</f>
        <v>20.533333333333331</v>
      </c>
      <c r="I3821" s="27">
        <f t="shared" si="177"/>
        <v>1.4788409327999998</v>
      </c>
      <c r="J3821" s="129">
        <f t="shared" si="178"/>
        <v>143.0352</v>
      </c>
    </row>
    <row r="3822" spans="1:10" hidden="1" x14ac:dyDescent="0.35">
      <c r="A3822" s="126" t="s">
        <v>387</v>
      </c>
      <c r="B3822" t="str">
        <f>_xlfn.XLOOKUP(A3822,'[1]2050Pop'!$A$7:$A$143,'[1]2050Pop'!$D$7:$D$143)</f>
        <v>Euro/AU/NZ</v>
      </c>
      <c r="C3822" s="127">
        <f>1000*_xlfn.XLOOKUP(A3822,'[1]2050Pop'!$A$7:$A$143,'[1]2050Pop'!$C$7:$C$143)</f>
        <v>9965</v>
      </c>
      <c r="D3822" s="126" t="s">
        <v>531</v>
      </c>
      <c r="E3822" s="128">
        <v>2.0110000000000001</v>
      </c>
      <c r="F3822" s="129">
        <f t="shared" si="179"/>
        <v>2.0039615E-2</v>
      </c>
      <c r="G3822" t="str">
        <f>_xlfn.XLOOKUP(D3822,'[1]2050 BAU Mapping to T &amp; C'!$A$3:$A$52,'[1]2050 BAU Mapping to T &amp; C'!$B$3:$B$52)</f>
        <v>Ruminant Meats</v>
      </c>
      <c r="H3822" s="129">
        <f>_xlfn.XLOOKUP(G3822,'[1]T&amp;C emissions for 2050 analysis'!$B$3:$B$23,'[1]T&amp;C emissions for 2050 analysis'!$C$3:$C$23)</f>
        <v>20.533333333333331</v>
      </c>
      <c r="I3822" s="27">
        <f t="shared" si="177"/>
        <v>0.41148009466666663</v>
      </c>
      <c r="J3822" s="129">
        <f t="shared" si="178"/>
        <v>41.292533333333331</v>
      </c>
    </row>
    <row r="3823" spans="1:10" hidden="1" x14ac:dyDescent="0.35">
      <c r="A3823" s="126" t="s">
        <v>481</v>
      </c>
      <c r="B3823" t="str">
        <f>_xlfn.XLOOKUP(A3823,'[1]2050Pop'!$A$7:$A$143,'[1]2050Pop'!$D$7:$D$143)</f>
        <v>APAC</v>
      </c>
      <c r="C3823" s="127">
        <f>1000*_xlfn.XLOOKUP(A3823,'[1]2050Pop'!$A$7:$A$143,'[1]2050Pop'!$C$7:$C$143)</f>
        <v>26907</v>
      </c>
      <c r="D3823" s="126" t="s">
        <v>531</v>
      </c>
      <c r="E3823" s="128">
        <v>4.1920000000000002</v>
      </c>
      <c r="F3823" s="129">
        <f t="shared" si="179"/>
        <v>0.112794144</v>
      </c>
      <c r="G3823" t="str">
        <f>_xlfn.XLOOKUP(D3823,'[1]2050 BAU Mapping to T &amp; C'!$A$3:$A$52,'[1]2050 BAU Mapping to T &amp; C'!$B$3:$B$52)</f>
        <v>Ruminant Meats</v>
      </c>
      <c r="H3823" s="129">
        <f>_xlfn.XLOOKUP(G3823,'[1]T&amp;C emissions for 2050 analysis'!$B$3:$B$23,'[1]T&amp;C emissions for 2050 analysis'!$C$3:$C$23)</f>
        <v>20.533333333333331</v>
      </c>
      <c r="I3823" s="27">
        <f t="shared" si="177"/>
        <v>2.3160397568</v>
      </c>
      <c r="J3823" s="129">
        <f t="shared" si="178"/>
        <v>86.075733333333332</v>
      </c>
    </row>
    <row r="3824" spans="1:10" hidden="1" x14ac:dyDescent="0.35">
      <c r="A3824" s="126" t="s">
        <v>388</v>
      </c>
      <c r="B3824" t="str">
        <f>_xlfn.XLOOKUP(A3824,'[1]2050Pop'!$A$7:$A$143,'[1]2050Pop'!$D$7:$D$143)</f>
        <v>Euro/AU/NZ</v>
      </c>
      <c r="C3824" s="127">
        <f>1000*_xlfn.XLOOKUP(A3824,'[1]2050Pop'!$A$7:$A$143,'[1]2050Pop'!$C$7:$C$143)</f>
        <v>6299</v>
      </c>
      <c r="D3824" s="126" t="s">
        <v>531</v>
      </c>
      <c r="E3824" s="128">
        <v>5.4349999999999996</v>
      </c>
      <c r="F3824" s="129">
        <f t="shared" si="179"/>
        <v>3.4235064999999995E-2</v>
      </c>
      <c r="G3824" t="str">
        <f>_xlfn.XLOOKUP(D3824,'[1]2050 BAU Mapping to T &amp; C'!$A$3:$A$52,'[1]2050 BAU Mapping to T &amp; C'!$B$3:$B$52)</f>
        <v>Ruminant Meats</v>
      </c>
      <c r="H3824" s="129">
        <f>_xlfn.XLOOKUP(G3824,'[1]T&amp;C emissions for 2050 analysis'!$B$3:$B$23,'[1]T&amp;C emissions for 2050 analysis'!$C$3:$C$23)</f>
        <v>20.533333333333331</v>
      </c>
      <c r="I3824" s="27">
        <f t="shared" si="177"/>
        <v>0.70296000133333314</v>
      </c>
      <c r="J3824" s="129">
        <f t="shared" si="178"/>
        <v>111.59866666666665</v>
      </c>
    </row>
    <row r="3825" spans="1:10" hidden="1" x14ac:dyDescent="0.35">
      <c r="A3825" s="126" t="s">
        <v>389</v>
      </c>
      <c r="B3825" t="str">
        <f>_xlfn.XLOOKUP(A3825,'[1]2050Pop'!$A$7:$A$143,'[1]2050Pop'!$D$7:$D$143)</f>
        <v>LatAm &amp; RSA</v>
      </c>
      <c r="C3825" s="127">
        <f>1000*_xlfn.XLOOKUP(A3825,'[1]2050Pop'!$A$7:$A$143,'[1]2050Pop'!$C$7:$C$143)</f>
        <v>13238</v>
      </c>
      <c r="D3825" s="126" t="s">
        <v>531</v>
      </c>
      <c r="E3825" s="128">
        <v>1.0169999999999999</v>
      </c>
      <c r="F3825" s="129">
        <f t="shared" si="179"/>
        <v>1.3463045999999998E-2</v>
      </c>
      <c r="G3825" t="str">
        <f>_xlfn.XLOOKUP(D3825,'[1]2050 BAU Mapping to T &amp; C'!$A$3:$A$52,'[1]2050 BAU Mapping to T &amp; C'!$B$3:$B$52)</f>
        <v>Ruminant Meats</v>
      </c>
      <c r="H3825" s="129">
        <f>_xlfn.XLOOKUP(G3825,'[1]T&amp;C emissions for 2050 analysis'!$B$3:$B$23,'[1]T&amp;C emissions for 2050 analysis'!$C$3:$C$23)</f>
        <v>20.533333333333331</v>
      </c>
      <c r="I3825" s="27">
        <f t="shared" si="177"/>
        <v>0.27644121119999993</v>
      </c>
      <c r="J3825" s="129">
        <f t="shared" si="178"/>
        <v>20.882399999999997</v>
      </c>
    </row>
    <row r="3826" spans="1:10" hidden="1" x14ac:dyDescent="0.35">
      <c r="A3826" s="126" t="s">
        <v>390</v>
      </c>
      <c r="B3826" t="str">
        <f>_xlfn.XLOOKUP(A3826,'[1]2050Pop'!$A$7:$A$143,'[1]2050Pop'!$D$7:$D$143)</f>
        <v>LatAm &amp; RSA</v>
      </c>
      <c r="C3826" s="127">
        <f>1000*_xlfn.XLOOKUP(A3826,'[1]2050Pop'!$A$7:$A$143,'[1]2050Pop'!$C$7:$C$143)</f>
        <v>23013</v>
      </c>
      <c r="D3826" s="126" t="s">
        <v>531</v>
      </c>
      <c r="E3826" s="128">
        <v>2.0579999999999998</v>
      </c>
      <c r="F3826" s="129">
        <f t="shared" si="179"/>
        <v>4.7360753999999991E-2</v>
      </c>
      <c r="G3826" t="str">
        <f>_xlfn.XLOOKUP(D3826,'[1]2050 BAU Mapping to T &amp; C'!$A$3:$A$52,'[1]2050 BAU Mapping to T &amp; C'!$B$3:$B$52)</f>
        <v>Ruminant Meats</v>
      </c>
      <c r="H3826" s="129">
        <f>_xlfn.XLOOKUP(G3826,'[1]T&amp;C emissions for 2050 analysis'!$B$3:$B$23,'[1]T&amp;C emissions for 2050 analysis'!$C$3:$C$23)</f>
        <v>20.533333333333331</v>
      </c>
      <c r="I3826" s="27">
        <f t="shared" si="177"/>
        <v>0.97247414879999972</v>
      </c>
      <c r="J3826" s="129">
        <f t="shared" si="178"/>
        <v>42.257599999999989</v>
      </c>
    </row>
    <row r="3827" spans="1:10" hidden="1" x14ac:dyDescent="0.35">
      <c r="A3827" s="126" t="s">
        <v>391</v>
      </c>
      <c r="B3827" t="str">
        <f>_xlfn.XLOOKUP(A3827,'[1]2050Pop'!$A$7:$A$143,'[1]2050Pop'!$D$7:$D$143)</f>
        <v>MENA</v>
      </c>
      <c r="C3827" s="127">
        <f>1000*_xlfn.XLOOKUP(A3827,'[1]2050Pop'!$A$7:$A$143,'[1]2050Pop'!$C$7:$C$143)</f>
        <v>151111</v>
      </c>
      <c r="D3827" s="126" t="s">
        <v>531</v>
      </c>
      <c r="E3827" s="130">
        <v>13.03</v>
      </c>
      <c r="F3827" s="129">
        <f t="shared" si="179"/>
        <v>1.9689763299999998</v>
      </c>
      <c r="G3827" t="str">
        <f>_xlfn.XLOOKUP(D3827,'[1]2050 BAU Mapping to T &amp; C'!$A$3:$A$52,'[1]2050 BAU Mapping to T &amp; C'!$B$3:$B$52)</f>
        <v>Ruminant Meats</v>
      </c>
      <c r="H3827" s="129">
        <f>_xlfn.XLOOKUP(G3827,'[1]T&amp;C emissions for 2050 analysis'!$B$3:$B$23,'[1]T&amp;C emissions for 2050 analysis'!$C$3:$C$23)</f>
        <v>20.533333333333331</v>
      </c>
      <c r="I3827" s="27">
        <f t="shared" si="177"/>
        <v>40.429647309333326</v>
      </c>
      <c r="J3827" s="129">
        <f t="shared" si="178"/>
        <v>267.54933333333332</v>
      </c>
    </row>
    <row r="3828" spans="1:10" hidden="1" x14ac:dyDescent="0.35">
      <c r="A3828" s="126" t="s">
        <v>393</v>
      </c>
      <c r="B3828" t="str">
        <f>_xlfn.XLOOKUP(A3828,'[1]2050Pop'!$A$7:$A$143,'[1]2050Pop'!$D$7:$D$143)</f>
        <v>Euro/AU/NZ</v>
      </c>
      <c r="C3828" s="127">
        <f>1000*_xlfn.XLOOKUP(A3828,'[1]2050Pop'!$A$7:$A$143,'[1]2050Pop'!$C$7:$C$143)</f>
        <v>1129</v>
      </c>
      <c r="D3828" s="126" t="s">
        <v>531</v>
      </c>
      <c r="E3828" s="128">
        <v>3.0960000000000001</v>
      </c>
      <c r="F3828" s="129">
        <f t="shared" si="179"/>
        <v>3.4953839999999998E-3</v>
      </c>
      <c r="G3828" t="str">
        <f>_xlfn.XLOOKUP(D3828,'[1]2050 BAU Mapping to T &amp; C'!$A$3:$A$52,'[1]2050 BAU Mapping to T &amp; C'!$B$3:$B$52)</f>
        <v>Ruminant Meats</v>
      </c>
      <c r="H3828" s="129">
        <f>_xlfn.XLOOKUP(G3828,'[1]T&amp;C emissions for 2050 analysis'!$B$3:$B$23,'[1]T&amp;C emissions for 2050 analysis'!$C$3:$C$23)</f>
        <v>20.533333333333331</v>
      </c>
      <c r="I3828" s="27">
        <f t="shared" si="177"/>
        <v>7.1771884799999991E-2</v>
      </c>
      <c r="J3828" s="129">
        <f t="shared" si="178"/>
        <v>63.571199999999997</v>
      </c>
    </row>
    <row r="3829" spans="1:10" hidden="1" x14ac:dyDescent="0.35">
      <c r="A3829" s="126" t="s">
        <v>394</v>
      </c>
      <c r="B3829" t="str">
        <f>_xlfn.XLOOKUP(A3829,'[1]2050Pop'!$A$7:$A$143,'[1]2050Pop'!$D$7:$D$143)</f>
        <v>SSA</v>
      </c>
      <c r="C3829" s="127">
        <f>1000*_xlfn.XLOOKUP(A3829,'[1]2050Pop'!$A$7:$A$143,'[1]2050Pop'!$C$7:$C$143)</f>
        <v>188455</v>
      </c>
      <c r="D3829" s="126" t="s">
        <v>531</v>
      </c>
      <c r="E3829" s="128">
        <v>13.977</v>
      </c>
      <c r="F3829" s="129">
        <f t="shared" si="179"/>
        <v>2.6340355350000002</v>
      </c>
      <c r="G3829" t="str">
        <f>_xlfn.XLOOKUP(D3829,'[1]2050 BAU Mapping to T &amp; C'!$A$3:$A$52,'[1]2050 BAU Mapping to T &amp; C'!$B$3:$B$52)</f>
        <v>Ruminant Meats</v>
      </c>
      <c r="H3829" s="129">
        <f>_xlfn.XLOOKUP(G3829,'[1]T&amp;C emissions for 2050 analysis'!$B$3:$B$23,'[1]T&amp;C emissions for 2050 analysis'!$C$3:$C$23)</f>
        <v>20.533333333333331</v>
      </c>
      <c r="I3829" s="27">
        <f t="shared" si="177"/>
        <v>54.085529651999998</v>
      </c>
      <c r="J3829" s="129">
        <f t="shared" si="178"/>
        <v>286.99439999999998</v>
      </c>
    </row>
    <row r="3830" spans="1:10" hidden="1" x14ac:dyDescent="0.35">
      <c r="A3830" s="126" t="s">
        <v>395</v>
      </c>
      <c r="B3830" t="str">
        <f>_xlfn.XLOOKUP(A3830,'[1]2050Pop'!$A$7:$A$143,'[1]2050Pop'!$D$7:$D$143)</f>
        <v>Euro/AU/NZ</v>
      </c>
      <c r="C3830" s="127">
        <f>1000*_xlfn.XLOOKUP(A3830,'[1]2050Pop'!$A$7:$A$143,'[1]2050Pop'!$C$7:$C$143)</f>
        <v>5752</v>
      </c>
      <c r="D3830" s="126" t="s">
        <v>531</v>
      </c>
      <c r="E3830" s="128">
        <v>4.0090000000000003</v>
      </c>
      <c r="F3830" s="129">
        <f t="shared" si="179"/>
        <v>2.3059768000000005E-2</v>
      </c>
      <c r="G3830" t="str">
        <f>_xlfn.XLOOKUP(D3830,'[1]2050 BAU Mapping to T &amp; C'!$A$3:$A$52,'[1]2050 BAU Mapping to T &amp; C'!$B$3:$B$52)</f>
        <v>Ruminant Meats</v>
      </c>
      <c r="H3830" s="129">
        <f>_xlfn.XLOOKUP(G3830,'[1]T&amp;C emissions for 2050 analysis'!$B$3:$B$23,'[1]T&amp;C emissions for 2050 analysis'!$C$3:$C$23)</f>
        <v>20.533333333333331</v>
      </c>
      <c r="I3830" s="27">
        <f t="shared" si="177"/>
        <v>0.47349390293333338</v>
      </c>
      <c r="J3830" s="129">
        <f t="shared" si="178"/>
        <v>82.318133333333336</v>
      </c>
    </row>
    <row r="3831" spans="1:10" hidden="1" x14ac:dyDescent="0.35">
      <c r="A3831" s="126" t="s">
        <v>396</v>
      </c>
      <c r="B3831" t="str">
        <f>_xlfn.XLOOKUP(A3831,'[1]2050Pop'!$A$7:$A$143,'[1]2050Pop'!$D$7:$D$143)</f>
        <v>Euro/AU/NZ</v>
      </c>
      <c r="C3831" s="127">
        <f>1000*_xlfn.XLOOKUP(A3831,'[1]2050Pop'!$A$7:$A$143,'[1]2050Pop'!$C$7:$C$143)</f>
        <v>71137</v>
      </c>
      <c r="D3831" s="126" t="s">
        <v>531</v>
      </c>
      <c r="E3831" s="128">
        <v>20.579000000000001</v>
      </c>
      <c r="F3831" s="129">
        <f t="shared" si="179"/>
        <v>1.4639283230000002</v>
      </c>
      <c r="G3831" t="str">
        <f>_xlfn.XLOOKUP(D3831,'[1]2050 BAU Mapping to T &amp; C'!$A$3:$A$52,'[1]2050 BAU Mapping to T &amp; C'!$B$3:$B$52)</f>
        <v>Ruminant Meats</v>
      </c>
      <c r="H3831" s="129">
        <f>_xlfn.XLOOKUP(G3831,'[1]T&amp;C emissions for 2050 analysis'!$B$3:$B$23,'[1]T&amp;C emissions for 2050 analysis'!$C$3:$C$23)</f>
        <v>20.533333333333331</v>
      </c>
      <c r="I3831" s="27">
        <f t="shared" si="177"/>
        <v>30.059328232266669</v>
      </c>
      <c r="J3831" s="129">
        <f t="shared" si="178"/>
        <v>422.55546666666663</v>
      </c>
    </row>
    <row r="3832" spans="1:10" hidden="1" x14ac:dyDescent="0.35">
      <c r="A3832" s="126" t="s">
        <v>397</v>
      </c>
      <c r="B3832" t="str">
        <f>_xlfn.XLOOKUP(A3832,'[1]2050Pop'!$A$7:$A$143,'[1]2050Pop'!$D$7:$D$143)</f>
        <v>SSA</v>
      </c>
      <c r="C3832" s="127">
        <f>1000*_xlfn.XLOOKUP(A3832,'[1]2050Pop'!$A$7:$A$143,'[1]2050Pop'!$C$7:$C$143)</f>
        <v>3164</v>
      </c>
      <c r="D3832" s="126" t="s">
        <v>531</v>
      </c>
      <c r="E3832" s="128">
        <v>5.367</v>
      </c>
      <c r="F3832" s="129">
        <f t="shared" si="179"/>
        <v>1.6981187999999998E-2</v>
      </c>
      <c r="G3832" t="str">
        <f>_xlfn.XLOOKUP(D3832,'[1]2050 BAU Mapping to T &amp; C'!$A$3:$A$52,'[1]2050 BAU Mapping to T &amp; C'!$B$3:$B$52)</f>
        <v>Ruminant Meats</v>
      </c>
      <c r="H3832" s="129">
        <f>_xlfn.XLOOKUP(G3832,'[1]T&amp;C emissions for 2050 analysis'!$B$3:$B$23,'[1]T&amp;C emissions for 2050 analysis'!$C$3:$C$23)</f>
        <v>20.533333333333331</v>
      </c>
      <c r="I3832" s="27">
        <f t="shared" si="177"/>
        <v>0.34868039359999992</v>
      </c>
      <c r="J3832" s="129">
        <f t="shared" si="178"/>
        <v>110.20239999999998</v>
      </c>
    </row>
    <row r="3833" spans="1:10" hidden="1" x14ac:dyDescent="0.35">
      <c r="A3833" s="126" t="s">
        <v>489</v>
      </c>
      <c r="B3833" t="str">
        <f>_xlfn.XLOOKUP(A3833,'[1]2050Pop'!$A$7:$A$143,'[1]2050Pop'!$D$7:$D$143)</f>
        <v>SSA</v>
      </c>
      <c r="C3833" s="127">
        <f>1000*_xlfn.XLOOKUP(A3833,'[1]2050Pop'!$A$7:$A$143,'[1]2050Pop'!$C$7:$C$143)</f>
        <v>4981</v>
      </c>
      <c r="D3833" s="126" t="s">
        <v>531</v>
      </c>
      <c r="E3833" s="128">
        <v>7.069</v>
      </c>
      <c r="F3833" s="129">
        <f t="shared" si="179"/>
        <v>3.5210688999999996E-2</v>
      </c>
      <c r="G3833" t="str">
        <f>_xlfn.XLOOKUP(D3833,'[1]2050 BAU Mapping to T &amp; C'!$A$3:$A$52,'[1]2050 BAU Mapping to T &amp; C'!$B$3:$B$52)</f>
        <v>Ruminant Meats</v>
      </c>
      <c r="H3833" s="129">
        <f>_xlfn.XLOOKUP(G3833,'[1]T&amp;C emissions for 2050 analysis'!$B$3:$B$23,'[1]T&amp;C emissions for 2050 analysis'!$C$3:$C$23)</f>
        <v>20.533333333333331</v>
      </c>
      <c r="I3833" s="27">
        <f t="shared" si="177"/>
        <v>0.72299281413333316</v>
      </c>
      <c r="J3833" s="129">
        <f t="shared" si="178"/>
        <v>145.15013333333332</v>
      </c>
    </row>
    <row r="3834" spans="1:10" hidden="1" x14ac:dyDescent="0.35">
      <c r="A3834" s="126" t="s">
        <v>398</v>
      </c>
      <c r="B3834" t="str">
        <f>_xlfn.XLOOKUP(A3834,'[1]2050Pop'!$A$7:$A$143,'[1]2050Pop'!$D$7:$D$143)</f>
        <v>MENA</v>
      </c>
      <c r="C3834" s="127">
        <f>1000*_xlfn.XLOOKUP(A3834,'[1]2050Pop'!$A$7:$A$143,'[1]2050Pop'!$C$7:$C$143)</f>
        <v>3483</v>
      </c>
      <c r="D3834" s="126" t="s">
        <v>531</v>
      </c>
      <c r="E3834" s="128">
        <v>6.5590000000000002</v>
      </c>
      <c r="F3834" s="129">
        <f t="shared" si="179"/>
        <v>2.2844996999999999E-2</v>
      </c>
      <c r="G3834" t="str">
        <f>_xlfn.XLOOKUP(D3834,'[1]2050 BAU Mapping to T &amp; C'!$A$3:$A$52,'[1]2050 BAU Mapping to T &amp; C'!$B$3:$B$52)</f>
        <v>Ruminant Meats</v>
      </c>
      <c r="H3834" s="129">
        <f>_xlfn.XLOOKUP(G3834,'[1]T&amp;C emissions for 2050 analysis'!$B$3:$B$23,'[1]T&amp;C emissions for 2050 analysis'!$C$3:$C$23)</f>
        <v>20.533333333333331</v>
      </c>
      <c r="I3834" s="27">
        <f t="shared" si="177"/>
        <v>0.46908393839999996</v>
      </c>
      <c r="J3834" s="129">
        <f t="shared" si="178"/>
        <v>134.67813333333334</v>
      </c>
    </row>
    <row r="3835" spans="1:10" hidden="1" x14ac:dyDescent="0.35">
      <c r="A3835" s="126" t="s">
        <v>399</v>
      </c>
      <c r="B3835" t="str">
        <f>_xlfn.XLOOKUP(A3835,'[1]2050Pop'!$A$7:$A$143,'[1]2050Pop'!$D$7:$D$143)</f>
        <v>Euro/AU/NZ</v>
      </c>
      <c r="C3835" s="127">
        <f>1000*_xlfn.XLOOKUP(A3835,'[1]2050Pop'!$A$7:$A$143,'[1]2050Pop'!$C$7:$C$143)</f>
        <v>74513</v>
      </c>
      <c r="D3835" s="126" t="s">
        <v>531</v>
      </c>
      <c r="E3835" s="128">
        <v>4.9470000000000001</v>
      </c>
      <c r="F3835" s="129">
        <f t="shared" si="179"/>
        <v>0.36861581099999996</v>
      </c>
      <c r="G3835" t="str">
        <f>_xlfn.XLOOKUP(D3835,'[1]2050 BAU Mapping to T &amp; C'!$A$3:$A$52,'[1]2050 BAU Mapping to T &amp; C'!$B$3:$B$52)</f>
        <v>Ruminant Meats</v>
      </c>
      <c r="H3835" s="129">
        <f>_xlfn.XLOOKUP(G3835,'[1]T&amp;C emissions for 2050 analysis'!$B$3:$B$23,'[1]T&amp;C emissions for 2050 analysis'!$C$3:$C$23)</f>
        <v>20.533333333333331</v>
      </c>
      <c r="I3835" s="27">
        <f t="shared" si="177"/>
        <v>7.5689113191999988</v>
      </c>
      <c r="J3835" s="129">
        <f t="shared" si="178"/>
        <v>101.57839999999999</v>
      </c>
    </row>
    <row r="3836" spans="1:10" hidden="1" x14ac:dyDescent="0.35">
      <c r="A3836" s="126" t="s">
        <v>400</v>
      </c>
      <c r="B3836" t="str">
        <f>_xlfn.XLOOKUP(A3836,'[1]2050Pop'!$A$7:$A$143,'[1]2050Pop'!$D$7:$D$143)</f>
        <v>SSA</v>
      </c>
      <c r="C3836" s="127">
        <f>1000*_xlfn.XLOOKUP(A3836,'[1]2050Pop'!$A$7:$A$143,'[1]2050Pop'!$C$7:$C$143)</f>
        <v>50071</v>
      </c>
      <c r="D3836" s="126" t="s">
        <v>531</v>
      </c>
      <c r="E3836" s="128">
        <v>10.741</v>
      </c>
      <c r="F3836" s="129">
        <f t="shared" si="179"/>
        <v>0.537812611</v>
      </c>
      <c r="G3836" t="str">
        <f>_xlfn.XLOOKUP(D3836,'[1]2050 BAU Mapping to T &amp; C'!$A$3:$A$52,'[1]2050 BAU Mapping to T &amp; C'!$B$3:$B$52)</f>
        <v>Ruminant Meats</v>
      </c>
      <c r="H3836" s="129">
        <f>_xlfn.XLOOKUP(G3836,'[1]T&amp;C emissions for 2050 analysis'!$B$3:$B$23,'[1]T&amp;C emissions for 2050 analysis'!$C$3:$C$23)</f>
        <v>20.533333333333331</v>
      </c>
      <c r="I3836" s="27">
        <f t="shared" si="177"/>
        <v>11.043085612533332</v>
      </c>
      <c r="J3836" s="129">
        <f t="shared" si="178"/>
        <v>220.5485333333333</v>
      </c>
    </row>
    <row r="3837" spans="1:10" hidden="1" x14ac:dyDescent="0.35">
      <c r="A3837" s="126" t="s">
        <v>401</v>
      </c>
      <c r="B3837" t="str">
        <f>_xlfn.XLOOKUP(A3837,'[1]2050Pop'!$A$7:$A$143,'[1]2050Pop'!$D$7:$D$143)</f>
        <v>Euro/AU/NZ</v>
      </c>
      <c r="C3837" s="127">
        <f>1000*_xlfn.XLOOKUP(A3837,'[1]2050Pop'!$A$7:$A$143,'[1]2050Pop'!$C$7:$C$143)</f>
        <v>9705</v>
      </c>
      <c r="D3837" s="126" t="s">
        <v>531</v>
      </c>
      <c r="E3837" s="128">
        <v>69.268000000000001</v>
      </c>
      <c r="F3837" s="129">
        <f t="shared" si="179"/>
        <v>0.67224594000000004</v>
      </c>
      <c r="G3837" t="str">
        <f>_xlfn.XLOOKUP(D3837,'[1]2050 BAU Mapping to T &amp; C'!$A$3:$A$52,'[1]2050 BAU Mapping to T &amp; C'!$B$3:$B$52)</f>
        <v>Ruminant Meats</v>
      </c>
      <c r="H3837" s="129">
        <f>_xlfn.XLOOKUP(G3837,'[1]T&amp;C emissions for 2050 analysis'!$B$3:$B$23,'[1]T&amp;C emissions for 2050 analysis'!$C$3:$C$23)</f>
        <v>20.533333333333331</v>
      </c>
      <c r="I3837" s="27">
        <f t="shared" si="177"/>
        <v>13.803449967999999</v>
      </c>
      <c r="J3837" s="129">
        <f t="shared" si="178"/>
        <v>1422.3029333333332</v>
      </c>
    </row>
    <row r="3838" spans="1:10" hidden="1" x14ac:dyDescent="0.35">
      <c r="A3838" s="126" t="s">
        <v>402</v>
      </c>
      <c r="B3838" t="str">
        <f>_xlfn.XLOOKUP(A3838,'[1]2050Pop'!$A$7:$A$143,'[1]2050Pop'!$D$7:$D$143)</f>
        <v>LatAm &amp; RSA</v>
      </c>
      <c r="C3838" s="127">
        <f>1000*_xlfn.XLOOKUP(A3838,'[1]2050Pop'!$A$7:$A$143,'[1]2050Pop'!$C$7:$C$143)</f>
        <v>27754</v>
      </c>
      <c r="D3838" s="126" t="s">
        <v>531</v>
      </c>
      <c r="E3838" s="128">
        <v>1.0289999999999999</v>
      </c>
      <c r="F3838" s="129">
        <f t="shared" si="179"/>
        <v>2.8558865999999999E-2</v>
      </c>
      <c r="G3838" t="str">
        <f>_xlfn.XLOOKUP(D3838,'[1]2050 BAU Mapping to T &amp; C'!$A$3:$A$52,'[1]2050 BAU Mapping to T &amp; C'!$B$3:$B$52)</f>
        <v>Ruminant Meats</v>
      </c>
      <c r="H3838" s="129">
        <f>_xlfn.XLOOKUP(G3838,'[1]T&amp;C emissions for 2050 analysis'!$B$3:$B$23,'[1]T&amp;C emissions for 2050 analysis'!$C$3:$C$23)</f>
        <v>20.533333333333331</v>
      </c>
      <c r="I3838" s="27">
        <f t="shared" si="177"/>
        <v>0.58640871519999993</v>
      </c>
      <c r="J3838" s="129">
        <f t="shared" si="178"/>
        <v>21.128799999999995</v>
      </c>
    </row>
    <row r="3839" spans="1:10" hidden="1" x14ac:dyDescent="0.35">
      <c r="A3839" s="126" t="s">
        <v>403</v>
      </c>
      <c r="B3839" t="str">
        <f>_xlfn.XLOOKUP(A3839,'[1]2050Pop'!$A$7:$A$143,'[1]2050Pop'!$D$7:$D$143)</f>
        <v>SSA</v>
      </c>
      <c r="C3839" s="127">
        <f>1000*_xlfn.XLOOKUP(A3839,'[1]2050Pop'!$A$7:$A$143,'[1]2050Pop'!$C$7:$C$143)</f>
        <v>27486</v>
      </c>
      <c r="D3839" s="126" t="s">
        <v>531</v>
      </c>
      <c r="E3839" s="128">
        <v>9.0630000000000006</v>
      </c>
      <c r="F3839" s="129">
        <f t="shared" si="179"/>
        <v>0.24910561800000003</v>
      </c>
      <c r="G3839" t="str">
        <f>_xlfn.XLOOKUP(D3839,'[1]2050 BAU Mapping to T &amp; C'!$A$3:$A$52,'[1]2050 BAU Mapping to T &amp; C'!$B$3:$B$52)</f>
        <v>Ruminant Meats</v>
      </c>
      <c r="H3839" s="129">
        <f>_xlfn.XLOOKUP(G3839,'[1]T&amp;C emissions for 2050 analysis'!$B$3:$B$23,'[1]T&amp;C emissions for 2050 analysis'!$C$3:$C$23)</f>
        <v>20.533333333333331</v>
      </c>
      <c r="I3839" s="27">
        <f t="shared" si="177"/>
        <v>5.1149686896000004</v>
      </c>
      <c r="J3839" s="129">
        <f t="shared" si="178"/>
        <v>186.09360000000001</v>
      </c>
    </row>
    <row r="3840" spans="1:10" hidden="1" x14ac:dyDescent="0.35">
      <c r="A3840" s="126" t="s">
        <v>404</v>
      </c>
      <c r="B3840" t="str">
        <f>_xlfn.XLOOKUP(A3840,'[1]2050Pop'!$A$7:$A$143,'[1]2050Pop'!$D$7:$D$143)</f>
        <v>LatAm &amp; RSA</v>
      </c>
      <c r="C3840" s="127">
        <f>1000*_xlfn.XLOOKUP(A3840,'[1]2050Pop'!$A$7:$A$143,'[1]2050Pop'!$C$7:$C$143)</f>
        <v>806</v>
      </c>
      <c r="D3840" s="126" t="s">
        <v>531</v>
      </c>
      <c r="E3840" s="128">
        <v>4.8470000000000004</v>
      </c>
      <c r="F3840" s="129">
        <f t="shared" si="179"/>
        <v>3.9066819999999999E-3</v>
      </c>
      <c r="G3840" t="str">
        <f>_xlfn.XLOOKUP(D3840,'[1]2050 BAU Mapping to T &amp; C'!$A$3:$A$52,'[1]2050 BAU Mapping to T &amp; C'!$B$3:$B$52)</f>
        <v>Ruminant Meats</v>
      </c>
      <c r="H3840" s="129">
        <f>_xlfn.XLOOKUP(G3840,'[1]T&amp;C emissions for 2050 analysis'!$B$3:$B$23,'[1]T&amp;C emissions for 2050 analysis'!$C$3:$C$23)</f>
        <v>20.533333333333331</v>
      </c>
      <c r="I3840" s="27">
        <f t="shared" si="177"/>
        <v>8.0217203733333325E-2</v>
      </c>
      <c r="J3840" s="129">
        <f t="shared" si="178"/>
        <v>99.52506666666666</v>
      </c>
    </row>
    <row r="3841" spans="1:10" hidden="1" x14ac:dyDescent="0.35">
      <c r="A3841" s="126" t="s">
        <v>405</v>
      </c>
      <c r="B3841" t="str">
        <f>_xlfn.XLOOKUP(A3841,'[1]2050Pop'!$A$7:$A$143,'[1]2050Pop'!$D$7:$D$143)</f>
        <v>LatAm &amp; RSA</v>
      </c>
      <c r="C3841" s="127">
        <f>1000*_xlfn.XLOOKUP(A3841,'[1]2050Pop'!$A$7:$A$143,'[1]2050Pop'!$C$7:$C$143)</f>
        <v>14189</v>
      </c>
      <c r="D3841" s="126" t="s">
        <v>531</v>
      </c>
      <c r="E3841" s="130">
        <v>3.74</v>
      </c>
      <c r="F3841" s="129">
        <f t="shared" si="179"/>
        <v>5.306686E-2</v>
      </c>
      <c r="G3841" t="str">
        <f>_xlfn.XLOOKUP(D3841,'[1]2050 BAU Mapping to T &amp; C'!$A$3:$A$52,'[1]2050 BAU Mapping to T &amp; C'!$B$3:$B$52)</f>
        <v>Ruminant Meats</v>
      </c>
      <c r="H3841" s="129">
        <f>_xlfn.XLOOKUP(G3841,'[1]T&amp;C emissions for 2050 analysis'!$B$3:$B$23,'[1]T&amp;C emissions for 2050 analysis'!$C$3:$C$23)</f>
        <v>20.533333333333331</v>
      </c>
      <c r="I3841" s="27">
        <f t="shared" si="177"/>
        <v>1.0896395253333333</v>
      </c>
      <c r="J3841" s="129">
        <f t="shared" si="178"/>
        <v>76.794666666666657</v>
      </c>
    </row>
    <row r="3842" spans="1:10" hidden="1" x14ac:dyDescent="0.35">
      <c r="A3842" s="126" t="s">
        <v>407</v>
      </c>
      <c r="B3842" t="str">
        <f>_xlfn.XLOOKUP(A3842,'[1]2050Pop'!$A$7:$A$143,'[1]2050Pop'!$D$7:$D$143)</f>
        <v>Euro/AU/NZ</v>
      </c>
      <c r="C3842" s="127">
        <f>1000*_xlfn.XLOOKUP(A3842,'[1]2050Pop'!$A$7:$A$143,'[1]2050Pop'!$C$7:$C$143)</f>
        <v>8318</v>
      </c>
      <c r="D3842" s="126" t="s">
        <v>531</v>
      </c>
      <c r="E3842" s="128">
        <v>0.98599999999999999</v>
      </c>
      <c r="F3842" s="129">
        <f t="shared" si="179"/>
        <v>8.2015480000000012E-3</v>
      </c>
      <c r="G3842" t="str">
        <f>_xlfn.XLOOKUP(D3842,'[1]2050 BAU Mapping to T &amp; C'!$A$3:$A$52,'[1]2050 BAU Mapping to T &amp; C'!$B$3:$B$52)</f>
        <v>Ruminant Meats</v>
      </c>
      <c r="H3842" s="129">
        <f>_xlfn.XLOOKUP(G3842,'[1]T&amp;C emissions for 2050 analysis'!$B$3:$B$23,'[1]T&amp;C emissions for 2050 analysis'!$C$3:$C$23)</f>
        <v>20.533333333333331</v>
      </c>
      <c r="I3842" s="27">
        <f t="shared" si="177"/>
        <v>0.16840511893333335</v>
      </c>
      <c r="J3842" s="129">
        <f t="shared" si="178"/>
        <v>20.245866666666664</v>
      </c>
    </row>
    <row r="3843" spans="1:10" hidden="1" x14ac:dyDescent="0.35">
      <c r="A3843" s="126" t="s">
        <v>408</v>
      </c>
      <c r="B3843" t="str">
        <f>_xlfn.XLOOKUP(A3843,'[1]2050Pop'!$A$7:$A$143,'[1]2050Pop'!$D$7:$D$143)</f>
        <v>India/South Asia</v>
      </c>
      <c r="C3843" s="127">
        <f>1000*_xlfn.XLOOKUP(A3843,'[1]2050Pop'!$A$7:$A$143,'[1]2050Pop'!$C$7:$C$143)</f>
        <v>1705333</v>
      </c>
      <c r="D3843" s="126" t="s">
        <v>531</v>
      </c>
      <c r="E3843" s="128">
        <v>3.8410000000000002</v>
      </c>
      <c r="F3843" s="129">
        <f t="shared" si="179"/>
        <v>6.5501840530000006</v>
      </c>
      <c r="G3843" t="str">
        <f>_xlfn.XLOOKUP(D3843,'[1]2050 BAU Mapping to T &amp; C'!$A$3:$A$52,'[1]2050 BAU Mapping to T &amp; C'!$B$3:$B$52)</f>
        <v>Ruminant Meats</v>
      </c>
      <c r="H3843" s="129">
        <f>_xlfn.XLOOKUP(G3843,'[1]T&amp;C emissions for 2050 analysis'!$B$3:$B$23,'[1]T&amp;C emissions for 2050 analysis'!$C$3:$C$23)</f>
        <v>20.533333333333331</v>
      </c>
      <c r="I3843" s="27">
        <f t="shared" si="177"/>
        <v>134.49711255493332</v>
      </c>
      <c r="J3843" s="129">
        <f t="shared" si="178"/>
        <v>78.868533333333332</v>
      </c>
    </row>
    <row r="3844" spans="1:10" x14ac:dyDescent="0.35">
      <c r="A3844" s="126" t="s">
        <v>409</v>
      </c>
      <c r="B3844" t="str">
        <f>_xlfn.XLOOKUP(A3844,'[1]2050Pop'!$A$7:$A$143,'[1]2050Pop'!$D$7:$D$143)</f>
        <v>APAC</v>
      </c>
      <c r="C3844" s="127">
        <f>1000*_xlfn.XLOOKUP(A3844,'[1]2050Pop'!$A$7:$A$143,'[1]2050Pop'!$C$7:$C$143)</f>
        <v>322237</v>
      </c>
      <c r="D3844" s="126" t="s">
        <v>531</v>
      </c>
      <c r="E3844" s="128">
        <v>2.7869999999999999</v>
      </c>
      <c r="F3844" s="129">
        <f t="shared" si="179"/>
        <v>0.89807451900000002</v>
      </c>
      <c r="G3844" t="str">
        <f>_xlfn.XLOOKUP(D3844,'[1]2050 BAU Mapping to T &amp; C'!$A$3:$A$52,'[1]2050 BAU Mapping to T &amp; C'!$B$3:$B$52)</f>
        <v>Ruminant Meats</v>
      </c>
      <c r="H3844" s="129">
        <f>_xlfn.XLOOKUP(G3844,'[1]T&amp;C emissions for 2050 analysis'!$B$3:$B$23,'[1]T&amp;C emissions for 2050 analysis'!$C$3:$C$23)</f>
        <v>20.533333333333331</v>
      </c>
      <c r="I3844" s="27">
        <f t="shared" ref="I3844:I3907" si="180">F3844*H3844</f>
        <v>18.4404634568</v>
      </c>
      <c r="J3844" s="129">
        <f t="shared" ref="J3844:J3907" si="181">E3844*H3844</f>
        <v>57.226399999999991</v>
      </c>
    </row>
    <row r="3845" spans="1:10" hidden="1" x14ac:dyDescent="0.35">
      <c r="A3845" s="126" t="s">
        <v>410</v>
      </c>
      <c r="B3845" t="str">
        <f>_xlfn.XLOOKUP(A3845,'[1]2050Pop'!$A$7:$A$143,'[1]2050Pop'!$D$7:$D$143)</f>
        <v>India/South Asia</v>
      </c>
      <c r="C3845" s="127">
        <f>1000*_xlfn.XLOOKUP(A3845,'[1]2050Pop'!$A$7:$A$143,'[1]2050Pop'!$C$7:$C$143)</f>
        <v>92219</v>
      </c>
      <c r="D3845" s="126" t="s">
        <v>531</v>
      </c>
      <c r="E3845" s="128">
        <v>22.841999999999999</v>
      </c>
      <c r="F3845" s="129">
        <f t="shared" ref="F3845:F3908" si="182">C3845*E3845/1000000</f>
        <v>2.1064663980000002</v>
      </c>
      <c r="G3845" t="str">
        <f>_xlfn.XLOOKUP(D3845,'[1]2050 BAU Mapping to T &amp; C'!$A$3:$A$52,'[1]2050 BAU Mapping to T &amp; C'!$B$3:$B$52)</f>
        <v>Ruminant Meats</v>
      </c>
      <c r="H3845" s="129">
        <f>_xlfn.XLOOKUP(G3845,'[1]T&amp;C emissions for 2050 analysis'!$B$3:$B$23,'[1]T&amp;C emissions for 2050 analysis'!$C$3:$C$23)</f>
        <v>20.533333333333331</v>
      </c>
      <c r="I3845" s="27">
        <f t="shared" si="180"/>
        <v>43.252776705599999</v>
      </c>
      <c r="J3845" s="129">
        <f t="shared" si="181"/>
        <v>469.02239999999995</v>
      </c>
    </row>
    <row r="3846" spans="1:10" hidden="1" x14ac:dyDescent="0.35">
      <c r="A3846" s="126" t="s">
        <v>411</v>
      </c>
      <c r="B3846" t="str">
        <f>_xlfn.XLOOKUP(A3846,'[1]2050Pop'!$A$7:$A$143,'[1]2050Pop'!$D$7:$D$143)</f>
        <v>MENA</v>
      </c>
      <c r="C3846" s="127">
        <f>1000*_xlfn.XLOOKUP(A3846,'[1]2050Pop'!$A$7:$A$143,'[1]2050Pop'!$C$7:$C$143)</f>
        <v>83652</v>
      </c>
      <c r="D3846" s="126" t="s">
        <v>531</v>
      </c>
      <c r="E3846" s="128">
        <v>13.510999999999999</v>
      </c>
      <c r="F3846" s="129">
        <f t="shared" si="182"/>
        <v>1.1302221720000001</v>
      </c>
      <c r="G3846" t="str">
        <f>_xlfn.XLOOKUP(D3846,'[1]2050 BAU Mapping to T &amp; C'!$A$3:$A$52,'[1]2050 BAU Mapping to T &amp; C'!$B$3:$B$52)</f>
        <v>Ruminant Meats</v>
      </c>
      <c r="H3846" s="129">
        <f>_xlfn.XLOOKUP(G3846,'[1]T&amp;C emissions for 2050 analysis'!$B$3:$B$23,'[1]T&amp;C emissions for 2050 analysis'!$C$3:$C$23)</f>
        <v>20.533333333333331</v>
      </c>
      <c r="I3846" s="27">
        <f t="shared" si="180"/>
        <v>23.2072285984</v>
      </c>
      <c r="J3846" s="129">
        <f t="shared" si="181"/>
        <v>277.42586666666665</v>
      </c>
    </row>
    <row r="3847" spans="1:10" hidden="1" x14ac:dyDescent="0.35">
      <c r="A3847" s="126" t="s">
        <v>412</v>
      </c>
      <c r="B3847" t="str">
        <f>_xlfn.XLOOKUP(A3847,'[1]2050Pop'!$A$7:$A$143,'[1]2050Pop'!$D$7:$D$143)</f>
        <v>Euro/AU/NZ</v>
      </c>
      <c r="C3847" s="127">
        <f>1000*_xlfn.XLOOKUP(A3847,'[1]2050Pop'!$A$7:$A$143,'[1]2050Pop'!$C$7:$C$143)</f>
        <v>5789</v>
      </c>
      <c r="D3847" s="126" t="s">
        <v>531</v>
      </c>
      <c r="E3847" s="128">
        <v>19.928000000000001</v>
      </c>
      <c r="F3847" s="129">
        <f t="shared" si="182"/>
        <v>0.115363192</v>
      </c>
      <c r="G3847" t="str">
        <f>_xlfn.XLOOKUP(D3847,'[1]2050 BAU Mapping to T &amp; C'!$A$3:$A$52,'[1]2050 BAU Mapping to T &amp; C'!$B$3:$B$52)</f>
        <v>Ruminant Meats</v>
      </c>
      <c r="H3847" s="129">
        <f>_xlfn.XLOOKUP(G3847,'[1]T&amp;C emissions for 2050 analysis'!$B$3:$B$23,'[1]T&amp;C emissions for 2050 analysis'!$C$3:$C$23)</f>
        <v>20.533333333333331</v>
      </c>
      <c r="I3847" s="27">
        <f t="shared" si="180"/>
        <v>2.3687908757333331</v>
      </c>
      <c r="J3847" s="129">
        <f t="shared" si="181"/>
        <v>409.18826666666666</v>
      </c>
    </row>
    <row r="3848" spans="1:10" hidden="1" x14ac:dyDescent="0.35">
      <c r="A3848" s="126" t="s">
        <v>413</v>
      </c>
      <c r="B3848" t="str">
        <f>_xlfn.XLOOKUP(A3848,'[1]2050Pop'!$A$7:$A$143,'[1]2050Pop'!$D$7:$D$143)</f>
        <v>MENA</v>
      </c>
      <c r="C3848" s="127">
        <f>1000*_xlfn.XLOOKUP(A3848,'[1]2050Pop'!$A$7:$A$143,'[1]2050Pop'!$C$7:$C$143)</f>
        <v>12610</v>
      </c>
      <c r="D3848" s="126" t="s">
        <v>531</v>
      </c>
      <c r="E3848" s="128">
        <v>10.818</v>
      </c>
      <c r="F3848" s="129">
        <f t="shared" si="182"/>
        <v>0.13641497999999999</v>
      </c>
      <c r="G3848" t="str">
        <f>_xlfn.XLOOKUP(D3848,'[1]2050 BAU Mapping to T &amp; C'!$A$3:$A$52,'[1]2050 BAU Mapping to T &amp; C'!$B$3:$B$52)</f>
        <v>Ruminant Meats</v>
      </c>
      <c r="H3848" s="129">
        <f>_xlfn.XLOOKUP(G3848,'[1]T&amp;C emissions for 2050 analysis'!$B$3:$B$23,'[1]T&amp;C emissions for 2050 analysis'!$C$3:$C$23)</f>
        <v>20.533333333333331</v>
      </c>
      <c r="I3848" s="27">
        <f t="shared" si="180"/>
        <v>2.8010542559999996</v>
      </c>
      <c r="J3848" s="129">
        <f t="shared" si="181"/>
        <v>222.12959999999998</v>
      </c>
    </row>
    <row r="3849" spans="1:10" hidden="1" x14ac:dyDescent="0.35">
      <c r="A3849" s="126" t="s">
        <v>414</v>
      </c>
      <c r="B3849" t="str">
        <f>_xlfn.XLOOKUP(A3849,'[1]2050Pop'!$A$7:$A$143,'[1]2050Pop'!$D$7:$D$143)</f>
        <v>Euro/AU/NZ</v>
      </c>
      <c r="C3849" s="127">
        <f>1000*_xlfn.XLOOKUP(A3849,'[1]2050Pop'!$A$7:$A$143,'[1]2050Pop'!$C$7:$C$143)</f>
        <v>56513</v>
      </c>
      <c r="D3849" s="126" t="s">
        <v>531</v>
      </c>
      <c r="E3849" s="130">
        <v>6.66</v>
      </c>
      <c r="F3849" s="129">
        <f t="shared" si="182"/>
        <v>0.37637658000000002</v>
      </c>
      <c r="G3849" t="str">
        <f>_xlfn.XLOOKUP(D3849,'[1]2050 BAU Mapping to T &amp; C'!$A$3:$A$52,'[1]2050 BAU Mapping to T &amp; C'!$B$3:$B$52)</f>
        <v>Ruminant Meats</v>
      </c>
      <c r="H3849" s="129">
        <f>_xlfn.XLOOKUP(G3849,'[1]T&amp;C emissions for 2050 analysis'!$B$3:$B$23,'[1]T&amp;C emissions for 2050 analysis'!$C$3:$C$23)</f>
        <v>20.533333333333331</v>
      </c>
      <c r="I3849" s="27">
        <f t="shared" si="180"/>
        <v>7.7282657759999998</v>
      </c>
      <c r="J3849" s="129">
        <f t="shared" si="181"/>
        <v>136.75199999999998</v>
      </c>
    </row>
    <row r="3850" spans="1:10" hidden="1" x14ac:dyDescent="0.35">
      <c r="A3850" s="126" t="s">
        <v>415</v>
      </c>
      <c r="B3850" t="str">
        <f>_xlfn.XLOOKUP(A3850,'[1]2050Pop'!$A$7:$A$143,'[1]2050Pop'!$D$7:$D$143)</f>
        <v>LatAm &amp; RSA</v>
      </c>
      <c r="C3850" s="127">
        <f>1000*_xlfn.XLOOKUP(A3850,'[1]2050Pop'!$A$7:$A$143,'[1]2050Pop'!$C$7:$C$143)</f>
        <v>2710</v>
      </c>
      <c r="D3850" s="126" t="s">
        <v>531</v>
      </c>
      <c r="E3850" s="128">
        <v>7.798</v>
      </c>
      <c r="F3850" s="129">
        <f t="shared" si="182"/>
        <v>2.1132580000000002E-2</v>
      </c>
      <c r="G3850" t="str">
        <f>_xlfn.XLOOKUP(D3850,'[1]2050 BAU Mapping to T &amp; C'!$A$3:$A$52,'[1]2050 BAU Mapping to T &amp; C'!$B$3:$B$52)</f>
        <v>Ruminant Meats</v>
      </c>
      <c r="H3850" s="129">
        <f>_xlfn.XLOOKUP(G3850,'[1]T&amp;C emissions for 2050 analysis'!$B$3:$B$23,'[1]T&amp;C emissions for 2050 analysis'!$C$3:$C$23)</f>
        <v>20.533333333333331</v>
      </c>
      <c r="I3850" s="27">
        <f t="shared" si="180"/>
        <v>0.43392230933333331</v>
      </c>
      <c r="J3850" s="129">
        <f t="shared" si="181"/>
        <v>160.11893333333333</v>
      </c>
    </row>
    <row r="3851" spans="1:10" hidden="1" x14ac:dyDescent="0.35">
      <c r="A3851" s="126" t="s">
        <v>416</v>
      </c>
      <c r="B3851" t="str">
        <f>_xlfn.XLOOKUP(A3851,'[1]2050Pop'!$A$7:$A$143,'[1]2050Pop'!$D$7:$D$143)</f>
        <v>APAC</v>
      </c>
      <c r="C3851" s="127">
        <f>1000*_xlfn.XLOOKUP(A3851,'[1]2050Pop'!$A$7:$A$143,'[1]2050Pop'!$C$7:$C$143)</f>
        <v>107411</v>
      </c>
      <c r="D3851" s="126" t="s">
        <v>531</v>
      </c>
      <c r="E3851" s="128">
        <v>1.079</v>
      </c>
      <c r="F3851" s="129">
        <f t="shared" si="182"/>
        <v>0.115896469</v>
      </c>
      <c r="G3851" t="str">
        <f>_xlfn.XLOOKUP(D3851,'[1]2050 BAU Mapping to T &amp; C'!$A$3:$A$52,'[1]2050 BAU Mapping to T &amp; C'!$B$3:$B$52)</f>
        <v>Ruminant Meats</v>
      </c>
      <c r="H3851" s="129">
        <f>_xlfn.XLOOKUP(G3851,'[1]T&amp;C emissions for 2050 analysis'!$B$3:$B$23,'[1]T&amp;C emissions for 2050 analysis'!$C$3:$C$23)</f>
        <v>20.533333333333331</v>
      </c>
      <c r="I3851" s="27">
        <f t="shared" si="180"/>
        <v>2.3797408301333332</v>
      </c>
      <c r="J3851" s="129">
        <f t="shared" si="181"/>
        <v>22.155466666666666</v>
      </c>
    </row>
    <row r="3852" spans="1:10" hidden="1" x14ac:dyDescent="0.35">
      <c r="A3852" s="126" t="s">
        <v>417</v>
      </c>
      <c r="B3852" t="str">
        <f>_xlfn.XLOOKUP(A3852,'[1]2050Pop'!$A$7:$A$143,'[1]2050Pop'!$D$7:$D$143)</f>
        <v>MENA</v>
      </c>
      <c r="C3852" s="127">
        <f>1000*_xlfn.XLOOKUP(A3852,'[1]2050Pop'!$A$7:$A$143,'[1]2050Pop'!$C$7:$C$143)</f>
        <v>11717</v>
      </c>
      <c r="D3852" s="126" t="s">
        <v>531</v>
      </c>
      <c r="E3852" s="128">
        <v>45.948999999999998</v>
      </c>
      <c r="F3852" s="129">
        <f t="shared" si="182"/>
        <v>0.53838443299999994</v>
      </c>
      <c r="G3852" t="str">
        <f>_xlfn.XLOOKUP(D3852,'[1]2050 BAU Mapping to T &amp; C'!$A$3:$A$52,'[1]2050 BAU Mapping to T &amp; C'!$B$3:$B$52)</f>
        <v>Ruminant Meats</v>
      </c>
      <c r="H3852" s="129">
        <f>_xlfn.XLOOKUP(G3852,'[1]T&amp;C emissions for 2050 analysis'!$B$3:$B$23,'[1]T&amp;C emissions for 2050 analysis'!$C$3:$C$23)</f>
        <v>20.533333333333331</v>
      </c>
      <c r="I3852" s="27">
        <f t="shared" si="180"/>
        <v>11.054827024266665</v>
      </c>
      <c r="J3852" s="129">
        <f t="shared" si="181"/>
        <v>943.48613333333321</v>
      </c>
    </row>
    <row r="3853" spans="1:10" hidden="1" x14ac:dyDescent="0.35">
      <c r="A3853" s="126" t="s">
        <v>418</v>
      </c>
      <c r="B3853" t="str">
        <f>_xlfn.XLOOKUP(A3853,'[1]2050Pop'!$A$7:$A$143,'[1]2050Pop'!$D$7:$D$143)</f>
        <v>APAC</v>
      </c>
      <c r="C3853" s="127">
        <f>1000*_xlfn.XLOOKUP(A3853,'[1]2050Pop'!$A$7:$A$143,'[1]2050Pop'!$C$7:$C$143)</f>
        <v>22447</v>
      </c>
      <c r="D3853" s="126" t="s">
        <v>531</v>
      </c>
      <c r="E3853" s="128">
        <v>68.694000000000003</v>
      </c>
      <c r="F3853" s="129">
        <f t="shared" si="182"/>
        <v>1.541974218</v>
      </c>
      <c r="G3853" t="str">
        <f>_xlfn.XLOOKUP(D3853,'[1]2050 BAU Mapping to T &amp; C'!$A$3:$A$52,'[1]2050 BAU Mapping to T &amp; C'!$B$3:$B$52)</f>
        <v>Ruminant Meats</v>
      </c>
      <c r="H3853" s="129">
        <f>_xlfn.XLOOKUP(G3853,'[1]T&amp;C emissions for 2050 analysis'!$B$3:$B$23,'[1]T&amp;C emissions for 2050 analysis'!$C$3:$C$23)</f>
        <v>20.533333333333331</v>
      </c>
      <c r="I3853" s="27">
        <f t="shared" si="180"/>
        <v>31.661870609599998</v>
      </c>
      <c r="J3853" s="129">
        <f t="shared" si="181"/>
        <v>1410.5167999999999</v>
      </c>
    </row>
    <row r="3854" spans="1:10" hidden="1" x14ac:dyDescent="0.35">
      <c r="A3854" s="126" t="s">
        <v>419</v>
      </c>
      <c r="B3854" t="str">
        <f>_xlfn.XLOOKUP(A3854,'[1]2050Pop'!$A$7:$A$143,'[1]2050Pop'!$D$7:$D$143)</f>
        <v>SSA</v>
      </c>
      <c r="C3854" s="127">
        <f>1000*_xlfn.XLOOKUP(A3854,'[1]2050Pop'!$A$7:$A$143,'[1]2050Pop'!$C$7:$C$143)</f>
        <v>95505</v>
      </c>
      <c r="D3854" s="126" t="s">
        <v>531</v>
      </c>
      <c r="E3854" s="128">
        <v>13.939</v>
      </c>
      <c r="F3854" s="129">
        <f t="shared" si="182"/>
        <v>1.331244195</v>
      </c>
      <c r="G3854" t="str">
        <f>_xlfn.XLOOKUP(D3854,'[1]2050 BAU Mapping to T &amp; C'!$A$3:$A$52,'[1]2050 BAU Mapping to T &amp; C'!$B$3:$B$52)</f>
        <v>Ruminant Meats</v>
      </c>
      <c r="H3854" s="129">
        <f>_xlfn.XLOOKUP(G3854,'[1]T&amp;C emissions for 2050 analysis'!$B$3:$B$23,'[1]T&amp;C emissions for 2050 analysis'!$C$3:$C$23)</f>
        <v>20.533333333333331</v>
      </c>
      <c r="I3854" s="27">
        <f t="shared" si="180"/>
        <v>27.334880803999997</v>
      </c>
      <c r="J3854" s="129">
        <f t="shared" si="181"/>
        <v>286.21413333333334</v>
      </c>
    </row>
    <row r="3855" spans="1:10" hidden="1" x14ac:dyDescent="0.35">
      <c r="A3855" s="126" t="s">
        <v>420</v>
      </c>
      <c r="B3855" t="str">
        <f>_xlfn.XLOOKUP(A3855,'[1]2050Pop'!$A$7:$A$143,'[1]2050Pop'!$D$7:$D$143)</f>
        <v>APAC</v>
      </c>
      <c r="C3855" s="127">
        <f>1000*_xlfn.XLOOKUP(A3855,'[1]2050Pop'!$A$7:$A$143,'[1]2050Pop'!$C$7:$C$143)</f>
        <v>8248</v>
      </c>
      <c r="D3855" s="126" t="s">
        <v>531</v>
      </c>
      <c r="E3855" s="128">
        <v>70.751999999999995</v>
      </c>
      <c r="F3855" s="129">
        <f t="shared" si="182"/>
        <v>0.58356249599999988</v>
      </c>
      <c r="G3855" t="str">
        <f>_xlfn.XLOOKUP(D3855,'[1]2050 BAU Mapping to T &amp; C'!$A$3:$A$52,'[1]2050 BAU Mapping to T &amp; C'!$B$3:$B$52)</f>
        <v>Ruminant Meats</v>
      </c>
      <c r="H3855" s="129">
        <f>_xlfn.XLOOKUP(G3855,'[1]T&amp;C emissions for 2050 analysis'!$B$3:$B$23,'[1]T&amp;C emissions for 2050 analysis'!$C$3:$C$23)</f>
        <v>20.533333333333331</v>
      </c>
      <c r="I3855" s="27">
        <f t="shared" si="180"/>
        <v>11.982483251199996</v>
      </c>
      <c r="J3855" s="129">
        <f t="shared" si="181"/>
        <v>1452.7743999999998</v>
      </c>
    </row>
    <row r="3856" spans="1:10" hidden="1" x14ac:dyDescent="0.35">
      <c r="A3856" s="126" t="s">
        <v>421</v>
      </c>
      <c r="B3856" t="str">
        <f>_xlfn.XLOOKUP(A3856,'[1]2050Pop'!$A$7:$A$143,'[1]2050Pop'!$D$7:$D$143)</f>
        <v>APAC</v>
      </c>
      <c r="C3856" s="127">
        <f>1000*_xlfn.XLOOKUP(A3856,'[1]2050Pop'!$A$7:$A$143,'[1]2050Pop'!$C$7:$C$143)</f>
        <v>10172</v>
      </c>
      <c r="D3856" s="126" t="s">
        <v>531</v>
      </c>
      <c r="E3856" s="128">
        <v>1.3029999999999999</v>
      </c>
      <c r="F3856" s="129">
        <f t="shared" si="182"/>
        <v>1.3254116E-2</v>
      </c>
      <c r="G3856" t="str">
        <f>_xlfn.XLOOKUP(D3856,'[1]2050 BAU Mapping to T &amp; C'!$A$3:$A$52,'[1]2050 BAU Mapping to T &amp; C'!$B$3:$B$52)</f>
        <v>Ruminant Meats</v>
      </c>
      <c r="H3856" s="129">
        <f>_xlfn.XLOOKUP(G3856,'[1]T&amp;C emissions for 2050 analysis'!$B$3:$B$23,'[1]T&amp;C emissions for 2050 analysis'!$C$3:$C$23)</f>
        <v>20.533333333333331</v>
      </c>
      <c r="I3856" s="27">
        <f t="shared" si="180"/>
        <v>0.27215118186666665</v>
      </c>
      <c r="J3856" s="129">
        <f t="shared" si="181"/>
        <v>26.75493333333333</v>
      </c>
    </row>
    <row r="3857" spans="1:10" hidden="1" x14ac:dyDescent="0.35">
      <c r="A3857" s="126" t="s">
        <v>422</v>
      </c>
      <c r="B3857" t="str">
        <f>_xlfn.XLOOKUP(A3857,'[1]2050Pop'!$A$7:$A$143,'[1]2050Pop'!$D$7:$D$143)</f>
        <v>Euro/AU/NZ</v>
      </c>
      <c r="C3857" s="127">
        <f>1000*_xlfn.XLOOKUP(A3857,'[1]2050Pop'!$A$7:$A$143,'[1]2050Pop'!$C$7:$C$143)</f>
        <v>1593</v>
      </c>
      <c r="D3857" s="126" t="s">
        <v>531</v>
      </c>
      <c r="E3857" s="128">
        <v>2.8570000000000002</v>
      </c>
      <c r="F3857" s="129">
        <f t="shared" si="182"/>
        <v>4.5512010000000004E-3</v>
      </c>
      <c r="G3857" t="str">
        <f>_xlfn.XLOOKUP(D3857,'[1]2050 BAU Mapping to T &amp; C'!$A$3:$A$52,'[1]2050 BAU Mapping to T &amp; C'!$B$3:$B$52)</f>
        <v>Ruminant Meats</v>
      </c>
      <c r="H3857" s="129">
        <f>_xlfn.XLOOKUP(G3857,'[1]T&amp;C emissions for 2050 analysis'!$B$3:$B$23,'[1]T&amp;C emissions for 2050 analysis'!$C$3:$C$23)</f>
        <v>20.533333333333331</v>
      </c>
      <c r="I3857" s="27">
        <f t="shared" si="180"/>
        <v>9.3451327200000003E-2</v>
      </c>
      <c r="J3857" s="129">
        <f t="shared" si="181"/>
        <v>58.663733333333333</v>
      </c>
    </row>
    <row r="3858" spans="1:10" hidden="1" x14ac:dyDescent="0.35">
      <c r="A3858" s="126" t="s">
        <v>423</v>
      </c>
      <c r="B3858" t="str">
        <f>_xlfn.XLOOKUP(A3858,'[1]2050Pop'!$A$7:$A$143,'[1]2050Pop'!$D$7:$D$143)</f>
        <v>MENA</v>
      </c>
      <c r="C3858" s="127">
        <f>1000*_xlfn.XLOOKUP(A3858,'[1]2050Pop'!$A$7:$A$143,'[1]2050Pop'!$C$7:$C$143)</f>
        <v>5610</v>
      </c>
      <c r="D3858" s="126" t="s">
        <v>531</v>
      </c>
      <c r="E3858" s="128">
        <v>17.768000000000001</v>
      </c>
      <c r="F3858" s="129">
        <f t="shared" si="182"/>
        <v>9.9678480000000014E-2</v>
      </c>
      <c r="G3858" t="str">
        <f>_xlfn.XLOOKUP(D3858,'[1]2050 BAU Mapping to T &amp; C'!$A$3:$A$52,'[1]2050 BAU Mapping to T &amp; C'!$B$3:$B$52)</f>
        <v>Ruminant Meats</v>
      </c>
      <c r="H3858" s="129">
        <f>_xlfn.XLOOKUP(G3858,'[1]T&amp;C emissions for 2050 analysis'!$B$3:$B$23,'[1]T&amp;C emissions for 2050 analysis'!$C$3:$C$23)</f>
        <v>20.533333333333331</v>
      </c>
      <c r="I3858" s="27">
        <f t="shared" si="180"/>
        <v>2.0467314560000003</v>
      </c>
      <c r="J3858" s="129">
        <f t="shared" si="181"/>
        <v>364.83626666666663</v>
      </c>
    </row>
    <row r="3859" spans="1:10" hidden="1" x14ac:dyDescent="0.35">
      <c r="A3859" s="126" t="s">
        <v>424</v>
      </c>
      <c r="B3859" t="str">
        <f>_xlfn.XLOOKUP(A3859,'[1]2050Pop'!$A$7:$A$143,'[1]2050Pop'!$D$7:$D$143)</f>
        <v>SSA</v>
      </c>
      <c r="C3859" s="127">
        <f>1000*_xlfn.XLOOKUP(A3859,'[1]2050Pop'!$A$7:$A$143,'[1]2050Pop'!$C$7:$C$143)</f>
        <v>2987</v>
      </c>
      <c r="D3859" s="126" t="s">
        <v>531</v>
      </c>
      <c r="E3859" s="128">
        <v>18.408999999999999</v>
      </c>
      <c r="F3859" s="129">
        <f t="shared" si="182"/>
        <v>5.4987682999999996E-2</v>
      </c>
      <c r="G3859" t="str">
        <f>_xlfn.XLOOKUP(D3859,'[1]2050 BAU Mapping to T &amp; C'!$A$3:$A$52,'[1]2050 BAU Mapping to T &amp; C'!$B$3:$B$52)</f>
        <v>Ruminant Meats</v>
      </c>
      <c r="H3859" s="129">
        <f>_xlfn.XLOOKUP(G3859,'[1]T&amp;C emissions for 2050 analysis'!$B$3:$B$23,'[1]T&amp;C emissions for 2050 analysis'!$C$3:$C$23)</f>
        <v>20.533333333333331</v>
      </c>
      <c r="I3859" s="27">
        <f t="shared" si="180"/>
        <v>1.1290804242666665</v>
      </c>
      <c r="J3859" s="129">
        <f t="shared" si="181"/>
        <v>377.99813333333327</v>
      </c>
    </row>
    <row r="3860" spans="1:10" hidden="1" x14ac:dyDescent="0.35">
      <c r="A3860" s="126" t="s">
        <v>425</v>
      </c>
      <c r="B3860" t="str">
        <f>_xlfn.XLOOKUP(A3860,'[1]2050Pop'!$A$7:$A$143,'[1]2050Pop'!$D$7:$D$143)</f>
        <v>SSA</v>
      </c>
      <c r="C3860" s="127">
        <f>1000*_xlfn.XLOOKUP(A3860,'[1]2050Pop'!$A$7:$A$143,'[1]2050Pop'!$C$7:$C$143)</f>
        <v>9436</v>
      </c>
      <c r="D3860" s="126" t="s">
        <v>531</v>
      </c>
      <c r="E3860" s="128">
        <v>2.9249999999999998</v>
      </c>
      <c r="F3860" s="129">
        <f t="shared" si="182"/>
        <v>2.7600299999999998E-2</v>
      </c>
      <c r="G3860" t="str">
        <f>_xlfn.XLOOKUP(D3860,'[1]2050 BAU Mapping to T &amp; C'!$A$3:$A$52,'[1]2050 BAU Mapping to T &amp; C'!$B$3:$B$52)</f>
        <v>Ruminant Meats</v>
      </c>
      <c r="H3860" s="129">
        <f>_xlfn.XLOOKUP(G3860,'[1]T&amp;C emissions for 2050 analysis'!$B$3:$B$23,'[1]T&amp;C emissions for 2050 analysis'!$C$3:$C$23)</f>
        <v>20.533333333333331</v>
      </c>
      <c r="I3860" s="27">
        <f t="shared" si="180"/>
        <v>0.56672615999999987</v>
      </c>
      <c r="J3860" s="129">
        <f t="shared" si="181"/>
        <v>60.059999999999988</v>
      </c>
    </row>
    <row r="3861" spans="1:10" hidden="1" x14ac:dyDescent="0.35">
      <c r="A3861" s="126" t="s">
        <v>426</v>
      </c>
      <c r="B3861" t="str">
        <f>_xlfn.XLOOKUP(A3861,'[1]2050Pop'!$A$7:$A$143,'[1]2050Pop'!$D$7:$D$143)</f>
        <v>Euro/AU/NZ</v>
      </c>
      <c r="C3861" s="127">
        <f>1000*_xlfn.XLOOKUP(A3861,'[1]2050Pop'!$A$7:$A$143,'[1]2050Pop'!$C$7:$C$143)</f>
        <v>2375</v>
      </c>
      <c r="D3861" s="126" t="s">
        <v>531</v>
      </c>
      <c r="E3861" s="128">
        <v>1.0369999999999999</v>
      </c>
      <c r="F3861" s="129">
        <f t="shared" si="182"/>
        <v>2.4628749999999998E-3</v>
      </c>
      <c r="G3861" t="str">
        <f>_xlfn.XLOOKUP(D3861,'[1]2050 BAU Mapping to T &amp; C'!$A$3:$A$52,'[1]2050 BAU Mapping to T &amp; C'!$B$3:$B$52)</f>
        <v>Ruminant Meats</v>
      </c>
      <c r="H3861" s="129">
        <f>_xlfn.XLOOKUP(G3861,'[1]T&amp;C emissions for 2050 analysis'!$B$3:$B$23,'[1]T&amp;C emissions for 2050 analysis'!$C$3:$C$23)</f>
        <v>20.533333333333331</v>
      </c>
      <c r="I3861" s="27">
        <f t="shared" si="180"/>
        <v>5.0571033333333328E-2</v>
      </c>
      <c r="J3861" s="129">
        <f t="shared" si="181"/>
        <v>21.293066666666665</v>
      </c>
    </row>
    <row r="3862" spans="1:10" hidden="1" x14ac:dyDescent="0.35">
      <c r="A3862" s="126" t="s">
        <v>427</v>
      </c>
      <c r="B3862" t="str">
        <f>_xlfn.XLOOKUP(A3862,'[1]2050Pop'!$A$7:$A$143,'[1]2050Pop'!$D$7:$D$143)</f>
        <v>SSA</v>
      </c>
      <c r="C3862" s="127">
        <f>1000*_xlfn.XLOOKUP(A3862,'[1]2050Pop'!$A$7:$A$143,'[1]2050Pop'!$C$7:$C$143)</f>
        <v>55294</v>
      </c>
      <c r="D3862" s="126" t="s">
        <v>531</v>
      </c>
      <c r="E3862" s="128">
        <v>4.7069999999999999</v>
      </c>
      <c r="F3862" s="129">
        <f t="shared" si="182"/>
        <v>0.26026885799999999</v>
      </c>
      <c r="G3862" t="str">
        <f>_xlfn.XLOOKUP(D3862,'[1]2050 BAU Mapping to T &amp; C'!$A$3:$A$52,'[1]2050 BAU Mapping to T &amp; C'!$B$3:$B$52)</f>
        <v>Ruminant Meats</v>
      </c>
      <c r="H3862" s="129">
        <f>_xlfn.XLOOKUP(G3862,'[1]T&amp;C emissions for 2050 analysis'!$B$3:$B$23,'[1]T&amp;C emissions for 2050 analysis'!$C$3:$C$23)</f>
        <v>20.533333333333331</v>
      </c>
      <c r="I3862" s="27">
        <f t="shared" si="180"/>
        <v>5.3441872175999992</v>
      </c>
      <c r="J3862" s="129">
        <f t="shared" si="181"/>
        <v>96.650399999999991</v>
      </c>
    </row>
    <row r="3863" spans="1:10" hidden="1" x14ac:dyDescent="0.35">
      <c r="A3863" s="126" t="s">
        <v>428</v>
      </c>
      <c r="B3863" t="str">
        <f>_xlfn.XLOOKUP(A3863,'[1]2050Pop'!$A$7:$A$143,'[1]2050Pop'!$D$7:$D$143)</f>
        <v>SSA</v>
      </c>
      <c r="C3863" s="127">
        <f>1000*_xlfn.XLOOKUP(A3863,'[1]2050Pop'!$A$7:$A$143,'[1]2050Pop'!$C$7:$C$143)</f>
        <v>43155</v>
      </c>
      <c r="D3863" s="126" t="s">
        <v>531</v>
      </c>
      <c r="E3863" s="128">
        <v>13.579000000000001</v>
      </c>
      <c r="F3863" s="129">
        <f t="shared" si="182"/>
        <v>0.58600174500000002</v>
      </c>
      <c r="G3863" t="str">
        <f>_xlfn.XLOOKUP(D3863,'[1]2050 BAU Mapping to T &amp; C'!$A$3:$A$52,'[1]2050 BAU Mapping to T &amp; C'!$B$3:$B$52)</f>
        <v>Ruminant Meats</v>
      </c>
      <c r="H3863" s="129">
        <f>_xlfn.XLOOKUP(G3863,'[1]T&amp;C emissions for 2050 analysis'!$B$3:$B$23,'[1]T&amp;C emissions for 2050 analysis'!$C$3:$C$23)</f>
        <v>20.533333333333331</v>
      </c>
      <c r="I3863" s="27">
        <f t="shared" si="180"/>
        <v>12.032569164</v>
      </c>
      <c r="J3863" s="129">
        <f t="shared" si="181"/>
        <v>278.82213333333334</v>
      </c>
    </row>
    <row r="3864" spans="1:10" hidden="1" x14ac:dyDescent="0.35">
      <c r="A3864" s="126" t="s">
        <v>429</v>
      </c>
      <c r="B3864" t="str">
        <f>_xlfn.XLOOKUP(A3864,'[1]2050Pop'!$A$7:$A$143,'[1]2050Pop'!$D$7:$D$143)</f>
        <v>APAC</v>
      </c>
      <c r="C3864" s="127">
        <f>1000*_xlfn.XLOOKUP(A3864,'[1]2050Pop'!$A$7:$A$143,'[1]2050Pop'!$C$7:$C$143)</f>
        <v>40725</v>
      </c>
      <c r="D3864" s="126" t="s">
        <v>531</v>
      </c>
      <c r="E3864" s="128">
        <v>6.298</v>
      </c>
      <c r="F3864" s="129">
        <f t="shared" si="182"/>
        <v>0.25648604999999997</v>
      </c>
      <c r="G3864" t="str">
        <f>_xlfn.XLOOKUP(D3864,'[1]2050 BAU Mapping to T &amp; C'!$A$3:$A$52,'[1]2050 BAU Mapping to T &amp; C'!$B$3:$B$52)</f>
        <v>Ruminant Meats</v>
      </c>
      <c r="H3864" s="129">
        <f>_xlfn.XLOOKUP(G3864,'[1]T&amp;C emissions for 2050 analysis'!$B$3:$B$23,'[1]T&amp;C emissions for 2050 analysis'!$C$3:$C$23)</f>
        <v>20.533333333333331</v>
      </c>
      <c r="I3864" s="27">
        <f t="shared" si="180"/>
        <v>5.266513559999999</v>
      </c>
      <c r="J3864" s="129">
        <f t="shared" si="181"/>
        <v>129.31893333333332</v>
      </c>
    </row>
    <row r="3865" spans="1:10" hidden="1" x14ac:dyDescent="0.35">
      <c r="A3865" s="126" t="s">
        <v>430</v>
      </c>
      <c r="B3865" t="str">
        <f>_xlfn.XLOOKUP(A3865,'[1]2050Pop'!$A$7:$A$143,'[1]2050Pop'!$D$7:$D$143)</f>
        <v>SSA</v>
      </c>
      <c r="C3865" s="127">
        <f>1000*_xlfn.XLOOKUP(A3865,'[1]2050Pop'!$A$7:$A$143,'[1]2050Pop'!$C$7:$C$143)</f>
        <v>45404</v>
      </c>
      <c r="D3865" s="126" t="s">
        <v>531</v>
      </c>
      <c r="E3865" s="128">
        <v>56.628999999999998</v>
      </c>
      <c r="F3865" s="129">
        <f t="shared" si="182"/>
        <v>2.5711831159999998</v>
      </c>
      <c r="G3865" t="str">
        <f>_xlfn.XLOOKUP(D3865,'[1]2050 BAU Mapping to T &amp; C'!$A$3:$A$52,'[1]2050 BAU Mapping to T &amp; C'!$B$3:$B$52)</f>
        <v>Ruminant Meats</v>
      </c>
      <c r="H3865" s="129">
        <f>_xlfn.XLOOKUP(G3865,'[1]T&amp;C emissions for 2050 analysis'!$B$3:$B$23,'[1]T&amp;C emissions for 2050 analysis'!$C$3:$C$23)</f>
        <v>20.533333333333331</v>
      </c>
      <c r="I3865" s="27">
        <f t="shared" si="180"/>
        <v>52.794959981866661</v>
      </c>
      <c r="J3865" s="129">
        <f t="shared" si="181"/>
        <v>1162.7821333333331</v>
      </c>
    </row>
    <row r="3866" spans="1:10" hidden="1" x14ac:dyDescent="0.35">
      <c r="A3866" s="126" t="s">
        <v>431</v>
      </c>
      <c r="B3866" t="str">
        <f>_xlfn.XLOOKUP(A3866,'[1]2050Pop'!$A$7:$A$143,'[1]2050Pop'!$D$7:$D$143)</f>
        <v>SSA</v>
      </c>
      <c r="C3866" s="127">
        <f>1000*_xlfn.XLOOKUP(A3866,'[1]2050Pop'!$A$7:$A$143,'[1]2050Pop'!$C$7:$C$143)</f>
        <v>8048.9999999999991</v>
      </c>
      <c r="D3866" s="126" t="s">
        <v>531</v>
      </c>
      <c r="E3866" s="128">
        <v>68.031000000000006</v>
      </c>
      <c r="F3866" s="129">
        <f t="shared" si="182"/>
        <v>0.54758151899999996</v>
      </c>
      <c r="G3866" t="str">
        <f>_xlfn.XLOOKUP(D3866,'[1]2050 BAU Mapping to T &amp; C'!$A$3:$A$52,'[1]2050 BAU Mapping to T &amp; C'!$B$3:$B$52)</f>
        <v>Ruminant Meats</v>
      </c>
      <c r="H3866" s="129">
        <f>_xlfn.XLOOKUP(G3866,'[1]T&amp;C emissions for 2050 analysis'!$B$3:$B$23,'[1]T&amp;C emissions for 2050 analysis'!$C$3:$C$23)</f>
        <v>20.533333333333331</v>
      </c>
      <c r="I3866" s="27">
        <f t="shared" si="180"/>
        <v>11.243673856799997</v>
      </c>
      <c r="J3866" s="129">
        <f t="shared" si="181"/>
        <v>1396.9032</v>
      </c>
    </row>
    <row r="3867" spans="1:10" hidden="1" x14ac:dyDescent="0.35">
      <c r="A3867" s="126" t="s">
        <v>432</v>
      </c>
      <c r="B3867" t="str">
        <f>_xlfn.XLOOKUP(A3867,'[1]2050Pop'!$A$7:$A$143,'[1]2050Pop'!$D$7:$D$143)</f>
        <v>SSA</v>
      </c>
      <c r="C3867" s="127">
        <f>1000*_xlfn.XLOOKUP(A3867,'[1]2050Pop'!$A$7:$A$143,'[1]2050Pop'!$C$7:$C$143)</f>
        <v>1249</v>
      </c>
      <c r="D3867" s="126" t="s">
        <v>531</v>
      </c>
      <c r="E3867" s="128">
        <v>27.058</v>
      </c>
      <c r="F3867" s="129">
        <f t="shared" si="182"/>
        <v>3.3795442000000002E-2</v>
      </c>
      <c r="G3867" t="str">
        <f>_xlfn.XLOOKUP(D3867,'[1]2050 BAU Mapping to T &amp; C'!$A$3:$A$52,'[1]2050 BAU Mapping to T &amp; C'!$B$3:$B$52)</f>
        <v>Ruminant Meats</v>
      </c>
      <c r="H3867" s="129">
        <f>_xlfn.XLOOKUP(G3867,'[1]T&amp;C emissions for 2050 analysis'!$B$3:$B$23,'[1]T&amp;C emissions for 2050 analysis'!$C$3:$C$23)</f>
        <v>20.533333333333331</v>
      </c>
      <c r="I3867" s="27">
        <f t="shared" si="180"/>
        <v>0.69393307573333329</v>
      </c>
      <c r="J3867" s="129">
        <f t="shared" si="181"/>
        <v>555.59093333333328</v>
      </c>
    </row>
    <row r="3868" spans="1:10" hidden="1" x14ac:dyDescent="0.35">
      <c r="A3868" s="126" t="s">
        <v>433</v>
      </c>
      <c r="B3868" t="str">
        <f>_xlfn.XLOOKUP(A3868,'[1]2050Pop'!$A$7:$A$143,'[1]2050Pop'!$D$7:$D$143)</f>
        <v>LatAm &amp; RSA</v>
      </c>
      <c r="C3868" s="127">
        <f>1000*_xlfn.XLOOKUP(A3868,'[1]2050Pop'!$A$7:$A$143,'[1]2050Pop'!$C$7:$C$143)</f>
        <v>163754</v>
      </c>
      <c r="D3868" s="126" t="s">
        <v>531</v>
      </c>
      <c r="E3868" s="128">
        <v>5.0129999999999999</v>
      </c>
      <c r="F3868" s="129">
        <f t="shared" si="182"/>
        <v>0.82089880199999998</v>
      </c>
      <c r="G3868" t="str">
        <f>_xlfn.XLOOKUP(D3868,'[1]2050 BAU Mapping to T &amp; C'!$A$3:$A$52,'[1]2050 BAU Mapping to T &amp; C'!$B$3:$B$52)</f>
        <v>Ruminant Meats</v>
      </c>
      <c r="H3868" s="129">
        <f>_xlfn.XLOOKUP(G3868,'[1]T&amp;C emissions for 2050 analysis'!$B$3:$B$23,'[1]T&amp;C emissions for 2050 analysis'!$C$3:$C$23)</f>
        <v>20.533333333333331</v>
      </c>
      <c r="I3868" s="27">
        <f t="shared" si="180"/>
        <v>16.855788734399997</v>
      </c>
      <c r="J3868" s="129">
        <f t="shared" si="181"/>
        <v>102.93359999999998</v>
      </c>
    </row>
    <row r="3869" spans="1:10" hidden="1" x14ac:dyDescent="0.35">
      <c r="A3869" s="126" t="s">
        <v>434</v>
      </c>
      <c r="B3869" t="str">
        <f>_xlfn.XLOOKUP(A3869,'[1]2050Pop'!$A$7:$A$143,'[1]2050Pop'!$D$7:$D$143)</f>
        <v>APAC</v>
      </c>
      <c r="C3869" s="127">
        <f>1000*_xlfn.XLOOKUP(A3869,'[1]2050Pop'!$A$7:$A$143,'[1]2050Pop'!$C$7:$C$143)</f>
        <v>4027.9999999999995</v>
      </c>
      <c r="D3869" s="126" t="s">
        <v>531</v>
      </c>
      <c r="E3869" s="128">
        <v>323.64699999999999</v>
      </c>
      <c r="F3869" s="129">
        <f t="shared" si="182"/>
        <v>1.303650116</v>
      </c>
      <c r="G3869" t="str">
        <f>_xlfn.XLOOKUP(D3869,'[1]2050 BAU Mapping to T &amp; C'!$A$3:$A$52,'[1]2050 BAU Mapping to T &amp; C'!$B$3:$B$52)</f>
        <v>Ruminant Meats</v>
      </c>
      <c r="H3869" s="129">
        <f>_xlfn.XLOOKUP(G3869,'[1]T&amp;C emissions for 2050 analysis'!$B$3:$B$23,'[1]T&amp;C emissions for 2050 analysis'!$C$3:$C$23)</f>
        <v>20.533333333333331</v>
      </c>
      <c r="I3869" s="27">
        <f t="shared" si="180"/>
        <v>26.768282381866666</v>
      </c>
      <c r="J3869" s="129">
        <f t="shared" si="181"/>
        <v>6645.5517333333328</v>
      </c>
    </row>
    <row r="3870" spans="1:10" hidden="1" x14ac:dyDescent="0.35">
      <c r="A3870" s="126" t="s">
        <v>435</v>
      </c>
      <c r="B3870" t="str">
        <f>_xlfn.XLOOKUP(A3870,'[1]2050Pop'!$A$7:$A$143,'[1]2050Pop'!$D$7:$D$143)</f>
        <v>MENA</v>
      </c>
      <c r="C3870" s="127">
        <f>1000*_xlfn.XLOOKUP(A3870,'[1]2050Pop'!$A$7:$A$143,'[1]2050Pop'!$C$7:$C$143)</f>
        <v>43696</v>
      </c>
      <c r="D3870" s="126" t="s">
        <v>531</v>
      </c>
      <c r="E3870" s="130">
        <v>30.72</v>
      </c>
      <c r="F3870" s="129">
        <f t="shared" si="182"/>
        <v>1.3423411199999999</v>
      </c>
      <c r="G3870" t="str">
        <f>_xlfn.XLOOKUP(D3870,'[1]2050 BAU Mapping to T &amp; C'!$A$3:$A$52,'[1]2050 BAU Mapping to T &amp; C'!$B$3:$B$52)</f>
        <v>Ruminant Meats</v>
      </c>
      <c r="H3870" s="129">
        <f>_xlfn.XLOOKUP(G3870,'[1]T&amp;C emissions for 2050 analysis'!$B$3:$B$23,'[1]T&amp;C emissions for 2050 analysis'!$C$3:$C$23)</f>
        <v>20.533333333333331</v>
      </c>
      <c r="I3870" s="27">
        <f t="shared" si="180"/>
        <v>27.562737663999997</v>
      </c>
      <c r="J3870" s="129">
        <f t="shared" si="181"/>
        <v>630.78399999999988</v>
      </c>
    </row>
    <row r="3871" spans="1:10" hidden="1" x14ac:dyDescent="0.35">
      <c r="A3871" s="126" t="s">
        <v>436</v>
      </c>
      <c r="B3871" t="str">
        <f>_xlfn.XLOOKUP(A3871,'[1]2050Pop'!$A$7:$A$143,'[1]2050Pop'!$D$7:$D$143)</f>
        <v>SSA</v>
      </c>
      <c r="C3871" s="127">
        <f>1000*_xlfn.XLOOKUP(A3871,'[1]2050Pop'!$A$7:$A$143,'[1]2050Pop'!$C$7:$C$143)</f>
        <v>65544</v>
      </c>
      <c r="D3871" s="126" t="s">
        <v>531</v>
      </c>
      <c r="E3871" s="128">
        <v>6.1210000000000004</v>
      </c>
      <c r="F3871" s="129">
        <f t="shared" si="182"/>
        <v>0.40119482400000001</v>
      </c>
      <c r="G3871" t="str">
        <f>_xlfn.XLOOKUP(D3871,'[1]2050 BAU Mapping to T &amp; C'!$A$3:$A$52,'[1]2050 BAU Mapping to T &amp; C'!$B$3:$B$52)</f>
        <v>Ruminant Meats</v>
      </c>
      <c r="H3871" s="129">
        <f>_xlfn.XLOOKUP(G3871,'[1]T&amp;C emissions for 2050 analysis'!$B$3:$B$23,'[1]T&amp;C emissions for 2050 analysis'!$C$3:$C$23)</f>
        <v>20.533333333333331</v>
      </c>
      <c r="I3871" s="27">
        <f t="shared" si="180"/>
        <v>8.2378670527999986</v>
      </c>
      <c r="J3871" s="129">
        <f t="shared" si="181"/>
        <v>125.68453333333333</v>
      </c>
    </row>
    <row r="3872" spans="1:10" hidden="1" x14ac:dyDescent="0.35">
      <c r="A3872" s="126" t="s">
        <v>490</v>
      </c>
      <c r="B3872" t="str">
        <f>_xlfn.XLOOKUP(A3872,'[1]2050Pop'!$A$7:$A$143,'[1]2050Pop'!$D$7:$D$143)</f>
        <v>APAC</v>
      </c>
      <c r="C3872" s="127">
        <f>1000*_xlfn.XLOOKUP(A3872,'[1]2050Pop'!$A$7:$A$143,'[1]2050Pop'!$C$7:$C$143)</f>
        <v>63575</v>
      </c>
      <c r="D3872" s="126" t="s">
        <v>531</v>
      </c>
      <c r="E3872" s="128">
        <v>5.4470000000000001</v>
      </c>
      <c r="F3872" s="129">
        <f t="shared" si="182"/>
        <v>0.34629302500000003</v>
      </c>
      <c r="G3872" t="str">
        <f>_xlfn.XLOOKUP(D3872,'[1]2050 BAU Mapping to T &amp; C'!$A$3:$A$52,'[1]2050 BAU Mapping to T &amp; C'!$B$3:$B$52)</f>
        <v>Ruminant Meats</v>
      </c>
      <c r="H3872" s="129">
        <f>_xlfn.XLOOKUP(G3872,'[1]T&amp;C emissions for 2050 analysis'!$B$3:$B$23,'[1]T&amp;C emissions for 2050 analysis'!$C$3:$C$23)</f>
        <v>20.533333333333331</v>
      </c>
      <c r="I3872" s="27">
        <f t="shared" si="180"/>
        <v>7.1105501133333338</v>
      </c>
      <c r="J3872" s="129">
        <f t="shared" si="181"/>
        <v>111.84506666666665</v>
      </c>
    </row>
    <row r="3873" spans="1:10" hidden="1" x14ac:dyDescent="0.35">
      <c r="A3873" s="126" t="s">
        <v>437</v>
      </c>
      <c r="B3873" t="str">
        <f>_xlfn.XLOOKUP(A3873,'[1]2050Pop'!$A$7:$A$143,'[1]2050Pop'!$D$7:$D$143)</f>
        <v>SSA</v>
      </c>
      <c r="C3873" s="127">
        <f>1000*_xlfn.XLOOKUP(A3873,'[1]2050Pop'!$A$7:$A$143,'[1]2050Pop'!$C$7:$C$143)</f>
        <v>4322</v>
      </c>
      <c r="D3873" s="126" t="s">
        <v>531</v>
      </c>
      <c r="E3873" s="128">
        <v>16.529</v>
      </c>
      <c r="F3873" s="129">
        <f t="shared" si="182"/>
        <v>7.1438338000000004E-2</v>
      </c>
      <c r="G3873" t="str">
        <f>_xlfn.XLOOKUP(D3873,'[1]2050 BAU Mapping to T &amp; C'!$A$3:$A$52,'[1]2050 BAU Mapping to T &amp; C'!$B$3:$B$52)</f>
        <v>Ruminant Meats</v>
      </c>
      <c r="H3873" s="129">
        <f>_xlfn.XLOOKUP(G3873,'[1]T&amp;C emissions for 2050 analysis'!$B$3:$B$23,'[1]T&amp;C emissions for 2050 analysis'!$C$3:$C$23)</f>
        <v>20.533333333333331</v>
      </c>
      <c r="I3873" s="27">
        <f t="shared" si="180"/>
        <v>1.4668672069333333</v>
      </c>
      <c r="J3873" s="129">
        <f t="shared" si="181"/>
        <v>339.39546666666661</v>
      </c>
    </row>
    <row r="3874" spans="1:10" hidden="1" x14ac:dyDescent="0.35">
      <c r="A3874" s="126" t="s">
        <v>438</v>
      </c>
      <c r="B3874" t="str">
        <f>_xlfn.XLOOKUP(A3874,'[1]2050Pop'!$A$7:$A$143,'[1]2050Pop'!$D$7:$D$143)</f>
        <v>India/South Asia</v>
      </c>
      <c r="C3874" s="127">
        <f>1000*_xlfn.XLOOKUP(A3874,'[1]2050Pop'!$A$7:$A$143,'[1]2050Pop'!$C$7:$C$143)</f>
        <v>36159</v>
      </c>
      <c r="D3874" s="126" t="s">
        <v>531</v>
      </c>
      <c r="E3874" s="128">
        <v>11.032</v>
      </c>
      <c r="F3874" s="129">
        <f t="shared" si="182"/>
        <v>0.39890608799999999</v>
      </c>
      <c r="G3874" t="str">
        <f>_xlfn.XLOOKUP(D3874,'[1]2050 BAU Mapping to T &amp; C'!$A$3:$A$52,'[1]2050 BAU Mapping to T &amp; C'!$B$3:$B$52)</f>
        <v>Ruminant Meats</v>
      </c>
      <c r="H3874" s="129">
        <f>_xlfn.XLOOKUP(G3874,'[1]T&amp;C emissions for 2050 analysis'!$B$3:$B$23,'[1]T&amp;C emissions for 2050 analysis'!$C$3:$C$23)</f>
        <v>20.533333333333331</v>
      </c>
      <c r="I3874" s="27">
        <f t="shared" si="180"/>
        <v>8.1908716735999985</v>
      </c>
      <c r="J3874" s="129">
        <f t="shared" si="181"/>
        <v>226.52373333333333</v>
      </c>
    </row>
    <row r="3875" spans="1:10" hidden="1" x14ac:dyDescent="0.35">
      <c r="A3875" s="126" t="s">
        <v>439</v>
      </c>
      <c r="B3875" t="str">
        <f>_xlfn.XLOOKUP(A3875,'[1]2050Pop'!$A$7:$A$143,'[1]2050Pop'!$D$7:$D$143)</f>
        <v>Euro/AU/NZ</v>
      </c>
      <c r="C3875" s="127">
        <f>1000*_xlfn.XLOOKUP(A3875,'[1]2050Pop'!$A$7:$A$143,'[1]2050Pop'!$C$7:$C$143)</f>
        <v>17602</v>
      </c>
      <c r="D3875" s="126" t="s">
        <v>531</v>
      </c>
      <c r="E3875" s="128">
        <v>6.1859999999999999</v>
      </c>
      <c r="F3875" s="129">
        <f t="shared" si="182"/>
        <v>0.108885972</v>
      </c>
      <c r="G3875" t="str">
        <f>_xlfn.XLOOKUP(D3875,'[1]2050 BAU Mapping to T &amp; C'!$A$3:$A$52,'[1]2050 BAU Mapping to T &amp; C'!$B$3:$B$52)</f>
        <v>Ruminant Meats</v>
      </c>
      <c r="H3875" s="129">
        <f>_xlfn.XLOOKUP(G3875,'[1]T&amp;C emissions for 2050 analysis'!$B$3:$B$23,'[1]T&amp;C emissions for 2050 analysis'!$C$3:$C$23)</f>
        <v>20.533333333333331</v>
      </c>
      <c r="I3875" s="27">
        <f t="shared" si="180"/>
        <v>2.2357919583999997</v>
      </c>
      <c r="J3875" s="129">
        <f t="shared" si="181"/>
        <v>127.01919999999998</v>
      </c>
    </row>
    <row r="3876" spans="1:10" hidden="1" x14ac:dyDescent="0.35">
      <c r="A3876" s="126" t="s">
        <v>440</v>
      </c>
      <c r="B3876" t="str">
        <f>_xlfn.XLOOKUP(A3876,'[1]2050Pop'!$A$7:$A$143,'[1]2050Pop'!$D$7:$D$143)</f>
        <v>Euro/AU/NZ</v>
      </c>
      <c r="C3876" s="127">
        <f>1000*_xlfn.XLOOKUP(A3876,'[1]2050Pop'!$A$7:$A$143,'[1]2050Pop'!$C$7:$C$143)</f>
        <v>5607</v>
      </c>
      <c r="D3876" s="126" t="s">
        <v>531</v>
      </c>
      <c r="E3876" s="128">
        <v>137.32599999999999</v>
      </c>
      <c r="F3876" s="129">
        <f t="shared" si="182"/>
        <v>0.76998688199999998</v>
      </c>
      <c r="G3876" t="str">
        <f>_xlfn.XLOOKUP(D3876,'[1]2050 BAU Mapping to T &amp; C'!$A$3:$A$52,'[1]2050 BAU Mapping to T &amp; C'!$B$3:$B$52)</f>
        <v>Ruminant Meats</v>
      </c>
      <c r="H3876" s="129">
        <f>_xlfn.XLOOKUP(G3876,'[1]T&amp;C emissions for 2050 analysis'!$B$3:$B$23,'[1]T&amp;C emissions for 2050 analysis'!$C$3:$C$23)</f>
        <v>20.533333333333331</v>
      </c>
      <c r="I3876" s="27">
        <f t="shared" si="180"/>
        <v>15.810397310399999</v>
      </c>
      <c r="J3876" s="129">
        <f t="shared" si="181"/>
        <v>2819.7605333333331</v>
      </c>
    </row>
    <row r="3877" spans="1:10" hidden="1" x14ac:dyDescent="0.35">
      <c r="A3877" s="126" t="s">
        <v>482</v>
      </c>
      <c r="B3877" t="str">
        <f>_xlfn.XLOOKUP(A3877,'[1]2050Pop'!$A$7:$A$143,'[1]2050Pop'!$D$7:$D$143)</f>
        <v>SSA</v>
      </c>
      <c r="C3877" s="127">
        <f>1000*_xlfn.XLOOKUP(A3877,'[1]2050Pop'!$A$7:$A$143,'[1]2050Pop'!$C$7:$C$143)</f>
        <v>72238</v>
      </c>
      <c r="D3877" s="126" t="s">
        <v>531</v>
      </c>
      <c r="E3877" s="128">
        <v>21.715</v>
      </c>
      <c r="F3877" s="129">
        <f t="shared" si="182"/>
        <v>1.5686481699999999</v>
      </c>
      <c r="G3877" t="str">
        <f>_xlfn.XLOOKUP(D3877,'[1]2050 BAU Mapping to T &amp; C'!$A$3:$A$52,'[1]2050 BAU Mapping to T &amp; C'!$B$3:$B$52)</f>
        <v>Ruminant Meats</v>
      </c>
      <c r="H3877" s="129">
        <f>_xlfn.XLOOKUP(G3877,'[1]T&amp;C emissions for 2050 analysis'!$B$3:$B$23,'[1]T&amp;C emissions for 2050 analysis'!$C$3:$C$23)</f>
        <v>20.533333333333331</v>
      </c>
      <c r="I3877" s="27">
        <f t="shared" si="180"/>
        <v>32.209575757333326</v>
      </c>
      <c r="J3877" s="129">
        <f t="shared" si="181"/>
        <v>445.88133333333332</v>
      </c>
    </row>
    <row r="3878" spans="1:10" hidden="1" x14ac:dyDescent="0.35">
      <c r="A3878" s="126" t="s">
        <v>491</v>
      </c>
      <c r="B3878" t="str">
        <f>_xlfn.XLOOKUP(A3878,'[1]2050Pop'!$A$7:$A$143,'[1]2050Pop'!$D$7:$D$143)</f>
        <v>SSA</v>
      </c>
      <c r="C3878" s="127">
        <f>1000*_xlfn.XLOOKUP(A3878,'[1]2050Pop'!$A$7:$A$143,'[1]2050Pop'!$C$7:$C$143)</f>
        <v>398508</v>
      </c>
      <c r="D3878" s="126" t="s">
        <v>531</v>
      </c>
      <c r="E3878" s="128">
        <v>13.332000000000001</v>
      </c>
      <c r="F3878" s="129">
        <f t="shared" si="182"/>
        <v>5.3129086560000003</v>
      </c>
      <c r="G3878" t="str">
        <f>_xlfn.XLOOKUP(D3878,'[1]2050 BAU Mapping to T &amp; C'!$A$3:$A$52,'[1]2050 BAU Mapping to T &amp; C'!$B$3:$B$52)</f>
        <v>Ruminant Meats</v>
      </c>
      <c r="H3878" s="129">
        <f>_xlfn.XLOOKUP(G3878,'[1]T&amp;C emissions for 2050 analysis'!$B$3:$B$23,'[1]T&amp;C emissions for 2050 analysis'!$C$3:$C$23)</f>
        <v>20.533333333333331</v>
      </c>
      <c r="I3878" s="27">
        <f t="shared" si="180"/>
        <v>109.09172440319999</v>
      </c>
      <c r="J3878" s="129">
        <f t="shared" si="181"/>
        <v>273.75040000000001</v>
      </c>
    </row>
    <row r="3879" spans="1:10" hidden="1" x14ac:dyDescent="0.35">
      <c r="A3879" s="126" t="s">
        <v>442</v>
      </c>
      <c r="B3879" t="str">
        <f>_xlfn.XLOOKUP(A3879,'[1]2050Pop'!$A$7:$A$143,'[1]2050Pop'!$D$7:$D$143)</f>
        <v>Euro/AU/NZ</v>
      </c>
      <c r="C3879" s="127">
        <f>1000*_xlfn.XLOOKUP(A3879,'[1]2050Pop'!$A$7:$A$143,'[1]2050Pop'!$C$7:$C$143)</f>
        <v>6658</v>
      </c>
      <c r="D3879" s="126" t="s">
        <v>531</v>
      </c>
      <c r="E3879" s="128">
        <v>33.505000000000003</v>
      </c>
      <c r="F3879" s="129">
        <f t="shared" si="182"/>
        <v>0.22307629000000001</v>
      </c>
      <c r="G3879" t="str">
        <f>_xlfn.XLOOKUP(D3879,'[1]2050 BAU Mapping to T &amp; C'!$A$3:$A$52,'[1]2050 BAU Mapping to T &amp; C'!$B$3:$B$52)</f>
        <v>Ruminant Meats</v>
      </c>
      <c r="H3879" s="129">
        <f>_xlfn.XLOOKUP(G3879,'[1]T&amp;C emissions for 2050 analysis'!$B$3:$B$23,'[1]T&amp;C emissions for 2050 analysis'!$C$3:$C$23)</f>
        <v>20.533333333333331</v>
      </c>
      <c r="I3879" s="27">
        <f t="shared" si="180"/>
        <v>4.5804998213333334</v>
      </c>
      <c r="J3879" s="129">
        <f t="shared" si="181"/>
        <v>687.96933333333334</v>
      </c>
    </row>
    <row r="3880" spans="1:10" hidden="1" x14ac:dyDescent="0.35">
      <c r="A3880" s="126" t="s">
        <v>443</v>
      </c>
      <c r="B3880" t="str">
        <f>_xlfn.XLOOKUP(A3880,'[1]2050Pop'!$A$7:$A$143,'[1]2050Pop'!$D$7:$D$143)</f>
        <v>India/South Asia</v>
      </c>
      <c r="C3880" s="127">
        <f>1000*_xlfn.XLOOKUP(A3880,'[1]2050Pop'!$A$7:$A$143,'[1]2050Pop'!$C$7:$C$143)</f>
        <v>309640</v>
      </c>
      <c r="D3880" s="126" t="s">
        <v>531</v>
      </c>
      <c r="E3880" s="128">
        <v>13.954000000000001</v>
      </c>
      <c r="F3880" s="129">
        <f t="shared" si="182"/>
        <v>4.3207165600000002</v>
      </c>
      <c r="G3880" t="str">
        <f>_xlfn.XLOOKUP(D3880,'[1]2050 BAU Mapping to T &amp; C'!$A$3:$A$52,'[1]2050 BAU Mapping to T &amp; C'!$B$3:$B$52)</f>
        <v>Ruminant Meats</v>
      </c>
      <c r="H3880" s="129">
        <f>_xlfn.XLOOKUP(G3880,'[1]T&amp;C emissions for 2050 analysis'!$B$3:$B$23,'[1]T&amp;C emissions for 2050 analysis'!$C$3:$C$23)</f>
        <v>20.533333333333331</v>
      </c>
      <c r="I3880" s="27">
        <f t="shared" si="180"/>
        <v>88.718713365333329</v>
      </c>
      <c r="J3880" s="129">
        <f t="shared" si="181"/>
        <v>286.52213333333333</v>
      </c>
    </row>
    <row r="3881" spans="1:10" hidden="1" x14ac:dyDescent="0.35">
      <c r="A3881" s="126" t="s">
        <v>445</v>
      </c>
      <c r="B3881" t="str">
        <f>_xlfn.XLOOKUP(A3881,'[1]2050Pop'!$A$7:$A$143,'[1]2050Pop'!$D$7:$D$143)</f>
        <v>LatAm &amp; RSA</v>
      </c>
      <c r="C3881" s="127">
        <f>1000*_xlfn.XLOOKUP(A3881,'[1]2050Pop'!$A$7:$A$143,'[1]2050Pop'!$C$7:$C$143)</f>
        <v>8895</v>
      </c>
      <c r="D3881" s="126" t="s">
        <v>531</v>
      </c>
      <c r="E3881" s="131">
        <v>3.4</v>
      </c>
      <c r="F3881" s="129">
        <f t="shared" si="182"/>
        <v>3.0242999999999999E-2</v>
      </c>
      <c r="G3881" t="str">
        <f>_xlfn.XLOOKUP(D3881,'[1]2050 BAU Mapping to T &amp; C'!$A$3:$A$52,'[1]2050 BAU Mapping to T &amp; C'!$B$3:$B$52)</f>
        <v>Ruminant Meats</v>
      </c>
      <c r="H3881" s="129">
        <f>_xlfn.XLOOKUP(G3881,'[1]T&amp;C emissions for 2050 analysis'!$B$3:$B$23,'[1]T&amp;C emissions for 2050 analysis'!$C$3:$C$23)</f>
        <v>20.533333333333331</v>
      </c>
      <c r="I3881" s="27">
        <f t="shared" si="180"/>
        <v>0.62098959999999992</v>
      </c>
      <c r="J3881" s="129">
        <f t="shared" si="181"/>
        <v>69.813333333333318</v>
      </c>
    </row>
    <row r="3882" spans="1:10" hidden="1" x14ac:dyDescent="0.35">
      <c r="A3882" s="126" t="s">
        <v>446</v>
      </c>
      <c r="B3882" t="str">
        <f>_xlfn.XLOOKUP(A3882,'[1]2050Pop'!$A$7:$A$143,'[1]2050Pop'!$D$7:$D$143)</f>
        <v>LatAm &amp; RSA</v>
      </c>
      <c r="C3882" s="127">
        <f>1000*_xlfn.XLOOKUP(A3882,'[1]2050Pop'!$A$7:$A$143,'[1]2050Pop'!$C$7:$C$143)</f>
        <v>41899</v>
      </c>
      <c r="D3882" s="126" t="s">
        <v>531</v>
      </c>
      <c r="E3882" s="128">
        <v>4.9370000000000003</v>
      </c>
      <c r="F3882" s="129">
        <f t="shared" si="182"/>
        <v>0.20685536300000001</v>
      </c>
      <c r="G3882" t="str">
        <f>_xlfn.XLOOKUP(D3882,'[1]2050 BAU Mapping to T &amp; C'!$A$3:$A$52,'[1]2050 BAU Mapping to T &amp; C'!$B$3:$B$52)</f>
        <v>Ruminant Meats</v>
      </c>
      <c r="H3882" s="129">
        <f>_xlfn.XLOOKUP(G3882,'[1]T&amp;C emissions for 2050 analysis'!$B$3:$B$23,'[1]T&amp;C emissions for 2050 analysis'!$C$3:$C$23)</f>
        <v>20.533333333333331</v>
      </c>
      <c r="I3882" s="27">
        <f t="shared" si="180"/>
        <v>4.2474301202666664</v>
      </c>
      <c r="J3882" s="129">
        <f t="shared" si="181"/>
        <v>101.37306666666666</v>
      </c>
    </row>
    <row r="3883" spans="1:10" hidden="1" x14ac:dyDescent="0.35">
      <c r="A3883" s="126" t="s">
        <v>447</v>
      </c>
      <c r="B3883" t="str">
        <f>_xlfn.XLOOKUP(A3883,'[1]2050Pop'!$A$7:$A$143,'[1]2050Pop'!$D$7:$D$143)</f>
        <v>APAC</v>
      </c>
      <c r="C3883" s="127">
        <f>1000*_xlfn.XLOOKUP(A3883,'[1]2050Pop'!$A$7:$A$143,'[1]2050Pop'!$C$7:$C$143)</f>
        <v>148260</v>
      </c>
      <c r="D3883" s="126" t="s">
        <v>531</v>
      </c>
      <c r="E3883" s="128">
        <v>2.8050000000000002</v>
      </c>
      <c r="F3883" s="129">
        <f t="shared" si="182"/>
        <v>0.41586930000000005</v>
      </c>
      <c r="G3883" t="str">
        <f>_xlfn.XLOOKUP(D3883,'[1]2050 BAU Mapping to T &amp; C'!$A$3:$A$52,'[1]2050 BAU Mapping to T &amp; C'!$B$3:$B$52)</f>
        <v>Ruminant Meats</v>
      </c>
      <c r="H3883" s="129">
        <f>_xlfn.XLOOKUP(G3883,'[1]T&amp;C emissions for 2050 analysis'!$B$3:$B$23,'[1]T&amp;C emissions for 2050 analysis'!$C$3:$C$23)</f>
        <v>20.533333333333331</v>
      </c>
      <c r="I3883" s="27">
        <f t="shared" si="180"/>
        <v>8.5391829599999998</v>
      </c>
      <c r="J3883" s="129">
        <f t="shared" si="181"/>
        <v>57.595999999999997</v>
      </c>
    </row>
    <row r="3884" spans="1:10" hidden="1" x14ac:dyDescent="0.35">
      <c r="A3884" s="126" t="s">
        <v>449</v>
      </c>
      <c r="B3884" t="str">
        <f>_xlfn.XLOOKUP(A3884,'[1]2050Pop'!$A$7:$A$143,'[1]2050Pop'!$D$7:$D$143)</f>
        <v>Euro/AU/NZ</v>
      </c>
      <c r="C3884" s="127">
        <f>1000*_xlfn.XLOOKUP(A3884,'[1]2050Pop'!$A$7:$A$143,'[1]2050Pop'!$C$7:$C$143)</f>
        <v>9216</v>
      </c>
      <c r="D3884" s="126" t="s">
        <v>531</v>
      </c>
      <c r="E3884" s="128">
        <v>15.119</v>
      </c>
      <c r="F3884" s="129">
        <f t="shared" si="182"/>
        <v>0.13933670400000001</v>
      </c>
      <c r="G3884" t="str">
        <f>_xlfn.XLOOKUP(D3884,'[1]2050 BAU Mapping to T &amp; C'!$A$3:$A$52,'[1]2050 BAU Mapping to T &amp; C'!$B$3:$B$52)</f>
        <v>Ruminant Meats</v>
      </c>
      <c r="H3884" s="129">
        <f>_xlfn.XLOOKUP(G3884,'[1]T&amp;C emissions for 2050 analysis'!$B$3:$B$23,'[1]T&amp;C emissions for 2050 analysis'!$C$3:$C$23)</f>
        <v>20.533333333333331</v>
      </c>
      <c r="I3884" s="27">
        <f t="shared" si="180"/>
        <v>2.8610469887999996</v>
      </c>
      <c r="J3884" s="129">
        <f t="shared" si="181"/>
        <v>310.44346666666661</v>
      </c>
    </row>
    <row r="3885" spans="1:10" hidden="1" x14ac:dyDescent="0.35">
      <c r="A3885" s="126" t="s">
        <v>450</v>
      </c>
      <c r="B3885" t="str">
        <f>_xlfn.XLOOKUP(A3885,'[1]2050Pop'!$A$7:$A$143,'[1]2050Pop'!$D$7:$D$143)</f>
        <v>APAC</v>
      </c>
      <c r="C3885" s="127">
        <f>1000*_xlfn.XLOOKUP(A3885,'[1]2050Pop'!$A$7:$A$143,'[1]2050Pop'!$C$7:$C$143)</f>
        <v>50593</v>
      </c>
      <c r="D3885" s="126" t="s">
        <v>531</v>
      </c>
      <c r="E3885" s="128">
        <v>1.246</v>
      </c>
      <c r="F3885" s="129">
        <f t="shared" si="182"/>
        <v>6.3038877999999993E-2</v>
      </c>
      <c r="G3885" t="str">
        <f>_xlfn.XLOOKUP(D3885,'[1]2050 BAU Mapping to T &amp; C'!$A$3:$A$52,'[1]2050 BAU Mapping to T &amp; C'!$B$3:$B$52)</f>
        <v>Ruminant Meats</v>
      </c>
      <c r="H3885" s="129">
        <f>_xlfn.XLOOKUP(G3885,'[1]T&amp;C emissions for 2050 analysis'!$B$3:$B$23,'[1]T&amp;C emissions for 2050 analysis'!$C$3:$C$23)</f>
        <v>20.533333333333331</v>
      </c>
      <c r="I3885" s="27">
        <f t="shared" si="180"/>
        <v>1.294398294933333</v>
      </c>
      <c r="J3885" s="129">
        <f t="shared" si="181"/>
        <v>25.584533333333329</v>
      </c>
    </row>
    <row r="3886" spans="1:10" hidden="1" x14ac:dyDescent="0.35">
      <c r="A3886" s="126" t="s">
        <v>451</v>
      </c>
      <c r="B3886" t="str">
        <f>_xlfn.XLOOKUP(A3886,'[1]2050Pop'!$A$7:$A$143,'[1]2050Pop'!$D$7:$D$143)</f>
        <v>Euro/AU/NZ</v>
      </c>
      <c r="C3886" s="127">
        <f>1000*_xlfn.XLOOKUP(A3886,'[1]2050Pop'!$A$7:$A$143,'[1]2050Pop'!$C$7:$C$143)</f>
        <v>3243</v>
      </c>
      <c r="D3886" s="126" t="s">
        <v>531</v>
      </c>
      <c r="E3886" s="128">
        <v>1.9139999999999999</v>
      </c>
      <c r="F3886" s="129">
        <f t="shared" si="182"/>
        <v>6.2071019999999999E-3</v>
      </c>
      <c r="G3886" t="str">
        <f>_xlfn.XLOOKUP(D3886,'[1]2050 BAU Mapping to T &amp; C'!$A$3:$A$52,'[1]2050 BAU Mapping to T &amp; C'!$B$3:$B$52)</f>
        <v>Ruminant Meats</v>
      </c>
      <c r="H3886" s="129">
        <f>_xlfn.XLOOKUP(G3886,'[1]T&amp;C emissions for 2050 analysis'!$B$3:$B$23,'[1]T&amp;C emissions for 2050 analysis'!$C$3:$C$23)</f>
        <v>20.533333333333331</v>
      </c>
      <c r="I3886" s="27">
        <f t="shared" si="180"/>
        <v>0.12745249439999998</v>
      </c>
      <c r="J3886" s="129">
        <f t="shared" si="181"/>
        <v>39.300799999999995</v>
      </c>
    </row>
    <row r="3887" spans="1:10" hidden="1" x14ac:dyDescent="0.35">
      <c r="A3887" s="126" t="s">
        <v>452</v>
      </c>
      <c r="B3887" t="str">
        <f>_xlfn.XLOOKUP(A3887,'[1]2050Pop'!$A$7:$A$143,'[1]2050Pop'!$D$7:$D$143)</f>
        <v>SSA</v>
      </c>
      <c r="C3887" s="127">
        <f>1000*_xlfn.XLOOKUP(A3887,'[1]2050Pop'!$A$7:$A$143,'[1]2050Pop'!$C$7:$C$143)</f>
        <v>10732</v>
      </c>
      <c r="D3887" s="126" t="s">
        <v>531</v>
      </c>
      <c r="E3887" s="128">
        <v>1.5269999999999999</v>
      </c>
      <c r="F3887" s="129">
        <f t="shared" si="182"/>
        <v>1.6387763999999999E-2</v>
      </c>
      <c r="G3887" t="str">
        <f>_xlfn.XLOOKUP(D3887,'[1]2050 BAU Mapping to T &amp; C'!$A$3:$A$52,'[1]2050 BAU Mapping to T &amp; C'!$B$3:$B$52)</f>
        <v>Ruminant Meats</v>
      </c>
      <c r="H3887" s="129">
        <f>_xlfn.XLOOKUP(G3887,'[1]T&amp;C emissions for 2050 analysis'!$B$3:$B$23,'[1]T&amp;C emissions for 2050 analysis'!$C$3:$C$23)</f>
        <v>20.533333333333331</v>
      </c>
      <c r="I3887" s="27">
        <f t="shared" si="180"/>
        <v>0.33649542079999994</v>
      </c>
      <c r="J3887" s="129">
        <f t="shared" si="181"/>
        <v>31.354399999999995</v>
      </c>
    </row>
    <row r="3888" spans="1:10" hidden="1" x14ac:dyDescent="0.35">
      <c r="A3888" s="126" t="s">
        <v>453</v>
      </c>
      <c r="B3888" t="str">
        <f>_xlfn.XLOOKUP(A3888,'[1]2050Pop'!$A$7:$A$143,'[1]2050Pop'!$D$7:$D$143)</f>
        <v>Euro/AU/NZ</v>
      </c>
      <c r="C3888" s="127">
        <f>1000*_xlfn.XLOOKUP(A3888,'[1]2050Pop'!$A$7:$A$143,'[1]2050Pop'!$C$7:$C$143)</f>
        <v>15207</v>
      </c>
      <c r="D3888" s="126" t="s">
        <v>531</v>
      </c>
      <c r="E3888" s="128">
        <v>19.669</v>
      </c>
      <c r="F3888" s="129">
        <f t="shared" si="182"/>
        <v>0.29910648300000003</v>
      </c>
      <c r="G3888" t="str">
        <f>_xlfn.XLOOKUP(D3888,'[1]2050 BAU Mapping to T &amp; C'!$A$3:$A$52,'[1]2050 BAU Mapping to T &amp; C'!$B$3:$B$52)</f>
        <v>Ruminant Meats</v>
      </c>
      <c r="H3888" s="129">
        <f>_xlfn.XLOOKUP(G3888,'[1]T&amp;C emissions for 2050 analysis'!$B$3:$B$23,'[1]T&amp;C emissions for 2050 analysis'!$C$3:$C$23)</f>
        <v>20.533333333333331</v>
      </c>
      <c r="I3888" s="27">
        <f t="shared" si="180"/>
        <v>6.1416531175999998</v>
      </c>
      <c r="J3888" s="129">
        <f t="shared" si="181"/>
        <v>403.87013333333329</v>
      </c>
    </row>
    <row r="3889" spans="1:10" hidden="1" x14ac:dyDescent="0.35">
      <c r="A3889" s="126" t="s">
        <v>454</v>
      </c>
      <c r="B3889" t="str">
        <f>_xlfn.XLOOKUP(A3889,'[1]2050Pop'!$A$7:$A$143,'[1]2050Pop'!$D$7:$D$143)</f>
        <v>Euro/AU/NZ</v>
      </c>
      <c r="C3889" s="127">
        <f>1000*_xlfn.XLOOKUP(A3889,'[1]2050Pop'!$A$7:$A$143,'[1]2050Pop'!$C$7:$C$143)</f>
        <v>128598.99999999999</v>
      </c>
      <c r="D3889" s="126" t="s">
        <v>531</v>
      </c>
      <c r="E3889" s="128">
        <v>10.135</v>
      </c>
      <c r="F3889" s="129">
        <f t="shared" si="182"/>
        <v>1.3033508649999999</v>
      </c>
      <c r="G3889" t="str">
        <f>_xlfn.XLOOKUP(D3889,'[1]2050 BAU Mapping to T &amp; C'!$A$3:$A$52,'[1]2050 BAU Mapping to T &amp; C'!$B$3:$B$52)</f>
        <v>Ruminant Meats</v>
      </c>
      <c r="H3889" s="129">
        <f>_xlfn.XLOOKUP(G3889,'[1]T&amp;C emissions for 2050 analysis'!$B$3:$B$23,'[1]T&amp;C emissions for 2050 analysis'!$C$3:$C$23)</f>
        <v>20.533333333333331</v>
      </c>
      <c r="I3889" s="27">
        <f t="shared" si="180"/>
        <v>26.762137761333328</v>
      </c>
      <c r="J3889" s="129">
        <f t="shared" si="181"/>
        <v>208.10533333333331</v>
      </c>
    </row>
    <row r="3890" spans="1:10" hidden="1" x14ac:dyDescent="0.35">
      <c r="A3890" s="126" t="s">
        <v>455</v>
      </c>
      <c r="B3890" t="str">
        <f>_xlfn.XLOOKUP(A3890,'[1]2050Pop'!$A$7:$A$143,'[1]2050Pop'!$D$7:$D$143)</f>
        <v>SSA</v>
      </c>
      <c r="C3890" s="127">
        <f>1000*_xlfn.XLOOKUP(A3890,'[1]2050Pop'!$A$7:$A$143,'[1]2050Pop'!$C$7:$C$143)</f>
        <v>21187</v>
      </c>
      <c r="D3890" s="126" t="s">
        <v>531</v>
      </c>
      <c r="E3890" s="128">
        <v>10.885</v>
      </c>
      <c r="F3890" s="129">
        <f t="shared" si="182"/>
        <v>0.23062049500000001</v>
      </c>
      <c r="G3890" t="str">
        <f>_xlfn.XLOOKUP(D3890,'[1]2050 BAU Mapping to T &amp; C'!$A$3:$A$52,'[1]2050 BAU Mapping to T &amp; C'!$B$3:$B$52)</f>
        <v>Ruminant Meats</v>
      </c>
      <c r="H3890" s="129">
        <f>_xlfn.XLOOKUP(G3890,'[1]T&amp;C emissions for 2050 analysis'!$B$3:$B$23,'[1]T&amp;C emissions for 2050 analysis'!$C$3:$C$23)</f>
        <v>20.533333333333331</v>
      </c>
      <c r="I3890" s="27">
        <f t="shared" si="180"/>
        <v>4.7354074973333331</v>
      </c>
      <c r="J3890" s="129">
        <f t="shared" si="181"/>
        <v>223.50533333333331</v>
      </c>
    </row>
    <row r="3891" spans="1:10" hidden="1" x14ac:dyDescent="0.35">
      <c r="A3891" s="126" t="s">
        <v>456</v>
      </c>
      <c r="B3891" t="str">
        <f>_xlfn.XLOOKUP(A3891,'[1]2050Pop'!$A$7:$A$143,'[1]2050Pop'!$D$7:$D$143)</f>
        <v>MENA</v>
      </c>
      <c r="C3891" s="127">
        <f>1000*_xlfn.XLOOKUP(A3891,'[1]2050Pop'!$A$7:$A$143,'[1]2050Pop'!$C$7:$C$143)</f>
        <v>46059</v>
      </c>
      <c r="D3891" s="126" t="s">
        <v>531</v>
      </c>
      <c r="E3891" s="128">
        <v>44.018999999999998</v>
      </c>
      <c r="F3891" s="129">
        <f t="shared" si="182"/>
        <v>2.0274711209999996</v>
      </c>
      <c r="G3891" t="str">
        <f>_xlfn.XLOOKUP(D3891,'[1]2050 BAU Mapping to T &amp; C'!$A$3:$A$52,'[1]2050 BAU Mapping to T &amp; C'!$B$3:$B$52)</f>
        <v>Ruminant Meats</v>
      </c>
      <c r="H3891" s="129">
        <f>_xlfn.XLOOKUP(G3891,'[1]T&amp;C emissions for 2050 analysis'!$B$3:$B$23,'[1]T&amp;C emissions for 2050 analysis'!$C$3:$C$23)</f>
        <v>20.533333333333331</v>
      </c>
      <c r="I3891" s="27">
        <f t="shared" si="180"/>
        <v>41.630740351199989</v>
      </c>
      <c r="J3891" s="129">
        <f t="shared" si="181"/>
        <v>903.85679999999991</v>
      </c>
    </row>
    <row r="3892" spans="1:10" hidden="1" x14ac:dyDescent="0.35">
      <c r="A3892" s="126" t="s">
        <v>457</v>
      </c>
      <c r="B3892" t="str">
        <f>_xlfn.XLOOKUP(A3892,'[1]2050Pop'!$A$7:$A$143,'[1]2050Pop'!$D$7:$D$143)</f>
        <v>SSA</v>
      </c>
      <c r="C3892" s="127">
        <f>1000*_xlfn.XLOOKUP(A3892,'[1]2050Pop'!$A$7:$A$143,'[1]2050Pop'!$C$7:$C$143)</f>
        <v>36223</v>
      </c>
      <c r="D3892" s="126" t="s">
        <v>531</v>
      </c>
      <c r="E3892" s="128">
        <v>23.396999999999998</v>
      </c>
      <c r="F3892" s="129">
        <f t="shared" si="182"/>
        <v>0.84750953099999993</v>
      </c>
      <c r="G3892" t="str">
        <f>_xlfn.XLOOKUP(D3892,'[1]2050 BAU Mapping to T &amp; C'!$A$3:$A$52,'[1]2050 BAU Mapping to T &amp; C'!$B$3:$B$52)</f>
        <v>Ruminant Meats</v>
      </c>
      <c r="H3892" s="129">
        <f>_xlfn.XLOOKUP(G3892,'[1]T&amp;C emissions for 2050 analysis'!$B$3:$B$23,'[1]T&amp;C emissions for 2050 analysis'!$C$3:$C$23)</f>
        <v>20.533333333333331</v>
      </c>
      <c r="I3892" s="27">
        <f t="shared" si="180"/>
        <v>17.402195703199997</v>
      </c>
      <c r="J3892" s="129">
        <f t="shared" si="181"/>
        <v>480.41839999999991</v>
      </c>
    </row>
    <row r="3893" spans="1:10" hidden="1" x14ac:dyDescent="0.35">
      <c r="A3893" s="126" t="s">
        <v>458</v>
      </c>
      <c r="B3893" t="str">
        <f>_xlfn.XLOOKUP(A3893,'[1]2050Pop'!$A$7:$A$143,'[1]2050Pop'!$D$7:$D$143)</f>
        <v>Euro/AU/NZ</v>
      </c>
      <c r="C3893" s="127">
        <f>1000*_xlfn.XLOOKUP(A3893,'[1]2050Pop'!$A$7:$A$143,'[1]2050Pop'!$C$7:$C$143)</f>
        <v>7331</v>
      </c>
      <c r="D3893" s="126" t="s">
        <v>531</v>
      </c>
      <c r="E3893" s="130">
        <v>19.809999999999999</v>
      </c>
      <c r="F3893" s="129">
        <f t="shared" si="182"/>
        <v>0.14522710999999999</v>
      </c>
      <c r="G3893" t="str">
        <f>_xlfn.XLOOKUP(D3893,'[1]2050 BAU Mapping to T &amp; C'!$A$3:$A$52,'[1]2050 BAU Mapping to T &amp; C'!$B$3:$B$52)</f>
        <v>Ruminant Meats</v>
      </c>
      <c r="H3893" s="129">
        <f>_xlfn.XLOOKUP(G3893,'[1]T&amp;C emissions for 2050 analysis'!$B$3:$B$23,'[1]T&amp;C emissions for 2050 analysis'!$C$3:$C$23)</f>
        <v>20.533333333333331</v>
      </c>
      <c r="I3893" s="27">
        <f t="shared" si="180"/>
        <v>2.9819966586666662</v>
      </c>
      <c r="J3893" s="129">
        <f t="shared" si="181"/>
        <v>406.76533333333327</v>
      </c>
    </row>
    <row r="3894" spans="1:10" hidden="1" x14ac:dyDescent="0.35">
      <c r="A3894" s="126" t="s">
        <v>492</v>
      </c>
      <c r="B3894" t="str">
        <f>_xlfn.XLOOKUP(A3894,'[1]2050Pop'!$A$7:$A$143,'[1]2050Pop'!$D$7:$D$143)</f>
        <v>SSA</v>
      </c>
      <c r="C3894" s="127">
        <f>1000*_xlfn.XLOOKUP(A3894,'[1]2050Pop'!$A$7:$A$143,'[1]2050Pop'!$C$7:$C$143)</f>
        <v>11392</v>
      </c>
      <c r="D3894" s="126" t="s">
        <v>531</v>
      </c>
      <c r="E3894" s="128">
        <v>4.726</v>
      </c>
      <c r="F3894" s="129">
        <f t="shared" si="182"/>
        <v>5.3838591999999998E-2</v>
      </c>
      <c r="G3894" t="str">
        <f>_xlfn.XLOOKUP(D3894,'[1]2050 BAU Mapping to T &amp; C'!$A$3:$A$52,'[1]2050 BAU Mapping to T &amp; C'!$B$3:$B$52)</f>
        <v>Ruminant Meats</v>
      </c>
      <c r="H3894" s="129">
        <f>_xlfn.XLOOKUP(G3894,'[1]T&amp;C emissions for 2050 analysis'!$B$3:$B$23,'[1]T&amp;C emissions for 2050 analysis'!$C$3:$C$23)</f>
        <v>20.533333333333331</v>
      </c>
      <c r="I3894" s="27">
        <f t="shared" si="180"/>
        <v>1.1054857557333331</v>
      </c>
      <c r="J3894" s="129">
        <f t="shared" si="181"/>
        <v>97.040533333333329</v>
      </c>
    </row>
    <row r="3895" spans="1:10" hidden="1" x14ac:dyDescent="0.35">
      <c r="A3895" s="126" t="s">
        <v>459</v>
      </c>
      <c r="B3895" t="str">
        <f>_xlfn.XLOOKUP(A3895,'[1]2050Pop'!$A$7:$A$143,'[1]2050Pop'!$D$7:$D$143)</f>
        <v>Euro/AU/NZ</v>
      </c>
      <c r="C3895" s="127">
        <f>1000*_xlfn.XLOOKUP(A3895,'[1]2050Pop'!$A$7:$A$143,'[1]2050Pop'!$C$7:$C$143)</f>
        <v>4892</v>
      </c>
      <c r="D3895" s="126" t="s">
        <v>531</v>
      </c>
      <c r="E3895" s="128">
        <v>1.014</v>
      </c>
      <c r="F3895" s="129">
        <f t="shared" si="182"/>
        <v>4.9604879999999999E-3</v>
      </c>
      <c r="G3895" t="str">
        <f>_xlfn.XLOOKUP(D3895,'[1]2050 BAU Mapping to T &amp; C'!$A$3:$A$52,'[1]2050 BAU Mapping to T &amp; C'!$B$3:$B$52)</f>
        <v>Ruminant Meats</v>
      </c>
      <c r="H3895" s="129">
        <f>_xlfn.XLOOKUP(G3895,'[1]T&amp;C emissions for 2050 analysis'!$B$3:$B$23,'[1]T&amp;C emissions for 2050 analysis'!$C$3:$C$23)</f>
        <v>20.533333333333331</v>
      </c>
      <c r="I3895" s="27">
        <f t="shared" si="180"/>
        <v>0.10185535359999999</v>
      </c>
      <c r="J3895" s="129">
        <f t="shared" si="181"/>
        <v>20.820799999999998</v>
      </c>
    </row>
    <row r="3896" spans="1:10" hidden="1" x14ac:dyDescent="0.35">
      <c r="A3896" s="126" t="s">
        <v>460</v>
      </c>
      <c r="B3896" t="str">
        <f>_xlfn.XLOOKUP(A3896,'[1]2050Pop'!$A$7:$A$143,'[1]2050Pop'!$D$7:$D$143)</f>
        <v>LatAm &amp; RSA</v>
      </c>
      <c r="C3896" s="127">
        <f>1000*_xlfn.XLOOKUP(A3896,'[1]2050Pop'!$A$7:$A$143,'[1]2050Pop'!$C$7:$C$143)</f>
        <v>65540</v>
      </c>
      <c r="D3896" s="126" t="s">
        <v>531</v>
      </c>
      <c r="E3896" s="128">
        <v>23.408999999999999</v>
      </c>
      <c r="F3896" s="129">
        <f t="shared" si="182"/>
        <v>1.5342258599999998</v>
      </c>
      <c r="G3896" t="str">
        <f>_xlfn.XLOOKUP(D3896,'[1]2050 BAU Mapping to T &amp; C'!$A$3:$A$52,'[1]2050 BAU Mapping to T &amp; C'!$B$3:$B$52)</f>
        <v>Ruminant Meats</v>
      </c>
      <c r="H3896" s="129">
        <f>_xlfn.XLOOKUP(G3896,'[1]T&amp;C emissions for 2050 analysis'!$B$3:$B$23,'[1]T&amp;C emissions for 2050 analysis'!$C$3:$C$23)</f>
        <v>20.533333333333331</v>
      </c>
      <c r="I3896" s="27">
        <f t="shared" si="180"/>
        <v>31.502770991999995</v>
      </c>
      <c r="J3896" s="129">
        <f t="shared" si="181"/>
        <v>480.66479999999996</v>
      </c>
    </row>
    <row r="3897" spans="1:10" hidden="1" x14ac:dyDescent="0.35">
      <c r="A3897" s="126" t="s">
        <v>461</v>
      </c>
      <c r="B3897" t="str">
        <f>_xlfn.XLOOKUP(A3897,'[1]2050Pop'!$A$7:$A$143,'[1]2050Pop'!$D$7:$D$143)</f>
        <v>Euro/AU/NZ</v>
      </c>
      <c r="C3897" s="127">
        <f>1000*_xlfn.XLOOKUP(A3897,'[1]2050Pop'!$A$7:$A$143,'[1]2050Pop'!$C$7:$C$143)</f>
        <v>44840</v>
      </c>
      <c r="D3897" s="126" t="s">
        <v>531</v>
      </c>
      <c r="E3897" s="128">
        <v>14.247</v>
      </c>
      <c r="F3897" s="129">
        <f t="shared" si="182"/>
        <v>0.63883548000000001</v>
      </c>
      <c r="G3897" t="str">
        <f>_xlfn.XLOOKUP(D3897,'[1]2050 BAU Mapping to T &amp; C'!$A$3:$A$52,'[1]2050 BAU Mapping to T &amp; C'!$B$3:$B$52)</f>
        <v>Ruminant Meats</v>
      </c>
      <c r="H3897" s="129">
        <f>_xlfn.XLOOKUP(G3897,'[1]T&amp;C emissions for 2050 analysis'!$B$3:$B$23,'[1]T&amp;C emissions for 2050 analysis'!$C$3:$C$23)</f>
        <v>20.533333333333331</v>
      </c>
      <c r="I3897" s="27">
        <f t="shared" si="180"/>
        <v>13.117421855999998</v>
      </c>
      <c r="J3897" s="129">
        <f t="shared" si="181"/>
        <v>292.53839999999997</v>
      </c>
    </row>
    <row r="3898" spans="1:10" hidden="1" x14ac:dyDescent="0.35">
      <c r="A3898" s="126" t="s">
        <v>462</v>
      </c>
      <c r="B3898" t="str">
        <f>_xlfn.XLOOKUP(A3898,'[1]2050Pop'!$A$7:$A$143,'[1]2050Pop'!$D$7:$D$143)</f>
        <v>LatAm &amp; RSA</v>
      </c>
      <c r="C3898" s="127">
        <f>1000*_xlfn.XLOOKUP(A3898,'[1]2050Pop'!$A$7:$A$143,'[1]2050Pop'!$C$7:$C$143)</f>
        <v>624</v>
      </c>
      <c r="D3898" s="126" t="s">
        <v>531</v>
      </c>
      <c r="E3898" s="131">
        <v>1.1000000000000001</v>
      </c>
      <c r="F3898" s="129">
        <f t="shared" si="182"/>
        <v>6.864000000000001E-4</v>
      </c>
      <c r="G3898" t="str">
        <f>_xlfn.XLOOKUP(D3898,'[1]2050 BAU Mapping to T &amp; C'!$A$3:$A$52,'[1]2050 BAU Mapping to T &amp; C'!$B$3:$B$52)</f>
        <v>Ruminant Meats</v>
      </c>
      <c r="H3898" s="129">
        <f>_xlfn.XLOOKUP(G3898,'[1]T&amp;C emissions for 2050 analysis'!$B$3:$B$23,'[1]T&amp;C emissions for 2050 analysis'!$C$3:$C$23)</f>
        <v>20.533333333333331</v>
      </c>
      <c r="I3898" s="27">
        <f t="shared" si="180"/>
        <v>1.409408E-2</v>
      </c>
      <c r="J3898" s="129">
        <f t="shared" si="181"/>
        <v>22.586666666666666</v>
      </c>
    </row>
    <row r="3899" spans="1:10" hidden="1" x14ac:dyDescent="0.35">
      <c r="A3899" s="126" t="s">
        <v>463</v>
      </c>
      <c r="B3899" t="str">
        <f>_xlfn.XLOOKUP(A3899,'[1]2050Pop'!$A$7:$A$143,'[1]2050Pop'!$D$7:$D$143)</f>
        <v>SSA</v>
      </c>
      <c r="C3899" s="127">
        <f>1000*_xlfn.XLOOKUP(A3899,'[1]2050Pop'!$A$7:$A$143,'[1]2050Pop'!$C$7:$C$143)</f>
        <v>1792</v>
      </c>
      <c r="D3899" s="126" t="s">
        <v>531</v>
      </c>
      <c r="E3899" s="128">
        <v>7.4909999999999997</v>
      </c>
      <c r="F3899" s="129">
        <f t="shared" si="182"/>
        <v>1.3423872E-2</v>
      </c>
      <c r="G3899" t="str">
        <f>_xlfn.XLOOKUP(D3899,'[1]2050 BAU Mapping to T &amp; C'!$A$3:$A$52,'[1]2050 BAU Mapping to T &amp; C'!$B$3:$B$52)</f>
        <v>Ruminant Meats</v>
      </c>
      <c r="H3899" s="129">
        <f>_xlfn.XLOOKUP(G3899,'[1]T&amp;C emissions for 2050 analysis'!$B$3:$B$23,'[1]T&amp;C emissions for 2050 analysis'!$C$3:$C$23)</f>
        <v>20.533333333333331</v>
      </c>
      <c r="I3899" s="27">
        <f t="shared" si="180"/>
        <v>0.27563683839999997</v>
      </c>
      <c r="J3899" s="129">
        <f t="shared" si="181"/>
        <v>153.81519999999998</v>
      </c>
    </row>
    <row r="3900" spans="1:10" hidden="1" x14ac:dyDescent="0.35">
      <c r="A3900" s="126" t="s">
        <v>464</v>
      </c>
      <c r="B3900" t="str">
        <f>_xlfn.XLOOKUP(A3900,'[1]2050Pop'!$A$7:$A$143,'[1]2050Pop'!$D$7:$D$143)</f>
        <v>Euro/AU/NZ</v>
      </c>
      <c r="C3900" s="127">
        <f>1000*_xlfn.XLOOKUP(A3900,'[1]2050Pop'!$A$7:$A$143,'[1]2050Pop'!$C$7:$C$143)</f>
        <v>11881</v>
      </c>
      <c r="D3900" s="126" t="s">
        <v>531</v>
      </c>
      <c r="E3900" s="128">
        <v>9.1509999999999998</v>
      </c>
      <c r="F3900" s="129">
        <f t="shared" si="182"/>
        <v>0.108723031</v>
      </c>
      <c r="G3900" t="str">
        <f>_xlfn.XLOOKUP(D3900,'[1]2050 BAU Mapping to T &amp; C'!$A$3:$A$52,'[1]2050 BAU Mapping to T &amp; C'!$B$3:$B$52)</f>
        <v>Ruminant Meats</v>
      </c>
      <c r="H3900" s="129">
        <f>_xlfn.XLOOKUP(G3900,'[1]T&amp;C emissions for 2050 analysis'!$B$3:$B$23,'[1]T&amp;C emissions for 2050 analysis'!$C$3:$C$23)</f>
        <v>20.533333333333331</v>
      </c>
      <c r="I3900" s="27">
        <f t="shared" si="180"/>
        <v>2.2324462365333333</v>
      </c>
      <c r="J3900" s="129">
        <f t="shared" si="181"/>
        <v>187.9005333333333</v>
      </c>
    </row>
    <row r="3901" spans="1:10" hidden="1" x14ac:dyDescent="0.35">
      <c r="A3901" s="126" t="s">
        <v>483</v>
      </c>
      <c r="B3901" t="str">
        <f>_xlfn.XLOOKUP(A3901,'[1]2050Pop'!$A$7:$A$143,'[1]2050Pop'!$D$7:$D$143)</f>
        <v>APAC</v>
      </c>
      <c r="C3901" s="127">
        <f>1000*_xlfn.XLOOKUP(A3901,'[1]2050Pop'!$A$7:$A$143,'[1]2050Pop'!$C$7:$C$143)</f>
        <v>14288</v>
      </c>
      <c r="D3901" s="126" t="s">
        <v>531</v>
      </c>
      <c r="E3901" s="128">
        <v>48.295999999999999</v>
      </c>
      <c r="F3901" s="129">
        <f t="shared" si="182"/>
        <v>0.69005324800000001</v>
      </c>
      <c r="G3901" t="str">
        <f>_xlfn.XLOOKUP(D3901,'[1]2050 BAU Mapping to T &amp; C'!$A$3:$A$52,'[1]2050 BAU Mapping to T &amp; C'!$B$3:$B$52)</f>
        <v>Ruminant Meats</v>
      </c>
      <c r="H3901" s="129">
        <f>_xlfn.XLOOKUP(G3901,'[1]T&amp;C emissions for 2050 analysis'!$B$3:$B$23,'[1]T&amp;C emissions for 2050 analysis'!$C$3:$C$23)</f>
        <v>20.533333333333331</v>
      </c>
      <c r="I3901" s="27">
        <f t="shared" si="180"/>
        <v>14.169093358933333</v>
      </c>
      <c r="J3901" s="129">
        <f t="shared" si="181"/>
        <v>991.67786666666655</v>
      </c>
    </row>
    <row r="3902" spans="1:10" hidden="1" x14ac:dyDescent="0.35">
      <c r="A3902" s="126" t="s">
        <v>466</v>
      </c>
      <c r="B3902" t="str">
        <f>_xlfn.XLOOKUP(A3902,'[1]2050Pop'!$A$7:$A$143,'[1]2050Pop'!$D$7:$D$143)</f>
        <v>SSA</v>
      </c>
      <c r="C3902" s="127">
        <f>1000*_xlfn.XLOOKUP(A3902,'[1]2050Pop'!$A$7:$A$143,'[1]2050Pop'!$C$7:$C$143)</f>
        <v>15681</v>
      </c>
      <c r="D3902" s="126" t="s">
        <v>531</v>
      </c>
      <c r="E3902" s="128">
        <v>10.433999999999999</v>
      </c>
      <c r="F3902" s="129">
        <f t="shared" si="182"/>
        <v>0.16361555399999997</v>
      </c>
      <c r="G3902" t="str">
        <f>_xlfn.XLOOKUP(D3902,'[1]2050 BAU Mapping to T &amp; C'!$A$3:$A$52,'[1]2050 BAU Mapping to T &amp; C'!$B$3:$B$52)</f>
        <v>Ruminant Meats</v>
      </c>
      <c r="H3902" s="129">
        <f>_xlfn.XLOOKUP(G3902,'[1]T&amp;C emissions for 2050 analysis'!$B$3:$B$23,'[1]T&amp;C emissions for 2050 analysis'!$C$3:$C$23)</f>
        <v>20.533333333333331</v>
      </c>
      <c r="I3902" s="27">
        <f t="shared" si="180"/>
        <v>3.3595727087999991</v>
      </c>
      <c r="J3902" s="129">
        <f t="shared" si="181"/>
        <v>214.24479999999997</v>
      </c>
    </row>
    <row r="3903" spans="1:10" hidden="1" x14ac:dyDescent="0.35">
      <c r="A3903" s="126" t="s">
        <v>467</v>
      </c>
      <c r="B3903" t="str">
        <f>_xlfn.XLOOKUP(A3903,'[1]2050Pop'!$A$7:$A$143,'[1]2050Pop'!$D$7:$D$143)</f>
        <v>LatAm &amp; RSA</v>
      </c>
      <c r="C3903" s="127">
        <f>1000*_xlfn.XLOOKUP(A3903,'[1]2050Pop'!$A$7:$A$143,'[1]2050Pop'!$C$7:$C$143)</f>
        <v>1291</v>
      </c>
      <c r="D3903" s="126" t="s">
        <v>531</v>
      </c>
      <c r="E3903" s="128">
        <v>15.489000000000001</v>
      </c>
      <c r="F3903" s="129">
        <f t="shared" si="182"/>
        <v>1.9996299000000002E-2</v>
      </c>
      <c r="G3903" t="str">
        <f>_xlfn.XLOOKUP(D3903,'[1]2050 BAU Mapping to T &amp; C'!$A$3:$A$52,'[1]2050 BAU Mapping to T &amp; C'!$B$3:$B$52)</f>
        <v>Ruminant Meats</v>
      </c>
      <c r="H3903" s="129">
        <f>_xlfn.XLOOKUP(G3903,'[1]T&amp;C emissions for 2050 analysis'!$B$3:$B$23,'[1]T&amp;C emissions for 2050 analysis'!$C$3:$C$23)</f>
        <v>20.533333333333331</v>
      </c>
      <c r="I3903" s="27">
        <f t="shared" si="180"/>
        <v>0.4105906728</v>
      </c>
      <c r="J3903" s="129">
        <f t="shared" si="181"/>
        <v>318.04079999999999</v>
      </c>
    </row>
    <row r="3904" spans="1:10" hidden="1" x14ac:dyDescent="0.35">
      <c r="A3904" s="126" t="s">
        <v>468</v>
      </c>
      <c r="B3904" t="str">
        <f>_xlfn.XLOOKUP(A3904,'[1]2050Pop'!$A$7:$A$143,'[1]2050Pop'!$D$7:$D$143)</f>
        <v>MENA</v>
      </c>
      <c r="C3904" s="127">
        <f>1000*_xlfn.XLOOKUP(A3904,'[1]2050Pop'!$A$7:$A$143,'[1]2050Pop'!$C$7:$C$143)</f>
        <v>13476</v>
      </c>
      <c r="D3904" s="126" t="s">
        <v>531</v>
      </c>
      <c r="E3904" s="128">
        <v>32.722999999999999</v>
      </c>
      <c r="F3904" s="129">
        <f t="shared" si="182"/>
        <v>0.44097514799999998</v>
      </c>
      <c r="G3904" t="str">
        <f>_xlfn.XLOOKUP(D3904,'[1]2050 BAU Mapping to T &amp; C'!$A$3:$A$52,'[1]2050 BAU Mapping to T &amp; C'!$B$3:$B$52)</f>
        <v>Ruminant Meats</v>
      </c>
      <c r="H3904" s="129">
        <f>_xlfn.XLOOKUP(G3904,'[1]T&amp;C emissions for 2050 analysis'!$B$3:$B$23,'[1]T&amp;C emissions for 2050 analysis'!$C$3:$C$23)</f>
        <v>20.533333333333331</v>
      </c>
      <c r="I3904" s="27">
        <f t="shared" si="180"/>
        <v>9.0546897055999995</v>
      </c>
      <c r="J3904" s="129">
        <f t="shared" si="181"/>
        <v>671.9122666666666</v>
      </c>
    </row>
    <row r="3905" spans="1:10" hidden="1" x14ac:dyDescent="0.35">
      <c r="A3905" s="126" t="s">
        <v>469</v>
      </c>
      <c r="B3905" t="str">
        <f>_xlfn.XLOOKUP(A3905,'[1]2050Pop'!$A$7:$A$143,'[1]2050Pop'!$D$7:$D$143)</f>
        <v>MENA</v>
      </c>
      <c r="C3905" s="127">
        <f>1000*_xlfn.XLOOKUP(A3905,'[1]2050Pop'!$A$7:$A$143,'[1]2050Pop'!$C$7:$C$143)</f>
        <v>95819</v>
      </c>
      <c r="D3905" s="126" t="s">
        <v>531</v>
      </c>
      <c r="E3905" s="128">
        <v>27.481000000000002</v>
      </c>
      <c r="F3905" s="129">
        <f t="shared" si="182"/>
        <v>2.6332019390000001</v>
      </c>
      <c r="G3905" t="str">
        <f>_xlfn.XLOOKUP(D3905,'[1]2050 BAU Mapping to T &amp; C'!$A$3:$A$52,'[1]2050 BAU Mapping to T &amp; C'!$B$3:$B$52)</f>
        <v>Ruminant Meats</v>
      </c>
      <c r="H3905" s="129">
        <f>_xlfn.XLOOKUP(G3905,'[1]T&amp;C emissions for 2050 analysis'!$B$3:$B$23,'[1]T&amp;C emissions for 2050 analysis'!$C$3:$C$23)</f>
        <v>20.533333333333331</v>
      </c>
      <c r="I3905" s="27">
        <f t="shared" si="180"/>
        <v>54.068413147466664</v>
      </c>
      <c r="J3905" s="129">
        <f t="shared" si="181"/>
        <v>564.2765333333333</v>
      </c>
    </row>
    <row r="3906" spans="1:10" hidden="1" x14ac:dyDescent="0.35">
      <c r="A3906" s="126" t="s">
        <v>484</v>
      </c>
      <c r="B3906" t="str">
        <f>_xlfn.XLOOKUP(A3906,'[1]2050Pop'!$A$7:$A$143,'[1]2050Pop'!$D$7:$D$143)</f>
        <v>APAC</v>
      </c>
      <c r="C3906" s="127">
        <f>1000*_xlfn.XLOOKUP(A3906,'[1]2050Pop'!$A$7:$A$143,'[1]2050Pop'!$C$7:$C$143)</f>
        <v>6555</v>
      </c>
      <c r="D3906" s="126" t="s">
        <v>531</v>
      </c>
      <c r="E3906" s="128">
        <v>210.48400000000001</v>
      </c>
      <c r="F3906" s="129">
        <f t="shared" si="182"/>
        <v>1.3797226200000001</v>
      </c>
      <c r="G3906" t="str">
        <f>_xlfn.XLOOKUP(D3906,'[1]2050 BAU Mapping to T &amp; C'!$A$3:$A$52,'[1]2050 BAU Mapping to T &amp; C'!$B$3:$B$52)</f>
        <v>Ruminant Meats</v>
      </c>
      <c r="H3906" s="129">
        <f>_xlfn.XLOOKUP(G3906,'[1]T&amp;C emissions for 2050 analysis'!$B$3:$B$23,'[1]T&amp;C emissions for 2050 analysis'!$C$3:$C$23)</f>
        <v>20.533333333333331</v>
      </c>
      <c r="I3906" s="27">
        <f t="shared" si="180"/>
        <v>28.330304464000001</v>
      </c>
      <c r="J3906" s="129">
        <f t="shared" si="181"/>
        <v>4321.9381333333331</v>
      </c>
    </row>
    <row r="3907" spans="1:10" hidden="1" x14ac:dyDescent="0.35">
      <c r="A3907" s="126" t="s">
        <v>470</v>
      </c>
      <c r="B3907" t="str">
        <f>_xlfn.XLOOKUP(A3907,'[1]2050Pop'!$A$7:$A$143,'[1]2050Pop'!$D$7:$D$143)</f>
        <v>SSA</v>
      </c>
      <c r="C3907" s="127">
        <f>1000*_xlfn.XLOOKUP(A3907,'[1]2050Pop'!$A$7:$A$143,'[1]2050Pop'!$C$7:$C$143)</f>
        <v>101873</v>
      </c>
      <c r="D3907" s="126" t="s">
        <v>531</v>
      </c>
      <c r="E3907" s="130">
        <v>9.32</v>
      </c>
      <c r="F3907" s="129">
        <f t="shared" si="182"/>
        <v>0.94945636</v>
      </c>
      <c r="G3907" t="str">
        <f>_xlfn.XLOOKUP(D3907,'[1]2050 BAU Mapping to T &amp; C'!$A$3:$A$52,'[1]2050 BAU Mapping to T &amp; C'!$B$3:$B$52)</f>
        <v>Ruminant Meats</v>
      </c>
      <c r="H3907" s="129">
        <f>_xlfn.XLOOKUP(G3907,'[1]T&amp;C emissions for 2050 analysis'!$B$3:$B$23,'[1]T&amp;C emissions for 2050 analysis'!$C$3:$C$23)</f>
        <v>20.533333333333331</v>
      </c>
      <c r="I3907" s="27">
        <f t="shared" si="180"/>
        <v>19.495503925333331</v>
      </c>
      <c r="J3907" s="129">
        <f t="shared" si="181"/>
        <v>191.37066666666666</v>
      </c>
    </row>
    <row r="3908" spans="1:10" hidden="1" x14ac:dyDescent="0.35">
      <c r="A3908" s="126" t="s">
        <v>471</v>
      </c>
      <c r="B3908" t="str">
        <f>_xlfn.XLOOKUP(A3908,'[1]2050Pop'!$A$7:$A$143,'[1]2050Pop'!$D$7:$D$143)</f>
        <v>Euro/AU/NZ</v>
      </c>
      <c r="C3908" s="127">
        <f>1000*_xlfn.XLOOKUP(A3908,'[1]2050Pop'!$A$7:$A$143,'[1]2050Pop'!$C$7:$C$143)</f>
        <v>35117</v>
      </c>
      <c r="D3908" s="126" t="s">
        <v>531</v>
      </c>
      <c r="E3908" s="128">
        <v>2.1720000000000002</v>
      </c>
      <c r="F3908" s="129">
        <f t="shared" si="182"/>
        <v>7.6274124000000013E-2</v>
      </c>
      <c r="G3908" t="str">
        <f>_xlfn.XLOOKUP(D3908,'[1]2050 BAU Mapping to T &amp; C'!$A$3:$A$52,'[1]2050 BAU Mapping to T &amp; C'!$B$3:$B$52)</f>
        <v>Ruminant Meats</v>
      </c>
      <c r="H3908" s="129">
        <f>_xlfn.XLOOKUP(G3908,'[1]T&amp;C emissions for 2050 analysis'!$B$3:$B$23,'[1]T&amp;C emissions for 2050 analysis'!$C$3:$C$23)</f>
        <v>20.533333333333331</v>
      </c>
      <c r="I3908" s="27">
        <f t="shared" ref="I3908:I3971" si="183">F3908*H3908</f>
        <v>1.5661620128</v>
      </c>
      <c r="J3908" s="129">
        <f t="shared" ref="J3908:J3971" si="184">E3908*H3908</f>
        <v>44.598399999999998</v>
      </c>
    </row>
    <row r="3909" spans="1:10" hidden="1" x14ac:dyDescent="0.35">
      <c r="A3909" s="126" t="s">
        <v>472</v>
      </c>
      <c r="B3909" t="str">
        <f>_xlfn.XLOOKUP(A3909,'[1]2050Pop'!$A$7:$A$143,'[1]2050Pop'!$D$7:$D$143)</f>
        <v>Euro/AU/NZ</v>
      </c>
      <c r="C3909" s="127">
        <f>1000*_xlfn.XLOOKUP(A3909,'[1]2050Pop'!$A$7:$A$143,'[1]2050Pop'!$C$7:$C$143)</f>
        <v>75361</v>
      </c>
      <c r="D3909" s="126" t="s">
        <v>531</v>
      </c>
      <c r="E3909" s="128">
        <v>28.329000000000001</v>
      </c>
      <c r="F3909" s="129">
        <f t="shared" ref="F3909:F3972" si="185">C3909*E3909/1000000</f>
        <v>2.1349017689999998</v>
      </c>
      <c r="G3909" t="str">
        <f>_xlfn.XLOOKUP(D3909,'[1]2050 BAU Mapping to T &amp; C'!$A$3:$A$52,'[1]2050 BAU Mapping to T &amp; C'!$B$3:$B$52)</f>
        <v>Ruminant Meats</v>
      </c>
      <c r="H3909" s="129">
        <f>_xlfn.XLOOKUP(G3909,'[1]T&amp;C emissions for 2050 analysis'!$B$3:$B$23,'[1]T&amp;C emissions for 2050 analysis'!$C$3:$C$23)</f>
        <v>20.533333333333331</v>
      </c>
      <c r="I3909" s="27">
        <f t="shared" si="183"/>
        <v>43.836649656799992</v>
      </c>
      <c r="J3909" s="129">
        <f t="shared" si="184"/>
        <v>581.68880000000001</v>
      </c>
    </row>
    <row r="3910" spans="1:10" hidden="1" x14ac:dyDescent="0.35">
      <c r="A3910" s="126" t="s">
        <v>473</v>
      </c>
      <c r="B3910" t="str">
        <f>_xlfn.XLOOKUP(A3910,'[1]2050Pop'!$A$7:$A$143,'[1]2050Pop'!$D$7:$D$143)</f>
        <v>SSA</v>
      </c>
      <c r="C3910" s="127">
        <f>1000*_xlfn.XLOOKUP(A3910,'[1]2050Pop'!$A$7:$A$143,'[1]2050Pop'!$C$7:$C$143)</f>
        <v>137136</v>
      </c>
      <c r="D3910" s="126" t="s">
        <v>531</v>
      </c>
      <c r="E3910" s="128">
        <v>9.5719999999999992</v>
      </c>
      <c r="F3910" s="129">
        <f t="shared" si="185"/>
        <v>1.312665792</v>
      </c>
      <c r="G3910" t="str">
        <f>_xlfn.XLOOKUP(D3910,'[1]2050 BAU Mapping to T &amp; C'!$A$3:$A$52,'[1]2050 BAU Mapping to T &amp; C'!$B$3:$B$52)</f>
        <v>Ruminant Meats</v>
      </c>
      <c r="H3910" s="129">
        <f>_xlfn.XLOOKUP(G3910,'[1]T&amp;C emissions for 2050 analysis'!$B$3:$B$23,'[1]T&amp;C emissions for 2050 analysis'!$C$3:$C$23)</f>
        <v>20.533333333333331</v>
      </c>
      <c r="I3910" s="27">
        <f t="shared" si="183"/>
        <v>26.953404262399996</v>
      </c>
      <c r="J3910" s="129">
        <f t="shared" si="184"/>
        <v>196.54506666666663</v>
      </c>
    </row>
    <row r="3911" spans="1:10" hidden="1" x14ac:dyDescent="0.35">
      <c r="A3911" s="126" t="s">
        <v>474</v>
      </c>
      <c r="B3911" t="str">
        <f>_xlfn.XLOOKUP(A3911,'[1]2050Pop'!$A$7:$A$143,'[1]2050Pop'!$D$7:$D$143)</f>
        <v>NAm</v>
      </c>
      <c r="C3911" s="127">
        <f>1000*_xlfn.XLOOKUP(A3911,'[1]2050Pop'!$A$7:$A$143,'[1]2050Pop'!$C$7:$C$143)</f>
        <v>388865</v>
      </c>
      <c r="D3911" s="126" t="s">
        <v>531</v>
      </c>
      <c r="E3911" s="128">
        <v>2.794</v>
      </c>
      <c r="F3911" s="129">
        <f t="shared" si="185"/>
        <v>1.0864888100000001</v>
      </c>
      <c r="G3911" t="str">
        <f>_xlfn.XLOOKUP(D3911,'[1]2050 BAU Mapping to T &amp; C'!$A$3:$A$52,'[1]2050 BAU Mapping to T &amp; C'!$B$3:$B$52)</f>
        <v>Ruminant Meats</v>
      </c>
      <c r="H3911" s="129">
        <f>_xlfn.XLOOKUP(G3911,'[1]T&amp;C emissions for 2050 analysis'!$B$3:$B$23,'[1]T&amp;C emissions for 2050 analysis'!$C$3:$C$23)</f>
        <v>20.533333333333331</v>
      </c>
      <c r="I3911" s="27">
        <f t="shared" si="183"/>
        <v>22.309236898666665</v>
      </c>
      <c r="J3911" s="129">
        <f t="shared" si="184"/>
        <v>57.370133333333328</v>
      </c>
    </row>
    <row r="3912" spans="1:10" hidden="1" x14ac:dyDescent="0.35">
      <c r="A3912" s="126" t="s">
        <v>475</v>
      </c>
      <c r="B3912" t="str">
        <f>_xlfn.XLOOKUP(A3912,'[1]2050Pop'!$A$7:$A$143,'[1]2050Pop'!$D$7:$D$143)</f>
        <v>LatAm &amp; RSA</v>
      </c>
      <c r="C3912" s="127">
        <f>1000*_xlfn.XLOOKUP(A3912,'[1]2050Pop'!$A$7:$A$143,'[1]2050Pop'!$C$7:$C$143)</f>
        <v>3667</v>
      </c>
      <c r="D3912" s="126" t="s">
        <v>531</v>
      </c>
      <c r="E3912" s="128">
        <v>11.327</v>
      </c>
      <c r="F3912" s="129">
        <f t="shared" si="185"/>
        <v>4.1536108999999995E-2</v>
      </c>
      <c r="G3912" t="str">
        <f>_xlfn.XLOOKUP(D3912,'[1]2050 BAU Mapping to T &amp; C'!$A$3:$A$52,'[1]2050 BAU Mapping to T &amp; C'!$B$3:$B$52)</f>
        <v>Ruminant Meats</v>
      </c>
      <c r="H3912" s="129">
        <f>_xlfn.XLOOKUP(G3912,'[1]T&amp;C emissions for 2050 analysis'!$B$3:$B$23,'[1]T&amp;C emissions for 2050 analysis'!$C$3:$C$23)</f>
        <v>20.533333333333331</v>
      </c>
      <c r="I3912" s="27">
        <f t="shared" si="183"/>
        <v>0.85287477146666646</v>
      </c>
      <c r="J3912" s="129">
        <f t="shared" si="184"/>
        <v>232.58106666666666</v>
      </c>
    </row>
    <row r="3913" spans="1:10" hidden="1" x14ac:dyDescent="0.35">
      <c r="A3913" s="126" t="s">
        <v>485</v>
      </c>
      <c r="B3913" t="str">
        <f>_xlfn.XLOOKUP(A3913,'[1]2050Pop'!$A$7:$A$143,'[1]2050Pop'!$D$7:$D$143)</f>
        <v>APAC</v>
      </c>
      <c r="C3913" s="127">
        <f>1000*_xlfn.XLOOKUP(A3913,'[1]2050Pop'!$A$7:$A$143,'[1]2050Pop'!$C$7:$C$143)</f>
        <v>37126</v>
      </c>
      <c r="D3913" s="126" t="s">
        <v>531</v>
      </c>
      <c r="E3913" s="128">
        <v>34.777999999999999</v>
      </c>
      <c r="F3913" s="129">
        <f t="shared" si="185"/>
        <v>1.291168028</v>
      </c>
      <c r="G3913" t="str">
        <f>_xlfn.XLOOKUP(D3913,'[1]2050 BAU Mapping to T &amp; C'!$A$3:$A$52,'[1]2050 BAU Mapping to T &amp; C'!$B$3:$B$52)</f>
        <v>Ruminant Meats</v>
      </c>
      <c r="H3913" s="129">
        <f>_xlfn.XLOOKUP(G3913,'[1]T&amp;C emissions for 2050 analysis'!$B$3:$B$23,'[1]T&amp;C emissions for 2050 analysis'!$C$3:$C$23)</f>
        <v>20.533333333333331</v>
      </c>
      <c r="I3913" s="27">
        <f t="shared" si="183"/>
        <v>26.511983508266663</v>
      </c>
      <c r="J3913" s="129">
        <f t="shared" si="184"/>
        <v>714.10826666666662</v>
      </c>
    </row>
    <row r="3914" spans="1:10" hidden="1" x14ac:dyDescent="0.35">
      <c r="A3914" s="126" t="s">
        <v>476</v>
      </c>
      <c r="B3914" t="str">
        <f>_xlfn.XLOOKUP(A3914,'[1]2050Pop'!$A$7:$A$143,'[1]2050Pop'!$D$7:$D$143)</f>
        <v>LatAm &amp; RSA</v>
      </c>
      <c r="C3914" s="127">
        <f>1000*_xlfn.XLOOKUP(A3914,'[1]2050Pop'!$A$7:$A$143,'[1]2050Pop'!$C$7:$C$143)</f>
        <v>41562</v>
      </c>
      <c r="D3914" s="126" t="s">
        <v>531</v>
      </c>
      <c r="E3914" s="128">
        <v>1.0369999999999999</v>
      </c>
      <c r="F3914" s="129">
        <f t="shared" si="185"/>
        <v>4.3099793999999997E-2</v>
      </c>
      <c r="G3914" t="str">
        <f>_xlfn.XLOOKUP(D3914,'[1]2050 BAU Mapping to T &amp; C'!$A$3:$A$52,'[1]2050 BAU Mapping to T &amp; C'!$B$3:$B$52)</f>
        <v>Ruminant Meats</v>
      </c>
      <c r="H3914" s="129">
        <f>_xlfn.XLOOKUP(G3914,'[1]T&amp;C emissions for 2050 analysis'!$B$3:$B$23,'[1]T&amp;C emissions for 2050 analysis'!$C$3:$C$23)</f>
        <v>20.533333333333331</v>
      </c>
      <c r="I3914" s="27">
        <f t="shared" si="183"/>
        <v>0.88498243679999988</v>
      </c>
      <c r="J3914" s="129">
        <f t="shared" si="184"/>
        <v>21.293066666666665</v>
      </c>
    </row>
    <row r="3915" spans="1:10" hidden="1" x14ac:dyDescent="0.35">
      <c r="A3915" s="126" t="s">
        <v>477</v>
      </c>
      <c r="B3915" t="str">
        <f>_xlfn.XLOOKUP(A3915,'[1]2050Pop'!$A$7:$A$143,'[1]2050Pop'!$D$7:$D$143)</f>
        <v>APAC</v>
      </c>
      <c r="C3915" s="127">
        <f>1000*_xlfn.XLOOKUP(A3915,'[1]2050Pop'!$A$7:$A$143,'[1]2050Pop'!$C$7:$C$143)</f>
        <v>112783</v>
      </c>
      <c r="D3915" s="126" t="s">
        <v>531</v>
      </c>
      <c r="E3915" s="128">
        <v>1.2290000000000001</v>
      </c>
      <c r="F3915" s="129">
        <f t="shared" si="185"/>
        <v>0.13861030699999999</v>
      </c>
      <c r="G3915" t="str">
        <f>_xlfn.XLOOKUP(D3915,'[1]2050 BAU Mapping to T &amp; C'!$A$3:$A$52,'[1]2050 BAU Mapping to T &amp; C'!$B$3:$B$52)</f>
        <v>Ruminant Meats</v>
      </c>
      <c r="H3915" s="129">
        <f>_xlfn.XLOOKUP(G3915,'[1]T&amp;C emissions for 2050 analysis'!$B$3:$B$23,'[1]T&amp;C emissions for 2050 analysis'!$C$3:$C$23)</f>
        <v>20.533333333333331</v>
      </c>
      <c r="I3915" s="27">
        <f t="shared" si="183"/>
        <v>2.8461316370666663</v>
      </c>
      <c r="J3915" s="129">
        <f t="shared" si="184"/>
        <v>25.235466666666667</v>
      </c>
    </row>
    <row r="3916" spans="1:10" hidden="1" x14ac:dyDescent="0.35">
      <c r="A3916" s="126" t="s">
        <v>478</v>
      </c>
      <c r="B3916" t="str">
        <f>_xlfn.XLOOKUP(A3916,'[1]2050Pop'!$A$7:$A$143,'[1]2050Pop'!$D$7:$D$143)</f>
        <v>MENA</v>
      </c>
      <c r="C3916" s="127">
        <f>1000*_xlfn.XLOOKUP(A3916,'[1]2050Pop'!$A$7:$A$143,'[1]2050Pop'!$C$7:$C$143)</f>
        <v>47170</v>
      </c>
      <c r="D3916" s="126" t="s">
        <v>531</v>
      </c>
      <c r="E3916" s="130">
        <v>27.39</v>
      </c>
      <c r="F3916" s="129">
        <f t="shared" si="185"/>
        <v>1.2919863</v>
      </c>
      <c r="G3916" t="str">
        <f>_xlfn.XLOOKUP(D3916,'[1]2050 BAU Mapping to T &amp; C'!$A$3:$A$52,'[1]2050 BAU Mapping to T &amp; C'!$B$3:$B$52)</f>
        <v>Ruminant Meats</v>
      </c>
      <c r="H3916" s="129">
        <f>_xlfn.XLOOKUP(G3916,'[1]T&amp;C emissions for 2050 analysis'!$B$3:$B$23,'[1]T&amp;C emissions for 2050 analysis'!$C$3:$C$23)</f>
        <v>20.533333333333331</v>
      </c>
      <c r="I3916" s="27">
        <f t="shared" si="183"/>
        <v>26.528785359999997</v>
      </c>
      <c r="J3916" s="129">
        <f t="shared" si="184"/>
        <v>562.40800000000002</v>
      </c>
    </row>
    <row r="3917" spans="1:10" hidden="1" x14ac:dyDescent="0.35">
      <c r="A3917" s="126" t="s">
        <v>494</v>
      </c>
      <c r="B3917" t="str">
        <f>_xlfn.XLOOKUP(A3917,'[1]2050Pop'!$A$7:$A$143,'[1]2050Pop'!$D$7:$D$143)</f>
        <v>SSA</v>
      </c>
      <c r="C3917" s="127">
        <f>1000*_xlfn.XLOOKUP(A3917,'[1]2050Pop'!$A$7:$A$143,'[1]2050Pop'!$C$7:$C$143)</f>
        <v>42975</v>
      </c>
      <c r="D3917" s="126" t="s">
        <v>531</v>
      </c>
      <c r="E3917" s="128">
        <v>3.0539999999999998</v>
      </c>
      <c r="F3917" s="129">
        <f t="shared" si="185"/>
        <v>0.13124564999999999</v>
      </c>
      <c r="G3917" t="str">
        <f>_xlfn.XLOOKUP(D3917,'[1]2050 BAU Mapping to T &amp; C'!$A$3:$A$52,'[1]2050 BAU Mapping to T &amp; C'!$B$3:$B$52)</f>
        <v>Ruminant Meats</v>
      </c>
      <c r="H3917" s="129">
        <f>_xlfn.XLOOKUP(G3917,'[1]T&amp;C emissions for 2050 analysis'!$B$3:$B$23,'[1]T&amp;C emissions for 2050 analysis'!$C$3:$C$23)</f>
        <v>20.533333333333331</v>
      </c>
      <c r="I3917" s="27">
        <f t="shared" si="183"/>
        <v>2.6949106799999996</v>
      </c>
      <c r="J3917" s="129">
        <f t="shared" si="184"/>
        <v>62.708799999999989</v>
      </c>
    </row>
    <row r="3918" spans="1:10" hidden="1" x14ac:dyDescent="0.35">
      <c r="A3918" s="126" t="s">
        <v>479</v>
      </c>
      <c r="B3918" t="str">
        <f>_xlfn.XLOOKUP(A3918,'[1]2050Pop'!$A$7:$A$143,'[1]2050Pop'!$D$7:$D$143)</f>
        <v>SSA</v>
      </c>
      <c r="C3918" s="127">
        <f>1000*_xlfn.XLOOKUP(A3918,'[1]2050Pop'!$A$7:$A$143,'[1]2050Pop'!$C$7:$C$143)</f>
        <v>29615</v>
      </c>
      <c r="D3918" s="126" t="s">
        <v>531</v>
      </c>
      <c r="E3918" s="128">
        <v>5.0910000000000002</v>
      </c>
      <c r="F3918" s="129">
        <f t="shared" si="185"/>
        <v>0.15076996500000001</v>
      </c>
      <c r="G3918" t="str">
        <f>_xlfn.XLOOKUP(D3918,'[1]2050 BAU Mapping to T &amp; C'!$A$3:$A$52,'[1]2050 BAU Mapping to T &amp; C'!$B$3:$B$52)</f>
        <v>Ruminant Meats</v>
      </c>
      <c r="H3918" s="129">
        <f>_xlfn.XLOOKUP(G3918,'[1]T&amp;C emissions for 2050 analysis'!$B$3:$B$23,'[1]T&amp;C emissions for 2050 analysis'!$C$3:$C$23)</f>
        <v>20.533333333333331</v>
      </c>
      <c r="I3918" s="27">
        <f t="shared" si="183"/>
        <v>3.0958099479999999</v>
      </c>
      <c r="J3918" s="129">
        <f t="shared" si="184"/>
        <v>104.53519999999999</v>
      </c>
    </row>
    <row r="3919" spans="1:10" hidden="1" x14ac:dyDescent="0.35">
      <c r="A3919" s="126" t="s">
        <v>358</v>
      </c>
      <c r="B3919" t="str">
        <f>_xlfn.XLOOKUP(A3919,'[1]2050Pop'!$A$7:$A$143,'[1]2050Pop'!$D$7:$D$143)</f>
        <v>MENA</v>
      </c>
      <c r="C3919" s="127">
        <f>1000*_xlfn.XLOOKUP(A3919,'[1]2050Pop'!$A$7:$A$143,'[1]2050Pop'!$C$7:$C$143)</f>
        <v>56461</v>
      </c>
      <c r="D3919" s="126" t="s">
        <v>532</v>
      </c>
      <c r="E3919" s="128">
        <v>0.78300000000000003</v>
      </c>
      <c r="F3919" s="129">
        <f t="shared" si="185"/>
        <v>4.4208963000000004E-2</v>
      </c>
      <c r="G3919" t="str">
        <f>_xlfn.XLOOKUP(D3919,'[1]2050 BAU Mapping to T &amp; C'!$A$3:$A$52,'[1]2050 BAU Mapping to T &amp; C'!$B$3:$B$52)</f>
        <v>Other veg</v>
      </c>
      <c r="H3919" s="129">
        <f>_xlfn.XLOOKUP(G3919,'[1]T&amp;C emissions for 2050 analysis'!$B$3:$B$23,'[1]T&amp;C emissions for 2050 analysis'!$C$3:$C$23)</f>
        <v>0.26766666666666666</v>
      </c>
      <c r="I3919" s="27">
        <f t="shared" si="183"/>
        <v>1.1833265763000001E-2</v>
      </c>
      <c r="J3919" s="129">
        <f t="shared" si="184"/>
        <v>0.20958300000000002</v>
      </c>
    </row>
    <row r="3920" spans="1:10" hidden="1" x14ac:dyDescent="0.35">
      <c r="A3920" s="126" t="s">
        <v>368</v>
      </c>
      <c r="B3920" t="str">
        <f>_xlfn.XLOOKUP(A3920,'[1]2050Pop'!$A$7:$A$143,'[1]2050Pop'!$D$7:$D$143)</f>
        <v>SSA</v>
      </c>
      <c r="C3920" s="127">
        <f>1000*_xlfn.XLOOKUP(A3920,'[1]2050Pop'!$A$7:$A$143,'[1]2050Pop'!$C$7:$C$143)</f>
        <v>22549</v>
      </c>
      <c r="D3920" s="126" t="s">
        <v>532</v>
      </c>
      <c r="E3920" s="128">
        <v>92.888999999999996</v>
      </c>
      <c r="F3920" s="129">
        <f t="shared" si="185"/>
        <v>2.0945540610000002</v>
      </c>
      <c r="G3920" t="str">
        <f>_xlfn.XLOOKUP(D3920,'[1]2050 BAU Mapping to T &amp; C'!$A$3:$A$52,'[1]2050 BAU Mapping to T &amp; C'!$B$3:$B$52)</f>
        <v>Other veg</v>
      </c>
      <c r="H3920" s="129">
        <f>_xlfn.XLOOKUP(G3920,'[1]T&amp;C emissions for 2050 analysis'!$B$3:$B$23,'[1]T&amp;C emissions for 2050 analysis'!$C$3:$C$23)</f>
        <v>0.26766666666666666</v>
      </c>
      <c r="I3920" s="27">
        <f t="shared" si="183"/>
        <v>0.5606423036610001</v>
      </c>
      <c r="J3920" s="129">
        <f t="shared" si="184"/>
        <v>24.863288999999998</v>
      </c>
    </row>
    <row r="3921" spans="1:10" hidden="1" x14ac:dyDescent="0.35">
      <c r="A3921" s="126" t="s">
        <v>371</v>
      </c>
      <c r="B3921" t="str">
        <f>_xlfn.XLOOKUP(A3921,'[1]2050Pop'!$A$7:$A$143,'[1]2050Pop'!$D$7:$D$143)</f>
        <v>SSA</v>
      </c>
      <c r="C3921" s="127">
        <f>1000*_xlfn.XLOOKUP(A3921,'[1]2050Pop'!$A$7:$A$143,'[1]2050Pop'!$C$7:$C$143)</f>
        <v>3389</v>
      </c>
      <c r="D3921" s="126" t="s">
        <v>532</v>
      </c>
      <c r="E3921" s="128">
        <v>167.61199999999999</v>
      </c>
      <c r="F3921" s="129">
        <f t="shared" si="185"/>
        <v>0.56803706799999998</v>
      </c>
      <c r="G3921" t="str">
        <f>_xlfn.XLOOKUP(D3921,'[1]2050 BAU Mapping to T &amp; C'!$A$3:$A$52,'[1]2050 BAU Mapping to T &amp; C'!$B$3:$B$52)</f>
        <v>Other veg</v>
      </c>
      <c r="H3921" s="129">
        <f>_xlfn.XLOOKUP(G3921,'[1]T&amp;C emissions for 2050 analysis'!$B$3:$B$23,'[1]T&amp;C emissions for 2050 analysis'!$C$3:$C$23)</f>
        <v>0.26766666666666666</v>
      </c>
      <c r="I3921" s="27">
        <f t="shared" si="183"/>
        <v>0.15204458853466665</v>
      </c>
      <c r="J3921" s="129">
        <f t="shared" si="184"/>
        <v>44.864145333333333</v>
      </c>
    </row>
    <row r="3922" spans="1:10" hidden="1" x14ac:dyDescent="0.35">
      <c r="A3922" s="126" t="s">
        <v>487</v>
      </c>
      <c r="B3922" t="str">
        <f>_xlfn.XLOOKUP(A3922,'[1]2050Pop'!$A$7:$A$143,'[1]2050Pop'!$D$7:$D$143)</f>
        <v>SSA</v>
      </c>
      <c r="C3922" s="127">
        <f>1000*_xlfn.XLOOKUP(A3922,'[1]2050Pop'!$A$7:$A$143,'[1]2050Pop'!$C$7:$C$143)</f>
        <v>42789</v>
      </c>
      <c r="D3922" s="126" t="s">
        <v>532</v>
      </c>
      <c r="E3922" s="128">
        <v>534.87400000000002</v>
      </c>
      <c r="F3922" s="129">
        <f t="shared" si="185"/>
        <v>22.886723585999999</v>
      </c>
      <c r="G3922" t="str">
        <f>_xlfn.XLOOKUP(D3922,'[1]2050 BAU Mapping to T &amp; C'!$A$3:$A$52,'[1]2050 BAU Mapping to T &amp; C'!$B$3:$B$52)</f>
        <v>Other veg</v>
      </c>
      <c r="H3922" s="129">
        <f>_xlfn.XLOOKUP(G3922,'[1]T&amp;C emissions for 2050 analysis'!$B$3:$B$23,'[1]T&amp;C emissions for 2050 analysis'!$C$3:$C$23)</f>
        <v>0.26766666666666666</v>
      </c>
      <c r="I3922" s="27">
        <f t="shared" si="183"/>
        <v>6.1260130131859993</v>
      </c>
      <c r="J3922" s="129">
        <f t="shared" si="184"/>
        <v>143.16794066666668</v>
      </c>
    </row>
    <row r="3923" spans="1:10" hidden="1" x14ac:dyDescent="0.35">
      <c r="A3923" s="126" t="s">
        <v>375</v>
      </c>
      <c r="B3923" t="str">
        <f>_xlfn.XLOOKUP(A3923,'[1]2050Pop'!$A$7:$A$143,'[1]2050Pop'!$D$7:$D$143)</f>
        <v>SSA</v>
      </c>
      <c r="C3923" s="127">
        <f>1000*_xlfn.XLOOKUP(A3923,'[1]2050Pop'!$A$7:$A$143,'[1]2050Pop'!$C$7:$C$143)</f>
        <v>48362</v>
      </c>
      <c r="D3923" s="126" t="s">
        <v>532</v>
      </c>
      <c r="E3923" s="128">
        <v>276.74099999999999</v>
      </c>
      <c r="F3923" s="129">
        <f t="shared" si="185"/>
        <v>13.383748241999999</v>
      </c>
      <c r="G3923" t="str">
        <f>_xlfn.XLOOKUP(D3923,'[1]2050 BAU Mapping to T &amp; C'!$A$3:$A$52,'[1]2050 BAU Mapping to T &amp; C'!$B$3:$B$52)</f>
        <v>Other veg</v>
      </c>
      <c r="H3923" s="129">
        <f>_xlfn.XLOOKUP(G3923,'[1]T&amp;C emissions for 2050 analysis'!$B$3:$B$23,'[1]T&amp;C emissions for 2050 analysis'!$C$3:$C$23)</f>
        <v>0.26766666666666666</v>
      </c>
      <c r="I3923" s="27">
        <f t="shared" si="183"/>
        <v>3.5823832794419999</v>
      </c>
      <c r="J3923" s="129">
        <f t="shared" si="184"/>
        <v>74.07434099999999</v>
      </c>
    </row>
    <row r="3924" spans="1:10" hidden="1" x14ac:dyDescent="0.35">
      <c r="A3924" s="126" t="s">
        <v>377</v>
      </c>
      <c r="B3924" t="str">
        <f>_xlfn.XLOOKUP(A3924,'[1]2050Pop'!$A$7:$A$143,'[1]2050Pop'!$D$7:$D$143)</f>
        <v>SSA</v>
      </c>
      <c r="C3924" s="127">
        <f>1000*_xlfn.XLOOKUP(A3924,'[1]2050Pop'!$A$7:$A$143,'[1]2050Pop'!$C$7:$C$143)</f>
        <v>8782</v>
      </c>
      <c r="D3924" s="126" t="s">
        <v>532</v>
      </c>
      <c r="E3924" s="128">
        <v>99.316000000000003</v>
      </c>
      <c r="F3924" s="129">
        <f t="shared" si="185"/>
        <v>0.87219311199999994</v>
      </c>
      <c r="G3924" t="str">
        <f>_xlfn.XLOOKUP(D3924,'[1]2050 BAU Mapping to T &amp; C'!$A$3:$A$52,'[1]2050 BAU Mapping to T &amp; C'!$B$3:$B$52)</f>
        <v>Other veg</v>
      </c>
      <c r="H3924" s="129">
        <f>_xlfn.XLOOKUP(G3924,'[1]T&amp;C emissions for 2050 analysis'!$B$3:$B$23,'[1]T&amp;C emissions for 2050 analysis'!$C$3:$C$23)</f>
        <v>0.26766666666666666</v>
      </c>
      <c r="I3924" s="27">
        <f t="shared" si="183"/>
        <v>0.23345702297866663</v>
      </c>
      <c r="J3924" s="129">
        <f t="shared" si="184"/>
        <v>26.583582666666668</v>
      </c>
    </row>
    <row r="3925" spans="1:10" hidden="1" x14ac:dyDescent="0.35">
      <c r="A3925" s="126" t="s">
        <v>488</v>
      </c>
      <c r="B3925" t="str">
        <f>_xlfn.XLOOKUP(A3925,'[1]2050Pop'!$A$7:$A$143,'[1]2050Pop'!$D$7:$D$143)</f>
        <v>SSA</v>
      </c>
      <c r="C3925" s="127">
        <f>1000*_xlfn.XLOOKUP(A3925,'[1]2050Pop'!$A$7:$A$143,'[1]2050Pop'!$C$7:$C$143)</f>
        <v>35131</v>
      </c>
      <c r="D3925" s="126" t="s">
        <v>532</v>
      </c>
      <c r="E3925" s="128">
        <v>431.61900000000003</v>
      </c>
      <c r="F3925" s="129">
        <f t="shared" si="185"/>
        <v>15.163207089000002</v>
      </c>
      <c r="G3925" t="str">
        <f>_xlfn.XLOOKUP(D3925,'[1]2050 BAU Mapping to T &amp; C'!$A$3:$A$52,'[1]2050 BAU Mapping to T &amp; C'!$B$3:$B$52)</f>
        <v>Other veg</v>
      </c>
      <c r="H3925" s="129">
        <f>_xlfn.XLOOKUP(G3925,'[1]T&amp;C emissions for 2050 analysis'!$B$3:$B$23,'[1]T&amp;C emissions for 2050 analysis'!$C$3:$C$23)</f>
        <v>0.26766666666666666</v>
      </c>
      <c r="I3925" s="27">
        <f t="shared" si="183"/>
        <v>4.0586850974890005</v>
      </c>
      <c r="J3925" s="129">
        <f t="shared" si="184"/>
        <v>115.53001900000001</v>
      </c>
    </row>
    <row r="3926" spans="1:10" hidden="1" x14ac:dyDescent="0.35">
      <c r="A3926" s="126" t="s">
        <v>380</v>
      </c>
      <c r="B3926" t="str">
        <f>_xlfn.XLOOKUP(A3926,'[1]2050Pop'!$A$7:$A$143,'[1]2050Pop'!$D$7:$D$143)</f>
        <v>Greater China</v>
      </c>
      <c r="C3926" s="127">
        <f>1000*_xlfn.XLOOKUP(A3926,'[1]2050Pop'!$A$7:$A$143,'[1]2050Pop'!$C$7:$C$143)</f>
        <v>1348056</v>
      </c>
      <c r="D3926" s="126" t="s">
        <v>532</v>
      </c>
      <c r="E3926" s="128">
        <v>6.7839999999999998</v>
      </c>
      <c r="F3926" s="129">
        <f t="shared" si="185"/>
        <v>9.1452119039999999</v>
      </c>
      <c r="G3926" t="str">
        <f>_xlfn.XLOOKUP(D3926,'[1]2050 BAU Mapping to T &amp; C'!$A$3:$A$52,'[1]2050 BAU Mapping to T &amp; C'!$B$3:$B$52)</f>
        <v>Other veg</v>
      </c>
      <c r="H3926" s="129">
        <f>_xlfn.XLOOKUP(G3926,'[1]T&amp;C emissions for 2050 analysis'!$B$3:$B$23,'[1]T&amp;C emissions for 2050 analysis'!$C$3:$C$23)</f>
        <v>0.26766666666666666</v>
      </c>
      <c r="I3926" s="27">
        <f t="shared" si="183"/>
        <v>2.4478683863040001</v>
      </c>
      <c r="J3926" s="129">
        <f t="shared" si="184"/>
        <v>1.8158506666666665</v>
      </c>
    </row>
    <row r="3927" spans="1:10" hidden="1" x14ac:dyDescent="0.35">
      <c r="A3927" s="126" t="s">
        <v>384</v>
      </c>
      <c r="B3927" t="str">
        <f>_xlfn.XLOOKUP(A3927,'[1]2050Pop'!$A$7:$A$143,'[1]2050Pop'!$D$7:$D$143)</f>
        <v>SSA</v>
      </c>
      <c r="C3927" s="127">
        <f>1000*_xlfn.XLOOKUP(A3927,'[1]2050Pop'!$A$7:$A$143,'[1]2050Pop'!$C$7:$C$143)</f>
        <v>48797</v>
      </c>
      <c r="D3927" s="126" t="s">
        <v>532</v>
      </c>
      <c r="E3927" s="128">
        <v>12.795999999999999</v>
      </c>
      <c r="F3927" s="129">
        <f t="shared" si="185"/>
        <v>0.62440641200000002</v>
      </c>
      <c r="G3927" t="str">
        <f>_xlfn.XLOOKUP(D3927,'[1]2050 BAU Mapping to T &amp; C'!$A$3:$A$52,'[1]2050 BAU Mapping to T &amp; C'!$B$3:$B$52)</f>
        <v>Other veg</v>
      </c>
      <c r="H3927" s="129">
        <f>_xlfn.XLOOKUP(G3927,'[1]T&amp;C emissions for 2050 analysis'!$B$3:$B$23,'[1]T&amp;C emissions for 2050 analysis'!$C$3:$C$23)</f>
        <v>0.26766666666666666</v>
      </c>
      <c r="I3927" s="27">
        <f t="shared" si="183"/>
        <v>0.16713278294533335</v>
      </c>
      <c r="J3927" s="129">
        <f t="shared" si="184"/>
        <v>3.4250626666666664</v>
      </c>
    </row>
    <row r="3928" spans="1:10" hidden="1" x14ac:dyDescent="0.35">
      <c r="A3928" s="126" t="s">
        <v>481</v>
      </c>
      <c r="B3928" t="str">
        <f>_xlfn.XLOOKUP(A3928,'[1]2050Pop'!$A$7:$A$143,'[1]2050Pop'!$D$7:$D$143)</f>
        <v>APAC</v>
      </c>
      <c r="C3928" s="127">
        <f>1000*_xlfn.XLOOKUP(A3928,'[1]2050Pop'!$A$7:$A$143,'[1]2050Pop'!$C$7:$C$143)</f>
        <v>26907</v>
      </c>
      <c r="D3928" s="126" t="s">
        <v>532</v>
      </c>
      <c r="E3928" s="128">
        <v>8.3559999999999999</v>
      </c>
      <c r="F3928" s="129">
        <f t="shared" si="185"/>
        <v>0.22483489199999998</v>
      </c>
      <c r="G3928" t="str">
        <f>_xlfn.XLOOKUP(D3928,'[1]2050 BAU Mapping to T &amp; C'!$A$3:$A$52,'[1]2050 BAU Mapping to T &amp; C'!$B$3:$B$52)</f>
        <v>Other veg</v>
      </c>
      <c r="H3928" s="129">
        <f>_xlfn.XLOOKUP(G3928,'[1]T&amp;C emissions for 2050 analysis'!$B$3:$B$23,'[1]T&amp;C emissions for 2050 analysis'!$C$3:$C$23)</f>
        <v>0.26766666666666666</v>
      </c>
      <c r="I3928" s="27">
        <f t="shared" si="183"/>
        <v>6.0180806091999994E-2</v>
      </c>
      <c r="J3928" s="129">
        <f t="shared" si="184"/>
        <v>2.2366226666666664</v>
      </c>
    </row>
    <row r="3929" spans="1:10" hidden="1" x14ac:dyDescent="0.35">
      <c r="A3929" s="126" t="s">
        <v>391</v>
      </c>
      <c r="B3929" t="str">
        <f>_xlfn.XLOOKUP(A3929,'[1]2050Pop'!$A$7:$A$143,'[1]2050Pop'!$D$7:$D$143)</f>
        <v>MENA</v>
      </c>
      <c r="C3929" s="127">
        <f>1000*_xlfn.XLOOKUP(A3929,'[1]2050Pop'!$A$7:$A$143,'[1]2050Pop'!$C$7:$C$143)</f>
        <v>151111</v>
      </c>
      <c r="D3929" s="126" t="s">
        <v>532</v>
      </c>
      <c r="E3929" s="128">
        <v>24.869</v>
      </c>
      <c r="F3929" s="129">
        <f t="shared" si="185"/>
        <v>3.757979459</v>
      </c>
      <c r="G3929" t="str">
        <f>_xlfn.XLOOKUP(D3929,'[1]2050 BAU Mapping to T &amp; C'!$A$3:$A$52,'[1]2050 BAU Mapping to T &amp; C'!$B$3:$B$52)</f>
        <v>Other veg</v>
      </c>
      <c r="H3929" s="129">
        <f>_xlfn.XLOOKUP(G3929,'[1]T&amp;C emissions for 2050 analysis'!$B$3:$B$23,'[1]T&amp;C emissions for 2050 analysis'!$C$3:$C$23)</f>
        <v>0.26766666666666666</v>
      </c>
      <c r="I3929" s="27">
        <f t="shared" si="183"/>
        <v>1.0058858351923332</v>
      </c>
      <c r="J3929" s="129">
        <f t="shared" si="184"/>
        <v>6.6566023333333328</v>
      </c>
    </row>
    <row r="3930" spans="1:10" hidden="1" x14ac:dyDescent="0.35">
      <c r="A3930" s="126" t="s">
        <v>392</v>
      </c>
      <c r="B3930" t="str">
        <f>_xlfn.XLOOKUP(A3930,'[1]2050Pop'!$A$7:$A$143,'[1]2050Pop'!$D$7:$D$143)</f>
        <v>LatAm &amp; RSA</v>
      </c>
      <c r="C3930" s="127">
        <f>1000*_xlfn.XLOOKUP(A3930,'[1]2050Pop'!$A$7:$A$143,'[1]2050Pop'!$C$7:$C$143)</f>
        <v>6390</v>
      </c>
      <c r="D3930" s="126" t="s">
        <v>532</v>
      </c>
      <c r="E3930" s="128">
        <v>148.714</v>
      </c>
      <c r="F3930" s="129">
        <f t="shared" si="185"/>
        <v>0.95028245999999994</v>
      </c>
      <c r="G3930" t="str">
        <f>_xlfn.XLOOKUP(D3930,'[1]2050 BAU Mapping to T &amp; C'!$A$3:$A$52,'[1]2050 BAU Mapping to T &amp; C'!$B$3:$B$52)</f>
        <v>Other veg</v>
      </c>
      <c r="H3930" s="129">
        <f>_xlfn.XLOOKUP(G3930,'[1]T&amp;C emissions for 2050 analysis'!$B$3:$B$23,'[1]T&amp;C emissions for 2050 analysis'!$C$3:$C$23)</f>
        <v>0.26766666666666666</v>
      </c>
      <c r="I3930" s="27">
        <f t="shared" si="183"/>
        <v>0.25435893845999996</v>
      </c>
      <c r="J3930" s="129">
        <f t="shared" si="184"/>
        <v>39.805780666666664</v>
      </c>
    </row>
    <row r="3931" spans="1:10" hidden="1" x14ac:dyDescent="0.35">
      <c r="A3931" s="126" t="s">
        <v>394</v>
      </c>
      <c r="B3931" t="str">
        <f>_xlfn.XLOOKUP(A3931,'[1]2050Pop'!$A$7:$A$143,'[1]2050Pop'!$D$7:$D$143)</f>
        <v>SSA</v>
      </c>
      <c r="C3931" s="127">
        <f>1000*_xlfn.XLOOKUP(A3931,'[1]2050Pop'!$A$7:$A$143,'[1]2050Pop'!$C$7:$C$143)</f>
        <v>188455</v>
      </c>
      <c r="D3931" s="126" t="s">
        <v>532</v>
      </c>
      <c r="E3931" s="128">
        <v>203.542</v>
      </c>
      <c r="F3931" s="129">
        <f t="shared" si="185"/>
        <v>38.358507609999997</v>
      </c>
      <c r="G3931" t="str">
        <f>_xlfn.XLOOKUP(D3931,'[1]2050 BAU Mapping to T &amp; C'!$A$3:$A$52,'[1]2050 BAU Mapping to T &amp; C'!$B$3:$B$52)</f>
        <v>Other veg</v>
      </c>
      <c r="H3931" s="129">
        <f>_xlfn.XLOOKUP(G3931,'[1]T&amp;C emissions for 2050 analysis'!$B$3:$B$23,'[1]T&amp;C emissions for 2050 analysis'!$C$3:$C$23)</f>
        <v>0.26766666666666666</v>
      </c>
      <c r="I3931" s="27">
        <f t="shared" si="183"/>
        <v>10.267293870276665</v>
      </c>
      <c r="J3931" s="129">
        <f t="shared" si="184"/>
        <v>54.481408666666667</v>
      </c>
    </row>
    <row r="3932" spans="1:10" hidden="1" x14ac:dyDescent="0.35">
      <c r="A3932" s="126" t="s">
        <v>489</v>
      </c>
      <c r="B3932" t="str">
        <f>_xlfn.XLOOKUP(A3932,'[1]2050Pop'!$A$7:$A$143,'[1]2050Pop'!$D$7:$D$143)</f>
        <v>SSA</v>
      </c>
      <c r="C3932" s="127">
        <f>1000*_xlfn.XLOOKUP(A3932,'[1]2050Pop'!$A$7:$A$143,'[1]2050Pop'!$C$7:$C$143)</f>
        <v>4981</v>
      </c>
      <c r="D3932" s="126" t="s">
        <v>532</v>
      </c>
      <c r="E3932" s="128">
        <v>150.51300000000001</v>
      </c>
      <c r="F3932" s="129">
        <f t="shared" si="185"/>
        <v>0.74970525300000002</v>
      </c>
      <c r="G3932" t="str">
        <f>_xlfn.XLOOKUP(D3932,'[1]2050 BAU Mapping to T &amp; C'!$A$3:$A$52,'[1]2050 BAU Mapping to T &amp; C'!$B$3:$B$52)</f>
        <v>Other veg</v>
      </c>
      <c r="H3932" s="129">
        <f>_xlfn.XLOOKUP(G3932,'[1]T&amp;C emissions for 2050 analysis'!$B$3:$B$23,'[1]T&amp;C emissions for 2050 analysis'!$C$3:$C$23)</f>
        <v>0.26766666666666666</v>
      </c>
      <c r="I3932" s="27">
        <f t="shared" si="183"/>
        <v>0.20067110605300001</v>
      </c>
      <c r="J3932" s="129">
        <f t="shared" si="184"/>
        <v>40.287312999999997</v>
      </c>
    </row>
    <row r="3933" spans="1:10" hidden="1" x14ac:dyDescent="0.35">
      <c r="A3933" s="126" t="s">
        <v>400</v>
      </c>
      <c r="B3933" t="str">
        <f>_xlfn.XLOOKUP(A3933,'[1]2050Pop'!$A$7:$A$143,'[1]2050Pop'!$D$7:$D$143)</f>
        <v>SSA</v>
      </c>
      <c r="C3933" s="127">
        <f>1000*_xlfn.XLOOKUP(A3933,'[1]2050Pop'!$A$7:$A$143,'[1]2050Pop'!$C$7:$C$143)</f>
        <v>50071</v>
      </c>
      <c r="D3933" s="126" t="s">
        <v>532</v>
      </c>
      <c r="E3933" s="128">
        <v>73.048000000000002</v>
      </c>
      <c r="F3933" s="129">
        <f t="shared" si="185"/>
        <v>3.6575864080000002</v>
      </c>
      <c r="G3933" t="str">
        <f>_xlfn.XLOOKUP(D3933,'[1]2050 BAU Mapping to T &amp; C'!$A$3:$A$52,'[1]2050 BAU Mapping to T &amp; C'!$B$3:$B$52)</f>
        <v>Other veg</v>
      </c>
      <c r="H3933" s="129">
        <f>_xlfn.XLOOKUP(G3933,'[1]T&amp;C emissions for 2050 analysis'!$B$3:$B$23,'[1]T&amp;C emissions for 2050 analysis'!$C$3:$C$23)</f>
        <v>0.26766666666666666</v>
      </c>
      <c r="I3933" s="27">
        <f t="shared" si="183"/>
        <v>0.97901396187466672</v>
      </c>
      <c r="J3933" s="129">
        <f t="shared" si="184"/>
        <v>19.552514666666667</v>
      </c>
    </row>
    <row r="3934" spans="1:10" hidden="1" x14ac:dyDescent="0.35">
      <c r="A3934" s="126" t="s">
        <v>402</v>
      </c>
      <c r="B3934" t="str">
        <f>_xlfn.XLOOKUP(A3934,'[1]2050Pop'!$A$7:$A$143,'[1]2050Pop'!$D$7:$D$143)</f>
        <v>LatAm &amp; RSA</v>
      </c>
      <c r="C3934" s="127">
        <f>1000*_xlfn.XLOOKUP(A3934,'[1]2050Pop'!$A$7:$A$143,'[1]2050Pop'!$C$7:$C$143)</f>
        <v>27754</v>
      </c>
      <c r="D3934" s="126" t="s">
        <v>532</v>
      </c>
      <c r="E3934" s="128">
        <v>5.141</v>
      </c>
      <c r="F3934" s="129">
        <f t="shared" si="185"/>
        <v>0.14268331400000001</v>
      </c>
      <c r="G3934" t="str">
        <f>_xlfn.XLOOKUP(D3934,'[1]2050 BAU Mapping to T &amp; C'!$A$3:$A$52,'[1]2050 BAU Mapping to T &amp; C'!$B$3:$B$52)</f>
        <v>Other veg</v>
      </c>
      <c r="H3934" s="129">
        <f>_xlfn.XLOOKUP(G3934,'[1]T&amp;C emissions for 2050 analysis'!$B$3:$B$23,'[1]T&amp;C emissions for 2050 analysis'!$C$3:$C$23)</f>
        <v>0.26766666666666666</v>
      </c>
      <c r="I3934" s="27">
        <f t="shared" si="183"/>
        <v>3.8191567047333334E-2</v>
      </c>
      <c r="J3934" s="129">
        <f t="shared" si="184"/>
        <v>1.3760743333333334</v>
      </c>
    </row>
    <row r="3935" spans="1:10" hidden="1" x14ac:dyDescent="0.35">
      <c r="A3935" s="126" t="s">
        <v>403</v>
      </c>
      <c r="B3935" t="str">
        <f>_xlfn.XLOOKUP(A3935,'[1]2050Pop'!$A$7:$A$143,'[1]2050Pop'!$D$7:$D$143)</f>
        <v>SSA</v>
      </c>
      <c r="C3935" s="127">
        <f>1000*_xlfn.XLOOKUP(A3935,'[1]2050Pop'!$A$7:$A$143,'[1]2050Pop'!$C$7:$C$143)</f>
        <v>27486</v>
      </c>
      <c r="D3935" s="126" t="s">
        <v>532</v>
      </c>
      <c r="E3935" s="128">
        <v>2.302</v>
      </c>
      <c r="F3935" s="129">
        <f t="shared" si="185"/>
        <v>6.3272772000000005E-2</v>
      </c>
      <c r="G3935" t="str">
        <f>_xlfn.XLOOKUP(D3935,'[1]2050 BAU Mapping to T &amp; C'!$A$3:$A$52,'[1]2050 BAU Mapping to T &amp; C'!$B$3:$B$52)</f>
        <v>Other veg</v>
      </c>
      <c r="H3935" s="129">
        <f>_xlfn.XLOOKUP(G3935,'[1]T&amp;C emissions for 2050 analysis'!$B$3:$B$23,'[1]T&amp;C emissions for 2050 analysis'!$C$3:$C$23)</f>
        <v>0.26766666666666666</v>
      </c>
      <c r="I3935" s="27">
        <f t="shared" si="183"/>
        <v>1.6936011972000002E-2</v>
      </c>
      <c r="J3935" s="129">
        <f t="shared" si="184"/>
        <v>0.6161686666666667</v>
      </c>
    </row>
    <row r="3936" spans="1:10" hidden="1" x14ac:dyDescent="0.35">
      <c r="A3936" s="126" t="s">
        <v>405</v>
      </c>
      <c r="B3936" t="str">
        <f>_xlfn.XLOOKUP(A3936,'[1]2050Pop'!$A$7:$A$143,'[1]2050Pop'!$D$7:$D$143)</f>
        <v>LatAm &amp; RSA</v>
      </c>
      <c r="C3936" s="127">
        <f>1000*_xlfn.XLOOKUP(A3936,'[1]2050Pop'!$A$7:$A$143,'[1]2050Pop'!$C$7:$C$143)</f>
        <v>14189</v>
      </c>
      <c r="D3936" s="126" t="s">
        <v>532</v>
      </c>
      <c r="E3936" s="128">
        <v>35.576999999999998</v>
      </c>
      <c r="F3936" s="129">
        <f t="shared" si="185"/>
        <v>0.50480205299999992</v>
      </c>
      <c r="G3936" t="str">
        <f>_xlfn.XLOOKUP(D3936,'[1]2050 BAU Mapping to T &amp; C'!$A$3:$A$52,'[1]2050 BAU Mapping to T &amp; C'!$B$3:$B$52)</f>
        <v>Other veg</v>
      </c>
      <c r="H3936" s="129">
        <f>_xlfn.XLOOKUP(G3936,'[1]T&amp;C emissions for 2050 analysis'!$B$3:$B$23,'[1]T&amp;C emissions for 2050 analysis'!$C$3:$C$23)</f>
        <v>0.26766666666666666</v>
      </c>
      <c r="I3936" s="27">
        <f t="shared" si="183"/>
        <v>0.13511868285299997</v>
      </c>
      <c r="J3936" s="129">
        <f t="shared" si="184"/>
        <v>9.5227769999999996</v>
      </c>
    </row>
    <row r="3937" spans="1:10" hidden="1" x14ac:dyDescent="0.35">
      <c r="A3937" s="126" t="s">
        <v>406</v>
      </c>
      <c r="B3937" t="str">
        <f>_xlfn.XLOOKUP(A3937,'[1]2050Pop'!$A$7:$A$143,'[1]2050Pop'!$D$7:$D$143)</f>
        <v>LatAm &amp; RSA</v>
      </c>
      <c r="C3937" s="127">
        <f>1000*_xlfn.XLOOKUP(A3937,'[1]2050Pop'!$A$7:$A$143,'[1]2050Pop'!$C$7:$C$143)</f>
        <v>11217</v>
      </c>
      <c r="D3937" s="126" t="s">
        <v>532</v>
      </c>
      <c r="E3937" s="128">
        <v>16.667000000000002</v>
      </c>
      <c r="F3937" s="129">
        <f t="shared" si="185"/>
        <v>0.18695373900000004</v>
      </c>
      <c r="G3937" t="str">
        <f>_xlfn.XLOOKUP(D3937,'[1]2050 BAU Mapping to T &amp; C'!$A$3:$A$52,'[1]2050 BAU Mapping to T &amp; C'!$B$3:$B$52)</f>
        <v>Other veg</v>
      </c>
      <c r="H3937" s="129">
        <f>_xlfn.XLOOKUP(G3937,'[1]T&amp;C emissions for 2050 analysis'!$B$3:$B$23,'[1]T&amp;C emissions for 2050 analysis'!$C$3:$C$23)</f>
        <v>0.26766666666666666</v>
      </c>
      <c r="I3937" s="27">
        <f t="shared" si="183"/>
        <v>5.0041284139000011E-2</v>
      </c>
      <c r="J3937" s="129">
        <f t="shared" si="184"/>
        <v>4.4612003333333341</v>
      </c>
    </row>
    <row r="3938" spans="1:10" hidden="1" x14ac:dyDescent="0.35">
      <c r="A3938" s="126" t="s">
        <v>408</v>
      </c>
      <c r="B3938" t="str">
        <f>_xlfn.XLOOKUP(A3938,'[1]2050Pop'!$A$7:$A$143,'[1]2050Pop'!$D$7:$D$143)</f>
        <v>India/South Asia</v>
      </c>
      <c r="C3938" s="127">
        <f>1000*_xlfn.XLOOKUP(A3938,'[1]2050Pop'!$A$7:$A$143,'[1]2050Pop'!$C$7:$C$143)</f>
        <v>1705333</v>
      </c>
      <c r="D3938" s="126" t="s">
        <v>532</v>
      </c>
      <c r="E3938" s="128">
        <v>42.066000000000003</v>
      </c>
      <c r="F3938" s="129">
        <f t="shared" si="185"/>
        <v>71.736537978000001</v>
      </c>
      <c r="G3938" t="str">
        <f>_xlfn.XLOOKUP(D3938,'[1]2050 BAU Mapping to T &amp; C'!$A$3:$A$52,'[1]2050 BAU Mapping to T &amp; C'!$B$3:$B$52)</f>
        <v>Other veg</v>
      </c>
      <c r="H3938" s="129">
        <f>_xlfn.XLOOKUP(G3938,'[1]T&amp;C emissions for 2050 analysis'!$B$3:$B$23,'[1]T&amp;C emissions for 2050 analysis'!$C$3:$C$23)</f>
        <v>0.26766666666666666</v>
      </c>
      <c r="I3938" s="27">
        <f t="shared" si="183"/>
        <v>19.201479998778002</v>
      </c>
      <c r="J3938" s="129">
        <f t="shared" si="184"/>
        <v>11.259666000000001</v>
      </c>
    </row>
    <row r="3939" spans="1:10" hidden="1" x14ac:dyDescent="0.35">
      <c r="A3939" s="126" t="s">
        <v>419</v>
      </c>
      <c r="B3939" t="str">
        <f>_xlfn.XLOOKUP(A3939,'[1]2050Pop'!$A$7:$A$143,'[1]2050Pop'!$D$7:$D$143)</f>
        <v>SSA</v>
      </c>
      <c r="C3939" s="127">
        <f>1000*_xlfn.XLOOKUP(A3939,'[1]2050Pop'!$A$7:$A$143,'[1]2050Pop'!$C$7:$C$143)</f>
        <v>95505</v>
      </c>
      <c r="D3939" s="126" t="s">
        <v>532</v>
      </c>
      <c r="E3939" s="128">
        <v>19.785</v>
      </c>
      <c r="F3939" s="129">
        <f t="shared" si="185"/>
        <v>1.8895664249999999</v>
      </c>
      <c r="G3939" t="str">
        <f>_xlfn.XLOOKUP(D3939,'[1]2050 BAU Mapping to T &amp; C'!$A$3:$A$52,'[1]2050 BAU Mapping to T &amp; C'!$B$3:$B$52)</f>
        <v>Other veg</v>
      </c>
      <c r="H3939" s="129">
        <f>_xlfn.XLOOKUP(G3939,'[1]T&amp;C emissions for 2050 analysis'!$B$3:$B$23,'[1]T&amp;C emissions for 2050 analysis'!$C$3:$C$23)</f>
        <v>0.26766666666666666</v>
      </c>
      <c r="I3939" s="27">
        <f t="shared" si="183"/>
        <v>0.50577394642499995</v>
      </c>
      <c r="J3939" s="129">
        <f t="shared" si="184"/>
        <v>5.2957850000000004</v>
      </c>
    </row>
    <row r="3940" spans="1:10" hidden="1" x14ac:dyDescent="0.35">
      <c r="A3940" s="126" t="s">
        <v>424</v>
      </c>
      <c r="B3940" t="str">
        <f>_xlfn.XLOOKUP(A3940,'[1]2050Pop'!$A$7:$A$143,'[1]2050Pop'!$D$7:$D$143)</f>
        <v>SSA</v>
      </c>
      <c r="C3940" s="127">
        <f>1000*_xlfn.XLOOKUP(A3940,'[1]2050Pop'!$A$7:$A$143,'[1]2050Pop'!$C$7:$C$143)</f>
        <v>2987</v>
      </c>
      <c r="D3940" s="126" t="s">
        <v>532</v>
      </c>
      <c r="E3940" s="128">
        <v>57.884999999999998</v>
      </c>
      <c r="F3940" s="129">
        <f t="shared" si="185"/>
        <v>0.17290249499999999</v>
      </c>
      <c r="G3940" t="str">
        <f>_xlfn.XLOOKUP(D3940,'[1]2050 BAU Mapping to T &amp; C'!$A$3:$A$52,'[1]2050 BAU Mapping to T &amp; C'!$B$3:$B$52)</f>
        <v>Other veg</v>
      </c>
      <c r="H3940" s="129">
        <f>_xlfn.XLOOKUP(G3940,'[1]T&amp;C emissions for 2050 analysis'!$B$3:$B$23,'[1]T&amp;C emissions for 2050 analysis'!$C$3:$C$23)</f>
        <v>0.26766666666666666</v>
      </c>
      <c r="I3940" s="27">
        <f t="shared" si="183"/>
        <v>4.6280234494999996E-2</v>
      </c>
      <c r="J3940" s="129">
        <f t="shared" si="184"/>
        <v>15.493884999999999</v>
      </c>
    </row>
    <row r="3941" spans="1:10" hidden="1" x14ac:dyDescent="0.35">
      <c r="A3941" s="126" t="s">
        <v>427</v>
      </c>
      <c r="B3941" t="str">
        <f>_xlfn.XLOOKUP(A3941,'[1]2050Pop'!$A$7:$A$143,'[1]2050Pop'!$D$7:$D$143)</f>
        <v>SSA</v>
      </c>
      <c r="C3941" s="127">
        <f>1000*_xlfn.XLOOKUP(A3941,'[1]2050Pop'!$A$7:$A$143,'[1]2050Pop'!$C$7:$C$143)</f>
        <v>55294</v>
      </c>
      <c r="D3941" s="126" t="s">
        <v>532</v>
      </c>
      <c r="E3941" s="128">
        <v>1.5489999999999999</v>
      </c>
      <c r="F3941" s="129">
        <f t="shared" si="185"/>
        <v>8.5650405999999998E-2</v>
      </c>
      <c r="G3941" t="str">
        <f>_xlfn.XLOOKUP(D3941,'[1]2050 BAU Mapping to T &amp; C'!$A$3:$A$52,'[1]2050 BAU Mapping to T &amp; C'!$B$3:$B$52)</f>
        <v>Other veg</v>
      </c>
      <c r="H3941" s="129">
        <f>_xlfn.XLOOKUP(G3941,'[1]T&amp;C emissions for 2050 analysis'!$B$3:$B$23,'[1]T&amp;C emissions for 2050 analysis'!$C$3:$C$23)</f>
        <v>0.26766666666666666</v>
      </c>
      <c r="I3941" s="27">
        <f t="shared" si="183"/>
        <v>2.2925758672666666E-2</v>
      </c>
      <c r="J3941" s="129">
        <f t="shared" si="184"/>
        <v>0.41461566666666666</v>
      </c>
    </row>
    <row r="3942" spans="1:10" hidden="1" x14ac:dyDescent="0.35">
      <c r="A3942" s="126" t="s">
        <v>428</v>
      </c>
      <c r="B3942" t="str">
        <f>_xlfn.XLOOKUP(A3942,'[1]2050Pop'!$A$7:$A$143,'[1]2050Pop'!$D$7:$D$143)</f>
        <v>SSA</v>
      </c>
      <c r="C3942" s="127">
        <f>1000*_xlfn.XLOOKUP(A3942,'[1]2050Pop'!$A$7:$A$143,'[1]2050Pop'!$C$7:$C$143)</f>
        <v>43155</v>
      </c>
      <c r="D3942" s="126" t="s">
        <v>532</v>
      </c>
      <c r="E3942" s="130">
        <v>22.16</v>
      </c>
      <c r="F3942" s="129">
        <f t="shared" si="185"/>
        <v>0.95631480000000002</v>
      </c>
      <c r="G3942" t="str">
        <f>_xlfn.XLOOKUP(D3942,'[1]2050 BAU Mapping to T &amp; C'!$A$3:$A$52,'[1]2050 BAU Mapping to T &amp; C'!$B$3:$B$52)</f>
        <v>Other veg</v>
      </c>
      <c r="H3942" s="129">
        <f>_xlfn.XLOOKUP(G3942,'[1]T&amp;C emissions for 2050 analysis'!$B$3:$B$23,'[1]T&amp;C emissions for 2050 analysis'!$C$3:$C$23)</f>
        <v>0.26766666666666666</v>
      </c>
      <c r="I3942" s="27">
        <f t="shared" si="183"/>
        <v>0.25597359479999998</v>
      </c>
      <c r="J3942" s="129">
        <f t="shared" si="184"/>
        <v>5.9314933333333331</v>
      </c>
    </row>
    <row r="3943" spans="1:10" hidden="1" x14ac:dyDescent="0.35">
      <c r="A3943" s="126" t="s">
        <v>430</v>
      </c>
      <c r="B3943" t="str">
        <f>_xlfn.XLOOKUP(A3943,'[1]2050Pop'!$A$7:$A$143,'[1]2050Pop'!$D$7:$D$143)</f>
        <v>SSA</v>
      </c>
      <c r="C3943" s="127">
        <f>1000*_xlfn.XLOOKUP(A3943,'[1]2050Pop'!$A$7:$A$143,'[1]2050Pop'!$C$7:$C$143)</f>
        <v>45404</v>
      </c>
      <c r="D3943" s="126" t="s">
        <v>532</v>
      </c>
      <c r="E3943" s="128">
        <v>500.803</v>
      </c>
      <c r="F3943" s="129">
        <f t="shared" si="185"/>
        <v>22.738459412000001</v>
      </c>
      <c r="G3943" t="str">
        <f>_xlfn.XLOOKUP(D3943,'[1]2050 BAU Mapping to T &amp; C'!$A$3:$A$52,'[1]2050 BAU Mapping to T &amp; C'!$B$3:$B$52)</f>
        <v>Other veg</v>
      </c>
      <c r="H3943" s="129">
        <f>_xlfn.XLOOKUP(G3943,'[1]T&amp;C emissions for 2050 analysis'!$B$3:$B$23,'[1]T&amp;C emissions for 2050 analysis'!$C$3:$C$23)</f>
        <v>0.26766666666666666</v>
      </c>
      <c r="I3943" s="27">
        <f t="shared" si="183"/>
        <v>6.0863276359453335</v>
      </c>
      <c r="J3943" s="129">
        <f t="shared" si="184"/>
        <v>134.04826966666667</v>
      </c>
    </row>
    <row r="3944" spans="1:10" hidden="1" x14ac:dyDescent="0.35">
      <c r="A3944" s="126" t="s">
        <v>431</v>
      </c>
      <c r="B3944" t="str">
        <f>_xlfn.XLOOKUP(A3944,'[1]2050Pop'!$A$7:$A$143,'[1]2050Pop'!$D$7:$D$143)</f>
        <v>SSA</v>
      </c>
      <c r="C3944" s="127">
        <f>1000*_xlfn.XLOOKUP(A3944,'[1]2050Pop'!$A$7:$A$143,'[1]2050Pop'!$C$7:$C$143)</f>
        <v>8048.9999999999991</v>
      </c>
      <c r="D3944" s="126" t="s">
        <v>532</v>
      </c>
      <c r="E3944" s="128">
        <v>179.21799999999999</v>
      </c>
      <c r="F3944" s="129">
        <f t="shared" si="185"/>
        <v>1.4425256819999999</v>
      </c>
      <c r="G3944" t="str">
        <f>_xlfn.XLOOKUP(D3944,'[1]2050 BAU Mapping to T &amp; C'!$A$3:$A$52,'[1]2050 BAU Mapping to T &amp; C'!$B$3:$B$52)</f>
        <v>Other veg</v>
      </c>
      <c r="H3944" s="129">
        <f>_xlfn.XLOOKUP(G3944,'[1]T&amp;C emissions for 2050 analysis'!$B$3:$B$23,'[1]T&amp;C emissions for 2050 analysis'!$C$3:$C$23)</f>
        <v>0.26766666666666666</v>
      </c>
      <c r="I3944" s="27">
        <f t="shared" si="183"/>
        <v>0.38611604088199997</v>
      </c>
      <c r="J3944" s="129">
        <f t="shared" si="184"/>
        <v>47.970684666666664</v>
      </c>
    </row>
    <row r="3945" spans="1:10" hidden="1" x14ac:dyDescent="0.35">
      <c r="A3945" s="126" t="s">
        <v>435</v>
      </c>
      <c r="B3945" t="str">
        <f>_xlfn.XLOOKUP(A3945,'[1]2050Pop'!$A$7:$A$143,'[1]2050Pop'!$D$7:$D$143)</f>
        <v>MENA</v>
      </c>
      <c r="C3945" s="127">
        <f>1000*_xlfn.XLOOKUP(A3945,'[1]2050Pop'!$A$7:$A$143,'[1]2050Pop'!$C$7:$C$143)</f>
        <v>43696</v>
      </c>
      <c r="D3945" s="126" t="s">
        <v>532</v>
      </c>
      <c r="E3945" s="128">
        <v>5.8170000000000002</v>
      </c>
      <c r="F3945" s="129">
        <f t="shared" si="185"/>
        <v>0.25417963199999999</v>
      </c>
      <c r="G3945" t="str">
        <f>_xlfn.XLOOKUP(D3945,'[1]2050 BAU Mapping to T &amp; C'!$A$3:$A$52,'[1]2050 BAU Mapping to T &amp; C'!$B$3:$B$52)</f>
        <v>Other veg</v>
      </c>
      <c r="H3945" s="129">
        <f>_xlfn.XLOOKUP(G3945,'[1]T&amp;C emissions for 2050 analysis'!$B$3:$B$23,'[1]T&amp;C emissions for 2050 analysis'!$C$3:$C$23)</f>
        <v>0.26766666666666666</v>
      </c>
      <c r="I3945" s="27">
        <f t="shared" si="183"/>
        <v>6.8035414831999999E-2</v>
      </c>
      <c r="J3945" s="129">
        <f t="shared" si="184"/>
        <v>1.5570170000000001</v>
      </c>
    </row>
    <row r="3946" spans="1:10" hidden="1" x14ac:dyDescent="0.35">
      <c r="A3946" s="126" t="s">
        <v>436</v>
      </c>
      <c r="B3946" t="str">
        <f>_xlfn.XLOOKUP(A3946,'[1]2050Pop'!$A$7:$A$143,'[1]2050Pop'!$D$7:$D$143)</f>
        <v>SSA</v>
      </c>
      <c r="C3946" s="127">
        <f>1000*_xlfn.XLOOKUP(A3946,'[1]2050Pop'!$A$7:$A$143,'[1]2050Pop'!$C$7:$C$143)</f>
        <v>65544</v>
      </c>
      <c r="D3946" s="126" t="s">
        <v>532</v>
      </c>
      <c r="E3946" s="128">
        <v>88.908000000000001</v>
      </c>
      <c r="F3946" s="129">
        <f t="shared" si="185"/>
        <v>5.8273859520000002</v>
      </c>
      <c r="G3946" t="str">
        <f>_xlfn.XLOOKUP(D3946,'[1]2050 BAU Mapping to T &amp; C'!$A$3:$A$52,'[1]2050 BAU Mapping to T &amp; C'!$B$3:$B$52)</f>
        <v>Other veg</v>
      </c>
      <c r="H3946" s="129">
        <f>_xlfn.XLOOKUP(G3946,'[1]T&amp;C emissions for 2050 analysis'!$B$3:$B$23,'[1]T&amp;C emissions for 2050 analysis'!$C$3:$C$23)</f>
        <v>0.26766666666666666</v>
      </c>
      <c r="I3946" s="27">
        <f t="shared" si="183"/>
        <v>1.5597969731520001</v>
      </c>
      <c r="J3946" s="129">
        <f t="shared" si="184"/>
        <v>23.797708</v>
      </c>
    </row>
    <row r="3947" spans="1:10" hidden="1" x14ac:dyDescent="0.35">
      <c r="A3947" s="126" t="s">
        <v>490</v>
      </c>
      <c r="B3947" t="str">
        <f>_xlfn.XLOOKUP(A3947,'[1]2050Pop'!$A$7:$A$143,'[1]2050Pop'!$D$7:$D$143)</f>
        <v>APAC</v>
      </c>
      <c r="C3947" s="127">
        <f>1000*_xlfn.XLOOKUP(A3947,'[1]2050Pop'!$A$7:$A$143,'[1]2050Pop'!$C$7:$C$143)</f>
        <v>63575</v>
      </c>
      <c r="D3947" s="126" t="s">
        <v>532</v>
      </c>
      <c r="E3947" s="128">
        <v>14.388999999999999</v>
      </c>
      <c r="F3947" s="129">
        <f t="shared" si="185"/>
        <v>0.91478067499999993</v>
      </c>
      <c r="G3947" t="str">
        <f>_xlfn.XLOOKUP(D3947,'[1]2050 BAU Mapping to T &amp; C'!$A$3:$A$52,'[1]2050 BAU Mapping to T &amp; C'!$B$3:$B$52)</f>
        <v>Other veg</v>
      </c>
      <c r="H3947" s="129">
        <f>_xlfn.XLOOKUP(G3947,'[1]T&amp;C emissions for 2050 analysis'!$B$3:$B$23,'[1]T&amp;C emissions for 2050 analysis'!$C$3:$C$23)</f>
        <v>0.26766666666666666</v>
      </c>
      <c r="I3947" s="27">
        <f t="shared" si="183"/>
        <v>0.24485629400833331</v>
      </c>
      <c r="J3947" s="129">
        <f t="shared" si="184"/>
        <v>3.8514556666666664</v>
      </c>
    </row>
    <row r="3948" spans="1:10" hidden="1" x14ac:dyDescent="0.35">
      <c r="A3948" s="126" t="s">
        <v>437</v>
      </c>
      <c r="B3948" t="str">
        <f>_xlfn.XLOOKUP(A3948,'[1]2050Pop'!$A$7:$A$143,'[1]2050Pop'!$D$7:$D$143)</f>
        <v>SSA</v>
      </c>
      <c r="C3948" s="127">
        <f>1000*_xlfn.XLOOKUP(A3948,'[1]2050Pop'!$A$7:$A$143,'[1]2050Pop'!$C$7:$C$143)</f>
        <v>4322</v>
      </c>
      <c r="D3948" s="126" t="s">
        <v>532</v>
      </c>
      <c r="E3948" s="128">
        <v>22.478000000000002</v>
      </c>
      <c r="F3948" s="129">
        <f t="shared" si="185"/>
        <v>9.7149916000000017E-2</v>
      </c>
      <c r="G3948" t="str">
        <f>_xlfn.XLOOKUP(D3948,'[1]2050 BAU Mapping to T &amp; C'!$A$3:$A$52,'[1]2050 BAU Mapping to T &amp; C'!$B$3:$B$52)</f>
        <v>Other veg</v>
      </c>
      <c r="H3948" s="129">
        <f>_xlfn.XLOOKUP(G3948,'[1]T&amp;C emissions for 2050 analysis'!$B$3:$B$23,'[1]T&amp;C emissions for 2050 analysis'!$C$3:$C$23)</f>
        <v>0.26766666666666666</v>
      </c>
      <c r="I3948" s="27">
        <f t="shared" si="183"/>
        <v>2.600379418266667E-2</v>
      </c>
      <c r="J3948" s="129">
        <f t="shared" si="184"/>
        <v>6.0166113333333335</v>
      </c>
    </row>
    <row r="3949" spans="1:10" hidden="1" x14ac:dyDescent="0.35">
      <c r="A3949" s="126" t="s">
        <v>441</v>
      </c>
      <c r="B3949" t="str">
        <f>_xlfn.XLOOKUP(A3949,'[1]2050Pop'!$A$7:$A$143,'[1]2050Pop'!$D$7:$D$143)</f>
        <v>LatAm &amp; RSA</v>
      </c>
      <c r="C3949" s="127">
        <f>1000*_xlfn.XLOOKUP(A3949,'[1]2050Pop'!$A$7:$A$143,'[1]2050Pop'!$C$7:$C$143)</f>
        <v>7863</v>
      </c>
      <c r="D3949" s="126" t="s">
        <v>532</v>
      </c>
      <c r="E3949" s="128">
        <v>11.404</v>
      </c>
      <c r="F3949" s="129">
        <f t="shared" si="185"/>
        <v>8.9669652000000002E-2</v>
      </c>
      <c r="G3949" t="str">
        <f>_xlfn.XLOOKUP(D3949,'[1]2050 BAU Mapping to T &amp; C'!$A$3:$A$52,'[1]2050 BAU Mapping to T &amp; C'!$B$3:$B$52)</f>
        <v>Other veg</v>
      </c>
      <c r="H3949" s="129">
        <f>_xlfn.XLOOKUP(G3949,'[1]T&amp;C emissions for 2050 analysis'!$B$3:$B$23,'[1]T&amp;C emissions for 2050 analysis'!$C$3:$C$23)</f>
        <v>0.26766666666666666</v>
      </c>
      <c r="I3949" s="27">
        <f t="shared" si="183"/>
        <v>2.4001576852000002E-2</v>
      </c>
      <c r="J3949" s="129">
        <f t="shared" si="184"/>
        <v>3.0524706666666668</v>
      </c>
    </row>
    <row r="3950" spans="1:10" hidden="1" x14ac:dyDescent="0.35">
      <c r="A3950" s="126" t="s">
        <v>482</v>
      </c>
      <c r="B3950" t="str">
        <f>_xlfn.XLOOKUP(A3950,'[1]2050Pop'!$A$7:$A$143,'[1]2050Pop'!$D$7:$D$143)</f>
        <v>SSA</v>
      </c>
      <c r="C3950" s="127">
        <f>1000*_xlfn.XLOOKUP(A3950,'[1]2050Pop'!$A$7:$A$143,'[1]2050Pop'!$C$7:$C$143)</f>
        <v>72238</v>
      </c>
      <c r="D3950" s="126" t="s">
        <v>532</v>
      </c>
      <c r="E3950" s="128">
        <v>421.49400000000003</v>
      </c>
      <c r="F3950" s="129">
        <f t="shared" si="185"/>
        <v>30.447883572000002</v>
      </c>
      <c r="G3950" t="str">
        <f>_xlfn.XLOOKUP(D3950,'[1]2050 BAU Mapping to T &amp; C'!$A$3:$A$52,'[1]2050 BAU Mapping to T &amp; C'!$B$3:$B$52)</f>
        <v>Other veg</v>
      </c>
      <c r="H3950" s="129">
        <f>_xlfn.XLOOKUP(G3950,'[1]T&amp;C emissions for 2050 analysis'!$B$3:$B$23,'[1]T&amp;C emissions for 2050 analysis'!$C$3:$C$23)</f>
        <v>0.26766666666666666</v>
      </c>
      <c r="I3950" s="27">
        <f t="shared" si="183"/>
        <v>8.1498835027720009</v>
      </c>
      <c r="J3950" s="129">
        <f t="shared" si="184"/>
        <v>112.81989400000001</v>
      </c>
    </row>
    <row r="3951" spans="1:10" hidden="1" x14ac:dyDescent="0.35">
      <c r="A3951" s="126" t="s">
        <v>491</v>
      </c>
      <c r="B3951" t="str">
        <f>_xlfn.XLOOKUP(A3951,'[1]2050Pop'!$A$7:$A$143,'[1]2050Pop'!$D$7:$D$143)</f>
        <v>SSA</v>
      </c>
      <c r="C3951" s="127">
        <f>1000*_xlfn.XLOOKUP(A3951,'[1]2050Pop'!$A$7:$A$143,'[1]2050Pop'!$C$7:$C$143)</f>
        <v>398508</v>
      </c>
      <c r="D3951" s="126" t="s">
        <v>532</v>
      </c>
      <c r="E3951" s="128">
        <v>328.315</v>
      </c>
      <c r="F3951" s="129">
        <f t="shared" si="185"/>
        <v>130.83615402000001</v>
      </c>
      <c r="G3951" t="str">
        <f>_xlfn.XLOOKUP(D3951,'[1]2050 BAU Mapping to T &amp; C'!$A$3:$A$52,'[1]2050 BAU Mapping to T &amp; C'!$B$3:$B$52)</f>
        <v>Other veg</v>
      </c>
      <c r="H3951" s="129">
        <f>_xlfn.XLOOKUP(G3951,'[1]T&amp;C emissions for 2050 analysis'!$B$3:$B$23,'[1]T&amp;C emissions for 2050 analysis'!$C$3:$C$23)</f>
        <v>0.26766666666666666</v>
      </c>
      <c r="I3951" s="27">
        <f t="shared" si="183"/>
        <v>35.020477226019999</v>
      </c>
      <c r="J3951" s="129">
        <f t="shared" si="184"/>
        <v>87.878981666666661</v>
      </c>
    </row>
    <row r="3952" spans="1:10" hidden="1" x14ac:dyDescent="0.35">
      <c r="A3952" s="126" t="s">
        <v>443</v>
      </c>
      <c r="B3952" t="str">
        <f>_xlfn.XLOOKUP(A3952,'[1]2050Pop'!$A$7:$A$143,'[1]2050Pop'!$D$7:$D$143)</f>
        <v>India/South Asia</v>
      </c>
      <c r="C3952" s="127">
        <f>1000*_xlfn.XLOOKUP(A3952,'[1]2050Pop'!$A$7:$A$143,'[1]2050Pop'!$C$7:$C$143)</f>
        <v>309640</v>
      </c>
      <c r="D3952" s="126" t="s">
        <v>532</v>
      </c>
      <c r="E3952" s="128">
        <v>5.9340000000000002</v>
      </c>
      <c r="F3952" s="129">
        <f t="shared" si="185"/>
        <v>1.8374037599999999</v>
      </c>
      <c r="G3952" t="str">
        <f>_xlfn.XLOOKUP(D3952,'[1]2050 BAU Mapping to T &amp; C'!$A$3:$A$52,'[1]2050 BAU Mapping to T &amp; C'!$B$3:$B$52)</f>
        <v>Other veg</v>
      </c>
      <c r="H3952" s="129">
        <f>_xlfn.XLOOKUP(G3952,'[1]T&amp;C emissions for 2050 analysis'!$B$3:$B$23,'[1]T&amp;C emissions for 2050 analysis'!$C$3:$C$23)</f>
        <v>0.26766666666666666</v>
      </c>
      <c r="I3952" s="27">
        <f t="shared" si="183"/>
        <v>0.49181173975999998</v>
      </c>
      <c r="J3952" s="129">
        <f t="shared" si="184"/>
        <v>1.5883340000000001</v>
      </c>
    </row>
    <row r="3953" spans="1:10" hidden="1" x14ac:dyDescent="0.35">
      <c r="A3953" s="126" t="s">
        <v>455</v>
      </c>
      <c r="B3953" t="str">
        <f>_xlfn.XLOOKUP(A3953,'[1]2050Pop'!$A$7:$A$143,'[1]2050Pop'!$D$7:$D$143)</f>
        <v>SSA</v>
      </c>
      <c r="C3953" s="127">
        <f>1000*_xlfn.XLOOKUP(A3953,'[1]2050Pop'!$A$7:$A$143,'[1]2050Pop'!$C$7:$C$143)</f>
        <v>21187</v>
      </c>
      <c r="D3953" s="126" t="s">
        <v>532</v>
      </c>
      <c r="E3953" s="128">
        <v>109.542</v>
      </c>
      <c r="F3953" s="129">
        <f t="shared" si="185"/>
        <v>2.3208663539999996</v>
      </c>
      <c r="G3953" t="str">
        <f>_xlfn.XLOOKUP(D3953,'[1]2050 BAU Mapping to T &amp; C'!$A$3:$A$52,'[1]2050 BAU Mapping to T &amp; C'!$B$3:$B$52)</f>
        <v>Other veg</v>
      </c>
      <c r="H3953" s="129">
        <f>_xlfn.XLOOKUP(G3953,'[1]T&amp;C emissions for 2050 analysis'!$B$3:$B$23,'[1]T&amp;C emissions for 2050 analysis'!$C$3:$C$23)</f>
        <v>0.26766666666666666</v>
      </c>
      <c r="I3953" s="27">
        <f t="shared" si="183"/>
        <v>0.62121856075399995</v>
      </c>
      <c r="J3953" s="129">
        <f t="shared" si="184"/>
        <v>29.320741999999999</v>
      </c>
    </row>
    <row r="3954" spans="1:10" hidden="1" x14ac:dyDescent="0.35">
      <c r="A3954" s="126" t="s">
        <v>456</v>
      </c>
      <c r="B3954" t="str">
        <f>_xlfn.XLOOKUP(A3954,'[1]2050Pop'!$A$7:$A$143,'[1]2050Pop'!$D$7:$D$143)</f>
        <v>MENA</v>
      </c>
      <c r="C3954" s="127">
        <f>1000*_xlfn.XLOOKUP(A3954,'[1]2050Pop'!$A$7:$A$143,'[1]2050Pop'!$C$7:$C$143)</f>
        <v>46059</v>
      </c>
      <c r="D3954" s="126" t="s">
        <v>532</v>
      </c>
      <c r="E3954" s="128">
        <v>28.696000000000002</v>
      </c>
      <c r="F3954" s="129">
        <f t="shared" si="185"/>
        <v>1.321709064</v>
      </c>
      <c r="G3954" t="str">
        <f>_xlfn.XLOOKUP(D3954,'[1]2050 BAU Mapping to T &amp; C'!$A$3:$A$52,'[1]2050 BAU Mapping to T &amp; C'!$B$3:$B$52)</f>
        <v>Other veg</v>
      </c>
      <c r="H3954" s="129">
        <f>_xlfn.XLOOKUP(G3954,'[1]T&amp;C emissions for 2050 analysis'!$B$3:$B$23,'[1]T&amp;C emissions for 2050 analysis'!$C$3:$C$23)</f>
        <v>0.26766666666666666</v>
      </c>
      <c r="I3954" s="27">
        <f t="shared" si="183"/>
        <v>0.35377745946399997</v>
      </c>
      <c r="J3954" s="129">
        <f t="shared" si="184"/>
        <v>7.6809626666666668</v>
      </c>
    </row>
    <row r="3955" spans="1:10" hidden="1" x14ac:dyDescent="0.35">
      <c r="A3955" s="126" t="s">
        <v>457</v>
      </c>
      <c r="B3955" t="str">
        <f>_xlfn.XLOOKUP(A3955,'[1]2050Pop'!$A$7:$A$143,'[1]2050Pop'!$D$7:$D$143)</f>
        <v>SSA</v>
      </c>
      <c r="C3955" s="127">
        <f>1000*_xlfn.XLOOKUP(A3955,'[1]2050Pop'!$A$7:$A$143,'[1]2050Pop'!$C$7:$C$143)</f>
        <v>36223</v>
      </c>
      <c r="D3955" s="126" t="s">
        <v>532</v>
      </c>
      <c r="E3955" s="128">
        <v>114.407</v>
      </c>
      <c r="F3955" s="129">
        <f t="shared" si="185"/>
        <v>4.1441647609999999</v>
      </c>
      <c r="G3955" t="str">
        <f>_xlfn.XLOOKUP(D3955,'[1]2050 BAU Mapping to T &amp; C'!$A$3:$A$52,'[1]2050 BAU Mapping to T &amp; C'!$B$3:$B$52)</f>
        <v>Other veg</v>
      </c>
      <c r="H3955" s="129">
        <f>_xlfn.XLOOKUP(G3955,'[1]T&amp;C emissions for 2050 analysis'!$B$3:$B$23,'[1]T&amp;C emissions for 2050 analysis'!$C$3:$C$23)</f>
        <v>0.26766666666666666</v>
      </c>
      <c r="I3955" s="27">
        <f t="shared" si="183"/>
        <v>1.1092547676943332</v>
      </c>
      <c r="J3955" s="129">
        <f t="shared" si="184"/>
        <v>30.622940333333332</v>
      </c>
    </row>
    <row r="3956" spans="1:10" hidden="1" x14ac:dyDescent="0.35">
      <c r="A3956" s="126" t="s">
        <v>492</v>
      </c>
      <c r="B3956" t="str">
        <f>_xlfn.XLOOKUP(A3956,'[1]2050Pop'!$A$7:$A$143,'[1]2050Pop'!$D$7:$D$143)</f>
        <v>SSA</v>
      </c>
      <c r="C3956" s="127">
        <f>1000*_xlfn.XLOOKUP(A3956,'[1]2050Pop'!$A$7:$A$143,'[1]2050Pop'!$C$7:$C$143)</f>
        <v>11392</v>
      </c>
      <c r="D3956" s="126" t="s">
        <v>532</v>
      </c>
      <c r="E3956" s="128">
        <v>29.640999999999998</v>
      </c>
      <c r="F3956" s="129">
        <f t="shared" si="185"/>
        <v>0.33767027199999999</v>
      </c>
      <c r="G3956" t="str">
        <f>_xlfn.XLOOKUP(D3956,'[1]2050 BAU Mapping to T &amp; C'!$A$3:$A$52,'[1]2050 BAU Mapping to T &amp; C'!$B$3:$B$52)</f>
        <v>Other veg</v>
      </c>
      <c r="H3956" s="129">
        <f>_xlfn.XLOOKUP(G3956,'[1]T&amp;C emissions for 2050 analysis'!$B$3:$B$23,'[1]T&amp;C emissions for 2050 analysis'!$C$3:$C$23)</f>
        <v>0.26766666666666666</v>
      </c>
      <c r="I3956" s="27">
        <f t="shared" si="183"/>
        <v>9.0383076138666668E-2</v>
      </c>
      <c r="J3956" s="129">
        <f t="shared" si="184"/>
        <v>7.9339076666666664</v>
      </c>
    </row>
    <row r="3957" spans="1:10" hidden="1" x14ac:dyDescent="0.35">
      <c r="A3957" s="126" t="s">
        <v>460</v>
      </c>
      <c r="B3957" t="str">
        <f>_xlfn.XLOOKUP(A3957,'[1]2050Pop'!$A$7:$A$143,'[1]2050Pop'!$D$7:$D$143)</f>
        <v>LatAm &amp; RSA</v>
      </c>
      <c r="C3957" s="127">
        <f>1000*_xlfn.XLOOKUP(A3957,'[1]2050Pop'!$A$7:$A$143,'[1]2050Pop'!$C$7:$C$143)</f>
        <v>65540</v>
      </c>
      <c r="D3957" s="126" t="s">
        <v>532</v>
      </c>
      <c r="E3957" s="128">
        <v>8.3040000000000003</v>
      </c>
      <c r="F3957" s="129">
        <f t="shared" si="185"/>
        <v>0.54424416000000009</v>
      </c>
      <c r="G3957" t="str">
        <f>_xlfn.XLOOKUP(D3957,'[1]2050 BAU Mapping to T &amp; C'!$A$3:$A$52,'[1]2050 BAU Mapping to T &amp; C'!$B$3:$B$52)</f>
        <v>Other veg</v>
      </c>
      <c r="H3957" s="129">
        <f>_xlfn.XLOOKUP(G3957,'[1]T&amp;C emissions for 2050 analysis'!$B$3:$B$23,'[1]T&amp;C emissions for 2050 analysis'!$C$3:$C$23)</f>
        <v>0.26766666666666666</v>
      </c>
      <c r="I3957" s="27">
        <f t="shared" si="183"/>
        <v>0.14567602016000003</v>
      </c>
      <c r="J3957" s="129">
        <f t="shared" si="184"/>
        <v>2.2227040000000002</v>
      </c>
    </row>
    <row r="3958" spans="1:10" hidden="1" x14ac:dyDescent="0.35">
      <c r="A3958" s="126" t="s">
        <v>463</v>
      </c>
      <c r="B3958" t="str">
        <f>_xlfn.XLOOKUP(A3958,'[1]2050Pop'!$A$7:$A$143,'[1]2050Pop'!$D$7:$D$143)</f>
        <v>SSA</v>
      </c>
      <c r="C3958" s="127">
        <f>1000*_xlfn.XLOOKUP(A3958,'[1]2050Pop'!$A$7:$A$143,'[1]2050Pop'!$C$7:$C$143)</f>
        <v>1792</v>
      </c>
      <c r="D3958" s="126" t="s">
        <v>532</v>
      </c>
      <c r="E3958" s="130">
        <v>1.05</v>
      </c>
      <c r="F3958" s="129">
        <f t="shared" si="185"/>
        <v>1.8816000000000002E-3</v>
      </c>
      <c r="G3958" t="str">
        <f>_xlfn.XLOOKUP(D3958,'[1]2050 BAU Mapping to T &amp; C'!$A$3:$A$52,'[1]2050 BAU Mapping to T &amp; C'!$B$3:$B$52)</f>
        <v>Other veg</v>
      </c>
      <c r="H3958" s="129">
        <f>_xlfn.XLOOKUP(G3958,'[1]T&amp;C emissions for 2050 analysis'!$B$3:$B$23,'[1]T&amp;C emissions for 2050 analysis'!$C$3:$C$23)</f>
        <v>0.26766666666666666</v>
      </c>
      <c r="I3958" s="27">
        <f t="shared" si="183"/>
        <v>5.0364160000000008E-4</v>
      </c>
      <c r="J3958" s="129">
        <f t="shared" si="184"/>
        <v>0.28105000000000002</v>
      </c>
    </row>
    <row r="3959" spans="1:10" hidden="1" x14ac:dyDescent="0.35">
      <c r="A3959" s="126" t="s">
        <v>466</v>
      </c>
      <c r="B3959" t="str">
        <f>_xlfn.XLOOKUP(A3959,'[1]2050Pop'!$A$7:$A$143,'[1]2050Pop'!$D$7:$D$143)</f>
        <v>SSA</v>
      </c>
      <c r="C3959" s="127">
        <f>1000*_xlfn.XLOOKUP(A3959,'[1]2050Pop'!$A$7:$A$143,'[1]2050Pop'!$C$7:$C$143)</f>
        <v>15681</v>
      </c>
      <c r="D3959" s="126" t="s">
        <v>532</v>
      </c>
      <c r="E3959" s="128">
        <v>238.59800000000001</v>
      </c>
      <c r="F3959" s="129">
        <f t="shared" si="185"/>
        <v>3.7414552380000003</v>
      </c>
      <c r="G3959" t="str">
        <f>_xlfn.XLOOKUP(D3959,'[1]2050 BAU Mapping to T &amp; C'!$A$3:$A$52,'[1]2050 BAU Mapping to T &amp; C'!$B$3:$B$52)</f>
        <v>Other veg</v>
      </c>
      <c r="H3959" s="129">
        <f>_xlfn.XLOOKUP(G3959,'[1]T&amp;C emissions for 2050 analysis'!$B$3:$B$23,'[1]T&amp;C emissions for 2050 analysis'!$C$3:$C$23)</f>
        <v>0.26766666666666666</v>
      </c>
      <c r="I3959" s="27">
        <f t="shared" si="183"/>
        <v>1.001462852038</v>
      </c>
      <c r="J3959" s="129">
        <f t="shared" si="184"/>
        <v>63.864731333333339</v>
      </c>
    </row>
    <row r="3960" spans="1:10" hidden="1" x14ac:dyDescent="0.35">
      <c r="A3960" s="126" t="s">
        <v>468</v>
      </c>
      <c r="B3960" t="str">
        <f>_xlfn.XLOOKUP(A3960,'[1]2050Pop'!$A$7:$A$143,'[1]2050Pop'!$D$7:$D$143)</f>
        <v>MENA</v>
      </c>
      <c r="C3960" s="127">
        <f>1000*_xlfn.XLOOKUP(A3960,'[1]2050Pop'!$A$7:$A$143,'[1]2050Pop'!$C$7:$C$143)</f>
        <v>13476</v>
      </c>
      <c r="D3960" s="126" t="s">
        <v>532</v>
      </c>
      <c r="E3960" s="128">
        <v>3.1629999999999998</v>
      </c>
      <c r="F3960" s="129">
        <f t="shared" si="185"/>
        <v>4.2624587999999998E-2</v>
      </c>
      <c r="G3960" t="str">
        <f>_xlfn.XLOOKUP(D3960,'[1]2050 BAU Mapping to T &amp; C'!$A$3:$A$52,'[1]2050 BAU Mapping to T &amp; C'!$B$3:$B$52)</f>
        <v>Other veg</v>
      </c>
      <c r="H3960" s="129">
        <f>_xlfn.XLOOKUP(G3960,'[1]T&amp;C emissions for 2050 analysis'!$B$3:$B$23,'[1]T&amp;C emissions for 2050 analysis'!$C$3:$C$23)</f>
        <v>0.26766666666666666</v>
      </c>
      <c r="I3960" s="27">
        <f t="shared" si="183"/>
        <v>1.1409181387999999E-2</v>
      </c>
      <c r="J3960" s="129">
        <f t="shared" si="184"/>
        <v>0.84662966666666661</v>
      </c>
    </row>
    <row r="3961" spans="1:10" hidden="1" x14ac:dyDescent="0.35">
      <c r="A3961" s="126" t="s">
        <v>470</v>
      </c>
      <c r="B3961" t="str">
        <f>_xlfn.XLOOKUP(A3961,'[1]2050Pop'!$A$7:$A$143,'[1]2050Pop'!$D$7:$D$143)</f>
        <v>SSA</v>
      </c>
      <c r="C3961" s="127">
        <f>1000*_xlfn.XLOOKUP(A3961,'[1]2050Pop'!$A$7:$A$143,'[1]2050Pop'!$C$7:$C$143)</f>
        <v>101873</v>
      </c>
      <c r="D3961" s="126" t="s">
        <v>532</v>
      </c>
      <c r="E3961" s="128">
        <v>39.404000000000003</v>
      </c>
      <c r="F3961" s="129">
        <f t="shared" si="185"/>
        <v>4.0142036920000006</v>
      </c>
      <c r="G3961" t="str">
        <f>_xlfn.XLOOKUP(D3961,'[1]2050 BAU Mapping to T &amp; C'!$A$3:$A$52,'[1]2050 BAU Mapping to T &amp; C'!$B$3:$B$52)</f>
        <v>Other veg</v>
      </c>
      <c r="H3961" s="129">
        <f>_xlfn.XLOOKUP(G3961,'[1]T&amp;C emissions for 2050 analysis'!$B$3:$B$23,'[1]T&amp;C emissions for 2050 analysis'!$C$3:$C$23)</f>
        <v>0.26766666666666666</v>
      </c>
      <c r="I3961" s="27">
        <f t="shared" si="183"/>
        <v>1.0744685215586669</v>
      </c>
      <c r="J3961" s="129">
        <f t="shared" si="184"/>
        <v>10.547137333333334</v>
      </c>
    </row>
    <row r="3962" spans="1:10" hidden="1" x14ac:dyDescent="0.35">
      <c r="A3962" s="126" t="s">
        <v>473</v>
      </c>
      <c r="B3962" t="str">
        <f>_xlfn.XLOOKUP(A3962,'[1]2050Pop'!$A$7:$A$143,'[1]2050Pop'!$D$7:$D$143)</f>
        <v>SSA</v>
      </c>
      <c r="C3962" s="127">
        <f>1000*_xlfn.XLOOKUP(A3962,'[1]2050Pop'!$A$7:$A$143,'[1]2050Pop'!$C$7:$C$143)</f>
        <v>137136</v>
      </c>
      <c r="D3962" s="126" t="s">
        <v>532</v>
      </c>
      <c r="E3962" s="128">
        <v>74.674000000000007</v>
      </c>
      <c r="F3962" s="129">
        <f t="shared" si="185"/>
        <v>10.240493664000001</v>
      </c>
      <c r="G3962" t="str">
        <f>_xlfn.XLOOKUP(D3962,'[1]2050 BAU Mapping to T &amp; C'!$A$3:$A$52,'[1]2050 BAU Mapping to T &amp; C'!$B$3:$B$52)</f>
        <v>Other veg</v>
      </c>
      <c r="H3962" s="129">
        <f>_xlfn.XLOOKUP(G3962,'[1]T&amp;C emissions for 2050 analysis'!$B$3:$B$23,'[1]T&amp;C emissions for 2050 analysis'!$C$3:$C$23)</f>
        <v>0.26766666666666666</v>
      </c>
      <c r="I3962" s="27">
        <f t="shared" si="183"/>
        <v>2.7410388040639999</v>
      </c>
      <c r="J3962" s="129">
        <f t="shared" si="184"/>
        <v>19.987740666666667</v>
      </c>
    </row>
    <row r="3963" spans="1:10" hidden="1" x14ac:dyDescent="0.35">
      <c r="A3963" s="126" t="s">
        <v>474</v>
      </c>
      <c r="B3963" t="str">
        <f>_xlfn.XLOOKUP(A3963,'[1]2050Pop'!$A$7:$A$143,'[1]2050Pop'!$D$7:$D$143)</f>
        <v>NAm</v>
      </c>
      <c r="C3963" s="127">
        <f>1000*_xlfn.XLOOKUP(A3963,'[1]2050Pop'!$A$7:$A$143,'[1]2050Pop'!$C$7:$C$143)</f>
        <v>388865</v>
      </c>
      <c r="D3963" s="126" t="s">
        <v>532</v>
      </c>
      <c r="E3963" s="128">
        <v>4.8129999999999997</v>
      </c>
      <c r="F3963" s="129">
        <f t="shared" si="185"/>
        <v>1.8716072449999999</v>
      </c>
      <c r="G3963" t="str">
        <f>_xlfn.XLOOKUP(D3963,'[1]2050 BAU Mapping to T &amp; C'!$A$3:$A$52,'[1]2050 BAU Mapping to T &amp; C'!$B$3:$B$52)</f>
        <v>Other veg</v>
      </c>
      <c r="H3963" s="129">
        <f>_xlfn.XLOOKUP(G3963,'[1]T&amp;C emissions for 2050 analysis'!$B$3:$B$23,'[1]T&amp;C emissions for 2050 analysis'!$C$3:$C$23)</f>
        <v>0.26766666666666666</v>
      </c>
      <c r="I3963" s="27">
        <f t="shared" si="183"/>
        <v>0.50096687257833328</v>
      </c>
      <c r="J3963" s="129">
        <f t="shared" si="184"/>
        <v>1.2882796666666665</v>
      </c>
    </row>
    <row r="3964" spans="1:10" hidden="1" x14ac:dyDescent="0.35">
      <c r="A3964" s="126" t="s">
        <v>478</v>
      </c>
      <c r="B3964" t="str">
        <f>_xlfn.XLOOKUP(A3964,'[1]2050Pop'!$A$7:$A$143,'[1]2050Pop'!$D$7:$D$143)</f>
        <v>MENA</v>
      </c>
      <c r="C3964" s="127">
        <f>1000*_xlfn.XLOOKUP(A3964,'[1]2050Pop'!$A$7:$A$143,'[1]2050Pop'!$C$7:$C$143)</f>
        <v>47170</v>
      </c>
      <c r="D3964" s="126" t="s">
        <v>532</v>
      </c>
      <c r="E3964" s="128">
        <v>153.631</v>
      </c>
      <c r="F3964" s="129">
        <f t="shared" si="185"/>
        <v>7.2467742699999995</v>
      </c>
      <c r="G3964" t="str">
        <f>_xlfn.XLOOKUP(D3964,'[1]2050 BAU Mapping to T &amp; C'!$A$3:$A$52,'[1]2050 BAU Mapping to T &amp; C'!$B$3:$B$52)</f>
        <v>Other veg</v>
      </c>
      <c r="H3964" s="129">
        <f>_xlfn.XLOOKUP(G3964,'[1]T&amp;C emissions for 2050 analysis'!$B$3:$B$23,'[1]T&amp;C emissions for 2050 analysis'!$C$3:$C$23)</f>
        <v>0.26766666666666666</v>
      </c>
      <c r="I3964" s="27">
        <f t="shared" si="183"/>
        <v>1.9397199129366665</v>
      </c>
      <c r="J3964" s="129">
        <f t="shared" si="184"/>
        <v>41.121897666666669</v>
      </c>
    </row>
    <row r="3965" spans="1:10" hidden="1" x14ac:dyDescent="0.35">
      <c r="A3965" s="126" t="s">
        <v>494</v>
      </c>
      <c r="B3965" t="str">
        <f>_xlfn.XLOOKUP(A3965,'[1]2050Pop'!$A$7:$A$143,'[1]2050Pop'!$D$7:$D$143)</f>
        <v>SSA</v>
      </c>
      <c r="C3965" s="127">
        <f>1000*_xlfn.XLOOKUP(A3965,'[1]2050Pop'!$A$7:$A$143,'[1]2050Pop'!$C$7:$C$143)</f>
        <v>42975</v>
      </c>
      <c r="D3965" s="126" t="s">
        <v>532</v>
      </c>
      <c r="E3965" s="128">
        <v>9.7750000000000004</v>
      </c>
      <c r="F3965" s="129">
        <f t="shared" si="185"/>
        <v>0.42008062499999999</v>
      </c>
      <c r="G3965" t="str">
        <f>_xlfn.XLOOKUP(D3965,'[1]2050 BAU Mapping to T &amp; C'!$A$3:$A$52,'[1]2050 BAU Mapping to T &amp; C'!$B$3:$B$52)</f>
        <v>Other veg</v>
      </c>
      <c r="H3965" s="129">
        <f>_xlfn.XLOOKUP(G3965,'[1]T&amp;C emissions for 2050 analysis'!$B$3:$B$23,'[1]T&amp;C emissions for 2050 analysis'!$C$3:$C$23)</f>
        <v>0.26766666666666666</v>
      </c>
      <c r="I3965" s="27">
        <f t="shared" si="183"/>
        <v>0.112441580625</v>
      </c>
      <c r="J3965" s="129">
        <f t="shared" si="184"/>
        <v>2.6164416666666668</v>
      </c>
    </row>
    <row r="3966" spans="1:10" hidden="1" x14ac:dyDescent="0.35">
      <c r="A3966" s="126" t="s">
        <v>479</v>
      </c>
      <c r="B3966" t="str">
        <f>_xlfn.XLOOKUP(A3966,'[1]2050Pop'!$A$7:$A$143,'[1]2050Pop'!$D$7:$D$143)</f>
        <v>SSA</v>
      </c>
      <c r="C3966" s="127">
        <f>1000*_xlfn.XLOOKUP(A3966,'[1]2050Pop'!$A$7:$A$143,'[1]2050Pop'!$C$7:$C$143)</f>
        <v>29615</v>
      </c>
      <c r="D3966" s="126" t="s">
        <v>532</v>
      </c>
      <c r="E3966" s="128">
        <v>47.762999999999998</v>
      </c>
      <c r="F3966" s="129">
        <f t="shared" si="185"/>
        <v>1.4145012449999999</v>
      </c>
      <c r="G3966" t="str">
        <f>_xlfn.XLOOKUP(D3966,'[1]2050 BAU Mapping to T &amp; C'!$A$3:$A$52,'[1]2050 BAU Mapping to T &amp; C'!$B$3:$B$52)</f>
        <v>Other veg</v>
      </c>
      <c r="H3966" s="129">
        <f>_xlfn.XLOOKUP(G3966,'[1]T&amp;C emissions for 2050 analysis'!$B$3:$B$23,'[1]T&amp;C emissions for 2050 analysis'!$C$3:$C$23)</f>
        <v>0.26766666666666666</v>
      </c>
      <c r="I3966" s="27">
        <f t="shared" si="183"/>
        <v>0.37861483324499995</v>
      </c>
      <c r="J3966" s="129">
        <f t="shared" si="184"/>
        <v>12.784562999999999</v>
      </c>
    </row>
    <row r="3967" spans="1:10" hidden="1" x14ac:dyDescent="0.35">
      <c r="A3967" s="126" t="s">
        <v>355</v>
      </c>
      <c r="B3967" t="str">
        <f>_xlfn.XLOOKUP(A3967,'[1]2050Pop'!$A$7:$A$143,'[1]2050Pop'!$D$7:$D$143)</f>
        <v>India/South Asia</v>
      </c>
      <c r="C3967" s="127">
        <f>1000*_xlfn.XLOOKUP(A3967,'[1]2050Pop'!$A$7:$A$143,'[1]2050Pop'!$C$7:$C$143)</f>
        <v>55955</v>
      </c>
      <c r="D3967" s="126" t="s">
        <v>533</v>
      </c>
      <c r="E3967" s="128">
        <v>16.923999999999999</v>
      </c>
      <c r="F3967" s="129">
        <f t="shared" si="185"/>
        <v>0.94698241999999988</v>
      </c>
      <c r="G3967" t="str">
        <f>_xlfn.XLOOKUP(D3967,'[1]2050 BAU Mapping to T &amp; C'!$A$3:$A$52,'[1]2050 BAU Mapping to T &amp; C'!$B$3:$B$52)</f>
        <v xml:space="preserve">Oil crops </v>
      </c>
      <c r="H3967" s="129">
        <f>_xlfn.XLOOKUP(G3967,'[1]T&amp;C emissions for 2050 analysis'!$B$3:$B$23,'[1]T&amp;C emissions for 2050 analysis'!$C$3:$C$23)</f>
        <v>0.18333333333333335</v>
      </c>
      <c r="I3967" s="27">
        <f t="shared" si="183"/>
        <v>0.17361344366666667</v>
      </c>
      <c r="J3967" s="129">
        <f t="shared" si="184"/>
        <v>3.1027333333333336</v>
      </c>
    </row>
    <row r="3968" spans="1:10" hidden="1" x14ac:dyDescent="0.35">
      <c r="A3968" s="126" t="s">
        <v>357</v>
      </c>
      <c r="B3968" t="str">
        <f>_xlfn.XLOOKUP(A3968,'[1]2050Pop'!$A$7:$A$143,'[1]2050Pop'!$D$7:$D$143)</f>
        <v>Euro/AU/NZ</v>
      </c>
      <c r="C3968" s="127">
        <f>1000*_xlfn.XLOOKUP(A3968,'[1]2050Pop'!$A$7:$A$143,'[1]2050Pop'!$C$7:$C$143)</f>
        <v>2710</v>
      </c>
      <c r="D3968" s="126" t="s">
        <v>533</v>
      </c>
      <c r="E3968" s="130">
        <v>1.62</v>
      </c>
      <c r="F3968" s="129">
        <f t="shared" si="185"/>
        <v>4.3902000000000004E-3</v>
      </c>
      <c r="G3968" t="str">
        <f>_xlfn.XLOOKUP(D3968,'[1]2050 BAU Mapping to T &amp; C'!$A$3:$A$52,'[1]2050 BAU Mapping to T &amp; C'!$B$3:$B$52)</f>
        <v xml:space="preserve">Oil crops </v>
      </c>
      <c r="H3968" s="129">
        <f>_xlfn.XLOOKUP(G3968,'[1]T&amp;C emissions for 2050 analysis'!$B$3:$B$23,'[1]T&amp;C emissions for 2050 analysis'!$C$3:$C$23)</f>
        <v>0.18333333333333335</v>
      </c>
      <c r="I3968" s="27">
        <f t="shared" si="183"/>
        <v>8.0487000000000017E-4</v>
      </c>
      <c r="J3968" s="129">
        <f t="shared" si="184"/>
        <v>0.29700000000000004</v>
      </c>
    </row>
    <row r="3969" spans="1:10" hidden="1" x14ac:dyDescent="0.35">
      <c r="A3969" s="126" t="s">
        <v>358</v>
      </c>
      <c r="B3969" t="str">
        <f>_xlfn.XLOOKUP(A3969,'[1]2050Pop'!$A$7:$A$143,'[1]2050Pop'!$D$7:$D$143)</f>
        <v>MENA</v>
      </c>
      <c r="C3969" s="127">
        <f>1000*_xlfn.XLOOKUP(A3969,'[1]2050Pop'!$A$7:$A$143,'[1]2050Pop'!$C$7:$C$143)</f>
        <v>56461</v>
      </c>
      <c r="D3969" s="126" t="s">
        <v>533</v>
      </c>
      <c r="E3969" s="128">
        <v>183.18700000000001</v>
      </c>
      <c r="F3969" s="129">
        <f t="shared" si="185"/>
        <v>10.342921207</v>
      </c>
      <c r="G3969" t="str">
        <f>_xlfn.XLOOKUP(D3969,'[1]2050 BAU Mapping to T &amp; C'!$A$3:$A$52,'[1]2050 BAU Mapping to T &amp; C'!$B$3:$B$52)</f>
        <v xml:space="preserve">Oil crops </v>
      </c>
      <c r="H3969" s="129">
        <f>_xlfn.XLOOKUP(G3969,'[1]T&amp;C emissions for 2050 analysis'!$B$3:$B$23,'[1]T&amp;C emissions for 2050 analysis'!$C$3:$C$23)</f>
        <v>0.18333333333333335</v>
      </c>
      <c r="I3969" s="27">
        <f t="shared" si="183"/>
        <v>1.8962022212833334</v>
      </c>
      <c r="J3969" s="129">
        <f t="shared" si="184"/>
        <v>33.584283333333339</v>
      </c>
    </row>
    <row r="3970" spans="1:10" hidden="1" x14ac:dyDescent="0.35">
      <c r="A3970" s="126" t="s">
        <v>359</v>
      </c>
      <c r="B3970" t="str">
        <f>_xlfn.XLOOKUP(A3970,'[1]2050Pop'!$A$7:$A$143,'[1]2050Pop'!$D$7:$D$143)</f>
        <v>SSA</v>
      </c>
      <c r="C3970" s="127">
        <f>1000*_xlfn.XLOOKUP(A3970,'[1]2050Pop'!$A$7:$A$143,'[1]2050Pop'!$C$7:$C$143)</f>
        <v>65473</v>
      </c>
      <c r="D3970" s="126" t="s">
        <v>533</v>
      </c>
      <c r="E3970" s="130">
        <v>87.57</v>
      </c>
      <c r="F3970" s="129">
        <f t="shared" si="185"/>
        <v>5.7334706099999995</v>
      </c>
      <c r="G3970" t="str">
        <f>_xlfn.XLOOKUP(D3970,'[1]2050 BAU Mapping to T &amp; C'!$A$3:$A$52,'[1]2050 BAU Mapping to T &amp; C'!$B$3:$B$52)</f>
        <v xml:space="preserve">Oil crops </v>
      </c>
      <c r="H3970" s="129">
        <f>_xlfn.XLOOKUP(G3970,'[1]T&amp;C emissions for 2050 analysis'!$B$3:$B$23,'[1]T&amp;C emissions for 2050 analysis'!$C$3:$C$23)</f>
        <v>0.18333333333333335</v>
      </c>
      <c r="I3970" s="27">
        <f t="shared" si="183"/>
        <v>1.0511362785</v>
      </c>
      <c r="J3970" s="129">
        <f t="shared" si="184"/>
        <v>16.054500000000001</v>
      </c>
    </row>
    <row r="3971" spans="1:10" hidden="1" x14ac:dyDescent="0.35">
      <c r="A3971" s="126" t="s">
        <v>360</v>
      </c>
      <c r="B3971" t="str">
        <f>_xlfn.XLOOKUP(A3971,'[1]2050Pop'!$A$7:$A$143,'[1]2050Pop'!$D$7:$D$143)</f>
        <v>LatAm &amp; RSA</v>
      </c>
      <c r="C3971" s="127">
        <f>1000*_xlfn.XLOOKUP(A3971,'[1]2050Pop'!$A$7:$A$143,'[1]2050Pop'!$C$7:$C$143)</f>
        <v>55445</v>
      </c>
      <c r="D3971" s="126" t="s">
        <v>533</v>
      </c>
      <c r="E3971" s="128">
        <v>61.353000000000002</v>
      </c>
      <c r="F3971" s="129">
        <f t="shared" si="185"/>
        <v>3.401717085</v>
      </c>
      <c r="G3971" t="str">
        <f>_xlfn.XLOOKUP(D3971,'[1]2050 BAU Mapping to T &amp; C'!$A$3:$A$52,'[1]2050 BAU Mapping to T &amp; C'!$B$3:$B$52)</f>
        <v xml:space="preserve">Oil crops </v>
      </c>
      <c r="H3971" s="129">
        <f>_xlfn.XLOOKUP(G3971,'[1]T&amp;C emissions for 2050 analysis'!$B$3:$B$23,'[1]T&amp;C emissions for 2050 analysis'!$C$3:$C$23)</f>
        <v>0.18333333333333335</v>
      </c>
      <c r="I3971" s="27">
        <f t="shared" si="183"/>
        <v>0.62364813225000004</v>
      </c>
      <c r="J3971" s="129">
        <f t="shared" si="184"/>
        <v>11.248050000000001</v>
      </c>
    </row>
    <row r="3972" spans="1:10" hidden="1" x14ac:dyDescent="0.35">
      <c r="A3972" s="126" t="s">
        <v>361</v>
      </c>
      <c r="B3972" t="str">
        <f>_xlfn.XLOOKUP(A3972,'[1]2050Pop'!$A$7:$A$143,'[1]2050Pop'!$D$7:$D$143)</f>
        <v>MENA</v>
      </c>
      <c r="C3972" s="127">
        <f>1000*_xlfn.XLOOKUP(A3972,'[1]2050Pop'!$A$7:$A$143,'[1]2050Pop'!$C$7:$C$143)</f>
        <v>2729</v>
      </c>
      <c r="D3972" s="126" t="s">
        <v>533</v>
      </c>
      <c r="E3972" s="128">
        <v>3.8580000000000001</v>
      </c>
      <c r="F3972" s="129">
        <f t="shared" si="185"/>
        <v>1.0528482E-2</v>
      </c>
      <c r="G3972" t="str">
        <f>_xlfn.XLOOKUP(D3972,'[1]2050 BAU Mapping to T &amp; C'!$A$3:$A$52,'[1]2050 BAU Mapping to T &amp; C'!$B$3:$B$52)</f>
        <v xml:space="preserve">Oil crops </v>
      </c>
      <c r="H3972" s="129">
        <f>_xlfn.XLOOKUP(G3972,'[1]T&amp;C emissions for 2050 analysis'!$B$3:$B$23,'[1]T&amp;C emissions for 2050 analysis'!$C$3:$C$23)</f>
        <v>0.18333333333333335</v>
      </c>
      <c r="I3972" s="27">
        <f t="shared" ref="I3972:I4035" si="186">F3972*H3972</f>
        <v>1.9302217000000002E-3</v>
      </c>
      <c r="J3972" s="129">
        <f t="shared" ref="J3972:J4035" si="187">E3972*H3972</f>
        <v>0.70730000000000004</v>
      </c>
    </row>
    <row r="3973" spans="1:10" hidden="1" x14ac:dyDescent="0.35">
      <c r="A3973" s="126" t="s">
        <v>362</v>
      </c>
      <c r="B3973" t="str">
        <f>_xlfn.XLOOKUP(A3973,'[1]2050Pop'!$A$7:$A$143,'[1]2050Pop'!$D$7:$D$143)</f>
        <v>Euro/AU/NZ</v>
      </c>
      <c r="C3973" s="127">
        <f>1000*_xlfn.XLOOKUP(A3973,'[1]2050Pop'!$A$7:$A$143,'[1]2050Pop'!$C$7:$C$143)</f>
        <v>33496</v>
      </c>
      <c r="D3973" s="126" t="s">
        <v>533</v>
      </c>
      <c r="E3973" s="128">
        <v>32.427</v>
      </c>
      <c r="F3973" s="129">
        <f t="shared" ref="F3973:F4036" si="188">C3973*E3973/1000000</f>
        <v>1.086174792</v>
      </c>
      <c r="G3973" t="str">
        <f>_xlfn.XLOOKUP(D3973,'[1]2050 BAU Mapping to T &amp; C'!$A$3:$A$52,'[1]2050 BAU Mapping to T &amp; C'!$B$3:$B$52)</f>
        <v xml:space="preserve">Oil crops </v>
      </c>
      <c r="H3973" s="129">
        <f>_xlfn.XLOOKUP(G3973,'[1]T&amp;C emissions for 2050 analysis'!$B$3:$B$23,'[1]T&amp;C emissions for 2050 analysis'!$C$3:$C$23)</f>
        <v>0.18333333333333335</v>
      </c>
      <c r="I3973" s="27">
        <f t="shared" si="186"/>
        <v>0.19913204520000002</v>
      </c>
      <c r="J3973" s="129">
        <f t="shared" si="187"/>
        <v>5.9449500000000004</v>
      </c>
    </row>
    <row r="3974" spans="1:10" hidden="1" x14ac:dyDescent="0.35">
      <c r="A3974" s="126" t="s">
        <v>363</v>
      </c>
      <c r="B3974" t="str">
        <f>_xlfn.XLOOKUP(A3974,'[1]2050Pop'!$A$7:$A$143,'[1]2050Pop'!$D$7:$D$143)</f>
        <v>Euro/AU/NZ</v>
      </c>
      <c r="C3974" s="127">
        <f>1000*_xlfn.XLOOKUP(A3974,'[1]2050Pop'!$A$7:$A$143,'[1]2050Pop'!$C$7:$C$143)</f>
        <v>8846</v>
      </c>
      <c r="D3974" s="126" t="s">
        <v>533</v>
      </c>
      <c r="E3974" s="128">
        <v>26.795000000000002</v>
      </c>
      <c r="F3974" s="129">
        <f t="shared" si="188"/>
        <v>0.23702856999999999</v>
      </c>
      <c r="G3974" t="str">
        <f>_xlfn.XLOOKUP(D3974,'[1]2050 BAU Mapping to T &amp; C'!$A$3:$A$52,'[1]2050 BAU Mapping to T &amp; C'!$B$3:$B$52)</f>
        <v xml:space="preserve">Oil crops </v>
      </c>
      <c r="H3974" s="129">
        <f>_xlfn.XLOOKUP(G3974,'[1]T&amp;C emissions for 2050 analysis'!$B$3:$B$23,'[1]T&amp;C emissions for 2050 analysis'!$C$3:$C$23)</f>
        <v>0.18333333333333335</v>
      </c>
      <c r="I3974" s="27">
        <f t="shared" si="186"/>
        <v>4.3455237833333334E-2</v>
      </c>
      <c r="J3974" s="129">
        <f t="shared" si="187"/>
        <v>4.9124166666666671</v>
      </c>
    </row>
    <row r="3975" spans="1:10" hidden="1" x14ac:dyDescent="0.35">
      <c r="A3975" s="126" t="s">
        <v>364</v>
      </c>
      <c r="B3975" t="str">
        <f>_xlfn.XLOOKUP(A3975,'[1]2050Pop'!$A$7:$A$143,'[1]2050Pop'!$D$7:$D$143)</f>
        <v>MENA</v>
      </c>
      <c r="C3975" s="127">
        <f>1000*_xlfn.XLOOKUP(A3975,'[1]2050Pop'!$A$7:$A$143,'[1]2050Pop'!$C$7:$C$143)</f>
        <v>10963</v>
      </c>
      <c r="D3975" s="126" t="s">
        <v>533</v>
      </c>
      <c r="E3975" s="128">
        <v>9.8209999999999997</v>
      </c>
      <c r="F3975" s="129">
        <f t="shared" si="188"/>
        <v>0.10766762299999999</v>
      </c>
      <c r="G3975" t="str">
        <f>_xlfn.XLOOKUP(D3975,'[1]2050 BAU Mapping to T &amp; C'!$A$3:$A$52,'[1]2050 BAU Mapping to T &amp; C'!$B$3:$B$52)</f>
        <v xml:space="preserve">Oil crops </v>
      </c>
      <c r="H3975" s="129">
        <f>_xlfn.XLOOKUP(G3975,'[1]T&amp;C emissions for 2050 analysis'!$B$3:$B$23,'[1]T&amp;C emissions for 2050 analysis'!$C$3:$C$23)</f>
        <v>0.18333333333333335</v>
      </c>
      <c r="I3975" s="27">
        <f t="shared" si="186"/>
        <v>1.9739064216666668E-2</v>
      </c>
      <c r="J3975" s="129">
        <f t="shared" si="187"/>
        <v>1.8005166666666668</v>
      </c>
    </row>
    <row r="3976" spans="1:10" hidden="1" x14ac:dyDescent="0.35">
      <c r="A3976" s="126" t="s">
        <v>365</v>
      </c>
      <c r="B3976" t="str">
        <f>_xlfn.XLOOKUP(A3976,'[1]2050Pop'!$A$7:$A$143,'[1]2050Pop'!$D$7:$D$143)</f>
        <v>India/South Asia</v>
      </c>
      <c r="C3976" s="127">
        <f>1000*_xlfn.XLOOKUP(A3976,'[1]2050Pop'!$A$7:$A$143,'[1]2050Pop'!$C$7:$C$143)</f>
        <v>202209</v>
      </c>
      <c r="D3976" s="126" t="s">
        <v>533</v>
      </c>
      <c r="E3976" s="128">
        <v>71.114000000000004</v>
      </c>
      <c r="F3976" s="129">
        <f t="shared" si="188"/>
        <v>14.379890826</v>
      </c>
      <c r="G3976" t="str">
        <f>_xlfn.XLOOKUP(D3976,'[1]2050 BAU Mapping to T &amp; C'!$A$3:$A$52,'[1]2050 BAU Mapping to T &amp; C'!$B$3:$B$52)</f>
        <v xml:space="preserve">Oil crops </v>
      </c>
      <c r="H3976" s="129">
        <f>_xlfn.XLOOKUP(G3976,'[1]T&amp;C emissions for 2050 analysis'!$B$3:$B$23,'[1]T&amp;C emissions for 2050 analysis'!$C$3:$C$23)</f>
        <v>0.18333333333333335</v>
      </c>
      <c r="I3976" s="27">
        <f t="shared" si="186"/>
        <v>2.6363133181000005</v>
      </c>
      <c r="J3976" s="129">
        <f t="shared" si="187"/>
        <v>13.037566666666669</v>
      </c>
    </row>
    <row r="3977" spans="1:10" hidden="1" x14ac:dyDescent="0.35">
      <c r="A3977" s="126" t="s">
        <v>366</v>
      </c>
      <c r="B3977" t="str">
        <f>_xlfn.XLOOKUP(A3977,'[1]2050Pop'!$A$7:$A$143,'[1]2050Pop'!$D$7:$D$143)</f>
        <v>Euro/AU/NZ</v>
      </c>
      <c r="C3977" s="127">
        <f>1000*_xlfn.XLOOKUP(A3977,'[1]2050Pop'!$A$7:$A$143,'[1]2050Pop'!$C$7:$C$143)</f>
        <v>8125</v>
      </c>
      <c r="D3977" s="126" t="s">
        <v>533</v>
      </c>
      <c r="E3977" s="128">
        <v>26.324000000000002</v>
      </c>
      <c r="F3977" s="129">
        <f t="shared" si="188"/>
        <v>0.2138825</v>
      </c>
      <c r="G3977" t="str">
        <f>_xlfn.XLOOKUP(D3977,'[1]2050 BAU Mapping to T &amp; C'!$A$3:$A$52,'[1]2050 BAU Mapping to T &amp; C'!$B$3:$B$52)</f>
        <v xml:space="preserve">Oil crops </v>
      </c>
      <c r="H3977" s="129">
        <f>_xlfn.XLOOKUP(G3977,'[1]T&amp;C emissions for 2050 analysis'!$B$3:$B$23,'[1]T&amp;C emissions for 2050 analysis'!$C$3:$C$23)</f>
        <v>0.18333333333333335</v>
      </c>
      <c r="I3977" s="27">
        <f t="shared" si="186"/>
        <v>3.9211791666666669E-2</v>
      </c>
      <c r="J3977" s="129">
        <f t="shared" si="187"/>
        <v>4.8260666666666676</v>
      </c>
    </row>
    <row r="3978" spans="1:10" hidden="1" x14ac:dyDescent="0.35">
      <c r="A3978" s="126" t="s">
        <v>367</v>
      </c>
      <c r="B3978" t="str">
        <f>_xlfn.XLOOKUP(A3978,'[1]2050Pop'!$A$7:$A$143,'[1]2050Pop'!$D$7:$D$143)</f>
        <v>Euro/AU/NZ</v>
      </c>
      <c r="C3978" s="127">
        <f>1000*_xlfn.XLOOKUP(A3978,'[1]2050Pop'!$A$7:$A$143,'[1]2050Pop'!$C$7:$C$143)</f>
        <v>12527</v>
      </c>
      <c r="D3978" s="126" t="s">
        <v>533</v>
      </c>
      <c r="E3978" s="128">
        <v>106.753</v>
      </c>
      <c r="F3978" s="129">
        <f t="shared" si="188"/>
        <v>1.3372948309999999</v>
      </c>
      <c r="G3978" t="str">
        <f>_xlfn.XLOOKUP(D3978,'[1]2050 BAU Mapping to T &amp; C'!$A$3:$A$52,'[1]2050 BAU Mapping to T &amp; C'!$B$3:$B$52)</f>
        <v xml:space="preserve">Oil crops </v>
      </c>
      <c r="H3978" s="129">
        <f>_xlfn.XLOOKUP(G3978,'[1]T&amp;C emissions for 2050 analysis'!$B$3:$B$23,'[1]T&amp;C emissions for 2050 analysis'!$C$3:$C$23)</f>
        <v>0.18333333333333335</v>
      </c>
      <c r="I3978" s="27">
        <f t="shared" si="186"/>
        <v>0.24517071901666668</v>
      </c>
      <c r="J3978" s="129">
        <f t="shared" si="187"/>
        <v>19.571383333333333</v>
      </c>
    </row>
    <row r="3979" spans="1:10" hidden="1" x14ac:dyDescent="0.35">
      <c r="A3979" s="126" t="s">
        <v>368</v>
      </c>
      <c r="B3979" t="str">
        <f>_xlfn.XLOOKUP(A3979,'[1]2050Pop'!$A$7:$A$143,'[1]2050Pop'!$D$7:$D$143)</f>
        <v>SSA</v>
      </c>
      <c r="C3979" s="127">
        <f>1000*_xlfn.XLOOKUP(A3979,'[1]2050Pop'!$A$7:$A$143,'[1]2050Pop'!$C$7:$C$143)</f>
        <v>22549</v>
      </c>
      <c r="D3979" s="126" t="s">
        <v>533</v>
      </c>
      <c r="E3979" s="130">
        <v>9.32</v>
      </c>
      <c r="F3979" s="129">
        <f t="shared" si="188"/>
        <v>0.21015667999999998</v>
      </c>
      <c r="G3979" t="str">
        <f>_xlfn.XLOOKUP(D3979,'[1]2050 BAU Mapping to T &amp; C'!$A$3:$A$52,'[1]2050 BAU Mapping to T &amp; C'!$B$3:$B$52)</f>
        <v xml:space="preserve">Oil crops </v>
      </c>
      <c r="H3979" s="129">
        <f>_xlfn.XLOOKUP(G3979,'[1]T&amp;C emissions for 2050 analysis'!$B$3:$B$23,'[1]T&amp;C emissions for 2050 analysis'!$C$3:$C$23)</f>
        <v>0.18333333333333335</v>
      </c>
      <c r="I3979" s="27">
        <f t="shared" si="186"/>
        <v>3.8528724666666667E-2</v>
      </c>
      <c r="J3979" s="129">
        <f t="shared" si="187"/>
        <v>1.7086666666666668</v>
      </c>
    </row>
    <row r="3980" spans="1:10" hidden="1" x14ac:dyDescent="0.35">
      <c r="A3980" s="126" t="s">
        <v>369</v>
      </c>
      <c r="B3980" t="str">
        <f>_xlfn.XLOOKUP(A3980,'[1]2050Pop'!$A$7:$A$143,'[1]2050Pop'!$D$7:$D$143)</f>
        <v>LatAm &amp; RSA</v>
      </c>
      <c r="C3980" s="127">
        <f>1000*_xlfn.XLOOKUP(A3980,'[1]2050Pop'!$A$7:$A$143,'[1]2050Pop'!$C$7:$C$143)</f>
        <v>15963</v>
      </c>
      <c r="D3980" s="126" t="s">
        <v>533</v>
      </c>
      <c r="E3980" s="128">
        <v>56.767000000000003</v>
      </c>
      <c r="F3980" s="129">
        <f t="shared" si="188"/>
        <v>0.90617162100000004</v>
      </c>
      <c r="G3980" t="str">
        <f>_xlfn.XLOOKUP(D3980,'[1]2050 BAU Mapping to T &amp; C'!$A$3:$A$52,'[1]2050 BAU Mapping to T &amp; C'!$B$3:$B$52)</f>
        <v xml:space="preserve">Oil crops </v>
      </c>
      <c r="H3980" s="129">
        <f>_xlfn.XLOOKUP(G3980,'[1]T&amp;C emissions for 2050 analysis'!$B$3:$B$23,'[1]T&amp;C emissions for 2050 analysis'!$C$3:$C$23)</f>
        <v>0.18333333333333335</v>
      </c>
      <c r="I3980" s="27">
        <f t="shared" si="186"/>
        <v>0.16613146385000002</v>
      </c>
      <c r="J3980" s="129">
        <f t="shared" si="187"/>
        <v>10.407283333333334</v>
      </c>
    </row>
    <row r="3981" spans="1:10" hidden="1" x14ac:dyDescent="0.35">
      <c r="A3981" s="126" t="s">
        <v>370</v>
      </c>
      <c r="B3981" t="str">
        <f>_xlfn.XLOOKUP(A3981,'[1]2050Pop'!$A$7:$A$143,'[1]2050Pop'!$D$7:$D$143)</f>
        <v>Euro/AU/NZ</v>
      </c>
      <c r="C3981" s="127">
        <f>1000*_xlfn.XLOOKUP(A3981,'[1]2050Pop'!$A$7:$A$143,'[1]2050Pop'!$C$7:$C$143)</f>
        <v>3069</v>
      </c>
      <c r="D3981" s="126" t="s">
        <v>533</v>
      </c>
      <c r="E3981" s="128">
        <v>25.734000000000002</v>
      </c>
      <c r="F3981" s="129">
        <f t="shared" si="188"/>
        <v>7.8977646000000012E-2</v>
      </c>
      <c r="G3981" t="str">
        <f>_xlfn.XLOOKUP(D3981,'[1]2050 BAU Mapping to T &amp; C'!$A$3:$A$52,'[1]2050 BAU Mapping to T &amp; C'!$B$3:$B$52)</f>
        <v xml:space="preserve">Oil crops </v>
      </c>
      <c r="H3981" s="129">
        <f>_xlfn.XLOOKUP(G3981,'[1]T&amp;C emissions for 2050 analysis'!$B$3:$B$23,'[1]T&amp;C emissions for 2050 analysis'!$C$3:$C$23)</f>
        <v>0.18333333333333335</v>
      </c>
      <c r="I3981" s="27">
        <f t="shared" si="186"/>
        <v>1.4479235100000003E-2</v>
      </c>
      <c r="J3981" s="129">
        <f t="shared" si="187"/>
        <v>4.7179000000000011</v>
      </c>
    </row>
    <row r="3982" spans="1:10" hidden="1" x14ac:dyDescent="0.35">
      <c r="A3982" s="126" t="s">
        <v>371</v>
      </c>
      <c r="B3982" t="str">
        <f>_xlfn.XLOOKUP(A3982,'[1]2050Pop'!$A$7:$A$143,'[1]2050Pop'!$D$7:$D$143)</f>
        <v>SSA</v>
      </c>
      <c r="C3982" s="127">
        <f>1000*_xlfn.XLOOKUP(A3982,'[1]2050Pop'!$A$7:$A$143,'[1]2050Pop'!$C$7:$C$143)</f>
        <v>3389</v>
      </c>
      <c r="D3982" s="126" t="s">
        <v>533</v>
      </c>
      <c r="E3982" s="128">
        <v>0.89900000000000002</v>
      </c>
      <c r="F3982" s="129">
        <f t="shared" si="188"/>
        <v>3.0467110000000001E-3</v>
      </c>
      <c r="G3982" t="str">
        <f>_xlfn.XLOOKUP(D3982,'[1]2050 BAU Mapping to T &amp; C'!$A$3:$A$52,'[1]2050 BAU Mapping to T &amp; C'!$B$3:$B$52)</f>
        <v xml:space="preserve">Oil crops </v>
      </c>
      <c r="H3982" s="129">
        <f>_xlfn.XLOOKUP(G3982,'[1]T&amp;C emissions for 2050 analysis'!$B$3:$B$23,'[1]T&amp;C emissions for 2050 analysis'!$C$3:$C$23)</f>
        <v>0.18333333333333335</v>
      </c>
      <c r="I3982" s="27">
        <f t="shared" si="186"/>
        <v>5.5856368333333337E-4</v>
      </c>
      <c r="J3982" s="129">
        <f t="shared" si="187"/>
        <v>0.16481666666666669</v>
      </c>
    </row>
    <row r="3983" spans="1:10" hidden="1" x14ac:dyDescent="0.35">
      <c r="A3983" s="126" t="s">
        <v>372</v>
      </c>
      <c r="B3983" t="str">
        <f>_xlfn.XLOOKUP(A3983,'[1]2050Pop'!$A$7:$A$143,'[1]2050Pop'!$D$7:$D$143)</f>
        <v>LatAm &amp; RSA</v>
      </c>
      <c r="C3983" s="127">
        <f>1000*_xlfn.XLOOKUP(A3983,'[1]2050Pop'!$A$7:$A$143,'[1]2050Pop'!$C$7:$C$143)</f>
        <v>238270</v>
      </c>
      <c r="D3983" s="126" t="s">
        <v>533</v>
      </c>
      <c r="E3983" s="128">
        <v>353.16500000000002</v>
      </c>
      <c r="F3983" s="129">
        <f t="shared" si="188"/>
        <v>84.148624550000008</v>
      </c>
      <c r="G3983" t="str">
        <f>_xlfn.XLOOKUP(D3983,'[1]2050 BAU Mapping to T &amp; C'!$A$3:$A$52,'[1]2050 BAU Mapping to T &amp; C'!$B$3:$B$52)</f>
        <v xml:space="preserve">Oil crops </v>
      </c>
      <c r="H3983" s="129">
        <f>_xlfn.XLOOKUP(G3983,'[1]T&amp;C emissions for 2050 analysis'!$B$3:$B$23,'[1]T&amp;C emissions for 2050 analysis'!$C$3:$C$23)</f>
        <v>0.18333333333333335</v>
      </c>
      <c r="I3983" s="27">
        <f t="shared" si="186"/>
        <v>15.427247834166669</v>
      </c>
      <c r="J3983" s="129">
        <f t="shared" si="187"/>
        <v>64.746916666666678</v>
      </c>
    </row>
    <row r="3984" spans="1:10" hidden="1" x14ac:dyDescent="0.35">
      <c r="A3984" s="126" t="s">
        <v>373</v>
      </c>
      <c r="B3984" t="str">
        <f>_xlfn.XLOOKUP(A3984,'[1]2050Pop'!$A$7:$A$143,'[1]2050Pop'!$D$7:$D$143)</f>
        <v>Euro/AU/NZ</v>
      </c>
      <c r="C3984" s="127">
        <f>1000*_xlfn.XLOOKUP(A3984,'[1]2050Pop'!$A$7:$A$143,'[1]2050Pop'!$C$7:$C$143)</f>
        <v>5154</v>
      </c>
      <c r="D3984" s="126" t="s">
        <v>533</v>
      </c>
      <c r="E3984" s="130">
        <v>36.549999999999997</v>
      </c>
      <c r="F3984" s="129">
        <f t="shared" si="188"/>
        <v>0.18837869999999998</v>
      </c>
      <c r="G3984" t="str">
        <f>_xlfn.XLOOKUP(D3984,'[1]2050 BAU Mapping to T &amp; C'!$A$3:$A$52,'[1]2050 BAU Mapping to T &amp; C'!$B$3:$B$52)</f>
        <v xml:space="preserve">Oil crops </v>
      </c>
      <c r="H3984" s="129">
        <f>_xlfn.XLOOKUP(G3984,'[1]T&amp;C emissions for 2050 analysis'!$B$3:$B$23,'[1]T&amp;C emissions for 2050 analysis'!$C$3:$C$23)</f>
        <v>0.18333333333333335</v>
      </c>
      <c r="I3984" s="27">
        <f t="shared" si="186"/>
        <v>3.4536095000000003E-2</v>
      </c>
      <c r="J3984" s="129">
        <f t="shared" si="187"/>
        <v>6.7008333333333336</v>
      </c>
    </row>
    <row r="3985" spans="1:10" hidden="1" x14ac:dyDescent="0.35">
      <c r="A3985" s="126" t="s">
        <v>374</v>
      </c>
      <c r="B3985" t="str">
        <f>_xlfn.XLOOKUP(A3985,'[1]2050Pop'!$A$7:$A$143,'[1]2050Pop'!$D$7:$D$143)</f>
        <v>APAC</v>
      </c>
      <c r="C3985" s="127">
        <f>1000*_xlfn.XLOOKUP(A3985,'[1]2050Pop'!$A$7:$A$143,'[1]2050Pop'!$C$7:$C$143)</f>
        <v>22545</v>
      </c>
      <c r="D3985" s="126" t="s">
        <v>533</v>
      </c>
      <c r="E3985" s="128">
        <v>27.667999999999999</v>
      </c>
      <c r="F3985" s="129">
        <f t="shared" si="188"/>
        <v>0.62377505999999994</v>
      </c>
      <c r="G3985" t="str">
        <f>_xlfn.XLOOKUP(D3985,'[1]2050 BAU Mapping to T &amp; C'!$A$3:$A$52,'[1]2050 BAU Mapping to T &amp; C'!$B$3:$B$52)</f>
        <v xml:space="preserve">Oil crops </v>
      </c>
      <c r="H3985" s="129">
        <f>_xlfn.XLOOKUP(G3985,'[1]T&amp;C emissions for 2050 analysis'!$B$3:$B$23,'[1]T&amp;C emissions for 2050 analysis'!$C$3:$C$23)</f>
        <v>0.18333333333333335</v>
      </c>
      <c r="I3985" s="27">
        <f t="shared" si="186"/>
        <v>0.114358761</v>
      </c>
      <c r="J3985" s="129">
        <f t="shared" si="187"/>
        <v>5.0724666666666671</v>
      </c>
    </row>
    <row r="3986" spans="1:10" hidden="1" x14ac:dyDescent="0.35">
      <c r="A3986" s="126" t="s">
        <v>375</v>
      </c>
      <c r="B3986" t="str">
        <f>_xlfn.XLOOKUP(A3986,'[1]2050Pop'!$A$7:$A$143,'[1]2050Pop'!$D$7:$D$143)</f>
        <v>SSA</v>
      </c>
      <c r="C3986" s="127">
        <f>1000*_xlfn.XLOOKUP(A3986,'[1]2050Pop'!$A$7:$A$143,'[1]2050Pop'!$C$7:$C$143)</f>
        <v>48362</v>
      </c>
      <c r="D3986" s="126" t="s">
        <v>533</v>
      </c>
      <c r="E3986" s="128">
        <v>1.5429999999999999</v>
      </c>
      <c r="F3986" s="129">
        <f t="shared" si="188"/>
        <v>7.4622565999999987E-2</v>
      </c>
      <c r="G3986" t="str">
        <f>_xlfn.XLOOKUP(D3986,'[1]2050 BAU Mapping to T &amp; C'!$A$3:$A$52,'[1]2050 BAU Mapping to T &amp; C'!$B$3:$B$52)</f>
        <v xml:space="preserve">Oil crops </v>
      </c>
      <c r="H3986" s="129">
        <f>_xlfn.XLOOKUP(G3986,'[1]T&amp;C emissions for 2050 analysis'!$B$3:$B$23,'[1]T&amp;C emissions for 2050 analysis'!$C$3:$C$23)</f>
        <v>0.18333333333333335</v>
      </c>
      <c r="I3986" s="27">
        <f t="shared" si="186"/>
        <v>1.3680803766666666E-2</v>
      </c>
      <c r="J3986" s="129">
        <f t="shared" si="187"/>
        <v>0.28288333333333332</v>
      </c>
    </row>
    <row r="3987" spans="1:10" hidden="1" x14ac:dyDescent="0.35">
      <c r="A3987" s="126" t="s">
        <v>376</v>
      </c>
      <c r="B3987" t="str">
        <f>_xlfn.XLOOKUP(A3987,'[1]2050Pop'!$A$7:$A$143,'[1]2050Pop'!$D$7:$D$143)</f>
        <v>NAm</v>
      </c>
      <c r="C3987" s="127">
        <f>1000*_xlfn.XLOOKUP(A3987,'[1]2050Pop'!$A$7:$A$143,'[1]2050Pop'!$C$7:$C$143)</f>
        <v>44136</v>
      </c>
      <c r="D3987" s="126" t="s">
        <v>533</v>
      </c>
      <c r="E3987" s="128">
        <v>96.594999999999999</v>
      </c>
      <c r="F3987" s="129">
        <f t="shared" si="188"/>
        <v>4.2633169200000003</v>
      </c>
      <c r="G3987" t="str">
        <f>_xlfn.XLOOKUP(D3987,'[1]2050 BAU Mapping to T &amp; C'!$A$3:$A$52,'[1]2050 BAU Mapping to T &amp; C'!$B$3:$B$52)</f>
        <v xml:space="preserve">Oil crops </v>
      </c>
      <c r="H3987" s="129">
        <f>_xlfn.XLOOKUP(G3987,'[1]T&amp;C emissions for 2050 analysis'!$B$3:$B$23,'[1]T&amp;C emissions for 2050 analysis'!$C$3:$C$23)</f>
        <v>0.18333333333333335</v>
      </c>
      <c r="I3987" s="27">
        <f t="shared" si="186"/>
        <v>0.78160810200000008</v>
      </c>
      <c r="J3987" s="129">
        <f t="shared" si="187"/>
        <v>17.709083333333336</v>
      </c>
    </row>
    <row r="3988" spans="1:10" hidden="1" x14ac:dyDescent="0.35">
      <c r="A3988" s="126" t="s">
        <v>377</v>
      </c>
      <c r="B3988" t="str">
        <f>_xlfn.XLOOKUP(A3988,'[1]2050Pop'!$A$7:$A$143,'[1]2050Pop'!$D$7:$D$143)</f>
        <v>SSA</v>
      </c>
      <c r="C3988" s="127">
        <f>1000*_xlfn.XLOOKUP(A3988,'[1]2050Pop'!$A$7:$A$143,'[1]2050Pop'!$C$7:$C$143)</f>
        <v>8782</v>
      </c>
      <c r="D3988" s="126" t="s">
        <v>533</v>
      </c>
      <c r="E3988" s="128">
        <v>2.9430000000000001</v>
      </c>
      <c r="F3988" s="129">
        <f t="shared" si="188"/>
        <v>2.5845426000000001E-2</v>
      </c>
      <c r="G3988" t="str">
        <f>_xlfn.XLOOKUP(D3988,'[1]2050 BAU Mapping to T &amp; C'!$A$3:$A$52,'[1]2050 BAU Mapping to T &amp; C'!$B$3:$B$52)</f>
        <v xml:space="preserve">Oil crops </v>
      </c>
      <c r="H3988" s="129">
        <f>_xlfn.XLOOKUP(G3988,'[1]T&amp;C emissions for 2050 analysis'!$B$3:$B$23,'[1]T&amp;C emissions for 2050 analysis'!$C$3:$C$23)</f>
        <v>0.18333333333333335</v>
      </c>
      <c r="I3988" s="27">
        <f t="shared" si="186"/>
        <v>4.7383281000000005E-3</v>
      </c>
      <c r="J3988" s="129">
        <f t="shared" si="187"/>
        <v>0.53955000000000009</v>
      </c>
    </row>
    <row r="3989" spans="1:10" hidden="1" x14ac:dyDescent="0.35">
      <c r="A3989" s="126" t="s">
        <v>378</v>
      </c>
      <c r="B3989" t="str">
        <f>_xlfn.XLOOKUP(A3989,'[1]2050Pop'!$A$7:$A$143,'[1]2050Pop'!$D$7:$D$143)</f>
        <v>LatAm &amp; RSA</v>
      </c>
      <c r="C3989" s="127">
        <f>1000*_xlfn.XLOOKUP(A3989,'[1]2050Pop'!$A$7:$A$143,'[1]2050Pop'!$C$7:$C$143)</f>
        <v>21601</v>
      </c>
      <c r="D3989" s="126" t="s">
        <v>533</v>
      </c>
      <c r="E3989" s="128">
        <v>96.566000000000003</v>
      </c>
      <c r="F3989" s="129">
        <f t="shared" si="188"/>
        <v>2.085922166</v>
      </c>
      <c r="G3989" t="str">
        <f>_xlfn.XLOOKUP(D3989,'[1]2050 BAU Mapping to T &amp; C'!$A$3:$A$52,'[1]2050 BAU Mapping to T &amp; C'!$B$3:$B$52)</f>
        <v xml:space="preserve">Oil crops </v>
      </c>
      <c r="H3989" s="129">
        <f>_xlfn.XLOOKUP(G3989,'[1]T&amp;C emissions for 2050 analysis'!$B$3:$B$23,'[1]T&amp;C emissions for 2050 analysis'!$C$3:$C$23)</f>
        <v>0.18333333333333335</v>
      </c>
      <c r="I3989" s="27">
        <f t="shared" si="186"/>
        <v>0.38241906376666668</v>
      </c>
      <c r="J3989" s="129">
        <f t="shared" si="187"/>
        <v>17.70376666666667</v>
      </c>
    </row>
    <row r="3990" spans="1:10" hidden="1" x14ac:dyDescent="0.35">
      <c r="A3990" s="126" t="s">
        <v>379</v>
      </c>
      <c r="B3990" t="str">
        <f>_xlfn.XLOOKUP(A3990,'[1]2050Pop'!$A$7:$A$143,'[1]2050Pop'!$D$7:$D$143)</f>
        <v>Greater China</v>
      </c>
      <c r="C3990" s="127">
        <f>1000*_xlfn.XLOOKUP(A3990,'[1]2050Pop'!$A$7:$A$143,'[1]2050Pop'!$C$7:$C$143)</f>
        <v>8148</v>
      </c>
      <c r="D3990" s="126" t="s">
        <v>533</v>
      </c>
      <c r="E3990" s="128">
        <v>137.95599999999999</v>
      </c>
      <c r="F3990" s="129">
        <f t="shared" si="188"/>
        <v>1.1240654879999998</v>
      </c>
      <c r="G3990" t="str">
        <f>_xlfn.XLOOKUP(D3990,'[1]2050 BAU Mapping to T &amp; C'!$A$3:$A$52,'[1]2050 BAU Mapping to T &amp; C'!$B$3:$B$52)</f>
        <v xml:space="preserve">Oil crops </v>
      </c>
      <c r="H3990" s="129">
        <f>_xlfn.XLOOKUP(G3990,'[1]T&amp;C emissions for 2050 analysis'!$B$3:$B$23,'[1]T&amp;C emissions for 2050 analysis'!$C$3:$C$23)</f>
        <v>0.18333333333333335</v>
      </c>
      <c r="I3990" s="27">
        <f t="shared" si="186"/>
        <v>0.20607867279999997</v>
      </c>
      <c r="J3990" s="129">
        <f t="shared" si="187"/>
        <v>25.291933333333333</v>
      </c>
    </row>
    <row r="3991" spans="1:10" hidden="1" x14ac:dyDescent="0.35">
      <c r="A3991" s="126" t="s">
        <v>380</v>
      </c>
      <c r="B3991" t="str">
        <f>_xlfn.XLOOKUP(A3991,'[1]2050Pop'!$A$7:$A$143,'[1]2050Pop'!$D$7:$D$143)</f>
        <v>Greater China</v>
      </c>
      <c r="C3991" s="127">
        <f>1000*_xlfn.XLOOKUP(A3991,'[1]2050Pop'!$A$7:$A$143,'[1]2050Pop'!$C$7:$C$143)</f>
        <v>1348056</v>
      </c>
      <c r="D3991" s="126" t="s">
        <v>533</v>
      </c>
      <c r="E3991" s="128">
        <v>52.491</v>
      </c>
      <c r="F3991" s="129">
        <f t="shared" si="188"/>
        <v>70.760807496000012</v>
      </c>
      <c r="G3991" t="str">
        <f>_xlfn.XLOOKUP(D3991,'[1]2050 BAU Mapping to T &amp; C'!$A$3:$A$52,'[1]2050 BAU Mapping to T &amp; C'!$B$3:$B$52)</f>
        <v xml:space="preserve">Oil crops </v>
      </c>
      <c r="H3991" s="129">
        <f>_xlfn.XLOOKUP(G3991,'[1]T&amp;C emissions for 2050 analysis'!$B$3:$B$23,'[1]T&amp;C emissions for 2050 analysis'!$C$3:$C$23)</f>
        <v>0.18333333333333335</v>
      </c>
      <c r="I3991" s="27">
        <f t="shared" si="186"/>
        <v>12.972814707600003</v>
      </c>
      <c r="J3991" s="129">
        <f t="shared" si="187"/>
        <v>9.6233500000000003</v>
      </c>
    </row>
    <row r="3992" spans="1:10" hidden="1" x14ac:dyDescent="0.35">
      <c r="A3992" s="126" t="s">
        <v>381</v>
      </c>
      <c r="B3992" t="str">
        <f>_xlfn.XLOOKUP(A3992,'[1]2050Pop'!$A$7:$A$143,'[1]2050Pop'!$D$7:$D$143)</f>
        <v>Greater China</v>
      </c>
      <c r="C3992" s="127">
        <f>1000*_xlfn.XLOOKUP(A3992,'[1]2050Pop'!$A$7:$A$143,'[1]2050Pop'!$C$7:$C$143)</f>
        <v>20778</v>
      </c>
      <c r="D3992" s="126" t="s">
        <v>533</v>
      </c>
      <c r="E3992" s="128">
        <v>479.69799999999998</v>
      </c>
      <c r="F3992" s="129">
        <f t="shared" si="188"/>
        <v>9.9671650439999997</v>
      </c>
      <c r="G3992" t="str">
        <f>_xlfn.XLOOKUP(D3992,'[1]2050 BAU Mapping to T &amp; C'!$A$3:$A$52,'[1]2050 BAU Mapping to T &amp; C'!$B$3:$B$52)</f>
        <v xml:space="preserve">Oil crops </v>
      </c>
      <c r="H3992" s="129">
        <f>_xlfn.XLOOKUP(G3992,'[1]T&amp;C emissions for 2050 analysis'!$B$3:$B$23,'[1]T&amp;C emissions for 2050 analysis'!$C$3:$C$23)</f>
        <v>0.18333333333333335</v>
      </c>
      <c r="I3992" s="27">
        <f t="shared" si="186"/>
        <v>1.8273135914</v>
      </c>
      <c r="J3992" s="129">
        <f t="shared" si="187"/>
        <v>87.944633333333343</v>
      </c>
    </row>
    <row r="3993" spans="1:10" hidden="1" x14ac:dyDescent="0.35">
      <c r="A3993" s="126" t="s">
        <v>382</v>
      </c>
      <c r="B3993" t="str">
        <f>_xlfn.XLOOKUP(A3993,'[1]2050Pop'!$A$7:$A$143,'[1]2050Pop'!$D$7:$D$143)</f>
        <v>LatAm &amp; RSA</v>
      </c>
      <c r="C3993" s="127">
        <f>1000*_xlfn.XLOOKUP(A3993,'[1]2050Pop'!$A$7:$A$143,'[1]2050Pop'!$C$7:$C$143)</f>
        <v>54927</v>
      </c>
      <c r="D3993" s="126" t="s">
        <v>533</v>
      </c>
      <c r="E3993" s="130">
        <v>183.86</v>
      </c>
      <c r="F3993" s="129">
        <f t="shared" si="188"/>
        <v>10.098878220000001</v>
      </c>
      <c r="G3993" t="str">
        <f>_xlfn.XLOOKUP(D3993,'[1]2050 BAU Mapping to T &amp; C'!$A$3:$A$52,'[1]2050 BAU Mapping to T &amp; C'!$B$3:$B$52)</f>
        <v xml:space="preserve">Oil crops </v>
      </c>
      <c r="H3993" s="129">
        <f>_xlfn.XLOOKUP(G3993,'[1]T&amp;C emissions for 2050 analysis'!$B$3:$B$23,'[1]T&amp;C emissions for 2050 analysis'!$C$3:$C$23)</f>
        <v>0.18333333333333335</v>
      </c>
      <c r="I3993" s="27">
        <f t="shared" si="186"/>
        <v>1.8514610070000004</v>
      </c>
      <c r="J3993" s="129">
        <f t="shared" si="187"/>
        <v>33.707666666666675</v>
      </c>
    </row>
    <row r="3994" spans="1:10" hidden="1" x14ac:dyDescent="0.35">
      <c r="A3994" s="126" t="s">
        <v>383</v>
      </c>
      <c r="B3994" t="str">
        <f>_xlfn.XLOOKUP(A3994,'[1]2050Pop'!$A$7:$A$143,'[1]2050Pop'!$D$7:$D$143)</f>
        <v>LatAm &amp; RSA</v>
      </c>
      <c r="C3994" s="127">
        <f>1000*_xlfn.XLOOKUP(A3994,'[1]2050Pop'!$A$7:$A$143,'[1]2050Pop'!$C$7:$C$143)</f>
        <v>5759</v>
      </c>
      <c r="D3994" s="126" t="s">
        <v>533</v>
      </c>
      <c r="E3994" s="128">
        <v>209.62799999999999</v>
      </c>
      <c r="F3994" s="129">
        <f t="shared" si="188"/>
        <v>1.2072476519999999</v>
      </c>
      <c r="G3994" t="str">
        <f>_xlfn.XLOOKUP(D3994,'[1]2050 BAU Mapping to T &amp; C'!$A$3:$A$52,'[1]2050 BAU Mapping to T &amp; C'!$B$3:$B$52)</f>
        <v xml:space="preserve">Oil crops </v>
      </c>
      <c r="H3994" s="129">
        <f>_xlfn.XLOOKUP(G3994,'[1]T&amp;C emissions for 2050 analysis'!$B$3:$B$23,'[1]T&amp;C emissions for 2050 analysis'!$C$3:$C$23)</f>
        <v>0.18333333333333335</v>
      </c>
      <c r="I3994" s="27">
        <f t="shared" si="186"/>
        <v>0.22132873620000001</v>
      </c>
      <c r="J3994" s="129">
        <f t="shared" si="187"/>
        <v>38.431800000000003</v>
      </c>
    </row>
    <row r="3995" spans="1:10" hidden="1" x14ac:dyDescent="0.35">
      <c r="A3995" s="126" t="s">
        <v>384</v>
      </c>
      <c r="B3995" t="str">
        <f>_xlfn.XLOOKUP(A3995,'[1]2050Pop'!$A$7:$A$143,'[1]2050Pop'!$D$7:$D$143)</f>
        <v>SSA</v>
      </c>
      <c r="C3995" s="127">
        <f>1000*_xlfn.XLOOKUP(A3995,'[1]2050Pop'!$A$7:$A$143,'[1]2050Pop'!$C$7:$C$143)</f>
        <v>48797</v>
      </c>
      <c r="D3995" s="126" t="s">
        <v>533</v>
      </c>
      <c r="E3995" s="128">
        <v>2.1339999999999999</v>
      </c>
      <c r="F3995" s="129">
        <f t="shared" si="188"/>
        <v>0.104132798</v>
      </c>
      <c r="G3995" t="str">
        <f>_xlfn.XLOOKUP(D3995,'[1]2050 BAU Mapping to T &amp; C'!$A$3:$A$52,'[1]2050 BAU Mapping to T &amp; C'!$B$3:$B$52)</f>
        <v xml:space="preserve">Oil crops </v>
      </c>
      <c r="H3995" s="129">
        <f>_xlfn.XLOOKUP(G3995,'[1]T&amp;C emissions for 2050 analysis'!$B$3:$B$23,'[1]T&amp;C emissions for 2050 analysis'!$C$3:$C$23)</f>
        <v>0.18333333333333335</v>
      </c>
      <c r="I3995" s="27">
        <f t="shared" si="186"/>
        <v>1.9091012966666668E-2</v>
      </c>
      <c r="J3995" s="129">
        <f t="shared" si="187"/>
        <v>0.39123333333333332</v>
      </c>
    </row>
    <row r="3996" spans="1:10" hidden="1" x14ac:dyDescent="0.35">
      <c r="A3996" s="126" t="s">
        <v>385</v>
      </c>
      <c r="B3996" t="str">
        <f>_xlfn.XLOOKUP(A3996,'[1]2050Pop'!$A$7:$A$143,'[1]2050Pop'!$D$7:$D$143)</f>
        <v>Euro/AU/NZ</v>
      </c>
      <c r="C3996" s="127">
        <f>1000*_xlfn.XLOOKUP(A3996,'[1]2050Pop'!$A$7:$A$143,'[1]2050Pop'!$C$7:$C$143)</f>
        <v>3554</v>
      </c>
      <c r="D3996" s="126" t="s">
        <v>533</v>
      </c>
      <c r="E3996" s="128">
        <v>78.822999999999993</v>
      </c>
      <c r="F3996" s="129">
        <f t="shared" si="188"/>
        <v>0.280136942</v>
      </c>
      <c r="G3996" t="str">
        <f>_xlfn.XLOOKUP(D3996,'[1]2050 BAU Mapping to T &amp; C'!$A$3:$A$52,'[1]2050 BAU Mapping to T &amp; C'!$B$3:$B$52)</f>
        <v xml:space="preserve">Oil crops </v>
      </c>
      <c r="H3996" s="129">
        <f>_xlfn.XLOOKUP(G3996,'[1]T&amp;C emissions for 2050 analysis'!$B$3:$B$23,'[1]T&amp;C emissions for 2050 analysis'!$C$3:$C$23)</f>
        <v>0.18333333333333335</v>
      </c>
      <c r="I3996" s="27">
        <f t="shared" si="186"/>
        <v>5.1358439366666668E-2</v>
      </c>
      <c r="J3996" s="129">
        <f t="shared" si="187"/>
        <v>14.450883333333334</v>
      </c>
    </row>
    <row r="3997" spans="1:10" hidden="1" x14ac:dyDescent="0.35">
      <c r="A3997" s="126" t="s">
        <v>386</v>
      </c>
      <c r="B3997" t="str">
        <f>_xlfn.XLOOKUP(A3997,'[1]2050Pop'!$A$7:$A$143,'[1]2050Pop'!$D$7:$D$143)</f>
        <v>LatAm &amp; RSA</v>
      </c>
      <c r="C3997" s="127">
        <f>1000*_xlfn.XLOOKUP(A3997,'[1]2050Pop'!$A$7:$A$143,'[1]2050Pop'!$C$7:$C$143)</f>
        <v>10339</v>
      </c>
      <c r="D3997" s="126" t="s">
        <v>533</v>
      </c>
      <c r="E3997" s="128">
        <v>191.99799999999999</v>
      </c>
      <c r="F3997" s="129">
        <f t="shared" si="188"/>
        <v>1.9850673219999999</v>
      </c>
      <c r="G3997" t="str">
        <f>_xlfn.XLOOKUP(D3997,'[1]2050 BAU Mapping to T &amp; C'!$A$3:$A$52,'[1]2050 BAU Mapping to T &amp; C'!$B$3:$B$52)</f>
        <v xml:space="preserve">Oil crops </v>
      </c>
      <c r="H3997" s="129">
        <f>_xlfn.XLOOKUP(G3997,'[1]T&amp;C emissions for 2050 analysis'!$B$3:$B$23,'[1]T&amp;C emissions for 2050 analysis'!$C$3:$C$23)</f>
        <v>0.18333333333333335</v>
      </c>
      <c r="I3997" s="27">
        <f t="shared" si="186"/>
        <v>0.36392900903333336</v>
      </c>
      <c r="J3997" s="129">
        <f t="shared" si="187"/>
        <v>35.199633333333331</v>
      </c>
    </row>
    <row r="3998" spans="1:10" hidden="1" x14ac:dyDescent="0.35">
      <c r="A3998" s="126" t="s">
        <v>387</v>
      </c>
      <c r="B3998" t="str">
        <f>_xlfn.XLOOKUP(A3998,'[1]2050Pop'!$A$7:$A$143,'[1]2050Pop'!$D$7:$D$143)</f>
        <v>Euro/AU/NZ</v>
      </c>
      <c r="C3998" s="127">
        <f>1000*_xlfn.XLOOKUP(A3998,'[1]2050Pop'!$A$7:$A$143,'[1]2050Pop'!$C$7:$C$143)</f>
        <v>9965</v>
      </c>
      <c r="D3998" s="126" t="s">
        <v>533</v>
      </c>
      <c r="E3998" s="128">
        <v>28.100999999999999</v>
      </c>
      <c r="F3998" s="129">
        <f t="shared" si="188"/>
        <v>0.28002646499999995</v>
      </c>
      <c r="G3998" t="str">
        <f>_xlfn.XLOOKUP(D3998,'[1]2050 BAU Mapping to T &amp; C'!$A$3:$A$52,'[1]2050 BAU Mapping to T &amp; C'!$B$3:$B$52)</f>
        <v xml:space="preserve">Oil crops </v>
      </c>
      <c r="H3998" s="129">
        <f>_xlfn.XLOOKUP(G3998,'[1]T&amp;C emissions for 2050 analysis'!$B$3:$B$23,'[1]T&amp;C emissions for 2050 analysis'!$C$3:$C$23)</f>
        <v>0.18333333333333335</v>
      </c>
      <c r="I3998" s="27">
        <f t="shared" si="186"/>
        <v>5.1338185249999994E-2</v>
      </c>
      <c r="J3998" s="129">
        <f t="shared" si="187"/>
        <v>5.1518500000000005</v>
      </c>
    </row>
    <row r="3999" spans="1:10" hidden="1" x14ac:dyDescent="0.35">
      <c r="A3999" s="126" t="s">
        <v>481</v>
      </c>
      <c r="B3999" t="str">
        <f>_xlfn.XLOOKUP(A3999,'[1]2050Pop'!$A$7:$A$143,'[1]2050Pop'!$D$7:$D$143)</f>
        <v>APAC</v>
      </c>
      <c r="C3999" s="127">
        <f>1000*_xlfn.XLOOKUP(A3999,'[1]2050Pop'!$A$7:$A$143,'[1]2050Pop'!$C$7:$C$143)</f>
        <v>26907</v>
      </c>
      <c r="D3999" s="126" t="s">
        <v>533</v>
      </c>
      <c r="E3999" s="128">
        <v>116.777</v>
      </c>
      <c r="F3999" s="129">
        <f t="shared" si="188"/>
        <v>3.1421187390000003</v>
      </c>
      <c r="G3999" t="str">
        <f>_xlfn.XLOOKUP(D3999,'[1]2050 BAU Mapping to T &amp; C'!$A$3:$A$52,'[1]2050 BAU Mapping to T &amp; C'!$B$3:$B$52)</f>
        <v xml:space="preserve">Oil crops </v>
      </c>
      <c r="H3999" s="129">
        <f>_xlfn.XLOOKUP(G3999,'[1]T&amp;C emissions for 2050 analysis'!$B$3:$B$23,'[1]T&amp;C emissions for 2050 analysis'!$C$3:$C$23)</f>
        <v>0.18333333333333335</v>
      </c>
      <c r="I3999" s="27">
        <f t="shared" si="186"/>
        <v>0.57605510215000011</v>
      </c>
      <c r="J3999" s="129">
        <f t="shared" si="187"/>
        <v>21.409116666666669</v>
      </c>
    </row>
    <row r="4000" spans="1:10" hidden="1" x14ac:dyDescent="0.35">
      <c r="A4000" s="126" t="s">
        <v>388</v>
      </c>
      <c r="B4000" t="str">
        <f>_xlfn.XLOOKUP(A4000,'[1]2050Pop'!$A$7:$A$143,'[1]2050Pop'!$D$7:$D$143)</f>
        <v>Euro/AU/NZ</v>
      </c>
      <c r="C4000" s="127">
        <f>1000*_xlfn.XLOOKUP(A4000,'[1]2050Pop'!$A$7:$A$143,'[1]2050Pop'!$C$7:$C$143)</f>
        <v>6299</v>
      </c>
      <c r="D4000" s="126" t="s">
        <v>533</v>
      </c>
      <c r="E4000" s="130">
        <v>67.16</v>
      </c>
      <c r="F4000" s="129">
        <f t="shared" si="188"/>
        <v>0.42304083999999997</v>
      </c>
      <c r="G4000" t="str">
        <f>_xlfn.XLOOKUP(D4000,'[1]2050 BAU Mapping to T &amp; C'!$A$3:$A$52,'[1]2050 BAU Mapping to T &amp; C'!$B$3:$B$52)</f>
        <v xml:space="preserve">Oil crops </v>
      </c>
      <c r="H4000" s="129">
        <f>_xlfn.XLOOKUP(G4000,'[1]T&amp;C emissions for 2050 analysis'!$B$3:$B$23,'[1]T&amp;C emissions for 2050 analysis'!$C$3:$C$23)</f>
        <v>0.18333333333333335</v>
      </c>
      <c r="I4000" s="27">
        <f t="shared" si="186"/>
        <v>7.7557487333333341E-2</v>
      </c>
      <c r="J4000" s="129">
        <f t="shared" si="187"/>
        <v>12.312666666666667</v>
      </c>
    </row>
    <row r="4001" spans="1:10" hidden="1" x14ac:dyDescent="0.35">
      <c r="A4001" s="126" t="s">
        <v>389</v>
      </c>
      <c r="B4001" t="str">
        <f>_xlfn.XLOOKUP(A4001,'[1]2050Pop'!$A$7:$A$143,'[1]2050Pop'!$D$7:$D$143)</f>
        <v>LatAm &amp; RSA</v>
      </c>
      <c r="C4001" s="127">
        <f>1000*_xlfn.XLOOKUP(A4001,'[1]2050Pop'!$A$7:$A$143,'[1]2050Pop'!$C$7:$C$143)</f>
        <v>13238</v>
      </c>
      <c r="D4001" s="126" t="s">
        <v>533</v>
      </c>
      <c r="E4001" s="128">
        <v>262.012</v>
      </c>
      <c r="F4001" s="129">
        <f t="shared" si="188"/>
        <v>3.4685148560000001</v>
      </c>
      <c r="G4001" t="str">
        <f>_xlfn.XLOOKUP(D4001,'[1]2050 BAU Mapping to T &amp; C'!$A$3:$A$52,'[1]2050 BAU Mapping to T &amp; C'!$B$3:$B$52)</f>
        <v xml:space="preserve">Oil crops </v>
      </c>
      <c r="H4001" s="129">
        <f>_xlfn.XLOOKUP(G4001,'[1]T&amp;C emissions for 2050 analysis'!$B$3:$B$23,'[1]T&amp;C emissions for 2050 analysis'!$C$3:$C$23)</f>
        <v>0.18333333333333335</v>
      </c>
      <c r="I4001" s="27">
        <f t="shared" si="186"/>
        <v>0.63589439026666672</v>
      </c>
      <c r="J4001" s="129">
        <f t="shared" si="187"/>
        <v>48.035533333333341</v>
      </c>
    </row>
    <row r="4002" spans="1:10" hidden="1" x14ac:dyDescent="0.35">
      <c r="A4002" s="126" t="s">
        <v>390</v>
      </c>
      <c r="B4002" t="str">
        <f>_xlfn.XLOOKUP(A4002,'[1]2050Pop'!$A$7:$A$143,'[1]2050Pop'!$D$7:$D$143)</f>
        <v>LatAm &amp; RSA</v>
      </c>
      <c r="C4002" s="127">
        <f>1000*_xlfn.XLOOKUP(A4002,'[1]2050Pop'!$A$7:$A$143,'[1]2050Pop'!$C$7:$C$143)</f>
        <v>23013</v>
      </c>
      <c r="D4002" s="126" t="s">
        <v>533</v>
      </c>
      <c r="E4002" s="130">
        <v>172.01</v>
      </c>
      <c r="F4002" s="129">
        <f t="shared" si="188"/>
        <v>3.9584661299999997</v>
      </c>
      <c r="G4002" t="str">
        <f>_xlfn.XLOOKUP(D4002,'[1]2050 BAU Mapping to T &amp; C'!$A$3:$A$52,'[1]2050 BAU Mapping to T &amp; C'!$B$3:$B$52)</f>
        <v xml:space="preserve">Oil crops </v>
      </c>
      <c r="H4002" s="129">
        <f>_xlfn.XLOOKUP(G4002,'[1]T&amp;C emissions for 2050 analysis'!$B$3:$B$23,'[1]T&amp;C emissions for 2050 analysis'!$C$3:$C$23)</f>
        <v>0.18333333333333335</v>
      </c>
      <c r="I4002" s="27">
        <f t="shared" si="186"/>
        <v>0.72571879049999999</v>
      </c>
      <c r="J4002" s="129">
        <f t="shared" si="187"/>
        <v>31.535166666666669</v>
      </c>
    </row>
    <row r="4003" spans="1:10" hidden="1" x14ac:dyDescent="0.35">
      <c r="A4003" s="126" t="s">
        <v>391</v>
      </c>
      <c r="B4003" t="str">
        <f>_xlfn.XLOOKUP(A4003,'[1]2050Pop'!$A$7:$A$143,'[1]2050Pop'!$D$7:$D$143)</f>
        <v>MENA</v>
      </c>
      <c r="C4003" s="127">
        <f>1000*_xlfn.XLOOKUP(A4003,'[1]2050Pop'!$A$7:$A$143,'[1]2050Pop'!$C$7:$C$143)</f>
        <v>151111</v>
      </c>
      <c r="D4003" s="126" t="s">
        <v>533</v>
      </c>
      <c r="E4003" s="128">
        <v>70.346999999999994</v>
      </c>
      <c r="F4003" s="129">
        <f t="shared" si="188"/>
        <v>10.630205516999998</v>
      </c>
      <c r="G4003" t="str">
        <f>_xlfn.XLOOKUP(D4003,'[1]2050 BAU Mapping to T &amp; C'!$A$3:$A$52,'[1]2050 BAU Mapping to T &amp; C'!$B$3:$B$52)</f>
        <v xml:space="preserve">Oil crops </v>
      </c>
      <c r="H4003" s="129">
        <f>_xlfn.XLOOKUP(G4003,'[1]T&amp;C emissions for 2050 analysis'!$B$3:$B$23,'[1]T&amp;C emissions for 2050 analysis'!$C$3:$C$23)</f>
        <v>0.18333333333333335</v>
      </c>
      <c r="I4003" s="27">
        <f t="shared" si="186"/>
        <v>1.9488710114499999</v>
      </c>
      <c r="J4003" s="129">
        <f t="shared" si="187"/>
        <v>12.89695</v>
      </c>
    </row>
    <row r="4004" spans="1:10" hidden="1" x14ac:dyDescent="0.35">
      <c r="A4004" s="126" t="s">
        <v>392</v>
      </c>
      <c r="B4004" t="str">
        <f>_xlfn.XLOOKUP(A4004,'[1]2050Pop'!$A$7:$A$143,'[1]2050Pop'!$D$7:$D$143)</f>
        <v>LatAm &amp; RSA</v>
      </c>
      <c r="C4004" s="127">
        <f>1000*_xlfn.XLOOKUP(A4004,'[1]2050Pop'!$A$7:$A$143,'[1]2050Pop'!$C$7:$C$143)</f>
        <v>6390</v>
      </c>
      <c r="D4004" s="126" t="s">
        <v>533</v>
      </c>
      <c r="E4004" s="128">
        <v>71.221999999999994</v>
      </c>
      <c r="F4004" s="129">
        <f t="shared" si="188"/>
        <v>0.45510857999999998</v>
      </c>
      <c r="G4004" t="str">
        <f>_xlfn.XLOOKUP(D4004,'[1]2050 BAU Mapping to T &amp; C'!$A$3:$A$52,'[1]2050 BAU Mapping to T &amp; C'!$B$3:$B$52)</f>
        <v xml:space="preserve">Oil crops </v>
      </c>
      <c r="H4004" s="129">
        <f>_xlfn.XLOOKUP(G4004,'[1]T&amp;C emissions for 2050 analysis'!$B$3:$B$23,'[1]T&amp;C emissions for 2050 analysis'!$C$3:$C$23)</f>
        <v>0.18333333333333335</v>
      </c>
      <c r="I4004" s="27">
        <f t="shared" si="186"/>
        <v>8.3436573E-2</v>
      </c>
      <c r="J4004" s="129">
        <f t="shared" si="187"/>
        <v>13.057366666666667</v>
      </c>
    </row>
    <row r="4005" spans="1:10" hidden="1" x14ac:dyDescent="0.35">
      <c r="A4005" s="126" t="s">
        <v>393</v>
      </c>
      <c r="B4005" t="str">
        <f>_xlfn.XLOOKUP(A4005,'[1]2050Pop'!$A$7:$A$143,'[1]2050Pop'!$D$7:$D$143)</f>
        <v>Euro/AU/NZ</v>
      </c>
      <c r="C4005" s="127">
        <f>1000*_xlfn.XLOOKUP(A4005,'[1]2050Pop'!$A$7:$A$143,'[1]2050Pop'!$C$7:$C$143)</f>
        <v>1129</v>
      </c>
      <c r="D4005" s="126" t="s">
        <v>533</v>
      </c>
      <c r="E4005" s="128">
        <v>23.303000000000001</v>
      </c>
      <c r="F4005" s="129">
        <f t="shared" si="188"/>
        <v>2.6309086999999998E-2</v>
      </c>
      <c r="G4005" t="str">
        <f>_xlfn.XLOOKUP(D4005,'[1]2050 BAU Mapping to T &amp; C'!$A$3:$A$52,'[1]2050 BAU Mapping to T &amp; C'!$B$3:$B$52)</f>
        <v xml:space="preserve">Oil crops </v>
      </c>
      <c r="H4005" s="129">
        <f>_xlfn.XLOOKUP(G4005,'[1]T&amp;C emissions for 2050 analysis'!$B$3:$B$23,'[1]T&amp;C emissions for 2050 analysis'!$C$3:$C$23)</f>
        <v>0.18333333333333335</v>
      </c>
      <c r="I4005" s="27">
        <f t="shared" si="186"/>
        <v>4.823332616666667E-3</v>
      </c>
      <c r="J4005" s="129">
        <f t="shared" si="187"/>
        <v>4.272216666666667</v>
      </c>
    </row>
    <row r="4006" spans="1:10" hidden="1" x14ac:dyDescent="0.35">
      <c r="A4006" s="126" t="s">
        <v>394</v>
      </c>
      <c r="B4006" t="str">
        <f>_xlfn.XLOOKUP(A4006,'[1]2050Pop'!$A$7:$A$143,'[1]2050Pop'!$D$7:$D$143)</f>
        <v>SSA</v>
      </c>
      <c r="C4006" s="127">
        <f>1000*_xlfn.XLOOKUP(A4006,'[1]2050Pop'!$A$7:$A$143,'[1]2050Pop'!$C$7:$C$143)</f>
        <v>188455</v>
      </c>
      <c r="D4006" s="126" t="s">
        <v>533</v>
      </c>
      <c r="E4006" s="128">
        <v>2.4449999999999998</v>
      </c>
      <c r="F4006" s="129">
        <f t="shared" si="188"/>
        <v>0.46077247499999996</v>
      </c>
      <c r="G4006" t="str">
        <f>_xlfn.XLOOKUP(D4006,'[1]2050 BAU Mapping to T &amp; C'!$A$3:$A$52,'[1]2050 BAU Mapping to T &amp; C'!$B$3:$B$52)</f>
        <v xml:space="preserve">Oil crops </v>
      </c>
      <c r="H4006" s="129">
        <f>_xlfn.XLOOKUP(G4006,'[1]T&amp;C emissions for 2050 analysis'!$B$3:$B$23,'[1]T&amp;C emissions for 2050 analysis'!$C$3:$C$23)</f>
        <v>0.18333333333333335</v>
      </c>
      <c r="I4006" s="27">
        <f t="shared" si="186"/>
        <v>8.4474953749999998E-2</v>
      </c>
      <c r="J4006" s="129">
        <f t="shared" si="187"/>
        <v>0.44824999999999998</v>
      </c>
    </row>
    <row r="4007" spans="1:10" hidden="1" x14ac:dyDescent="0.35">
      <c r="A4007" s="126" t="s">
        <v>395</v>
      </c>
      <c r="B4007" t="str">
        <f>_xlfn.XLOOKUP(A4007,'[1]2050Pop'!$A$7:$A$143,'[1]2050Pop'!$D$7:$D$143)</f>
        <v>Euro/AU/NZ</v>
      </c>
      <c r="C4007" s="127">
        <f>1000*_xlfn.XLOOKUP(A4007,'[1]2050Pop'!$A$7:$A$143,'[1]2050Pop'!$C$7:$C$143)</f>
        <v>5752</v>
      </c>
      <c r="D4007" s="126" t="s">
        <v>533</v>
      </c>
      <c r="E4007" s="128">
        <v>5.2279999999999998</v>
      </c>
      <c r="F4007" s="129">
        <f t="shared" si="188"/>
        <v>3.0071456E-2</v>
      </c>
      <c r="G4007" t="str">
        <f>_xlfn.XLOOKUP(D4007,'[1]2050 BAU Mapping to T &amp; C'!$A$3:$A$52,'[1]2050 BAU Mapping to T &amp; C'!$B$3:$B$52)</f>
        <v xml:space="preserve">Oil crops </v>
      </c>
      <c r="H4007" s="129">
        <f>_xlfn.XLOOKUP(G4007,'[1]T&amp;C emissions for 2050 analysis'!$B$3:$B$23,'[1]T&amp;C emissions for 2050 analysis'!$C$3:$C$23)</f>
        <v>0.18333333333333335</v>
      </c>
      <c r="I4007" s="27">
        <f t="shared" si="186"/>
        <v>5.513100266666667E-3</v>
      </c>
      <c r="J4007" s="129">
        <f t="shared" si="187"/>
        <v>0.95846666666666669</v>
      </c>
    </row>
    <row r="4008" spans="1:10" hidden="1" x14ac:dyDescent="0.35">
      <c r="A4008" s="126" t="s">
        <v>396</v>
      </c>
      <c r="B4008" t="str">
        <f>_xlfn.XLOOKUP(A4008,'[1]2050Pop'!$A$7:$A$143,'[1]2050Pop'!$D$7:$D$143)</f>
        <v>Euro/AU/NZ</v>
      </c>
      <c r="C4008" s="127">
        <f>1000*_xlfn.XLOOKUP(A4008,'[1]2050Pop'!$A$7:$A$143,'[1]2050Pop'!$C$7:$C$143)</f>
        <v>71137</v>
      </c>
      <c r="D4008" s="126" t="s">
        <v>533</v>
      </c>
      <c r="E4008" s="128">
        <v>87.653000000000006</v>
      </c>
      <c r="F4008" s="129">
        <f t="shared" si="188"/>
        <v>6.2353714609999997</v>
      </c>
      <c r="G4008" t="str">
        <f>_xlfn.XLOOKUP(D4008,'[1]2050 BAU Mapping to T &amp; C'!$A$3:$A$52,'[1]2050 BAU Mapping to T &amp; C'!$B$3:$B$52)</f>
        <v xml:space="preserve">Oil crops </v>
      </c>
      <c r="H4008" s="129">
        <f>_xlfn.XLOOKUP(G4008,'[1]T&amp;C emissions for 2050 analysis'!$B$3:$B$23,'[1]T&amp;C emissions for 2050 analysis'!$C$3:$C$23)</f>
        <v>0.18333333333333335</v>
      </c>
      <c r="I4008" s="27">
        <f t="shared" si="186"/>
        <v>1.1431514345166667</v>
      </c>
      <c r="J4008" s="129">
        <f t="shared" si="187"/>
        <v>16.069716666666668</v>
      </c>
    </row>
    <row r="4009" spans="1:10" hidden="1" x14ac:dyDescent="0.35">
      <c r="A4009" s="126" t="s">
        <v>397</v>
      </c>
      <c r="B4009" t="str">
        <f>_xlfn.XLOOKUP(A4009,'[1]2050Pop'!$A$7:$A$143,'[1]2050Pop'!$D$7:$D$143)</f>
        <v>SSA</v>
      </c>
      <c r="C4009" s="127">
        <f>1000*_xlfn.XLOOKUP(A4009,'[1]2050Pop'!$A$7:$A$143,'[1]2050Pop'!$C$7:$C$143)</f>
        <v>3164</v>
      </c>
      <c r="D4009" s="126" t="s">
        <v>533</v>
      </c>
      <c r="E4009" s="130">
        <v>31.98</v>
      </c>
      <c r="F4009" s="129">
        <f t="shared" si="188"/>
        <v>0.10118472000000001</v>
      </c>
      <c r="G4009" t="str">
        <f>_xlfn.XLOOKUP(D4009,'[1]2050 BAU Mapping to T &amp; C'!$A$3:$A$52,'[1]2050 BAU Mapping to T &amp; C'!$B$3:$B$52)</f>
        <v xml:space="preserve">Oil crops </v>
      </c>
      <c r="H4009" s="129">
        <f>_xlfn.XLOOKUP(G4009,'[1]T&amp;C emissions for 2050 analysis'!$B$3:$B$23,'[1]T&amp;C emissions for 2050 analysis'!$C$3:$C$23)</f>
        <v>0.18333333333333335</v>
      </c>
      <c r="I4009" s="27">
        <f t="shared" si="186"/>
        <v>1.8550532000000002E-2</v>
      </c>
      <c r="J4009" s="129">
        <f t="shared" si="187"/>
        <v>5.8630000000000004</v>
      </c>
    </row>
    <row r="4010" spans="1:10" hidden="1" x14ac:dyDescent="0.35">
      <c r="A4010" s="126" t="s">
        <v>489</v>
      </c>
      <c r="B4010" t="str">
        <f>_xlfn.XLOOKUP(A4010,'[1]2050Pop'!$A$7:$A$143,'[1]2050Pop'!$D$7:$D$143)</f>
        <v>SSA</v>
      </c>
      <c r="C4010" s="127">
        <f>1000*_xlfn.XLOOKUP(A4010,'[1]2050Pop'!$A$7:$A$143,'[1]2050Pop'!$C$7:$C$143)</f>
        <v>4981</v>
      </c>
      <c r="D4010" s="126" t="s">
        <v>533</v>
      </c>
      <c r="E4010" s="128">
        <v>3.077</v>
      </c>
      <c r="F4010" s="129">
        <f t="shared" si="188"/>
        <v>1.5326536999999999E-2</v>
      </c>
      <c r="G4010" t="str">
        <f>_xlfn.XLOOKUP(D4010,'[1]2050 BAU Mapping to T &amp; C'!$A$3:$A$52,'[1]2050 BAU Mapping to T &amp; C'!$B$3:$B$52)</f>
        <v xml:space="preserve">Oil crops </v>
      </c>
      <c r="H4010" s="129">
        <f>_xlfn.XLOOKUP(G4010,'[1]T&amp;C emissions for 2050 analysis'!$B$3:$B$23,'[1]T&amp;C emissions for 2050 analysis'!$C$3:$C$23)</f>
        <v>0.18333333333333335</v>
      </c>
      <c r="I4010" s="27">
        <f t="shared" si="186"/>
        <v>2.8098651166666667E-3</v>
      </c>
      <c r="J4010" s="129">
        <f t="shared" si="187"/>
        <v>0.56411666666666671</v>
      </c>
    </row>
    <row r="4011" spans="1:10" hidden="1" x14ac:dyDescent="0.35">
      <c r="A4011" s="126" t="s">
        <v>399</v>
      </c>
      <c r="B4011" t="str">
        <f>_xlfn.XLOOKUP(A4011,'[1]2050Pop'!$A$7:$A$143,'[1]2050Pop'!$D$7:$D$143)</f>
        <v>Euro/AU/NZ</v>
      </c>
      <c r="C4011" s="127">
        <f>1000*_xlfn.XLOOKUP(A4011,'[1]2050Pop'!$A$7:$A$143,'[1]2050Pop'!$C$7:$C$143)</f>
        <v>74513</v>
      </c>
      <c r="D4011" s="126" t="s">
        <v>533</v>
      </c>
      <c r="E4011" s="128">
        <v>120.584</v>
      </c>
      <c r="F4011" s="129">
        <f t="shared" si="188"/>
        <v>8.9850755919999994</v>
      </c>
      <c r="G4011" t="str">
        <f>_xlfn.XLOOKUP(D4011,'[1]2050 BAU Mapping to T &amp; C'!$A$3:$A$52,'[1]2050 BAU Mapping to T &amp; C'!$B$3:$B$52)</f>
        <v xml:space="preserve">Oil crops </v>
      </c>
      <c r="H4011" s="129">
        <f>_xlfn.XLOOKUP(G4011,'[1]T&amp;C emissions for 2050 analysis'!$B$3:$B$23,'[1]T&amp;C emissions for 2050 analysis'!$C$3:$C$23)</f>
        <v>0.18333333333333335</v>
      </c>
      <c r="I4011" s="27">
        <f t="shared" si="186"/>
        <v>1.6472638585333335</v>
      </c>
      <c r="J4011" s="129">
        <f t="shared" si="187"/>
        <v>22.107066666666668</v>
      </c>
    </row>
    <row r="4012" spans="1:10" hidden="1" x14ac:dyDescent="0.35">
      <c r="A4012" s="126" t="s">
        <v>400</v>
      </c>
      <c r="B4012" t="str">
        <f>_xlfn.XLOOKUP(A4012,'[1]2050Pop'!$A$7:$A$143,'[1]2050Pop'!$D$7:$D$143)</f>
        <v>SSA</v>
      </c>
      <c r="C4012" s="127">
        <f>1000*_xlfn.XLOOKUP(A4012,'[1]2050Pop'!$A$7:$A$143,'[1]2050Pop'!$C$7:$C$143)</f>
        <v>50071</v>
      </c>
      <c r="D4012" s="126" t="s">
        <v>533</v>
      </c>
      <c r="E4012" s="128">
        <v>4.4009999999999998</v>
      </c>
      <c r="F4012" s="129">
        <f t="shared" si="188"/>
        <v>0.220362471</v>
      </c>
      <c r="G4012" t="str">
        <f>_xlfn.XLOOKUP(D4012,'[1]2050 BAU Mapping to T &amp; C'!$A$3:$A$52,'[1]2050 BAU Mapping to T &amp; C'!$B$3:$B$52)</f>
        <v xml:space="preserve">Oil crops </v>
      </c>
      <c r="H4012" s="129">
        <f>_xlfn.XLOOKUP(G4012,'[1]T&amp;C emissions for 2050 analysis'!$B$3:$B$23,'[1]T&amp;C emissions for 2050 analysis'!$C$3:$C$23)</f>
        <v>0.18333333333333335</v>
      </c>
      <c r="I4012" s="27">
        <f t="shared" si="186"/>
        <v>4.0399786350000001E-2</v>
      </c>
      <c r="J4012" s="129">
        <f t="shared" si="187"/>
        <v>0.80685000000000007</v>
      </c>
    </row>
    <row r="4013" spans="1:10" hidden="1" x14ac:dyDescent="0.35">
      <c r="A4013" s="126" t="s">
        <v>401</v>
      </c>
      <c r="B4013" t="str">
        <f>_xlfn.XLOOKUP(A4013,'[1]2050Pop'!$A$7:$A$143,'[1]2050Pop'!$D$7:$D$143)</f>
        <v>Euro/AU/NZ</v>
      </c>
      <c r="C4013" s="127">
        <f>1000*_xlfn.XLOOKUP(A4013,'[1]2050Pop'!$A$7:$A$143,'[1]2050Pop'!$C$7:$C$143)</f>
        <v>9705</v>
      </c>
      <c r="D4013" s="126" t="s">
        <v>533</v>
      </c>
      <c r="E4013" s="128">
        <v>20.582000000000001</v>
      </c>
      <c r="F4013" s="129">
        <f t="shared" si="188"/>
        <v>0.19974830999999998</v>
      </c>
      <c r="G4013" t="str">
        <f>_xlfn.XLOOKUP(D4013,'[1]2050 BAU Mapping to T &amp; C'!$A$3:$A$52,'[1]2050 BAU Mapping to T &amp; C'!$B$3:$B$52)</f>
        <v xml:space="preserve">Oil crops </v>
      </c>
      <c r="H4013" s="129">
        <f>_xlfn.XLOOKUP(G4013,'[1]T&amp;C emissions for 2050 analysis'!$B$3:$B$23,'[1]T&amp;C emissions for 2050 analysis'!$C$3:$C$23)</f>
        <v>0.18333333333333335</v>
      </c>
      <c r="I4013" s="27">
        <f t="shared" si="186"/>
        <v>3.6620523500000002E-2</v>
      </c>
      <c r="J4013" s="129">
        <f t="shared" si="187"/>
        <v>3.773366666666667</v>
      </c>
    </row>
    <row r="4014" spans="1:10" hidden="1" x14ac:dyDescent="0.35">
      <c r="A4014" s="126" t="s">
        <v>402</v>
      </c>
      <c r="B4014" t="str">
        <f>_xlfn.XLOOKUP(A4014,'[1]2050Pop'!$A$7:$A$143,'[1]2050Pop'!$D$7:$D$143)</f>
        <v>LatAm &amp; RSA</v>
      </c>
      <c r="C4014" s="127">
        <f>1000*_xlfn.XLOOKUP(A4014,'[1]2050Pop'!$A$7:$A$143,'[1]2050Pop'!$C$7:$C$143)</f>
        <v>27754</v>
      </c>
      <c r="D4014" s="126" t="s">
        <v>533</v>
      </c>
      <c r="E4014" s="128">
        <v>127.71599999999999</v>
      </c>
      <c r="F4014" s="129">
        <f t="shared" si="188"/>
        <v>3.544629864</v>
      </c>
      <c r="G4014" t="str">
        <f>_xlfn.XLOOKUP(D4014,'[1]2050 BAU Mapping to T &amp; C'!$A$3:$A$52,'[1]2050 BAU Mapping to T &amp; C'!$B$3:$B$52)</f>
        <v xml:space="preserve">Oil crops </v>
      </c>
      <c r="H4014" s="129">
        <f>_xlfn.XLOOKUP(G4014,'[1]T&amp;C emissions for 2050 analysis'!$B$3:$B$23,'[1]T&amp;C emissions for 2050 analysis'!$C$3:$C$23)</f>
        <v>0.18333333333333335</v>
      </c>
      <c r="I4014" s="27">
        <f t="shared" si="186"/>
        <v>0.64984880840000003</v>
      </c>
      <c r="J4014" s="129">
        <f t="shared" si="187"/>
        <v>23.4146</v>
      </c>
    </row>
    <row r="4015" spans="1:10" hidden="1" x14ac:dyDescent="0.35">
      <c r="A4015" s="126" t="s">
        <v>403</v>
      </c>
      <c r="B4015" t="str">
        <f>_xlfn.XLOOKUP(A4015,'[1]2050Pop'!$A$7:$A$143,'[1]2050Pop'!$D$7:$D$143)</f>
        <v>SSA</v>
      </c>
      <c r="C4015" s="127">
        <f>1000*_xlfn.XLOOKUP(A4015,'[1]2050Pop'!$A$7:$A$143,'[1]2050Pop'!$C$7:$C$143)</f>
        <v>27486</v>
      </c>
      <c r="D4015" s="126" t="s">
        <v>533</v>
      </c>
      <c r="E4015" s="128">
        <v>8.5879999999999992</v>
      </c>
      <c r="F4015" s="129">
        <f t="shared" si="188"/>
        <v>0.23604976799999999</v>
      </c>
      <c r="G4015" t="str">
        <f>_xlfn.XLOOKUP(D4015,'[1]2050 BAU Mapping to T &amp; C'!$A$3:$A$52,'[1]2050 BAU Mapping to T &amp; C'!$B$3:$B$52)</f>
        <v xml:space="preserve">Oil crops </v>
      </c>
      <c r="H4015" s="129">
        <f>_xlfn.XLOOKUP(G4015,'[1]T&amp;C emissions for 2050 analysis'!$B$3:$B$23,'[1]T&amp;C emissions for 2050 analysis'!$C$3:$C$23)</f>
        <v>0.18333333333333335</v>
      </c>
      <c r="I4015" s="27">
        <f t="shared" si="186"/>
        <v>4.3275790800000005E-2</v>
      </c>
      <c r="J4015" s="129">
        <f t="shared" si="187"/>
        <v>1.5744666666666667</v>
      </c>
    </row>
    <row r="4016" spans="1:10" hidden="1" x14ac:dyDescent="0.35">
      <c r="A4016" s="126" t="s">
        <v>404</v>
      </c>
      <c r="B4016" t="str">
        <f>_xlfn.XLOOKUP(A4016,'[1]2050Pop'!$A$7:$A$143,'[1]2050Pop'!$D$7:$D$143)</f>
        <v>LatAm &amp; RSA</v>
      </c>
      <c r="C4016" s="127">
        <f>1000*_xlfn.XLOOKUP(A4016,'[1]2050Pop'!$A$7:$A$143,'[1]2050Pop'!$C$7:$C$143)</f>
        <v>806</v>
      </c>
      <c r="D4016" s="126" t="s">
        <v>533</v>
      </c>
      <c r="E4016" s="128">
        <v>26.030999999999999</v>
      </c>
      <c r="F4016" s="129">
        <f t="shared" si="188"/>
        <v>2.0980986E-2</v>
      </c>
      <c r="G4016" t="str">
        <f>_xlfn.XLOOKUP(D4016,'[1]2050 BAU Mapping to T &amp; C'!$A$3:$A$52,'[1]2050 BAU Mapping to T &amp; C'!$B$3:$B$52)</f>
        <v xml:space="preserve">Oil crops </v>
      </c>
      <c r="H4016" s="129">
        <f>_xlfn.XLOOKUP(G4016,'[1]T&amp;C emissions for 2050 analysis'!$B$3:$B$23,'[1]T&amp;C emissions for 2050 analysis'!$C$3:$C$23)</f>
        <v>0.18333333333333335</v>
      </c>
      <c r="I4016" s="27">
        <f t="shared" si="186"/>
        <v>3.8465141000000001E-3</v>
      </c>
      <c r="J4016" s="129">
        <f t="shared" si="187"/>
        <v>4.7723500000000003</v>
      </c>
    </row>
    <row r="4017" spans="1:10" hidden="1" x14ac:dyDescent="0.35">
      <c r="A4017" s="126" t="s">
        <v>405</v>
      </c>
      <c r="B4017" t="str">
        <f>_xlfn.XLOOKUP(A4017,'[1]2050Pop'!$A$7:$A$143,'[1]2050Pop'!$D$7:$D$143)</f>
        <v>LatAm &amp; RSA</v>
      </c>
      <c r="C4017" s="127">
        <f>1000*_xlfn.XLOOKUP(A4017,'[1]2050Pop'!$A$7:$A$143,'[1]2050Pop'!$C$7:$C$143)</f>
        <v>14189</v>
      </c>
      <c r="D4017" s="126" t="s">
        <v>533</v>
      </c>
      <c r="E4017" s="130">
        <v>156.81</v>
      </c>
      <c r="F4017" s="129">
        <f t="shared" si="188"/>
        <v>2.2249770899999999</v>
      </c>
      <c r="G4017" t="str">
        <f>_xlfn.XLOOKUP(D4017,'[1]2050 BAU Mapping to T &amp; C'!$A$3:$A$52,'[1]2050 BAU Mapping to T &amp; C'!$B$3:$B$52)</f>
        <v xml:space="preserve">Oil crops </v>
      </c>
      <c r="H4017" s="129">
        <f>_xlfn.XLOOKUP(G4017,'[1]T&amp;C emissions for 2050 analysis'!$B$3:$B$23,'[1]T&amp;C emissions for 2050 analysis'!$C$3:$C$23)</f>
        <v>0.18333333333333335</v>
      </c>
      <c r="I4017" s="27">
        <f t="shared" si="186"/>
        <v>0.40791246650000001</v>
      </c>
      <c r="J4017" s="129">
        <f t="shared" si="187"/>
        <v>28.748500000000003</v>
      </c>
    </row>
    <row r="4018" spans="1:10" hidden="1" x14ac:dyDescent="0.35">
      <c r="A4018" s="126" t="s">
        <v>406</v>
      </c>
      <c r="B4018" t="str">
        <f>_xlfn.XLOOKUP(A4018,'[1]2050Pop'!$A$7:$A$143,'[1]2050Pop'!$D$7:$D$143)</f>
        <v>LatAm &amp; RSA</v>
      </c>
      <c r="C4018" s="127">
        <f>1000*_xlfn.XLOOKUP(A4018,'[1]2050Pop'!$A$7:$A$143,'[1]2050Pop'!$C$7:$C$143)</f>
        <v>11217</v>
      </c>
      <c r="D4018" s="126" t="s">
        <v>533</v>
      </c>
      <c r="E4018" s="128">
        <v>25.686</v>
      </c>
      <c r="F4018" s="129">
        <f t="shared" si="188"/>
        <v>0.288119862</v>
      </c>
      <c r="G4018" t="str">
        <f>_xlfn.XLOOKUP(D4018,'[1]2050 BAU Mapping to T &amp; C'!$A$3:$A$52,'[1]2050 BAU Mapping to T &amp; C'!$B$3:$B$52)</f>
        <v xml:space="preserve">Oil crops </v>
      </c>
      <c r="H4018" s="129">
        <f>_xlfn.XLOOKUP(G4018,'[1]T&amp;C emissions for 2050 analysis'!$B$3:$B$23,'[1]T&amp;C emissions for 2050 analysis'!$C$3:$C$23)</f>
        <v>0.18333333333333335</v>
      </c>
      <c r="I4018" s="27">
        <f t="shared" si="186"/>
        <v>5.2821974700000003E-2</v>
      </c>
      <c r="J4018" s="129">
        <f t="shared" si="187"/>
        <v>4.7091000000000003</v>
      </c>
    </row>
    <row r="4019" spans="1:10" hidden="1" x14ac:dyDescent="0.35">
      <c r="A4019" s="126" t="s">
        <v>407</v>
      </c>
      <c r="B4019" t="str">
        <f>_xlfn.XLOOKUP(A4019,'[1]2050Pop'!$A$7:$A$143,'[1]2050Pop'!$D$7:$D$143)</f>
        <v>Euro/AU/NZ</v>
      </c>
      <c r="C4019" s="127">
        <f>1000*_xlfn.XLOOKUP(A4019,'[1]2050Pop'!$A$7:$A$143,'[1]2050Pop'!$C$7:$C$143)</f>
        <v>8318</v>
      </c>
      <c r="D4019" s="126" t="s">
        <v>533</v>
      </c>
      <c r="E4019" s="128">
        <v>36.287999999999997</v>
      </c>
      <c r="F4019" s="129">
        <f t="shared" si="188"/>
        <v>0.301843584</v>
      </c>
      <c r="G4019" t="str">
        <f>_xlfn.XLOOKUP(D4019,'[1]2050 BAU Mapping to T &amp; C'!$A$3:$A$52,'[1]2050 BAU Mapping to T &amp; C'!$B$3:$B$52)</f>
        <v xml:space="preserve">Oil crops </v>
      </c>
      <c r="H4019" s="129">
        <f>_xlfn.XLOOKUP(G4019,'[1]T&amp;C emissions for 2050 analysis'!$B$3:$B$23,'[1]T&amp;C emissions for 2050 analysis'!$C$3:$C$23)</f>
        <v>0.18333333333333335</v>
      </c>
      <c r="I4019" s="27">
        <f t="shared" si="186"/>
        <v>5.5337990400000002E-2</v>
      </c>
      <c r="J4019" s="129">
        <f t="shared" si="187"/>
        <v>6.6528</v>
      </c>
    </row>
    <row r="4020" spans="1:10" hidden="1" x14ac:dyDescent="0.35">
      <c r="A4020" s="126" t="s">
        <v>408</v>
      </c>
      <c r="B4020" t="str">
        <f>_xlfn.XLOOKUP(A4020,'[1]2050Pop'!$A$7:$A$143,'[1]2050Pop'!$D$7:$D$143)</f>
        <v>India/South Asia</v>
      </c>
      <c r="C4020" s="127">
        <f>1000*_xlfn.XLOOKUP(A4020,'[1]2050Pop'!$A$7:$A$143,'[1]2050Pop'!$C$7:$C$143)</f>
        <v>1705333</v>
      </c>
      <c r="D4020" s="126" t="s">
        <v>533</v>
      </c>
      <c r="E4020" s="130">
        <v>44.08</v>
      </c>
      <c r="F4020" s="129">
        <f t="shared" si="188"/>
        <v>75.171078640000005</v>
      </c>
      <c r="G4020" t="str">
        <f>_xlfn.XLOOKUP(D4020,'[1]2050 BAU Mapping to T &amp; C'!$A$3:$A$52,'[1]2050 BAU Mapping to T &amp; C'!$B$3:$B$52)</f>
        <v xml:space="preserve">Oil crops </v>
      </c>
      <c r="H4020" s="129">
        <f>_xlfn.XLOOKUP(G4020,'[1]T&amp;C emissions for 2050 analysis'!$B$3:$B$23,'[1]T&amp;C emissions for 2050 analysis'!$C$3:$C$23)</f>
        <v>0.18333333333333335</v>
      </c>
      <c r="I4020" s="27">
        <f t="shared" si="186"/>
        <v>13.781364417333336</v>
      </c>
      <c r="J4020" s="129">
        <f t="shared" si="187"/>
        <v>8.0813333333333333</v>
      </c>
    </row>
    <row r="4021" spans="1:10" hidden="1" x14ac:dyDescent="0.35">
      <c r="A4021" s="126" t="s">
        <v>409</v>
      </c>
      <c r="B4021" t="str">
        <f>_xlfn.XLOOKUP(A4021,'[1]2050Pop'!$A$7:$A$143,'[1]2050Pop'!$D$7:$D$143)</f>
        <v>APAC</v>
      </c>
      <c r="C4021" s="127">
        <f>1000*_xlfn.XLOOKUP(A4021,'[1]2050Pop'!$A$7:$A$143,'[1]2050Pop'!$C$7:$C$143)</f>
        <v>322237</v>
      </c>
      <c r="D4021" s="126" t="s">
        <v>533</v>
      </c>
      <c r="E4021" s="128">
        <v>65.453999999999994</v>
      </c>
      <c r="F4021" s="129">
        <f t="shared" si="188"/>
        <v>21.091700597999999</v>
      </c>
      <c r="G4021" t="str">
        <f>_xlfn.XLOOKUP(D4021,'[1]2050 BAU Mapping to T &amp; C'!$A$3:$A$52,'[1]2050 BAU Mapping to T &amp; C'!$B$3:$B$52)</f>
        <v xml:space="preserve">Oil crops </v>
      </c>
      <c r="H4021" s="129">
        <f>_xlfn.XLOOKUP(G4021,'[1]T&amp;C emissions for 2050 analysis'!$B$3:$B$23,'[1]T&amp;C emissions for 2050 analysis'!$C$3:$C$23)</f>
        <v>0.18333333333333335</v>
      </c>
      <c r="I4021" s="27">
        <f t="shared" si="186"/>
        <v>3.8668117763000001</v>
      </c>
      <c r="J4021" s="129">
        <f t="shared" si="187"/>
        <v>11.9999</v>
      </c>
    </row>
    <row r="4022" spans="1:10" hidden="1" x14ac:dyDescent="0.35">
      <c r="A4022" s="126" t="s">
        <v>410</v>
      </c>
      <c r="B4022" t="str">
        <f>_xlfn.XLOOKUP(A4022,'[1]2050Pop'!$A$7:$A$143,'[1]2050Pop'!$D$7:$D$143)</f>
        <v>India/South Asia</v>
      </c>
      <c r="C4022" s="127">
        <f>1000*_xlfn.XLOOKUP(A4022,'[1]2050Pop'!$A$7:$A$143,'[1]2050Pop'!$C$7:$C$143)</f>
        <v>92219</v>
      </c>
      <c r="D4022" s="126" t="s">
        <v>533</v>
      </c>
      <c r="E4022" s="130">
        <v>169.96</v>
      </c>
      <c r="F4022" s="129">
        <f t="shared" si="188"/>
        <v>15.67354124</v>
      </c>
      <c r="G4022" t="str">
        <f>_xlfn.XLOOKUP(D4022,'[1]2050 BAU Mapping to T &amp; C'!$A$3:$A$52,'[1]2050 BAU Mapping to T &amp; C'!$B$3:$B$52)</f>
        <v xml:space="preserve">Oil crops </v>
      </c>
      <c r="H4022" s="129">
        <f>_xlfn.XLOOKUP(G4022,'[1]T&amp;C emissions for 2050 analysis'!$B$3:$B$23,'[1]T&amp;C emissions for 2050 analysis'!$C$3:$C$23)</f>
        <v>0.18333333333333335</v>
      </c>
      <c r="I4022" s="27">
        <f t="shared" si="186"/>
        <v>2.873482560666667</v>
      </c>
      <c r="J4022" s="129">
        <f t="shared" si="187"/>
        <v>31.159333333333336</v>
      </c>
    </row>
    <row r="4023" spans="1:10" hidden="1" x14ac:dyDescent="0.35">
      <c r="A4023" s="126" t="s">
        <v>411</v>
      </c>
      <c r="B4023" t="str">
        <f>_xlfn.XLOOKUP(A4023,'[1]2050Pop'!$A$7:$A$143,'[1]2050Pop'!$D$7:$D$143)</f>
        <v>MENA</v>
      </c>
      <c r="C4023" s="127">
        <f>1000*_xlfn.XLOOKUP(A4023,'[1]2050Pop'!$A$7:$A$143,'[1]2050Pop'!$C$7:$C$143)</f>
        <v>83652</v>
      </c>
      <c r="D4023" s="126" t="s">
        <v>533</v>
      </c>
      <c r="E4023" s="130">
        <v>61.57</v>
      </c>
      <c r="F4023" s="129">
        <f t="shared" si="188"/>
        <v>5.1504536399999994</v>
      </c>
      <c r="G4023" t="str">
        <f>_xlfn.XLOOKUP(D4023,'[1]2050 BAU Mapping to T &amp; C'!$A$3:$A$52,'[1]2050 BAU Mapping to T &amp; C'!$B$3:$B$52)</f>
        <v xml:space="preserve">Oil crops </v>
      </c>
      <c r="H4023" s="129">
        <f>_xlfn.XLOOKUP(G4023,'[1]T&amp;C emissions for 2050 analysis'!$B$3:$B$23,'[1]T&amp;C emissions for 2050 analysis'!$C$3:$C$23)</f>
        <v>0.18333333333333335</v>
      </c>
      <c r="I4023" s="27">
        <f t="shared" si="186"/>
        <v>0.94424983399999995</v>
      </c>
      <c r="J4023" s="129">
        <f t="shared" si="187"/>
        <v>11.287833333333335</v>
      </c>
    </row>
    <row r="4024" spans="1:10" hidden="1" x14ac:dyDescent="0.35">
      <c r="A4024" s="126" t="s">
        <v>412</v>
      </c>
      <c r="B4024" t="str">
        <f>_xlfn.XLOOKUP(A4024,'[1]2050Pop'!$A$7:$A$143,'[1]2050Pop'!$D$7:$D$143)</f>
        <v>Euro/AU/NZ</v>
      </c>
      <c r="C4024" s="127">
        <f>1000*_xlfn.XLOOKUP(A4024,'[1]2050Pop'!$A$7:$A$143,'[1]2050Pop'!$C$7:$C$143)</f>
        <v>5789</v>
      </c>
      <c r="D4024" s="126" t="s">
        <v>533</v>
      </c>
      <c r="E4024" s="128">
        <v>66.626999999999995</v>
      </c>
      <c r="F4024" s="129">
        <f t="shared" si="188"/>
        <v>0.38570370299999995</v>
      </c>
      <c r="G4024" t="str">
        <f>_xlfn.XLOOKUP(D4024,'[1]2050 BAU Mapping to T &amp; C'!$A$3:$A$52,'[1]2050 BAU Mapping to T &amp; C'!$B$3:$B$52)</f>
        <v xml:space="preserve">Oil crops </v>
      </c>
      <c r="H4024" s="129">
        <f>_xlfn.XLOOKUP(G4024,'[1]T&amp;C emissions for 2050 analysis'!$B$3:$B$23,'[1]T&amp;C emissions for 2050 analysis'!$C$3:$C$23)</f>
        <v>0.18333333333333335</v>
      </c>
      <c r="I4024" s="27">
        <f t="shared" si="186"/>
        <v>7.071234555E-2</v>
      </c>
      <c r="J4024" s="129">
        <f t="shared" si="187"/>
        <v>12.21495</v>
      </c>
    </row>
    <row r="4025" spans="1:10" hidden="1" x14ac:dyDescent="0.35">
      <c r="A4025" s="126" t="s">
        <v>413</v>
      </c>
      <c r="B4025" t="str">
        <f>_xlfn.XLOOKUP(A4025,'[1]2050Pop'!$A$7:$A$143,'[1]2050Pop'!$D$7:$D$143)</f>
        <v>MENA</v>
      </c>
      <c r="C4025" s="127">
        <f>1000*_xlfn.XLOOKUP(A4025,'[1]2050Pop'!$A$7:$A$143,'[1]2050Pop'!$C$7:$C$143)</f>
        <v>12610</v>
      </c>
      <c r="D4025" s="126" t="s">
        <v>533</v>
      </c>
      <c r="E4025" s="128">
        <v>253.08500000000001</v>
      </c>
      <c r="F4025" s="129">
        <f t="shared" si="188"/>
        <v>3.1914018500000001</v>
      </c>
      <c r="G4025" t="str">
        <f>_xlfn.XLOOKUP(D4025,'[1]2050 BAU Mapping to T &amp; C'!$A$3:$A$52,'[1]2050 BAU Mapping to T &amp; C'!$B$3:$B$52)</f>
        <v xml:space="preserve">Oil crops </v>
      </c>
      <c r="H4025" s="129">
        <f>_xlfn.XLOOKUP(G4025,'[1]T&amp;C emissions for 2050 analysis'!$B$3:$B$23,'[1]T&amp;C emissions for 2050 analysis'!$C$3:$C$23)</f>
        <v>0.18333333333333335</v>
      </c>
      <c r="I4025" s="27">
        <f t="shared" si="186"/>
        <v>0.58509033916666675</v>
      </c>
      <c r="J4025" s="129">
        <f t="shared" si="187"/>
        <v>46.398916666666672</v>
      </c>
    </row>
    <row r="4026" spans="1:10" hidden="1" x14ac:dyDescent="0.35">
      <c r="A4026" s="126" t="s">
        <v>414</v>
      </c>
      <c r="B4026" t="str">
        <f>_xlfn.XLOOKUP(A4026,'[1]2050Pop'!$A$7:$A$143,'[1]2050Pop'!$D$7:$D$143)</f>
        <v>Euro/AU/NZ</v>
      </c>
      <c r="C4026" s="127">
        <f>1000*_xlfn.XLOOKUP(A4026,'[1]2050Pop'!$A$7:$A$143,'[1]2050Pop'!$C$7:$C$143)</f>
        <v>56513</v>
      </c>
      <c r="D4026" s="126" t="s">
        <v>533</v>
      </c>
      <c r="E4026" s="128">
        <v>135.58699999999999</v>
      </c>
      <c r="F4026" s="129">
        <f t="shared" si="188"/>
        <v>7.6624281309999995</v>
      </c>
      <c r="G4026" t="str">
        <f>_xlfn.XLOOKUP(D4026,'[1]2050 BAU Mapping to T &amp; C'!$A$3:$A$52,'[1]2050 BAU Mapping to T &amp; C'!$B$3:$B$52)</f>
        <v xml:space="preserve">Oil crops </v>
      </c>
      <c r="H4026" s="129">
        <f>_xlfn.XLOOKUP(G4026,'[1]T&amp;C emissions for 2050 analysis'!$B$3:$B$23,'[1]T&amp;C emissions for 2050 analysis'!$C$3:$C$23)</f>
        <v>0.18333333333333335</v>
      </c>
      <c r="I4026" s="27">
        <f t="shared" si="186"/>
        <v>1.4047784906833334</v>
      </c>
      <c r="J4026" s="129">
        <f t="shared" si="187"/>
        <v>24.857616666666665</v>
      </c>
    </row>
    <row r="4027" spans="1:10" hidden="1" x14ac:dyDescent="0.35">
      <c r="A4027" s="126" t="s">
        <v>415</v>
      </c>
      <c r="B4027" t="str">
        <f>_xlfn.XLOOKUP(A4027,'[1]2050Pop'!$A$7:$A$143,'[1]2050Pop'!$D$7:$D$143)</f>
        <v>LatAm &amp; RSA</v>
      </c>
      <c r="C4027" s="127">
        <f>1000*_xlfn.XLOOKUP(A4027,'[1]2050Pop'!$A$7:$A$143,'[1]2050Pop'!$C$7:$C$143)</f>
        <v>2710</v>
      </c>
      <c r="D4027" s="126" t="s">
        <v>533</v>
      </c>
      <c r="E4027" s="128">
        <v>170.72399999999999</v>
      </c>
      <c r="F4027" s="129">
        <f t="shared" si="188"/>
        <v>0.46266204</v>
      </c>
      <c r="G4027" t="str">
        <f>_xlfn.XLOOKUP(D4027,'[1]2050 BAU Mapping to T &amp; C'!$A$3:$A$52,'[1]2050 BAU Mapping to T &amp; C'!$B$3:$B$52)</f>
        <v xml:space="preserve">Oil crops </v>
      </c>
      <c r="H4027" s="129">
        <f>_xlfn.XLOOKUP(G4027,'[1]T&amp;C emissions for 2050 analysis'!$B$3:$B$23,'[1]T&amp;C emissions for 2050 analysis'!$C$3:$C$23)</f>
        <v>0.18333333333333335</v>
      </c>
      <c r="I4027" s="27">
        <f t="shared" si="186"/>
        <v>8.4821374000000005E-2</v>
      </c>
      <c r="J4027" s="129">
        <f t="shared" si="187"/>
        <v>31.299400000000002</v>
      </c>
    </row>
    <row r="4028" spans="1:10" hidden="1" x14ac:dyDescent="0.35">
      <c r="A4028" s="126" t="s">
        <v>416</v>
      </c>
      <c r="B4028" t="str">
        <f>_xlfn.XLOOKUP(A4028,'[1]2050Pop'!$A$7:$A$143,'[1]2050Pop'!$D$7:$D$143)</f>
        <v>APAC</v>
      </c>
      <c r="C4028" s="127">
        <f>1000*_xlfn.XLOOKUP(A4028,'[1]2050Pop'!$A$7:$A$143,'[1]2050Pop'!$C$7:$C$143)</f>
        <v>107411</v>
      </c>
      <c r="D4028" s="126" t="s">
        <v>533</v>
      </c>
      <c r="E4028" s="128">
        <v>72.697000000000003</v>
      </c>
      <c r="F4028" s="129">
        <f t="shared" si="188"/>
        <v>7.8084574670000002</v>
      </c>
      <c r="G4028" t="str">
        <f>_xlfn.XLOOKUP(D4028,'[1]2050 BAU Mapping to T &amp; C'!$A$3:$A$52,'[1]2050 BAU Mapping to T &amp; C'!$B$3:$B$52)</f>
        <v xml:space="preserve">Oil crops </v>
      </c>
      <c r="H4028" s="129">
        <f>_xlfn.XLOOKUP(G4028,'[1]T&amp;C emissions for 2050 analysis'!$B$3:$B$23,'[1]T&amp;C emissions for 2050 analysis'!$C$3:$C$23)</f>
        <v>0.18333333333333335</v>
      </c>
      <c r="I4028" s="27">
        <f t="shared" si="186"/>
        <v>1.4315505356166669</v>
      </c>
      <c r="J4028" s="129">
        <f t="shared" si="187"/>
        <v>13.327783333333334</v>
      </c>
    </row>
    <row r="4029" spans="1:10" hidden="1" x14ac:dyDescent="0.35">
      <c r="A4029" s="126" t="s">
        <v>417</v>
      </c>
      <c r="B4029" t="str">
        <f>_xlfn.XLOOKUP(A4029,'[1]2050Pop'!$A$7:$A$143,'[1]2050Pop'!$D$7:$D$143)</f>
        <v>MENA</v>
      </c>
      <c r="C4029" s="127">
        <f>1000*_xlfn.XLOOKUP(A4029,'[1]2050Pop'!$A$7:$A$143,'[1]2050Pop'!$C$7:$C$143)</f>
        <v>11717</v>
      </c>
      <c r="D4029" s="126" t="s">
        <v>533</v>
      </c>
      <c r="E4029" s="128">
        <v>123.913</v>
      </c>
      <c r="F4029" s="129">
        <f t="shared" si="188"/>
        <v>1.4518886209999999</v>
      </c>
      <c r="G4029" t="str">
        <f>_xlfn.XLOOKUP(D4029,'[1]2050 BAU Mapping to T &amp; C'!$A$3:$A$52,'[1]2050 BAU Mapping to T &amp; C'!$B$3:$B$52)</f>
        <v xml:space="preserve">Oil crops </v>
      </c>
      <c r="H4029" s="129">
        <f>_xlfn.XLOOKUP(G4029,'[1]T&amp;C emissions for 2050 analysis'!$B$3:$B$23,'[1]T&amp;C emissions for 2050 analysis'!$C$3:$C$23)</f>
        <v>0.18333333333333335</v>
      </c>
      <c r="I4029" s="27">
        <f t="shared" si="186"/>
        <v>0.26617958051666668</v>
      </c>
      <c r="J4029" s="129">
        <f t="shared" si="187"/>
        <v>22.717383333333334</v>
      </c>
    </row>
    <row r="4030" spans="1:10" hidden="1" x14ac:dyDescent="0.35">
      <c r="A4030" s="126" t="s">
        <v>418</v>
      </c>
      <c r="B4030" t="str">
        <f>_xlfn.XLOOKUP(A4030,'[1]2050Pop'!$A$7:$A$143,'[1]2050Pop'!$D$7:$D$143)</f>
        <v>APAC</v>
      </c>
      <c r="C4030" s="127">
        <f>1000*_xlfn.XLOOKUP(A4030,'[1]2050Pop'!$A$7:$A$143,'[1]2050Pop'!$C$7:$C$143)</f>
        <v>22447</v>
      </c>
      <c r="D4030" s="126" t="s">
        <v>533</v>
      </c>
      <c r="E4030" s="128">
        <v>7.0019999999999998</v>
      </c>
      <c r="F4030" s="129">
        <f t="shared" si="188"/>
        <v>0.15717389400000001</v>
      </c>
      <c r="G4030" t="str">
        <f>_xlfn.XLOOKUP(D4030,'[1]2050 BAU Mapping to T &amp; C'!$A$3:$A$52,'[1]2050 BAU Mapping to T &amp; C'!$B$3:$B$52)</f>
        <v xml:space="preserve">Oil crops </v>
      </c>
      <c r="H4030" s="129">
        <f>_xlfn.XLOOKUP(G4030,'[1]T&amp;C emissions for 2050 analysis'!$B$3:$B$23,'[1]T&amp;C emissions for 2050 analysis'!$C$3:$C$23)</f>
        <v>0.18333333333333335</v>
      </c>
      <c r="I4030" s="27">
        <f t="shared" si="186"/>
        <v>2.8815213900000004E-2</v>
      </c>
      <c r="J4030" s="129">
        <f t="shared" si="187"/>
        <v>1.2837000000000001</v>
      </c>
    </row>
    <row r="4031" spans="1:10" hidden="1" x14ac:dyDescent="0.35">
      <c r="A4031" s="126" t="s">
        <v>419</v>
      </c>
      <c r="B4031" t="str">
        <f>_xlfn.XLOOKUP(A4031,'[1]2050Pop'!$A$7:$A$143,'[1]2050Pop'!$D$7:$D$143)</f>
        <v>SSA</v>
      </c>
      <c r="C4031" s="127">
        <f>1000*_xlfn.XLOOKUP(A4031,'[1]2050Pop'!$A$7:$A$143,'[1]2050Pop'!$C$7:$C$143)</f>
        <v>95505</v>
      </c>
      <c r="D4031" s="126" t="s">
        <v>533</v>
      </c>
      <c r="E4031" s="128">
        <v>2.4940000000000002</v>
      </c>
      <c r="F4031" s="129">
        <f t="shared" si="188"/>
        <v>0.23818947000000004</v>
      </c>
      <c r="G4031" t="str">
        <f>_xlfn.XLOOKUP(D4031,'[1]2050 BAU Mapping to T &amp; C'!$A$3:$A$52,'[1]2050 BAU Mapping to T &amp; C'!$B$3:$B$52)</f>
        <v xml:space="preserve">Oil crops </v>
      </c>
      <c r="H4031" s="129">
        <f>_xlfn.XLOOKUP(G4031,'[1]T&amp;C emissions for 2050 analysis'!$B$3:$B$23,'[1]T&amp;C emissions for 2050 analysis'!$C$3:$C$23)</f>
        <v>0.18333333333333335</v>
      </c>
      <c r="I4031" s="27">
        <f t="shared" si="186"/>
        <v>4.366806950000001E-2</v>
      </c>
      <c r="J4031" s="129">
        <f t="shared" si="187"/>
        <v>0.45723333333333344</v>
      </c>
    </row>
    <row r="4032" spans="1:10" hidden="1" x14ac:dyDescent="0.35">
      <c r="A4032" s="126" t="s">
        <v>420</v>
      </c>
      <c r="B4032" t="str">
        <f>_xlfn.XLOOKUP(A4032,'[1]2050Pop'!$A$7:$A$143,'[1]2050Pop'!$D$7:$D$143)</f>
        <v>APAC</v>
      </c>
      <c r="C4032" s="127">
        <f>1000*_xlfn.XLOOKUP(A4032,'[1]2050Pop'!$A$7:$A$143,'[1]2050Pop'!$C$7:$C$143)</f>
        <v>8248</v>
      </c>
      <c r="D4032" s="126" t="s">
        <v>533</v>
      </c>
      <c r="E4032" s="128">
        <v>5.3819999999999997</v>
      </c>
      <c r="F4032" s="129">
        <f t="shared" si="188"/>
        <v>4.4390736E-2</v>
      </c>
      <c r="G4032" t="str">
        <f>_xlfn.XLOOKUP(D4032,'[1]2050 BAU Mapping to T &amp; C'!$A$3:$A$52,'[1]2050 BAU Mapping to T &amp; C'!$B$3:$B$52)</f>
        <v xml:space="preserve">Oil crops </v>
      </c>
      <c r="H4032" s="129">
        <f>_xlfn.XLOOKUP(G4032,'[1]T&amp;C emissions for 2050 analysis'!$B$3:$B$23,'[1]T&amp;C emissions for 2050 analysis'!$C$3:$C$23)</f>
        <v>0.18333333333333335</v>
      </c>
      <c r="I4032" s="27">
        <f t="shared" si="186"/>
        <v>8.1383015999999999E-3</v>
      </c>
      <c r="J4032" s="129">
        <f t="shared" si="187"/>
        <v>0.98670000000000002</v>
      </c>
    </row>
    <row r="4033" spans="1:10" hidden="1" x14ac:dyDescent="0.35">
      <c r="A4033" s="126" t="s">
        <v>421</v>
      </c>
      <c r="B4033" t="str">
        <f>_xlfn.XLOOKUP(A4033,'[1]2050Pop'!$A$7:$A$143,'[1]2050Pop'!$D$7:$D$143)</f>
        <v>APAC</v>
      </c>
      <c r="C4033" s="127">
        <f>1000*_xlfn.XLOOKUP(A4033,'[1]2050Pop'!$A$7:$A$143,'[1]2050Pop'!$C$7:$C$143)</f>
        <v>10172</v>
      </c>
      <c r="D4033" s="126" t="s">
        <v>533</v>
      </c>
      <c r="E4033" s="128">
        <v>3.9710000000000001</v>
      </c>
      <c r="F4033" s="129">
        <f t="shared" si="188"/>
        <v>4.0393012000000006E-2</v>
      </c>
      <c r="G4033" t="str">
        <f>_xlfn.XLOOKUP(D4033,'[1]2050 BAU Mapping to T &amp; C'!$A$3:$A$52,'[1]2050 BAU Mapping to T &amp; C'!$B$3:$B$52)</f>
        <v xml:space="preserve">Oil crops </v>
      </c>
      <c r="H4033" s="129">
        <f>_xlfn.XLOOKUP(G4033,'[1]T&amp;C emissions for 2050 analysis'!$B$3:$B$23,'[1]T&amp;C emissions for 2050 analysis'!$C$3:$C$23)</f>
        <v>0.18333333333333335</v>
      </c>
      <c r="I4033" s="27">
        <f t="shared" si="186"/>
        <v>7.4053855333333354E-3</v>
      </c>
      <c r="J4033" s="129">
        <f t="shared" si="187"/>
        <v>0.72801666666666676</v>
      </c>
    </row>
    <row r="4034" spans="1:10" hidden="1" x14ac:dyDescent="0.35">
      <c r="A4034" s="126" t="s">
        <v>422</v>
      </c>
      <c r="B4034" t="str">
        <f>_xlfn.XLOOKUP(A4034,'[1]2050Pop'!$A$7:$A$143,'[1]2050Pop'!$D$7:$D$143)</f>
        <v>Euro/AU/NZ</v>
      </c>
      <c r="C4034" s="127">
        <f>1000*_xlfn.XLOOKUP(A4034,'[1]2050Pop'!$A$7:$A$143,'[1]2050Pop'!$C$7:$C$143)</f>
        <v>1593</v>
      </c>
      <c r="D4034" s="126" t="s">
        <v>533</v>
      </c>
      <c r="E4034" s="128">
        <v>55.279000000000003</v>
      </c>
      <c r="F4034" s="129">
        <f t="shared" si="188"/>
        <v>8.8059446999999999E-2</v>
      </c>
      <c r="G4034" t="str">
        <f>_xlfn.XLOOKUP(D4034,'[1]2050 BAU Mapping to T &amp; C'!$A$3:$A$52,'[1]2050 BAU Mapping to T &amp; C'!$B$3:$B$52)</f>
        <v xml:space="preserve">Oil crops </v>
      </c>
      <c r="H4034" s="129">
        <f>_xlfn.XLOOKUP(G4034,'[1]T&amp;C emissions for 2050 analysis'!$B$3:$B$23,'[1]T&amp;C emissions for 2050 analysis'!$C$3:$C$23)</f>
        <v>0.18333333333333335</v>
      </c>
      <c r="I4034" s="27">
        <f t="shared" si="186"/>
        <v>1.6144231950000001E-2</v>
      </c>
      <c r="J4034" s="129">
        <f t="shared" si="187"/>
        <v>10.134483333333336</v>
      </c>
    </row>
    <row r="4035" spans="1:10" hidden="1" x14ac:dyDescent="0.35">
      <c r="A4035" s="126" t="s">
        <v>423</v>
      </c>
      <c r="B4035" t="str">
        <f>_xlfn.XLOOKUP(A4035,'[1]2050Pop'!$A$7:$A$143,'[1]2050Pop'!$D$7:$D$143)</f>
        <v>MENA</v>
      </c>
      <c r="C4035" s="127">
        <f>1000*_xlfn.XLOOKUP(A4035,'[1]2050Pop'!$A$7:$A$143,'[1]2050Pop'!$C$7:$C$143)</f>
        <v>5610</v>
      </c>
      <c r="D4035" s="126" t="s">
        <v>533</v>
      </c>
      <c r="E4035" s="128">
        <v>136.15700000000001</v>
      </c>
      <c r="F4035" s="129">
        <f t="shared" si="188"/>
        <v>0.76384077000000006</v>
      </c>
      <c r="G4035" t="str">
        <f>_xlfn.XLOOKUP(D4035,'[1]2050 BAU Mapping to T &amp; C'!$A$3:$A$52,'[1]2050 BAU Mapping to T &amp; C'!$B$3:$B$52)</f>
        <v xml:space="preserve">Oil crops </v>
      </c>
      <c r="H4035" s="129">
        <f>_xlfn.XLOOKUP(G4035,'[1]T&amp;C emissions for 2050 analysis'!$B$3:$B$23,'[1]T&amp;C emissions for 2050 analysis'!$C$3:$C$23)</f>
        <v>0.18333333333333335</v>
      </c>
      <c r="I4035" s="27">
        <f t="shared" si="186"/>
        <v>0.14003747450000001</v>
      </c>
      <c r="J4035" s="129">
        <f t="shared" si="187"/>
        <v>24.96211666666667</v>
      </c>
    </row>
    <row r="4036" spans="1:10" hidden="1" x14ac:dyDescent="0.35">
      <c r="A4036" s="126" t="s">
        <v>425</v>
      </c>
      <c r="B4036" t="str">
        <f>_xlfn.XLOOKUP(A4036,'[1]2050Pop'!$A$7:$A$143,'[1]2050Pop'!$D$7:$D$143)</f>
        <v>SSA</v>
      </c>
      <c r="C4036" s="127">
        <f>1000*_xlfn.XLOOKUP(A4036,'[1]2050Pop'!$A$7:$A$143,'[1]2050Pop'!$C$7:$C$143)</f>
        <v>9436</v>
      </c>
      <c r="D4036" s="126" t="s">
        <v>533</v>
      </c>
      <c r="E4036" s="128">
        <v>8.282</v>
      </c>
      <c r="F4036" s="129">
        <f t="shared" si="188"/>
        <v>7.8148952000000008E-2</v>
      </c>
      <c r="G4036" t="str">
        <f>_xlfn.XLOOKUP(D4036,'[1]2050 BAU Mapping to T &amp; C'!$A$3:$A$52,'[1]2050 BAU Mapping to T &amp; C'!$B$3:$B$52)</f>
        <v xml:space="preserve">Oil crops </v>
      </c>
      <c r="H4036" s="129">
        <f>_xlfn.XLOOKUP(G4036,'[1]T&amp;C emissions for 2050 analysis'!$B$3:$B$23,'[1]T&amp;C emissions for 2050 analysis'!$C$3:$C$23)</f>
        <v>0.18333333333333335</v>
      </c>
      <c r="I4036" s="27">
        <f t="shared" ref="I4036:I4099" si="189">F4036*H4036</f>
        <v>1.432730786666667E-2</v>
      </c>
      <c r="J4036" s="129">
        <f t="shared" ref="J4036:J4099" si="190">E4036*H4036</f>
        <v>1.5183666666666669</v>
      </c>
    </row>
    <row r="4037" spans="1:10" hidden="1" x14ac:dyDescent="0.35">
      <c r="A4037" s="126" t="s">
        <v>426</v>
      </c>
      <c r="B4037" t="str">
        <f>_xlfn.XLOOKUP(A4037,'[1]2050Pop'!$A$7:$A$143,'[1]2050Pop'!$D$7:$D$143)</f>
        <v>Euro/AU/NZ</v>
      </c>
      <c r="C4037" s="127">
        <f>1000*_xlfn.XLOOKUP(A4037,'[1]2050Pop'!$A$7:$A$143,'[1]2050Pop'!$C$7:$C$143)</f>
        <v>2375</v>
      </c>
      <c r="D4037" s="126" t="s">
        <v>533</v>
      </c>
      <c r="E4037" s="128">
        <v>42.201000000000001</v>
      </c>
      <c r="F4037" s="129">
        <f t="shared" ref="F4037:F4100" si="191">C4037*E4037/1000000</f>
        <v>0.10022737499999999</v>
      </c>
      <c r="G4037" t="str">
        <f>_xlfn.XLOOKUP(D4037,'[1]2050 BAU Mapping to T &amp; C'!$A$3:$A$52,'[1]2050 BAU Mapping to T &amp; C'!$B$3:$B$52)</f>
        <v xml:space="preserve">Oil crops </v>
      </c>
      <c r="H4037" s="129">
        <f>_xlfn.XLOOKUP(G4037,'[1]T&amp;C emissions for 2050 analysis'!$B$3:$B$23,'[1]T&amp;C emissions for 2050 analysis'!$C$3:$C$23)</f>
        <v>0.18333333333333335</v>
      </c>
      <c r="I4037" s="27">
        <f t="shared" si="189"/>
        <v>1.837501875E-2</v>
      </c>
      <c r="J4037" s="129">
        <f t="shared" si="190"/>
        <v>7.7368500000000004</v>
      </c>
    </row>
    <row r="4038" spans="1:10" hidden="1" x14ac:dyDescent="0.35">
      <c r="A4038" s="126" t="s">
        <v>427</v>
      </c>
      <c r="B4038" t="str">
        <f>_xlfn.XLOOKUP(A4038,'[1]2050Pop'!$A$7:$A$143,'[1]2050Pop'!$D$7:$D$143)</f>
        <v>SSA</v>
      </c>
      <c r="C4038" s="127">
        <f>1000*_xlfn.XLOOKUP(A4038,'[1]2050Pop'!$A$7:$A$143,'[1]2050Pop'!$C$7:$C$143)</f>
        <v>55294</v>
      </c>
      <c r="D4038" s="126" t="s">
        <v>533</v>
      </c>
      <c r="E4038" s="128">
        <v>30.882999999999999</v>
      </c>
      <c r="F4038" s="129">
        <f t="shared" si="191"/>
        <v>1.707644602</v>
      </c>
      <c r="G4038" t="str">
        <f>_xlfn.XLOOKUP(D4038,'[1]2050 BAU Mapping to T &amp; C'!$A$3:$A$52,'[1]2050 BAU Mapping to T &amp; C'!$B$3:$B$52)</f>
        <v xml:space="preserve">Oil crops </v>
      </c>
      <c r="H4038" s="129">
        <f>_xlfn.XLOOKUP(G4038,'[1]T&amp;C emissions for 2050 analysis'!$B$3:$B$23,'[1]T&amp;C emissions for 2050 analysis'!$C$3:$C$23)</f>
        <v>0.18333333333333335</v>
      </c>
      <c r="I4038" s="27">
        <f t="shared" si="189"/>
        <v>0.31306817703333334</v>
      </c>
      <c r="J4038" s="129">
        <f t="shared" si="190"/>
        <v>5.6618833333333338</v>
      </c>
    </row>
    <row r="4039" spans="1:10" hidden="1" x14ac:dyDescent="0.35">
      <c r="A4039" s="126" t="s">
        <v>428</v>
      </c>
      <c r="B4039" t="str">
        <f>_xlfn.XLOOKUP(A4039,'[1]2050Pop'!$A$7:$A$143,'[1]2050Pop'!$D$7:$D$143)</f>
        <v>SSA</v>
      </c>
      <c r="C4039" s="127">
        <f>1000*_xlfn.XLOOKUP(A4039,'[1]2050Pop'!$A$7:$A$143,'[1]2050Pop'!$C$7:$C$143)</f>
        <v>43155</v>
      </c>
      <c r="D4039" s="126" t="s">
        <v>533</v>
      </c>
      <c r="E4039" s="128">
        <v>28.108000000000001</v>
      </c>
      <c r="F4039" s="129">
        <f t="shared" si="191"/>
        <v>1.21300074</v>
      </c>
      <c r="G4039" t="str">
        <f>_xlfn.XLOOKUP(D4039,'[1]2050 BAU Mapping to T &amp; C'!$A$3:$A$52,'[1]2050 BAU Mapping to T &amp; C'!$B$3:$B$52)</f>
        <v xml:space="preserve">Oil crops </v>
      </c>
      <c r="H4039" s="129">
        <f>_xlfn.XLOOKUP(G4039,'[1]T&amp;C emissions for 2050 analysis'!$B$3:$B$23,'[1]T&amp;C emissions for 2050 analysis'!$C$3:$C$23)</f>
        <v>0.18333333333333335</v>
      </c>
      <c r="I4039" s="27">
        <f t="shared" si="189"/>
        <v>0.22238346900000003</v>
      </c>
      <c r="J4039" s="129">
        <f t="shared" si="190"/>
        <v>5.1531333333333338</v>
      </c>
    </row>
    <row r="4040" spans="1:10" hidden="1" x14ac:dyDescent="0.35">
      <c r="A4040" s="126" t="s">
        <v>429</v>
      </c>
      <c r="B4040" t="str">
        <f>_xlfn.XLOOKUP(A4040,'[1]2050Pop'!$A$7:$A$143,'[1]2050Pop'!$D$7:$D$143)</f>
        <v>APAC</v>
      </c>
      <c r="C4040" s="127">
        <f>1000*_xlfn.XLOOKUP(A4040,'[1]2050Pop'!$A$7:$A$143,'[1]2050Pop'!$C$7:$C$143)</f>
        <v>40725</v>
      </c>
      <c r="D4040" s="126" t="s">
        <v>533</v>
      </c>
      <c r="E4040" s="128">
        <v>84.408000000000001</v>
      </c>
      <c r="F4040" s="129">
        <f t="shared" si="191"/>
        <v>3.4375158000000003</v>
      </c>
      <c r="G4040" t="str">
        <f>_xlfn.XLOOKUP(D4040,'[1]2050 BAU Mapping to T &amp; C'!$A$3:$A$52,'[1]2050 BAU Mapping to T &amp; C'!$B$3:$B$52)</f>
        <v xml:space="preserve">Oil crops </v>
      </c>
      <c r="H4040" s="129">
        <f>_xlfn.XLOOKUP(G4040,'[1]T&amp;C emissions for 2050 analysis'!$B$3:$B$23,'[1]T&amp;C emissions for 2050 analysis'!$C$3:$C$23)</f>
        <v>0.18333333333333335</v>
      </c>
      <c r="I4040" s="27">
        <f t="shared" si="189"/>
        <v>0.63021123000000012</v>
      </c>
      <c r="J4040" s="129">
        <f t="shared" si="190"/>
        <v>15.474800000000002</v>
      </c>
    </row>
    <row r="4041" spans="1:10" hidden="1" x14ac:dyDescent="0.35">
      <c r="A4041" s="126" t="s">
        <v>430</v>
      </c>
      <c r="B4041" t="str">
        <f>_xlfn.XLOOKUP(A4041,'[1]2050Pop'!$A$7:$A$143,'[1]2050Pop'!$D$7:$D$143)</f>
        <v>SSA</v>
      </c>
      <c r="C4041" s="127">
        <f>1000*_xlfn.XLOOKUP(A4041,'[1]2050Pop'!$A$7:$A$143,'[1]2050Pop'!$C$7:$C$143)</f>
        <v>45404</v>
      </c>
      <c r="D4041" s="126" t="s">
        <v>533</v>
      </c>
      <c r="E4041" s="128">
        <v>4.2450000000000001</v>
      </c>
      <c r="F4041" s="129">
        <f t="shared" si="191"/>
        <v>0.19273998000000001</v>
      </c>
      <c r="G4041" t="str">
        <f>_xlfn.XLOOKUP(D4041,'[1]2050 BAU Mapping to T &amp; C'!$A$3:$A$52,'[1]2050 BAU Mapping to T &amp; C'!$B$3:$B$52)</f>
        <v xml:space="preserve">Oil crops </v>
      </c>
      <c r="H4041" s="129">
        <f>_xlfn.XLOOKUP(G4041,'[1]T&amp;C emissions for 2050 analysis'!$B$3:$B$23,'[1]T&amp;C emissions for 2050 analysis'!$C$3:$C$23)</f>
        <v>0.18333333333333335</v>
      </c>
      <c r="I4041" s="27">
        <f t="shared" si="189"/>
        <v>3.5335663000000003E-2</v>
      </c>
      <c r="J4041" s="129">
        <f t="shared" si="190"/>
        <v>0.77825000000000011</v>
      </c>
    </row>
    <row r="4042" spans="1:10" hidden="1" x14ac:dyDescent="0.35">
      <c r="A4042" s="126" t="s">
        <v>431</v>
      </c>
      <c r="B4042" t="str">
        <f>_xlfn.XLOOKUP(A4042,'[1]2050Pop'!$A$7:$A$143,'[1]2050Pop'!$D$7:$D$143)</f>
        <v>SSA</v>
      </c>
      <c r="C4042" s="127">
        <f>1000*_xlfn.XLOOKUP(A4042,'[1]2050Pop'!$A$7:$A$143,'[1]2050Pop'!$C$7:$C$143)</f>
        <v>8048.9999999999991</v>
      </c>
      <c r="D4042" s="126" t="s">
        <v>533</v>
      </c>
      <c r="E4042" s="128">
        <v>217.59399999999999</v>
      </c>
      <c r="F4042" s="129">
        <f t="shared" si="191"/>
        <v>1.7514141059999997</v>
      </c>
      <c r="G4042" t="str">
        <f>_xlfn.XLOOKUP(D4042,'[1]2050 BAU Mapping to T &amp; C'!$A$3:$A$52,'[1]2050 BAU Mapping to T &amp; C'!$B$3:$B$52)</f>
        <v xml:space="preserve">Oil crops </v>
      </c>
      <c r="H4042" s="129">
        <f>_xlfn.XLOOKUP(G4042,'[1]T&amp;C emissions for 2050 analysis'!$B$3:$B$23,'[1]T&amp;C emissions for 2050 analysis'!$C$3:$C$23)</f>
        <v>0.18333333333333335</v>
      </c>
      <c r="I4042" s="27">
        <f t="shared" si="189"/>
        <v>0.32109258609999997</v>
      </c>
      <c r="J4042" s="129">
        <f t="shared" si="190"/>
        <v>39.892233333333337</v>
      </c>
    </row>
    <row r="4043" spans="1:10" hidden="1" x14ac:dyDescent="0.35">
      <c r="A4043" s="126" t="s">
        <v>432</v>
      </c>
      <c r="B4043" t="str">
        <f>_xlfn.XLOOKUP(A4043,'[1]2050Pop'!$A$7:$A$143,'[1]2050Pop'!$D$7:$D$143)</f>
        <v>SSA</v>
      </c>
      <c r="C4043" s="127">
        <f>1000*_xlfn.XLOOKUP(A4043,'[1]2050Pop'!$A$7:$A$143,'[1]2050Pop'!$C$7:$C$143)</f>
        <v>1249</v>
      </c>
      <c r="D4043" s="126" t="s">
        <v>533</v>
      </c>
      <c r="E4043" s="128">
        <v>300.12799999999999</v>
      </c>
      <c r="F4043" s="129">
        <f t="shared" si="191"/>
        <v>0.37485987199999998</v>
      </c>
      <c r="G4043" t="str">
        <f>_xlfn.XLOOKUP(D4043,'[1]2050 BAU Mapping to T &amp; C'!$A$3:$A$52,'[1]2050 BAU Mapping to T &amp; C'!$B$3:$B$52)</f>
        <v xml:space="preserve">Oil crops </v>
      </c>
      <c r="H4043" s="129">
        <f>_xlfn.XLOOKUP(G4043,'[1]T&amp;C emissions for 2050 analysis'!$B$3:$B$23,'[1]T&amp;C emissions for 2050 analysis'!$C$3:$C$23)</f>
        <v>0.18333333333333335</v>
      </c>
      <c r="I4043" s="27">
        <f t="shared" si="189"/>
        <v>6.8724309866666666E-2</v>
      </c>
      <c r="J4043" s="129">
        <f t="shared" si="190"/>
        <v>55.023466666666671</v>
      </c>
    </row>
    <row r="4044" spans="1:10" hidden="1" x14ac:dyDescent="0.35">
      <c r="A4044" s="126" t="s">
        <v>433</v>
      </c>
      <c r="B4044" t="str">
        <f>_xlfn.XLOOKUP(A4044,'[1]2050Pop'!$A$7:$A$143,'[1]2050Pop'!$D$7:$D$143)</f>
        <v>LatAm &amp; RSA</v>
      </c>
      <c r="C4044" s="127">
        <f>1000*_xlfn.XLOOKUP(A4044,'[1]2050Pop'!$A$7:$A$143,'[1]2050Pop'!$C$7:$C$143)</f>
        <v>163754</v>
      </c>
      <c r="D4044" s="126" t="s">
        <v>533</v>
      </c>
      <c r="E4044" s="128">
        <v>136.65199999999999</v>
      </c>
      <c r="F4044" s="129">
        <f t="shared" si="191"/>
        <v>22.377311607999999</v>
      </c>
      <c r="G4044" t="str">
        <f>_xlfn.XLOOKUP(D4044,'[1]2050 BAU Mapping to T &amp; C'!$A$3:$A$52,'[1]2050 BAU Mapping to T &amp; C'!$B$3:$B$52)</f>
        <v xml:space="preserve">Oil crops </v>
      </c>
      <c r="H4044" s="129">
        <f>_xlfn.XLOOKUP(G4044,'[1]T&amp;C emissions for 2050 analysis'!$B$3:$B$23,'[1]T&amp;C emissions for 2050 analysis'!$C$3:$C$23)</f>
        <v>0.18333333333333335</v>
      </c>
      <c r="I4044" s="27">
        <f t="shared" si="189"/>
        <v>4.1025071281333334</v>
      </c>
      <c r="J4044" s="129">
        <f t="shared" si="190"/>
        <v>25.052866666666667</v>
      </c>
    </row>
    <row r="4045" spans="1:10" hidden="1" x14ac:dyDescent="0.35">
      <c r="A4045" s="126" t="s">
        <v>434</v>
      </c>
      <c r="B4045" t="str">
        <f>_xlfn.XLOOKUP(A4045,'[1]2050Pop'!$A$7:$A$143,'[1]2050Pop'!$D$7:$D$143)</f>
        <v>APAC</v>
      </c>
      <c r="C4045" s="127">
        <f>1000*_xlfn.XLOOKUP(A4045,'[1]2050Pop'!$A$7:$A$143,'[1]2050Pop'!$C$7:$C$143)</f>
        <v>4027.9999999999995</v>
      </c>
      <c r="D4045" s="126" t="s">
        <v>533</v>
      </c>
      <c r="E4045" s="128">
        <v>54.280999999999999</v>
      </c>
      <c r="F4045" s="129">
        <f t="shared" si="191"/>
        <v>0.21864386799999996</v>
      </c>
      <c r="G4045" t="str">
        <f>_xlfn.XLOOKUP(D4045,'[1]2050 BAU Mapping to T &amp; C'!$A$3:$A$52,'[1]2050 BAU Mapping to T &amp; C'!$B$3:$B$52)</f>
        <v xml:space="preserve">Oil crops </v>
      </c>
      <c r="H4045" s="129">
        <f>_xlfn.XLOOKUP(G4045,'[1]T&amp;C emissions for 2050 analysis'!$B$3:$B$23,'[1]T&amp;C emissions for 2050 analysis'!$C$3:$C$23)</f>
        <v>0.18333333333333335</v>
      </c>
      <c r="I4045" s="27">
        <f t="shared" si="189"/>
        <v>4.0084709133333327E-2</v>
      </c>
      <c r="J4045" s="129">
        <f t="shared" si="190"/>
        <v>9.9515166666666666</v>
      </c>
    </row>
    <row r="4046" spans="1:10" hidden="1" x14ac:dyDescent="0.35">
      <c r="A4046" s="126" t="s">
        <v>435</v>
      </c>
      <c r="B4046" t="str">
        <f>_xlfn.XLOOKUP(A4046,'[1]2050Pop'!$A$7:$A$143,'[1]2050Pop'!$D$7:$D$143)</f>
        <v>MENA</v>
      </c>
      <c r="C4046" s="127">
        <f>1000*_xlfn.XLOOKUP(A4046,'[1]2050Pop'!$A$7:$A$143,'[1]2050Pop'!$C$7:$C$143)</f>
        <v>43696</v>
      </c>
      <c r="D4046" s="126" t="s">
        <v>533</v>
      </c>
      <c r="E4046" s="128">
        <v>140.87700000000001</v>
      </c>
      <c r="F4046" s="129">
        <f t="shared" si="191"/>
        <v>6.1557613919999996</v>
      </c>
      <c r="G4046" t="str">
        <f>_xlfn.XLOOKUP(D4046,'[1]2050 BAU Mapping to T &amp; C'!$A$3:$A$52,'[1]2050 BAU Mapping to T &amp; C'!$B$3:$B$52)</f>
        <v xml:space="preserve">Oil crops </v>
      </c>
      <c r="H4046" s="129">
        <f>_xlfn.XLOOKUP(G4046,'[1]T&amp;C emissions for 2050 analysis'!$B$3:$B$23,'[1]T&amp;C emissions for 2050 analysis'!$C$3:$C$23)</f>
        <v>0.18333333333333335</v>
      </c>
      <c r="I4046" s="27">
        <f t="shared" si="189"/>
        <v>1.1285562551999999</v>
      </c>
      <c r="J4046" s="129">
        <f t="shared" si="190"/>
        <v>25.827450000000002</v>
      </c>
    </row>
    <row r="4047" spans="1:10" hidden="1" x14ac:dyDescent="0.35">
      <c r="A4047" s="126" t="s">
        <v>436</v>
      </c>
      <c r="B4047" t="str">
        <f>_xlfn.XLOOKUP(A4047,'[1]2050Pop'!$A$7:$A$143,'[1]2050Pop'!$D$7:$D$143)</f>
        <v>SSA</v>
      </c>
      <c r="C4047" s="127">
        <f>1000*_xlfn.XLOOKUP(A4047,'[1]2050Pop'!$A$7:$A$143,'[1]2050Pop'!$C$7:$C$143)</f>
        <v>65544</v>
      </c>
      <c r="D4047" s="126" t="s">
        <v>533</v>
      </c>
      <c r="E4047" s="128">
        <v>39.555999999999997</v>
      </c>
      <c r="F4047" s="129">
        <f t="shared" si="191"/>
        <v>2.5926584639999999</v>
      </c>
      <c r="G4047" t="str">
        <f>_xlfn.XLOOKUP(D4047,'[1]2050 BAU Mapping to T &amp; C'!$A$3:$A$52,'[1]2050 BAU Mapping to T &amp; C'!$B$3:$B$52)</f>
        <v xml:space="preserve">Oil crops </v>
      </c>
      <c r="H4047" s="129">
        <f>_xlfn.XLOOKUP(G4047,'[1]T&amp;C emissions for 2050 analysis'!$B$3:$B$23,'[1]T&amp;C emissions for 2050 analysis'!$C$3:$C$23)</f>
        <v>0.18333333333333335</v>
      </c>
      <c r="I4047" s="27">
        <f t="shared" si="189"/>
        <v>0.47532071840000001</v>
      </c>
      <c r="J4047" s="129">
        <f t="shared" si="190"/>
        <v>7.2519333333333336</v>
      </c>
    </row>
    <row r="4048" spans="1:10" hidden="1" x14ac:dyDescent="0.35">
      <c r="A4048" s="126" t="s">
        <v>490</v>
      </c>
      <c r="B4048" t="str">
        <f>_xlfn.XLOOKUP(A4048,'[1]2050Pop'!$A$7:$A$143,'[1]2050Pop'!$D$7:$D$143)</f>
        <v>APAC</v>
      </c>
      <c r="C4048" s="127">
        <f>1000*_xlfn.XLOOKUP(A4048,'[1]2050Pop'!$A$7:$A$143,'[1]2050Pop'!$C$7:$C$143)</f>
        <v>63575</v>
      </c>
      <c r="D4048" s="126" t="s">
        <v>533</v>
      </c>
      <c r="E4048" s="128">
        <v>19.042000000000002</v>
      </c>
      <c r="F4048" s="129">
        <f t="shared" si="191"/>
        <v>1.2105951500000001</v>
      </c>
      <c r="G4048" t="str">
        <f>_xlfn.XLOOKUP(D4048,'[1]2050 BAU Mapping to T &amp; C'!$A$3:$A$52,'[1]2050 BAU Mapping to T &amp; C'!$B$3:$B$52)</f>
        <v xml:space="preserve">Oil crops </v>
      </c>
      <c r="H4048" s="129">
        <f>_xlfn.XLOOKUP(G4048,'[1]T&amp;C emissions for 2050 analysis'!$B$3:$B$23,'[1]T&amp;C emissions for 2050 analysis'!$C$3:$C$23)</f>
        <v>0.18333333333333335</v>
      </c>
      <c r="I4048" s="27">
        <f t="shared" si="189"/>
        <v>0.2219424441666667</v>
      </c>
      <c r="J4048" s="129">
        <f t="shared" si="190"/>
        <v>3.4910333333333341</v>
      </c>
    </row>
    <row r="4049" spans="1:10" hidden="1" x14ac:dyDescent="0.35">
      <c r="A4049" s="126" t="s">
        <v>437</v>
      </c>
      <c r="B4049" t="str">
        <f>_xlfn.XLOOKUP(A4049,'[1]2050Pop'!$A$7:$A$143,'[1]2050Pop'!$D$7:$D$143)</f>
        <v>SSA</v>
      </c>
      <c r="C4049" s="127">
        <f>1000*_xlfn.XLOOKUP(A4049,'[1]2050Pop'!$A$7:$A$143,'[1]2050Pop'!$C$7:$C$143)</f>
        <v>4322</v>
      </c>
      <c r="D4049" s="126" t="s">
        <v>533</v>
      </c>
      <c r="E4049" s="128">
        <v>1.1919999999999999</v>
      </c>
      <c r="F4049" s="129">
        <f t="shared" si="191"/>
        <v>5.1518239999999993E-3</v>
      </c>
      <c r="G4049" t="str">
        <f>_xlfn.XLOOKUP(D4049,'[1]2050 BAU Mapping to T &amp; C'!$A$3:$A$52,'[1]2050 BAU Mapping to T &amp; C'!$B$3:$B$52)</f>
        <v xml:space="preserve">Oil crops </v>
      </c>
      <c r="H4049" s="129">
        <f>_xlfn.XLOOKUP(G4049,'[1]T&amp;C emissions for 2050 analysis'!$B$3:$B$23,'[1]T&amp;C emissions for 2050 analysis'!$C$3:$C$23)</f>
        <v>0.18333333333333335</v>
      </c>
      <c r="I4049" s="27">
        <f t="shared" si="189"/>
        <v>9.4450106666666659E-4</v>
      </c>
      <c r="J4049" s="129">
        <f t="shared" si="190"/>
        <v>0.21853333333333333</v>
      </c>
    </row>
    <row r="4050" spans="1:10" hidden="1" x14ac:dyDescent="0.35">
      <c r="A4050" s="126" t="s">
        <v>438</v>
      </c>
      <c r="B4050" t="str">
        <f>_xlfn.XLOOKUP(A4050,'[1]2050Pop'!$A$7:$A$143,'[1]2050Pop'!$D$7:$D$143)</f>
        <v>India/South Asia</v>
      </c>
      <c r="C4050" s="127">
        <f>1000*_xlfn.XLOOKUP(A4050,'[1]2050Pop'!$A$7:$A$143,'[1]2050Pop'!$C$7:$C$143)</f>
        <v>36159</v>
      </c>
      <c r="D4050" s="126" t="s">
        <v>533</v>
      </c>
      <c r="E4050" s="128">
        <v>109.143</v>
      </c>
      <c r="F4050" s="129">
        <f t="shared" si="191"/>
        <v>3.9465017370000002</v>
      </c>
      <c r="G4050" t="str">
        <f>_xlfn.XLOOKUP(D4050,'[1]2050 BAU Mapping to T &amp; C'!$A$3:$A$52,'[1]2050 BAU Mapping to T &amp; C'!$B$3:$B$52)</f>
        <v xml:space="preserve">Oil crops </v>
      </c>
      <c r="H4050" s="129">
        <f>_xlfn.XLOOKUP(G4050,'[1]T&amp;C emissions for 2050 analysis'!$B$3:$B$23,'[1]T&amp;C emissions for 2050 analysis'!$C$3:$C$23)</f>
        <v>0.18333333333333335</v>
      </c>
      <c r="I4050" s="27">
        <f t="shared" si="189"/>
        <v>0.72352531845000012</v>
      </c>
      <c r="J4050" s="129">
        <f t="shared" si="190"/>
        <v>20.009550000000001</v>
      </c>
    </row>
    <row r="4051" spans="1:10" hidden="1" x14ac:dyDescent="0.35">
      <c r="A4051" s="126" t="s">
        <v>439</v>
      </c>
      <c r="B4051" t="str">
        <f>_xlfn.XLOOKUP(A4051,'[1]2050Pop'!$A$7:$A$143,'[1]2050Pop'!$D$7:$D$143)</f>
        <v>Euro/AU/NZ</v>
      </c>
      <c r="C4051" s="127">
        <f>1000*_xlfn.XLOOKUP(A4051,'[1]2050Pop'!$A$7:$A$143,'[1]2050Pop'!$C$7:$C$143)</f>
        <v>17602</v>
      </c>
      <c r="D4051" s="126" t="s">
        <v>533</v>
      </c>
      <c r="E4051" s="128">
        <v>138.107</v>
      </c>
      <c r="F4051" s="129">
        <f t="shared" si="191"/>
        <v>2.4309594139999997</v>
      </c>
      <c r="G4051" t="str">
        <f>_xlfn.XLOOKUP(D4051,'[1]2050 BAU Mapping to T &amp; C'!$A$3:$A$52,'[1]2050 BAU Mapping to T &amp; C'!$B$3:$B$52)</f>
        <v xml:space="preserve">Oil crops </v>
      </c>
      <c r="H4051" s="129">
        <f>_xlfn.XLOOKUP(G4051,'[1]T&amp;C emissions for 2050 analysis'!$B$3:$B$23,'[1]T&amp;C emissions for 2050 analysis'!$C$3:$C$23)</f>
        <v>0.18333333333333335</v>
      </c>
      <c r="I4051" s="27">
        <f t="shared" si="189"/>
        <v>0.44567589256666668</v>
      </c>
      <c r="J4051" s="129">
        <f t="shared" si="190"/>
        <v>25.319616666666668</v>
      </c>
    </row>
    <row r="4052" spans="1:10" hidden="1" x14ac:dyDescent="0.35">
      <c r="A4052" s="126" t="s">
        <v>440</v>
      </c>
      <c r="B4052" t="str">
        <f>_xlfn.XLOOKUP(A4052,'[1]2050Pop'!$A$7:$A$143,'[1]2050Pop'!$D$7:$D$143)</f>
        <v>Euro/AU/NZ</v>
      </c>
      <c r="C4052" s="127">
        <f>1000*_xlfn.XLOOKUP(A4052,'[1]2050Pop'!$A$7:$A$143,'[1]2050Pop'!$C$7:$C$143)</f>
        <v>5607</v>
      </c>
      <c r="D4052" s="126" t="s">
        <v>533</v>
      </c>
      <c r="E4052" s="128">
        <v>58.984999999999999</v>
      </c>
      <c r="F4052" s="129">
        <f t="shared" si="191"/>
        <v>0.33072889500000002</v>
      </c>
      <c r="G4052" t="str">
        <f>_xlfn.XLOOKUP(D4052,'[1]2050 BAU Mapping to T &amp; C'!$A$3:$A$52,'[1]2050 BAU Mapping to T &amp; C'!$B$3:$B$52)</f>
        <v xml:space="preserve">Oil crops </v>
      </c>
      <c r="H4052" s="129">
        <f>_xlfn.XLOOKUP(G4052,'[1]T&amp;C emissions for 2050 analysis'!$B$3:$B$23,'[1]T&amp;C emissions for 2050 analysis'!$C$3:$C$23)</f>
        <v>0.18333333333333335</v>
      </c>
      <c r="I4052" s="27">
        <f t="shared" si="189"/>
        <v>6.0633630750000007E-2</v>
      </c>
      <c r="J4052" s="129">
        <f t="shared" si="190"/>
        <v>10.813916666666668</v>
      </c>
    </row>
    <row r="4053" spans="1:10" hidden="1" x14ac:dyDescent="0.35">
      <c r="A4053" s="126" t="s">
        <v>441</v>
      </c>
      <c r="B4053" t="str">
        <f>_xlfn.XLOOKUP(A4053,'[1]2050Pop'!$A$7:$A$143,'[1]2050Pop'!$D$7:$D$143)</f>
        <v>LatAm &amp; RSA</v>
      </c>
      <c r="C4053" s="127">
        <f>1000*_xlfn.XLOOKUP(A4053,'[1]2050Pop'!$A$7:$A$143,'[1]2050Pop'!$C$7:$C$143)</f>
        <v>7863</v>
      </c>
      <c r="D4053" s="126" t="s">
        <v>533</v>
      </c>
      <c r="E4053" s="128">
        <v>129.85900000000001</v>
      </c>
      <c r="F4053" s="129">
        <f t="shared" si="191"/>
        <v>1.0210813169999999</v>
      </c>
      <c r="G4053" t="str">
        <f>_xlfn.XLOOKUP(D4053,'[1]2050 BAU Mapping to T &amp; C'!$A$3:$A$52,'[1]2050 BAU Mapping to T &amp; C'!$B$3:$B$52)</f>
        <v xml:space="preserve">Oil crops </v>
      </c>
      <c r="H4053" s="129">
        <f>_xlfn.XLOOKUP(G4053,'[1]T&amp;C emissions for 2050 analysis'!$B$3:$B$23,'[1]T&amp;C emissions for 2050 analysis'!$C$3:$C$23)</f>
        <v>0.18333333333333335</v>
      </c>
      <c r="I4053" s="27">
        <f t="shared" si="189"/>
        <v>0.18719824145</v>
      </c>
      <c r="J4053" s="129">
        <f t="shared" si="190"/>
        <v>23.807483333333337</v>
      </c>
    </row>
    <row r="4054" spans="1:10" hidden="1" x14ac:dyDescent="0.35">
      <c r="A4054" s="126" t="s">
        <v>482</v>
      </c>
      <c r="B4054" t="str">
        <f>_xlfn.XLOOKUP(A4054,'[1]2050Pop'!$A$7:$A$143,'[1]2050Pop'!$D$7:$D$143)</f>
        <v>SSA</v>
      </c>
      <c r="C4054" s="127">
        <f>1000*_xlfn.XLOOKUP(A4054,'[1]2050Pop'!$A$7:$A$143,'[1]2050Pop'!$C$7:$C$143)</f>
        <v>72238</v>
      </c>
      <c r="D4054" s="126" t="s">
        <v>533</v>
      </c>
      <c r="E4054" s="130">
        <v>1.46</v>
      </c>
      <c r="F4054" s="129">
        <f t="shared" si="191"/>
        <v>0.10546748</v>
      </c>
      <c r="G4054" t="str">
        <f>_xlfn.XLOOKUP(D4054,'[1]2050 BAU Mapping to T &amp; C'!$A$3:$A$52,'[1]2050 BAU Mapping to T &amp; C'!$B$3:$B$52)</f>
        <v xml:space="preserve">Oil crops </v>
      </c>
      <c r="H4054" s="129">
        <f>_xlfn.XLOOKUP(G4054,'[1]T&amp;C emissions for 2050 analysis'!$B$3:$B$23,'[1]T&amp;C emissions for 2050 analysis'!$C$3:$C$23)</f>
        <v>0.18333333333333335</v>
      </c>
      <c r="I4054" s="27">
        <f t="shared" si="189"/>
        <v>1.9335704666666668E-2</v>
      </c>
      <c r="J4054" s="129">
        <f t="shared" si="190"/>
        <v>0.26766666666666666</v>
      </c>
    </row>
    <row r="4055" spans="1:10" hidden="1" x14ac:dyDescent="0.35">
      <c r="A4055" s="126" t="s">
        <v>491</v>
      </c>
      <c r="B4055" t="str">
        <f>_xlfn.XLOOKUP(A4055,'[1]2050Pop'!$A$7:$A$143,'[1]2050Pop'!$D$7:$D$143)</f>
        <v>SSA</v>
      </c>
      <c r="C4055" s="127">
        <f>1000*_xlfn.XLOOKUP(A4055,'[1]2050Pop'!$A$7:$A$143,'[1]2050Pop'!$C$7:$C$143)</f>
        <v>398508</v>
      </c>
      <c r="D4055" s="126" t="s">
        <v>533</v>
      </c>
      <c r="E4055" s="128">
        <v>1.367</v>
      </c>
      <c r="F4055" s="129">
        <f t="shared" si="191"/>
        <v>0.54476043600000001</v>
      </c>
      <c r="G4055" t="str">
        <f>_xlfn.XLOOKUP(D4055,'[1]2050 BAU Mapping to T &amp; C'!$A$3:$A$52,'[1]2050 BAU Mapping to T &amp; C'!$B$3:$B$52)</f>
        <v xml:space="preserve">Oil crops </v>
      </c>
      <c r="H4055" s="129">
        <f>_xlfn.XLOOKUP(G4055,'[1]T&amp;C emissions for 2050 analysis'!$B$3:$B$23,'[1]T&amp;C emissions for 2050 analysis'!$C$3:$C$23)</f>
        <v>0.18333333333333335</v>
      </c>
      <c r="I4055" s="27">
        <f t="shared" si="189"/>
        <v>9.9872746600000006E-2</v>
      </c>
      <c r="J4055" s="129">
        <f t="shared" si="190"/>
        <v>0.25061666666666671</v>
      </c>
    </row>
    <row r="4056" spans="1:10" hidden="1" x14ac:dyDescent="0.35">
      <c r="A4056" s="126" t="s">
        <v>442</v>
      </c>
      <c r="B4056" t="str">
        <f>_xlfn.XLOOKUP(A4056,'[1]2050Pop'!$A$7:$A$143,'[1]2050Pop'!$D$7:$D$143)</f>
        <v>Euro/AU/NZ</v>
      </c>
      <c r="C4056" s="127">
        <f>1000*_xlfn.XLOOKUP(A4056,'[1]2050Pop'!$A$7:$A$143,'[1]2050Pop'!$C$7:$C$143)</f>
        <v>6658</v>
      </c>
      <c r="D4056" s="126" t="s">
        <v>533</v>
      </c>
      <c r="E4056" s="128">
        <v>137.404</v>
      </c>
      <c r="F4056" s="129">
        <f t="shared" si="191"/>
        <v>0.91483583199999996</v>
      </c>
      <c r="G4056" t="str">
        <f>_xlfn.XLOOKUP(D4056,'[1]2050 BAU Mapping to T &amp; C'!$A$3:$A$52,'[1]2050 BAU Mapping to T &amp; C'!$B$3:$B$52)</f>
        <v xml:space="preserve">Oil crops </v>
      </c>
      <c r="H4056" s="129">
        <f>_xlfn.XLOOKUP(G4056,'[1]T&amp;C emissions for 2050 analysis'!$B$3:$B$23,'[1]T&amp;C emissions for 2050 analysis'!$C$3:$C$23)</f>
        <v>0.18333333333333335</v>
      </c>
      <c r="I4056" s="27">
        <f t="shared" si="189"/>
        <v>0.16771990253333333</v>
      </c>
      <c r="J4056" s="129">
        <f t="shared" si="190"/>
        <v>25.190733333333334</v>
      </c>
    </row>
    <row r="4057" spans="1:10" hidden="1" x14ac:dyDescent="0.35">
      <c r="A4057" s="126" t="s">
        <v>443</v>
      </c>
      <c r="B4057" t="str">
        <f>_xlfn.XLOOKUP(A4057,'[1]2050Pop'!$A$7:$A$143,'[1]2050Pop'!$D$7:$D$143)</f>
        <v>India/South Asia</v>
      </c>
      <c r="C4057" s="127">
        <f>1000*_xlfn.XLOOKUP(A4057,'[1]2050Pop'!$A$7:$A$143,'[1]2050Pop'!$C$7:$C$143)</f>
        <v>309640</v>
      </c>
      <c r="D4057" s="126" t="s">
        <v>533</v>
      </c>
      <c r="E4057" s="128">
        <v>6.7690000000000001</v>
      </c>
      <c r="F4057" s="129">
        <f t="shared" si="191"/>
        <v>2.0959531600000001</v>
      </c>
      <c r="G4057" t="str">
        <f>_xlfn.XLOOKUP(D4057,'[1]2050 BAU Mapping to T &amp; C'!$A$3:$A$52,'[1]2050 BAU Mapping to T &amp; C'!$B$3:$B$52)</f>
        <v xml:space="preserve">Oil crops </v>
      </c>
      <c r="H4057" s="129">
        <f>_xlfn.XLOOKUP(G4057,'[1]T&amp;C emissions for 2050 analysis'!$B$3:$B$23,'[1]T&amp;C emissions for 2050 analysis'!$C$3:$C$23)</f>
        <v>0.18333333333333335</v>
      </c>
      <c r="I4057" s="27">
        <f t="shared" si="189"/>
        <v>0.38425807933333339</v>
      </c>
      <c r="J4057" s="129">
        <f t="shared" si="190"/>
        <v>1.2409833333333335</v>
      </c>
    </row>
    <row r="4058" spans="1:10" hidden="1" x14ac:dyDescent="0.35">
      <c r="A4058" s="126" t="s">
        <v>444</v>
      </c>
      <c r="B4058" t="str">
        <f>_xlfn.XLOOKUP(A4058,'[1]2050Pop'!$A$7:$A$143,'[1]2050Pop'!$D$7:$D$143)</f>
        <v>LatAm &amp; RSA</v>
      </c>
      <c r="C4058" s="127">
        <f>1000*_xlfn.XLOOKUP(A4058,'[1]2050Pop'!$A$7:$A$143,'[1]2050Pop'!$C$7:$C$143)</f>
        <v>5599</v>
      </c>
      <c r="D4058" s="126" t="s">
        <v>533</v>
      </c>
      <c r="E4058" s="128">
        <v>202.87100000000001</v>
      </c>
      <c r="F4058" s="129">
        <f t="shared" si="191"/>
        <v>1.135874729</v>
      </c>
      <c r="G4058" t="str">
        <f>_xlfn.XLOOKUP(D4058,'[1]2050 BAU Mapping to T &amp; C'!$A$3:$A$52,'[1]2050 BAU Mapping to T &amp; C'!$B$3:$B$52)</f>
        <v xml:space="preserve">Oil crops </v>
      </c>
      <c r="H4058" s="129">
        <f>_xlfn.XLOOKUP(G4058,'[1]T&amp;C emissions for 2050 analysis'!$B$3:$B$23,'[1]T&amp;C emissions for 2050 analysis'!$C$3:$C$23)</f>
        <v>0.18333333333333335</v>
      </c>
      <c r="I4058" s="27">
        <f t="shared" si="189"/>
        <v>0.20824370031666667</v>
      </c>
      <c r="J4058" s="129">
        <f t="shared" si="190"/>
        <v>37.193016666666672</v>
      </c>
    </row>
    <row r="4059" spans="1:10" hidden="1" x14ac:dyDescent="0.35">
      <c r="A4059" s="126" t="s">
        <v>445</v>
      </c>
      <c r="B4059" t="str">
        <f>_xlfn.XLOOKUP(A4059,'[1]2050Pop'!$A$7:$A$143,'[1]2050Pop'!$D$7:$D$143)</f>
        <v>LatAm &amp; RSA</v>
      </c>
      <c r="C4059" s="127">
        <f>1000*_xlfn.XLOOKUP(A4059,'[1]2050Pop'!$A$7:$A$143,'[1]2050Pop'!$C$7:$C$143)</f>
        <v>8895</v>
      </c>
      <c r="D4059" s="126" t="s">
        <v>533</v>
      </c>
      <c r="E4059" s="130">
        <v>259.52999999999997</v>
      </c>
      <c r="F4059" s="129">
        <f t="shared" si="191"/>
        <v>2.3085193499999996</v>
      </c>
      <c r="G4059" t="str">
        <f>_xlfn.XLOOKUP(D4059,'[1]2050 BAU Mapping to T &amp; C'!$A$3:$A$52,'[1]2050 BAU Mapping to T &amp; C'!$B$3:$B$52)</f>
        <v xml:space="preserve">Oil crops </v>
      </c>
      <c r="H4059" s="129">
        <f>_xlfn.XLOOKUP(G4059,'[1]T&amp;C emissions for 2050 analysis'!$B$3:$B$23,'[1]T&amp;C emissions for 2050 analysis'!$C$3:$C$23)</f>
        <v>0.18333333333333335</v>
      </c>
      <c r="I4059" s="27">
        <f t="shared" si="189"/>
        <v>0.42322854749999994</v>
      </c>
      <c r="J4059" s="129">
        <f t="shared" si="190"/>
        <v>47.580500000000001</v>
      </c>
    </row>
    <row r="4060" spans="1:10" hidden="1" x14ac:dyDescent="0.35">
      <c r="A4060" s="126" t="s">
        <v>446</v>
      </c>
      <c r="B4060" t="str">
        <f>_xlfn.XLOOKUP(A4060,'[1]2050Pop'!$A$7:$A$143,'[1]2050Pop'!$D$7:$D$143)</f>
        <v>LatAm &amp; RSA</v>
      </c>
      <c r="C4060" s="127">
        <f>1000*_xlfn.XLOOKUP(A4060,'[1]2050Pop'!$A$7:$A$143,'[1]2050Pop'!$C$7:$C$143)</f>
        <v>41899</v>
      </c>
      <c r="D4060" s="126" t="s">
        <v>533</v>
      </c>
      <c r="E4060" s="128">
        <v>107.071</v>
      </c>
      <c r="F4060" s="129">
        <f t="shared" si="191"/>
        <v>4.4861678290000002</v>
      </c>
      <c r="G4060" t="str">
        <f>_xlfn.XLOOKUP(D4060,'[1]2050 BAU Mapping to T &amp; C'!$A$3:$A$52,'[1]2050 BAU Mapping to T &amp; C'!$B$3:$B$52)</f>
        <v xml:space="preserve">Oil crops </v>
      </c>
      <c r="H4060" s="129">
        <f>_xlfn.XLOOKUP(G4060,'[1]T&amp;C emissions for 2050 analysis'!$B$3:$B$23,'[1]T&amp;C emissions for 2050 analysis'!$C$3:$C$23)</f>
        <v>0.18333333333333335</v>
      </c>
      <c r="I4060" s="27">
        <f t="shared" si="189"/>
        <v>0.82246410198333342</v>
      </c>
      <c r="J4060" s="129">
        <f t="shared" si="190"/>
        <v>19.629683333333336</v>
      </c>
    </row>
    <row r="4061" spans="1:10" hidden="1" x14ac:dyDescent="0.35">
      <c r="A4061" s="126" t="s">
        <v>447</v>
      </c>
      <c r="B4061" t="str">
        <f>_xlfn.XLOOKUP(A4061,'[1]2050Pop'!$A$7:$A$143,'[1]2050Pop'!$D$7:$D$143)</f>
        <v>APAC</v>
      </c>
      <c r="C4061" s="127">
        <f>1000*_xlfn.XLOOKUP(A4061,'[1]2050Pop'!$A$7:$A$143,'[1]2050Pop'!$C$7:$C$143)</f>
        <v>148260</v>
      </c>
      <c r="D4061" s="126" t="s">
        <v>533</v>
      </c>
      <c r="E4061" s="128">
        <v>8.9510000000000005</v>
      </c>
      <c r="F4061" s="129">
        <f t="shared" si="191"/>
        <v>1.32707526</v>
      </c>
      <c r="G4061" t="str">
        <f>_xlfn.XLOOKUP(D4061,'[1]2050 BAU Mapping to T &amp; C'!$A$3:$A$52,'[1]2050 BAU Mapping to T &amp; C'!$B$3:$B$52)</f>
        <v xml:space="preserve">Oil crops </v>
      </c>
      <c r="H4061" s="129">
        <f>_xlfn.XLOOKUP(G4061,'[1]T&amp;C emissions for 2050 analysis'!$B$3:$B$23,'[1]T&amp;C emissions for 2050 analysis'!$C$3:$C$23)</f>
        <v>0.18333333333333335</v>
      </c>
      <c r="I4061" s="27">
        <f t="shared" si="189"/>
        <v>0.24329713100000003</v>
      </c>
      <c r="J4061" s="129">
        <f t="shared" si="190"/>
        <v>1.6410166666666668</v>
      </c>
    </row>
    <row r="4062" spans="1:10" hidden="1" x14ac:dyDescent="0.35">
      <c r="A4062" s="126" t="s">
        <v>448</v>
      </c>
      <c r="B4062" t="str">
        <f>_xlfn.XLOOKUP(A4062,'[1]2050Pop'!$A$7:$A$143,'[1]2050Pop'!$D$7:$D$143)</f>
        <v>Euro/AU/NZ</v>
      </c>
      <c r="C4062" s="127">
        <f>1000*_xlfn.XLOOKUP(A4062,'[1]2050Pop'!$A$7:$A$143,'[1]2050Pop'!$C$7:$C$143)</f>
        <v>33136</v>
      </c>
      <c r="D4062" s="126" t="s">
        <v>533</v>
      </c>
      <c r="E4062" s="128">
        <v>42.759</v>
      </c>
      <c r="F4062" s="129">
        <f t="shared" si="191"/>
        <v>1.4168622239999999</v>
      </c>
      <c r="G4062" t="str">
        <f>_xlfn.XLOOKUP(D4062,'[1]2050 BAU Mapping to T &amp; C'!$A$3:$A$52,'[1]2050 BAU Mapping to T &amp; C'!$B$3:$B$52)</f>
        <v xml:space="preserve">Oil crops </v>
      </c>
      <c r="H4062" s="129">
        <f>_xlfn.XLOOKUP(G4062,'[1]T&amp;C emissions for 2050 analysis'!$B$3:$B$23,'[1]T&amp;C emissions for 2050 analysis'!$C$3:$C$23)</f>
        <v>0.18333333333333335</v>
      </c>
      <c r="I4062" s="27">
        <f t="shared" si="189"/>
        <v>0.25975807440000004</v>
      </c>
      <c r="J4062" s="129">
        <f t="shared" si="190"/>
        <v>7.839150000000001</v>
      </c>
    </row>
    <row r="4063" spans="1:10" hidden="1" x14ac:dyDescent="0.35">
      <c r="A4063" s="126" t="s">
        <v>449</v>
      </c>
      <c r="B4063" t="str">
        <f>_xlfn.XLOOKUP(A4063,'[1]2050Pop'!$A$7:$A$143,'[1]2050Pop'!$D$7:$D$143)</f>
        <v>Euro/AU/NZ</v>
      </c>
      <c r="C4063" s="127">
        <f>1000*_xlfn.XLOOKUP(A4063,'[1]2050Pop'!$A$7:$A$143,'[1]2050Pop'!$C$7:$C$143)</f>
        <v>9216</v>
      </c>
      <c r="D4063" s="126" t="s">
        <v>533</v>
      </c>
      <c r="E4063" s="128">
        <v>84.762</v>
      </c>
      <c r="F4063" s="129">
        <f t="shared" si="191"/>
        <v>0.78116659199999994</v>
      </c>
      <c r="G4063" t="str">
        <f>_xlfn.XLOOKUP(D4063,'[1]2050 BAU Mapping to T &amp; C'!$A$3:$A$52,'[1]2050 BAU Mapping to T &amp; C'!$B$3:$B$52)</f>
        <v xml:space="preserve">Oil crops </v>
      </c>
      <c r="H4063" s="129">
        <f>_xlfn.XLOOKUP(G4063,'[1]T&amp;C emissions for 2050 analysis'!$B$3:$B$23,'[1]T&amp;C emissions for 2050 analysis'!$C$3:$C$23)</f>
        <v>0.18333333333333335</v>
      </c>
      <c r="I4063" s="27">
        <f t="shared" si="189"/>
        <v>0.14321387520000001</v>
      </c>
      <c r="J4063" s="129">
        <f t="shared" si="190"/>
        <v>15.539700000000002</v>
      </c>
    </row>
    <row r="4064" spans="1:10" hidden="1" x14ac:dyDescent="0.35">
      <c r="A4064" s="126" t="s">
        <v>450</v>
      </c>
      <c r="B4064" t="str">
        <f>_xlfn.XLOOKUP(A4064,'[1]2050Pop'!$A$7:$A$143,'[1]2050Pop'!$D$7:$D$143)</f>
        <v>APAC</v>
      </c>
      <c r="C4064" s="127">
        <f>1000*_xlfn.XLOOKUP(A4064,'[1]2050Pop'!$A$7:$A$143,'[1]2050Pop'!$C$7:$C$143)</f>
        <v>50593</v>
      </c>
      <c r="D4064" s="126" t="s">
        <v>533</v>
      </c>
      <c r="E4064" s="131">
        <v>250.4</v>
      </c>
      <c r="F4064" s="129">
        <f t="shared" si="191"/>
        <v>12.668487200000001</v>
      </c>
      <c r="G4064" t="str">
        <f>_xlfn.XLOOKUP(D4064,'[1]2050 BAU Mapping to T &amp; C'!$A$3:$A$52,'[1]2050 BAU Mapping to T &amp; C'!$B$3:$B$52)</f>
        <v xml:space="preserve">Oil crops </v>
      </c>
      <c r="H4064" s="129">
        <f>_xlfn.XLOOKUP(G4064,'[1]T&amp;C emissions for 2050 analysis'!$B$3:$B$23,'[1]T&amp;C emissions for 2050 analysis'!$C$3:$C$23)</f>
        <v>0.18333333333333335</v>
      </c>
      <c r="I4064" s="27">
        <f t="shared" si="189"/>
        <v>2.322555986666667</v>
      </c>
      <c r="J4064" s="129">
        <f t="shared" si="190"/>
        <v>45.906666666666673</v>
      </c>
    </row>
    <row r="4065" spans="1:10" hidden="1" x14ac:dyDescent="0.35">
      <c r="A4065" s="126" t="s">
        <v>451</v>
      </c>
      <c r="B4065" t="str">
        <f>_xlfn.XLOOKUP(A4065,'[1]2050Pop'!$A$7:$A$143,'[1]2050Pop'!$D$7:$D$143)</f>
        <v>Euro/AU/NZ</v>
      </c>
      <c r="C4065" s="127">
        <f>1000*_xlfn.XLOOKUP(A4065,'[1]2050Pop'!$A$7:$A$143,'[1]2050Pop'!$C$7:$C$143)</f>
        <v>3243</v>
      </c>
      <c r="D4065" s="126" t="s">
        <v>533</v>
      </c>
      <c r="E4065" s="128">
        <v>4.1340000000000003</v>
      </c>
      <c r="F4065" s="129">
        <f t="shared" si="191"/>
        <v>1.3406562000000002E-2</v>
      </c>
      <c r="G4065" t="str">
        <f>_xlfn.XLOOKUP(D4065,'[1]2050 BAU Mapping to T &amp; C'!$A$3:$A$52,'[1]2050 BAU Mapping to T &amp; C'!$B$3:$B$52)</f>
        <v xml:space="preserve">Oil crops </v>
      </c>
      <c r="H4065" s="129">
        <f>_xlfn.XLOOKUP(G4065,'[1]T&amp;C emissions for 2050 analysis'!$B$3:$B$23,'[1]T&amp;C emissions for 2050 analysis'!$C$3:$C$23)</f>
        <v>0.18333333333333335</v>
      </c>
      <c r="I4065" s="27">
        <f t="shared" si="189"/>
        <v>2.4578697000000008E-3</v>
      </c>
      <c r="J4065" s="129">
        <f t="shared" si="190"/>
        <v>0.75790000000000013</v>
      </c>
    </row>
    <row r="4066" spans="1:10" hidden="1" x14ac:dyDescent="0.35">
      <c r="A4066" s="126" t="s">
        <v>452</v>
      </c>
      <c r="B4066" t="str">
        <f>_xlfn.XLOOKUP(A4066,'[1]2050Pop'!$A$7:$A$143,'[1]2050Pop'!$D$7:$D$143)</f>
        <v>SSA</v>
      </c>
      <c r="C4066" s="127">
        <f>1000*_xlfn.XLOOKUP(A4066,'[1]2050Pop'!$A$7:$A$143,'[1]2050Pop'!$C$7:$C$143)</f>
        <v>10732</v>
      </c>
      <c r="D4066" s="126" t="s">
        <v>533</v>
      </c>
      <c r="E4066" s="128">
        <v>13.811</v>
      </c>
      <c r="F4066" s="129">
        <f t="shared" si="191"/>
        <v>0.14821965200000001</v>
      </c>
      <c r="G4066" t="str">
        <f>_xlfn.XLOOKUP(D4066,'[1]2050 BAU Mapping to T &amp; C'!$A$3:$A$52,'[1]2050 BAU Mapping to T &amp; C'!$B$3:$B$52)</f>
        <v xml:space="preserve">Oil crops </v>
      </c>
      <c r="H4066" s="129">
        <f>_xlfn.XLOOKUP(G4066,'[1]T&amp;C emissions for 2050 analysis'!$B$3:$B$23,'[1]T&amp;C emissions for 2050 analysis'!$C$3:$C$23)</f>
        <v>0.18333333333333335</v>
      </c>
      <c r="I4066" s="27">
        <f t="shared" si="189"/>
        <v>2.7173602866666671E-2</v>
      </c>
      <c r="J4066" s="129">
        <f t="shared" si="190"/>
        <v>2.5320166666666668</v>
      </c>
    </row>
    <row r="4067" spans="1:10" hidden="1" x14ac:dyDescent="0.35">
      <c r="A4067" s="126" t="s">
        <v>453</v>
      </c>
      <c r="B4067" t="str">
        <f>_xlfn.XLOOKUP(A4067,'[1]2050Pop'!$A$7:$A$143,'[1]2050Pop'!$D$7:$D$143)</f>
        <v>Euro/AU/NZ</v>
      </c>
      <c r="C4067" s="127">
        <f>1000*_xlfn.XLOOKUP(A4067,'[1]2050Pop'!$A$7:$A$143,'[1]2050Pop'!$C$7:$C$143)</f>
        <v>15207</v>
      </c>
      <c r="D4067" s="126" t="s">
        <v>533</v>
      </c>
      <c r="E4067" s="128">
        <v>12.831</v>
      </c>
      <c r="F4067" s="129">
        <f t="shared" si="191"/>
        <v>0.19512101699999998</v>
      </c>
      <c r="G4067" t="str">
        <f>_xlfn.XLOOKUP(D4067,'[1]2050 BAU Mapping to T &amp; C'!$A$3:$A$52,'[1]2050 BAU Mapping to T &amp; C'!$B$3:$B$52)</f>
        <v xml:space="preserve">Oil crops </v>
      </c>
      <c r="H4067" s="129">
        <f>_xlfn.XLOOKUP(G4067,'[1]T&amp;C emissions for 2050 analysis'!$B$3:$B$23,'[1]T&amp;C emissions for 2050 analysis'!$C$3:$C$23)</f>
        <v>0.18333333333333335</v>
      </c>
      <c r="I4067" s="27">
        <f t="shared" si="189"/>
        <v>3.577218645E-2</v>
      </c>
      <c r="J4067" s="129">
        <f t="shared" si="190"/>
        <v>2.3523499999999999</v>
      </c>
    </row>
    <row r="4068" spans="1:10" hidden="1" x14ac:dyDescent="0.35">
      <c r="A4068" s="126" t="s">
        <v>454</v>
      </c>
      <c r="B4068" t="str">
        <f>_xlfn.XLOOKUP(A4068,'[1]2050Pop'!$A$7:$A$143,'[1]2050Pop'!$D$7:$D$143)</f>
        <v>Euro/AU/NZ</v>
      </c>
      <c r="C4068" s="127">
        <f>1000*_xlfn.XLOOKUP(A4068,'[1]2050Pop'!$A$7:$A$143,'[1]2050Pop'!$C$7:$C$143)</f>
        <v>128598.99999999999</v>
      </c>
      <c r="D4068" s="126" t="s">
        <v>533</v>
      </c>
      <c r="E4068" s="128">
        <v>13.955</v>
      </c>
      <c r="F4068" s="129">
        <f t="shared" si="191"/>
        <v>1.7945990449999998</v>
      </c>
      <c r="G4068" t="str">
        <f>_xlfn.XLOOKUP(D4068,'[1]2050 BAU Mapping to T &amp; C'!$A$3:$A$52,'[1]2050 BAU Mapping to T &amp; C'!$B$3:$B$52)</f>
        <v xml:space="preserve">Oil crops </v>
      </c>
      <c r="H4068" s="129">
        <f>_xlfn.XLOOKUP(G4068,'[1]T&amp;C emissions for 2050 analysis'!$B$3:$B$23,'[1]T&amp;C emissions for 2050 analysis'!$C$3:$C$23)</f>
        <v>0.18333333333333335</v>
      </c>
      <c r="I4068" s="27">
        <f t="shared" si="189"/>
        <v>0.32900982491666664</v>
      </c>
      <c r="J4068" s="129">
        <f t="shared" si="190"/>
        <v>2.558416666666667</v>
      </c>
    </row>
    <row r="4069" spans="1:10" hidden="1" x14ac:dyDescent="0.35">
      <c r="A4069" s="126" t="s">
        <v>455</v>
      </c>
      <c r="B4069" t="str">
        <f>_xlfn.XLOOKUP(A4069,'[1]2050Pop'!$A$7:$A$143,'[1]2050Pop'!$D$7:$D$143)</f>
        <v>SSA</v>
      </c>
      <c r="C4069" s="127">
        <f>1000*_xlfn.XLOOKUP(A4069,'[1]2050Pop'!$A$7:$A$143,'[1]2050Pop'!$C$7:$C$143)</f>
        <v>21187</v>
      </c>
      <c r="D4069" s="126" t="s">
        <v>533</v>
      </c>
      <c r="E4069" s="128">
        <v>2.9750000000000001</v>
      </c>
      <c r="F4069" s="129">
        <f t="shared" si="191"/>
        <v>6.3031324999999999E-2</v>
      </c>
      <c r="G4069" t="str">
        <f>_xlfn.XLOOKUP(D4069,'[1]2050 BAU Mapping to T &amp; C'!$A$3:$A$52,'[1]2050 BAU Mapping to T &amp; C'!$B$3:$B$52)</f>
        <v xml:space="preserve">Oil crops </v>
      </c>
      <c r="H4069" s="129">
        <f>_xlfn.XLOOKUP(G4069,'[1]T&amp;C emissions for 2050 analysis'!$B$3:$B$23,'[1]T&amp;C emissions for 2050 analysis'!$C$3:$C$23)</f>
        <v>0.18333333333333335</v>
      </c>
      <c r="I4069" s="27">
        <f t="shared" si="189"/>
        <v>1.1555742916666667E-2</v>
      </c>
      <c r="J4069" s="129">
        <f t="shared" si="190"/>
        <v>0.54541666666666677</v>
      </c>
    </row>
    <row r="4070" spans="1:10" hidden="1" x14ac:dyDescent="0.35">
      <c r="A4070" s="126" t="s">
        <v>456</v>
      </c>
      <c r="B4070" t="str">
        <f>_xlfn.XLOOKUP(A4070,'[1]2050Pop'!$A$7:$A$143,'[1]2050Pop'!$D$7:$D$143)</f>
        <v>MENA</v>
      </c>
      <c r="C4070" s="127">
        <f>1000*_xlfn.XLOOKUP(A4070,'[1]2050Pop'!$A$7:$A$143,'[1]2050Pop'!$C$7:$C$143)</f>
        <v>46059</v>
      </c>
      <c r="D4070" s="126" t="s">
        <v>533</v>
      </c>
      <c r="E4070" s="128">
        <v>20.494</v>
      </c>
      <c r="F4070" s="129">
        <f t="shared" si="191"/>
        <v>0.943933146</v>
      </c>
      <c r="G4070" t="str">
        <f>_xlfn.XLOOKUP(D4070,'[1]2050 BAU Mapping to T &amp; C'!$A$3:$A$52,'[1]2050 BAU Mapping to T &amp; C'!$B$3:$B$52)</f>
        <v xml:space="preserve">Oil crops </v>
      </c>
      <c r="H4070" s="129">
        <f>_xlfn.XLOOKUP(G4070,'[1]T&amp;C emissions for 2050 analysis'!$B$3:$B$23,'[1]T&amp;C emissions for 2050 analysis'!$C$3:$C$23)</f>
        <v>0.18333333333333335</v>
      </c>
      <c r="I4070" s="27">
        <f t="shared" si="189"/>
        <v>0.17305441010000003</v>
      </c>
      <c r="J4070" s="129">
        <f t="shared" si="190"/>
        <v>3.7572333333333336</v>
      </c>
    </row>
    <row r="4071" spans="1:10" hidden="1" x14ac:dyDescent="0.35">
      <c r="A4071" s="126" t="s">
        <v>457</v>
      </c>
      <c r="B4071" t="str">
        <f>_xlfn.XLOOKUP(A4071,'[1]2050Pop'!$A$7:$A$143,'[1]2050Pop'!$D$7:$D$143)</f>
        <v>SSA</v>
      </c>
      <c r="C4071" s="127">
        <f>1000*_xlfn.XLOOKUP(A4071,'[1]2050Pop'!$A$7:$A$143,'[1]2050Pop'!$C$7:$C$143)</f>
        <v>36223</v>
      </c>
      <c r="D4071" s="126" t="s">
        <v>533</v>
      </c>
      <c r="E4071" s="128">
        <v>95.367999999999995</v>
      </c>
      <c r="F4071" s="129">
        <f t="shared" si="191"/>
        <v>3.4545150639999997</v>
      </c>
      <c r="G4071" t="str">
        <f>_xlfn.XLOOKUP(D4071,'[1]2050 BAU Mapping to T &amp; C'!$A$3:$A$52,'[1]2050 BAU Mapping to T &amp; C'!$B$3:$B$52)</f>
        <v xml:space="preserve">Oil crops </v>
      </c>
      <c r="H4071" s="129">
        <f>_xlfn.XLOOKUP(G4071,'[1]T&amp;C emissions for 2050 analysis'!$B$3:$B$23,'[1]T&amp;C emissions for 2050 analysis'!$C$3:$C$23)</f>
        <v>0.18333333333333335</v>
      </c>
      <c r="I4071" s="27">
        <f t="shared" si="189"/>
        <v>0.63332776173333338</v>
      </c>
      <c r="J4071" s="129">
        <f t="shared" si="190"/>
        <v>17.484133333333332</v>
      </c>
    </row>
    <row r="4072" spans="1:10" hidden="1" x14ac:dyDescent="0.35">
      <c r="A4072" s="126" t="s">
        <v>458</v>
      </c>
      <c r="B4072" t="str">
        <f>_xlfn.XLOOKUP(A4072,'[1]2050Pop'!$A$7:$A$143,'[1]2050Pop'!$D$7:$D$143)</f>
        <v>Euro/AU/NZ</v>
      </c>
      <c r="C4072" s="127">
        <f>1000*_xlfn.XLOOKUP(A4072,'[1]2050Pop'!$A$7:$A$143,'[1]2050Pop'!$C$7:$C$143)</f>
        <v>7331</v>
      </c>
      <c r="D4072" s="126" t="s">
        <v>533</v>
      </c>
      <c r="E4072" s="128">
        <v>21.050999999999998</v>
      </c>
      <c r="F4072" s="129">
        <f t="shared" si="191"/>
        <v>0.154324881</v>
      </c>
      <c r="G4072" t="str">
        <f>_xlfn.XLOOKUP(D4072,'[1]2050 BAU Mapping to T &amp; C'!$A$3:$A$52,'[1]2050 BAU Mapping to T &amp; C'!$B$3:$B$52)</f>
        <v xml:space="preserve">Oil crops </v>
      </c>
      <c r="H4072" s="129">
        <f>_xlfn.XLOOKUP(G4072,'[1]T&amp;C emissions for 2050 analysis'!$B$3:$B$23,'[1]T&amp;C emissions for 2050 analysis'!$C$3:$C$23)</f>
        <v>0.18333333333333335</v>
      </c>
      <c r="I4072" s="27">
        <f t="shared" si="189"/>
        <v>2.8292894850000003E-2</v>
      </c>
      <c r="J4072" s="129">
        <f t="shared" si="190"/>
        <v>3.8593500000000001</v>
      </c>
    </row>
    <row r="4073" spans="1:10" hidden="1" x14ac:dyDescent="0.35">
      <c r="A4073" s="126" t="s">
        <v>492</v>
      </c>
      <c r="B4073" t="str">
        <f>_xlfn.XLOOKUP(A4073,'[1]2050Pop'!$A$7:$A$143,'[1]2050Pop'!$D$7:$D$143)</f>
        <v>SSA</v>
      </c>
      <c r="C4073" s="127">
        <f>1000*_xlfn.XLOOKUP(A4073,'[1]2050Pop'!$A$7:$A$143,'[1]2050Pop'!$C$7:$C$143)</f>
        <v>11392</v>
      </c>
      <c r="D4073" s="126" t="s">
        <v>533</v>
      </c>
      <c r="E4073" s="128">
        <v>10.815</v>
      </c>
      <c r="F4073" s="129">
        <f t="shared" si="191"/>
        <v>0.12320447999999999</v>
      </c>
      <c r="G4073" t="str">
        <f>_xlfn.XLOOKUP(D4073,'[1]2050 BAU Mapping to T &amp; C'!$A$3:$A$52,'[1]2050 BAU Mapping to T &amp; C'!$B$3:$B$52)</f>
        <v xml:space="preserve">Oil crops </v>
      </c>
      <c r="H4073" s="129">
        <f>_xlfn.XLOOKUP(G4073,'[1]T&amp;C emissions for 2050 analysis'!$B$3:$B$23,'[1]T&amp;C emissions for 2050 analysis'!$C$3:$C$23)</f>
        <v>0.18333333333333335</v>
      </c>
      <c r="I4073" s="27">
        <f t="shared" si="189"/>
        <v>2.2587487999999999E-2</v>
      </c>
      <c r="J4073" s="129">
        <f t="shared" si="190"/>
        <v>1.98275</v>
      </c>
    </row>
    <row r="4074" spans="1:10" hidden="1" x14ac:dyDescent="0.35">
      <c r="A4074" s="126" t="s">
        <v>459</v>
      </c>
      <c r="B4074" t="str">
        <f>_xlfn.XLOOKUP(A4074,'[1]2050Pop'!$A$7:$A$143,'[1]2050Pop'!$D$7:$D$143)</f>
        <v>Euro/AU/NZ</v>
      </c>
      <c r="C4074" s="127">
        <f>1000*_xlfn.XLOOKUP(A4074,'[1]2050Pop'!$A$7:$A$143,'[1]2050Pop'!$C$7:$C$143)</f>
        <v>4892</v>
      </c>
      <c r="D4074" s="126" t="s">
        <v>533</v>
      </c>
      <c r="E4074" s="128">
        <v>27.731000000000002</v>
      </c>
      <c r="F4074" s="129">
        <f t="shared" si="191"/>
        <v>0.135660052</v>
      </c>
      <c r="G4074" t="str">
        <f>_xlfn.XLOOKUP(D4074,'[1]2050 BAU Mapping to T &amp; C'!$A$3:$A$52,'[1]2050 BAU Mapping to T &amp; C'!$B$3:$B$52)</f>
        <v xml:space="preserve">Oil crops </v>
      </c>
      <c r="H4074" s="129">
        <f>_xlfn.XLOOKUP(G4074,'[1]T&amp;C emissions for 2050 analysis'!$B$3:$B$23,'[1]T&amp;C emissions for 2050 analysis'!$C$3:$C$23)</f>
        <v>0.18333333333333335</v>
      </c>
      <c r="I4074" s="27">
        <f t="shared" si="189"/>
        <v>2.4871009533333335E-2</v>
      </c>
      <c r="J4074" s="129">
        <f t="shared" si="190"/>
        <v>5.0840166666666677</v>
      </c>
    </row>
    <row r="4075" spans="1:10" hidden="1" x14ac:dyDescent="0.35">
      <c r="A4075" s="126" t="s">
        <v>460</v>
      </c>
      <c r="B4075" t="str">
        <f>_xlfn.XLOOKUP(A4075,'[1]2050Pop'!$A$7:$A$143,'[1]2050Pop'!$D$7:$D$143)</f>
        <v>LatAm &amp; RSA</v>
      </c>
      <c r="C4075" s="127">
        <f>1000*_xlfn.XLOOKUP(A4075,'[1]2050Pop'!$A$7:$A$143,'[1]2050Pop'!$C$7:$C$143)</f>
        <v>65540</v>
      </c>
      <c r="D4075" s="126" t="s">
        <v>533</v>
      </c>
      <c r="E4075" s="128">
        <v>109.992</v>
      </c>
      <c r="F4075" s="129">
        <f t="shared" si="191"/>
        <v>7.2088756800000002</v>
      </c>
      <c r="G4075" t="str">
        <f>_xlfn.XLOOKUP(D4075,'[1]2050 BAU Mapping to T &amp; C'!$A$3:$A$52,'[1]2050 BAU Mapping to T &amp; C'!$B$3:$B$52)</f>
        <v xml:space="preserve">Oil crops </v>
      </c>
      <c r="H4075" s="129">
        <f>_xlfn.XLOOKUP(G4075,'[1]T&amp;C emissions for 2050 analysis'!$B$3:$B$23,'[1]T&amp;C emissions for 2050 analysis'!$C$3:$C$23)</f>
        <v>0.18333333333333335</v>
      </c>
      <c r="I4075" s="27">
        <f t="shared" si="189"/>
        <v>1.3216272080000002</v>
      </c>
      <c r="J4075" s="129">
        <f t="shared" si="190"/>
        <v>20.165200000000002</v>
      </c>
    </row>
    <row r="4076" spans="1:10" hidden="1" x14ac:dyDescent="0.35">
      <c r="A4076" s="126" t="s">
        <v>461</v>
      </c>
      <c r="B4076" t="str">
        <f>_xlfn.XLOOKUP(A4076,'[1]2050Pop'!$A$7:$A$143,'[1]2050Pop'!$D$7:$D$143)</f>
        <v>Euro/AU/NZ</v>
      </c>
      <c r="C4076" s="127">
        <f>1000*_xlfn.XLOOKUP(A4076,'[1]2050Pop'!$A$7:$A$143,'[1]2050Pop'!$C$7:$C$143)</f>
        <v>44840</v>
      </c>
      <c r="D4076" s="126" t="s">
        <v>533</v>
      </c>
      <c r="E4076" s="128">
        <v>75.378</v>
      </c>
      <c r="F4076" s="129">
        <f t="shared" si="191"/>
        <v>3.3799495199999998</v>
      </c>
      <c r="G4076" t="str">
        <f>_xlfn.XLOOKUP(D4076,'[1]2050 BAU Mapping to T &amp; C'!$A$3:$A$52,'[1]2050 BAU Mapping to T &amp; C'!$B$3:$B$52)</f>
        <v xml:space="preserve">Oil crops </v>
      </c>
      <c r="H4076" s="129">
        <f>_xlfn.XLOOKUP(G4076,'[1]T&amp;C emissions for 2050 analysis'!$B$3:$B$23,'[1]T&amp;C emissions for 2050 analysis'!$C$3:$C$23)</f>
        <v>0.18333333333333335</v>
      </c>
      <c r="I4076" s="27">
        <f t="shared" si="189"/>
        <v>0.61965741200000002</v>
      </c>
      <c r="J4076" s="129">
        <f t="shared" si="190"/>
        <v>13.819300000000002</v>
      </c>
    </row>
    <row r="4077" spans="1:10" hidden="1" x14ac:dyDescent="0.35">
      <c r="A4077" s="126" t="s">
        <v>493</v>
      </c>
      <c r="B4077" t="str">
        <f>_xlfn.XLOOKUP(A4077,'[1]2050Pop'!$A$7:$A$143,'[1]2050Pop'!$D$7:$D$143)</f>
        <v>India/South Asia</v>
      </c>
      <c r="C4077" s="127">
        <f>1000*_xlfn.XLOOKUP(A4077,'[1]2050Pop'!$A$7:$A$143,'[1]2050Pop'!$C$7:$C$143)</f>
        <v>20836</v>
      </c>
      <c r="D4077" s="126" t="s">
        <v>533</v>
      </c>
      <c r="E4077" s="128">
        <v>2.6840000000000002</v>
      </c>
      <c r="F4077" s="129">
        <f t="shared" si="191"/>
        <v>5.5923824000000004E-2</v>
      </c>
      <c r="G4077" t="str">
        <f>_xlfn.XLOOKUP(D4077,'[1]2050 BAU Mapping to T &amp; C'!$A$3:$A$52,'[1]2050 BAU Mapping to T &amp; C'!$B$3:$B$52)</f>
        <v xml:space="preserve">Oil crops </v>
      </c>
      <c r="H4077" s="129">
        <f>_xlfn.XLOOKUP(G4077,'[1]T&amp;C emissions for 2050 analysis'!$B$3:$B$23,'[1]T&amp;C emissions for 2050 analysis'!$C$3:$C$23)</f>
        <v>0.18333333333333335</v>
      </c>
      <c r="I4077" s="27">
        <f t="shared" si="189"/>
        <v>1.0252701066666668E-2</v>
      </c>
      <c r="J4077" s="129">
        <f t="shared" si="190"/>
        <v>0.49206666666666676</v>
      </c>
    </row>
    <row r="4078" spans="1:10" hidden="1" x14ac:dyDescent="0.35">
      <c r="A4078" s="126" t="s">
        <v>462</v>
      </c>
      <c r="B4078" t="str">
        <f>_xlfn.XLOOKUP(A4078,'[1]2050Pop'!$A$7:$A$143,'[1]2050Pop'!$D$7:$D$143)</f>
        <v>LatAm &amp; RSA</v>
      </c>
      <c r="C4078" s="127">
        <f>1000*_xlfn.XLOOKUP(A4078,'[1]2050Pop'!$A$7:$A$143,'[1]2050Pop'!$C$7:$C$143)</f>
        <v>624</v>
      </c>
      <c r="D4078" s="126" t="s">
        <v>533</v>
      </c>
      <c r="E4078" s="128">
        <v>305.47399999999999</v>
      </c>
      <c r="F4078" s="129">
        <f t="shared" si="191"/>
        <v>0.19061577599999999</v>
      </c>
      <c r="G4078" t="str">
        <f>_xlfn.XLOOKUP(D4078,'[1]2050 BAU Mapping to T &amp; C'!$A$3:$A$52,'[1]2050 BAU Mapping to T &amp; C'!$B$3:$B$52)</f>
        <v xml:space="preserve">Oil crops </v>
      </c>
      <c r="H4078" s="129">
        <f>_xlfn.XLOOKUP(G4078,'[1]T&amp;C emissions for 2050 analysis'!$B$3:$B$23,'[1]T&amp;C emissions for 2050 analysis'!$C$3:$C$23)</f>
        <v>0.18333333333333335</v>
      </c>
      <c r="I4078" s="27">
        <f t="shared" si="189"/>
        <v>3.4946225599999999E-2</v>
      </c>
      <c r="J4078" s="129">
        <f t="shared" si="190"/>
        <v>56.003566666666671</v>
      </c>
    </row>
    <row r="4079" spans="1:10" hidden="1" x14ac:dyDescent="0.35">
      <c r="A4079" s="126" t="s">
        <v>463</v>
      </c>
      <c r="B4079" t="str">
        <f>_xlfn.XLOOKUP(A4079,'[1]2050Pop'!$A$7:$A$143,'[1]2050Pop'!$D$7:$D$143)</f>
        <v>SSA</v>
      </c>
      <c r="C4079" s="127">
        <f>1000*_xlfn.XLOOKUP(A4079,'[1]2050Pop'!$A$7:$A$143,'[1]2050Pop'!$C$7:$C$143)</f>
        <v>1792</v>
      </c>
      <c r="D4079" s="126" t="s">
        <v>533</v>
      </c>
      <c r="E4079" s="128">
        <v>5.6769999999999996</v>
      </c>
      <c r="F4079" s="129">
        <f t="shared" si="191"/>
        <v>1.0173184E-2</v>
      </c>
      <c r="G4079" t="str">
        <f>_xlfn.XLOOKUP(D4079,'[1]2050 BAU Mapping to T &amp; C'!$A$3:$A$52,'[1]2050 BAU Mapping to T &amp; C'!$B$3:$B$52)</f>
        <v xml:space="preserve">Oil crops </v>
      </c>
      <c r="H4079" s="129">
        <f>_xlfn.XLOOKUP(G4079,'[1]T&amp;C emissions for 2050 analysis'!$B$3:$B$23,'[1]T&amp;C emissions for 2050 analysis'!$C$3:$C$23)</f>
        <v>0.18333333333333335</v>
      </c>
      <c r="I4079" s="27">
        <f t="shared" si="189"/>
        <v>1.8650837333333335E-3</v>
      </c>
      <c r="J4079" s="129">
        <f t="shared" si="190"/>
        <v>1.0407833333333334</v>
      </c>
    </row>
    <row r="4080" spans="1:10" hidden="1" x14ac:dyDescent="0.35">
      <c r="A4080" s="126" t="s">
        <v>464</v>
      </c>
      <c r="B4080" t="str">
        <f>_xlfn.XLOOKUP(A4080,'[1]2050Pop'!$A$7:$A$143,'[1]2050Pop'!$D$7:$D$143)</f>
        <v>Euro/AU/NZ</v>
      </c>
      <c r="C4080" s="127">
        <f>1000*_xlfn.XLOOKUP(A4080,'[1]2050Pop'!$A$7:$A$143,'[1]2050Pop'!$C$7:$C$143)</f>
        <v>11881</v>
      </c>
      <c r="D4080" s="126" t="s">
        <v>533</v>
      </c>
      <c r="E4080" s="128">
        <v>33.893999999999998</v>
      </c>
      <c r="F4080" s="129">
        <f t="shared" si="191"/>
        <v>0.40269461400000001</v>
      </c>
      <c r="G4080" t="str">
        <f>_xlfn.XLOOKUP(D4080,'[1]2050 BAU Mapping to T &amp; C'!$A$3:$A$52,'[1]2050 BAU Mapping to T &amp; C'!$B$3:$B$52)</f>
        <v xml:space="preserve">Oil crops </v>
      </c>
      <c r="H4080" s="129">
        <f>_xlfn.XLOOKUP(G4080,'[1]T&amp;C emissions for 2050 analysis'!$B$3:$B$23,'[1]T&amp;C emissions for 2050 analysis'!$C$3:$C$23)</f>
        <v>0.18333333333333335</v>
      </c>
      <c r="I4080" s="27">
        <f t="shared" si="189"/>
        <v>7.3827345900000008E-2</v>
      </c>
      <c r="J4080" s="129">
        <f t="shared" si="190"/>
        <v>6.2138999999999998</v>
      </c>
    </row>
    <row r="4081" spans="1:10" hidden="1" x14ac:dyDescent="0.35">
      <c r="A4081" s="126" t="s">
        <v>483</v>
      </c>
      <c r="B4081" t="str">
        <f>_xlfn.XLOOKUP(A4081,'[1]2050Pop'!$A$7:$A$143,'[1]2050Pop'!$D$7:$D$143)</f>
        <v>APAC</v>
      </c>
      <c r="C4081" s="127">
        <f>1000*_xlfn.XLOOKUP(A4081,'[1]2050Pop'!$A$7:$A$143,'[1]2050Pop'!$C$7:$C$143)</f>
        <v>14288</v>
      </c>
      <c r="D4081" s="126" t="s">
        <v>533</v>
      </c>
      <c r="E4081" s="130">
        <v>14.18</v>
      </c>
      <c r="F4081" s="129">
        <f t="shared" si="191"/>
        <v>0.20260384000000001</v>
      </c>
      <c r="G4081" t="str">
        <f>_xlfn.XLOOKUP(D4081,'[1]2050 BAU Mapping to T &amp; C'!$A$3:$A$52,'[1]2050 BAU Mapping to T &amp; C'!$B$3:$B$52)</f>
        <v xml:space="preserve">Oil crops </v>
      </c>
      <c r="H4081" s="129">
        <f>_xlfn.XLOOKUP(G4081,'[1]T&amp;C emissions for 2050 analysis'!$B$3:$B$23,'[1]T&amp;C emissions for 2050 analysis'!$C$3:$C$23)</f>
        <v>0.18333333333333335</v>
      </c>
      <c r="I4081" s="27">
        <f t="shared" si="189"/>
        <v>3.7144037333333338E-2</v>
      </c>
      <c r="J4081" s="129">
        <f t="shared" si="190"/>
        <v>2.5996666666666668</v>
      </c>
    </row>
    <row r="4082" spans="1:10" hidden="1" x14ac:dyDescent="0.35">
      <c r="A4082" s="126" t="s">
        <v>465</v>
      </c>
      <c r="B4082" t="str">
        <f>_xlfn.XLOOKUP(A4082,'[1]2050Pop'!$A$7:$A$143,'[1]2050Pop'!$D$7:$D$143)</f>
        <v>APAC</v>
      </c>
      <c r="C4082" s="127">
        <f>1000*_xlfn.XLOOKUP(A4082,'[1]2050Pop'!$A$7:$A$143,'[1]2050Pop'!$C$7:$C$143)</f>
        <v>62452</v>
      </c>
      <c r="D4082" s="126" t="s">
        <v>533</v>
      </c>
      <c r="E4082" s="128">
        <v>115.848</v>
      </c>
      <c r="F4082" s="129">
        <f t="shared" si="191"/>
        <v>7.2349392960000003</v>
      </c>
      <c r="G4082" t="str">
        <f>_xlfn.XLOOKUP(D4082,'[1]2050 BAU Mapping to T &amp; C'!$A$3:$A$52,'[1]2050 BAU Mapping to T &amp; C'!$B$3:$B$52)</f>
        <v xml:space="preserve">Oil crops </v>
      </c>
      <c r="H4082" s="129">
        <f>_xlfn.XLOOKUP(G4082,'[1]T&amp;C emissions for 2050 analysis'!$B$3:$B$23,'[1]T&amp;C emissions for 2050 analysis'!$C$3:$C$23)</f>
        <v>0.18333333333333335</v>
      </c>
      <c r="I4082" s="27">
        <f t="shared" si="189"/>
        <v>1.3264055376000001</v>
      </c>
      <c r="J4082" s="129">
        <f t="shared" si="190"/>
        <v>21.238800000000001</v>
      </c>
    </row>
    <row r="4083" spans="1:10" hidden="1" x14ac:dyDescent="0.35">
      <c r="A4083" s="126" t="s">
        <v>466</v>
      </c>
      <c r="B4083" t="str">
        <f>_xlfn.XLOOKUP(A4083,'[1]2050Pop'!$A$7:$A$143,'[1]2050Pop'!$D$7:$D$143)</f>
        <v>SSA</v>
      </c>
      <c r="C4083" s="127">
        <f>1000*_xlfn.XLOOKUP(A4083,'[1]2050Pop'!$A$7:$A$143,'[1]2050Pop'!$C$7:$C$143)</f>
        <v>15681</v>
      </c>
      <c r="D4083" s="126" t="s">
        <v>533</v>
      </c>
      <c r="E4083" s="128">
        <v>4.9180000000000001</v>
      </c>
      <c r="F4083" s="129">
        <f t="shared" si="191"/>
        <v>7.7119157999999993E-2</v>
      </c>
      <c r="G4083" t="str">
        <f>_xlfn.XLOOKUP(D4083,'[1]2050 BAU Mapping to T &amp; C'!$A$3:$A$52,'[1]2050 BAU Mapping to T &amp; C'!$B$3:$B$52)</f>
        <v xml:space="preserve">Oil crops </v>
      </c>
      <c r="H4083" s="129">
        <f>_xlfn.XLOOKUP(G4083,'[1]T&amp;C emissions for 2050 analysis'!$B$3:$B$23,'[1]T&amp;C emissions for 2050 analysis'!$C$3:$C$23)</f>
        <v>0.18333333333333335</v>
      </c>
      <c r="I4083" s="27">
        <f t="shared" si="189"/>
        <v>1.4138512299999999E-2</v>
      </c>
      <c r="J4083" s="129">
        <f t="shared" si="190"/>
        <v>0.9016333333333334</v>
      </c>
    </row>
    <row r="4084" spans="1:10" hidden="1" x14ac:dyDescent="0.35">
      <c r="A4084" s="126" t="s">
        <v>467</v>
      </c>
      <c r="B4084" t="str">
        <f>_xlfn.XLOOKUP(A4084,'[1]2050Pop'!$A$7:$A$143,'[1]2050Pop'!$D$7:$D$143)</f>
        <v>LatAm &amp; RSA</v>
      </c>
      <c r="C4084" s="127">
        <f>1000*_xlfn.XLOOKUP(A4084,'[1]2050Pop'!$A$7:$A$143,'[1]2050Pop'!$C$7:$C$143)</f>
        <v>1291</v>
      </c>
      <c r="D4084" s="126" t="s">
        <v>533</v>
      </c>
      <c r="E4084" s="128">
        <v>239.155</v>
      </c>
      <c r="F4084" s="129">
        <f t="shared" si="191"/>
        <v>0.30874910499999997</v>
      </c>
      <c r="G4084" t="str">
        <f>_xlfn.XLOOKUP(D4084,'[1]2050 BAU Mapping to T &amp; C'!$A$3:$A$52,'[1]2050 BAU Mapping to T &amp; C'!$B$3:$B$52)</f>
        <v xml:space="preserve">Oil crops </v>
      </c>
      <c r="H4084" s="129">
        <f>_xlfn.XLOOKUP(G4084,'[1]T&amp;C emissions for 2050 analysis'!$B$3:$B$23,'[1]T&amp;C emissions for 2050 analysis'!$C$3:$C$23)</f>
        <v>0.18333333333333335</v>
      </c>
      <c r="I4084" s="27">
        <f t="shared" si="189"/>
        <v>5.6604002583333334E-2</v>
      </c>
      <c r="J4084" s="129">
        <f t="shared" si="190"/>
        <v>43.845083333333335</v>
      </c>
    </row>
    <row r="4085" spans="1:10" hidden="1" x14ac:dyDescent="0.35">
      <c r="A4085" s="126" t="s">
        <v>468</v>
      </c>
      <c r="B4085" t="str">
        <f>_xlfn.XLOOKUP(A4085,'[1]2050Pop'!$A$7:$A$143,'[1]2050Pop'!$D$7:$D$143)</f>
        <v>MENA</v>
      </c>
      <c r="C4085" s="127">
        <f>1000*_xlfn.XLOOKUP(A4085,'[1]2050Pop'!$A$7:$A$143,'[1]2050Pop'!$C$7:$C$143)</f>
        <v>13476</v>
      </c>
      <c r="D4085" s="126" t="s">
        <v>533</v>
      </c>
      <c r="E4085" s="130">
        <v>257.95999999999998</v>
      </c>
      <c r="F4085" s="129">
        <f t="shared" si="191"/>
        <v>3.4762689599999996</v>
      </c>
      <c r="G4085" t="str">
        <f>_xlfn.XLOOKUP(D4085,'[1]2050 BAU Mapping to T &amp; C'!$A$3:$A$52,'[1]2050 BAU Mapping to T &amp; C'!$B$3:$B$52)</f>
        <v xml:space="preserve">Oil crops </v>
      </c>
      <c r="H4085" s="129">
        <f>_xlfn.XLOOKUP(G4085,'[1]T&amp;C emissions for 2050 analysis'!$B$3:$B$23,'[1]T&amp;C emissions for 2050 analysis'!$C$3:$C$23)</f>
        <v>0.18333333333333335</v>
      </c>
      <c r="I4085" s="27">
        <f t="shared" si="189"/>
        <v>0.63731597600000001</v>
      </c>
      <c r="J4085" s="129">
        <f t="shared" si="190"/>
        <v>47.292666666666669</v>
      </c>
    </row>
    <row r="4086" spans="1:10" hidden="1" x14ac:dyDescent="0.35">
      <c r="A4086" s="126" t="s">
        <v>469</v>
      </c>
      <c r="B4086" t="str">
        <f>_xlfn.XLOOKUP(A4086,'[1]2050Pop'!$A$7:$A$143,'[1]2050Pop'!$D$7:$D$143)</f>
        <v>MENA</v>
      </c>
      <c r="C4086" s="127">
        <f>1000*_xlfn.XLOOKUP(A4086,'[1]2050Pop'!$A$7:$A$143,'[1]2050Pop'!$C$7:$C$143)</f>
        <v>95819</v>
      </c>
      <c r="D4086" s="126" t="s">
        <v>533</v>
      </c>
      <c r="E4086" s="128">
        <v>55.753999999999998</v>
      </c>
      <c r="F4086" s="129">
        <f t="shared" si="191"/>
        <v>5.3422925259999996</v>
      </c>
      <c r="G4086" t="str">
        <f>_xlfn.XLOOKUP(D4086,'[1]2050 BAU Mapping to T &amp; C'!$A$3:$A$52,'[1]2050 BAU Mapping to T &amp; C'!$B$3:$B$52)</f>
        <v xml:space="preserve">Oil crops </v>
      </c>
      <c r="H4086" s="129">
        <f>_xlfn.XLOOKUP(G4086,'[1]T&amp;C emissions for 2050 analysis'!$B$3:$B$23,'[1]T&amp;C emissions for 2050 analysis'!$C$3:$C$23)</f>
        <v>0.18333333333333335</v>
      </c>
      <c r="I4086" s="27">
        <f t="shared" si="189"/>
        <v>0.97942029643333339</v>
      </c>
      <c r="J4086" s="129">
        <f t="shared" si="190"/>
        <v>10.221566666666668</v>
      </c>
    </row>
    <row r="4087" spans="1:10" hidden="1" x14ac:dyDescent="0.35">
      <c r="A4087" s="126" t="s">
        <v>484</v>
      </c>
      <c r="B4087" t="str">
        <f>_xlfn.XLOOKUP(A4087,'[1]2050Pop'!$A$7:$A$143,'[1]2050Pop'!$D$7:$D$143)</f>
        <v>APAC</v>
      </c>
      <c r="C4087" s="127">
        <f>1000*_xlfn.XLOOKUP(A4087,'[1]2050Pop'!$A$7:$A$143,'[1]2050Pop'!$C$7:$C$143)</f>
        <v>6555</v>
      </c>
      <c r="D4087" s="126" t="s">
        <v>533</v>
      </c>
      <c r="E4087" s="128">
        <v>7.1859999999999999</v>
      </c>
      <c r="F4087" s="129">
        <f t="shared" si="191"/>
        <v>4.7104230000000004E-2</v>
      </c>
      <c r="G4087" t="str">
        <f>_xlfn.XLOOKUP(D4087,'[1]2050 BAU Mapping to T &amp; C'!$A$3:$A$52,'[1]2050 BAU Mapping to T &amp; C'!$B$3:$B$52)</f>
        <v xml:space="preserve">Oil crops </v>
      </c>
      <c r="H4087" s="129">
        <f>_xlfn.XLOOKUP(G4087,'[1]T&amp;C emissions for 2050 analysis'!$B$3:$B$23,'[1]T&amp;C emissions for 2050 analysis'!$C$3:$C$23)</f>
        <v>0.18333333333333335</v>
      </c>
      <c r="I4087" s="27">
        <f t="shared" si="189"/>
        <v>8.6357755000000015E-3</v>
      </c>
      <c r="J4087" s="129">
        <f t="shared" si="190"/>
        <v>1.3174333333333335</v>
      </c>
    </row>
    <row r="4088" spans="1:10" hidden="1" x14ac:dyDescent="0.35">
      <c r="A4088" s="126" t="s">
        <v>470</v>
      </c>
      <c r="B4088" t="str">
        <f>_xlfn.XLOOKUP(A4088,'[1]2050Pop'!$A$7:$A$143,'[1]2050Pop'!$D$7:$D$143)</f>
        <v>SSA</v>
      </c>
      <c r="C4088" s="127">
        <f>1000*_xlfn.XLOOKUP(A4088,'[1]2050Pop'!$A$7:$A$143,'[1]2050Pop'!$C$7:$C$143)</f>
        <v>101873</v>
      </c>
      <c r="D4088" s="126" t="s">
        <v>533</v>
      </c>
      <c r="E4088" s="128">
        <v>25.312999999999999</v>
      </c>
      <c r="F4088" s="129">
        <f t="shared" si="191"/>
        <v>2.5787112489999999</v>
      </c>
      <c r="G4088" t="str">
        <f>_xlfn.XLOOKUP(D4088,'[1]2050 BAU Mapping to T &amp; C'!$A$3:$A$52,'[1]2050 BAU Mapping to T &amp; C'!$B$3:$B$52)</f>
        <v xml:space="preserve">Oil crops </v>
      </c>
      <c r="H4088" s="129">
        <f>_xlfn.XLOOKUP(G4088,'[1]T&amp;C emissions for 2050 analysis'!$B$3:$B$23,'[1]T&amp;C emissions for 2050 analysis'!$C$3:$C$23)</f>
        <v>0.18333333333333335</v>
      </c>
      <c r="I4088" s="27">
        <f t="shared" si="189"/>
        <v>0.47276372898333335</v>
      </c>
      <c r="J4088" s="129">
        <f t="shared" si="190"/>
        <v>4.640716666666667</v>
      </c>
    </row>
    <row r="4089" spans="1:10" hidden="1" x14ac:dyDescent="0.35">
      <c r="A4089" s="126" t="s">
        <v>471</v>
      </c>
      <c r="B4089" t="str">
        <f>_xlfn.XLOOKUP(A4089,'[1]2050Pop'!$A$7:$A$143,'[1]2050Pop'!$D$7:$D$143)</f>
        <v>Euro/AU/NZ</v>
      </c>
      <c r="C4089" s="127">
        <f>1000*_xlfn.XLOOKUP(A4089,'[1]2050Pop'!$A$7:$A$143,'[1]2050Pop'!$C$7:$C$143)</f>
        <v>35117</v>
      </c>
      <c r="D4089" s="126" t="s">
        <v>533</v>
      </c>
      <c r="E4089" s="128">
        <v>14.657</v>
      </c>
      <c r="F4089" s="129">
        <f t="shared" si="191"/>
        <v>0.51470986900000004</v>
      </c>
      <c r="G4089" t="str">
        <f>_xlfn.XLOOKUP(D4089,'[1]2050 BAU Mapping to T &amp; C'!$A$3:$A$52,'[1]2050 BAU Mapping to T &amp; C'!$B$3:$B$52)</f>
        <v xml:space="preserve">Oil crops </v>
      </c>
      <c r="H4089" s="129">
        <f>_xlfn.XLOOKUP(G4089,'[1]T&amp;C emissions for 2050 analysis'!$B$3:$B$23,'[1]T&amp;C emissions for 2050 analysis'!$C$3:$C$23)</f>
        <v>0.18333333333333335</v>
      </c>
      <c r="I4089" s="27">
        <f t="shared" si="189"/>
        <v>9.4363475983333348E-2</v>
      </c>
      <c r="J4089" s="129">
        <f t="shared" si="190"/>
        <v>2.6871166666666668</v>
      </c>
    </row>
    <row r="4090" spans="1:10" hidden="1" x14ac:dyDescent="0.35">
      <c r="A4090" s="126" t="s">
        <v>472</v>
      </c>
      <c r="B4090" t="str">
        <f>_xlfn.XLOOKUP(A4090,'[1]2050Pop'!$A$7:$A$143,'[1]2050Pop'!$D$7:$D$143)</f>
        <v>Euro/AU/NZ</v>
      </c>
      <c r="C4090" s="127">
        <f>1000*_xlfn.XLOOKUP(A4090,'[1]2050Pop'!$A$7:$A$143,'[1]2050Pop'!$C$7:$C$143)</f>
        <v>75361</v>
      </c>
      <c r="D4090" s="126" t="s">
        <v>533</v>
      </c>
      <c r="E4090" s="128">
        <v>94.861000000000004</v>
      </c>
      <c r="F4090" s="129">
        <f t="shared" si="191"/>
        <v>7.148819821</v>
      </c>
      <c r="G4090" t="str">
        <f>_xlfn.XLOOKUP(D4090,'[1]2050 BAU Mapping to T &amp; C'!$A$3:$A$52,'[1]2050 BAU Mapping to T &amp; C'!$B$3:$B$52)</f>
        <v xml:space="preserve">Oil crops </v>
      </c>
      <c r="H4090" s="129">
        <f>_xlfn.XLOOKUP(G4090,'[1]T&amp;C emissions for 2050 analysis'!$B$3:$B$23,'[1]T&amp;C emissions for 2050 analysis'!$C$3:$C$23)</f>
        <v>0.18333333333333335</v>
      </c>
      <c r="I4090" s="27">
        <f t="shared" si="189"/>
        <v>1.3106169671833334</v>
      </c>
      <c r="J4090" s="129">
        <f t="shared" si="190"/>
        <v>17.391183333333334</v>
      </c>
    </row>
    <row r="4091" spans="1:10" hidden="1" x14ac:dyDescent="0.35">
      <c r="A4091" s="126" t="s">
        <v>473</v>
      </c>
      <c r="B4091" t="str">
        <f>_xlfn.XLOOKUP(A4091,'[1]2050Pop'!$A$7:$A$143,'[1]2050Pop'!$D$7:$D$143)</f>
        <v>SSA</v>
      </c>
      <c r="C4091" s="127">
        <f>1000*_xlfn.XLOOKUP(A4091,'[1]2050Pop'!$A$7:$A$143,'[1]2050Pop'!$C$7:$C$143)</f>
        <v>137136</v>
      </c>
      <c r="D4091" s="126" t="s">
        <v>533</v>
      </c>
      <c r="E4091" s="128">
        <v>6.7889999999999997</v>
      </c>
      <c r="F4091" s="129">
        <f t="shared" si="191"/>
        <v>0.93101630400000002</v>
      </c>
      <c r="G4091" t="str">
        <f>_xlfn.XLOOKUP(D4091,'[1]2050 BAU Mapping to T &amp; C'!$A$3:$A$52,'[1]2050 BAU Mapping to T &amp; C'!$B$3:$B$52)</f>
        <v xml:space="preserve">Oil crops </v>
      </c>
      <c r="H4091" s="129">
        <f>_xlfn.XLOOKUP(G4091,'[1]T&amp;C emissions for 2050 analysis'!$B$3:$B$23,'[1]T&amp;C emissions for 2050 analysis'!$C$3:$C$23)</f>
        <v>0.18333333333333335</v>
      </c>
      <c r="I4091" s="27">
        <f t="shared" si="189"/>
        <v>0.17068632240000001</v>
      </c>
      <c r="J4091" s="129">
        <f t="shared" si="190"/>
        <v>1.24465</v>
      </c>
    </row>
    <row r="4092" spans="1:10" hidden="1" x14ac:dyDescent="0.35">
      <c r="A4092" s="126" t="s">
        <v>474</v>
      </c>
      <c r="B4092" t="str">
        <f>_xlfn.XLOOKUP(A4092,'[1]2050Pop'!$A$7:$A$143,'[1]2050Pop'!$D$7:$D$143)</f>
        <v>NAm</v>
      </c>
      <c r="C4092" s="127">
        <f>1000*_xlfn.XLOOKUP(A4092,'[1]2050Pop'!$A$7:$A$143,'[1]2050Pop'!$C$7:$C$143)</f>
        <v>388865</v>
      </c>
      <c r="D4092" s="126" t="s">
        <v>533</v>
      </c>
      <c r="E4092" s="128">
        <v>515.20600000000002</v>
      </c>
      <c r="F4092" s="129">
        <f t="shared" si="191"/>
        <v>200.34558118999999</v>
      </c>
      <c r="G4092" t="str">
        <f>_xlfn.XLOOKUP(D4092,'[1]2050 BAU Mapping to T &amp; C'!$A$3:$A$52,'[1]2050 BAU Mapping to T &amp; C'!$B$3:$B$52)</f>
        <v xml:space="preserve">Oil crops </v>
      </c>
      <c r="H4092" s="129">
        <f>_xlfn.XLOOKUP(G4092,'[1]T&amp;C emissions for 2050 analysis'!$B$3:$B$23,'[1]T&amp;C emissions for 2050 analysis'!$C$3:$C$23)</f>
        <v>0.18333333333333335</v>
      </c>
      <c r="I4092" s="27">
        <f t="shared" si="189"/>
        <v>36.730023218166664</v>
      </c>
      <c r="J4092" s="129">
        <f t="shared" si="190"/>
        <v>94.454433333333341</v>
      </c>
    </row>
    <row r="4093" spans="1:10" hidden="1" x14ac:dyDescent="0.35">
      <c r="A4093" s="126" t="s">
        <v>475</v>
      </c>
      <c r="B4093" t="str">
        <f>_xlfn.XLOOKUP(A4093,'[1]2050Pop'!$A$7:$A$143,'[1]2050Pop'!$D$7:$D$143)</f>
        <v>LatAm &amp; RSA</v>
      </c>
      <c r="C4093" s="127">
        <f>1000*_xlfn.XLOOKUP(A4093,'[1]2050Pop'!$A$7:$A$143,'[1]2050Pop'!$C$7:$C$143)</f>
        <v>3667</v>
      </c>
      <c r="D4093" s="126" t="s">
        <v>533</v>
      </c>
      <c r="E4093" s="128">
        <v>207.167</v>
      </c>
      <c r="F4093" s="129">
        <f t="shared" si="191"/>
        <v>0.75968138899999993</v>
      </c>
      <c r="G4093" t="str">
        <f>_xlfn.XLOOKUP(D4093,'[1]2050 BAU Mapping to T &amp; C'!$A$3:$A$52,'[1]2050 BAU Mapping to T &amp; C'!$B$3:$B$52)</f>
        <v xml:space="preserve">Oil crops </v>
      </c>
      <c r="H4093" s="129">
        <f>_xlfn.XLOOKUP(G4093,'[1]T&amp;C emissions for 2050 analysis'!$B$3:$B$23,'[1]T&amp;C emissions for 2050 analysis'!$C$3:$C$23)</f>
        <v>0.18333333333333335</v>
      </c>
      <c r="I4093" s="27">
        <f t="shared" si="189"/>
        <v>0.13927492131666666</v>
      </c>
      <c r="J4093" s="129">
        <f t="shared" si="190"/>
        <v>37.98061666666667</v>
      </c>
    </row>
    <row r="4094" spans="1:10" hidden="1" x14ac:dyDescent="0.35">
      <c r="A4094" s="126" t="s">
        <v>485</v>
      </c>
      <c r="B4094" t="str">
        <f>_xlfn.XLOOKUP(A4094,'[1]2050Pop'!$A$7:$A$143,'[1]2050Pop'!$D$7:$D$143)</f>
        <v>APAC</v>
      </c>
      <c r="C4094" s="127">
        <f>1000*_xlfn.XLOOKUP(A4094,'[1]2050Pop'!$A$7:$A$143,'[1]2050Pop'!$C$7:$C$143)</f>
        <v>37126</v>
      </c>
      <c r="D4094" s="126" t="s">
        <v>533</v>
      </c>
      <c r="E4094" s="128">
        <v>5.3490000000000002</v>
      </c>
      <c r="F4094" s="129">
        <f t="shared" si="191"/>
        <v>0.19858697400000003</v>
      </c>
      <c r="G4094" t="str">
        <f>_xlfn.XLOOKUP(D4094,'[1]2050 BAU Mapping to T &amp; C'!$A$3:$A$52,'[1]2050 BAU Mapping to T &amp; C'!$B$3:$B$52)</f>
        <v xml:space="preserve">Oil crops </v>
      </c>
      <c r="H4094" s="129">
        <f>_xlfn.XLOOKUP(G4094,'[1]T&amp;C emissions for 2050 analysis'!$B$3:$B$23,'[1]T&amp;C emissions for 2050 analysis'!$C$3:$C$23)</f>
        <v>0.18333333333333335</v>
      </c>
      <c r="I4094" s="27">
        <f t="shared" si="189"/>
        <v>3.6407611900000005E-2</v>
      </c>
      <c r="J4094" s="129">
        <f t="shared" si="190"/>
        <v>0.98065000000000013</v>
      </c>
    </row>
    <row r="4095" spans="1:10" hidden="1" x14ac:dyDescent="0.35">
      <c r="A4095" s="126" t="s">
        <v>476</v>
      </c>
      <c r="B4095" t="str">
        <f>_xlfn.XLOOKUP(A4095,'[1]2050Pop'!$A$7:$A$143,'[1]2050Pop'!$D$7:$D$143)</f>
        <v>LatAm &amp; RSA</v>
      </c>
      <c r="C4095" s="127">
        <f>1000*_xlfn.XLOOKUP(A4095,'[1]2050Pop'!$A$7:$A$143,'[1]2050Pop'!$C$7:$C$143)</f>
        <v>41562</v>
      </c>
      <c r="D4095" s="126" t="s">
        <v>533</v>
      </c>
      <c r="E4095" s="128">
        <v>285.33199999999999</v>
      </c>
      <c r="F4095" s="129">
        <f t="shared" si="191"/>
        <v>11.858968583999999</v>
      </c>
      <c r="G4095" t="str">
        <f>_xlfn.XLOOKUP(D4095,'[1]2050 BAU Mapping to T &amp; C'!$A$3:$A$52,'[1]2050 BAU Mapping to T &amp; C'!$B$3:$B$52)</f>
        <v xml:space="preserve">Oil crops </v>
      </c>
      <c r="H4095" s="129">
        <f>_xlfn.XLOOKUP(G4095,'[1]T&amp;C emissions for 2050 analysis'!$B$3:$B$23,'[1]T&amp;C emissions for 2050 analysis'!$C$3:$C$23)</f>
        <v>0.18333333333333335</v>
      </c>
      <c r="I4095" s="27">
        <f t="shared" si="189"/>
        <v>2.1741442404</v>
      </c>
      <c r="J4095" s="129">
        <f t="shared" si="190"/>
        <v>52.310866666666669</v>
      </c>
    </row>
    <row r="4096" spans="1:10" hidden="1" x14ac:dyDescent="0.35">
      <c r="A4096" s="126" t="s">
        <v>477</v>
      </c>
      <c r="B4096" t="str">
        <f>_xlfn.XLOOKUP(A4096,'[1]2050Pop'!$A$7:$A$143,'[1]2050Pop'!$D$7:$D$143)</f>
        <v>APAC</v>
      </c>
      <c r="C4096" s="127">
        <f>1000*_xlfn.XLOOKUP(A4096,'[1]2050Pop'!$A$7:$A$143,'[1]2050Pop'!$C$7:$C$143)</f>
        <v>112783</v>
      </c>
      <c r="D4096" s="126" t="s">
        <v>533</v>
      </c>
      <c r="E4096" s="128">
        <v>33.203000000000003</v>
      </c>
      <c r="F4096" s="129">
        <f t="shared" si="191"/>
        <v>3.7447339490000005</v>
      </c>
      <c r="G4096" t="str">
        <f>_xlfn.XLOOKUP(D4096,'[1]2050 BAU Mapping to T &amp; C'!$A$3:$A$52,'[1]2050 BAU Mapping to T &amp; C'!$B$3:$B$52)</f>
        <v xml:space="preserve">Oil crops </v>
      </c>
      <c r="H4096" s="129">
        <f>_xlfn.XLOOKUP(G4096,'[1]T&amp;C emissions for 2050 analysis'!$B$3:$B$23,'[1]T&amp;C emissions for 2050 analysis'!$C$3:$C$23)</f>
        <v>0.18333333333333335</v>
      </c>
      <c r="I4096" s="27">
        <f t="shared" si="189"/>
        <v>0.68653455731666679</v>
      </c>
      <c r="J4096" s="129">
        <f t="shared" si="190"/>
        <v>6.0872166666666674</v>
      </c>
    </row>
    <row r="4097" spans="1:10" hidden="1" x14ac:dyDescent="0.35">
      <c r="A4097" s="126" t="s">
        <v>478</v>
      </c>
      <c r="B4097" t="str">
        <f>_xlfn.XLOOKUP(A4097,'[1]2050Pop'!$A$7:$A$143,'[1]2050Pop'!$D$7:$D$143)</f>
        <v>MENA</v>
      </c>
      <c r="C4097" s="127">
        <f>1000*_xlfn.XLOOKUP(A4097,'[1]2050Pop'!$A$7:$A$143,'[1]2050Pop'!$C$7:$C$143)</f>
        <v>47170</v>
      </c>
      <c r="D4097" s="126" t="s">
        <v>533</v>
      </c>
      <c r="E4097" s="128">
        <v>1.6479999999999999</v>
      </c>
      <c r="F4097" s="129">
        <f t="shared" si="191"/>
        <v>7.7736159999999985E-2</v>
      </c>
      <c r="G4097" t="str">
        <f>_xlfn.XLOOKUP(D4097,'[1]2050 BAU Mapping to T &amp; C'!$A$3:$A$52,'[1]2050 BAU Mapping to T &amp; C'!$B$3:$B$52)</f>
        <v xml:space="preserve">Oil crops </v>
      </c>
      <c r="H4097" s="129">
        <f>_xlfn.XLOOKUP(G4097,'[1]T&amp;C emissions for 2050 analysis'!$B$3:$B$23,'[1]T&amp;C emissions for 2050 analysis'!$C$3:$C$23)</f>
        <v>0.18333333333333335</v>
      </c>
      <c r="I4097" s="27">
        <f t="shared" si="189"/>
        <v>1.4251629333333331E-2</v>
      </c>
      <c r="J4097" s="129">
        <f t="shared" si="190"/>
        <v>0.30213333333333336</v>
      </c>
    </row>
    <row r="4098" spans="1:10" hidden="1" x14ac:dyDescent="0.35">
      <c r="A4098" s="126" t="s">
        <v>494</v>
      </c>
      <c r="B4098" t="str">
        <f>_xlfn.XLOOKUP(A4098,'[1]2050Pop'!$A$7:$A$143,'[1]2050Pop'!$D$7:$D$143)</f>
        <v>SSA</v>
      </c>
      <c r="C4098" s="127">
        <f>1000*_xlfn.XLOOKUP(A4098,'[1]2050Pop'!$A$7:$A$143,'[1]2050Pop'!$C$7:$C$143)</f>
        <v>42975</v>
      </c>
      <c r="D4098" s="126" t="s">
        <v>533</v>
      </c>
      <c r="E4098" s="128">
        <v>37.555999999999997</v>
      </c>
      <c r="F4098" s="129">
        <f t="shared" si="191"/>
        <v>1.6139690999999998</v>
      </c>
      <c r="G4098" t="str">
        <f>_xlfn.XLOOKUP(D4098,'[1]2050 BAU Mapping to T &amp; C'!$A$3:$A$52,'[1]2050 BAU Mapping to T &amp; C'!$B$3:$B$52)</f>
        <v xml:space="preserve">Oil crops </v>
      </c>
      <c r="H4098" s="129">
        <f>_xlfn.XLOOKUP(G4098,'[1]T&amp;C emissions for 2050 analysis'!$B$3:$B$23,'[1]T&amp;C emissions for 2050 analysis'!$C$3:$C$23)</f>
        <v>0.18333333333333335</v>
      </c>
      <c r="I4098" s="27">
        <f t="shared" si="189"/>
        <v>0.29589433500000001</v>
      </c>
      <c r="J4098" s="129">
        <f t="shared" si="190"/>
        <v>6.8852666666666664</v>
      </c>
    </row>
    <row r="4099" spans="1:10" hidden="1" x14ac:dyDescent="0.35">
      <c r="A4099" s="126" t="s">
        <v>479</v>
      </c>
      <c r="B4099" t="str">
        <f>_xlfn.XLOOKUP(A4099,'[1]2050Pop'!$A$7:$A$143,'[1]2050Pop'!$D$7:$D$143)</f>
        <v>SSA</v>
      </c>
      <c r="C4099" s="127">
        <f>1000*_xlfn.XLOOKUP(A4099,'[1]2050Pop'!$A$7:$A$143,'[1]2050Pop'!$C$7:$C$143)</f>
        <v>29615</v>
      </c>
      <c r="D4099" s="126" t="s">
        <v>533</v>
      </c>
      <c r="E4099" s="128">
        <v>80.781000000000006</v>
      </c>
      <c r="F4099" s="129">
        <f t="shared" si="191"/>
        <v>2.392329315</v>
      </c>
      <c r="G4099" t="str">
        <f>_xlfn.XLOOKUP(D4099,'[1]2050 BAU Mapping to T &amp; C'!$A$3:$A$52,'[1]2050 BAU Mapping to T &amp; C'!$B$3:$B$52)</f>
        <v xml:space="preserve">Oil crops </v>
      </c>
      <c r="H4099" s="129">
        <f>_xlfn.XLOOKUP(G4099,'[1]T&amp;C emissions for 2050 analysis'!$B$3:$B$23,'[1]T&amp;C emissions for 2050 analysis'!$C$3:$C$23)</f>
        <v>0.18333333333333335</v>
      </c>
      <c r="I4099" s="27">
        <f t="shared" si="189"/>
        <v>0.43859370775000006</v>
      </c>
      <c r="J4099" s="129">
        <f t="shared" si="190"/>
        <v>14.809850000000003</v>
      </c>
    </row>
    <row r="4100" spans="1:10" hidden="1" x14ac:dyDescent="0.35">
      <c r="A4100" s="126" t="s">
        <v>359</v>
      </c>
      <c r="B4100" t="str">
        <f>_xlfn.XLOOKUP(A4100,'[1]2050Pop'!$A$7:$A$143,'[1]2050Pop'!$D$7:$D$143)</f>
        <v>SSA</v>
      </c>
      <c r="C4100" s="127">
        <f>1000*_xlfn.XLOOKUP(A4100,'[1]2050Pop'!$A$7:$A$143,'[1]2050Pop'!$C$7:$C$143)</f>
        <v>65473</v>
      </c>
      <c r="D4100" s="126" t="s">
        <v>534</v>
      </c>
      <c r="E4100" s="128">
        <v>4.016</v>
      </c>
      <c r="F4100" s="129">
        <f t="shared" si="191"/>
        <v>0.26293956800000001</v>
      </c>
      <c r="G4100" t="str">
        <f>_xlfn.XLOOKUP(D4100,'[1]2050 BAU Mapping to T &amp; C'!$A$3:$A$52,'[1]2050 BAU Mapping to T &amp; C'!$B$3:$B$52)</f>
        <v>Legumes</v>
      </c>
      <c r="H4100" s="129">
        <f>_xlfn.XLOOKUP(G4100,'[1]T&amp;C emissions for 2050 analysis'!$B$3:$B$23,'[1]T&amp;C emissions for 2050 analysis'!$C$3:$C$23)</f>
        <v>7.3333333333333334E-2</v>
      </c>
      <c r="I4100" s="27">
        <f t="shared" ref="I4100:I4163" si="192">F4100*H4100</f>
        <v>1.9282234986666667E-2</v>
      </c>
      <c r="J4100" s="129">
        <f t="shared" ref="J4100:J4163" si="193">E4100*H4100</f>
        <v>0.29450666666666669</v>
      </c>
    </row>
    <row r="4101" spans="1:10" hidden="1" x14ac:dyDescent="0.35">
      <c r="A4101" s="126" t="s">
        <v>362</v>
      </c>
      <c r="B4101" t="str">
        <f>_xlfn.XLOOKUP(A4101,'[1]2050Pop'!$A$7:$A$143,'[1]2050Pop'!$D$7:$D$143)</f>
        <v>Euro/AU/NZ</v>
      </c>
      <c r="C4101" s="127">
        <f>1000*_xlfn.XLOOKUP(A4101,'[1]2050Pop'!$A$7:$A$143,'[1]2050Pop'!$C$7:$C$143)</f>
        <v>33496</v>
      </c>
      <c r="D4101" s="126" t="s">
        <v>534</v>
      </c>
      <c r="E4101" s="128">
        <v>1.302</v>
      </c>
      <c r="F4101" s="129">
        <f t="shared" ref="F4101:F4164" si="194">C4101*E4101/1000000</f>
        <v>4.3611792000000003E-2</v>
      </c>
      <c r="G4101" t="str">
        <f>_xlfn.XLOOKUP(D4101,'[1]2050 BAU Mapping to T &amp; C'!$A$3:$A$52,'[1]2050 BAU Mapping to T &amp; C'!$B$3:$B$52)</f>
        <v>Legumes</v>
      </c>
      <c r="H4101" s="129">
        <f>_xlfn.XLOOKUP(G4101,'[1]T&amp;C emissions for 2050 analysis'!$B$3:$B$23,'[1]T&amp;C emissions for 2050 analysis'!$C$3:$C$23)</f>
        <v>7.3333333333333334E-2</v>
      </c>
      <c r="I4101" s="27">
        <f t="shared" si="192"/>
        <v>3.1981980800000003E-3</v>
      </c>
      <c r="J4101" s="129">
        <f t="shared" si="193"/>
        <v>9.5480000000000009E-2</v>
      </c>
    </row>
    <row r="4102" spans="1:10" hidden="1" x14ac:dyDescent="0.35">
      <c r="A4102" s="126" t="s">
        <v>363</v>
      </c>
      <c r="B4102" t="str">
        <f>_xlfn.XLOOKUP(A4102,'[1]2050Pop'!$A$7:$A$143,'[1]2050Pop'!$D$7:$D$143)</f>
        <v>Euro/AU/NZ</v>
      </c>
      <c r="C4102" s="127">
        <f>1000*_xlfn.XLOOKUP(A4102,'[1]2050Pop'!$A$7:$A$143,'[1]2050Pop'!$C$7:$C$143)</f>
        <v>8846</v>
      </c>
      <c r="D4102" s="126" t="s">
        <v>534</v>
      </c>
      <c r="E4102" s="128">
        <v>20.102</v>
      </c>
      <c r="F4102" s="129">
        <f t="shared" si="194"/>
        <v>0.17782229200000002</v>
      </c>
      <c r="G4102" t="str">
        <f>_xlfn.XLOOKUP(D4102,'[1]2050 BAU Mapping to T &amp; C'!$A$3:$A$52,'[1]2050 BAU Mapping to T &amp; C'!$B$3:$B$52)</f>
        <v>Legumes</v>
      </c>
      <c r="H4102" s="129">
        <f>_xlfn.XLOOKUP(G4102,'[1]T&amp;C emissions for 2050 analysis'!$B$3:$B$23,'[1]T&amp;C emissions for 2050 analysis'!$C$3:$C$23)</f>
        <v>7.3333333333333334E-2</v>
      </c>
      <c r="I4102" s="27">
        <f t="shared" si="192"/>
        <v>1.3040301413333335E-2</v>
      </c>
      <c r="J4102" s="129">
        <f t="shared" si="193"/>
        <v>1.4741466666666667</v>
      </c>
    </row>
    <row r="4103" spans="1:10" hidden="1" x14ac:dyDescent="0.35">
      <c r="A4103" s="126" t="s">
        <v>365</v>
      </c>
      <c r="B4103" t="str">
        <f>_xlfn.XLOOKUP(A4103,'[1]2050Pop'!$A$7:$A$143,'[1]2050Pop'!$D$7:$D$143)</f>
        <v>India/South Asia</v>
      </c>
      <c r="C4103" s="127">
        <f>1000*_xlfn.XLOOKUP(A4103,'[1]2050Pop'!$A$7:$A$143,'[1]2050Pop'!$C$7:$C$143)</f>
        <v>202209</v>
      </c>
      <c r="D4103" s="126" t="s">
        <v>534</v>
      </c>
      <c r="E4103" s="130">
        <v>9.59</v>
      </c>
      <c r="F4103" s="129">
        <f t="shared" si="194"/>
        <v>1.9391843100000001</v>
      </c>
      <c r="G4103" t="str">
        <f>_xlfn.XLOOKUP(D4103,'[1]2050 BAU Mapping to T &amp; C'!$A$3:$A$52,'[1]2050 BAU Mapping to T &amp; C'!$B$3:$B$52)</f>
        <v>Legumes</v>
      </c>
      <c r="H4103" s="129">
        <f>_xlfn.XLOOKUP(G4103,'[1]T&amp;C emissions for 2050 analysis'!$B$3:$B$23,'[1]T&amp;C emissions for 2050 analysis'!$C$3:$C$23)</f>
        <v>7.3333333333333334E-2</v>
      </c>
      <c r="I4103" s="27">
        <f t="shared" si="192"/>
        <v>0.1422068494</v>
      </c>
      <c r="J4103" s="129">
        <f t="shared" si="193"/>
        <v>0.70326666666666671</v>
      </c>
    </row>
    <row r="4104" spans="1:10" hidden="1" x14ac:dyDescent="0.35">
      <c r="A4104" s="126" t="s">
        <v>366</v>
      </c>
      <c r="B4104" t="str">
        <f>_xlfn.XLOOKUP(A4104,'[1]2050Pop'!$A$7:$A$143,'[1]2050Pop'!$D$7:$D$143)</f>
        <v>Euro/AU/NZ</v>
      </c>
      <c r="C4104" s="127">
        <f>1000*_xlfn.XLOOKUP(A4104,'[1]2050Pop'!$A$7:$A$143,'[1]2050Pop'!$C$7:$C$143)</f>
        <v>8125</v>
      </c>
      <c r="D4104" s="126" t="s">
        <v>534</v>
      </c>
      <c r="E4104" s="130">
        <v>6.95</v>
      </c>
      <c r="F4104" s="129">
        <f t="shared" si="194"/>
        <v>5.6468749999999998E-2</v>
      </c>
      <c r="G4104" t="str">
        <f>_xlfn.XLOOKUP(D4104,'[1]2050 BAU Mapping to T &amp; C'!$A$3:$A$52,'[1]2050 BAU Mapping to T &amp; C'!$B$3:$B$52)</f>
        <v>Legumes</v>
      </c>
      <c r="H4104" s="129">
        <f>_xlfn.XLOOKUP(G4104,'[1]T&amp;C emissions for 2050 analysis'!$B$3:$B$23,'[1]T&amp;C emissions for 2050 analysis'!$C$3:$C$23)</f>
        <v>7.3333333333333334E-2</v>
      </c>
      <c r="I4104" s="27">
        <f t="shared" si="192"/>
        <v>4.1410416666666661E-3</v>
      </c>
      <c r="J4104" s="129">
        <f t="shared" si="193"/>
        <v>0.50966666666666671</v>
      </c>
    </row>
    <row r="4105" spans="1:10" hidden="1" x14ac:dyDescent="0.35">
      <c r="A4105" s="126" t="s">
        <v>370</v>
      </c>
      <c r="B4105" t="str">
        <f>_xlfn.XLOOKUP(A4105,'[1]2050Pop'!$A$7:$A$143,'[1]2050Pop'!$D$7:$D$143)</f>
        <v>Euro/AU/NZ</v>
      </c>
      <c r="C4105" s="127">
        <f>1000*_xlfn.XLOOKUP(A4105,'[1]2050Pop'!$A$7:$A$143,'[1]2050Pop'!$C$7:$C$143)</f>
        <v>3069</v>
      </c>
      <c r="D4105" s="126" t="s">
        <v>534</v>
      </c>
      <c r="E4105" s="131">
        <v>12.8</v>
      </c>
      <c r="F4105" s="129">
        <f t="shared" si="194"/>
        <v>3.9283200000000004E-2</v>
      </c>
      <c r="G4105" t="str">
        <f>_xlfn.XLOOKUP(D4105,'[1]2050 BAU Mapping to T &amp; C'!$A$3:$A$52,'[1]2050 BAU Mapping to T &amp; C'!$B$3:$B$52)</f>
        <v>Legumes</v>
      </c>
      <c r="H4105" s="129">
        <f>_xlfn.XLOOKUP(G4105,'[1]T&amp;C emissions for 2050 analysis'!$B$3:$B$23,'[1]T&amp;C emissions for 2050 analysis'!$C$3:$C$23)</f>
        <v>7.3333333333333334E-2</v>
      </c>
      <c r="I4105" s="27">
        <f t="shared" si="192"/>
        <v>2.8807680000000001E-3</v>
      </c>
      <c r="J4105" s="129">
        <f t="shared" si="193"/>
        <v>0.93866666666666676</v>
      </c>
    </row>
    <row r="4106" spans="1:10" hidden="1" x14ac:dyDescent="0.35">
      <c r="A4106" s="126" t="s">
        <v>371</v>
      </c>
      <c r="B4106" t="str">
        <f>_xlfn.XLOOKUP(A4106,'[1]2050Pop'!$A$7:$A$143,'[1]2050Pop'!$D$7:$D$143)</f>
        <v>SSA</v>
      </c>
      <c r="C4106" s="127">
        <f>1000*_xlfn.XLOOKUP(A4106,'[1]2050Pop'!$A$7:$A$143,'[1]2050Pop'!$C$7:$C$143)</f>
        <v>3389</v>
      </c>
      <c r="D4106" s="126" t="s">
        <v>534</v>
      </c>
      <c r="E4106" s="130">
        <v>17.77</v>
      </c>
      <c r="F4106" s="129">
        <f t="shared" si="194"/>
        <v>6.0222529999999996E-2</v>
      </c>
      <c r="G4106" t="str">
        <f>_xlfn.XLOOKUP(D4106,'[1]2050 BAU Mapping to T &amp; C'!$A$3:$A$52,'[1]2050 BAU Mapping to T &amp; C'!$B$3:$B$52)</f>
        <v>Legumes</v>
      </c>
      <c r="H4106" s="129">
        <f>_xlfn.XLOOKUP(G4106,'[1]T&amp;C emissions for 2050 analysis'!$B$3:$B$23,'[1]T&amp;C emissions for 2050 analysis'!$C$3:$C$23)</f>
        <v>7.3333333333333334E-2</v>
      </c>
      <c r="I4106" s="27">
        <f t="shared" si="192"/>
        <v>4.4163188666666662E-3</v>
      </c>
      <c r="J4106" s="129">
        <f t="shared" si="193"/>
        <v>1.3031333333333333</v>
      </c>
    </row>
    <row r="4107" spans="1:10" hidden="1" x14ac:dyDescent="0.35">
      <c r="A4107" s="126" t="s">
        <v>372</v>
      </c>
      <c r="B4107" t="str">
        <f>_xlfn.XLOOKUP(A4107,'[1]2050Pop'!$A$7:$A$143,'[1]2050Pop'!$D$7:$D$143)</f>
        <v>LatAm &amp; RSA</v>
      </c>
      <c r="C4107" s="127">
        <f>1000*_xlfn.XLOOKUP(A4107,'[1]2050Pop'!$A$7:$A$143,'[1]2050Pop'!$C$7:$C$143)</f>
        <v>238270</v>
      </c>
      <c r="D4107" s="126" t="s">
        <v>534</v>
      </c>
      <c r="E4107" s="130">
        <v>24.52</v>
      </c>
      <c r="F4107" s="129">
        <f t="shared" si="194"/>
        <v>5.8423803999999997</v>
      </c>
      <c r="G4107" t="str">
        <f>_xlfn.XLOOKUP(D4107,'[1]2050 BAU Mapping to T &amp; C'!$A$3:$A$52,'[1]2050 BAU Mapping to T &amp; C'!$B$3:$B$52)</f>
        <v>Legumes</v>
      </c>
      <c r="H4107" s="129">
        <f>_xlfn.XLOOKUP(G4107,'[1]T&amp;C emissions for 2050 analysis'!$B$3:$B$23,'[1]T&amp;C emissions for 2050 analysis'!$C$3:$C$23)</f>
        <v>7.3333333333333334E-2</v>
      </c>
      <c r="I4107" s="27">
        <f t="shared" si="192"/>
        <v>0.42844122933333334</v>
      </c>
      <c r="J4107" s="129">
        <f t="shared" si="193"/>
        <v>1.7981333333333334</v>
      </c>
    </row>
    <row r="4108" spans="1:10" hidden="1" x14ac:dyDescent="0.35">
      <c r="A4108" s="126" t="s">
        <v>487</v>
      </c>
      <c r="B4108" t="str">
        <f>_xlfn.XLOOKUP(A4108,'[1]2050Pop'!$A$7:$A$143,'[1]2050Pop'!$D$7:$D$143)</f>
        <v>SSA</v>
      </c>
      <c r="C4108" s="127">
        <f>1000*_xlfn.XLOOKUP(A4108,'[1]2050Pop'!$A$7:$A$143,'[1]2050Pop'!$C$7:$C$143)</f>
        <v>42789</v>
      </c>
      <c r="D4108" s="126" t="s">
        <v>534</v>
      </c>
      <c r="E4108" s="128">
        <v>17.003</v>
      </c>
      <c r="F4108" s="129">
        <f t="shared" si="194"/>
        <v>0.72754136699999994</v>
      </c>
      <c r="G4108" t="str">
        <f>_xlfn.XLOOKUP(D4108,'[1]2050 BAU Mapping to T &amp; C'!$A$3:$A$52,'[1]2050 BAU Mapping to T &amp; C'!$B$3:$B$52)</f>
        <v>Legumes</v>
      </c>
      <c r="H4108" s="129">
        <f>_xlfn.XLOOKUP(G4108,'[1]T&amp;C emissions for 2050 analysis'!$B$3:$B$23,'[1]T&amp;C emissions for 2050 analysis'!$C$3:$C$23)</f>
        <v>7.3333333333333334E-2</v>
      </c>
      <c r="I4108" s="27">
        <f t="shared" si="192"/>
        <v>5.3353033579999994E-2</v>
      </c>
      <c r="J4108" s="129">
        <f t="shared" si="193"/>
        <v>1.2468866666666667</v>
      </c>
    </row>
    <row r="4109" spans="1:10" hidden="1" x14ac:dyDescent="0.35">
      <c r="A4109" s="126" t="s">
        <v>374</v>
      </c>
      <c r="B4109" t="str">
        <f>_xlfn.XLOOKUP(A4109,'[1]2050Pop'!$A$7:$A$143,'[1]2050Pop'!$D$7:$D$143)</f>
        <v>APAC</v>
      </c>
      <c r="C4109" s="127">
        <f>1000*_xlfn.XLOOKUP(A4109,'[1]2050Pop'!$A$7:$A$143,'[1]2050Pop'!$C$7:$C$143)</f>
        <v>22545</v>
      </c>
      <c r="D4109" s="126" t="s">
        <v>534</v>
      </c>
      <c r="E4109" s="128">
        <v>55.356000000000002</v>
      </c>
      <c r="F4109" s="129">
        <f t="shared" si="194"/>
        <v>1.24800102</v>
      </c>
      <c r="G4109" t="str">
        <f>_xlfn.XLOOKUP(D4109,'[1]2050 BAU Mapping to T &amp; C'!$A$3:$A$52,'[1]2050 BAU Mapping to T &amp; C'!$B$3:$B$52)</f>
        <v>Legumes</v>
      </c>
      <c r="H4109" s="129">
        <f>_xlfn.XLOOKUP(G4109,'[1]T&amp;C emissions for 2050 analysis'!$B$3:$B$23,'[1]T&amp;C emissions for 2050 analysis'!$C$3:$C$23)</f>
        <v>7.3333333333333334E-2</v>
      </c>
      <c r="I4109" s="27">
        <f t="shared" si="192"/>
        <v>9.1520074800000004E-2</v>
      </c>
      <c r="J4109" s="129">
        <f t="shared" si="193"/>
        <v>4.0594400000000004</v>
      </c>
    </row>
    <row r="4110" spans="1:10" hidden="1" x14ac:dyDescent="0.35">
      <c r="A4110" s="126" t="s">
        <v>375</v>
      </c>
      <c r="B4110" t="str">
        <f>_xlfn.XLOOKUP(A4110,'[1]2050Pop'!$A$7:$A$143,'[1]2050Pop'!$D$7:$D$143)</f>
        <v>SSA</v>
      </c>
      <c r="C4110" s="127">
        <f>1000*_xlfn.XLOOKUP(A4110,'[1]2050Pop'!$A$7:$A$143,'[1]2050Pop'!$C$7:$C$143)</f>
        <v>48362</v>
      </c>
      <c r="D4110" s="126" t="s">
        <v>534</v>
      </c>
      <c r="E4110" s="128">
        <v>7.7809999999999997</v>
      </c>
      <c r="F4110" s="129">
        <f t="shared" si="194"/>
        <v>0.37630472200000004</v>
      </c>
      <c r="G4110" t="str">
        <f>_xlfn.XLOOKUP(D4110,'[1]2050 BAU Mapping to T &amp; C'!$A$3:$A$52,'[1]2050 BAU Mapping to T &amp; C'!$B$3:$B$52)</f>
        <v>Legumes</v>
      </c>
      <c r="H4110" s="129">
        <f>_xlfn.XLOOKUP(G4110,'[1]T&amp;C emissions for 2050 analysis'!$B$3:$B$23,'[1]T&amp;C emissions for 2050 analysis'!$C$3:$C$23)</f>
        <v>7.3333333333333334E-2</v>
      </c>
      <c r="I4110" s="27">
        <f t="shared" si="192"/>
        <v>2.7595679613333337E-2</v>
      </c>
      <c r="J4110" s="129">
        <f t="shared" si="193"/>
        <v>0.5706066666666666</v>
      </c>
    </row>
    <row r="4111" spans="1:10" hidden="1" x14ac:dyDescent="0.35">
      <c r="A4111" s="126" t="s">
        <v>376</v>
      </c>
      <c r="B4111" t="str">
        <f>_xlfn.XLOOKUP(A4111,'[1]2050Pop'!$A$7:$A$143,'[1]2050Pop'!$D$7:$D$143)</f>
        <v>NAm</v>
      </c>
      <c r="C4111" s="127">
        <f>1000*_xlfn.XLOOKUP(A4111,'[1]2050Pop'!$A$7:$A$143,'[1]2050Pop'!$C$7:$C$143)</f>
        <v>44136</v>
      </c>
      <c r="D4111" s="126" t="s">
        <v>534</v>
      </c>
      <c r="E4111" s="128">
        <v>9.2710000000000008</v>
      </c>
      <c r="F4111" s="129">
        <f t="shared" si="194"/>
        <v>0.40918485600000004</v>
      </c>
      <c r="G4111" t="str">
        <f>_xlfn.XLOOKUP(D4111,'[1]2050 BAU Mapping to T &amp; C'!$A$3:$A$52,'[1]2050 BAU Mapping to T &amp; C'!$B$3:$B$52)</f>
        <v>Legumes</v>
      </c>
      <c r="H4111" s="129">
        <f>_xlfn.XLOOKUP(G4111,'[1]T&amp;C emissions for 2050 analysis'!$B$3:$B$23,'[1]T&amp;C emissions for 2050 analysis'!$C$3:$C$23)</f>
        <v>7.3333333333333334E-2</v>
      </c>
      <c r="I4111" s="27">
        <f t="shared" si="192"/>
        <v>3.0006889440000004E-2</v>
      </c>
      <c r="J4111" s="129">
        <f t="shared" si="193"/>
        <v>0.67987333333333344</v>
      </c>
    </row>
    <row r="4112" spans="1:10" hidden="1" x14ac:dyDescent="0.35">
      <c r="A4112" s="126" t="s">
        <v>379</v>
      </c>
      <c r="B4112" t="str">
        <f>_xlfn.XLOOKUP(A4112,'[1]2050Pop'!$A$7:$A$143,'[1]2050Pop'!$D$7:$D$143)</f>
        <v>Greater China</v>
      </c>
      <c r="C4112" s="127">
        <f>1000*_xlfn.XLOOKUP(A4112,'[1]2050Pop'!$A$7:$A$143,'[1]2050Pop'!$C$7:$C$143)</f>
        <v>8148</v>
      </c>
      <c r="D4112" s="126" t="s">
        <v>534</v>
      </c>
      <c r="E4112" s="128">
        <v>34.256999999999998</v>
      </c>
      <c r="F4112" s="129">
        <f t="shared" si="194"/>
        <v>0.27912603599999997</v>
      </c>
      <c r="G4112" t="str">
        <f>_xlfn.XLOOKUP(D4112,'[1]2050 BAU Mapping to T &amp; C'!$A$3:$A$52,'[1]2050 BAU Mapping to T &amp; C'!$B$3:$B$52)</f>
        <v>Legumes</v>
      </c>
      <c r="H4112" s="129">
        <f>_xlfn.XLOOKUP(G4112,'[1]T&amp;C emissions for 2050 analysis'!$B$3:$B$23,'[1]T&amp;C emissions for 2050 analysis'!$C$3:$C$23)</f>
        <v>7.3333333333333334E-2</v>
      </c>
      <c r="I4112" s="27">
        <f t="shared" si="192"/>
        <v>2.0469242639999996E-2</v>
      </c>
      <c r="J4112" s="129">
        <f t="shared" si="193"/>
        <v>2.5121799999999999</v>
      </c>
    </row>
    <row r="4113" spans="1:10" hidden="1" x14ac:dyDescent="0.35">
      <c r="A4113" s="126" t="s">
        <v>380</v>
      </c>
      <c r="B4113" t="str">
        <f>_xlfn.XLOOKUP(A4113,'[1]2050Pop'!$A$7:$A$143,'[1]2050Pop'!$D$7:$D$143)</f>
        <v>Greater China</v>
      </c>
      <c r="C4113" s="127">
        <f>1000*_xlfn.XLOOKUP(A4113,'[1]2050Pop'!$A$7:$A$143,'[1]2050Pop'!$C$7:$C$143)</f>
        <v>1348056</v>
      </c>
      <c r="D4113" s="126" t="s">
        <v>534</v>
      </c>
      <c r="E4113" s="128">
        <v>48.938000000000002</v>
      </c>
      <c r="F4113" s="129">
        <f t="shared" si="194"/>
        <v>65.971164528000003</v>
      </c>
      <c r="G4113" t="str">
        <f>_xlfn.XLOOKUP(D4113,'[1]2050 BAU Mapping to T &amp; C'!$A$3:$A$52,'[1]2050 BAU Mapping to T &amp; C'!$B$3:$B$52)</f>
        <v>Legumes</v>
      </c>
      <c r="H4113" s="129">
        <f>_xlfn.XLOOKUP(G4113,'[1]T&amp;C emissions for 2050 analysis'!$B$3:$B$23,'[1]T&amp;C emissions for 2050 analysis'!$C$3:$C$23)</f>
        <v>7.3333333333333334E-2</v>
      </c>
      <c r="I4113" s="27">
        <f t="shared" si="192"/>
        <v>4.8378853987200001</v>
      </c>
      <c r="J4113" s="129">
        <f t="shared" si="193"/>
        <v>3.588786666666667</v>
      </c>
    </row>
    <row r="4114" spans="1:10" hidden="1" x14ac:dyDescent="0.35">
      <c r="A4114" s="126" t="s">
        <v>381</v>
      </c>
      <c r="B4114" t="str">
        <f>_xlfn.XLOOKUP(A4114,'[1]2050Pop'!$A$7:$A$143,'[1]2050Pop'!$D$7:$D$143)</f>
        <v>Greater China</v>
      </c>
      <c r="C4114" s="127">
        <f>1000*_xlfn.XLOOKUP(A4114,'[1]2050Pop'!$A$7:$A$143,'[1]2050Pop'!$C$7:$C$143)</f>
        <v>20778</v>
      </c>
      <c r="D4114" s="126" t="s">
        <v>534</v>
      </c>
      <c r="E4114" s="128">
        <v>136.643</v>
      </c>
      <c r="F4114" s="129">
        <f t="shared" si="194"/>
        <v>2.8391682540000001</v>
      </c>
      <c r="G4114" t="str">
        <f>_xlfn.XLOOKUP(D4114,'[1]2050 BAU Mapping to T &amp; C'!$A$3:$A$52,'[1]2050 BAU Mapping to T &amp; C'!$B$3:$B$52)</f>
        <v>Legumes</v>
      </c>
      <c r="H4114" s="129">
        <f>_xlfn.XLOOKUP(G4114,'[1]T&amp;C emissions for 2050 analysis'!$B$3:$B$23,'[1]T&amp;C emissions for 2050 analysis'!$C$3:$C$23)</f>
        <v>7.3333333333333334E-2</v>
      </c>
      <c r="I4114" s="27">
        <f t="shared" si="192"/>
        <v>0.20820567196</v>
      </c>
      <c r="J4114" s="129">
        <f t="shared" si="193"/>
        <v>10.020486666666667</v>
      </c>
    </row>
    <row r="4115" spans="1:10" hidden="1" x14ac:dyDescent="0.35">
      <c r="A4115" s="126" t="s">
        <v>382</v>
      </c>
      <c r="B4115" t="str">
        <f>_xlfn.XLOOKUP(A4115,'[1]2050Pop'!$A$7:$A$143,'[1]2050Pop'!$D$7:$D$143)</f>
        <v>LatAm &amp; RSA</v>
      </c>
      <c r="C4115" s="127">
        <f>1000*_xlfn.XLOOKUP(A4115,'[1]2050Pop'!$A$7:$A$143,'[1]2050Pop'!$C$7:$C$143)</f>
        <v>54927</v>
      </c>
      <c r="D4115" s="126" t="s">
        <v>534</v>
      </c>
      <c r="E4115" s="128">
        <v>7.9480000000000004</v>
      </c>
      <c r="F4115" s="129">
        <f t="shared" si="194"/>
        <v>0.43655979600000006</v>
      </c>
      <c r="G4115" t="str">
        <f>_xlfn.XLOOKUP(D4115,'[1]2050 BAU Mapping to T &amp; C'!$A$3:$A$52,'[1]2050 BAU Mapping to T &amp; C'!$B$3:$B$52)</f>
        <v>Legumes</v>
      </c>
      <c r="H4115" s="129">
        <f>_xlfn.XLOOKUP(G4115,'[1]T&amp;C emissions for 2050 analysis'!$B$3:$B$23,'[1]T&amp;C emissions for 2050 analysis'!$C$3:$C$23)</f>
        <v>7.3333333333333334E-2</v>
      </c>
      <c r="I4115" s="27">
        <f t="shared" si="192"/>
        <v>3.2014385040000003E-2</v>
      </c>
      <c r="J4115" s="129">
        <f t="shared" si="193"/>
        <v>0.58285333333333333</v>
      </c>
    </row>
    <row r="4116" spans="1:10" hidden="1" x14ac:dyDescent="0.35">
      <c r="A4116" s="126" t="s">
        <v>383</v>
      </c>
      <c r="B4116" t="str">
        <f>_xlfn.XLOOKUP(A4116,'[1]2050Pop'!$A$7:$A$143,'[1]2050Pop'!$D$7:$D$143)</f>
        <v>LatAm &amp; RSA</v>
      </c>
      <c r="C4116" s="127">
        <f>1000*_xlfn.XLOOKUP(A4116,'[1]2050Pop'!$A$7:$A$143,'[1]2050Pop'!$C$7:$C$143)</f>
        <v>5759</v>
      </c>
      <c r="D4116" s="126" t="s">
        <v>534</v>
      </c>
      <c r="E4116" s="128">
        <v>22.594999999999999</v>
      </c>
      <c r="F4116" s="129">
        <f t="shared" si="194"/>
        <v>0.130124605</v>
      </c>
      <c r="G4116" t="str">
        <f>_xlfn.XLOOKUP(D4116,'[1]2050 BAU Mapping to T &amp; C'!$A$3:$A$52,'[1]2050 BAU Mapping to T &amp; C'!$B$3:$B$52)</f>
        <v>Legumes</v>
      </c>
      <c r="H4116" s="129">
        <f>_xlfn.XLOOKUP(G4116,'[1]T&amp;C emissions for 2050 analysis'!$B$3:$B$23,'[1]T&amp;C emissions for 2050 analysis'!$C$3:$C$23)</f>
        <v>7.3333333333333334E-2</v>
      </c>
      <c r="I4116" s="27">
        <f t="shared" si="192"/>
        <v>9.5424710333333329E-3</v>
      </c>
      <c r="J4116" s="129">
        <f t="shared" si="193"/>
        <v>1.6569666666666667</v>
      </c>
    </row>
    <row r="4117" spans="1:10" hidden="1" x14ac:dyDescent="0.35">
      <c r="A4117" s="126" t="s">
        <v>386</v>
      </c>
      <c r="B4117" t="str">
        <f>_xlfn.XLOOKUP(A4117,'[1]2050Pop'!$A$7:$A$143,'[1]2050Pop'!$D$7:$D$143)</f>
        <v>LatAm &amp; RSA</v>
      </c>
      <c r="C4117" s="127">
        <f>1000*_xlfn.XLOOKUP(A4117,'[1]2050Pop'!$A$7:$A$143,'[1]2050Pop'!$C$7:$C$143)</f>
        <v>10339</v>
      </c>
      <c r="D4117" s="126" t="s">
        <v>534</v>
      </c>
      <c r="E4117" s="128">
        <v>71.691999999999993</v>
      </c>
      <c r="F4117" s="129">
        <f t="shared" si="194"/>
        <v>0.74122358799999988</v>
      </c>
      <c r="G4117" t="str">
        <f>_xlfn.XLOOKUP(D4117,'[1]2050 BAU Mapping to T &amp; C'!$A$3:$A$52,'[1]2050 BAU Mapping to T &amp; C'!$B$3:$B$52)</f>
        <v>Legumes</v>
      </c>
      <c r="H4117" s="129">
        <f>_xlfn.XLOOKUP(G4117,'[1]T&amp;C emissions for 2050 analysis'!$B$3:$B$23,'[1]T&amp;C emissions for 2050 analysis'!$C$3:$C$23)</f>
        <v>7.3333333333333334E-2</v>
      </c>
      <c r="I4117" s="27">
        <f t="shared" si="192"/>
        <v>5.4356396453333324E-2</v>
      </c>
      <c r="J4117" s="129">
        <f t="shared" si="193"/>
        <v>5.257413333333333</v>
      </c>
    </row>
    <row r="4118" spans="1:10" hidden="1" x14ac:dyDescent="0.35">
      <c r="A4118" s="126" t="s">
        <v>387</v>
      </c>
      <c r="B4118" t="str">
        <f>_xlfn.XLOOKUP(A4118,'[1]2050Pop'!$A$7:$A$143,'[1]2050Pop'!$D$7:$D$143)</f>
        <v>Euro/AU/NZ</v>
      </c>
      <c r="C4118" s="127">
        <f>1000*_xlfn.XLOOKUP(A4118,'[1]2050Pop'!$A$7:$A$143,'[1]2050Pop'!$C$7:$C$143)</f>
        <v>9965</v>
      </c>
      <c r="D4118" s="126" t="s">
        <v>534</v>
      </c>
      <c r="E4118" s="130">
        <v>7.64</v>
      </c>
      <c r="F4118" s="129">
        <f t="shared" si="194"/>
        <v>7.6132599999999995E-2</v>
      </c>
      <c r="G4118" t="str">
        <f>_xlfn.XLOOKUP(D4118,'[1]2050 BAU Mapping to T &amp; C'!$A$3:$A$52,'[1]2050 BAU Mapping to T &amp; C'!$B$3:$B$52)</f>
        <v>Legumes</v>
      </c>
      <c r="H4118" s="129">
        <f>_xlfn.XLOOKUP(G4118,'[1]T&amp;C emissions for 2050 analysis'!$B$3:$B$23,'[1]T&amp;C emissions for 2050 analysis'!$C$3:$C$23)</f>
        <v>7.3333333333333334E-2</v>
      </c>
      <c r="I4118" s="27">
        <f t="shared" si="192"/>
        <v>5.5830573333333329E-3</v>
      </c>
      <c r="J4118" s="129">
        <f t="shared" si="193"/>
        <v>0.56026666666666669</v>
      </c>
    </row>
    <row r="4119" spans="1:10" hidden="1" x14ac:dyDescent="0.35">
      <c r="A4119" s="126" t="s">
        <v>481</v>
      </c>
      <c r="B4119" t="str">
        <f>_xlfn.XLOOKUP(A4119,'[1]2050Pop'!$A$7:$A$143,'[1]2050Pop'!$D$7:$D$143)</f>
        <v>APAC</v>
      </c>
      <c r="C4119" s="127">
        <f>1000*_xlfn.XLOOKUP(A4119,'[1]2050Pop'!$A$7:$A$143,'[1]2050Pop'!$C$7:$C$143)</f>
        <v>26907</v>
      </c>
      <c r="D4119" s="126" t="s">
        <v>534</v>
      </c>
      <c r="E4119" s="128">
        <v>43.030999999999999</v>
      </c>
      <c r="F4119" s="129">
        <f t="shared" si="194"/>
        <v>1.1578351169999999</v>
      </c>
      <c r="G4119" t="str">
        <f>_xlfn.XLOOKUP(D4119,'[1]2050 BAU Mapping to T &amp; C'!$A$3:$A$52,'[1]2050 BAU Mapping to T &amp; C'!$B$3:$B$52)</f>
        <v>Legumes</v>
      </c>
      <c r="H4119" s="129">
        <f>_xlfn.XLOOKUP(G4119,'[1]T&amp;C emissions for 2050 analysis'!$B$3:$B$23,'[1]T&amp;C emissions for 2050 analysis'!$C$3:$C$23)</f>
        <v>7.3333333333333334E-2</v>
      </c>
      <c r="I4119" s="27">
        <f t="shared" si="192"/>
        <v>8.4907908579999997E-2</v>
      </c>
      <c r="J4119" s="129">
        <f t="shared" si="193"/>
        <v>3.1556066666666664</v>
      </c>
    </row>
    <row r="4120" spans="1:10" hidden="1" x14ac:dyDescent="0.35">
      <c r="A4120" s="126" t="s">
        <v>391</v>
      </c>
      <c r="B4120" t="str">
        <f>_xlfn.XLOOKUP(A4120,'[1]2050Pop'!$A$7:$A$143,'[1]2050Pop'!$D$7:$D$143)</f>
        <v>MENA</v>
      </c>
      <c r="C4120" s="127">
        <f>1000*_xlfn.XLOOKUP(A4120,'[1]2050Pop'!$A$7:$A$143,'[1]2050Pop'!$C$7:$C$143)</f>
        <v>151111</v>
      </c>
      <c r="D4120" s="126" t="s">
        <v>534</v>
      </c>
      <c r="E4120" s="128">
        <v>7.5209999999999999</v>
      </c>
      <c r="F4120" s="129">
        <f t="shared" si="194"/>
        <v>1.136505831</v>
      </c>
      <c r="G4120" t="str">
        <f>_xlfn.XLOOKUP(D4120,'[1]2050 BAU Mapping to T &amp; C'!$A$3:$A$52,'[1]2050 BAU Mapping to T &amp; C'!$B$3:$B$52)</f>
        <v>Legumes</v>
      </c>
      <c r="H4120" s="129">
        <f>_xlfn.XLOOKUP(G4120,'[1]T&amp;C emissions for 2050 analysis'!$B$3:$B$23,'[1]T&amp;C emissions for 2050 analysis'!$C$3:$C$23)</f>
        <v>7.3333333333333334E-2</v>
      </c>
      <c r="I4120" s="27">
        <f t="shared" si="192"/>
        <v>8.3343760939999997E-2</v>
      </c>
      <c r="J4120" s="129">
        <f t="shared" si="193"/>
        <v>0.55154000000000003</v>
      </c>
    </row>
    <row r="4121" spans="1:10" hidden="1" x14ac:dyDescent="0.35">
      <c r="A4121" s="126" t="s">
        <v>392</v>
      </c>
      <c r="B4121" t="str">
        <f>_xlfn.XLOOKUP(A4121,'[1]2050Pop'!$A$7:$A$143,'[1]2050Pop'!$D$7:$D$143)</f>
        <v>LatAm &amp; RSA</v>
      </c>
      <c r="C4121" s="127">
        <f>1000*_xlfn.XLOOKUP(A4121,'[1]2050Pop'!$A$7:$A$143,'[1]2050Pop'!$C$7:$C$143)</f>
        <v>6390</v>
      </c>
      <c r="D4121" s="126" t="s">
        <v>534</v>
      </c>
      <c r="E4121" s="128">
        <v>9.2669999999999995</v>
      </c>
      <c r="F4121" s="129">
        <f t="shared" si="194"/>
        <v>5.9216129999999999E-2</v>
      </c>
      <c r="G4121" t="str">
        <f>_xlfn.XLOOKUP(D4121,'[1]2050 BAU Mapping to T &amp; C'!$A$3:$A$52,'[1]2050 BAU Mapping to T &amp; C'!$B$3:$B$52)</f>
        <v>Legumes</v>
      </c>
      <c r="H4121" s="129">
        <f>_xlfn.XLOOKUP(G4121,'[1]T&amp;C emissions for 2050 analysis'!$B$3:$B$23,'[1]T&amp;C emissions for 2050 analysis'!$C$3:$C$23)</f>
        <v>7.3333333333333334E-2</v>
      </c>
      <c r="I4121" s="27">
        <f t="shared" si="192"/>
        <v>4.3425162000000003E-3</v>
      </c>
      <c r="J4121" s="129">
        <f t="shared" si="193"/>
        <v>0.67957999999999996</v>
      </c>
    </row>
    <row r="4122" spans="1:10" hidden="1" x14ac:dyDescent="0.35">
      <c r="A4122" s="126" t="s">
        <v>394</v>
      </c>
      <c r="B4122" t="str">
        <f>_xlfn.XLOOKUP(A4122,'[1]2050Pop'!$A$7:$A$143,'[1]2050Pop'!$D$7:$D$143)</f>
        <v>SSA</v>
      </c>
      <c r="C4122" s="127">
        <f>1000*_xlfn.XLOOKUP(A4122,'[1]2050Pop'!$A$7:$A$143,'[1]2050Pop'!$C$7:$C$143)</f>
        <v>188455</v>
      </c>
      <c r="D4122" s="126" t="s">
        <v>534</v>
      </c>
      <c r="E4122" s="128">
        <v>6.1840000000000002</v>
      </c>
      <c r="F4122" s="129">
        <f t="shared" si="194"/>
        <v>1.1654057199999999</v>
      </c>
      <c r="G4122" t="str">
        <f>_xlfn.XLOOKUP(D4122,'[1]2050 BAU Mapping to T &amp; C'!$A$3:$A$52,'[1]2050 BAU Mapping to T &amp; C'!$B$3:$B$52)</f>
        <v>Legumes</v>
      </c>
      <c r="H4122" s="129">
        <f>_xlfn.XLOOKUP(G4122,'[1]T&amp;C emissions for 2050 analysis'!$B$3:$B$23,'[1]T&amp;C emissions for 2050 analysis'!$C$3:$C$23)</f>
        <v>7.3333333333333334E-2</v>
      </c>
      <c r="I4122" s="27">
        <f t="shared" si="192"/>
        <v>8.5463086133333324E-2</v>
      </c>
      <c r="J4122" s="129">
        <f t="shared" si="193"/>
        <v>0.45349333333333336</v>
      </c>
    </row>
    <row r="4123" spans="1:10" hidden="1" x14ac:dyDescent="0.35">
      <c r="A4123" s="126" t="s">
        <v>399</v>
      </c>
      <c r="B4123" t="str">
        <f>_xlfn.XLOOKUP(A4123,'[1]2050Pop'!$A$7:$A$143,'[1]2050Pop'!$D$7:$D$143)</f>
        <v>Euro/AU/NZ</v>
      </c>
      <c r="C4123" s="127">
        <f>1000*_xlfn.XLOOKUP(A4123,'[1]2050Pop'!$A$7:$A$143,'[1]2050Pop'!$C$7:$C$143)</f>
        <v>74513</v>
      </c>
      <c r="D4123" s="126" t="s">
        <v>534</v>
      </c>
      <c r="E4123" s="128">
        <v>8.3559999999999999</v>
      </c>
      <c r="F4123" s="129">
        <f t="shared" si="194"/>
        <v>0.62263062800000002</v>
      </c>
      <c r="G4123" t="str">
        <f>_xlfn.XLOOKUP(D4123,'[1]2050 BAU Mapping to T &amp; C'!$A$3:$A$52,'[1]2050 BAU Mapping to T &amp; C'!$B$3:$B$52)</f>
        <v>Legumes</v>
      </c>
      <c r="H4123" s="129">
        <f>_xlfn.XLOOKUP(G4123,'[1]T&amp;C emissions for 2050 analysis'!$B$3:$B$23,'[1]T&amp;C emissions for 2050 analysis'!$C$3:$C$23)</f>
        <v>7.3333333333333334E-2</v>
      </c>
      <c r="I4123" s="27">
        <f t="shared" si="192"/>
        <v>4.565957938666667E-2</v>
      </c>
      <c r="J4123" s="129">
        <f t="shared" si="193"/>
        <v>0.61277333333333328</v>
      </c>
    </row>
    <row r="4124" spans="1:10" hidden="1" x14ac:dyDescent="0.35">
      <c r="A4124" s="126" t="s">
        <v>402</v>
      </c>
      <c r="B4124" t="str">
        <f>_xlfn.XLOOKUP(A4124,'[1]2050Pop'!$A$7:$A$143,'[1]2050Pop'!$D$7:$D$143)</f>
        <v>LatAm &amp; RSA</v>
      </c>
      <c r="C4124" s="127">
        <f>1000*_xlfn.XLOOKUP(A4124,'[1]2050Pop'!$A$7:$A$143,'[1]2050Pop'!$C$7:$C$143)</f>
        <v>27754</v>
      </c>
      <c r="D4124" s="126" t="s">
        <v>534</v>
      </c>
      <c r="E4124" s="128">
        <v>4.601</v>
      </c>
      <c r="F4124" s="129">
        <f t="shared" si="194"/>
        <v>0.12769615400000001</v>
      </c>
      <c r="G4124" t="str">
        <f>_xlfn.XLOOKUP(D4124,'[1]2050 BAU Mapping to T &amp; C'!$A$3:$A$52,'[1]2050 BAU Mapping to T &amp; C'!$B$3:$B$52)</f>
        <v>Legumes</v>
      </c>
      <c r="H4124" s="129">
        <f>_xlfn.XLOOKUP(G4124,'[1]T&amp;C emissions for 2050 analysis'!$B$3:$B$23,'[1]T&amp;C emissions for 2050 analysis'!$C$3:$C$23)</f>
        <v>7.3333333333333334E-2</v>
      </c>
      <c r="I4124" s="27">
        <f t="shared" si="192"/>
        <v>9.3643846266666664E-3</v>
      </c>
      <c r="J4124" s="129">
        <f t="shared" si="193"/>
        <v>0.33740666666666669</v>
      </c>
    </row>
    <row r="4125" spans="1:10" hidden="1" x14ac:dyDescent="0.35">
      <c r="A4125" s="126" t="s">
        <v>404</v>
      </c>
      <c r="B4125" t="str">
        <f>_xlfn.XLOOKUP(A4125,'[1]2050Pop'!$A$7:$A$143,'[1]2050Pop'!$D$7:$D$143)</f>
        <v>LatAm &amp; RSA</v>
      </c>
      <c r="C4125" s="127">
        <f>1000*_xlfn.XLOOKUP(A4125,'[1]2050Pop'!$A$7:$A$143,'[1]2050Pop'!$C$7:$C$143)</f>
        <v>806</v>
      </c>
      <c r="D4125" s="126" t="s">
        <v>534</v>
      </c>
      <c r="E4125" s="128">
        <v>11.614000000000001</v>
      </c>
      <c r="F4125" s="129">
        <f t="shared" si="194"/>
        <v>9.3608839999999999E-3</v>
      </c>
      <c r="G4125" t="str">
        <f>_xlfn.XLOOKUP(D4125,'[1]2050 BAU Mapping to T &amp; C'!$A$3:$A$52,'[1]2050 BAU Mapping to T &amp; C'!$B$3:$B$52)</f>
        <v>Legumes</v>
      </c>
      <c r="H4125" s="129">
        <f>_xlfn.XLOOKUP(G4125,'[1]T&amp;C emissions for 2050 analysis'!$B$3:$B$23,'[1]T&amp;C emissions for 2050 analysis'!$C$3:$C$23)</f>
        <v>7.3333333333333334E-2</v>
      </c>
      <c r="I4125" s="27">
        <f t="shared" si="192"/>
        <v>6.8646482666666667E-4</v>
      </c>
      <c r="J4125" s="129">
        <f t="shared" si="193"/>
        <v>0.85169333333333341</v>
      </c>
    </row>
    <row r="4126" spans="1:10" hidden="1" x14ac:dyDescent="0.35">
      <c r="A4126" s="126" t="s">
        <v>408</v>
      </c>
      <c r="B4126" t="str">
        <f>_xlfn.XLOOKUP(A4126,'[1]2050Pop'!$A$7:$A$143,'[1]2050Pop'!$D$7:$D$143)</f>
        <v>India/South Asia</v>
      </c>
      <c r="C4126" s="127">
        <f>1000*_xlfn.XLOOKUP(A4126,'[1]2050Pop'!$A$7:$A$143,'[1]2050Pop'!$C$7:$C$143)</f>
        <v>1705333</v>
      </c>
      <c r="D4126" s="126" t="s">
        <v>534</v>
      </c>
      <c r="E4126" s="130">
        <v>3.71</v>
      </c>
      <c r="F4126" s="129">
        <f t="shared" si="194"/>
        <v>6.3267854299999993</v>
      </c>
      <c r="G4126" t="str">
        <f>_xlfn.XLOOKUP(D4126,'[1]2050 BAU Mapping to T &amp; C'!$A$3:$A$52,'[1]2050 BAU Mapping to T &amp; C'!$B$3:$B$52)</f>
        <v>Legumes</v>
      </c>
      <c r="H4126" s="129">
        <f>_xlfn.XLOOKUP(G4126,'[1]T&amp;C emissions for 2050 analysis'!$B$3:$B$23,'[1]T&amp;C emissions for 2050 analysis'!$C$3:$C$23)</f>
        <v>7.3333333333333334E-2</v>
      </c>
      <c r="I4126" s="27">
        <f t="shared" si="192"/>
        <v>0.46396426486666664</v>
      </c>
      <c r="J4126" s="129">
        <f t="shared" si="193"/>
        <v>0.27206666666666668</v>
      </c>
    </row>
    <row r="4127" spans="1:10" hidden="1" x14ac:dyDescent="0.35">
      <c r="A4127" s="126" t="s">
        <v>409</v>
      </c>
      <c r="B4127" t="str">
        <f>_xlfn.XLOOKUP(A4127,'[1]2050Pop'!$A$7:$A$143,'[1]2050Pop'!$D$7:$D$143)</f>
        <v>APAC</v>
      </c>
      <c r="C4127" s="127">
        <f>1000*_xlfn.XLOOKUP(A4127,'[1]2050Pop'!$A$7:$A$143,'[1]2050Pop'!$C$7:$C$143)</f>
        <v>322237</v>
      </c>
      <c r="D4127" s="126" t="s">
        <v>534</v>
      </c>
      <c r="E4127" s="128">
        <v>19.643999999999998</v>
      </c>
      <c r="F4127" s="129">
        <f t="shared" si="194"/>
        <v>6.3300236279999993</v>
      </c>
      <c r="G4127" t="str">
        <f>_xlfn.XLOOKUP(D4127,'[1]2050 BAU Mapping to T &amp; C'!$A$3:$A$52,'[1]2050 BAU Mapping to T &amp; C'!$B$3:$B$52)</f>
        <v>Legumes</v>
      </c>
      <c r="H4127" s="129">
        <f>_xlfn.XLOOKUP(G4127,'[1]T&amp;C emissions for 2050 analysis'!$B$3:$B$23,'[1]T&amp;C emissions for 2050 analysis'!$C$3:$C$23)</f>
        <v>7.3333333333333334E-2</v>
      </c>
      <c r="I4127" s="27">
        <f t="shared" si="192"/>
        <v>0.46420173271999993</v>
      </c>
      <c r="J4127" s="129">
        <f t="shared" si="193"/>
        <v>1.4405599999999998</v>
      </c>
    </row>
    <row r="4128" spans="1:10" hidden="1" x14ac:dyDescent="0.35">
      <c r="A4128" s="126" t="s">
        <v>412</v>
      </c>
      <c r="B4128" t="str">
        <f>_xlfn.XLOOKUP(A4128,'[1]2050Pop'!$A$7:$A$143,'[1]2050Pop'!$D$7:$D$143)</f>
        <v>Euro/AU/NZ</v>
      </c>
      <c r="C4128" s="127">
        <f>1000*_xlfn.XLOOKUP(A4128,'[1]2050Pop'!$A$7:$A$143,'[1]2050Pop'!$C$7:$C$143)</f>
        <v>5789</v>
      </c>
      <c r="D4128" s="126" t="s">
        <v>534</v>
      </c>
      <c r="E4128" s="128">
        <v>1.2370000000000001</v>
      </c>
      <c r="F4128" s="129">
        <f t="shared" si="194"/>
        <v>7.160993E-3</v>
      </c>
      <c r="G4128" t="str">
        <f>_xlfn.XLOOKUP(D4128,'[1]2050 BAU Mapping to T &amp; C'!$A$3:$A$52,'[1]2050 BAU Mapping to T &amp; C'!$B$3:$B$52)</f>
        <v>Legumes</v>
      </c>
      <c r="H4128" s="129">
        <f>_xlfn.XLOOKUP(G4128,'[1]T&amp;C emissions for 2050 analysis'!$B$3:$B$23,'[1]T&amp;C emissions for 2050 analysis'!$C$3:$C$23)</f>
        <v>7.3333333333333334E-2</v>
      </c>
      <c r="I4128" s="27">
        <f t="shared" si="192"/>
        <v>5.251394866666667E-4</v>
      </c>
      <c r="J4128" s="129">
        <f t="shared" si="193"/>
        <v>9.071333333333334E-2</v>
      </c>
    </row>
    <row r="4129" spans="1:10" hidden="1" x14ac:dyDescent="0.35">
      <c r="A4129" s="126" t="s">
        <v>416</v>
      </c>
      <c r="B4129" t="str">
        <f>_xlfn.XLOOKUP(A4129,'[1]2050Pop'!$A$7:$A$143,'[1]2050Pop'!$D$7:$D$143)</f>
        <v>APAC</v>
      </c>
      <c r="C4129" s="127">
        <f>1000*_xlfn.XLOOKUP(A4129,'[1]2050Pop'!$A$7:$A$143,'[1]2050Pop'!$C$7:$C$143)</f>
        <v>107411</v>
      </c>
      <c r="D4129" s="126" t="s">
        <v>534</v>
      </c>
      <c r="E4129" s="128">
        <v>103.968</v>
      </c>
      <c r="F4129" s="129">
        <f t="shared" si="194"/>
        <v>11.167306848000001</v>
      </c>
      <c r="G4129" t="str">
        <f>_xlfn.XLOOKUP(D4129,'[1]2050 BAU Mapping to T &amp; C'!$A$3:$A$52,'[1]2050 BAU Mapping to T &amp; C'!$B$3:$B$52)</f>
        <v>Legumes</v>
      </c>
      <c r="H4129" s="129">
        <f>_xlfn.XLOOKUP(G4129,'[1]T&amp;C emissions for 2050 analysis'!$B$3:$B$23,'[1]T&amp;C emissions for 2050 analysis'!$C$3:$C$23)</f>
        <v>7.3333333333333334E-2</v>
      </c>
      <c r="I4129" s="27">
        <f t="shared" si="192"/>
        <v>0.81893583552000004</v>
      </c>
      <c r="J4129" s="129">
        <f t="shared" si="193"/>
        <v>7.62432</v>
      </c>
    </row>
    <row r="4130" spans="1:10" hidden="1" x14ac:dyDescent="0.35">
      <c r="A4130" s="126" t="s">
        <v>419</v>
      </c>
      <c r="B4130" t="str">
        <f>_xlfn.XLOOKUP(A4130,'[1]2050Pop'!$A$7:$A$143,'[1]2050Pop'!$D$7:$D$143)</f>
        <v>SSA</v>
      </c>
      <c r="C4130" s="127">
        <f>1000*_xlfn.XLOOKUP(A4130,'[1]2050Pop'!$A$7:$A$143,'[1]2050Pop'!$C$7:$C$143)</f>
        <v>95505</v>
      </c>
      <c r="D4130" s="126" t="s">
        <v>534</v>
      </c>
      <c r="E4130" s="128">
        <v>2.8290000000000002</v>
      </c>
      <c r="F4130" s="129">
        <f t="shared" si="194"/>
        <v>0.27018364500000003</v>
      </c>
      <c r="G4130" t="str">
        <f>_xlfn.XLOOKUP(D4130,'[1]2050 BAU Mapping to T &amp; C'!$A$3:$A$52,'[1]2050 BAU Mapping to T &amp; C'!$B$3:$B$52)</f>
        <v>Legumes</v>
      </c>
      <c r="H4130" s="129">
        <f>_xlfn.XLOOKUP(G4130,'[1]T&amp;C emissions for 2050 analysis'!$B$3:$B$23,'[1]T&amp;C emissions for 2050 analysis'!$C$3:$C$23)</f>
        <v>7.3333333333333334E-2</v>
      </c>
      <c r="I4130" s="27">
        <f t="shared" si="192"/>
        <v>1.9813467300000002E-2</v>
      </c>
      <c r="J4130" s="129">
        <f t="shared" si="193"/>
        <v>0.20746000000000001</v>
      </c>
    </row>
    <row r="4131" spans="1:10" hidden="1" x14ac:dyDescent="0.35">
      <c r="A4131" s="126" t="s">
        <v>421</v>
      </c>
      <c r="B4131" t="str">
        <f>_xlfn.XLOOKUP(A4131,'[1]2050Pop'!$A$7:$A$143,'[1]2050Pop'!$D$7:$D$143)</f>
        <v>APAC</v>
      </c>
      <c r="C4131" s="127">
        <f>1000*_xlfn.XLOOKUP(A4131,'[1]2050Pop'!$A$7:$A$143,'[1]2050Pop'!$C$7:$C$143)</f>
        <v>10172</v>
      </c>
      <c r="D4131" s="126" t="s">
        <v>534</v>
      </c>
      <c r="E4131" s="128">
        <v>11.055</v>
      </c>
      <c r="F4131" s="129">
        <f t="shared" si="194"/>
        <v>0.11245145999999999</v>
      </c>
      <c r="G4131" t="str">
        <f>_xlfn.XLOOKUP(D4131,'[1]2050 BAU Mapping to T &amp; C'!$A$3:$A$52,'[1]2050 BAU Mapping to T &amp; C'!$B$3:$B$52)</f>
        <v>Legumes</v>
      </c>
      <c r="H4131" s="129">
        <f>_xlfn.XLOOKUP(G4131,'[1]T&amp;C emissions for 2050 analysis'!$B$3:$B$23,'[1]T&amp;C emissions for 2050 analysis'!$C$3:$C$23)</f>
        <v>7.3333333333333334E-2</v>
      </c>
      <c r="I4131" s="27">
        <f t="shared" si="192"/>
        <v>8.2464403999999991E-3</v>
      </c>
      <c r="J4131" s="129">
        <f t="shared" si="193"/>
        <v>0.81069999999999998</v>
      </c>
    </row>
    <row r="4132" spans="1:10" hidden="1" x14ac:dyDescent="0.35">
      <c r="A4132" s="126" t="s">
        <v>425</v>
      </c>
      <c r="B4132" t="str">
        <f>_xlfn.XLOOKUP(A4132,'[1]2050Pop'!$A$7:$A$143,'[1]2050Pop'!$D$7:$D$143)</f>
        <v>SSA</v>
      </c>
      <c r="C4132" s="127">
        <f>1000*_xlfn.XLOOKUP(A4132,'[1]2050Pop'!$A$7:$A$143,'[1]2050Pop'!$C$7:$C$143)</f>
        <v>9436</v>
      </c>
      <c r="D4132" s="126" t="s">
        <v>534</v>
      </c>
      <c r="E4132" s="128">
        <v>9.1649999999999991</v>
      </c>
      <c r="F4132" s="129">
        <f t="shared" si="194"/>
        <v>8.6480939999999992E-2</v>
      </c>
      <c r="G4132" t="str">
        <f>_xlfn.XLOOKUP(D4132,'[1]2050 BAU Mapping to T &amp; C'!$A$3:$A$52,'[1]2050 BAU Mapping to T &amp; C'!$B$3:$B$52)</f>
        <v>Legumes</v>
      </c>
      <c r="H4132" s="129">
        <f>_xlfn.XLOOKUP(G4132,'[1]T&amp;C emissions for 2050 analysis'!$B$3:$B$23,'[1]T&amp;C emissions for 2050 analysis'!$C$3:$C$23)</f>
        <v>7.3333333333333334E-2</v>
      </c>
      <c r="I4132" s="27">
        <f t="shared" si="192"/>
        <v>6.3419355999999993E-3</v>
      </c>
      <c r="J4132" s="129">
        <f t="shared" si="193"/>
        <v>0.67209999999999992</v>
      </c>
    </row>
    <row r="4133" spans="1:10" hidden="1" x14ac:dyDescent="0.35">
      <c r="A4133" s="126" t="s">
        <v>428</v>
      </c>
      <c r="B4133" t="str">
        <f>_xlfn.XLOOKUP(A4133,'[1]2050Pop'!$A$7:$A$143,'[1]2050Pop'!$D$7:$D$143)</f>
        <v>SSA</v>
      </c>
      <c r="C4133" s="127">
        <f>1000*_xlfn.XLOOKUP(A4133,'[1]2050Pop'!$A$7:$A$143,'[1]2050Pop'!$C$7:$C$143)</f>
        <v>43155</v>
      </c>
      <c r="D4133" s="126" t="s">
        <v>534</v>
      </c>
      <c r="E4133" s="128">
        <v>26.024000000000001</v>
      </c>
      <c r="F4133" s="129">
        <f t="shared" si="194"/>
        <v>1.12306572</v>
      </c>
      <c r="G4133" t="str">
        <f>_xlfn.XLOOKUP(D4133,'[1]2050 BAU Mapping to T &amp; C'!$A$3:$A$52,'[1]2050 BAU Mapping to T &amp; C'!$B$3:$B$52)</f>
        <v>Legumes</v>
      </c>
      <c r="H4133" s="129">
        <f>_xlfn.XLOOKUP(G4133,'[1]T&amp;C emissions for 2050 analysis'!$B$3:$B$23,'[1]T&amp;C emissions for 2050 analysis'!$C$3:$C$23)</f>
        <v>7.3333333333333334E-2</v>
      </c>
      <c r="I4133" s="27">
        <f t="shared" si="192"/>
        <v>8.2358152800000001E-2</v>
      </c>
      <c r="J4133" s="129">
        <f t="shared" si="193"/>
        <v>1.9084266666666667</v>
      </c>
    </row>
    <row r="4134" spans="1:10" hidden="1" x14ac:dyDescent="0.35">
      <c r="A4134" s="126" t="s">
        <v>430</v>
      </c>
      <c r="B4134" t="str">
        <f>_xlfn.XLOOKUP(A4134,'[1]2050Pop'!$A$7:$A$143,'[1]2050Pop'!$D$7:$D$143)</f>
        <v>SSA</v>
      </c>
      <c r="C4134" s="127">
        <f>1000*_xlfn.XLOOKUP(A4134,'[1]2050Pop'!$A$7:$A$143,'[1]2050Pop'!$C$7:$C$143)</f>
        <v>45404</v>
      </c>
      <c r="D4134" s="126" t="s">
        <v>534</v>
      </c>
      <c r="E4134" s="128">
        <v>1.355</v>
      </c>
      <c r="F4134" s="129">
        <f t="shared" si="194"/>
        <v>6.1522420000000001E-2</v>
      </c>
      <c r="G4134" t="str">
        <f>_xlfn.XLOOKUP(D4134,'[1]2050 BAU Mapping to T &amp; C'!$A$3:$A$52,'[1]2050 BAU Mapping to T &amp; C'!$B$3:$B$52)</f>
        <v>Legumes</v>
      </c>
      <c r="H4134" s="129">
        <f>_xlfn.XLOOKUP(G4134,'[1]T&amp;C emissions for 2050 analysis'!$B$3:$B$23,'[1]T&amp;C emissions for 2050 analysis'!$C$3:$C$23)</f>
        <v>7.3333333333333334E-2</v>
      </c>
      <c r="I4134" s="27">
        <f t="shared" si="192"/>
        <v>4.5116441333333335E-3</v>
      </c>
      <c r="J4134" s="129">
        <f t="shared" si="193"/>
        <v>9.9366666666666673E-2</v>
      </c>
    </row>
    <row r="4135" spans="1:10" hidden="1" x14ac:dyDescent="0.35">
      <c r="A4135" s="126" t="s">
        <v>432</v>
      </c>
      <c r="B4135" t="str">
        <f>_xlfn.XLOOKUP(A4135,'[1]2050Pop'!$A$7:$A$143,'[1]2050Pop'!$D$7:$D$143)</f>
        <v>SSA</v>
      </c>
      <c r="C4135" s="127">
        <f>1000*_xlfn.XLOOKUP(A4135,'[1]2050Pop'!$A$7:$A$143,'[1]2050Pop'!$C$7:$C$143)</f>
        <v>1249</v>
      </c>
      <c r="D4135" s="126" t="s">
        <v>534</v>
      </c>
      <c r="E4135" s="128">
        <v>2.2749999999999999</v>
      </c>
      <c r="F4135" s="129">
        <f t="shared" si="194"/>
        <v>2.841475E-3</v>
      </c>
      <c r="G4135" t="str">
        <f>_xlfn.XLOOKUP(D4135,'[1]2050 BAU Mapping to T &amp; C'!$A$3:$A$52,'[1]2050 BAU Mapping to T &amp; C'!$B$3:$B$52)</f>
        <v>Legumes</v>
      </c>
      <c r="H4135" s="129">
        <f>_xlfn.XLOOKUP(G4135,'[1]T&amp;C emissions for 2050 analysis'!$B$3:$B$23,'[1]T&amp;C emissions for 2050 analysis'!$C$3:$C$23)</f>
        <v>7.3333333333333334E-2</v>
      </c>
      <c r="I4135" s="27">
        <f t="shared" si="192"/>
        <v>2.0837483333333332E-4</v>
      </c>
      <c r="J4135" s="129">
        <f t="shared" si="193"/>
        <v>0.16683333333333333</v>
      </c>
    </row>
    <row r="4136" spans="1:10" hidden="1" x14ac:dyDescent="0.35">
      <c r="A4136" s="126" t="s">
        <v>436</v>
      </c>
      <c r="B4136" t="str">
        <f>_xlfn.XLOOKUP(A4136,'[1]2050Pop'!$A$7:$A$143,'[1]2050Pop'!$D$7:$D$143)</f>
        <v>SSA</v>
      </c>
      <c r="C4136" s="127">
        <f>1000*_xlfn.XLOOKUP(A4136,'[1]2050Pop'!$A$7:$A$143,'[1]2050Pop'!$C$7:$C$143)</f>
        <v>65544</v>
      </c>
      <c r="D4136" s="126" t="s">
        <v>534</v>
      </c>
      <c r="E4136" s="128">
        <v>1.411</v>
      </c>
      <c r="F4136" s="129">
        <f t="shared" si="194"/>
        <v>9.2482584000000007E-2</v>
      </c>
      <c r="G4136" t="str">
        <f>_xlfn.XLOOKUP(D4136,'[1]2050 BAU Mapping to T &amp; C'!$A$3:$A$52,'[1]2050 BAU Mapping to T &amp; C'!$B$3:$B$52)</f>
        <v>Legumes</v>
      </c>
      <c r="H4136" s="129">
        <f>_xlfn.XLOOKUP(G4136,'[1]T&amp;C emissions for 2050 analysis'!$B$3:$B$23,'[1]T&amp;C emissions for 2050 analysis'!$C$3:$C$23)</f>
        <v>7.3333333333333334E-2</v>
      </c>
      <c r="I4136" s="27">
        <f t="shared" si="192"/>
        <v>6.7820561600000009E-3</v>
      </c>
      <c r="J4136" s="129">
        <f t="shared" si="193"/>
        <v>0.10347333333333333</v>
      </c>
    </row>
    <row r="4137" spans="1:10" hidden="1" x14ac:dyDescent="0.35">
      <c r="A4137" s="126" t="s">
        <v>490</v>
      </c>
      <c r="B4137" t="str">
        <f>_xlfn.XLOOKUP(A4137,'[1]2050Pop'!$A$7:$A$143,'[1]2050Pop'!$D$7:$D$143)</f>
        <v>APAC</v>
      </c>
      <c r="C4137" s="127">
        <f>1000*_xlfn.XLOOKUP(A4137,'[1]2050Pop'!$A$7:$A$143,'[1]2050Pop'!$C$7:$C$143)</f>
        <v>63575</v>
      </c>
      <c r="D4137" s="126" t="s">
        <v>534</v>
      </c>
      <c r="E4137" s="128">
        <v>5.6189999999999998</v>
      </c>
      <c r="F4137" s="129">
        <f t="shared" si="194"/>
        <v>0.357227925</v>
      </c>
      <c r="G4137" t="str">
        <f>_xlfn.XLOOKUP(D4137,'[1]2050 BAU Mapping to T &amp; C'!$A$3:$A$52,'[1]2050 BAU Mapping to T &amp; C'!$B$3:$B$52)</f>
        <v>Legumes</v>
      </c>
      <c r="H4137" s="129">
        <f>_xlfn.XLOOKUP(G4137,'[1]T&amp;C emissions for 2050 analysis'!$B$3:$B$23,'[1]T&amp;C emissions for 2050 analysis'!$C$3:$C$23)</f>
        <v>7.3333333333333334E-2</v>
      </c>
      <c r="I4137" s="27">
        <f t="shared" si="192"/>
        <v>2.6196714499999999E-2</v>
      </c>
      <c r="J4137" s="129">
        <f t="shared" si="193"/>
        <v>0.41205999999999998</v>
      </c>
    </row>
    <row r="4138" spans="1:10" hidden="1" x14ac:dyDescent="0.35">
      <c r="A4138" s="126" t="s">
        <v>437</v>
      </c>
      <c r="B4138" t="str">
        <f>_xlfn.XLOOKUP(A4138,'[1]2050Pop'!$A$7:$A$143,'[1]2050Pop'!$D$7:$D$143)</f>
        <v>SSA</v>
      </c>
      <c r="C4138" s="127">
        <f>1000*_xlfn.XLOOKUP(A4138,'[1]2050Pop'!$A$7:$A$143,'[1]2050Pop'!$C$7:$C$143)</f>
        <v>4322</v>
      </c>
      <c r="D4138" s="126" t="s">
        <v>534</v>
      </c>
      <c r="E4138" s="128">
        <v>1.331</v>
      </c>
      <c r="F4138" s="129">
        <f t="shared" si="194"/>
        <v>5.7525819999999991E-3</v>
      </c>
      <c r="G4138" t="str">
        <f>_xlfn.XLOOKUP(D4138,'[1]2050 BAU Mapping to T &amp; C'!$A$3:$A$52,'[1]2050 BAU Mapping to T &amp; C'!$B$3:$B$52)</f>
        <v>Legumes</v>
      </c>
      <c r="H4138" s="129">
        <f>_xlfn.XLOOKUP(G4138,'[1]T&amp;C emissions for 2050 analysis'!$B$3:$B$23,'[1]T&amp;C emissions for 2050 analysis'!$C$3:$C$23)</f>
        <v>7.3333333333333334E-2</v>
      </c>
      <c r="I4138" s="27">
        <f t="shared" si="192"/>
        <v>4.2185601333333327E-4</v>
      </c>
      <c r="J4138" s="129">
        <f t="shared" si="193"/>
        <v>9.7606666666666661E-2</v>
      </c>
    </row>
    <row r="4139" spans="1:10" hidden="1" x14ac:dyDescent="0.35">
      <c r="A4139" s="126" t="s">
        <v>440</v>
      </c>
      <c r="B4139" t="str">
        <f>_xlfn.XLOOKUP(A4139,'[1]2050Pop'!$A$7:$A$143,'[1]2050Pop'!$D$7:$D$143)</f>
        <v>Euro/AU/NZ</v>
      </c>
      <c r="C4139" s="127">
        <f>1000*_xlfn.XLOOKUP(A4139,'[1]2050Pop'!$A$7:$A$143,'[1]2050Pop'!$C$7:$C$143)</f>
        <v>5607</v>
      </c>
      <c r="D4139" s="126" t="s">
        <v>534</v>
      </c>
      <c r="E4139" s="128">
        <v>3.9529999999999998</v>
      </c>
      <c r="F4139" s="129">
        <f t="shared" si="194"/>
        <v>2.2164470999999998E-2</v>
      </c>
      <c r="G4139" t="str">
        <f>_xlfn.XLOOKUP(D4139,'[1]2050 BAU Mapping to T &amp; C'!$A$3:$A$52,'[1]2050 BAU Mapping to T &amp; C'!$B$3:$B$52)</f>
        <v>Legumes</v>
      </c>
      <c r="H4139" s="129">
        <f>_xlfn.XLOOKUP(G4139,'[1]T&amp;C emissions for 2050 analysis'!$B$3:$B$23,'[1]T&amp;C emissions for 2050 analysis'!$C$3:$C$23)</f>
        <v>7.3333333333333334E-2</v>
      </c>
      <c r="I4139" s="27">
        <f t="shared" si="192"/>
        <v>1.6253945399999999E-3</v>
      </c>
      <c r="J4139" s="129">
        <f t="shared" si="193"/>
        <v>0.28988666666666668</v>
      </c>
    </row>
    <row r="4140" spans="1:10" hidden="1" x14ac:dyDescent="0.35">
      <c r="A4140" s="126" t="s">
        <v>491</v>
      </c>
      <c r="B4140" t="str">
        <f>_xlfn.XLOOKUP(A4140,'[1]2050Pop'!$A$7:$A$143,'[1]2050Pop'!$D$7:$D$143)</f>
        <v>SSA</v>
      </c>
      <c r="C4140" s="127">
        <f>1000*_xlfn.XLOOKUP(A4140,'[1]2050Pop'!$A$7:$A$143,'[1]2050Pop'!$C$7:$C$143)</f>
        <v>398508</v>
      </c>
      <c r="D4140" s="126" t="s">
        <v>534</v>
      </c>
      <c r="E4140" s="128">
        <v>36.887</v>
      </c>
      <c r="F4140" s="129">
        <f t="shared" si="194"/>
        <v>14.699764596000001</v>
      </c>
      <c r="G4140" t="str">
        <f>_xlfn.XLOOKUP(D4140,'[1]2050 BAU Mapping to T &amp; C'!$A$3:$A$52,'[1]2050 BAU Mapping to T &amp; C'!$B$3:$B$52)</f>
        <v>Legumes</v>
      </c>
      <c r="H4140" s="129">
        <f>_xlfn.XLOOKUP(G4140,'[1]T&amp;C emissions for 2050 analysis'!$B$3:$B$23,'[1]T&amp;C emissions for 2050 analysis'!$C$3:$C$23)</f>
        <v>7.3333333333333334E-2</v>
      </c>
      <c r="I4140" s="27">
        <f t="shared" si="192"/>
        <v>1.0779827370400001</v>
      </c>
      <c r="J4140" s="129">
        <f t="shared" si="193"/>
        <v>2.7050466666666666</v>
      </c>
    </row>
    <row r="4141" spans="1:10" hidden="1" x14ac:dyDescent="0.35">
      <c r="A4141" s="126" t="s">
        <v>444</v>
      </c>
      <c r="B4141" t="str">
        <f>_xlfn.XLOOKUP(A4141,'[1]2050Pop'!$A$7:$A$143,'[1]2050Pop'!$D$7:$D$143)</f>
        <v>LatAm &amp; RSA</v>
      </c>
      <c r="C4141" s="127">
        <f>1000*_xlfn.XLOOKUP(A4141,'[1]2050Pop'!$A$7:$A$143,'[1]2050Pop'!$C$7:$C$143)</f>
        <v>5599</v>
      </c>
      <c r="D4141" s="126" t="s">
        <v>534</v>
      </c>
      <c r="E4141" s="128">
        <v>27.018999999999998</v>
      </c>
      <c r="F4141" s="129">
        <f t="shared" si="194"/>
        <v>0.15127938099999999</v>
      </c>
      <c r="G4141" t="str">
        <f>_xlfn.XLOOKUP(D4141,'[1]2050 BAU Mapping to T &amp; C'!$A$3:$A$52,'[1]2050 BAU Mapping to T &amp; C'!$B$3:$B$52)</f>
        <v>Legumes</v>
      </c>
      <c r="H4141" s="129">
        <f>_xlfn.XLOOKUP(G4141,'[1]T&amp;C emissions for 2050 analysis'!$B$3:$B$23,'[1]T&amp;C emissions for 2050 analysis'!$C$3:$C$23)</f>
        <v>7.3333333333333334E-2</v>
      </c>
      <c r="I4141" s="27">
        <f t="shared" si="192"/>
        <v>1.1093821273333332E-2</v>
      </c>
      <c r="J4141" s="129">
        <f t="shared" si="193"/>
        <v>1.9813933333333331</v>
      </c>
    </row>
    <row r="4142" spans="1:10" hidden="1" x14ac:dyDescent="0.35">
      <c r="A4142" s="126" t="s">
        <v>446</v>
      </c>
      <c r="B4142" t="str">
        <f>_xlfn.XLOOKUP(A4142,'[1]2050Pop'!$A$7:$A$143,'[1]2050Pop'!$D$7:$D$143)</f>
        <v>LatAm &amp; RSA</v>
      </c>
      <c r="C4142" s="127">
        <f>1000*_xlfn.XLOOKUP(A4142,'[1]2050Pop'!$A$7:$A$143,'[1]2050Pop'!$C$7:$C$143)</f>
        <v>41899</v>
      </c>
      <c r="D4142" s="126" t="s">
        <v>534</v>
      </c>
      <c r="E4142" s="130">
        <v>22.76</v>
      </c>
      <c r="F4142" s="129">
        <f t="shared" si="194"/>
        <v>0.95362124000000015</v>
      </c>
      <c r="G4142" t="str">
        <f>_xlfn.XLOOKUP(D4142,'[1]2050 BAU Mapping to T &amp; C'!$A$3:$A$52,'[1]2050 BAU Mapping to T &amp; C'!$B$3:$B$52)</f>
        <v>Legumes</v>
      </c>
      <c r="H4142" s="129">
        <f>_xlfn.XLOOKUP(G4142,'[1]T&amp;C emissions for 2050 analysis'!$B$3:$B$23,'[1]T&amp;C emissions for 2050 analysis'!$C$3:$C$23)</f>
        <v>7.3333333333333334E-2</v>
      </c>
      <c r="I4142" s="27">
        <f t="shared" si="192"/>
        <v>6.9932224266666676E-2</v>
      </c>
      <c r="J4142" s="129">
        <f t="shared" si="193"/>
        <v>1.6690666666666667</v>
      </c>
    </row>
    <row r="4143" spans="1:10" hidden="1" x14ac:dyDescent="0.35">
      <c r="A4143" s="126" t="s">
        <v>448</v>
      </c>
      <c r="B4143" t="str">
        <f>_xlfn.XLOOKUP(A4143,'[1]2050Pop'!$A$7:$A$143,'[1]2050Pop'!$D$7:$D$143)</f>
        <v>Euro/AU/NZ</v>
      </c>
      <c r="C4143" s="127">
        <f>1000*_xlfn.XLOOKUP(A4143,'[1]2050Pop'!$A$7:$A$143,'[1]2050Pop'!$C$7:$C$143)</f>
        <v>33136</v>
      </c>
      <c r="D4143" s="126" t="s">
        <v>534</v>
      </c>
      <c r="E4143" s="128">
        <v>1.3080000000000001</v>
      </c>
      <c r="F4143" s="129">
        <f t="shared" si="194"/>
        <v>4.3341888000000002E-2</v>
      </c>
      <c r="G4143" t="str">
        <f>_xlfn.XLOOKUP(D4143,'[1]2050 BAU Mapping to T &amp; C'!$A$3:$A$52,'[1]2050 BAU Mapping to T &amp; C'!$B$3:$B$52)</f>
        <v>Legumes</v>
      </c>
      <c r="H4143" s="129">
        <f>_xlfn.XLOOKUP(G4143,'[1]T&amp;C emissions for 2050 analysis'!$B$3:$B$23,'[1]T&amp;C emissions for 2050 analysis'!$C$3:$C$23)</f>
        <v>7.3333333333333334E-2</v>
      </c>
      <c r="I4143" s="27">
        <f t="shared" si="192"/>
        <v>3.17840512E-3</v>
      </c>
      <c r="J4143" s="129">
        <f t="shared" si="193"/>
        <v>9.5920000000000005E-2</v>
      </c>
    </row>
    <row r="4144" spans="1:10" hidden="1" x14ac:dyDescent="0.35">
      <c r="A4144" s="126" t="s">
        <v>450</v>
      </c>
      <c r="B4144" t="str">
        <f>_xlfn.XLOOKUP(A4144,'[1]2050Pop'!$A$7:$A$143,'[1]2050Pop'!$D$7:$D$143)</f>
        <v>APAC</v>
      </c>
      <c r="C4144" s="127">
        <f>1000*_xlfn.XLOOKUP(A4144,'[1]2050Pop'!$A$7:$A$143,'[1]2050Pop'!$C$7:$C$143)</f>
        <v>50593</v>
      </c>
      <c r="D4144" s="126" t="s">
        <v>534</v>
      </c>
      <c r="E4144" s="128">
        <v>82.605000000000004</v>
      </c>
      <c r="F4144" s="129">
        <f t="shared" si="194"/>
        <v>4.1792347650000004</v>
      </c>
      <c r="G4144" t="str">
        <f>_xlfn.XLOOKUP(D4144,'[1]2050 BAU Mapping to T &amp; C'!$A$3:$A$52,'[1]2050 BAU Mapping to T &amp; C'!$B$3:$B$52)</f>
        <v>Legumes</v>
      </c>
      <c r="H4144" s="129">
        <f>_xlfn.XLOOKUP(G4144,'[1]T&amp;C emissions for 2050 analysis'!$B$3:$B$23,'[1]T&amp;C emissions for 2050 analysis'!$C$3:$C$23)</f>
        <v>7.3333333333333334E-2</v>
      </c>
      <c r="I4144" s="27">
        <f t="shared" si="192"/>
        <v>0.30647721610000001</v>
      </c>
      <c r="J4144" s="129">
        <f t="shared" si="193"/>
        <v>6.0577000000000005</v>
      </c>
    </row>
    <row r="4145" spans="1:10" hidden="1" x14ac:dyDescent="0.35">
      <c r="A4145" s="126" t="s">
        <v>455</v>
      </c>
      <c r="B4145" t="str">
        <f>_xlfn.XLOOKUP(A4145,'[1]2050Pop'!$A$7:$A$143,'[1]2050Pop'!$D$7:$D$143)</f>
        <v>SSA</v>
      </c>
      <c r="C4145" s="127">
        <f>1000*_xlfn.XLOOKUP(A4145,'[1]2050Pop'!$A$7:$A$143,'[1]2050Pop'!$C$7:$C$143)</f>
        <v>21187</v>
      </c>
      <c r="D4145" s="126" t="s">
        <v>534</v>
      </c>
      <c r="E4145" s="128">
        <v>33.417000000000002</v>
      </c>
      <c r="F4145" s="129">
        <f t="shared" si="194"/>
        <v>0.70800597900000006</v>
      </c>
      <c r="G4145" t="str">
        <f>_xlfn.XLOOKUP(D4145,'[1]2050 BAU Mapping to T &amp; C'!$A$3:$A$52,'[1]2050 BAU Mapping to T &amp; C'!$B$3:$B$52)</f>
        <v>Legumes</v>
      </c>
      <c r="H4145" s="129">
        <f>_xlfn.XLOOKUP(G4145,'[1]T&amp;C emissions for 2050 analysis'!$B$3:$B$23,'[1]T&amp;C emissions for 2050 analysis'!$C$3:$C$23)</f>
        <v>7.3333333333333334E-2</v>
      </c>
      <c r="I4145" s="27">
        <f t="shared" si="192"/>
        <v>5.1920438460000003E-2</v>
      </c>
      <c r="J4145" s="129">
        <f t="shared" si="193"/>
        <v>2.45058</v>
      </c>
    </row>
    <row r="4146" spans="1:10" hidden="1" x14ac:dyDescent="0.35">
      <c r="A4146" s="126" t="s">
        <v>457</v>
      </c>
      <c r="B4146" t="str">
        <f>_xlfn.XLOOKUP(A4146,'[1]2050Pop'!$A$7:$A$143,'[1]2050Pop'!$D$7:$D$143)</f>
        <v>SSA</v>
      </c>
      <c r="C4146" s="127">
        <f>1000*_xlfn.XLOOKUP(A4146,'[1]2050Pop'!$A$7:$A$143,'[1]2050Pop'!$C$7:$C$143)</f>
        <v>36223</v>
      </c>
      <c r="D4146" s="126" t="s">
        <v>534</v>
      </c>
      <c r="E4146" s="128">
        <v>5.5259999999999998</v>
      </c>
      <c r="F4146" s="129">
        <f t="shared" si="194"/>
        <v>0.20016829799999999</v>
      </c>
      <c r="G4146" t="str">
        <f>_xlfn.XLOOKUP(D4146,'[1]2050 BAU Mapping to T &amp; C'!$A$3:$A$52,'[1]2050 BAU Mapping to T &amp; C'!$B$3:$B$52)</f>
        <v>Legumes</v>
      </c>
      <c r="H4146" s="129">
        <f>_xlfn.XLOOKUP(G4146,'[1]T&amp;C emissions for 2050 analysis'!$B$3:$B$23,'[1]T&amp;C emissions for 2050 analysis'!$C$3:$C$23)</f>
        <v>7.3333333333333334E-2</v>
      </c>
      <c r="I4146" s="27">
        <f t="shared" si="192"/>
        <v>1.467900852E-2</v>
      </c>
      <c r="J4146" s="129">
        <f t="shared" si="193"/>
        <v>0.40523999999999999</v>
      </c>
    </row>
    <row r="4147" spans="1:10" hidden="1" x14ac:dyDescent="0.35">
      <c r="A4147" s="126" t="s">
        <v>460</v>
      </c>
      <c r="B4147" t="str">
        <f>_xlfn.XLOOKUP(A4147,'[1]2050Pop'!$A$7:$A$143,'[1]2050Pop'!$D$7:$D$143)</f>
        <v>LatAm &amp; RSA</v>
      </c>
      <c r="C4147" s="127">
        <f>1000*_xlfn.XLOOKUP(A4147,'[1]2050Pop'!$A$7:$A$143,'[1]2050Pop'!$C$7:$C$143)</f>
        <v>65540</v>
      </c>
      <c r="D4147" s="126" t="s">
        <v>534</v>
      </c>
      <c r="E4147" s="128">
        <v>14.082000000000001</v>
      </c>
      <c r="F4147" s="129">
        <f t="shared" si="194"/>
        <v>0.92293428</v>
      </c>
      <c r="G4147" t="str">
        <f>_xlfn.XLOOKUP(D4147,'[1]2050 BAU Mapping to T &amp; C'!$A$3:$A$52,'[1]2050 BAU Mapping to T &amp; C'!$B$3:$B$52)</f>
        <v>Legumes</v>
      </c>
      <c r="H4147" s="129">
        <f>_xlfn.XLOOKUP(G4147,'[1]T&amp;C emissions for 2050 analysis'!$B$3:$B$23,'[1]T&amp;C emissions for 2050 analysis'!$C$3:$C$23)</f>
        <v>7.3333333333333334E-2</v>
      </c>
      <c r="I4147" s="27">
        <f t="shared" si="192"/>
        <v>6.7681847200000006E-2</v>
      </c>
      <c r="J4147" s="129">
        <f t="shared" si="193"/>
        <v>1.03268</v>
      </c>
    </row>
    <row r="4148" spans="1:10" hidden="1" x14ac:dyDescent="0.35">
      <c r="A4148" s="126" t="s">
        <v>462</v>
      </c>
      <c r="B4148" t="str">
        <f>_xlfn.XLOOKUP(A4148,'[1]2050Pop'!$A$7:$A$143,'[1]2050Pop'!$D$7:$D$143)</f>
        <v>LatAm &amp; RSA</v>
      </c>
      <c r="C4148" s="127">
        <f>1000*_xlfn.XLOOKUP(A4148,'[1]2050Pop'!$A$7:$A$143,'[1]2050Pop'!$C$7:$C$143)</f>
        <v>624</v>
      </c>
      <c r="D4148" s="126" t="s">
        <v>534</v>
      </c>
      <c r="E4148" s="128">
        <v>6.1520000000000001</v>
      </c>
      <c r="F4148" s="129">
        <f t="shared" si="194"/>
        <v>3.8388479999999997E-3</v>
      </c>
      <c r="G4148" t="str">
        <f>_xlfn.XLOOKUP(D4148,'[1]2050 BAU Mapping to T &amp; C'!$A$3:$A$52,'[1]2050 BAU Mapping to T &amp; C'!$B$3:$B$52)</f>
        <v>Legumes</v>
      </c>
      <c r="H4148" s="129">
        <f>_xlfn.XLOOKUP(G4148,'[1]T&amp;C emissions for 2050 analysis'!$B$3:$B$23,'[1]T&amp;C emissions for 2050 analysis'!$C$3:$C$23)</f>
        <v>7.3333333333333334E-2</v>
      </c>
      <c r="I4148" s="27">
        <f t="shared" si="192"/>
        <v>2.8151551999999996E-4</v>
      </c>
      <c r="J4148" s="129">
        <f t="shared" si="193"/>
        <v>0.4511466666666667</v>
      </c>
    </row>
    <row r="4149" spans="1:10" hidden="1" x14ac:dyDescent="0.35">
      <c r="A4149" s="126" t="s">
        <v>463</v>
      </c>
      <c r="B4149" t="str">
        <f>_xlfn.XLOOKUP(A4149,'[1]2050Pop'!$A$7:$A$143,'[1]2050Pop'!$D$7:$D$143)</f>
        <v>SSA</v>
      </c>
      <c r="C4149" s="127">
        <f>1000*_xlfn.XLOOKUP(A4149,'[1]2050Pop'!$A$7:$A$143,'[1]2050Pop'!$C$7:$C$143)</f>
        <v>1792</v>
      </c>
      <c r="D4149" s="126" t="s">
        <v>534</v>
      </c>
      <c r="E4149" s="131">
        <v>3.7</v>
      </c>
      <c r="F4149" s="129">
        <f t="shared" si="194"/>
        <v>6.6304000000000007E-3</v>
      </c>
      <c r="G4149" t="str">
        <f>_xlfn.XLOOKUP(D4149,'[1]2050 BAU Mapping to T &amp; C'!$A$3:$A$52,'[1]2050 BAU Mapping to T &amp; C'!$B$3:$B$52)</f>
        <v>Legumes</v>
      </c>
      <c r="H4149" s="129">
        <f>_xlfn.XLOOKUP(G4149,'[1]T&amp;C emissions for 2050 analysis'!$B$3:$B$23,'[1]T&amp;C emissions for 2050 analysis'!$C$3:$C$23)</f>
        <v>7.3333333333333334E-2</v>
      </c>
      <c r="I4149" s="27">
        <f t="shared" si="192"/>
        <v>4.862293333333334E-4</v>
      </c>
      <c r="J4149" s="129">
        <f t="shared" si="193"/>
        <v>0.27133333333333337</v>
      </c>
    </row>
    <row r="4150" spans="1:10" hidden="1" x14ac:dyDescent="0.35">
      <c r="A4150" s="126" t="s">
        <v>464</v>
      </c>
      <c r="B4150" t="str">
        <f>_xlfn.XLOOKUP(A4150,'[1]2050Pop'!$A$7:$A$143,'[1]2050Pop'!$D$7:$D$143)</f>
        <v>Euro/AU/NZ</v>
      </c>
      <c r="C4150" s="127">
        <f>1000*_xlfn.XLOOKUP(A4150,'[1]2050Pop'!$A$7:$A$143,'[1]2050Pop'!$C$7:$C$143)</f>
        <v>11881</v>
      </c>
      <c r="D4150" s="126" t="s">
        <v>534</v>
      </c>
      <c r="E4150" s="128">
        <v>1.0920000000000001</v>
      </c>
      <c r="F4150" s="129">
        <f t="shared" si="194"/>
        <v>1.2974052000000002E-2</v>
      </c>
      <c r="G4150" t="str">
        <f>_xlfn.XLOOKUP(D4150,'[1]2050 BAU Mapping to T &amp; C'!$A$3:$A$52,'[1]2050 BAU Mapping to T &amp; C'!$B$3:$B$52)</f>
        <v>Legumes</v>
      </c>
      <c r="H4150" s="129">
        <f>_xlfn.XLOOKUP(G4150,'[1]T&amp;C emissions for 2050 analysis'!$B$3:$B$23,'[1]T&amp;C emissions for 2050 analysis'!$C$3:$C$23)</f>
        <v>7.3333333333333334E-2</v>
      </c>
      <c r="I4150" s="27">
        <f t="shared" si="192"/>
        <v>9.514304800000001E-4</v>
      </c>
      <c r="J4150" s="129">
        <f t="shared" si="193"/>
        <v>8.0080000000000012E-2</v>
      </c>
    </row>
    <row r="4151" spans="1:10" hidden="1" x14ac:dyDescent="0.35">
      <c r="A4151" s="126" t="s">
        <v>465</v>
      </c>
      <c r="B4151" t="str">
        <f>_xlfn.XLOOKUP(A4151,'[1]2050Pop'!$A$7:$A$143,'[1]2050Pop'!$D$7:$D$143)</f>
        <v>APAC</v>
      </c>
      <c r="C4151" s="127">
        <f>1000*_xlfn.XLOOKUP(A4151,'[1]2050Pop'!$A$7:$A$143,'[1]2050Pop'!$C$7:$C$143)</f>
        <v>62452</v>
      </c>
      <c r="D4151" s="126" t="s">
        <v>534</v>
      </c>
      <c r="E4151" s="128">
        <v>35.381999999999998</v>
      </c>
      <c r="F4151" s="129">
        <f t="shared" si="194"/>
        <v>2.2096766639999998</v>
      </c>
      <c r="G4151" t="str">
        <f>_xlfn.XLOOKUP(D4151,'[1]2050 BAU Mapping to T &amp; C'!$A$3:$A$52,'[1]2050 BAU Mapping to T &amp; C'!$B$3:$B$52)</f>
        <v>Legumes</v>
      </c>
      <c r="H4151" s="129">
        <f>_xlfn.XLOOKUP(G4151,'[1]T&amp;C emissions for 2050 analysis'!$B$3:$B$23,'[1]T&amp;C emissions for 2050 analysis'!$C$3:$C$23)</f>
        <v>7.3333333333333334E-2</v>
      </c>
      <c r="I4151" s="27">
        <f t="shared" si="192"/>
        <v>0.16204295535999999</v>
      </c>
      <c r="J4151" s="129">
        <f t="shared" si="193"/>
        <v>2.5946799999999999</v>
      </c>
    </row>
    <row r="4152" spans="1:10" hidden="1" x14ac:dyDescent="0.35">
      <c r="A4152" s="126" t="s">
        <v>467</v>
      </c>
      <c r="B4152" t="str">
        <f>_xlfn.XLOOKUP(A4152,'[1]2050Pop'!$A$7:$A$143,'[1]2050Pop'!$D$7:$D$143)</f>
        <v>LatAm &amp; RSA</v>
      </c>
      <c r="C4152" s="127">
        <f>1000*_xlfn.XLOOKUP(A4152,'[1]2050Pop'!$A$7:$A$143,'[1]2050Pop'!$C$7:$C$143)</f>
        <v>1291</v>
      </c>
      <c r="D4152" s="126" t="s">
        <v>534</v>
      </c>
      <c r="E4152" s="128">
        <v>1.359</v>
      </c>
      <c r="F4152" s="129">
        <f t="shared" si="194"/>
        <v>1.754469E-3</v>
      </c>
      <c r="G4152" t="str">
        <f>_xlfn.XLOOKUP(D4152,'[1]2050 BAU Mapping to T &amp; C'!$A$3:$A$52,'[1]2050 BAU Mapping to T &amp; C'!$B$3:$B$52)</f>
        <v>Legumes</v>
      </c>
      <c r="H4152" s="129">
        <f>_xlfn.XLOOKUP(G4152,'[1]T&amp;C emissions for 2050 analysis'!$B$3:$B$23,'[1]T&amp;C emissions for 2050 analysis'!$C$3:$C$23)</f>
        <v>7.3333333333333334E-2</v>
      </c>
      <c r="I4152" s="27">
        <f t="shared" si="192"/>
        <v>1.2866106E-4</v>
      </c>
      <c r="J4152" s="129">
        <f t="shared" si="193"/>
        <v>9.9659999999999999E-2</v>
      </c>
    </row>
    <row r="4153" spans="1:10" hidden="1" x14ac:dyDescent="0.35">
      <c r="A4153" s="126" t="s">
        <v>468</v>
      </c>
      <c r="B4153" t="str">
        <f>_xlfn.XLOOKUP(A4153,'[1]2050Pop'!$A$7:$A$143,'[1]2050Pop'!$D$7:$D$143)</f>
        <v>MENA</v>
      </c>
      <c r="C4153" s="127">
        <f>1000*_xlfn.XLOOKUP(A4153,'[1]2050Pop'!$A$7:$A$143,'[1]2050Pop'!$C$7:$C$143)</f>
        <v>13476</v>
      </c>
      <c r="D4153" s="126" t="s">
        <v>534</v>
      </c>
      <c r="E4153" s="128">
        <v>20.888000000000002</v>
      </c>
      <c r="F4153" s="129">
        <f t="shared" si="194"/>
        <v>0.28148668800000004</v>
      </c>
      <c r="G4153" t="str">
        <f>_xlfn.XLOOKUP(D4153,'[1]2050 BAU Mapping to T &amp; C'!$A$3:$A$52,'[1]2050 BAU Mapping to T &amp; C'!$B$3:$B$52)</f>
        <v>Legumes</v>
      </c>
      <c r="H4153" s="129">
        <f>_xlfn.XLOOKUP(G4153,'[1]T&amp;C emissions for 2050 analysis'!$B$3:$B$23,'[1]T&amp;C emissions for 2050 analysis'!$C$3:$C$23)</f>
        <v>7.3333333333333334E-2</v>
      </c>
      <c r="I4153" s="27">
        <f t="shared" si="192"/>
        <v>2.0642357120000003E-2</v>
      </c>
      <c r="J4153" s="129">
        <f t="shared" si="193"/>
        <v>1.5317866666666669</v>
      </c>
    </row>
    <row r="4154" spans="1:10" hidden="1" x14ac:dyDescent="0.35">
      <c r="A4154" s="126" t="s">
        <v>469</v>
      </c>
      <c r="B4154" t="str">
        <f>_xlfn.XLOOKUP(A4154,'[1]2050Pop'!$A$7:$A$143,'[1]2050Pop'!$D$7:$D$143)</f>
        <v>MENA</v>
      </c>
      <c r="C4154" s="127">
        <f>1000*_xlfn.XLOOKUP(A4154,'[1]2050Pop'!$A$7:$A$143,'[1]2050Pop'!$C$7:$C$143)</f>
        <v>95819</v>
      </c>
      <c r="D4154" s="126" t="s">
        <v>534</v>
      </c>
      <c r="E4154" s="128">
        <v>4.7329999999999997</v>
      </c>
      <c r="F4154" s="129">
        <f t="shared" si="194"/>
        <v>0.45351132699999996</v>
      </c>
      <c r="G4154" t="str">
        <f>_xlfn.XLOOKUP(D4154,'[1]2050 BAU Mapping to T &amp; C'!$A$3:$A$52,'[1]2050 BAU Mapping to T &amp; C'!$B$3:$B$52)</f>
        <v>Legumes</v>
      </c>
      <c r="H4154" s="129">
        <f>_xlfn.XLOOKUP(G4154,'[1]T&amp;C emissions for 2050 analysis'!$B$3:$B$23,'[1]T&amp;C emissions for 2050 analysis'!$C$3:$C$23)</f>
        <v>7.3333333333333334E-2</v>
      </c>
      <c r="I4154" s="27">
        <f t="shared" si="192"/>
        <v>3.3257497313333328E-2</v>
      </c>
      <c r="J4154" s="129">
        <f t="shared" si="193"/>
        <v>0.34708666666666665</v>
      </c>
    </row>
    <row r="4155" spans="1:10" hidden="1" x14ac:dyDescent="0.35">
      <c r="A4155" s="126" t="s">
        <v>473</v>
      </c>
      <c r="B4155" t="str">
        <f>_xlfn.XLOOKUP(A4155,'[1]2050Pop'!$A$7:$A$143,'[1]2050Pop'!$D$7:$D$143)</f>
        <v>SSA</v>
      </c>
      <c r="C4155" s="127">
        <f>1000*_xlfn.XLOOKUP(A4155,'[1]2050Pop'!$A$7:$A$143,'[1]2050Pop'!$C$7:$C$143)</f>
        <v>137136</v>
      </c>
      <c r="D4155" s="126" t="s">
        <v>534</v>
      </c>
      <c r="E4155" s="130">
        <v>1.44</v>
      </c>
      <c r="F4155" s="129">
        <f t="shared" si="194"/>
        <v>0.19747583999999999</v>
      </c>
      <c r="G4155" t="str">
        <f>_xlfn.XLOOKUP(D4155,'[1]2050 BAU Mapping to T &amp; C'!$A$3:$A$52,'[1]2050 BAU Mapping to T &amp; C'!$B$3:$B$52)</f>
        <v>Legumes</v>
      </c>
      <c r="H4155" s="129">
        <f>_xlfn.XLOOKUP(G4155,'[1]T&amp;C emissions for 2050 analysis'!$B$3:$B$23,'[1]T&amp;C emissions for 2050 analysis'!$C$3:$C$23)</f>
        <v>7.3333333333333334E-2</v>
      </c>
      <c r="I4155" s="27">
        <f t="shared" si="192"/>
        <v>1.44815616E-2</v>
      </c>
      <c r="J4155" s="129">
        <f t="shared" si="193"/>
        <v>0.1056</v>
      </c>
    </row>
    <row r="4156" spans="1:10" hidden="1" x14ac:dyDescent="0.35">
      <c r="A4156" s="126" t="s">
        <v>477</v>
      </c>
      <c r="B4156" t="str">
        <f>_xlfn.XLOOKUP(A4156,'[1]2050Pop'!$A$7:$A$143,'[1]2050Pop'!$D$7:$D$143)</f>
        <v>APAC</v>
      </c>
      <c r="C4156" s="127">
        <f>1000*_xlfn.XLOOKUP(A4156,'[1]2050Pop'!$A$7:$A$143,'[1]2050Pop'!$C$7:$C$143)</f>
        <v>112783</v>
      </c>
      <c r="D4156" s="126" t="s">
        <v>534</v>
      </c>
      <c r="E4156" s="128">
        <v>82.787000000000006</v>
      </c>
      <c r="F4156" s="129">
        <f t="shared" si="194"/>
        <v>9.3369662210000008</v>
      </c>
      <c r="G4156" t="str">
        <f>_xlfn.XLOOKUP(D4156,'[1]2050 BAU Mapping to T &amp; C'!$A$3:$A$52,'[1]2050 BAU Mapping to T &amp; C'!$B$3:$B$52)</f>
        <v>Legumes</v>
      </c>
      <c r="H4156" s="129">
        <f>_xlfn.XLOOKUP(G4156,'[1]T&amp;C emissions for 2050 analysis'!$B$3:$B$23,'[1]T&amp;C emissions for 2050 analysis'!$C$3:$C$23)</f>
        <v>7.3333333333333334E-2</v>
      </c>
      <c r="I4156" s="27">
        <f t="shared" si="192"/>
        <v>0.68471085620666672</v>
      </c>
      <c r="J4156" s="129">
        <f t="shared" si="193"/>
        <v>6.0710466666666676</v>
      </c>
    </row>
    <row r="4157" spans="1:10" hidden="1" x14ac:dyDescent="0.35">
      <c r="A4157" s="126" t="s">
        <v>478</v>
      </c>
      <c r="B4157" t="str">
        <f>_xlfn.XLOOKUP(A4157,'[1]2050Pop'!$A$7:$A$143,'[1]2050Pop'!$D$7:$D$143)</f>
        <v>MENA</v>
      </c>
      <c r="C4157" s="127">
        <f>1000*_xlfn.XLOOKUP(A4157,'[1]2050Pop'!$A$7:$A$143,'[1]2050Pop'!$C$7:$C$143)</f>
        <v>47170</v>
      </c>
      <c r="D4157" s="126" t="s">
        <v>534</v>
      </c>
      <c r="E4157" s="128">
        <v>5.1890000000000001</v>
      </c>
      <c r="F4157" s="129">
        <f t="shared" si="194"/>
        <v>0.24476513</v>
      </c>
      <c r="G4157" t="str">
        <f>_xlfn.XLOOKUP(D4157,'[1]2050 BAU Mapping to T &amp; C'!$A$3:$A$52,'[1]2050 BAU Mapping to T &amp; C'!$B$3:$B$52)</f>
        <v>Legumes</v>
      </c>
      <c r="H4157" s="129">
        <f>_xlfn.XLOOKUP(G4157,'[1]T&amp;C emissions for 2050 analysis'!$B$3:$B$23,'[1]T&amp;C emissions for 2050 analysis'!$C$3:$C$23)</f>
        <v>7.3333333333333334E-2</v>
      </c>
      <c r="I4157" s="27">
        <f t="shared" si="192"/>
        <v>1.7949442866666665E-2</v>
      </c>
      <c r="J4157" s="129">
        <f t="shared" si="193"/>
        <v>0.38052666666666668</v>
      </c>
    </row>
    <row r="4158" spans="1:10" hidden="1" x14ac:dyDescent="0.35">
      <c r="A4158" s="126" t="s">
        <v>494</v>
      </c>
      <c r="B4158" t="str">
        <f>_xlfn.XLOOKUP(A4158,'[1]2050Pop'!$A$7:$A$143,'[1]2050Pop'!$D$7:$D$143)</f>
        <v>SSA</v>
      </c>
      <c r="C4158" s="127">
        <f>1000*_xlfn.XLOOKUP(A4158,'[1]2050Pop'!$A$7:$A$143,'[1]2050Pop'!$C$7:$C$143)</f>
        <v>42975</v>
      </c>
      <c r="D4158" s="126" t="s">
        <v>534</v>
      </c>
      <c r="E4158" s="128">
        <v>79.887</v>
      </c>
      <c r="F4158" s="129">
        <f t="shared" si="194"/>
        <v>3.4331438250000001</v>
      </c>
      <c r="G4158" t="str">
        <f>_xlfn.XLOOKUP(D4158,'[1]2050 BAU Mapping to T &amp; C'!$A$3:$A$52,'[1]2050 BAU Mapping to T &amp; C'!$B$3:$B$52)</f>
        <v>Legumes</v>
      </c>
      <c r="H4158" s="129">
        <f>_xlfn.XLOOKUP(G4158,'[1]T&amp;C emissions for 2050 analysis'!$B$3:$B$23,'[1]T&amp;C emissions for 2050 analysis'!$C$3:$C$23)</f>
        <v>7.3333333333333334E-2</v>
      </c>
      <c r="I4158" s="27">
        <f t="shared" si="192"/>
        <v>0.25176388050000004</v>
      </c>
      <c r="J4158" s="129">
        <f t="shared" si="193"/>
        <v>5.8583800000000004</v>
      </c>
    </row>
    <row r="4159" spans="1:10" hidden="1" x14ac:dyDescent="0.35">
      <c r="A4159" s="126" t="s">
        <v>479</v>
      </c>
      <c r="B4159" t="str">
        <f>_xlfn.XLOOKUP(A4159,'[1]2050Pop'!$A$7:$A$143,'[1]2050Pop'!$D$7:$D$143)</f>
        <v>SSA</v>
      </c>
      <c r="C4159" s="127">
        <f>1000*_xlfn.XLOOKUP(A4159,'[1]2050Pop'!$A$7:$A$143,'[1]2050Pop'!$C$7:$C$143)</f>
        <v>29615</v>
      </c>
      <c r="D4159" s="126" t="s">
        <v>534</v>
      </c>
      <c r="E4159" s="128">
        <v>9.0570000000000004</v>
      </c>
      <c r="F4159" s="129">
        <f t="shared" si="194"/>
        <v>0.26822305499999999</v>
      </c>
      <c r="G4159" t="str">
        <f>_xlfn.XLOOKUP(D4159,'[1]2050 BAU Mapping to T &amp; C'!$A$3:$A$52,'[1]2050 BAU Mapping to T &amp; C'!$B$3:$B$52)</f>
        <v>Legumes</v>
      </c>
      <c r="H4159" s="129">
        <f>_xlfn.XLOOKUP(G4159,'[1]T&amp;C emissions for 2050 analysis'!$B$3:$B$23,'[1]T&amp;C emissions for 2050 analysis'!$C$3:$C$23)</f>
        <v>7.3333333333333334E-2</v>
      </c>
      <c r="I4159" s="27">
        <f t="shared" si="192"/>
        <v>1.9669690699999999E-2</v>
      </c>
      <c r="J4159" s="129">
        <f t="shared" si="193"/>
        <v>0.66417999999999999</v>
      </c>
    </row>
    <row r="4160" spans="1:10" hidden="1" x14ac:dyDescent="0.35">
      <c r="A4160" s="126" t="s">
        <v>382</v>
      </c>
      <c r="B4160" t="str">
        <f>_xlfn.XLOOKUP(A4160,'[1]2050Pop'!$A$7:$A$143,'[1]2050Pop'!$D$7:$D$143)</f>
        <v>LatAm &amp; RSA</v>
      </c>
      <c r="C4160" s="127">
        <f>1000*_xlfn.XLOOKUP(A4160,'[1]2050Pop'!$A$7:$A$143,'[1]2050Pop'!$C$7:$C$143)</f>
        <v>54927</v>
      </c>
      <c r="D4160" s="126" t="s">
        <v>535</v>
      </c>
      <c r="E4160" s="128">
        <v>1.1639999999999999</v>
      </c>
      <c r="F4160" s="129">
        <f t="shared" si="194"/>
        <v>6.3935028000000005E-2</v>
      </c>
      <c r="G4160" t="str">
        <f>_xlfn.XLOOKUP(D4160,'[1]2050 BAU Mapping to T &amp; C'!$A$3:$A$52,'[1]2050 BAU Mapping to T &amp; C'!$B$3:$B$52)</f>
        <v>Sugar</v>
      </c>
      <c r="H4160" s="129">
        <f>_xlfn.XLOOKUP(G4160,'[1]T&amp;C emissions for 2050 analysis'!$B$3:$B$23,'[1]T&amp;C emissions for 2050 analysis'!$C$3:$C$23)</f>
        <v>7.3333333333333334E-2</v>
      </c>
      <c r="I4160" s="27">
        <f t="shared" si="192"/>
        <v>4.6885687200000003E-3</v>
      </c>
      <c r="J4160" s="129">
        <f t="shared" si="193"/>
        <v>8.5359999999999991E-2</v>
      </c>
    </row>
    <row r="4161" spans="1:10" hidden="1" x14ac:dyDescent="0.35">
      <c r="A4161" s="126" t="s">
        <v>476</v>
      </c>
      <c r="B4161" t="str">
        <f>_xlfn.XLOOKUP(A4161,'[1]2050Pop'!$A$7:$A$143,'[1]2050Pop'!$D$7:$D$143)</f>
        <v>LatAm &amp; RSA</v>
      </c>
      <c r="C4161" s="127">
        <f>1000*_xlfn.XLOOKUP(A4161,'[1]2050Pop'!$A$7:$A$143,'[1]2050Pop'!$C$7:$C$143)</f>
        <v>41562</v>
      </c>
      <c r="D4161" s="126" t="s">
        <v>535</v>
      </c>
      <c r="E4161" s="128">
        <v>1.492</v>
      </c>
      <c r="F4161" s="129">
        <f t="shared" si="194"/>
        <v>6.2010504000000001E-2</v>
      </c>
      <c r="G4161" t="str">
        <f>_xlfn.XLOOKUP(D4161,'[1]2050 BAU Mapping to T &amp; C'!$A$3:$A$52,'[1]2050 BAU Mapping to T &amp; C'!$B$3:$B$52)</f>
        <v>Sugar</v>
      </c>
      <c r="H4161" s="129">
        <f>_xlfn.XLOOKUP(G4161,'[1]T&amp;C emissions for 2050 analysis'!$B$3:$B$23,'[1]T&amp;C emissions for 2050 analysis'!$C$3:$C$23)</f>
        <v>7.3333333333333334E-2</v>
      </c>
      <c r="I4161" s="27">
        <f t="shared" si="192"/>
        <v>4.5474369599999998E-3</v>
      </c>
      <c r="J4161" s="129">
        <f t="shared" si="193"/>
        <v>0.10941333333333333</v>
      </c>
    </row>
    <row r="4162" spans="1:10" hidden="1" x14ac:dyDescent="0.35">
      <c r="A4162" s="126" t="s">
        <v>365</v>
      </c>
      <c r="B4162" t="str">
        <f>_xlfn.XLOOKUP(A4162,'[1]2050Pop'!$A$7:$A$143,'[1]2050Pop'!$D$7:$D$143)</f>
        <v>India/South Asia</v>
      </c>
      <c r="C4162" s="127">
        <f>1000*_xlfn.XLOOKUP(A4162,'[1]2050Pop'!$A$7:$A$143,'[1]2050Pop'!$C$7:$C$143)</f>
        <v>202209</v>
      </c>
      <c r="D4162" s="126" t="s">
        <v>536</v>
      </c>
      <c r="E4162" s="128">
        <v>2.117</v>
      </c>
      <c r="F4162" s="129">
        <f t="shared" si="194"/>
        <v>0.42807645299999997</v>
      </c>
      <c r="G4162" t="str">
        <f>_xlfn.XLOOKUP(D4162,'[1]2050 BAU Mapping to T &amp; C'!$A$3:$A$52,'[1]2050 BAU Mapping to T &amp; C'!$B$3:$B$52)</f>
        <v>Sugar</v>
      </c>
      <c r="H4162" s="129">
        <f>_xlfn.XLOOKUP(G4162,'[1]T&amp;C emissions for 2050 analysis'!$B$3:$B$23,'[1]T&amp;C emissions for 2050 analysis'!$C$3:$C$23)</f>
        <v>7.3333333333333334E-2</v>
      </c>
      <c r="I4162" s="27">
        <f t="shared" si="192"/>
        <v>3.1392273219999996E-2</v>
      </c>
      <c r="J4162" s="129">
        <f t="shared" si="193"/>
        <v>0.15524666666666667</v>
      </c>
    </row>
    <row r="4163" spans="1:10" hidden="1" x14ac:dyDescent="0.35">
      <c r="A4163" s="126" t="s">
        <v>372</v>
      </c>
      <c r="B4163" t="str">
        <f>_xlfn.XLOOKUP(A4163,'[1]2050Pop'!$A$7:$A$143,'[1]2050Pop'!$D$7:$D$143)</f>
        <v>LatAm &amp; RSA</v>
      </c>
      <c r="C4163" s="127">
        <f>1000*_xlfn.XLOOKUP(A4163,'[1]2050Pop'!$A$7:$A$143,'[1]2050Pop'!$C$7:$C$143)</f>
        <v>238270</v>
      </c>
      <c r="D4163" s="126" t="s">
        <v>536</v>
      </c>
      <c r="E4163" s="128">
        <v>13.263</v>
      </c>
      <c r="F4163" s="129">
        <f t="shared" si="194"/>
        <v>3.1601750099999997</v>
      </c>
      <c r="G4163" t="str">
        <f>_xlfn.XLOOKUP(D4163,'[1]2050 BAU Mapping to T &amp; C'!$A$3:$A$52,'[1]2050 BAU Mapping to T &amp; C'!$B$3:$B$52)</f>
        <v>Sugar</v>
      </c>
      <c r="H4163" s="129">
        <f>_xlfn.XLOOKUP(G4163,'[1]T&amp;C emissions for 2050 analysis'!$B$3:$B$23,'[1]T&amp;C emissions for 2050 analysis'!$C$3:$C$23)</f>
        <v>7.3333333333333334E-2</v>
      </c>
      <c r="I4163" s="27">
        <f t="shared" si="192"/>
        <v>0.23174616739999998</v>
      </c>
      <c r="J4163" s="129">
        <f t="shared" si="193"/>
        <v>0.97262000000000004</v>
      </c>
    </row>
    <row r="4164" spans="1:10" hidden="1" x14ac:dyDescent="0.35">
      <c r="A4164" s="126" t="s">
        <v>374</v>
      </c>
      <c r="B4164" t="str">
        <f>_xlfn.XLOOKUP(A4164,'[1]2050Pop'!$A$7:$A$143,'[1]2050Pop'!$D$7:$D$143)</f>
        <v>APAC</v>
      </c>
      <c r="C4164" s="127">
        <f>1000*_xlfn.XLOOKUP(A4164,'[1]2050Pop'!$A$7:$A$143,'[1]2050Pop'!$C$7:$C$143)</f>
        <v>22545</v>
      </c>
      <c r="D4164" s="126" t="s">
        <v>536</v>
      </c>
      <c r="E4164" s="128">
        <v>7.4960000000000004</v>
      </c>
      <c r="F4164" s="129">
        <f t="shared" si="194"/>
        <v>0.16899732000000001</v>
      </c>
      <c r="G4164" t="str">
        <f>_xlfn.XLOOKUP(D4164,'[1]2050 BAU Mapping to T &amp; C'!$A$3:$A$52,'[1]2050 BAU Mapping to T &amp; C'!$B$3:$B$52)</f>
        <v>Sugar</v>
      </c>
      <c r="H4164" s="129">
        <f>_xlfn.XLOOKUP(G4164,'[1]T&amp;C emissions for 2050 analysis'!$B$3:$B$23,'[1]T&amp;C emissions for 2050 analysis'!$C$3:$C$23)</f>
        <v>7.3333333333333334E-2</v>
      </c>
      <c r="I4164" s="27">
        <f t="shared" ref="I4164:I4227" si="195">F4164*H4164</f>
        <v>1.2393136800000001E-2</v>
      </c>
      <c r="J4164" s="129">
        <f t="shared" ref="J4164:J4227" si="196">E4164*H4164</f>
        <v>0.54970666666666668</v>
      </c>
    </row>
    <row r="4165" spans="1:10" hidden="1" x14ac:dyDescent="0.35">
      <c r="A4165" s="126" t="s">
        <v>375</v>
      </c>
      <c r="B4165" t="str">
        <f>_xlfn.XLOOKUP(A4165,'[1]2050Pop'!$A$7:$A$143,'[1]2050Pop'!$D$7:$D$143)</f>
        <v>SSA</v>
      </c>
      <c r="C4165" s="127">
        <f>1000*_xlfn.XLOOKUP(A4165,'[1]2050Pop'!$A$7:$A$143,'[1]2050Pop'!$C$7:$C$143)</f>
        <v>48362</v>
      </c>
      <c r="D4165" s="126" t="s">
        <v>536</v>
      </c>
      <c r="E4165" s="128">
        <v>11.673999999999999</v>
      </c>
      <c r="F4165" s="129">
        <f t="shared" ref="F4165:F4228" si="197">C4165*E4165/1000000</f>
        <v>0.56457798800000003</v>
      </c>
      <c r="G4165" t="str">
        <f>_xlfn.XLOOKUP(D4165,'[1]2050 BAU Mapping to T &amp; C'!$A$3:$A$52,'[1]2050 BAU Mapping to T &amp; C'!$B$3:$B$52)</f>
        <v>Sugar</v>
      </c>
      <c r="H4165" s="129">
        <f>_xlfn.XLOOKUP(G4165,'[1]T&amp;C emissions for 2050 analysis'!$B$3:$B$23,'[1]T&amp;C emissions for 2050 analysis'!$C$3:$C$23)</f>
        <v>7.3333333333333334E-2</v>
      </c>
      <c r="I4165" s="27">
        <f t="shared" si="195"/>
        <v>4.1402385786666669E-2</v>
      </c>
      <c r="J4165" s="129">
        <f t="shared" si="196"/>
        <v>0.85609333333333326</v>
      </c>
    </row>
    <row r="4166" spans="1:10" hidden="1" x14ac:dyDescent="0.35">
      <c r="A4166" s="126" t="s">
        <v>381</v>
      </c>
      <c r="B4166" t="str">
        <f>_xlfn.XLOOKUP(A4166,'[1]2050Pop'!$A$7:$A$143,'[1]2050Pop'!$D$7:$D$143)</f>
        <v>Greater China</v>
      </c>
      <c r="C4166" s="127">
        <f>1000*_xlfn.XLOOKUP(A4166,'[1]2050Pop'!$A$7:$A$143,'[1]2050Pop'!$C$7:$C$143)</f>
        <v>20778</v>
      </c>
      <c r="D4166" s="126" t="s">
        <v>536</v>
      </c>
      <c r="E4166" s="128">
        <v>1.1839999999999999</v>
      </c>
      <c r="F4166" s="129">
        <f t="shared" si="197"/>
        <v>2.4601151999999998E-2</v>
      </c>
      <c r="G4166" t="str">
        <f>_xlfn.XLOOKUP(D4166,'[1]2050 BAU Mapping to T &amp; C'!$A$3:$A$52,'[1]2050 BAU Mapping to T &amp; C'!$B$3:$B$52)</f>
        <v>Sugar</v>
      </c>
      <c r="H4166" s="129">
        <f>_xlfn.XLOOKUP(G4166,'[1]T&amp;C emissions for 2050 analysis'!$B$3:$B$23,'[1]T&amp;C emissions for 2050 analysis'!$C$3:$C$23)</f>
        <v>7.3333333333333334E-2</v>
      </c>
      <c r="I4166" s="27">
        <f t="shared" si="195"/>
        <v>1.8040844799999999E-3</v>
      </c>
      <c r="J4166" s="129">
        <f t="shared" si="196"/>
        <v>8.6826666666666663E-2</v>
      </c>
    </row>
    <row r="4167" spans="1:10" hidden="1" x14ac:dyDescent="0.35">
      <c r="A4167" s="126" t="s">
        <v>384</v>
      </c>
      <c r="B4167" t="str">
        <f>_xlfn.XLOOKUP(A4167,'[1]2050Pop'!$A$7:$A$143,'[1]2050Pop'!$D$7:$D$143)</f>
        <v>SSA</v>
      </c>
      <c r="C4167" s="127">
        <f>1000*_xlfn.XLOOKUP(A4167,'[1]2050Pop'!$A$7:$A$143,'[1]2050Pop'!$C$7:$C$143)</f>
        <v>48797</v>
      </c>
      <c r="D4167" s="126" t="s">
        <v>536</v>
      </c>
      <c r="E4167" s="128">
        <v>1.3049999999999999</v>
      </c>
      <c r="F4167" s="129">
        <f t="shared" si="197"/>
        <v>6.3680084999999997E-2</v>
      </c>
      <c r="G4167" t="str">
        <f>_xlfn.XLOOKUP(D4167,'[1]2050 BAU Mapping to T &amp; C'!$A$3:$A$52,'[1]2050 BAU Mapping to T &amp; C'!$B$3:$B$52)</f>
        <v>Sugar</v>
      </c>
      <c r="H4167" s="129">
        <f>_xlfn.XLOOKUP(G4167,'[1]T&amp;C emissions for 2050 analysis'!$B$3:$B$23,'[1]T&amp;C emissions for 2050 analysis'!$C$3:$C$23)</f>
        <v>7.3333333333333334E-2</v>
      </c>
      <c r="I4167" s="27">
        <f t="shared" si="195"/>
        <v>4.6698729000000001E-3</v>
      </c>
      <c r="J4167" s="129">
        <f t="shared" si="196"/>
        <v>9.5699999999999993E-2</v>
      </c>
    </row>
    <row r="4168" spans="1:10" hidden="1" x14ac:dyDescent="0.35">
      <c r="A4168" s="126" t="s">
        <v>391</v>
      </c>
      <c r="B4168" t="str">
        <f>_xlfn.XLOOKUP(A4168,'[1]2050Pop'!$A$7:$A$143,'[1]2050Pop'!$D$7:$D$143)</f>
        <v>MENA</v>
      </c>
      <c r="C4168" s="127">
        <f>1000*_xlfn.XLOOKUP(A4168,'[1]2050Pop'!$A$7:$A$143,'[1]2050Pop'!$C$7:$C$143)</f>
        <v>151111</v>
      </c>
      <c r="D4168" s="126" t="s">
        <v>536</v>
      </c>
      <c r="E4168" s="130">
        <v>34.869999999999997</v>
      </c>
      <c r="F4168" s="129">
        <f t="shared" si="197"/>
        <v>5.2692405699999991</v>
      </c>
      <c r="G4168" t="str">
        <f>_xlfn.XLOOKUP(D4168,'[1]2050 BAU Mapping to T &amp; C'!$A$3:$A$52,'[1]2050 BAU Mapping to T &amp; C'!$B$3:$B$52)</f>
        <v>Sugar</v>
      </c>
      <c r="H4168" s="129">
        <f>_xlfn.XLOOKUP(G4168,'[1]T&amp;C emissions for 2050 analysis'!$B$3:$B$23,'[1]T&amp;C emissions for 2050 analysis'!$C$3:$C$23)</f>
        <v>7.3333333333333334E-2</v>
      </c>
      <c r="I4168" s="27">
        <f t="shared" si="195"/>
        <v>0.38641097513333328</v>
      </c>
      <c r="J4168" s="129">
        <f t="shared" si="196"/>
        <v>2.5571333333333333</v>
      </c>
    </row>
    <row r="4169" spans="1:10" hidden="1" x14ac:dyDescent="0.35">
      <c r="A4169" s="126" t="s">
        <v>397</v>
      </c>
      <c r="B4169" t="str">
        <f>_xlfn.XLOOKUP(A4169,'[1]2050Pop'!$A$7:$A$143,'[1]2050Pop'!$D$7:$D$143)</f>
        <v>SSA</v>
      </c>
      <c r="C4169" s="127">
        <f>1000*_xlfn.XLOOKUP(A4169,'[1]2050Pop'!$A$7:$A$143,'[1]2050Pop'!$C$7:$C$143)</f>
        <v>3164</v>
      </c>
      <c r="D4169" s="126" t="s">
        <v>536</v>
      </c>
      <c r="E4169" s="131">
        <v>2.2999999999999998</v>
      </c>
      <c r="F4169" s="129">
        <f t="shared" si="197"/>
        <v>7.2772000000000002E-3</v>
      </c>
      <c r="G4169" t="str">
        <f>_xlfn.XLOOKUP(D4169,'[1]2050 BAU Mapping to T &amp; C'!$A$3:$A$52,'[1]2050 BAU Mapping to T &amp; C'!$B$3:$B$52)</f>
        <v>Sugar</v>
      </c>
      <c r="H4169" s="129">
        <f>_xlfn.XLOOKUP(G4169,'[1]T&amp;C emissions for 2050 analysis'!$B$3:$B$23,'[1]T&amp;C emissions for 2050 analysis'!$C$3:$C$23)</f>
        <v>7.3333333333333334E-2</v>
      </c>
      <c r="I4169" s="27">
        <f t="shared" si="195"/>
        <v>5.3366133333333332E-4</v>
      </c>
      <c r="J4169" s="129">
        <f t="shared" si="196"/>
        <v>0.16866666666666666</v>
      </c>
    </row>
    <row r="4170" spans="1:10" hidden="1" x14ac:dyDescent="0.35">
      <c r="A4170" s="126" t="s">
        <v>400</v>
      </c>
      <c r="B4170" t="str">
        <f>_xlfn.XLOOKUP(A4170,'[1]2050Pop'!$A$7:$A$143,'[1]2050Pop'!$D$7:$D$143)</f>
        <v>SSA</v>
      </c>
      <c r="C4170" s="127">
        <f>1000*_xlfn.XLOOKUP(A4170,'[1]2050Pop'!$A$7:$A$143,'[1]2050Pop'!$C$7:$C$143)</f>
        <v>50071</v>
      </c>
      <c r="D4170" s="126" t="s">
        <v>536</v>
      </c>
      <c r="E4170" s="130">
        <v>3.02</v>
      </c>
      <c r="F4170" s="129">
        <f t="shared" si="197"/>
        <v>0.15121442000000002</v>
      </c>
      <c r="G4170" t="str">
        <f>_xlfn.XLOOKUP(D4170,'[1]2050 BAU Mapping to T &amp; C'!$A$3:$A$52,'[1]2050 BAU Mapping to T &amp; C'!$B$3:$B$52)</f>
        <v>Sugar</v>
      </c>
      <c r="H4170" s="129">
        <f>_xlfn.XLOOKUP(G4170,'[1]T&amp;C emissions for 2050 analysis'!$B$3:$B$23,'[1]T&amp;C emissions for 2050 analysis'!$C$3:$C$23)</f>
        <v>7.3333333333333334E-2</v>
      </c>
      <c r="I4170" s="27">
        <f t="shared" si="195"/>
        <v>1.1089057466666668E-2</v>
      </c>
      <c r="J4170" s="129">
        <f t="shared" si="196"/>
        <v>0.22146666666666667</v>
      </c>
    </row>
    <row r="4171" spans="1:10" hidden="1" x14ac:dyDescent="0.35">
      <c r="A4171" s="126" t="s">
        <v>405</v>
      </c>
      <c r="B4171" t="str">
        <f>_xlfn.XLOOKUP(A4171,'[1]2050Pop'!$A$7:$A$143,'[1]2050Pop'!$D$7:$D$143)</f>
        <v>LatAm &amp; RSA</v>
      </c>
      <c r="C4171" s="127">
        <f>1000*_xlfn.XLOOKUP(A4171,'[1]2050Pop'!$A$7:$A$143,'[1]2050Pop'!$C$7:$C$143)</f>
        <v>14189</v>
      </c>
      <c r="D4171" s="126" t="s">
        <v>536</v>
      </c>
      <c r="E4171" s="128">
        <v>4.4059999999999997</v>
      </c>
      <c r="F4171" s="129">
        <f t="shared" si="197"/>
        <v>6.251673399999999E-2</v>
      </c>
      <c r="G4171" t="str">
        <f>_xlfn.XLOOKUP(D4171,'[1]2050 BAU Mapping to T &amp; C'!$A$3:$A$52,'[1]2050 BAU Mapping to T &amp; C'!$B$3:$B$52)</f>
        <v>Sugar</v>
      </c>
      <c r="H4171" s="129">
        <f>_xlfn.XLOOKUP(G4171,'[1]T&amp;C emissions for 2050 analysis'!$B$3:$B$23,'[1]T&amp;C emissions for 2050 analysis'!$C$3:$C$23)</f>
        <v>7.3333333333333334E-2</v>
      </c>
      <c r="I4171" s="27">
        <f t="shared" si="195"/>
        <v>4.5845604933333331E-3</v>
      </c>
      <c r="J4171" s="129">
        <f t="shared" si="196"/>
        <v>0.32310666666666665</v>
      </c>
    </row>
    <row r="4172" spans="1:10" hidden="1" x14ac:dyDescent="0.35">
      <c r="A4172" s="126" t="s">
        <v>408</v>
      </c>
      <c r="B4172" t="str">
        <f>_xlfn.XLOOKUP(A4172,'[1]2050Pop'!$A$7:$A$143,'[1]2050Pop'!$D$7:$D$143)</f>
        <v>India/South Asia</v>
      </c>
      <c r="C4172" s="127">
        <f>1000*_xlfn.XLOOKUP(A4172,'[1]2050Pop'!$A$7:$A$143,'[1]2050Pop'!$C$7:$C$143)</f>
        <v>1705333</v>
      </c>
      <c r="D4172" s="126" t="s">
        <v>536</v>
      </c>
      <c r="E4172" s="128">
        <v>9.0109999999999992</v>
      </c>
      <c r="F4172" s="129">
        <f t="shared" si="197"/>
        <v>15.366755662999999</v>
      </c>
      <c r="G4172" t="str">
        <f>_xlfn.XLOOKUP(D4172,'[1]2050 BAU Mapping to T &amp; C'!$A$3:$A$52,'[1]2050 BAU Mapping to T &amp; C'!$B$3:$B$52)</f>
        <v>Sugar</v>
      </c>
      <c r="H4172" s="129">
        <f>_xlfn.XLOOKUP(G4172,'[1]T&amp;C emissions for 2050 analysis'!$B$3:$B$23,'[1]T&amp;C emissions for 2050 analysis'!$C$3:$C$23)</f>
        <v>7.3333333333333334E-2</v>
      </c>
      <c r="I4172" s="27">
        <f t="shared" si="195"/>
        <v>1.1268954152866666</v>
      </c>
      <c r="J4172" s="129">
        <f t="shared" si="196"/>
        <v>0.66080666666666665</v>
      </c>
    </row>
    <row r="4173" spans="1:10" hidden="1" x14ac:dyDescent="0.35">
      <c r="A4173" s="126" t="s">
        <v>419</v>
      </c>
      <c r="B4173" t="str">
        <f>_xlfn.XLOOKUP(A4173,'[1]2050Pop'!$A$7:$A$143,'[1]2050Pop'!$D$7:$D$143)</f>
        <v>SSA</v>
      </c>
      <c r="C4173" s="127">
        <f>1000*_xlfn.XLOOKUP(A4173,'[1]2050Pop'!$A$7:$A$143,'[1]2050Pop'!$C$7:$C$143)</f>
        <v>95505</v>
      </c>
      <c r="D4173" s="126" t="s">
        <v>536</v>
      </c>
      <c r="E4173" s="128">
        <v>21.995999999999999</v>
      </c>
      <c r="F4173" s="129">
        <f t="shared" si="197"/>
        <v>2.1007279799999998</v>
      </c>
      <c r="G4173" t="str">
        <f>_xlfn.XLOOKUP(D4173,'[1]2050 BAU Mapping to T &amp; C'!$A$3:$A$52,'[1]2050 BAU Mapping to T &amp; C'!$B$3:$B$52)</f>
        <v>Sugar</v>
      </c>
      <c r="H4173" s="129">
        <f>_xlfn.XLOOKUP(G4173,'[1]T&amp;C emissions for 2050 analysis'!$B$3:$B$23,'[1]T&amp;C emissions for 2050 analysis'!$C$3:$C$23)</f>
        <v>7.3333333333333334E-2</v>
      </c>
      <c r="I4173" s="27">
        <f t="shared" si="195"/>
        <v>0.15405338519999998</v>
      </c>
      <c r="J4173" s="129">
        <f t="shared" si="196"/>
        <v>1.6130399999999998</v>
      </c>
    </row>
    <row r="4174" spans="1:10" hidden="1" x14ac:dyDescent="0.35">
      <c r="A4174" s="126" t="s">
        <v>421</v>
      </c>
      <c r="B4174" t="str">
        <f>_xlfn.XLOOKUP(A4174,'[1]2050Pop'!$A$7:$A$143,'[1]2050Pop'!$D$7:$D$143)</f>
        <v>APAC</v>
      </c>
      <c r="C4174" s="127">
        <f>1000*_xlfn.XLOOKUP(A4174,'[1]2050Pop'!$A$7:$A$143,'[1]2050Pop'!$C$7:$C$143)</f>
        <v>10172</v>
      </c>
      <c r="D4174" s="126" t="s">
        <v>536</v>
      </c>
      <c r="E4174" s="128">
        <v>21.350999999999999</v>
      </c>
      <c r="F4174" s="129">
        <f t="shared" si="197"/>
        <v>0.21718237200000001</v>
      </c>
      <c r="G4174" t="str">
        <f>_xlfn.XLOOKUP(D4174,'[1]2050 BAU Mapping to T &amp; C'!$A$3:$A$52,'[1]2050 BAU Mapping to T &amp; C'!$B$3:$B$52)</f>
        <v>Sugar</v>
      </c>
      <c r="H4174" s="129">
        <f>_xlfn.XLOOKUP(G4174,'[1]T&amp;C emissions for 2050 analysis'!$B$3:$B$23,'[1]T&amp;C emissions for 2050 analysis'!$C$3:$C$23)</f>
        <v>7.3333333333333334E-2</v>
      </c>
      <c r="I4174" s="27">
        <f t="shared" si="195"/>
        <v>1.5926707280000001E-2</v>
      </c>
      <c r="J4174" s="129">
        <f t="shared" si="196"/>
        <v>1.5657399999999999</v>
      </c>
    </row>
    <row r="4175" spans="1:10" hidden="1" x14ac:dyDescent="0.35">
      <c r="A4175" s="126" t="s">
        <v>425</v>
      </c>
      <c r="B4175" t="str">
        <f>_xlfn.XLOOKUP(A4175,'[1]2050Pop'!$A$7:$A$143,'[1]2050Pop'!$D$7:$D$143)</f>
        <v>SSA</v>
      </c>
      <c r="C4175" s="127">
        <f>1000*_xlfn.XLOOKUP(A4175,'[1]2050Pop'!$A$7:$A$143,'[1]2050Pop'!$C$7:$C$143)</f>
        <v>9436</v>
      </c>
      <c r="D4175" s="126" t="s">
        <v>536</v>
      </c>
      <c r="E4175" s="130">
        <v>9.94</v>
      </c>
      <c r="F4175" s="129">
        <f t="shared" si="197"/>
        <v>9.3793840000000003E-2</v>
      </c>
      <c r="G4175" t="str">
        <f>_xlfn.XLOOKUP(D4175,'[1]2050 BAU Mapping to T &amp; C'!$A$3:$A$52,'[1]2050 BAU Mapping to T &amp; C'!$B$3:$B$52)</f>
        <v>Sugar</v>
      </c>
      <c r="H4175" s="129">
        <f>_xlfn.XLOOKUP(G4175,'[1]T&amp;C emissions for 2050 analysis'!$B$3:$B$23,'[1]T&amp;C emissions for 2050 analysis'!$C$3:$C$23)</f>
        <v>7.3333333333333334E-2</v>
      </c>
      <c r="I4175" s="27">
        <f t="shared" si="195"/>
        <v>6.8782149333333339E-3</v>
      </c>
      <c r="J4175" s="129">
        <f t="shared" si="196"/>
        <v>0.72893333333333332</v>
      </c>
    </row>
    <row r="4176" spans="1:10" hidden="1" x14ac:dyDescent="0.35">
      <c r="A4176" s="126" t="s">
        <v>427</v>
      </c>
      <c r="B4176" t="str">
        <f>_xlfn.XLOOKUP(A4176,'[1]2050Pop'!$A$7:$A$143,'[1]2050Pop'!$D$7:$D$143)</f>
        <v>SSA</v>
      </c>
      <c r="C4176" s="127">
        <f>1000*_xlfn.XLOOKUP(A4176,'[1]2050Pop'!$A$7:$A$143,'[1]2050Pop'!$C$7:$C$143)</f>
        <v>55294</v>
      </c>
      <c r="D4176" s="126" t="s">
        <v>536</v>
      </c>
      <c r="E4176" s="128">
        <v>3.895</v>
      </c>
      <c r="F4176" s="129">
        <f t="shared" si="197"/>
        <v>0.21537012999999999</v>
      </c>
      <c r="G4176" t="str">
        <f>_xlfn.XLOOKUP(D4176,'[1]2050 BAU Mapping to T &amp; C'!$A$3:$A$52,'[1]2050 BAU Mapping to T &amp; C'!$B$3:$B$52)</f>
        <v>Sugar</v>
      </c>
      <c r="H4176" s="129">
        <f>_xlfn.XLOOKUP(G4176,'[1]T&amp;C emissions for 2050 analysis'!$B$3:$B$23,'[1]T&amp;C emissions for 2050 analysis'!$C$3:$C$23)</f>
        <v>7.3333333333333334E-2</v>
      </c>
      <c r="I4176" s="27">
        <f t="shared" si="195"/>
        <v>1.5793809533333331E-2</v>
      </c>
      <c r="J4176" s="129">
        <f t="shared" si="196"/>
        <v>0.28563333333333335</v>
      </c>
    </row>
    <row r="4177" spans="1:10" hidden="1" x14ac:dyDescent="0.35">
      <c r="A4177" s="126" t="s">
        <v>436</v>
      </c>
      <c r="B4177" t="str">
        <f>_xlfn.XLOOKUP(A4177,'[1]2050Pop'!$A$7:$A$143,'[1]2050Pop'!$D$7:$D$143)</f>
        <v>SSA</v>
      </c>
      <c r="C4177" s="127">
        <f>1000*_xlfn.XLOOKUP(A4177,'[1]2050Pop'!$A$7:$A$143,'[1]2050Pop'!$C$7:$C$143)</f>
        <v>65544</v>
      </c>
      <c r="D4177" s="126" t="s">
        <v>536</v>
      </c>
      <c r="E4177" s="130">
        <v>1.17</v>
      </c>
      <c r="F4177" s="129">
        <f t="shared" si="197"/>
        <v>7.6686480000000001E-2</v>
      </c>
      <c r="G4177" t="str">
        <f>_xlfn.XLOOKUP(D4177,'[1]2050 BAU Mapping to T &amp; C'!$A$3:$A$52,'[1]2050 BAU Mapping to T &amp; C'!$B$3:$B$52)</f>
        <v>Sugar</v>
      </c>
      <c r="H4177" s="129">
        <f>_xlfn.XLOOKUP(G4177,'[1]T&amp;C emissions for 2050 analysis'!$B$3:$B$23,'[1]T&amp;C emissions for 2050 analysis'!$C$3:$C$23)</f>
        <v>7.3333333333333334E-2</v>
      </c>
      <c r="I4177" s="27">
        <f t="shared" si="195"/>
        <v>5.6236751999999999E-3</v>
      </c>
      <c r="J4177" s="129">
        <f t="shared" si="196"/>
        <v>8.5800000000000001E-2</v>
      </c>
    </row>
    <row r="4178" spans="1:10" hidden="1" x14ac:dyDescent="0.35">
      <c r="A4178" s="126" t="s">
        <v>490</v>
      </c>
      <c r="B4178" t="str">
        <f>_xlfn.XLOOKUP(A4178,'[1]2050Pop'!$A$7:$A$143,'[1]2050Pop'!$D$7:$D$143)</f>
        <v>APAC</v>
      </c>
      <c r="C4178" s="127">
        <f>1000*_xlfn.XLOOKUP(A4178,'[1]2050Pop'!$A$7:$A$143,'[1]2050Pop'!$C$7:$C$143)</f>
        <v>63575</v>
      </c>
      <c r="D4178" s="126" t="s">
        <v>536</v>
      </c>
      <c r="E4178" s="128">
        <v>1.357</v>
      </c>
      <c r="F4178" s="129">
        <f t="shared" si="197"/>
        <v>8.6271274999999994E-2</v>
      </c>
      <c r="G4178" t="str">
        <f>_xlfn.XLOOKUP(D4178,'[1]2050 BAU Mapping to T &amp; C'!$A$3:$A$52,'[1]2050 BAU Mapping to T &amp; C'!$B$3:$B$52)</f>
        <v>Sugar</v>
      </c>
      <c r="H4178" s="129">
        <f>_xlfn.XLOOKUP(G4178,'[1]T&amp;C emissions for 2050 analysis'!$B$3:$B$23,'[1]T&amp;C emissions for 2050 analysis'!$C$3:$C$23)</f>
        <v>7.3333333333333334E-2</v>
      </c>
      <c r="I4178" s="27">
        <f t="shared" si="195"/>
        <v>6.3265601666666659E-3</v>
      </c>
      <c r="J4178" s="129">
        <f t="shared" si="196"/>
        <v>9.9513333333333329E-2</v>
      </c>
    </row>
    <row r="4179" spans="1:10" hidden="1" x14ac:dyDescent="0.35">
      <c r="A4179" s="126" t="s">
        <v>438</v>
      </c>
      <c r="B4179" t="str">
        <f>_xlfn.XLOOKUP(A4179,'[1]2050Pop'!$A$7:$A$143,'[1]2050Pop'!$D$7:$D$143)</f>
        <v>India/South Asia</v>
      </c>
      <c r="C4179" s="127">
        <f>1000*_xlfn.XLOOKUP(A4179,'[1]2050Pop'!$A$7:$A$143,'[1]2050Pop'!$C$7:$C$143)</f>
        <v>36159</v>
      </c>
      <c r="D4179" s="126" t="s">
        <v>536</v>
      </c>
      <c r="E4179" s="128">
        <v>38.185000000000002</v>
      </c>
      <c r="F4179" s="129">
        <f t="shared" si="197"/>
        <v>1.3807314150000001</v>
      </c>
      <c r="G4179" t="str">
        <f>_xlfn.XLOOKUP(D4179,'[1]2050 BAU Mapping to T &amp; C'!$A$3:$A$52,'[1]2050 BAU Mapping to T &amp; C'!$B$3:$B$52)</f>
        <v>Sugar</v>
      </c>
      <c r="H4179" s="129">
        <f>_xlfn.XLOOKUP(G4179,'[1]T&amp;C emissions for 2050 analysis'!$B$3:$B$23,'[1]T&amp;C emissions for 2050 analysis'!$C$3:$C$23)</f>
        <v>7.3333333333333334E-2</v>
      </c>
      <c r="I4179" s="27">
        <f t="shared" si="195"/>
        <v>0.1012536371</v>
      </c>
      <c r="J4179" s="129">
        <f t="shared" si="196"/>
        <v>2.8002333333333334</v>
      </c>
    </row>
    <row r="4180" spans="1:10" hidden="1" x14ac:dyDescent="0.35">
      <c r="A4180" s="126" t="s">
        <v>443</v>
      </c>
      <c r="B4180" t="str">
        <f>_xlfn.XLOOKUP(A4180,'[1]2050Pop'!$A$7:$A$143,'[1]2050Pop'!$D$7:$D$143)</f>
        <v>India/South Asia</v>
      </c>
      <c r="C4180" s="127">
        <f>1000*_xlfn.XLOOKUP(A4180,'[1]2050Pop'!$A$7:$A$143,'[1]2050Pop'!$C$7:$C$143)</f>
        <v>309640</v>
      </c>
      <c r="D4180" s="126" t="s">
        <v>536</v>
      </c>
      <c r="E4180" s="128">
        <v>19.225000000000001</v>
      </c>
      <c r="F4180" s="129">
        <f t="shared" si="197"/>
        <v>5.9528290000000004</v>
      </c>
      <c r="G4180" t="str">
        <f>_xlfn.XLOOKUP(D4180,'[1]2050 BAU Mapping to T &amp; C'!$A$3:$A$52,'[1]2050 BAU Mapping to T &amp; C'!$B$3:$B$52)</f>
        <v>Sugar</v>
      </c>
      <c r="H4180" s="129">
        <f>_xlfn.XLOOKUP(G4180,'[1]T&amp;C emissions for 2050 analysis'!$B$3:$B$23,'[1]T&amp;C emissions for 2050 analysis'!$C$3:$C$23)</f>
        <v>7.3333333333333334E-2</v>
      </c>
      <c r="I4180" s="27">
        <f t="shared" si="195"/>
        <v>0.43654079333333334</v>
      </c>
      <c r="J4180" s="129">
        <f t="shared" si="196"/>
        <v>1.4098333333333335</v>
      </c>
    </row>
    <row r="4181" spans="1:10" hidden="1" x14ac:dyDescent="0.35">
      <c r="A4181" s="126" t="s">
        <v>447</v>
      </c>
      <c r="B4181" t="str">
        <f>_xlfn.XLOOKUP(A4181,'[1]2050Pop'!$A$7:$A$143,'[1]2050Pop'!$D$7:$D$143)</f>
        <v>APAC</v>
      </c>
      <c r="C4181" s="127">
        <f>1000*_xlfn.XLOOKUP(A4181,'[1]2050Pop'!$A$7:$A$143,'[1]2050Pop'!$C$7:$C$143)</f>
        <v>148260</v>
      </c>
      <c r="D4181" s="126" t="s">
        <v>536</v>
      </c>
      <c r="E4181" s="128">
        <v>1.196</v>
      </c>
      <c r="F4181" s="129">
        <f t="shared" si="197"/>
        <v>0.17731896</v>
      </c>
      <c r="G4181" t="str">
        <f>_xlfn.XLOOKUP(D4181,'[1]2050 BAU Mapping to T &amp; C'!$A$3:$A$52,'[1]2050 BAU Mapping to T &amp; C'!$B$3:$B$52)</f>
        <v>Sugar</v>
      </c>
      <c r="H4181" s="129">
        <f>_xlfn.XLOOKUP(G4181,'[1]T&amp;C emissions for 2050 analysis'!$B$3:$B$23,'[1]T&amp;C emissions for 2050 analysis'!$C$3:$C$23)</f>
        <v>7.3333333333333334E-2</v>
      </c>
      <c r="I4181" s="27">
        <f t="shared" si="195"/>
        <v>1.30033904E-2</v>
      </c>
      <c r="J4181" s="129">
        <f t="shared" si="196"/>
        <v>8.7706666666666669E-2</v>
      </c>
    </row>
    <row r="4182" spans="1:10" hidden="1" x14ac:dyDescent="0.35">
      <c r="A4182" s="126" t="s">
        <v>452</v>
      </c>
      <c r="B4182" t="str">
        <f>_xlfn.XLOOKUP(A4182,'[1]2050Pop'!$A$7:$A$143,'[1]2050Pop'!$D$7:$D$143)</f>
        <v>SSA</v>
      </c>
      <c r="C4182" s="127">
        <f>1000*_xlfn.XLOOKUP(A4182,'[1]2050Pop'!$A$7:$A$143,'[1]2050Pop'!$C$7:$C$143)</f>
        <v>10732</v>
      </c>
      <c r="D4182" s="126" t="s">
        <v>536</v>
      </c>
      <c r="E4182" s="128">
        <v>1.2190000000000001</v>
      </c>
      <c r="F4182" s="129">
        <f t="shared" si="197"/>
        <v>1.3082308000000001E-2</v>
      </c>
      <c r="G4182" t="str">
        <f>_xlfn.XLOOKUP(D4182,'[1]2050 BAU Mapping to T &amp; C'!$A$3:$A$52,'[1]2050 BAU Mapping to T &amp; C'!$B$3:$B$52)</f>
        <v>Sugar</v>
      </c>
      <c r="H4182" s="129">
        <f>_xlfn.XLOOKUP(G4182,'[1]T&amp;C emissions for 2050 analysis'!$B$3:$B$23,'[1]T&amp;C emissions for 2050 analysis'!$C$3:$C$23)</f>
        <v>7.3333333333333334E-2</v>
      </c>
      <c r="I4182" s="27">
        <f t="shared" si="195"/>
        <v>9.5936925333333343E-4</v>
      </c>
      <c r="J4182" s="129">
        <f t="shared" si="196"/>
        <v>8.9393333333333339E-2</v>
      </c>
    </row>
    <row r="4183" spans="1:10" hidden="1" x14ac:dyDescent="0.35">
      <c r="A4183" s="126" t="s">
        <v>493</v>
      </c>
      <c r="B4183" t="str">
        <f>_xlfn.XLOOKUP(A4183,'[1]2050Pop'!$A$7:$A$143,'[1]2050Pop'!$D$7:$D$143)</f>
        <v>India/South Asia</v>
      </c>
      <c r="C4183" s="127">
        <f>1000*_xlfn.XLOOKUP(A4183,'[1]2050Pop'!$A$7:$A$143,'[1]2050Pop'!$C$7:$C$143)</f>
        <v>20836</v>
      </c>
      <c r="D4183" s="126" t="s">
        <v>536</v>
      </c>
      <c r="E4183" s="128">
        <v>21.321999999999999</v>
      </c>
      <c r="F4183" s="129">
        <f t="shared" si="197"/>
        <v>0.44426519199999998</v>
      </c>
      <c r="G4183" t="str">
        <f>_xlfn.XLOOKUP(D4183,'[1]2050 BAU Mapping to T &amp; C'!$A$3:$A$52,'[1]2050 BAU Mapping to T &amp; C'!$B$3:$B$52)</f>
        <v>Sugar</v>
      </c>
      <c r="H4183" s="129">
        <f>_xlfn.XLOOKUP(G4183,'[1]T&amp;C emissions for 2050 analysis'!$B$3:$B$23,'[1]T&amp;C emissions for 2050 analysis'!$C$3:$C$23)</f>
        <v>7.3333333333333334E-2</v>
      </c>
      <c r="I4183" s="27">
        <f t="shared" si="195"/>
        <v>3.257944741333333E-2</v>
      </c>
      <c r="J4183" s="129">
        <f t="shared" si="196"/>
        <v>1.5636133333333333</v>
      </c>
    </row>
    <row r="4184" spans="1:10" hidden="1" x14ac:dyDescent="0.35">
      <c r="A4184" s="126" t="s">
        <v>462</v>
      </c>
      <c r="B4184" t="str">
        <f>_xlfn.XLOOKUP(A4184,'[1]2050Pop'!$A$7:$A$143,'[1]2050Pop'!$D$7:$D$143)</f>
        <v>LatAm &amp; RSA</v>
      </c>
      <c r="C4184" s="127">
        <f>1000*_xlfn.XLOOKUP(A4184,'[1]2050Pop'!$A$7:$A$143,'[1]2050Pop'!$C$7:$C$143)</f>
        <v>624</v>
      </c>
      <c r="D4184" s="126" t="s">
        <v>536</v>
      </c>
      <c r="E4184" s="128">
        <v>4.7510000000000003</v>
      </c>
      <c r="F4184" s="129">
        <f t="shared" si="197"/>
        <v>2.9646240000000003E-3</v>
      </c>
      <c r="G4184" t="str">
        <f>_xlfn.XLOOKUP(D4184,'[1]2050 BAU Mapping to T &amp; C'!$A$3:$A$52,'[1]2050 BAU Mapping to T &amp; C'!$B$3:$B$52)</f>
        <v>Sugar</v>
      </c>
      <c r="H4184" s="129">
        <f>_xlfn.XLOOKUP(G4184,'[1]T&amp;C emissions for 2050 analysis'!$B$3:$B$23,'[1]T&amp;C emissions for 2050 analysis'!$C$3:$C$23)</f>
        <v>7.3333333333333334E-2</v>
      </c>
      <c r="I4184" s="27">
        <f t="shared" si="195"/>
        <v>2.1740576000000002E-4</v>
      </c>
      <c r="J4184" s="129">
        <f t="shared" si="196"/>
        <v>0.3484066666666667</v>
      </c>
    </row>
    <row r="4185" spans="1:10" hidden="1" x14ac:dyDescent="0.35">
      <c r="A4185" s="126" t="s">
        <v>465</v>
      </c>
      <c r="B4185" t="str">
        <f>_xlfn.XLOOKUP(A4185,'[1]2050Pop'!$A$7:$A$143,'[1]2050Pop'!$D$7:$D$143)</f>
        <v>APAC</v>
      </c>
      <c r="C4185" s="127">
        <f>1000*_xlfn.XLOOKUP(A4185,'[1]2050Pop'!$A$7:$A$143,'[1]2050Pop'!$C$7:$C$143)</f>
        <v>62452</v>
      </c>
      <c r="D4185" s="126" t="s">
        <v>536</v>
      </c>
      <c r="E4185" s="128">
        <v>47.097999999999999</v>
      </c>
      <c r="F4185" s="129">
        <f t="shared" si="197"/>
        <v>2.9413642960000002</v>
      </c>
      <c r="G4185" t="str">
        <f>_xlfn.XLOOKUP(D4185,'[1]2050 BAU Mapping to T &amp; C'!$A$3:$A$52,'[1]2050 BAU Mapping to T &amp; C'!$B$3:$B$52)</f>
        <v>Sugar</v>
      </c>
      <c r="H4185" s="129">
        <f>_xlfn.XLOOKUP(G4185,'[1]T&amp;C emissions for 2050 analysis'!$B$3:$B$23,'[1]T&amp;C emissions for 2050 analysis'!$C$3:$C$23)</f>
        <v>7.3333333333333334E-2</v>
      </c>
      <c r="I4185" s="27">
        <f t="shared" si="195"/>
        <v>0.21570004837333334</v>
      </c>
      <c r="J4185" s="129">
        <f t="shared" si="196"/>
        <v>3.4538533333333334</v>
      </c>
    </row>
    <row r="4186" spans="1:10" hidden="1" x14ac:dyDescent="0.35">
      <c r="A4186" s="126" t="s">
        <v>470</v>
      </c>
      <c r="B4186" t="str">
        <f>_xlfn.XLOOKUP(A4186,'[1]2050Pop'!$A$7:$A$143,'[1]2050Pop'!$D$7:$D$143)</f>
        <v>SSA</v>
      </c>
      <c r="C4186" s="127">
        <f>1000*_xlfn.XLOOKUP(A4186,'[1]2050Pop'!$A$7:$A$143,'[1]2050Pop'!$C$7:$C$143)</f>
        <v>101873</v>
      </c>
      <c r="D4186" s="126" t="s">
        <v>536</v>
      </c>
      <c r="E4186" s="128">
        <v>3.7309999999999999</v>
      </c>
      <c r="F4186" s="129">
        <f t="shared" si="197"/>
        <v>0.38008816299999998</v>
      </c>
      <c r="G4186" t="str">
        <f>_xlfn.XLOOKUP(D4186,'[1]2050 BAU Mapping to T &amp; C'!$A$3:$A$52,'[1]2050 BAU Mapping to T &amp; C'!$B$3:$B$52)</f>
        <v>Sugar</v>
      </c>
      <c r="H4186" s="129">
        <f>_xlfn.XLOOKUP(G4186,'[1]T&amp;C emissions for 2050 analysis'!$B$3:$B$23,'[1]T&amp;C emissions for 2050 analysis'!$C$3:$C$23)</f>
        <v>7.3333333333333334E-2</v>
      </c>
      <c r="I4186" s="27">
        <f t="shared" si="195"/>
        <v>2.7873131953333331E-2</v>
      </c>
      <c r="J4186" s="129">
        <f t="shared" si="196"/>
        <v>0.27360666666666666</v>
      </c>
    </row>
    <row r="4187" spans="1:10" hidden="1" x14ac:dyDescent="0.35">
      <c r="A4187" s="126" t="s">
        <v>473</v>
      </c>
      <c r="B4187" t="str">
        <f>_xlfn.XLOOKUP(A4187,'[1]2050Pop'!$A$7:$A$143,'[1]2050Pop'!$D$7:$D$143)</f>
        <v>SSA</v>
      </c>
      <c r="C4187" s="127">
        <f>1000*_xlfn.XLOOKUP(A4187,'[1]2050Pop'!$A$7:$A$143,'[1]2050Pop'!$C$7:$C$143)</f>
        <v>137136</v>
      </c>
      <c r="D4187" s="126" t="s">
        <v>536</v>
      </c>
      <c r="E4187" s="128">
        <v>5.407</v>
      </c>
      <c r="F4187" s="129">
        <f t="shared" si="197"/>
        <v>0.74149435199999991</v>
      </c>
      <c r="G4187" t="str">
        <f>_xlfn.XLOOKUP(D4187,'[1]2050 BAU Mapping to T &amp; C'!$A$3:$A$52,'[1]2050 BAU Mapping to T &amp; C'!$B$3:$B$52)</f>
        <v>Sugar</v>
      </c>
      <c r="H4187" s="129">
        <f>_xlfn.XLOOKUP(G4187,'[1]T&amp;C emissions for 2050 analysis'!$B$3:$B$23,'[1]T&amp;C emissions for 2050 analysis'!$C$3:$C$23)</f>
        <v>7.3333333333333334E-2</v>
      </c>
      <c r="I4187" s="27">
        <f t="shared" si="195"/>
        <v>5.4376252479999991E-2</v>
      </c>
      <c r="J4187" s="129">
        <f t="shared" si="196"/>
        <v>0.39651333333333333</v>
      </c>
    </row>
    <row r="4188" spans="1:10" hidden="1" x14ac:dyDescent="0.35">
      <c r="A4188" s="126" t="s">
        <v>477</v>
      </c>
      <c r="B4188" t="str">
        <f>_xlfn.XLOOKUP(A4188,'[1]2050Pop'!$A$7:$A$143,'[1]2050Pop'!$D$7:$D$143)</f>
        <v>APAC</v>
      </c>
      <c r="C4188" s="127">
        <f>1000*_xlfn.XLOOKUP(A4188,'[1]2050Pop'!$A$7:$A$143,'[1]2050Pop'!$C$7:$C$143)</f>
        <v>112783</v>
      </c>
      <c r="D4188" s="126" t="s">
        <v>536</v>
      </c>
      <c r="E4188" s="128">
        <v>12.583</v>
      </c>
      <c r="F4188" s="129">
        <f t="shared" si="197"/>
        <v>1.4191484890000001</v>
      </c>
      <c r="G4188" t="str">
        <f>_xlfn.XLOOKUP(D4188,'[1]2050 BAU Mapping to T &amp; C'!$A$3:$A$52,'[1]2050 BAU Mapping to T &amp; C'!$B$3:$B$52)</f>
        <v>Sugar</v>
      </c>
      <c r="H4188" s="129">
        <f>_xlfn.XLOOKUP(G4188,'[1]T&amp;C emissions for 2050 analysis'!$B$3:$B$23,'[1]T&amp;C emissions for 2050 analysis'!$C$3:$C$23)</f>
        <v>7.3333333333333334E-2</v>
      </c>
      <c r="I4188" s="27">
        <f t="shared" si="195"/>
        <v>0.10407088919333335</v>
      </c>
      <c r="J4188" s="129">
        <f t="shared" si="196"/>
        <v>0.92275333333333331</v>
      </c>
    </row>
    <row r="4189" spans="1:10" hidden="1" x14ac:dyDescent="0.35">
      <c r="A4189" s="126" t="s">
        <v>363</v>
      </c>
      <c r="B4189" t="str">
        <f>_xlfn.XLOOKUP(A4189,'[1]2050Pop'!$A$7:$A$143,'[1]2050Pop'!$D$7:$D$143)</f>
        <v>Euro/AU/NZ</v>
      </c>
      <c r="C4189" s="127">
        <f>1000*_xlfn.XLOOKUP(A4189,'[1]2050Pop'!$A$7:$A$143,'[1]2050Pop'!$C$7:$C$143)</f>
        <v>8846</v>
      </c>
      <c r="D4189" s="126" t="s">
        <v>537</v>
      </c>
      <c r="E4189" s="128">
        <v>9.2989999999999995</v>
      </c>
      <c r="F4189" s="129">
        <f t="shared" si="197"/>
        <v>8.2258953999999995E-2</v>
      </c>
      <c r="G4189" t="str">
        <f>_xlfn.XLOOKUP(D4189,'[1]2050 BAU Mapping to T &amp; C'!$A$3:$A$52,'[1]2050 BAU Mapping to T &amp; C'!$B$3:$B$52)</f>
        <v>Legumes</v>
      </c>
      <c r="H4189" s="129">
        <f>_xlfn.XLOOKUP(G4189,'[1]T&amp;C emissions for 2050 analysis'!$B$3:$B$23,'[1]T&amp;C emissions for 2050 analysis'!$C$3:$C$23)</f>
        <v>7.3333333333333334E-2</v>
      </c>
      <c r="I4189" s="27">
        <f t="shared" si="195"/>
        <v>6.0323232933333333E-3</v>
      </c>
      <c r="J4189" s="129">
        <f t="shared" si="196"/>
        <v>0.68192666666666668</v>
      </c>
    </row>
    <row r="4190" spans="1:10" hidden="1" x14ac:dyDescent="0.35">
      <c r="A4190" s="126" t="s">
        <v>373</v>
      </c>
      <c r="B4190" t="str">
        <f>_xlfn.XLOOKUP(A4190,'[1]2050Pop'!$A$7:$A$143,'[1]2050Pop'!$D$7:$D$143)</f>
        <v>Euro/AU/NZ</v>
      </c>
      <c r="C4190" s="127">
        <f>1000*_xlfn.XLOOKUP(A4190,'[1]2050Pop'!$A$7:$A$143,'[1]2050Pop'!$C$7:$C$143)</f>
        <v>5154</v>
      </c>
      <c r="D4190" s="126" t="s">
        <v>537</v>
      </c>
      <c r="E4190" s="128">
        <v>26.988</v>
      </c>
      <c r="F4190" s="129">
        <f t="shared" si="197"/>
        <v>0.139096152</v>
      </c>
      <c r="G4190" t="str">
        <f>_xlfn.XLOOKUP(D4190,'[1]2050 BAU Mapping to T &amp; C'!$A$3:$A$52,'[1]2050 BAU Mapping to T &amp; C'!$B$3:$B$52)</f>
        <v>Legumes</v>
      </c>
      <c r="H4190" s="129">
        <f>_xlfn.XLOOKUP(G4190,'[1]T&amp;C emissions for 2050 analysis'!$B$3:$B$23,'[1]T&amp;C emissions for 2050 analysis'!$C$3:$C$23)</f>
        <v>7.3333333333333334E-2</v>
      </c>
      <c r="I4190" s="27">
        <f t="shared" si="195"/>
        <v>1.020038448E-2</v>
      </c>
      <c r="J4190" s="129">
        <f t="shared" si="196"/>
        <v>1.97912</v>
      </c>
    </row>
    <row r="4191" spans="1:10" hidden="1" x14ac:dyDescent="0.35">
      <c r="A4191" s="126" t="s">
        <v>381</v>
      </c>
      <c r="B4191" t="str">
        <f>_xlfn.XLOOKUP(A4191,'[1]2050Pop'!$A$7:$A$143,'[1]2050Pop'!$D$7:$D$143)</f>
        <v>Greater China</v>
      </c>
      <c r="C4191" s="127">
        <f>1000*_xlfn.XLOOKUP(A4191,'[1]2050Pop'!$A$7:$A$143,'[1]2050Pop'!$C$7:$C$143)</f>
        <v>20778</v>
      </c>
      <c r="D4191" s="126" t="s">
        <v>537</v>
      </c>
      <c r="E4191" s="128">
        <v>1.8440000000000001</v>
      </c>
      <c r="F4191" s="129">
        <f t="shared" si="197"/>
        <v>3.8314632000000008E-2</v>
      </c>
      <c r="G4191" t="str">
        <f>_xlfn.XLOOKUP(D4191,'[1]2050 BAU Mapping to T &amp; C'!$A$3:$A$52,'[1]2050 BAU Mapping to T &amp; C'!$B$3:$B$52)</f>
        <v>Legumes</v>
      </c>
      <c r="H4191" s="129">
        <f>_xlfn.XLOOKUP(G4191,'[1]T&amp;C emissions for 2050 analysis'!$B$3:$B$23,'[1]T&amp;C emissions for 2050 analysis'!$C$3:$C$23)</f>
        <v>7.3333333333333334E-2</v>
      </c>
      <c r="I4191" s="27">
        <f t="shared" si="195"/>
        <v>2.8097396800000007E-3</v>
      </c>
      <c r="J4191" s="129">
        <f t="shared" si="196"/>
        <v>0.13522666666666666</v>
      </c>
    </row>
    <row r="4192" spans="1:10" hidden="1" x14ac:dyDescent="0.35">
      <c r="A4192" s="126" t="s">
        <v>383</v>
      </c>
      <c r="B4192" t="str">
        <f>_xlfn.XLOOKUP(A4192,'[1]2050Pop'!$A$7:$A$143,'[1]2050Pop'!$D$7:$D$143)</f>
        <v>LatAm &amp; RSA</v>
      </c>
      <c r="C4192" s="127">
        <f>1000*_xlfn.XLOOKUP(A4192,'[1]2050Pop'!$A$7:$A$143,'[1]2050Pop'!$C$7:$C$143)</f>
        <v>5759</v>
      </c>
      <c r="D4192" s="126" t="s">
        <v>537</v>
      </c>
      <c r="E4192" s="128">
        <v>1.7090000000000001</v>
      </c>
      <c r="F4192" s="129">
        <f t="shared" si="197"/>
        <v>9.8421310000000005E-3</v>
      </c>
      <c r="G4192" t="str">
        <f>_xlfn.XLOOKUP(D4192,'[1]2050 BAU Mapping to T &amp; C'!$A$3:$A$52,'[1]2050 BAU Mapping to T &amp; C'!$B$3:$B$52)</f>
        <v>Legumes</v>
      </c>
      <c r="H4192" s="129">
        <f>_xlfn.XLOOKUP(G4192,'[1]T&amp;C emissions for 2050 analysis'!$B$3:$B$23,'[1]T&amp;C emissions for 2050 analysis'!$C$3:$C$23)</f>
        <v>7.3333333333333334E-2</v>
      </c>
      <c r="I4192" s="27">
        <f t="shared" si="195"/>
        <v>7.2175627333333334E-4</v>
      </c>
      <c r="J4192" s="129">
        <f t="shared" si="196"/>
        <v>0.12532666666666667</v>
      </c>
    </row>
    <row r="4193" spans="1:10" hidden="1" x14ac:dyDescent="0.35">
      <c r="A4193" s="126" t="s">
        <v>390</v>
      </c>
      <c r="B4193" t="str">
        <f>_xlfn.XLOOKUP(A4193,'[1]2050Pop'!$A$7:$A$143,'[1]2050Pop'!$D$7:$D$143)</f>
        <v>LatAm &amp; RSA</v>
      </c>
      <c r="C4193" s="127">
        <f>1000*_xlfn.XLOOKUP(A4193,'[1]2050Pop'!$A$7:$A$143,'[1]2050Pop'!$C$7:$C$143)</f>
        <v>23013</v>
      </c>
      <c r="D4193" s="126" t="s">
        <v>537</v>
      </c>
      <c r="E4193" s="128">
        <v>1.7350000000000001</v>
      </c>
      <c r="F4193" s="129">
        <f t="shared" si="197"/>
        <v>3.9927555000000003E-2</v>
      </c>
      <c r="G4193" t="str">
        <f>_xlfn.XLOOKUP(D4193,'[1]2050 BAU Mapping to T &amp; C'!$A$3:$A$52,'[1]2050 BAU Mapping to T &amp; C'!$B$3:$B$52)</f>
        <v>Legumes</v>
      </c>
      <c r="H4193" s="129">
        <f>_xlfn.XLOOKUP(G4193,'[1]T&amp;C emissions for 2050 analysis'!$B$3:$B$23,'[1]T&amp;C emissions for 2050 analysis'!$C$3:$C$23)</f>
        <v>7.3333333333333334E-2</v>
      </c>
      <c r="I4193" s="27">
        <f t="shared" si="195"/>
        <v>2.9280207000000002E-3</v>
      </c>
      <c r="J4193" s="129">
        <f t="shared" si="196"/>
        <v>0.12723333333333334</v>
      </c>
    </row>
    <row r="4194" spans="1:10" hidden="1" x14ac:dyDescent="0.35">
      <c r="A4194" s="126" t="s">
        <v>406</v>
      </c>
      <c r="B4194" t="str">
        <f>_xlfn.XLOOKUP(A4194,'[1]2050Pop'!$A$7:$A$143,'[1]2050Pop'!$D$7:$D$143)</f>
        <v>LatAm &amp; RSA</v>
      </c>
      <c r="C4194" s="127">
        <f>1000*_xlfn.XLOOKUP(A4194,'[1]2050Pop'!$A$7:$A$143,'[1]2050Pop'!$C$7:$C$143)</f>
        <v>11217</v>
      </c>
      <c r="D4194" s="126" t="s">
        <v>537</v>
      </c>
      <c r="E4194" s="128">
        <v>1.7689999999999999</v>
      </c>
      <c r="F4194" s="129">
        <f t="shared" si="197"/>
        <v>1.9842873E-2</v>
      </c>
      <c r="G4194" t="str">
        <f>_xlfn.XLOOKUP(D4194,'[1]2050 BAU Mapping to T &amp; C'!$A$3:$A$52,'[1]2050 BAU Mapping to T &amp; C'!$B$3:$B$52)</f>
        <v>Legumes</v>
      </c>
      <c r="H4194" s="129">
        <f>_xlfn.XLOOKUP(G4194,'[1]T&amp;C emissions for 2050 analysis'!$B$3:$B$23,'[1]T&amp;C emissions for 2050 analysis'!$C$3:$C$23)</f>
        <v>7.3333333333333334E-2</v>
      </c>
      <c r="I4194" s="27">
        <f t="shared" si="195"/>
        <v>1.4551440200000001E-3</v>
      </c>
      <c r="J4194" s="129">
        <f t="shared" si="196"/>
        <v>0.12972666666666666</v>
      </c>
    </row>
    <row r="4195" spans="1:10" hidden="1" x14ac:dyDescent="0.35">
      <c r="A4195" s="126" t="s">
        <v>411</v>
      </c>
      <c r="B4195" t="str">
        <f>_xlfn.XLOOKUP(A4195,'[1]2050Pop'!$A$7:$A$143,'[1]2050Pop'!$D$7:$D$143)</f>
        <v>MENA</v>
      </c>
      <c r="C4195" s="127">
        <f>1000*_xlfn.XLOOKUP(A4195,'[1]2050Pop'!$A$7:$A$143,'[1]2050Pop'!$C$7:$C$143)</f>
        <v>83652</v>
      </c>
      <c r="D4195" s="126" t="s">
        <v>537</v>
      </c>
      <c r="E4195" s="128">
        <v>1.861</v>
      </c>
      <c r="F4195" s="129">
        <f t="shared" si="197"/>
        <v>0.15567637200000001</v>
      </c>
      <c r="G4195" t="str">
        <f>_xlfn.XLOOKUP(D4195,'[1]2050 BAU Mapping to T &amp; C'!$A$3:$A$52,'[1]2050 BAU Mapping to T &amp; C'!$B$3:$B$52)</f>
        <v>Legumes</v>
      </c>
      <c r="H4195" s="129">
        <f>_xlfn.XLOOKUP(G4195,'[1]T&amp;C emissions for 2050 analysis'!$B$3:$B$23,'[1]T&amp;C emissions for 2050 analysis'!$C$3:$C$23)</f>
        <v>7.3333333333333334E-2</v>
      </c>
      <c r="I4195" s="27">
        <f t="shared" si="195"/>
        <v>1.1416267280000001E-2</v>
      </c>
      <c r="J4195" s="129">
        <f t="shared" si="196"/>
        <v>0.13647333333333334</v>
      </c>
    </row>
    <row r="4196" spans="1:10" hidden="1" x14ac:dyDescent="0.35">
      <c r="A4196" s="126" t="s">
        <v>412</v>
      </c>
      <c r="B4196" t="str">
        <f>_xlfn.XLOOKUP(A4196,'[1]2050Pop'!$A$7:$A$143,'[1]2050Pop'!$D$7:$D$143)</f>
        <v>Euro/AU/NZ</v>
      </c>
      <c r="C4196" s="127">
        <f>1000*_xlfn.XLOOKUP(A4196,'[1]2050Pop'!$A$7:$A$143,'[1]2050Pop'!$C$7:$C$143)</f>
        <v>5789</v>
      </c>
      <c r="D4196" s="126" t="s">
        <v>537</v>
      </c>
      <c r="E4196" s="128">
        <v>1.653</v>
      </c>
      <c r="F4196" s="129">
        <f t="shared" si="197"/>
        <v>9.5692170000000014E-3</v>
      </c>
      <c r="G4196" t="str">
        <f>_xlfn.XLOOKUP(D4196,'[1]2050 BAU Mapping to T &amp; C'!$A$3:$A$52,'[1]2050 BAU Mapping to T &amp; C'!$B$3:$B$52)</f>
        <v>Legumes</v>
      </c>
      <c r="H4196" s="129">
        <f>_xlfn.XLOOKUP(G4196,'[1]T&amp;C emissions for 2050 analysis'!$B$3:$B$23,'[1]T&amp;C emissions for 2050 analysis'!$C$3:$C$23)</f>
        <v>7.3333333333333334E-2</v>
      </c>
      <c r="I4196" s="27">
        <f t="shared" si="195"/>
        <v>7.0174258000000006E-4</v>
      </c>
      <c r="J4196" s="129">
        <f t="shared" si="196"/>
        <v>0.12122000000000001</v>
      </c>
    </row>
    <row r="4197" spans="1:10" hidden="1" x14ac:dyDescent="0.35">
      <c r="A4197" s="126" t="s">
        <v>413</v>
      </c>
      <c r="B4197" t="str">
        <f>_xlfn.XLOOKUP(A4197,'[1]2050Pop'!$A$7:$A$143,'[1]2050Pop'!$D$7:$D$143)</f>
        <v>MENA</v>
      </c>
      <c r="C4197" s="127">
        <f>1000*_xlfn.XLOOKUP(A4197,'[1]2050Pop'!$A$7:$A$143,'[1]2050Pop'!$C$7:$C$143)</f>
        <v>12610</v>
      </c>
      <c r="D4197" s="126" t="s">
        <v>537</v>
      </c>
      <c r="E4197" s="128">
        <v>4.3659999999999997</v>
      </c>
      <c r="F4197" s="129">
        <f t="shared" si="197"/>
        <v>5.5055259999999995E-2</v>
      </c>
      <c r="G4197" t="str">
        <f>_xlfn.XLOOKUP(D4197,'[1]2050 BAU Mapping to T &amp; C'!$A$3:$A$52,'[1]2050 BAU Mapping to T &amp; C'!$B$3:$B$52)</f>
        <v>Legumes</v>
      </c>
      <c r="H4197" s="129">
        <f>_xlfn.XLOOKUP(G4197,'[1]T&amp;C emissions for 2050 analysis'!$B$3:$B$23,'[1]T&amp;C emissions for 2050 analysis'!$C$3:$C$23)</f>
        <v>7.3333333333333334E-2</v>
      </c>
      <c r="I4197" s="27">
        <f t="shared" si="195"/>
        <v>4.0373857333333334E-3</v>
      </c>
      <c r="J4197" s="129">
        <f t="shared" si="196"/>
        <v>0.32017333333333331</v>
      </c>
    </row>
    <row r="4198" spans="1:10" hidden="1" x14ac:dyDescent="0.35">
      <c r="A4198" s="126" t="s">
        <v>417</v>
      </c>
      <c r="B4198" t="str">
        <f>_xlfn.XLOOKUP(A4198,'[1]2050Pop'!$A$7:$A$143,'[1]2050Pop'!$D$7:$D$143)</f>
        <v>MENA</v>
      </c>
      <c r="C4198" s="127">
        <f>1000*_xlfn.XLOOKUP(A4198,'[1]2050Pop'!$A$7:$A$143,'[1]2050Pop'!$C$7:$C$143)</f>
        <v>11717</v>
      </c>
      <c r="D4198" s="126" t="s">
        <v>537</v>
      </c>
      <c r="E4198" s="128">
        <v>5.1550000000000002</v>
      </c>
      <c r="F4198" s="129">
        <f t="shared" si="197"/>
        <v>6.0401135000000002E-2</v>
      </c>
      <c r="G4198" t="str">
        <f>_xlfn.XLOOKUP(D4198,'[1]2050 BAU Mapping to T &amp; C'!$A$3:$A$52,'[1]2050 BAU Mapping to T &amp; C'!$B$3:$B$52)</f>
        <v>Legumes</v>
      </c>
      <c r="H4198" s="129">
        <f>_xlfn.XLOOKUP(G4198,'[1]T&amp;C emissions for 2050 analysis'!$B$3:$B$23,'[1]T&amp;C emissions for 2050 analysis'!$C$3:$C$23)</f>
        <v>7.3333333333333334E-2</v>
      </c>
      <c r="I4198" s="27">
        <f t="shared" si="195"/>
        <v>4.429416566666667E-3</v>
      </c>
      <c r="J4198" s="129">
        <f t="shared" si="196"/>
        <v>0.37803333333333333</v>
      </c>
    </row>
    <row r="4199" spans="1:10" hidden="1" x14ac:dyDescent="0.35">
      <c r="A4199" s="126" t="s">
        <v>418</v>
      </c>
      <c r="B4199" t="str">
        <f>_xlfn.XLOOKUP(A4199,'[1]2050Pop'!$A$7:$A$143,'[1]2050Pop'!$D$7:$D$143)</f>
        <v>APAC</v>
      </c>
      <c r="C4199" s="127">
        <f>1000*_xlfn.XLOOKUP(A4199,'[1]2050Pop'!$A$7:$A$143,'[1]2050Pop'!$C$7:$C$143)</f>
        <v>22447</v>
      </c>
      <c r="D4199" s="126" t="s">
        <v>537</v>
      </c>
      <c r="E4199" s="128">
        <v>9.6980000000000004</v>
      </c>
      <c r="F4199" s="129">
        <f t="shared" si="197"/>
        <v>0.21769100600000002</v>
      </c>
      <c r="G4199" t="str">
        <f>_xlfn.XLOOKUP(D4199,'[1]2050 BAU Mapping to T &amp; C'!$A$3:$A$52,'[1]2050 BAU Mapping to T &amp; C'!$B$3:$B$52)</f>
        <v>Legumes</v>
      </c>
      <c r="H4199" s="129">
        <f>_xlfn.XLOOKUP(G4199,'[1]T&amp;C emissions for 2050 analysis'!$B$3:$B$23,'[1]T&amp;C emissions for 2050 analysis'!$C$3:$C$23)</f>
        <v>7.3333333333333334E-2</v>
      </c>
      <c r="I4199" s="27">
        <f t="shared" si="195"/>
        <v>1.5964007106666667E-2</v>
      </c>
      <c r="J4199" s="129">
        <f t="shared" si="196"/>
        <v>0.71118666666666674</v>
      </c>
    </row>
    <row r="4200" spans="1:10" hidden="1" x14ac:dyDescent="0.35">
      <c r="A4200" s="126" t="s">
        <v>432</v>
      </c>
      <c r="B4200" t="str">
        <f>_xlfn.XLOOKUP(A4200,'[1]2050Pop'!$A$7:$A$143,'[1]2050Pop'!$D$7:$D$143)</f>
        <v>SSA</v>
      </c>
      <c r="C4200" s="127">
        <f>1000*_xlfn.XLOOKUP(A4200,'[1]2050Pop'!$A$7:$A$143,'[1]2050Pop'!$C$7:$C$143)</f>
        <v>1249</v>
      </c>
      <c r="D4200" s="126" t="s">
        <v>537</v>
      </c>
      <c r="E4200" s="128">
        <v>1.8240000000000001</v>
      </c>
      <c r="F4200" s="129">
        <f t="shared" si="197"/>
        <v>2.2781759999999998E-3</v>
      </c>
      <c r="G4200" t="str">
        <f>_xlfn.XLOOKUP(D4200,'[1]2050 BAU Mapping to T &amp; C'!$A$3:$A$52,'[1]2050 BAU Mapping to T &amp; C'!$B$3:$B$52)</f>
        <v>Legumes</v>
      </c>
      <c r="H4200" s="129">
        <f>_xlfn.XLOOKUP(G4200,'[1]T&amp;C emissions for 2050 analysis'!$B$3:$B$23,'[1]T&amp;C emissions for 2050 analysis'!$C$3:$C$23)</f>
        <v>7.3333333333333334E-2</v>
      </c>
      <c r="I4200" s="27">
        <f t="shared" si="195"/>
        <v>1.6706623999999999E-4</v>
      </c>
      <c r="J4200" s="129">
        <f t="shared" si="196"/>
        <v>0.13376000000000002</v>
      </c>
    </row>
    <row r="4201" spans="1:10" hidden="1" x14ac:dyDescent="0.35">
      <c r="A4201" s="126" t="s">
        <v>490</v>
      </c>
      <c r="B4201" t="str">
        <f>_xlfn.XLOOKUP(A4201,'[1]2050Pop'!$A$7:$A$143,'[1]2050Pop'!$D$7:$D$143)</f>
        <v>APAC</v>
      </c>
      <c r="C4201" s="127">
        <f>1000*_xlfn.XLOOKUP(A4201,'[1]2050Pop'!$A$7:$A$143,'[1]2050Pop'!$C$7:$C$143)</f>
        <v>63575</v>
      </c>
      <c r="D4201" s="126" t="s">
        <v>537</v>
      </c>
      <c r="E4201" s="130">
        <v>4.38</v>
      </c>
      <c r="F4201" s="129">
        <f t="shared" si="197"/>
        <v>0.2784585</v>
      </c>
      <c r="G4201" t="str">
        <f>_xlfn.XLOOKUP(D4201,'[1]2050 BAU Mapping to T &amp; C'!$A$3:$A$52,'[1]2050 BAU Mapping to T &amp; C'!$B$3:$B$52)</f>
        <v>Legumes</v>
      </c>
      <c r="H4201" s="129">
        <f>_xlfn.XLOOKUP(G4201,'[1]T&amp;C emissions for 2050 analysis'!$B$3:$B$23,'[1]T&amp;C emissions for 2050 analysis'!$C$3:$C$23)</f>
        <v>7.3333333333333334E-2</v>
      </c>
      <c r="I4201" s="27">
        <f t="shared" si="195"/>
        <v>2.0420290000000001E-2</v>
      </c>
      <c r="J4201" s="129">
        <f t="shared" si="196"/>
        <v>0.32119999999999999</v>
      </c>
    </row>
    <row r="4202" spans="1:10" hidden="1" x14ac:dyDescent="0.35">
      <c r="A4202" s="126" t="s">
        <v>440</v>
      </c>
      <c r="B4202" t="str">
        <f>_xlfn.XLOOKUP(A4202,'[1]2050Pop'!$A$7:$A$143,'[1]2050Pop'!$D$7:$D$143)</f>
        <v>Euro/AU/NZ</v>
      </c>
      <c r="C4202" s="127">
        <f>1000*_xlfn.XLOOKUP(A4202,'[1]2050Pop'!$A$7:$A$143,'[1]2050Pop'!$C$7:$C$143)</f>
        <v>5607</v>
      </c>
      <c r="D4202" s="126" t="s">
        <v>537</v>
      </c>
      <c r="E4202" s="128">
        <v>3.5219999999999998</v>
      </c>
      <c r="F4202" s="129">
        <f t="shared" si="197"/>
        <v>1.9747853999999999E-2</v>
      </c>
      <c r="G4202" t="str">
        <f>_xlfn.XLOOKUP(D4202,'[1]2050 BAU Mapping to T &amp; C'!$A$3:$A$52,'[1]2050 BAU Mapping to T &amp; C'!$B$3:$B$52)</f>
        <v>Legumes</v>
      </c>
      <c r="H4202" s="129">
        <f>_xlfn.XLOOKUP(G4202,'[1]T&amp;C emissions for 2050 analysis'!$B$3:$B$23,'[1]T&amp;C emissions for 2050 analysis'!$C$3:$C$23)</f>
        <v>7.3333333333333334E-2</v>
      </c>
      <c r="I4202" s="27">
        <f t="shared" si="195"/>
        <v>1.44817596E-3</v>
      </c>
      <c r="J4202" s="129">
        <f t="shared" si="196"/>
        <v>0.25828000000000001</v>
      </c>
    </row>
    <row r="4203" spans="1:10" hidden="1" x14ac:dyDescent="0.35">
      <c r="A4203" s="126" t="s">
        <v>444</v>
      </c>
      <c r="B4203" t="str">
        <f>_xlfn.XLOOKUP(A4203,'[1]2050Pop'!$A$7:$A$143,'[1]2050Pop'!$D$7:$D$143)</f>
        <v>LatAm &amp; RSA</v>
      </c>
      <c r="C4203" s="127">
        <f>1000*_xlfn.XLOOKUP(A4203,'[1]2050Pop'!$A$7:$A$143,'[1]2050Pop'!$C$7:$C$143)</f>
        <v>5599</v>
      </c>
      <c r="D4203" s="126" t="s">
        <v>537</v>
      </c>
      <c r="E4203" s="128">
        <v>1.8360000000000001</v>
      </c>
      <c r="F4203" s="129">
        <f t="shared" si="197"/>
        <v>1.0279764E-2</v>
      </c>
      <c r="G4203" t="str">
        <f>_xlfn.XLOOKUP(D4203,'[1]2050 BAU Mapping to T &amp; C'!$A$3:$A$52,'[1]2050 BAU Mapping to T &amp; C'!$B$3:$B$52)</f>
        <v>Legumes</v>
      </c>
      <c r="H4203" s="129">
        <f>_xlfn.XLOOKUP(G4203,'[1]T&amp;C emissions for 2050 analysis'!$B$3:$B$23,'[1]T&amp;C emissions for 2050 analysis'!$C$3:$C$23)</f>
        <v>7.3333333333333334E-2</v>
      </c>
      <c r="I4203" s="27">
        <f t="shared" si="195"/>
        <v>7.5384935999999998E-4</v>
      </c>
      <c r="J4203" s="129">
        <f t="shared" si="196"/>
        <v>0.13464000000000001</v>
      </c>
    </row>
    <row r="4204" spans="1:10" hidden="1" x14ac:dyDescent="0.35">
      <c r="A4204" s="126" t="s">
        <v>445</v>
      </c>
      <c r="B4204" t="str">
        <f>_xlfn.XLOOKUP(A4204,'[1]2050Pop'!$A$7:$A$143,'[1]2050Pop'!$D$7:$D$143)</f>
        <v>LatAm &amp; RSA</v>
      </c>
      <c r="C4204" s="127">
        <f>1000*_xlfn.XLOOKUP(A4204,'[1]2050Pop'!$A$7:$A$143,'[1]2050Pop'!$C$7:$C$143)</f>
        <v>8895</v>
      </c>
      <c r="D4204" s="126" t="s">
        <v>537</v>
      </c>
      <c r="E4204" s="128">
        <v>15.061999999999999</v>
      </c>
      <c r="F4204" s="129">
        <f t="shared" si="197"/>
        <v>0.13397649</v>
      </c>
      <c r="G4204" t="str">
        <f>_xlfn.XLOOKUP(D4204,'[1]2050 BAU Mapping to T &amp; C'!$A$3:$A$52,'[1]2050 BAU Mapping to T &amp; C'!$B$3:$B$52)</f>
        <v>Legumes</v>
      </c>
      <c r="H4204" s="129">
        <f>_xlfn.XLOOKUP(G4204,'[1]T&amp;C emissions for 2050 analysis'!$B$3:$B$23,'[1]T&amp;C emissions for 2050 analysis'!$C$3:$C$23)</f>
        <v>7.3333333333333334E-2</v>
      </c>
      <c r="I4204" s="27">
        <f t="shared" si="195"/>
        <v>9.8249426000000008E-3</v>
      </c>
      <c r="J4204" s="129">
        <f t="shared" si="196"/>
        <v>1.1045466666666666</v>
      </c>
    </row>
    <row r="4205" spans="1:10" hidden="1" x14ac:dyDescent="0.35">
      <c r="A4205" s="126" t="s">
        <v>450</v>
      </c>
      <c r="B4205" t="str">
        <f>_xlfn.XLOOKUP(A4205,'[1]2050Pop'!$A$7:$A$143,'[1]2050Pop'!$D$7:$D$143)</f>
        <v>APAC</v>
      </c>
      <c r="C4205" s="127">
        <f>1000*_xlfn.XLOOKUP(A4205,'[1]2050Pop'!$A$7:$A$143,'[1]2050Pop'!$C$7:$C$143)</f>
        <v>50593</v>
      </c>
      <c r="D4205" s="126" t="s">
        <v>537</v>
      </c>
      <c r="E4205" s="128">
        <v>1.673</v>
      </c>
      <c r="F4205" s="129">
        <f t="shared" si="197"/>
        <v>8.4642089000000004E-2</v>
      </c>
      <c r="G4205" t="str">
        <f>_xlfn.XLOOKUP(D4205,'[1]2050 BAU Mapping to T &amp; C'!$A$3:$A$52,'[1]2050 BAU Mapping to T &amp; C'!$B$3:$B$52)</f>
        <v>Legumes</v>
      </c>
      <c r="H4205" s="129">
        <f>_xlfn.XLOOKUP(G4205,'[1]T&amp;C emissions for 2050 analysis'!$B$3:$B$23,'[1]T&amp;C emissions for 2050 analysis'!$C$3:$C$23)</f>
        <v>7.3333333333333334E-2</v>
      </c>
      <c r="I4205" s="27">
        <f t="shared" si="195"/>
        <v>6.2070865266666666E-3</v>
      </c>
      <c r="J4205" s="129">
        <f t="shared" si="196"/>
        <v>0.12268666666666667</v>
      </c>
    </row>
    <row r="4206" spans="1:10" hidden="1" x14ac:dyDescent="0.35">
      <c r="A4206" s="126" t="s">
        <v>456</v>
      </c>
      <c r="B4206" t="str">
        <f>_xlfn.XLOOKUP(A4206,'[1]2050Pop'!$A$7:$A$143,'[1]2050Pop'!$D$7:$D$143)</f>
        <v>MENA</v>
      </c>
      <c r="C4206" s="127">
        <f>1000*_xlfn.XLOOKUP(A4206,'[1]2050Pop'!$A$7:$A$143,'[1]2050Pop'!$C$7:$C$143)</f>
        <v>46059</v>
      </c>
      <c r="D4206" s="126" t="s">
        <v>537</v>
      </c>
      <c r="E4206" s="128">
        <v>1.7709999999999999</v>
      </c>
      <c r="F4206" s="129">
        <f t="shared" si="197"/>
        <v>8.1570488999999996E-2</v>
      </c>
      <c r="G4206" t="str">
        <f>_xlfn.XLOOKUP(D4206,'[1]2050 BAU Mapping to T &amp; C'!$A$3:$A$52,'[1]2050 BAU Mapping to T &amp; C'!$B$3:$B$52)</f>
        <v>Legumes</v>
      </c>
      <c r="H4206" s="129">
        <f>_xlfn.XLOOKUP(G4206,'[1]T&amp;C emissions for 2050 analysis'!$B$3:$B$23,'[1]T&amp;C emissions for 2050 analysis'!$C$3:$C$23)</f>
        <v>7.3333333333333334E-2</v>
      </c>
      <c r="I4206" s="27">
        <f t="shared" si="195"/>
        <v>5.9818358599999996E-3</v>
      </c>
      <c r="J4206" s="129">
        <f t="shared" si="196"/>
        <v>0.12987333333333334</v>
      </c>
    </row>
    <row r="4207" spans="1:10" hidden="1" x14ac:dyDescent="0.35">
      <c r="A4207" s="126" t="s">
        <v>461</v>
      </c>
      <c r="B4207" t="str">
        <f>_xlfn.XLOOKUP(A4207,'[1]2050Pop'!$A$7:$A$143,'[1]2050Pop'!$D$7:$D$143)</f>
        <v>Euro/AU/NZ</v>
      </c>
      <c r="C4207" s="127">
        <f>1000*_xlfn.XLOOKUP(A4207,'[1]2050Pop'!$A$7:$A$143,'[1]2050Pop'!$C$7:$C$143)</f>
        <v>44840</v>
      </c>
      <c r="D4207" s="126" t="s">
        <v>537</v>
      </c>
      <c r="E4207" s="128">
        <v>16.916</v>
      </c>
      <c r="F4207" s="129">
        <f t="shared" si="197"/>
        <v>0.75851344000000009</v>
      </c>
      <c r="G4207" t="str">
        <f>_xlfn.XLOOKUP(D4207,'[1]2050 BAU Mapping to T &amp; C'!$A$3:$A$52,'[1]2050 BAU Mapping to T &amp; C'!$B$3:$B$52)</f>
        <v>Legumes</v>
      </c>
      <c r="H4207" s="129">
        <f>_xlfn.XLOOKUP(G4207,'[1]T&amp;C emissions for 2050 analysis'!$B$3:$B$23,'[1]T&amp;C emissions for 2050 analysis'!$C$3:$C$23)</f>
        <v>7.3333333333333334E-2</v>
      </c>
      <c r="I4207" s="27">
        <f t="shared" si="195"/>
        <v>5.562431893333334E-2</v>
      </c>
      <c r="J4207" s="129">
        <f t="shared" si="196"/>
        <v>1.2405066666666666</v>
      </c>
    </row>
    <row r="4208" spans="1:10" hidden="1" x14ac:dyDescent="0.35">
      <c r="A4208" s="126" t="s">
        <v>462</v>
      </c>
      <c r="B4208" t="str">
        <f>_xlfn.XLOOKUP(A4208,'[1]2050Pop'!$A$7:$A$143,'[1]2050Pop'!$D$7:$D$143)</f>
        <v>LatAm &amp; RSA</v>
      </c>
      <c r="C4208" s="127">
        <f>1000*_xlfn.XLOOKUP(A4208,'[1]2050Pop'!$A$7:$A$143,'[1]2050Pop'!$C$7:$C$143)</f>
        <v>624</v>
      </c>
      <c r="D4208" s="126" t="s">
        <v>537</v>
      </c>
      <c r="E4208" s="128">
        <v>3.7949999999999999</v>
      </c>
      <c r="F4208" s="129">
        <f t="shared" si="197"/>
        <v>2.3680799999999998E-3</v>
      </c>
      <c r="G4208" t="str">
        <f>_xlfn.XLOOKUP(D4208,'[1]2050 BAU Mapping to T &amp; C'!$A$3:$A$52,'[1]2050 BAU Mapping to T &amp; C'!$B$3:$B$52)</f>
        <v>Legumes</v>
      </c>
      <c r="H4208" s="129">
        <f>_xlfn.XLOOKUP(G4208,'[1]T&amp;C emissions for 2050 analysis'!$B$3:$B$23,'[1]T&amp;C emissions for 2050 analysis'!$C$3:$C$23)</f>
        <v>7.3333333333333334E-2</v>
      </c>
      <c r="I4208" s="27">
        <f t="shared" si="195"/>
        <v>1.7365919999999999E-4</v>
      </c>
      <c r="J4208" s="129">
        <f t="shared" si="196"/>
        <v>0.27829999999999999</v>
      </c>
    </row>
    <row r="4209" spans="1:10" hidden="1" x14ac:dyDescent="0.35">
      <c r="A4209" s="126" t="s">
        <v>463</v>
      </c>
      <c r="B4209" t="str">
        <f>_xlfn.XLOOKUP(A4209,'[1]2050Pop'!$A$7:$A$143,'[1]2050Pop'!$D$7:$D$143)</f>
        <v>SSA</v>
      </c>
      <c r="C4209" s="127">
        <f>1000*_xlfn.XLOOKUP(A4209,'[1]2050Pop'!$A$7:$A$143,'[1]2050Pop'!$C$7:$C$143)</f>
        <v>1792</v>
      </c>
      <c r="D4209" s="126" t="s">
        <v>537</v>
      </c>
      <c r="E4209" s="128">
        <v>1.6479999999999999</v>
      </c>
      <c r="F4209" s="129">
        <f t="shared" si="197"/>
        <v>2.9532159999999998E-3</v>
      </c>
      <c r="G4209" t="str">
        <f>_xlfn.XLOOKUP(D4209,'[1]2050 BAU Mapping to T &amp; C'!$A$3:$A$52,'[1]2050 BAU Mapping to T &amp; C'!$B$3:$B$52)</f>
        <v>Legumes</v>
      </c>
      <c r="H4209" s="129">
        <f>_xlfn.XLOOKUP(G4209,'[1]T&amp;C emissions for 2050 analysis'!$B$3:$B$23,'[1]T&amp;C emissions for 2050 analysis'!$C$3:$C$23)</f>
        <v>7.3333333333333334E-2</v>
      </c>
      <c r="I4209" s="27">
        <f t="shared" si="195"/>
        <v>2.1656917333333332E-4</v>
      </c>
      <c r="J4209" s="129">
        <f t="shared" si="196"/>
        <v>0.12085333333333333</v>
      </c>
    </row>
    <row r="4210" spans="1:10" hidden="1" x14ac:dyDescent="0.35">
      <c r="A4210" s="126" t="s">
        <v>467</v>
      </c>
      <c r="B4210" t="str">
        <f>_xlfn.XLOOKUP(A4210,'[1]2050Pop'!$A$7:$A$143,'[1]2050Pop'!$D$7:$D$143)</f>
        <v>LatAm &amp; RSA</v>
      </c>
      <c r="C4210" s="127">
        <f>1000*_xlfn.XLOOKUP(A4210,'[1]2050Pop'!$A$7:$A$143,'[1]2050Pop'!$C$7:$C$143)</f>
        <v>1291</v>
      </c>
      <c r="D4210" s="126" t="s">
        <v>537</v>
      </c>
      <c r="E4210" s="128">
        <v>3.6309999999999998</v>
      </c>
      <c r="F4210" s="129">
        <f t="shared" si="197"/>
        <v>4.6876210000000003E-3</v>
      </c>
      <c r="G4210" t="str">
        <f>_xlfn.XLOOKUP(D4210,'[1]2050 BAU Mapping to T &amp; C'!$A$3:$A$52,'[1]2050 BAU Mapping to T &amp; C'!$B$3:$B$52)</f>
        <v>Legumes</v>
      </c>
      <c r="H4210" s="129">
        <f>_xlfn.XLOOKUP(G4210,'[1]T&amp;C emissions for 2050 analysis'!$B$3:$B$23,'[1]T&amp;C emissions for 2050 analysis'!$C$3:$C$23)</f>
        <v>7.3333333333333334E-2</v>
      </c>
      <c r="I4210" s="27">
        <f t="shared" si="195"/>
        <v>3.4375887333333338E-4</v>
      </c>
      <c r="J4210" s="129">
        <f t="shared" si="196"/>
        <v>0.26627333333333331</v>
      </c>
    </row>
    <row r="4211" spans="1:10" hidden="1" x14ac:dyDescent="0.35">
      <c r="A4211" s="126" t="s">
        <v>470</v>
      </c>
      <c r="B4211" t="str">
        <f>_xlfn.XLOOKUP(A4211,'[1]2050Pop'!$A$7:$A$143,'[1]2050Pop'!$D$7:$D$143)</f>
        <v>SSA</v>
      </c>
      <c r="C4211" s="127">
        <f>1000*_xlfn.XLOOKUP(A4211,'[1]2050Pop'!$A$7:$A$143,'[1]2050Pop'!$C$7:$C$143)</f>
        <v>101873</v>
      </c>
      <c r="D4211" s="126" t="s">
        <v>537</v>
      </c>
      <c r="E4211" s="128">
        <v>22.346</v>
      </c>
      <c r="F4211" s="129">
        <f t="shared" si="197"/>
        <v>2.2764540580000001</v>
      </c>
      <c r="G4211" t="str">
        <f>_xlfn.XLOOKUP(D4211,'[1]2050 BAU Mapping to T &amp; C'!$A$3:$A$52,'[1]2050 BAU Mapping to T &amp; C'!$B$3:$B$52)</f>
        <v>Legumes</v>
      </c>
      <c r="H4211" s="129">
        <f>_xlfn.XLOOKUP(G4211,'[1]T&amp;C emissions for 2050 analysis'!$B$3:$B$23,'[1]T&amp;C emissions for 2050 analysis'!$C$3:$C$23)</f>
        <v>7.3333333333333334E-2</v>
      </c>
      <c r="I4211" s="27">
        <f t="shared" si="195"/>
        <v>0.16693996425333335</v>
      </c>
      <c r="J4211" s="129">
        <f t="shared" si="196"/>
        <v>1.6387066666666668</v>
      </c>
    </row>
    <row r="4212" spans="1:10" hidden="1" x14ac:dyDescent="0.35">
      <c r="A4212" s="126" t="s">
        <v>473</v>
      </c>
      <c r="B4212" t="str">
        <f>_xlfn.XLOOKUP(A4212,'[1]2050Pop'!$A$7:$A$143,'[1]2050Pop'!$D$7:$D$143)</f>
        <v>SSA</v>
      </c>
      <c r="C4212" s="127">
        <f>1000*_xlfn.XLOOKUP(A4212,'[1]2050Pop'!$A$7:$A$143,'[1]2050Pop'!$C$7:$C$143)</f>
        <v>137136</v>
      </c>
      <c r="D4212" s="126" t="s">
        <v>537</v>
      </c>
      <c r="E4212" s="130">
        <v>25.02</v>
      </c>
      <c r="F4212" s="129">
        <f t="shared" si="197"/>
        <v>3.4311427199999995</v>
      </c>
      <c r="G4212" t="str">
        <f>_xlfn.XLOOKUP(D4212,'[1]2050 BAU Mapping to T &amp; C'!$A$3:$A$52,'[1]2050 BAU Mapping to T &amp; C'!$B$3:$B$52)</f>
        <v>Legumes</v>
      </c>
      <c r="H4212" s="129">
        <f>_xlfn.XLOOKUP(G4212,'[1]T&amp;C emissions for 2050 analysis'!$B$3:$B$23,'[1]T&amp;C emissions for 2050 analysis'!$C$3:$C$23)</f>
        <v>7.3333333333333334E-2</v>
      </c>
      <c r="I4212" s="27">
        <f t="shared" si="195"/>
        <v>0.25161713279999998</v>
      </c>
      <c r="J4212" s="129">
        <f t="shared" si="196"/>
        <v>1.8348</v>
      </c>
    </row>
    <row r="4213" spans="1:10" hidden="1" x14ac:dyDescent="0.35">
      <c r="A4213" s="126" t="s">
        <v>474</v>
      </c>
      <c r="B4213" t="str">
        <f>_xlfn.XLOOKUP(A4213,'[1]2050Pop'!$A$7:$A$143,'[1]2050Pop'!$D$7:$D$143)</f>
        <v>NAm</v>
      </c>
      <c r="C4213" s="127">
        <f>1000*_xlfn.XLOOKUP(A4213,'[1]2050Pop'!$A$7:$A$143,'[1]2050Pop'!$C$7:$C$143)</f>
        <v>388865</v>
      </c>
      <c r="D4213" s="126" t="s">
        <v>537</v>
      </c>
      <c r="E4213" s="128">
        <v>10.311999999999999</v>
      </c>
      <c r="F4213" s="129">
        <f t="shared" si="197"/>
        <v>4.0099758799999998</v>
      </c>
      <c r="G4213" t="str">
        <f>_xlfn.XLOOKUP(D4213,'[1]2050 BAU Mapping to T &amp; C'!$A$3:$A$52,'[1]2050 BAU Mapping to T &amp; C'!$B$3:$B$52)</f>
        <v>Legumes</v>
      </c>
      <c r="H4213" s="129">
        <f>_xlfn.XLOOKUP(G4213,'[1]T&amp;C emissions for 2050 analysis'!$B$3:$B$23,'[1]T&amp;C emissions for 2050 analysis'!$C$3:$C$23)</f>
        <v>7.3333333333333334E-2</v>
      </c>
      <c r="I4213" s="27">
        <f t="shared" si="195"/>
        <v>0.29406489786666667</v>
      </c>
      <c r="J4213" s="129">
        <f t="shared" si="196"/>
        <v>0.75621333333333329</v>
      </c>
    </row>
    <row r="4214" spans="1:10" hidden="1" x14ac:dyDescent="0.35">
      <c r="A4214" s="126" t="s">
        <v>494</v>
      </c>
      <c r="B4214" t="str">
        <f>_xlfn.XLOOKUP(A4214,'[1]2050Pop'!$A$7:$A$143,'[1]2050Pop'!$D$7:$D$143)</f>
        <v>SSA</v>
      </c>
      <c r="C4214" s="127">
        <f>1000*_xlfn.XLOOKUP(A4214,'[1]2050Pop'!$A$7:$A$143,'[1]2050Pop'!$C$7:$C$143)</f>
        <v>42975</v>
      </c>
      <c r="D4214" s="126" t="s">
        <v>537</v>
      </c>
      <c r="E4214" s="128">
        <v>12.201000000000001</v>
      </c>
      <c r="F4214" s="129">
        <f t="shared" si="197"/>
        <v>0.52433797500000001</v>
      </c>
      <c r="G4214" t="str">
        <f>_xlfn.XLOOKUP(D4214,'[1]2050 BAU Mapping to T &amp; C'!$A$3:$A$52,'[1]2050 BAU Mapping to T &amp; C'!$B$3:$B$52)</f>
        <v>Legumes</v>
      </c>
      <c r="H4214" s="129">
        <f>_xlfn.XLOOKUP(G4214,'[1]T&amp;C emissions for 2050 analysis'!$B$3:$B$23,'[1]T&amp;C emissions for 2050 analysis'!$C$3:$C$23)</f>
        <v>7.3333333333333334E-2</v>
      </c>
      <c r="I4214" s="27">
        <f t="shared" si="195"/>
        <v>3.8451451500000004E-2</v>
      </c>
      <c r="J4214" s="129">
        <f t="shared" si="196"/>
        <v>0.89474000000000009</v>
      </c>
    </row>
    <row r="4215" spans="1:10" hidden="1" x14ac:dyDescent="0.35">
      <c r="A4215" s="126" t="s">
        <v>479</v>
      </c>
      <c r="B4215" t="str">
        <f>_xlfn.XLOOKUP(A4215,'[1]2050Pop'!$A$7:$A$143,'[1]2050Pop'!$D$7:$D$143)</f>
        <v>SSA</v>
      </c>
      <c r="C4215" s="127">
        <f>1000*_xlfn.XLOOKUP(A4215,'[1]2050Pop'!$A$7:$A$143,'[1]2050Pop'!$C$7:$C$143)</f>
        <v>29615</v>
      </c>
      <c r="D4215" s="126" t="s">
        <v>537</v>
      </c>
      <c r="E4215" s="128">
        <v>2.548</v>
      </c>
      <c r="F4215" s="129">
        <f t="shared" si="197"/>
        <v>7.5459020000000002E-2</v>
      </c>
      <c r="G4215" t="str">
        <f>_xlfn.XLOOKUP(D4215,'[1]2050 BAU Mapping to T &amp; C'!$A$3:$A$52,'[1]2050 BAU Mapping to T &amp; C'!$B$3:$B$52)</f>
        <v>Legumes</v>
      </c>
      <c r="H4215" s="129">
        <f>_xlfn.XLOOKUP(G4215,'[1]T&amp;C emissions for 2050 analysis'!$B$3:$B$23,'[1]T&amp;C emissions for 2050 analysis'!$C$3:$C$23)</f>
        <v>7.3333333333333334E-2</v>
      </c>
      <c r="I4215" s="27">
        <f t="shared" si="195"/>
        <v>5.5336614666666667E-3</v>
      </c>
      <c r="J4215" s="129">
        <f t="shared" si="196"/>
        <v>0.18685333333333334</v>
      </c>
    </row>
    <row r="4216" spans="1:10" hidden="1" x14ac:dyDescent="0.35">
      <c r="A4216" s="126" t="s">
        <v>355</v>
      </c>
      <c r="B4216" t="str">
        <f>_xlfn.XLOOKUP(A4216,'[1]2050Pop'!$A$7:$A$143,'[1]2050Pop'!$D$7:$D$143)</f>
        <v>India/South Asia</v>
      </c>
      <c r="C4216" s="127">
        <f>1000*_xlfn.XLOOKUP(A4216,'[1]2050Pop'!$A$7:$A$143,'[1]2050Pop'!$C$7:$C$143)</f>
        <v>55955</v>
      </c>
      <c r="D4216" s="126" t="s">
        <v>538</v>
      </c>
      <c r="E4216" s="128">
        <v>24.574000000000002</v>
      </c>
      <c r="F4216" s="129">
        <f t="shared" si="197"/>
        <v>1.3750381700000001</v>
      </c>
      <c r="G4216" t="str">
        <f>_xlfn.XLOOKUP(D4216,'[1]2050 BAU Mapping to T &amp; C'!$A$3:$A$52,'[1]2050 BAU Mapping to T &amp; C'!$B$3:$B$52)</f>
        <v xml:space="preserve">Oil crops </v>
      </c>
      <c r="H4216" s="129">
        <f>_xlfn.XLOOKUP(G4216,'[1]T&amp;C emissions for 2050 analysis'!$B$3:$B$23,'[1]T&amp;C emissions for 2050 analysis'!$C$3:$C$23)</f>
        <v>0.18333333333333335</v>
      </c>
      <c r="I4216" s="27">
        <f t="shared" si="195"/>
        <v>0.25209033116666668</v>
      </c>
      <c r="J4216" s="129">
        <f t="shared" si="196"/>
        <v>4.5052333333333339</v>
      </c>
    </row>
    <row r="4217" spans="1:10" hidden="1" x14ac:dyDescent="0.35">
      <c r="A4217" s="126" t="s">
        <v>357</v>
      </c>
      <c r="B4217" t="str">
        <f>_xlfn.XLOOKUP(A4217,'[1]2050Pop'!$A$7:$A$143,'[1]2050Pop'!$D$7:$D$143)</f>
        <v>Euro/AU/NZ</v>
      </c>
      <c r="C4217" s="127">
        <f>1000*_xlfn.XLOOKUP(A4217,'[1]2050Pop'!$A$7:$A$143,'[1]2050Pop'!$C$7:$C$143)</f>
        <v>2710</v>
      </c>
      <c r="D4217" s="126" t="s">
        <v>538</v>
      </c>
      <c r="E4217" s="128">
        <v>122.343</v>
      </c>
      <c r="F4217" s="129">
        <f t="shared" si="197"/>
        <v>0.33154953000000004</v>
      </c>
      <c r="G4217" t="str">
        <f>_xlfn.XLOOKUP(D4217,'[1]2050 BAU Mapping to T &amp; C'!$A$3:$A$52,'[1]2050 BAU Mapping to T &amp; C'!$B$3:$B$52)</f>
        <v xml:space="preserve">Oil crops </v>
      </c>
      <c r="H4217" s="129">
        <f>_xlfn.XLOOKUP(G4217,'[1]T&amp;C emissions for 2050 analysis'!$B$3:$B$23,'[1]T&amp;C emissions for 2050 analysis'!$C$3:$C$23)</f>
        <v>0.18333333333333335</v>
      </c>
      <c r="I4217" s="27">
        <f t="shared" si="195"/>
        <v>6.0784080500000011E-2</v>
      </c>
      <c r="J4217" s="129">
        <f t="shared" si="196"/>
        <v>22.429550000000003</v>
      </c>
    </row>
    <row r="4218" spans="1:10" hidden="1" x14ac:dyDescent="0.35">
      <c r="A4218" s="126" t="s">
        <v>358</v>
      </c>
      <c r="B4218" t="str">
        <f>_xlfn.XLOOKUP(A4218,'[1]2050Pop'!$A$7:$A$143,'[1]2050Pop'!$D$7:$D$143)</f>
        <v>MENA</v>
      </c>
      <c r="C4218" s="127">
        <f>1000*_xlfn.XLOOKUP(A4218,'[1]2050Pop'!$A$7:$A$143,'[1]2050Pop'!$C$7:$C$143)</f>
        <v>56461</v>
      </c>
      <c r="D4218" s="126" t="s">
        <v>538</v>
      </c>
      <c r="E4218" s="128">
        <v>63.058999999999997</v>
      </c>
      <c r="F4218" s="129">
        <f t="shared" si="197"/>
        <v>3.560374199</v>
      </c>
      <c r="G4218" t="str">
        <f>_xlfn.XLOOKUP(D4218,'[1]2050 BAU Mapping to T &amp; C'!$A$3:$A$52,'[1]2050 BAU Mapping to T &amp; C'!$B$3:$B$52)</f>
        <v xml:space="preserve">Oil crops </v>
      </c>
      <c r="H4218" s="129">
        <f>_xlfn.XLOOKUP(G4218,'[1]T&amp;C emissions for 2050 analysis'!$B$3:$B$23,'[1]T&amp;C emissions for 2050 analysis'!$C$3:$C$23)</f>
        <v>0.18333333333333335</v>
      </c>
      <c r="I4218" s="27">
        <f t="shared" si="195"/>
        <v>0.65273526981666674</v>
      </c>
      <c r="J4218" s="129">
        <f t="shared" si="196"/>
        <v>11.560816666666668</v>
      </c>
    </row>
    <row r="4219" spans="1:10" hidden="1" x14ac:dyDescent="0.35">
      <c r="A4219" s="126" t="s">
        <v>359</v>
      </c>
      <c r="B4219" t="str">
        <f>_xlfn.XLOOKUP(A4219,'[1]2050Pop'!$A$7:$A$143,'[1]2050Pop'!$D$7:$D$143)</f>
        <v>SSA</v>
      </c>
      <c r="C4219" s="127">
        <f>1000*_xlfn.XLOOKUP(A4219,'[1]2050Pop'!$A$7:$A$143,'[1]2050Pop'!$C$7:$C$143)</f>
        <v>65473</v>
      </c>
      <c r="D4219" s="126" t="s">
        <v>538</v>
      </c>
      <c r="E4219" s="128">
        <v>6.3090000000000002</v>
      </c>
      <c r="F4219" s="129">
        <f t="shared" si="197"/>
        <v>0.41306915700000002</v>
      </c>
      <c r="G4219" t="str">
        <f>_xlfn.XLOOKUP(D4219,'[1]2050 BAU Mapping to T &amp; C'!$A$3:$A$52,'[1]2050 BAU Mapping to T &amp; C'!$B$3:$B$52)</f>
        <v xml:space="preserve">Oil crops </v>
      </c>
      <c r="H4219" s="129">
        <f>_xlfn.XLOOKUP(G4219,'[1]T&amp;C emissions for 2050 analysis'!$B$3:$B$23,'[1]T&amp;C emissions for 2050 analysis'!$C$3:$C$23)</f>
        <v>0.18333333333333335</v>
      </c>
      <c r="I4219" s="27">
        <f t="shared" si="195"/>
        <v>7.5729345450000013E-2</v>
      </c>
      <c r="J4219" s="129">
        <f t="shared" si="196"/>
        <v>1.1566500000000002</v>
      </c>
    </row>
    <row r="4220" spans="1:10" hidden="1" x14ac:dyDescent="0.35">
      <c r="A4220" s="126" t="s">
        <v>360</v>
      </c>
      <c r="B4220" t="str">
        <f>_xlfn.XLOOKUP(A4220,'[1]2050Pop'!$A$7:$A$143,'[1]2050Pop'!$D$7:$D$143)</f>
        <v>LatAm &amp; RSA</v>
      </c>
      <c r="C4220" s="127">
        <f>1000*_xlfn.XLOOKUP(A4220,'[1]2050Pop'!$A$7:$A$143,'[1]2050Pop'!$C$7:$C$143)</f>
        <v>55445</v>
      </c>
      <c r="D4220" s="126" t="s">
        <v>538</v>
      </c>
      <c r="E4220" s="128">
        <v>297.48599999999999</v>
      </c>
      <c r="F4220" s="129">
        <f t="shared" si="197"/>
        <v>16.494111270000001</v>
      </c>
      <c r="G4220" t="str">
        <f>_xlfn.XLOOKUP(D4220,'[1]2050 BAU Mapping to T &amp; C'!$A$3:$A$52,'[1]2050 BAU Mapping to T &amp; C'!$B$3:$B$52)</f>
        <v xml:space="preserve">Oil crops </v>
      </c>
      <c r="H4220" s="129">
        <f>_xlfn.XLOOKUP(G4220,'[1]T&amp;C emissions for 2050 analysis'!$B$3:$B$23,'[1]T&amp;C emissions for 2050 analysis'!$C$3:$C$23)</f>
        <v>0.18333333333333335</v>
      </c>
      <c r="I4220" s="27">
        <f t="shared" si="195"/>
        <v>3.0239203995000006</v>
      </c>
      <c r="J4220" s="129">
        <f t="shared" si="196"/>
        <v>54.539100000000005</v>
      </c>
    </row>
    <row r="4221" spans="1:10" hidden="1" x14ac:dyDescent="0.35">
      <c r="A4221" s="126" t="s">
        <v>361</v>
      </c>
      <c r="B4221" t="str">
        <f>_xlfn.XLOOKUP(A4221,'[1]2050Pop'!$A$7:$A$143,'[1]2050Pop'!$D$7:$D$143)</f>
        <v>MENA</v>
      </c>
      <c r="C4221" s="127">
        <f>1000*_xlfn.XLOOKUP(A4221,'[1]2050Pop'!$A$7:$A$143,'[1]2050Pop'!$C$7:$C$143)</f>
        <v>2729</v>
      </c>
      <c r="D4221" s="126" t="s">
        <v>538</v>
      </c>
      <c r="E4221" s="128">
        <v>223.71799999999999</v>
      </c>
      <c r="F4221" s="129">
        <f t="shared" si="197"/>
        <v>0.61052642200000007</v>
      </c>
      <c r="G4221" t="str">
        <f>_xlfn.XLOOKUP(D4221,'[1]2050 BAU Mapping to T &amp; C'!$A$3:$A$52,'[1]2050 BAU Mapping to T &amp; C'!$B$3:$B$52)</f>
        <v xml:space="preserve">Oil crops </v>
      </c>
      <c r="H4221" s="129">
        <f>_xlfn.XLOOKUP(G4221,'[1]T&amp;C emissions for 2050 analysis'!$B$3:$B$23,'[1]T&amp;C emissions for 2050 analysis'!$C$3:$C$23)</f>
        <v>0.18333333333333335</v>
      </c>
      <c r="I4221" s="27">
        <f t="shared" si="195"/>
        <v>0.11192984403333335</v>
      </c>
      <c r="J4221" s="129">
        <f t="shared" si="196"/>
        <v>41.014966666666666</v>
      </c>
    </row>
    <row r="4222" spans="1:10" hidden="1" x14ac:dyDescent="0.35">
      <c r="A4222" s="126" t="s">
        <v>362</v>
      </c>
      <c r="B4222" t="str">
        <f>_xlfn.XLOOKUP(A4222,'[1]2050Pop'!$A$7:$A$143,'[1]2050Pop'!$D$7:$D$143)</f>
        <v>Euro/AU/NZ</v>
      </c>
      <c r="C4222" s="127">
        <f>1000*_xlfn.XLOOKUP(A4222,'[1]2050Pop'!$A$7:$A$143,'[1]2050Pop'!$C$7:$C$143)</f>
        <v>33496</v>
      </c>
      <c r="D4222" s="126" t="s">
        <v>538</v>
      </c>
      <c r="E4222" s="128">
        <v>47.814999999999998</v>
      </c>
      <c r="F4222" s="129">
        <f t="shared" si="197"/>
        <v>1.60161124</v>
      </c>
      <c r="G4222" t="str">
        <f>_xlfn.XLOOKUP(D4222,'[1]2050 BAU Mapping to T &amp; C'!$A$3:$A$52,'[1]2050 BAU Mapping to T &amp; C'!$B$3:$B$52)</f>
        <v xml:space="preserve">Oil crops </v>
      </c>
      <c r="H4222" s="129">
        <f>_xlfn.XLOOKUP(G4222,'[1]T&amp;C emissions for 2050 analysis'!$B$3:$B$23,'[1]T&amp;C emissions for 2050 analysis'!$C$3:$C$23)</f>
        <v>0.18333333333333335</v>
      </c>
      <c r="I4222" s="27">
        <f t="shared" si="195"/>
        <v>0.29362872733333334</v>
      </c>
      <c r="J4222" s="129">
        <f t="shared" si="196"/>
        <v>8.7660833333333343</v>
      </c>
    </row>
    <row r="4223" spans="1:10" hidden="1" x14ac:dyDescent="0.35">
      <c r="A4223" s="126" t="s">
        <v>363</v>
      </c>
      <c r="B4223" t="str">
        <f>_xlfn.XLOOKUP(A4223,'[1]2050Pop'!$A$7:$A$143,'[1]2050Pop'!$D$7:$D$143)</f>
        <v>Euro/AU/NZ</v>
      </c>
      <c r="C4223" s="127">
        <f>1000*_xlfn.XLOOKUP(A4223,'[1]2050Pop'!$A$7:$A$143,'[1]2050Pop'!$C$7:$C$143)</f>
        <v>8846</v>
      </c>
      <c r="D4223" s="126" t="s">
        <v>538</v>
      </c>
      <c r="E4223" s="130">
        <v>161.15</v>
      </c>
      <c r="F4223" s="129">
        <f t="shared" si="197"/>
        <v>1.4255329000000001</v>
      </c>
      <c r="G4223" t="str">
        <f>_xlfn.XLOOKUP(D4223,'[1]2050 BAU Mapping to T &amp; C'!$A$3:$A$52,'[1]2050 BAU Mapping to T &amp; C'!$B$3:$B$52)</f>
        <v xml:space="preserve">Oil crops </v>
      </c>
      <c r="H4223" s="129">
        <f>_xlfn.XLOOKUP(G4223,'[1]T&amp;C emissions for 2050 analysis'!$B$3:$B$23,'[1]T&amp;C emissions for 2050 analysis'!$C$3:$C$23)</f>
        <v>0.18333333333333335</v>
      </c>
      <c r="I4223" s="27">
        <f t="shared" si="195"/>
        <v>0.26134769833333338</v>
      </c>
      <c r="J4223" s="129">
        <f t="shared" si="196"/>
        <v>29.544166666666669</v>
      </c>
    </row>
    <row r="4224" spans="1:10" hidden="1" x14ac:dyDescent="0.35">
      <c r="A4224" s="126" t="s">
        <v>364</v>
      </c>
      <c r="B4224" t="str">
        <f>_xlfn.XLOOKUP(A4224,'[1]2050Pop'!$A$7:$A$143,'[1]2050Pop'!$D$7:$D$143)</f>
        <v>MENA</v>
      </c>
      <c r="C4224" s="127">
        <f>1000*_xlfn.XLOOKUP(A4224,'[1]2050Pop'!$A$7:$A$143,'[1]2050Pop'!$C$7:$C$143)</f>
        <v>10963</v>
      </c>
      <c r="D4224" s="126" t="s">
        <v>538</v>
      </c>
      <c r="E4224" s="128">
        <v>24.718</v>
      </c>
      <c r="F4224" s="129">
        <f t="shared" si="197"/>
        <v>0.27098343400000002</v>
      </c>
      <c r="G4224" t="str">
        <f>_xlfn.XLOOKUP(D4224,'[1]2050 BAU Mapping to T &amp; C'!$A$3:$A$52,'[1]2050 BAU Mapping to T &amp; C'!$B$3:$B$52)</f>
        <v xml:space="preserve">Oil crops </v>
      </c>
      <c r="H4224" s="129">
        <f>_xlfn.XLOOKUP(G4224,'[1]T&amp;C emissions for 2050 analysis'!$B$3:$B$23,'[1]T&amp;C emissions for 2050 analysis'!$C$3:$C$23)</f>
        <v>0.18333333333333335</v>
      </c>
      <c r="I4224" s="27">
        <f t="shared" si="195"/>
        <v>4.9680296233333344E-2</v>
      </c>
      <c r="J4224" s="129">
        <f t="shared" si="196"/>
        <v>4.5316333333333336</v>
      </c>
    </row>
    <row r="4225" spans="1:10" hidden="1" x14ac:dyDescent="0.35">
      <c r="A4225" s="126" t="s">
        <v>366</v>
      </c>
      <c r="B4225" t="str">
        <f>_xlfn.XLOOKUP(A4225,'[1]2050Pop'!$A$7:$A$143,'[1]2050Pop'!$D$7:$D$143)</f>
        <v>Euro/AU/NZ</v>
      </c>
      <c r="C4225" s="127">
        <f>1000*_xlfn.XLOOKUP(A4225,'[1]2050Pop'!$A$7:$A$143,'[1]2050Pop'!$C$7:$C$143)</f>
        <v>8125</v>
      </c>
      <c r="D4225" s="126" t="s">
        <v>538</v>
      </c>
      <c r="E4225" s="128">
        <v>234.715</v>
      </c>
      <c r="F4225" s="129">
        <f t="shared" si="197"/>
        <v>1.907059375</v>
      </c>
      <c r="G4225" t="str">
        <f>_xlfn.XLOOKUP(D4225,'[1]2050 BAU Mapping to T &amp; C'!$A$3:$A$52,'[1]2050 BAU Mapping to T &amp; C'!$B$3:$B$52)</f>
        <v xml:space="preserve">Oil crops </v>
      </c>
      <c r="H4225" s="129">
        <f>_xlfn.XLOOKUP(G4225,'[1]T&amp;C emissions for 2050 analysis'!$B$3:$B$23,'[1]T&amp;C emissions for 2050 analysis'!$C$3:$C$23)</f>
        <v>0.18333333333333335</v>
      </c>
      <c r="I4225" s="27">
        <f t="shared" si="195"/>
        <v>0.34962755208333335</v>
      </c>
      <c r="J4225" s="129">
        <f t="shared" si="196"/>
        <v>43.031083333333335</v>
      </c>
    </row>
    <row r="4226" spans="1:10" hidden="1" x14ac:dyDescent="0.35">
      <c r="A4226" s="126" t="s">
        <v>367</v>
      </c>
      <c r="B4226" t="str">
        <f>_xlfn.XLOOKUP(A4226,'[1]2050Pop'!$A$7:$A$143,'[1]2050Pop'!$D$7:$D$143)</f>
        <v>Euro/AU/NZ</v>
      </c>
      <c r="C4226" s="127">
        <f>1000*_xlfn.XLOOKUP(A4226,'[1]2050Pop'!$A$7:$A$143,'[1]2050Pop'!$C$7:$C$143)</f>
        <v>12527</v>
      </c>
      <c r="D4226" s="126" t="s">
        <v>538</v>
      </c>
      <c r="E4226" s="128">
        <v>80.775999999999996</v>
      </c>
      <c r="F4226" s="129">
        <f t="shared" si="197"/>
        <v>1.0118809519999998</v>
      </c>
      <c r="G4226" t="str">
        <f>_xlfn.XLOOKUP(D4226,'[1]2050 BAU Mapping to T &amp; C'!$A$3:$A$52,'[1]2050 BAU Mapping to T &amp; C'!$B$3:$B$52)</f>
        <v xml:space="preserve">Oil crops </v>
      </c>
      <c r="H4226" s="129">
        <f>_xlfn.XLOOKUP(G4226,'[1]T&amp;C emissions for 2050 analysis'!$B$3:$B$23,'[1]T&amp;C emissions for 2050 analysis'!$C$3:$C$23)</f>
        <v>0.18333333333333335</v>
      </c>
      <c r="I4226" s="27">
        <f t="shared" si="195"/>
        <v>0.18551150786666665</v>
      </c>
      <c r="J4226" s="129">
        <f t="shared" si="196"/>
        <v>14.808933333333334</v>
      </c>
    </row>
    <row r="4227" spans="1:10" hidden="1" x14ac:dyDescent="0.35">
      <c r="A4227" s="126" t="s">
        <v>368</v>
      </c>
      <c r="B4227" t="str">
        <f>_xlfn.XLOOKUP(A4227,'[1]2050Pop'!$A$7:$A$143,'[1]2050Pop'!$D$7:$D$143)</f>
        <v>SSA</v>
      </c>
      <c r="C4227" s="127">
        <f>1000*_xlfn.XLOOKUP(A4227,'[1]2050Pop'!$A$7:$A$143,'[1]2050Pop'!$C$7:$C$143)</f>
        <v>22549</v>
      </c>
      <c r="D4227" s="126" t="s">
        <v>538</v>
      </c>
      <c r="E4227" s="128">
        <v>1.8520000000000001</v>
      </c>
      <c r="F4227" s="129">
        <f t="shared" si="197"/>
        <v>4.1760748E-2</v>
      </c>
      <c r="G4227" t="str">
        <f>_xlfn.XLOOKUP(D4227,'[1]2050 BAU Mapping to T &amp; C'!$A$3:$A$52,'[1]2050 BAU Mapping to T &amp; C'!$B$3:$B$52)</f>
        <v xml:space="preserve">Oil crops </v>
      </c>
      <c r="H4227" s="129">
        <f>_xlfn.XLOOKUP(G4227,'[1]T&amp;C emissions for 2050 analysis'!$B$3:$B$23,'[1]T&amp;C emissions for 2050 analysis'!$C$3:$C$23)</f>
        <v>0.18333333333333335</v>
      </c>
      <c r="I4227" s="27">
        <f t="shared" si="195"/>
        <v>7.6561371333333343E-3</v>
      </c>
      <c r="J4227" s="129">
        <f t="shared" si="196"/>
        <v>0.33953333333333335</v>
      </c>
    </row>
    <row r="4228" spans="1:10" hidden="1" x14ac:dyDescent="0.35">
      <c r="A4228" s="126" t="s">
        <v>369</v>
      </c>
      <c r="B4228" t="str">
        <f>_xlfn.XLOOKUP(A4228,'[1]2050Pop'!$A$7:$A$143,'[1]2050Pop'!$D$7:$D$143)</f>
        <v>LatAm &amp; RSA</v>
      </c>
      <c r="C4228" s="127">
        <f>1000*_xlfn.XLOOKUP(A4228,'[1]2050Pop'!$A$7:$A$143,'[1]2050Pop'!$C$7:$C$143)</f>
        <v>15963</v>
      </c>
      <c r="D4228" s="126" t="s">
        <v>538</v>
      </c>
      <c r="E4228" s="128">
        <v>16.486000000000001</v>
      </c>
      <c r="F4228" s="129">
        <f t="shared" si="197"/>
        <v>0.263166018</v>
      </c>
      <c r="G4228" t="str">
        <f>_xlfn.XLOOKUP(D4228,'[1]2050 BAU Mapping to T &amp; C'!$A$3:$A$52,'[1]2050 BAU Mapping to T &amp; C'!$B$3:$B$52)</f>
        <v xml:space="preserve">Oil crops </v>
      </c>
      <c r="H4228" s="129">
        <f>_xlfn.XLOOKUP(G4228,'[1]T&amp;C emissions for 2050 analysis'!$B$3:$B$23,'[1]T&amp;C emissions for 2050 analysis'!$C$3:$C$23)</f>
        <v>0.18333333333333335</v>
      </c>
      <c r="I4228" s="27">
        <f t="shared" ref="I4228:I4291" si="198">F4228*H4228</f>
        <v>4.8247103300000004E-2</v>
      </c>
      <c r="J4228" s="129">
        <f t="shared" ref="J4228:J4291" si="199">E4228*H4228</f>
        <v>3.0224333333333337</v>
      </c>
    </row>
    <row r="4229" spans="1:10" hidden="1" x14ac:dyDescent="0.35">
      <c r="A4229" s="126" t="s">
        <v>370</v>
      </c>
      <c r="B4229" t="str">
        <f>_xlfn.XLOOKUP(A4229,'[1]2050Pop'!$A$7:$A$143,'[1]2050Pop'!$D$7:$D$143)</f>
        <v>Euro/AU/NZ</v>
      </c>
      <c r="C4229" s="127">
        <f>1000*_xlfn.XLOOKUP(A4229,'[1]2050Pop'!$A$7:$A$143,'[1]2050Pop'!$C$7:$C$143)</f>
        <v>3069</v>
      </c>
      <c r="D4229" s="126" t="s">
        <v>538</v>
      </c>
      <c r="E4229" s="128">
        <v>138.95500000000001</v>
      </c>
      <c r="F4229" s="129">
        <f t="shared" ref="F4229:F4292" si="200">C4229*E4229/1000000</f>
        <v>0.426452895</v>
      </c>
      <c r="G4229" t="str">
        <f>_xlfn.XLOOKUP(D4229,'[1]2050 BAU Mapping to T &amp; C'!$A$3:$A$52,'[1]2050 BAU Mapping to T &amp; C'!$B$3:$B$52)</f>
        <v xml:space="preserve">Oil crops </v>
      </c>
      <c r="H4229" s="129">
        <f>_xlfn.XLOOKUP(G4229,'[1]T&amp;C emissions for 2050 analysis'!$B$3:$B$23,'[1]T&amp;C emissions for 2050 analysis'!$C$3:$C$23)</f>
        <v>0.18333333333333335</v>
      </c>
      <c r="I4229" s="27">
        <f t="shared" si="198"/>
        <v>7.8183030750000007E-2</v>
      </c>
      <c r="J4229" s="129">
        <f t="shared" si="199"/>
        <v>25.475083333333338</v>
      </c>
    </row>
    <row r="4230" spans="1:10" hidden="1" x14ac:dyDescent="0.35">
      <c r="A4230" s="126" t="s">
        <v>371</v>
      </c>
      <c r="B4230" t="str">
        <f>_xlfn.XLOOKUP(A4230,'[1]2050Pop'!$A$7:$A$143,'[1]2050Pop'!$D$7:$D$143)</f>
        <v>SSA</v>
      </c>
      <c r="C4230" s="127">
        <f>1000*_xlfn.XLOOKUP(A4230,'[1]2050Pop'!$A$7:$A$143,'[1]2050Pop'!$C$7:$C$143)</f>
        <v>3389</v>
      </c>
      <c r="D4230" s="126" t="s">
        <v>538</v>
      </c>
      <c r="E4230" s="128">
        <v>229.96199999999999</v>
      </c>
      <c r="F4230" s="129">
        <f t="shared" si="200"/>
        <v>0.779341218</v>
      </c>
      <c r="G4230" t="str">
        <f>_xlfn.XLOOKUP(D4230,'[1]2050 BAU Mapping to T &amp; C'!$A$3:$A$52,'[1]2050 BAU Mapping to T &amp; C'!$B$3:$B$52)</f>
        <v xml:space="preserve">Oil crops </v>
      </c>
      <c r="H4230" s="129">
        <f>_xlfn.XLOOKUP(G4230,'[1]T&amp;C emissions for 2050 analysis'!$B$3:$B$23,'[1]T&amp;C emissions for 2050 analysis'!$C$3:$C$23)</f>
        <v>0.18333333333333335</v>
      </c>
      <c r="I4230" s="27">
        <f t="shared" si="198"/>
        <v>0.14287922330000002</v>
      </c>
      <c r="J4230" s="129">
        <f t="shared" si="199"/>
        <v>42.159700000000001</v>
      </c>
    </row>
    <row r="4231" spans="1:10" hidden="1" x14ac:dyDescent="0.35">
      <c r="A4231" s="126" t="s">
        <v>372</v>
      </c>
      <c r="B4231" t="str">
        <f>_xlfn.XLOOKUP(A4231,'[1]2050Pop'!$A$7:$A$143,'[1]2050Pop'!$D$7:$D$143)</f>
        <v>LatAm &amp; RSA</v>
      </c>
      <c r="C4231" s="127">
        <f>1000*_xlfn.XLOOKUP(A4231,'[1]2050Pop'!$A$7:$A$143,'[1]2050Pop'!$C$7:$C$143)</f>
        <v>238270</v>
      </c>
      <c r="D4231" s="126" t="s">
        <v>538</v>
      </c>
      <c r="E4231" s="130">
        <v>12.17</v>
      </c>
      <c r="F4231" s="129">
        <f t="shared" si="200"/>
        <v>2.8997459000000001</v>
      </c>
      <c r="G4231" t="str">
        <f>_xlfn.XLOOKUP(D4231,'[1]2050 BAU Mapping to T &amp; C'!$A$3:$A$52,'[1]2050 BAU Mapping to T &amp; C'!$B$3:$B$52)</f>
        <v xml:space="preserve">Oil crops </v>
      </c>
      <c r="H4231" s="129">
        <f>_xlfn.XLOOKUP(G4231,'[1]T&amp;C emissions for 2050 analysis'!$B$3:$B$23,'[1]T&amp;C emissions for 2050 analysis'!$C$3:$C$23)</f>
        <v>0.18333333333333335</v>
      </c>
      <c r="I4231" s="27">
        <f t="shared" si="198"/>
        <v>0.53162008166666674</v>
      </c>
      <c r="J4231" s="129">
        <f t="shared" si="199"/>
        <v>2.2311666666666667</v>
      </c>
    </row>
    <row r="4232" spans="1:10" hidden="1" x14ac:dyDescent="0.35">
      <c r="A4232" s="126" t="s">
        <v>373</v>
      </c>
      <c r="B4232" t="str">
        <f>_xlfn.XLOOKUP(A4232,'[1]2050Pop'!$A$7:$A$143,'[1]2050Pop'!$D$7:$D$143)</f>
        <v>Euro/AU/NZ</v>
      </c>
      <c r="C4232" s="127">
        <f>1000*_xlfn.XLOOKUP(A4232,'[1]2050Pop'!$A$7:$A$143,'[1]2050Pop'!$C$7:$C$143)</f>
        <v>5154</v>
      </c>
      <c r="D4232" s="126" t="s">
        <v>538</v>
      </c>
      <c r="E4232" s="128">
        <v>238.511</v>
      </c>
      <c r="F4232" s="129">
        <f t="shared" si="200"/>
        <v>1.2292856939999999</v>
      </c>
      <c r="G4232" t="str">
        <f>_xlfn.XLOOKUP(D4232,'[1]2050 BAU Mapping to T &amp; C'!$A$3:$A$52,'[1]2050 BAU Mapping to T &amp; C'!$B$3:$B$52)</f>
        <v xml:space="preserve">Oil crops </v>
      </c>
      <c r="H4232" s="129">
        <f>_xlfn.XLOOKUP(G4232,'[1]T&amp;C emissions for 2050 analysis'!$B$3:$B$23,'[1]T&amp;C emissions for 2050 analysis'!$C$3:$C$23)</f>
        <v>0.18333333333333335</v>
      </c>
      <c r="I4232" s="27">
        <f t="shared" si="198"/>
        <v>0.22536904389999998</v>
      </c>
      <c r="J4232" s="129">
        <f t="shared" si="199"/>
        <v>43.727016666666671</v>
      </c>
    </row>
    <row r="4233" spans="1:10" hidden="1" x14ac:dyDescent="0.35">
      <c r="A4233" s="126" t="s">
        <v>376</v>
      </c>
      <c r="B4233" t="str">
        <f>_xlfn.XLOOKUP(A4233,'[1]2050Pop'!$A$7:$A$143,'[1]2050Pop'!$D$7:$D$143)</f>
        <v>NAm</v>
      </c>
      <c r="C4233" s="127">
        <f>1000*_xlfn.XLOOKUP(A4233,'[1]2050Pop'!$A$7:$A$143,'[1]2050Pop'!$C$7:$C$143)</f>
        <v>44136</v>
      </c>
      <c r="D4233" s="126" t="s">
        <v>538</v>
      </c>
      <c r="E4233" s="128">
        <v>13.702</v>
      </c>
      <c r="F4233" s="129">
        <f t="shared" si="200"/>
        <v>0.6047514719999999</v>
      </c>
      <c r="G4233" t="str">
        <f>_xlfn.XLOOKUP(D4233,'[1]2050 BAU Mapping to T &amp; C'!$A$3:$A$52,'[1]2050 BAU Mapping to T &amp; C'!$B$3:$B$52)</f>
        <v xml:space="preserve">Oil crops </v>
      </c>
      <c r="H4233" s="129">
        <f>_xlfn.XLOOKUP(G4233,'[1]T&amp;C emissions for 2050 analysis'!$B$3:$B$23,'[1]T&amp;C emissions for 2050 analysis'!$C$3:$C$23)</f>
        <v>0.18333333333333335</v>
      </c>
      <c r="I4233" s="27">
        <f t="shared" si="198"/>
        <v>0.11087110319999999</v>
      </c>
      <c r="J4233" s="129">
        <f t="shared" si="199"/>
        <v>2.5120333333333336</v>
      </c>
    </row>
    <row r="4234" spans="1:10" hidden="1" x14ac:dyDescent="0.35">
      <c r="A4234" s="126" t="s">
        <v>377</v>
      </c>
      <c r="B4234" t="str">
        <f>_xlfn.XLOOKUP(A4234,'[1]2050Pop'!$A$7:$A$143,'[1]2050Pop'!$D$7:$D$143)</f>
        <v>SSA</v>
      </c>
      <c r="C4234" s="127">
        <f>1000*_xlfn.XLOOKUP(A4234,'[1]2050Pop'!$A$7:$A$143,'[1]2050Pop'!$C$7:$C$143)</f>
        <v>8782</v>
      </c>
      <c r="D4234" s="126" t="s">
        <v>538</v>
      </c>
      <c r="E4234" s="128">
        <v>1.482</v>
      </c>
      <c r="F4234" s="129">
        <f t="shared" si="200"/>
        <v>1.3014923999999999E-2</v>
      </c>
      <c r="G4234" t="str">
        <f>_xlfn.XLOOKUP(D4234,'[1]2050 BAU Mapping to T &amp; C'!$A$3:$A$52,'[1]2050 BAU Mapping to T &amp; C'!$B$3:$B$52)</f>
        <v xml:space="preserve">Oil crops </v>
      </c>
      <c r="H4234" s="129">
        <f>_xlfn.XLOOKUP(G4234,'[1]T&amp;C emissions for 2050 analysis'!$B$3:$B$23,'[1]T&amp;C emissions for 2050 analysis'!$C$3:$C$23)</f>
        <v>0.18333333333333335</v>
      </c>
      <c r="I4234" s="27">
        <f t="shared" si="198"/>
        <v>2.3860693999999999E-3</v>
      </c>
      <c r="J4234" s="129">
        <f t="shared" si="199"/>
        <v>0.2717</v>
      </c>
    </row>
    <row r="4235" spans="1:10" hidden="1" x14ac:dyDescent="0.35">
      <c r="A4235" s="126" t="s">
        <v>378</v>
      </c>
      <c r="B4235" t="str">
        <f>_xlfn.XLOOKUP(A4235,'[1]2050Pop'!$A$7:$A$143,'[1]2050Pop'!$D$7:$D$143)</f>
        <v>LatAm &amp; RSA</v>
      </c>
      <c r="C4235" s="127">
        <f>1000*_xlfn.XLOOKUP(A4235,'[1]2050Pop'!$A$7:$A$143,'[1]2050Pop'!$C$7:$C$143)</f>
        <v>21601</v>
      </c>
      <c r="D4235" s="126" t="s">
        <v>538</v>
      </c>
      <c r="E4235" s="128">
        <v>42.914000000000001</v>
      </c>
      <c r="F4235" s="129">
        <f t="shared" si="200"/>
        <v>0.92698531400000006</v>
      </c>
      <c r="G4235" t="str">
        <f>_xlfn.XLOOKUP(D4235,'[1]2050 BAU Mapping to T &amp; C'!$A$3:$A$52,'[1]2050 BAU Mapping to T &amp; C'!$B$3:$B$52)</f>
        <v xml:space="preserve">Oil crops </v>
      </c>
      <c r="H4235" s="129">
        <f>_xlfn.XLOOKUP(G4235,'[1]T&amp;C emissions for 2050 analysis'!$B$3:$B$23,'[1]T&amp;C emissions for 2050 analysis'!$C$3:$C$23)</f>
        <v>0.18333333333333335</v>
      </c>
      <c r="I4235" s="27">
        <f t="shared" si="198"/>
        <v>0.16994730756666668</v>
      </c>
      <c r="J4235" s="129">
        <f t="shared" si="199"/>
        <v>7.8675666666666677</v>
      </c>
    </row>
    <row r="4236" spans="1:10" hidden="1" x14ac:dyDescent="0.35">
      <c r="A4236" s="126" t="s">
        <v>379</v>
      </c>
      <c r="B4236" t="str">
        <f>_xlfn.XLOOKUP(A4236,'[1]2050Pop'!$A$7:$A$143,'[1]2050Pop'!$D$7:$D$143)</f>
        <v>Greater China</v>
      </c>
      <c r="C4236" s="127">
        <f>1000*_xlfn.XLOOKUP(A4236,'[1]2050Pop'!$A$7:$A$143,'[1]2050Pop'!$C$7:$C$143)</f>
        <v>8148</v>
      </c>
      <c r="D4236" s="126" t="s">
        <v>538</v>
      </c>
      <c r="E4236" s="128">
        <v>6.3360000000000003</v>
      </c>
      <c r="F4236" s="129">
        <f t="shared" si="200"/>
        <v>5.1625728000000003E-2</v>
      </c>
      <c r="G4236" t="str">
        <f>_xlfn.XLOOKUP(D4236,'[1]2050 BAU Mapping to T &amp; C'!$A$3:$A$52,'[1]2050 BAU Mapping to T &amp; C'!$B$3:$B$52)</f>
        <v xml:space="preserve">Oil crops </v>
      </c>
      <c r="H4236" s="129">
        <f>_xlfn.XLOOKUP(G4236,'[1]T&amp;C emissions for 2050 analysis'!$B$3:$B$23,'[1]T&amp;C emissions for 2050 analysis'!$C$3:$C$23)</f>
        <v>0.18333333333333335</v>
      </c>
      <c r="I4236" s="27">
        <f t="shared" si="198"/>
        <v>9.4647168000000018E-3</v>
      </c>
      <c r="J4236" s="129">
        <f t="shared" si="199"/>
        <v>1.1616000000000002</v>
      </c>
    </row>
    <row r="4237" spans="1:10" hidden="1" x14ac:dyDescent="0.35">
      <c r="A4237" s="126" t="s">
        <v>380</v>
      </c>
      <c r="B4237" t="str">
        <f>_xlfn.XLOOKUP(A4237,'[1]2050Pop'!$A$7:$A$143,'[1]2050Pop'!$D$7:$D$143)</f>
        <v>Greater China</v>
      </c>
      <c r="C4237" s="127">
        <f>1000*_xlfn.XLOOKUP(A4237,'[1]2050Pop'!$A$7:$A$143,'[1]2050Pop'!$C$7:$C$143)</f>
        <v>1348056</v>
      </c>
      <c r="D4237" s="126" t="s">
        <v>538</v>
      </c>
      <c r="E4237" s="128">
        <v>4.4039999999999999</v>
      </c>
      <c r="F4237" s="129">
        <f t="shared" si="200"/>
        <v>5.936838624</v>
      </c>
      <c r="G4237" t="str">
        <f>_xlfn.XLOOKUP(D4237,'[1]2050 BAU Mapping to T &amp; C'!$A$3:$A$52,'[1]2050 BAU Mapping to T &amp; C'!$B$3:$B$52)</f>
        <v xml:space="preserve">Oil crops </v>
      </c>
      <c r="H4237" s="129">
        <f>_xlfn.XLOOKUP(G4237,'[1]T&amp;C emissions for 2050 analysis'!$B$3:$B$23,'[1]T&amp;C emissions for 2050 analysis'!$C$3:$C$23)</f>
        <v>0.18333333333333335</v>
      </c>
      <c r="I4237" s="27">
        <f t="shared" si="198"/>
        <v>1.0884204144</v>
      </c>
      <c r="J4237" s="129">
        <f t="shared" si="199"/>
        <v>0.80740000000000001</v>
      </c>
    </row>
    <row r="4238" spans="1:10" hidden="1" x14ac:dyDescent="0.35">
      <c r="A4238" s="126" t="s">
        <v>381</v>
      </c>
      <c r="B4238" t="str">
        <f>_xlfn.XLOOKUP(A4238,'[1]2050Pop'!$A$7:$A$143,'[1]2050Pop'!$D$7:$D$143)</f>
        <v>Greater China</v>
      </c>
      <c r="C4238" s="127">
        <f>1000*_xlfn.XLOOKUP(A4238,'[1]2050Pop'!$A$7:$A$143,'[1]2050Pop'!$C$7:$C$143)</f>
        <v>20778</v>
      </c>
      <c r="D4238" s="126" t="s">
        <v>538</v>
      </c>
      <c r="E4238" s="128">
        <v>16.699000000000002</v>
      </c>
      <c r="F4238" s="129">
        <f t="shared" si="200"/>
        <v>0.34697182200000004</v>
      </c>
      <c r="G4238" t="str">
        <f>_xlfn.XLOOKUP(D4238,'[1]2050 BAU Mapping to T &amp; C'!$A$3:$A$52,'[1]2050 BAU Mapping to T &amp; C'!$B$3:$B$52)</f>
        <v xml:space="preserve">Oil crops </v>
      </c>
      <c r="H4238" s="129">
        <f>_xlfn.XLOOKUP(G4238,'[1]T&amp;C emissions for 2050 analysis'!$B$3:$B$23,'[1]T&amp;C emissions for 2050 analysis'!$C$3:$C$23)</f>
        <v>0.18333333333333335</v>
      </c>
      <c r="I4238" s="27">
        <f t="shared" si="198"/>
        <v>6.3611500700000018E-2</v>
      </c>
      <c r="J4238" s="129">
        <f t="shared" si="199"/>
        <v>3.0614833333333338</v>
      </c>
    </row>
    <row r="4239" spans="1:10" hidden="1" x14ac:dyDescent="0.35">
      <c r="A4239" s="126" t="s">
        <v>382</v>
      </c>
      <c r="B4239" t="str">
        <f>_xlfn.XLOOKUP(A4239,'[1]2050Pop'!$A$7:$A$143,'[1]2050Pop'!$D$7:$D$143)</f>
        <v>LatAm &amp; RSA</v>
      </c>
      <c r="C4239" s="127">
        <f>1000*_xlfn.XLOOKUP(A4239,'[1]2050Pop'!$A$7:$A$143,'[1]2050Pop'!$C$7:$C$143)</f>
        <v>54927</v>
      </c>
      <c r="D4239" s="126" t="s">
        <v>538</v>
      </c>
      <c r="E4239" s="128">
        <v>23.481999999999999</v>
      </c>
      <c r="F4239" s="129">
        <f t="shared" si="200"/>
        <v>1.2897958140000001</v>
      </c>
      <c r="G4239" t="str">
        <f>_xlfn.XLOOKUP(D4239,'[1]2050 BAU Mapping to T &amp; C'!$A$3:$A$52,'[1]2050 BAU Mapping to T &amp; C'!$B$3:$B$52)</f>
        <v xml:space="preserve">Oil crops </v>
      </c>
      <c r="H4239" s="129">
        <f>_xlfn.XLOOKUP(G4239,'[1]T&amp;C emissions for 2050 analysis'!$B$3:$B$23,'[1]T&amp;C emissions for 2050 analysis'!$C$3:$C$23)</f>
        <v>0.18333333333333335</v>
      </c>
      <c r="I4239" s="27">
        <f t="shared" si="198"/>
        <v>0.23646256590000003</v>
      </c>
      <c r="J4239" s="129">
        <f t="shared" si="199"/>
        <v>4.3050333333333333</v>
      </c>
    </row>
    <row r="4240" spans="1:10" hidden="1" x14ac:dyDescent="0.35">
      <c r="A4240" s="126" t="s">
        <v>383</v>
      </c>
      <c r="B4240" t="str">
        <f>_xlfn.XLOOKUP(A4240,'[1]2050Pop'!$A$7:$A$143,'[1]2050Pop'!$D$7:$D$143)</f>
        <v>LatAm &amp; RSA</v>
      </c>
      <c r="C4240" s="127">
        <f>1000*_xlfn.XLOOKUP(A4240,'[1]2050Pop'!$A$7:$A$143,'[1]2050Pop'!$C$7:$C$143)</f>
        <v>5759</v>
      </c>
      <c r="D4240" s="126" t="s">
        <v>538</v>
      </c>
      <c r="E4240" s="128">
        <v>34.075000000000003</v>
      </c>
      <c r="F4240" s="129">
        <f t="shared" si="200"/>
        <v>0.19623792500000001</v>
      </c>
      <c r="G4240" t="str">
        <f>_xlfn.XLOOKUP(D4240,'[1]2050 BAU Mapping to T &amp; C'!$A$3:$A$52,'[1]2050 BAU Mapping to T &amp; C'!$B$3:$B$52)</f>
        <v xml:space="preserve">Oil crops </v>
      </c>
      <c r="H4240" s="129">
        <f>_xlfn.XLOOKUP(G4240,'[1]T&amp;C emissions for 2050 analysis'!$B$3:$B$23,'[1]T&amp;C emissions for 2050 analysis'!$C$3:$C$23)</f>
        <v>0.18333333333333335</v>
      </c>
      <c r="I4240" s="27">
        <f t="shared" si="198"/>
        <v>3.5976952916666673E-2</v>
      </c>
      <c r="J4240" s="129">
        <f t="shared" si="199"/>
        <v>6.2470833333333342</v>
      </c>
    </row>
    <row r="4241" spans="1:10" hidden="1" x14ac:dyDescent="0.35">
      <c r="A4241" s="126" t="s">
        <v>384</v>
      </c>
      <c r="B4241" t="str">
        <f>_xlfn.XLOOKUP(A4241,'[1]2050Pop'!$A$7:$A$143,'[1]2050Pop'!$D$7:$D$143)</f>
        <v>SSA</v>
      </c>
      <c r="C4241" s="127">
        <f>1000*_xlfn.XLOOKUP(A4241,'[1]2050Pop'!$A$7:$A$143,'[1]2050Pop'!$C$7:$C$143)</f>
        <v>48797</v>
      </c>
      <c r="D4241" s="126" t="s">
        <v>538</v>
      </c>
      <c r="E4241" s="128">
        <v>6.0419999999999998</v>
      </c>
      <c r="F4241" s="129">
        <f t="shared" si="200"/>
        <v>0.29483147399999998</v>
      </c>
      <c r="G4241" t="str">
        <f>_xlfn.XLOOKUP(D4241,'[1]2050 BAU Mapping to T &amp; C'!$A$3:$A$52,'[1]2050 BAU Mapping to T &amp; C'!$B$3:$B$52)</f>
        <v xml:space="preserve">Oil crops </v>
      </c>
      <c r="H4241" s="129">
        <f>_xlfn.XLOOKUP(G4241,'[1]T&amp;C emissions for 2050 analysis'!$B$3:$B$23,'[1]T&amp;C emissions for 2050 analysis'!$C$3:$C$23)</f>
        <v>0.18333333333333335</v>
      </c>
      <c r="I4241" s="27">
        <f t="shared" si="198"/>
        <v>5.40524369E-2</v>
      </c>
      <c r="J4241" s="129">
        <f t="shared" si="199"/>
        <v>1.1077000000000001</v>
      </c>
    </row>
    <row r="4242" spans="1:10" hidden="1" x14ac:dyDescent="0.35">
      <c r="A4242" s="126" t="s">
        <v>385</v>
      </c>
      <c r="B4242" t="str">
        <f>_xlfn.XLOOKUP(A4242,'[1]2050Pop'!$A$7:$A$143,'[1]2050Pop'!$D$7:$D$143)</f>
        <v>Euro/AU/NZ</v>
      </c>
      <c r="C4242" s="127">
        <f>1000*_xlfn.XLOOKUP(A4242,'[1]2050Pop'!$A$7:$A$143,'[1]2050Pop'!$C$7:$C$143)</f>
        <v>3554</v>
      </c>
      <c r="D4242" s="126" t="s">
        <v>538</v>
      </c>
      <c r="E4242" s="128">
        <v>121.378</v>
      </c>
      <c r="F4242" s="129">
        <f t="shared" si="200"/>
        <v>0.43137741200000002</v>
      </c>
      <c r="G4242" t="str">
        <f>_xlfn.XLOOKUP(D4242,'[1]2050 BAU Mapping to T &amp; C'!$A$3:$A$52,'[1]2050 BAU Mapping to T &amp; C'!$B$3:$B$52)</f>
        <v xml:space="preserve">Oil crops </v>
      </c>
      <c r="H4242" s="129">
        <f>_xlfn.XLOOKUP(G4242,'[1]T&amp;C emissions for 2050 analysis'!$B$3:$B$23,'[1]T&amp;C emissions for 2050 analysis'!$C$3:$C$23)</f>
        <v>0.18333333333333335</v>
      </c>
      <c r="I4242" s="27">
        <f t="shared" si="198"/>
        <v>7.9085858866666678E-2</v>
      </c>
      <c r="J4242" s="129">
        <f t="shared" si="199"/>
        <v>22.252633333333335</v>
      </c>
    </row>
    <row r="4243" spans="1:10" hidden="1" x14ac:dyDescent="0.35">
      <c r="A4243" s="126" t="s">
        <v>386</v>
      </c>
      <c r="B4243" t="str">
        <f>_xlfn.XLOOKUP(A4243,'[1]2050Pop'!$A$7:$A$143,'[1]2050Pop'!$D$7:$D$143)</f>
        <v>LatAm &amp; RSA</v>
      </c>
      <c r="C4243" s="127">
        <f>1000*_xlfn.XLOOKUP(A4243,'[1]2050Pop'!$A$7:$A$143,'[1]2050Pop'!$C$7:$C$143)</f>
        <v>10339</v>
      </c>
      <c r="D4243" s="126" t="s">
        <v>538</v>
      </c>
      <c r="E4243" s="128">
        <v>2.859</v>
      </c>
      <c r="F4243" s="129">
        <f t="shared" si="200"/>
        <v>2.9559201E-2</v>
      </c>
      <c r="G4243" t="str">
        <f>_xlfn.XLOOKUP(D4243,'[1]2050 BAU Mapping to T &amp; C'!$A$3:$A$52,'[1]2050 BAU Mapping to T &amp; C'!$B$3:$B$52)</f>
        <v xml:space="preserve">Oil crops </v>
      </c>
      <c r="H4243" s="129">
        <f>_xlfn.XLOOKUP(G4243,'[1]T&amp;C emissions for 2050 analysis'!$B$3:$B$23,'[1]T&amp;C emissions for 2050 analysis'!$C$3:$C$23)</f>
        <v>0.18333333333333335</v>
      </c>
      <c r="I4243" s="27">
        <f t="shared" si="198"/>
        <v>5.4191868500000004E-3</v>
      </c>
      <c r="J4243" s="129">
        <f t="shared" si="199"/>
        <v>0.52415</v>
      </c>
    </row>
    <row r="4244" spans="1:10" hidden="1" x14ac:dyDescent="0.35">
      <c r="A4244" s="126" t="s">
        <v>387</v>
      </c>
      <c r="B4244" t="str">
        <f>_xlfn.XLOOKUP(A4244,'[1]2050Pop'!$A$7:$A$143,'[1]2050Pop'!$D$7:$D$143)</f>
        <v>Euro/AU/NZ</v>
      </c>
      <c r="C4244" s="127">
        <f>1000*_xlfn.XLOOKUP(A4244,'[1]2050Pop'!$A$7:$A$143,'[1]2050Pop'!$C$7:$C$143)</f>
        <v>9965</v>
      </c>
      <c r="D4244" s="126" t="s">
        <v>538</v>
      </c>
      <c r="E4244" s="128">
        <v>85.311000000000007</v>
      </c>
      <c r="F4244" s="129">
        <f t="shared" si="200"/>
        <v>0.85012411500000007</v>
      </c>
      <c r="G4244" t="str">
        <f>_xlfn.XLOOKUP(D4244,'[1]2050 BAU Mapping to T &amp; C'!$A$3:$A$52,'[1]2050 BAU Mapping to T &amp; C'!$B$3:$B$52)</f>
        <v xml:space="preserve">Oil crops </v>
      </c>
      <c r="H4244" s="129">
        <f>_xlfn.XLOOKUP(G4244,'[1]T&amp;C emissions for 2050 analysis'!$B$3:$B$23,'[1]T&amp;C emissions for 2050 analysis'!$C$3:$C$23)</f>
        <v>0.18333333333333335</v>
      </c>
      <c r="I4244" s="27">
        <f t="shared" si="198"/>
        <v>0.15585608775000004</v>
      </c>
      <c r="J4244" s="129">
        <f t="shared" si="199"/>
        <v>15.640350000000003</v>
      </c>
    </row>
    <row r="4245" spans="1:10" hidden="1" x14ac:dyDescent="0.35">
      <c r="A4245" s="126" t="s">
        <v>388</v>
      </c>
      <c r="B4245" t="str">
        <f>_xlfn.XLOOKUP(A4245,'[1]2050Pop'!$A$7:$A$143,'[1]2050Pop'!$D$7:$D$143)</f>
        <v>Euro/AU/NZ</v>
      </c>
      <c r="C4245" s="127">
        <f>1000*_xlfn.XLOOKUP(A4245,'[1]2050Pop'!$A$7:$A$143,'[1]2050Pop'!$C$7:$C$143)</f>
        <v>6299</v>
      </c>
      <c r="D4245" s="126" t="s">
        <v>538</v>
      </c>
      <c r="E4245" s="128">
        <v>33.185000000000002</v>
      </c>
      <c r="F4245" s="129">
        <f t="shared" si="200"/>
        <v>0.209032315</v>
      </c>
      <c r="G4245" t="str">
        <f>_xlfn.XLOOKUP(D4245,'[1]2050 BAU Mapping to T &amp; C'!$A$3:$A$52,'[1]2050 BAU Mapping to T &amp; C'!$B$3:$B$52)</f>
        <v xml:space="preserve">Oil crops </v>
      </c>
      <c r="H4245" s="129">
        <f>_xlfn.XLOOKUP(G4245,'[1]T&amp;C emissions for 2050 analysis'!$B$3:$B$23,'[1]T&amp;C emissions for 2050 analysis'!$C$3:$C$23)</f>
        <v>0.18333333333333335</v>
      </c>
      <c r="I4245" s="27">
        <f t="shared" si="198"/>
        <v>3.8322591083333336E-2</v>
      </c>
      <c r="J4245" s="129">
        <f t="shared" si="199"/>
        <v>6.083916666666668</v>
      </c>
    </row>
    <row r="4246" spans="1:10" hidden="1" x14ac:dyDescent="0.35">
      <c r="A4246" s="126" t="s">
        <v>389</v>
      </c>
      <c r="B4246" t="str">
        <f>_xlfn.XLOOKUP(A4246,'[1]2050Pop'!$A$7:$A$143,'[1]2050Pop'!$D$7:$D$143)</f>
        <v>LatAm &amp; RSA</v>
      </c>
      <c r="C4246" s="127">
        <f>1000*_xlfn.XLOOKUP(A4246,'[1]2050Pop'!$A$7:$A$143,'[1]2050Pop'!$C$7:$C$143)</f>
        <v>13238</v>
      </c>
      <c r="D4246" s="126" t="s">
        <v>538</v>
      </c>
      <c r="E4246" s="128">
        <v>46.622999999999998</v>
      </c>
      <c r="F4246" s="129">
        <f t="shared" si="200"/>
        <v>0.61719527399999996</v>
      </c>
      <c r="G4246" t="str">
        <f>_xlfn.XLOOKUP(D4246,'[1]2050 BAU Mapping to T &amp; C'!$A$3:$A$52,'[1]2050 BAU Mapping to T &amp; C'!$B$3:$B$52)</f>
        <v xml:space="preserve">Oil crops </v>
      </c>
      <c r="H4246" s="129">
        <f>_xlfn.XLOOKUP(G4246,'[1]T&amp;C emissions for 2050 analysis'!$B$3:$B$23,'[1]T&amp;C emissions for 2050 analysis'!$C$3:$C$23)</f>
        <v>0.18333333333333335</v>
      </c>
      <c r="I4246" s="27">
        <f t="shared" si="198"/>
        <v>0.1131524669</v>
      </c>
      <c r="J4246" s="129">
        <f t="shared" si="199"/>
        <v>8.5475500000000011</v>
      </c>
    </row>
    <row r="4247" spans="1:10" hidden="1" x14ac:dyDescent="0.35">
      <c r="A4247" s="126" t="s">
        <v>390</v>
      </c>
      <c r="B4247" t="str">
        <f>_xlfn.XLOOKUP(A4247,'[1]2050Pop'!$A$7:$A$143,'[1]2050Pop'!$D$7:$D$143)</f>
        <v>LatAm &amp; RSA</v>
      </c>
      <c r="C4247" s="127">
        <f>1000*_xlfn.XLOOKUP(A4247,'[1]2050Pop'!$A$7:$A$143,'[1]2050Pop'!$C$7:$C$143)</f>
        <v>23013</v>
      </c>
      <c r="D4247" s="126" t="s">
        <v>538</v>
      </c>
      <c r="E4247" s="128">
        <v>44.417999999999999</v>
      </c>
      <c r="F4247" s="129">
        <f t="shared" si="200"/>
        <v>1.022191434</v>
      </c>
      <c r="G4247" t="str">
        <f>_xlfn.XLOOKUP(D4247,'[1]2050 BAU Mapping to T &amp; C'!$A$3:$A$52,'[1]2050 BAU Mapping to T &amp; C'!$B$3:$B$52)</f>
        <v xml:space="preserve">Oil crops </v>
      </c>
      <c r="H4247" s="129">
        <f>_xlfn.XLOOKUP(G4247,'[1]T&amp;C emissions for 2050 analysis'!$B$3:$B$23,'[1]T&amp;C emissions for 2050 analysis'!$C$3:$C$23)</f>
        <v>0.18333333333333335</v>
      </c>
      <c r="I4247" s="27">
        <f t="shared" si="198"/>
        <v>0.18740176290000002</v>
      </c>
      <c r="J4247" s="129">
        <f t="shared" si="199"/>
        <v>8.1433</v>
      </c>
    </row>
    <row r="4248" spans="1:10" hidden="1" x14ac:dyDescent="0.35">
      <c r="A4248" s="126" t="s">
        <v>391</v>
      </c>
      <c r="B4248" t="str">
        <f>_xlfn.XLOOKUP(A4248,'[1]2050Pop'!$A$7:$A$143,'[1]2050Pop'!$D$7:$D$143)</f>
        <v>MENA</v>
      </c>
      <c r="C4248" s="127">
        <f>1000*_xlfn.XLOOKUP(A4248,'[1]2050Pop'!$A$7:$A$143,'[1]2050Pop'!$C$7:$C$143)</f>
        <v>151111</v>
      </c>
      <c r="D4248" s="126" t="s">
        <v>538</v>
      </c>
      <c r="E4248" s="128">
        <v>55.008000000000003</v>
      </c>
      <c r="F4248" s="129">
        <f t="shared" si="200"/>
        <v>8.3123138880000003</v>
      </c>
      <c r="G4248" t="str">
        <f>_xlfn.XLOOKUP(D4248,'[1]2050 BAU Mapping to T &amp; C'!$A$3:$A$52,'[1]2050 BAU Mapping to T &amp; C'!$B$3:$B$52)</f>
        <v xml:space="preserve">Oil crops </v>
      </c>
      <c r="H4248" s="129">
        <f>_xlfn.XLOOKUP(G4248,'[1]T&amp;C emissions for 2050 analysis'!$B$3:$B$23,'[1]T&amp;C emissions for 2050 analysis'!$C$3:$C$23)</f>
        <v>0.18333333333333335</v>
      </c>
      <c r="I4248" s="27">
        <f t="shared" si="198"/>
        <v>1.5239242128000001</v>
      </c>
      <c r="J4248" s="129">
        <f t="shared" si="199"/>
        <v>10.084800000000001</v>
      </c>
    </row>
    <row r="4249" spans="1:10" hidden="1" x14ac:dyDescent="0.35">
      <c r="A4249" s="126" t="s">
        <v>392</v>
      </c>
      <c r="B4249" t="str">
        <f>_xlfn.XLOOKUP(A4249,'[1]2050Pop'!$A$7:$A$143,'[1]2050Pop'!$D$7:$D$143)</f>
        <v>LatAm &amp; RSA</v>
      </c>
      <c r="C4249" s="127">
        <f>1000*_xlfn.XLOOKUP(A4249,'[1]2050Pop'!$A$7:$A$143,'[1]2050Pop'!$C$7:$C$143)</f>
        <v>6390</v>
      </c>
      <c r="D4249" s="126" t="s">
        <v>538</v>
      </c>
      <c r="E4249" s="128">
        <v>23.565000000000001</v>
      </c>
      <c r="F4249" s="129">
        <f t="shared" si="200"/>
        <v>0.15058035</v>
      </c>
      <c r="G4249" t="str">
        <f>_xlfn.XLOOKUP(D4249,'[1]2050 BAU Mapping to T &amp; C'!$A$3:$A$52,'[1]2050 BAU Mapping to T &amp; C'!$B$3:$B$52)</f>
        <v xml:space="preserve">Oil crops </v>
      </c>
      <c r="H4249" s="129">
        <f>_xlfn.XLOOKUP(G4249,'[1]T&amp;C emissions for 2050 analysis'!$B$3:$B$23,'[1]T&amp;C emissions for 2050 analysis'!$C$3:$C$23)</f>
        <v>0.18333333333333335</v>
      </c>
      <c r="I4249" s="27">
        <f t="shared" si="198"/>
        <v>2.7606397500000001E-2</v>
      </c>
      <c r="J4249" s="129">
        <f t="shared" si="199"/>
        <v>4.3202500000000006</v>
      </c>
    </row>
    <row r="4250" spans="1:10" hidden="1" x14ac:dyDescent="0.35">
      <c r="A4250" s="126" t="s">
        <v>393</v>
      </c>
      <c r="B4250" t="str">
        <f>_xlfn.XLOOKUP(A4250,'[1]2050Pop'!$A$7:$A$143,'[1]2050Pop'!$D$7:$D$143)</f>
        <v>Euro/AU/NZ</v>
      </c>
      <c r="C4250" s="127">
        <f>1000*_xlfn.XLOOKUP(A4250,'[1]2050Pop'!$A$7:$A$143,'[1]2050Pop'!$C$7:$C$143)</f>
        <v>1129</v>
      </c>
      <c r="D4250" s="126" t="s">
        <v>538</v>
      </c>
      <c r="E4250" s="130">
        <v>7.68</v>
      </c>
      <c r="F4250" s="129">
        <f t="shared" si="200"/>
        <v>8.6707199999999998E-3</v>
      </c>
      <c r="G4250" t="str">
        <f>_xlfn.XLOOKUP(D4250,'[1]2050 BAU Mapping to T &amp; C'!$A$3:$A$52,'[1]2050 BAU Mapping to T &amp; C'!$B$3:$B$52)</f>
        <v xml:space="preserve">Oil crops </v>
      </c>
      <c r="H4250" s="129">
        <f>_xlfn.XLOOKUP(G4250,'[1]T&amp;C emissions for 2050 analysis'!$B$3:$B$23,'[1]T&amp;C emissions for 2050 analysis'!$C$3:$C$23)</f>
        <v>0.18333333333333335</v>
      </c>
      <c r="I4250" s="27">
        <f t="shared" si="198"/>
        <v>1.5896320000000001E-3</v>
      </c>
      <c r="J4250" s="129">
        <f t="shared" si="199"/>
        <v>1.4080000000000001</v>
      </c>
    </row>
    <row r="4251" spans="1:10" hidden="1" x14ac:dyDescent="0.35">
      <c r="A4251" s="126" t="s">
        <v>394</v>
      </c>
      <c r="B4251" t="str">
        <f>_xlfn.XLOOKUP(A4251,'[1]2050Pop'!$A$7:$A$143,'[1]2050Pop'!$D$7:$D$143)</f>
        <v>SSA</v>
      </c>
      <c r="C4251" s="127">
        <f>1000*_xlfn.XLOOKUP(A4251,'[1]2050Pop'!$A$7:$A$143,'[1]2050Pop'!$C$7:$C$143)</f>
        <v>188455</v>
      </c>
      <c r="D4251" s="126" t="s">
        <v>538</v>
      </c>
      <c r="E4251" s="128">
        <v>2.0510000000000002</v>
      </c>
      <c r="F4251" s="129">
        <f t="shared" si="200"/>
        <v>0.38652120500000003</v>
      </c>
      <c r="G4251" t="str">
        <f>_xlfn.XLOOKUP(D4251,'[1]2050 BAU Mapping to T &amp; C'!$A$3:$A$52,'[1]2050 BAU Mapping to T &amp; C'!$B$3:$B$52)</f>
        <v xml:space="preserve">Oil crops </v>
      </c>
      <c r="H4251" s="129">
        <f>_xlfn.XLOOKUP(G4251,'[1]T&amp;C emissions for 2050 analysis'!$B$3:$B$23,'[1]T&amp;C emissions for 2050 analysis'!$C$3:$C$23)</f>
        <v>0.18333333333333335</v>
      </c>
      <c r="I4251" s="27">
        <f t="shared" si="198"/>
        <v>7.0862220916666677E-2</v>
      </c>
      <c r="J4251" s="129">
        <f t="shared" si="199"/>
        <v>0.37601666666666672</v>
      </c>
    </row>
    <row r="4252" spans="1:10" hidden="1" x14ac:dyDescent="0.35">
      <c r="A4252" s="126" t="s">
        <v>395</v>
      </c>
      <c r="B4252" t="str">
        <f>_xlfn.XLOOKUP(A4252,'[1]2050Pop'!$A$7:$A$143,'[1]2050Pop'!$D$7:$D$143)</f>
        <v>Euro/AU/NZ</v>
      </c>
      <c r="C4252" s="127">
        <f>1000*_xlfn.XLOOKUP(A4252,'[1]2050Pop'!$A$7:$A$143,'[1]2050Pop'!$C$7:$C$143)</f>
        <v>5752</v>
      </c>
      <c r="D4252" s="126" t="s">
        <v>538</v>
      </c>
      <c r="E4252" s="130">
        <v>27.05</v>
      </c>
      <c r="F4252" s="129">
        <f t="shared" si="200"/>
        <v>0.1555916</v>
      </c>
      <c r="G4252" t="str">
        <f>_xlfn.XLOOKUP(D4252,'[1]2050 BAU Mapping to T &amp; C'!$A$3:$A$52,'[1]2050 BAU Mapping to T &amp; C'!$B$3:$B$52)</f>
        <v xml:space="preserve">Oil crops </v>
      </c>
      <c r="H4252" s="129">
        <f>_xlfn.XLOOKUP(G4252,'[1]T&amp;C emissions for 2050 analysis'!$B$3:$B$23,'[1]T&amp;C emissions for 2050 analysis'!$C$3:$C$23)</f>
        <v>0.18333333333333335</v>
      </c>
      <c r="I4252" s="27">
        <f t="shared" si="198"/>
        <v>2.8525126666666668E-2</v>
      </c>
      <c r="J4252" s="129">
        <f t="shared" si="199"/>
        <v>4.9591666666666674</v>
      </c>
    </row>
    <row r="4253" spans="1:10" hidden="1" x14ac:dyDescent="0.35">
      <c r="A4253" s="126" t="s">
        <v>396</v>
      </c>
      <c r="B4253" t="str">
        <f>_xlfn.XLOOKUP(A4253,'[1]2050Pop'!$A$7:$A$143,'[1]2050Pop'!$D$7:$D$143)</f>
        <v>Euro/AU/NZ</v>
      </c>
      <c r="C4253" s="127">
        <f>1000*_xlfn.XLOOKUP(A4253,'[1]2050Pop'!$A$7:$A$143,'[1]2050Pop'!$C$7:$C$143)</f>
        <v>71137</v>
      </c>
      <c r="D4253" s="126" t="s">
        <v>538</v>
      </c>
      <c r="E4253" s="128">
        <v>168.505</v>
      </c>
      <c r="F4253" s="129">
        <f t="shared" si="200"/>
        <v>11.986940185</v>
      </c>
      <c r="G4253" t="str">
        <f>_xlfn.XLOOKUP(D4253,'[1]2050 BAU Mapping to T &amp; C'!$A$3:$A$52,'[1]2050 BAU Mapping to T &amp; C'!$B$3:$B$52)</f>
        <v xml:space="preserve">Oil crops </v>
      </c>
      <c r="H4253" s="129">
        <f>_xlfn.XLOOKUP(G4253,'[1]T&amp;C emissions for 2050 analysis'!$B$3:$B$23,'[1]T&amp;C emissions for 2050 analysis'!$C$3:$C$23)</f>
        <v>0.18333333333333335</v>
      </c>
      <c r="I4253" s="27">
        <f t="shared" si="198"/>
        <v>2.1976057005833334</v>
      </c>
      <c r="J4253" s="129">
        <f t="shared" si="199"/>
        <v>30.892583333333334</v>
      </c>
    </row>
    <row r="4254" spans="1:10" hidden="1" x14ac:dyDescent="0.35">
      <c r="A4254" s="126" t="s">
        <v>397</v>
      </c>
      <c r="B4254" t="str">
        <f>_xlfn.XLOOKUP(A4254,'[1]2050Pop'!$A$7:$A$143,'[1]2050Pop'!$D$7:$D$143)</f>
        <v>SSA</v>
      </c>
      <c r="C4254" s="127">
        <f>1000*_xlfn.XLOOKUP(A4254,'[1]2050Pop'!$A$7:$A$143,'[1]2050Pop'!$C$7:$C$143)</f>
        <v>3164</v>
      </c>
      <c r="D4254" s="126" t="s">
        <v>538</v>
      </c>
      <c r="E4254" s="128">
        <v>13.755000000000001</v>
      </c>
      <c r="F4254" s="129">
        <f t="shared" si="200"/>
        <v>4.3520820000000002E-2</v>
      </c>
      <c r="G4254" t="str">
        <f>_xlfn.XLOOKUP(D4254,'[1]2050 BAU Mapping to T &amp; C'!$A$3:$A$52,'[1]2050 BAU Mapping to T &amp; C'!$B$3:$B$52)</f>
        <v xml:space="preserve">Oil crops </v>
      </c>
      <c r="H4254" s="129">
        <f>_xlfn.XLOOKUP(G4254,'[1]T&amp;C emissions for 2050 analysis'!$B$3:$B$23,'[1]T&amp;C emissions for 2050 analysis'!$C$3:$C$23)</f>
        <v>0.18333333333333335</v>
      </c>
      <c r="I4254" s="27">
        <f t="shared" si="198"/>
        <v>7.9788170000000009E-3</v>
      </c>
      <c r="J4254" s="129">
        <f t="shared" si="199"/>
        <v>2.5217500000000004</v>
      </c>
    </row>
    <row r="4255" spans="1:10" hidden="1" x14ac:dyDescent="0.35">
      <c r="A4255" s="126" t="s">
        <v>489</v>
      </c>
      <c r="B4255" t="str">
        <f>_xlfn.XLOOKUP(A4255,'[1]2050Pop'!$A$7:$A$143,'[1]2050Pop'!$D$7:$D$143)</f>
        <v>SSA</v>
      </c>
      <c r="C4255" s="127">
        <f>1000*_xlfn.XLOOKUP(A4255,'[1]2050Pop'!$A$7:$A$143,'[1]2050Pop'!$C$7:$C$143)</f>
        <v>4981</v>
      </c>
      <c r="D4255" s="126" t="s">
        <v>538</v>
      </c>
      <c r="E4255" s="128">
        <v>9.6809999999999992</v>
      </c>
      <c r="F4255" s="129">
        <f t="shared" si="200"/>
        <v>4.8221060999999996E-2</v>
      </c>
      <c r="G4255" t="str">
        <f>_xlfn.XLOOKUP(D4255,'[1]2050 BAU Mapping to T &amp; C'!$A$3:$A$52,'[1]2050 BAU Mapping to T &amp; C'!$B$3:$B$52)</f>
        <v xml:space="preserve">Oil crops </v>
      </c>
      <c r="H4255" s="129">
        <f>_xlfn.XLOOKUP(G4255,'[1]T&amp;C emissions for 2050 analysis'!$B$3:$B$23,'[1]T&amp;C emissions for 2050 analysis'!$C$3:$C$23)</f>
        <v>0.18333333333333335</v>
      </c>
      <c r="I4255" s="27">
        <f t="shared" si="198"/>
        <v>8.84052785E-3</v>
      </c>
      <c r="J4255" s="129">
        <f t="shared" si="199"/>
        <v>1.77485</v>
      </c>
    </row>
    <row r="4256" spans="1:10" hidden="1" x14ac:dyDescent="0.35">
      <c r="A4256" s="126" t="s">
        <v>398</v>
      </c>
      <c r="B4256" t="str">
        <f>_xlfn.XLOOKUP(A4256,'[1]2050Pop'!$A$7:$A$143,'[1]2050Pop'!$D$7:$D$143)</f>
        <v>MENA</v>
      </c>
      <c r="C4256" s="127">
        <f>1000*_xlfn.XLOOKUP(A4256,'[1]2050Pop'!$A$7:$A$143,'[1]2050Pop'!$C$7:$C$143)</f>
        <v>3483</v>
      </c>
      <c r="D4256" s="126" t="s">
        <v>538</v>
      </c>
      <c r="E4256" s="128">
        <v>120.57299999999999</v>
      </c>
      <c r="F4256" s="129">
        <f t="shared" si="200"/>
        <v>0.41995575899999998</v>
      </c>
      <c r="G4256" t="str">
        <f>_xlfn.XLOOKUP(D4256,'[1]2050 BAU Mapping to T &amp; C'!$A$3:$A$52,'[1]2050 BAU Mapping to T &amp; C'!$B$3:$B$52)</f>
        <v xml:space="preserve">Oil crops </v>
      </c>
      <c r="H4256" s="129">
        <f>_xlfn.XLOOKUP(G4256,'[1]T&amp;C emissions for 2050 analysis'!$B$3:$B$23,'[1]T&amp;C emissions for 2050 analysis'!$C$3:$C$23)</f>
        <v>0.18333333333333335</v>
      </c>
      <c r="I4256" s="27">
        <f t="shared" si="198"/>
        <v>7.6991889150000006E-2</v>
      </c>
      <c r="J4256" s="129">
        <f t="shared" si="199"/>
        <v>22.105050000000002</v>
      </c>
    </row>
    <row r="4257" spans="1:10" hidden="1" x14ac:dyDescent="0.35">
      <c r="A4257" s="126" t="s">
        <v>399</v>
      </c>
      <c r="B4257" t="str">
        <f>_xlfn.XLOOKUP(A4257,'[1]2050Pop'!$A$7:$A$143,'[1]2050Pop'!$D$7:$D$143)</f>
        <v>Euro/AU/NZ</v>
      </c>
      <c r="C4257" s="127">
        <f>1000*_xlfn.XLOOKUP(A4257,'[1]2050Pop'!$A$7:$A$143,'[1]2050Pop'!$C$7:$C$143)</f>
        <v>74513</v>
      </c>
      <c r="D4257" s="126" t="s">
        <v>538</v>
      </c>
      <c r="E4257" s="128">
        <v>90.728999999999999</v>
      </c>
      <c r="F4257" s="129">
        <f t="shared" si="200"/>
        <v>6.7604899769999998</v>
      </c>
      <c r="G4257" t="str">
        <f>_xlfn.XLOOKUP(D4257,'[1]2050 BAU Mapping to T &amp; C'!$A$3:$A$52,'[1]2050 BAU Mapping to T &amp; C'!$B$3:$B$52)</f>
        <v xml:space="preserve">Oil crops </v>
      </c>
      <c r="H4257" s="129">
        <f>_xlfn.XLOOKUP(G4257,'[1]T&amp;C emissions for 2050 analysis'!$B$3:$B$23,'[1]T&amp;C emissions for 2050 analysis'!$C$3:$C$23)</f>
        <v>0.18333333333333335</v>
      </c>
      <c r="I4257" s="27">
        <f t="shared" si="198"/>
        <v>1.2394231624500001</v>
      </c>
      <c r="J4257" s="129">
        <f t="shared" si="199"/>
        <v>16.633650000000003</v>
      </c>
    </row>
    <row r="4258" spans="1:10" hidden="1" x14ac:dyDescent="0.35">
      <c r="A4258" s="126" t="s">
        <v>400</v>
      </c>
      <c r="B4258" t="str">
        <f>_xlfn.XLOOKUP(A4258,'[1]2050Pop'!$A$7:$A$143,'[1]2050Pop'!$D$7:$D$143)</f>
        <v>SSA</v>
      </c>
      <c r="C4258" s="127">
        <f>1000*_xlfn.XLOOKUP(A4258,'[1]2050Pop'!$A$7:$A$143,'[1]2050Pop'!$C$7:$C$143)</f>
        <v>50071</v>
      </c>
      <c r="D4258" s="126" t="s">
        <v>538</v>
      </c>
      <c r="E4258" s="128">
        <v>1.8460000000000001</v>
      </c>
      <c r="F4258" s="129">
        <f t="shared" si="200"/>
        <v>9.2431066000000006E-2</v>
      </c>
      <c r="G4258" t="str">
        <f>_xlfn.XLOOKUP(D4258,'[1]2050 BAU Mapping to T &amp; C'!$A$3:$A$52,'[1]2050 BAU Mapping to T &amp; C'!$B$3:$B$52)</f>
        <v xml:space="preserve">Oil crops </v>
      </c>
      <c r="H4258" s="129">
        <f>_xlfn.XLOOKUP(G4258,'[1]T&amp;C emissions for 2050 analysis'!$B$3:$B$23,'[1]T&amp;C emissions for 2050 analysis'!$C$3:$C$23)</f>
        <v>0.18333333333333335</v>
      </c>
      <c r="I4258" s="27">
        <f t="shared" si="198"/>
        <v>1.6945695433333335E-2</v>
      </c>
      <c r="J4258" s="129">
        <f t="shared" si="199"/>
        <v>0.33843333333333336</v>
      </c>
    </row>
    <row r="4259" spans="1:10" hidden="1" x14ac:dyDescent="0.35">
      <c r="A4259" s="126" t="s">
        <v>401</v>
      </c>
      <c r="B4259" t="str">
        <f>_xlfn.XLOOKUP(A4259,'[1]2050Pop'!$A$7:$A$143,'[1]2050Pop'!$D$7:$D$143)</f>
        <v>Euro/AU/NZ</v>
      </c>
      <c r="C4259" s="127">
        <f>1000*_xlfn.XLOOKUP(A4259,'[1]2050Pop'!$A$7:$A$143,'[1]2050Pop'!$C$7:$C$143)</f>
        <v>9705</v>
      </c>
      <c r="D4259" s="126" t="s">
        <v>538</v>
      </c>
      <c r="E4259" s="128">
        <v>185.983</v>
      </c>
      <c r="F4259" s="129">
        <f t="shared" si="200"/>
        <v>1.8049650150000001</v>
      </c>
      <c r="G4259" t="str">
        <f>_xlfn.XLOOKUP(D4259,'[1]2050 BAU Mapping to T &amp; C'!$A$3:$A$52,'[1]2050 BAU Mapping to T &amp; C'!$B$3:$B$52)</f>
        <v xml:space="preserve">Oil crops </v>
      </c>
      <c r="H4259" s="129">
        <f>_xlfn.XLOOKUP(G4259,'[1]T&amp;C emissions for 2050 analysis'!$B$3:$B$23,'[1]T&amp;C emissions for 2050 analysis'!$C$3:$C$23)</f>
        <v>0.18333333333333335</v>
      </c>
      <c r="I4259" s="27">
        <f t="shared" si="198"/>
        <v>0.33091025275000002</v>
      </c>
      <c r="J4259" s="129">
        <f t="shared" si="199"/>
        <v>34.096883333333338</v>
      </c>
    </row>
    <row r="4260" spans="1:10" hidden="1" x14ac:dyDescent="0.35">
      <c r="A4260" s="126" t="s">
        <v>402</v>
      </c>
      <c r="B4260" t="str">
        <f>_xlfn.XLOOKUP(A4260,'[1]2050Pop'!$A$7:$A$143,'[1]2050Pop'!$D$7:$D$143)</f>
        <v>LatAm &amp; RSA</v>
      </c>
      <c r="C4260" s="127">
        <f>1000*_xlfn.XLOOKUP(A4260,'[1]2050Pop'!$A$7:$A$143,'[1]2050Pop'!$C$7:$C$143)</f>
        <v>27754</v>
      </c>
      <c r="D4260" s="126" t="s">
        <v>538</v>
      </c>
      <c r="E4260" s="128">
        <v>31.323</v>
      </c>
      <c r="F4260" s="129">
        <f t="shared" si="200"/>
        <v>0.86933854200000005</v>
      </c>
      <c r="G4260" t="str">
        <f>_xlfn.XLOOKUP(D4260,'[1]2050 BAU Mapping to T &amp; C'!$A$3:$A$52,'[1]2050 BAU Mapping to T &amp; C'!$B$3:$B$52)</f>
        <v xml:space="preserve">Oil crops </v>
      </c>
      <c r="H4260" s="129">
        <f>_xlfn.XLOOKUP(G4260,'[1]T&amp;C emissions for 2050 analysis'!$B$3:$B$23,'[1]T&amp;C emissions for 2050 analysis'!$C$3:$C$23)</f>
        <v>0.18333333333333335</v>
      </c>
      <c r="I4260" s="27">
        <f t="shared" si="198"/>
        <v>0.15937873270000003</v>
      </c>
      <c r="J4260" s="129">
        <f t="shared" si="199"/>
        <v>5.7425500000000005</v>
      </c>
    </row>
    <row r="4261" spans="1:10" hidden="1" x14ac:dyDescent="0.35">
      <c r="A4261" s="126" t="s">
        <v>405</v>
      </c>
      <c r="B4261" t="str">
        <f>_xlfn.XLOOKUP(A4261,'[1]2050Pop'!$A$7:$A$143,'[1]2050Pop'!$D$7:$D$143)</f>
        <v>LatAm &amp; RSA</v>
      </c>
      <c r="C4261" s="127">
        <f>1000*_xlfn.XLOOKUP(A4261,'[1]2050Pop'!$A$7:$A$143,'[1]2050Pop'!$C$7:$C$143)</f>
        <v>14189</v>
      </c>
      <c r="D4261" s="126" t="s">
        <v>538</v>
      </c>
      <c r="E4261" s="128">
        <v>8.4329999999999998</v>
      </c>
      <c r="F4261" s="129">
        <f t="shared" si="200"/>
        <v>0.119655837</v>
      </c>
      <c r="G4261" t="str">
        <f>_xlfn.XLOOKUP(D4261,'[1]2050 BAU Mapping to T &amp; C'!$A$3:$A$52,'[1]2050 BAU Mapping to T &amp; C'!$B$3:$B$52)</f>
        <v xml:space="preserve">Oil crops </v>
      </c>
      <c r="H4261" s="129">
        <f>_xlfn.XLOOKUP(G4261,'[1]T&amp;C emissions for 2050 analysis'!$B$3:$B$23,'[1]T&amp;C emissions for 2050 analysis'!$C$3:$C$23)</f>
        <v>0.18333333333333335</v>
      </c>
      <c r="I4261" s="27">
        <f t="shared" si="198"/>
        <v>2.1936903450000003E-2</v>
      </c>
      <c r="J4261" s="129">
        <f t="shared" si="199"/>
        <v>1.5460500000000001</v>
      </c>
    </row>
    <row r="4262" spans="1:10" hidden="1" x14ac:dyDescent="0.35">
      <c r="A4262" s="126" t="s">
        <v>406</v>
      </c>
      <c r="B4262" t="str">
        <f>_xlfn.XLOOKUP(A4262,'[1]2050Pop'!$A$7:$A$143,'[1]2050Pop'!$D$7:$D$143)</f>
        <v>LatAm &amp; RSA</v>
      </c>
      <c r="C4262" s="127">
        <f>1000*_xlfn.XLOOKUP(A4262,'[1]2050Pop'!$A$7:$A$143,'[1]2050Pop'!$C$7:$C$143)</f>
        <v>11217</v>
      </c>
      <c r="D4262" s="126" t="s">
        <v>538</v>
      </c>
      <c r="E4262" s="130">
        <v>4.7300000000000004</v>
      </c>
      <c r="F4262" s="129">
        <f t="shared" si="200"/>
        <v>5.3056410000000005E-2</v>
      </c>
      <c r="G4262" t="str">
        <f>_xlfn.XLOOKUP(D4262,'[1]2050 BAU Mapping to T &amp; C'!$A$3:$A$52,'[1]2050 BAU Mapping to T &amp; C'!$B$3:$B$52)</f>
        <v xml:space="preserve">Oil crops </v>
      </c>
      <c r="H4262" s="129">
        <f>_xlfn.XLOOKUP(G4262,'[1]T&amp;C emissions for 2050 analysis'!$B$3:$B$23,'[1]T&amp;C emissions for 2050 analysis'!$C$3:$C$23)</f>
        <v>0.18333333333333335</v>
      </c>
      <c r="I4262" s="27">
        <f t="shared" si="198"/>
        <v>9.727008500000002E-3</v>
      </c>
      <c r="J4262" s="129">
        <f t="shared" si="199"/>
        <v>0.86716666666666686</v>
      </c>
    </row>
    <row r="4263" spans="1:10" hidden="1" x14ac:dyDescent="0.35">
      <c r="A4263" s="126" t="s">
        <v>407</v>
      </c>
      <c r="B4263" t="str">
        <f>_xlfn.XLOOKUP(A4263,'[1]2050Pop'!$A$7:$A$143,'[1]2050Pop'!$D$7:$D$143)</f>
        <v>Euro/AU/NZ</v>
      </c>
      <c r="C4263" s="127">
        <f>1000*_xlfn.XLOOKUP(A4263,'[1]2050Pop'!$A$7:$A$143,'[1]2050Pop'!$C$7:$C$143)</f>
        <v>8318</v>
      </c>
      <c r="D4263" s="126" t="s">
        <v>538</v>
      </c>
      <c r="E4263" s="130">
        <v>318.41000000000003</v>
      </c>
      <c r="F4263" s="129">
        <f t="shared" si="200"/>
        <v>2.6485343800000005</v>
      </c>
      <c r="G4263" t="str">
        <f>_xlfn.XLOOKUP(D4263,'[1]2050 BAU Mapping to T &amp; C'!$A$3:$A$52,'[1]2050 BAU Mapping to T &amp; C'!$B$3:$B$52)</f>
        <v xml:space="preserve">Oil crops </v>
      </c>
      <c r="H4263" s="129">
        <f>_xlfn.XLOOKUP(G4263,'[1]T&amp;C emissions for 2050 analysis'!$B$3:$B$23,'[1]T&amp;C emissions for 2050 analysis'!$C$3:$C$23)</f>
        <v>0.18333333333333335</v>
      </c>
      <c r="I4263" s="27">
        <f t="shared" si="198"/>
        <v>0.48556463633333347</v>
      </c>
      <c r="J4263" s="129">
        <f t="shared" si="199"/>
        <v>58.375166666666679</v>
      </c>
    </row>
    <row r="4264" spans="1:10" hidden="1" x14ac:dyDescent="0.35">
      <c r="A4264" s="126" t="s">
        <v>408</v>
      </c>
      <c r="B4264" t="str">
        <f>_xlfn.XLOOKUP(A4264,'[1]2050Pop'!$A$7:$A$143,'[1]2050Pop'!$D$7:$D$143)</f>
        <v>India/South Asia</v>
      </c>
      <c r="C4264" s="127">
        <f>1000*_xlfn.XLOOKUP(A4264,'[1]2050Pop'!$A$7:$A$143,'[1]2050Pop'!$C$7:$C$143)</f>
        <v>1705333</v>
      </c>
      <c r="D4264" s="126" t="s">
        <v>538</v>
      </c>
      <c r="E4264" s="128">
        <v>26.416</v>
      </c>
      <c r="F4264" s="129">
        <f t="shared" si="200"/>
        <v>45.048076527999996</v>
      </c>
      <c r="G4264" t="str">
        <f>_xlfn.XLOOKUP(D4264,'[1]2050 BAU Mapping to T &amp; C'!$A$3:$A$52,'[1]2050 BAU Mapping to T &amp; C'!$B$3:$B$52)</f>
        <v xml:space="preserve">Oil crops </v>
      </c>
      <c r="H4264" s="129">
        <f>_xlfn.XLOOKUP(G4264,'[1]T&amp;C emissions for 2050 analysis'!$B$3:$B$23,'[1]T&amp;C emissions for 2050 analysis'!$C$3:$C$23)</f>
        <v>0.18333333333333335</v>
      </c>
      <c r="I4264" s="27">
        <f t="shared" si="198"/>
        <v>8.2588140301333333</v>
      </c>
      <c r="J4264" s="129">
        <f t="shared" si="199"/>
        <v>4.8429333333333338</v>
      </c>
    </row>
    <row r="4265" spans="1:10" hidden="1" x14ac:dyDescent="0.35">
      <c r="A4265" s="126" t="s">
        <v>409</v>
      </c>
      <c r="B4265" t="str">
        <f>_xlfn.XLOOKUP(A4265,'[1]2050Pop'!$A$7:$A$143,'[1]2050Pop'!$D$7:$D$143)</f>
        <v>APAC</v>
      </c>
      <c r="C4265" s="127">
        <f>1000*_xlfn.XLOOKUP(A4265,'[1]2050Pop'!$A$7:$A$143,'[1]2050Pop'!$C$7:$C$143)</f>
        <v>322237</v>
      </c>
      <c r="D4265" s="126" t="s">
        <v>538</v>
      </c>
      <c r="E4265" s="128">
        <v>1.9610000000000001</v>
      </c>
      <c r="F4265" s="129">
        <f t="shared" si="200"/>
        <v>0.63190675699999999</v>
      </c>
      <c r="G4265" t="str">
        <f>_xlfn.XLOOKUP(D4265,'[1]2050 BAU Mapping to T &amp; C'!$A$3:$A$52,'[1]2050 BAU Mapping to T &amp; C'!$B$3:$B$52)</f>
        <v xml:space="preserve">Oil crops </v>
      </c>
      <c r="H4265" s="129">
        <f>_xlfn.XLOOKUP(G4265,'[1]T&amp;C emissions for 2050 analysis'!$B$3:$B$23,'[1]T&amp;C emissions for 2050 analysis'!$C$3:$C$23)</f>
        <v>0.18333333333333335</v>
      </c>
      <c r="I4265" s="27">
        <f t="shared" si="198"/>
        <v>0.11584957211666667</v>
      </c>
      <c r="J4265" s="129">
        <f t="shared" si="199"/>
        <v>0.35951666666666671</v>
      </c>
    </row>
    <row r="4266" spans="1:10" hidden="1" x14ac:dyDescent="0.35">
      <c r="A4266" s="126" t="s">
        <v>410</v>
      </c>
      <c r="B4266" t="str">
        <f>_xlfn.XLOOKUP(A4266,'[1]2050Pop'!$A$7:$A$143,'[1]2050Pop'!$D$7:$D$143)</f>
        <v>India/South Asia</v>
      </c>
      <c r="C4266" s="127">
        <f>1000*_xlfn.XLOOKUP(A4266,'[1]2050Pop'!$A$7:$A$143,'[1]2050Pop'!$C$7:$C$143)</f>
        <v>92219</v>
      </c>
      <c r="D4266" s="126" t="s">
        <v>538</v>
      </c>
      <c r="E4266" s="130">
        <v>79.42</v>
      </c>
      <c r="F4266" s="129">
        <f t="shared" si="200"/>
        <v>7.3240329800000001</v>
      </c>
      <c r="G4266" t="str">
        <f>_xlfn.XLOOKUP(D4266,'[1]2050 BAU Mapping to T &amp; C'!$A$3:$A$52,'[1]2050 BAU Mapping to T &amp; C'!$B$3:$B$52)</f>
        <v xml:space="preserve">Oil crops </v>
      </c>
      <c r="H4266" s="129">
        <f>_xlfn.XLOOKUP(G4266,'[1]T&amp;C emissions for 2050 analysis'!$B$3:$B$23,'[1]T&amp;C emissions for 2050 analysis'!$C$3:$C$23)</f>
        <v>0.18333333333333335</v>
      </c>
      <c r="I4266" s="27">
        <f t="shared" si="198"/>
        <v>1.3427393796666669</v>
      </c>
      <c r="J4266" s="129">
        <f t="shared" si="199"/>
        <v>14.560333333333334</v>
      </c>
    </row>
    <row r="4267" spans="1:10" hidden="1" x14ac:dyDescent="0.35">
      <c r="A4267" s="126" t="s">
        <v>411</v>
      </c>
      <c r="B4267" t="str">
        <f>_xlfn.XLOOKUP(A4267,'[1]2050Pop'!$A$7:$A$143,'[1]2050Pop'!$D$7:$D$143)</f>
        <v>MENA</v>
      </c>
      <c r="C4267" s="127">
        <f>1000*_xlfn.XLOOKUP(A4267,'[1]2050Pop'!$A$7:$A$143,'[1]2050Pop'!$C$7:$C$143)</f>
        <v>83652</v>
      </c>
      <c r="D4267" s="126" t="s">
        <v>538</v>
      </c>
      <c r="E4267" s="128">
        <v>241.221</v>
      </c>
      <c r="F4267" s="129">
        <f t="shared" si="200"/>
        <v>20.178619092000002</v>
      </c>
      <c r="G4267" t="str">
        <f>_xlfn.XLOOKUP(D4267,'[1]2050 BAU Mapping to T &amp; C'!$A$3:$A$52,'[1]2050 BAU Mapping to T &amp; C'!$B$3:$B$52)</f>
        <v xml:space="preserve">Oil crops </v>
      </c>
      <c r="H4267" s="129">
        <f>_xlfn.XLOOKUP(G4267,'[1]T&amp;C emissions for 2050 analysis'!$B$3:$B$23,'[1]T&amp;C emissions for 2050 analysis'!$C$3:$C$23)</f>
        <v>0.18333333333333335</v>
      </c>
      <c r="I4267" s="27">
        <f t="shared" si="198"/>
        <v>3.6994135002000008</v>
      </c>
      <c r="J4267" s="129">
        <f t="shared" si="199"/>
        <v>44.223850000000006</v>
      </c>
    </row>
    <row r="4268" spans="1:10" hidden="1" x14ac:dyDescent="0.35">
      <c r="A4268" s="126" t="s">
        <v>412</v>
      </c>
      <c r="B4268" t="str">
        <f>_xlfn.XLOOKUP(A4268,'[1]2050Pop'!$A$7:$A$143,'[1]2050Pop'!$D$7:$D$143)</f>
        <v>Euro/AU/NZ</v>
      </c>
      <c r="C4268" s="127">
        <f>1000*_xlfn.XLOOKUP(A4268,'[1]2050Pop'!$A$7:$A$143,'[1]2050Pop'!$C$7:$C$143)</f>
        <v>5789</v>
      </c>
      <c r="D4268" s="126" t="s">
        <v>538</v>
      </c>
      <c r="E4268" s="128">
        <v>85.039000000000001</v>
      </c>
      <c r="F4268" s="129">
        <f t="shared" si="200"/>
        <v>0.49229077100000002</v>
      </c>
      <c r="G4268" t="str">
        <f>_xlfn.XLOOKUP(D4268,'[1]2050 BAU Mapping to T &amp; C'!$A$3:$A$52,'[1]2050 BAU Mapping to T &amp; C'!$B$3:$B$52)</f>
        <v xml:space="preserve">Oil crops </v>
      </c>
      <c r="H4268" s="129">
        <f>_xlfn.XLOOKUP(G4268,'[1]T&amp;C emissions for 2050 analysis'!$B$3:$B$23,'[1]T&amp;C emissions for 2050 analysis'!$C$3:$C$23)</f>
        <v>0.18333333333333335</v>
      </c>
      <c r="I4268" s="27">
        <f t="shared" si="198"/>
        <v>9.0253308016666672E-2</v>
      </c>
      <c r="J4268" s="129">
        <f t="shared" si="199"/>
        <v>15.590483333333335</v>
      </c>
    </row>
    <row r="4269" spans="1:10" hidden="1" x14ac:dyDescent="0.35">
      <c r="A4269" s="126" t="s">
        <v>413</v>
      </c>
      <c r="B4269" t="str">
        <f>_xlfn.XLOOKUP(A4269,'[1]2050Pop'!$A$7:$A$143,'[1]2050Pop'!$D$7:$D$143)</f>
        <v>MENA</v>
      </c>
      <c r="C4269" s="127">
        <f>1000*_xlfn.XLOOKUP(A4269,'[1]2050Pop'!$A$7:$A$143,'[1]2050Pop'!$C$7:$C$143)</f>
        <v>12610</v>
      </c>
      <c r="D4269" s="126" t="s">
        <v>538</v>
      </c>
      <c r="E4269" s="128">
        <v>58.384</v>
      </c>
      <c r="F4269" s="129">
        <f t="shared" si="200"/>
        <v>0.73622224000000003</v>
      </c>
      <c r="G4269" t="str">
        <f>_xlfn.XLOOKUP(D4269,'[1]2050 BAU Mapping to T &amp; C'!$A$3:$A$52,'[1]2050 BAU Mapping to T &amp; C'!$B$3:$B$52)</f>
        <v xml:space="preserve">Oil crops </v>
      </c>
      <c r="H4269" s="129">
        <f>_xlfn.XLOOKUP(G4269,'[1]T&amp;C emissions for 2050 analysis'!$B$3:$B$23,'[1]T&amp;C emissions for 2050 analysis'!$C$3:$C$23)</f>
        <v>0.18333333333333335</v>
      </c>
      <c r="I4269" s="27">
        <f t="shared" si="198"/>
        <v>0.13497407733333336</v>
      </c>
      <c r="J4269" s="129">
        <f t="shared" si="199"/>
        <v>10.703733333333334</v>
      </c>
    </row>
    <row r="4270" spans="1:10" hidden="1" x14ac:dyDescent="0.35">
      <c r="A4270" s="126" t="s">
        <v>414</v>
      </c>
      <c r="B4270" t="str">
        <f>_xlfn.XLOOKUP(A4270,'[1]2050Pop'!$A$7:$A$143,'[1]2050Pop'!$D$7:$D$143)</f>
        <v>Euro/AU/NZ</v>
      </c>
      <c r="C4270" s="127">
        <f>1000*_xlfn.XLOOKUP(A4270,'[1]2050Pop'!$A$7:$A$143,'[1]2050Pop'!$C$7:$C$143)</f>
        <v>56513</v>
      </c>
      <c r="D4270" s="126" t="s">
        <v>538</v>
      </c>
      <c r="E4270" s="128">
        <v>130.387</v>
      </c>
      <c r="F4270" s="129">
        <f t="shared" si="200"/>
        <v>7.3685605310000009</v>
      </c>
      <c r="G4270" t="str">
        <f>_xlfn.XLOOKUP(D4270,'[1]2050 BAU Mapping to T &amp; C'!$A$3:$A$52,'[1]2050 BAU Mapping to T &amp; C'!$B$3:$B$52)</f>
        <v xml:space="preserve">Oil crops </v>
      </c>
      <c r="H4270" s="129">
        <f>_xlfn.XLOOKUP(G4270,'[1]T&amp;C emissions for 2050 analysis'!$B$3:$B$23,'[1]T&amp;C emissions for 2050 analysis'!$C$3:$C$23)</f>
        <v>0.18333333333333335</v>
      </c>
      <c r="I4270" s="27">
        <f t="shared" si="198"/>
        <v>1.3509027640166669</v>
      </c>
      <c r="J4270" s="129">
        <f t="shared" si="199"/>
        <v>23.904283333333336</v>
      </c>
    </row>
    <row r="4271" spans="1:10" hidden="1" x14ac:dyDescent="0.35">
      <c r="A4271" s="126" t="s">
        <v>416</v>
      </c>
      <c r="B4271" t="str">
        <f>_xlfn.XLOOKUP(A4271,'[1]2050Pop'!$A$7:$A$143,'[1]2050Pop'!$D$7:$D$143)</f>
        <v>APAC</v>
      </c>
      <c r="C4271" s="127">
        <f>1000*_xlfn.XLOOKUP(A4271,'[1]2050Pop'!$A$7:$A$143,'[1]2050Pop'!$C$7:$C$143)</f>
        <v>107411</v>
      </c>
      <c r="D4271" s="126" t="s">
        <v>538</v>
      </c>
      <c r="E4271" s="128">
        <v>3.8279999999999998</v>
      </c>
      <c r="F4271" s="129">
        <f t="shared" si="200"/>
        <v>0.41116930799999996</v>
      </c>
      <c r="G4271" t="str">
        <f>_xlfn.XLOOKUP(D4271,'[1]2050 BAU Mapping to T &amp; C'!$A$3:$A$52,'[1]2050 BAU Mapping to T &amp; C'!$B$3:$B$52)</f>
        <v xml:space="preserve">Oil crops </v>
      </c>
      <c r="H4271" s="129">
        <f>_xlfn.XLOOKUP(G4271,'[1]T&amp;C emissions for 2050 analysis'!$B$3:$B$23,'[1]T&amp;C emissions for 2050 analysis'!$C$3:$C$23)</f>
        <v>0.18333333333333335</v>
      </c>
      <c r="I4271" s="27">
        <f t="shared" si="198"/>
        <v>7.5381039799999994E-2</v>
      </c>
      <c r="J4271" s="129">
        <f t="shared" si="199"/>
        <v>0.70179999999999998</v>
      </c>
    </row>
    <row r="4272" spans="1:10" hidden="1" x14ac:dyDescent="0.35">
      <c r="A4272" s="126" t="s">
        <v>417</v>
      </c>
      <c r="B4272" t="str">
        <f>_xlfn.XLOOKUP(A4272,'[1]2050Pop'!$A$7:$A$143,'[1]2050Pop'!$D$7:$D$143)</f>
        <v>MENA</v>
      </c>
      <c r="C4272" s="127">
        <f>1000*_xlfn.XLOOKUP(A4272,'[1]2050Pop'!$A$7:$A$143,'[1]2050Pop'!$C$7:$C$143)</f>
        <v>11717</v>
      </c>
      <c r="D4272" s="126" t="s">
        <v>538</v>
      </c>
      <c r="E4272" s="128">
        <v>138.27500000000001</v>
      </c>
      <c r="F4272" s="129">
        <f t="shared" si="200"/>
        <v>1.6201681750000001</v>
      </c>
      <c r="G4272" t="str">
        <f>_xlfn.XLOOKUP(D4272,'[1]2050 BAU Mapping to T &amp; C'!$A$3:$A$52,'[1]2050 BAU Mapping to T &amp; C'!$B$3:$B$52)</f>
        <v xml:space="preserve">Oil crops </v>
      </c>
      <c r="H4272" s="129">
        <f>_xlfn.XLOOKUP(G4272,'[1]T&amp;C emissions for 2050 analysis'!$B$3:$B$23,'[1]T&amp;C emissions for 2050 analysis'!$C$3:$C$23)</f>
        <v>0.18333333333333335</v>
      </c>
      <c r="I4272" s="27">
        <f t="shared" si="198"/>
        <v>0.29703083208333336</v>
      </c>
      <c r="J4272" s="129">
        <f t="shared" si="199"/>
        <v>25.350416666666671</v>
      </c>
    </row>
    <row r="4273" spans="1:10" hidden="1" x14ac:dyDescent="0.35">
      <c r="A4273" s="126" t="s">
        <v>418</v>
      </c>
      <c r="B4273" t="str">
        <f>_xlfn.XLOOKUP(A4273,'[1]2050Pop'!$A$7:$A$143,'[1]2050Pop'!$D$7:$D$143)</f>
        <v>APAC</v>
      </c>
      <c r="C4273" s="127">
        <f>1000*_xlfn.XLOOKUP(A4273,'[1]2050Pop'!$A$7:$A$143,'[1]2050Pop'!$C$7:$C$143)</f>
        <v>22447</v>
      </c>
      <c r="D4273" s="126" t="s">
        <v>538</v>
      </c>
      <c r="E4273" s="128">
        <v>463.11099999999999</v>
      </c>
      <c r="F4273" s="129">
        <f t="shared" si="200"/>
        <v>10.395452617</v>
      </c>
      <c r="G4273" t="str">
        <f>_xlfn.XLOOKUP(D4273,'[1]2050 BAU Mapping to T &amp; C'!$A$3:$A$52,'[1]2050 BAU Mapping to T &amp; C'!$B$3:$B$52)</f>
        <v xml:space="preserve">Oil crops </v>
      </c>
      <c r="H4273" s="129">
        <f>_xlfn.XLOOKUP(G4273,'[1]T&amp;C emissions for 2050 analysis'!$B$3:$B$23,'[1]T&amp;C emissions for 2050 analysis'!$C$3:$C$23)</f>
        <v>0.18333333333333335</v>
      </c>
      <c r="I4273" s="27">
        <f t="shared" si="198"/>
        <v>1.9058329797833335</v>
      </c>
      <c r="J4273" s="129">
        <f t="shared" si="199"/>
        <v>84.903683333333333</v>
      </c>
    </row>
    <row r="4274" spans="1:10" hidden="1" x14ac:dyDescent="0.35">
      <c r="A4274" s="126" t="s">
        <v>419</v>
      </c>
      <c r="B4274" t="str">
        <f>_xlfn.XLOOKUP(A4274,'[1]2050Pop'!$A$7:$A$143,'[1]2050Pop'!$D$7:$D$143)</f>
        <v>SSA</v>
      </c>
      <c r="C4274" s="127">
        <f>1000*_xlfn.XLOOKUP(A4274,'[1]2050Pop'!$A$7:$A$143,'[1]2050Pop'!$C$7:$C$143)</f>
        <v>95505</v>
      </c>
      <c r="D4274" s="126" t="s">
        <v>538</v>
      </c>
      <c r="E4274" s="128">
        <v>10.201000000000001</v>
      </c>
      <c r="F4274" s="129">
        <f t="shared" si="200"/>
        <v>0.97424650499999998</v>
      </c>
      <c r="G4274" t="str">
        <f>_xlfn.XLOOKUP(D4274,'[1]2050 BAU Mapping to T &amp; C'!$A$3:$A$52,'[1]2050 BAU Mapping to T &amp; C'!$B$3:$B$52)</f>
        <v xml:space="preserve">Oil crops </v>
      </c>
      <c r="H4274" s="129">
        <f>_xlfn.XLOOKUP(G4274,'[1]T&amp;C emissions for 2050 analysis'!$B$3:$B$23,'[1]T&amp;C emissions for 2050 analysis'!$C$3:$C$23)</f>
        <v>0.18333333333333335</v>
      </c>
      <c r="I4274" s="27">
        <f t="shared" si="198"/>
        <v>0.17861185925</v>
      </c>
      <c r="J4274" s="129">
        <f t="shared" si="199"/>
        <v>1.8701833333333335</v>
      </c>
    </row>
    <row r="4275" spans="1:10" hidden="1" x14ac:dyDescent="0.35">
      <c r="A4275" s="126" t="s">
        <v>420</v>
      </c>
      <c r="B4275" t="str">
        <f>_xlfn.XLOOKUP(A4275,'[1]2050Pop'!$A$7:$A$143,'[1]2050Pop'!$D$7:$D$143)</f>
        <v>APAC</v>
      </c>
      <c r="C4275" s="127">
        <f>1000*_xlfn.XLOOKUP(A4275,'[1]2050Pop'!$A$7:$A$143,'[1]2050Pop'!$C$7:$C$143)</f>
        <v>8248</v>
      </c>
      <c r="D4275" s="126" t="s">
        <v>538</v>
      </c>
      <c r="E4275" s="128">
        <v>196.03200000000001</v>
      </c>
      <c r="F4275" s="129">
        <f t="shared" si="200"/>
        <v>1.6168719359999999</v>
      </c>
      <c r="G4275" t="str">
        <f>_xlfn.XLOOKUP(D4275,'[1]2050 BAU Mapping to T &amp; C'!$A$3:$A$52,'[1]2050 BAU Mapping to T &amp; C'!$B$3:$B$52)</f>
        <v xml:space="preserve">Oil crops </v>
      </c>
      <c r="H4275" s="129">
        <f>_xlfn.XLOOKUP(G4275,'[1]T&amp;C emissions for 2050 analysis'!$B$3:$B$23,'[1]T&amp;C emissions for 2050 analysis'!$C$3:$C$23)</f>
        <v>0.18333333333333335</v>
      </c>
      <c r="I4275" s="27">
        <f t="shared" si="198"/>
        <v>0.29642652159999999</v>
      </c>
      <c r="J4275" s="129">
        <f t="shared" si="199"/>
        <v>35.939200000000007</v>
      </c>
    </row>
    <row r="4276" spans="1:10" hidden="1" x14ac:dyDescent="0.35">
      <c r="A4276" s="126" t="s">
        <v>422</v>
      </c>
      <c r="B4276" t="str">
        <f>_xlfn.XLOOKUP(A4276,'[1]2050Pop'!$A$7:$A$143,'[1]2050Pop'!$D$7:$D$143)</f>
        <v>Euro/AU/NZ</v>
      </c>
      <c r="C4276" s="127">
        <f>1000*_xlfn.XLOOKUP(A4276,'[1]2050Pop'!$A$7:$A$143,'[1]2050Pop'!$C$7:$C$143)</f>
        <v>1593</v>
      </c>
      <c r="D4276" s="126" t="s">
        <v>538</v>
      </c>
      <c r="E4276" s="128">
        <v>57.972000000000001</v>
      </c>
      <c r="F4276" s="129">
        <f t="shared" si="200"/>
        <v>9.2349396000000014E-2</v>
      </c>
      <c r="G4276" t="str">
        <f>_xlfn.XLOOKUP(D4276,'[1]2050 BAU Mapping to T &amp; C'!$A$3:$A$52,'[1]2050 BAU Mapping to T &amp; C'!$B$3:$B$52)</f>
        <v xml:space="preserve">Oil crops </v>
      </c>
      <c r="H4276" s="129">
        <f>_xlfn.XLOOKUP(G4276,'[1]T&amp;C emissions for 2050 analysis'!$B$3:$B$23,'[1]T&amp;C emissions for 2050 analysis'!$C$3:$C$23)</f>
        <v>0.18333333333333335</v>
      </c>
      <c r="I4276" s="27">
        <f t="shared" si="198"/>
        <v>1.6930722600000003E-2</v>
      </c>
      <c r="J4276" s="129">
        <f t="shared" si="199"/>
        <v>10.628200000000001</v>
      </c>
    </row>
    <row r="4277" spans="1:10" hidden="1" x14ac:dyDescent="0.35">
      <c r="A4277" s="126" t="s">
        <v>423</v>
      </c>
      <c r="B4277" t="str">
        <f>_xlfn.XLOOKUP(A4277,'[1]2050Pop'!$A$7:$A$143,'[1]2050Pop'!$D$7:$D$143)</f>
        <v>MENA</v>
      </c>
      <c r="C4277" s="127">
        <f>1000*_xlfn.XLOOKUP(A4277,'[1]2050Pop'!$A$7:$A$143,'[1]2050Pop'!$C$7:$C$143)</f>
        <v>5610</v>
      </c>
      <c r="D4277" s="126" t="s">
        <v>538</v>
      </c>
      <c r="E4277" s="130">
        <v>105.88</v>
      </c>
      <c r="F4277" s="129">
        <f t="shared" si="200"/>
        <v>0.59398679999999993</v>
      </c>
      <c r="G4277" t="str">
        <f>_xlfn.XLOOKUP(D4277,'[1]2050 BAU Mapping to T &amp; C'!$A$3:$A$52,'[1]2050 BAU Mapping to T &amp; C'!$B$3:$B$52)</f>
        <v xml:space="preserve">Oil crops </v>
      </c>
      <c r="H4277" s="129">
        <f>_xlfn.XLOOKUP(G4277,'[1]T&amp;C emissions for 2050 analysis'!$B$3:$B$23,'[1]T&amp;C emissions for 2050 analysis'!$C$3:$C$23)</f>
        <v>0.18333333333333335</v>
      </c>
      <c r="I4277" s="27">
        <f t="shared" si="198"/>
        <v>0.10889757999999999</v>
      </c>
      <c r="J4277" s="129">
        <f t="shared" si="199"/>
        <v>19.411333333333335</v>
      </c>
    </row>
    <row r="4278" spans="1:10" hidden="1" x14ac:dyDescent="0.35">
      <c r="A4278" s="126" t="s">
        <v>426</v>
      </c>
      <c r="B4278" t="str">
        <f>_xlfn.XLOOKUP(A4278,'[1]2050Pop'!$A$7:$A$143,'[1]2050Pop'!$D$7:$D$143)</f>
        <v>Euro/AU/NZ</v>
      </c>
      <c r="C4278" s="127">
        <f>1000*_xlfn.XLOOKUP(A4278,'[1]2050Pop'!$A$7:$A$143,'[1]2050Pop'!$C$7:$C$143)</f>
        <v>2375</v>
      </c>
      <c r="D4278" s="126" t="s">
        <v>538</v>
      </c>
      <c r="E4278" s="128">
        <v>113.17400000000001</v>
      </c>
      <c r="F4278" s="129">
        <f t="shared" si="200"/>
        <v>0.26878825000000001</v>
      </c>
      <c r="G4278" t="str">
        <f>_xlfn.XLOOKUP(D4278,'[1]2050 BAU Mapping to T &amp; C'!$A$3:$A$52,'[1]2050 BAU Mapping to T &amp; C'!$B$3:$B$52)</f>
        <v xml:space="preserve">Oil crops </v>
      </c>
      <c r="H4278" s="129">
        <f>_xlfn.XLOOKUP(G4278,'[1]T&amp;C emissions for 2050 analysis'!$B$3:$B$23,'[1]T&amp;C emissions for 2050 analysis'!$C$3:$C$23)</f>
        <v>0.18333333333333335</v>
      </c>
      <c r="I4278" s="27">
        <f t="shared" si="198"/>
        <v>4.9277845833333341E-2</v>
      </c>
      <c r="J4278" s="129">
        <f t="shared" si="199"/>
        <v>20.748566666666669</v>
      </c>
    </row>
    <row r="4279" spans="1:10" hidden="1" x14ac:dyDescent="0.35">
      <c r="A4279" s="126" t="s">
        <v>427</v>
      </c>
      <c r="B4279" t="str">
        <f>_xlfn.XLOOKUP(A4279,'[1]2050Pop'!$A$7:$A$143,'[1]2050Pop'!$D$7:$D$143)</f>
        <v>SSA</v>
      </c>
      <c r="C4279" s="127">
        <f>1000*_xlfn.XLOOKUP(A4279,'[1]2050Pop'!$A$7:$A$143,'[1]2050Pop'!$C$7:$C$143)</f>
        <v>55294</v>
      </c>
      <c r="D4279" s="126" t="s">
        <v>538</v>
      </c>
      <c r="E4279" s="128">
        <v>2.944</v>
      </c>
      <c r="F4279" s="129">
        <f t="shared" si="200"/>
        <v>0.16278553599999998</v>
      </c>
      <c r="G4279" t="str">
        <f>_xlfn.XLOOKUP(D4279,'[1]2050 BAU Mapping to T &amp; C'!$A$3:$A$52,'[1]2050 BAU Mapping to T &amp; C'!$B$3:$B$52)</f>
        <v xml:space="preserve">Oil crops </v>
      </c>
      <c r="H4279" s="129">
        <f>_xlfn.XLOOKUP(G4279,'[1]T&amp;C emissions for 2050 analysis'!$B$3:$B$23,'[1]T&amp;C emissions for 2050 analysis'!$C$3:$C$23)</f>
        <v>0.18333333333333335</v>
      </c>
      <c r="I4279" s="27">
        <f t="shared" si="198"/>
        <v>2.9844014933333333E-2</v>
      </c>
      <c r="J4279" s="129">
        <f t="shared" si="199"/>
        <v>0.5397333333333334</v>
      </c>
    </row>
    <row r="4280" spans="1:10" hidden="1" x14ac:dyDescent="0.35">
      <c r="A4280" s="126" t="s">
        <v>428</v>
      </c>
      <c r="B4280" t="str">
        <f>_xlfn.XLOOKUP(A4280,'[1]2050Pop'!$A$7:$A$143,'[1]2050Pop'!$D$7:$D$143)</f>
        <v>SSA</v>
      </c>
      <c r="C4280" s="127">
        <f>1000*_xlfn.XLOOKUP(A4280,'[1]2050Pop'!$A$7:$A$143,'[1]2050Pop'!$C$7:$C$143)</f>
        <v>43155</v>
      </c>
      <c r="D4280" s="126" t="s">
        <v>538</v>
      </c>
      <c r="E4280" s="128">
        <v>9.8260000000000005</v>
      </c>
      <c r="F4280" s="129">
        <f t="shared" si="200"/>
        <v>0.42404103000000004</v>
      </c>
      <c r="G4280" t="str">
        <f>_xlfn.XLOOKUP(D4280,'[1]2050 BAU Mapping to T &amp; C'!$A$3:$A$52,'[1]2050 BAU Mapping to T &amp; C'!$B$3:$B$52)</f>
        <v xml:space="preserve">Oil crops </v>
      </c>
      <c r="H4280" s="129">
        <f>_xlfn.XLOOKUP(G4280,'[1]T&amp;C emissions for 2050 analysis'!$B$3:$B$23,'[1]T&amp;C emissions for 2050 analysis'!$C$3:$C$23)</f>
        <v>0.18333333333333335</v>
      </c>
      <c r="I4280" s="27">
        <f t="shared" si="198"/>
        <v>7.7740855500000011E-2</v>
      </c>
      <c r="J4280" s="129">
        <f t="shared" si="199"/>
        <v>1.8014333333333337</v>
      </c>
    </row>
    <row r="4281" spans="1:10" hidden="1" x14ac:dyDescent="0.35">
      <c r="A4281" s="126" t="s">
        <v>429</v>
      </c>
      <c r="B4281" t="str">
        <f>_xlfn.XLOOKUP(A4281,'[1]2050Pop'!$A$7:$A$143,'[1]2050Pop'!$D$7:$D$143)</f>
        <v>APAC</v>
      </c>
      <c r="C4281" s="127">
        <f>1000*_xlfn.XLOOKUP(A4281,'[1]2050Pop'!$A$7:$A$143,'[1]2050Pop'!$C$7:$C$143)</f>
        <v>40725</v>
      </c>
      <c r="D4281" s="126" t="s">
        <v>538</v>
      </c>
      <c r="E4281" s="128">
        <v>1.831</v>
      </c>
      <c r="F4281" s="129">
        <f t="shared" si="200"/>
        <v>7.4567474999999994E-2</v>
      </c>
      <c r="G4281" t="str">
        <f>_xlfn.XLOOKUP(D4281,'[1]2050 BAU Mapping to T &amp; C'!$A$3:$A$52,'[1]2050 BAU Mapping to T &amp; C'!$B$3:$B$52)</f>
        <v xml:space="preserve">Oil crops </v>
      </c>
      <c r="H4281" s="129">
        <f>_xlfn.XLOOKUP(G4281,'[1]T&amp;C emissions for 2050 analysis'!$B$3:$B$23,'[1]T&amp;C emissions for 2050 analysis'!$C$3:$C$23)</f>
        <v>0.18333333333333335</v>
      </c>
      <c r="I4281" s="27">
        <f t="shared" si="198"/>
        <v>1.3670703750000001E-2</v>
      </c>
      <c r="J4281" s="129">
        <f t="shared" si="199"/>
        <v>0.33568333333333333</v>
      </c>
    </row>
    <row r="4282" spans="1:10" hidden="1" x14ac:dyDescent="0.35">
      <c r="A4282" s="126" t="s">
        <v>431</v>
      </c>
      <c r="B4282" t="str">
        <f>_xlfn.XLOOKUP(A4282,'[1]2050Pop'!$A$7:$A$143,'[1]2050Pop'!$D$7:$D$143)</f>
        <v>SSA</v>
      </c>
      <c r="C4282" s="127">
        <f>1000*_xlfn.XLOOKUP(A4282,'[1]2050Pop'!$A$7:$A$143,'[1]2050Pop'!$C$7:$C$143)</f>
        <v>8048.9999999999991</v>
      </c>
      <c r="D4282" s="126" t="s">
        <v>538</v>
      </c>
      <c r="E4282" s="128">
        <v>11.026999999999999</v>
      </c>
      <c r="F4282" s="129">
        <f t="shared" si="200"/>
        <v>8.8756322999999984E-2</v>
      </c>
      <c r="G4282" t="str">
        <f>_xlfn.XLOOKUP(D4282,'[1]2050 BAU Mapping to T &amp; C'!$A$3:$A$52,'[1]2050 BAU Mapping to T &amp; C'!$B$3:$B$52)</f>
        <v xml:space="preserve">Oil crops </v>
      </c>
      <c r="H4282" s="129">
        <f>_xlfn.XLOOKUP(G4282,'[1]T&amp;C emissions for 2050 analysis'!$B$3:$B$23,'[1]T&amp;C emissions for 2050 analysis'!$C$3:$C$23)</f>
        <v>0.18333333333333335</v>
      </c>
      <c r="I4282" s="27">
        <f t="shared" si="198"/>
        <v>1.6271992549999999E-2</v>
      </c>
      <c r="J4282" s="129">
        <f t="shared" si="199"/>
        <v>2.0216166666666666</v>
      </c>
    </row>
    <row r="4283" spans="1:10" hidden="1" x14ac:dyDescent="0.35">
      <c r="A4283" s="126" t="s">
        <v>432</v>
      </c>
      <c r="B4283" t="str">
        <f>_xlfn.XLOOKUP(A4283,'[1]2050Pop'!$A$7:$A$143,'[1]2050Pop'!$D$7:$D$143)</f>
        <v>SSA</v>
      </c>
      <c r="C4283" s="127">
        <f>1000*_xlfn.XLOOKUP(A4283,'[1]2050Pop'!$A$7:$A$143,'[1]2050Pop'!$C$7:$C$143)</f>
        <v>1249</v>
      </c>
      <c r="D4283" s="126" t="s">
        <v>538</v>
      </c>
      <c r="E4283" s="128">
        <v>113.226</v>
      </c>
      <c r="F4283" s="129">
        <f t="shared" si="200"/>
        <v>0.14141927400000001</v>
      </c>
      <c r="G4283" t="str">
        <f>_xlfn.XLOOKUP(D4283,'[1]2050 BAU Mapping to T &amp; C'!$A$3:$A$52,'[1]2050 BAU Mapping to T &amp; C'!$B$3:$B$52)</f>
        <v xml:space="preserve">Oil crops </v>
      </c>
      <c r="H4283" s="129">
        <f>_xlfn.XLOOKUP(G4283,'[1]T&amp;C emissions for 2050 analysis'!$B$3:$B$23,'[1]T&amp;C emissions for 2050 analysis'!$C$3:$C$23)</f>
        <v>0.18333333333333335</v>
      </c>
      <c r="I4283" s="27">
        <f t="shared" si="198"/>
        <v>2.5926866900000005E-2</v>
      </c>
      <c r="J4283" s="129">
        <f t="shared" si="199"/>
        <v>20.758100000000002</v>
      </c>
    </row>
    <row r="4284" spans="1:10" hidden="1" x14ac:dyDescent="0.35">
      <c r="A4284" s="126" t="s">
        <v>433</v>
      </c>
      <c r="B4284" t="str">
        <f>_xlfn.XLOOKUP(A4284,'[1]2050Pop'!$A$7:$A$143,'[1]2050Pop'!$D$7:$D$143)</f>
        <v>LatAm &amp; RSA</v>
      </c>
      <c r="C4284" s="127">
        <f>1000*_xlfn.XLOOKUP(A4284,'[1]2050Pop'!$A$7:$A$143,'[1]2050Pop'!$C$7:$C$143)</f>
        <v>163754</v>
      </c>
      <c r="D4284" s="126" t="s">
        <v>538</v>
      </c>
      <c r="E4284" s="128">
        <v>2.0350000000000001</v>
      </c>
      <c r="F4284" s="129">
        <f t="shared" si="200"/>
        <v>0.33323939000000002</v>
      </c>
      <c r="G4284" t="str">
        <f>_xlfn.XLOOKUP(D4284,'[1]2050 BAU Mapping to T &amp; C'!$A$3:$A$52,'[1]2050 BAU Mapping to T &amp; C'!$B$3:$B$52)</f>
        <v xml:space="preserve">Oil crops </v>
      </c>
      <c r="H4284" s="129">
        <f>_xlfn.XLOOKUP(G4284,'[1]T&amp;C emissions for 2050 analysis'!$B$3:$B$23,'[1]T&amp;C emissions for 2050 analysis'!$C$3:$C$23)</f>
        <v>0.18333333333333335</v>
      </c>
      <c r="I4284" s="27">
        <f t="shared" si="198"/>
        <v>6.1093888166666679E-2</v>
      </c>
      <c r="J4284" s="129">
        <f t="shared" si="199"/>
        <v>0.37308333333333338</v>
      </c>
    </row>
    <row r="4285" spans="1:10" hidden="1" x14ac:dyDescent="0.35">
      <c r="A4285" s="126" t="s">
        <v>434</v>
      </c>
      <c r="B4285" t="str">
        <f>_xlfn.XLOOKUP(A4285,'[1]2050Pop'!$A$7:$A$143,'[1]2050Pop'!$D$7:$D$143)</f>
        <v>APAC</v>
      </c>
      <c r="C4285" s="127">
        <f>1000*_xlfn.XLOOKUP(A4285,'[1]2050Pop'!$A$7:$A$143,'[1]2050Pop'!$C$7:$C$143)</f>
        <v>4027.9999999999995</v>
      </c>
      <c r="D4285" s="126" t="s">
        <v>538</v>
      </c>
      <c r="E4285" s="128">
        <v>60.947000000000003</v>
      </c>
      <c r="F4285" s="129">
        <f t="shared" si="200"/>
        <v>0.24549451599999997</v>
      </c>
      <c r="G4285" t="str">
        <f>_xlfn.XLOOKUP(D4285,'[1]2050 BAU Mapping to T &amp; C'!$A$3:$A$52,'[1]2050 BAU Mapping to T &amp; C'!$B$3:$B$52)</f>
        <v xml:space="preserve">Oil crops </v>
      </c>
      <c r="H4285" s="129">
        <f>_xlfn.XLOOKUP(G4285,'[1]T&amp;C emissions for 2050 analysis'!$B$3:$B$23,'[1]T&amp;C emissions for 2050 analysis'!$C$3:$C$23)</f>
        <v>0.18333333333333335</v>
      </c>
      <c r="I4285" s="27">
        <f t="shared" si="198"/>
        <v>4.5007327933333334E-2</v>
      </c>
      <c r="J4285" s="129">
        <f t="shared" si="199"/>
        <v>11.173616666666668</v>
      </c>
    </row>
    <row r="4286" spans="1:10" hidden="1" x14ac:dyDescent="0.35">
      <c r="A4286" s="126" t="s">
        <v>435</v>
      </c>
      <c r="B4286" t="str">
        <f>_xlfn.XLOOKUP(A4286,'[1]2050Pop'!$A$7:$A$143,'[1]2050Pop'!$D$7:$D$143)</f>
        <v>MENA</v>
      </c>
      <c r="C4286" s="127">
        <f>1000*_xlfn.XLOOKUP(A4286,'[1]2050Pop'!$A$7:$A$143,'[1]2050Pop'!$C$7:$C$143)</f>
        <v>43696</v>
      </c>
      <c r="D4286" s="126" t="s">
        <v>538</v>
      </c>
      <c r="E4286" s="128">
        <v>44.725000000000001</v>
      </c>
      <c r="F4286" s="129">
        <f t="shared" si="200"/>
        <v>1.9543036</v>
      </c>
      <c r="G4286" t="str">
        <f>_xlfn.XLOOKUP(D4286,'[1]2050 BAU Mapping to T &amp; C'!$A$3:$A$52,'[1]2050 BAU Mapping to T &amp; C'!$B$3:$B$52)</f>
        <v xml:space="preserve">Oil crops </v>
      </c>
      <c r="H4286" s="129">
        <f>_xlfn.XLOOKUP(G4286,'[1]T&amp;C emissions for 2050 analysis'!$B$3:$B$23,'[1]T&amp;C emissions for 2050 analysis'!$C$3:$C$23)</f>
        <v>0.18333333333333335</v>
      </c>
      <c r="I4286" s="27">
        <f t="shared" si="198"/>
        <v>0.35828899333333336</v>
      </c>
      <c r="J4286" s="129">
        <f t="shared" si="199"/>
        <v>8.1995833333333348</v>
      </c>
    </row>
    <row r="4287" spans="1:10" hidden="1" x14ac:dyDescent="0.35">
      <c r="A4287" s="126" t="s">
        <v>436</v>
      </c>
      <c r="B4287" t="str">
        <f>_xlfn.XLOOKUP(A4287,'[1]2050Pop'!$A$7:$A$143,'[1]2050Pop'!$D$7:$D$143)</f>
        <v>SSA</v>
      </c>
      <c r="C4287" s="127">
        <f>1000*_xlfn.XLOOKUP(A4287,'[1]2050Pop'!$A$7:$A$143,'[1]2050Pop'!$C$7:$C$143)</f>
        <v>65544</v>
      </c>
      <c r="D4287" s="126" t="s">
        <v>538</v>
      </c>
      <c r="E4287" s="128">
        <v>26.047000000000001</v>
      </c>
      <c r="F4287" s="129">
        <f t="shared" si="200"/>
        <v>1.707224568</v>
      </c>
      <c r="G4287" t="str">
        <f>_xlfn.XLOOKUP(D4287,'[1]2050 BAU Mapping to T &amp; C'!$A$3:$A$52,'[1]2050 BAU Mapping to T &amp; C'!$B$3:$B$52)</f>
        <v xml:space="preserve">Oil crops </v>
      </c>
      <c r="H4287" s="129">
        <f>_xlfn.XLOOKUP(G4287,'[1]T&amp;C emissions for 2050 analysis'!$B$3:$B$23,'[1]T&amp;C emissions for 2050 analysis'!$C$3:$C$23)</f>
        <v>0.18333333333333335</v>
      </c>
      <c r="I4287" s="27">
        <f t="shared" si="198"/>
        <v>0.31299117080000005</v>
      </c>
      <c r="J4287" s="129">
        <f t="shared" si="199"/>
        <v>4.7752833333333342</v>
      </c>
    </row>
    <row r="4288" spans="1:10" hidden="1" x14ac:dyDescent="0.35">
      <c r="A4288" s="126" t="s">
        <v>490</v>
      </c>
      <c r="B4288" t="str">
        <f>_xlfn.XLOOKUP(A4288,'[1]2050Pop'!$A$7:$A$143,'[1]2050Pop'!$D$7:$D$143)</f>
        <v>APAC</v>
      </c>
      <c r="C4288" s="127">
        <f>1000*_xlfn.XLOOKUP(A4288,'[1]2050Pop'!$A$7:$A$143,'[1]2050Pop'!$C$7:$C$143)</f>
        <v>63575</v>
      </c>
      <c r="D4288" s="126" t="s">
        <v>538</v>
      </c>
      <c r="E4288" s="128">
        <v>33.744</v>
      </c>
      <c r="F4288" s="129">
        <f t="shared" si="200"/>
        <v>2.1452747999999997</v>
      </c>
      <c r="G4288" t="str">
        <f>_xlfn.XLOOKUP(D4288,'[1]2050 BAU Mapping to T &amp; C'!$A$3:$A$52,'[1]2050 BAU Mapping to T &amp; C'!$B$3:$B$52)</f>
        <v xml:space="preserve">Oil crops </v>
      </c>
      <c r="H4288" s="129">
        <f>_xlfn.XLOOKUP(G4288,'[1]T&amp;C emissions for 2050 analysis'!$B$3:$B$23,'[1]T&amp;C emissions for 2050 analysis'!$C$3:$C$23)</f>
        <v>0.18333333333333335</v>
      </c>
      <c r="I4288" s="27">
        <f t="shared" si="198"/>
        <v>0.39330038</v>
      </c>
      <c r="J4288" s="129">
        <f t="shared" si="199"/>
        <v>6.1864000000000008</v>
      </c>
    </row>
    <row r="4289" spans="1:10" hidden="1" x14ac:dyDescent="0.35">
      <c r="A4289" s="126" t="s">
        <v>437</v>
      </c>
      <c r="B4289" t="str">
        <f>_xlfn.XLOOKUP(A4289,'[1]2050Pop'!$A$7:$A$143,'[1]2050Pop'!$D$7:$D$143)</f>
        <v>SSA</v>
      </c>
      <c r="C4289" s="127">
        <f>1000*_xlfn.XLOOKUP(A4289,'[1]2050Pop'!$A$7:$A$143,'[1]2050Pop'!$C$7:$C$143)</f>
        <v>4322</v>
      </c>
      <c r="D4289" s="126" t="s">
        <v>538</v>
      </c>
      <c r="E4289" s="128">
        <v>107.998</v>
      </c>
      <c r="F4289" s="129">
        <f t="shared" si="200"/>
        <v>0.46676735600000002</v>
      </c>
      <c r="G4289" t="str">
        <f>_xlfn.XLOOKUP(D4289,'[1]2050 BAU Mapping to T &amp; C'!$A$3:$A$52,'[1]2050 BAU Mapping to T &amp; C'!$B$3:$B$52)</f>
        <v xml:space="preserve">Oil crops </v>
      </c>
      <c r="H4289" s="129">
        <f>_xlfn.XLOOKUP(G4289,'[1]T&amp;C emissions for 2050 analysis'!$B$3:$B$23,'[1]T&amp;C emissions for 2050 analysis'!$C$3:$C$23)</f>
        <v>0.18333333333333335</v>
      </c>
      <c r="I4289" s="27">
        <f t="shared" si="198"/>
        <v>8.5574015266666678E-2</v>
      </c>
      <c r="J4289" s="129">
        <f t="shared" si="199"/>
        <v>19.799633333333336</v>
      </c>
    </row>
    <row r="4290" spans="1:10" hidden="1" x14ac:dyDescent="0.35">
      <c r="A4290" s="126" t="s">
        <v>438</v>
      </c>
      <c r="B4290" t="str">
        <f>_xlfn.XLOOKUP(A4290,'[1]2050Pop'!$A$7:$A$143,'[1]2050Pop'!$D$7:$D$143)</f>
        <v>India/South Asia</v>
      </c>
      <c r="C4290" s="127">
        <f>1000*_xlfn.XLOOKUP(A4290,'[1]2050Pop'!$A$7:$A$143,'[1]2050Pop'!$C$7:$C$143)</f>
        <v>36159</v>
      </c>
      <c r="D4290" s="126" t="s">
        <v>538</v>
      </c>
      <c r="E4290" s="128">
        <v>8.8759999999999994</v>
      </c>
      <c r="F4290" s="129">
        <f t="shared" si="200"/>
        <v>0.320947284</v>
      </c>
      <c r="G4290" t="str">
        <f>_xlfn.XLOOKUP(D4290,'[1]2050 BAU Mapping to T &amp; C'!$A$3:$A$52,'[1]2050 BAU Mapping to T &amp; C'!$B$3:$B$52)</f>
        <v xml:space="preserve">Oil crops </v>
      </c>
      <c r="H4290" s="129">
        <f>_xlfn.XLOOKUP(G4290,'[1]T&amp;C emissions for 2050 analysis'!$B$3:$B$23,'[1]T&amp;C emissions for 2050 analysis'!$C$3:$C$23)</f>
        <v>0.18333333333333335</v>
      </c>
      <c r="I4290" s="27">
        <f t="shared" si="198"/>
        <v>5.8840335400000006E-2</v>
      </c>
      <c r="J4290" s="129">
        <f t="shared" si="199"/>
        <v>1.6272666666666666</v>
      </c>
    </row>
    <row r="4291" spans="1:10" hidden="1" x14ac:dyDescent="0.35">
      <c r="A4291" s="126" t="s">
        <v>439</v>
      </c>
      <c r="B4291" t="str">
        <f>_xlfn.XLOOKUP(A4291,'[1]2050Pop'!$A$7:$A$143,'[1]2050Pop'!$D$7:$D$143)</f>
        <v>Euro/AU/NZ</v>
      </c>
      <c r="C4291" s="127">
        <f>1000*_xlfn.XLOOKUP(A4291,'[1]2050Pop'!$A$7:$A$143,'[1]2050Pop'!$C$7:$C$143)</f>
        <v>17602</v>
      </c>
      <c r="D4291" s="126" t="s">
        <v>538</v>
      </c>
      <c r="E4291" s="130">
        <v>10.83</v>
      </c>
      <c r="F4291" s="129">
        <f t="shared" si="200"/>
        <v>0.19062966000000001</v>
      </c>
      <c r="G4291" t="str">
        <f>_xlfn.XLOOKUP(D4291,'[1]2050 BAU Mapping to T &amp; C'!$A$3:$A$52,'[1]2050 BAU Mapping to T &amp; C'!$B$3:$B$52)</f>
        <v xml:space="preserve">Oil crops </v>
      </c>
      <c r="H4291" s="129">
        <f>_xlfn.XLOOKUP(G4291,'[1]T&amp;C emissions for 2050 analysis'!$B$3:$B$23,'[1]T&amp;C emissions for 2050 analysis'!$C$3:$C$23)</f>
        <v>0.18333333333333335</v>
      </c>
      <c r="I4291" s="27">
        <f t="shared" si="198"/>
        <v>3.4948771000000003E-2</v>
      </c>
      <c r="J4291" s="129">
        <f t="shared" si="199"/>
        <v>1.9855000000000003</v>
      </c>
    </row>
    <row r="4292" spans="1:10" hidden="1" x14ac:dyDescent="0.35">
      <c r="A4292" s="126" t="s">
        <v>440</v>
      </c>
      <c r="B4292" t="str">
        <f>_xlfn.XLOOKUP(A4292,'[1]2050Pop'!$A$7:$A$143,'[1]2050Pop'!$D$7:$D$143)</f>
        <v>Euro/AU/NZ</v>
      </c>
      <c r="C4292" s="127">
        <f>1000*_xlfn.XLOOKUP(A4292,'[1]2050Pop'!$A$7:$A$143,'[1]2050Pop'!$C$7:$C$143)</f>
        <v>5607</v>
      </c>
      <c r="D4292" s="126" t="s">
        <v>538</v>
      </c>
      <c r="E4292" s="128">
        <v>27.268000000000001</v>
      </c>
      <c r="F4292" s="129">
        <f t="shared" si="200"/>
        <v>0.152891676</v>
      </c>
      <c r="G4292" t="str">
        <f>_xlfn.XLOOKUP(D4292,'[1]2050 BAU Mapping to T &amp; C'!$A$3:$A$52,'[1]2050 BAU Mapping to T &amp; C'!$B$3:$B$52)</f>
        <v xml:space="preserve">Oil crops </v>
      </c>
      <c r="H4292" s="129">
        <f>_xlfn.XLOOKUP(G4292,'[1]T&amp;C emissions for 2050 analysis'!$B$3:$B$23,'[1]T&amp;C emissions for 2050 analysis'!$C$3:$C$23)</f>
        <v>0.18333333333333335</v>
      </c>
      <c r="I4292" s="27">
        <f t="shared" ref="I4292:I4355" si="201">F4292*H4292</f>
        <v>2.8030140600000003E-2</v>
      </c>
      <c r="J4292" s="129">
        <f t="shared" ref="J4292:J4355" si="202">E4292*H4292</f>
        <v>4.9991333333333339</v>
      </c>
    </row>
    <row r="4293" spans="1:10" hidden="1" x14ac:dyDescent="0.35">
      <c r="A4293" s="126" t="s">
        <v>441</v>
      </c>
      <c r="B4293" t="str">
        <f>_xlfn.XLOOKUP(A4293,'[1]2050Pop'!$A$7:$A$143,'[1]2050Pop'!$D$7:$D$143)</f>
        <v>LatAm &amp; RSA</v>
      </c>
      <c r="C4293" s="127">
        <f>1000*_xlfn.XLOOKUP(A4293,'[1]2050Pop'!$A$7:$A$143,'[1]2050Pop'!$C$7:$C$143)</f>
        <v>7863</v>
      </c>
      <c r="D4293" s="126" t="s">
        <v>538</v>
      </c>
      <c r="E4293" s="128">
        <v>6.9539999999999997</v>
      </c>
      <c r="F4293" s="129">
        <f t="shared" ref="F4293:F4356" si="203">C4293*E4293/1000000</f>
        <v>5.4679301999999999E-2</v>
      </c>
      <c r="G4293" t="str">
        <f>_xlfn.XLOOKUP(D4293,'[1]2050 BAU Mapping to T &amp; C'!$A$3:$A$52,'[1]2050 BAU Mapping to T &amp; C'!$B$3:$B$52)</f>
        <v xml:space="preserve">Oil crops </v>
      </c>
      <c r="H4293" s="129">
        <f>_xlfn.XLOOKUP(G4293,'[1]T&amp;C emissions for 2050 analysis'!$B$3:$B$23,'[1]T&amp;C emissions for 2050 analysis'!$C$3:$C$23)</f>
        <v>0.18333333333333335</v>
      </c>
      <c r="I4293" s="27">
        <f t="shared" si="201"/>
        <v>1.00245387E-2</v>
      </c>
      <c r="J4293" s="129">
        <f t="shared" si="202"/>
        <v>1.2749000000000001</v>
      </c>
    </row>
    <row r="4294" spans="1:10" hidden="1" x14ac:dyDescent="0.35">
      <c r="A4294" s="126" t="s">
        <v>442</v>
      </c>
      <c r="B4294" t="str">
        <f>_xlfn.XLOOKUP(A4294,'[1]2050Pop'!$A$7:$A$143,'[1]2050Pop'!$D$7:$D$143)</f>
        <v>Euro/AU/NZ</v>
      </c>
      <c r="C4294" s="127">
        <f>1000*_xlfn.XLOOKUP(A4294,'[1]2050Pop'!$A$7:$A$143,'[1]2050Pop'!$C$7:$C$143)</f>
        <v>6658</v>
      </c>
      <c r="D4294" s="126" t="s">
        <v>538</v>
      </c>
      <c r="E4294" s="128">
        <v>63.895000000000003</v>
      </c>
      <c r="F4294" s="129">
        <f t="shared" si="203"/>
        <v>0.42541291000000003</v>
      </c>
      <c r="G4294" t="str">
        <f>_xlfn.XLOOKUP(D4294,'[1]2050 BAU Mapping to T &amp; C'!$A$3:$A$52,'[1]2050 BAU Mapping to T &amp; C'!$B$3:$B$52)</f>
        <v xml:space="preserve">Oil crops </v>
      </c>
      <c r="H4294" s="129">
        <f>_xlfn.XLOOKUP(G4294,'[1]T&amp;C emissions for 2050 analysis'!$B$3:$B$23,'[1]T&amp;C emissions for 2050 analysis'!$C$3:$C$23)</f>
        <v>0.18333333333333335</v>
      </c>
      <c r="I4294" s="27">
        <f t="shared" si="201"/>
        <v>7.799236683333334E-2</v>
      </c>
      <c r="J4294" s="129">
        <f t="shared" si="202"/>
        <v>11.714083333333335</v>
      </c>
    </row>
    <row r="4295" spans="1:10" hidden="1" x14ac:dyDescent="0.35">
      <c r="A4295" s="126" t="s">
        <v>443</v>
      </c>
      <c r="B4295" t="str">
        <f>_xlfn.XLOOKUP(A4295,'[1]2050Pop'!$A$7:$A$143,'[1]2050Pop'!$D$7:$D$143)</f>
        <v>India/South Asia</v>
      </c>
      <c r="C4295" s="127">
        <f>1000*_xlfn.XLOOKUP(A4295,'[1]2050Pop'!$A$7:$A$143,'[1]2050Pop'!$C$7:$C$143)</f>
        <v>309640</v>
      </c>
      <c r="D4295" s="126" t="s">
        <v>538</v>
      </c>
      <c r="E4295" s="128">
        <v>27.829000000000001</v>
      </c>
      <c r="F4295" s="129">
        <f t="shared" si="203"/>
        <v>8.6169715599999996</v>
      </c>
      <c r="G4295" t="str">
        <f>_xlfn.XLOOKUP(D4295,'[1]2050 BAU Mapping to T &amp; C'!$A$3:$A$52,'[1]2050 BAU Mapping to T &amp; C'!$B$3:$B$52)</f>
        <v xml:space="preserve">Oil crops </v>
      </c>
      <c r="H4295" s="129">
        <f>_xlfn.XLOOKUP(G4295,'[1]T&amp;C emissions for 2050 analysis'!$B$3:$B$23,'[1]T&amp;C emissions for 2050 analysis'!$C$3:$C$23)</f>
        <v>0.18333333333333335</v>
      </c>
      <c r="I4295" s="27">
        <f t="shared" si="201"/>
        <v>1.5797781193333333</v>
      </c>
      <c r="J4295" s="129">
        <f t="shared" si="202"/>
        <v>5.101983333333334</v>
      </c>
    </row>
    <row r="4296" spans="1:10" hidden="1" x14ac:dyDescent="0.35">
      <c r="A4296" s="126" t="s">
        <v>444</v>
      </c>
      <c r="B4296" t="str">
        <f>_xlfn.XLOOKUP(A4296,'[1]2050Pop'!$A$7:$A$143,'[1]2050Pop'!$D$7:$D$143)</f>
        <v>LatAm &amp; RSA</v>
      </c>
      <c r="C4296" s="127">
        <f>1000*_xlfn.XLOOKUP(A4296,'[1]2050Pop'!$A$7:$A$143,'[1]2050Pop'!$C$7:$C$143)</f>
        <v>5599</v>
      </c>
      <c r="D4296" s="126" t="s">
        <v>538</v>
      </c>
      <c r="E4296" s="128">
        <v>20.748999999999999</v>
      </c>
      <c r="F4296" s="129">
        <f t="shared" si="203"/>
        <v>0.116173651</v>
      </c>
      <c r="G4296" t="str">
        <f>_xlfn.XLOOKUP(D4296,'[1]2050 BAU Mapping to T &amp; C'!$A$3:$A$52,'[1]2050 BAU Mapping to T &amp; C'!$B$3:$B$52)</f>
        <v xml:space="preserve">Oil crops </v>
      </c>
      <c r="H4296" s="129">
        <f>_xlfn.XLOOKUP(G4296,'[1]T&amp;C emissions for 2050 analysis'!$B$3:$B$23,'[1]T&amp;C emissions for 2050 analysis'!$C$3:$C$23)</f>
        <v>0.18333333333333335</v>
      </c>
      <c r="I4296" s="27">
        <f t="shared" si="201"/>
        <v>2.1298502683333335E-2</v>
      </c>
      <c r="J4296" s="129">
        <f t="shared" si="202"/>
        <v>3.8039833333333335</v>
      </c>
    </row>
    <row r="4297" spans="1:10" hidden="1" x14ac:dyDescent="0.35">
      <c r="A4297" s="126" t="s">
        <v>445</v>
      </c>
      <c r="B4297" t="str">
        <f>_xlfn.XLOOKUP(A4297,'[1]2050Pop'!$A$7:$A$143,'[1]2050Pop'!$D$7:$D$143)</f>
        <v>LatAm &amp; RSA</v>
      </c>
      <c r="C4297" s="127">
        <f>1000*_xlfn.XLOOKUP(A4297,'[1]2050Pop'!$A$7:$A$143,'[1]2050Pop'!$C$7:$C$143)</f>
        <v>8895</v>
      </c>
      <c r="D4297" s="126" t="s">
        <v>538</v>
      </c>
      <c r="E4297" s="130">
        <v>60.67</v>
      </c>
      <c r="F4297" s="129">
        <f t="shared" si="203"/>
        <v>0.53965965000000005</v>
      </c>
      <c r="G4297" t="str">
        <f>_xlfn.XLOOKUP(D4297,'[1]2050 BAU Mapping to T &amp; C'!$A$3:$A$52,'[1]2050 BAU Mapping to T &amp; C'!$B$3:$B$52)</f>
        <v xml:space="preserve">Oil crops </v>
      </c>
      <c r="H4297" s="129">
        <f>_xlfn.XLOOKUP(G4297,'[1]T&amp;C emissions for 2050 analysis'!$B$3:$B$23,'[1]T&amp;C emissions for 2050 analysis'!$C$3:$C$23)</f>
        <v>0.18333333333333335</v>
      </c>
      <c r="I4297" s="27">
        <f t="shared" si="201"/>
        <v>9.8937602500000013E-2</v>
      </c>
      <c r="J4297" s="129">
        <f t="shared" si="202"/>
        <v>11.122833333333334</v>
      </c>
    </row>
    <row r="4298" spans="1:10" hidden="1" x14ac:dyDescent="0.35">
      <c r="A4298" s="126" t="s">
        <v>446</v>
      </c>
      <c r="B4298" t="str">
        <f>_xlfn.XLOOKUP(A4298,'[1]2050Pop'!$A$7:$A$143,'[1]2050Pop'!$D$7:$D$143)</f>
        <v>LatAm &amp; RSA</v>
      </c>
      <c r="C4298" s="127">
        <f>1000*_xlfn.XLOOKUP(A4298,'[1]2050Pop'!$A$7:$A$143,'[1]2050Pop'!$C$7:$C$143)</f>
        <v>41899</v>
      </c>
      <c r="D4298" s="126" t="s">
        <v>538</v>
      </c>
      <c r="E4298" s="128">
        <v>15.956</v>
      </c>
      <c r="F4298" s="129">
        <f t="shared" si="203"/>
        <v>0.66854044400000001</v>
      </c>
      <c r="G4298" t="str">
        <f>_xlfn.XLOOKUP(D4298,'[1]2050 BAU Mapping to T &amp; C'!$A$3:$A$52,'[1]2050 BAU Mapping to T &amp; C'!$B$3:$B$52)</f>
        <v xml:space="preserve">Oil crops </v>
      </c>
      <c r="H4298" s="129">
        <f>_xlfn.XLOOKUP(G4298,'[1]T&amp;C emissions for 2050 analysis'!$B$3:$B$23,'[1]T&amp;C emissions for 2050 analysis'!$C$3:$C$23)</f>
        <v>0.18333333333333335</v>
      </c>
      <c r="I4298" s="27">
        <f t="shared" si="201"/>
        <v>0.12256574806666667</v>
      </c>
      <c r="J4298" s="129">
        <f t="shared" si="202"/>
        <v>2.9252666666666669</v>
      </c>
    </row>
    <row r="4299" spans="1:10" hidden="1" x14ac:dyDescent="0.35">
      <c r="A4299" s="126" t="s">
        <v>448</v>
      </c>
      <c r="B4299" t="str">
        <f>_xlfn.XLOOKUP(A4299,'[1]2050Pop'!$A$7:$A$143,'[1]2050Pop'!$D$7:$D$143)</f>
        <v>Euro/AU/NZ</v>
      </c>
      <c r="C4299" s="127">
        <f>1000*_xlfn.XLOOKUP(A4299,'[1]2050Pop'!$A$7:$A$143,'[1]2050Pop'!$C$7:$C$143)</f>
        <v>33136</v>
      </c>
      <c r="D4299" s="126" t="s">
        <v>538</v>
      </c>
      <c r="E4299" s="128">
        <v>54.707000000000001</v>
      </c>
      <c r="F4299" s="129">
        <f t="shared" si="203"/>
        <v>1.8127711520000001</v>
      </c>
      <c r="G4299" t="str">
        <f>_xlfn.XLOOKUP(D4299,'[1]2050 BAU Mapping to T &amp; C'!$A$3:$A$52,'[1]2050 BAU Mapping to T &amp; C'!$B$3:$B$52)</f>
        <v xml:space="preserve">Oil crops </v>
      </c>
      <c r="H4299" s="129">
        <f>_xlfn.XLOOKUP(G4299,'[1]T&amp;C emissions for 2050 analysis'!$B$3:$B$23,'[1]T&amp;C emissions for 2050 analysis'!$C$3:$C$23)</f>
        <v>0.18333333333333335</v>
      </c>
      <c r="I4299" s="27">
        <f t="shared" si="201"/>
        <v>0.33234137786666668</v>
      </c>
      <c r="J4299" s="129">
        <f t="shared" si="202"/>
        <v>10.029616666666668</v>
      </c>
    </row>
    <row r="4300" spans="1:10" hidden="1" x14ac:dyDescent="0.35">
      <c r="A4300" s="126" t="s">
        <v>449</v>
      </c>
      <c r="B4300" t="str">
        <f>_xlfn.XLOOKUP(A4300,'[1]2050Pop'!$A$7:$A$143,'[1]2050Pop'!$D$7:$D$143)</f>
        <v>Euro/AU/NZ</v>
      </c>
      <c r="C4300" s="127">
        <f>1000*_xlfn.XLOOKUP(A4300,'[1]2050Pop'!$A$7:$A$143,'[1]2050Pop'!$C$7:$C$143)</f>
        <v>9216</v>
      </c>
      <c r="D4300" s="126" t="s">
        <v>538</v>
      </c>
      <c r="E4300" s="128">
        <v>176.87700000000001</v>
      </c>
      <c r="F4300" s="129">
        <f t="shared" si="203"/>
        <v>1.630098432</v>
      </c>
      <c r="G4300" t="str">
        <f>_xlfn.XLOOKUP(D4300,'[1]2050 BAU Mapping to T &amp; C'!$A$3:$A$52,'[1]2050 BAU Mapping to T &amp; C'!$B$3:$B$52)</f>
        <v xml:space="preserve">Oil crops </v>
      </c>
      <c r="H4300" s="129">
        <f>_xlfn.XLOOKUP(G4300,'[1]T&amp;C emissions for 2050 analysis'!$B$3:$B$23,'[1]T&amp;C emissions for 2050 analysis'!$C$3:$C$23)</f>
        <v>0.18333333333333335</v>
      </c>
      <c r="I4300" s="27">
        <f t="shared" si="201"/>
        <v>0.29885137920000004</v>
      </c>
      <c r="J4300" s="129">
        <f t="shared" si="202"/>
        <v>32.427450000000007</v>
      </c>
    </row>
    <row r="4301" spans="1:10" hidden="1" x14ac:dyDescent="0.35">
      <c r="A4301" s="126" t="s">
        <v>450</v>
      </c>
      <c r="B4301" t="str">
        <f>_xlfn.XLOOKUP(A4301,'[1]2050Pop'!$A$7:$A$143,'[1]2050Pop'!$D$7:$D$143)</f>
        <v>APAC</v>
      </c>
      <c r="C4301" s="127">
        <f>1000*_xlfn.XLOOKUP(A4301,'[1]2050Pop'!$A$7:$A$143,'[1]2050Pop'!$C$7:$C$143)</f>
        <v>50593</v>
      </c>
      <c r="D4301" s="126" t="s">
        <v>538</v>
      </c>
      <c r="E4301" s="128">
        <v>14.891</v>
      </c>
      <c r="F4301" s="129">
        <f t="shared" si="203"/>
        <v>0.753380363</v>
      </c>
      <c r="G4301" t="str">
        <f>_xlfn.XLOOKUP(D4301,'[1]2050 BAU Mapping to T &amp; C'!$A$3:$A$52,'[1]2050 BAU Mapping to T &amp; C'!$B$3:$B$52)</f>
        <v xml:space="preserve">Oil crops </v>
      </c>
      <c r="H4301" s="129">
        <f>_xlfn.XLOOKUP(G4301,'[1]T&amp;C emissions for 2050 analysis'!$B$3:$B$23,'[1]T&amp;C emissions for 2050 analysis'!$C$3:$C$23)</f>
        <v>0.18333333333333335</v>
      </c>
      <c r="I4301" s="27">
        <f t="shared" si="201"/>
        <v>0.13811973321666668</v>
      </c>
      <c r="J4301" s="129">
        <f t="shared" si="202"/>
        <v>2.7300166666666668</v>
      </c>
    </row>
    <row r="4302" spans="1:10" hidden="1" x14ac:dyDescent="0.35">
      <c r="A4302" s="126" t="s">
        <v>451</v>
      </c>
      <c r="B4302" t="str">
        <f>_xlfn.XLOOKUP(A4302,'[1]2050Pop'!$A$7:$A$143,'[1]2050Pop'!$D$7:$D$143)</f>
        <v>Euro/AU/NZ</v>
      </c>
      <c r="C4302" s="127">
        <f>1000*_xlfn.XLOOKUP(A4302,'[1]2050Pop'!$A$7:$A$143,'[1]2050Pop'!$C$7:$C$143)</f>
        <v>3243</v>
      </c>
      <c r="D4302" s="126" t="s">
        <v>538</v>
      </c>
      <c r="E4302" s="128">
        <v>198.041</v>
      </c>
      <c r="F4302" s="129">
        <f t="shared" si="203"/>
        <v>0.64224696299999995</v>
      </c>
      <c r="G4302" t="str">
        <f>_xlfn.XLOOKUP(D4302,'[1]2050 BAU Mapping to T &amp; C'!$A$3:$A$52,'[1]2050 BAU Mapping to T &amp; C'!$B$3:$B$52)</f>
        <v xml:space="preserve">Oil crops </v>
      </c>
      <c r="H4302" s="129">
        <f>_xlfn.XLOOKUP(G4302,'[1]T&amp;C emissions for 2050 analysis'!$B$3:$B$23,'[1]T&amp;C emissions for 2050 analysis'!$C$3:$C$23)</f>
        <v>0.18333333333333335</v>
      </c>
      <c r="I4302" s="27">
        <f t="shared" si="201"/>
        <v>0.11774527655</v>
      </c>
      <c r="J4302" s="129">
        <f t="shared" si="202"/>
        <v>36.307516666666672</v>
      </c>
    </row>
    <row r="4303" spans="1:10" hidden="1" x14ac:dyDescent="0.35">
      <c r="A4303" s="126" t="s">
        <v>452</v>
      </c>
      <c r="B4303" t="str">
        <f>_xlfn.XLOOKUP(A4303,'[1]2050Pop'!$A$7:$A$143,'[1]2050Pop'!$D$7:$D$143)</f>
        <v>SSA</v>
      </c>
      <c r="C4303" s="127">
        <f>1000*_xlfn.XLOOKUP(A4303,'[1]2050Pop'!$A$7:$A$143,'[1]2050Pop'!$C$7:$C$143)</f>
        <v>10732</v>
      </c>
      <c r="D4303" s="126" t="s">
        <v>538</v>
      </c>
      <c r="E4303" s="130">
        <v>2.37</v>
      </c>
      <c r="F4303" s="129">
        <f t="shared" si="203"/>
        <v>2.543484E-2</v>
      </c>
      <c r="G4303" t="str">
        <f>_xlfn.XLOOKUP(D4303,'[1]2050 BAU Mapping to T &amp; C'!$A$3:$A$52,'[1]2050 BAU Mapping to T &amp; C'!$B$3:$B$52)</f>
        <v xml:space="preserve">Oil crops </v>
      </c>
      <c r="H4303" s="129">
        <f>_xlfn.XLOOKUP(G4303,'[1]T&amp;C emissions for 2050 analysis'!$B$3:$B$23,'[1]T&amp;C emissions for 2050 analysis'!$C$3:$C$23)</f>
        <v>0.18333333333333335</v>
      </c>
      <c r="I4303" s="27">
        <f t="shared" si="201"/>
        <v>4.6630540000000007E-3</v>
      </c>
      <c r="J4303" s="129">
        <f t="shared" si="202"/>
        <v>0.43450000000000005</v>
      </c>
    </row>
    <row r="4304" spans="1:10" hidden="1" x14ac:dyDescent="0.35">
      <c r="A4304" s="126" t="s">
        <v>453</v>
      </c>
      <c r="B4304" t="str">
        <f>_xlfn.XLOOKUP(A4304,'[1]2050Pop'!$A$7:$A$143,'[1]2050Pop'!$D$7:$D$143)</f>
        <v>Euro/AU/NZ</v>
      </c>
      <c r="C4304" s="127">
        <f>1000*_xlfn.XLOOKUP(A4304,'[1]2050Pop'!$A$7:$A$143,'[1]2050Pop'!$C$7:$C$143)</f>
        <v>15207</v>
      </c>
      <c r="D4304" s="126" t="s">
        <v>538</v>
      </c>
      <c r="E4304" s="128">
        <v>289.55099999999999</v>
      </c>
      <c r="F4304" s="129">
        <f t="shared" si="203"/>
        <v>4.4032020569999997</v>
      </c>
      <c r="G4304" t="str">
        <f>_xlfn.XLOOKUP(D4304,'[1]2050 BAU Mapping to T &amp; C'!$A$3:$A$52,'[1]2050 BAU Mapping to T &amp; C'!$B$3:$B$52)</f>
        <v xml:space="preserve">Oil crops </v>
      </c>
      <c r="H4304" s="129">
        <f>_xlfn.XLOOKUP(G4304,'[1]T&amp;C emissions for 2050 analysis'!$B$3:$B$23,'[1]T&amp;C emissions for 2050 analysis'!$C$3:$C$23)</f>
        <v>0.18333333333333335</v>
      </c>
      <c r="I4304" s="27">
        <f t="shared" si="201"/>
        <v>0.80725371045000005</v>
      </c>
      <c r="J4304" s="129">
        <f t="shared" si="202"/>
        <v>53.084350000000001</v>
      </c>
    </row>
    <row r="4305" spans="1:10" hidden="1" x14ac:dyDescent="0.35">
      <c r="A4305" s="126" t="s">
        <v>454</v>
      </c>
      <c r="B4305" t="str">
        <f>_xlfn.XLOOKUP(A4305,'[1]2050Pop'!$A$7:$A$143,'[1]2050Pop'!$D$7:$D$143)</f>
        <v>Euro/AU/NZ</v>
      </c>
      <c r="C4305" s="127">
        <f>1000*_xlfn.XLOOKUP(A4305,'[1]2050Pop'!$A$7:$A$143,'[1]2050Pop'!$C$7:$C$143)</f>
        <v>128598.99999999999</v>
      </c>
      <c r="D4305" s="126" t="s">
        <v>538</v>
      </c>
      <c r="E4305" s="128">
        <v>317.17500000000001</v>
      </c>
      <c r="F4305" s="129">
        <f t="shared" si="203"/>
        <v>40.788387824999994</v>
      </c>
      <c r="G4305" t="str">
        <f>_xlfn.XLOOKUP(D4305,'[1]2050 BAU Mapping to T &amp; C'!$A$3:$A$52,'[1]2050 BAU Mapping to T &amp; C'!$B$3:$B$52)</f>
        <v xml:space="preserve">Oil crops </v>
      </c>
      <c r="H4305" s="129">
        <f>_xlfn.XLOOKUP(G4305,'[1]T&amp;C emissions for 2050 analysis'!$B$3:$B$23,'[1]T&amp;C emissions for 2050 analysis'!$C$3:$C$23)</f>
        <v>0.18333333333333335</v>
      </c>
      <c r="I4305" s="27">
        <f t="shared" si="201"/>
        <v>7.4778711012499999</v>
      </c>
      <c r="J4305" s="129">
        <f t="shared" si="202"/>
        <v>58.148750000000007</v>
      </c>
    </row>
    <row r="4306" spans="1:10" hidden="1" x14ac:dyDescent="0.35">
      <c r="A4306" s="126" t="s">
        <v>455</v>
      </c>
      <c r="B4306" t="str">
        <f>_xlfn.XLOOKUP(A4306,'[1]2050Pop'!$A$7:$A$143,'[1]2050Pop'!$D$7:$D$143)</f>
        <v>SSA</v>
      </c>
      <c r="C4306" s="127">
        <f>1000*_xlfn.XLOOKUP(A4306,'[1]2050Pop'!$A$7:$A$143,'[1]2050Pop'!$C$7:$C$143)</f>
        <v>21187</v>
      </c>
      <c r="D4306" s="126" t="s">
        <v>538</v>
      </c>
      <c r="E4306" s="128">
        <v>5.9909999999999997</v>
      </c>
      <c r="F4306" s="129">
        <f t="shared" si="203"/>
        <v>0.12693131699999999</v>
      </c>
      <c r="G4306" t="str">
        <f>_xlfn.XLOOKUP(D4306,'[1]2050 BAU Mapping to T &amp; C'!$A$3:$A$52,'[1]2050 BAU Mapping to T &amp; C'!$B$3:$B$52)</f>
        <v xml:space="preserve">Oil crops </v>
      </c>
      <c r="H4306" s="129">
        <f>_xlfn.XLOOKUP(G4306,'[1]T&amp;C emissions for 2050 analysis'!$B$3:$B$23,'[1]T&amp;C emissions for 2050 analysis'!$C$3:$C$23)</f>
        <v>0.18333333333333335</v>
      </c>
      <c r="I4306" s="27">
        <f t="shared" si="201"/>
        <v>2.327074145E-2</v>
      </c>
      <c r="J4306" s="129">
        <f t="shared" si="202"/>
        <v>1.0983499999999999</v>
      </c>
    </row>
    <row r="4307" spans="1:10" hidden="1" x14ac:dyDescent="0.35">
      <c r="A4307" s="126" t="s">
        <v>456</v>
      </c>
      <c r="B4307" t="str">
        <f>_xlfn.XLOOKUP(A4307,'[1]2050Pop'!$A$7:$A$143,'[1]2050Pop'!$D$7:$D$143)</f>
        <v>MENA</v>
      </c>
      <c r="C4307" s="127">
        <f>1000*_xlfn.XLOOKUP(A4307,'[1]2050Pop'!$A$7:$A$143,'[1]2050Pop'!$C$7:$C$143)</f>
        <v>46059</v>
      </c>
      <c r="D4307" s="126" t="s">
        <v>538</v>
      </c>
      <c r="E4307" s="128">
        <v>77.971999999999994</v>
      </c>
      <c r="F4307" s="129">
        <f t="shared" si="203"/>
        <v>3.5913123479999998</v>
      </c>
      <c r="G4307" t="str">
        <f>_xlfn.XLOOKUP(D4307,'[1]2050 BAU Mapping to T &amp; C'!$A$3:$A$52,'[1]2050 BAU Mapping to T &amp; C'!$B$3:$B$52)</f>
        <v xml:space="preserve">Oil crops </v>
      </c>
      <c r="H4307" s="129">
        <f>_xlfn.XLOOKUP(G4307,'[1]T&amp;C emissions for 2050 analysis'!$B$3:$B$23,'[1]T&amp;C emissions for 2050 analysis'!$C$3:$C$23)</f>
        <v>0.18333333333333335</v>
      </c>
      <c r="I4307" s="27">
        <f t="shared" si="201"/>
        <v>0.65840726380000003</v>
      </c>
      <c r="J4307" s="129">
        <f t="shared" si="202"/>
        <v>14.294866666666667</v>
      </c>
    </row>
    <row r="4308" spans="1:10" hidden="1" x14ac:dyDescent="0.35">
      <c r="A4308" s="126" t="s">
        <v>457</v>
      </c>
      <c r="B4308" t="str">
        <f>_xlfn.XLOOKUP(A4308,'[1]2050Pop'!$A$7:$A$143,'[1]2050Pop'!$D$7:$D$143)</f>
        <v>SSA</v>
      </c>
      <c r="C4308" s="127">
        <f>1000*_xlfn.XLOOKUP(A4308,'[1]2050Pop'!$A$7:$A$143,'[1]2050Pop'!$C$7:$C$143)</f>
        <v>36223</v>
      </c>
      <c r="D4308" s="126" t="s">
        <v>538</v>
      </c>
      <c r="E4308" s="128">
        <v>1.5449999999999999</v>
      </c>
      <c r="F4308" s="129">
        <f t="shared" si="203"/>
        <v>5.5964534999999996E-2</v>
      </c>
      <c r="G4308" t="str">
        <f>_xlfn.XLOOKUP(D4308,'[1]2050 BAU Mapping to T &amp; C'!$A$3:$A$52,'[1]2050 BAU Mapping to T &amp; C'!$B$3:$B$52)</f>
        <v xml:space="preserve">Oil crops </v>
      </c>
      <c r="H4308" s="129">
        <f>_xlfn.XLOOKUP(G4308,'[1]T&amp;C emissions for 2050 analysis'!$B$3:$B$23,'[1]T&amp;C emissions for 2050 analysis'!$C$3:$C$23)</f>
        <v>0.18333333333333335</v>
      </c>
      <c r="I4308" s="27">
        <f t="shared" si="201"/>
        <v>1.026016475E-2</v>
      </c>
      <c r="J4308" s="129">
        <f t="shared" si="202"/>
        <v>0.28325</v>
      </c>
    </row>
    <row r="4309" spans="1:10" hidden="1" x14ac:dyDescent="0.35">
      <c r="A4309" s="126" t="s">
        <v>458</v>
      </c>
      <c r="B4309" t="str">
        <f>_xlfn.XLOOKUP(A4309,'[1]2050Pop'!$A$7:$A$143,'[1]2050Pop'!$D$7:$D$143)</f>
        <v>Euro/AU/NZ</v>
      </c>
      <c r="C4309" s="127">
        <f>1000*_xlfn.XLOOKUP(A4309,'[1]2050Pop'!$A$7:$A$143,'[1]2050Pop'!$C$7:$C$143)</f>
        <v>7331</v>
      </c>
      <c r="D4309" s="126" t="s">
        <v>538</v>
      </c>
      <c r="E4309" s="128">
        <v>128.833</v>
      </c>
      <c r="F4309" s="129">
        <f t="shared" si="203"/>
        <v>0.94447472300000002</v>
      </c>
      <c r="G4309" t="str">
        <f>_xlfn.XLOOKUP(D4309,'[1]2050 BAU Mapping to T &amp; C'!$A$3:$A$52,'[1]2050 BAU Mapping to T &amp; C'!$B$3:$B$52)</f>
        <v xml:space="preserve">Oil crops </v>
      </c>
      <c r="H4309" s="129">
        <f>_xlfn.XLOOKUP(G4309,'[1]T&amp;C emissions for 2050 analysis'!$B$3:$B$23,'[1]T&amp;C emissions for 2050 analysis'!$C$3:$C$23)</f>
        <v>0.18333333333333335</v>
      </c>
      <c r="I4309" s="27">
        <f t="shared" si="201"/>
        <v>0.17315369921666668</v>
      </c>
      <c r="J4309" s="129">
        <f t="shared" si="202"/>
        <v>23.619383333333335</v>
      </c>
    </row>
    <row r="4310" spans="1:10" hidden="1" x14ac:dyDescent="0.35">
      <c r="A4310" s="126" t="s">
        <v>459</v>
      </c>
      <c r="B4310" t="str">
        <f>_xlfn.XLOOKUP(A4310,'[1]2050Pop'!$A$7:$A$143,'[1]2050Pop'!$D$7:$D$143)</f>
        <v>Euro/AU/NZ</v>
      </c>
      <c r="C4310" s="127">
        <f>1000*_xlfn.XLOOKUP(A4310,'[1]2050Pop'!$A$7:$A$143,'[1]2050Pop'!$C$7:$C$143)</f>
        <v>4892</v>
      </c>
      <c r="D4310" s="126" t="s">
        <v>538</v>
      </c>
      <c r="E4310" s="128">
        <v>100.203</v>
      </c>
      <c r="F4310" s="129">
        <f t="shared" si="203"/>
        <v>0.49019307600000001</v>
      </c>
      <c r="G4310" t="str">
        <f>_xlfn.XLOOKUP(D4310,'[1]2050 BAU Mapping to T &amp; C'!$A$3:$A$52,'[1]2050 BAU Mapping to T &amp; C'!$B$3:$B$52)</f>
        <v xml:space="preserve">Oil crops </v>
      </c>
      <c r="H4310" s="129">
        <f>_xlfn.XLOOKUP(G4310,'[1]T&amp;C emissions for 2050 analysis'!$B$3:$B$23,'[1]T&amp;C emissions for 2050 analysis'!$C$3:$C$23)</f>
        <v>0.18333333333333335</v>
      </c>
      <c r="I4310" s="27">
        <f t="shared" si="201"/>
        <v>8.9868730600000002E-2</v>
      </c>
      <c r="J4310" s="129">
        <f t="shared" si="202"/>
        <v>18.370550000000001</v>
      </c>
    </row>
    <row r="4311" spans="1:10" hidden="1" x14ac:dyDescent="0.35">
      <c r="A4311" s="126" t="s">
        <v>460</v>
      </c>
      <c r="B4311" t="str">
        <f>_xlfn.XLOOKUP(A4311,'[1]2050Pop'!$A$7:$A$143,'[1]2050Pop'!$D$7:$D$143)</f>
        <v>LatAm &amp; RSA</v>
      </c>
      <c r="C4311" s="127">
        <f>1000*_xlfn.XLOOKUP(A4311,'[1]2050Pop'!$A$7:$A$143,'[1]2050Pop'!$C$7:$C$143)</f>
        <v>65540</v>
      </c>
      <c r="D4311" s="126" t="s">
        <v>538</v>
      </c>
      <c r="E4311" s="128">
        <v>159.80799999999999</v>
      </c>
      <c r="F4311" s="129">
        <f t="shared" si="203"/>
        <v>10.473816320000001</v>
      </c>
      <c r="G4311" t="str">
        <f>_xlfn.XLOOKUP(D4311,'[1]2050 BAU Mapping to T &amp; C'!$A$3:$A$52,'[1]2050 BAU Mapping to T &amp; C'!$B$3:$B$52)</f>
        <v xml:space="preserve">Oil crops </v>
      </c>
      <c r="H4311" s="129">
        <f>_xlfn.XLOOKUP(G4311,'[1]T&amp;C emissions for 2050 analysis'!$B$3:$B$23,'[1]T&amp;C emissions for 2050 analysis'!$C$3:$C$23)</f>
        <v>0.18333333333333335</v>
      </c>
      <c r="I4311" s="27">
        <f t="shared" si="201"/>
        <v>1.920199658666667</v>
      </c>
      <c r="J4311" s="129">
        <f t="shared" si="202"/>
        <v>29.298133333333336</v>
      </c>
    </row>
    <row r="4312" spans="1:10" hidden="1" x14ac:dyDescent="0.35">
      <c r="A4312" s="126" t="s">
        <v>461</v>
      </c>
      <c r="B4312" t="str">
        <f>_xlfn.XLOOKUP(A4312,'[1]2050Pop'!$A$7:$A$143,'[1]2050Pop'!$D$7:$D$143)</f>
        <v>Euro/AU/NZ</v>
      </c>
      <c r="C4312" s="127">
        <f>1000*_xlfn.XLOOKUP(A4312,'[1]2050Pop'!$A$7:$A$143,'[1]2050Pop'!$C$7:$C$143)</f>
        <v>44840</v>
      </c>
      <c r="D4312" s="126" t="s">
        <v>538</v>
      </c>
      <c r="E4312" s="128">
        <v>301.59800000000001</v>
      </c>
      <c r="F4312" s="129">
        <f t="shared" si="203"/>
        <v>13.52365432</v>
      </c>
      <c r="G4312" t="str">
        <f>_xlfn.XLOOKUP(D4312,'[1]2050 BAU Mapping to T &amp; C'!$A$3:$A$52,'[1]2050 BAU Mapping to T &amp; C'!$B$3:$B$52)</f>
        <v xml:space="preserve">Oil crops </v>
      </c>
      <c r="H4312" s="129">
        <f>_xlfn.XLOOKUP(G4312,'[1]T&amp;C emissions for 2050 analysis'!$B$3:$B$23,'[1]T&amp;C emissions for 2050 analysis'!$C$3:$C$23)</f>
        <v>0.18333333333333335</v>
      </c>
      <c r="I4312" s="27">
        <f t="shared" si="201"/>
        <v>2.4793366253333335</v>
      </c>
      <c r="J4312" s="129">
        <f t="shared" si="202"/>
        <v>55.292966666666672</v>
      </c>
    </row>
    <row r="4313" spans="1:10" hidden="1" x14ac:dyDescent="0.35">
      <c r="A4313" s="126" t="s">
        <v>493</v>
      </c>
      <c r="B4313" t="str">
        <f>_xlfn.XLOOKUP(A4313,'[1]2050Pop'!$A$7:$A$143,'[1]2050Pop'!$D$7:$D$143)</f>
        <v>India/South Asia</v>
      </c>
      <c r="C4313" s="127">
        <f>1000*_xlfn.XLOOKUP(A4313,'[1]2050Pop'!$A$7:$A$143,'[1]2050Pop'!$C$7:$C$143)</f>
        <v>20836</v>
      </c>
      <c r="D4313" s="126" t="s">
        <v>538</v>
      </c>
      <c r="E4313" s="128">
        <v>2.0259999999999998</v>
      </c>
      <c r="F4313" s="129">
        <f t="shared" si="203"/>
        <v>4.2213735999999995E-2</v>
      </c>
      <c r="G4313" t="str">
        <f>_xlfn.XLOOKUP(D4313,'[1]2050 BAU Mapping to T &amp; C'!$A$3:$A$52,'[1]2050 BAU Mapping to T &amp; C'!$B$3:$B$52)</f>
        <v xml:space="preserve">Oil crops </v>
      </c>
      <c r="H4313" s="129">
        <f>_xlfn.XLOOKUP(G4313,'[1]T&amp;C emissions for 2050 analysis'!$B$3:$B$23,'[1]T&amp;C emissions for 2050 analysis'!$C$3:$C$23)</f>
        <v>0.18333333333333335</v>
      </c>
      <c r="I4313" s="27">
        <f t="shared" si="201"/>
        <v>7.739184933333333E-3</v>
      </c>
      <c r="J4313" s="129">
        <f t="shared" si="202"/>
        <v>0.37143333333333334</v>
      </c>
    </row>
    <row r="4314" spans="1:10" hidden="1" x14ac:dyDescent="0.35">
      <c r="A4314" s="126" t="s">
        <v>462</v>
      </c>
      <c r="B4314" t="str">
        <f>_xlfn.XLOOKUP(A4314,'[1]2050Pop'!$A$7:$A$143,'[1]2050Pop'!$D$7:$D$143)</f>
        <v>LatAm &amp; RSA</v>
      </c>
      <c r="C4314" s="127">
        <f>1000*_xlfn.XLOOKUP(A4314,'[1]2050Pop'!$A$7:$A$143,'[1]2050Pop'!$C$7:$C$143)</f>
        <v>624</v>
      </c>
      <c r="D4314" s="126" t="s">
        <v>538</v>
      </c>
      <c r="E4314" s="128">
        <v>90.674999999999997</v>
      </c>
      <c r="F4314" s="129">
        <f t="shared" si="203"/>
        <v>5.6581199999999998E-2</v>
      </c>
      <c r="G4314" t="str">
        <f>_xlfn.XLOOKUP(D4314,'[1]2050 BAU Mapping to T &amp; C'!$A$3:$A$52,'[1]2050 BAU Mapping to T &amp; C'!$B$3:$B$52)</f>
        <v xml:space="preserve">Oil crops </v>
      </c>
      <c r="H4314" s="129">
        <f>_xlfn.XLOOKUP(G4314,'[1]T&amp;C emissions for 2050 analysis'!$B$3:$B$23,'[1]T&amp;C emissions for 2050 analysis'!$C$3:$C$23)</f>
        <v>0.18333333333333335</v>
      </c>
      <c r="I4314" s="27">
        <f t="shared" si="201"/>
        <v>1.0373220000000001E-2</v>
      </c>
      <c r="J4314" s="129">
        <f t="shared" si="202"/>
        <v>16.623750000000001</v>
      </c>
    </row>
    <row r="4315" spans="1:10" hidden="1" x14ac:dyDescent="0.35">
      <c r="A4315" s="126" t="s">
        <v>463</v>
      </c>
      <c r="B4315" t="str">
        <f>_xlfn.XLOOKUP(A4315,'[1]2050Pop'!$A$7:$A$143,'[1]2050Pop'!$D$7:$D$143)</f>
        <v>SSA</v>
      </c>
      <c r="C4315" s="127">
        <f>1000*_xlfn.XLOOKUP(A4315,'[1]2050Pop'!$A$7:$A$143,'[1]2050Pop'!$C$7:$C$143)</f>
        <v>1792</v>
      </c>
      <c r="D4315" s="126" t="s">
        <v>538</v>
      </c>
      <c r="E4315" s="128">
        <v>85.725999999999999</v>
      </c>
      <c r="F4315" s="129">
        <f t="shared" si="203"/>
        <v>0.15362099200000001</v>
      </c>
      <c r="G4315" t="str">
        <f>_xlfn.XLOOKUP(D4315,'[1]2050 BAU Mapping to T &amp; C'!$A$3:$A$52,'[1]2050 BAU Mapping to T &amp; C'!$B$3:$B$52)</f>
        <v xml:space="preserve">Oil crops </v>
      </c>
      <c r="H4315" s="129">
        <f>_xlfn.XLOOKUP(G4315,'[1]T&amp;C emissions for 2050 analysis'!$B$3:$B$23,'[1]T&amp;C emissions for 2050 analysis'!$C$3:$C$23)</f>
        <v>0.18333333333333335</v>
      </c>
      <c r="I4315" s="27">
        <f t="shared" si="201"/>
        <v>2.8163848533333338E-2</v>
      </c>
      <c r="J4315" s="129">
        <f t="shared" si="202"/>
        <v>15.716433333333335</v>
      </c>
    </row>
    <row r="4316" spans="1:10" hidden="1" x14ac:dyDescent="0.35">
      <c r="A4316" s="126" t="s">
        <v>464</v>
      </c>
      <c r="B4316" t="str">
        <f>_xlfn.XLOOKUP(A4316,'[1]2050Pop'!$A$7:$A$143,'[1]2050Pop'!$D$7:$D$143)</f>
        <v>Euro/AU/NZ</v>
      </c>
      <c r="C4316" s="127">
        <f>1000*_xlfn.XLOOKUP(A4316,'[1]2050Pop'!$A$7:$A$143,'[1]2050Pop'!$C$7:$C$143)</f>
        <v>11881</v>
      </c>
      <c r="D4316" s="126" t="s">
        <v>538</v>
      </c>
      <c r="E4316" s="128">
        <v>87.224000000000004</v>
      </c>
      <c r="F4316" s="129">
        <f t="shared" si="203"/>
        <v>1.036308344</v>
      </c>
      <c r="G4316" t="str">
        <f>_xlfn.XLOOKUP(D4316,'[1]2050 BAU Mapping to T &amp; C'!$A$3:$A$52,'[1]2050 BAU Mapping to T &amp; C'!$B$3:$B$52)</f>
        <v xml:space="preserve">Oil crops </v>
      </c>
      <c r="H4316" s="129">
        <f>_xlfn.XLOOKUP(G4316,'[1]T&amp;C emissions for 2050 analysis'!$B$3:$B$23,'[1]T&amp;C emissions for 2050 analysis'!$C$3:$C$23)</f>
        <v>0.18333333333333335</v>
      </c>
      <c r="I4316" s="27">
        <f t="shared" si="201"/>
        <v>0.18998986306666668</v>
      </c>
      <c r="J4316" s="129">
        <f t="shared" si="202"/>
        <v>15.991066666666669</v>
      </c>
    </row>
    <row r="4317" spans="1:10" hidden="1" x14ac:dyDescent="0.35">
      <c r="A4317" s="126" t="s">
        <v>483</v>
      </c>
      <c r="B4317" t="str">
        <f>_xlfn.XLOOKUP(A4317,'[1]2050Pop'!$A$7:$A$143,'[1]2050Pop'!$D$7:$D$143)</f>
        <v>APAC</v>
      </c>
      <c r="C4317" s="127">
        <f>1000*_xlfn.XLOOKUP(A4317,'[1]2050Pop'!$A$7:$A$143,'[1]2050Pop'!$C$7:$C$143)</f>
        <v>14288</v>
      </c>
      <c r="D4317" s="126" t="s">
        <v>538</v>
      </c>
      <c r="E4317" s="128">
        <v>99.531000000000006</v>
      </c>
      <c r="F4317" s="129">
        <f t="shared" si="203"/>
        <v>1.422098928</v>
      </c>
      <c r="G4317" t="str">
        <f>_xlfn.XLOOKUP(D4317,'[1]2050 BAU Mapping to T &amp; C'!$A$3:$A$52,'[1]2050 BAU Mapping to T &amp; C'!$B$3:$B$52)</f>
        <v xml:space="preserve">Oil crops </v>
      </c>
      <c r="H4317" s="129">
        <f>_xlfn.XLOOKUP(G4317,'[1]T&amp;C emissions for 2050 analysis'!$B$3:$B$23,'[1]T&amp;C emissions for 2050 analysis'!$C$3:$C$23)</f>
        <v>0.18333333333333335</v>
      </c>
      <c r="I4317" s="27">
        <f t="shared" si="201"/>
        <v>0.26071813680000006</v>
      </c>
      <c r="J4317" s="129">
        <f t="shared" si="202"/>
        <v>18.247350000000001</v>
      </c>
    </row>
    <row r="4318" spans="1:10" hidden="1" x14ac:dyDescent="0.35">
      <c r="A4318" s="126" t="s">
        <v>465</v>
      </c>
      <c r="B4318" t="str">
        <f>_xlfn.XLOOKUP(A4318,'[1]2050Pop'!$A$7:$A$143,'[1]2050Pop'!$D$7:$D$143)</f>
        <v>APAC</v>
      </c>
      <c r="C4318" s="127">
        <f>1000*_xlfn.XLOOKUP(A4318,'[1]2050Pop'!$A$7:$A$143,'[1]2050Pop'!$C$7:$C$143)</f>
        <v>62452</v>
      </c>
      <c r="D4318" s="126" t="s">
        <v>538</v>
      </c>
      <c r="E4318" s="128">
        <v>10.755000000000001</v>
      </c>
      <c r="F4318" s="129">
        <f t="shared" si="203"/>
        <v>0.67167125999999999</v>
      </c>
      <c r="G4318" t="str">
        <f>_xlfn.XLOOKUP(D4318,'[1]2050 BAU Mapping to T &amp; C'!$A$3:$A$52,'[1]2050 BAU Mapping to T &amp; C'!$B$3:$B$52)</f>
        <v xml:space="preserve">Oil crops </v>
      </c>
      <c r="H4318" s="129">
        <f>_xlfn.XLOOKUP(G4318,'[1]T&amp;C emissions for 2050 analysis'!$B$3:$B$23,'[1]T&amp;C emissions for 2050 analysis'!$C$3:$C$23)</f>
        <v>0.18333333333333335</v>
      </c>
      <c r="I4318" s="27">
        <f t="shared" si="201"/>
        <v>0.123139731</v>
      </c>
      <c r="J4318" s="129">
        <f t="shared" si="202"/>
        <v>1.9717500000000003</v>
      </c>
    </row>
    <row r="4319" spans="1:10" hidden="1" x14ac:dyDescent="0.35">
      <c r="A4319" s="126" t="s">
        <v>467</v>
      </c>
      <c r="B4319" t="str">
        <f>_xlfn.XLOOKUP(A4319,'[1]2050Pop'!$A$7:$A$143,'[1]2050Pop'!$D$7:$D$143)</f>
        <v>LatAm &amp; RSA</v>
      </c>
      <c r="C4319" s="127">
        <f>1000*_xlfn.XLOOKUP(A4319,'[1]2050Pop'!$A$7:$A$143,'[1]2050Pop'!$C$7:$C$143)</f>
        <v>1291</v>
      </c>
      <c r="D4319" s="126" t="s">
        <v>538</v>
      </c>
      <c r="E4319" s="128">
        <v>3.7290000000000001</v>
      </c>
      <c r="F4319" s="129">
        <f t="shared" si="203"/>
        <v>4.8141390000000003E-3</v>
      </c>
      <c r="G4319" t="str">
        <f>_xlfn.XLOOKUP(D4319,'[1]2050 BAU Mapping to T &amp; C'!$A$3:$A$52,'[1]2050 BAU Mapping to T &amp; C'!$B$3:$B$52)</f>
        <v xml:space="preserve">Oil crops </v>
      </c>
      <c r="H4319" s="129">
        <f>_xlfn.XLOOKUP(G4319,'[1]T&amp;C emissions for 2050 analysis'!$B$3:$B$23,'[1]T&amp;C emissions for 2050 analysis'!$C$3:$C$23)</f>
        <v>0.18333333333333335</v>
      </c>
      <c r="I4319" s="27">
        <f t="shared" si="201"/>
        <v>8.8259215000000013E-4</v>
      </c>
      <c r="J4319" s="129">
        <f t="shared" si="202"/>
        <v>0.68365000000000009</v>
      </c>
    </row>
    <row r="4320" spans="1:10" hidden="1" x14ac:dyDescent="0.35">
      <c r="A4320" s="126" t="s">
        <v>468</v>
      </c>
      <c r="B4320" t="str">
        <f>_xlfn.XLOOKUP(A4320,'[1]2050Pop'!$A$7:$A$143,'[1]2050Pop'!$D$7:$D$143)</f>
        <v>MENA</v>
      </c>
      <c r="C4320" s="127">
        <f>1000*_xlfn.XLOOKUP(A4320,'[1]2050Pop'!$A$7:$A$143,'[1]2050Pop'!$C$7:$C$143)</f>
        <v>13476</v>
      </c>
      <c r="D4320" s="126" t="s">
        <v>538</v>
      </c>
      <c r="E4320" s="128">
        <v>33.307000000000002</v>
      </c>
      <c r="F4320" s="129">
        <f t="shared" si="203"/>
        <v>0.44884513200000004</v>
      </c>
      <c r="G4320" t="str">
        <f>_xlfn.XLOOKUP(D4320,'[1]2050 BAU Mapping to T &amp; C'!$A$3:$A$52,'[1]2050 BAU Mapping to T &amp; C'!$B$3:$B$52)</f>
        <v xml:space="preserve">Oil crops </v>
      </c>
      <c r="H4320" s="129">
        <f>_xlfn.XLOOKUP(G4320,'[1]T&amp;C emissions for 2050 analysis'!$B$3:$B$23,'[1]T&amp;C emissions for 2050 analysis'!$C$3:$C$23)</f>
        <v>0.18333333333333335</v>
      </c>
      <c r="I4320" s="27">
        <f t="shared" si="201"/>
        <v>8.2288274200000011E-2</v>
      </c>
      <c r="J4320" s="129">
        <f t="shared" si="202"/>
        <v>6.1062833333333346</v>
      </c>
    </row>
    <row r="4321" spans="1:10" hidden="1" x14ac:dyDescent="0.35">
      <c r="A4321" s="126" t="s">
        <v>469</v>
      </c>
      <c r="B4321" t="str">
        <f>_xlfn.XLOOKUP(A4321,'[1]2050Pop'!$A$7:$A$143,'[1]2050Pop'!$D$7:$D$143)</f>
        <v>MENA</v>
      </c>
      <c r="C4321" s="127">
        <f>1000*_xlfn.XLOOKUP(A4321,'[1]2050Pop'!$A$7:$A$143,'[1]2050Pop'!$C$7:$C$143)</f>
        <v>95819</v>
      </c>
      <c r="D4321" s="126" t="s">
        <v>538</v>
      </c>
      <c r="E4321" s="128">
        <v>267.392</v>
      </c>
      <c r="F4321" s="129">
        <f t="shared" si="203"/>
        <v>25.621234048000002</v>
      </c>
      <c r="G4321" t="str">
        <f>_xlfn.XLOOKUP(D4321,'[1]2050 BAU Mapping to T &amp; C'!$A$3:$A$52,'[1]2050 BAU Mapping to T &amp; C'!$B$3:$B$52)</f>
        <v xml:space="preserve">Oil crops </v>
      </c>
      <c r="H4321" s="129">
        <f>_xlfn.XLOOKUP(G4321,'[1]T&amp;C emissions for 2050 analysis'!$B$3:$B$23,'[1]T&amp;C emissions for 2050 analysis'!$C$3:$C$23)</f>
        <v>0.18333333333333335</v>
      </c>
      <c r="I4321" s="27">
        <f t="shared" si="201"/>
        <v>4.6972262421333344</v>
      </c>
      <c r="J4321" s="129">
        <f t="shared" si="202"/>
        <v>49.021866666666668</v>
      </c>
    </row>
    <row r="4322" spans="1:10" hidden="1" x14ac:dyDescent="0.35">
      <c r="A4322" s="126" t="s">
        <v>484</v>
      </c>
      <c r="B4322" t="str">
        <f>_xlfn.XLOOKUP(A4322,'[1]2050Pop'!$A$7:$A$143,'[1]2050Pop'!$D$7:$D$143)</f>
        <v>APAC</v>
      </c>
      <c r="C4322" s="127">
        <f>1000*_xlfn.XLOOKUP(A4322,'[1]2050Pop'!$A$7:$A$143,'[1]2050Pop'!$C$7:$C$143)</f>
        <v>6555</v>
      </c>
      <c r="D4322" s="126" t="s">
        <v>538</v>
      </c>
      <c r="E4322" s="128">
        <v>62.512999999999998</v>
      </c>
      <c r="F4322" s="129">
        <f t="shared" si="203"/>
        <v>0.40977271499999995</v>
      </c>
      <c r="G4322" t="str">
        <f>_xlfn.XLOOKUP(D4322,'[1]2050 BAU Mapping to T &amp; C'!$A$3:$A$52,'[1]2050 BAU Mapping to T &amp; C'!$B$3:$B$52)</f>
        <v xml:space="preserve">Oil crops </v>
      </c>
      <c r="H4322" s="129">
        <f>_xlfn.XLOOKUP(G4322,'[1]T&amp;C emissions for 2050 analysis'!$B$3:$B$23,'[1]T&amp;C emissions for 2050 analysis'!$C$3:$C$23)</f>
        <v>0.18333333333333335</v>
      </c>
      <c r="I4322" s="27">
        <f t="shared" si="201"/>
        <v>7.5124997749999992E-2</v>
      </c>
      <c r="J4322" s="129">
        <f t="shared" si="202"/>
        <v>11.460716666666666</v>
      </c>
    </row>
    <row r="4323" spans="1:10" hidden="1" x14ac:dyDescent="0.35">
      <c r="A4323" s="126" t="s">
        <v>470</v>
      </c>
      <c r="B4323" t="str">
        <f>_xlfn.XLOOKUP(A4323,'[1]2050Pop'!$A$7:$A$143,'[1]2050Pop'!$D$7:$D$143)</f>
        <v>SSA</v>
      </c>
      <c r="C4323" s="127">
        <f>1000*_xlfn.XLOOKUP(A4323,'[1]2050Pop'!$A$7:$A$143,'[1]2050Pop'!$C$7:$C$143)</f>
        <v>101873</v>
      </c>
      <c r="D4323" s="126" t="s">
        <v>538</v>
      </c>
      <c r="E4323" s="128">
        <v>98.516000000000005</v>
      </c>
      <c r="F4323" s="129">
        <f t="shared" si="203"/>
        <v>10.036120468</v>
      </c>
      <c r="G4323" t="str">
        <f>_xlfn.XLOOKUP(D4323,'[1]2050 BAU Mapping to T &amp; C'!$A$3:$A$52,'[1]2050 BAU Mapping to T &amp; C'!$B$3:$B$52)</f>
        <v xml:space="preserve">Oil crops </v>
      </c>
      <c r="H4323" s="129">
        <f>_xlfn.XLOOKUP(G4323,'[1]T&amp;C emissions for 2050 analysis'!$B$3:$B$23,'[1]T&amp;C emissions for 2050 analysis'!$C$3:$C$23)</f>
        <v>0.18333333333333335</v>
      </c>
      <c r="I4323" s="27">
        <f t="shared" si="201"/>
        <v>1.8399554191333334</v>
      </c>
      <c r="J4323" s="129">
        <f t="shared" si="202"/>
        <v>18.061266666666668</v>
      </c>
    </row>
    <row r="4324" spans="1:10" hidden="1" x14ac:dyDescent="0.35">
      <c r="A4324" s="126" t="s">
        <v>471</v>
      </c>
      <c r="B4324" t="str">
        <f>_xlfn.XLOOKUP(A4324,'[1]2050Pop'!$A$7:$A$143,'[1]2050Pop'!$D$7:$D$143)</f>
        <v>Euro/AU/NZ</v>
      </c>
      <c r="C4324" s="127">
        <f>1000*_xlfn.XLOOKUP(A4324,'[1]2050Pop'!$A$7:$A$143,'[1]2050Pop'!$C$7:$C$143)</f>
        <v>35117</v>
      </c>
      <c r="D4324" s="126" t="s">
        <v>538</v>
      </c>
      <c r="E4324" s="128">
        <v>288.25700000000001</v>
      </c>
      <c r="F4324" s="129">
        <f t="shared" si="203"/>
        <v>10.122721069000001</v>
      </c>
      <c r="G4324" t="str">
        <f>_xlfn.XLOOKUP(D4324,'[1]2050 BAU Mapping to T &amp; C'!$A$3:$A$52,'[1]2050 BAU Mapping to T &amp; C'!$B$3:$B$52)</f>
        <v xml:space="preserve">Oil crops </v>
      </c>
      <c r="H4324" s="129">
        <f>_xlfn.XLOOKUP(G4324,'[1]T&amp;C emissions for 2050 analysis'!$B$3:$B$23,'[1]T&amp;C emissions for 2050 analysis'!$C$3:$C$23)</f>
        <v>0.18333333333333335</v>
      </c>
      <c r="I4324" s="27">
        <f t="shared" si="201"/>
        <v>1.8558321959833337</v>
      </c>
      <c r="J4324" s="129">
        <f t="shared" si="202"/>
        <v>52.847116666666672</v>
      </c>
    </row>
    <row r="4325" spans="1:10" hidden="1" x14ac:dyDescent="0.35">
      <c r="A4325" s="126" t="s">
        <v>472</v>
      </c>
      <c r="B4325" t="str">
        <f>_xlfn.XLOOKUP(A4325,'[1]2050Pop'!$A$7:$A$143,'[1]2050Pop'!$D$7:$D$143)</f>
        <v>Euro/AU/NZ</v>
      </c>
      <c r="C4325" s="127">
        <f>1000*_xlfn.XLOOKUP(A4325,'[1]2050Pop'!$A$7:$A$143,'[1]2050Pop'!$C$7:$C$143)</f>
        <v>75361</v>
      </c>
      <c r="D4325" s="126" t="s">
        <v>538</v>
      </c>
      <c r="E4325" s="128">
        <v>61.322000000000003</v>
      </c>
      <c r="F4325" s="129">
        <f t="shared" si="203"/>
        <v>4.6212872420000002</v>
      </c>
      <c r="G4325" t="str">
        <f>_xlfn.XLOOKUP(D4325,'[1]2050 BAU Mapping to T &amp; C'!$A$3:$A$52,'[1]2050 BAU Mapping to T &amp; C'!$B$3:$B$52)</f>
        <v xml:space="preserve">Oil crops </v>
      </c>
      <c r="H4325" s="129">
        <f>_xlfn.XLOOKUP(G4325,'[1]T&amp;C emissions for 2050 analysis'!$B$3:$B$23,'[1]T&amp;C emissions for 2050 analysis'!$C$3:$C$23)</f>
        <v>0.18333333333333335</v>
      </c>
      <c r="I4325" s="27">
        <f t="shared" si="201"/>
        <v>0.84723599436666674</v>
      </c>
      <c r="J4325" s="129">
        <f t="shared" si="202"/>
        <v>11.242366666666667</v>
      </c>
    </row>
    <row r="4326" spans="1:10" hidden="1" x14ac:dyDescent="0.35">
      <c r="A4326" s="126" t="s">
        <v>473</v>
      </c>
      <c r="B4326" t="str">
        <f>_xlfn.XLOOKUP(A4326,'[1]2050Pop'!$A$7:$A$143,'[1]2050Pop'!$D$7:$D$143)</f>
        <v>SSA</v>
      </c>
      <c r="C4326" s="127">
        <f>1000*_xlfn.XLOOKUP(A4326,'[1]2050Pop'!$A$7:$A$143,'[1]2050Pop'!$C$7:$C$143)</f>
        <v>137136</v>
      </c>
      <c r="D4326" s="126" t="s">
        <v>538</v>
      </c>
      <c r="E4326" s="128">
        <v>67.210999999999999</v>
      </c>
      <c r="F4326" s="129">
        <f t="shared" si="203"/>
        <v>9.2170476959999998</v>
      </c>
      <c r="G4326" t="str">
        <f>_xlfn.XLOOKUP(D4326,'[1]2050 BAU Mapping to T &amp; C'!$A$3:$A$52,'[1]2050 BAU Mapping to T &amp; C'!$B$3:$B$52)</f>
        <v xml:space="preserve">Oil crops </v>
      </c>
      <c r="H4326" s="129">
        <f>_xlfn.XLOOKUP(G4326,'[1]T&amp;C emissions for 2050 analysis'!$B$3:$B$23,'[1]T&amp;C emissions for 2050 analysis'!$C$3:$C$23)</f>
        <v>0.18333333333333335</v>
      </c>
      <c r="I4326" s="27">
        <f t="shared" si="201"/>
        <v>1.6897920776000002</v>
      </c>
      <c r="J4326" s="129">
        <f t="shared" si="202"/>
        <v>12.322016666666668</v>
      </c>
    </row>
    <row r="4327" spans="1:10" hidden="1" x14ac:dyDescent="0.35">
      <c r="A4327" s="126" t="s">
        <v>474</v>
      </c>
      <c r="B4327" t="str">
        <f>_xlfn.XLOOKUP(A4327,'[1]2050Pop'!$A$7:$A$143,'[1]2050Pop'!$D$7:$D$143)</f>
        <v>NAm</v>
      </c>
      <c r="C4327" s="127">
        <f>1000*_xlfn.XLOOKUP(A4327,'[1]2050Pop'!$A$7:$A$143,'[1]2050Pop'!$C$7:$C$143)</f>
        <v>388865</v>
      </c>
      <c r="D4327" s="126" t="s">
        <v>538</v>
      </c>
      <c r="E4327" s="128">
        <v>6.9279999999999999</v>
      </c>
      <c r="F4327" s="129">
        <f t="shared" si="203"/>
        <v>2.6940567200000003</v>
      </c>
      <c r="G4327" t="str">
        <f>_xlfn.XLOOKUP(D4327,'[1]2050 BAU Mapping to T &amp; C'!$A$3:$A$52,'[1]2050 BAU Mapping to T &amp; C'!$B$3:$B$52)</f>
        <v xml:space="preserve">Oil crops </v>
      </c>
      <c r="H4327" s="129">
        <f>_xlfn.XLOOKUP(G4327,'[1]T&amp;C emissions for 2050 analysis'!$B$3:$B$23,'[1]T&amp;C emissions for 2050 analysis'!$C$3:$C$23)</f>
        <v>0.18333333333333335</v>
      </c>
      <c r="I4327" s="27">
        <f t="shared" si="201"/>
        <v>0.49391039866666675</v>
      </c>
      <c r="J4327" s="129">
        <f t="shared" si="202"/>
        <v>1.2701333333333333</v>
      </c>
    </row>
    <row r="4328" spans="1:10" hidden="1" x14ac:dyDescent="0.35">
      <c r="A4328" s="126" t="s">
        <v>475</v>
      </c>
      <c r="B4328" t="str">
        <f>_xlfn.XLOOKUP(A4328,'[1]2050Pop'!$A$7:$A$143,'[1]2050Pop'!$D$7:$D$143)</f>
        <v>LatAm &amp; RSA</v>
      </c>
      <c r="C4328" s="127">
        <f>1000*_xlfn.XLOOKUP(A4328,'[1]2050Pop'!$A$7:$A$143,'[1]2050Pop'!$C$7:$C$143)</f>
        <v>3667</v>
      </c>
      <c r="D4328" s="126" t="s">
        <v>538</v>
      </c>
      <c r="E4328" s="128">
        <v>52.228000000000002</v>
      </c>
      <c r="F4328" s="129">
        <f t="shared" si="203"/>
        <v>0.19152007600000001</v>
      </c>
      <c r="G4328" t="str">
        <f>_xlfn.XLOOKUP(D4328,'[1]2050 BAU Mapping to T &amp; C'!$A$3:$A$52,'[1]2050 BAU Mapping to T &amp; C'!$B$3:$B$52)</f>
        <v xml:space="preserve">Oil crops </v>
      </c>
      <c r="H4328" s="129">
        <f>_xlfn.XLOOKUP(G4328,'[1]T&amp;C emissions for 2050 analysis'!$B$3:$B$23,'[1]T&amp;C emissions for 2050 analysis'!$C$3:$C$23)</f>
        <v>0.18333333333333335</v>
      </c>
      <c r="I4328" s="27">
        <f t="shared" si="201"/>
        <v>3.5112013933333339E-2</v>
      </c>
      <c r="J4328" s="129">
        <f t="shared" si="202"/>
        <v>9.5751333333333353</v>
      </c>
    </row>
    <row r="4329" spans="1:10" hidden="1" x14ac:dyDescent="0.35">
      <c r="A4329" s="126" t="s">
        <v>485</v>
      </c>
      <c r="B4329" t="str">
        <f>_xlfn.XLOOKUP(A4329,'[1]2050Pop'!$A$7:$A$143,'[1]2050Pop'!$D$7:$D$143)</f>
        <v>APAC</v>
      </c>
      <c r="C4329" s="127">
        <f>1000*_xlfn.XLOOKUP(A4329,'[1]2050Pop'!$A$7:$A$143,'[1]2050Pop'!$C$7:$C$143)</f>
        <v>37126</v>
      </c>
      <c r="D4329" s="126" t="s">
        <v>538</v>
      </c>
      <c r="E4329" s="128">
        <v>62.564</v>
      </c>
      <c r="F4329" s="129">
        <f t="shared" si="203"/>
        <v>2.3227510639999998</v>
      </c>
      <c r="G4329" t="str">
        <f>_xlfn.XLOOKUP(D4329,'[1]2050 BAU Mapping to T &amp; C'!$A$3:$A$52,'[1]2050 BAU Mapping to T &amp; C'!$B$3:$B$52)</f>
        <v xml:space="preserve">Oil crops </v>
      </c>
      <c r="H4329" s="129">
        <f>_xlfn.XLOOKUP(G4329,'[1]T&amp;C emissions for 2050 analysis'!$B$3:$B$23,'[1]T&amp;C emissions for 2050 analysis'!$C$3:$C$23)</f>
        <v>0.18333333333333335</v>
      </c>
      <c r="I4329" s="27">
        <f t="shared" si="201"/>
        <v>0.42583769506666663</v>
      </c>
      <c r="J4329" s="129">
        <f t="shared" si="202"/>
        <v>11.470066666666668</v>
      </c>
    </row>
    <row r="4330" spans="1:10" hidden="1" x14ac:dyDescent="0.35">
      <c r="A4330" s="126" t="s">
        <v>476</v>
      </c>
      <c r="B4330" t="str">
        <f>_xlfn.XLOOKUP(A4330,'[1]2050Pop'!$A$7:$A$143,'[1]2050Pop'!$D$7:$D$143)</f>
        <v>LatAm &amp; RSA</v>
      </c>
      <c r="C4330" s="127">
        <f>1000*_xlfn.XLOOKUP(A4330,'[1]2050Pop'!$A$7:$A$143,'[1]2050Pop'!$C$7:$C$143)</f>
        <v>41562</v>
      </c>
      <c r="D4330" s="126" t="s">
        <v>538</v>
      </c>
      <c r="E4330" s="128">
        <v>52.622999999999998</v>
      </c>
      <c r="F4330" s="129">
        <f t="shared" si="203"/>
        <v>2.1871171259999995</v>
      </c>
      <c r="G4330" t="str">
        <f>_xlfn.XLOOKUP(D4330,'[1]2050 BAU Mapping to T &amp; C'!$A$3:$A$52,'[1]2050 BAU Mapping to T &amp; C'!$B$3:$B$52)</f>
        <v xml:space="preserve">Oil crops </v>
      </c>
      <c r="H4330" s="129">
        <f>_xlfn.XLOOKUP(G4330,'[1]T&amp;C emissions for 2050 analysis'!$B$3:$B$23,'[1]T&amp;C emissions for 2050 analysis'!$C$3:$C$23)</f>
        <v>0.18333333333333335</v>
      </c>
      <c r="I4330" s="27">
        <f t="shared" si="201"/>
        <v>0.40097147309999992</v>
      </c>
      <c r="J4330" s="129">
        <f t="shared" si="202"/>
        <v>9.6475500000000007</v>
      </c>
    </row>
    <row r="4331" spans="1:10" hidden="1" x14ac:dyDescent="0.35">
      <c r="A4331" s="126" t="s">
        <v>478</v>
      </c>
      <c r="B4331" t="str">
        <f>_xlfn.XLOOKUP(A4331,'[1]2050Pop'!$A$7:$A$143,'[1]2050Pop'!$D$7:$D$143)</f>
        <v>MENA</v>
      </c>
      <c r="C4331" s="127">
        <f>1000*_xlfn.XLOOKUP(A4331,'[1]2050Pop'!$A$7:$A$143,'[1]2050Pop'!$C$7:$C$143)</f>
        <v>47170</v>
      </c>
      <c r="D4331" s="126" t="s">
        <v>538</v>
      </c>
      <c r="E4331" s="128">
        <v>9.6760000000000002</v>
      </c>
      <c r="F4331" s="129">
        <f t="shared" si="203"/>
        <v>0.45641692</v>
      </c>
      <c r="G4331" t="str">
        <f>_xlfn.XLOOKUP(D4331,'[1]2050 BAU Mapping to T &amp; C'!$A$3:$A$52,'[1]2050 BAU Mapping to T &amp; C'!$B$3:$B$52)</f>
        <v xml:space="preserve">Oil crops </v>
      </c>
      <c r="H4331" s="129">
        <f>_xlfn.XLOOKUP(G4331,'[1]T&amp;C emissions for 2050 analysis'!$B$3:$B$23,'[1]T&amp;C emissions for 2050 analysis'!$C$3:$C$23)</f>
        <v>0.18333333333333335</v>
      </c>
      <c r="I4331" s="27">
        <f t="shared" si="201"/>
        <v>8.367643533333334E-2</v>
      </c>
      <c r="J4331" s="129">
        <f t="shared" si="202"/>
        <v>1.7739333333333336</v>
      </c>
    </row>
    <row r="4332" spans="1:10" hidden="1" x14ac:dyDescent="0.35">
      <c r="A4332" s="126" t="s">
        <v>494</v>
      </c>
      <c r="B4332" t="str">
        <f>_xlfn.XLOOKUP(A4332,'[1]2050Pop'!$A$7:$A$143,'[1]2050Pop'!$D$7:$D$143)</f>
        <v>SSA</v>
      </c>
      <c r="C4332" s="127">
        <f>1000*_xlfn.XLOOKUP(A4332,'[1]2050Pop'!$A$7:$A$143,'[1]2050Pop'!$C$7:$C$143)</f>
        <v>42975</v>
      </c>
      <c r="D4332" s="126" t="s">
        <v>538</v>
      </c>
      <c r="E4332" s="128">
        <v>1.9419999999999999</v>
      </c>
      <c r="F4332" s="129">
        <f t="shared" si="203"/>
        <v>8.3457450000000002E-2</v>
      </c>
      <c r="G4332" t="str">
        <f>_xlfn.XLOOKUP(D4332,'[1]2050 BAU Mapping to T &amp; C'!$A$3:$A$52,'[1]2050 BAU Mapping to T &amp; C'!$B$3:$B$52)</f>
        <v xml:space="preserve">Oil crops </v>
      </c>
      <c r="H4332" s="129">
        <f>_xlfn.XLOOKUP(G4332,'[1]T&amp;C emissions for 2050 analysis'!$B$3:$B$23,'[1]T&amp;C emissions for 2050 analysis'!$C$3:$C$23)</f>
        <v>0.18333333333333335</v>
      </c>
      <c r="I4332" s="27">
        <f t="shared" si="201"/>
        <v>1.5300532500000002E-2</v>
      </c>
      <c r="J4332" s="129">
        <f t="shared" si="202"/>
        <v>0.35603333333333337</v>
      </c>
    </row>
    <row r="4333" spans="1:10" hidden="1" x14ac:dyDescent="0.35">
      <c r="A4333" s="126" t="s">
        <v>479</v>
      </c>
      <c r="B4333" t="str">
        <f>_xlfn.XLOOKUP(A4333,'[1]2050Pop'!$A$7:$A$143,'[1]2050Pop'!$D$7:$D$143)</f>
        <v>SSA</v>
      </c>
      <c r="C4333" s="127">
        <f>1000*_xlfn.XLOOKUP(A4333,'[1]2050Pop'!$A$7:$A$143,'[1]2050Pop'!$C$7:$C$143)</f>
        <v>29615</v>
      </c>
      <c r="D4333" s="126" t="s">
        <v>538</v>
      </c>
      <c r="E4333" s="128">
        <v>104.46899999999999</v>
      </c>
      <c r="F4333" s="129">
        <f t="shared" si="203"/>
        <v>3.0938494350000001</v>
      </c>
      <c r="G4333" t="str">
        <f>_xlfn.XLOOKUP(D4333,'[1]2050 BAU Mapping to T &amp; C'!$A$3:$A$52,'[1]2050 BAU Mapping to T &amp; C'!$B$3:$B$52)</f>
        <v xml:space="preserve">Oil crops </v>
      </c>
      <c r="H4333" s="129">
        <f>_xlfn.XLOOKUP(G4333,'[1]T&amp;C emissions for 2050 analysis'!$B$3:$B$23,'[1]T&amp;C emissions for 2050 analysis'!$C$3:$C$23)</f>
        <v>0.18333333333333335</v>
      </c>
      <c r="I4333" s="27">
        <f t="shared" si="201"/>
        <v>0.56720572975000005</v>
      </c>
      <c r="J4333" s="129">
        <f t="shared" si="202"/>
        <v>19.152650000000001</v>
      </c>
    </row>
    <row r="4334" spans="1:10" hidden="1" x14ac:dyDescent="0.35">
      <c r="A4334" s="126" t="s">
        <v>357</v>
      </c>
      <c r="B4334" t="str">
        <f>_xlfn.XLOOKUP(A4334,'[1]2050Pop'!$A$7:$A$143,'[1]2050Pop'!$D$7:$D$143)</f>
        <v>Euro/AU/NZ</v>
      </c>
      <c r="C4334" s="127">
        <f>1000*_xlfn.XLOOKUP(A4334,'[1]2050Pop'!$A$7:$A$143,'[1]2050Pop'!$C$7:$C$143)</f>
        <v>2710</v>
      </c>
      <c r="D4334" s="126" t="s">
        <v>539</v>
      </c>
      <c r="E4334" s="128">
        <v>0.997</v>
      </c>
      <c r="F4334" s="129">
        <f t="shared" si="203"/>
        <v>2.7018699999999999E-3</v>
      </c>
      <c r="G4334" t="str">
        <f>_xlfn.XLOOKUP(D4334,'[1]2050 BAU Mapping to T &amp; C'!$A$3:$A$52,'[1]2050 BAU Mapping to T &amp; C'!$B$3:$B$52)</f>
        <v>Starchy roots</v>
      </c>
      <c r="H4334" s="129">
        <f>_xlfn.XLOOKUP(G4334,'[1]T&amp;C emissions for 2050 analysis'!$B$3:$B$23,'[1]T&amp;C emissions for 2050 analysis'!$C$3:$C$23)</f>
        <v>0.10999999999999999</v>
      </c>
      <c r="I4334" s="27">
        <f t="shared" si="201"/>
        <v>2.9720569999999995E-4</v>
      </c>
      <c r="J4334" s="129">
        <f t="shared" si="202"/>
        <v>0.10966999999999999</v>
      </c>
    </row>
    <row r="4335" spans="1:10" hidden="1" x14ac:dyDescent="0.35">
      <c r="A4335" s="126" t="s">
        <v>359</v>
      </c>
      <c r="B4335" t="str">
        <f>_xlfn.XLOOKUP(A4335,'[1]2050Pop'!$A$7:$A$143,'[1]2050Pop'!$D$7:$D$143)</f>
        <v>SSA</v>
      </c>
      <c r="C4335" s="127">
        <f>1000*_xlfn.XLOOKUP(A4335,'[1]2050Pop'!$A$7:$A$143,'[1]2050Pop'!$C$7:$C$143)</f>
        <v>65473</v>
      </c>
      <c r="D4335" s="126" t="s">
        <v>539</v>
      </c>
      <c r="E4335" s="128">
        <v>94.460999999999999</v>
      </c>
      <c r="F4335" s="129">
        <f t="shared" si="203"/>
        <v>6.1846450530000006</v>
      </c>
      <c r="G4335" t="str">
        <f>_xlfn.XLOOKUP(D4335,'[1]2050 BAU Mapping to T &amp; C'!$A$3:$A$52,'[1]2050 BAU Mapping to T &amp; C'!$B$3:$B$52)</f>
        <v>Starchy roots</v>
      </c>
      <c r="H4335" s="129">
        <f>_xlfn.XLOOKUP(G4335,'[1]T&amp;C emissions for 2050 analysis'!$B$3:$B$23,'[1]T&amp;C emissions for 2050 analysis'!$C$3:$C$23)</f>
        <v>0.10999999999999999</v>
      </c>
      <c r="I4335" s="27">
        <f t="shared" si="201"/>
        <v>0.68031095583000001</v>
      </c>
      <c r="J4335" s="129">
        <f t="shared" si="202"/>
        <v>10.390709999999999</v>
      </c>
    </row>
    <row r="4336" spans="1:10" hidden="1" x14ac:dyDescent="0.35">
      <c r="A4336" s="126" t="s">
        <v>360</v>
      </c>
      <c r="B4336" t="str">
        <f>_xlfn.XLOOKUP(A4336,'[1]2050Pop'!$A$7:$A$143,'[1]2050Pop'!$D$7:$D$143)</f>
        <v>LatAm &amp; RSA</v>
      </c>
      <c r="C4336" s="127">
        <f>1000*_xlfn.XLOOKUP(A4336,'[1]2050Pop'!$A$7:$A$143,'[1]2050Pop'!$C$7:$C$143)</f>
        <v>55445</v>
      </c>
      <c r="D4336" s="126" t="s">
        <v>539</v>
      </c>
      <c r="E4336" s="128">
        <v>12.653</v>
      </c>
      <c r="F4336" s="129">
        <f t="shared" si="203"/>
        <v>0.70154558500000008</v>
      </c>
      <c r="G4336" t="str">
        <f>_xlfn.XLOOKUP(D4336,'[1]2050 BAU Mapping to T &amp; C'!$A$3:$A$52,'[1]2050 BAU Mapping to T &amp; C'!$B$3:$B$52)</f>
        <v>Starchy roots</v>
      </c>
      <c r="H4336" s="129">
        <f>_xlfn.XLOOKUP(G4336,'[1]T&amp;C emissions for 2050 analysis'!$B$3:$B$23,'[1]T&amp;C emissions for 2050 analysis'!$C$3:$C$23)</f>
        <v>0.10999999999999999</v>
      </c>
      <c r="I4336" s="27">
        <f t="shared" si="201"/>
        <v>7.7170014349999996E-2</v>
      </c>
      <c r="J4336" s="129">
        <f t="shared" si="202"/>
        <v>1.3918299999999999</v>
      </c>
    </row>
    <row r="4337" spans="1:10" hidden="1" x14ac:dyDescent="0.35">
      <c r="A4337" s="126" t="s">
        <v>362</v>
      </c>
      <c r="B4337" t="str">
        <f>_xlfn.XLOOKUP(A4337,'[1]2050Pop'!$A$7:$A$143,'[1]2050Pop'!$D$7:$D$143)</f>
        <v>Euro/AU/NZ</v>
      </c>
      <c r="C4337" s="127">
        <f>1000*_xlfn.XLOOKUP(A4337,'[1]2050Pop'!$A$7:$A$143,'[1]2050Pop'!$C$7:$C$143)</f>
        <v>33496</v>
      </c>
      <c r="D4337" s="126" t="s">
        <v>539</v>
      </c>
      <c r="E4337" s="128">
        <v>1.6439999999999999</v>
      </c>
      <c r="F4337" s="129">
        <f t="shared" si="203"/>
        <v>5.5067423999999997E-2</v>
      </c>
      <c r="G4337" t="str">
        <f>_xlfn.XLOOKUP(D4337,'[1]2050 BAU Mapping to T &amp; C'!$A$3:$A$52,'[1]2050 BAU Mapping to T &amp; C'!$B$3:$B$52)</f>
        <v>Starchy roots</v>
      </c>
      <c r="H4337" s="129">
        <f>_xlfn.XLOOKUP(G4337,'[1]T&amp;C emissions for 2050 analysis'!$B$3:$B$23,'[1]T&amp;C emissions for 2050 analysis'!$C$3:$C$23)</f>
        <v>0.10999999999999999</v>
      </c>
      <c r="I4337" s="27">
        <f t="shared" si="201"/>
        <v>6.0574166399999987E-3</v>
      </c>
      <c r="J4337" s="129">
        <f t="shared" si="202"/>
        <v>0.18083999999999997</v>
      </c>
    </row>
    <row r="4338" spans="1:10" hidden="1" x14ac:dyDescent="0.35">
      <c r="A4338" s="126" t="s">
        <v>365</v>
      </c>
      <c r="B4338" t="str">
        <f>_xlfn.XLOOKUP(A4338,'[1]2050Pop'!$A$7:$A$143,'[1]2050Pop'!$D$7:$D$143)</f>
        <v>India/South Asia</v>
      </c>
      <c r="C4338" s="127">
        <f>1000*_xlfn.XLOOKUP(A4338,'[1]2050Pop'!$A$7:$A$143,'[1]2050Pop'!$C$7:$C$143)</f>
        <v>202209</v>
      </c>
      <c r="D4338" s="126" t="s">
        <v>539</v>
      </c>
      <c r="E4338" s="128">
        <v>2.5430000000000001</v>
      </c>
      <c r="F4338" s="129">
        <f t="shared" si="203"/>
        <v>0.51421748700000003</v>
      </c>
      <c r="G4338" t="str">
        <f>_xlfn.XLOOKUP(D4338,'[1]2050 BAU Mapping to T &amp; C'!$A$3:$A$52,'[1]2050 BAU Mapping to T &amp; C'!$B$3:$B$52)</f>
        <v>Starchy roots</v>
      </c>
      <c r="H4338" s="129">
        <f>_xlfn.XLOOKUP(G4338,'[1]T&amp;C emissions for 2050 analysis'!$B$3:$B$23,'[1]T&amp;C emissions for 2050 analysis'!$C$3:$C$23)</f>
        <v>0.10999999999999999</v>
      </c>
      <c r="I4338" s="27">
        <f t="shared" si="201"/>
        <v>5.6563923569999994E-2</v>
      </c>
      <c r="J4338" s="129">
        <f t="shared" si="202"/>
        <v>0.27972999999999998</v>
      </c>
    </row>
    <row r="4339" spans="1:10" hidden="1" x14ac:dyDescent="0.35">
      <c r="A4339" s="126" t="s">
        <v>368</v>
      </c>
      <c r="B4339" t="str">
        <f>_xlfn.XLOOKUP(A4339,'[1]2050Pop'!$A$7:$A$143,'[1]2050Pop'!$D$7:$D$143)</f>
        <v>SSA</v>
      </c>
      <c r="C4339" s="127">
        <f>1000*_xlfn.XLOOKUP(A4339,'[1]2050Pop'!$A$7:$A$143,'[1]2050Pop'!$C$7:$C$143)</f>
        <v>22549</v>
      </c>
      <c r="D4339" s="126" t="s">
        <v>539</v>
      </c>
      <c r="E4339" s="128">
        <v>467.678</v>
      </c>
      <c r="F4339" s="129">
        <f t="shared" si="203"/>
        <v>10.545671221999999</v>
      </c>
      <c r="G4339" t="str">
        <f>_xlfn.XLOOKUP(D4339,'[1]2050 BAU Mapping to T &amp; C'!$A$3:$A$52,'[1]2050 BAU Mapping to T &amp; C'!$B$3:$B$52)</f>
        <v>Starchy roots</v>
      </c>
      <c r="H4339" s="129">
        <f>_xlfn.XLOOKUP(G4339,'[1]T&amp;C emissions for 2050 analysis'!$B$3:$B$23,'[1]T&amp;C emissions for 2050 analysis'!$C$3:$C$23)</f>
        <v>0.10999999999999999</v>
      </c>
      <c r="I4339" s="27">
        <f t="shared" si="201"/>
        <v>1.1600238344199998</v>
      </c>
      <c r="J4339" s="129">
        <f t="shared" si="202"/>
        <v>51.444579999999995</v>
      </c>
    </row>
    <row r="4340" spans="1:10" hidden="1" x14ac:dyDescent="0.35">
      <c r="A4340" s="126" t="s">
        <v>369</v>
      </c>
      <c r="B4340" t="str">
        <f>_xlfn.XLOOKUP(A4340,'[1]2050Pop'!$A$7:$A$143,'[1]2050Pop'!$D$7:$D$143)</f>
        <v>LatAm &amp; RSA</v>
      </c>
      <c r="C4340" s="127">
        <f>1000*_xlfn.XLOOKUP(A4340,'[1]2050Pop'!$A$7:$A$143,'[1]2050Pop'!$C$7:$C$143)</f>
        <v>15963</v>
      </c>
      <c r="D4340" s="126" t="s">
        <v>539</v>
      </c>
      <c r="E4340" s="128">
        <v>0.69299999999999995</v>
      </c>
      <c r="F4340" s="129">
        <f t="shared" si="203"/>
        <v>1.1062358999999999E-2</v>
      </c>
      <c r="G4340" t="str">
        <f>_xlfn.XLOOKUP(D4340,'[1]2050 BAU Mapping to T &amp; C'!$A$3:$A$52,'[1]2050 BAU Mapping to T &amp; C'!$B$3:$B$52)</f>
        <v>Starchy roots</v>
      </c>
      <c r="H4340" s="129">
        <f>_xlfn.XLOOKUP(G4340,'[1]T&amp;C emissions for 2050 analysis'!$B$3:$B$23,'[1]T&amp;C emissions for 2050 analysis'!$C$3:$C$23)</f>
        <v>0.10999999999999999</v>
      </c>
      <c r="I4340" s="27">
        <f t="shared" si="201"/>
        <v>1.2168594899999998E-3</v>
      </c>
      <c r="J4340" s="129">
        <f t="shared" si="202"/>
        <v>7.6229999999999978E-2</v>
      </c>
    </row>
    <row r="4341" spans="1:10" hidden="1" x14ac:dyDescent="0.35">
      <c r="A4341" s="126" t="s">
        <v>371</v>
      </c>
      <c r="B4341" t="str">
        <f>_xlfn.XLOOKUP(A4341,'[1]2050Pop'!$A$7:$A$143,'[1]2050Pop'!$D$7:$D$143)</f>
        <v>SSA</v>
      </c>
      <c r="C4341" s="127">
        <f>1000*_xlfn.XLOOKUP(A4341,'[1]2050Pop'!$A$7:$A$143,'[1]2050Pop'!$C$7:$C$143)</f>
        <v>3389</v>
      </c>
      <c r="D4341" s="126" t="s">
        <v>539</v>
      </c>
      <c r="E4341" s="128">
        <v>0.95399999999999996</v>
      </c>
      <c r="F4341" s="129">
        <f t="shared" si="203"/>
        <v>3.2331059999999999E-3</v>
      </c>
      <c r="G4341" t="str">
        <f>_xlfn.XLOOKUP(D4341,'[1]2050 BAU Mapping to T &amp; C'!$A$3:$A$52,'[1]2050 BAU Mapping to T &amp; C'!$B$3:$B$52)</f>
        <v>Starchy roots</v>
      </c>
      <c r="H4341" s="129">
        <f>_xlfn.XLOOKUP(G4341,'[1]T&amp;C emissions for 2050 analysis'!$B$3:$B$23,'[1]T&amp;C emissions for 2050 analysis'!$C$3:$C$23)</f>
        <v>0.10999999999999999</v>
      </c>
      <c r="I4341" s="27">
        <f t="shared" si="201"/>
        <v>3.5564165999999993E-4</v>
      </c>
      <c r="J4341" s="129">
        <f t="shared" si="202"/>
        <v>0.10493999999999998</v>
      </c>
    </row>
    <row r="4342" spans="1:10" hidden="1" x14ac:dyDescent="0.35">
      <c r="A4342" s="126" t="s">
        <v>372</v>
      </c>
      <c r="B4342" t="str">
        <f>_xlfn.XLOOKUP(A4342,'[1]2050Pop'!$A$7:$A$143,'[1]2050Pop'!$D$7:$D$143)</f>
        <v>LatAm &amp; RSA</v>
      </c>
      <c r="C4342" s="127">
        <f>1000*_xlfn.XLOOKUP(A4342,'[1]2050Pop'!$A$7:$A$143,'[1]2050Pop'!$C$7:$C$143)</f>
        <v>238270</v>
      </c>
      <c r="D4342" s="126" t="s">
        <v>539</v>
      </c>
      <c r="E4342" s="130">
        <v>3.97</v>
      </c>
      <c r="F4342" s="129">
        <f t="shared" si="203"/>
        <v>0.94593190000000005</v>
      </c>
      <c r="G4342" t="str">
        <f>_xlfn.XLOOKUP(D4342,'[1]2050 BAU Mapping to T &amp; C'!$A$3:$A$52,'[1]2050 BAU Mapping to T &amp; C'!$B$3:$B$52)</f>
        <v>Starchy roots</v>
      </c>
      <c r="H4342" s="129">
        <f>_xlfn.XLOOKUP(G4342,'[1]T&amp;C emissions for 2050 analysis'!$B$3:$B$23,'[1]T&amp;C emissions for 2050 analysis'!$C$3:$C$23)</f>
        <v>0.10999999999999999</v>
      </c>
      <c r="I4342" s="27">
        <f t="shared" si="201"/>
        <v>0.10405250899999999</v>
      </c>
      <c r="J4342" s="129">
        <f t="shared" si="202"/>
        <v>0.43669999999999998</v>
      </c>
    </row>
    <row r="4343" spans="1:10" hidden="1" x14ac:dyDescent="0.35">
      <c r="A4343" s="126" t="s">
        <v>373</v>
      </c>
      <c r="B4343" t="str">
        <f>_xlfn.XLOOKUP(A4343,'[1]2050Pop'!$A$7:$A$143,'[1]2050Pop'!$D$7:$D$143)</f>
        <v>Euro/AU/NZ</v>
      </c>
      <c r="C4343" s="127">
        <f>1000*_xlfn.XLOOKUP(A4343,'[1]2050Pop'!$A$7:$A$143,'[1]2050Pop'!$C$7:$C$143)</f>
        <v>5154</v>
      </c>
      <c r="D4343" s="126" t="s">
        <v>539</v>
      </c>
      <c r="E4343" s="128">
        <v>0.51500000000000001</v>
      </c>
      <c r="F4343" s="129">
        <f t="shared" si="203"/>
        <v>2.65431E-3</v>
      </c>
      <c r="G4343" t="str">
        <f>_xlfn.XLOOKUP(D4343,'[1]2050 BAU Mapping to T &amp; C'!$A$3:$A$52,'[1]2050 BAU Mapping to T &amp; C'!$B$3:$B$52)</f>
        <v>Starchy roots</v>
      </c>
      <c r="H4343" s="129">
        <f>_xlfn.XLOOKUP(G4343,'[1]T&amp;C emissions for 2050 analysis'!$B$3:$B$23,'[1]T&amp;C emissions for 2050 analysis'!$C$3:$C$23)</f>
        <v>0.10999999999999999</v>
      </c>
      <c r="I4343" s="27">
        <f t="shared" si="201"/>
        <v>2.9197409999999995E-4</v>
      </c>
      <c r="J4343" s="129">
        <f t="shared" si="202"/>
        <v>5.6649999999999992E-2</v>
      </c>
    </row>
    <row r="4344" spans="1:10" hidden="1" x14ac:dyDescent="0.35">
      <c r="A4344" s="126" t="s">
        <v>487</v>
      </c>
      <c r="B4344" t="str">
        <f>_xlfn.XLOOKUP(A4344,'[1]2050Pop'!$A$7:$A$143,'[1]2050Pop'!$D$7:$D$143)</f>
        <v>SSA</v>
      </c>
      <c r="C4344" s="127">
        <f>1000*_xlfn.XLOOKUP(A4344,'[1]2050Pop'!$A$7:$A$143,'[1]2050Pop'!$C$7:$C$143)</f>
        <v>42789</v>
      </c>
      <c r="D4344" s="126" t="s">
        <v>539</v>
      </c>
      <c r="E4344" s="128">
        <v>36.408000000000001</v>
      </c>
      <c r="F4344" s="129">
        <f t="shared" si="203"/>
        <v>1.5578619119999999</v>
      </c>
      <c r="G4344" t="str">
        <f>_xlfn.XLOOKUP(D4344,'[1]2050 BAU Mapping to T &amp; C'!$A$3:$A$52,'[1]2050 BAU Mapping to T &amp; C'!$B$3:$B$52)</f>
        <v>Starchy roots</v>
      </c>
      <c r="H4344" s="129">
        <f>_xlfn.XLOOKUP(G4344,'[1]T&amp;C emissions for 2050 analysis'!$B$3:$B$23,'[1]T&amp;C emissions for 2050 analysis'!$C$3:$C$23)</f>
        <v>0.10999999999999999</v>
      </c>
      <c r="I4344" s="27">
        <f t="shared" si="201"/>
        <v>0.17136481031999998</v>
      </c>
      <c r="J4344" s="129">
        <f t="shared" si="202"/>
        <v>4.00488</v>
      </c>
    </row>
    <row r="4345" spans="1:10" hidden="1" x14ac:dyDescent="0.35">
      <c r="A4345" s="126" t="s">
        <v>374</v>
      </c>
      <c r="B4345" t="str">
        <f>_xlfn.XLOOKUP(A4345,'[1]2050Pop'!$A$7:$A$143,'[1]2050Pop'!$D$7:$D$143)</f>
        <v>APAC</v>
      </c>
      <c r="C4345" s="127">
        <f>1000*_xlfn.XLOOKUP(A4345,'[1]2050Pop'!$A$7:$A$143,'[1]2050Pop'!$C$7:$C$143)</f>
        <v>22545</v>
      </c>
      <c r="D4345" s="126" t="s">
        <v>539</v>
      </c>
      <c r="E4345" s="128">
        <v>10.199</v>
      </c>
      <c r="F4345" s="129">
        <f t="shared" si="203"/>
        <v>0.22993645499999998</v>
      </c>
      <c r="G4345" t="str">
        <f>_xlfn.XLOOKUP(D4345,'[1]2050 BAU Mapping to T &amp; C'!$A$3:$A$52,'[1]2050 BAU Mapping to T &amp; C'!$B$3:$B$52)</f>
        <v>Starchy roots</v>
      </c>
      <c r="H4345" s="129">
        <f>_xlfn.XLOOKUP(G4345,'[1]T&amp;C emissions for 2050 analysis'!$B$3:$B$23,'[1]T&amp;C emissions for 2050 analysis'!$C$3:$C$23)</f>
        <v>0.10999999999999999</v>
      </c>
      <c r="I4345" s="27">
        <f t="shared" si="201"/>
        <v>2.5293010049999995E-2</v>
      </c>
      <c r="J4345" s="129">
        <f t="shared" si="202"/>
        <v>1.1218899999999998</v>
      </c>
    </row>
    <row r="4346" spans="1:10" hidden="1" x14ac:dyDescent="0.35">
      <c r="A4346" s="126" t="s">
        <v>375</v>
      </c>
      <c r="B4346" t="str">
        <f>_xlfn.XLOOKUP(A4346,'[1]2050Pop'!$A$7:$A$143,'[1]2050Pop'!$D$7:$D$143)</f>
        <v>SSA</v>
      </c>
      <c r="C4346" s="127">
        <f>1000*_xlfn.XLOOKUP(A4346,'[1]2050Pop'!$A$7:$A$143,'[1]2050Pop'!$C$7:$C$143)</f>
        <v>48362</v>
      </c>
      <c r="D4346" s="126" t="s">
        <v>539</v>
      </c>
      <c r="E4346" s="131">
        <v>86.5</v>
      </c>
      <c r="F4346" s="129">
        <f t="shared" si="203"/>
        <v>4.1833130000000001</v>
      </c>
      <c r="G4346" t="str">
        <f>_xlfn.XLOOKUP(D4346,'[1]2050 BAU Mapping to T &amp; C'!$A$3:$A$52,'[1]2050 BAU Mapping to T &amp; C'!$B$3:$B$52)</f>
        <v>Starchy roots</v>
      </c>
      <c r="H4346" s="129">
        <f>_xlfn.XLOOKUP(G4346,'[1]T&amp;C emissions for 2050 analysis'!$B$3:$B$23,'[1]T&amp;C emissions for 2050 analysis'!$C$3:$C$23)</f>
        <v>0.10999999999999999</v>
      </c>
      <c r="I4346" s="27">
        <f t="shared" si="201"/>
        <v>0.46016442999999996</v>
      </c>
      <c r="J4346" s="129">
        <f t="shared" si="202"/>
        <v>9.5149999999999988</v>
      </c>
    </row>
    <row r="4347" spans="1:10" hidden="1" x14ac:dyDescent="0.35">
      <c r="A4347" s="126" t="s">
        <v>376</v>
      </c>
      <c r="B4347" t="str">
        <f>_xlfn.XLOOKUP(A4347,'[1]2050Pop'!$A$7:$A$143,'[1]2050Pop'!$D$7:$D$143)</f>
        <v>NAm</v>
      </c>
      <c r="C4347" s="127">
        <f>1000*_xlfn.XLOOKUP(A4347,'[1]2050Pop'!$A$7:$A$143,'[1]2050Pop'!$C$7:$C$143)</f>
        <v>44136</v>
      </c>
      <c r="D4347" s="126" t="s">
        <v>539</v>
      </c>
      <c r="E4347" s="130">
        <v>1.83</v>
      </c>
      <c r="F4347" s="129">
        <f t="shared" si="203"/>
        <v>8.0768880000000001E-2</v>
      </c>
      <c r="G4347" t="str">
        <f>_xlfn.XLOOKUP(D4347,'[1]2050 BAU Mapping to T &amp; C'!$A$3:$A$52,'[1]2050 BAU Mapping to T &amp; C'!$B$3:$B$52)</f>
        <v>Starchy roots</v>
      </c>
      <c r="H4347" s="129">
        <f>_xlfn.XLOOKUP(G4347,'[1]T&amp;C emissions for 2050 analysis'!$B$3:$B$23,'[1]T&amp;C emissions for 2050 analysis'!$C$3:$C$23)</f>
        <v>0.10999999999999999</v>
      </c>
      <c r="I4347" s="27">
        <f t="shared" si="201"/>
        <v>8.8845767999999985E-3</v>
      </c>
      <c r="J4347" s="129">
        <f t="shared" si="202"/>
        <v>0.20129999999999998</v>
      </c>
    </row>
    <row r="4348" spans="1:10" hidden="1" x14ac:dyDescent="0.35">
      <c r="A4348" s="126" t="s">
        <v>377</v>
      </c>
      <c r="B4348" t="str">
        <f>_xlfn.XLOOKUP(A4348,'[1]2050Pop'!$A$7:$A$143,'[1]2050Pop'!$D$7:$D$143)</f>
        <v>SSA</v>
      </c>
      <c r="C4348" s="127">
        <f>1000*_xlfn.XLOOKUP(A4348,'[1]2050Pop'!$A$7:$A$143,'[1]2050Pop'!$C$7:$C$143)</f>
        <v>8782</v>
      </c>
      <c r="D4348" s="126" t="s">
        <v>539</v>
      </c>
      <c r="E4348" s="128">
        <v>260.43599999999998</v>
      </c>
      <c r="F4348" s="129">
        <f t="shared" si="203"/>
        <v>2.2871489519999995</v>
      </c>
      <c r="G4348" t="str">
        <f>_xlfn.XLOOKUP(D4348,'[1]2050 BAU Mapping to T &amp; C'!$A$3:$A$52,'[1]2050 BAU Mapping to T &amp; C'!$B$3:$B$52)</f>
        <v>Starchy roots</v>
      </c>
      <c r="H4348" s="129">
        <f>_xlfn.XLOOKUP(G4348,'[1]T&amp;C emissions for 2050 analysis'!$B$3:$B$23,'[1]T&amp;C emissions for 2050 analysis'!$C$3:$C$23)</f>
        <v>0.10999999999999999</v>
      </c>
      <c r="I4348" s="27">
        <f t="shared" si="201"/>
        <v>0.25158638471999989</v>
      </c>
      <c r="J4348" s="129">
        <f t="shared" si="202"/>
        <v>28.647959999999994</v>
      </c>
    </row>
    <row r="4349" spans="1:10" hidden="1" x14ac:dyDescent="0.35">
      <c r="A4349" s="126" t="s">
        <v>488</v>
      </c>
      <c r="B4349" t="str">
        <f>_xlfn.XLOOKUP(A4349,'[1]2050Pop'!$A$7:$A$143,'[1]2050Pop'!$D$7:$D$143)</f>
        <v>SSA</v>
      </c>
      <c r="C4349" s="127">
        <f>1000*_xlfn.XLOOKUP(A4349,'[1]2050Pop'!$A$7:$A$143,'[1]2050Pop'!$C$7:$C$143)</f>
        <v>35131</v>
      </c>
      <c r="D4349" s="126" t="s">
        <v>539</v>
      </c>
      <c r="E4349" s="128">
        <v>100.845</v>
      </c>
      <c r="F4349" s="129">
        <f t="shared" si="203"/>
        <v>3.5427856949999996</v>
      </c>
      <c r="G4349" t="str">
        <f>_xlfn.XLOOKUP(D4349,'[1]2050 BAU Mapping to T &amp; C'!$A$3:$A$52,'[1]2050 BAU Mapping to T &amp; C'!$B$3:$B$52)</f>
        <v>Starchy roots</v>
      </c>
      <c r="H4349" s="129">
        <f>_xlfn.XLOOKUP(G4349,'[1]T&amp;C emissions for 2050 analysis'!$B$3:$B$23,'[1]T&amp;C emissions for 2050 analysis'!$C$3:$C$23)</f>
        <v>0.10999999999999999</v>
      </c>
      <c r="I4349" s="27">
        <f t="shared" si="201"/>
        <v>0.38970642644999992</v>
      </c>
      <c r="J4349" s="129">
        <f t="shared" si="202"/>
        <v>11.092949999999998</v>
      </c>
    </row>
    <row r="4350" spans="1:10" hidden="1" x14ac:dyDescent="0.35">
      <c r="A4350" s="126" t="s">
        <v>378</v>
      </c>
      <c r="B4350" t="str">
        <f>_xlfn.XLOOKUP(A4350,'[1]2050Pop'!$A$7:$A$143,'[1]2050Pop'!$D$7:$D$143)</f>
        <v>LatAm &amp; RSA</v>
      </c>
      <c r="C4350" s="127">
        <f>1000*_xlfn.XLOOKUP(A4350,'[1]2050Pop'!$A$7:$A$143,'[1]2050Pop'!$C$7:$C$143)</f>
        <v>21601</v>
      </c>
      <c r="D4350" s="126" t="s">
        <v>539</v>
      </c>
      <c r="E4350" s="128">
        <v>1.0309999999999999</v>
      </c>
      <c r="F4350" s="129">
        <f t="shared" si="203"/>
        <v>2.2270630999999999E-2</v>
      </c>
      <c r="G4350" t="str">
        <f>_xlfn.XLOOKUP(D4350,'[1]2050 BAU Mapping to T &amp; C'!$A$3:$A$52,'[1]2050 BAU Mapping to T &amp; C'!$B$3:$B$52)</f>
        <v>Starchy roots</v>
      </c>
      <c r="H4350" s="129">
        <f>_xlfn.XLOOKUP(G4350,'[1]T&amp;C emissions for 2050 analysis'!$B$3:$B$23,'[1]T&amp;C emissions for 2050 analysis'!$C$3:$C$23)</f>
        <v>0.10999999999999999</v>
      </c>
      <c r="I4350" s="27">
        <f t="shared" si="201"/>
        <v>2.4497694099999997E-3</v>
      </c>
      <c r="J4350" s="129">
        <f t="shared" si="202"/>
        <v>0.11340999999999998</v>
      </c>
    </row>
    <row r="4351" spans="1:10" hidden="1" x14ac:dyDescent="0.35">
      <c r="A4351" s="126" t="s">
        <v>379</v>
      </c>
      <c r="B4351" t="str">
        <f>_xlfn.XLOOKUP(A4351,'[1]2050Pop'!$A$7:$A$143,'[1]2050Pop'!$D$7:$D$143)</f>
        <v>Greater China</v>
      </c>
      <c r="C4351" s="127">
        <f>1000*_xlfn.XLOOKUP(A4351,'[1]2050Pop'!$A$7:$A$143,'[1]2050Pop'!$C$7:$C$143)</f>
        <v>8148</v>
      </c>
      <c r="D4351" s="126" t="s">
        <v>539</v>
      </c>
      <c r="E4351" s="128">
        <v>0.52900000000000003</v>
      </c>
      <c r="F4351" s="129">
        <f t="shared" si="203"/>
        <v>4.3102920000000003E-3</v>
      </c>
      <c r="G4351" t="str">
        <f>_xlfn.XLOOKUP(D4351,'[1]2050 BAU Mapping to T &amp; C'!$A$3:$A$52,'[1]2050 BAU Mapping to T &amp; C'!$B$3:$B$52)</f>
        <v>Starchy roots</v>
      </c>
      <c r="H4351" s="129">
        <f>_xlfn.XLOOKUP(G4351,'[1]T&amp;C emissions for 2050 analysis'!$B$3:$B$23,'[1]T&amp;C emissions for 2050 analysis'!$C$3:$C$23)</f>
        <v>0.10999999999999999</v>
      </c>
      <c r="I4351" s="27">
        <f t="shared" si="201"/>
        <v>4.7413212E-4</v>
      </c>
      <c r="J4351" s="129">
        <f t="shared" si="202"/>
        <v>5.8189999999999999E-2</v>
      </c>
    </row>
    <row r="4352" spans="1:10" hidden="1" x14ac:dyDescent="0.35">
      <c r="A4352" s="126" t="s">
        <v>380</v>
      </c>
      <c r="B4352" t="str">
        <f>_xlfn.XLOOKUP(A4352,'[1]2050Pop'!$A$7:$A$143,'[1]2050Pop'!$D$7:$D$143)</f>
        <v>Greater China</v>
      </c>
      <c r="C4352" s="127">
        <f>1000*_xlfn.XLOOKUP(A4352,'[1]2050Pop'!$A$7:$A$143,'[1]2050Pop'!$C$7:$C$143)</f>
        <v>1348056</v>
      </c>
      <c r="D4352" s="126" t="s">
        <v>539</v>
      </c>
      <c r="E4352" s="128">
        <v>43.850999999999999</v>
      </c>
      <c r="F4352" s="129">
        <f t="shared" si="203"/>
        <v>59.113603655999995</v>
      </c>
      <c r="G4352" t="str">
        <f>_xlfn.XLOOKUP(D4352,'[1]2050 BAU Mapping to T &amp; C'!$A$3:$A$52,'[1]2050 BAU Mapping to T &amp; C'!$B$3:$B$52)</f>
        <v>Starchy roots</v>
      </c>
      <c r="H4352" s="129">
        <f>_xlfn.XLOOKUP(G4352,'[1]T&amp;C emissions for 2050 analysis'!$B$3:$B$23,'[1]T&amp;C emissions for 2050 analysis'!$C$3:$C$23)</f>
        <v>0.10999999999999999</v>
      </c>
      <c r="I4352" s="27">
        <f t="shared" si="201"/>
        <v>6.5024964021599985</v>
      </c>
      <c r="J4352" s="129">
        <f t="shared" si="202"/>
        <v>4.8236099999999995</v>
      </c>
    </row>
    <row r="4353" spans="1:10" hidden="1" x14ac:dyDescent="0.35">
      <c r="A4353" s="126" t="s">
        <v>381</v>
      </c>
      <c r="B4353" t="str">
        <f>_xlfn.XLOOKUP(A4353,'[1]2050Pop'!$A$7:$A$143,'[1]2050Pop'!$D$7:$D$143)</f>
        <v>Greater China</v>
      </c>
      <c r="C4353" s="127">
        <f>1000*_xlfn.XLOOKUP(A4353,'[1]2050Pop'!$A$7:$A$143,'[1]2050Pop'!$C$7:$C$143)</f>
        <v>20778</v>
      </c>
      <c r="D4353" s="126" t="s">
        <v>539</v>
      </c>
      <c r="E4353" s="128">
        <v>8.2669999999999995</v>
      </c>
      <c r="F4353" s="129">
        <f t="shared" si="203"/>
        <v>0.17177172599999999</v>
      </c>
      <c r="G4353" t="str">
        <f>_xlfn.XLOOKUP(D4353,'[1]2050 BAU Mapping to T &amp; C'!$A$3:$A$52,'[1]2050 BAU Mapping to T &amp; C'!$B$3:$B$52)</f>
        <v>Starchy roots</v>
      </c>
      <c r="H4353" s="129">
        <f>_xlfn.XLOOKUP(G4353,'[1]T&amp;C emissions for 2050 analysis'!$B$3:$B$23,'[1]T&amp;C emissions for 2050 analysis'!$C$3:$C$23)</f>
        <v>0.10999999999999999</v>
      </c>
      <c r="I4353" s="27">
        <f t="shared" si="201"/>
        <v>1.8894889859999996E-2</v>
      </c>
      <c r="J4353" s="129">
        <f t="shared" si="202"/>
        <v>0.90936999999999979</v>
      </c>
    </row>
    <row r="4354" spans="1:10" hidden="1" x14ac:dyDescent="0.35">
      <c r="A4354" s="126" t="s">
        <v>382</v>
      </c>
      <c r="B4354" t="str">
        <f>_xlfn.XLOOKUP(A4354,'[1]2050Pop'!$A$7:$A$143,'[1]2050Pop'!$D$7:$D$143)</f>
        <v>LatAm &amp; RSA</v>
      </c>
      <c r="C4354" s="127">
        <f>1000*_xlfn.XLOOKUP(A4354,'[1]2050Pop'!$A$7:$A$143,'[1]2050Pop'!$C$7:$C$143)</f>
        <v>54927</v>
      </c>
      <c r="D4354" s="126" t="s">
        <v>539</v>
      </c>
      <c r="E4354" s="128">
        <v>12.986000000000001</v>
      </c>
      <c r="F4354" s="129">
        <f t="shared" si="203"/>
        <v>0.71328202200000002</v>
      </c>
      <c r="G4354" t="str">
        <f>_xlfn.XLOOKUP(D4354,'[1]2050 BAU Mapping to T &amp; C'!$A$3:$A$52,'[1]2050 BAU Mapping to T &amp; C'!$B$3:$B$52)</f>
        <v>Starchy roots</v>
      </c>
      <c r="H4354" s="129">
        <f>_xlfn.XLOOKUP(G4354,'[1]T&amp;C emissions for 2050 analysis'!$B$3:$B$23,'[1]T&amp;C emissions for 2050 analysis'!$C$3:$C$23)</f>
        <v>0.10999999999999999</v>
      </c>
      <c r="I4354" s="27">
        <f t="shared" si="201"/>
        <v>7.8461022419999998E-2</v>
      </c>
      <c r="J4354" s="129">
        <f t="shared" si="202"/>
        <v>1.4284599999999998</v>
      </c>
    </row>
    <row r="4355" spans="1:10" hidden="1" x14ac:dyDescent="0.35">
      <c r="A4355" s="126" t="s">
        <v>383</v>
      </c>
      <c r="B4355" t="str">
        <f>_xlfn.XLOOKUP(A4355,'[1]2050Pop'!$A$7:$A$143,'[1]2050Pop'!$D$7:$D$143)</f>
        <v>LatAm &amp; RSA</v>
      </c>
      <c r="C4355" s="127">
        <f>1000*_xlfn.XLOOKUP(A4355,'[1]2050Pop'!$A$7:$A$143,'[1]2050Pop'!$C$7:$C$143)</f>
        <v>5759</v>
      </c>
      <c r="D4355" s="126" t="s">
        <v>539</v>
      </c>
      <c r="E4355" s="128">
        <v>3.6219999999999999</v>
      </c>
      <c r="F4355" s="129">
        <f t="shared" si="203"/>
        <v>2.0859098E-2</v>
      </c>
      <c r="G4355" t="str">
        <f>_xlfn.XLOOKUP(D4355,'[1]2050 BAU Mapping to T &amp; C'!$A$3:$A$52,'[1]2050 BAU Mapping to T &amp; C'!$B$3:$B$52)</f>
        <v>Starchy roots</v>
      </c>
      <c r="H4355" s="129">
        <f>_xlfn.XLOOKUP(G4355,'[1]T&amp;C emissions for 2050 analysis'!$B$3:$B$23,'[1]T&amp;C emissions for 2050 analysis'!$C$3:$C$23)</f>
        <v>0.10999999999999999</v>
      </c>
      <c r="I4355" s="27">
        <f t="shared" si="201"/>
        <v>2.2945007799999996E-3</v>
      </c>
      <c r="J4355" s="129">
        <f t="shared" si="202"/>
        <v>0.39841999999999994</v>
      </c>
    </row>
    <row r="4356" spans="1:10" hidden="1" x14ac:dyDescent="0.35">
      <c r="A4356" s="126" t="s">
        <v>384</v>
      </c>
      <c r="B4356" t="str">
        <f>_xlfn.XLOOKUP(A4356,'[1]2050Pop'!$A$7:$A$143,'[1]2050Pop'!$D$7:$D$143)</f>
        <v>SSA</v>
      </c>
      <c r="C4356" s="127">
        <f>1000*_xlfn.XLOOKUP(A4356,'[1]2050Pop'!$A$7:$A$143,'[1]2050Pop'!$C$7:$C$143)</f>
        <v>48797</v>
      </c>
      <c r="D4356" s="126" t="s">
        <v>539</v>
      </c>
      <c r="E4356" s="128">
        <v>597.226</v>
      </c>
      <c r="F4356" s="129">
        <f t="shared" si="203"/>
        <v>29.142837122000003</v>
      </c>
      <c r="G4356" t="str">
        <f>_xlfn.XLOOKUP(D4356,'[1]2050 BAU Mapping to T &amp; C'!$A$3:$A$52,'[1]2050 BAU Mapping to T &amp; C'!$B$3:$B$52)</f>
        <v>Starchy roots</v>
      </c>
      <c r="H4356" s="129">
        <f>_xlfn.XLOOKUP(G4356,'[1]T&amp;C emissions for 2050 analysis'!$B$3:$B$23,'[1]T&amp;C emissions for 2050 analysis'!$C$3:$C$23)</f>
        <v>0.10999999999999999</v>
      </c>
      <c r="I4356" s="27">
        <f t="shared" ref="I4356:I4419" si="204">F4356*H4356</f>
        <v>3.2057120834199999</v>
      </c>
      <c r="J4356" s="129">
        <f t="shared" ref="J4356:J4419" si="205">E4356*H4356</f>
        <v>65.694859999999991</v>
      </c>
    </row>
    <row r="4357" spans="1:10" hidden="1" x14ac:dyDescent="0.35">
      <c r="A4357" s="126" t="s">
        <v>386</v>
      </c>
      <c r="B4357" t="str">
        <f>_xlfn.XLOOKUP(A4357,'[1]2050Pop'!$A$7:$A$143,'[1]2050Pop'!$D$7:$D$143)</f>
        <v>LatAm &amp; RSA</v>
      </c>
      <c r="C4357" s="127">
        <f>1000*_xlfn.XLOOKUP(A4357,'[1]2050Pop'!$A$7:$A$143,'[1]2050Pop'!$C$7:$C$143)</f>
        <v>10339</v>
      </c>
      <c r="D4357" s="126" t="s">
        <v>539</v>
      </c>
      <c r="E4357" s="128">
        <v>127.593</v>
      </c>
      <c r="F4357" s="129">
        <f t="shared" ref="F4357:F4420" si="206">C4357*E4357/1000000</f>
        <v>1.3191840269999999</v>
      </c>
      <c r="G4357" t="str">
        <f>_xlfn.XLOOKUP(D4357,'[1]2050 BAU Mapping to T &amp; C'!$A$3:$A$52,'[1]2050 BAU Mapping to T &amp; C'!$B$3:$B$52)</f>
        <v>Starchy roots</v>
      </c>
      <c r="H4357" s="129">
        <f>_xlfn.XLOOKUP(G4357,'[1]T&amp;C emissions for 2050 analysis'!$B$3:$B$23,'[1]T&amp;C emissions for 2050 analysis'!$C$3:$C$23)</f>
        <v>0.10999999999999999</v>
      </c>
      <c r="I4357" s="27">
        <f t="shared" si="204"/>
        <v>0.14511024296999997</v>
      </c>
      <c r="J4357" s="129">
        <f t="shared" si="205"/>
        <v>14.035229999999999</v>
      </c>
    </row>
    <row r="4358" spans="1:10" hidden="1" x14ac:dyDescent="0.35">
      <c r="A4358" s="126" t="s">
        <v>481</v>
      </c>
      <c r="B4358" t="str">
        <f>_xlfn.XLOOKUP(A4358,'[1]2050Pop'!$A$7:$A$143,'[1]2050Pop'!$D$7:$D$143)</f>
        <v>APAC</v>
      </c>
      <c r="C4358" s="127">
        <f>1000*_xlfn.XLOOKUP(A4358,'[1]2050Pop'!$A$7:$A$143,'[1]2050Pop'!$C$7:$C$143)</f>
        <v>26907</v>
      </c>
      <c r="D4358" s="126" t="s">
        <v>539</v>
      </c>
      <c r="E4358" s="128">
        <v>22.361000000000001</v>
      </c>
      <c r="F4358" s="129">
        <f t="shared" si="206"/>
        <v>0.60166742699999998</v>
      </c>
      <c r="G4358" t="str">
        <f>_xlfn.XLOOKUP(D4358,'[1]2050 BAU Mapping to T &amp; C'!$A$3:$A$52,'[1]2050 BAU Mapping to T &amp; C'!$B$3:$B$52)</f>
        <v>Starchy roots</v>
      </c>
      <c r="H4358" s="129">
        <f>_xlfn.XLOOKUP(G4358,'[1]T&amp;C emissions for 2050 analysis'!$B$3:$B$23,'[1]T&amp;C emissions for 2050 analysis'!$C$3:$C$23)</f>
        <v>0.10999999999999999</v>
      </c>
      <c r="I4358" s="27">
        <f t="shared" si="204"/>
        <v>6.6183416969999992E-2</v>
      </c>
      <c r="J4358" s="129">
        <f t="shared" si="205"/>
        <v>2.4597099999999998</v>
      </c>
    </row>
    <row r="4359" spans="1:10" hidden="1" x14ac:dyDescent="0.35">
      <c r="A4359" s="126" t="s">
        <v>389</v>
      </c>
      <c r="B4359" t="str">
        <f>_xlfn.XLOOKUP(A4359,'[1]2050Pop'!$A$7:$A$143,'[1]2050Pop'!$D$7:$D$143)</f>
        <v>LatAm &amp; RSA</v>
      </c>
      <c r="C4359" s="127">
        <f>1000*_xlfn.XLOOKUP(A4359,'[1]2050Pop'!$A$7:$A$143,'[1]2050Pop'!$C$7:$C$143)</f>
        <v>13238</v>
      </c>
      <c r="D4359" s="126" t="s">
        <v>539</v>
      </c>
      <c r="E4359" s="128">
        <v>13.348000000000001</v>
      </c>
      <c r="F4359" s="129">
        <f t="shared" si="206"/>
        <v>0.17670082400000003</v>
      </c>
      <c r="G4359" t="str">
        <f>_xlfn.XLOOKUP(D4359,'[1]2050 BAU Mapping to T &amp; C'!$A$3:$A$52,'[1]2050 BAU Mapping to T &amp; C'!$B$3:$B$52)</f>
        <v>Starchy roots</v>
      </c>
      <c r="H4359" s="129">
        <f>_xlfn.XLOOKUP(G4359,'[1]T&amp;C emissions for 2050 analysis'!$B$3:$B$23,'[1]T&amp;C emissions for 2050 analysis'!$C$3:$C$23)</f>
        <v>0.10999999999999999</v>
      </c>
      <c r="I4359" s="27">
        <f t="shared" si="204"/>
        <v>1.9437090640000002E-2</v>
      </c>
      <c r="J4359" s="129">
        <f t="shared" si="205"/>
        <v>1.4682799999999998</v>
      </c>
    </row>
    <row r="4360" spans="1:10" hidden="1" x14ac:dyDescent="0.35">
      <c r="A4360" s="126" t="s">
        <v>390</v>
      </c>
      <c r="B4360" t="str">
        <f>_xlfn.XLOOKUP(A4360,'[1]2050Pop'!$A$7:$A$143,'[1]2050Pop'!$D$7:$D$143)</f>
        <v>LatAm &amp; RSA</v>
      </c>
      <c r="C4360" s="127">
        <f>1000*_xlfn.XLOOKUP(A4360,'[1]2050Pop'!$A$7:$A$143,'[1]2050Pop'!$C$7:$C$143)</f>
        <v>23013</v>
      </c>
      <c r="D4360" s="126" t="s">
        <v>539</v>
      </c>
      <c r="E4360" s="128">
        <v>0.80900000000000005</v>
      </c>
      <c r="F4360" s="129">
        <f t="shared" si="206"/>
        <v>1.8617517E-2</v>
      </c>
      <c r="G4360" t="str">
        <f>_xlfn.XLOOKUP(D4360,'[1]2050 BAU Mapping to T &amp; C'!$A$3:$A$52,'[1]2050 BAU Mapping to T &amp; C'!$B$3:$B$52)</f>
        <v>Starchy roots</v>
      </c>
      <c r="H4360" s="129">
        <f>_xlfn.XLOOKUP(G4360,'[1]T&amp;C emissions for 2050 analysis'!$B$3:$B$23,'[1]T&amp;C emissions for 2050 analysis'!$C$3:$C$23)</f>
        <v>0.10999999999999999</v>
      </c>
      <c r="I4360" s="27">
        <f t="shared" si="204"/>
        <v>2.0479268699999998E-3</v>
      </c>
      <c r="J4360" s="129">
        <f t="shared" si="205"/>
        <v>8.899E-2</v>
      </c>
    </row>
    <row r="4361" spans="1:10" hidden="1" x14ac:dyDescent="0.35">
      <c r="A4361" s="126" t="s">
        <v>391</v>
      </c>
      <c r="B4361" t="str">
        <f>_xlfn.XLOOKUP(A4361,'[1]2050Pop'!$A$7:$A$143,'[1]2050Pop'!$D$7:$D$143)</f>
        <v>MENA</v>
      </c>
      <c r="C4361" s="127">
        <f>1000*_xlfn.XLOOKUP(A4361,'[1]2050Pop'!$A$7:$A$143,'[1]2050Pop'!$C$7:$C$143)</f>
        <v>151111</v>
      </c>
      <c r="D4361" s="126" t="s">
        <v>539</v>
      </c>
      <c r="E4361" s="128">
        <v>4.6020000000000003</v>
      </c>
      <c r="F4361" s="129">
        <f t="shared" si="206"/>
        <v>0.6954128220000001</v>
      </c>
      <c r="G4361" t="str">
        <f>_xlfn.XLOOKUP(D4361,'[1]2050 BAU Mapping to T &amp; C'!$A$3:$A$52,'[1]2050 BAU Mapping to T &amp; C'!$B$3:$B$52)</f>
        <v>Starchy roots</v>
      </c>
      <c r="H4361" s="129">
        <f>_xlfn.XLOOKUP(G4361,'[1]T&amp;C emissions for 2050 analysis'!$B$3:$B$23,'[1]T&amp;C emissions for 2050 analysis'!$C$3:$C$23)</f>
        <v>0.10999999999999999</v>
      </c>
      <c r="I4361" s="27">
        <f t="shared" si="204"/>
        <v>7.6495410420000007E-2</v>
      </c>
      <c r="J4361" s="129">
        <f t="shared" si="205"/>
        <v>0.50622</v>
      </c>
    </row>
    <row r="4362" spans="1:10" hidden="1" x14ac:dyDescent="0.35">
      <c r="A4362" s="126" t="s">
        <v>394</v>
      </c>
      <c r="B4362" t="str">
        <f>_xlfn.XLOOKUP(A4362,'[1]2050Pop'!$A$7:$A$143,'[1]2050Pop'!$D$7:$D$143)</f>
        <v>SSA</v>
      </c>
      <c r="C4362" s="127">
        <f>1000*_xlfn.XLOOKUP(A4362,'[1]2050Pop'!$A$7:$A$143,'[1]2050Pop'!$C$7:$C$143)</f>
        <v>188455</v>
      </c>
      <c r="D4362" s="126" t="s">
        <v>539</v>
      </c>
      <c r="E4362" s="128">
        <v>50.695999999999998</v>
      </c>
      <c r="F4362" s="129">
        <f t="shared" si="206"/>
        <v>9.5539146800000001</v>
      </c>
      <c r="G4362" t="str">
        <f>_xlfn.XLOOKUP(D4362,'[1]2050 BAU Mapping to T &amp; C'!$A$3:$A$52,'[1]2050 BAU Mapping to T &amp; C'!$B$3:$B$52)</f>
        <v>Starchy roots</v>
      </c>
      <c r="H4362" s="129">
        <f>_xlfn.XLOOKUP(G4362,'[1]T&amp;C emissions for 2050 analysis'!$B$3:$B$23,'[1]T&amp;C emissions for 2050 analysis'!$C$3:$C$23)</f>
        <v>0.10999999999999999</v>
      </c>
      <c r="I4362" s="27">
        <f t="shared" si="204"/>
        <v>1.0509306147999999</v>
      </c>
      <c r="J4362" s="129">
        <f t="shared" si="205"/>
        <v>5.5765599999999989</v>
      </c>
    </row>
    <row r="4363" spans="1:10" hidden="1" x14ac:dyDescent="0.35">
      <c r="A4363" s="126" t="s">
        <v>395</v>
      </c>
      <c r="B4363" t="str">
        <f>_xlfn.XLOOKUP(A4363,'[1]2050Pop'!$A$7:$A$143,'[1]2050Pop'!$D$7:$D$143)</f>
        <v>Euro/AU/NZ</v>
      </c>
      <c r="C4363" s="127">
        <f>1000*_xlfn.XLOOKUP(A4363,'[1]2050Pop'!$A$7:$A$143,'[1]2050Pop'!$C$7:$C$143)</f>
        <v>5752</v>
      </c>
      <c r="D4363" s="126" t="s">
        <v>539</v>
      </c>
      <c r="E4363" s="128">
        <v>0.48799999999999999</v>
      </c>
      <c r="F4363" s="129">
        <f t="shared" si="206"/>
        <v>2.8069760000000001E-3</v>
      </c>
      <c r="G4363" t="str">
        <f>_xlfn.XLOOKUP(D4363,'[1]2050 BAU Mapping to T &amp; C'!$A$3:$A$52,'[1]2050 BAU Mapping to T &amp; C'!$B$3:$B$52)</f>
        <v>Starchy roots</v>
      </c>
      <c r="H4363" s="129">
        <f>_xlfn.XLOOKUP(G4363,'[1]T&amp;C emissions for 2050 analysis'!$B$3:$B$23,'[1]T&amp;C emissions for 2050 analysis'!$C$3:$C$23)</f>
        <v>0.10999999999999999</v>
      </c>
      <c r="I4363" s="27">
        <f t="shared" si="204"/>
        <v>3.0876735999999996E-4</v>
      </c>
      <c r="J4363" s="129">
        <f t="shared" si="205"/>
        <v>5.3679999999999992E-2</v>
      </c>
    </row>
    <row r="4364" spans="1:10" hidden="1" x14ac:dyDescent="0.35">
      <c r="A4364" s="126" t="s">
        <v>397</v>
      </c>
      <c r="B4364" t="str">
        <f>_xlfn.XLOOKUP(A4364,'[1]2050Pop'!$A$7:$A$143,'[1]2050Pop'!$D$7:$D$143)</f>
        <v>SSA</v>
      </c>
      <c r="C4364" s="127">
        <f>1000*_xlfn.XLOOKUP(A4364,'[1]2050Pop'!$A$7:$A$143,'[1]2050Pop'!$C$7:$C$143)</f>
        <v>3164</v>
      </c>
      <c r="D4364" s="126" t="s">
        <v>539</v>
      </c>
      <c r="E4364" s="128">
        <v>196.178</v>
      </c>
      <c r="F4364" s="129">
        <f t="shared" si="206"/>
        <v>0.62070719200000002</v>
      </c>
      <c r="G4364" t="str">
        <f>_xlfn.XLOOKUP(D4364,'[1]2050 BAU Mapping to T &amp; C'!$A$3:$A$52,'[1]2050 BAU Mapping to T &amp; C'!$B$3:$B$52)</f>
        <v>Starchy roots</v>
      </c>
      <c r="H4364" s="129">
        <f>_xlfn.XLOOKUP(G4364,'[1]T&amp;C emissions for 2050 analysis'!$B$3:$B$23,'[1]T&amp;C emissions for 2050 analysis'!$C$3:$C$23)</f>
        <v>0.10999999999999999</v>
      </c>
      <c r="I4364" s="27">
        <f t="shared" si="204"/>
        <v>6.827779112E-2</v>
      </c>
      <c r="J4364" s="129">
        <f t="shared" si="205"/>
        <v>21.579579999999996</v>
      </c>
    </row>
    <row r="4365" spans="1:10" hidden="1" x14ac:dyDescent="0.35">
      <c r="A4365" s="126" t="s">
        <v>400</v>
      </c>
      <c r="B4365" t="str">
        <f>_xlfn.XLOOKUP(A4365,'[1]2050Pop'!$A$7:$A$143,'[1]2050Pop'!$D$7:$D$143)</f>
        <v>SSA</v>
      </c>
      <c r="C4365" s="127">
        <f>1000*_xlfn.XLOOKUP(A4365,'[1]2050Pop'!$A$7:$A$143,'[1]2050Pop'!$C$7:$C$143)</f>
        <v>50071</v>
      </c>
      <c r="D4365" s="126" t="s">
        <v>539</v>
      </c>
      <c r="E4365" s="128">
        <v>510.19499999999999</v>
      </c>
      <c r="F4365" s="129">
        <f t="shared" si="206"/>
        <v>25.545973844999999</v>
      </c>
      <c r="G4365" t="str">
        <f>_xlfn.XLOOKUP(D4365,'[1]2050 BAU Mapping to T &amp; C'!$A$3:$A$52,'[1]2050 BAU Mapping to T &amp; C'!$B$3:$B$52)</f>
        <v>Starchy roots</v>
      </c>
      <c r="H4365" s="129">
        <f>_xlfn.XLOOKUP(G4365,'[1]T&amp;C emissions for 2050 analysis'!$B$3:$B$23,'[1]T&amp;C emissions for 2050 analysis'!$C$3:$C$23)</f>
        <v>0.10999999999999999</v>
      </c>
      <c r="I4365" s="27">
        <f t="shared" si="204"/>
        <v>2.8100571229499995</v>
      </c>
      <c r="J4365" s="129">
        <f t="shared" si="205"/>
        <v>56.121449999999996</v>
      </c>
    </row>
    <row r="4366" spans="1:10" hidden="1" x14ac:dyDescent="0.35">
      <c r="A4366" s="126" t="s">
        <v>401</v>
      </c>
      <c r="B4366" t="str">
        <f>_xlfn.XLOOKUP(A4366,'[1]2050Pop'!$A$7:$A$143,'[1]2050Pop'!$D$7:$D$143)</f>
        <v>Euro/AU/NZ</v>
      </c>
      <c r="C4366" s="127">
        <f>1000*_xlfn.XLOOKUP(A4366,'[1]2050Pop'!$A$7:$A$143,'[1]2050Pop'!$C$7:$C$143)</f>
        <v>9705</v>
      </c>
      <c r="D4366" s="126" t="s">
        <v>539</v>
      </c>
      <c r="E4366" s="128">
        <v>0.48799999999999999</v>
      </c>
      <c r="F4366" s="129">
        <f t="shared" si="206"/>
        <v>4.7360400000000004E-3</v>
      </c>
      <c r="G4366" t="str">
        <f>_xlfn.XLOOKUP(D4366,'[1]2050 BAU Mapping to T &amp; C'!$A$3:$A$52,'[1]2050 BAU Mapping to T &amp; C'!$B$3:$B$52)</f>
        <v>Starchy roots</v>
      </c>
      <c r="H4366" s="129">
        <f>_xlfn.XLOOKUP(G4366,'[1]T&amp;C emissions for 2050 analysis'!$B$3:$B$23,'[1]T&amp;C emissions for 2050 analysis'!$C$3:$C$23)</f>
        <v>0.10999999999999999</v>
      </c>
      <c r="I4366" s="27">
        <f t="shared" si="204"/>
        <v>5.2096439999999998E-4</v>
      </c>
      <c r="J4366" s="129">
        <f t="shared" si="205"/>
        <v>5.3679999999999992E-2</v>
      </c>
    </row>
    <row r="4367" spans="1:10" hidden="1" x14ac:dyDescent="0.35">
      <c r="A4367" s="126" t="s">
        <v>403</v>
      </c>
      <c r="B4367" t="str">
        <f>_xlfn.XLOOKUP(A4367,'[1]2050Pop'!$A$7:$A$143,'[1]2050Pop'!$D$7:$D$143)</f>
        <v>SSA</v>
      </c>
      <c r="C4367" s="127">
        <f>1000*_xlfn.XLOOKUP(A4367,'[1]2050Pop'!$A$7:$A$143,'[1]2050Pop'!$C$7:$C$143)</f>
        <v>27486</v>
      </c>
      <c r="D4367" s="126" t="s">
        <v>539</v>
      </c>
      <c r="E4367" s="128">
        <v>78.206000000000003</v>
      </c>
      <c r="F4367" s="129">
        <f t="shared" si="206"/>
        <v>2.149570116</v>
      </c>
      <c r="G4367" t="str">
        <f>_xlfn.XLOOKUP(D4367,'[1]2050 BAU Mapping to T &amp; C'!$A$3:$A$52,'[1]2050 BAU Mapping to T &amp; C'!$B$3:$B$52)</f>
        <v>Starchy roots</v>
      </c>
      <c r="H4367" s="129">
        <f>_xlfn.XLOOKUP(G4367,'[1]T&amp;C emissions for 2050 analysis'!$B$3:$B$23,'[1]T&amp;C emissions for 2050 analysis'!$C$3:$C$23)</f>
        <v>0.10999999999999999</v>
      </c>
      <c r="I4367" s="27">
        <f t="shared" si="204"/>
        <v>0.23645271275999996</v>
      </c>
      <c r="J4367" s="129">
        <f t="shared" si="205"/>
        <v>8.6026599999999984</v>
      </c>
    </row>
    <row r="4368" spans="1:10" hidden="1" x14ac:dyDescent="0.35">
      <c r="A4368" s="126" t="s">
        <v>404</v>
      </c>
      <c r="B4368" t="str">
        <f>_xlfn.XLOOKUP(A4368,'[1]2050Pop'!$A$7:$A$143,'[1]2050Pop'!$D$7:$D$143)</f>
        <v>LatAm &amp; RSA</v>
      </c>
      <c r="C4368" s="127">
        <f>1000*_xlfn.XLOOKUP(A4368,'[1]2050Pop'!$A$7:$A$143,'[1]2050Pop'!$C$7:$C$143)</f>
        <v>806</v>
      </c>
      <c r="D4368" s="126" t="s">
        <v>539</v>
      </c>
      <c r="E4368" s="128">
        <v>3.8860000000000001</v>
      </c>
      <c r="F4368" s="129">
        <f t="shared" si="206"/>
        <v>3.1321159999999999E-3</v>
      </c>
      <c r="G4368" t="str">
        <f>_xlfn.XLOOKUP(D4368,'[1]2050 BAU Mapping to T &amp; C'!$A$3:$A$52,'[1]2050 BAU Mapping to T &amp; C'!$B$3:$B$52)</f>
        <v>Starchy roots</v>
      </c>
      <c r="H4368" s="129">
        <f>_xlfn.XLOOKUP(G4368,'[1]T&amp;C emissions for 2050 analysis'!$B$3:$B$23,'[1]T&amp;C emissions for 2050 analysis'!$C$3:$C$23)</f>
        <v>0.10999999999999999</v>
      </c>
      <c r="I4368" s="27">
        <f t="shared" si="204"/>
        <v>3.4453275999999993E-4</v>
      </c>
      <c r="J4368" s="129">
        <f t="shared" si="205"/>
        <v>0.42745999999999995</v>
      </c>
    </row>
    <row r="4369" spans="1:10" hidden="1" x14ac:dyDescent="0.35">
      <c r="A4369" s="126" t="s">
        <v>405</v>
      </c>
      <c r="B4369" t="str">
        <f>_xlfn.XLOOKUP(A4369,'[1]2050Pop'!$A$7:$A$143,'[1]2050Pop'!$D$7:$D$143)</f>
        <v>LatAm &amp; RSA</v>
      </c>
      <c r="C4369" s="127">
        <f>1000*_xlfn.XLOOKUP(A4369,'[1]2050Pop'!$A$7:$A$143,'[1]2050Pop'!$C$7:$C$143)</f>
        <v>14189</v>
      </c>
      <c r="D4369" s="126" t="s">
        <v>539</v>
      </c>
      <c r="E4369" s="128">
        <v>187.89500000000001</v>
      </c>
      <c r="F4369" s="129">
        <f t="shared" si="206"/>
        <v>2.6660421550000004</v>
      </c>
      <c r="G4369" t="str">
        <f>_xlfn.XLOOKUP(D4369,'[1]2050 BAU Mapping to T &amp; C'!$A$3:$A$52,'[1]2050 BAU Mapping to T &amp; C'!$B$3:$B$52)</f>
        <v>Starchy roots</v>
      </c>
      <c r="H4369" s="129">
        <f>_xlfn.XLOOKUP(G4369,'[1]T&amp;C emissions for 2050 analysis'!$B$3:$B$23,'[1]T&amp;C emissions for 2050 analysis'!$C$3:$C$23)</f>
        <v>0.10999999999999999</v>
      </c>
      <c r="I4369" s="27">
        <f t="shared" si="204"/>
        <v>0.29326463705</v>
      </c>
      <c r="J4369" s="129">
        <f t="shared" si="205"/>
        <v>20.66845</v>
      </c>
    </row>
    <row r="4370" spans="1:10" hidden="1" x14ac:dyDescent="0.35">
      <c r="A4370" s="126" t="s">
        <v>408</v>
      </c>
      <c r="B4370" t="str">
        <f>_xlfn.XLOOKUP(A4370,'[1]2050Pop'!$A$7:$A$143,'[1]2050Pop'!$D$7:$D$143)</f>
        <v>India/South Asia</v>
      </c>
      <c r="C4370" s="127">
        <f>1000*_xlfn.XLOOKUP(A4370,'[1]2050Pop'!$A$7:$A$143,'[1]2050Pop'!$C$7:$C$143)</f>
        <v>1705333</v>
      </c>
      <c r="D4370" s="126" t="s">
        <v>539</v>
      </c>
      <c r="E4370" s="128">
        <v>1.2549999999999999</v>
      </c>
      <c r="F4370" s="129">
        <f t="shared" si="206"/>
        <v>2.1401929150000001</v>
      </c>
      <c r="G4370" t="str">
        <f>_xlfn.XLOOKUP(D4370,'[1]2050 BAU Mapping to T &amp; C'!$A$3:$A$52,'[1]2050 BAU Mapping to T &amp; C'!$B$3:$B$52)</f>
        <v>Starchy roots</v>
      </c>
      <c r="H4370" s="129">
        <f>_xlfn.XLOOKUP(G4370,'[1]T&amp;C emissions for 2050 analysis'!$B$3:$B$23,'[1]T&amp;C emissions for 2050 analysis'!$C$3:$C$23)</f>
        <v>0.10999999999999999</v>
      </c>
      <c r="I4370" s="27">
        <f t="shared" si="204"/>
        <v>0.23542122064999998</v>
      </c>
      <c r="J4370" s="129">
        <f t="shared" si="205"/>
        <v>0.13804999999999998</v>
      </c>
    </row>
    <row r="4371" spans="1:10" hidden="1" x14ac:dyDescent="0.35">
      <c r="A4371" s="126" t="s">
        <v>409</v>
      </c>
      <c r="B4371" t="str">
        <f>_xlfn.XLOOKUP(A4371,'[1]2050Pop'!$A$7:$A$143,'[1]2050Pop'!$D$7:$D$143)</f>
        <v>APAC</v>
      </c>
      <c r="C4371" s="127">
        <f>1000*_xlfn.XLOOKUP(A4371,'[1]2050Pop'!$A$7:$A$143,'[1]2050Pop'!$C$7:$C$143)</f>
        <v>322237</v>
      </c>
      <c r="D4371" s="126" t="s">
        <v>539</v>
      </c>
      <c r="E4371" s="128">
        <v>24.811</v>
      </c>
      <c r="F4371" s="129">
        <f t="shared" si="206"/>
        <v>7.9950222070000008</v>
      </c>
      <c r="G4371" t="str">
        <f>_xlfn.XLOOKUP(D4371,'[1]2050 BAU Mapping to T &amp; C'!$A$3:$A$52,'[1]2050 BAU Mapping to T &amp; C'!$B$3:$B$52)</f>
        <v>Starchy roots</v>
      </c>
      <c r="H4371" s="129">
        <f>_xlfn.XLOOKUP(G4371,'[1]T&amp;C emissions for 2050 analysis'!$B$3:$B$23,'[1]T&amp;C emissions for 2050 analysis'!$C$3:$C$23)</f>
        <v>0.10999999999999999</v>
      </c>
      <c r="I4371" s="27">
        <f t="shared" si="204"/>
        <v>0.87945244277000001</v>
      </c>
      <c r="J4371" s="129">
        <f t="shared" si="205"/>
        <v>2.7292099999999997</v>
      </c>
    </row>
    <row r="4372" spans="1:10" hidden="1" x14ac:dyDescent="0.35">
      <c r="A4372" s="126" t="s">
        <v>413</v>
      </c>
      <c r="B4372" t="str">
        <f>_xlfn.XLOOKUP(A4372,'[1]2050Pop'!$A$7:$A$143,'[1]2050Pop'!$D$7:$D$143)</f>
        <v>MENA</v>
      </c>
      <c r="C4372" s="127">
        <f>1000*_xlfn.XLOOKUP(A4372,'[1]2050Pop'!$A$7:$A$143,'[1]2050Pop'!$C$7:$C$143)</f>
        <v>12610</v>
      </c>
      <c r="D4372" s="126" t="s">
        <v>539</v>
      </c>
      <c r="E4372" s="128">
        <v>2.0179999999999998</v>
      </c>
      <c r="F4372" s="129">
        <f t="shared" si="206"/>
        <v>2.5446979999999998E-2</v>
      </c>
      <c r="G4372" t="str">
        <f>_xlfn.XLOOKUP(D4372,'[1]2050 BAU Mapping to T &amp; C'!$A$3:$A$52,'[1]2050 BAU Mapping to T &amp; C'!$B$3:$B$52)</f>
        <v>Starchy roots</v>
      </c>
      <c r="H4372" s="129">
        <f>_xlfn.XLOOKUP(G4372,'[1]T&amp;C emissions for 2050 analysis'!$B$3:$B$23,'[1]T&amp;C emissions for 2050 analysis'!$C$3:$C$23)</f>
        <v>0.10999999999999999</v>
      </c>
      <c r="I4372" s="27">
        <f t="shared" si="204"/>
        <v>2.7991677999999994E-3</v>
      </c>
      <c r="J4372" s="129">
        <f t="shared" si="205"/>
        <v>0.22197999999999996</v>
      </c>
    </row>
    <row r="4373" spans="1:10" hidden="1" x14ac:dyDescent="0.35">
      <c r="A4373" s="126" t="s">
        <v>414</v>
      </c>
      <c r="B4373" t="str">
        <f>_xlfn.XLOOKUP(A4373,'[1]2050Pop'!$A$7:$A$143,'[1]2050Pop'!$D$7:$D$143)</f>
        <v>Euro/AU/NZ</v>
      </c>
      <c r="C4373" s="127">
        <f>1000*_xlfn.XLOOKUP(A4373,'[1]2050Pop'!$A$7:$A$143,'[1]2050Pop'!$C$7:$C$143)</f>
        <v>56513</v>
      </c>
      <c r="D4373" s="126" t="s">
        <v>539</v>
      </c>
      <c r="E4373" s="128">
        <v>0.48599999999999999</v>
      </c>
      <c r="F4373" s="129">
        <f t="shared" si="206"/>
        <v>2.7465317999999999E-2</v>
      </c>
      <c r="G4373" t="str">
        <f>_xlfn.XLOOKUP(D4373,'[1]2050 BAU Mapping to T &amp; C'!$A$3:$A$52,'[1]2050 BAU Mapping to T &amp; C'!$B$3:$B$52)</f>
        <v>Starchy roots</v>
      </c>
      <c r="H4373" s="129">
        <f>_xlfn.XLOOKUP(G4373,'[1]T&amp;C emissions for 2050 analysis'!$B$3:$B$23,'[1]T&amp;C emissions for 2050 analysis'!$C$3:$C$23)</f>
        <v>0.10999999999999999</v>
      </c>
      <c r="I4373" s="27">
        <f t="shared" si="204"/>
        <v>3.0211849799999997E-3</v>
      </c>
      <c r="J4373" s="129">
        <f t="shared" si="205"/>
        <v>5.3459999999999994E-2</v>
      </c>
    </row>
    <row r="4374" spans="1:10" hidden="1" x14ac:dyDescent="0.35">
      <c r="A4374" s="126" t="s">
        <v>415</v>
      </c>
      <c r="B4374" t="str">
        <f>_xlfn.XLOOKUP(A4374,'[1]2050Pop'!$A$7:$A$143,'[1]2050Pop'!$D$7:$D$143)</f>
        <v>LatAm &amp; RSA</v>
      </c>
      <c r="C4374" s="127">
        <f>1000*_xlfn.XLOOKUP(A4374,'[1]2050Pop'!$A$7:$A$143,'[1]2050Pop'!$C$7:$C$143)</f>
        <v>2710</v>
      </c>
      <c r="D4374" s="126" t="s">
        <v>539</v>
      </c>
      <c r="E4374" s="128">
        <v>128.18899999999999</v>
      </c>
      <c r="F4374" s="129">
        <f t="shared" si="206"/>
        <v>0.34739218999999999</v>
      </c>
      <c r="G4374" t="str">
        <f>_xlfn.XLOOKUP(D4374,'[1]2050 BAU Mapping to T &amp; C'!$A$3:$A$52,'[1]2050 BAU Mapping to T &amp; C'!$B$3:$B$52)</f>
        <v>Starchy roots</v>
      </c>
      <c r="H4374" s="129">
        <f>_xlfn.XLOOKUP(G4374,'[1]T&amp;C emissions for 2050 analysis'!$B$3:$B$23,'[1]T&amp;C emissions for 2050 analysis'!$C$3:$C$23)</f>
        <v>0.10999999999999999</v>
      </c>
      <c r="I4374" s="27">
        <f t="shared" si="204"/>
        <v>3.8213140899999991E-2</v>
      </c>
      <c r="J4374" s="129">
        <f t="shared" si="205"/>
        <v>14.100789999999998</v>
      </c>
    </row>
    <row r="4375" spans="1:10" hidden="1" x14ac:dyDescent="0.35">
      <c r="A4375" s="126" t="s">
        <v>416</v>
      </c>
      <c r="B4375" t="str">
        <f>_xlfn.XLOOKUP(A4375,'[1]2050Pop'!$A$7:$A$143,'[1]2050Pop'!$D$7:$D$143)</f>
        <v>APAC</v>
      </c>
      <c r="C4375" s="127">
        <f>1000*_xlfn.XLOOKUP(A4375,'[1]2050Pop'!$A$7:$A$143,'[1]2050Pop'!$C$7:$C$143)</f>
        <v>107411</v>
      </c>
      <c r="D4375" s="126" t="s">
        <v>539</v>
      </c>
      <c r="E4375" s="128">
        <v>11.319000000000001</v>
      </c>
      <c r="F4375" s="129">
        <f t="shared" si="206"/>
        <v>1.2157851090000003</v>
      </c>
      <c r="G4375" t="str">
        <f>_xlfn.XLOOKUP(D4375,'[1]2050 BAU Mapping to T &amp; C'!$A$3:$A$52,'[1]2050 BAU Mapping to T &amp; C'!$B$3:$B$52)</f>
        <v>Starchy roots</v>
      </c>
      <c r="H4375" s="129">
        <f>_xlfn.XLOOKUP(G4375,'[1]T&amp;C emissions for 2050 analysis'!$B$3:$B$23,'[1]T&amp;C emissions for 2050 analysis'!$C$3:$C$23)</f>
        <v>0.10999999999999999</v>
      </c>
      <c r="I4375" s="27">
        <f t="shared" si="204"/>
        <v>0.13373636199000002</v>
      </c>
      <c r="J4375" s="129">
        <f t="shared" si="205"/>
        <v>1.24509</v>
      </c>
    </row>
    <row r="4376" spans="1:10" hidden="1" x14ac:dyDescent="0.35">
      <c r="A4376" s="126" t="s">
        <v>417</v>
      </c>
      <c r="B4376" t="str">
        <f>_xlfn.XLOOKUP(A4376,'[1]2050Pop'!$A$7:$A$143,'[1]2050Pop'!$D$7:$D$143)</f>
        <v>MENA</v>
      </c>
      <c r="C4376" s="127">
        <f>1000*_xlfn.XLOOKUP(A4376,'[1]2050Pop'!$A$7:$A$143,'[1]2050Pop'!$C$7:$C$143)</f>
        <v>11717</v>
      </c>
      <c r="D4376" s="126" t="s">
        <v>539</v>
      </c>
      <c r="E4376" s="128">
        <v>0.64300000000000002</v>
      </c>
      <c r="F4376" s="129">
        <f t="shared" si="206"/>
        <v>7.5340310000000001E-3</v>
      </c>
      <c r="G4376" t="str">
        <f>_xlfn.XLOOKUP(D4376,'[1]2050 BAU Mapping to T &amp; C'!$A$3:$A$52,'[1]2050 BAU Mapping to T &amp; C'!$B$3:$B$52)</f>
        <v>Starchy roots</v>
      </c>
      <c r="H4376" s="129">
        <f>_xlfn.XLOOKUP(G4376,'[1]T&amp;C emissions for 2050 analysis'!$B$3:$B$23,'[1]T&amp;C emissions for 2050 analysis'!$C$3:$C$23)</f>
        <v>0.10999999999999999</v>
      </c>
      <c r="I4376" s="27">
        <f t="shared" si="204"/>
        <v>8.2874340999999994E-4</v>
      </c>
      <c r="J4376" s="129">
        <f t="shared" si="205"/>
        <v>7.0729999999999987E-2</v>
      </c>
    </row>
    <row r="4377" spans="1:10" hidden="1" x14ac:dyDescent="0.35">
      <c r="A4377" s="126" t="s">
        <v>419</v>
      </c>
      <c r="B4377" t="str">
        <f>_xlfn.XLOOKUP(A4377,'[1]2050Pop'!$A$7:$A$143,'[1]2050Pop'!$D$7:$D$143)</f>
        <v>SSA</v>
      </c>
      <c r="C4377" s="127">
        <f>1000*_xlfn.XLOOKUP(A4377,'[1]2050Pop'!$A$7:$A$143,'[1]2050Pop'!$C$7:$C$143)</f>
        <v>95505</v>
      </c>
      <c r="D4377" s="126" t="s">
        <v>539</v>
      </c>
      <c r="E4377" s="128">
        <v>38.677999999999997</v>
      </c>
      <c r="F4377" s="129">
        <f t="shared" si="206"/>
        <v>3.6939423899999997</v>
      </c>
      <c r="G4377" t="str">
        <f>_xlfn.XLOOKUP(D4377,'[1]2050 BAU Mapping to T &amp; C'!$A$3:$A$52,'[1]2050 BAU Mapping to T &amp; C'!$B$3:$B$52)</f>
        <v>Starchy roots</v>
      </c>
      <c r="H4377" s="129">
        <f>_xlfn.XLOOKUP(G4377,'[1]T&amp;C emissions for 2050 analysis'!$B$3:$B$23,'[1]T&amp;C emissions for 2050 analysis'!$C$3:$C$23)</f>
        <v>0.10999999999999999</v>
      </c>
      <c r="I4377" s="27">
        <f t="shared" si="204"/>
        <v>0.40633366289999989</v>
      </c>
      <c r="J4377" s="129">
        <f t="shared" si="205"/>
        <v>4.2545799999999989</v>
      </c>
    </row>
    <row r="4378" spans="1:10" hidden="1" x14ac:dyDescent="0.35">
      <c r="A4378" s="126" t="s">
        <v>421</v>
      </c>
      <c r="B4378" t="str">
        <f>_xlfn.XLOOKUP(A4378,'[1]2050Pop'!$A$7:$A$143,'[1]2050Pop'!$D$7:$D$143)</f>
        <v>APAC</v>
      </c>
      <c r="C4378" s="127">
        <f>1000*_xlfn.XLOOKUP(A4378,'[1]2050Pop'!$A$7:$A$143,'[1]2050Pop'!$C$7:$C$143)</f>
        <v>10172</v>
      </c>
      <c r="D4378" s="126" t="s">
        <v>539</v>
      </c>
      <c r="E4378" s="128">
        <v>26.013999999999999</v>
      </c>
      <c r="F4378" s="129">
        <f t="shared" si="206"/>
        <v>0.26461440800000002</v>
      </c>
      <c r="G4378" t="str">
        <f>_xlfn.XLOOKUP(D4378,'[1]2050 BAU Mapping to T &amp; C'!$A$3:$A$52,'[1]2050 BAU Mapping to T &amp; C'!$B$3:$B$52)</f>
        <v>Starchy roots</v>
      </c>
      <c r="H4378" s="129">
        <f>_xlfn.XLOOKUP(G4378,'[1]T&amp;C emissions for 2050 analysis'!$B$3:$B$23,'[1]T&amp;C emissions for 2050 analysis'!$C$3:$C$23)</f>
        <v>0.10999999999999999</v>
      </c>
      <c r="I4378" s="27">
        <f t="shared" si="204"/>
        <v>2.9107584879999999E-2</v>
      </c>
      <c r="J4378" s="129">
        <f t="shared" si="205"/>
        <v>2.8615399999999998</v>
      </c>
    </row>
    <row r="4379" spans="1:10" hidden="1" x14ac:dyDescent="0.35">
      <c r="A4379" s="126" t="s">
        <v>423</v>
      </c>
      <c r="B4379" t="str">
        <f>_xlfn.XLOOKUP(A4379,'[1]2050Pop'!$A$7:$A$143,'[1]2050Pop'!$D$7:$D$143)</f>
        <v>MENA</v>
      </c>
      <c r="C4379" s="127">
        <f>1000*_xlfn.XLOOKUP(A4379,'[1]2050Pop'!$A$7:$A$143,'[1]2050Pop'!$C$7:$C$143)</f>
        <v>5610</v>
      </c>
      <c r="D4379" s="126" t="s">
        <v>539</v>
      </c>
      <c r="E4379" s="128">
        <v>0.56200000000000006</v>
      </c>
      <c r="F4379" s="129">
        <f t="shared" si="206"/>
        <v>3.1528200000000002E-3</v>
      </c>
      <c r="G4379" t="str">
        <f>_xlfn.XLOOKUP(D4379,'[1]2050 BAU Mapping to T &amp; C'!$A$3:$A$52,'[1]2050 BAU Mapping to T &amp; C'!$B$3:$B$52)</f>
        <v>Starchy roots</v>
      </c>
      <c r="H4379" s="129">
        <f>_xlfn.XLOOKUP(G4379,'[1]T&amp;C emissions for 2050 analysis'!$B$3:$B$23,'[1]T&amp;C emissions for 2050 analysis'!$C$3:$C$23)</f>
        <v>0.10999999999999999</v>
      </c>
      <c r="I4379" s="27">
        <f t="shared" si="204"/>
        <v>3.4681019999999998E-4</v>
      </c>
      <c r="J4379" s="129">
        <f t="shared" si="205"/>
        <v>6.182E-2</v>
      </c>
    </row>
    <row r="4380" spans="1:10" hidden="1" x14ac:dyDescent="0.35">
      <c r="A4380" s="126" t="s">
        <v>425</v>
      </c>
      <c r="B4380" t="str">
        <f>_xlfn.XLOOKUP(A4380,'[1]2050Pop'!$A$7:$A$143,'[1]2050Pop'!$D$7:$D$143)</f>
        <v>SSA</v>
      </c>
      <c r="C4380" s="127">
        <f>1000*_xlfn.XLOOKUP(A4380,'[1]2050Pop'!$A$7:$A$143,'[1]2050Pop'!$C$7:$C$143)</f>
        <v>9436</v>
      </c>
      <c r="D4380" s="126" t="s">
        <v>539</v>
      </c>
      <c r="E4380" s="128">
        <v>32.546999999999997</v>
      </c>
      <c r="F4380" s="129">
        <f t="shared" si="206"/>
        <v>0.30711349199999999</v>
      </c>
      <c r="G4380" t="str">
        <f>_xlfn.XLOOKUP(D4380,'[1]2050 BAU Mapping to T &amp; C'!$A$3:$A$52,'[1]2050 BAU Mapping to T &amp; C'!$B$3:$B$52)</f>
        <v>Starchy roots</v>
      </c>
      <c r="H4380" s="129">
        <f>_xlfn.XLOOKUP(G4380,'[1]T&amp;C emissions for 2050 analysis'!$B$3:$B$23,'[1]T&amp;C emissions for 2050 analysis'!$C$3:$C$23)</f>
        <v>0.10999999999999999</v>
      </c>
      <c r="I4380" s="27">
        <f t="shared" si="204"/>
        <v>3.3782484119999998E-2</v>
      </c>
      <c r="J4380" s="129">
        <f t="shared" si="205"/>
        <v>3.5801699999999994</v>
      </c>
    </row>
    <row r="4381" spans="1:10" hidden="1" x14ac:dyDescent="0.35">
      <c r="A4381" s="126" t="s">
        <v>427</v>
      </c>
      <c r="B4381" t="str">
        <f>_xlfn.XLOOKUP(A4381,'[1]2050Pop'!$A$7:$A$143,'[1]2050Pop'!$D$7:$D$143)</f>
        <v>SSA</v>
      </c>
      <c r="C4381" s="127">
        <f>1000*_xlfn.XLOOKUP(A4381,'[1]2050Pop'!$A$7:$A$143,'[1]2050Pop'!$C$7:$C$143)</f>
        <v>55294</v>
      </c>
      <c r="D4381" s="126" t="s">
        <v>539</v>
      </c>
      <c r="E4381" s="128">
        <v>69.486000000000004</v>
      </c>
      <c r="F4381" s="129">
        <f t="shared" si="206"/>
        <v>3.8421588840000003</v>
      </c>
      <c r="G4381" t="str">
        <f>_xlfn.XLOOKUP(D4381,'[1]2050 BAU Mapping to T &amp; C'!$A$3:$A$52,'[1]2050 BAU Mapping to T &amp; C'!$B$3:$B$52)</f>
        <v>Starchy roots</v>
      </c>
      <c r="H4381" s="129">
        <f>_xlfn.XLOOKUP(G4381,'[1]T&amp;C emissions for 2050 analysis'!$B$3:$B$23,'[1]T&amp;C emissions for 2050 analysis'!$C$3:$C$23)</f>
        <v>0.10999999999999999</v>
      </c>
      <c r="I4381" s="27">
        <f t="shared" si="204"/>
        <v>0.42263747724</v>
      </c>
      <c r="J4381" s="129">
        <f t="shared" si="205"/>
        <v>7.6434599999999993</v>
      </c>
    </row>
    <row r="4382" spans="1:10" hidden="1" x14ac:dyDescent="0.35">
      <c r="A4382" s="126" t="s">
        <v>429</v>
      </c>
      <c r="B4382" t="str">
        <f>_xlfn.XLOOKUP(A4382,'[1]2050Pop'!$A$7:$A$143,'[1]2050Pop'!$D$7:$D$143)</f>
        <v>APAC</v>
      </c>
      <c r="C4382" s="127">
        <f>1000*_xlfn.XLOOKUP(A4382,'[1]2050Pop'!$A$7:$A$143,'[1]2050Pop'!$C$7:$C$143)</f>
        <v>40725</v>
      </c>
      <c r="D4382" s="126" t="s">
        <v>539</v>
      </c>
      <c r="E4382" s="128">
        <v>1.2669999999999999</v>
      </c>
      <c r="F4382" s="129">
        <f t="shared" si="206"/>
        <v>5.1598574999999994E-2</v>
      </c>
      <c r="G4382" t="str">
        <f>_xlfn.XLOOKUP(D4382,'[1]2050 BAU Mapping to T &amp; C'!$A$3:$A$52,'[1]2050 BAU Mapping to T &amp; C'!$B$3:$B$52)</f>
        <v>Starchy roots</v>
      </c>
      <c r="H4382" s="129">
        <f>_xlfn.XLOOKUP(G4382,'[1]T&amp;C emissions for 2050 analysis'!$B$3:$B$23,'[1]T&amp;C emissions for 2050 analysis'!$C$3:$C$23)</f>
        <v>0.10999999999999999</v>
      </c>
      <c r="I4382" s="27">
        <f t="shared" si="204"/>
        <v>5.6758432499999989E-3</v>
      </c>
      <c r="J4382" s="129">
        <f t="shared" si="205"/>
        <v>0.13936999999999997</v>
      </c>
    </row>
    <row r="4383" spans="1:10" hidden="1" x14ac:dyDescent="0.35">
      <c r="A4383" s="126" t="s">
        <v>430</v>
      </c>
      <c r="B4383" t="str">
        <f>_xlfn.XLOOKUP(A4383,'[1]2050Pop'!$A$7:$A$143,'[1]2050Pop'!$D$7:$D$143)</f>
        <v>SSA</v>
      </c>
      <c r="C4383" s="127">
        <f>1000*_xlfn.XLOOKUP(A4383,'[1]2050Pop'!$A$7:$A$143,'[1]2050Pop'!$C$7:$C$143)</f>
        <v>45404</v>
      </c>
      <c r="D4383" s="126" t="s">
        <v>539</v>
      </c>
      <c r="E4383" s="128">
        <v>56.323</v>
      </c>
      <c r="F4383" s="129">
        <f t="shared" si="206"/>
        <v>2.5572894920000002</v>
      </c>
      <c r="G4383" t="str">
        <f>_xlfn.XLOOKUP(D4383,'[1]2050 BAU Mapping to T &amp; C'!$A$3:$A$52,'[1]2050 BAU Mapping to T &amp; C'!$B$3:$B$52)</f>
        <v>Starchy roots</v>
      </c>
      <c r="H4383" s="129">
        <f>_xlfn.XLOOKUP(G4383,'[1]T&amp;C emissions for 2050 analysis'!$B$3:$B$23,'[1]T&amp;C emissions for 2050 analysis'!$C$3:$C$23)</f>
        <v>0.10999999999999999</v>
      </c>
      <c r="I4383" s="27">
        <f t="shared" si="204"/>
        <v>0.28130184411999998</v>
      </c>
      <c r="J4383" s="129">
        <f t="shared" si="205"/>
        <v>6.1955299999999989</v>
      </c>
    </row>
    <row r="4384" spans="1:10" hidden="1" x14ac:dyDescent="0.35">
      <c r="A4384" s="126" t="s">
        <v>431</v>
      </c>
      <c r="B4384" t="str">
        <f>_xlfn.XLOOKUP(A4384,'[1]2050Pop'!$A$7:$A$143,'[1]2050Pop'!$D$7:$D$143)</f>
        <v>SSA</v>
      </c>
      <c r="C4384" s="127">
        <f>1000*_xlfn.XLOOKUP(A4384,'[1]2050Pop'!$A$7:$A$143,'[1]2050Pop'!$C$7:$C$143)</f>
        <v>8048.9999999999991</v>
      </c>
      <c r="D4384" s="126" t="s">
        <v>539</v>
      </c>
      <c r="E4384" s="128">
        <v>1.788</v>
      </c>
      <c r="F4384" s="129">
        <f t="shared" si="206"/>
        <v>1.4391612E-2</v>
      </c>
      <c r="G4384" t="str">
        <f>_xlfn.XLOOKUP(D4384,'[1]2050 BAU Mapping to T &amp; C'!$A$3:$A$52,'[1]2050 BAU Mapping to T &amp; C'!$B$3:$B$52)</f>
        <v>Starchy roots</v>
      </c>
      <c r="H4384" s="129">
        <f>_xlfn.XLOOKUP(G4384,'[1]T&amp;C emissions for 2050 analysis'!$B$3:$B$23,'[1]T&amp;C emissions for 2050 analysis'!$C$3:$C$23)</f>
        <v>0.10999999999999999</v>
      </c>
      <c r="I4384" s="27">
        <f t="shared" si="204"/>
        <v>1.5830773199999998E-3</v>
      </c>
      <c r="J4384" s="129">
        <f t="shared" si="205"/>
        <v>0.19667999999999999</v>
      </c>
    </row>
    <row r="4385" spans="1:10" hidden="1" x14ac:dyDescent="0.35">
      <c r="A4385" s="126" t="s">
        <v>432</v>
      </c>
      <c r="B4385" t="str">
        <f>_xlfn.XLOOKUP(A4385,'[1]2050Pop'!$A$7:$A$143,'[1]2050Pop'!$D$7:$D$143)</f>
        <v>SSA</v>
      </c>
      <c r="C4385" s="127">
        <f>1000*_xlfn.XLOOKUP(A4385,'[1]2050Pop'!$A$7:$A$143,'[1]2050Pop'!$C$7:$C$143)</f>
        <v>1249</v>
      </c>
      <c r="D4385" s="126" t="s">
        <v>539</v>
      </c>
      <c r="E4385" s="128">
        <v>1.117</v>
      </c>
      <c r="F4385" s="129">
        <f t="shared" si="206"/>
        <v>1.395133E-3</v>
      </c>
      <c r="G4385" t="str">
        <f>_xlfn.XLOOKUP(D4385,'[1]2050 BAU Mapping to T &amp; C'!$A$3:$A$52,'[1]2050 BAU Mapping to T &amp; C'!$B$3:$B$52)</f>
        <v>Starchy roots</v>
      </c>
      <c r="H4385" s="129">
        <f>_xlfn.XLOOKUP(G4385,'[1]T&amp;C emissions for 2050 analysis'!$B$3:$B$23,'[1]T&amp;C emissions for 2050 analysis'!$C$3:$C$23)</f>
        <v>0.10999999999999999</v>
      </c>
      <c r="I4385" s="27">
        <f t="shared" si="204"/>
        <v>1.5346462999999997E-4</v>
      </c>
      <c r="J4385" s="129">
        <f t="shared" si="205"/>
        <v>0.12286999999999998</v>
      </c>
    </row>
    <row r="4386" spans="1:10" hidden="1" x14ac:dyDescent="0.35">
      <c r="A4386" s="126" t="s">
        <v>433</v>
      </c>
      <c r="B4386" t="str">
        <f>_xlfn.XLOOKUP(A4386,'[1]2050Pop'!$A$7:$A$143,'[1]2050Pop'!$D$7:$D$143)</f>
        <v>LatAm &amp; RSA</v>
      </c>
      <c r="C4386" s="127">
        <f>1000*_xlfn.XLOOKUP(A4386,'[1]2050Pop'!$A$7:$A$143,'[1]2050Pop'!$C$7:$C$143)</f>
        <v>163754</v>
      </c>
      <c r="D4386" s="126" t="s">
        <v>539</v>
      </c>
      <c r="E4386" s="128">
        <v>0.56599999999999995</v>
      </c>
      <c r="F4386" s="129">
        <f t="shared" si="206"/>
        <v>9.2684763999999989E-2</v>
      </c>
      <c r="G4386" t="str">
        <f>_xlfn.XLOOKUP(D4386,'[1]2050 BAU Mapping to T &amp; C'!$A$3:$A$52,'[1]2050 BAU Mapping to T &amp; C'!$B$3:$B$52)</f>
        <v>Starchy roots</v>
      </c>
      <c r="H4386" s="129">
        <f>_xlfn.XLOOKUP(G4386,'[1]T&amp;C emissions for 2050 analysis'!$B$3:$B$23,'[1]T&amp;C emissions for 2050 analysis'!$C$3:$C$23)</f>
        <v>0.10999999999999999</v>
      </c>
      <c r="I4386" s="27">
        <f t="shared" si="204"/>
        <v>1.0195324039999997E-2</v>
      </c>
      <c r="J4386" s="129">
        <f t="shared" si="205"/>
        <v>6.2259999999999989E-2</v>
      </c>
    </row>
    <row r="4387" spans="1:10" hidden="1" x14ac:dyDescent="0.35">
      <c r="A4387" s="126" t="s">
        <v>435</v>
      </c>
      <c r="B4387" t="str">
        <f>_xlfn.XLOOKUP(A4387,'[1]2050Pop'!$A$7:$A$143,'[1]2050Pop'!$D$7:$D$143)</f>
        <v>MENA</v>
      </c>
      <c r="C4387" s="127">
        <f>1000*_xlfn.XLOOKUP(A4387,'[1]2050Pop'!$A$7:$A$143,'[1]2050Pop'!$C$7:$C$143)</f>
        <v>43696</v>
      </c>
      <c r="D4387" s="126" t="s">
        <v>539</v>
      </c>
      <c r="E4387" s="128">
        <v>0.89300000000000002</v>
      </c>
      <c r="F4387" s="129">
        <f t="shared" si="206"/>
        <v>3.9020527999999999E-2</v>
      </c>
      <c r="G4387" t="str">
        <f>_xlfn.XLOOKUP(D4387,'[1]2050 BAU Mapping to T &amp; C'!$A$3:$A$52,'[1]2050 BAU Mapping to T &amp; C'!$B$3:$B$52)</f>
        <v>Starchy roots</v>
      </c>
      <c r="H4387" s="129">
        <f>_xlfn.XLOOKUP(G4387,'[1]T&amp;C emissions for 2050 analysis'!$B$3:$B$23,'[1]T&amp;C emissions for 2050 analysis'!$C$3:$C$23)</f>
        <v>0.10999999999999999</v>
      </c>
      <c r="I4387" s="27">
        <f t="shared" si="204"/>
        <v>4.292258079999999E-3</v>
      </c>
      <c r="J4387" s="129">
        <f t="shared" si="205"/>
        <v>9.8229999999999984E-2</v>
      </c>
    </row>
    <row r="4388" spans="1:10" hidden="1" x14ac:dyDescent="0.35">
      <c r="A4388" s="126" t="s">
        <v>436</v>
      </c>
      <c r="B4388" t="str">
        <f>_xlfn.XLOOKUP(A4388,'[1]2050Pop'!$A$7:$A$143,'[1]2050Pop'!$D$7:$D$143)</f>
        <v>SSA</v>
      </c>
      <c r="C4388" s="127">
        <f>1000*_xlfn.XLOOKUP(A4388,'[1]2050Pop'!$A$7:$A$143,'[1]2050Pop'!$C$7:$C$143)</f>
        <v>65544</v>
      </c>
      <c r="D4388" s="126" t="s">
        <v>539</v>
      </c>
      <c r="E4388" s="128">
        <v>92.783000000000001</v>
      </c>
      <c r="F4388" s="129">
        <f t="shared" si="206"/>
        <v>6.0813689520000009</v>
      </c>
      <c r="G4388" t="str">
        <f>_xlfn.XLOOKUP(D4388,'[1]2050 BAU Mapping to T &amp; C'!$A$3:$A$52,'[1]2050 BAU Mapping to T &amp; C'!$B$3:$B$52)</f>
        <v>Starchy roots</v>
      </c>
      <c r="H4388" s="129">
        <f>_xlfn.XLOOKUP(G4388,'[1]T&amp;C emissions for 2050 analysis'!$B$3:$B$23,'[1]T&amp;C emissions for 2050 analysis'!$C$3:$C$23)</f>
        <v>0.10999999999999999</v>
      </c>
      <c r="I4388" s="27">
        <f t="shared" si="204"/>
        <v>0.66895058472000002</v>
      </c>
      <c r="J4388" s="129">
        <f t="shared" si="205"/>
        <v>10.206129999999998</v>
      </c>
    </row>
    <row r="4389" spans="1:10" hidden="1" x14ac:dyDescent="0.35">
      <c r="A4389" s="126" t="s">
        <v>490</v>
      </c>
      <c r="B4389" t="str">
        <f>_xlfn.XLOOKUP(A4389,'[1]2050Pop'!$A$7:$A$143,'[1]2050Pop'!$D$7:$D$143)</f>
        <v>APAC</v>
      </c>
      <c r="C4389" s="127">
        <f>1000*_xlfn.XLOOKUP(A4389,'[1]2050Pop'!$A$7:$A$143,'[1]2050Pop'!$C$7:$C$143)</f>
        <v>63575</v>
      </c>
      <c r="D4389" s="126" t="s">
        <v>539</v>
      </c>
      <c r="E4389" s="128">
        <v>1.9139999999999999</v>
      </c>
      <c r="F4389" s="129">
        <f t="shared" si="206"/>
        <v>0.12168254999999999</v>
      </c>
      <c r="G4389" t="str">
        <f>_xlfn.XLOOKUP(D4389,'[1]2050 BAU Mapping to T &amp; C'!$A$3:$A$52,'[1]2050 BAU Mapping to T &amp; C'!$B$3:$B$52)</f>
        <v>Starchy roots</v>
      </c>
      <c r="H4389" s="129">
        <f>_xlfn.XLOOKUP(G4389,'[1]T&amp;C emissions for 2050 analysis'!$B$3:$B$23,'[1]T&amp;C emissions for 2050 analysis'!$C$3:$C$23)</f>
        <v>0.10999999999999999</v>
      </c>
      <c r="I4389" s="27">
        <f t="shared" si="204"/>
        <v>1.3385080499999997E-2</v>
      </c>
      <c r="J4389" s="129">
        <f t="shared" si="205"/>
        <v>0.21053999999999998</v>
      </c>
    </row>
    <row r="4390" spans="1:10" hidden="1" x14ac:dyDescent="0.35">
      <c r="A4390" s="126" t="s">
        <v>437</v>
      </c>
      <c r="B4390" t="str">
        <f>_xlfn.XLOOKUP(A4390,'[1]2050Pop'!$A$7:$A$143,'[1]2050Pop'!$D$7:$D$143)</f>
        <v>SSA</v>
      </c>
      <c r="C4390" s="127">
        <f>1000*_xlfn.XLOOKUP(A4390,'[1]2050Pop'!$A$7:$A$143,'[1]2050Pop'!$C$7:$C$143)</f>
        <v>4322</v>
      </c>
      <c r="D4390" s="126" t="s">
        <v>539</v>
      </c>
      <c r="E4390" s="128">
        <v>0.97299999999999998</v>
      </c>
      <c r="F4390" s="129">
        <f t="shared" si="206"/>
        <v>4.2053059999999998E-3</v>
      </c>
      <c r="G4390" t="str">
        <f>_xlfn.XLOOKUP(D4390,'[1]2050 BAU Mapping to T &amp; C'!$A$3:$A$52,'[1]2050 BAU Mapping to T &amp; C'!$B$3:$B$52)</f>
        <v>Starchy roots</v>
      </c>
      <c r="H4390" s="129">
        <f>_xlfn.XLOOKUP(G4390,'[1]T&amp;C emissions for 2050 analysis'!$B$3:$B$23,'[1]T&amp;C emissions for 2050 analysis'!$C$3:$C$23)</f>
        <v>0.10999999999999999</v>
      </c>
      <c r="I4390" s="27">
        <f t="shared" si="204"/>
        <v>4.6258365999999994E-4</v>
      </c>
      <c r="J4390" s="129">
        <f t="shared" si="205"/>
        <v>0.10702999999999999</v>
      </c>
    </row>
    <row r="4391" spans="1:10" hidden="1" x14ac:dyDescent="0.35">
      <c r="A4391" s="126" t="s">
        <v>439</v>
      </c>
      <c r="B4391" t="str">
        <f>_xlfn.XLOOKUP(A4391,'[1]2050Pop'!$A$7:$A$143,'[1]2050Pop'!$D$7:$D$143)</f>
        <v>Euro/AU/NZ</v>
      </c>
      <c r="C4391" s="127">
        <f>1000*_xlfn.XLOOKUP(A4391,'[1]2050Pop'!$A$7:$A$143,'[1]2050Pop'!$C$7:$C$143)</f>
        <v>17602</v>
      </c>
      <c r="D4391" s="126" t="s">
        <v>539</v>
      </c>
      <c r="E4391" s="128">
        <v>0.83199999999999996</v>
      </c>
      <c r="F4391" s="129">
        <f t="shared" si="206"/>
        <v>1.4644863999999999E-2</v>
      </c>
      <c r="G4391" t="str">
        <f>_xlfn.XLOOKUP(D4391,'[1]2050 BAU Mapping to T &amp; C'!$A$3:$A$52,'[1]2050 BAU Mapping to T &amp; C'!$B$3:$B$52)</f>
        <v>Starchy roots</v>
      </c>
      <c r="H4391" s="129">
        <f>_xlfn.XLOOKUP(G4391,'[1]T&amp;C emissions for 2050 analysis'!$B$3:$B$23,'[1]T&amp;C emissions for 2050 analysis'!$C$3:$C$23)</f>
        <v>0.10999999999999999</v>
      </c>
      <c r="I4391" s="27">
        <f t="shared" si="204"/>
        <v>1.6109350399999996E-3</v>
      </c>
      <c r="J4391" s="129">
        <f t="shared" si="205"/>
        <v>9.151999999999999E-2</v>
      </c>
    </row>
    <row r="4392" spans="1:10" hidden="1" x14ac:dyDescent="0.35">
      <c r="A4392" s="126" t="s">
        <v>440</v>
      </c>
      <c r="B4392" t="str">
        <f>_xlfn.XLOOKUP(A4392,'[1]2050Pop'!$A$7:$A$143,'[1]2050Pop'!$D$7:$D$143)</f>
        <v>Euro/AU/NZ</v>
      </c>
      <c r="C4392" s="127">
        <f>1000*_xlfn.XLOOKUP(A4392,'[1]2050Pop'!$A$7:$A$143,'[1]2050Pop'!$C$7:$C$143)</f>
        <v>5607</v>
      </c>
      <c r="D4392" s="126" t="s">
        <v>539</v>
      </c>
      <c r="E4392" s="128">
        <v>3.694</v>
      </c>
      <c r="F4392" s="129">
        <f t="shared" si="206"/>
        <v>2.0712257999999997E-2</v>
      </c>
      <c r="G4392" t="str">
        <f>_xlfn.XLOOKUP(D4392,'[1]2050 BAU Mapping to T &amp; C'!$A$3:$A$52,'[1]2050 BAU Mapping to T &amp; C'!$B$3:$B$52)</f>
        <v>Starchy roots</v>
      </c>
      <c r="H4392" s="129">
        <f>_xlfn.XLOOKUP(G4392,'[1]T&amp;C emissions for 2050 analysis'!$B$3:$B$23,'[1]T&amp;C emissions for 2050 analysis'!$C$3:$C$23)</f>
        <v>0.10999999999999999</v>
      </c>
      <c r="I4392" s="27">
        <f t="shared" si="204"/>
        <v>2.2783483799999993E-3</v>
      </c>
      <c r="J4392" s="129">
        <f t="shared" si="205"/>
        <v>0.40633999999999992</v>
      </c>
    </row>
    <row r="4393" spans="1:10" hidden="1" x14ac:dyDescent="0.35">
      <c r="A4393" s="126" t="s">
        <v>482</v>
      </c>
      <c r="B4393" t="str">
        <f>_xlfn.XLOOKUP(A4393,'[1]2050Pop'!$A$7:$A$143,'[1]2050Pop'!$D$7:$D$143)</f>
        <v>SSA</v>
      </c>
      <c r="C4393" s="127">
        <f>1000*_xlfn.XLOOKUP(A4393,'[1]2050Pop'!$A$7:$A$143,'[1]2050Pop'!$C$7:$C$143)</f>
        <v>72238</v>
      </c>
      <c r="D4393" s="126" t="s">
        <v>539</v>
      </c>
      <c r="E4393" s="128">
        <v>10.933999999999999</v>
      </c>
      <c r="F4393" s="129">
        <f t="shared" si="206"/>
        <v>0.7898502919999999</v>
      </c>
      <c r="G4393" t="str">
        <f>_xlfn.XLOOKUP(D4393,'[1]2050 BAU Mapping to T &amp; C'!$A$3:$A$52,'[1]2050 BAU Mapping to T &amp; C'!$B$3:$B$52)</f>
        <v>Starchy roots</v>
      </c>
      <c r="H4393" s="129">
        <f>_xlfn.XLOOKUP(G4393,'[1]T&amp;C emissions for 2050 analysis'!$B$3:$B$23,'[1]T&amp;C emissions for 2050 analysis'!$C$3:$C$23)</f>
        <v>0.10999999999999999</v>
      </c>
      <c r="I4393" s="27">
        <f t="shared" si="204"/>
        <v>8.6883532119999982E-2</v>
      </c>
      <c r="J4393" s="129">
        <f t="shared" si="205"/>
        <v>1.2027399999999997</v>
      </c>
    </row>
    <row r="4394" spans="1:10" hidden="1" x14ac:dyDescent="0.35">
      <c r="A4394" s="126" t="s">
        <v>491</v>
      </c>
      <c r="B4394" t="str">
        <f>_xlfn.XLOOKUP(A4394,'[1]2050Pop'!$A$7:$A$143,'[1]2050Pop'!$D$7:$D$143)</f>
        <v>SSA</v>
      </c>
      <c r="C4394" s="127">
        <f>1000*_xlfn.XLOOKUP(A4394,'[1]2050Pop'!$A$7:$A$143,'[1]2050Pop'!$C$7:$C$143)</f>
        <v>398508</v>
      </c>
      <c r="D4394" s="126" t="s">
        <v>539</v>
      </c>
      <c r="E4394" s="128">
        <v>362.47800000000001</v>
      </c>
      <c r="F4394" s="129">
        <f t="shared" si="206"/>
        <v>144.450382824</v>
      </c>
      <c r="G4394" t="str">
        <f>_xlfn.XLOOKUP(D4394,'[1]2050 BAU Mapping to T &amp; C'!$A$3:$A$52,'[1]2050 BAU Mapping to T &amp; C'!$B$3:$B$52)</f>
        <v>Starchy roots</v>
      </c>
      <c r="H4394" s="129">
        <f>_xlfn.XLOOKUP(G4394,'[1]T&amp;C emissions for 2050 analysis'!$B$3:$B$23,'[1]T&amp;C emissions for 2050 analysis'!$C$3:$C$23)</f>
        <v>0.10999999999999999</v>
      </c>
      <c r="I4394" s="27">
        <f t="shared" si="204"/>
        <v>15.889542110639999</v>
      </c>
      <c r="J4394" s="129">
        <f t="shared" si="205"/>
        <v>39.872579999999999</v>
      </c>
    </row>
    <row r="4395" spans="1:10" hidden="1" x14ac:dyDescent="0.35">
      <c r="A4395" s="126" t="s">
        <v>442</v>
      </c>
      <c r="B4395" t="str">
        <f>_xlfn.XLOOKUP(A4395,'[1]2050Pop'!$A$7:$A$143,'[1]2050Pop'!$D$7:$D$143)</f>
        <v>Euro/AU/NZ</v>
      </c>
      <c r="C4395" s="127">
        <f>1000*_xlfn.XLOOKUP(A4395,'[1]2050Pop'!$A$7:$A$143,'[1]2050Pop'!$C$7:$C$143)</f>
        <v>6658</v>
      </c>
      <c r="D4395" s="126" t="s">
        <v>539</v>
      </c>
      <c r="E4395" s="128">
        <v>0.48399999999999999</v>
      </c>
      <c r="F4395" s="129">
        <f t="shared" si="206"/>
        <v>3.2224719999999997E-3</v>
      </c>
      <c r="G4395" t="str">
        <f>_xlfn.XLOOKUP(D4395,'[1]2050 BAU Mapping to T &amp; C'!$A$3:$A$52,'[1]2050 BAU Mapping to T &amp; C'!$B$3:$B$52)</f>
        <v>Starchy roots</v>
      </c>
      <c r="H4395" s="129">
        <f>_xlfn.XLOOKUP(G4395,'[1]T&amp;C emissions for 2050 analysis'!$B$3:$B$23,'[1]T&amp;C emissions for 2050 analysis'!$C$3:$C$23)</f>
        <v>0.10999999999999999</v>
      </c>
      <c r="I4395" s="27">
        <f t="shared" si="204"/>
        <v>3.5447191999999993E-4</v>
      </c>
      <c r="J4395" s="129">
        <f t="shared" si="205"/>
        <v>5.3239999999999989E-2</v>
      </c>
    </row>
    <row r="4396" spans="1:10" hidden="1" x14ac:dyDescent="0.35">
      <c r="A4396" s="126" t="s">
        <v>444</v>
      </c>
      <c r="B4396" t="str">
        <f>_xlfn.XLOOKUP(A4396,'[1]2050Pop'!$A$7:$A$143,'[1]2050Pop'!$D$7:$D$143)</f>
        <v>LatAm &amp; RSA</v>
      </c>
      <c r="C4396" s="127">
        <f>1000*_xlfn.XLOOKUP(A4396,'[1]2050Pop'!$A$7:$A$143,'[1]2050Pop'!$C$7:$C$143)</f>
        <v>5599</v>
      </c>
      <c r="D4396" s="126" t="s">
        <v>539</v>
      </c>
      <c r="E4396" s="128">
        <v>11.019</v>
      </c>
      <c r="F4396" s="129">
        <f t="shared" si="206"/>
        <v>6.1695381000000001E-2</v>
      </c>
      <c r="G4396" t="str">
        <f>_xlfn.XLOOKUP(D4396,'[1]2050 BAU Mapping to T &amp; C'!$A$3:$A$52,'[1]2050 BAU Mapping to T &amp; C'!$B$3:$B$52)</f>
        <v>Starchy roots</v>
      </c>
      <c r="H4396" s="129">
        <f>_xlfn.XLOOKUP(G4396,'[1]T&amp;C emissions for 2050 analysis'!$B$3:$B$23,'[1]T&amp;C emissions for 2050 analysis'!$C$3:$C$23)</f>
        <v>0.10999999999999999</v>
      </c>
      <c r="I4396" s="27">
        <f t="shared" si="204"/>
        <v>6.7864919099999994E-3</v>
      </c>
      <c r="J4396" s="129">
        <f t="shared" si="205"/>
        <v>1.2120899999999999</v>
      </c>
    </row>
    <row r="4397" spans="1:10" hidden="1" x14ac:dyDescent="0.35">
      <c r="A4397" s="126" t="s">
        <v>445</v>
      </c>
      <c r="B4397" t="str">
        <f>_xlfn.XLOOKUP(A4397,'[1]2050Pop'!$A$7:$A$143,'[1]2050Pop'!$D$7:$D$143)</f>
        <v>LatAm &amp; RSA</v>
      </c>
      <c r="C4397" s="127">
        <f>1000*_xlfn.XLOOKUP(A4397,'[1]2050Pop'!$A$7:$A$143,'[1]2050Pop'!$C$7:$C$143)</f>
        <v>8895</v>
      </c>
      <c r="D4397" s="126" t="s">
        <v>539</v>
      </c>
      <c r="E4397" s="128">
        <v>17.391999999999999</v>
      </c>
      <c r="F4397" s="129">
        <f t="shared" si="206"/>
        <v>0.15470184000000001</v>
      </c>
      <c r="G4397" t="str">
        <f>_xlfn.XLOOKUP(D4397,'[1]2050 BAU Mapping to T &amp; C'!$A$3:$A$52,'[1]2050 BAU Mapping to T &amp; C'!$B$3:$B$52)</f>
        <v>Starchy roots</v>
      </c>
      <c r="H4397" s="129">
        <f>_xlfn.XLOOKUP(G4397,'[1]T&amp;C emissions for 2050 analysis'!$B$3:$B$23,'[1]T&amp;C emissions for 2050 analysis'!$C$3:$C$23)</f>
        <v>0.10999999999999999</v>
      </c>
      <c r="I4397" s="27">
        <f t="shared" si="204"/>
        <v>1.7017202399999997E-2</v>
      </c>
      <c r="J4397" s="129">
        <f t="shared" si="205"/>
        <v>1.9131199999999997</v>
      </c>
    </row>
    <row r="4398" spans="1:10" hidden="1" x14ac:dyDescent="0.35">
      <c r="A4398" s="126" t="s">
        <v>446</v>
      </c>
      <c r="B4398" t="str">
        <f>_xlfn.XLOOKUP(A4398,'[1]2050Pop'!$A$7:$A$143,'[1]2050Pop'!$D$7:$D$143)</f>
        <v>LatAm &amp; RSA</v>
      </c>
      <c r="C4398" s="127">
        <f>1000*_xlfn.XLOOKUP(A4398,'[1]2050Pop'!$A$7:$A$143,'[1]2050Pop'!$C$7:$C$143)</f>
        <v>41899</v>
      </c>
      <c r="D4398" s="126" t="s">
        <v>539</v>
      </c>
      <c r="E4398" s="128">
        <v>17.158000000000001</v>
      </c>
      <c r="F4398" s="129">
        <f t="shared" si="206"/>
        <v>0.71890304199999999</v>
      </c>
      <c r="G4398" t="str">
        <f>_xlfn.XLOOKUP(D4398,'[1]2050 BAU Mapping to T &amp; C'!$A$3:$A$52,'[1]2050 BAU Mapping to T &amp; C'!$B$3:$B$52)</f>
        <v>Starchy roots</v>
      </c>
      <c r="H4398" s="129">
        <f>_xlfn.XLOOKUP(G4398,'[1]T&amp;C emissions for 2050 analysis'!$B$3:$B$23,'[1]T&amp;C emissions for 2050 analysis'!$C$3:$C$23)</f>
        <v>0.10999999999999999</v>
      </c>
      <c r="I4398" s="27">
        <f t="shared" si="204"/>
        <v>7.9079334619999983E-2</v>
      </c>
      <c r="J4398" s="129">
        <f t="shared" si="205"/>
        <v>1.8873799999999998</v>
      </c>
    </row>
    <row r="4399" spans="1:10" hidden="1" x14ac:dyDescent="0.35">
      <c r="A4399" s="126" t="s">
        <v>447</v>
      </c>
      <c r="B4399" t="str">
        <f>_xlfn.XLOOKUP(A4399,'[1]2050Pop'!$A$7:$A$143,'[1]2050Pop'!$D$7:$D$143)</f>
        <v>APAC</v>
      </c>
      <c r="C4399" s="127">
        <f>1000*_xlfn.XLOOKUP(A4399,'[1]2050Pop'!$A$7:$A$143,'[1]2050Pop'!$C$7:$C$143)</f>
        <v>148260</v>
      </c>
      <c r="D4399" s="126" t="s">
        <v>539</v>
      </c>
      <c r="E4399" s="128">
        <v>14.922000000000001</v>
      </c>
      <c r="F4399" s="129">
        <f t="shared" si="206"/>
        <v>2.21233572</v>
      </c>
      <c r="G4399" t="str">
        <f>_xlfn.XLOOKUP(D4399,'[1]2050 BAU Mapping to T &amp; C'!$A$3:$A$52,'[1]2050 BAU Mapping to T &amp; C'!$B$3:$B$52)</f>
        <v>Starchy roots</v>
      </c>
      <c r="H4399" s="129">
        <f>_xlfn.XLOOKUP(G4399,'[1]T&amp;C emissions for 2050 analysis'!$B$3:$B$23,'[1]T&amp;C emissions for 2050 analysis'!$C$3:$C$23)</f>
        <v>0.10999999999999999</v>
      </c>
      <c r="I4399" s="27">
        <f t="shared" si="204"/>
        <v>0.24335692919999996</v>
      </c>
      <c r="J4399" s="129">
        <f t="shared" si="205"/>
        <v>1.6414199999999999</v>
      </c>
    </row>
    <row r="4400" spans="1:10" hidden="1" x14ac:dyDescent="0.35">
      <c r="A4400" s="126" t="s">
        <v>449</v>
      </c>
      <c r="B4400" t="str">
        <f>_xlfn.XLOOKUP(A4400,'[1]2050Pop'!$A$7:$A$143,'[1]2050Pop'!$D$7:$D$143)</f>
        <v>Euro/AU/NZ</v>
      </c>
      <c r="C4400" s="127">
        <f>1000*_xlfn.XLOOKUP(A4400,'[1]2050Pop'!$A$7:$A$143,'[1]2050Pop'!$C$7:$C$143)</f>
        <v>9216</v>
      </c>
      <c r="D4400" s="126" t="s">
        <v>539</v>
      </c>
      <c r="E4400" s="128">
        <v>0.48499999999999999</v>
      </c>
      <c r="F4400" s="129">
        <f t="shared" si="206"/>
        <v>4.4697600000000006E-3</v>
      </c>
      <c r="G4400" t="str">
        <f>_xlfn.XLOOKUP(D4400,'[1]2050 BAU Mapping to T &amp; C'!$A$3:$A$52,'[1]2050 BAU Mapping to T &amp; C'!$B$3:$B$52)</f>
        <v>Starchy roots</v>
      </c>
      <c r="H4400" s="129">
        <f>_xlfn.XLOOKUP(G4400,'[1]T&amp;C emissions for 2050 analysis'!$B$3:$B$23,'[1]T&amp;C emissions for 2050 analysis'!$C$3:$C$23)</f>
        <v>0.10999999999999999</v>
      </c>
      <c r="I4400" s="27">
        <f t="shared" si="204"/>
        <v>4.9167359999999997E-4</v>
      </c>
      <c r="J4400" s="129">
        <f t="shared" si="205"/>
        <v>5.3349999999999995E-2</v>
      </c>
    </row>
    <row r="4401" spans="1:10" hidden="1" x14ac:dyDescent="0.35">
      <c r="A4401" s="126" t="s">
        <v>450</v>
      </c>
      <c r="B4401" t="str">
        <f>_xlfn.XLOOKUP(A4401,'[1]2050Pop'!$A$7:$A$143,'[1]2050Pop'!$D$7:$D$143)</f>
        <v>APAC</v>
      </c>
      <c r="C4401" s="127">
        <f>1000*_xlfn.XLOOKUP(A4401,'[1]2050Pop'!$A$7:$A$143,'[1]2050Pop'!$C$7:$C$143)</f>
        <v>50593</v>
      </c>
      <c r="D4401" s="126" t="s">
        <v>539</v>
      </c>
      <c r="E4401" s="128">
        <v>6.9980000000000002</v>
      </c>
      <c r="F4401" s="129">
        <f t="shared" si="206"/>
        <v>0.35404981400000002</v>
      </c>
      <c r="G4401" t="str">
        <f>_xlfn.XLOOKUP(D4401,'[1]2050 BAU Mapping to T &amp; C'!$A$3:$A$52,'[1]2050 BAU Mapping to T &amp; C'!$B$3:$B$52)</f>
        <v>Starchy roots</v>
      </c>
      <c r="H4401" s="129">
        <f>_xlfn.XLOOKUP(G4401,'[1]T&amp;C emissions for 2050 analysis'!$B$3:$B$23,'[1]T&amp;C emissions for 2050 analysis'!$C$3:$C$23)</f>
        <v>0.10999999999999999</v>
      </c>
      <c r="I4401" s="27">
        <f t="shared" si="204"/>
        <v>3.8945479539999994E-2</v>
      </c>
      <c r="J4401" s="129">
        <f t="shared" si="205"/>
        <v>0.76977999999999991</v>
      </c>
    </row>
    <row r="4402" spans="1:10" hidden="1" x14ac:dyDescent="0.35">
      <c r="A4402" s="126" t="s">
        <v>452</v>
      </c>
      <c r="B4402" t="str">
        <f>_xlfn.XLOOKUP(A4402,'[1]2050Pop'!$A$7:$A$143,'[1]2050Pop'!$D$7:$D$143)</f>
        <v>SSA</v>
      </c>
      <c r="C4402" s="127">
        <f>1000*_xlfn.XLOOKUP(A4402,'[1]2050Pop'!$A$7:$A$143,'[1]2050Pop'!$C$7:$C$143)</f>
        <v>10732</v>
      </c>
      <c r="D4402" s="126" t="s">
        <v>539</v>
      </c>
      <c r="E4402" s="128">
        <v>16.933</v>
      </c>
      <c r="F4402" s="129">
        <f t="shared" si="206"/>
        <v>0.18172495599999999</v>
      </c>
      <c r="G4402" t="str">
        <f>_xlfn.XLOOKUP(D4402,'[1]2050 BAU Mapping to T &amp; C'!$A$3:$A$52,'[1]2050 BAU Mapping to T &amp; C'!$B$3:$B$52)</f>
        <v>Starchy roots</v>
      </c>
      <c r="H4402" s="129">
        <f>_xlfn.XLOOKUP(G4402,'[1]T&amp;C emissions for 2050 analysis'!$B$3:$B$23,'[1]T&amp;C emissions for 2050 analysis'!$C$3:$C$23)</f>
        <v>0.10999999999999999</v>
      </c>
      <c r="I4402" s="27">
        <f t="shared" si="204"/>
        <v>1.9989745159999996E-2</v>
      </c>
      <c r="J4402" s="129">
        <f t="shared" si="205"/>
        <v>1.8626299999999998</v>
      </c>
    </row>
    <row r="4403" spans="1:10" hidden="1" x14ac:dyDescent="0.35">
      <c r="A4403" s="126" t="s">
        <v>455</v>
      </c>
      <c r="B4403" t="str">
        <f>_xlfn.XLOOKUP(A4403,'[1]2050Pop'!$A$7:$A$143,'[1]2050Pop'!$D$7:$D$143)</f>
        <v>SSA</v>
      </c>
      <c r="C4403" s="127">
        <f>1000*_xlfn.XLOOKUP(A4403,'[1]2050Pop'!$A$7:$A$143,'[1]2050Pop'!$C$7:$C$143)</f>
        <v>21187</v>
      </c>
      <c r="D4403" s="126" t="s">
        <v>539</v>
      </c>
      <c r="E4403" s="128">
        <v>203.511</v>
      </c>
      <c r="F4403" s="129">
        <f t="shared" si="206"/>
        <v>4.3117875569999997</v>
      </c>
      <c r="G4403" t="str">
        <f>_xlfn.XLOOKUP(D4403,'[1]2050 BAU Mapping to T &amp; C'!$A$3:$A$52,'[1]2050 BAU Mapping to T &amp; C'!$B$3:$B$52)</f>
        <v>Starchy roots</v>
      </c>
      <c r="H4403" s="129">
        <f>_xlfn.XLOOKUP(G4403,'[1]T&amp;C emissions for 2050 analysis'!$B$3:$B$23,'[1]T&amp;C emissions for 2050 analysis'!$C$3:$C$23)</f>
        <v>0.10999999999999999</v>
      </c>
      <c r="I4403" s="27">
        <f t="shared" si="204"/>
        <v>0.47429663126999994</v>
      </c>
      <c r="J4403" s="129">
        <f t="shared" si="205"/>
        <v>22.386209999999998</v>
      </c>
    </row>
    <row r="4404" spans="1:10" hidden="1" x14ac:dyDescent="0.35">
      <c r="A4404" s="126" t="s">
        <v>457</v>
      </c>
      <c r="B4404" t="str">
        <f>_xlfn.XLOOKUP(A4404,'[1]2050Pop'!$A$7:$A$143,'[1]2050Pop'!$D$7:$D$143)</f>
        <v>SSA</v>
      </c>
      <c r="C4404" s="127">
        <f>1000*_xlfn.XLOOKUP(A4404,'[1]2050Pop'!$A$7:$A$143,'[1]2050Pop'!$C$7:$C$143)</f>
        <v>36223</v>
      </c>
      <c r="D4404" s="126" t="s">
        <v>539</v>
      </c>
      <c r="E4404" s="128">
        <v>5.3730000000000002</v>
      </c>
      <c r="F4404" s="129">
        <f t="shared" si="206"/>
        <v>0.19462617900000001</v>
      </c>
      <c r="G4404" t="str">
        <f>_xlfn.XLOOKUP(D4404,'[1]2050 BAU Mapping to T &amp; C'!$A$3:$A$52,'[1]2050 BAU Mapping to T &amp; C'!$B$3:$B$52)</f>
        <v>Starchy roots</v>
      </c>
      <c r="H4404" s="129">
        <f>_xlfn.XLOOKUP(G4404,'[1]T&amp;C emissions for 2050 analysis'!$B$3:$B$23,'[1]T&amp;C emissions for 2050 analysis'!$C$3:$C$23)</f>
        <v>0.10999999999999999</v>
      </c>
      <c r="I4404" s="27">
        <f t="shared" si="204"/>
        <v>2.1408879689999997E-2</v>
      </c>
      <c r="J4404" s="129">
        <f t="shared" si="205"/>
        <v>0.59102999999999994</v>
      </c>
    </row>
    <row r="4405" spans="1:10" hidden="1" x14ac:dyDescent="0.35">
      <c r="A4405" s="126" t="s">
        <v>492</v>
      </c>
      <c r="B4405" t="str">
        <f>_xlfn.XLOOKUP(A4405,'[1]2050Pop'!$A$7:$A$143,'[1]2050Pop'!$D$7:$D$143)</f>
        <v>SSA</v>
      </c>
      <c r="C4405" s="127">
        <f>1000*_xlfn.XLOOKUP(A4405,'[1]2050Pop'!$A$7:$A$143,'[1]2050Pop'!$C$7:$C$143)</f>
        <v>11392</v>
      </c>
      <c r="D4405" s="126" t="s">
        <v>539</v>
      </c>
      <c r="E4405" s="128">
        <v>84.135999999999996</v>
      </c>
      <c r="F4405" s="129">
        <f t="shared" si="206"/>
        <v>0.95847731199999997</v>
      </c>
      <c r="G4405" t="str">
        <f>_xlfn.XLOOKUP(D4405,'[1]2050 BAU Mapping to T &amp; C'!$A$3:$A$52,'[1]2050 BAU Mapping to T &amp; C'!$B$3:$B$52)</f>
        <v>Starchy roots</v>
      </c>
      <c r="H4405" s="129">
        <f>_xlfn.XLOOKUP(G4405,'[1]T&amp;C emissions for 2050 analysis'!$B$3:$B$23,'[1]T&amp;C emissions for 2050 analysis'!$C$3:$C$23)</f>
        <v>0.10999999999999999</v>
      </c>
      <c r="I4405" s="27">
        <f t="shared" si="204"/>
        <v>0.10543250431999998</v>
      </c>
      <c r="J4405" s="129">
        <f t="shared" si="205"/>
        <v>9.2549599999999987</v>
      </c>
    </row>
    <row r="4406" spans="1:10" hidden="1" x14ac:dyDescent="0.35">
      <c r="A4406" s="126" t="s">
        <v>460</v>
      </c>
      <c r="B4406" t="str">
        <f>_xlfn.XLOOKUP(A4406,'[1]2050Pop'!$A$7:$A$143,'[1]2050Pop'!$D$7:$D$143)</f>
        <v>LatAm &amp; RSA</v>
      </c>
      <c r="C4406" s="127">
        <f>1000*_xlfn.XLOOKUP(A4406,'[1]2050Pop'!$A$7:$A$143,'[1]2050Pop'!$C$7:$C$143)</f>
        <v>65540</v>
      </c>
      <c r="D4406" s="126" t="s">
        <v>539</v>
      </c>
      <c r="E4406" s="128">
        <v>1.393</v>
      </c>
      <c r="F4406" s="129">
        <f t="shared" si="206"/>
        <v>9.1297219999999998E-2</v>
      </c>
      <c r="G4406" t="str">
        <f>_xlfn.XLOOKUP(D4406,'[1]2050 BAU Mapping to T &amp; C'!$A$3:$A$52,'[1]2050 BAU Mapping to T &amp; C'!$B$3:$B$52)</f>
        <v>Starchy roots</v>
      </c>
      <c r="H4406" s="129">
        <f>_xlfn.XLOOKUP(G4406,'[1]T&amp;C emissions for 2050 analysis'!$B$3:$B$23,'[1]T&amp;C emissions for 2050 analysis'!$C$3:$C$23)</f>
        <v>0.10999999999999999</v>
      </c>
      <c r="I4406" s="27">
        <f t="shared" si="204"/>
        <v>1.0042694199999999E-2</v>
      </c>
      <c r="J4406" s="129">
        <f t="shared" si="205"/>
        <v>0.15322999999999998</v>
      </c>
    </row>
    <row r="4407" spans="1:10" hidden="1" x14ac:dyDescent="0.35">
      <c r="A4407" s="126" t="s">
        <v>461</v>
      </c>
      <c r="B4407" t="str">
        <f>_xlfn.XLOOKUP(A4407,'[1]2050Pop'!$A$7:$A$143,'[1]2050Pop'!$D$7:$D$143)</f>
        <v>Euro/AU/NZ</v>
      </c>
      <c r="C4407" s="127">
        <f>1000*_xlfn.XLOOKUP(A4407,'[1]2050Pop'!$A$7:$A$143,'[1]2050Pop'!$C$7:$C$143)</f>
        <v>44840</v>
      </c>
      <c r="D4407" s="126" t="s">
        <v>539</v>
      </c>
      <c r="E4407" s="128">
        <v>0.48699999999999999</v>
      </c>
      <c r="F4407" s="129">
        <f t="shared" si="206"/>
        <v>2.1837079999999998E-2</v>
      </c>
      <c r="G4407" t="str">
        <f>_xlfn.XLOOKUP(D4407,'[1]2050 BAU Mapping to T &amp; C'!$A$3:$A$52,'[1]2050 BAU Mapping to T &amp; C'!$B$3:$B$52)</f>
        <v>Starchy roots</v>
      </c>
      <c r="H4407" s="129">
        <f>_xlfn.XLOOKUP(G4407,'[1]T&amp;C emissions for 2050 analysis'!$B$3:$B$23,'[1]T&amp;C emissions for 2050 analysis'!$C$3:$C$23)</f>
        <v>0.10999999999999999</v>
      </c>
      <c r="I4407" s="27">
        <f t="shared" si="204"/>
        <v>2.4020787999999996E-3</v>
      </c>
      <c r="J4407" s="129">
        <f t="shared" si="205"/>
        <v>5.3569999999999993E-2</v>
      </c>
    </row>
    <row r="4408" spans="1:10" hidden="1" x14ac:dyDescent="0.35">
      <c r="A4408" s="126" t="s">
        <v>493</v>
      </c>
      <c r="B4408" t="str">
        <f>_xlfn.XLOOKUP(A4408,'[1]2050Pop'!$A$7:$A$143,'[1]2050Pop'!$D$7:$D$143)</f>
        <v>India/South Asia</v>
      </c>
      <c r="C4408" s="127">
        <f>1000*_xlfn.XLOOKUP(A4408,'[1]2050Pop'!$A$7:$A$143,'[1]2050Pop'!$C$7:$C$143)</f>
        <v>20836</v>
      </c>
      <c r="D4408" s="126" t="s">
        <v>539</v>
      </c>
      <c r="E4408" s="128">
        <v>5.2389999999999999</v>
      </c>
      <c r="F4408" s="129">
        <f t="shared" si="206"/>
        <v>0.109159804</v>
      </c>
      <c r="G4408" t="str">
        <f>_xlfn.XLOOKUP(D4408,'[1]2050 BAU Mapping to T &amp; C'!$A$3:$A$52,'[1]2050 BAU Mapping to T &amp; C'!$B$3:$B$52)</f>
        <v>Starchy roots</v>
      </c>
      <c r="H4408" s="129">
        <f>_xlfn.XLOOKUP(G4408,'[1]T&amp;C emissions for 2050 analysis'!$B$3:$B$23,'[1]T&amp;C emissions for 2050 analysis'!$C$3:$C$23)</f>
        <v>0.10999999999999999</v>
      </c>
      <c r="I4408" s="27">
        <f t="shared" si="204"/>
        <v>1.2007578439999998E-2</v>
      </c>
      <c r="J4408" s="129">
        <f t="shared" si="205"/>
        <v>0.57628999999999997</v>
      </c>
    </row>
    <row r="4409" spans="1:10" hidden="1" x14ac:dyDescent="0.35">
      <c r="A4409" s="126" t="s">
        <v>462</v>
      </c>
      <c r="B4409" t="str">
        <f>_xlfn.XLOOKUP(A4409,'[1]2050Pop'!$A$7:$A$143,'[1]2050Pop'!$D$7:$D$143)</f>
        <v>LatAm &amp; RSA</v>
      </c>
      <c r="C4409" s="127">
        <f>1000*_xlfn.XLOOKUP(A4409,'[1]2050Pop'!$A$7:$A$143,'[1]2050Pop'!$C$7:$C$143)</f>
        <v>624</v>
      </c>
      <c r="D4409" s="126" t="s">
        <v>539</v>
      </c>
      <c r="E4409" s="128">
        <v>1.6919999999999999</v>
      </c>
      <c r="F4409" s="129">
        <f t="shared" si="206"/>
        <v>1.0558080000000001E-3</v>
      </c>
      <c r="G4409" t="str">
        <f>_xlfn.XLOOKUP(D4409,'[1]2050 BAU Mapping to T &amp; C'!$A$3:$A$52,'[1]2050 BAU Mapping to T &amp; C'!$B$3:$B$52)</f>
        <v>Starchy roots</v>
      </c>
      <c r="H4409" s="129">
        <f>_xlfn.XLOOKUP(G4409,'[1]T&amp;C emissions for 2050 analysis'!$B$3:$B$23,'[1]T&amp;C emissions for 2050 analysis'!$C$3:$C$23)</f>
        <v>0.10999999999999999</v>
      </c>
      <c r="I4409" s="27">
        <f t="shared" si="204"/>
        <v>1.1613888E-4</v>
      </c>
      <c r="J4409" s="129">
        <f t="shared" si="205"/>
        <v>0.18611999999999998</v>
      </c>
    </row>
    <row r="4410" spans="1:10" hidden="1" x14ac:dyDescent="0.35">
      <c r="A4410" s="126" t="s">
        <v>463</v>
      </c>
      <c r="B4410" t="str">
        <f>_xlfn.XLOOKUP(A4410,'[1]2050Pop'!$A$7:$A$143,'[1]2050Pop'!$D$7:$D$143)</f>
        <v>SSA</v>
      </c>
      <c r="C4410" s="127">
        <f>1000*_xlfn.XLOOKUP(A4410,'[1]2050Pop'!$A$7:$A$143,'[1]2050Pop'!$C$7:$C$143)</f>
        <v>1792</v>
      </c>
      <c r="D4410" s="126" t="s">
        <v>539</v>
      </c>
      <c r="E4410" s="128">
        <v>4.1059999999999999</v>
      </c>
      <c r="F4410" s="129">
        <f t="shared" si="206"/>
        <v>7.3579519999999992E-3</v>
      </c>
      <c r="G4410" t="str">
        <f>_xlfn.XLOOKUP(D4410,'[1]2050 BAU Mapping to T &amp; C'!$A$3:$A$52,'[1]2050 BAU Mapping to T &amp; C'!$B$3:$B$52)</f>
        <v>Starchy roots</v>
      </c>
      <c r="H4410" s="129">
        <f>_xlfn.XLOOKUP(G4410,'[1]T&amp;C emissions for 2050 analysis'!$B$3:$B$23,'[1]T&amp;C emissions for 2050 analysis'!$C$3:$C$23)</f>
        <v>0.10999999999999999</v>
      </c>
      <c r="I4410" s="27">
        <f t="shared" si="204"/>
        <v>8.093747199999998E-4</v>
      </c>
      <c r="J4410" s="129">
        <f t="shared" si="205"/>
        <v>0.45165999999999995</v>
      </c>
    </row>
    <row r="4411" spans="1:10" hidden="1" x14ac:dyDescent="0.35">
      <c r="A4411" s="126" t="s">
        <v>465</v>
      </c>
      <c r="B4411" t="str">
        <f>_xlfn.XLOOKUP(A4411,'[1]2050Pop'!$A$7:$A$143,'[1]2050Pop'!$D$7:$D$143)</f>
        <v>APAC</v>
      </c>
      <c r="C4411" s="127">
        <f>1000*_xlfn.XLOOKUP(A4411,'[1]2050Pop'!$A$7:$A$143,'[1]2050Pop'!$C$7:$C$143)</f>
        <v>62452</v>
      </c>
      <c r="D4411" s="126" t="s">
        <v>539</v>
      </c>
      <c r="E4411" s="131">
        <v>1</v>
      </c>
      <c r="F4411" s="129">
        <f t="shared" si="206"/>
        <v>6.2452000000000001E-2</v>
      </c>
      <c r="G4411" t="str">
        <f>_xlfn.XLOOKUP(D4411,'[1]2050 BAU Mapping to T &amp; C'!$A$3:$A$52,'[1]2050 BAU Mapping to T &amp; C'!$B$3:$B$52)</f>
        <v>Starchy roots</v>
      </c>
      <c r="H4411" s="129">
        <f>_xlfn.XLOOKUP(G4411,'[1]T&amp;C emissions for 2050 analysis'!$B$3:$B$23,'[1]T&amp;C emissions for 2050 analysis'!$C$3:$C$23)</f>
        <v>0.10999999999999999</v>
      </c>
      <c r="I4411" s="27">
        <f t="shared" si="204"/>
        <v>6.8697199999999993E-3</v>
      </c>
      <c r="J4411" s="129">
        <f t="shared" si="205"/>
        <v>0.10999999999999999</v>
      </c>
    </row>
    <row r="4412" spans="1:10" hidden="1" x14ac:dyDescent="0.35">
      <c r="A4412" s="126" t="s">
        <v>466</v>
      </c>
      <c r="B4412" t="str">
        <f>_xlfn.XLOOKUP(A4412,'[1]2050Pop'!$A$7:$A$143,'[1]2050Pop'!$D$7:$D$143)</f>
        <v>SSA</v>
      </c>
      <c r="C4412" s="127">
        <f>1000*_xlfn.XLOOKUP(A4412,'[1]2050Pop'!$A$7:$A$143,'[1]2050Pop'!$C$7:$C$143)</f>
        <v>15681</v>
      </c>
      <c r="D4412" s="126" t="s">
        <v>539</v>
      </c>
      <c r="E4412" s="128">
        <v>271.88600000000002</v>
      </c>
      <c r="F4412" s="129">
        <f t="shared" si="206"/>
        <v>4.2634443660000008</v>
      </c>
      <c r="G4412" t="str">
        <f>_xlfn.XLOOKUP(D4412,'[1]2050 BAU Mapping to T &amp; C'!$A$3:$A$52,'[1]2050 BAU Mapping to T &amp; C'!$B$3:$B$52)</f>
        <v>Starchy roots</v>
      </c>
      <c r="H4412" s="129">
        <f>_xlfn.XLOOKUP(G4412,'[1]T&amp;C emissions for 2050 analysis'!$B$3:$B$23,'[1]T&amp;C emissions for 2050 analysis'!$C$3:$C$23)</f>
        <v>0.10999999999999999</v>
      </c>
      <c r="I4412" s="27">
        <f t="shared" si="204"/>
        <v>0.46897888026000001</v>
      </c>
      <c r="J4412" s="129">
        <f t="shared" si="205"/>
        <v>29.90746</v>
      </c>
    </row>
    <row r="4413" spans="1:10" hidden="1" x14ac:dyDescent="0.35">
      <c r="A4413" s="126" t="s">
        <v>467</v>
      </c>
      <c r="B4413" t="str">
        <f>_xlfn.XLOOKUP(A4413,'[1]2050Pop'!$A$7:$A$143,'[1]2050Pop'!$D$7:$D$143)</f>
        <v>LatAm &amp; RSA</v>
      </c>
      <c r="C4413" s="127">
        <f>1000*_xlfn.XLOOKUP(A4413,'[1]2050Pop'!$A$7:$A$143,'[1]2050Pop'!$C$7:$C$143)</f>
        <v>1291</v>
      </c>
      <c r="D4413" s="126" t="s">
        <v>539</v>
      </c>
      <c r="E4413" s="128">
        <v>1.4450000000000001</v>
      </c>
      <c r="F4413" s="129">
        <f t="shared" si="206"/>
        <v>1.8654950000000002E-3</v>
      </c>
      <c r="G4413" t="str">
        <f>_xlfn.XLOOKUP(D4413,'[1]2050 BAU Mapping to T &amp; C'!$A$3:$A$52,'[1]2050 BAU Mapping to T &amp; C'!$B$3:$B$52)</f>
        <v>Starchy roots</v>
      </c>
      <c r="H4413" s="129">
        <f>_xlfn.XLOOKUP(G4413,'[1]T&amp;C emissions for 2050 analysis'!$B$3:$B$23,'[1]T&amp;C emissions for 2050 analysis'!$C$3:$C$23)</f>
        <v>0.10999999999999999</v>
      </c>
      <c r="I4413" s="27">
        <f t="shared" si="204"/>
        <v>2.0520445E-4</v>
      </c>
      <c r="J4413" s="129">
        <f t="shared" si="205"/>
        <v>0.15894999999999998</v>
      </c>
    </row>
    <row r="4414" spans="1:10" hidden="1" x14ac:dyDescent="0.35">
      <c r="A4414" s="126" t="s">
        <v>470</v>
      </c>
      <c r="B4414" t="str">
        <f>_xlfn.XLOOKUP(A4414,'[1]2050Pop'!$A$7:$A$143,'[1]2050Pop'!$D$7:$D$143)</f>
        <v>SSA</v>
      </c>
      <c r="C4414" s="127">
        <f>1000*_xlfn.XLOOKUP(A4414,'[1]2050Pop'!$A$7:$A$143,'[1]2050Pop'!$C$7:$C$143)</f>
        <v>101873</v>
      </c>
      <c r="D4414" s="126" t="s">
        <v>539</v>
      </c>
      <c r="E4414" s="128">
        <v>138.71199999999999</v>
      </c>
      <c r="F4414" s="129">
        <f t="shared" si="206"/>
        <v>14.131007576</v>
      </c>
      <c r="G4414" t="str">
        <f>_xlfn.XLOOKUP(D4414,'[1]2050 BAU Mapping to T &amp; C'!$A$3:$A$52,'[1]2050 BAU Mapping to T &amp; C'!$B$3:$B$52)</f>
        <v>Starchy roots</v>
      </c>
      <c r="H4414" s="129">
        <f>_xlfn.XLOOKUP(G4414,'[1]T&amp;C emissions for 2050 analysis'!$B$3:$B$23,'[1]T&amp;C emissions for 2050 analysis'!$C$3:$C$23)</f>
        <v>0.10999999999999999</v>
      </c>
      <c r="I4414" s="27">
        <f t="shared" si="204"/>
        <v>1.5544108333599997</v>
      </c>
      <c r="J4414" s="129">
        <f t="shared" si="205"/>
        <v>15.258319999999998</v>
      </c>
    </row>
    <row r="4415" spans="1:10" hidden="1" x14ac:dyDescent="0.35">
      <c r="A4415" s="126" t="s">
        <v>472</v>
      </c>
      <c r="B4415" t="str">
        <f>_xlfn.XLOOKUP(A4415,'[1]2050Pop'!$A$7:$A$143,'[1]2050Pop'!$D$7:$D$143)</f>
        <v>Euro/AU/NZ</v>
      </c>
      <c r="C4415" s="127">
        <f>1000*_xlfn.XLOOKUP(A4415,'[1]2050Pop'!$A$7:$A$143,'[1]2050Pop'!$C$7:$C$143)</f>
        <v>75361</v>
      </c>
      <c r="D4415" s="126" t="s">
        <v>539</v>
      </c>
      <c r="E4415" s="128">
        <v>0.48699999999999999</v>
      </c>
      <c r="F4415" s="129">
        <f t="shared" si="206"/>
        <v>3.6700807000000002E-2</v>
      </c>
      <c r="G4415" t="str">
        <f>_xlfn.XLOOKUP(D4415,'[1]2050 BAU Mapping to T &amp; C'!$A$3:$A$52,'[1]2050 BAU Mapping to T &amp; C'!$B$3:$B$52)</f>
        <v>Starchy roots</v>
      </c>
      <c r="H4415" s="129">
        <f>_xlfn.XLOOKUP(G4415,'[1]T&amp;C emissions for 2050 analysis'!$B$3:$B$23,'[1]T&amp;C emissions for 2050 analysis'!$C$3:$C$23)</f>
        <v>0.10999999999999999</v>
      </c>
      <c r="I4415" s="27">
        <f t="shared" si="204"/>
        <v>4.0370887699999998E-3</v>
      </c>
      <c r="J4415" s="129">
        <f t="shared" si="205"/>
        <v>5.3569999999999993E-2</v>
      </c>
    </row>
    <row r="4416" spans="1:10" hidden="1" x14ac:dyDescent="0.35">
      <c r="A4416" s="126" t="s">
        <v>473</v>
      </c>
      <c r="B4416" t="str">
        <f>_xlfn.XLOOKUP(A4416,'[1]2050Pop'!$A$7:$A$143,'[1]2050Pop'!$D$7:$D$143)</f>
        <v>SSA</v>
      </c>
      <c r="C4416" s="127">
        <f>1000*_xlfn.XLOOKUP(A4416,'[1]2050Pop'!$A$7:$A$143,'[1]2050Pop'!$C$7:$C$143)</f>
        <v>137136</v>
      </c>
      <c r="D4416" s="126" t="s">
        <v>539</v>
      </c>
      <c r="E4416" s="128">
        <v>134.20599999999999</v>
      </c>
      <c r="F4416" s="129">
        <f t="shared" si="206"/>
        <v>18.404474015999998</v>
      </c>
      <c r="G4416" t="str">
        <f>_xlfn.XLOOKUP(D4416,'[1]2050 BAU Mapping to T &amp; C'!$A$3:$A$52,'[1]2050 BAU Mapping to T &amp; C'!$B$3:$B$52)</f>
        <v>Starchy roots</v>
      </c>
      <c r="H4416" s="129">
        <f>_xlfn.XLOOKUP(G4416,'[1]T&amp;C emissions for 2050 analysis'!$B$3:$B$23,'[1]T&amp;C emissions for 2050 analysis'!$C$3:$C$23)</f>
        <v>0.10999999999999999</v>
      </c>
      <c r="I4416" s="27">
        <f t="shared" si="204"/>
        <v>2.0244921417599997</v>
      </c>
      <c r="J4416" s="129">
        <f t="shared" si="205"/>
        <v>14.762659999999997</v>
      </c>
    </row>
    <row r="4417" spans="1:10" hidden="1" x14ac:dyDescent="0.35">
      <c r="A4417" s="126" t="s">
        <v>474</v>
      </c>
      <c r="B4417" t="str">
        <f>_xlfn.XLOOKUP(A4417,'[1]2050Pop'!$A$7:$A$143,'[1]2050Pop'!$D$7:$D$143)</f>
        <v>NAm</v>
      </c>
      <c r="C4417" s="127">
        <f>1000*_xlfn.XLOOKUP(A4417,'[1]2050Pop'!$A$7:$A$143,'[1]2050Pop'!$C$7:$C$143)</f>
        <v>388865</v>
      </c>
      <c r="D4417" s="126" t="s">
        <v>539</v>
      </c>
      <c r="E4417" s="128">
        <v>3.2610000000000001</v>
      </c>
      <c r="F4417" s="129">
        <f t="shared" si="206"/>
        <v>1.2680887650000001</v>
      </c>
      <c r="G4417" t="str">
        <f>_xlfn.XLOOKUP(D4417,'[1]2050 BAU Mapping to T &amp; C'!$A$3:$A$52,'[1]2050 BAU Mapping to T &amp; C'!$B$3:$B$52)</f>
        <v>Starchy roots</v>
      </c>
      <c r="H4417" s="129">
        <f>_xlfn.XLOOKUP(G4417,'[1]T&amp;C emissions for 2050 analysis'!$B$3:$B$23,'[1]T&amp;C emissions for 2050 analysis'!$C$3:$C$23)</f>
        <v>0.10999999999999999</v>
      </c>
      <c r="I4417" s="27">
        <f t="shared" si="204"/>
        <v>0.13948976415</v>
      </c>
      <c r="J4417" s="129">
        <f t="shared" si="205"/>
        <v>0.35870999999999997</v>
      </c>
    </row>
    <row r="4418" spans="1:10" hidden="1" x14ac:dyDescent="0.35">
      <c r="A4418" s="126" t="s">
        <v>475</v>
      </c>
      <c r="B4418" t="str">
        <f>_xlfn.XLOOKUP(A4418,'[1]2050Pop'!$A$7:$A$143,'[1]2050Pop'!$D$7:$D$143)</f>
        <v>LatAm &amp; RSA</v>
      </c>
      <c r="C4418" s="127">
        <f>1000*_xlfn.XLOOKUP(A4418,'[1]2050Pop'!$A$7:$A$143,'[1]2050Pop'!$C$7:$C$143)</f>
        <v>3667</v>
      </c>
      <c r="D4418" s="126" t="s">
        <v>539</v>
      </c>
      <c r="E4418" s="128">
        <v>28.355</v>
      </c>
      <c r="F4418" s="129">
        <f t="shared" si="206"/>
        <v>0.103977785</v>
      </c>
      <c r="G4418" t="str">
        <f>_xlfn.XLOOKUP(D4418,'[1]2050 BAU Mapping to T &amp; C'!$A$3:$A$52,'[1]2050 BAU Mapping to T &amp; C'!$B$3:$B$52)</f>
        <v>Starchy roots</v>
      </c>
      <c r="H4418" s="129">
        <f>_xlfn.XLOOKUP(G4418,'[1]T&amp;C emissions for 2050 analysis'!$B$3:$B$23,'[1]T&amp;C emissions for 2050 analysis'!$C$3:$C$23)</f>
        <v>0.10999999999999999</v>
      </c>
      <c r="I4418" s="27">
        <f t="shared" si="204"/>
        <v>1.1437556349999999E-2</v>
      </c>
      <c r="J4418" s="129">
        <f t="shared" si="205"/>
        <v>3.1190499999999997</v>
      </c>
    </row>
    <row r="4419" spans="1:10" hidden="1" x14ac:dyDescent="0.35">
      <c r="A4419" s="126" t="s">
        <v>476</v>
      </c>
      <c r="B4419" t="str">
        <f>_xlfn.XLOOKUP(A4419,'[1]2050Pop'!$A$7:$A$143,'[1]2050Pop'!$D$7:$D$143)</f>
        <v>LatAm &amp; RSA</v>
      </c>
      <c r="C4419" s="127">
        <f>1000*_xlfn.XLOOKUP(A4419,'[1]2050Pop'!$A$7:$A$143,'[1]2050Pop'!$C$7:$C$143)</f>
        <v>41562</v>
      </c>
      <c r="D4419" s="126" t="s">
        <v>539</v>
      </c>
      <c r="E4419" s="128">
        <v>8.7479999999999993</v>
      </c>
      <c r="F4419" s="129">
        <f t="shared" si="206"/>
        <v>0.36358437599999999</v>
      </c>
      <c r="G4419" t="str">
        <f>_xlfn.XLOOKUP(D4419,'[1]2050 BAU Mapping to T &amp; C'!$A$3:$A$52,'[1]2050 BAU Mapping to T &amp; C'!$B$3:$B$52)</f>
        <v>Starchy roots</v>
      </c>
      <c r="H4419" s="129">
        <f>_xlfn.XLOOKUP(G4419,'[1]T&amp;C emissions for 2050 analysis'!$B$3:$B$23,'[1]T&amp;C emissions for 2050 analysis'!$C$3:$C$23)</f>
        <v>0.10999999999999999</v>
      </c>
      <c r="I4419" s="27">
        <f t="shared" si="204"/>
        <v>3.9994281359999995E-2</v>
      </c>
      <c r="J4419" s="129">
        <f t="shared" si="205"/>
        <v>0.9622799999999998</v>
      </c>
    </row>
    <row r="4420" spans="1:10" hidden="1" x14ac:dyDescent="0.35">
      <c r="A4420" s="126" t="s">
        <v>477</v>
      </c>
      <c r="B4420" t="str">
        <f>_xlfn.XLOOKUP(A4420,'[1]2050Pop'!$A$7:$A$143,'[1]2050Pop'!$D$7:$D$143)</f>
        <v>APAC</v>
      </c>
      <c r="C4420" s="127">
        <f>1000*_xlfn.XLOOKUP(A4420,'[1]2050Pop'!$A$7:$A$143,'[1]2050Pop'!$C$7:$C$143)</f>
        <v>112783</v>
      </c>
      <c r="D4420" s="126" t="s">
        <v>539</v>
      </c>
      <c r="E4420" s="128">
        <v>13.316000000000001</v>
      </c>
      <c r="F4420" s="129">
        <f t="shared" si="206"/>
        <v>1.501818428</v>
      </c>
      <c r="G4420" t="str">
        <f>_xlfn.XLOOKUP(D4420,'[1]2050 BAU Mapping to T &amp; C'!$A$3:$A$52,'[1]2050 BAU Mapping to T &amp; C'!$B$3:$B$52)</f>
        <v>Starchy roots</v>
      </c>
      <c r="H4420" s="129">
        <f>_xlfn.XLOOKUP(G4420,'[1]T&amp;C emissions for 2050 analysis'!$B$3:$B$23,'[1]T&amp;C emissions for 2050 analysis'!$C$3:$C$23)</f>
        <v>0.10999999999999999</v>
      </c>
      <c r="I4420" s="27">
        <f t="shared" ref="I4420:I4483" si="207">F4420*H4420</f>
        <v>0.16520002707999998</v>
      </c>
      <c r="J4420" s="129">
        <f t="shared" ref="J4420:J4483" si="208">E4420*H4420</f>
        <v>1.4647599999999998</v>
      </c>
    </row>
    <row r="4421" spans="1:10" hidden="1" x14ac:dyDescent="0.35">
      <c r="A4421" s="126" t="s">
        <v>494</v>
      </c>
      <c r="B4421" t="str">
        <f>_xlfn.XLOOKUP(A4421,'[1]2050Pop'!$A$7:$A$143,'[1]2050Pop'!$D$7:$D$143)</f>
        <v>SSA</v>
      </c>
      <c r="C4421" s="127">
        <f>1000*_xlfn.XLOOKUP(A4421,'[1]2050Pop'!$A$7:$A$143,'[1]2050Pop'!$C$7:$C$143)</f>
        <v>42975</v>
      </c>
      <c r="D4421" s="126" t="s">
        <v>539</v>
      </c>
      <c r="E4421" s="128">
        <v>33.292999999999999</v>
      </c>
      <c r="F4421" s="129">
        <f t="shared" ref="F4421:F4484" si="209">C4421*E4421/1000000</f>
        <v>1.4307666750000001</v>
      </c>
      <c r="G4421" t="str">
        <f>_xlfn.XLOOKUP(D4421,'[1]2050 BAU Mapping to T &amp; C'!$A$3:$A$52,'[1]2050 BAU Mapping to T &amp; C'!$B$3:$B$52)</f>
        <v>Starchy roots</v>
      </c>
      <c r="H4421" s="129">
        <f>_xlfn.XLOOKUP(G4421,'[1]T&amp;C emissions for 2050 analysis'!$B$3:$B$23,'[1]T&amp;C emissions for 2050 analysis'!$C$3:$C$23)</f>
        <v>0.10999999999999999</v>
      </c>
      <c r="I4421" s="27">
        <f t="shared" si="207"/>
        <v>0.15738433424999998</v>
      </c>
      <c r="J4421" s="129">
        <f t="shared" si="208"/>
        <v>3.6622299999999997</v>
      </c>
    </row>
    <row r="4422" spans="1:10" hidden="1" x14ac:dyDescent="0.35">
      <c r="A4422" s="126" t="s">
        <v>355</v>
      </c>
      <c r="B4422" t="str">
        <f>_xlfn.XLOOKUP(A4422,'[1]2050Pop'!$A$7:$A$143,'[1]2050Pop'!$D$7:$D$143)</f>
        <v>India/South Asia</v>
      </c>
      <c r="C4422" s="127">
        <f>1000*_xlfn.XLOOKUP(A4422,'[1]2050Pop'!$A$7:$A$143,'[1]2050Pop'!$C$7:$C$143)</f>
        <v>55955</v>
      </c>
      <c r="D4422" s="126" t="s">
        <v>540</v>
      </c>
      <c r="E4422" s="128">
        <v>3.9060000000000001</v>
      </c>
      <c r="F4422" s="129">
        <f t="shared" si="209"/>
        <v>0.21856023000000002</v>
      </c>
      <c r="G4422" t="str">
        <f>_xlfn.XLOOKUP(D4422,'[1]2050 BAU Mapping to T &amp; C'!$A$3:$A$52,'[1]2050 BAU Mapping to T &amp; C'!$B$3:$B$52)</f>
        <v>Tropical Fruits</v>
      </c>
      <c r="H4422" s="129">
        <f>_xlfn.XLOOKUP(G4422,'[1]T&amp;C emissions for 2050 analysis'!$B$3:$B$23,'[1]T&amp;C emissions for 2050 analysis'!$C$3:$C$23)</f>
        <v>0.51333333333333331</v>
      </c>
      <c r="I4422" s="27">
        <f t="shared" si="207"/>
        <v>0.1121942514</v>
      </c>
      <c r="J4422" s="129">
        <f t="shared" si="208"/>
        <v>2.00508</v>
      </c>
    </row>
    <row r="4423" spans="1:10" hidden="1" x14ac:dyDescent="0.35">
      <c r="A4423" s="126" t="s">
        <v>360</v>
      </c>
      <c r="B4423" t="str">
        <f>_xlfn.XLOOKUP(A4423,'[1]2050Pop'!$A$7:$A$143,'[1]2050Pop'!$D$7:$D$143)</f>
        <v>LatAm &amp; RSA</v>
      </c>
      <c r="C4423" s="127">
        <f>1000*_xlfn.XLOOKUP(A4423,'[1]2050Pop'!$A$7:$A$143,'[1]2050Pop'!$C$7:$C$143)</f>
        <v>55445</v>
      </c>
      <c r="D4423" s="126" t="s">
        <v>540</v>
      </c>
      <c r="E4423" s="128">
        <v>5.6859999999999999</v>
      </c>
      <c r="F4423" s="129">
        <f t="shared" si="209"/>
        <v>0.31526027000000001</v>
      </c>
      <c r="G4423" t="str">
        <f>_xlfn.XLOOKUP(D4423,'[1]2050 BAU Mapping to T &amp; C'!$A$3:$A$52,'[1]2050 BAU Mapping to T &amp; C'!$B$3:$B$52)</f>
        <v>Tropical Fruits</v>
      </c>
      <c r="H4423" s="129">
        <f>_xlfn.XLOOKUP(G4423,'[1]T&amp;C emissions for 2050 analysis'!$B$3:$B$23,'[1]T&amp;C emissions for 2050 analysis'!$C$3:$C$23)</f>
        <v>0.51333333333333331</v>
      </c>
      <c r="I4423" s="27">
        <f t="shared" si="207"/>
        <v>0.16183360526666665</v>
      </c>
      <c r="J4423" s="129">
        <f t="shared" si="208"/>
        <v>2.918813333333333</v>
      </c>
    </row>
    <row r="4424" spans="1:10" hidden="1" x14ac:dyDescent="0.35">
      <c r="A4424" s="126" t="s">
        <v>362</v>
      </c>
      <c r="B4424" t="str">
        <f>_xlfn.XLOOKUP(A4424,'[1]2050Pop'!$A$7:$A$143,'[1]2050Pop'!$D$7:$D$143)</f>
        <v>Euro/AU/NZ</v>
      </c>
      <c r="C4424" s="127">
        <f>1000*_xlfn.XLOOKUP(A4424,'[1]2050Pop'!$A$7:$A$143,'[1]2050Pop'!$C$7:$C$143)</f>
        <v>33496</v>
      </c>
      <c r="D4424" s="126" t="s">
        <v>540</v>
      </c>
      <c r="E4424" s="128">
        <v>0.96899999999999997</v>
      </c>
      <c r="F4424" s="129">
        <f t="shared" si="209"/>
        <v>3.2457623999999997E-2</v>
      </c>
      <c r="G4424" t="str">
        <f>_xlfn.XLOOKUP(D4424,'[1]2050 BAU Mapping to T &amp; C'!$A$3:$A$52,'[1]2050 BAU Mapping to T &amp; C'!$B$3:$B$52)</f>
        <v>Tropical Fruits</v>
      </c>
      <c r="H4424" s="129">
        <f>_xlfn.XLOOKUP(G4424,'[1]T&amp;C emissions for 2050 analysis'!$B$3:$B$23,'[1]T&amp;C emissions for 2050 analysis'!$C$3:$C$23)</f>
        <v>0.51333333333333331</v>
      </c>
      <c r="I4424" s="27">
        <f t="shared" si="207"/>
        <v>1.6661580319999997E-2</v>
      </c>
      <c r="J4424" s="129">
        <f t="shared" si="208"/>
        <v>0.49741999999999997</v>
      </c>
    </row>
    <row r="4425" spans="1:10" hidden="1" x14ac:dyDescent="0.35">
      <c r="A4425" s="126" t="s">
        <v>365</v>
      </c>
      <c r="B4425" t="str">
        <f>_xlfn.XLOOKUP(A4425,'[1]2050Pop'!$A$7:$A$143,'[1]2050Pop'!$D$7:$D$143)</f>
        <v>India/South Asia</v>
      </c>
      <c r="C4425" s="127">
        <f>1000*_xlfn.XLOOKUP(A4425,'[1]2050Pop'!$A$7:$A$143,'[1]2050Pop'!$C$7:$C$143)</f>
        <v>202209</v>
      </c>
      <c r="D4425" s="126" t="s">
        <v>540</v>
      </c>
      <c r="E4425" s="128">
        <v>1.173</v>
      </c>
      <c r="F4425" s="129">
        <f t="shared" si="209"/>
        <v>0.23719115700000001</v>
      </c>
      <c r="G4425" t="str">
        <f>_xlfn.XLOOKUP(D4425,'[1]2050 BAU Mapping to T &amp; C'!$A$3:$A$52,'[1]2050 BAU Mapping to T &amp; C'!$B$3:$B$52)</f>
        <v>Tropical Fruits</v>
      </c>
      <c r="H4425" s="129">
        <f>_xlfn.XLOOKUP(G4425,'[1]T&amp;C emissions for 2050 analysis'!$B$3:$B$23,'[1]T&amp;C emissions for 2050 analysis'!$C$3:$C$23)</f>
        <v>0.51333333333333331</v>
      </c>
      <c r="I4425" s="27">
        <f t="shared" si="207"/>
        <v>0.12175812726</v>
      </c>
      <c r="J4425" s="129">
        <f t="shared" si="208"/>
        <v>0.60214000000000001</v>
      </c>
    </row>
    <row r="4426" spans="1:10" hidden="1" x14ac:dyDescent="0.35">
      <c r="A4426" s="126" t="s">
        <v>366</v>
      </c>
      <c r="B4426" t="str">
        <f>_xlfn.XLOOKUP(A4426,'[1]2050Pop'!$A$7:$A$143,'[1]2050Pop'!$D$7:$D$143)</f>
        <v>Euro/AU/NZ</v>
      </c>
      <c r="C4426" s="127">
        <f>1000*_xlfn.XLOOKUP(A4426,'[1]2050Pop'!$A$7:$A$143,'[1]2050Pop'!$C$7:$C$143)</f>
        <v>8125</v>
      </c>
      <c r="D4426" s="126" t="s">
        <v>540</v>
      </c>
      <c r="E4426" s="128">
        <v>1.004</v>
      </c>
      <c r="F4426" s="129">
        <f t="shared" si="209"/>
        <v>8.1574999999999998E-3</v>
      </c>
      <c r="G4426" t="str">
        <f>_xlfn.XLOOKUP(D4426,'[1]2050 BAU Mapping to T &amp; C'!$A$3:$A$52,'[1]2050 BAU Mapping to T &amp; C'!$B$3:$B$52)</f>
        <v>Tropical Fruits</v>
      </c>
      <c r="H4426" s="129">
        <f>_xlfn.XLOOKUP(G4426,'[1]T&amp;C emissions for 2050 analysis'!$B$3:$B$23,'[1]T&amp;C emissions for 2050 analysis'!$C$3:$C$23)</f>
        <v>0.51333333333333331</v>
      </c>
      <c r="I4426" s="27">
        <f t="shared" si="207"/>
        <v>4.187516666666666E-3</v>
      </c>
      <c r="J4426" s="129">
        <f t="shared" si="208"/>
        <v>0.51538666666666666</v>
      </c>
    </row>
    <row r="4427" spans="1:10" hidden="1" x14ac:dyDescent="0.35">
      <c r="A4427" s="126" t="s">
        <v>371</v>
      </c>
      <c r="B4427" t="str">
        <f>_xlfn.XLOOKUP(A4427,'[1]2050Pop'!$A$7:$A$143,'[1]2050Pop'!$D$7:$D$143)</f>
        <v>SSA</v>
      </c>
      <c r="C4427" s="127">
        <f>1000*_xlfn.XLOOKUP(A4427,'[1]2050Pop'!$A$7:$A$143,'[1]2050Pop'!$C$7:$C$143)</f>
        <v>3389</v>
      </c>
      <c r="D4427" s="126" t="s">
        <v>540</v>
      </c>
      <c r="E4427" s="128">
        <v>0.999</v>
      </c>
      <c r="F4427" s="129">
        <f t="shared" si="209"/>
        <v>3.3856109999999997E-3</v>
      </c>
      <c r="G4427" t="str">
        <f>_xlfn.XLOOKUP(D4427,'[1]2050 BAU Mapping to T &amp; C'!$A$3:$A$52,'[1]2050 BAU Mapping to T &amp; C'!$B$3:$B$52)</f>
        <v>Tropical Fruits</v>
      </c>
      <c r="H4427" s="129">
        <f>_xlfn.XLOOKUP(G4427,'[1]T&amp;C emissions for 2050 analysis'!$B$3:$B$23,'[1]T&amp;C emissions for 2050 analysis'!$C$3:$C$23)</f>
        <v>0.51333333333333331</v>
      </c>
      <c r="I4427" s="27">
        <f t="shared" si="207"/>
        <v>1.7379469799999997E-3</v>
      </c>
      <c r="J4427" s="129">
        <f t="shared" si="208"/>
        <v>0.51281999999999994</v>
      </c>
    </row>
    <row r="4428" spans="1:10" hidden="1" x14ac:dyDescent="0.35">
      <c r="A4428" s="126" t="s">
        <v>372</v>
      </c>
      <c r="B4428" t="str">
        <f>_xlfn.XLOOKUP(A4428,'[1]2050Pop'!$A$7:$A$143,'[1]2050Pop'!$D$7:$D$143)</f>
        <v>LatAm &amp; RSA</v>
      </c>
      <c r="C4428" s="127">
        <f>1000*_xlfn.XLOOKUP(A4428,'[1]2050Pop'!$A$7:$A$143,'[1]2050Pop'!$C$7:$C$143)</f>
        <v>238270</v>
      </c>
      <c r="D4428" s="126" t="s">
        <v>540</v>
      </c>
      <c r="E4428" s="128">
        <v>1.9390000000000001</v>
      </c>
      <c r="F4428" s="129">
        <f t="shared" si="209"/>
        <v>0.46200553000000005</v>
      </c>
      <c r="G4428" t="str">
        <f>_xlfn.XLOOKUP(D4428,'[1]2050 BAU Mapping to T &amp; C'!$A$3:$A$52,'[1]2050 BAU Mapping to T &amp; C'!$B$3:$B$52)</f>
        <v>Tropical Fruits</v>
      </c>
      <c r="H4428" s="129">
        <f>_xlfn.XLOOKUP(G4428,'[1]T&amp;C emissions for 2050 analysis'!$B$3:$B$23,'[1]T&amp;C emissions for 2050 analysis'!$C$3:$C$23)</f>
        <v>0.51333333333333331</v>
      </c>
      <c r="I4428" s="27">
        <f t="shared" si="207"/>
        <v>0.23716283873333335</v>
      </c>
      <c r="J4428" s="129">
        <f t="shared" si="208"/>
        <v>0.99535333333333331</v>
      </c>
    </row>
    <row r="4429" spans="1:10" hidden="1" x14ac:dyDescent="0.35">
      <c r="A4429" s="126" t="s">
        <v>375</v>
      </c>
      <c r="B4429" t="str">
        <f>_xlfn.XLOOKUP(A4429,'[1]2050Pop'!$A$7:$A$143,'[1]2050Pop'!$D$7:$D$143)</f>
        <v>SSA</v>
      </c>
      <c r="C4429" s="127">
        <f>1000*_xlfn.XLOOKUP(A4429,'[1]2050Pop'!$A$7:$A$143,'[1]2050Pop'!$C$7:$C$143)</f>
        <v>48362</v>
      </c>
      <c r="D4429" s="126" t="s">
        <v>540</v>
      </c>
      <c r="E4429" s="128">
        <v>1.141</v>
      </c>
      <c r="F4429" s="129">
        <f t="shared" si="209"/>
        <v>5.5181042E-2</v>
      </c>
      <c r="G4429" t="str">
        <f>_xlfn.XLOOKUP(D4429,'[1]2050 BAU Mapping to T &amp; C'!$A$3:$A$52,'[1]2050 BAU Mapping to T &amp; C'!$B$3:$B$52)</f>
        <v>Tropical Fruits</v>
      </c>
      <c r="H4429" s="129">
        <f>_xlfn.XLOOKUP(G4429,'[1]T&amp;C emissions for 2050 analysis'!$B$3:$B$23,'[1]T&amp;C emissions for 2050 analysis'!$C$3:$C$23)</f>
        <v>0.51333333333333331</v>
      </c>
      <c r="I4429" s="27">
        <f t="shared" si="207"/>
        <v>2.8326268226666666E-2</v>
      </c>
      <c r="J4429" s="129">
        <f t="shared" si="208"/>
        <v>0.58571333333333331</v>
      </c>
    </row>
    <row r="4430" spans="1:10" hidden="1" x14ac:dyDescent="0.35">
      <c r="A4430" s="126" t="s">
        <v>376</v>
      </c>
      <c r="B4430" t="str">
        <f>_xlfn.XLOOKUP(A4430,'[1]2050Pop'!$A$7:$A$143,'[1]2050Pop'!$D$7:$D$143)</f>
        <v>NAm</v>
      </c>
      <c r="C4430" s="127">
        <f>1000*_xlfn.XLOOKUP(A4430,'[1]2050Pop'!$A$7:$A$143,'[1]2050Pop'!$C$7:$C$143)</f>
        <v>44136</v>
      </c>
      <c r="D4430" s="126" t="s">
        <v>540</v>
      </c>
      <c r="E4430" s="128">
        <v>0.93100000000000005</v>
      </c>
      <c r="F4430" s="129">
        <f t="shared" si="209"/>
        <v>4.1090616000000003E-2</v>
      </c>
      <c r="G4430" t="str">
        <f>_xlfn.XLOOKUP(D4430,'[1]2050 BAU Mapping to T &amp; C'!$A$3:$A$52,'[1]2050 BAU Mapping to T &amp; C'!$B$3:$B$52)</f>
        <v>Tropical Fruits</v>
      </c>
      <c r="H4430" s="129">
        <f>_xlfn.XLOOKUP(G4430,'[1]T&amp;C emissions for 2050 analysis'!$B$3:$B$23,'[1]T&amp;C emissions for 2050 analysis'!$C$3:$C$23)</f>
        <v>0.51333333333333331</v>
      </c>
      <c r="I4430" s="27">
        <f t="shared" si="207"/>
        <v>2.1093182880000002E-2</v>
      </c>
      <c r="J4430" s="129">
        <f t="shared" si="208"/>
        <v>0.47791333333333336</v>
      </c>
    </row>
    <row r="4431" spans="1:10" hidden="1" x14ac:dyDescent="0.35">
      <c r="A4431" s="126" t="s">
        <v>378</v>
      </c>
      <c r="B4431" t="str">
        <f>_xlfn.XLOOKUP(A4431,'[1]2050Pop'!$A$7:$A$143,'[1]2050Pop'!$D$7:$D$143)</f>
        <v>LatAm &amp; RSA</v>
      </c>
      <c r="C4431" s="127">
        <f>1000*_xlfn.XLOOKUP(A4431,'[1]2050Pop'!$A$7:$A$143,'[1]2050Pop'!$C$7:$C$143)</f>
        <v>21601</v>
      </c>
      <c r="D4431" s="126" t="s">
        <v>540</v>
      </c>
      <c r="E4431" s="128">
        <v>1.964</v>
      </c>
      <c r="F4431" s="129">
        <f t="shared" si="209"/>
        <v>4.2424363999999999E-2</v>
      </c>
      <c r="G4431" t="str">
        <f>_xlfn.XLOOKUP(D4431,'[1]2050 BAU Mapping to T &amp; C'!$A$3:$A$52,'[1]2050 BAU Mapping to T &amp; C'!$B$3:$B$52)</f>
        <v>Tropical Fruits</v>
      </c>
      <c r="H4431" s="129">
        <f>_xlfn.XLOOKUP(G4431,'[1]T&amp;C emissions for 2050 analysis'!$B$3:$B$23,'[1]T&amp;C emissions for 2050 analysis'!$C$3:$C$23)</f>
        <v>0.51333333333333331</v>
      </c>
      <c r="I4431" s="27">
        <f t="shared" si="207"/>
        <v>2.1777840186666664E-2</v>
      </c>
      <c r="J4431" s="129">
        <f t="shared" si="208"/>
        <v>1.0081866666666666</v>
      </c>
    </row>
    <row r="4432" spans="1:10" hidden="1" x14ac:dyDescent="0.35">
      <c r="A4432" s="126" t="s">
        <v>379</v>
      </c>
      <c r="B4432" t="str">
        <f>_xlfn.XLOOKUP(A4432,'[1]2050Pop'!$A$7:$A$143,'[1]2050Pop'!$D$7:$D$143)</f>
        <v>Greater China</v>
      </c>
      <c r="C4432" s="127">
        <f>1000*_xlfn.XLOOKUP(A4432,'[1]2050Pop'!$A$7:$A$143,'[1]2050Pop'!$C$7:$C$143)</f>
        <v>8148</v>
      </c>
      <c r="D4432" s="126" t="s">
        <v>540</v>
      </c>
      <c r="E4432" s="128">
        <v>1.3120000000000001</v>
      </c>
      <c r="F4432" s="129">
        <f t="shared" si="209"/>
        <v>1.0690176000000001E-2</v>
      </c>
      <c r="G4432" t="str">
        <f>_xlfn.XLOOKUP(D4432,'[1]2050 BAU Mapping to T &amp; C'!$A$3:$A$52,'[1]2050 BAU Mapping to T &amp; C'!$B$3:$B$52)</f>
        <v>Tropical Fruits</v>
      </c>
      <c r="H4432" s="129">
        <f>_xlfn.XLOOKUP(G4432,'[1]T&amp;C emissions for 2050 analysis'!$B$3:$B$23,'[1]T&amp;C emissions for 2050 analysis'!$C$3:$C$23)</f>
        <v>0.51333333333333331</v>
      </c>
      <c r="I4432" s="27">
        <f t="shared" si="207"/>
        <v>5.4876236800000004E-3</v>
      </c>
      <c r="J4432" s="129">
        <f t="shared" si="208"/>
        <v>0.67349333333333328</v>
      </c>
    </row>
    <row r="4433" spans="1:10" hidden="1" x14ac:dyDescent="0.35">
      <c r="A4433" s="126" t="s">
        <v>380</v>
      </c>
      <c r="B4433" t="str">
        <f>_xlfn.XLOOKUP(A4433,'[1]2050Pop'!$A$7:$A$143,'[1]2050Pop'!$D$7:$D$143)</f>
        <v>Greater China</v>
      </c>
      <c r="C4433" s="127">
        <f>1000*_xlfn.XLOOKUP(A4433,'[1]2050Pop'!$A$7:$A$143,'[1]2050Pop'!$C$7:$C$143)</f>
        <v>1348056</v>
      </c>
      <c r="D4433" s="126" t="s">
        <v>540</v>
      </c>
      <c r="E4433" s="128">
        <v>1.0740000000000001</v>
      </c>
      <c r="F4433" s="129">
        <f t="shared" si="209"/>
        <v>1.447812144</v>
      </c>
      <c r="G4433" t="str">
        <f>_xlfn.XLOOKUP(D4433,'[1]2050 BAU Mapping to T &amp; C'!$A$3:$A$52,'[1]2050 BAU Mapping to T &amp; C'!$B$3:$B$52)</f>
        <v>Tropical Fruits</v>
      </c>
      <c r="H4433" s="129">
        <f>_xlfn.XLOOKUP(G4433,'[1]T&amp;C emissions for 2050 analysis'!$B$3:$B$23,'[1]T&amp;C emissions for 2050 analysis'!$C$3:$C$23)</f>
        <v>0.51333333333333331</v>
      </c>
      <c r="I4433" s="27">
        <f t="shared" si="207"/>
        <v>0.74321023391999996</v>
      </c>
      <c r="J4433" s="129">
        <f t="shared" si="208"/>
        <v>0.55132000000000003</v>
      </c>
    </row>
    <row r="4434" spans="1:10" hidden="1" x14ac:dyDescent="0.35">
      <c r="A4434" s="126" t="s">
        <v>381</v>
      </c>
      <c r="B4434" t="str">
        <f>_xlfn.XLOOKUP(A4434,'[1]2050Pop'!$A$7:$A$143,'[1]2050Pop'!$D$7:$D$143)</f>
        <v>Greater China</v>
      </c>
      <c r="C4434" s="127">
        <f>1000*_xlfn.XLOOKUP(A4434,'[1]2050Pop'!$A$7:$A$143,'[1]2050Pop'!$C$7:$C$143)</f>
        <v>20778</v>
      </c>
      <c r="D4434" s="126" t="s">
        <v>540</v>
      </c>
      <c r="E4434" s="128">
        <v>2.012</v>
      </c>
      <c r="F4434" s="129">
        <f t="shared" si="209"/>
        <v>4.1805336000000005E-2</v>
      </c>
      <c r="G4434" t="str">
        <f>_xlfn.XLOOKUP(D4434,'[1]2050 BAU Mapping to T &amp; C'!$A$3:$A$52,'[1]2050 BAU Mapping to T &amp; C'!$B$3:$B$52)</f>
        <v>Tropical Fruits</v>
      </c>
      <c r="H4434" s="129">
        <f>_xlfn.XLOOKUP(G4434,'[1]T&amp;C emissions for 2050 analysis'!$B$3:$B$23,'[1]T&amp;C emissions for 2050 analysis'!$C$3:$C$23)</f>
        <v>0.51333333333333331</v>
      </c>
      <c r="I4434" s="27">
        <f t="shared" si="207"/>
        <v>2.1460072480000002E-2</v>
      </c>
      <c r="J4434" s="129">
        <f t="shared" si="208"/>
        <v>1.0328266666666666</v>
      </c>
    </row>
    <row r="4435" spans="1:10" hidden="1" x14ac:dyDescent="0.35">
      <c r="A4435" s="126" t="s">
        <v>391</v>
      </c>
      <c r="B4435" t="str">
        <f>_xlfn.XLOOKUP(A4435,'[1]2050Pop'!$A$7:$A$143,'[1]2050Pop'!$D$7:$D$143)</f>
        <v>MENA</v>
      </c>
      <c r="C4435" s="127">
        <f>1000*_xlfn.XLOOKUP(A4435,'[1]2050Pop'!$A$7:$A$143,'[1]2050Pop'!$C$7:$C$143)</f>
        <v>151111</v>
      </c>
      <c r="D4435" s="126" t="s">
        <v>540</v>
      </c>
      <c r="E4435" s="128">
        <v>1.1040000000000001</v>
      </c>
      <c r="F4435" s="129">
        <f t="shared" si="209"/>
        <v>0.16682654400000002</v>
      </c>
      <c r="G4435" t="str">
        <f>_xlfn.XLOOKUP(D4435,'[1]2050 BAU Mapping to T &amp; C'!$A$3:$A$52,'[1]2050 BAU Mapping to T &amp; C'!$B$3:$B$52)</f>
        <v>Tropical Fruits</v>
      </c>
      <c r="H4435" s="129">
        <f>_xlfn.XLOOKUP(G4435,'[1]T&amp;C emissions for 2050 analysis'!$B$3:$B$23,'[1]T&amp;C emissions for 2050 analysis'!$C$3:$C$23)</f>
        <v>0.51333333333333331</v>
      </c>
      <c r="I4435" s="27">
        <f t="shared" si="207"/>
        <v>8.5637625920000002E-2</v>
      </c>
      <c r="J4435" s="129">
        <f t="shared" si="208"/>
        <v>0.56672</v>
      </c>
    </row>
    <row r="4436" spans="1:10" hidden="1" x14ac:dyDescent="0.35">
      <c r="A4436" s="126" t="s">
        <v>489</v>
      </c>
      <c r="B4436" t="str">
        <f>_xlfn.XLOOKUP(A4436,'[1]2050Pop'!$A$7:$A$143,'[1]2050Pop'!$D$7:$D$143)</f>
        <v>SSA</v>
      </c>
      <c r="C4436" s="127">
        <f>1000*_xlfn.XLOOKUP(A4436,'[1]2050Pop'!$A$7:$A$143,'[1]2050Pop'!$C$7:$C$143)</f>
        <v>4981</v>
      </c>
      <c r="D4436" s="126" t="s">
        <v>540</v>
      </c>
      <c r="E4436" s="128">
        <v>3.1059999999999999</v>
      </c>
      <c r="F4436" s="129">
        <f t="shared" si="209"/>
        <v>1.5470985999999999E-2</v>
      </c>
      <c r="G4436" t="str">
        <f>_xlfn.XLOOKUP(D4436,'[1]2050 BAU Mapping to T &amp; C'!$A$3:$A$52,'[1]2050 BAU Mapping to T &amp; C'!$B$3:$B$52)</f>
        <v>Tropical Fruits</v>
      </c>
      <c r="H4436" s="129">
        <f>_xlfn.XLOOKUP(G4436,'[1]T&amp;C emissions for 2050 analysis'!$B$3:$B$23,'[1]T&amp;C emissions for 2050 analysis'!$C$3:$C$23)</f>
        <v>0.51333333333333331</v>
      </c>
      <c r="I4436" s="27">
        <f t="shared" si="207"/>
        <v>7.9417728133333327E-3</v>
      </c>
      <c r="J4436" s="129">
        <f t="shared" si="208"/>
        <v>1.5944133333333332</v>
      </c>
    </row>
    <row r="4437" spans="1:10" hidden="1" x14ac:dyDescent="0.35">
      <c r="A4437" s="126" t="s">
        <v>398</v>
      </c>
      <c r="B4437" t="str">
        <f>_xlfn.XLOOKUP(A4437,'[1]2050Pop'!$A$7:$A$143,'[1]2050Pop'!$D$7:$D$143)</f>
        <v>MENA</v>
      </c>
      <c r="C4437" s="127">
        <f>1000*_xlfn.XLOOKUP(A4437,'[1]2050Pop'!$A$7:$A$143,'[1]2050Pop'!$C$7:$C$143)</f>
        <v>3483</v>
      </c>
      <c r="D4437" s="126" t="s">
        <v>540</v>
      </c>
      <c r="E4437" s="128">
        <v>1.085</v>
      </c>
      <c r="F4437" s="129">
        <f t="shared" si="209"/>
        <v>3.7790549999999999E-3</v>
      </c>
      <c r="G4437" t="str">
        <f>_xlfn.XLOOKUP(D4437,'[1]2050 BAU Mapping to T &amp; C'!$A$3:$A$52,'[1]2050 BAU Mapping to T &amp; C'!$B$3:$B$52)</f>
        <v>Tropical Fruits</v>
      </c>
      <c r="H4437" s="129">
        <f>_xlfn.XLOOKUP(G4437,'[1]T&amp;C emissions for 2050 analysis'!$B$3:$B$23,'[1]T&amp;C emissions for 2050 analysis'!$C$3:$C$23)</f>
        <v>0.51333333333333331</v>
      </c>
      <c r="I4437" s="27">
        <f t="shared" si="207"/>
        <v>1.9399148999999999E-3</v>
      </c>
      <c r="J4437" s="129">
        <f t="shared" si="208"/>
        <v>0.55696666666666661</v>
      </c>
    </row>
    <row r="4438" spans="1:10" hidden="1" x14ac:dyDescent="0.35">
      <c r="A4438" s="126" t="s">
        <v>399</v>
      </c>
      <c r="B4438" t="str">
        <f>_xlfn.XLOOKUP(A4438,'[1]2050Pop'!$A$7:$A$143,'[1]2050Pop'!$D$7:$D$143)</f>
        <v>Euro/AU/NZ</v>
      </c>
      <c r="C4438" s="127">
        <f>1000*_xlfn.XLOOKUP(A4438,'[1]2050Pop'!$A$7:$A$143,'[1]2050Pop'!$C$7:$C$143)</f>
        <v>74513</v>
      </c>
      <c r="D4438" s="126" t="s">
        <v>540</v>
      </c>
      <c r="E4438" s="128">
        <v>0.92700000000000005</v>
      </c>
      <c r="F4438" s="129">
        <f t="shared" si="209"/>
        <v>6.9073551000000011E-2</v>
      </c>
      <c r="G4438" t="str">
        <f>_xlfn.XLOOKUP(D4438,'[1]2050 BAU Mapping to T &amp; C'!$A$3:$A$52,'[1]2050 BAU Mapping to T &amp; C'!$B$3:$B$52)</f>
        <v>Tropical Fruits</v>
      </c>
      <c r="H4438" s="129">
        <f>_xlfn.XLOOKUP(G4438,'[1]T&amp;C emissions for 2050 analysis'!$B$3:$B$23,'[1]T&amp;C emissions for 2050 analysis'!$C$3:$C$23)</f>
        <v>0.51333333333333331</v>
      </c>
      <c r="I4438" s="27">
        <f t="shared" si="207"/>
        <v>3.5457756180000001E-2</v>
      </c>
      <c r="J4438" s="129">
        <f t="shared" si="208"/>
        <v>0.47586000000000001</v>
      </c>
    </row>
    <row r="4439" spans="1:10" hidden="1" x14ac:dyDescent="0.35">
      <c r="A4439" s="126" t="s">
        <v>403</v>
      </c>
      <c r="B4439" t="str">
        <f>_xlfn.XLOOKUP(A4439,'[1]2050Pop'!$A$7:$A$143,'[1]2050Pop'!$D$7:$D$143)</f>
        <v>SSA</v>
      </c>
      <c r="C4439" s="127">
        <f>1000*_xlfn.XLOOKUP(A4439,'[1]2050Pop'!$A$7:$A$143,'[1]2050Pop'!$C$7:$C$143)</f>
        <v>27486</v>
      </c>
      <c r="D4439" s="126" t="s">
        <v>540</v>
      </c>
      <c r="E4439" s="128">
        <v>1.0640000000000001</v>
      </c>
      <c r="F4439" s="129">
        <f t="shared" si="209"/>
        <v>2.9245104000000004E-2</v>
      </c>
      <c r="G4439" t="str">
        <f>_xlfn.XLOOKUP(D4439,'[1]2050 BAU Mapping to T &amp; C'!$A$3:$A$52,'[1]2050 BAU Mapping to T &amp; C'!$B$3:$B$52)</f>
        <v>Tropical Fruits</v>
      </c>
      <c r="H4439" s="129">
        <f>_xlfn.XLOOKUP(G4439,'[1]T&amp;C emissions for 2050 analysis'!$B$3:$B$23,'[1]T&amp;C emissions for 2050 analysis'!$C$3:$C$23)</f>
        <v>0.51333333333333331</v>
      </c>
      <c r="I4439" s="27">
        <f t="shared" si="207"/>
        <v>1.5012486720000001E-2</v>
      </c>
      <c r="J4439" s="129">
        <f t="shared" si="208"/>
        <v>0.54618666666666671</v>
      </c>
    </row>
    <row r="4440" spans="1:10" hidden="1" x14ac:dyDescent="0.35">
      <c r="A4440" s="126" t="s">
        <v>408</v>
      </c>
      <c r="B4440" t="str">
        <f>_xlfn.XLOOKUP(A4440,'[1]2050Pop'!$A$7:$A$143,'[1]2050Pop'!$D$7:$D$143)</f>
        <v>India/South Asia</v>
      </c>
      <c r="C4440" s="127">
        <f>1000*_xlfn.XLOOKUP(A4440,'[1]2050Pop'!$A$7:$A$143,'[1]2050Pop'!$C$7:$C$143)</f>
        <v>1705333</v>
      </c>
      <c r="D4440" s="126" t="s">
        <v>540</v>
      </c>
      <c r="E4440" s="128">
        <v>1.0840000000000001</v>
      </c>
      <c r="F4440" s="129">
        <f t="shared" si="209"/>
        <v>1.8485809720000002</v>
      </c>
      <c r="G4440" t="str">
        <f>_xlfn.XLOOKUP(D4440,'[1]2050 BAU Mapping to T &amp; C'!$A$3:$A$52,'[1]2050 BAU Mapping to T &amp; C'!$B$3:$B$52)</f>
        <v>Tropical Fruits</v>
      </c>
      <c r="H4440" s="129">
        <f>_xlfn.XLOOKUP(G4440,'[1]T&amp;C emissions for 2050 analysis'!$B$3:$B$23,'[1]T&amp;C emissions for 2050 analysis'!$C$3:$C$23)</f>
        <v>0.51333333333333331</v>
      </c>
      <c r="I4440" s="27">
        <f t="shared" si="207"/>
        <v>0.94893823229333341</v>
      </c>
      <c r="J4440" s="129">
        <f t="shared" si="208"/>
        <v>0.55645333333333336</v>
      </c>
    </row>
    <row r="4441" spans="1:10" hidden="1" x14ac:dyDescent="0.35">
      <c r="A4441" s="126" t="s">
        <v>410</v>
      </c>
      <c r="B4441" t="str">
        <f>_xlfn.XLOOKUP(A4441,'[1]2050Pop'!$A$7:$A$143,'[1]2050Pop'!$D$7:$D$143)</f>
        <v>India/South Asia</v>
      </c>
      <c r="C4441" s="127">
        <f>1000*_xlfn.XLOOKUP(A4441,'[1]2050Pop'!$A$7:$A$143,'[1]2050Pop'!$C$7:$C$143)</f>
        <v>92219</v>
      </c>
      <c r="D4441" s="126" t="s">
        <v>540</v>
      </c>
      <c r="E4441" s="128">
        <v>2.726</v>
      </c>
      <c r="F4441" s="129">
        <f t="shared" si="209"/>
        <v>0.25138899400000003</v>
      </c>
      <c r="G4441" t="str">
        <f>_xlfn.XLOOKUP(D4441,'[1]2050 BAU Mapping to T &amp; C'!$A$3:$A$52,'[1]2050 BAU Mapping to T &amp; C'!$B$3:$B$52)</f>
        <v>Tropical Fruits</v>
      </c>
      <c r="H4441" s="129">
        <f>_xlfn.XLOOKUP(G4441,'[1]T&amp;C emissions for 2050 analysis'!$B$3:$B$23,'[1]T&amp;C emissions for 2050 analysis'!$C$3:$C$23)</f>
        <v>0.51333333333333331</v>
      </c>
      <c r="I4441" s="27">
        <f t="shared" si="207"/>
        <v>0.12904635025333333</v>
      </c>
      <c r="J4441" s="129">
        <f t="shared" si="208"/>
        <v>1.3993466666666665</v>
      </c>
    </row>
    <row r="4442" spans="1:10" hidden="1" x14ac:dyDescent="0.35">
      <c r="A4442" s="126" t="s">
        <v>411</v>
      </c>
      <c r="B4442" t="str">
        <f>_xlfn.XLOOKUP(A4442,'[1]2050Pop'!$A$7:$A$143,'[1]2050Pop'!$D$7:$D$143)</f>
        <v>MENA</v>
      </c>
      <c r="C4442" s="127">
        <f>1000*_xlfn.XLOOKUP(A4442,'[1]2050Pop'!$A$7:$A$143,'[1]2050Pop'!$C$7:$C$143)</f>
        <v>83652</v>
      </c>
      <c r="D4442" s="126" t="s">
        <v>540</v>
      </c>
      <c r="E4442" s="128">
        <v>1.0289999999999999</v>
      </c>
      <c r="F4442" s="129">
        <f t="shared" si="209"/>
        <v>8.6077907999999995E-2</v>
      </c>
      <c r="G4442" t="str">
        <f>_xlfn.XLOOKUP(D4442,'[1]2050 BAU Mapping to T &amp; C'!$A$3:$A$52,'[1]2050 BAU Mapping to T &amp; C'!$B$3:$B$52)</f>
        <v>Tropical Fruits</v>
      </c>
      <c r="H4442" s="129">
        <f>_xlfn.XLOOKUP(G4442,'[1]T&amp;C emissions for 2050 analysis'!$B$3:$B$23,'[1]T&amp;C emissions for 2050 analysis'!$C$3:$C$23)</f>
        <v>0.51333333333333331</v>
      </c>
      <c r="I4442" s="27">
        <f t="shared" si="207"/>
        <v>4.4186659439999998E-2</v>
      </c>
      <c r="J4442" s="129">
        <f t="shared" si="208"/>
        <v>0.52821999999999991</v>
      </c>
    </row>
    <row r="4443" spans="1:10" hidden="1" x14ac:dyDescent="0.35">
      <c r="A4443" s="126" t="s">
        <v>412</v>
      </c>
      <c r="B4443" t="str">
        <f>_xlfn.XLOOKUP(A4443,'[1]2050Pop'!$A$7:$A$143,'[1]2050Pop'!$D$7:$D$143)</f>
        <v>Euro/AU/NZ</v>
      </c>
      <c r="C4443" s="127">
        <f>1000*_xlfn.XLOOKUP(A4443,'[1]2050Pop'!$A$7:$A$143,'[1]2050Pop'!$C$7:$C$143)</f>
        <v>5789</v>
      </c>
      <c r="D4443" s="126" t="s">
        <v>540</v>
      </c>
      <c r="E4443" s="130">
        <v>1.83</v>
      </c>
      <c r="F4443" s="129">
        <f t="shared" si="209"/>
        <v>1.059387E-2</v>
      </c>
      <c r="G4443" t="str">
        <f>_xlfn.XLOOKUP(D4443,'[1]2050 BAU Mapping to T &amp; C'!$A$3:$A$52,'[1]2050 BAU Mapping to T &amp; C'!$B$3:$B$52)</f>
        <v>Tropical Fruits</v>
      </c>
      <c r="H4443" s="129">
        <f>_xlfn.XLOOKUP(G4443,'[1]T&amp;C emissions for 2050 analysis'!$B$3:$B$23,'[1]T&amp;C emissions for 2050 analysis'!$C$3:$C$23)</f>
        <v>0.51333333333333331</v>
      </c>
      <c r="I4443" s="27">
        <f t="shared" si="207"/>
        <v>5.4381865999999996E-3</v>
      </c>
      <c r="J4443" s="129">
        <f t="shared" si="208"/>
        <v>0.93940000000000001</v>
      </c>
    </row>
    <row r="4444" spans="1:10" hidden="1" x14ac:dyDescent="0.35">
      <c r="A4444" s="126" t="s">
        <v>416</v>
      </c>
      <c r="B4444" t="str">
        <f>_xlfn.XLOOKUP(A4444,'[1]2050Pop'!$A$7:$A$143,'[1]2050Pop'!$D$7:$D$143)</f>
        <v>APAC</v>
      </c>
      <c r="C4444" s="127">
        <f>1000*_xlfn.XLOOKUP(A4444,'[1]2050Pop'!$A$7:$A$143,'[1]2050Pop'!$C$7:$C$143)</f>
        <v>107411</v>
      </c>
      <c r="D4444" s="126" t="s">
        <v>540</v>
      </c>
      <c r="E4444" s="128">
        <v>0.95399999999999996</v>
      </c>
      <c r="F4444" s="129">
        <f t="shared" si="209"/>
        <v>0.102470094</v>
      </c>
      <c r="G4444" t="str">
        <f>_xlfn.XLOOKUP(D4444,'[1]2050 BAU Mapping to T &amp; C'!$A$3:$A$52,'[1]2050 BAU Mapping to T &amp; C'!$B$3:$B$52)</f>
        <v>Tropical Fruits</v>
      </c>
      <c r="H4444" s="129">
        <f>_xlfn.XLOOKUP(G4444,'[1]T&amp;C emissions for 2050 analysis'!$B$3:$B$23,'[1]T&amp;C emissions for 2050 analysis'!$C$3:$C$23)</f>
        <v>0.51333333333333331</v>
      </c>
      <c r="I4444" s="27">
        <f t="shared" si="207"/>
        <v>5.2601314919999996E-2</v>
      </c>
      <c r="J4444" s="129">
        <f t="shared" si="208"/>
        <v>0.48971999999999993</v>
      </c>
    </row>
    <row r="4445" spans="1:10" hidden="1" x14ac:dyDescent="0.35">
      <c r="A4445" s="126" t="s">
        <v>417</v>
      </c>
      <c r="B4445" t="str">
        <f>_xlfn.XLOOKUP(A4445,'[1]2050Pop'!$A$7:$A$143,'[1]2050Pop'!$D$7:$D$143)</f>
        <v>MENA</v>
      </c>
      <c r="C4445" s="127">
        <f>1000*_xlfn.XLOOKUP(A4445,'[1]2050Pop'!$A$7:$A$143,'[1]2050Pop'!$C$7:$C$143)</f>
        <v>11717</v>
      </c>
      <c r="D4445" s="126" t="s">
        <v>540</v>
      </c>
      <c r="E4445" s="128">
        <v>1.0549999999999999</v>
      </c>
      <c r="F4445" s="129">
        <f t="shared" si="209"/>
        <v>1.2361434999999999E-2</v>
      </c>
      <c r="G4445" t="str">
        <f>_xlfn.XLOOKUP(D4445,'[1]2050 BAU Mapping to T &amp; C'!$A$3:$A$52,'[1]2050 BAU Mapping to T &amp; C'!$B$3:$B$52)</f>
        <v>Tropical Fruits</v>
      </c>
      <c r="H4445" s="129">
        <f>_xlfn.XLOOKUP(G4445,'[1]T&amp;C emissions for 2050 analysis'!$B$3:$B$23,'[1]T&amp;C emissions for 2050 analysis'!$C$3:$C$23)</f>
        <v>0.51333333333333331</v>
      </c>
      <c r="I4445" s="27">
        <f t="shared" si="207"/>
        <v>6.3455366333333325E-3</v>
      </c>
      <c r="J4445" s="129">
        <f t="shared" si="208"/>
        <v>0.54156666666666664</v>
      </c>
    </row>
    <row r="4446" spans="1:10" hidden="1" x14ac:dyDescent="0.35">
      <c r="A4446" s="126" t="s">
        <v>418</v>
      </c>
      <c r="B4446" t="str">
        <f>_xlfn.XLOOKUP(A4446,'[1]2050Pop'!$A$7:$A$143,'[1]2050Pop'!$D$7:$D$143)</f>
        <v>APAC</v>
      </c>
      <c r="C4446" s="127">
        <f>1000*_xlfn.XLOOKUP(A4446,'[1]2050Pop'!$A$7:$A$143,'[1]2050Pop'!$C$7:$C$143)</f>
        <v>22447</v>
      </c>
      <c r="D4446" s="126" t="s">
        <v>540</v>
      </c>
      <c r="E4446" s="128">
        <v>2.0819999999999999</v>
      </c>
      <c r="F4446" s="129">
        <f t="shared" si="209"/>
        <v>4.6734653999999994E-2</v>
      </c>
      <c r="G4446" t="str">
        <f>_xlfn.XLOOKUP(D4446,'[1]2050 BAU Mapping to T &amp; C'!$A$3:$A$52,'[1]2050 BAU Mapping to T &amp; C'!$B$3:$B$52)</f>
        <v>Tropical Fruits</v>
      </c>
      <c r="H4446" s="129">
        <f>_xlfn.XLOOKUP(G4446,'[1]T&amp;C emissions for 2050 analysis'!$B$3:$B$23,'[1]T&amp;C emissions for 2050 analysis'!$C$3:$C$23)</f>
        <v>0.51333333333333331</v>
      </c>
      <c r="I4446" s="27">
        <f t="shared" si="207"/>
        <v>2.3990455719999994E-2</v>
      </c>
      <c r="J4446" s="129">
        <f t="shared" si="208"/>
        <v>1.0687599999999999</v>
      </c>
    </row>
    <row r="4447" spans="1:10" hidden="1" x14ac:dyDescent="0.35">
      <c r="A4447" s="126" t="s">
        <v>419</v>
      </c>
      <c r="B4447" t="str">
        <f>_xlfn.XLOOKUP(A4447,'[1]2050Pop'!$A$7:$A$143,'[1]2050Pop'!$D$7:$D$143)</f>
        <v>SSA</v>
      </c>
      <c r="C4447" s="127">
        <f>1000*_xlfn.XLOOKUP(A4447,'[1]2050Pop'!$A$7:$A$143,'[1]2050Pop'!$C$7:$C$143)</f>
        <v>95505</v>
      </c>
      <c r="D4447" s="126" t="s">
        <v>540</v>
      </c>
      <c r="E4447" s="128">
        <v>3.4750000000000001</v>
      </c>
      <c r="F4447" s="129">
        <f t="shared" si="209"/>
        <v>0.33187987499999999</v>
      </c>
      <c r="G4447" t="str">
        <f>_xlfn.XLOOKUP(D4447,'[1]2050 BAU Mapping to T &amp; C'!$A$3:$A$52,'[1]2050 BAU Mapping to T &amp; C'!$B$3:$B$52)</f>
        <v>Tropical Fruits</v>
      </c>
      <c r="H4447" s="129">
        <f>_xlfn.XLOOKUP(G4447,'[1]T&amp;C emissions for 2050 analysis'!$B$3:$B$23,'[1]T&amp;C emissions for 2050 analysis'!$C$3:$C$23)</f>
        <v>0.51333333333333331</v>
      </c>
      <c r="I4447" s="27">
        <f t="shared" si="207"/>
        <v>0.17036500249999997</v>
      </c>
      <c r="J4447" s="129">
        <f t="shared" si="208"/>
        <v>1.7838333333333334</v>
      </c>
    </row>
    <row r="4448" spans="1:10" hidden="1" x14ac:dyDescent="0.35">
      <c r="A4448" s="126" t="s">
        <v>420</v>
      </c>
      <c r="B4448" t="str">
        <f>_xlfn.XLOOKUP(A4448,'[1]2050Pop'!$A$7:$A$143,'[1]2050Pop'!$D$7:$D$143)</f>
        <v>APAC</v>
      </c>
      <c r="C4448" s="127">
        <f>1000*_xlfn.XLOOKUP(A4448,'[1]2050Pop'!$A$7:$A$143,'[1]2050Pop'!$C$7:$C$143)</f>
        <v>8248</v>
      </c>
      <c r="D4448" s="126" t="s">
        <v>540</v>
      </c>
      <c r="E4448" s="128">
        <v>1.1180000000000001</v>
      </c>
      <c r="F4448" s="129">
        <f t="shared" si="209"/>
        <v>9.2212640000000016E-3</v>
      </c>
      <c r="G4448" t="str">
        <f>_xlfn.XLOOKUP(D4448,'[1]2050 BAU Mapping to T &amp; C'!$A$3:$A$52,'[1]2050 BAU Mapping to T &amp; C'!$B$3:$B$52)</f>
        <v>Tropical Fruits</v>
      </c>
      <c r="H4448" s="129">
        <f>_xlfn.XLOOKUP(G4448,'[1]T&amp;C emissions for 2050 analysis'!$B$3:$B$23,'[1]T&amp;C emissions for 2050 analysis'!$C$3:$C$23)</f>
        <v>0.51333333333333331</v>
      </c>
      <c r="I4448" s="27">
        <f t="shared" si="207"/>
        <v>4.7335821866666674E-3</v>
      </c>
      <c r="J4448" s="129">
        <f t="shared" si="208"/>
        <v>0.57390666666666668</v>
      </c>
    </row>
    <row r="4449" spans="1:10" hidden="1" x14ac:dyDescent="0.35">
      <c r="A4449" s="126" t="s">
        <v>421</v>
      </c>
      <c r="B4449" t="str">
        <f>_xlfn.XLOOKUP(A4449,'[1]2050Pop'!$A$7:$A$143,'[1]2050Pop'!$D$7:$D$143)</f>
        <v>APAC</v>
      </c>
      <c r="C4449" s="127">
        <f>1000*_xlfn.XLOOKUP(A4449,'[1]2050Pop'!$A$7:$A$143,'[1]2050Pop'!$C$7:$C$143)</f>
        <v>10172</v>
      </c>
      <c r="D4449" s="126" t="s">
        <v>540</v>
      </c>
      <c r="E4449" s="128">
        <v>1.1120000000000001</v>
      </c>
      <c r="F4449" s="129">
        <f t="shared" si="209"/>
        <v>1.1311264000000001E-2</v>
      </c>
      <c r="G4449" t="str">
        <f>_xlfn.XLOOKUP(D4449,'[1]2050 BAU Mapping to T &amp; C'!$A$3:$A$52,'[1]2050 BAU Mapping to T &amp; C'!$B$3:$B$52)</f>
        <v>Tropical Fruits</v>
      </c>
      <c r="H4449" s="129">
        <f>_xlfn.XLOOKUP(G4449,'[1]T&amp;C emissions for 2050 analysis'!$B$3:$B$23,'[1]T&amp;C emissions for 2050 analysis'!$C$3:$C$23)</f>
        <v>0.51333333333333331</v>
      </c>
      <c r="I4449" s="27">
        <f t="shared" si="207"/>
        <v>5.8064488533333342E-3</v>
      </c>
      <c r="J4449" s="129">
        <f t="shared" si="208"/>
        <v>0.5708266666666667</v>
      </c>
    </row>
    <row r="4450" spans="1:10" hidden="1" x14ac:dyDescent="0.35">
      <c r="A4450" s="126" t="s">
        <v>422</v>
      </c>
      <c r="B4450" t="str">
        <f>_xlfn.XLOOKUP(A4450,'[1]2050Pop'!$A$7:$A$143,'[1]2050Pop'!$D$7:$D$143)</f>
        <v>Euro/AU/NZ</v>
      </c>
      <c r="C4450" s="127">
        <f>1000*_xlfn.XLOOKUP(A4450,'[1]2050Pop'!$A$7:$A$143,'[1]2050Pop'!$C$7:$C$143)</f>
        <v>1593</v>
      </c>
      <c r="D4450" s="126" t="s">
        <v>540</v>
      </c>
      <c r="E4450" s="128">
        <v>1.006</v>
      </c>
      <c r="F4450" s="129">
        <f t="shared" si="209"/>
        <v>1.602558E-3</v>
      </c>
      <c r="G4450" t="str">
        <f>_xlfn.XLOOKUP(D4450,'[1]2050 BAU Mapping to T &amp; C'!$A$3:$A$52,'[1]2050 BAU Mapping to T &amp; C'!$B$3:$B$52)</f>
        <v>Tropical Fruits</v>
      </c>
      <c r="H4450" s="129">
        <f>_xlfn.XLOOKUP(G4450,'[1]T&amp;C emissions for 2050 analysis'!$B$3:$B$23,'[1]T&amp;C emissions for 2050 analysis'!$C$3:$C$23)</f>
        <v>0.51333333333333331</v>
      </c>
      <c r="I4450" s="27">
        <f t="shared" si="207"/>
        <v>8.2264643999999999E-4</v>
      </c>
      <c r="J4450" s="129">
        <f t="shared" si="208"/>
        <v>0.51641333333333328</v>
      </c>
    </row>
    <row r="4451" spans="1:10" hidden="1" x14ac:dyDescent="0.35">
      <c r="A4451" s="126" t="s">
        <v>423</v>
      </c>
      <c r="B4451" t="str">
        <f>_xlfn.XLOOKUP(A4451,'[1]2050Pop'!$A$7:$A$143,'[1]2050Pop'!$D$7:$D$143)</f>
        <v>MENA</v>
      </c>
      <c r="C4451" s="127">
        <f>1000*_xlfn.XLOOKUP(A4451,'[1]2050Pop'!$A$7:$A$143,'[1]2050Pop'!$C$7:$C$143)</f>
        <v>5610</v>
      </c>
      <c r="D4451" s="126" t="s">
        <v>540</v>
      </c>
      <c r="E4451" s="128">
        <v>1.0449999999999999</v>
      </c>
      <c r="F4451" s="129">
        <f t="shared" si="209"/>
        <v>5.86245E-3</v>
      </c>
      <c r="G4451" t="str">
        <f>_xlfn.XLOOKUP(D4451,'[1]2050 BAU Mapping to T &amp; C'!$A$3:$A$52,'[1]2050 BAU Mapping to T &amp; C'!$B$3:$B$52)</f>
        <v>Tropical Fruits</v>
      </c>
      <c r="H4451" s="129">
        <f>_xlfn.XLOOKUP(G4451,'[1]T&amp;C emissions for 2050 analysis'!$B$3:$B$23,'[1]T&amp;C emissions for 2050 analysis'!$C$3:$C$23)</f>
        <v>0.51333333333333331</v>
      </c>
      <c r="I4451" s="27">
        <f t="shared" si="207"/>
        <v>3.0093909999999997E-3</v>
      </c>
      <c r="J4451" s="129">
        <f t="shared" si="208"/>
        <v>0.53643333333333332</v>
      </c>
    </row>
    <row r="4452" spans="1:10" hidden="1" x14ac:dyDescent="0.35">
      <c r="A4452" s="126" t="s">
        <v>428</v>
      </c>
      <c r="B4452" t="str">
        <f>_xlfn.XLOOKUP(A4452,'[1]2050Pop'!$A$7:$A$143,'[1]2050Pop'!$D$7:$D$143)</f>
        <v>SSA</v>
      </c>
      <c r="C4452" s="127">
        <f>1000*_xlfn.XLOOKUP(A4452,'[1]2050Pop'!$A$7:$A$143,'[1]2050Pop'!$C$7:$C$143)</f>
        <v>43155</v>
      </c>
      <c r="D4452" s="126" t="s">
        <v>540</v>
      </c>
      <c r="E4452" s="128">
        <v>1.079</v>
      </c>
      <c r="F4452" s="129">
        <f t="shared" si="209"/>
        <v>4.6564244999999997E-2</v>
      </c>
      <c r="G4452" t="str">
        <f>_xlfn.XLOOKUP(D4452,'[1]2050 BAU Mapping to T &amp; C'!$A$3:$A$52,'[1]2050 BAU Mapping to T &amp; C'!$B$3:$B$52)</f>
        <v>Tropical Fruits</v>
      </c>
      <c r="H4452" s="129">
        <f>_xlfn.XLOOKUP(G4452,'[1]T&amp;C emissions for 2050 analysis'!$B$3:$B$23,'[1]T&amp;C emissions for 2050 analysis'!$C$3:$C$23)</f>
        <v>0.51333333333333331</v>
      </c>
      <c r="I4452" s="27">
        <f t="shared" si="207"/>
        <v>2.3902979099999996E-2</v>
      </c>
      <c r="J4452" s="129">
        <f t="shared" si="208"/>
        <v>0.55388666666666664</v>
      </c>
    </row>
    <row r="4453" spans="1:10" hidden="1" x14ac:dyDescent="0.35">
      <c r="A4453" s="126" t="s">
        <v>429</v>
      </c>
      <c r="B4453" t="str">
        <f>_xlfn.XLOOKUP(A4453,'[1]2050Pop'!$A$7:$A$143,'[1]2050Pop'!$D$7:$D$143)</f>
        <v>APAC</v>
      </c>
      <c r="C4453" s="127">
        <f>1000*_xlfn.XLOOKUP(A4453,'[1]2050Pop'!$A$7:$A$143,'[1]2050Pop'!$C$7:$C$143)</f>
        <v>40725</v>
      </c>
      <c r="D4453" s="126" t="s">
        <v>540</v>
      </c>
      <c r="E4453" s="128">
        <v>0.97299999999999998</v>
      </c>
      <c r="F4453" s="129">
        <f t="shared" si="209"/>
        <v>3.9625424999999999E-2</v>
      </c>
      <c r="G4453" t="str">
        <f>_xlfn.XLOOKUP(D4453,'[1]2050 BAU Mapping to T &amp; C'!$A$3:$A$52,'[1]2050 BAU Mapping to T &amp; C'!$B$3:$B$52)</f>
        <v>Tropical Fruits</v>
      </c>
      <c r="H4453" s="129">
        <f>_xlfn.XLOOKUP(G4453,'[1]T&amp;C emissions for 2050 analysis'!$B$3:$B$23,'[1]T&amp;C emissions for 2050 analysis'!$C$3:$C$23)</f>
        <v>0.51333333333333331</v>
      </c>
      <c r="I4453" s="27">
        <f t="shared" si="207"/>
        <v>2.0341051499999999E-2</v>
      </c>
      <c r="J4453" s="129">
        <f t="shared" si="208"/>
        <v>0.49947333333333327</v>
      </c>
    </row>
    <row r="4454" spans="1:10" hidden="1" x14ac:dyDescent="0.35">
      <c r="A4454" s="126" t="s">
        <v>430</v>
      </c>
      <c r="B4454" t="str">
        <f>_xlfn.XLOOKUP(A4454,'[1]2050Pop'!$A$7:$A$143,'[1]2050Pop'!$D$7:$D$143)</f>
        <v>SSA</v>
      </c>
      <c r="C4454" s="127">
        <f>1000*_xlfn.XLOOKUP(A4454,'[1]2050Pop'!$A$7:$A$143,'[1]2050Pop'!$C$7:$C$143)</f>
        <v>45404</v>
      </c>
      <c r="D4454" s="126" t="s">
        <v>540</v>
      </c>
      <c r="E4454" s="128">
        <v>1.0329999999999999</v>
      </c>
      <c r="F4454" s="129">
        <f t="shared" si="209"/>
        <v>4.6902331999999998E-2</v>
      </c>
      <c r="G4454" t="str">
        <f>_xlfn.XLOOKUP(D4454,'[1]2050 BAU Mapping to T &amp; C'!$A$3:$A$52,'[1]2050 BAU Mapping to T &amp; C'!$B$3:$B$52)</f>
        <v>Tropical Fruits</v>
      </c>
      <c r="H4454" s="129">
        <f>_xlfn.XLOOKUP(G4454,'[1]T&amp;C emissions for 2050 analysis'!$B$3:$B$23,'[1]T&amp;C emissions for 2050 analysis'!$C$3:$C$23)</f>
        <v>0.51333333333333331</v>
      </c>
      <c r="I4454" s="27">
        <f t="shared" si="207"/>
        <v>2.4076530426666666E-2</v>
      </c>
      <c r="J4454" s="129">
        <f t="shared" si="208"/>
        <v>0.53027333333333326</v>
      </c>
    </row>
    <row r="4455" spans="1:10" hidden="1" x14ac:dyDescent="0.35">
      <c r="A4455" s="126" t="s">
        <v>431</v>
      </c>
      <c r="B4455" t="str">
        <f>_xlfn.XLOOKUP(A4455,'[1]2050Pop'!$A$7:$A$143,'[1]2050Pop'!$D$7:$D$143)</f>
        <v>SSA</v>
      </c>
      <c r="C4455" s="127">
        <f>1000*_xlfn.XLOOKUP(A4455,'[1]2050Pop'!$A$7:$A$143,'[1]2050Pop'!$C$7:$C$143)</f>
        <v>8048.9999999999991</v>
      </c>
      <c r="D4455" s="126" t="s">
        <v>540</v>
      </c>
      <c r="E4455" s="128">
        <v>3.448</v>
      </c>
      <c r="F4455" s="129">
        <f t="shared" si="209"/>
        <v>2.7752951999999997E-2</v>
      </c>
      <c r="G4455" t="str">
        <f>_xlfn.XLOOKUP(D4455,'[1]2050 BAU Mapping to T &amp; C'!$A$3:$A$52,'[1]2050 BAU Mapping to T &amp; C'!$B$3:$B$52)</f>
        <v>Tropical Fruits</v>
      </c>
      <c r="H4455" s="129">
        <f>_xlfn.XLOOKUP(G4455,'[1]T&amp;C emissions for 2050 analysis'!$B$3:$B$23,'[1]T&amp;C emissions for 2050 analysis'!$C$3:$C$23)</f>
        <v>0.51333333333333331</v>
      </c>
      <c r="I4455" s="27">
        <f t="shared" si="207"/>
        <v>1.4246515359999998E-2</v>
      </c>
      <c r="J4455" s="129">
        <f t="shared" si="208"/>
        <v>1.7699733333333332</v>
      </c>
    </row>
    <row r="4456" spans="1:10" hidden="1" x14ac:dyDescent="0.35">
      <c r="A4456" s="126" t="s">
        <v>432</v>
      </c>
      <c r="B4456" t="str">
        <f>_xlfn.XLOOKUP(A4456,'[1]2050Pop'!$A$7:$A$143,'[1]2050Pop'!$D$7:$D$143)</f>
        <v>SSA</v>
      </c>
      <c r="C4456" s="127">
        <f>1000*_xlfn.XLOOKUP(A4456,'[1]2050Pop'!$A$7:$A$143,'[1]2050Pop'!$C$7:$C$143)</f>
        <v>1249</v>
      </c>
      <c r="D4456" s="126" t="s">
        <v>540</v>
      </c>
      <c r="E4456" s="128">
        <v>1.2849999999999999</v>
      </c>
      <c r="F4456" s="129">
        <f t="shared" si="209"/>
        <v>1.6049649999999999E-3</v>
      </c>
      <c r="G4456" t="str">
        <f>_xlfn.XLOOKUP(D4456,'[1]2050 BAU Mapping to T &amp; C'!$A$3:$A$52,'[1]2050 BAU Mapping to T &amp; C'!$B$3:$B$52)</f>
        <v>Tropical Fruits</v>
      </c>
      <c r="H4456" s="129">
        <f>_xlfn.XLOOKUP(G4456,'[1]T&amp;C emissions for 2050 analysis'!$B$3:$B$23,'[1]T&amp;C emissions for 2050 analysis'!$C$3:$C$23)</f>
        <v>0.51333333333333331</v>
      </c>
      <c r="I4456" s="27">
        <f t="shared" si="207"/>
        <v>8.2388203333333323E-4</v>
      </c>
      <c r="J4456" s="129">
        <f t="shared" si="208"/>
        <v>0.65963333333333329</v>
      </c>
    </row>
    <row r="4457" spans="1:10" hidden="1" x14ac:dyDescent="0.35">
      <c r="A4457" s="126" t="s">
        <v>434</v>
      </c>
      <c r="B4457" t="str">
        <f>_xlfn.XLOOKUP(A4457,'[1]2050Pop'!$A$7:$A$143,'[1]2050Pop'!$D$7:$D$143)</f>
        <v>APAC</v>
      </c>
      <c r="C4457" s="127">
        <f>1000*_xlfn.XLOOKUP(A4457,'[1]2050Pop'!$A$7:$A$143,'[1]2050Pop'!$C$7:$C$143)</f>
        <v>4027.9999999999995</v>
      </c>
      <c r="D4457" s="126" t="s">
        <v>540</v>
      </c>
      <c r="E4457" s="128">
        <v>1.052</v>
      </c>
      <c r="F4457" s="129">
        <f t="shared" si="209"/>
        <v>4.2374560000000006E-3</v>
      </c>
      <c r="G4457" t="str">
        <f>_xlfn.XLOOKUP(D4457,'[1]2050 BAU Mapping to T &amp; C'!$A$3:$A$52,'[1]2050 BAU Mapping to T &amp; C'!$B$3:$B$52)</f>
        <v>Tropical Fruits</v>
      </c>
      <c r="H4457" s="129">
        <f>_xlfn.XLOOKUP(G4457,'[1]T&amp;C emissions for 2050 analysis'!$B$3:$B$23,'[1]T&amp;C emissions for 2050 analysis'!$C$3:$C$23)</f>
        <v>0.51333333333333331</v>
      </c>
      <c r="I4457" s="27">
        <f t="shared" si="207"/>
        <v>2.1752274133333333E-3</v>
      </c>
      <c r="J4457" s="129">
        <f t="shared" si="208"/>
        <v>0.54002666666666665</v>
      </c>
    </row>
    <row r="4458" spans="1:10" hidden="1" x14ac:dyDescent="0.35">
      <c r="A4458" s="126" t="s">
        <v>435</v>
      </c>
      <c r="B4458" t="str">
        <f>_xlfn.XLOOKUP(A4458,'[1]2050Pop'!$A$7:$A$143,'[1]2050Pop'!$D$7:$D$143)</f>
        <v>MENA</v>
      </c>
      <c r="C4458" s="127">
        <f>1000*_xlfn.XLOOKUP(A4458,'[1]2050Pop'!$A$7:$A$143,'[1]2050Pop'!$C$7:$C$143)</f>
        <v>43696</v>
      </c>
      <c r="D4458" s="126" t="s">
        <v>540</v>
      </c>
      <c r="E4458" s="128">
        <v>2.056</v>
      </c>
      <c r="F4458" s="129">
        <f t="shared" si="209"/>
        <v>8.9838976000000001E-2</v>
      </c>
      <c r="G4458" t="str">
        <f>_xlfn.XLOOKUP(D4458,'[1]2050 BAU Mapping to T &amp; C'!$A$3:$A$52,'[1]2050 BAU Mapping to T &amp; C'!$B$3:$B$52)</f>
        <v>Tropical Fruits</v>
      </c>
      <c r="H4458" s="129">
        <f>_xlfn.XLOOKUP(G4458,'[1]T&amp;C emissions for 2050 analysis'!$B$3:$B$23,'[1]T&amp;C emissions for 2050 analysis'!$C$3:$C$23)</f>
        <v>0.51333333333333331</v>
      </c>
      <c r="I4458" s="27">
        <f t="shared" si="207"/>
        <v>4.6117341013333334E-2</v>
      </c>
      <c r="J4458" s="129">
        <f t="shared" si="208"/>
        <v>1.0554133333333333</v>
      </c>
    </row>
    <row r="4459" spans="1:10" hidden="1" x14ac:dyDescent="0.35">
      <c r="A4459" s="126" t="s">
        <v>436</v>
      </c>
      <c r="B4459" t="str">
        <f>_xlfn.XLOOKUP(A4459,'[1]2050Pop'!$A$7:$A$143,'[1]2050Pop'!$D$7:$D$143)</f>
        <v>SSA</v>
      </c>
      <c r="C4459" s="127">
        <f>1000*_xlfn.XLOOKUP(A4459,'[1]2050Pop'!$A$7:$A$143,'[1]2050Pop'!$C$7:$C$143)</f>
        <v>65544</v>
      </c>
      <c r="D4459" s="126" t="s">
        <v>540</v>
      </c>
      <c r="E4459" s="128">
        <v>1.107</v>
      </c>
      <c r="F4459" s="129">
        <f t="shared" si="209"/>
        <v>7.2557207999999998E-2</v>
      </c>
      <c r="G4459" t="str">
        <f>_xlfn.XLOOKUP(D4459,'[1]2050 BAU Mapping to T &amp; C'!$A$3:$A$52,'[1]2050 BAU Mapping to T &amp; C'!$B$3:$B$52)</f>
        <v>Tropical Fruits</v>
      </c>
      <c r="H4459" s="129">
        <f>_xlfn.XLOOKUP(G4459,'[1]T&amp;C emissions for 2050 analysis'!$B$3:$B$23,'[1]T&amp;C emissions for 2050 analysis'!$C$3:$C$23)</f>
        <v>0.51333333333333331</v>
      </c>
      <c r="I4459" s="27">
        <f t="shared" si="207"/>
        <v>3.724603344E-2</v>
      </c>
      <c r="J4459" s="129">
        <f t="shared" si="208"/>
        <v>0.56825999999999999</v>
      </c>
    </row>
    <row r="4460" spans="1:10" hidden="1" x14ac:dyDescent="0.35">
      <c r="A4460" s="126" t="s">
        <v>490</v>
      </c>
      <c r="B4460" t="str">
        <f>_xlfn.XLOOKUP(A4460,'[1]2050Pop'!$A$7:$A$143,'[1]2050Pop'!$D$7:$D$143)</f>
        <v>APAC</v>
      </c>
      <c r="C4460" s="127">
        <f>1000*_xlfn.XLOOKUP(A4460,'[1]2050Pop'!$A$7:$A$143,'[1]2050Pop'!$C$7:$C$143)</f>
        <v>63575</v>
      </c>
      <c r="D4460" s="126" t="s">
        <v>540</v>
      </c>
      <c r="E4460" s="128">
        <v>1.081</v>
      </c>
      <c r="F4460" s="129">
        <f t="shared" si="209"/>
        <v>6.8724574999999996E-2</v>
      </c>
      <c r="G4460" t="str">
        <f>_xlfn.XLOOKUP(D4460,'[1]2050 BAU Mapping to T &amp; C'!$A$3:$A$52,'[1]2050 BAU Mapping to T &amp; C'!$B$3:$B$52)</f>
        <v>Tropical Fruits</v>
      </c>
      <c r="H4460" s="129">
        <f>_xlfn.XLOOKUP(G4460,'[1]T&amp;C emissions for 2050 analysis'!$B$3:$B$23,'[1]T&amp;C emissions for 2050 analysis'!$C$3:$C$23)</f>
        <v>0.51333333333333331</v>
      </c>
      <c r="I4460" s="27">
        <f t="shared" si="207"/>
        <v>3.5278615166666666E-2</v>
      </c>
      <c r="J4460" s="129">
        <f t="shared" si="208"/>
        <v>0.55491333333333326</v>
      </c>
    </row>
    <row r="4461" spans="1:10" hidden="1" x14ac:dyDescent="0.35">
      <c r="A4461" s="126" t="s">
        <v>437</v>
      </c>
      <c r="B4461" t="str">
        <f>_xlfn.XLOOKUP(A4461,'[1]2050Pop'!$A$7:$A$143,'[1]2050Pop'!$D$7:$D$143)</f>
        <v>SSA</v>
      </c>
      <c r="C4461" s="127">
        <f>1000*_xlfn.XLOOKUP(A4461,'[1]2050Pop'!$A$7:$A$143,'[1]2050Pop'!$C$7:$C$143)</f>
        <v>4322</v>
      </c>
      <c r="D4461" s="126" t="s">
        <v>540</v>
      </c>
      <c r="E4461" s="130">
        <v>1.01</v>
      </c>
      <c r="F4461" s="129">
        <f t="shared" si="209"/>
        <v>4.3652200000000004E-3</v>
      </c>
      <c r="G4461" t="str">
        <f>_xlfn.XLOOKUP(D4461,'[1]2050 BAU Mapping to T &amp; C'!$A$3:$A$52,'[1]2050 BAU Mapping to T &amp; C'!$B$3:$B$52)</f>
        <v>Tropical Fruits</v>
      </c>
      <c r="H4461" s="129">
        <f>_xlfn.XLOOKUP(G4461,'[1]T&amp;C emissions for 2050 analysis'!$B$3:$B$23,'[1]T&amp;C emissions for 2050 analysis'!$C$3:$C$23)</f>
        <v>0.51333333333333331</v>
      </c>
      <c r="I4461" s="27">
        <f t="shared" si="207"/>
        <v>2.2408129333333334E-3</v>
      </c>
      <c r="J4461" s="129">
        <f t="shared" si="208"/>
        <v>0.51846666666666663</v>
      </c>
    </row>
    <row r="4462" spans="1:10" hidden="1" x14ac:dyDescent="0.35">
      <c r="A4462" s="126" t="s">
        <v>439</v>
      </c>
      <c r="B4462" t="str">
        <f>_xlfn.XLOOKUP(A4462,'[1]2050Pop'!$A$7:$A$143,'[1]2050Pop'!$D$7:$D$143)</f>
        <v>Euro/AU/NZ</v>
      </c>
      <c r="C4462" s="127">
        <f>1000*_xlfn.XLOOKUP(A4462,'[1]2050Pop'!$A$7:$A$143,'[1]2050Pop'!$C$7:$C$143)</f>
        <v>17602</v>
      </c>
      <c r="D4462" s="126" t="s">
        <v>540</v>
      </c>
      <c r="E4462" s="128">
        <v>0.93400000000000005</v>
      </c>
      <c r="F4462" s="129">
        <f t="shared" si="209"/>
        <v>1.6440268000000001E-2</v>
      </c>
      <c r="G4462" t="str">
        <f>_xlfn.XLOOKUP(D4462,'[1]2050 BAU Mapping to T &amp; C'!$A$3:$A$52,'[1]2050 BAU Mapping to T &amp; C'!$B$3:$B$52)</f>
        <v>Tropical Fruits</v>
      </c>
      <c r="H4462" s="129">
        <f>_xlfn.XLOOKUP(G4462,'[1]T&amp;C emissions for 2050 analysis'!$B$3:$B$23,'[1]T&amp;C emissions for 2050 analysis'!$C$3:$C$23)</f>
        <v>0.51333333333333331</v>
      </c>
      <c r="I4462" s="27">
        <f t="shared" si="207"/>
        <v>8.4393375733333338E-3</v>
      </c>
      <c r="J4462" s="129">
        <f t="shared" si="208"/>
        <v>0.47945333333333334</v>
      </c>
    </row>
    <row r="4463" spans="1:10" hidden="1" x14ac:dyDescent="0.35">
      <c r="A4463" s="126" t="s">
        <v>482</v>
      </c>
      <c r="B4463" t="str">
        <f>_xlfn.XLOOKUP(A4463,'[1]2050Pop'!$A$7:$A$143,'[1]2050Pop'!$D$7:$D$143)</f>
        <v>SSA</v>
      </c>
      <c r="C4463" s="127">
        <f>1000*_xlfn.XLOOKUP(A4463,'[1]2050Pop'!$A$7:$A$143,'[1]2050Pop'!$C$7:$C$143)</f>
        <v>72238</v>
      </c>
      <c r="D4463" s="126" t="s">
        <v>540</v>
      </c>
      <c r="E4463" s="128">
        <v>1.038</v>
      </c>
      <c r="F4463" s="129">
        <f t="shared" si="209"/>
        <v>7.4983044000000013E-2</v>
      </c>
      <c r="G4463" t="str">
        <f>_xlfn.XLOOKUP(D4463,'[1]2050 BAU Mapping to T &amp; C'!$A$3:$A$52,'[1]2050 BAU Mapping to T &amp; C'!$B$3:$B$52)</f>
        <v>Tropical Fruits</v>
      </c>
      <c r="H4463" s="129">
        <f>_xlfn.XLOOKUP(G4463,'[1]T&amp;C emissions for 2050 analysis'!$B$3:$B$23,'[1]T&amp;C emissions for 2050 analysis'!$C$3:$C$23)</f>
        <v>0.51333333333333331</v>
      </c>
      <c r="I4463" s="27">
        <f t="shared" si="207"/>
        <v>3.8491295920000002E-2</v>
      </c>
      <c r="J4463" s="129">
        <f t="shared" si="208"/>
        <v>0.53283999999999998</v>
      </c>
    </row>
    <row r="4464" spans="1:10" hidden="1" x14ac:dyDescent="0.35">
      <c r="A4464" s="126" t="s">
        <v>443</v>
      </c>
      <c r="B4464" t="str">
        <f>_xlfn.XLOOKUP(A4464,'[1]2050Pop'!$A$7:$A$143,'[1]2050Pop'!$D$7:$D$143)</f>
        <v>India/South Asia</v>
      </c>
      <c r="C4464" s="127">
        <f>1000*_xlfn.XLOOKUP(A4464,'[1]2050Pop'!$A$7:$A$143,'[1]2050Pop'!$C$7:$C$143)</f>
        <v>309640</v>
      </c>
      <c r="D4464" s="126" t="s">
        <v>540</v>
      </c>
      <c r="E4464" s="128">
        <v>1.0980000000000001</v>
      </c>
      <c r="F4464" s="129">
        <f t="shared" si="209"/>
        <v>0.33998472000000002</v>
      </c>
      <c r="G4464" t="str">
        <f>_xlfn.XLOOKUP(D4464,'[1]2050 BAU Mapping to T &amp; C'!$A$3:$A$52,'[1]2050 BAU Mapping to T &amp; C'!$B$3:$B$52)</f>
        <v>Tropical Fruits</v>
      </c>
      <c r="H4464" s="129">
        <f>_xlfn.XLOOKUP(G4464,'[1]T&amp;C emissions for 2050 analysis'!$B$3:$B$23,'[1]T&amp;C emissions for 2050 analysis'!$C$3:$C$23)</f>
        <v>0.51333333333333331</v>
      </c>
      <c r="I4464" s="27">
        <f t="shared" si="207"/>
        <v>0.1745254896</v>
      </c>
      <c r="J4464" s="129">
        <f t="shared" si="208"/>
        <v>0.56364000000000003</v>
      </c>
    </row>
    <row r="4465" spans="1:10" hidden="1" x14ac:dyDescent="0.35">
      <c r="A4465" s="126" t="s">
        <v>445</v>
      </c>
      <c r="B4465" t="str">
        <f>_xlfn.XLOOKUP(A4465,'[1]2050Pop'!$A$7:$A$143,'[1]2050Pop'!$D$7:$D$143)</f>
        <v>LatAm &amp; RSA</v>
      </c>
      <c r="C4465" s="127">
        <f>1000*_xlfn.XLOOKUP(A4465,'[1]2050Pop'!$A$7:$A$143,'[1]2050Pop'!$C$7:$C$143)</f>
        <v>8895</v>
      </c>
      <c r="D4465" s="126" t="s">
        <v>540</v>
      </c>
      <c r="E4465" s="128">
        <v>12.178000000000001</v>
      </c>
      <c r="F4465" s="129">
        <f t="shared" si="209"/>
        <v>0.10832331000000001</v>
      </c>
      <c r="G4465" t="str">
        <f>_xlfn.XLOOKUP(D4465,'[1]2050 BAU Mapping to T &amp; C'!$A$3:$A$52,'[1]2050 BAU Mapping to T &amp; C'!$B$3:$B$52)</f>
        <v>Tropical Fruits</v>
      </c>
      <c r="H4465" s="129">
        <f>_xlfn.XLOOKUP(G4465,'[1]T&amp;C emissions for 2050 analysis'!$B$3:$B$23,'[1]T&amp;C emissions for 2050 analysis'!$C$3:$C$23)</f>
        <v>0.51333333333333331</v>
      </c>
      <c r="I4465" s="27">
        <f t="shared" si="207"/>
        <v>5.5605965799999997E-2</v>
      </c>
      <c r="J4465" s="129">
        <f t="shared" si="208"/>
        <v>6.2513733333333334</v>
      </c>
    </row>
    <row r="4466" spans="1:10" hidden="1" x14ac:dyDescent="0.35">
      <c r="A4466" s="126" t="s">
        <v>448</v>
      </c>
      <c r="B4466" t="str">
        <f>_xlfn.XLOOKUP(A4466,'[1]2050Pop'!$A$7:$A$143,'[1]2050Pop'!$D$7:$D$143)</f>
        <v>Euro/AU/NZ</v>
      </c>
      <c r="C4466" s="127">
        <f>1000*_xlfn.XLOOKUP(A4466,'[1]2050Pop'!$A$7:$A$143,'[1]2050Pop'!$C$7:$C$143)</f>
        <v>33136</v>
      </c>
      <c r="D4466" s="126" t="s">
        <v>540</v>
      </c>
      <c r="E4466" s="128">
        <v>0.91400000000000003</v>
      </c>
      <c r="F4466" s="129">
        <f t="shared" si="209"/>
        <v>3.0286304E-2</v>
      </c>
      <c r="G4466" t="str">
        <f>_xlfn.XLOOKUP(D4466,'[1]2050 BAU Mapping to T &amp; C'!$A$3:$A$52,'[1]2050 BAU Mapping to T &amp; C'!$B$3:$B$52)</f>
        <v>Tropical Fruits</v>
      </c>
      <c r="H4466" s="129">
        <f>_xlfn.XLOOKUP(G4466,'[1]T&amp;C emissions for 2050 analysis'!$B$3:$B$23,'[1]T&amp;C emissions for 2050 analysis'!$C$3:$C$23)</f>
        <v>0.51333333333333331</v>
      </c>
      <c r="I4466" s="27">
        <f t="shared" si="207"/>
        <v>1.5546969386666666E-2</v>
      </c>
      <c r="J4466" s="129">
        <f t="shared" si="208"/>
        <v>0.46918666666666664</v>
      </c>
    </row>
    <row r="4467" spans="1:10" hidden="1" x14ac:dyDescent="0.35">
      <c r="A4467" s="126" t="s">
        <v>454</v>
      </c>
      <c r="B4467" t="str">
        <f>_xlfn.XLOOKUP(A4467,'[1]2050Pop'!$A$7:$A$143,'[1]2050Pop'!$D$7:$D$143)</f>
        <v>Euro/AU/NZ</v>
      </c>
      <c r="C4467" s="127">
        <f>1000*_xlfn.XLOOKUP(A4467,'[1]2050Pop'!$A$7:$A$143,'[1]2050Pop'!$C$7:$C$143)</f>
        <v>128598.99999999999</v>
      </c>
      <c r="D4467" s="126" t="s">
        <v>540</v>
      </c>
      <c r="E4467" s="128">
        <v>1.0109999999999999</v>
      </c>
      <c r="F4467" s="129">
        <f t="shared" si="209"/>
        <v>0.13001358899999998</v>
      </c>
      <c r="G4467" t="str">
        <f>_xlfn.XLOOKUP(D4467,'[1]2050 BAU Mapping to T &amp; C'!$A$3:$A$52,'[1]2050 BAU Mapping to T &amp; C'!$B$3:$B$52)</f>
        <v>Tropical Fruits</v>
      </c>
      <c r="H4467" s="129">
        <f>_xlfn.XLOOKUP(G4467,'[1]T&amp;C emissions for 2050 analysis'!$B$3:$B$23,'[1]T&amp;C emissions for 2050 analysis'!$C$3:$C$23)</f>
        <v>0.51333333333333331</v>
      </c>
      <c r="I4467" s="27">
        <f t="shared" si="207"/>
        <v>6.6740309019999985E-2</v>
      </c>
      <c r="J4467" s="129">
        <f t="shared" si="208"/>
        <v>0.51897999999999989</v>
      </c>
    </row>
    <row r="4468" spans="1:10" hidden="1" x14ac:dyDescent="0.35">
      <c r="A4468" s="126" t="s">
        <v>456</v>
      </c>
      <c r="B4468" t="str">
        <f>_xlfn.XLOOKUP(A4468,'[1]2050Pop'!$A$7:$A$143,'[1]2050Pop'!$D$7:$D$143)</f>
        <v>MENA</v>
      </c>
      <c r="C4468" s="127">
        <f>1000*_xlfn.XLOOKUP(A4468,'[1]2050Pop'!$A$7:$A$143,'[1]2050Pop'!$C$7:$C$143)</f>
        <v>46059</v>
      </c>
      <c r="D4468" s="126" t="s">
        <v>540</v>
      </c>
      <c r="E4468" s="128">
        <v>1.0049999999999999</v>
      </c>
      <c r="F4468" s="129">
        <f t="shared" si="209"/>
        <v>4.6289295000000001E-2</v>
      </c>
      <c r="G4468" t="str">
        <f>_xlfn.XLOOKUP(D4468,'[1]2050 BAU Mapping to T &amp; C'!$A$3:$A$52,'[1]2050 BAU Mapping to T &amp; C'!$B$3:$B$52)</f>
        <v>Tropical Fruits</v>
      </c>
      <c r="H4468" s="129">
        <f>_xlfn.XLOOKUP(G4468,'[1]T&amp;C emissions for 2050 analysis'!$B$3:$B$23,'[1]T&amp;C emissions for 2050 analysis'!$C$3:$C$23)</f>
        <v>0.51333333333333331</v>
      </c>
      <c r="I4468" s="27">
        <f t="shared" si="207"/>
        <v>2.3761838099999998E-2</v>
      </c>
      <c r="J4468" s="129">
        <f t="shared" si="208"/>
        <v>0.51589999999999991</v>
      </c>
    </row>
    <row r="4469" spans="1:10" hidden="1" x14ac:dyDescent="0.35">
      <c r="A4469" s="126" t="s">
        <v>493</v>
      </c>
      <c r="B4469" t="str">
        <f>_xlfn.XLOOKUP(A4469,'[1]2050Pop'!$A$7:$A$143,'[1]2050Pop'!$D$7:$D$143)</f>
        <v>India/South Asia</v>
      </c>
      <c r="C4469" s="127">
        <f>1000*_xlfn.XLOOKUP(A4469,'[1]2050Pop'!$A$7:$A$143,'[1]2050Pop'!$C$7:$C$143)</f>
        <v>20836</v>
      </c>
      <c r="D4469" s="126" t="s">
        <v>540</v>
      </c>
      <c r="E4469" s="128">
        <v>1.083</v>
      </c>
      <c r="F4469" s="129">
        <f t="shared" si="209"/>
        <v>2.2565387999999999E-2</v>
      </c>
      <c r="G4469" t="str">
        <f>_xlfn.XLOOKUP(D4469,'[1]2050 BAU Mapping to T &amp; C'!$A$3:$A$52,'[1]2050 BAU Mapping to T &amp; C'!$B$3:$B$52)</f>
        <v>Tropical Fruits</v>
      </c>
      <c r="H4469" s="129">
        <f>_xlfn.XLOOKUP(G4469,'[1]T&amp;C emissions for 2050 analysis'!$B$3:$B$23,'[1]T&amp;C emissions for 2050 analysis'!$C$3:$C$23)</f>
        <v>0.51333333333333331</v>
      </c>
      <c r="I4469" s="27">
        <f t="shared" si="207"/>
        <v>1.1583565839999999E-2</v>
      </c>
      <c r="J4469" s="129">
        <f t="shared" si="208"/>
        <v>0.55593999999999999</v>
      </c>
    </row>
    <row r="4470" spans="1:10" hidden="1" x14ac:dyDescent="0.35">
      <c r="A4470" s="126" t="s">
        <v>462</v>
      </c>
      <c r="B4470" t="str">
        <f>_xlfn.XLOOKUP(A4470,'[1]2050Pop'!$A$7:$A$143,'[1]2050Pop'!$D$7:$D$143)</f>
        <v>LatAm &amp; RSA</v>
      </c>
      <c r="C4470" s="127">
        <f>1000*_xlfn.XLOOKUP(A4470,'[1]2050Pop'!$A$7:$A$143,'[1]2050Pop'!$C$7:$C$143)</f>
        <v>624</v>
      </c>
      <c r="D4470" s="126" t="s">
        <v>540</v>
      </c>
      <c r="E4470" s="128">
        <v>1.024</v>
      </c>
      <c r="F4470" s="129">
        <f t="shared" si="209"/>
        <v>6.3897599999999998E-4</v>
      </c>
      <c r="G4470" t="str">
        <f>_xlfn.XLOOKUP(D4470,'[1]2050 BAU Mapping to T &amp; C'!$A$3:$A$52,'[1]2050 BAU Mapping to T &amp; C'!$B$3:$B$52)</f>
        <v>Tropical Fruits</v>
      </c>
      <c r="H4470" s="129">
        <f>_xlfn.XLOOKUP(G4470,'[1]T&amp;C emissions for 2050 analysis'!$B$3:$B$23,'[1]T&amp;C emissions for 2050 analysis'!$C$3:$C$23)</f>
        <v>0.51333333333333331</v>
      </c>
      <c r="I4470" s="27">
        <f t="shared" si="207"/>
        <v>3.2800767999999994E-4</v>
      </c>
      <c r="J4470" s="129">
        <f t="shared" si="208"/>
        <v>0.52565333333333331</v>
      </c>
    </row>
    <row r="4471" spans="1:10" hidden="1" x14ac:dyDescent="0.35">
      <c r="A4471" s="126" t="s">
        <v>463</v>
      </c>
      <c r="B4471" t="str">
        <f>_xlfn.XLOOKUP(A4471,'[1]2050Pop'!$A$7:$A$143,'[1]2050Pop'!$D$7:$D$143)</f>
        <v>SSA</v>
      </c>
      <c r="C4471" s="127">
        <f>1000*_xlfn.XLOOKUP(A4471,'[1]2050Pop'!$A$7:$A$143,'[1]2050Pop'!$C$7:$C$143)</f>
        <v>1792</v>
      </c>
      <c r="D4471" s="126" t="s">
        <v>540</v>
      </c>
      <c r="E4471" s="128">
        <v>0.94899999999999995</v>
      </c>
      <c r="F4471" s="129">
        <f t="shared" si="209"/>
        <v>1.7006079999999999E-3</v>
      </c>
      <c r="G4471" t="str">
        <f>_xlfn.XLOOKUP(D4471,'[1]2050 BAU Mapping to T &amp; C'!$A$3:$A$52,'[1]2050 BAU Mapping to T &amp; C'!$B$3:$B$52)</f>
        <v>Tropical Fruits</v>
      </c>
      <c r="H4471" s="129">
        <f>_xlfn.XLOOKUP(G4471,'[1]T&amp;C emissions for 2050 analysis'!$B$3:$B$23,'[1]T&amp;C emissions for 2050 analysis'!$C$3:$C$23)</f>
        <v>0.51333333333333331</v>
      </c>
      <c r="I4471" s="27">
        <f t="shared" si="207"/>
        <v>8.729787733333333E-4</v>
      </c>
      <c r="J4471" s="129">
        <f t="shared" si="208"/>
        <v>0.48715333333333327</v>
      </c>
    </row>
    <row r="4472" spans="1:10" hidden="1" x14ac:dyDescent="0.35">
      <c r="A4472" s="126" t="s">
        <v>483</v>
      </c>
      <c r="B4472" t="str">
        <f>_xlfn.XLOOKUP(A4472,'[1]2050Pop'!$A$7:$A$143,'[1]2050Pop'!$D$7:$D$143)</f>
        <v>APAC</v>
      </c>
      <c r="C4472" s="127">
        <f>1000*_xlfn.XLOOKUP(A4472,'[1]2050Pop'!$A$7:$A$143,'[1]2050Pop'!$C$7:$C$143)</f>
        <v>14288</v>
      </c>
      <c r="D4472" s="126" t="s">
        <v>540</v>
      </c>
      <c r="E4472" s="128">
        <v>1.0780000000000001</v>
      </c>
      <c r="F4472" s="129">
        <f t="shared" si="209"/>
        <v>1.5402464000000001E-2</v>
      </c>
      <c r="G4472" t="str">
        <f>_xlfn.XLOOKUP(D4472,'[1]2050 BAU Mapping to T &amp; C'!$A$3:$A$52,'[1]2050 BAU Mapping to T &amp; C'!$B$3:$B$52)</f>
        <v>Tropical Fruits</v>
      </c>
      <c r="H4472" s="129">
        <f>_xlfn.XLOOKUP(G4472,'[1]T&amp;C emissions for 2050 analysis'!$B$3:$B$23,'[1]T&amp;C emissions for 2050 analysis'!$C$3:$C$23)</f>
        <v>0.51333333333333331</v>
      </c>
      <c r="I4472" s="27">
        <f t="shared" si="207"/>
        <v>7.9065981866666673E-3</v>
      </c>
      <c r="J4472" s="129">
        <f t="shared" si="208"/>
        <v>0.55337333333333338</v>
      </c>
    </row>
    <row r="4473" spans="1:10" hidden="1" x14ac:dyDescent="0.35">
      <c r="A4473" s="126" t="s">
        <v>465</v>
      </c>
      <c r="B4473" t="str">
        <f>_xlfn.XLOOKUP(A4473,'[1]2050Pop'!$A$7:$A$143,'[1]2050Pop'!$D$7:$D$143)</f>
        <v>APAC</v>
      </c>
      <c r="C4473" s="127">
        <f>1000*_xlfn.XLOOKUP(A4473,'[1]2050Pop'!$A$7:$A$143,'[1]2050Pop'!$C$7:$C$143)</f>
        <v>62452</v>
      </c>
      <c r="D4473" s="126" t="s">
        <v>540</v>
      </c>
      <c r="E4473" s="128">
        <v>0.97199999999999998</v>
      </c>
      <c r="F4473" s="129">
        <f t="shared" si="209"/>
        <v>6.0703343999999999E-2</v>
      </c>
      <c r="G4473" t="str">
        <f>_xlfn.XLOOKUP(D4473,'[1]2050 BAU Mapping to T &amp; C'!$A$3:$A$52,'[1]2050 BAU Mapping to T &amp; C'!$B$3:$B$52)</f>
        <v>Tropical Fruits</v>
      </c>
      <c r="H4473" s="129">
        <f>_xlfn.XLOOKUP(G4473,'[1]T&amp;C emissions for 2050 analysis'!$B$3:$B$23,'[1]T&amp;C emissions for 2050 analysis'!$C$3:$C$23)</f>
        <v>0.51333333333333331</v>
      </c>
      <c r="I4473" s="27">
        <f t="shared" si="207"/>
        <v>3.1161049919999999E-2</v>
      </c>
      <c r="J4473" s="129">
        <f t="shared" si="208"/>
        <v>0.49895999999999996</v>
      </c>
    </row>
    <row r="4474" spans="1:10" hidden="1" x14ac:dyDescent="0.35">
      <c r="A4474" s="126" t="s">
        <v>468</v>
      </c>
      <c r="B4474" t="str">
        <f>_xlfn.XLOOKUP(A4474,'[1]2050Pop'!$A$7:$A$143,'[1]2050Pop'!$D$7:$D$143)</f>
        <v>MENA</v>
      </c>
      <c r="C4474" s="127">
        <f>1000*_xlfn.XLOOKUP(A4474,'[1]2050Pop'!$A$7:$A$143,'[1]2050Pop'!$C$7:$C$143)</f>
        <v>13476</v>
      </c>
      <c r="D4474" s="126" t="s">
        <v>540</v>
      </c>
      <c r="E4474" s="128">
        <v>1.0229999999999999</v>
      </c>
      <c r="F4474" s="129">
        <f t="shared" si="209"/>
        <v>1.3785947999999999E-2</v>
      </c>
      <c r="G4474" t="str">
        <f>_xlfn.XLOOKUP(D4474,'[1]2050 BAU Mapping to T &amp; C'!$A$3:$A$52,'[1]2050 BAU Mapping to T &amp; C'!$B$3:$B$52)</f>
        <v>Tropical Fruits</v>
      </c>
      <c r="H4474" s="129">
        <f>_xlfn.XLOOKUP(G4474,'[1]T&amp;C emissions for 2050 analysis'!$B$3:$B$23,'[1]T&amp;C emissions for 2050 analysis'!$C$3:$C$23)</f>
        <v>0.51333333333333331</v>
      </c>
      <c r="I4474" s="27">
        <f t="shared" si="207"/>
        <v>7.076786639999999E-3</v>
      </c>
      <c r="J4474" s="129">
        <f t="shared" si="208"/>
        <v>0.52513999999999994</v>
      </c>
    </row>
    <row r="4475" spans="1:10" hidden="1" x14ac:dyDescent="0.35">
      <c r="A4475" s="126" t="s">
        <v>469</v>
      </c>
      <c r="B4475" t="str">
        <f>_xlfn.XLOOKUP(A4475,'[1]2050Pop'!$A$7:$A$143,'[1]2050Pop'!$D$7:$D$143)</f>
        <v>MENA</v>
      </c>
      <c r="C4475" s="127">
        <f>1000*_xlfn.XLOOKUP(A4475,'[1]2050Pop'!$A$7:$A$143,'[1]2050Pop'!$C$7:$C$143)</f>
        <v>95819</v>
      </c>
      <c r="D4475" s="126" t="s">
        <v>540</v>
      </c>
      <c r="E4475" s="128">
        <v>2.8839999999999999</v>
      </c>
      <c r="F4475" s="129">
        <f t="shared" si="209"/>
        <v>0.27634199599999998</v>
      </c>
      <c r="G4475" t="str">
        <f>_xlfn.XLOOKUP(D4475,'[1]2050 BAU Mapping to T &amp; C'!$A$3:$A$52,'[1]2050 BAU Mapping to T &amp; C'!$B$3:$B$52)</f>
        <v>Tropical Fruits</v>
      </c>
      <c r="H4475" s="129">
        <f>_xlfn.XLOOKUP(G4475,'[1]T&amp;C emissions for 2050 analysis'!$B$3:$B$23,'[1]T&amp;C emissions for 2050 analysis'!$C$3:$C$23)</f>
        <v>0.51333333333333331</v>
      </c>
      <c r="I4475" s="27">
        <f t="shared" si="207"/>
        <v>0.14185555794666665</v>
      </c>
      <c r="J4475" s="129">
        <f t="shared" si="208"/>
        <v>1.4804533333333332</v>
      </c>
    </row>
    <row r="4476" spans="1:10" hidden="1" x14ac:dyDescent="0.35">
      <c r="A4476" s="126" t="s">
        <v>484</v>
      </c>
      <c r="B4476" t="str">
        <f>_xlfn.XLOOKUP(A4476,'[1]2050Pop'!$A$7:$A$143,'[1]2050Pop'!$D$7:$D$143)</f>
        <v>APAC</v>
      </c>
      <c r="C4476" s="127">
        <f>1000*_xlfn.XLOOKUP(A4476,'[1]2050Pop'!$A$7:$A$143,'[1]2050Pop'!$C$7:$C$143)</f>
        <v>6555</v>
      </c>
      <c r="D4476" s="126" t="s">
        <v>540</v>
      </c>
      <c r="E4476" s="128">
        <v>1.1259999999999999</v>
      </c>
      <c r="F4476" s="129">
        <f t="shared" si="209"/>
        <v>7.3809299999999991E-3</v>
      </c>
      <c r="G4476" t="str">
        <f>_xlfn.XLOOKUP(D4476,'[1]2050 BAU Mapping to T &amp; C'!$A$3:$A$52,'[1]2050 BAU Mapping to T &amp; C'!$B$3:$B$52)</f>
        <v>Tropical Fruits</v>
      </c>
      <c r="H4476" s="129">
        <f>_xlfn.XLOOKUP(G4476,'[1]T&amp;C emissions for 2050 analysis'!$B$3:$B$23,'[1]T&amp;C emissions for 2050 analysis'!$C$3:$C$23)</f>
        <v>0.51333333333333331</v>
      </c>
      <c r="I4476" s="27">
        <f t="shared" si="207"/>
        <v>3.7888773999999992E-3</v>
      </c>
      <c r="J4476" s="129">
        <f t="shared" si="208"/>
        <v>0.57801333333333327</v>
      </c>
    </row>
    <row r="4477" spans="1:10" hidden="1" x14ac:dyDescent="0.35">
      <c r="A4477" s="126" t="s">
        <v>471</v>
      </c>
      <c r="B4477" t="str">
        <f>_xlfn.XLOOKUP(A4477,'[1]2050Pop'!$A$7:$A$143,'[1]2050Pop'!$D$7:$D$143)</f>
        <v>Euro/AU/NZ</v>
      </c>
      <c r="C4477" s="127">
        <f>1000*_xlfn.XLOOKUP(A4477,'[1]2050Pop'!$A$7:$A$143,'[1]2050Pop'!$C$7:$C$143)</f>
        <v>35117</v>
      </c>
      <c r="D4477" s="126" t="s">
        <v>540</v>
      </c>
      <c r="E4477" s="128">
        <v>1.0529999999999999</v>
      </c>
      <c r="F4477" s="129">
        <f t="shared" si="209"/>
        <v>3.6978201000000002E-2</v>
      </c>
      <c r="G4477" t="str">
        <f>_xlfn.XLOOKUP(D4477,'[1]2050 BAU Mapping to T &amp; C'!$A$3:$A$52,'[1]2050 BAU Mapping to T &amp; C'!$B$3:$B$52)</f>
        <v>Tropical Fruits</v>
      </c>
      <c r="H4477" s="129">
        <f>_xlfn.XLOOKUP(G4477,'[1]T&amp;C emissions for 2050 analysis'!$B$3:$B$23,'[1]T&amp;C emissions for 2050 analysis'!$C$3:$C$23)</f>
        <v>0.51333333333333331</v>
      </c>
      <c r="I4477" s="27">
        <f t="shared" si="207"/>
        <v>1.8982143180000001E-2</v>
      </c>
      <c r="J4477" s="129">
        <f t="shared" si="208"/>
        <v>0.54053999999999991</v>
      </c>
    </row>
    <row r="4478" spans="1:10" hidden="1" x14ac:dyDescent="0.35">
      <c r="A4478" s="126" t="s">
        <v>472</v>
      </c>
      <c r="B4478" t="str">
        <f>_xlfn.XLOOKUP(A4478,'[1]2050Pop'!$A$7:$A$143,'[1]2050Pop'!$D$7:$D$143)</f>
        <v>Euro/AU/NZ</v>
      </c>
      <c r="C4478" s="127">
        <f>1000*_xlfn.XLOOKUP(A4478,'[1]2050Pop'!$A$7:$A$143,'[1]2050Pop'!$C$7:$C$143)</f>
        <v>75361</v>
      </c>
      <c r="D4478" s="126" t="s">
        <v>540</v>
      </c>
      <c r="E4478" s="128">
        <v>1.867</v>
      </c>
      <c r="F4478" s="129">
        <f t="shared" si="209"/>
        <v>0.140698987</v>
      </c>
      <c r="G4478" t="str">
        <f>_xlfn.XLOOKUP(D4478,'[1]2050 BAU Mapping to T &amp; C'!$A$3:$A$52,'[1]2050 BAU Mapping to T &amp; C'!$B$3:$B$52)</f>
        <v>Tropical Fruits</v>
      </c>
      <c r="H4478" s="129">
        <f>_xlfn.XLOOKUP(G4478,'[1]T&amp;C emissions for 2050 analysis'!$B$3:$B$23,'[1]T&amp;C emissions for 2050 analysis'!$C$3:$C$23)</f>
        <v>0.51333333333333331</v>
      </c>
      <c r="I4478" s="27">
        <f t="shared" si="207"/>
        <v>7.2225479993333327E-2</v>
      </c>
      <c r="J4478" s="129">
        <f t="shared" si="208"/>
        <v>0.95839333333333332</v>
      </c>
    </row>
    <row r="4479" spans="1:10" hidden="1" x14ac:dyDescent="0.35">
      <c r="A4479" s="126" t="s">
        <v>475</v>
      </c>
      <c r="B4479" t="str">
        <f>_xlfn.XLOOKUP(A4479,'[1]2050Pop'!$A$7:$A$143,'[1]2050Pop'!$D$7:$D$143)</f>
        <v>LatAm &amp; RSA</v>
      </c>
      <c r="C4479" s="127">
        <f>1000*_xlfn.XLOOKUP(A4479,'[1]2050Pop'!$A$7:$A$143,'[1]2050Pop'!$C$7:$C$143)</f>
        <v>3667</v>
      </c>
      <c r="D4479" s="126" t="s">
        <v>540</v>
      </c>
      <c r="E4479" s="128">
        <v>10.061999999999999</v>
      </c>
      <c r="F4479" s="129">
        <f t="shared" si="209"/>
        <v>3.6897354E-2</v>
      </c>
      <c r="G4479" t="str">
        <f>_xlfn.XLOOKUP(D4479,'[1]2050 BAU Mapping to T &amp; C'!$A$3:$A$52,'[1]2050 BAU Mapping to T &amp; C'!$B$3:$B$52)</f>
        <v>Tropical Fruits</v>
      </c>
      <c r="H4479" s="129">
        <f>_xlfn.XLOOKUP(G4479,'[1]T&amp;C emissions for 2050 analysis'!$B$3:$B$23,'[1]T&amp;C emissions for 2050 analysis'!$C$3:$C$23)</f>
        <v>0.51333333333333331</v>
      </c>
      <c r="I4479" s="27">
        <f t="shared" si="207"/>
        <v>1.8940641719999998E-2</v>
      </c>
      <c r="J4479" s="129">
        <f t="shared" si="208"/>
        <v>5.1651599999999993</v>
      </c>
    </row>
    <row r="4480" spans="1:10" hidden="1" x14ac:dyDescent="0.35">
      <c r="A4480" s="126" t="s">
        <v>485</v>
      </c>
      <c r="B4480" t="str">
        <f>_xlfn.XLOOKUP(A4480,'[1]2050Pop'!$A$7:$A$143,'[1]2050Pop'!$D$7:$D$143)</f>
        <v>APAC</v>
      </c>
      <c r="C4480" s="127">
        <f>1000*_xlfn.XLOOKUP(A4480,'[1]2050Pop'!$A$7:$A$143,'[1]2050Pop'!$C$7:$C$143)</f>
        <v>37126</v>
      </c>
      <c r="D4480" s="126" t="s">
        <v>540</v>
      </c>
      <c r="E4480" s="130">
        <v>1.1200000000000001</v>
      </c>
      <c r="F4480" s="129">
        <f t="shared" si="209"/>
        <v>4.1581119999999999E-2</v>
      </c>
      <c r="G4480" t="str">
        <f>_xlfn.XLOOKUP(D4480,'[1]2050 BAU Mapping to T &amp; C'!$A$3:$A$52,'[1]2050 BAU Mapping to T &amp; C'!$B$3:$B$52)</f>
        <v>Tropical Fruits</v>
      </c>
      <c r="H4480" s="129">
        <f>_xlfn.XLOOKUP(G4480,'[1]T&amp;C emissions for 2050 analysis'!$B$3:$B$23,'[1]T&amp;C emissions for 2050 analysis'!$C$3:$C$23)</f>
        <v>0.51333333333333331</v>
      </c>
      <c r="I4480" s="27">
        <f t="shared" si="207"/>
        <v>2.1344974933333333E-2</v>
      </c>
      <c r="J4480" s="129">
        <f t="shared" si="208"/>
        <v>0.57493333333333341</v>
      </c>
    </row>
    <row r="4481" spans="1:10" hidden="1" x14ac:dyDescent="0.35">
      <c r="A4481" s="126" t="s">
        <v>477</v>
      </c>
      <c r="B4481" t="str">
        <f>_xlfn.XLOOKUP(A4481,'[1]2050Pop'!$A$7:$A$143,'[1]2050Pop'!$D$7:$D$143)</f>
        <v>APAC</v>
      </c>
      <c r="C4481" s="127">
        <f>1000*_xlfn.XLOOKUP(A4481,'[1]2050Pop'!$A$7:$A$143,'[1]2050Pop'!$C$7:$C$143)</f>
        <v>112783</v>
      </c>
      <c r="D4481" s="126" t="s">
        <v>540</v>
      </c>
      <c r="E4481" s="128">
        <v>0.96899999999999997</v>
      </c>
      <c r="F4481" s="129">
        <f t="shared" si="209"/>
        <v>0.109286727</v>
      </c>
      <c r="G4481" t="str">
        <f>_xlfn.XLOOKUP(D4481,'[1]2050 BAU Mapping to T &amp; C'!$A$3:$A$52,'[1]2050 BAU Mapping to T &amp; C'!$B$3:$B$52)</f>
        <v>Tropical Fruits</v>
      </c>
      <c r="H4481" s="129">
        <f>_xlfn.XLOOKUP(G4481,'[1]T&amp;C emissions for 2050 analysis'!$B$3:$B$23,'[1]T&amp;C emissions for 2050 analysis'!$C$3:$C$23)</f>
        <v>0.51333333333333331</v>
      </c>
      <c r="I4481" s="27">
        <f t="shared" si="207"/>
        <v>5.6100519859999996E-2</v>
      </c>
      <c r="J4481" s="129">
        <f t="shared" si="208"/>
        <v>0.49741999999999997</v>
      </c>
    </row>
    <row r="4482" spans="1:10" hidden="1" x14ac:dyDescent="0.35">
      <c r="A4482" s="126" t="s">
        <v>478</v>
      </c>
      <c r="B4482" t="str">
        <f>_xlfn.XLOOKUP(A4482,'[1]2050Pop'!$A$7:$A$143,'[1]2050Pop'!$D$7:$D$143)</f>
        <v>MENA</v>
      </c>
      <c r="C4482" s="127">
        <f>1000*_xlfn.XLOOKUP(A4482,'[1]2050Pop'!$A$7:$A$143,'[1]2050Pop'!$C$7:$C$143)</f>
        <v>47170</v>
      </c>
      <c r="D4482" s="126" t="s">
        <v>540</v>
      </c>
      <c r="E4482" s="128">
        <v>1.0349999999999999</v>
      </c>
      <c r="F4482" s="129">
        <f t="shared" si="209"/>
        <v>4.8820949999999995E-2</v>
      </c>
      <c r="G4482" t="str">
        <f>_xlfn.XLOOKUP(D4482,'[1]2050 BAU Mapping to T &amp; C'!$A$3:$A$52,'[1]2050 BAU Mapping to T &amp; C'!$B$3:$B$52)</f>
        <v>Tropical Fruits</v>
      </c>
      <c r="H4482" s="129">
        <f>_xlfn.XLOOKUP(G4482,'[1]T&amp;C emissions for 2050 analysis'!$B$3:$B$23,'[1]T&amp;C emissions for 2050 analysis'!$C$3:$C$23)</f>
        <v>0.51333333333333331</v>
      </c>
      <c r="I4482" s="27">
        <f t="shared" si="207"/>
        <v>2.5061420999999997E-2</v>
      </c>
      <c r="J4482" s="129">
        <f t="shared" si="208"/>
        <v>0.53129999999999988</v>
      </c>
    </row>
    <row r="4483" spans="1:10" hidden="1" x14ac:dyDescent="0.35">
      <c r="A4483" s="126" t="s">
        <v>479</v>
      </c>
      <c r="B4483" t="str">
        <f>_xlfn.XLOOKUP(A4483,'[1]2050Pop'!$A$7:$A$143,'[1]2050Pop'!$D$7:$D$143)</f>
        <v>SSA</v>
      </c>
      <c r="C4483" s="127">
        <f>1000*_xlfn.XLOOKUP(A4483,'[1]2050Pop'!$A$7:$A$143,'[1]2050Pop'!$C$7:$C$143)</f>
        <v>29615</v>
      </c>
      <c r="D4483" s="126" t="s">
        <v>540</v>
      </c>
      <c r="E4483" s="128">
        <v>1.0669999999999999</v>
      </c>
      <c r="F4483" s="129">
        <f t="shared" si="209"/>
        <v>3.1599204999999998E-2</v>
      </c>
      <c r="G4483" t="str">
        <f>_xlfn.XLOOKUP(D4483,'[1]2050 BAU Mapping to T &amp; C'!$A$3:$A$52,'[1]2050 BAU Mapping to T &amp; C'!$B$3:$B$52)</f>
        <v>Tropical Fruits</v>
      </c>
      <c r="H4483" s="129">
        <f>_xlfn.XLOOKUP(G4483,'[1]T&amp;C emissions for 2050 analysis'!$B$3:$B$23,'[1]T&amp;C emissions for 2050 analysis'!$C$3:$C$23)</f>
        <v>0.51333333333333331</v>
      </c>
      <c r="I4483" s="27">
        <f t="shared" si="207"/>
        <v>1.6220925233333332E-2</v>
      </c>
      <c r="J4483" s="129">
        <f t="shared" si="208"/>
        <v>0.54772666666666658</v>
      </c>
    </row>
    <row r="4484" spans="1:10" hidden="1" x14ac:dyDescent="0.35">
      <c r="A4484" s="126" t="s">
        <v>355</v>
      </c>
      <c r="B4484" t="str">
        <f>_xlfn.XLOOKUP(A4484,'[1]2050Pop'!$A$7:$A$143,'[1]2050Pop'!$D$7:$D$143)</f>
        <v>India/South Asia</v>
      </c>
      <c r="C4484" s="127">
        <f>1000*_xlfn.XLOOKUP(A4484,'[1]2050Pop'!$A$7:$A$143,'[1]2050Pop'!$C$7:$C$143)</f>
        <v>55955</v>
      </c>
      <c r="D4484" s="126" t="s">
        <v>541</v>
      </c>
      <c r="E4484" s="128">
        <v>1365.328</v>
      </c>
      <c r="F4484" s="129">
        <f t="shared" si="209"/>
        <v>76.396928239999994</v>
      </c>
      <c r="G4484" t="str">
        <f>_xlfn.XLOOKUP(D4484,'[1]2050 BAU Mapping to T &amp; C'!$A$3:$A$52,'[1]2050 BAU Mapping to T &amp; C'!$B$3:$B$52)</f>
        <v>Wheat</v>
      </c>
      <c r="H4484" s="129">
        <f>_xlfn.XLOOKUP(G4484,'[1]T&amp;C emissions for 2050 analysis'!$B$3:$B$23,'[1]T&amp;C emissions for 2050 analysis'!$C$3:$C$23)</f>
        <v>0.21999999999999997</v>
      </c>
      <c r="I4484" s="27">
        <f t="shared" ref="I4484:I4547" si="210">F4484*H4484</f>
        <v>16.807324212799998</v>
      </c>
      <c r="J4484" s="129">
        <f t="shared" ref="J4484:J4547" si="211">E4484*H4484</f>
        <v>300.37215999999995</v>
      </c>
    </row>
    <row r="4485" spans="1:10" hidden="1" x14ac:dyDescent="0.35">
      <c r="A4485" s="126" t="s">
        <v>357</v>
      </c>
      <c r="B4485" t="str">
        <f>_xlfn.XLOOKUP(A4485,'[1]2050Pop'!$A$7:$A$143,'[1]2050Pop'!$D$7:$D$143)</f>
        <v>Euro/AU/NZ</v>
      </c>
      <c r="C4485" s="127">
        <f>1000*_xlfn.XLOOKUP(A4485,'[1]2050Pop'!$A$7:$A$143,'[1]2050Pop'!$C$7:$C$143)</f>
        <v>2710</v>
      </c>
      <c r="D4485" s="126" t="s">
        <v>541</v>
      </c>
      <c r="E4485" s="128">
        <v>1089.7940000000001</v>
      </c>
      <c r="F4485" s="129">
        <f t="shared" ref="F4485:F4548" si="212">C4485*E4485/1000000</f>
        <v>2.9533417400000004</v>
      </c>
      <c r="G4485" t="str">
        <f>_xlfn.XLOOKUP(D4485,'[1]2050 BAU Mapping to T &amp; C'!$A$3:$A$52,'[1]2050 BAU Mapping to T &amp; C'!$B$3:$B$52)</f>
        <v>Wheat</v>
      </c>
      <c r="H4485" s="129">
        <f>_xlfn.XLOOKUP(G4485,'[1]T&amp;C emissions for 2050 analysis'!$B$3:$B$23,'[1]T&amp;C emissions for 2050 analysis'!$C$3:$C$23)</f>
        <v>0.21999999999999997</v>
      </c>
      <c r="I4485" s="27">
        <f t="shared" si="210"/>
        <v>0.64973518279999998</v>
      </c>
      <c r="J4485" s="129">
        <f t="shared" si="211"/>
        <v>239.75467999999998</v>
      </c>
    </row>
    <row r="4486" spans="1:10" hidden="1" x14ac:dyDescent="0.35">
      <c r="A4486" s="126" t="s">
        <v>358</v>
      </c>
      <c r="B4486" t="str">
        <f>_xlfn.XLOOKUP(A4486,'[1]2050Pop'!$A$7:$A$143,'[1]2050Pop'!$D$7:$D$143)</f>
        <v>MENA</v>
      </c>
      <c r="C4486" s="127">
        <f>1000*_xlfn.XLOOKUP(A4486,'[1]2050Pop'!$A$7:$A$143,'[1]2050Pop'!$C$7:$C$143)</f>
        <v>56461</v>
      </c>
      <c r="D4486" s="126" t="s">
        <v>541</v>
      </c>
      <c r="E4486" s="128">
        <v>1454.4480000000001</v>
      </c>
      <c r="F4486" s="129">
        <f t="shared" si="212"/>
        <v>82.119588528000008</v>
      </c>
      <c r="G4486" t="str">
        <f>_xlfn.XLOOKUP(D4486,'[1]2050 BAU Mapping to T &amp; C'!$A$3:$A$52,'[1]2050 BAU Mapping to T &amp; C'!$B$3:$B$52)</f>
        <v>Wheat</v>
      </c>
      <c r="H4486" s="129">
        <f>_xlfn.XLOOKUP(G4486,'[1]T&amp;C emissions for 2050 analysis'!$B$3:$B$23,'[1]T&amp;C emissions for 2050 analysis'!$C$3:$C$23)</f>
        <v>0.21999999999999997</v>
      </c>
      <c r="I4486" s="27">
        <f t="shared" si="210"/>
        <v>18.066309476160001</v>
      </c>
      <c r="J4486" s="129">
        <f t="shared" si="211"/>
        <v>319.97855999999996</v>
      </c>
    </row>
    <row r="4487" spans="1:10" hidden="1" x14ac:dyDescent="0.35">
      <c r="A4487" s="126" t="s">
        <v>359</v>
      </c>
      <c r="B4487" t="str">
        <f>_xlfn.XLOOKUP(A4487,'[1]2050Pop'!$A$7:$A$143,'[1]2050Pop'!$D$7:$D$143)</f>
        <v>SSA</v>
      </c>
      <c r="C4487" s="127">
        <f>1000*_xlfn.XLOOKUP(A4487,'[1]2050Pop'!$A$7:$A$143,'[1]2050Pop'!$C$7:$C$143)</f>
        <v>65473</v>
      </c>
      <c r="D4487" s="126" t="s">
        <v>541</v>
      </c>
      <c r="E4487" s="128">
        <v>282.15899999999999</v>
      </c>
      <c r="F4487" s="129">
        <f t="shared" si="212"/>
        <v>18.473796206999999</v>
      </c>
      <c r="G4487" t="str">
        <f>_xlfn.XLOOKUP(D4487,'[1]2050 BAU Mapping to T &amp; C'!$A$3:$A$52,'[1]2050 BAU Mapping to T &amp; C'!$B$3:$B$52)</f>
        <v>Wheat</v>
      </c>
      <c r="H4487" s="129">
        <f>_xlfn.XLOOKUP(G4487,'[1]T&amp;C emissions for 2050 analysis'!$B$3:$B$23,'[1]T&amp;C emissions for 2050 analysis'!$C$3:$C$23)</f>
        <v>0.21999999999999997</v>
      </c>
      <c r="I4487" s="27">
        <f t="shared" si="210"/>
        <v>4.0642351655399995</v>
      </c>
      <c r="J4487" s="129">
        <f t="shared" si="211"/>
        <v>62.074979999999989</v>
      </c>
    </row>
    <row r="4488" spans="1:10" hidden="1" x14ac:dyDescent="0.35">
      <c r="A4488" s="126" t="s">
        <v>360</v>
      </c>
      <c r="B4488" t="str">
        <f>_xlfn.XLOOKUP(A4488,'[1]2050Pop'!$A$7:$A$143,'[1]2050Pop'!$D$7:$D$143)</f>
        <v>LatAm &amp; RSA</v>
      </c>
      <c r="C4488" s="127">
        <f>1000*_xlfn.XLOOKUP(A4488,'[1]2050Pop'!$A$7:$A$143,'[1]2050Pop'!$C$7:$C$143)</f>
        <v>55445</v>
      </c>
      <c r="D4488" s="126" t="s">
        <v>541</v>
      </c>
      <c r="E4488" s="128">
        <v>883.64599999999996</v>
      </c>
      <c r="F4488" s="129">
        <f t="shared" si="212"/>
        <v>48.993752469999997</v>
      </c>
      <c r="G4488" t="str">
        <f>_xlfn.XLOOKUP(D4488,'[1]2050 BAU Mapping to T &amp; C'!$A$3:$A$52,'[1]2050 BAU Mapping to T &amp; C'!$B$3:$B$52)</f>
        <v>Wheat</v>
      </c>
      <c r="H4488" s="129">
        <f>_xlfn.XLOOKUP(G4488,'[1]T&amp;C emissions for 2050 analysis'!$B$3:$B$23,'[1]T&amp;C emissions for 2050 analysis'!$C$3:$C$23)</f>
        <v>0.21999999999999997</v>
      </c>
      <c r="I4488" s="27">
        <f t="shared" si="210"/>
        <v>10.778625543399999</v>
      </c>
      <c r="J4488" s="129">
        <f t="shared" si="211"/>
        <v>194.40211999999997</v>
      </c>
    </row>
    <row r="4489" spans="1:10" hidden="1" x14ac:dyDescent="0.35">
      <c r="A4489" s="126" t="s">
        <v>361</v>
      </c>
      <c r="B4489" t="str">
        <f>_xlfn.XLOOKUP(A4489,'[1]2050Pop'!$A$7:$A$143,'[1]2050Pop'!$D$7:$D$143)</f>
        <v>MENA</v>
      </c>
      <c r="C4489" s="127">
        <f>1000*_xlfn.XLOOKUP(A4489,'[1]2050Pop'!$A$7:$A$143,'[1]2050Pop'!$C$7:$C$143)</f>
        <v>2729</v>
      </c>
      <c r="D4489" s="126" t="s">
        <v>541</v>
      </c>
      <c r="E4489" s="128">
        <v>992.36199999999997</v>
      </c>
      <c r="F4489" s="129">
        <f t="shared" si="212"/>
        <v>2.7081558980000002</v>
      </c>
      <c r="G4489" t="str">
        <f>_xlfn.XLOOKUP(D4489,'[1]2050 BAU Mapping to T &amp; C'!$A$3:$A$52,'[1]2050 BAU Mapping to T &amp; C'!$B$3:$B$52)</f>
        <v>Wheat</v>
      </c>
      <c r="H4489" s="129">
        <f>_xlfn.XLOOKUP(G4489,'[1]T&amp;C emissions for 2050 analysis'!$B$3:$B$23,'[1]T&amp;C emissions for 2050 analysis'!$C$3:$C$23)</f>
        <v>0.21999999999999997</v>
      </c>
      <c r="I4489" s="27">
        <f t="shared" si="210"/>
        <v>0.59579429756000002</v>
      </c>
      <c r="J4489" s="129">
        <f t="shared" si="211"/>
        <v>218.31963999999996</v>
      </c>
    </row>
    <row r="4490" spans="1:10" hidden="1" x14ac:dyDescent="0.35">
      <c r="A4490" s="126" t="s">
        <v>362</v>
      </c>
      <c r="B4490" t="str">
        <f>_xlfn.XLOOKUP(A4490,'[1]2050Pop'!$A$7:$A$143,'[1]2050Pop'!$D$7:$D$143)</f>
        <v>Euro/AU/NZ</v>
      </c>
      <c r="C4490" s="127">
        <f>1000*_xlfn.XLOOKUP(A4490,'[1]2050Pop'!$A$7:$A$143,'[1]2050Pop'!$C$7:$C$143)</f>
        <v>33496</v>
      </c>
      <c r="D4490" s="126" t="s">
        <v>541</v>
      </c>
      <c r="E4490" s="128">
        <v>613.98900000000003</v>
      </c>
      <c r="F4490" s="129">
        <f t="shared" si="212"/>
        <v>20.566175544</v>
      </c>
      <c r="G4490" t="str">
        <f>_xlfn.XLOOKUP(D4490,'[1]2050 BAU Mapping to T &amp; C'!$A$3:$A$52,'[1]2050 BAU Mapping to T &amp; C'!$B$3:$B$52)</f>
        <v>Wheat</v>
      </c>
      <c r="H4490" s="129">
        <f>_xlfn.XLOOKUP(G4490,'[1]T&amp;C emissions for 2050 analysis'!$B$3:$B$23,'[1]T&amp;C emissions for 2050 analysis'!$C$3:$C$23)</f>
        <v>0.21999999999999997</v>
      </c>
      <c r="I4490" s="27">
        <f t="shared" si="210"/>
        <v>4.5245586196799996</v>
      </c>
      <c r="J4490" s="129">
        <f t="shared" si="211"/>
        <v>135.07757999999998</v>
      </c>
    </row>
    <row r="4491" spans="1:10" hidden="1" x14ac:dyDescent="0.35">
      <c r="A4491" s="126" t="s">
        <v>363</v>
      </c>
      <c r="B4491" t="str">
        <f>_xlfn.XLOOKUP(A4491,'[1]2050Pop'!$A$7:$A$143,'[1]2050Pop'!$D$7:$D$143)</f>
        <v>Euro/AU/NZ</v>
      </c>
      <c r="C4491" s="127">
        <f>1000*_xlfn.XLOOKUP(A4491,'[1]2050Pop'!$A$7:$A$143,'[1]2050Pop'!$C$7:$C$143)</f>
        <v>8846</v>
      </c>
      <c r="D4491" s="126" t="s">
        <v>541</v>
      </c>
      <c r="E4491" s="128">
        <v>683.29100000000005</v>
      </c>
      <c r="F4491" s="129">
        <f t="shared" si="212"/>
        <v>6.0443921860000005</v>
      </c>
      <c r="G4491" t="str">
        <f>_xlfn.XLOOKUP(D4491,'[1]2050 BAU Mapping to T &amp; C'!$A$3:$A$52,'[1]2050 BAU Mapping to T &amp; C'!$B$3:$B$52)</f>
        <v>Wheat</v>
      </c>
      <c r="H4491" s="129">
        <f>_xlfn.XLOOKUP(G4491,'[1]T&amp;C emissions for 2050 analysis'!$B$3:$B$23,'[1]T&amp;C emissions for 2050 analysis'!$C$3:$C$23)</f>
        <v>0.21999999999999997</v>
      </c>
      <c r="I4491" s="27">
        <f t="shared" si="210"/>
        <v>1.3297662809199999</v>
      </c>
      <c r="J4491" s="129">
        <f t="shared" si="211"/>
        <v>150.32401999999999</v>
      </c>
    </row>
    <row r="4492" spans="1:10" hidden="1" x14ac:dyDescent="0.35">
      <c r="A4492" s="126" t="s">
        <v>364</v>
      </c>
      <c r="B4492" t="str">
        <f>_xlfn.XLOOKUP(A4492,'[1]2050Pop'!$A$7:$A$143,'[1]2050Pop'!$D$7:$D$143)</f>
        <v>MENA</v>
      </c>
      <c r="C4492" s="127">
        <f>1000*_xlfn.XLOOKUP(A4492,'[1]2050Pop'!$A$7:$A$143,'[1]2050Pop'!$C$7:$C$143)</f>
        <v>10963</v>
      </c>
      <c r="D4492" s="126" t="s">
        <v>541</v>
      </c>
      <c r="E4492" s="128">
        <v>1739.6179999999999</v>
      </c>
      <c r="F4492" s="129">
        <f t="shared" si="212"/>
        <v>19.071432133999998</v>
      </c>
      <c r="G4492" t="str">
        <f>_xlfn.XLOOKUP(D4492,'[1]2050 BAU Mapping to T &amp; C'!$A$3:$A$52,'[1]2050 BAU Mapping to T &amp; C'!$B$3:$B$52)</f>
        <v>Wheat</v>
      </c>
      <c r="H4492" s="129">
        <f>_xlfn.XLOOKUP(G4492,'[1]T&amp;C emissions for 2050 analysis'!$B$3:$B$23,'[1]T&amp;C emissions for 2050 analysis'!$C$3:$C$23)</f>
        <v>0.21999999999999997</v>
      </c>
      <c r="I4492" s="27">
        <f t="shared" si="210"/>
        <v>4.1957150694799994</v>
      </c>
      <c r="J4492" s="129">
        <f t="shared" si="211"/>
        <v>382.71595999999994</v>
      </c>
    </row>
    <row r="4493" spans="1:10" hidden="1" x14ac:dyDescent="0.35">
      <c r="A4493" s="126" t="s">
        <v>365</v>
      </c>
      <c r="B4493" t="str">
        <f>_xlfn.XLOOKUP(A4493,'[1]2050Pop'!$A$7:$A$143,'[1]2050Pop'!$D$7:$D$143)</f>
        <v>India/South Asia</v>
      </c>
      <c r="C4493" s="127">
        <f>1000*_xlfn.XLOOKUP(A4493,'[1]2050Pop'!$A$7:$A$143,'[1]2050Pop'!$C$7:$C$143)</f>
        <v>202209</v>
      </c>
      <c r="D4493" s="126" t="s">
        <v>541</v>
      </c>
      <c r="E4493" s="128">
        <v>151.09100000000001</v>
      </c>
      <c r="F4493" s="129">
        <f t="shared" si="212"/>
        <v>30.551960019000003</v>
      </c>
      <c r="G4493" t="str">
        <f>_xlfn.XLOOKUP(D4493,'[1]2050 BAU Mapping to T &amp; C'!$A$3:$A$52,'[1]2050 BAU Mapping to T &amp; C'!$B$3:$B$52)</f>
        <v>Wheat</v>
      </c>
      <c r="H4493" s="129">
        <f>_xlfn.XLOOKUP(G4493,'[1]T&amp;C emissions for 2050 analysis'!$B$3:$B$23,'[1]T&amp;C emissions for 2050 analysis'!$C$3:$C$23)</f>
        <v>0.21999999999999997</v>
      </c>
      <c r="I4493" s="27">
        <f t="shared" si="210"/>
        <v>6.72143120418</v>
      </c>
      <c r="J4493" s="129">
        <f t="shared" si="211"/>
        <v>33.240020000000001</v>
      </c>
    </row>
    <row r="4494" spans="1:10" hidden="1" x14ac:dyDescent="0.35">
      <c r="A4494" s="126" t="s">
        <v>366</v>
      </c>
      <c r="B4494" t="str">
        <f>_xlfn.XLOOKUP(A4494,'[1]2050Pop'!$A$7:$A$143,'[1]2050Pop'!$D$7:$D$143)</f>
        <v>Euro/AU/NZ</v>
      </c>
      <c r="C4494" s="127">
        <f>1000*_xlfn.XLOOKUP(A4494,'[1]2050Pop'!$A$7:$A$143,'[1]2050Pop'!$C$7:$C$143)</f>
        <v>8125</v>
      </c>
      <c r="D4494" s="126" t="s">
        <v>541</v>
      </c>
      <c r="E4494" s="128">
        <v>484.67200000000003</v>
      </c>
      <c r="F4494" s="129">
        <f t="shared" si="212"/>
        <v>3.9379599999999999</v>
      </c>
      <c r="G4494" t="str">
        <f>_xlfn.XLOOKUP(D4494,'[1]2050 BAU Mapping to T &amp; C'!$A$3:$A$52,'[1]2050 BAU Mapping to T &amp; C'!$B$3:$B$52)</f>
        <v>Wheat</v>
      </c>
      <c r="H4494" s="129">
        <f>_xlfn.XLOOKUP(G4494,'[1]T&amp;C emissions for 2050 analysis'!$B$3:$B$23,'[1]T&amp;C emissions for 2050 analysis'!$C$3:$C$23)</f>
        <v>0.21999999999999997</v>
      </c>
      <c r="I4494" s="27">
        <f t="shared" si="210"/>
        <v>0.86635119999999988</v>
      </c>
      <c r="J4494" s="129">
        <f t="shared" si="211"/>
        <v>106.62783999999999</v>
      </c>
    </row>
    <row r="4495" spans="1:10" hidden="1" x14ac:dyDescent="0.35">
      <c r="A4495" s="126" t="s">
        <v>367</v>
      </c>
      <c r="B4495" t="str">
        <f>_xlfn.XLOOKUP(A4495,'[1]2050Pop'!$A$7:$A$143,'[1]2050Pop'!$D$7:$D$143)</f>
        <v>Euro/AU/NZ</v>
      </c>
      <c r="C4495" s="127">
        <f>1000*_xlfn.XLOOKUP(A4495,'[1]2050Pop'!$A$7:$A$143,'[1]2050Pop'!$C$7:$C$143)</f>
        <v>12527</v>
      </c>
      <c r="D4495" s="126" t="s">
        <v>541</v>
      </c>
      <c r="E4495" s="128">
        <v>822.75900000000001</v>
      </c>
      <c r="F4495" s="129">
        <f t="shared" si="212"/>
        <v>10.306701993000001</v>
      </c>
      <c r="G4495" t="str">
        <f>_xlfn.XLOOKUP(D4495,'[1]2050 BAU Mapping to T &amp; C'!$A$3:$A$52,'[1]2050 BAU Mapping to T &amp; C'!$B$3:$B$52)</f>
        <v>Wheat</v>
      </c>
      <c r="H4495" s="129">
        <f>_xlfn.XLOOKUP(G4495,'[1]T&amp;C emissions for 2050 analysis'!$B$3:$B$23,'[1]T&amp;C emissions for 2050 analysis'!$C$3:$C$23)</f>
        <v>0.21999999999999997</v>
      </c>
      <c r="I4495" s="27">
        <f t="shared" si="210"/>
        <v>2.2674744384599999</v>
      </c>
      <c r="J4495" s="129">
        <f t="shared" si="211"/>
        <v>181.00697999999997</v>
      </c>
    </row>
    <row r="4496" spans="1:10" hidden="1" x14ac:dyDescent="0.35">
      <c r="A4496" s="126" t="s">
        <v>368</v>
      </c>
      <c r="B4496" t="str">
        <f>_xlfn.XLOOKUP(A4496,'[1]2050Pop'!$A$7:$A$143,'[1]2050Pop'!$D$7:$D$143)</f>
        <v>SSA</v>
      </c>
      <c r="C4496" s="127">
        <f>1000*_xlfn.XLOOKUP(A4496,'[1]2050Pop'!$A$7:$A$143,'[1]2050Pop'!$C$7:$C$143)</f>
        <v>22549</v>
      </c>
      <c r="D4496" s="126" t="s">
        <v>541</v>
      </c>
      <c r="E4496" s="128">
        <v>102.711</v>
      </c>
      <c r="F4496" s="129">
        <f t="shared" si="212"/>
        <v>2.3160303390000001</v>
      </c>
      <c r="G4496" t="str">
        <f>_xlfn.XLOOKUP(D4496,'[1]2050 BAU Mapping to T &amp; C'!$A$3:$A$52,'[1]2050 BAU Mapping to T &amp; C'!$B$3:$B$52)</f>
        <v>Wheat</v>
      </c>
      <c r="H4496" s="129">
        <f>_xlfn.XLOOKUP(G4496,'[1]T&amp;C emissions for 2050 analysis'!$B$3:$B$23,'[1]T&amp;C emissions for 2050 analysis'!$C$3:$C$23)</f>
        <v>0.21999999999999997</v>
      </c>
      <c r="I4496" s="27">
        <f t="shared" si="210"/>
        <v>0.50952667458000001</v>
      </c>
      <c r="J4496" s="129">
        <f t="shared" si="211"/>
        <v>22.596419999999998</v>
      </c>
    </row>
    <row r="4497" spans="1:10" hidden="1" x14ac:dyDescent="0.35">
      <c r="A4497" s="126" t="s">
        <v>369</v>
      </c>
      <c r="B4497" t="str">
        <f>_xlfn.XLOOKUP(A4497,'[1]2050Pop'!$A$7:$A$143,'[1]2050Pop'!$D$7:$D$143)</f>
        <v>LatAm &amp; RSA</v>
      </c>
      <c r="C4497" s="127">
        <f>1000*_xlfn.XLOOKUP(A4497,'[1]2050Pop'!$A$7:$A$143,'[1]2050Pop'!$C$7:$C$143)</f>
        <v>15963</v>
      </c>
      <c r="D4497" s="126" t="s">
        <v>541</v>
      </c>
      <c r="E4497" s="128">
        <v>387.94600000000003</v>
      </c>
      <c r="F4497" s="129">
        <f t="shared" si="212"/>
        <v>6.192781998000001</v>
      </c>
      <c r="G4497" t="str">
        <f>_xlfn.XLOOKUP(D4497,'[1]2050 BAU Mapping to T &amp; C'!$A$3:$A$52,'[1]2050 BAU Mapping to T &amp; C'!$B$3:$B$52)</f>
        <v>Wheat</v>
      </c>
      <c r="H4497" s="129">
        <f>_xlfn.XLOOKUP(G4497,'[1]T&amp;C emissions for 2050 analysis'!$B$3:$B$23,'[1]T&amp;C emissions for 2050 analysis'!$C$3:$C$23)</f>
        <v>0.21999999999999997</v>
      </c>
      <c r="I4497" s="27">
        <f t="shared" si="210"/>
        <v>1.3624120395600001</v>
      </c>
      <c r="J4497" s="129">
        <f t="shared" si="211"/>
        <v>85.348119999999994</v>
      </c>
    </row>
    <row r="4498" spans="1:10" hidden="1" x14ac:dyDescent="0.35">
      <c r="A4498" s="126" t="s">
        <v>370</v>
      </c>
      <c r="B4498" t="str">
        <f>_xlfn.XLOOKUP(A4498,'[1]2050Pop'!$A$7:$A$143,'[1]2050Pop'!$D$7:$D$143)</f>
        <v>Euro/AU/NZ</v>
      </c>
      <c r="C4498" s="127">
        <f>1000*_xlfn.XLOOKUP(A4498,'[1]2050Pop'!$A$7:$A$143,'[1]2050Pop'!$C$7:$C$143)</f>
        <v>3069</v>
      </c>
      <c r="D4498" s="126" t="s">
        <v>541</v>
      </c>
      <c r="E4498" s="128">
        <v>767.35400000000004</v>
      </c>
      <c r="F4498" s="129">
        <f t="shared" si="212"/>
        <v>2.3550094260000001</v>
      </c>
      <c r="G4498" t="str">
        <f>_xlfn.XLOOKUP(D4498,'[1]2050 BAU Mapping to T &amp; C'!$A$3:$A$52,'[1]2050 BAU Mapping to T &amp; C'!$B$3:$B$52)</f>
        <v>Wheat</v>
      </c>
      <c r="H4498" s="129">
        <f>_xlfn.XLOOKUP(G4498,'[1]T&amp;C emissions for 2050 analysis'!$B$3:$B$23,'[1]T&amp;C emissions for 2050 analysis'!$C$3:$C$23)</f>
        <v>0.21999999999999997</v>
      </c>
      <c r="I4498" s="27">
        <f t="shared" si="210"/>
        <v>0.51810207371999994</v>
      </c>
      <c r="J4498" s="129">
        <f t="shared" si="211"/>
        <v>168.81788</v>
      </c>
    </row>
    <row r="4499" spans="1:10" hidden="1" x14ac:dyDescent="0.35">
      <c r="A4499" s="126" t="s">
        <v>371</v>
      </c>
      <c r="B4499" t="str">
        <f>_xlfn.XLOOKUP(A4499,'[1]2050Pop'!$A$7:$A$143,'[1]2050Pop'!$D$7:$D$143)</f>
        <v>SSA</v>
      </c>
      <c r="C4499" s="127">
        <f>1000*_xlfn.XLOOKUP(A4499,'[1]2050Pop'!$A$7:$A$143,'[1]2050Pop'!$C$7:$C$143)</f>
        <v>3389</v>
      </c>
      <c r="D4499" s="126" t="s">
        <v>541</v>
      </c>
      <c r="E4499" s="128">
        <v>378.005</v>
      </c>
      <c r="F4499" s="129">
        <f t="shared" si="212"/>
        <v>1.2810589450000001</v>
      </c>
      <c r="G4499" t="str">
        <f>_xlfn.XLOOKUP(D4499,'[1]2050 BAU Mapping to T &amp; C'!$A$3:$A$52,'[1]2050 BAU Mapping to T &amp; C'!$B$3:$B$52)</f>
        <v>Wheat</v>
      </c>
      <c r="H4499" s="129">
        <f>_xlfn.XLOOKUP(G4499,'[1]T&amp;C emissions for 2050 analysis'!$B$3:$B$23,'[1]T&amp;C emissions for 2050 analysis'!$C$3:$C$23)</f>
        <v>0.21999999999999997</v>
      </c>
      <c r="I4499" s="27">
        <f t="shared" si="210"/>
        <v>0.28183296789999995</v>
      </c>
      <c r="J4499" s="129">
        <f t="shared" si="211"/>
        <v>83.16109999999999</v>
      </c>
    </row>
    <row r="4500" spans="1:10" hidden="1" x14ac:dyDescent="0.35">
      <c r="A4500" s="126" t="s">
        <v>372</v>
      </c>
      <c r="B4500" t="str">
        <f>_xlfn.XLOOKUP(A4500,'[1]2050Pop'!$A$7:$A$143,'[1]2050Pop'!$D$7:$D$143)</f>
        <v>LatAm &amp; RSA</v>
      </c>
      <c r="C4500" s="127">
        <f>1000*_xlfn.XLOOKUP(A4500,'[1]2050Pop'!$A$7:$A$143,'[1]2050Pop'!$C$7:$C$143)</f>
        <v>238270</v>
      </c>
      <c r="D4500" s="126" t="s">
        <v>541</v>
      </c>
      <c r="E4500" s="128">
        <v>388.38900000000001</v>
      </c>
      <c r="F4500" s="129">
        <f t="shared" si="212"/>
        <v>92.54144703</v>
      </c>
      <c r="G4500" t="str">
        <f>_xlfn.XLOOKUP(D4500,'[1]2050 BAU Mapping to T &amp; C'!$A$3:$A$52,'[1]2050 BAU Mapping to T &amp; C'!$B$3:$B$52)</f>
        <v>Wheat</v>
      </c>
      <c r="H4500" s="129">
        <f>_xlfn.XLOOKUP(G4500,'[1]T&amp;C emissions for 2050 analysis'!$B$3:$B$23,'[1]T&amp;C emissions for 2050 analysis'!$C$3:$C$23)</f>
        <v>0.21999999999999997</v>
      </c>
      <c r="I4500" s="27">
        <f t="shared" si="210"/>
        <v>20.359118346599999</v>
      </c>
      <c r="J4500" s="129">
        <f t="shared" si="211"/>
        <v>85.445579999999993</v>
      </c>
    </row>
    <row r="4501" spans="1:10" hidden="1" x14ac:dyDescent="0.35">
      <c r="A4501" s="126" t="s">
        <v>373</v>
      </c>
      <c r="B4501" t="str">
        <f>_xlfn.XLOOKUP(A4501,'[1]2050Pop'!$A$7:$A$143,'[1]2050Pop'!$D$7:$D$143)</f>
        <v>Euro/AU/NZ</v>
      </c>
      <c r="C4501" s="127">
        <f>1000*_xlfn.XLOOKUP(A4501,'[1]2050Pop'!$A$7:$A$143,'[1]2050Pop'!$C$7:$C$143)</f>
        <v>5154</v>
      </c>
      <c r="D4501" s="126" t="s">
        <v>541</v>
      </c>
      <c r="E4501" s="128">
        <v>878.70799999999997</v>
      </c>
      <c r="F4501" s="129">
        <f t="shared" si="212"/>
        <v>4.528861032</v>
      </c>
      <c r="G4501" t="str">
        <f>_xlfn.XLOOKUP(D4501,'[1]2050 BAU Mapping to T &amp; C'!$A$3:$A$52,'[1]2050 BAU Mapping to T &amp; C'!$B$3:$B$52)</f>
        <v>Wheat</v>
      </c>
      <c r="H4501" s="129">
        <f>_xlfn.XLOOKUP(G4501,'[1]T&amp;C emissions for 2050 analysis'!$B$3:$B$23,'[1]T&amp;C emissions for 2050 analysis'!$C$3:$C$23)</f>
        <v>0.21999999999999997</v>
      </c>
      <c r="I4501" s="27">
        <f t="shared" si="210"/>
        <v>0.99634942703999985</v>
      </c>
      <c r="J4501" s="129">
        <f t="shared" si="211"/>
        <v>193.31575999999998</v>
      </c>
    </row>
    <row r="4502" spans="1:10" hidden="1" x14ac:dyDescent="0.35">
      <c r="A4502" s="126" t="s">
        <v>487</v>
      </c>
      <c r="B4502" t="str">
        <f>_xlfn.XLOOKUP(A4502,'[1]2050Pop'!$A$7:$A$143,'[1]2050Pop'!$D$7:$D$143)</f>
        <v>SSA</v>
      </c>
      <c r="C4502" s="127">
        <f>1000*_xlfn.XLOOKUP(A4502,'[1]2050Pop'!$A$7:$A$143,'[1]2050Pop'!$C$7:$C$143)</f>
        <v>42789</v>
      </c>
      <c r="D4502" s="126" t="s">
        <v>541</v>
      </c>
      <c r="E4502" s="128">
        <v>95.629000000000005</v>
      </c>
      <c r="F4502" s="129">
        <f t="shared" si="212"/>
        <v>4.0918692810000001</v>
      </c>
      <c r="G4502" t="str">
        <f>_xlfn.XLOOKUP(D4502,'[1]2050 BAU Mapping to T &amp; C'!$A$3:$A$52,'[1]2050 BAU Mapping to T &amp; C'!$B$3:$B$52)</f>
        <v>Wheat</v>
      </c>
      <c r="H4502" s="129">
        <f>_xlfn.XLOOKUP(G4502,'[1]T&amp;C emissions for 2050 analysis'!$B$3:$B$23,'[1]T&amp;C emissions for 2050 analysis'!$C$3:$C$23)</f>
        <v>0.21999999999999997</v>
      </c>
      <c r="I4502" s="27">
        <f t="shared" si="210"/>
        <v>0.9002112418199999</v>
      </c>
      <c r="J4502" s="129">
        <f t="shared" si="211"/>
        <v>21.03838</v>
      </c>
    </row>
    <row r="4503" spans="1:10" hidden="1" x14ac:dyDescent="0.35">
      <c r="A4503" s="126" t="s">
        <v>374</v>
      </c>
      <c r="B4503" t="str">
        <f>_xlfn.XLOOKUP(A4503,'[1]2050Pop'!$A$7:$A$143,'[1]2050Pop'!$D$7:$D$143)</f>
        <v>APAC</v>
      </c>
      <c r="C4503" s="127">
        <f>1000*_xlfn.XLOOKUP(A4503,'[1]2050Pop'!$A$7:$A$143,'[1]2050Pop'!$C$7:$C$143)</f>
        <v>22545</v>
      </c>
      <c r="D4503" s="126" t="s">
        <v>541</v>
      </c>
      <c r="E4503" s="128">
        <v>18.204000000000001</v>
      </c>
      <c r="F4503" s="129">
        <f t="shared" si="212"/>
        <v>0.41040917999999998</v>
      </c>
      <c r="G4503" t="str">
        <f>_xlfn.XLOOKUP(D4503,'[1]2050 BAU Mapping to T &amp; C'!$A$3:$A$52,'[1]2050 BAU Mapping to T &amp; C'!$B$3:$B$52)</f>
        <v>Wheat</v>
      </c>
      <c r="H4503" s="129">
        <f>_xlfn.XLOOKUP(G4503,'[1]T&amp;C emissions for 2050 analysis'!$B$3:$B$23,'[1]T&amp;C emissions for 2050 analysis'!$C$3:$C$23)</f>
        <v>0.21999999999999997</v>
      </c>
      <c r="I4503" s="27">
        <f t="shared" si="210"/>
        <v>9.0290019599999979E-2</v>
      </c>
      <c r="J4503" s="129">
        <f t="shared" si="211"/>
        <v>4.00488</v>
      </c>
    </row>
    <row r="4504" spans="1:10" hidden="1" x14ac:dyDescent="0.35">
      <c r="A4504" s="126" t="s">
        <v>375</v>
      </c>
      <c r="B4504" t="str">
        <f>_xlfn.XLOOKUP(A4504,'[1]2050Pop'!$A$7:$A$143,'[1]2050Pop'!$D$7:$D$143)</f>
        <v>SSA</v>
      </c>
      <c r="C4504" s="127">
        <f>1000*_xlfn.XLOOKUP(A4504,'[1]2050Pop'!$A$7:$A$143,'[1]2050Pop'!$C$7:$C$143)</f>
        <v>48362</v>
      </c>
      <c r="D4504" s="126" t="s">
        <v>541</v>
      </c>
      <c r="E4504" s="131">
        <v>219.6</v>
      </c>
      <c r="F4504" s="129">
        <f t="shared" si="212"/>
        <v>10.620295199999999</v>
      </c>
      <c r="G4504" t="str">
        <f>_xlfn.XLOOKUP(D4504,'[1]2050 BAU Mapping to T &amp; C'!$A$3:$A$52,'[1]2050 BAU Mapping to T &amp; C'!$B$3:$B$52)</f>
        <v>Wheat</v>
      </c>
      <c r="H4504" s="129">
        <f>_xlfn.XLOOKUP(G4504,'[1]T&amp;C emissions for 2050 analysis'!$B$3:$B$23,'[1]T&amp;C emissions for 2050 analysis'!$C$3:$C$23)</f>
        <v>0.21999999999999997</v>
      </c>
      <c r="I4504" s="27">
        <f t="shared" si="210"/>
        <v>2.3364649439999994</v>
      </c>
      <c r="J4504" s="129">
        <f t="shared" si="211"/>
        <v>48.311999999999991</v>
      </c>
    </row>
    <row r="4505" spans="1:10" hidden="1" x14ac:dyDescent="0.35">
      <c r="A4505" s="126" t="s">
        <v>376</v>
      </c>
      <c r="B4505" t="str">
        <f>_xlfn.XLOOKUP(A4505,'[1]2050Pop'!$A$7:$A$143,'[1]2050Pop'!$D$7:$D$143)</f>
        <v>NAm</v>
      </c>
      <c r="C4505" s="127">
        <f>1000*_xlfn.XLOOKUP(A4505,'[1]2050Pop'!$A$7:$A$143,'[1]2050Pop'!$C$7:$C$143)</f>
        <v>44136</v>
      </c>
      <c r="D4505" s="126" t="s">
        <v>541</v>
      </c>
      <c r="E4505" s="128">
        <v>684.34699999999998</v>
      </c>
      <c r="F4505" s="129">
        <f t="shared" si="212"/>
        <v>30.204339191999999</v>
      </c>
      <c r="G4505" t="str">
        <f>_xlfn.XLOOKUP(D4505,'[1]2050 BAU Mapping to T &amp; C'!$A$3:$A$52,'[1]2050 BAU Mapping to T &amp; C'!$B$3:$B$52)</f>
        <v>Wheat</v>
      </c>
      <c r="H4505" s="129">
        <f>_xlfn.XLOOKUP(G4505,'[1]T&amp;C emissions for 2050 analysis'!$B$3:$B$23,'[1]T&amp;C emissions for 2050 analysis'!$C$3:$C$23)</f>
        <v>0.21999999999999997</v>
      </c>
      <c r="I4505" s="27">
        <f t="shared" si="210"/>
        <v>6.6449546222399993</v>
      </c>
      <c r="J4505" s="129">
        <f t="shared" si="211"/>
        <v>150.55633999999998</v>
      </c>
    </row>
    <row r="4506" spans="1:10" hidden="1" x14ac:dyDescent="0.35">
      <c r="A4506" s="126" t="s">
        <v>377</v>
      </c>
      <c r="B4506" t="str">
        <f>_xlfn.XLOOKUP(A4506,'[1]2050Pop'!$A$7:$A$143,'[1]2050Pop'!$D$7:$D$143)</f>
        <v>SSA</v>
      </c>
      <c r="C4506" s="127">
        <f>1000*_xlfn.XLOOKUP(A4506,'[1]2050Pop'!$A$7:$A$143,'[1]2050Pop'!$C$7:$C$143)</f>
        <v>8782</v>
      </c>
      <c r="D4506" s="126" t="s">
        <v>541</v>
      </c>
      <c r="E4506" s="128">
        <v>86.427000000000007</v>
      </c>
      <c r="F4506" s="129">
        <f t="shared" si="212"/>
        <v>0.75900191400000006</v>
      </c>
      <c r="G4506" t="str">
        <f>_xlfn.XLOOKUP(D4506,'[1]2050 BAU Mapping to T &amp; C'!$A$3:$A$52,'[1]2050 BAU Mapping to T &amp; C'!$B$3:$B$52)</f>
        <v>Wheat</v>
      </c>
      <c r="H4506" s="129">
        <f>_xlfn.XLOOKUP(G4506,'[1]T&amp;C emissions for 2050 analysis'!$B$3:$B$23,'[1]T&amp;C emissions for 2050 analysis'!$C$3:$C$23)</f>
        <v>0.21999999999999997</v>
      </c>
      <c r="I4506" s="27">
        <f t="shared" si="210"/>
        <v>0.16698042108</v>
      </c>
      <c r="J4506" s="129">
        <f t="shared" si="211"/>
        <v>19.013939999999998</v>
      </c>
    </row>
    <row r="4507" spans="1:10" hidden="1" x14ac:dyDescent="0.35">
      <c r="A4507" s="126" t="s">
        <v>488</v>
      </c>
      <c r="B4507" t="str">
        <f>_xlfn.XLOOKUP(A4507,'[1]2050Pop'!$A$7:$A$143,'[1]2050Pop'!$D$7:$D$143)</f>
        <v>SSA</v>
      </c>
      <c r="C4507" s="127">
        <f>1000*_xlfn.XLOOKUP(A4507,'[1]2050Pop'!$A$7:$A$143,'[1]2050Pop'!$C$7:$C$143)</f>
        <v>35131</v>
      </c>
      <c r="D4507" s="126" t="s">
        <v>541</v>
      </c>
      <c r="E4507" s="128">
        <v>80.540999999999997</v>
      </c>
      <c r="F4507" s="129">
        <f t="shared" si="212"/>
        <v>2.8294858709999997</v>
      </c>
      <c r="G4507" t="str">
        <f>_xlfn.XLOOKUP(D4507,'[1]2050 BAU Mapping to T &amp; C'!$A$3:$A$52,'[1]2050 BAU Mapping to T &amp; C'!$B$3:$B$52)</f>
        <v>Wheat</v>
      </c>
      <c r="H4507" s="129">
        <f>_xlfn.XLOOKUP(G4507,'[1]T&amp;C emissions for 2050 analysis'!$B$3:$B$23,'[1]T&amp;C emissions for 2050 analysis'!$C$3:$C$23)</f>
        <v>0.21999999999999997</v>
      </c>
      <c r="I4507" s="27">
        <f t="shared" si="210"/>
        <v>0.62248689161999982</v>
      </c>
      <c r="J4507" s="129">
        <f t="shared" si="211"/>
        <v>17.719019999999997</v>
      </c>
    </row>
    <row r="4508" spans="1:10" hidden="1" x14ac:dyDescent="0.35">
      <c r="A4508" s="126" t="s">
        <v>378</v>
      </c>
      <c r="B4508" t="str">
        <f>_xlfn.XLOOKUP(A4508,'[1]2050Pop'!$A$7:$A$143,'[1]2050Pop'!$D$7:$D$143)</f>
        <v>LatAm &amp; RSA</v>
      </c>
      <c r="C4508" s="127">
        <f>1000*_xlfn.XLOOKUP(A4508,'[1]2050Pop'!$A$7:$A$143,'[1]2050Pop'!$C$7:$C$143)</f>
        <v>21601</v>
      </c>
      <c r="D4508" s="126" t="s">
        <v>541</v>
      </c>
      <c r="E4508" s="128">
        <v>861.57500000000005</v>
      </c>
      <c r="F4508" s="129">
        <f t="shared" si="212"/>
        <v>18.610881575000001</v>
      </c>
      <c r="G4508" t="str">
        <f>_xlfn.XLOOKUP(D4508,'[1]2050 BAU Mapping to T &amp; C'!$A$3:$A$52,'[1]2050 BAU Mapping to T &amp; C'!$B$3:$B$52)</f>
        <v>Wheat</v>
      </c>
      <c r="H4508" s="129">
        <f>_xlfn.XLOOKUP(G4508,'[1]T&amp;C emissions for 2050 analysis'!$B$3:$B$23,'[1]T&amp;C emissions for 2050 analysis'!$C$3:$C$23)</f>
        <v>0.21999999999999997</v>
      </c>
      <c r="I4508" s="27">
        <f t="shared" si="210"/>
        <v>4.0943939464999994</v>
      </c>
      <c r="J4508" s="129">
        <f t="shared" si="211"/>
        <v>189.54649999999998</v>
      </c>
    </row>
    <row r="4509" spans="1:10" hidden="1" x14ac:dyDescent="0.35">
      <c r="A4509" s="126" t="s">
        <v>379</v>
      </c>
      <c r="B4509" t="str">
        <f>_xlfn.XLOOKUP(A4509,'[1]2050Pop'!$A$7:$A$143,'[1]2050Pop'!$D$7:$D$143)</f>
        <v>Greater China</v>
      </c>
      <c r="C4509" s="127">
        <f>1000*_xlfn.XLOOKUP(A4509,'[1]2050Pop'!$A$7:$A$143,'[1]2050Pop'!$C$7:$C$143)</f>
        <v>8148</v>
      </c>
      <c r="D4509" s="126" t="s">
        <v>541</v>
      </c>
      <c r="E4509" s="128">
        <v>401.82799999999997</v>
      </c>
      <c r="F4509" s="129">
        <f t="shared" si="212"/>
        <v>3.2740945439999996</v>
      </c>
      <c r="G4509" t="str">
        <f>_xlfn.XLOOKUP(D4509,'[1]2050 BAU Mapping to T &amp; C'!$A$3:$A$52,'[1]2050 BAU Mapping to T &amp; C'!$B$3:$B$52)</f>
        <v>Wheat</v>
      </c>
      <c r="H4509" s="129">
        <f>_xlfn.XLOOKUP(G4509,'[1]T&amp;C emissions for 2050 analysis'!$B$3:$B$23,'[1]T&amp;C emissions for 2050 analysis'!$C$3:$C$23)</f>
        <v>0.21999999999999997</v>
      </c>
      <c r="I4509" s="27">
        <f t="shared" si="210"/>
        <v>0.72030079967999983</v>
      </c>
      <c r="J4509" s="129">
        <f t="shared" si="211"/>
        <v>88.402159999999981</v>
      </c>
    </row>
    <row r="4510" spans="1:10" hidden="1" x14ac:dyDescent="0.35">
      <c r="A4510" s="126" t="s">
        <v>380</v>
      </c>
      <c r="B4510" t="str">
        <f>_xlfn.XLOOKUP(A4510,'[1]2050Pop'!$A$7:$A$143,'[1]2050Pop'!$D$7:$D$143)</f>
        <v>Greater China</v>
      </c>
      <c r="C4510" s="127">
        <f>1000*_xlfn.XLOOKUP(A4510,'[1]2050Pop'!$A$7:$A$143,'[1]2050Pop'!$C$7:$C$143)</f>
        <v>1348056</v>
      </c>
      <c r="D4510" s="126" t="s">
        <v>541</v>
      </c>
      <c r="E4510" s="128">
        <v>495.29500000000002</v>
      </c>
      <c r="F4510" s="129">
        <f t="shared" si="212"/>
        <v>667.68539651999993</v>
      </c>
      <c r="G4510" t="str">
        <f>_xlfn.XLOOKUP(D4510,'[1]2050 BAU Mapping to T &amp; C'!$A$3:$A$52,'[1]2050 BAU Mapping to T &amp; C'!$B$3:$B$52)</f>
        <v>Wheat</v>
      </c>
      <c r="H4510" s="129">
        <f>_xlfn.XLOOKUP(G4510,'[1]T&amp;C emissions for 2050 analysis'!$B$3:$B$23,'[1]T&amp;C emissions for 2050 analysis'!$C$3:$C$23)</f>
        <v>0.21999999999999997</v>
      </c>
      <c r="I4510" s="27">
        <f t="shared" si="210"/>
        <v>146.89078723439997</v>
      </c>
      <c r="J4510" s="129">
        <f t="shared" si="211"/>
        <v>108.96489999999999</v>
      </c>
    </row>
    <row r="4511" spans="1:10" hidden="1" x14ac:dyDescent="0.35">
      <c r="A4511" s="126" t="s">
        <v>381</v>
      </c>
      <c r="B4511" t="str">
        <f>_xlfn.XLOOKUP(A4511,'[1]2050Pop'!$A$7:$A$143,'[1]2050Pop'!$D$7:$D$143)</f>
        <v>Greater China</v>
      </c>
      <c r="C4511" s="127">
        <f>1000*_xlfn.XLOOKUP(A4511,'[1]2050Pop'!$A$7:$A$143,'[1]2050Pop'!$C$7:$C$143)</f>
        <v>20778</v>
      </c>
      <c r="D4511" s="126" t="s">
        <v>541</v>
      </c>
      <c r="E4511" s="128">
        <v>358.255</v>
      </c>
      <c r="F4511" s="129">
        <f t="shared" si="212"/>
        <v>7.4438223899999993</v>
      </c>
      <c r="G4511" t="str">
        <f>_xlfn.XLOOKUP(D4511,'[1]2050 BAU Mapping to T &amp; C'!$A$3:$A$52,'[1]2050 BAU Mapping to T &amp; C'!$B$3:$B$52)</f>
        <v>Wheat</v>
      </c>
      <c r="H4511" s="129">
        <f>_xlfn.XLOOKUP(G4511,'[1]T&amp;C emissions for 2050 analysis'!$B$3:$B$23,'[1]T&amp;C emissions for 2050 analysis'!$C$3:$C$23)</f>
        <v>0.21999999999999997</v>
      </c>
      <c r="I4511" s="27">
        <f t="shared" si="210"/>
        <v>1.6376409257999998</v>
      </c>
      <c r="J4511" s="129">
        <f t="shared" si="211"/>
        <v>78.816099999999992</v>
      </c>
    </row>
    <row r="4512" spans="1:10" hidden="1" x14ac:dyDescent="0.35">
      <c r="A4512" s="126" t="s">
        <v>382</v>
      </c>
      <c r="B4512" t="str">
        <f>_xlfn.XLOOKUP(A4512,'[1]2050Pop'!$A$7:$A$143,'[1]2050Pop'!$D$7:$D$143)</f>
        <v>LatAm &amp; RSA</v>
      </c>
      <c r="C4512" s="127">
        <f>1000*_xlfn.XLOOKUP(A4512,'[1]2050Pop'!$A$7:$A$143,'[1]2050Pop'!$C$7:$C$143)</f>
        <v>54927</v>
      </c>
      <c r="D4512" s="126" t="s">
        <v>541</v>
      </c>
      <c r="E4512" s="128">
        <v>248.99100000000001</v>
      </c>
      <c r="F4512" s="129">
        <f t="shared" si="212"/>
        <v>13.676328657000001</v>
      </c>
      <c r="G4512" t="str">
        <f>_xlfn.XLOOKUP(D4512,'[1]2050 BAU Mapping to T &amp; C'!$A$3:$A$52,'[1]2050 BAU Mapping to T &amp; C'!$B$3:$B$52)</f>
        <v>Wheat</v>
      </c>
      <c r="H4512" s="129">
        <f>_xlfn.XLOOKUP(G4512,'[1]T&amp;C emissions for 2050 analysis'!$B$3:$B$23,'[1]T&amp;C emissions for 2050 analysis'!$C$3:$C$23)</f>
        <v>0.21999999999999997</v>
      </c>
      <c r="I4512" s="27">
        <f t="shared" si="210"/>
        <v>3.00879230454</v>
      </c>
      <c r="J4512" s="129">
        <f t="shared" si="211"/>
        <v>54.778019999999998</v>
      </c>
    </row>
    <row r="4513" spans="1:10" hidden="1" x14ac:dyDescent="0.35">
      <c r="A4513" s="126" t="s">
        <v>383</v>
      </c>
      <c r="B4513" t="str">
        <f>_xlfn.XLOOKUP(A4513,'[1]2050Pop'!$A$7:$A$143,'[1]2050Pop'!$D$7:$D$143)</f>
        <v>LatAm &amp; RSA</v>
      </c>
      <c r="C4513" s="127">
        <f>1000*_xlfn.XLOOKUP(A4513,'[1]2050Pop'!$A$7:$A$143,'[1]2050Pop'!$C$7:$C$143)</f>
        <v>5759</v>
      </c>
      <c r="D4513" s="126" t="s">
        <v>541</v>
      </c>
      <c r="E4513" s="128">
        <v>312.08800000000002</v>
      </c>
      <c r="F4513" s="129">
        <f t="shared" si="212"/>
        <v>1.7973147920000001</v>
      </c>
      <c r="G4513" t="str">
        <f>_xlfn.XLOOKUP(D4513,'[1]2050 BAU Mapping to T &amp; C'!$A$3:$A$52,'[1]2050 BAU Mapping to T &amp; C'!$B$3:$B$52)</f>
        <v>Wheat</v>
      </c>
      <c r="H4513" s="129">
        <f>_xlfn.XLOOKUP(G4513,'[1]T&amp;C emissions for 2050 analysis'!$B$3:$B$23,'[1]T&amp;C emissions for 2050 analysis'!$C$3:$C$23)</f>
        <v>0.21999999999999997</v>
      </c>
      <c r="I4513" s="27">
        <f t="shared" si="210"/>
        <v>0.39540925423999995</v>
      </c>
      <c r="J4513" s="129">
        <f t="shared" si="211"/>
        <v>68.659359999999992</v>
      </c>
    </row>
    <row r="4514" spans="1:10" hidden="1" x14ac:dyDescent="0.35">
      <c r="A4514" s="126" t="s">
        <v>384</v>
      </c>
      <c r="B4514" t="str">
        <f>_xlfn.XLOOKUP(A4514,'[1]2050Pop'!$A$7:$A$143,'[1]2050Pop'!$D$7:$D$143)</f>
        <v>SSA</v>
      </c>
      <c r="C4514" s="127">
        <f>1000*_xlfn.XLOOKUP(A4514,'[1]2050Pop'!$A$7:$A$143,'[1]2050Pop'!$C$7:$C$143)</f>
        <v>48797</v>
      </c>
      <c r="D4514" s="126" t="s">
        <v>541</v>
      </c>
      <c r="E4514" s="128">
        <v>203.309</v>
      </c>
      <c r="F4514" s="129">
        <f t="shared" si="212"/>
        <v>9.9208692729999992</v>
      </c>
      <c r="G4514" t="str">
        <f>_xlfn.XLOOKUP(D4514,'[1]2050 BAU Mapping to T &amp; C'!$A$3:$A$52,'[1]2050 BAU Mapping to T &amp; C'!$B$3:$B$52)</f>
        <v>Wheat</v>
      </c>
      <c r="H4514" s="129">
        <f>_xlfn.XLOOKUP(G4514,'[1]T&amp;C emissions for 2050 analysis'!$B$3:$B$23,'[1]T&amp;C emissions for 2050 analysis'!$C$3:$C$23)</f>
        <v>0.21999999999999997</v>
      </c>
      <c r="I4514" s="27">
        <f t="shared" si="210"/>
        <v>2.1825912400599994</v>
      </c>
      <c r="J4514" s="129">
        <f t="shared" si="211"/>
        <v>44.727979999999995</v>
      </c>
    </row>
    <row r="4515" spans="1:10" hidden="1" x14ac:dyDescent="0.35">
      <c r="A4515" s="126" t="s">
        <v>385</v>
      </c>
      <c r="B4515" t="str">
        <f>_xlfn.XLOOKUP(A4515,'[1]2050Pop'!$A$7:$A$143,'[1]2050Pop'!$D$7:$D$143)</f>
        <v>Euro/AU/NZ</v>
      </c>
      <c r="C4515" s="127">
        <f>1000*_xlfn.XLOOKUP(A4515,'[1]2050Pop'!$A$7:$A$143,'[1]2050Pop'!$C$7:$C$143)</f>
        <v>3554</v>
      </c>
      <c r="D4515" s="126" t="s">
        <v>541</v>
      </c>
      <c r="E4515" s="128">
        <v>835.11599999999999</v>
      </c>
      <c r="F4515" s="129">
        <f t="shared" si="212"/>
        <v>2.9680022639999999</v>
      </c>
      <c r="G4515" t="str">
        <f>_xlfn.XLOOKUP(D4515,'[1]2050 BAU Mapping to T &amp; C'!$A$3:$A$52,'[1]2050 BAU Mapping to T &amp; C'!$B$3:$B$52)</f>
        <v>Wheat</v>
      </c>
      <c r="H4515" s="129">
        <f>_xlfn.XLOOKUP(G4515,'[1]T&amp;C emissions for 2050 analysis'!$B$3:$B$23,'[1]T&amp;C emissions for 2050 analysis'!$C$3:$C$23)</f>
        <v>0.21999999999999997</v>
      </c>
      <c r="I4515" s="27">
        <f t="shared" si="210"/>
        <v>0.6529604980799999</v>
      </c>
      <c r="J4515" s="129">
        <f t="shared" si="211"/>
        <v>183.72551999999996</v>
      </c>
    </row>
    <row r="4516" spans="1:10" hidden="1" x14ac:dyDescent="0.35">
      <c r="A4516" s="126" t="s">
        <v>386</v>
      </c>
      <c r="B4516" t="str">
        <f>_xlfn.XLOOKUP(A4516,'[1]2050Pop'!$A$7:$A$143,'[1]2050Pop'!$D$7:$D$143)</f>
        <v>LatAm &amp; RSA</v>
      </c>
      <c r="C4516" s="127">
        <f>1000*_xlfn.XLOOKUP(A4516,'[1]2050Pop'!$A$7:$A$143,'[1]2050Pop'!$C$7:$C$143)</f>
        <v>10339</v>
      </c>
      <c r="D4516" s="126" t="s">
        <v>541</v>
      </c>
      <c r="E4516" s="128">
        <v>404.053</v>
      </c>
      <c r="F4516" s="129">
        <f t="shared" si="212"/>
        <v>4.1775039669999998</v>
      </c>
      <c r="G4516" t="str">
        <f>_xlfn.XLOOKUP(D4516,'[1]2050 BAU Mapping to T &amp; C'!$A$3:$A$52,'[1]2050 BAU Mapping to T &amp; C'!$B$3:$B$52)</f>
        <v>Wheat</v>
      </c>
      <c r="H4516" s="129">
        <f>_xlfn.XLOOKUP(G4516,'[1]T&amp;C emissions for 2050 analysis'!$B$3:$B$23,'[1]T&amp;C emissions for 2050 analysis'!$C$3:$C$23)</f>
        <v>0.21999999999999997</v>
      </c>
      <c r="I4516" s="27">
        <f t="shared" si="210"/>
        <v>0.91905087273999986</v>
      </c>
      <c r="J4516" s="129">
        <f t="shared" si="211"/>
        <v>88.891659999999987</v>
      </c>
    </row>
    <row r="4517" spans="1:10" hidden="1" x14ac:dyDescent="0.35">
      <c r="A4517" s="126" t="s">
        <v>387</v>
      </c>
      <c r="B4517" t="str">
        <f>_xlfn.XLOOKUP(A4517,'[1]2050Pop'!$A$7:$A$143,'[1]2050Pop'!$D$7:$D$143)</f>
        <v>Euro/AU/NZ</v>
      </c>
      <c r="C4517" s="127">
        <f>1000*_xlfn.XLOOKUP(A4517,'[1]2050Pop'!$A$7:$A$143,'[1]2050Pop'!$C$7:$C$143)</f>
        <v>9965</v>
      </c>
      <c r="D4517" s="126" t="s">
        <v>541</v>
      </c>
      <c r="E4517" s="130">
        <v>727.02</v>
      </c>
      <c r="F4517" s="129">
        <f t="shared" si="212"/>
        <v>7.2447542999999994</v>
      </c>
      <c r="G4517" t="str">
        <f>_xlfn.XLOOKUP(D4517,'[1]2050 BAU Mapping to T &amp; C'!$A$3:$A$52,'[1]2050 BAU Mapping to T &amp; C'!$B$3:$B$52)</f>
        <v>Wheat</v>
      </c>
      <c r="H4517" s="129">
        <f>_xlfn.XLOOKUP(G4517,'[1]T&amp;C emissions for 2050 analysis'!$B$3:$B$23,'[1]T&amp;C emissions for 2050 analysis'!$C$3:$C$23)</f>
        <v>0.21999999999999997</v>
      </c>
      <c r="I4517" s="27">
        <f t="shared" si="210"/>
        <v>1.5938459459999996</v>
      </c>
      <c r="J4517" s="129">
        <f t="shared" si="211"/>
        <v>159.94439999999997</v>
      </c>
    </row>
    <row r="4518" spans="1:10" hidden="1" x14ac:dyDescent="0.35">
      <c r="A4518" s="126" t="s">
        <v>481</v>
      </c>
      <c r="B4518" t="str">
        <f>_xlfn.XLOOKUP(A4518,'[1]2050Pop'!$A$7:$A$143,'[1]2050Pop'!$D$7:$D$143)</f>
        <v>APAC</v>
      </c>
      <c r="C4518" s="127">
        <f>1000*_xlfn.XLOOKUP(A4518,'[1]2050Pop'!$A$7:$A$143,'[1]2050Pop'!$C$7:$C$143)</f>
        <v>26907</v>
      </c>
      <c r="D4518" s="126" t="s">
        <v>541</v>
      </c>
      <c r="E4518" s="128">
        <v>176.011</v>
      </c>
      <c r="F4518" s="129">
        <f t="shared" si="212"/>
        <v>4.7359279770000002</v>
      </c>
      <c r="G4518" t="str">
        <f>_xlfn.XLOOKUP(D4518,'[1]2050 BAU Mapping to T &amp; C'!$A$3:$A$52,'[1]2050 BAU Mapping to T &amp; C'!$B$3:$B$52)</f>
        <v>Wheat</v>
      </c>
      <c r="H4518" s="129">
        <f>_xlfn.XLOOKUP(G4518,'[1]T&amp;C emissions for 2050 analysis'!$B$3:$B$23,'[1]T&amp;C emissions for 2050 analysis'!$C$3:$C$23)</f>
        <v>0.21999999999999997</v>
      </c>
      <c r="I4518" s="27">
        <f t="shared" si="210"/>
        <v>1.0419041549399999</v>
      </c>
      <c r="J4518" s="129">
        <f t="shared" si="211"/>
        <v>38.722419999999993</v>
      </c>
    </row>
    <row r="4519" spans="1:10" hidden="1" x14ac:dyDescent="0.35">
      <c r="A4519" s="126" t="s">
        <v>388</v>
      </c>
      <c r="B4519" t="str">
        <f>_xlfn.XLOOKUP(A4519,'[1]2050Pop'!$A$7:$A$143,'[1]2050Pop'!$D$7:$D$143)</f>
        <v>Euro/AU/NZ</v>
      </c>
      <c r="C4519" s="127">
        <f>1000*_xlfn.XLOOKUP(A4519,'[1]2050Pop'!$A$7:$A$143,'[1]2050Pop'!$C$7:$C$143)</f>
        <v>6299</v>
      </c>
      <c r="D4519" s="126" t="s">
        <v>541</v>
      </c>
      <c r="E4519" s="128">
        <v>641.43200000000002</v>
      </c>
      <c r="F4519" s="129">
        <f t="shared" si="212"/>
        <v>4.0403801680000004</v>
      </c>
      <c r="G4519" t="str">
        <f>_xlfn.XLOOKUP(D4519,'[1]2050 BAU Mapping to T &amp; C'!$A$3:$A$52,'[1]2050 BAU Mapping to T &amp; C'!$B$3:$B$52)</f>
        <v>Wheat</v>
      </c>
      <c r="H4519" s="129">
        <f>_xlfn.XLOOKUP(G4519,'[1]T&amp;C emissions for 2050 analysis'!$B$3:$B$23,'[1]T&amp;C emissions for 2050 analysis'!$C$3:$C$23)</f>
        <v>0.21999999999999997</v>
      </c>
      <c r="I4519" s="27">
        <f t="shared" si="210"/>
        <v>0.88888363695999995</v>
      </c>
      <c r="J4519" s="129">
        <f t="shared" si="211"/>
        <v>141.11503999999999</v>
      </c>
    </row>
    <row r="4520" spans="1:10" hidden="1" x14ac:dyDescent="0.35">
      <c r="A4520" s="126" t="s">
        <v>389</v>
      </c>
      <c r="B4520" t="str">
        <f>_xlfn.XLOOKUP(A4520,'[1]2050Pop'!$A$7:$A$143,'[1]2050Pop'!$D$7:$D$143)</f>
        <v>LatAm &amp; RSA</v>
      </c>
      <c r="C4520" s="127">
        <f>1000*_xlfn.XLOOKUP(A4520,'[1]2050Pop'!$A$7:$A$143,'[1]2050Pop'!$C$7:$C$143)</f>
        <v>13238</v>
      </c>
      <c r="D4520" s="126" t="s">
        <v>541</v>
      </c>
      <c r="E4520" s="128">
        <v>208.74799999999999</v>
      </c>
      <c r="F4520" s="129">
        <f t="shared" si="212"/>
        <v>2.7634060239999996</v>
      </c>
      <c r="G4520" t="str">
        <f>_xlfn.XLOOKUP(D4520,'[1]2050 BAU Mapping to T &amp; C'!$A$3:$A$52,'[1]2050 BAU Mapping to T &amp; C'!$B$3:$B$52)</f>
        <v>Wheat</v>
      </c>
      <c r="H4520" s="129">
        <f>_xlfn.XLOOKUP(G4520,'[1]T&amp;C emissions for 2050 analysis'!$B$3:$B$23,'[1]T&amp;C emissions for 2050 analysis'!$C$3:$C$23)</f>
        <v>0.21999999999999997</v>
      </c>
      <c r="I4520" s="27">
        <f t="shared" si="210"/>
        <v>0.60794932527999979</v>
      </c>
      <c r="J4520" s="129">
        <f t="shared" si="211"/>
        <v>45.924559999999992</v>
      </c>
    </row>
    <row r="4521" spans="1:10" hidden="1" x14ac:dyDescent="0.35">
      <c r="A4521" s="126" t="s">
        <v>390</v>
      </c>
      <c r="B4521" t="str">
        <f>_xlfn.XLOOKUP(A4521,'[1]2050Pop'!$A$7:$A$143,'[1]2050Pop'!$D$7:$D$143)</f>
        <v>LatAm &amp; RSA</v>
      </c>
      <c r="C4521" s="127">
        <f>1000*_xlfn.XLOOKUP(A4521,'[1]2050Pop'!$A$7:$A$143,'[1]2050Pop'!$C$7:$C$143)</f>
        <v>23013</v>
      </c>
      <c r="D4521" s="126" t="s">
        <v>541</v>
      </c>
      <c r="E4521" s="128">
        <v>288.53699999999998</v>
      </c>
      <c r="F4521" s="129">
        <f t="shared" si="212"/>
        <v>6.6401019809999999</v>
      </c>
      <c r="G4521" t="str">
        <f>_xlfn.XLOOKUP(D4521,'[1]2050 BAU Mapping to T &amp; C'!$A$3:$A$52,'[1]2050 BAU Mapping to T &amp; C'!$B$3:$B$52)</f>
        <v>Wheat</v>
      </c>
      <c r="H4521" s="129">
        <f>_xlfn.XLOOKUP(G4521,'[1]T&amp;C emissions for 2050 analysis'!$B$3:$B$23,'[1]T&amp;C emissions for 2050 analysis'!$C$3:$C$23)</f>
        <v>0.21999999999999997</v>
      </c>
      <c r="I4521" s="27">
        <f t="shared" si="210"/>
        <v>1.4608224358199997</v>
      </c>
      <c r="J4521" s="129">
        <f t="shared" si="211"/>
        <v>63.478139999999989</v>
      </c>
    </row>
    <row r="4522" spans="1:10" hidden="1" x14ac:dyDescent="0.35">
      <c r="A4522" s="126" t="s">
        <v>391</v>
      </c>
      <c r="B4522" t="str">
        <f>_xlfn.XLOOKUP(A4522,'[1]2050Pop'!$A$7:$A$143,'[1]2050Pop'!$D$7:$D$143)</f>
        <v>MENA</v>
      </c>
      <c r="C4522" s="127">
        <f>1000*_xlfn.XLOOKUP(A4522,'[1]2050Pop'!$A$7:$A$143,'[1]2050Pop'!$C$7:$C$143)</f>
        <v>151111</v>
      </c>
      <c r="D4522" s="126" t="s">
        <v>541</v>
      </c>
      <c r="E4522" s="128">
        <v>1189.807</v>
      </c>
      <c r="F4522" s="129">
        <f t="shared" si="212"/>
        <v>179.79292557700001</v>
      </c>
      <c r="G4522" t="str">
        <f>_xlfn.XLOOKUP(D4522,'[1]2050 BAU Mapping to T &amp; C'!$A$3:$A$52,'[1]2050 BAU Mapping to T &amp; C'!$B$3:$B$52)</f>
        <v>Wheat</v>
      </c>
      <c r="H4522" s="129">
        <f>_xlfn.XLOOKUP(G4522,'[1]T&amp;C emissions for 2050 analysis'!$B$3:$B$23,'[1]T&amp;C emissions for 2050 analysis'!$C$3:$C$23)</f>
        <v>0.21999999999999997</v>
      </c>
      <c r="I4522" s="27">
        <f t="shared" si="210"/>
        <v>39.554443626939999</v>
      </c>
      <c r="J4522" s="129">
        <f t="shared" si="211"/>
        <v>261.75753999999995</v>
      </c>
    </row>
    <row r="4523" spans="1:10" hidden="1" x14ac:dyDescent="0.35">
      <c r="A4523" s="126" t="s">
        <v>392</v>
      </c>
      <c r="B4523" t="str">
        <f>_xlfn.XLOOKUP(A4523,'[1]2050Pop'!$A$7:$A$143,'[1]2050Pop'!$D$7:$D$143)</f>
        <v>LatAm &amp; RSA</v>
      </c>
      <c r="C4523" s="127">
        <f>1000*_xlfn.XLOOKUP(A4523,'[1]2050Pop'!$A$7:$A$143,'[1]2050Pop'!$C$7:$C$143)</f>
        <v>6390</v>
      </c>
      <c r="D4523" s="126" t="s">
        <v>541</v>
      </c>
      <c r="E4523" s="128">
        <v>299.53800000000001</v>
      </c>
      <c r="F4523" s="129">
        <f t="shared" si="212"/>
        <v>1.91404782</v>
      </c>
      <c r="G4523" t="str">
        <f>_xlfn.XLOOKUP(D4523,'[1]2050 BAU Mapping to T &amp; C'!$A$3:$A$52,'[1]2050 BAU Mapping to T &amp; C'!$B$3:$B$52)</f>
        <v>Wheat</v>
      </c>
      <c r="H4523" s="129">
        <f>_xlfn.XLOOKUP(G4523,'[1]T&amp;C emissions for 2050 analysis'!$B$3:$B$23,'[1]T&amp;C emissions for 2050 analysis'!$C$3:$C$23)</f>
        <v>0.21999999999999997</v>
      </c>
      <c r="I4523" s="27">
        <f t="shared" si="210"/>
        <v>0.42109052039999995</v>
      </c>
      <c r="J4523" s="129">
        <f t="shared" si="211"/>
        <v>65.898359999999997</v>
      </c>
    </row>
    <row r="4524" spans="1:10" hidden="1" x14ac:dyDescent="0.35">
      <c r="A4524" s="126" t="s">
        <v>393</v>
      </c>
      <c r="B4524" t="str">
        <f>_xlfn.XLOOKUP(A4524,'[1]2050Pop'!$A$7:$A$143,'[1]2050Pop'!$D$7:$D$143)</f>
        <v>Euro/AU/NZ</v>
      </c>
      <c r="C4524" s="127">
        <f>1000*_xlfn.XLOOKUP(A4524,'[1]2050Pop'!$A$7:$A$143,'[1]2050Pop'!$C$7:$C$143)</f>
        <v>1129</v>
      </c>
      <c r="D4524" s="126" t="s">
        <v>541</v>
      </c>
      <c r="E4524" s="128">
        <v>727.41899999999998</v>
      </c>
      <c r="F4524" s="129">
        <f t="shared" si="212"/>
        <v>0.82125605099999999</v>
      </c>
      <c r="G4524" t="str">
        <f>_xlfn.XLOOKUP(D4524,'[1]2050 BAU Mapping to T &amp; C'!$A$3:$A$52,'[1]2050 BAU Mapping to T &amp; C'!$B$3:$B$52)</f>
        <v>Wheat</v>
      </c>
      <c r="H4524" s="129">
        <f>_xlfn.XLOOKUP(G4524,'[1]T&amp;C emissions for 2050 analysis'!$B$3:$B$23,'[1]T&amp;C emissions for 2050 analysis'!$C$3:$C$23)</f>
        <v>0.21999999999999997</v>
      </c>
      <c r="I4524" s="27">
        <f t="shared" si="210"/>
        <v>0.18067633121999999</v>
      </c>
      <c r="J4524" s="129">
        <f t="shared" si="211"/>
        <v>160.03217999999998</v>
      </c>
    </row>
    <row r="4525" spans="1:10" hidden="1" x14ac:dyDescent="0.35">
      <c r="A4525" s="126" t="s">
        <v>394</v>
      </c>
      <c r="B4525" t="str">
        <f>_xlfn.XLOOKUP(A4525,'[1]2050Pop'!$A$7:$A$143,'[1]2050Pop'!$D$7:$D$143)</f>
        <v>SSA</v>
      </c>
      <c r="C4525" s="127">
        <f>1000*_xlfn.XLOOKUP(A4525,'[1]2050Pop'!$A$7:$A$143,'[1]2050Pop'!$C$7:$C$143)</f>
        <v>188455</v>
      </c>
      <c r="D4525" s="126" t="s">
        <v>541</v>
      </c>
      <c r="E4525" s="128">
        <v>338.90499999999997</v>
      </c>
      <c r="F4525" s="129">
        <f t="shared" si="212"/>
        <v>63.868341774999998</v>
      </c>
      <c r="G4525" t="str">
        <f>_xlfn.XLOOKUP(D4525,'[1]2050 BAU Mapping to T &amp; C'!$A$3:$A$52,'[1]2050 BAU Mapping to T &amp; C'!$B$3:$B$52)</f>
        <v>Wheat</v>
      </c>
      <c r="H4525" s="129">
        <f>_xlfn.XLOOKUP(G4525,'[1]T&amp;C emissions for 2050 analysis'!$B$3:$B$23,'[1]T&amp;C emissions for 2050 analysis'!$C$3:$C$23)</f>
        <v>0.21999999999999997</v>
      </c>
      <c r="I4525" s="27">
        <f t="shared" si="210"/>
        <v>14.051035190499999</v>
      </c>
      <c r="J4525" s="129">
        <f t="shared" si="211"/>
        <v>74.559099999999987</v>
      </c>
    </row>
    <row r="4526" spans="1:10" hidden="1" x14ac:dyDescent="0.35">
      <c r="A4526" s="126" t="s">
        <v>395</v>
      </c>
      <c r="B4526" t="str">
        <f>_xlfn.XLOOKUP(A4526,'[1]2050Pop'!$A$7:$A$143,'[1]2050Pop'!$D$7:$D$143)</f>
        <v>Euro/AU/NZ</v>
      </c>
      <c r="C4526" s="127">
        <f>1000*_xlfn.XLOOKUP(A4526,'[1]2050Pop'!$A$7:$A$143,'[1]2050Pop'!$C$7:$C$143)</f>
        <v>5752</v>
      </c>
      <c r="D4526" s="126" t="s">
        <v>541</v>
      </c>
      <c r="E4526" s="128">
        <v>694.34100000000001</v>
      </c>
      <c r="F4526" s="129">
        <f t="shared" si="212"/>
        <v>3.9938494320000002</v>
      </c>
      <c r="G4526" t="str">
        <f>_xlfn.XLOOKUP(D4526,'[1]2050 BAU Mapping to T &amp; C'!$A$3:$A$52,'[1]2050 BAU Mapping to T &amp; C'!$B$3:$B$52)</f>
        <v>Wheat</v>
      </c>
      <c r="H4526" s="129">
        <f>_xlfn.XLOOKUP(G4526,'[1]T&amp;C emissions for 2050 analysis'!$B$3:$B$23,'[1]T&amp;C emissions for 2050 analysis'!$C$3:$C$23)</f>
        <v>0.21999999999999997</v>
      </c>
      <c r="I4526" s="27">
        <f t="shared" si="210"/>
        <v>0.87864687503999994</v>
      </c>
      <c r="J4526" s="129">
        <f t="shared" si="211"/>
        <v>152.75501999999997</v>
      </c>
    </row>
    <row r="4527" spans="1:10" hidden="1" x14ac:dyDescent="0.35">
      <c r="A4527" s="126" t="s">
        <v>396</v>
      </c>
      <c r="B4527" t="str">
        <f>_xlfn.XLOOKUP(A4527,'[1]2050Pop'!$A$7:$A$143,'[1]2050Pop'!$D$7:$D$143)</f>
        <v>Euro/AU/NZ</v>
      </c>
      <c r="C4527" s="127">
        <f>1000*_xlfn.XLOOKUP(A4527,'[1]2050Pop'!$A$7:$A$143,'[1]2050Pop'!$C$7:$C$143)</f>
        <v>71137</v>
      </c>
      <c r="D4527" s="126" t="s">
        <v>541</v>
      </c>
      <c r="E4527" s="128">
        <v>838.38099999999997</v>
      </c>
      <c r="F4527" s="129">
        <f t="shared" si="212"/>
        <v>59.639909196999994</v>
      </c>
      <c r="G4527" t="str">
        <f>_xlfn.XLOOKUP(D4527,'[1]2050 BAU Mapping to T &amp; C'!$A$3:$A$52,'[1]2050 BAU Mapping to T &amp; C'!$B$3:$B$52)</f>
        <v>Wheat</v>
      </c>
      <c r="H4527" s="129">
        <f>_xlfn.XLOOKUP(G4527,'[1]T&amp;C emissions for 2050 analysis'!$B$3:$B$23,'[1]T&amp;C emissions for 2050 analysis'!$C$3:$C$23)</f>
        <v>0.21999999999999997</v>
      </c>
      <c r="I4527" s="27">
        <f t="shared" si="210"/>
        <v>13.120780023339996</v>
      </c>
      <c r="J4527" s="129">
        <f t="shared" si="211"/>
        <v>184.44381999999996</v>
      </c>
    </row>
    <row r="4528" spans="1:10" hidden="1" x14ac:dyDescent="0.35">
      <c r="A4528" s="126" t="s">
        <v>397</v>
      </c>
      <c r="B4528" t="str">
        <f>_xlfn.XLOOKUP(A4528,'[1]2050Pop'!$A$7:$A$143,'[1]2050Pop'!$D$7:$D$143)</f>
        <v>SSA</v>
      </c>
      <c r="C4528" s="127">
        <f>1000*_xlfn.XLOOKUP(A4528,'[1]2050Pop'!$A$7:$A$143,'[1]2050Pop'!$C$7:$C$143)</f>
        <v>3164</v>
      </c>
      <c r="D4528" s="126" t="s">
        <v>541</v>
      </c>
      <c r="E4528" s="128">
        <v>524.89200000000005</v>
      </c>
      <c r="F4528" s="129">
        <f t="shared" si="212"/>
        <v>1.6607582880000002</v>
      </c>
      <c r="G4528" t="str">
        <f>_xlfn.XLOOKUP(D4528,'[1]2050 BAU Mapping to T &amp; C'!$A$3:$A$52,'[1]2050 BAU Mapping to T &amp; C'!$B$3:$B$52)</f>
        <v>Wheat</v>
      </c>
      <c r="H4528" s="129">
        <f>_xlfn.XLOOKUP(G4528,'[1]T&amp;C emissions for 2050 analysis'!$B$3:$B$23,'[1]T&amp;C emissions for 2050 analysis'!$C$3:$C$23)</f>
        <v>0.21999999999999997</v>
      </c>
      <c r="I4528" s="27">
        <f t="shared" si="210"/>
        <v>0.36536682336000004</v>
      </c>
      <c r="J4528" s="129">
        <f t="shared" si="211"/>
        <v>115.47624</v>
      </c>
    </row>
    <row r="4529" spans="1:10" hidden="1" x14ac:dyDescent="0.35">
      <c r="A4529" s="126" t="s">
        <v>489</v>
      </c>
      <c r="B4529" t="str">
        <f>_xlfn.XLOOKUP(A4529,'[1]2050Pop'!$A$7:$A$143,'[1]2050Pop'!$D$7:$D$143)</f>
        <v>SSA</v>
      </c>
      <c r="C4529" s="127">
        <f>1000*_xlfn.XLOOKUP(A4529,'[1]2050Pop'!$A$7:$A$143,'[1]2050Pop'!$C$7:$C$143)</f>
        <v>4981</v>
      </c>
      <c r="D4529" s="126" t="s">
        <v>541</v>
      </c>
      <c r="E4529" s="128">
        <v>409.79899999999998</v>
      </c>
      <c r="F4529" s="129">
        <f t="shared" si="212"/>
        <v>2.041208819</v>
      </c>
      <c r="G4529" t="str">
        <f>_xlfn.XLOOKUP(D4529,'[1]2050 BAU Mapping to T &amp; C'!$A$3:$A$52,'[1]2050 BAU Mapping to T &amp; C'!$B$3:$B$52)</f>
        <v>Wheat</v>
      </c>
      <c r="H4529" s="129">
        <f>_xlfn.XLOOKUP(G4529,'[1]T&amp;C emissions for 2050 analysis'!$B$3:$B$23,'[1]T&amp;C emissions for 2050 analysis'!$C$3:$C$23)</f>
        <v>0.21999999999999997</v>
      </c>
      <c r="I4529" s="27">
        <f t="shared" si="210"/>
        <v>0.44906594017999996</v>
      </c>
      <c r="J4529" s="129">
        <f t="shared" si="211"/>
        <v>90.155779999999979</v>
      </c>
    </row>
    <row r="4530" spans="1:10" hidden="1" x14ac:dyDescent="0.35">
      <c r="A4530" s="126" t="s">
        <v>398</v>
      </c>
      <c r="B4530" t="str">
        <f>_xlfn.XLOOKUP(A4530,'[1]2050Pop'!$A$7:$A$143,'[1]2050Pop'!$D$7:$D$143)</f>
        <v>MENA</v>
      </c>
      <c r="C4530" s="127">
        <f>1000*_xlfn.XLOOKUP(A4530,'[1]2050Pop'!$A$7:$A$143,'[1]2050Pop'!$C$7:$C$143)</f>
        <v>3483</v>
      </c>
      <c r="D4530" s="126" t="s">
        <v>541</v>
      </c>
      <c r="E4530" s="128">
        <v>1140.0409999999999</v>
      </c>
      <c r="F4530" s="129">
        <f t="shared" si="212"/>
        <v>3.970762803</v>
      </c>
      <c r="G4530" t="str">
        <f>_xlfn.XLOOKUP(D4530,'[1]2050 BAU Mapping to T &amp; C'!$A$3:$A$52,'[1]2050 BAU Mapping to T &amp; C'!$B$3:$B$52)</f>
        <v>Wheat</v>
      </c>
      <c r="H4530" s="129">
        <f>_xlfn.XLOOKUP(G4530,'[1]T&amp;C emissions for 2050 analysis'!$B$3:$B$23,'[1]T&amp;C emissions for 2050 analysis'!$C$3:$C$23)</f>
        <v>0.21999999999999997</v>
      </c>
      <c r="I4530" s="27">
        <f t="shared" si="210"/>
        <v>0.87356781665999983</v>
      </c>
      <c r="J4530" s="129">
        <f t="shared" si="211"/>
        <v>250.80901999999995</v>
      </c>
    </row>
    <row r="4531" spans="1:10" hidden="1" x14ac:dyDescent="0.35">
      <c r="A4531" s="126" t="s">
        <v>399</v>
      </c>
      <c r="B4531" t="str">
        <f>_xlfn.XLOOKUP(A4531,'[1]2050Pop'!$A$7:$A$143,'[1]2050Pop'!$D$7:$D$143)</f>
        <v>Euro/AU/NZ</v>
      </c>
      <c r="C4531" s="127">
        <f>1000*_xlfn.XLOOKUP(A4531,'[1]2050Pop'!$A$7:$A$143,'[1]2050Pop'!$C$7:$C$143)</f>
        <v>74513</v>
      </c>
      <c r="D4531" s="126" t="s">
        <v>541</v>
      </c>
      <c r="E4531" s="128">
        <v>692.05700000000002</v>
      </c>
      <c r="F4531" s="129">
        <f t="shared" si="212"/>
        <v>51.567243241000007</v>
      </c>
      <c r="G4531" t="str">
        <f>_xlfn.XLOOKUP(D4531,'[1]2050 BAU Mapping to T &amp; C'!$A$3:$A$52,'[1]2050 BAU Mapping to T &amp; C'!$B$3:$B$52)</f>
        <v>Wheat</v>
      </c>
      <c r="H4531" s="129">
        <f>_xlfn.XLOOKUP(G4531,'[1]T&amp;C emissions for 2050 analysis'!$B$3:$B$23,'[1]T&amp;C emissions for 2050 analysis'!$C$3:$C$23)</f>
        <v>0.21999999999999997</v>
      </c>
      <c r="I4531" s="27">
        <f t="shared" si="210"/>
        <v>11.344793513020001</v>
      </c>
      <c r="J4531" s="129">
        <f t="shared" si="211"/>
        <v>152.25253999999998</v>
      </c>
    </row>
    <row r="4532" spans="1:10" hidden="1" x14ac:dyDescent="0.35">
      <c r="A4532" s="126" t="s">
        <v>400</v>
      </c>
      <c r="B4532" t="str">
        <f>_xlfn.XLOOKUP(A4532,'[1]2050Pop'!$A$7:$A$143,'[1]2050Pop'!$D$7:$D$143)</f>
        <v>SSA</v>
      </c>
      <c r="C4532" s="127">
        <f>1000*_xlfn.XLOOKUP(A4532,'[1]2050Pop'!$A$7:$A$143,'[1]2050Pop'!$C$7:$C$143)</f>
        <v>50071</v>
      </c>
      <c r="D4532" s="126" t="s">
        <v>541</v>
      </c>
      <c r="E4532" s="128">
        <v>127.401</v>
      </c>
      <c r="F4532" s="129">
        <f t="shared" si="212"/>
        <v>6.3790954710000003</v>
      </c>
      <c r="G4532" t="str">
        <f>_xlfn.XLOOKUP(D4532,'[1]2050 BAU Mapping to T &amp; C'!$A$3:$A$52,'[1]2050 BAU Mapping to T &amp; C'!$B$3:$B$52)</f>
        <v>Wheat</v>
      </c>
      <c r="H4532" s="129">
        <f>_xlfn.XLOOKUP(G4532,'[1]T&amp;C emissions for 2050 analysis'!$B$3:$B$23,'[1]T&amp;C emissions for 2050 analysis'!$C$3:$C$23)</f>
        <v>0.21999999999999997</v>
      </c>
      <c r="I4532" s="27">
        <f t="shared" si="210"/>
        <v>1.40340100362</v>
      </c>
      <c r="J4532" s="129">
        <f t="shared" si="211"/>
        <v>28.028219999999997</v>
      </c>
    </row>
    <row r="4533" spans="1:10" hidden="1" x14ac:dyDescent="0.35">
      <c r="A4533" s="126" t="s">
        <v>401</v>
      </c>
      <c r="B4533" t="str">
        <f>_xlfn.XLOOKUP(A4533,'[1]2050Pop'!$A$7:$A$143,'[1]2050Pop'!$D$7:$D$143)</f>
        <v>Euro/AU/NZ</v>
      </c>
      <c r="C4533" s="127">
        <f>1000*_xlfn.XLOOKUP(A4533,'[1]2050Pop'!$A$7:$A$143,'[1]2050Pop'!$C$7:$C$143)</f>
        <v>9705</v>
      </c>
      <c r="D4533" s="126" t="s">
        <v>541</v>
      </c>
      <c r="E4533" s="128">
        <v>872.65200000000004</v>
      </c>
      <c r="F4533" s="129">
        <f t="shared" si="212"/>
        <v>8.4690876599999996</v>
      </c>
      <c r="G4533" t="str">
        <f>_xlfn.XLOOKUP(D4533,'[1]2050 BAU Mapping to T &amp; C'!$A$3:$A$52,'[1]2050 BAU Mapping to T &amp; C'!$B$3:$B$52)</f>
        <v>Wheat</v>
      </c>
      <c r="H4533" s="129">
        <f>_xlfn.XLOOKUP(G4533,'[1]T&amp;C emissions for 2050 analysis'!$B$3:$B$23,'[1]T&amp;C emissions for 2050 analysis'!$C$3:$C$23)</f>
        <v>0.21999999999999997</v>
      </c>
      <c r="I4533" s="27">
        <f t="shared" si="210"/>
        <v>1.8631992851999997</v>
      </c>
      <c r="J4533" s="129">
        <f t="shared" si="211"/>
        <v>191.98343999999997</v>
      </c>
    </row>
    <row r="4534" spans="1:10" hidden="1" x14ac:dyDescent="0.35">
      <c r="A4534" s="126" t="s">
        <v>402</v>
      </c>
      <c r="B4534" t="str">
        <f>_xlfn.XLOOKUP(A4534,'[1]2050Pop'!$A$7:$A$143,'[1]2050Pop'!$D$7:$D$143)</f>
        <v>LatAm &amp; RSA</v>
      </c>
      <c r="C4534" s="127">
        <f>1000*_xlfn.XLOOKUP(A4534,'[1]2050Pop'!$A$7:$A$143,'[1]2050Pop'!$C$7:$C$143)</f>
        <v>27754</v>
      </c>
      <c r="D4534" s="126" t="s">
        <v>541</v>
      </c>
      <c r="E4534" s="128">
        <v>313.608</v>
      </c>
      <c r="F4534" s="129">
        <f t="shared" si="212"/>
        <v>8.7038764319999995</v>
      </c>
      <c r="G4534" t="str">
        <f>_xlfn.XLOOKUP(D4534,'[1]2050 BAU Mapping to T &amp; C'!$A$3:$A$52,'[1]2050 BAU Mapping to T &amp; C'!$B$3:$B$52)</f>
        <v>Wheat</v>
      </c>
      <c r="H4534" s="129">
        <f>_xlfn.XLOOKUP(G4534,'[1]T&amp;C emissions for 2050 analysis'!$B$3:$B$23,'[1]T&amp;C emissions for 2050 analysis'!$C$3:$C$23)</f>
        <v>0.21999999999999997</v>
      </c>
      <c r="I4534" s="27">
        <f t="shared" si="210"/>
        <v>1.9148528150399997</v>
      </c>
      <c r="J4534" s="129">
        <f t="shared" si="211"/>
        <v>68.993759999999995</v>
      </c>
    </row>
    <row r="4535" spans="1:10" hidden="1" x14ac:dyDescent="0.35">
      <c r="A4535" s="126" t="s">
        <v>403</v>
      </c>
      <c r="B4535" t="str">
        <f>_xlfn.XLOOKUP(A4535,'[1]2050Pop'!$A$7:$A$143,'[1]2050Pop'!$D$7:$D$143)</f>
        <v>SSA</v>
      </c>
      <c r="C4535" s="127">
        <f>1000*_xlfn.XLOOKUP(A4535,'[1]2050Pop'!$A$7:$A$143,'[1]2050Pop'!$C$7:$C$143)</f>
        <v>27486</v>
      </c>
      <c r="D4535" s="126" t="s">
        <v>541</v>
      </c>
      <c r="E4535" s="128">
        <v>135.56800000000001</v>
      </c>
      <c r="F4535" s="129">
        <f t="shared" si="212"/>
        <v>3.7262220480000003</v>
      </c>
      <c r="G4535" t="str">
        <f>_xlfn.XLOOKUP(D4535,'[1]2050 BAU Mapping to T &amp; C'!$A$3:$A$52,'[1]2050 BAU Mapping to T &amp; C'!$B$3:$B$52)</f>
        <v>Wheat</v>
      </c>
      <c r="H4535" s="129">
        <f>_xlfn.XLOOKUP(G4535,'[1]T&amp;C emissions for 2050 analysis'!$B$3:$B$23,'[1]T&amp;C emissions for 2050 analysis'!$C$3:$C$23)</f>
        <v>0.21999999999999997</v>
      </c>
      <c r="I4535" s="27">
        <f t="shared" si="210"/>
        <v>0.81976885055999993</v>
      </c>
      <c r="J4535" s="129">
        <f t="shared" si="211"/>
        <v>29.824960000000001</v>
      </c>
    </row>
    <row r="4536" spans="1:10" hidden="1" x14ac:dyDescent="0.35">
      <c r="A4536" s="126" t="s">
        <v>404</v>
      </c>
      <c r="B4536" t="str">
        <f>_xlfn.XLOOKUP(A4536,'[1]2050Pop'!$A$7:$A$143,'[1]2050Pop'!$D$7:$D$143)</f>
        <v>LatAm &amp; RSA</v>
      </c>
      <c r="C4536" s="127">
        <f>1000*_xlfn.XLOOKUP(A4536,'[1]2050Pop'!$A$7:$A$143,'[1]2050Pop'!$C$7:$C$143)</f>
        <v>806</v>
      </c>
      <c r="D4536" s="126" t="s">
        <v>541</v>
      </c>
      <c r="E4536" s="131">
        <v>436.4</v>
      </c>
      <c r="F4536" s="129">
        <f t="shared" si="212"/>
        <v>0.35173839999999995</v>
      </c>
      <c r="G4536" t="str">
        <f>_xlfn.XLOOKUP(D4536,'[1]2050 BAU Mapping to T &amp; C'!$A$3:$A$52,'[1]2050 BAU Mapping to T &amp; C'!$B$3:$B$52)</f>
        <v>Wheat</v>
      </c>
      <c r="H4536" s="129">
        <f>_xlfn.XLOOKUP(G4536,'[1]T&amp;C emissions for 2050 analysis'!$B$3:$B$23,'[1]T&amp;C emissions for 2050 analysis'!$C$3:$C$23)</f>
        <v>0.21999999999999997</v>
      </c>
      <c r="I4536" s="27">
        <f t="shared" si="210"/>
        <v>7.7382447999999979E-2</v>
      </c>
      <c r="J4536" s="129">
        <f t="shared" si="211"/>
        <v>96.007999999999981</v>
      </c>
    </row>
    <row r="4537" spans="1:10" hidden="1" x14ac:dyDescent="0.35">
      <c r="A4537" s="126" t="s">
        <v>405</v>
      </c>
      <c r="B4537" t="str">
        <f>_xlfn.XLOOKUP(A4537,'[1]2050Pop'!$A$7:$A$143,'[1]2050Pop'!$D$7:$D$143)</f>
        <v>LatAm &amp; RSA</v>
      </c>
      <c r="C4537" s="127">
        <f>1000*_xlfn.XLOOKUP(A4537,'[1]2050Pop'!$A$7:$A$143,'[1]2050Pop'!$C$7:$C$143)</f>
        <v>14189</v>
      </c>
      <c r="D4537" s="126" t="s">
        <v>541</v>
      </c>
      <c r="E4537" s="128">
        <v>136.411</v>
      </c>
      <c r="F4537" s="129">
        <f t="shared" si="212"/>
        <v>1.935535679</v>
      </c>
      <c r="G4537" t="str">
        <f>_xlfn.XLOOKUP(D4537,'[1]2050 BAU Mapping to T &amp; C'!$A$3:$A$52,'[1]2050 BAU Mapping to T &amp; C'!$B$3:$B$52)</f>
        <v>Wheat</v>
      </c>
      <c r="H4537" s="129">
        <f>_xlfn.XLOOKUP(G4537,'[1]T&amp;C emissions for 2050 analysis'!$B$3:$B$23,'[1]T&amp;C emissions for 2050 analysis'!$C$3:$C$23)</f>
        <v>0.21999999999999997</v>
      </c>
      <c r="I4537" s="27">
        <f t="shared" si="210"/>
        <v>0.42581784937999995</v>
      </c>
      <c r="J4537" s="129">
        <f t="shared" si="211"/>
        <v>30.010419999999996</v>
      </c>
    </row>
    <row r="4538" spans="1:10" hidden="1" x14ac:dyDescent="0.35">
      <c r="A4538" s="126" t="s">
        <v>406</v>
      </c>
      <c r="B4538" t="str">
        <f>_xlfn.XLOOKUP(A4538,'[1]2050Pop'!$A$7:$A$143,'[1]2050Pop'!$D$7:$D$143)</f>
        <v>LatAm &amp; RSA</v>
      </c>
      <c r="C4538" s="127">
        <f>1000*_xlfn.XLOOKUP(A4538,'[1]2050Pop'!$A$7:$A$143,'[1]2050Pop'!$C$7:$C$143)</f>
        <v>11217</v>
      </c>
      <c r="D4538" s="126" t="s">
        <v>541</v>
      </c>
      <c r="E4538" s="128">
        <v>329.54199999999997</v>
      </c>
      <c r="F4538" s="129">
        <f t="shared" si="212"/>
        <v>3.6964726139999997</v>
      </c>
      <c r="G4538" t="str">
        <f>_xlfn.XLOOKUP(D4538,'[1]2050 BAU Mapping to T &amp; C'!$A$3:$A$52,'[1]2050 BAU Mapping to T &amp; C'!$B$3:$B$52)</f>
        <v>Wheat</v>
      </c>
      <c r="H4538" s="129">
        <f>_xlfn.XLOOKUP(G4538,'[1]T&amp;C emissions for 2050 analysis'!$B$3:$B$23,'[1]T&amp;C emissions for 2050 analysis'!$C$3:$C$23)</f>
        <v>0.21999999999999997</v>
      </c>
      <c r="I4538" s="27">
        <f t="shared" si="210"/>
        <v>0.81322397507999988</v>
      </c>
      <c r="J4538" s="129">
        <f t="shared" si="211"/>
        <v>72.499239999999986</v>
      </c>
    </row>
    <row r="4539" spans="1:10" hidden="1" x14ac:dyDescent="0.35">
      <c r="A4539" s="126" t="s">
        <v>407</v>
      </c>
      <c r="B4539" t="str">
        <f>_xlfn.XLOOKUP(A4539,'[1]2050Pop'!$A$7:$A$143,'[1]2050Pop'!$D$7:$D$143)</f>
        <v>Euro/AU/NZ</v>
      </c>
      <c r="C4539" s="127">
        <f>1000*_xlfn.XLOOKUP(A4539,'[1]2050Pop'!$A$7:$A$143,'[1]2050Pop'!$C$7:$C$143)</f>
        <v>8318</v>
      </c>
      <c r="D4539" s="126" t="s">
        <v>541</v>
      </c>
      <c r="E4539" s="128">
        <v>784.72900000000004</v>
      </c>
      <c r="F4539" s="129">
        <f t="shared" si="212"/>
        <v>6.5273758220000007</v>
      </c>
      <c r="G4539" t="str">
        <f>_xlfn.XLOOKUP(D4539,'[1]2050 BAU Mapping to T &amp; C'!$A$3:$A$52,'[1]2050 BAU Mapping to T &amp; C'!$B$3:$B$52)</f>
        <v>Wheat</v>
      </c>
      <c r="H4539" s="129">
        <f>_xlfn.XLOOKUP(G4539,'[1]T&amp;C emissions for 2050 analysis'!$B$3:$B$23,'[1]T&amp;C emissions for 2050 analysis'!$C$3:$C$23)</f>
        <v>0.21999999999999997</v>
      </c>
      <c r="I4539" s="27">
        <f t="shared" si="210"/>
        <v>1.4360226808400001</v>
      </c>
      <c r="J4539" s="129">
        <f t="shared" si="211"/>
        <v>172.64037999999999</v>
      </c>
    </row>
    <row r="4540" spans="1:10" hidden="1" x14ac:dyDescent="0.35">
      <c r="A4540" s="126" t="s">
        <v>408</v>
      </c>
      <c r="B4540" t="str">
        <f>_xlfn.XLOOKUP(A4540,'[1]2050Pop'!$A$7:$A$143,'[1]2050Pop'!$D$7:$D$143)</f>
        <v>India/South Asia</v>
      </c>
      <c r="C4540" s="127">
        <f>1000*_xlfn.XLOOKUP(A4540,'[1]2050Pop'!$A$7:$A$143,'[1]2050Pop'!$C$7:$C$143)</f>
        <v>1705333</v>
      </c>
      <c r="D4540" s="126" t="s">
        <v>541</v>
      </c>
      <c r="E4540" s="128">
        <v>522.23900000000003</v>
      </c>
      <c r="F4540" s="129">
        <f t="shared" si="212"/>
        <v>890.59140058700007</v>
      </c>
      <c r="G4540" t="str">
        <f>_xlfn.XLOOKUP(D4540,'[1]2050 BAU Mapping to T &amp; C'!$A$3:$A$52,'[1]2050 BAU Mapping to T &amp; C'!$B$3:$B$52)</f>
        <v>Wheat</v>
      </c>
      <c r="H4540" s="129">
        <f>_xlfn.XLOOKUP(G4540,'[1]T&amp;C emissions for 2050 analysis'!$B$3:$B$23,'[1]T&amp;C emissions for 2050 analysis'!$C$3:$C$23)</f>
        <v>0.21999999999999997</v>
      </c>
      <c r="I4540" s="27">
        <f t="shared" si="210"/>
        <v>195.93010812914</v>
      </c>
      <c r="J4540" s="129">
        <f t="shared" si="211"/>
        <v>114.89258</v>
      </c>
    </row>
    <row r="4541" spans="1:10" hidden="1" x14ac:dyDescent="0.35">
      <c r="A4541" s="126" t="s">
        <v>409</v>
      </c>
      <c r="B4541" t="str">
        <f>_xlfn.XLOOKUP(A4541,'[1]2050Pop'!$A$7:$A$143,'[1]2050Pop'!$D$7:$D$143)</f>
        <v>APAC</v>
      </c>
      <c r="C4541" s="127">
        <f>1000*_xlfn.XLOOKUP(A4541,'[1]2050Pop'!$A$7:$A$143,'[1]2050Pop'!$C$7:$C$143)</f>
        <v>322237</v>
      </c>
      <c r="D4541" s="126" t="s">
        <v>541</v>
      </c>
      <c r="E4541" s="128">
        <v>161.679</v>
      </c>
      <c r="F4541" s="129">
        <f t="shared" si="212"/>
        <v>52.098955922999998</v>
      </c>
      <c r="G4541" t="str">
        <f>_xlfn.XLOOKUP(D4541,'[1]2050 BAU Mapping to T &amp; C'!$A$3:$A$52,'[1]2050 BAU Mapping to T &amp; C'!$B$3:$B$52)</f>
        <v>Wheat</v>
      </c>
      <c r="H4541" s="129">
        <f>_xlfn.XLOOKUP(G4541,'[1]T&amp;C emissions for 2050 analysis'!$B$3:$B$23,'[1]T&amp;C emissions for 2050 analysis'!$C$3:$C$23)</f>
        <v>0.21999999999999997</v>
      </c>
      <c r="I4541" s="27">
        <f t="shared" si="210"/>
        <v>11.461770303059998</v>
      </c>
      <c r="J4541" s="129">
        <f t="shared" si="211"/>
        <v>35.569379999999995</v>
      </c>
    </row>
    <row r="4542" spans="1:10" hidden="1" x14ac:dyDescent="0.35">
      <c r="A4542" s="126" t="s">
        <v>410</v>
      </c>
      <c r="B4542" t="str">
        <f>_xlfn.XLOOKUP(A4542,'[1]2050Pop'!$A$7:$A$143,'[1]2050Pop'!$D$7:$D$143)</f>
        <v>India/South Asia</v>
      </c>
      <c r="C4542" s="127">
        <f>1000*_xlfn.XLOOKUP(A4542,'[1]2050Pop'!$A$7:$A$143,'[1]2050Pop'!$C$7:$C$143)</f>
        <v>92219</v>
      </c>
      <c r="D4542" s="126" t="s">
        <v>541</v>
      </c>
      <c r="E4542" s="128">
        <v>1266.7639999999999</v>
      </c>
      <c r="F4542" s="129">
        <f t="shared" si="212"/>
        <v>116.81970931599999</v>
      </c>
      <c r="G4542" t="str">
        <f>_xlfn.XLOOKUP(D4542,'[1]2050 BAU Mapping to T &amp; C'!$A$3:$A$52,'[1]2050 BAU Mapping to T &amp; C'!$B$3:$B$52)</f>
        <v>Wheat</v>
      </c>
      <c r="H4542" s="129">
        <f>_xlfn.XLOOKUP(G4542,'[1]T&amp;C emissions for 2050 analysis'!$B$3:$B$23,'[1]T&amp;C emissions for 2050 analysis'!$C$3:$C$23)</f>
        <v>0.21999999999999997</v>
      </c>
      <c r="I4542" s="27">
        <f t="shared" si="210"/>
        <v>25.700336049519994</v>
      </c>
      <c r="J4542" s="129">
        <f t="shared" si="211"/>
        <v>278.68807999999996</v>
      </c>
    </row>
    <row r="4543" spans="1:10" hidden="1" x14ac:dyDescent="0.35">
      <c r="A4543" s="126" t="s">
        <v>411</v>
      </c>
      <c r="B4543" t="str">
        <f>_xlfn.XLOOKUP(A4543,'[1]2050Pop'!$A$7:$A$143,'[1]2050Pop'!$D$7:$D$143)</f>
        <v>MENA</v>
      </c>
      <c r="C4543" s="127">
        <f>1000*_xlfn.XLOOKUP(A4543,'[1]2050Pop'!$A$7:$A$143,'[1]2050Pop'!$C$7:$C$143)</f>
        <v>83652</v>
      </c>
      <c r="D4543" s="126" t="s">
        <v>541</v>
      </c>
      <c r="E4543" s="128">
        <v>1053.9549999999999</v>
      </c>
      <c r="F4543" s="129">
        <f t="shared" si="212"/>
        <v>88.165443659999994</v>
      </c>
      <c r="G4543" t="str">
        <f>_xlfn.XLOOKUP(D4543,'[1]2050 BAU Mapping to T &amp; C'!$A$3:$A$52,'[1]2050 BAU Mapping to T &amp; C'!$B$3:$B$52)</f>
        <v>Wheat</v>
      </c>
      <c r="H4543" s="129">
        <f>_xlfn.XLOOKUP(G4543,'[1]T&amp;C emissions for 2050 analysis'!$B$3:$B$23,'[1]T&amp;C emissions for 2050 analysis'!$C$3:$C$23)</f>
        <v>0.21999999999999997</v>
      </c>
      <c r="I4543" s="27">
        <f t="shared" si="210"/>
        <v>19.396397605199997</v>
      </c>
      <c r="J4543" s="129">
        <f t="shared" si="211"/>
        <v>231.87009999999995</v>
      </c>
    </row>
    <row r="4544" spans="1:10" hidden="1" x14ac:dyDescent="0.35">
      <c r="A4544" s="126" t="s">
        <v>412</v>
      </c>
      <c r="B4544" t="str">
        <f>_xlfn.XLOOKUP(A4544,'[1]2050Pop'!$A$7:$A$143,'[1]2050Pop'!$D$7:$D$143)</f>
        <v>Euro/AU/NZ</v>
      </c>
      <c r="C4544" s="127">
        <f>1000*_xlfn.XLOOKUP(A4544,'[1]2050Pop'!$A$7:$A$143,'[1]2050Pop'!$C$7:$C$143)</f>
        <v>5789</v>
      </c>
      <c r="D4544" s="126" t="s">
        <v>541</v>
      </c>
      <c r="E4544" s="128">
        <v>969.93100000000004</v>
      </c>
      <c r="F4544" s="129">
        <f t="shared" si="212"/>
        <v>5.6149305590000003</v>
      </c>
      <c r="G4544" t="str">
        <f>_xlfn.XLOOKUP(D4544,'[1]2050 BAU Mapping to T &amp; C'!$A$3:$A$52,'[1]2050 BAU Mapping to T &amp; C'!$B$3:$B$52)</f>
        <v>Wheat</v>
      </c>
      <c r="H4544" s="129">
        <f>_xlfn.XLOOKUP(G4544,'[1]T&amp;C emissions for 2050 analysis'!$B$3:$B$23,'[1]T&amp;C emissions for 2050 analysis'!$C$3:$C$23)</f>
        <v>0.21999999999999997</v>
      </c>
      <c r="I4544" s="27">
        <f t="shared" si="210"/>
        <v>1.2352847229799999</v>
      </c>
      <c r="J4544" s="129">
        <f t="shared" si="211"/>
        <v>213.38481999999999</v>
      </c>
    </row>
    <row r="4545" spans="1:10" hidden="1" x14ac:dyDescent="0.35">
      <c r="A4545" s="126" t="s">
        <v>413</v>
      </c>
      <c r="B4545" t="str">
        <f>_xlfn.XLOOKUP(A4545,'[1]2050Pop'!$A$7:$A$143,'[1]2050Pop'!$D$7:$D$143)</f>
        <v>MENA</v>
      </c>
      <c r="C4545" s="127">
        <f>1000*_xlfn.XLOOKUP(A4545,'[1]2050Pop'!$A$7:$A$143,'[1]2050Pop'!$C$7:$C$143)</f>
        <v>12610</v>
      </c>
      <c r="D4545" s="126" t="s">
        <v>541</v>
      </c>
      <c r="E4545" s="130">
        <v>913.68</v>
      </c>
      <c r="F4545" s="129">
        <f t="shared" si="212"/>
        <v>11.521504799999999</v>
      </c>
      <c r="G4545" t="str">
        <f>_xlfn.XLOOKUP(D4545,'[1]2050 BAU Mapping to T &amp; C'!$A$3:$A$52,'[1]2050 BAU Mapping to T &amp; C'!$B$3:$B$52)</f>
        <v>Wheat</v>
      </c>
      <c r="H4545" s="129">
        <f>_xlfn.XLOOKUP(G4545,'[1]T&amp;C emissions for 2050 analysis'!$B$3:$B$23,'[1]T&amp;C emissions for 2050 analysis'!$C$3:$C$23)</f>
        <v>0.21999999999999997</v>
      </c>
      <c r="I4545" s="27">
        <f t="shared" si="210"/>
        <v>2.5347310559999996</v>
      </c>
      <c r="J4545" s="129">
        <f t="shared" si="211"/>
        <v>201.00959999999998</v>
      </c>
    </row>
    <row r="4546" spans="1:10" hidden="1" x14ac:dyDescent="0.35">
      <c r="A4546" s="126" t="s">
        <v>414</v>
      </c>
      <c r="B4546" t="str">
        <f>_xlfn.XLOOKUP(A4546,'[1]2050Pop'!$A$7:$A$143,'[1]2050Pop'!$D$7:$D$143)</f>
        <v>Euro/AU/NZ</v>
      </c>
      <c r="C4546" s="127">
        <f>1000*_xlfn.XLOOKUP(A4546,'[1]2050Pop'!$A$7:$A$143,'[1]2050Pop'!$C$7:$C$143)</f>
        <v>56513</v>
      </c>
      <c r="D4546" s="126" t="s">
        <v>541</v>
      </c>
      <c r="E4546" s="128">
        <v>1067.884</v>
      </c>
      <c r="F4546" s="129">
        <f t="shared" si="212"/>
        <v>60.349328491999998</v>
      </c>
      <c r="G4546" t="str">
        <f>_xlfn.XLOOKUP(D4546,'[1]2050 BAU Mapping to T &amp; C'!$A$3:$A$52,'[1]2050 BAU Mapping to T &amp; C'!$B$3:$B$52)</f>
        <v>Wheat</v>
      </c>
      <c r="H4546" s="129">
        <f>_xlfn.XLOOKUP(G4546,'[1]T&amp;C emissions for 2050 analysis'!$B$3:$B$23,'[1]T&amp;C emissions for 2050 analysis'!$C$3:$C$23)</f>
        <v>0.21999999999999997</v>
      </c>
      <c r="I4546" s="27">
        <f t="shared" si="210"/>
        <v>13.276852268239997</v>
      </c>
      <c r="J4546" s="129">
        <f t="shared" si="211"/>
        <v>234.93447999999998</v>
      </c>
    </row>
    <row r="4547" spans="1:10" hidden="1" x14ac:dyDescent="0.35">
      <c r="A4547" s="126" t="s">
        <v>415</v>
      </c>
      <c r="B4547" t="str">
        <f>_xlfn.XLOOKUP(A4547,'[1]2050Pop'!$A$7:$A$143,'[1]2050Pop'!$D$7:$D$143)</f>
        <v>LatAm &amp; RSA</v>
      </c>
      <c r="C4547" s="127">
        <f>1000*_xlfn.XLOOKUP(A4547,'[1]2050Pop'!$A$7:$A$143,'[1]2050Pop'!$C$7:$C$143)</f>
        <v>2710</v>
      </c>
      <c r="D4547" s="126" t="s">
        <v>541</v>
      </c>
      <c r="E4547" s="128">
        <v>577.03899999999999</v>
      </c>
      <c r="F4547" s="129">
        <f t="shared" si="212"/>
        <v>1.5637756899999999</v>
      </c>
      <c r="G4547" t="str">
        <f>_xlfn.XLOOKUP(D4547,'[1]2050 BAU Mapping to T &amp; C'!$A$3:$A$52,'[1]2050 BAU Mapping to T &amp; C'!$B$3:$B$52)</f>
        <v>Wheat</v>
      </c>
      <c r="H4547" s="129">
        <f>_xlfn.XLOOKUP(G4547,'[1]T&amp;C emissions for 2050 analysis'!$B$3:$B$23,'[1]T&amp;C emissions for 2050 analysis'!$C$3:$C$23)</f>
        <v>0.21999999999999997</v>
      </c>
      <c r="I4547" s="27">
        <f t="shared" si="210"/>
        <v>0.34403065179999992</v>
      </c>
      <c r="J4547" s="129">
        <f t="shared" si="211"/>
        <v>126.94857999999998</v>
      </c>
    </row>
    <row r="4548" spans="1:10" hidden="1" x14ac:dyDescent="0.35">
      <c r="A4548" s="126" t="s">
        <v>416</v>
      </c>
      <c r="B4548" t="str">
        <f>_xlfn.XLOOKUP(A4548,'[1]2050Pop'!$A$7:$A$143,'[1]2050Pop'!$D$7:$D$143)</f>
        <v>APAC</v>
      </c>
      <c r="C4548" s="127">
        <f>1000*_xlfn.XLOOKUP(A4548,'[1]2050Pop'!$A$7:$A$143,'[1]2050Pop'!$C$7:$C$143)</f>
        <v>107411</v>
      </c>
      <c r="D4548" s="126" t="s">
        <v>541</v>
      </c>
      <c r="E4548" s="128">
        <v>375.92599999999999</v>
      </c>
      <c r="F4548" s="129">
        <f t="shared" si="212"/>
        <v>40.378587585999995</v>
      </c>
      <c r="G4548" t="str">
        <f>_xlfn.XLOOKUP(D4548,'[1]2050 BAU Mapping to T &amp; C'!$A$3:$A$52,'[1]2050 BAU Mapping to T &amp; C'!$B$3:$B$52)</f>
        <v>Wheat</v>
      </c>
      <c r="H4548" s="129">
        <f>_xlfn.XLOOKUP(G4548,'[1]T&amp;C emissions for 2050 analysis'!$B$3:$B$23,'[1]T&amp;C emissions for 2050 analysis'!$C$3:$C$23)</f>
        <v>0.21999999999999997</v>
      </c>
      <c r="I4548" s="27">
        <f t="shared" ref="I4548:I4611" si="213">F4548*H4548</f>
        <v>8.8832892689199969</v>
      </c>
      <c r="J4548" s="129">
        <f t="shared" ref="J4548:J4611" si="214">E4548*H4548</f>
        <v>82.70371999999999</v>
      </c>
    </row>
    <row r="4549" spans="1:10" hidden="1" x14ac:dyDescent="0.35">
      <c r="A4549" s="126" t="s">
        <v>417</v>
      </c>
      <c r="B4549" t="str">
        <f>_xlfn.XLOOKUP(A4549,'[1]2050Pop'!$A$7:$A$143,'[1]2050Pop'!$D$7:$D$143)</f>
        <v>MENA</v>
      </c>
      <c r="C4549" s="127">
        <f>1000*_xlfn.XLOOKUP(A4549,'[1]2050Pop'!$A$7:$A$143,'[1]2050Pop'!$C$7:$C$143)</f>
        <v>11717</v>
      </c>
      <c r="D4549" s="126" t="s">
        <v>541</v>
      </c>
      <c r="E4549" s="128">
        <v>1098.932</v>
      </c>
      <c r="F4549" s="129">
        <f t="shared" ref="F4549:F4612" si="215">C4549*E4549/1000000</f>
        <v>12.876186244000001</v>
      </c>
      <c r="G4549" t="str">
        <f>_xlfn.XLOOKUP(D4549,'[1]2050 BAU Mapping to T &amp; C'!$A$3:$A$52,'[1]2050 BAU Mapping to T &amp; C'!$B$3:$B$52)</f>
        <v>Wheat</v>
      </c>
      <c r="H4549" s="129">
        <f>_xlfn.XLOOKUP(G4549,'[1]T&amp;C emissions for 2050 analysis'!$B$3:$B$23,'[1]T&amp;C emissions for 2050 analysis'!$C$3:$C$23)</f>
        <v>0.21999999999999997</v>
      </c>
      <c r="I4549" s="27">
        <f t="shared" si="213"/>
        <v>2.8327609736800001</v>
      </c>
      <c r="J4549" s="129">
        <f t="shared" si="214"/>
        <v>241.76503999999997</v>
      </c>
    </row>
    <row r="4550" spans="1:10" hidden="1" x14ac:dyDescent="0.35">
      <c r="A4550" s="126" t="s">
        <v>418</v>
      </c>
      <c r="B4550" t="str">
        <f>_xlfn.XLOOKUP(A4550,'[1]2050Pop'!$A$7:$A$143,'[1]2050Pop'!$D$7:$D$143)</f>
        <v>APAC</v>
      </c>
      <c r="C4550" s="127">
        <f>1000*_xlfn.XLOOKUP(A4550,'[1]2050Pop'!$A$7:$A$143,'[1]2050Pop'!$C$7:$C$143)</f>
        <v>22447</v>
      </c>
      <c r="D4550" s="126" t="s">
        <v>541</v>
      </c>
      <c r="E4550" s="128">
        <v>705.298</v>
      </c>
      <c r="F4550" s="129">
        <f t="shared" si="215"/>
        <v>15.831824206</v>
      </c>
      <c r="G4550" t="str">
        <f>_xlfn.XLOOKUP(D4550,'[1]2050 BAU Mapping to T &amp; C'!$A$3:$A$52,'[1]2050 BAU Mapping to T &amp; C'!$B$3:$B$52)</f>
        <v>Wheat</v>
      </c>
      <c r="H4550" s="129">
        <f>_xlfn.XLOOKUP(G4550,'[1]T&amp;C emissions for 2050 analysis'!$B$3:$B$23,'[1]T&amp;C emissions for 2050 analysis'!$C$3:$C$23)</f>
        <v>0.21999999999999997</v>
      </c>
      <c r="I4550" s="27">
        <f t="shared" si="213"/>
        <v>3.4830013253199996</v>
      </c>
      <c r="J4550" s="129">
        <f t="shared" si="214"/>
        <v>155.16555999999997</v>
      </c>
    </row>
    <row r="4551" spans="1:10" hidden="1" x14ac:dyDescent="0.35">
      <c r="A4551" s="126" t="s">
        <v>419</v>
      </c>
      <c r="B4551" t="str">
        <f>_xlfn.XLOOKUP(A4551,'[1]2050Pop'!$A$7:$A$143,'[1]2050Pop'!$D$7:$D$143)</f>
        <v>SSA</v>
      </c>
      <c r="C4551" s="127">
        <f>1000*_xlfn.XLOOKUP(A4551,'[1]2050Pop'!$A$7:$A$143,'[1]2050Pop'!$C$7:$C$143)</f>
        <v>95505</v>
      </c>
      <c r="D4551" s="126" t="s">
        <v>541</v>
      </c>
      <c r="E4551" s="128">
        <v>313.44499999999999</v>
      </c>
      <c r="F4551" s="129">
        <f t="shared" si="215"/>
        <v>29.935564724999999</v>
      </c>
      <c r="G4551" t="str">
        <f>_xlfn.XLOOKUP(D4551,'[1]2050 BAU Mapping to T &amp; C'!$A$3:$A$52,'[1]2050 BAU Mapping to T &amp; C'!$B$3:$B$52)</f>
        <v>Wheat</v>
      </c>
      <c r="H4551" s="129">
        <f>_xlfn.XLOOKUP(G4551,'[1]T&amp;C emissions for 2050 analysis'!$B$3:$B$23,'[1]T&amp;C emissions for 2050 analysis'!$C$3:$C$23)</f>
        <v>0.21999999999999997</v>
      </c>
      <c r="I4551" s="27">
        <f t="shared" si="213"/>
        <v>6.5858242394999991</v>
      </c>
      <c r="J4551" s="129">
        <f t="shared" si="214"/>
        <v>68.957899999999995</v>
      </c>
    </row>
    <row r="4552" spans="1:10" hidden="1" x14ac:dyDescent="0.35">
      <c r="A4552" s="126" t="s">
        <v>420</v>
      </c>
      <c r="B4552" t="str">
        <f>_xlfn.XLOOKUP(A4552,'[1]2050Pop'!$A$7:$A$143,'[1]2050Pop'!$D$7:$D$143)</f>
        <v>APAC</v>
      </c>
      <c r="C4552" s="127">
        <f>1000*_xlfn.XLOOKUP(A4552,'[1]2050Pop'!$A$7:$A$143,'[1]2050Pop'!$C$7:$C$143)</f>
        <v>8248</v>
      </c>
      <c r="D4552" s="126" t="s">
        <v>541</v>
      </c>
      <c r="E4552" s="128">
        <v>1032.337</v>
      </c>
      <c r="F4552" s="129">
        <f t="shared" si="215"/>
        <v>8.5147155759999986</v>
      </c>
      <c r="G4552" t="str">
        <f>_xlfn.XLOOKUP(D4552,'[1]2050 BAU Mapping to T &amp; C'!$A$3:$A$52,'[1]2050 BAU Mapping to T &amp; C'!$B$3:$B$52)</f>
        <v>Wheat</v>
      </c>
      <c r="H4552" s="129">
        <f>_xlfn.XLOOKUP(G4552,'[1]T&amp;C emissions for 2050 analysis'!$B$3:$B$23,'[1]T&amp;C emissions for 2050 analysis'!$C$3:$C$23)</f>
        <v>0.21999999999999997</v>
      </c>
      <c r="I4552" s="27">
        <f t="shared" si="213"/>
        <v>1.8732374267199994</v>
      </c>
      <c r="J4552" s="129">
        <f t="shared" si="214"/>
        <v>227.11413999999996</v>
      </c>
    </row>
    <row r="4553" spans="1:10" hidden="1" x14ac:dyDescent="0.35">
      <c r="A4553" s="126" t="s">
        <v>421</v>
      </c>
      <c r="B4553" t="str">
        <f>_xlfn.XLOOKUP(A4553,'[1]2050Pop'!$A$7:$A$143,'[1]2050Pop'!$D$7:$D$143)</f>
        <v>APAC</v>
      </c>
      <c r="C4553" s="127">
        <f>1000*_xlfn.XLOOKUP(A4553,'[1]2050Pop'!$A$7:$A$143,'[1]2050Pop'!$C$7:$C$143)</f>
        <v>10172</v>
      </c>
      <c r="D4553" s="126" t="s">
        <v>541</v>
      </c>
      <c r="E4553" s="128">
        <v>12.728999999999999</v>
      </c>
      <c r="F4553" s="129">
        <f t="shared" si="215"/>
        <v>0.129479388</v>
      </c>
      <c r="G4553" t="str">
        <f>_xlfn.XLOOKUP(D4553,'[1]2050 BAU Mapping to T &amp; C'!$A$3:$A$52,'[1]2050 BAU Mapping to T &amp; C'!$B$3:$B$52)</f>
        <v>Wheat</v>
      </c>
      <c r="H4553" s="129">
        <f>_xlfn.XLOOKUP(G4553,'[1]T&amp;C emissions for 2050 analysis'!$B$3:$B$23,'[1]T&amp;C emissions for 2050 analysis'!$C$3:$C$23)</f>
        <v>0.21999999999999997</v>
      </c>
      <c r="I4553" s="27">
        <f t="shared" si="213"/>
        <v>2.8485465359999997E-2</v>
      </c>
      <c r="J4553" s="129">
        <f t="shared" si="214"/>
        <v>2.8003799999999996</v>
      </c>
    </row>
    <row r="4554" spans="1:10" hidden="1" x14ac:dyDescent="0.35">
      <c r="A4554" s="126" t="s">
        <v>422</v>
      </c>
      <c r="B4554" t="str">
        <f>_xlfn.XLOOKUP(A4554,'[1]2050Pop'!$A$7:$A$143,'[1]2050Pop'!$D$7:$D$143)</f>
        <v>Euro/AU/NZ</v>
      </c>
      <c r="C4554" s="127">
        <f>1000*_xlfn.XLOOKUP(A4554,'[1]2050Pop'!$A$7:$A$143,'[1]2050Pop'!$C$7:$C$143)</f>
        <v>1593</v>
      </c>
      <c r="D4554" s="126" t="s">
        <v>541</v>
      </c>
      <c r="E4554" s="128">
        <v>549.80899999999997</v>
      </c>
      <c r="F4554" s="129">
        <f t="shared" si="215"/>
        <v>0.87584573700000001</v>
      </c>
      <c r="G4554" t="str">
        <f>_xlfn.XLOOKUP(D4554,'[1]2050 BAU Mapping to T &amp; C'!$A$3:$A$52,'[1]2050 BAU Mapping to T &amp; C'!$B$3:$B$52)</f>
        <v>Wheat</v>
      </c>
      <c r="H4554" s="129">
        <f>_xlfn.XLOOKUP(G4554,'[1]T&amp;C emissions for 2050 analysis'!$B$3:$B$23,'[1]T&amp;C emissions for 2050 analysis'!$C$3:$C$23)</f>
        <v>0.21999999999999997</v>
      </c>
      <c r="I4554" s="27">
        <f t="shared" si="213"/>
        <v>0.19268606213999998</v>
      </c>
      <c r="J4554" s="129">
        <f t="shared" si="214"/>
        <v>120.95797999999998</v>
      </c>
    </row>
    <row r="4555" spans="1:10" hidden="1" x14ac:dyDescent="0.35">
      <c r="A4555" s="126" t="s">
        <v>423</v>
      </c>
      <c r="B4555" t="str">
        <f>_xlfn.XLOOKUP(A4555,'[1]2050Pop'!$A$7:$A$143,'[1]2050Pop'!$D$7:$D$143)</f>
        <v>MENA</v>
      </c>
      <c r="C4555" s="127">
        <f>1000*_xlfn.XLOOKUP(A4555,'[1]2050Pop'!$A$7:$A$143,'[1]2050Pop'!$C$7:$C$143)</f>
        <v>5610</v>
      </c>
      <c r="D4555" s="126" t="s">
        <v>541</v>
      </c>
      <c r="E4555" s="128">
        <v>975.42600000000004</v>
      </c>
      <c r="F4555" s="129">
        <f t="shared" si="215"/>
        <v>5.4721398600000004</v>
      </c>
      <c r="G4555" t="str">
        <f>_xlfn.XLOOKUP(D4555,'[1]2050 BAU Mapping to T &amp; C'!$A$3:$A$52,'[1]2050 BAU Mapping to T &amp; C'!$B$3:$B$52)</f>
        <v>Wheat</v>
      </c>
      <c r="H4555" s="129">
        <f>_xlfn.XLOOKUP(G4555,'[1]T&amp;C emissions for 2050 analysis'!$B$3:$B$23,'[1]T&amp;C emissions for 2050 analysis'!$C$3:$C$23)</f>
        <v>0.21999999999999997</v>
      </c>
      <c r="I4555" s="27">
        <f t="shared" si="213"/>
        <v>1.2038707691999999</v>
      </c>
      <c r="J4555" s="129">
        <f t="shared" si="214"/>
        <v>214.59371999999999</v>
      </c>
    </row>
    <row r="4556" spans="1:10" hidden="1" x14ac:dyDescent="0.35">
      <c r="A4556" s="126" t="s">
        <v>424</v>
      </c>
      <c r="B4556" t="str">
        <f>_xlfn.XLOOKUP(A4556,'[1]2050Pop'!$A$7:$A$143,'[1]2050Pop'!$D$7:$D$143)</f>
        <v>SSA</v>
      </c>
      <c r="C4556" s="127">
        <f>1000*_xlfn.XLOOKUP(A4556,'[1]2050Pop'!$A$7:$A$143,'[1]2050Pop'!$C$7:$C$143)</f>
        <v>2987</v>
      </c>
      <c r="D4556" s="126" t="s">
        <v>541</v>
      </c>
      <c r="E4556" s="128">
        <v>546.69200000000001</v>
      </c>
      <c r="F4556" s="129">
        <f t="shared" si="215"/>
        <v>1.632969004</v>
      </c>
      <c r="G4556" t="str">
        <f>_xlfn.XLOOKUP(D4556,'[1]2050 BAU Mapping to T &amp; C'!$A$3:$A$52,'[1]2050 BAU Mapping to T &amp; C'!$B$3:$B$52)</f>
        <v>Wheat</v>
      </c>
      <c r="H4556" s="129">
        <f>_xlfn.XLOOKUP(G4556,'[1]T&amp;C emissions for 2050 analysis'!$B$3:$B$23,'[1]T&amp;C emissions for 2050 analysis'!$C$3:$C$23)</f>
        <v>0.21999999999999997</v>
      </c>
      <c r="I4556" s="27">
        <f t="shared" si="213"/>
        <v>0.35925318087999997</v>
      </c>
      <c r="J4556" s="129">
        <f t="shared" si="214"/>
        <v>120.27223999999998</v>
      </c>
    </row>
    <row r="4557" spans="1:10" hidden="1" x14ac:dyDescent="0.35">
      <c r="A4557" s="126" t="s">
        <v>425</v>
      </c>
      <c r="B4557" t="str">
        <f>_xlfn.XLOOKUP(A4557,'[1]2050Pop'!$A$7:$A$143,'[1]2050Pop'!$D$7:$D$143)</f>
        <v>SSA</v>
      </c>
      <c r="C4557" s="127">
        <f>1000*_xlfn.XLOOKUP(A4557,'[1]2050Pop'!$A$7:$A$143,'[1]2050Pop'!$C$7:$C$143)</f>
        <v>9436</v>
      </c>
      <c r="D4557" s="126" t="s">
        <v>541</v>
      </c>
      <c r="E4557" s="128">
        <v>146.29900000000001</v>
      </c>
      <c r="F4557" s="129">
        <f t="shared" si="215"/>
        <v>1.3804773640000001</v>
      </c>
      <c r="G4557" t="str">
        <f>_xlfn.XLOOKUP(D4557,'[1]2050 BAU Mapping to T &amp; C'!$A$3:$A$52,'[1]2050 BAU Mapping to T &amp; C'!$B$3:$B$52)</f>
        <v>Wheat</v>
      </c>
      <c r="H4557" s="129">
        <f>_xlfn.XLOOKUP(G4557,'[1]T&amp;C emissions for 2050 analysis'!$B$3:$B$23,'[1]T&amp;C emissions for 2050 analysis'!$C$3:$C$23)</f>
        <v>0.21999999999999997</v>
      </c>
      <c r="I4557" s="27">
        <f t="shared" si="213"/>
        <v>0.30370502008</v>
      </c>
      <c r="J4557" s="129">
        <f t="shared" si="214"/>
        <v>32.185779999999994</v>
      </c>
    </row>
    <row r="4558" spans="1:10" hidden="1" x14ac:dyDescent="0.35">
      <c r="A4558" s="126" t="s">
        <v>426</v>
      </c>
      <c r="B4558" t="str">
        <f>_xlfn.XLOOKUP(A4558,'[1]2050Pop'!$A$7:$A$143,'[1]2050Pop'!$D$7:$D$143)</f>
        <v>Euro/AU/NZ</v>
      </c>
      <c r="C4558" s="127">
        <f>1000*_xlfn.XLOOKUP(A4558,'[1]2050Pop'!$A$7:$A$143,'[1]2050Pop'!$C$7:$C$143)</f>
        <v>2375</v>
      </c>
      <c r="D4558" s="126" t="s">
        <v>541</v>
      </c>
      <c r="E4558" s="130">
        <v>905.25</v>
      </c>
      <c r="F4558" s="129">
        <f t="shared" si="215"/>
        <v>2.1499687500000002</v>
      </c>
      <c r="G4558" t="str">
        <f>_xlfn.XLOOKUP(D4558,'[1]2050 BAU Mapping to T &amp; C'!$A$3:$A$52,'[1]2050 BAU Mapping to T &amp; C'!$B$3:$B$52)</f>
        <v>Wheat</v>
      </c>
      <c r="H4558" s="129">
        <f>_xlfn.XLOOKUP(G4558,'[1]T&amp;C emissions for 2050 analysis'!$B$3:$B$23,'[1]T&amp;C emissions for 2050 analysis'!$C$3:$C$23)</f>
        <v>0.21999999999999997</v>
      </c>
      <c r="I4558" s="27">
        <f t="shared" si="213"/>
        <v>0.47299312500000001</v>
      </c>
      <c r="J4558" s="129">
        <f t="shared" si="214"/>
        <v>199.15499999999997</v>
      </c>
    </row>
    <row r="4559" spans="1:10" hidden="1" x14ac:dyDescent="0.35">
      <c r="A4559" s="126" t="s">
        <v>427</v>
      </c>
      <c r="B4559" t="str">
        <f>_xlfn.XLOOKUP(A4559,'[1]2050Pop'!$A$7:$A$143,'[1]2050Pop'!$D$7:$D$143)</f>
        <v>SSA</v>
      </c>
      <c r="C4559" s="127">
        <f>1000*_xlfn.XLOOKUP(A4559,'[1]2050Pop'!$A$7:$A$143,'[1]2050Pop'!$C$7:$C$143)</f>
        <v>55294</v>
      </c>
      <c r="D4559" s="126" t="s">
        <v>541</v>
      </c>
      <c r="E4559" s="128">
        <v>84.367000000000004</v>
      </c>
      <c r="F4559" s="129">
        <f t="shared" si="215"/>
        <v>4.6649888979999998</v>
      </c>
      <c r="G4559" t="str">
        <f>_xlfn.XLOOKUP(D4559,'[1]2050 BAU Mapping to T &amp; C'!$A$3:$A$52,'[1]2050 BAU Mapping to T &amp; C'!$B$3:$B$52)</f>
        <v>Wheat</v>
      </c>
      <c r="H4559" s="129">
        <f>_xlfn.XLOOKUP(G4559,'[1]T&amp;C emissions for 2050 analysis'!$B$3:$B$23,'[1]T&amp;C emissions for 2050 analysis'!$C$3:$C$23)</f>
        <v>0.21999999999999997</v>
      </c>
      <c r="I4559" s="27">
        <f t="shared" si="213"/>
        <v>1.0262975575599997</v>
      </c>
      <c r="J4559" s="129">
        <f t="shared" si="214"/>
        <v>18.560739999999999</v>
      </c>
    </row>
    <row r="4560" spans="1:10" hidden="1" x14ac:dyDescent="0.35">
      <c r="A4560" s="126" t="s">
        <v>428</v>
      </c>
      <c r="B4560" t="str">
        <f>_xlfn.XLOOKUP(A4560,'[1]2050Pop'!$A$7:$A$143,'[1]2050Pop'!$D$7:$D$143)</f>
        <v>SSA</v>
      </c>
      <c r="C4560" s="127">
        <f>1000*_xlfn.XLOOKUP(A4560,'[1]2050Pop'!$A$7:$A$143,'[1]2050Pop'!$C$7:$C$143)</f>
        <v>43155</v>
      </c>
      <c r="D4560" s="126" t="s">
        <v>541</v>
      </c>
      <c r="E4560" s="131">
        <v>107.9</v>
      </c>
      <c r="F4560" s="129">
        <f t="shared" si="215"/>
        <v>4.6564245</v>
      </c>
      <c r="G4560" t="str">
        <f>_xlfn.XLOOKUP(D4560,'[1]2050 BAU Mapping to T &amp; C'!$A$3:$A$52,'[1]2050 BAU Mapping to T &amp; C'!$B$3:$B$52)</f>
        <v>Wheat</v>
      </c>
      <c r="H4560" s="129">
        <f>_xlfn.XLOOKUP(G4560,'[1]T&amp;C emissions for 2050 analysis'!$B$3:$B$23,'[1]T&amp;C emissions for 2050 analysis'!$C$3:$C$23)</f>
        <v>0.21999999999999997</v>
      </c>
      <c r="I4560" s="27">
        <f t="shared" si="213"/>
        <v>1.0244133899999999</v>
      </c>
      <c r="J4560" s="129">
        <f t="shared" si="214"/>
        <v>23.738</v>
      </c>
    </row>
    <row r="4561" spans="1:10" hidden="1" x14ac:dyDescent="0.35">
      <c r="A4561" s="126" t="s">
        <v>429</v>
      </c>
      <c r="B4561" t="str">
        <f>_xlfn.XLOOKUP(A4561,'[1]2050Pop'!$A$7:$A$143,'[1]2050Pop'!$D$7:$D$143)</f>
        <v>APAC</v>
      </c>
      <c r="C4561" s="127">
        <f>1000*_xlfn.XLOOKUP(A4561,'[1]2050Pop'!$A$7:$A$143,'[1]2050Pop'!$C$7:$C$143)</f>
        <v>40725</v>
      </c>
      <c r="D4561" s="126" t="s">
        <v>541</v>
      </c>
      <c r="E4561" s="128">
        <v>370.18200000000002</v>
      </c>
      <c r="F4561" s="129">
        <f t="shared" si="215"/>
        <v>15.075661950000001</v>
      </c>
      <c r="G4561" t="str">
        <f>_xlfn.XLOOKUP(D4561,'[1]2050 BAU Mapping to T &amp; C'!$A$3:$A$52,'[1]2050 BAU Mapping to T &amp; C'!$B$3:$B$52)</f>
        <v>Wheat</v>
      </c>
      <c r="H4561" s="129">
        <f>_xlfn.XLOOKUP(G4561,'[1]T&amp;C emissions for 2050 analysis'!$B$3:$B$23,'[1]T&amp;C emissions for 2050 analysis'!$C$3:$C$23)</f>
        <v>0.21999999999999997</v>
      </c>
      <c r="I4561" s="27">
        <f t="shared" si="213"/>
        <v>3.3166456289999999</v>
      </c>
      <c r="J4561" s="129">
        <f t="shared" si="214"/>
        <v>81.440039999999996</v>
      </c>
    </row>
    <row r="4562" spans="1:10" hidden="1" x14ac:dyDescent="0.35">
      <c r="A4562" s="126" t="s">
        <v>430</v>
      </c>
      <c r="B4562" t="str">
        <f>_xlfn.XLOOKUP(A4562,'[1]2050Pop'!$A$7:$A$143,'[1]2050Pop'!$D$7:$D$143)</f>
        <v>SSA</v>
      </c>
      <c r="C4562" s="127">
        <f>1000*_xlfn.XLOOKUP(A4562,'[1]2050Pop'!$A$7:$A$143,'[1]2050Pop'!$C$7:$C$143)</f>
        <v>45404</v>
      </c>
      <c r="D4562" s="126" t="s">
        <v>541</v>
      </c>
      <c r="E4562" s="128">
        <v>116.568</v>
      </c>
      <c r="F4562" s="129">
        <f t="shared" si="215"/>
        <v>5.2926534720000005</v>
      </c>
      <c r="G4562" t="str">
        <f>_xlfn.XLOOKUP(D4562,'[1]2050 BAU Mapping to T &amp; C'!$A$3:$A$52,'[1]2050 BAU Mapping to T &amp; C'!$B$3:$B$52)</f>
        <v>Wheat</v>
      </c>
      <c r="H4562" s="129">
        <f>_xlfn.XLOOKUP(G4562,'[1]T&amp;C emissions for 2050 analysis'!$B$3:$B$23,'[1]T&amp;C emissions for 2050 analysis'!$C$3:$C$23)</f>
        <v>0.21999999999999997</v>
      </c>
      <c r="I4562" s="27">
        <f t="shared" si="213"/>
        <v>1.1643837638399999</v>
      </c>
      <c r="J4562" s="129">
        <f t="shared" si="214"/>
        <v>25.644959999999998</v>
      </c>
    </row>
    <row r="4563" spans="1:10" hidden="1" x14ac:dyDescent="0.35">
      <c r="A4563" s="126" t="s">
        <v>431</v>
      </c>
      <c r="B4563" t="str">
        <f>_xlfn.XLOOKUP(A4563,'[1]2050Pop'!$A$7:$A$143,'[1]2050Pop'!$D$7:$D$143)</f>
        <v>SSA</v>
      </c>
      <c r="C4563" s="127">
        <f>1000*_xlfn.XLOOKUP(A4563,'[1]2050Pop'!$A$7:$A$143,'[1]2050Pop'!$C$7:$C$143)</f>
        <v>8048.9999999999991</v>
      </c>
      <c r="D4563" s="126" t="s">
        <v>541</v>
      </c>
      <c r="E4563" s="128">
        <v>965.197</v>
      </c>
      <c r="F4563" s="129">
        <f t="shared" si="215"/>
        <v>7.7688706529999987</v>
      </c>
      <c r="G4563" t="str">
        <f>_xlfn.XLOOKUP(D4563,'[1]2050 BAU Mapping to T &amp; C'!$A$3:$A$52,'[1]2050 BAU Mapping to T &amp; C'!$B$3:$B$52)</f>
        <v>Wheat</v>
      </c>
      <c r="H4563" s="129">
        <f>_xlfn.XLOOKUP(G4563,'[1]T&amp;C emissions for 2050 analysis'!$B$3:$B$23,'[1]T&amp;C emissions for 2050 analysis'!$C$3:$C$23)</f>
        <v>0.21999999999999997</v>
      </c>
      <c r="I4563" s="27">
        <f t="shared" si="213"/>
        <v>1.7091515436599996</v>
      </c>
      <c r="J4563" s="129">
        <f t="shared" si="214"/>
        <v>212.34333999999998</v>
      </c>
    </row>
    <row r="4564" spans="1:10" hidden="1" x14ac:dyDescent="0.35">
      <c r="A4564" s="126" t="s">
        <v>432</v>
      </c>
      <c r="B4564" t="str">
        <f>_xlfn.XLOOKUP(A4564,'[1]2050Pop'!$A$7:$A$143,'[1]2050Pop'!$D$7:$D$143)</f>
        <v>SSA</v>
      </c>
      <c r="C4564" s="127">
        <f>1000*_xlfn.XLOOKUP(A4564,'[1]2050Pop'!$A$7:$A$143,'[1]2050Pop'!$C$7:$C$143)</f>
        <v>1249</v>
      </c>
      <c r="D4564" s="126" t="s">
        <v>541</v>
      </c>
      <c r="E4564" s="128">
        <v>880.42200000000003</v>
      </c>
      <c r="F4564" s="129">
        <f t="shared" si="215"/>
        <v>1.0996470780000001</v>
      </c>
      <c r="G4564" t="str">
        <f>_xlfn.XLOOKUP(D4564,'[1]2050 BAU Mapping to T &amp; C'!$A$3:$A$52,'[1]2050 BAU Mapping to T &amp; C'!$B$3:$B$52)</f>
        <v>Wheat</v>
      </c>
      <c r="H4564" s="129">
        <f>_xlfn.XLOOKUP(G4564,'[1]T&amp;C emissions for 2050 analysis'!$B$3:$B$23,'[1]T&amp;C emissions for 2050 analysis'!$C$3:$C$23)</f>
        <v>0.21999999999999997</v>
      </c>
      <c r="I4564" s="27">
        <f t="shared" si="213"/>
        <v>0.24192235715999999</v>
      </c>
      <c r="J4564" s="129">
        <f t="shared" si="214"/>
        <v>193.69283999999999</v>
      </c>
    </row>
    <row r="4565" spans="1:10" hidden="1" x14ac:dyDescent="0.35">
      <c r="A4565" s="126" t="s">
        <v>433</v>
      </c>
      <c r="B4565" t="str">
        <f>_xlfn.XLOOKUP(A4565,'[1]2050Pop'!$A$7:$A$143,'[1]2050Pop'!$D$7:$D$143)</f>
        <v>LatAm &amp; RSA</v>
      </c>
      <c r="C4565" s="127">
        <f>1000*_xlfn.XLOOKUP(A4565,'[1]2050Pop'!$A$7:$A$143,'[1]2050Pop'!$C$7:$C$143)</f>
        <v>163754</v>
      </c>
      <c r="D4565" s="126" t="s">
        <v>541</v>
      </c>
      <c r="E4565" s="130">
        <v>287.83999999999997</v>
      </c>
      <c r="F4565" s="129">
        <f t="shared" si="215"/>
        <v>47.134951360000002</v>
      </c>
      <c r="G4565" t="str">
        <f>_xlfn.XLOOKUP(D4565,'[1]2050 BAU Mapping to T &amp; C'!$A$3:$A$52,'[1]2050 BAU Mapping to T &amp; C'!$B$3:$B$52)</f>
        <v>Wheat</v>
      </c>
      <c r="H4565" s="129">
        <f>_xlfn.XLOOKUP(G4565,'[1]T&amp;C emissions for 2050 analysis'!$B$3:$B$23,'[1]T&amp;C emissions for 2050 analysis'!$C$3:$C$23)</f>
        <v>0.21999999999999997</v>
      </c>
      <c r="I4565" s="27">
        <f t="shared" si="213"/>
        <v>10.369689299199999</v>
      </c>
      <c r="J4565" s="129">
        <f t="shared" si="214"/>
        <v>63.324799999999989</v>
      </c>
    </row>
    <row r="4566" spans="1:10" hidden="1" x14ac:dyDescent="0.35">
      <c r="A4566" s="126" t="s">
        <v>434</v>
      </c>
      <c r="B4566" t="str">
        <f>_xlfn.XLOOKUP(A4566,'[1]2050Pop'!$A$7:$A$143,'[1]2050Pop'!$D$7:$D$143)</f>
        <v>APAC</v>
      </c>
      <c r="C4566" s="127">
        <f>1000*_xlfn.XLOOKUP(A4566,'[1]2050Pop'!$A$7:$A$143,'[1]2050Pop'!$C$7:$C$143)</f>
        <v>4027.9999999999995</v>
      </c>
      <c r="D4566" s="126" t="s">
        <v>541</v>
      </c>
      <c r="E4566" s="128">
        <v>1080.249</v>
      </c>
      <c r="F4566" s="129">
        <f t="shared" si="215"/>
        <v>4.3512429719999997</v>
      </c>
      <c r="G4566" t="str">
        <f>_xlfn.XLOOKUP(D4566,'[1]2050 BAU Mapping to T &amp; C'!$A$3:$A$52,'[1]2050 BAU Mapping to T &amp; C'!$B$3:$B$52)</f>
        <v>Wheat</v>
      </c>
      <c r="H4566" s="129">
        <f>_xlfn.XLOOKUP(G4566,'[1]T&amp;C emissions for 2050 analysis'!$B$3:$B$23,'[1]T&amp;C emissions for 2050 analysis'!$C$3:$C$23)</f>
        <v>0.21999999999999997</v>
      </c>
      <c r="I4566" s="27">
        <f t="shared" si="213"/>
        <v>0.95727345383999984</v>
      </c>
      <c r="J4566" s="129">
        <f t="shared" si="214"/>
        <v>237.65477999999999</v>
      </c>
    </row>
    <row r="4567" spans="1:10" hidden="1" x14ac:dyDescent="0.35">
      <c r="A4567" s="126" t="s">
        <v>435</v>
      </c>
      <c r="B4567" t="str">
        <f>_xlfn.XLOOKUP(A4567,'[1]2050Pop'!$A$7:$A$143,'[1]2050Pop'!$D$7:$D$143)</f>
        <v>MENA</v>
      </c>
      <c r="C4567" s="127">
        <f>1000*_xlfn.XLOOKUP(A4567,'[1]2050Pop'!$A$7:$A$143,'[1]2050Pop'!$C$7:$C$143)</f>
        <v>43696</v>
      </c>
      <c r="D4567" s="126" t="s">
        <v>541</v>
      </c>
      <c r="E4567" s="128">
        <v>1328.7850000000001</v>
      </c>
      <c r="F4567" s="129">
        <f t="shared" si="215"/>
        <v>58.062589360000004</v>
      </c>
      <c r="G4567" t="str">
        <f>_xlfn.XLOOKUP(D4567,'[1]2050 BAU Mapping to T &amp; C'!$A$3:$A$52,'[1]2050 BAU Mapping to T &amp; C'!$B$3:$B$52)</f>
        <v>Wheat</v>
      </c>
      <c r="H4567" s="129">
        <f>_xlfn.XLOOKUP(G4567,'[1]T&amp;C emissions for 2050 analysis'!$B$3:$B$23,'[1]T&amp;C emissions for 2050 analysis'!$C$3:$C$23)</f>
        <v>0.21999999999999997</v>
      </c>
      <c r="I4567" s="27">
        <f t="shared" si="213"/>
        <v>12.773769659199999</v>
      </c>
      <c r="J4567" s="129">
        <f t="shared" si="214"/>
        <v>292.33269999999999</v>
      </c>
    </row>
    <row r="4568" spans="1:10" hidden="1" x14ac:dyDescent="0.35">
      <c r="A4568" s="126" t="s">
        <v>436</v>
      </c>
      <c r="B4568" t="str">
        <f>_xlfn.XLOOKUP(A4568,'[1]2050Pop'!$A$7:$A$143,'[1]2050Pop'!$D$7:$D$143)</f>
        <v>SSA</v>
      </c>
      <c r="C4568" s="127">
        <f>1000*_xlfn.XLOOKUP(A4568,'[1]2050Pop'!$A$7:$A$143,'[1]2050Pop'!$C$7:$C$143)</f>
        <v>65544</v>
      </c>
      <c r="D4568" s="126" t="s">
        <v>541</v>
      </c>
      <c r="E4568" s="128">
        <v>141.48599999999999</v>
      </c>
      <c r="F4568" s="129">
        <f t="shared" si="215"/>
        <v>9.2735583839999993</v>
      </c>
      <c r="G4568" t="str">
        <f>_xlfn.XLOOKUP(D4568,'[1]2050 BAU Mapping to T &amp; C'!$A$3:$A$52,'[1]2050 BAU Mapping to T &amp; C'!$B$3:$B$52)</f>
        <v>Wheat</v>
      </c>
      <c r="H4568" s="129">
        <f>_xlfn.XLOOKUP(G4568,'[1]T&amp;C emissions for 2050 analysis'!$B$3:$B$23,'[1]T&amp;C emissions for 2050 analysis'!$C$3:$C$23)</f>
        <v>0.21999999999999997</v>
      </c>
      <c r="I4568" s="27">
        <f t="shared" si="213"/>
        <v>2.0401828444799994</v>
      </c>
      <c r="J4568" s="129">
        <f t="shared" si="214"/>
        <v>31.126919999999995</v>
      </c>
    </row>
    <row r="4569" spans="1:10" hidden="1" x14ac:dyDescent="0.35">
      <c r="A4569" s="126" t="s">
        <v>490</v>
      </c>
      <c r="B4569" t="str">
        <f>_xlfn.XLOOKUP(A4569,'[1]2050Pop'!$A$7:$A$143,'[1]2050Pop'!$D$7:$D$143)</f>
        <v>APAC</v>
      </c>
      <c r="C4569" s="127">
        <f>1000*_xlfn.XLOOKUP(A4569,'[1]2050Pop'!$A$7:$A$143,'[1]2050Pop'!$C$7:$C$143)</f>
        <v>63575</v>
      </c>
      <c r="D4569" s="126" t="s">
        <v>541</v>
      </c>
      <c r="E4569" s="128">
        <v>44.296999999999997</v>
      </c>
      <c r="F4569" s="129">
        <f t="shared" si="215"/>
        <v>2.816181775</v>
      </c>
      <c r="G4569" t="str">
        <f>_xlfn.XLOOKUP(D4569,'[1]2050 BAU Mapping to T &amp; C'!$A$3:$A$52,'[1]2050 BAU Mapping to T &amp; C'!$B$3:$B$52)</f>
        <v>Wheat</v>
      </c>
      <c r="H4569" s="129">
        <f>_xlfn.XLOOKUP(G4569,'[1]T&amp;C emissions for 2050 analysis'!$B$3:$B$23,'[1]T&amp;C emissions for 2050 analysis'!$C$3:$C$23)</f>
        <v>0.21999999999999997</v>
      </c>
      <c r="I4569" s="27">
        <f t="shared" si="213"/>
        <v>0.61955999049999988</v>
      </c>
      <c r="J4569" s="129">
        <f t="shared" si="214"/>
        <v>9.7453399999999988</v>
      </c>
    </row>
    <row r="4570" spans="1:10" hidden="1" x14ac:dyDescent="0.35">
      <c r="A4570" s="126" t="s">
        <v>437</v>
      </c>
      <c r="B4570" t="str">
        <f>_xlfn.XLOOKUP(A4570,'[1]2050Pop'!$A$7:$A$143,'[1]2050Pop'!$D$7:$D$143)</f>
        <v>SSA</v>
      </c>
      <c r="C4570" s="127">
        <f>1000*_xlfn.XLOOKUP(A4570,'[1]2050Pop'!$A$7:$A$143,'[1]2050Pop'!$C$7:$C$143)</f>
        <v>4322</v>
      </c>
      <c r="D4570" s="126" t="s">
        <v>541</v>
      </c>
      <c r="E4570" s="128">
        <v>305.45499999999998</v>
      </c>
      <c r="F4570" s="129">
        <f t="shared" si="215"/>
        <v>1.32017651</v>
      </c>
      <c r="G4570" t="str">
        <f>_xlfn.XLOOKUP(D4570,'[1]2050 BAU Mapping to T &amp; C'!$A$3:$A$52,'[1]2050 BAU Mapping to T &amp; C'!$B$3:$B$52)</f>
        <v>Wheat</v>
      </c>
      <c r="H4570" s="129">
        <f>_xlfn.XLOOKUP(G4570,'[1]T&amp;C emissions for 2050 analysis'!$B$3:$B$23,'[1]T&amp;C emissions for 2050 analysis'!$C$3:$C$23)</f>
        <v>0.21999999999999997</v>
      </c>
      <c r="I4570" s="27">
        <f t="shared" si="213"/>
        <v>0.2904388322</v>
      </c>
      <c r="J4570" s="129">
        <f t="shared" si="214"/>
        <v>67.200099999999992</v>
      </c>
    </row>
    <row r="4571" spans="1:10" hidden="1" x14ac:dyDescent="0.35">
      <c r="A4571" s="126" t="s">
        <v>438</v>
      </c>
      <c r="B4571" t="str">
        <f>_xlfn.XLOOKUP(A4571,'[1]2050Pop'!$A$7:$A$143,'[1]2050Pop'!$D$7:$D$143)</f>
        <v>India/South Asia</v>
      </c>
      <c r="C4571" s="127">
        <f>1000*_xlfn.XLOOKUP(A4571,'[1]2050Pop'!$A$7:$A$143,'[1]2050Pop'!$C$7:$C$143)</f>
        <v>36159</v>
      </c>
      <c r="D4571" s="126" t="s">
        <v>541</v>
      </c>
      <c r="E4571" s="128">
        <v>395.20100000000002</v>
      </c>
      <c r="F4571" s="129">
        <f t="shared" si="215"/>
        <v>14.290072959000002</v>
      </c>
      <c r="G4571" t="str">
        <f>_xlfn.XLOOKUP(D4571,'[1]2050 BAU Mapping to T &amp; C'!$A$3:$A$52,'[1]2050 BAU Mapping to T &amp; C'!$B$3:$B$52)</f>
        <v>Wheat</v>
      </c>
      <c r="H4571" s="129">
        <f>_xlfn.XLOOKUP(G4571,'[1]T&amp;C emissions for 2050 analysis'!$B$3:$B$23,'[1]T&amp;C emissions for 2050 analysis'!$C$3:$C$23)</f>
        <v>0.21999999999999997</v>
      </c>
      <c r="I4571" s="27">
        <f t="shared" si="213"/>
        <v>3.1438160509799999</v>
      </c>
      <c r="J4571" s="129">
        <f t="shared" si="214"/>
        <v>86.944219999999987</v>
      </c>
    </row>
    <row r="4572" spans="1:10" hidden="1" x14ac:dyDescent="0.35">
      <c r="A4572" s="126" t="s">
        <v>439</v>
      </c>
      <c r="B4572" t="str">
        <f>_xlfn.XLOOKUP(A4572,'[1]2050Pop'!$A$7:$A$143,'[1]2050Pop'!$D$7:$D$143)</f>
        <v>Euro/AU/NZ</v>
      </c>
      <c r="C4572" s="127">
        <f>1000*_xlfn.XLOOKUP(A4572,'[1]2050Pop'!$A$7:$A$143,'[1]2050Pop'!$C$7:$C$143)</f>
        <v>17602</v>
      </c>
      <c r="D4572" s="126" t="s">
        <v>541</v>
      </c>
      <c r="E4572" s="128">
        <v>600.20299999999997</v>
      </c>
      <c r="F4572" s="129">
        <f t="shared" si="215"/>
        <v>10.564773206</v>
      </c>
      <c r="G4572" t="str">
        <f>_xlfn.XLOOKUP(D4572,'[1]2050 BAU Mapping to T &amp; C'!$A$3:$A$52,'[1]2050 BAU Mapping to T &amp; C'!$B$3:$B$52)</f>
        <v>Wheat</v>
      </c>
      <c r="H4572" s="129">
        <f>_xlfn.XLOOKUP(G4572,'[1]T&amp;C emissions for 2050 analysis'!$B$3:$B$23,'[1]T&amp;C emissions for 2050 analysis'!$C$3:$C$23)</f>
        <v>0.21999999999999997</v>
      </c>
      <c r="I4572" s="27">
        <f t="shared" si="213"/>
        <v>2.3242501053199995</v>
      </c>
      <c r="J4572" s="129">
        <f t="shared" si="214"/>
        <v>132.04465999999996</v>
      </c>
    </row>
    <row r="4573" spans="1:10" hidden="1" x14ac:dyDescent="0.35">
      <c r="A4573" s="126" t="s">
        <v>440</v>
      </c>
      <c r="B4573" t="str">
        <f>_xlfn.XLOOKUP(A4573,'[1]2050Pop'!$A$7:$A$143,'[1]2050Pop'!$D$7:$D$143)</f>
        <v>Euro/AU/NZ</v>
      </c>
      <c r="C4573" s="127">
        <f>1000*_xlfn.XLOOKUP(A4573,'[1]2050Pop'!$A$7:$A$143,'[1]2050Pop'!$C$7:$C$143)</f>
        <v>5607</v>
      </c>
      <c r="D4573" s="126" t="s">
        <v>541</v>
      </c>
      <c r="E4573" s="128">
        <v>661.63800000000003</v>
      </c>
      <c r="F4573" s="129">
        <f t="shared" si="215"/>
        <v>3.7098042660000004</v>
      </c>
      <c r="G4573" t="str">
        <f>_xlfn.XLOOKUP(D4573,'[1]2050 BAU Mapping to T &amp; C'!$A$3:$A$52,'[1]2050 BAU Mapping to T &amp; C'!$B$3:$B$52)</f>
        <v>Wheat</v>
      </c>
      <c r="H4573" s="129">
        <f>_xlfn.XLOOKUP(G4573,'[1]T&amp;C emissions for 2050 analysis'!$B$3:$B$23,'[1]T&amp;C emissions for 2050 analysis'!$C$3:$C$23)</f>
        <v>0.21999999999999997</v>
      </c>
      <c r="I4573" s="27">
        <f t="shared" si="213"/>
        <v>0.81615693851999993</v>
      </c>
      <c r="J4573" s="129">
        <f t="shared" si="214"/>
        <v>145.56036</v>
      </c>
    </row>
    <row r="4574" spans="1:10" hidden="1" x14ac:dyDescent="0.35">
      <c r="A4574" s="126" t="s">
        <v>441</v>
      </c>
      <c r="B4574" t="str">
        <f>_xlfn.XLOOKUP(A4574,'[1]2050Pop'!$A$7:$A$143,'[1]2050Pop'!$D$7:$D$143)</f>
        <v>LatAm &amp; RSA</v>
      </c>
      <c r="C4574" s="127">
        <f>1000*_xlfn.XLOOKUP(A4574,'[1]2050Pop'!$A$7:$A$143,'[1]2050Pop'!$C$7:$C$143)</f>
        <v>7863</v>
      </c>
      <c r="D4574" s="126" t="s">
        <v>541</v>
      </c>
      <c r="E4574" s="131">
        <v>223.2</v>
      </c>
      <c r="F4574" s="129">
        <f t="shared" si="215"/>
        <v>1.7550215999999998</v>
      </c>
      <c r="G4574" t="str">
        <f>_xlfn.XLOOKUP(D4574,'[1]2050 BAU Mapping to T &amp; C'!$A$3:$A$52,'[1]2050 BAU Mapping to T &amp; C'!$B$3:$B$52)</f>
        <v>Wheat</v>
      </c>
      <c r="H4574" s="129">
        <f>_xlfn.XLOOKUP(G4574,'[1]T&amp;C emissions for 2050 analysis'!$B$3:$B$23,'[1]T&amp;C emissions for 2050 analysis'!$C$3:$C$23)</f>
        <v>0.21999999999999997</v>
      </c>
      <c r="I4574" s="27">
        <f t="shared" si="213"/>
        <v>0.38610475199999994</v>
      </c>
      <c r="J4574" s="129">
        <f t="shared" si="214"/>
        <v>49.103999999999992</v>
      </c>
    </row>
    <row r="4575" spans="1:10" hidden="1" x14ac:dyDescent="0.35">
      <c r="A4575" s="126" t="s">
        <v>482</v>
      </c>
      <c r="B4575" t="str">
        <f>_xlfn.XLOOKUP(A4575,'[1]2050Pop'!$A$7:$A$143,'[1]2050Pop'!$D$7:$D$143)</f>
        <v>SSA</v>
      </c>
      <c r="C4575" s="127">
        <f>1000*_xlfn.XLOOKUP(A4575,'[1]2050Pop'!$A$7:$A$143,'[1]2050Pop'!$C$7:$C$143)</f>
        <v>72238</v>
      </c>
      <c r="D4575" s="126" t="s">
        <v>541</v>
      </c>
      <c r="E4575" s="128">
        <v>42.301000000000002</v>
      </c>
      <c r="F4575" s="129">
        <f t="shared" si="215"/>
        <v>3.0557396380000004</v>
      </c>
      <c r="G4575" t="str">
        <f>_xlfn.XLOOKUP(D4575,'[1]2050 BAU Mapping to T &amp; C'!$A$3:$A$52,'[1]2050 BAU Mapping to T &amp; C'!$B$3:$B$52)</f>
        <v>Wheat</v>
      </c>
      <c r="H4575" s="129">
        <f>_xlfn.XLOOKUP(G4575,'[1]T&amp;C emissions for 2050 analysis'!$B$3:$B$23,'[1]T&amp;C emissions for 2050 analysis'!$C$3:$C$23)</f>
        <v>0.21999999999999997</v>
      </c>
      <c r="I4575" s="27">
        <f t="shared" si="213"/>
        <v>0.67226272036000001</v>
      </c>
      <c r="J4575" s="129">
        <f t="shared" si="214"/>
        <v>9.3062199999999997</v>
      </c>
    </row>
    <row r="4576" spans="1:10" hidden="1" x14ac:dyDescent="0.35">
      <c r="A4576" s="126" t="s">
        <v>491</v>
      </c>
      <c r="B4576" t="str">
        <f>_xlfn.XLOOKUP(A4576,'[1]2050Pop'!$A$7:$A$143,'[1]2050Pop'!$D$7:$D$143)</f>
        <v>SSA</v>
      </c>
      <c r="C4576" s="127">
        <f>1000*_xlfn.XLOOKUP(A4576,'[1]2050Pop'!$A$7:$A$143,'[1]2050Pop'!$C$7:$C$143)</f>
        <v>398508</v>
      </c>
      <c r="D4576" s="126" t="s">
        <v>541</v>
      </c>
      <c r="E4576" s="128">
        <v>175.49199999999999</v>
      </c>
      <c r="F4576" s="129">
        <f t="shared" si="215"/>
        <v>69.934965935999983</v>
      </c>
      <c r="G4576" t="str">
        <f>_xlfn.XLOOKUP(D4576,'[1]2050 BAU Mapping to T &amp; C'!$A$3:$A$52,'[1]2050 BAU Mapping to T &amp; C'!$B$3:$B$52)</f>
        <v>Wheat</v>
      </c>
      <c r="H4576" s="129">
        <f>_xlfn.XLOOKUP(G4576,'[1]T&amp;C emissions for 2050 analysis'!$B$3:$B$23,'[1]T&amp;C emissions for 2050 analysis'!$C$3:$C$23)</f>
        <v>0.21999999999999997</v>
      </c>
      <c r="I4576" s="27">
        <f t="shared" si="213"/>
        <v>15.385692505919994</v>
      </c>
      <c r="J4576" s="129">
        <f t="shared" si="214"/>
        <v>38.608239999999995</v>
      </c>
    </row>
    <row r="4577" spans="1:10" hidden="1" x14ac:dyDescent="0.35">
      <c r="A4577" s="126" t="s">
        <v>442</v>
      </c>
      <c r="B4577" t="str">
        <f>_xlfn.XLOOKUP(A4577,'[1]2050Pop'!$A$7:$A$143,'[1]2050Pop'!$D$7:$D$143)</f>
        <v>Euro/AU/NZ</v>
      </c>
      <c r="C4577" s="127">
        <f>1000*_xlfn.XLOOKUP(A4577,'[1]2050Pop'!$A$7:$A$143,'[1]2050Pop'!$C$7:$C$143)</f>
        <v>6658</v>
      </c>
      <c r="D4577" s="126" t="s">
        <v>541</v>
      </c>
      <c r="E4577" s="128">
        <v>844.51099999999997</v>
      </c>
      <c r="F4577" s="129">
        <f t="shared" si="215"/>
        <v>5.6227542379999997</v>
      </c>
      <c r="G4577" t="str">
        <f>_xlfn.XLOOKUP(D4577,'[1]2050 BAU Mapping to T &amp; C'!$A$3:$A$52,'[1]2050 BAU Mapping to T &amp; C'!$B$3:$B$52)</f>
        <v>Wheat</v>
      </c>
      <c r="H4577" s="129">
        <f>_xlfn.XLOOKUP(G4577,'[1]T&amp;C emissions for 2050 analysis'!$B$3:$B$23,'[1]T&amp;C emissions for 2050 analysis'!$C$3:$C$23)</f>
        <v>0.21999999999999997</v>
      </c>
      <c r="I4577" s="27">
        <f t="shared" si="213"/>
        <v>1.2370059323599998</v>
      </c>
      <c r="J4577" s="129">
        <f t="shared" si="214"/>
        <v>185.79241999999996</v>
      </c>
    </row>
    <row r="4578" spans="1:10" hidden="1" x14ac:dyDescent="0.35">
      <c r="A4578" s="126" t="s">
        <v>443</v>
      </c>
      <c r="B4578" t="str">
        <f>_xlfn.XLOOKUP(A4578,'[1]2050Pop'!$A$7:$A$143,'[1]2050Pop'!$D$7:$D$143)</f>
        <v>India/South Asia</v>
      </c>
      <c r="C4578" s="127">
        <f>1000*_xlfn.XLOOKUP(A4578,'[1]2050Pop'!$A$7:$A$143,'[1]2050Pop'!$C$7:$C$143)</f>
        <v>309640</v>
      </c>
      <c r="D4578" s="126" t="s">
        <v>541</v>
      </c>
      <c r="E4578" s="128">
        <v>988.92100000000005</v>
      </c>
      <c r="F4578" s="129">
        <f t="shared" si="215"/>
        <v>306.20949844</v>
      </c>
      <c r="G4578" t="str">
        <f>_xlfn.XLOOKUP(D4578,'[1]2050 BAU Mapping to T &amp; C'!$A$3:$A$52,'[1]2050 BAU Mapping to T &amp; C'!$B$3:$B$52)</f>
        <v>Wheat</v>
      </c>
      <c r="H4578" s="129">
        <f>_xlfn.XLOOKUP(G4578,'[1]T&amp;C emissions for 2050 analysis'!$B$3:$B$23,'[1]T&amp;C emissions for 2050 analysis'!$C$3:$C$23)</f>
        <v>0.21999999999999997</v>
      </c>
      <c r="I4578" s="27">
        <f t="shared" si="213"/>
        <v>67.3660896568</v>
      </c>
      <c r="J4578" s="129">
        <f t="shared" si="214"/>
        <v>217.56261999999998</v>
      </c>
    </row>
    <row r="4579" spans="1:10" hidden="1" x14ac:dyDescent="0.35">
      <c r="A4579" s="126" t="s">
        <v>444</v>
      </c>
      <c r="B4579" t="str">
        <f>_xlfn.XLOOKUP(A4579,'[1]2050Pop'!$A$7:$A$143,'[1]2050Pop'!$D$7:$D$143)</f>
        <v>LatAm &amp; RSA</v>
      </c>
      <c r="C4579" s="127">
        <f>1000*_xlfn.XLOOKUP(A4579,'[1]2050Pop'!$A$7:$A$143,'[1]2050Pop'!$C$7:$C$143)</f>
        <v>5599</v>
      </c>
      <c r="D4579" s="126" t="s">
        <v>541</v>
      </c>
      <c r="E4579" s="130">
        <v>299.48</v>
      </c>
      <c r="F4579" s="129">
        <f t="shared" si="215"/>
        <v>1.6767885200000001</v>
      </c>
      <c r="G4579" t="str">
        <f>_xlfn.XLOOKUP(D4579,'[1]2050 BAU Mapping to T &amp; C'!$A$3:$A$52,'[1]2050 BAU Mapping to T &amp; C'!$B$3:$B$52)</f>
        <v>Wheat</v>
      </c>
      <c r="H4579" s="129">
        <f>_xlfn.XLOOKUP(G4579,'[1]T&amp;C emissions for 2050 analysis'!$B$3:$B$23,'[1]T&amp;C emissions for 2050 analysis'!$C$3:$C$23)</f>
        <v>0.21999999999999997</v>
      </c>
      <c r="I4579" s="27">
        <f t="shared" si="213"/>
        <v>0.36889347439999998</v>
      </c>
      <c r="J4579" s="129">
        <f t="shared" si="214"/>
        <v>65.885599999999997</v>
      </c>
    </row>
    <row r="4580" spans="1:10" hidden="1" x14ac:dyDescent="0.35">
      <c r="A4580" s="126" t="s">
        <v>445</v>
      </c>
      <c r="B4580" t="str">
        <f>_xlfn.XLOOKUP(A4580,'[1]2050Pop'!$A$7:$A$143,'[1]2050Pop'!$D$7:$D$143)</f>
        <v>LatAm &amp; RSA</v>
      </c>
      <c r="C4580" s="127">
        <f>1000*_xlfn.XLOOKUP(A4580,'[1]2050Pop'!$A$7:$A$143,'[1]2050Pop'!$C$7:$C$143)</f>
        <v>8895</v>
      </c>
      <c r="D4580" s="126" t="s">
        <v>541</v>
      </c>
      <c r="E4580" s="130">
        <v>255.26</v>
      </c>
      <c r="F4580" s="129">
        <f t="shared" si="215"/>
        <v>2.2705376999999998</v>
      </c>
      <c r="G4580" t="str">
        <f>_xlfn.XLOOKUP(D4580,'[1]2050 BAU Mapping to T &amp; C'!$A$3:$A$52,'[1]2050 BAU Mapping to T &amp; C'!$B$3:$B$52)</f>
        <v>Wheat</v>
      </c>
      <c r="H4580" s="129">
        <f>_xlfn.XLOOKUP(G4580,'[1]T&amp;C emissions for 2050 analysis'!$B$3:$B$23,'[1]T&amp;C emissions for 2050 analysis'!$C$3:$C$23)</f>
        <v>0.21999999999999997</v>
      </c>
      <c r="I4580" s="27">
        <f t="shared" si="213"/>
        <v>0.49951829399999986</v>
      </c>
      <c r="J4580" s="129">
        <f t="shared" si="214"/>
        <v>56.157199999999989</v>
      </c>
    </row>
    <row r="4581" spans="1:10" hidden="1" x14ac:dyDescent="0.35">
      <c r="A4581" s="126" t="s">
        <v>446</v>
      </c>
      <c r="B4581" t="str">
        <f>_xlfn.XLOOKUP(A4581,'[1]2050Pop'!$A$7:$A$143,'[1]2050Pop'!$D$7:$D$143)</f>
        <v>LatAm &amp; RSA</v>
      </c>
      <c r="C4581" s="127">
        <f>1000*_xlfn.XLOOKUP(A4581,'[1]2050Pop'!$A$7:$A$143,'[1]2050Pop'!$C$7:$C$143)</f>
        <v>41899</v>
      </c>
      <c r="D4581" s="126" t="s">
        <v>541</v>
      </c>
      <c r="E4581" s="128">
        <v>363.28100000000001</v>
      </c>
      <c r="F4581" s="129">
        <f t="shared" si="215"/>
        <v>15.221110619000001</v>
      </c>
      <c r="G4581" t="str">
        <f>_xlfn.XLOOKUP(D4581,'[1]2050 BAU Mapping to T &amp; C'!$A$3:$A$52,'[1]2050 BAU Mapping to T &amp; C'!$B$3:$B$52)</f>
        <v>Wheat</v>
      </c>
      <c r="H4581" s="129">
        <f>_xlfn.XLOOKUP(G4581,'[1]T&amp;C emissions for 2050 analysis'!$B$3:$B$23,'[1]T&amp;C emissions for 2050 analysis'!$C$3:$C$23)</f>
        <v>0.21999999999999997</v>
      </c>
      <c r="I4581" s="27">
        <f t="shared" si="213"/>
        <v>3.34864433618</v>
      </c>
      <c r="J4581" s="129">
        <f t="shared" si="214"/>
        <v>79.921819999999997</v>
      </c>
    </row>
    <row r="4582" spans="1:10" hidden="1" x14ac:dyDescent="0.35">
      <c r="A4582" s="126" t="s">
        <v>447</v>
      </c>
      <c r="B4582" t="str">
        <f>_xlfn.XLOOKUP(A4582,'[1]2050Pop'!$A$7:$A$143,'[1]2050Pop'!$D$7:$D$143)</f>
        <v>APAC</v>
      </c>
      <c r="C4582" s="127">
        <f>1000*_xlfn.XLOOKUP(A4582,'[1]2050Pop'!$A$7:$A$143,'[1]2050Pop'!$C$7:$C$143)</f>
        <v>148260</v>
      </c>
      <c r="D4582" s="126" t="s">
        <v>541</v>
      </c>
      <c r="E4582" s="128">
        <v>149.226</v>
      </c>
      <c r="F4582" s="129">
        <f t="shared" si="215"/>
        <v>22.124246760000002</v>
      </c>
      <c r="G4582" t="str">
        <f>_xlfn.XLOOKUP(D4582,'[1]2050 BAU Mapping to T &amp; C'!$A$3:$A$52,'[1]2050 BAU Mapping to T &amp; C'!$B$3:$B$52)</f>
        <v>Wheat</v>
      </c>
      <c r="H4582" s="129">
        <f>_xlfn.XLOOKUP(G4582,'[1]T&amp;C emissions for 2050 analysis'!$B$3:$B$23,'[1]T&amp;C emissions for 2050 analysis'!$C$3:$C$23)</f>
        <v>0.21999999999999997</v>
      </c>
      <c r="I4582" s="27">
        <f t="shared" si="213"/>
        <v>4.8673342871999994</v>
      </c>
      <c r="J4582" s="129">
        <f t="shared" si="214"/>
        <v>32.829719999999995</v>
      </c>
    </row>
    <row r="4583" spans="1:10" hidden="1" x14ac:dyDescent="0.35">
      <c r="A4583" s="126" t="s">
        <v>448</v>
      </c>
      <c r="B4583" t="str">
        <f>_xlfn.XLOOKUP(A4583,'[1]2050Pop'!$A$7:$A$143,'[1]2050Pop'!$D$7:$D$143)</f>
        <v>Euro/AU/NZ</v>
      </c>
      <c r="C4583" s="127">
        <f>1000*_xlfn.XLOOKUP(A4583,'[1]2050Pop'!$A$7:$A$143,'[1]2050Pop'!$C$7:$C$143)</f>
        <v>33136</v>
      </c>
      <c r="D4583" s="126" t="s">
        <v>541</v>
      </c>
      <c r="E4583" s="128">
        <v>899.11800000000005</v>
      </c>
      <c r="F4583" s="129">
        <f t="shared" si="215"/>
        <v>29.793174048000001</v>
      </c>
      <c r="G4583" t="str">
        <f>_xlfn.XLOOKUP(D4583,'[1]2050 BAU Mapping to T &amp; C'!$A$3:$A$52,'[1]2050 BAU Mapping to T &amp; C'!$B$3:$B$52)</f>
        <v>Wheat</v>
      </c>
      <c r="H4583" s="129">
        <f>_xlfn.XLOOKUP(G4583,'[1]T&amp;C emissions for 2050 analysis'!$B$3:$B$23,'[1]T&amp;C emissions for 2050 analysis'!$C$3:$C$23)</f>
        <v>0.21999999999999997</v>
      </c>
      <c r="I4583" s="27">
        <f t="shared" si="213"/>
        <v>6.5544982905599998</v>
      </c>
      <c r="J4583" s="129">
        <f t="shared" si="214"/>
        <v>197.80596</v>
      </c>
    </row>
    <row r="4584" spans="1:10" hidden="1" x14ac:dyDescent="0.35">
      <c r="A4584" s="126" t="s">
        <v>449</v>
      </c>
      <c r="B4584" t="str">
        <f>_xlfn.XLOOKUP(A4584,'[1]2050Pop'!$A$7:$A$143,'[1]2050Pop'!$D$7:$D$143)</f>
        <v>Euro/AU/NZ</v>
      </c>
      <c r="C4584" s="127">
        <f>1000*_xlfn.XLOOKUP(A4584,'[1]2050Pop'!$A$7:$A$143,'[1]2050Pop'!$C$7:$C$143)</f>
        <v>9216</v>
      </c>
      <c r="D4584" s="126" t="s">
        <v>541</v>
      </c>
      <c r="E4584" s="128">
        <v>737.97799999999995</v>
      </c>
      <c r="F4584" s="129">
        <f t="shared" si="215"/>
        <v>6.8012052479999996</v>
      </c>
      <c r="G4584" t="str">
        <f>_xlfn.XLOOKUP(D4584,'[1]2050 BAU Mapping to T &amp; C'!$A$3:$A$52,'[1]2050 BAU Mapping to T &amp; C'!$B$3:$B$52)</f>
        <v>Wheat</v>
      </c>
      <c r="H4584" s="129">
        <f>_xlfn.XLOOKUP(G4584,'[1]T&amp;C emissions for 2050 analysis'!$B$3:$B$23,'[1]T&amp;C emissions for 2050 analysis'!$C$3:$C$23)</f>
        <v>0.21999999999999997</v>
      </c>
      <c r="I4584" s="27">
        <f t="shared" si="213"/>
        <v>1.4962651545599996</v>
      </c>
      <c r="J4584" s="129">
        <f t="shared" si="214"/>
        <v>162.35515999999998</v>
      </c>
    </row>
    <row r="4585" spans="1:10" hidden="1" x14ac:dyDescent="0.35">
      <c r="A4585" s="126" t="s">
        <v>450</v>
      </c>
      <c r="B4585" t="str">
        <f>_xlfn.XLOOKUP(A4585,'[1]2050Pop'!$A$7:$A$143,'[1]2050Pop'!$D$7:$D$143)</f>
        <v>APAC</v>
      </c>
      <c r="C4585" s="127">
        <f>1000*_xlfn.XLOOKUP(A4585,'[1]2050Pop'!$A$7:$A$143,'[1]2050Pop'!$C$7:$C$143)</f>
        <v>50593</v>
      </c>
      <c r="D4585" s="126" t="s">
        <v>541</v>
      </c>
      <c r="E4585" s="128">
        <v>363.68099999999998</v>
      </c>
      <c r="F4585" s="129">
        <f t="shared" si="215"/>
        <v>18.399712832999999</v>
      </c>
      <c r="G4585" t="str">
        <f>_xlfn.XLOOKUP(D4585,'[1]2050 BAU Mapping to T &amp; C'!$A$3:$A$52,'[1]2050 BAU Mapping to T &amp; C'!$B$3:$B$52)</f>
        <v>Wheat</v>
      </c>
      <c r="H4585" s="129">
        <f>_xlfn.XLOOKUP(G4585,'[1]T&amp;C emissions for 2050 analysis'!$B$3:$B$23,'[1]T&amp;C emissions for 2050 analysis'!$C$3:$C$23)</f>
        <v>0.21999999999999997</v>
      </c>
      <c r="I4585" s="27">
        <f t="shared" si="213"/>
        <v>4.0479368232599988</v>
      </c>
      <c r="J4585" s="129">
        <f t="shared" si="214"/>
        <v>80.009819999999991</v>
      </c>
    </row>
    <row r="4586" spans="1:10" hidden="1" x14ac:dyDescent="0.35">
      <c r="A4586" s="126" t="s">
        <v>451</v>
      </c>
      <c r="B4586" t="str">
        <f>_xlfn.XLOOKUP(A4586,'[1]2050Pop'!$A$7:$A$143,'[1]2050Pop'!$D$7:$D$143)</f>
        <v>Euro/AU/NZ</v>
      </c>
      <c r="C4586" s="127">
        <f>1000*_xlfn.XLOOKUP(A4586,'[1]2050Pop'!$A$7:$A$143,'[1]2050Pop'!$C$7:$C$143)</f>
        <v>3243</v>
      </c>
      <c r="D4586" s="126" t="s">
        <v>541</v>
      </c>
      <c r="E4586" s="128">
        <v>449.51499999999999</v>
      </c>
      <c r="F4586" s="129">
        <f t="shared" si="215"/>
        <v>1.4577771450000001</v>
      </c>
      <c r="G4586" t="str">
        <f>_xlfn.XLOOKUP(D4586,'[1]2050 BAU Mapping to T &amp; C'!$A$3:$A$52,'[1]2050 BAU Mapping to T &amp; C'!$B$3:$B$52)</f>
        <v>Wheat</v>
      </c>
      <c r="H4586" s="129">
        <f>_xlfn.XLOOKUP(G4586,'[1]T&amp;C emissions for 2050 analysis'!$B$3:$B$23,'[1]T&amp;C emissions for 2050 analysis'!$C$3:$C$23)</f>
        <v>0.21999999999999997</v>
      </c>
      <c r="I4586" s="27">
        <f t="shared" si="213"/>
        <v>0.32071097189999997</v>
      </c>
      <c r="J4586" s="129">
        <f t="shared" si="214"/>
        <v>98.893299999999982</v>
      </c>
    </row>
    <row r="4587" spans="1:10" hidden="1" x14ac:dyDescent="0.35">
      <c r="A4587" s="126" t="s">
        <v>452</v>
      </c>
      <c r="B4587" t="str">
        <f>_xlfn.XLOOKUP(A4587,'[1]2050Pop'!$A$7:$A$143,'[1]2050Pop'!$D$7:$D$143)</f>
        <v>SSA</v>
      </c>
      <c r="C4587" s="127">
        <f>1000*_xlfn.XLOOKUP(A4587,'[1]2050Pop'!$A$7:$A$143,'[1]2050Pop'!$C$7:$C$143)</f>
        <v>10732</v>
      </c>
      <c r="D4587" s="126" t="s">
        <v>541</v>
      </c>
      <c r="E4587" s="128">
        <v>342.72500000000002</v>
      </c>
      <c r="F4587" s="129">
        <f t="shared" si="215"/>
        <v>3.6781247000000001</v>
      </c>
      <c r="G4587" t="str">
        <f>_xlfn.XLOOKUP(D4587,'[1]2050 BAU Mapping to T &amp; C'!$A$3:$A$52,'[1]2050 BAU Mapping to T &amp; C'!$B$3:$B$52)</f>
        <v>Wheat</v>
      </c>
      <c r="H4587" s="129">
        <f>_xlfn.XLOOKUP(G4587,'[1]T&amp;C emissions for 2050 analysis'!$B$3:$B$23,'[1]T&amp;C emissions for 2050 analysis'!$C$3:$C$23)</f>
        <v>0.21999999999999997</v>
      </c>
      <c r="I4587" s="27">
        <f t="shared" si="213"/>
        <v>0.80918743399999993</v>
      </c>
      <c r="J4587" s="129">
        <f t="shared" si="214"/>
        <v>75.399499999999989</v>
      </c>
    </row>
    <row r="4588" spans="1:10" hidden="1" x14ac:dyDescent="0.35">
      <c r="A4588" s="126" t="s">
        <v>453</v>
      </c>
      <c r="B4588" t="str">
        <f>_xlfn.XLOOKUP(A4588,'[1]2050Pop'!$A$7:$A$143,'[1]2050Pop'!$D$7:$D$143)</f>
        <v>Euro/AU/NZ</v>
      </c>
      <c r="C4588" s="127">
        <f>1000*_xlfn.XLOOKUP(A4588,'[1]2050Pop'!$A$7:$A$143,'[1]2050Pop'!$C$7:$C$143)</f>
        <v>15207</v>
      </c>
      <c r="D4588" s="126" t="s">
        <v>541</v>
      </c>
      <c r="E4588" s="128">
        <v>1007.4690000000001</v>
      </c>
      <c r="F4588" s="129">
        <f t="shared" si="215"/>
        <v>15.320581083</v>
      </c>
      <c r="G4588" t="str">
        <f>_xlfn.XLOOKUP(D4588,'[1]2050 BAU Mapping to T &amp; C'!$A$3:$A$52,'[1]2050 BAU Mapping to T &amp; C'!$B$3:$B$52)</f>
        <v>Wheat</v>
      </c>
      <c r="H4588" s="129">
        <f>_xlfn.XLOOKUP(G4588,'[1]T&amp;C emissions for 2050 analysis'!$B$3:$B$23,'[1]T&amp;C emissions for 2050 analysis'!$C$3:$C$23)</f>
        <v>0.21999999999999997</v>
      </c>
      <c r="I4588" s="27">
        <f t="shared" si="213"/>
        <v>3.3705278382599997</v>
      </c>
      <c r="J4588" s="129">
        <f t="shared" si="214"/>
        <v>221.64317999999997</v>
      </c>
    </row>
    <row r="4589" spans="1:10" hidden="1" x14ac:dyDescent="0.35">
      <c r="A4589" s="126" t="s">
        <v>454</v>
      </c>
      <c r="B4589" t="str">
        <f>_xlfn.XLOOKUP(A4589,'[1]2050Pop'!$A$7:$A$143,'[1]2050Pop'!$D$7:$D$143)</f>
        <v>Euro/AU/NZ</v>
      </c>
      <c r="C4589" s="127">
        <f>1000*_xlfn.XLOOKUP(A4589,'[1]2050Pop'!$A$7:$A$143,'[1]2050Pop'!$C$7:$C$143)</f>
        <v>128598.99999999999</v>
      </c>
      <c r="D4589" s="126" t="s">
        <v>541</v>
      </c>
      <c r="E4589" s="128">
        <v>994.29100000000005</v>
      </c>
      <c r="F4589" s="129">
        <f t="shared" si="215"/>
        <v>127.86482830899999</v>
      </c>
      <c r="G4589" t="str">
        <f>_xlfn.XLOOKUP(D4589,'[1]2050 BAU Mapping to T &amp; C'!$A$3:$A$52,'[1]2050 BAU Mapping to T &amp; C'!$B$3:$B$52)</f>
        <v>Wheat</v>
      </c>
      <c r="H4589" s="129">
        <f>_xlfn.XLOOKUP(G4589,'[1]T&amp;C emissions for 2050 analysis'!$B$3:$B$23,'[1]T&amp;C emissions for 2050 analysis'!$C$3:$C$23)</f>
        <v>0.21999999999999997</v>
      </c>
      <c r="I4589" s="27">
        <f t="shared" si="213"/>
        <v>28.130262227979994</v>
      </c>
      <c r="J4589" s="129">
        <f t="shared" si="214"/>
        <v>218.74401999999998</v>
      </c>
    </row>
    <row r="4590" spans="1:10" hidden="1" x14ac:dyDescent="0.35">
      <c r="A4590" s="126" t="s">
        <v>455</v>
      </c>
      <c r="B4590" t="str">
        <f>_xlfn.XLOOKUP(A4590,'[1]2050Pop'!$A$7:$A$143,'[1]2050Pop'!$D$7:$D$143)</f>
        <v>SSA</v>
      </c>
      <c r="C4590" s="127">
        <f>1000*_xlfn.XLOOKUP(A4590,'[1]2050Pop'!$A$7:$A$143,'[1]2050Pop'!$C$7:$C$143)</f>
        <v>21187</v>
      </c>
      <c r="D4590" s="126" t="s">
        <v>541</v>
      </c>
      <c r="E4590" s="128">
        <v>99.448999999999998</v>
      </c>
      <c r="F4590" s="129">
        <f t="shared" si="215"/>
        <v>2.1070259629999999</v>
      </c>
      <c r="G4590" t="str">
        <f>_xlfn.XLOOKUP(D4590,'[1]2050 BAU Mapping to T &amp; C'!$A$3:$A$52,'[1]2050 BAU Mapping to T &amp; C'!$B$3:$B$52)</f>
        <v>Wheat</v>
      </c>
      <c r="H4590" s="129">
        <f>_xlfn.XLOOKUP(G4590,'[1]T&amp;C emissions for 2050 analysis'!$B$3:$B$23,'[1]T&amp;C emissions for 2050 analysis'!$C$3:$C$23)</f>
        <v>0.21999999999999997</v>
      </c>
      <c r="I4590" s="27">
        <f t="shared" si="213"/>
        <v>0.46354571185999993</v>
      </c>
      <c r="J4590" s="129">
        <f t="shared" si="214"/>
        <v>21.878779999999995</v>
      </c>
    </row>
    <row r="4591" spans="1:10" hidden="1" x14ac:dyDescent="0.35">
      <c r="A4591" s="126" t="s">
        <v>456</v>
      </c>
      <c r="B4591" t="str">
        <f>_xlfn.XLOOKUP(A4591,'[1]2050Pop'!$A$7:$A$143,'[1]2050Pop'!$D$7:$D$143)</f>
        <v>MENA</v>
      </c>
      <c r="C4591" s="127">
        <f>1000*_xlfn.XLOOKUP(A4591,'[1]2050Pop'!$A$7:$A$143,'[1]2050Pop'!$C$7:$C$143)</f>
        <v>46059</v>
      </c>
      <c r="D4591" s="126" t="s">
        <v>541</v>
      </c>
      <c r="E4591" s="128">
        <v>791.75800000000004</v>
      </c>
      <c r="F4591" s="129">
        <f t="shared" si="215"/>
        <v>36.467581722000006</v>
      </c>
      <c r="G4591" t="str">
        <f>_xlfn.XLOOKUP(D4591,'[1]2050 BAU Mapping to T &amp; C'!$A$3:$A$52,'[1]2050 BAU Mapping to T &amp; C'!$B$3:$B$52)</f>
        <v>Wheat</v>
      </c>
      <c r="H4591" s="129">
        <f>_xlfn.XLOOKUP(G4591,'[1]T&amp;C emissions for 2050 analysis'!$B$3:$B$23,'[1]T&amp;C emissions for 2050 analysis'!$C$3:$C$23)</f>
        <v>0.21999999999999997</v>
      </c>
      <c r="I4591" s="27">
        <f t="shared" si="213"/>
        <v>8.0228679788400008</v>
      </c>
      <c r="J4591" s="129">
        <f t="shared" si="214"/>
        <v>174.18675999999999</v>
      </c>
    </row>
    <row r="4592" spans="1:10" hidden="1" x14ac:dyDescent="0.35">
      <c r="A4592" s="126" t="s">
        <v>457</v>
      </c>
      <c r="B4592" t="str">
        <f>_xlfn.XLOOKUP(A4592,'[1]2050Pop'!$A$7:$A$143,'[1]2050Pop'!$D$7:$D$143)</f>
        <v>SSA</v>
      </c>
      <c r="C4592" s="127">
        <f>1000*_xlfn.XLOOKUP(A4592,'[1]2050Pop'!$A$7:$A$143,'[1]2050Pop'!$C$7:$C$143)</f>
        <v>36223</v>
      </c>
      <c r="D4592" s="126" t="s">
        <v>541</v>
      </c>
      <c r="E4592" s="128">
        <v>316.66300000000001</v>
      </c>
      <c r="F4592" s="129">
        <f t="shared" si="215"/>
        <v>11.470483848999999</v>
      </c>
      <c r="G4592" t="str">
        <f>_xlfn.XLOOKUP(D4592,'[1]2050 BAU Mapping to T &amp; C'!$A$3:$A$52,'[1]2050 BAU Mapping to T &amp; C'!$B$3:$B$52)</f>
        <v>Wheat</v>
      </c>
      <c r="H4592" s="129">
        <f>_xlfn.XLOOKUP(G4592,'[1]T&amp;C emissions for 2050 analysis'!$B$3:$B$23,'[1]T&amp;C emissions for 2050 analysis'!$C$3:$C$23)</f>
        <v>0.21999999999999997</v>
      </c>
      <c r="I4592" s="27">
        <f t="shared" si="213"/>
        <v>2.5235064467799995</v>
      </c>
      <c r="J4592" s="129">
        <f t="shared" si="214"/>
        <v>69.665859999999995</v>
      </c>
    </row>
    <row r="4593" spans="1:10" hidden="1" x14ac:dyDescent="0.35">
      <c r="A4593" s="126" t="s">
        <v>458</v>
      </c>
      <c r="B4593" t="str">
        <f>_xlfn.XLOOKUP(A4593,'[1]2050Pop'!$A$7:$A$143,'[1]2050Pop'!$D$7:$D$143)</f>
        <v>Euro/AU/NZ</v>
      </c>
      <c r="C4593" s="127">
        <f>1000*_xlfn.XLOOKUP(A4593,'[1]2050Pop'!$A$7:$A$143,'[1]2050Pop'!$C$7:$C$143)</f>
        <v>7331</v>
      </c>
      <c r="D4593" s="126" t="s">
        <v>541</v>
      </c>
      <c r="E4593" s="128">
        <v>861.846</v>
      </c>
      <c r="F4593" s="129">
        <f t="shared" si="215"/>
        <v>6.3181930259999994</v>
      </c>
      <c r="G4593" t="str">
        <f>_xlfn.XLOOKUP(D4593,'[1]2050 BAU Mapping to T &amp; C'!$A$3:$A$52,'[1]2050 BAU Mapping to T &amp; C'!$B$3:$B$52)</f>
        <v>Wheat</v>
      </c>
      <c r="H4593" s="129">
        <f>_xlfn.XLOOKUP(G4593,'[1]T&amp;C emissions for 2050 analysis'!$B$3:$B$23,'[1]T&amp;C emissions for 2050 analysis'!$C$3:$C$23)</f>
        <v>0.21999999999999997</v>
      </c>
      <c r="I4593" s="27">
        <f t="shared" si="213"/>
        <v>1.3900024657199996</v>
      </c>
      <c r="J4593" s="129">
        <f t="shared" si="214"/>
        <v>189.60611999999998</v>
      </c>
    </row>
    <row r="4594" spans="1:10" hidden="1" x14ac:dyDescent="0.35">
      <c r="A4594" s="126" t="s">
        <v>492</v>
      </c>
      <c r="B4594" t="str">
        <f>_xlfn.XLOOKUP(A4594,'[1]2050Pop'!$A$7:$A$143,'[1]2050Pop'!$D$7:$D$143)</f>
        <v>SSA</v>
      </c>
      <c r="C4594" s="127">
        <f>1000*_xlfn.XLOOKUP(A4594,'[1]2050Pop'!$A$7:$A$143,'[1]2050Pop'!$C$7:$C$143)</f>
        <v>11392</v>
      </c>
      <c r="D4594" s="126" t="s">
        <v>541</v>
      </c>
      <c r="E4594" s="128">
        <v>99.271000000000001</v>
      </c>
      <c r="F4594" s="129">
        <f t="shared" si="215"/>
        <v>1.1308952320000001</v>
      </c>
      <c r="G4594" t="str">
        <f>_xlfn.XLOOKUP(D4594,'[1]2050 BAU Mapping to T &amp; C'!$A$3:$A$52,'[1]2050 BAU Mapping to T &amp; C'!$B$3:$B$52)</f>
        <v>Wheat</v>
      </c>
      <c r="H4594" s="129">
        <f>_xlfn.XLOOKUP(G4594,'[1]T&amp;C emissions for 2050 analysis'!$B$3:$B$23,'[1]T&amp;C emissions for 2050 analysis'!$C$3:$C$23)</f>
        <v>0.21999999999999997</v>
      </c>
      <c r="I4594" s="27">
        <f t="shared" si="213"/>
        <v>0.24879695103999999</v>
      </c>
      <c r="J4594" s="129">
        <f t="shared" si="214"/>
        <v>21.839619999999996</v>
      </c>
    </row>
    <row r="4595" spans="1:10" hidden="1" x14ac:dyDescent="0.35">
      <c r="A4595" s="126" t="s">
        <v>459</v>
      </c>
      <c r="B4595" t="str">
        <f>_xlfn.XLOOKUP(A4595,'[1]2050Pop'!$A$7:$A$143,'[1]2050Pop'!$D$7:$D$143)</f>
        <v>Euro/AU/NZ</v>
      </c>
      <c r="C4595" s="127">
        <f>1000*_xlfn.XLOOKUP(A4595,'[1]2050Pop'!$A$7:$A$143,'[1]2050Pop'!$C$7:$C$143)</f>
        <v>4892</v>
      </c>
      <c r="D4595" s="126" t="s">
        <v>541</v>
      </c>
      <c r="E4595" s="128">
        <v>888.88800000000003</v>
      </c>
      <c r="F4595" s="129">
        <f t="shared" si="215"/>
        <v>4.348440096</v>
      </c>
      <c r="G4595" t="str">
        <f>_xlfn.XLOOKUP(D4595,'[1]2050 BAU Mapping to T &amp; C'!$A$3:$A$52,'[1]2050 BAU Mapping to T &amp; C'!$B$3:$B$52)</f>
        <v>Wheat</v>
      </c>
      <c r="H4595" s="129">
        <f>_xlfn.XLOOKUP(G4595,'[1]T&amp;C emissions for 2050 analysis'!$B$3:$B$23,'[1]T&amp;C emissions for 2050 analysis'!$C$3:$C$23)</f>
        <v>0.21999999999999997</v>
      </c>
      <c r="I4595" s="27">
        <f t="shared" si="213"/>
        <v>0.95665682111999994</v>
      </c>
      <c r="J4595" s="129">
        <f t="shared" si="214"/>
        <v>195.55535999999998</v>
      </c>
    </row>
    <row r="4596" spans="1:10" hidden="1" x14ac:dyDescent="0.35">
      <c r="A4596" s="126" t="s">
        <v>460</v>
      </c>
      <c r="B4596" t="str">
        <f>_xlfn.XLOOKUP(A4596,'[1]2050Pop'!$A$7:$A$143,'[1]2050Pop'!$D$7:$D$143)</f>
        <v>LatAm &amp; RSA</v>
      </c>
      <c r="C4596" s="127">
        <f>1000*_xlfn.XLOOKUP(A4596,'[1]2050Pop'!$A$7:$A$143,'[1]2050Pop'!$C$7:$C$143)</f>
        <v>65540</v>
      </c>
      <c r="D4596" s="126" t="s">
        <v>541</v>
      </c>
      <c r="E4596" s="128">
        <v>566.11599999999999</v>
      </c>
      <c r="F4596" s="129">
        <f t="shared" si="215"/>
        <v>37.103242639999998</v>
      </c>
      <c r="G4596" t="str">
        <f>_xlfn.XLOOKUP(D4596,'[1]2050 BAU Mapping to T &amp; C'!$A$3:$A$52,'[1]2050 BAU Mapping to T &amp; C'!$B$3:$B$52)</f>
        <v>Wheat</v>
      </c>
      <c r="H4596" s="129">
        <f>_xlfn.XLOOKUP(G4596,'[1]T&amp;C emissions for 2050 analysis'!$B$3:$B$23,'[1]T&amp;C emissions for 2050 analysis'!$C$3:$C$23)</f>
        <v>0.21999999999999997</v>
      </c>
      <c r="I4596" s="27">
        <f t="shared" si="213"/>
        <v>8.1627133807999979</v>
      </c>
      <c r="J4596" s="129">
        <f t="shared" si="214"/>
        <v>124.54551999999998</v>
      </c>
    </row>
    <row r="4597" spans="1:10" hidden="1" x14ac:dyDescent="0.35">
      <c r="A4597" s="126" t="s">
        <v>461</v>
      </c>
      <c r="B4597" t="str">
        <f>_xlfn.XLOOKUP(A4597,'[1]2050Pop'!$A$7:$A$143,'[1]2050Pop'!$D$7:$D$143)</f>
        <v>Euro/AU/NZ</v>
      </c>
      <c r="C4597" s="127">
        <f>1000*_xlfn.XLOOKUP(A4597,'[1]2050Pop'!$A$7:$A$143,'[1]2050Pop'!$C$7:$C$143)</f>
        <v>44840</v>
      </c>
      <c r="D4597" s="126" t="s">
        <v>541</v>
      </c>
      <c r="E4597" s="128">
        <v>719.63099999999997</v>
      </c>
      <c r="F4597" s="129">
        <f t="shared" si="215"/>
        <v>32.268254040000002</v>
      </c>
      <c r="G4597" t="str">
        <f>_xlfn.XLOOKUP(D4597,'[1]2050 BAU Mapping to T &amp; C'!$A$3:$A$52,'[1]2050 BAU Mapping to T &amp; C'!$B$3:$B$52)</f>
        <v>Wheat</v>
      </c>
      <c r="H4597" s="129">
        <f>_xlfn.XLOOKUP(G4597,'[1]T&amp;C emissions for 2050 analysis'!$B$3:$B$23,'[1]T&amp;C emissions for 2050 analysis'!$C$3:$C$23)</f>
        <v>0.21999999999999997</v>
      </c>
      <c r="I4597" s="27">
        <f t="shared" si="213"/>
        <v>7.0990158887999995</v>
      </c>
      <c r="J4597" s="129">
        <f t="shared" si="214"/>
        <v>158.31881999999999</v>
      </c>
    </row>
    <row r="4598" spans="1:10" hidden="1" x14ac:dyDescent="0.35">
      <c r="A4598" s="126" t="s">
        <v>493</v>
      </c>
      <c r="B4598" t="str">
        <f>_xlfn.XLOOKUP(A4598,'[1]2050Pop'!$A$7:$A$143,'[1]2050Pop'!$D$7:$D$143)</f>
        <v>India/South Asia</v>
      </c>
      <c r="C4598" s="127">
        <f>1000*_xlfn.XLOOKUP(A4598,'[1]2050Pop'!$A$7:$A$143,'[1]2050Pop'!$C$7:$C$143)</f>
        <v>20836</v>
      </c>
      <c r="D4598" s="126" t="s">
        <v>541</v>
      </c>
      <c r="E4598" s="128">
        <v>236.11500000000001</v>
      </c>
      <c r="F4598" s="129">
        <f t="shared" si="215"/>
        <v>4.9196921400000004</v>
      </c>
      <c r="G4598" t="str">
        <f>_xlfn.XLOOKUP(D4598,'[1]2050 BAU Mapping to T &amp; C'!$A$3:$A$52,'[1]2050 BAU Mapping to T &amp; C'!$B$3:$B$52)</f>
        <v>Wheat</v>
      </c>
      <c r="H4598" s="129">
        <f>_xlfn.XLOOKUP(G4598,'[1]T&amp;C emissions for 2050 analysis'!$B$3:$B$23,'[1]T&amp;C emissions for 2050 analysis'!$C$3:$C$23)</f>
        <v>0.21999999999999997</v>
      </c>
      <c r="I4598" s="27">
        <f t="shared" si="213"/>
        <v>1.0823322708000001</v>
      </c>
      <c r="J4598" s="129">
        <f t="shared" si="214"/>
        <v>51.945299999999996</v>
      </c>
    </row>
    <row r="4599" spans="1:10" hidden="1" x14ac:dyDescent="0.35">
      <c r="A4599" s="126" t="s">
        <v>462</v>
      </c>
      <c r="B4599" t="str">
        <f>_xlfn.XLOOKUP(A4599,'[1]2050Pop'!$A$7:$A$143,'[1]2050Pop'!$D$7:$D$143)</f>
        <v>LatAm &amp; RSA</v>
      </c>
      <c r="C4599" s="127">
        <f>1000*_xlfn.XLOOKUP(A4599,'[1]2050Pop'!$A$7:$A$143,'[1]2050Pop'!$C$7:$C$143)</f>
        <v>624</v>
      </c>
      <c r="D4599" s="126" t="s">
        <v>541</v>
      </c>
      <c r="E4599" s="128">
        <v>432.55200000000002</v>
      </c>
      <c r="F4599" s="129">
        <f t="shared" si="215"/>
        <v>0.26991244800000003</v>
      </c>
      <c r="G4599" t="str">
        <f>_xlfn.XLOOKUP(D4599,'[1]2050 BAU Mapping to T &amp; C'!$A$3:$A$52,'[1]2050 BAU Mapping to T &amp; C'!$B$3:$B$52)</f>
        <v>Wheat</v>
      </c>
      <c r="H4599" s="129">
        <f>_xlfn.XLOOKUP(G4599,'[1]T&amp;C emissions for 2050 analysis'!$B$3:$B$23,'[1]T&amp;C emissions for 2050 analysis'!$C$3:$C$23)</f>
        <v>0.21999999999999997</v>
      </c>
      <c r="I4599" s="27">
        <f t="shared" si="213"/>
        <v>5.938073856E-2</v>
      </c>
      <c r="J4599" s="129">
        <f t="shared" si="214"/>
        <v>95.161439999999999</v>
      </c>
    </row>
    <row r="4600" spans="1:10" hidden="1" x14ac:dyDescent="0.35">
      <c r="A4600" s="126" t="s">
        <v>463</v>
      </c>
      <c r="B4600" t="str">
        <f>_xlfn.XLOOKUP(A4600,'[1]2050Pop'!$A$7:$A$143,'[1]2050Pop'!$D$7:$D$143)</f>
        <v>SSA</v>
      </c>
      <c r="C4600" s="127">
        <f>1000*_xlfn.XLOOKUP(A4600,'[1]2050Pop'!$A$7:$A$143,'[1]2050Pop'!$C$7:$C$143)</f>
        <v>1792</v>
      </c>
      <c r="D4600" s="126" t="s">
        <v>541</v>
      </c>
      <c r="E4600" s="128">
        <v>426.18900000000002</v>
      </c>
      <c r="F4600" s="129">
        <f t="shared" si="215"/>
        <v>0.7637306880000001</v>
      </c>
      <c r="G4600" t="str">
        <f>_xlfn.XLOOKUP(D4600,'[1]2050 BAU Mapping to T &amp; C'!$A$3:$A$52,'[1]2050 BAU Mapping to T &amp; C'!$B$3:$B$52)</f>
        <v>Wheat</v>
      </c>
      <c r="H4600" s="129">
        <f>_xlfn.XLOOKUP(G4600,'[1]T&amp;C emissions for 2050 analysis'!$B$3:$B$23,'[1]T&amp;C emissions for 2050 analysis'!$C$3:$C$23)</f>
        <v>0.21999999999999997</v>
      </c>
      <c r="I4600" s="27">
        <f t="shared" si="213"/>
        <v>0.16802075136</v>
      </c>
      <c r="J4600" s="129">
        <f t="shared" si="214"/>
        <v>93.761579999999995</v>
      </c>
    </row>
    <row r="4601" spans="1:10" hidden="1" x14ac:dyDescent="0.35">
      <c r="A4601" s="126" t="s">
        <v>464</v>
      </c>
      <c r="B4601" t="str">
        <f>_xlfn.XLOOKUP(A4601,'[1]2050Pop'!$A$7:$A$143,'[1]2050Pop'!$D$7:$D$143)</f>
        <v>Euro/AU/NZ</v>
      </c>
      <c r="C4601" s="127">
        <f>1000*_xlfn.XLOOKUP(A4601,'[1]2050Pop'!$A$7:$A$143,'[1]2050Pop'!$C$7:$C$143)</f>
        <v>11881</v>
      </c>
      <c r="D4601" s="126" t="s">
        <v>541</v>
      </c>
      <c r="E4601" s="128">
        <v>619.30100000000004</v>
      </c>
      <c r="F4601" s="129">
        <f t="shared" si="215"/>
        <v>7.357915181000001</v>
      </c>
      <c r="G4601" t="str">
        <f>_xlfn.XLOOKUP(D4601,'[1]2050 BAU Mapping to T &amp; C'!$A$3:$A$52,'[1]2050 BAU Mapping to T &amp; C'!$B$3:$B$52)</f>
        <v>Wheat</v>
      </c>
      <c r="H4601" s="129">
        <f>_xlfn.XLOOKUP(G4601,'[1]T&amp;C emissions for 2050 analysis'!$B$3:$B$23,'[1]T&amp;C emissions for 2050 analysis'!$C$3:$C$23)</f>
        <v>0.21999999999999997</v>
      </c>
      <c r="I4601" s="27">
        <f t="shared" si="213"/>
        <v>1.6187413398200001</v>
      </c>
      <c r="J4601" s="129">
        <f t="shared" si="214"/>
        <v>136.24621999999999</v>
      </c>
    </row>
    <row r="4602" spans="1:10" hidden="1" x14ac:dyDescent="0.35">
      <c r="A4602" s="126" t="s">
        <v>483</v>
      </c>
      <c r="B4602" t="str">
        <f>_xlfn.XLOOKUP(A4602,'[1]2050Pop'!$A$7:$A$143,'[1]2050Pop'!$D$7:$D$143)</f>
        <v>APAC</v>
      </c>
      <c r="C4602" s="127">
        <f>1000*_xlfn.XLOOKUP(A4602,'[1]2050Pop'!$A$7:$A$143,'[1]2050Pop'!$C$7:$C$143)</f>
        <v>14288</v>
      </c>
      <c r="D4602" s="126" t="s">
        <v>541</v>
      </c>
      <c r="E4602" s="128">
        <v>1151.731</v>
      </c>
      <c r="F4602" s="129">
        <f t="shared" si="215"/>
        <v>16.455932527999998</v>
      </c>
      <c r="G4602" t="str">
        <f>_xlfn.XLOOKUP(D4602,'[1]2050 BAU Mapping to T &amp; C'!$A$3:$A$52,'[1]2050 BAU Mapping to T &amp; C'!$B$3:$B$52)</f>
        <v>Wheat</v>
      </c>
      <c r="H4602" s="129">
        <f>_xlfn.XLOOKUP(G4602,'[1]T&amp;C emissions for 2050 analysis'!$B$3:$B$23,'[1]T&amp;C emissions for 2050 analysis'!$C$3:$C$23)</f>
        <v>0.21999999999999997</v>
      </c>
      <c r="I4602" s="27">
        <f t="shared" si="213"/>
        <v>3.6203051561599993</v>
      </c>
      <c r="J4602" s="129">
        <f t="shared" si="214"/>
        <v>253.38081999999997</v>
      </c>
    </row>
    <row r="4603" spans="1:10" hidden="1" x14ac:dyDescent="0.35">
      <c r="A4603" s="126" t="s">
        <v>465</v>
      </c>
      <c r="B4603" t="str">
        <f>_xlfn.XLOOKUP(A4603,'[1]2050Pop'!$A$7:$A$143,'[1]2050Pop'!$D$7:$D$143)</f>
        <v>APAC</v>
      </c>
      <c r="C4603" s="127">
        <f>1000*_xlfn.XLOOKUP(A4603,'[1]2050Pop'!$A$7:$A$143,'[1]2050Pop'!$C$7:$C$143)</f>
        <v>62452</v>
      </c>
      <c r="D4603" s="126" t="s">
        <v>541</v>
      </c>
      <c r="E4603" s="128">
        <v>73.415999999999997</v>
      </c>
      <c r="F4603" s="129">
        <f t="shared" si="215"/>
        <v>4.5849760319999993</v>
      </c>
      <c r="G4603" t="str">
        <f>_xlfn.XLOOKUP(D4603,'[1]2050 BAU Mapping to T &amp; C'!$A$3:$A$52,'[1]2050 BAU Mapping to T &amp; C'!$B$3:$B$52)</f>
        <v>Wheat</v>
      </c>
      <c r="H4603" s="129">
        <f>_xlfn.XLOOKUP(G4603,'[1]T&amp;C emissions for 2050 analysis'!$B$3:$B$23,'[1]T&amp;C emissions for 2050 analysis'!$C$3:$C$23)</f>
        <v>0.21999999999999997</v>
      </c>
      <c r="I4603" s="27">
        <f t="shared" si="213"/>
        <v>1.0086947270399997</v>
      </c>
      <c r="J4603" s="129">
        <f t="shared" si="214"/>
        <v>16.151519999999998</v>
      </c>
    </row>
    <row r="4604" spans="1:10" hidden="1" x14ac:dyDescent="0.35">
      <c r="A4604" s="126" t="s">
        <v>466</v>
      </c>
      <c r="B4604" t="str">
        <f>_xlfn.XLOOKUP(A4604,'[1]2050Pop'!$A$7:$A$143,'[1]2050Pop'!$D$7:$D$143)</f>
        <v>SSA</v>
      </c>
      <c r="C4604" s="127">
        <f>1000*_xlfn.XLOOKUP(A4604,'[1]2050Pop'!$A$7:$A$143,'[1]2050Pop'!$C$7:$C$143)</f>
        <v>15681</v>
      </c>
      <c r="D4604" s="126" t="s">
        <v>541</v>
      </c>
      <c r="E4604" s="130">
        <v>129.47999999999999</v>
      </c>
      <c r="F4604" s="129">
        <f t="shared" si="215"/>
        <v>2.0303758799999998</v>
      </c>
      <c r="G4604" t="str">
        <f>_xlfn.XLOOKUP(D4604,'[1]2050 BAU Mapping to T &amp; C'!$A$3:$A$52,'[1]2050 BAU Mapping to T &amp; C'!$B$3:$B$52)</f>
        <v>Wheat</v>
      </c>
      <c r="H4604" s="129">
        <f>_xlfn.XLOOKUP(G4604,'[1]T&amp;C emissions for 2050 analysis'!$B$3:$B$23,'[1]T&amp;C emissions for 2050 analysis'!$C$3:$C$23)</f>
        <v>0.21999999999999997</v>
      </c>
      <c r="I4604" s="27">
        <f t="shared" si="213"/>
        <v>0.4466826935999999</v>
      </c>
      <c r="J4604" s="129">
        <f t="shared" si="214"/>
        <v>28.485599999999994</v>
      </c>
    </row>
    <row r="4605" spans="1:10" hidden="1" x14ac:dyDescent="0.35">
      <c r="A4605" s="126" t="s">
        <v>467</v>
      </c>
      <c r="B4605" t="str">
        <f>_xlfn.XLOOKUP(A4605,'[1]2050Pop'!$A$7:$A$143,'[1]2050Pop'!$D$7:$D$143)</f>
        <v>LatAm &amp; RSA</v>
      </c>
      <c r="C4605" s="127">
        <f>1000*_xlfn.XLOOKUP(A4605,'[1]2050Pop'!$A$7:$A$143,'[1]2050Pop'!$C$7:$C$143)</f>
        <v>1291</v>
      </c>
      <c r="D4605" s="126" t="s">
        <v>541</v>
      </c>
      <c r="E4605" s="128">
        <v>743.72400000000005</v>
      </c>
      <c r="F4605" s="129">
        <f t="shared" si="215"/>
        <v>0.96014768400000006</v>
      </c>
      <c r="G4605" t="str">
        <f>_xlfn.XLOOKUP(D4605,'[1]2050 BAU Mapping to T &amp; C'!$A$3:$A$52,'[1]2050 BAU Mapping to T &amp; C'!$B$3:$B$52)</f>
        <v>Wheat</v>
      </c>
      <c r="H4605" s="129">
        <f>_xlfn.XLOOKUP(G4605,'[1]T&amp;C emissions for 2050 analysis'!$B$3:$B$23,'[1]T&amp;C emissions for 2050 analysis'!$C$3:$C$23)</f>
        <v>0.21999999999999997</v>
      </c>
      <c r="I4605" s="27">
        <f t="shared" si="213"/>
        <v>0.21123249047999998</v>
      </c>
      <c r="J4605" s="129">
        <f t="shared" si="214"/>
        <v>163.61928</v>
      </c>
    </row>
    <row r="4606" spans="1:10" hidden="1" x14ac:dyDescent="0.35">
      <c r="A4606" s="126" t="s">
        <v>468</v>
      </c>
      <c r="B4606" t="str">
        <f>_xlfn.XLOOKUP(A4606,'[1]2050Pop'!$A$7:$A$143,'[1]2050Pop'!$D$7:$D$143)</f>
        <v>MENA</v>
      </c>
      <c r="C4606" s="127">
        <f>1000*_xlfn.XLOOKUP(A4606,'[1]2050Pop'!$A$7:$A$143,'[1]2050Pop'!$C$7:$C$143)</f>
        <v>13476</v>
      </c>
      <c r="D4606" s="126" t="s">
        <v>541</v>
      </c>
      <c r="E4606" s="128">
        <v>1649.9570000000001</v>
      </c>
      <c r="F4606" s="129">
        <f t="shared" si="215"/>
        <v>22.234820532000001</v>
      </c>
      <c r="G4606" t="str">
        <f>_xlfn.XLOOKUP(D4606,'[1]2050 BAU Mapping to T &amp; C'!$A$3:$A$52,'[1]2050 BAU Mapping to T &amp; C'!$B$3:$B$52)</f>
        <v>Wheat</v>
      </c>
      <c r="H4606" s="129">
        <f>_xlfn.XLOOKUP(G4606,'[1]T&amp;C emissions for 2050 analysis'!$B$3:$B$23,'[1]T&amp;C emissions for 2050 analysis'!$C$3:$C$23)</f>
        <v>0.21999999999999997</v>
      </c>
      <c r="I4606" s="27">
        <f t="shared" si="213"/>
        <v>4.8916605170399992</v>
      </c>
      <c r="J4606" s="129">
        <f t="shared" si="214"/>
        <v>362.99053999999995</v>
      </c>
    </row>
    <row r="4607" spans="1:10" hidden="1" x14ac:dyDescent="0.35">
      <c r="A4607" s="126" t="s">
        <v>469</v>
      </c>
      <c r="B4607" t="str">
        <f>_xlfn.XLOOKUP(A4607,'[1]2050Pop'!$A$7:$A$143,'[1]2050Pop'!$D$7:$D$143)</f>
        <v>MENA</v>
      </c>
      <c r="C4607" s="127">
        <f>1000*_xlfn.XLOOKUP(A4607,'[1]2050Pop'!$A$7:$A$143,'[1]2050Pop'!$C$7:$C$143)</f>
        <v>95819</v>
      </c>
      <c r="D4607" s="126" t="s">
        <v>541</v>
      </c>
      <c r="E4607" s="128">
        <v>1269.3520000000001</v>
      </c>
      <c r="F4607" s="129">
        <f t="shared" si="215"/>
        <v>121.628039288</v>
      </c>
      <c r="G4607" t="str">
        <f>_xlfn.XLOOKUP(D4607,'[1]2050 BAU Mapping to T &amp; C'!$A$3:$A$52,'[1]2050 BAU Mapping to T &amp; C'!$B$3:$B$52)</f>
        <v>Wheat</v>
      </c>
      <c r="H4607" s="129">
        <f>_xlfn.XLOOKUP(G4607,'[1]T&amp;C emissions for 2050 analysis'!$B$3:$B$23,'[1]T&amp;C emissions for 2050 analysis'!$C$3:$C$23)</f>
        <v>0.21999999999999997</v>
      </c>
      <c r="I4607" s="27">
        <f t="shared" si="213"/>
        <v>26.758168643359998</v>
      </c>
      <c r="J4607" s="129">
        <f t="shared" si="214"/>
        <v>279.25743999999997</v>
      </c>
    </row>
    <row r="4608" spans="1:10" hidden="1" x14ac:dyDescent="0.35">
      <c r="A4608" s="126" t="s">
        <v>484</v>
      </c>
      <c r="B4608" t="str">
        <f>_xlfn.XLOOKUP(A4608,'[1]2050Pop'!$A$7:$A$143,'[1]2050Pop'!$D$7:$D$143)</f>
        <v>APAC</v>
      </c>
      <c r="C4608" s="127">
        <f>1000*_xlfn.XLOOKUP(A4608,'[1]2050Pop'!$A$7:$A$143,'[1]2050Pop'!$C$7:$C$143)</f>
        <v>6555</v>
      </c>
      <c r="D4608" s="126" t="s">
        <v>541</v>
      </c>
      <c r="E4608" s="128">
        <v>1393.6410000000001</v>
      </c>
      <c r="F4608" s="129">
        <f t="shared" si="215"/>
        <v>9.1353167550000016</v>
      </c>
      <c r="G4608" t="str">
        <f>_xlfn.XLOOKUP(D4608,'[1]2050 BAU Mapping to T &amp; C'!$A$3:$A$52,'[1]2050 BAU Mapping to T &amp; C'!$B$3:$B$52)</f>
        <v>Wheat</v>
      </c>
      <c r="H4608" s="129">
        <f>_xlfn.XLOOKUP(G4608,'[1]T&amp;C emissions for 2050 analysis'!$B$3:$B$23,'[1]T&amp;C emissions for 2050 analysis'!$C$3:$C$23)</f>
        <v>0.21999999999999997</v>
      </c>
      <c r="I4608" s="27">
        <f t="shared" si="213"/>
        <v>2.0097696861000003</v>
      </c>
      <c r="J4608" s="129">
        <f t="shared" si="214"/>
        <v>306.60102000000001</v>
      </c>
    </row>
    <row r="4609" spans="1:10" hidden="1" x14ac:dyDescent="0.35">
      <c r="A4609" s="126" t="s">
        <v>470</v>
      </c>
      <c r="B4609" t="str">
        <f>_xlfn.XLOOKUP(A4609,'[1]2050Pop'!$A$7:$A$143,'[1]2050Pop'!$D$7:$D$143)</f>
        <v>SSA</v>
      </c>
      <c r="C4609" s="127">
        <f>1000*_xlfn.XLOOKUP(A4609,'[1]2050Pop'!$A$7:$A$143,'[1]2050Pop'!$C$7:$C$143)</f>
        <v>101873</v>
      </c>
      <c r="D4609" s="126" t="s">
        <v>541</v>
      </c>
      <c r="E4609" s="128">
        <v>106.45099999999999</v>
      </c>
      <c r="F4609" s="129">
        <f t="shared" si="215"/>
        <v>10.844482722999999</v>
      </c>
      <c r="G4609" t="str">
        <f>_xlfn.XLOOKUP(D4609,'[1]2050 BAU Mapping to T &amp; C'!$A$3:$A$52,'[1]2050 BAU Mapping to T &amp; C'!$B$3:$B$52)</f>
        <v>Wheat</v>
      </c>
      <c r="H4609" s="129">
        <f>_xlfn.XLOOKUP(G4609,'[1]T&amp;C emissions for 2050 analysis'!$B$3:$B$23,'[1]T&amp;C emissions for 2050 analysis'!$C$3:$C$23)</f>
        <v>0.21999999999999997</v>
      </c>
      <c r="I4609" s="27">
        <f t="shared" si="213"/>
        <v>2.3857861990599996</v>
      </c>
      <c r="J4609" s="129">
        <f t="shared" si="214"/>
        <v>23.419219999999996</v>
      </c>
    </row>
    <row r="4610" spans="1:10" hidden="1" x14ac:dyDescent="0.35">
      <c r="A4610" s="126" t="s">
        <v>471</v>
      </c>
      <c r="B4610" t="str">
        <f>_xlfn.XLOOKUP(A4610,'[1]2050Pop'!$A$7:$A$143,'[1]2050Pop'!$D$7:$D$143)</f>
        <v>Euro/AU/NZ</v>
      </c>
      <c r="C4610" s="127">
        <f>1000*_xlfn.XLOOKUP(A4610,'[1]2050Pop'!$A$7:$A$143,'[1]2050Pop'!$C$7:$C$143)</f>
        <v>35117</v>
      </c>
      <c r="D4610" s="126" t="s">
        <v>541</v>
      </c>
      <c r="E4610" s="128">
        <v>865.01099999999997</v>
      </c>
      <c r="F4610" s="129">
        <f t="shared" si="215"/>
        <v>30.376591287</v>
      </c>
      <c r="G4610" t="str">
        <f>_xlfn.XLOOKUP(D4610,'[1]2050 BAU Mapping to T &amp; C'!$A$3:$A$52,'[1]2050 BAU Mapping to T &amp; C'!$B$3:$B$52)</f>
        <v>Wheat</v>
      </c>
      <c r="H4610" s="129">
        <f>_xlfn.XLOOKUP(G4610,'[1]T&amp;C emissions for 2050 analysis'!$B$3:$B$23,'[1]T&amp;C emissions for 2050 analysis'!$C$3:$C$23)</f>
        <v>0.21999999999999997</v>
      </c>
      <c r="I4610" s="27">
        <f t="shared" si="213"/>
        <v>6.6828500831399991</v>
      </c>
      <c r="J4610" s="129">
        <f t="shared" si="214"/>
        <v>190.30241999999998</v>
      </c>
    </row>
    <row r="4611" spans="1:10" hidden="1" x14ac:dyDescent="0.35">
      <c r="A4611" s="126" t="s">
        <v>472</v>
      </c>
      <c r="B4611" t="str">
        <f>_xlfn.XLOOKUP(A4611,'[1]2050Pop'!$A$7:$A$143,'[1]2050Pop'!$D$7:$D$143)</f>
        <v>Euro/AU/NZ</v>
      </c>
      <c r="C4611" s="127">
        <f>1000*_xlfn.XLOOKUP(A4611,'[1]2050Pop'!$A$7:$A$143,'[1]2050Pop'!$C$7:$C$143)</f>
        <v>75361</v>
      </c>
      <c r="D4611" s="126" t="s">
        <v>541</v>
      </c>
      <c r="E4611" s="128">
        <v>786.66499999999996</v>
      </c>
      <c r="F4611" s="129">
        <f t="shared" si="215"/>
        <v>59.283861064999996</v>
      </c>
      <c r="G4611" t="str">
        <f>_xlfn.XLOOKUP(D4611,'[1]2050 BAU Mapping to T &amp; C'!$A$3:$A$52,'[1]2050 BAU Mapping to T &amp; C'!$B$3:$B$52)</f>
        <v>Wheat</v>
      </c>
      <c r="H4611" s="129">
        <f>_xlfn.XLOOKUP(G4611,'[1]T&amp;C emissions for 2050 analysis'!$B$3:$B$23,'[1]T&amp;C emissions for 2050 analysis'!$C$3:$C$23)</f>
        <v>0.21999999999999997</v>
      </c>
      <c r="I4611" s="27">
        <f t="shared" si="213"/>
        <v>13.042449434299998</v>
      </c>
      <c r="J4611" s="129">
        <f t="shared" si="214"/>
        <v>173.06629999999998</v>
      </c>
    </row>
    <row r="4612" spans="1:10" hidden="1" x14ac:dyDescent="0.35">
      <c r="A4612" s="126" t="s">
        <v>473</v>
      </c>
      <c r="B4612" t="str">
        <f>_xlfn.XLOOKUP(A4612,'[1]2050Pop'!$A$7:$A$143,'[1]2050Pop'!$D$7:$D$143)</f>
        <v>SSA</v>
      </c>
      <c r="C4612" s="127">
        <f>1000*_xlfn.XLOOKUP(A4612,'[1]2050Pop'!$A$7:$A$143,'[1]2050Pop'!$C$7:$C$143)</f>
        <v>137136</v>
      </c>
      <c r="D4612" s="126" t="s">
        <v>541</v>
      </c>
      <c r="E4612" s="130">
        <v>133.62</v>
      </c>
      <c r="F4612" s="129">
        <f t="shared" si="215"/>
        <v>18.324112320000001</v>
      </c>
      <c r="G4612" t="str">
        <f>_xlfn.XLOOKUP(D4612,'[1]2050 BAU Mapping to T &amp; C'!$A$3:$A$52,'[1]2050 BAU Mapping to T &amp; C'!$B$3:$B$52)</f>
        <v>Wheat</v>
      </c>
      <c r="H4612" s="129">
        <f>_xlfn.XLOOKUP(G4612,'[1]T&amp;C emissions for 2050 analysis'!$B$3:$B$23,'[1]T&amp;C emissions for 2050 analysis'!$C$3:$C$23)</f>
        <v>0.21999999999999997</v>
      </c>
      <c r="I4612" s="27">
        <f t="shared" ref="I4612:I4620" si="216">F4612*H4612</f>
        <v>4.0313047103999997</v>
      </c>
      <c r="J4612" s="129">
        <f t="shared" ref="J4612:J4620" si="217">E4612*H4612</f>
        <v>29.396399999999996</v>
      </c>
    </row>
    <row r="4613" spans="1:10" hidden="1" x14ac:dyDescent="0.35">
      <c r="A4613" s="126" t="s">
        <v>474</v>
      </c>
      <c r="B4613" t="str">
        <f>_xlfn.XLOOKUP(A4613,'[1]2050Pop'!$A$7:$A$143,'[1]2050Pop'!$D$7:$D$143)</f>
        <v>NAm</v>
      </c>
      <c r="C4613" s="127">
        <f>1000*_xlfn.XLOOKUP(A4613,'[1]2050Pop'!$A$7:$A$143,'[1]2050Pop'!$C$7:$C$143)</f>
        <v>388865</v>
      </c>
      <c r="D4613" s="126" t="s">
        <v>541</v>
      </c>
      <c r="E4613" s="128">
        <v>607.88499999999999</v>
      </c>
      <c r="F4613" s="129">
        <f t="shared" ref="F4613:F4620" si="218">C4613*E4613/1000000</f>
        <v>236.38520052500002</v>
      </c>
      <c r="G4613" t="str">
        <f>_xlfn.XLOOKUP(D4613,'[1]2050 BAU Mapping to T &amp; C'!$A$3:$A$52,'[1]2050 BAU Mapping to T &amp; C'!$B$3:$B$52)</f>
        <v>Wheat</v>
      </c>
      <c r="H4613" s="129">
        <f>_xlfn.XLOOKUP(G4613,'[1]T&amp;C emissions for 2050 analysis'!$B$3:$B$23,'[1]T&amp;C emissions for 2050 analysis'!$C$3:$C$23)</f>
        <v>0.21999999999999997</v>
      </c>
      <c r="I4613" s="27">
        <f t="shared" si="216"/>
        <v>52.004744115499996</v>
      </c>
      <c r="J4613" s="129">
        <f t="shared" si="217"/>
        <v>133.73469999999998</v>
      </c>
    </row>
    <row r="4614" spans="1:10" hidden="1" x14ac:dyDescent="0.35">
      <c r="A4614" s="126" t="s">
        <v>475</v>
      </c>
      <c r="B4614" t="str">
        <f>_xlfn.XLOOKUP(A4614,'[1]2050Pop'!$A$7:$A$143,'[1]2050Pop'!$D$7:$D$143)</f>
        <v>LatAm &amp; RSA</v>
      </c>
      <c r="C4614" s="127">
        <f>1000*_xlfn.XLOOKUP(A4614,'[1]2050Pop'!$A$7:$A$143,'[1]2050Pop'!$C$7:$C$143)</f>
        <v>3667</v>
      </c>
      <c r="D4614" s="126" t="s">
        <v>541</v>
      </c>
      <c r="E4614" s="128">
        <v>886.78399999999999</v>
      </c>
      <c r="F4614" s="129">
        <f t="shared" si="218"/>
        <v>3.2518369279999999</v>
      </c>
      <c r="G4614" t="str">
        <f>_xlfn.XLOOKUP(D4614,'[1]2050 BAU Mapping to T &amp; C'!$A$3:$A$52,'[1]2050 BAU Mapping to T &amp; C'!$B$3:$B$52)</f>
        <v>Wheat</v>
      </c>
      <c r="H4614" s="129">
        <f>_xlfn.XLOOKUP(G4614,'[1]T&amp;C emissions for 2050 analysis'!$B$3:$B$23,'[1]T&amp;C emissions for 2050 analysis'!$C$3:$C$23)</f>
        <v>0.21999999999999997</v>
      </c>
      <c r="I4614" s="27">
        <f t="shared" si="216"/>
        <v>0.71540412415999988</v>
      </c>
      <c r="J4614" s="129">
        <f t="shared" si="217"/>
        <v>195.09247999999997</v>
      </c>
    </row>
    <row r="4615" spans="1:10" hidden="1" x14ac:dyDescent="0.35">
      <c r="A4615" s="126" t="s">
        <v>485</v>
      </c>
      <c r="B4615" t="str">
        <f>_xlfn.XLOOKUP(A4615,'[1]2050Pop'!$A$7:$A$143,'[1]2050Pop'!$D$7:$D$143)</f>
        <v>APAC</v>
      </c>
      <c r="C4615" s="127">
        <f>1000*_xlfn.XLOOKUP(A4615,'[1]2050Pop'!$A$7:$A$143,'[1]2050Pop'!$C$7:$C$143)</f>
        <v>37126</v>
      </c>
      <c r="D4615" s="126" t="s">
        <v>541</v>
      </c>
      <c r="E4615" s="128">
        <v>1428.0409999999999</v>
      </c>
      <c r="F4615" s="129">
        <f t="shared" si="218"/>
        <v>53.017450166000003</v>
      </c>
      <c r="G4615" t="str">
        <f>_xlfn.XLOOKUP(D4615,'[1]2050 BAU Mapping to T &amp; C'!$A$3:$A$52,'[1]2050 BAU Mapping to T &amp; C'!$B$3:$B$52)</f>
        <v>Wheat</v>
      </c>
      <c r="H4615" s="129">
        <f>_xlfn.XLOOKUP(G4615,'[1]T&amp;C emissions for 2050 analysis'!$B$3:$B$23,'[1]T&amp;C emissions for 2050 analysis'!$C$3:$C$23)</f>
        <v>0.21999999999999997</v>
      </c>
      <c r="I4615" s="27">
        <f t="shared" si="216"/>
        <v>11.663839036519999</v>
      </c>
      <c r="J4615" s="129">
        <f t="shared" si="217"/>
        <v>314.16901999999993</v>
      </c>
    </row>
    <row r="4616" spans="1:10" hidden="1" x14ac:dyDescent="0.35">
      <c r="A4616" s="126" t="s">
        <v>476</v>
      </c>
      <c r="B4616" t="str">
        <f>_xlfn.XLOOKUP(A4616,'[1]2050Pop'!$A$7:$A$143,'[1]2050Pop'!$D$7:$D$143)</f>
        <v>LatAm &amp; RSA</v>
      </c>
      <c r="C4616" s="127">
        <f>1000*_xlfn.XLOOKUP(A4616,'[1]2050Pop'!$A$7:$A$143,'[1]2050Pop'!$C$7:$C$143)</f>
        <v>41562</v>
      </c>
      <c r="D4616" s="126" t="s">
        <v>541</v>
      </c>
      <c r="E4616" s="128">
        <v>400.81400000000002</v>
      </c>
      <c r="F4616" s="129">
        <f t="shared" si="218"/>
        <v>16.658631467999999</v>
      </c>
      <c r="G4616" t="str">
        <f>_xlfn.XLOOKUP(D4616,'[1]2050 BAU Mapping to T &amp; C'!$A$3:$A$52,'[1]2050 BAU Mapping to T &amp; C'!$B$3:$B$52)</f>
        <v>Wheat</v>
      </c>
      <c r="H4616" s="129">
        <f>_xlfn.XLOOKUP(G4616,'[1]T&amp;C emissions for 2050 analysis'!$B$3:$B$23,'[1]T&amp;C emissions for 2050 analysis'!$C$3:$C$23)</f>
        <v>0.21999999999999997</v>
      </c>
      <c r="I4616" s="27">
        <f t="shared" si="216"/>
        <v>3.6648989229599995</v>
      </c>
      <c r="J4616" s="129">
        <f t="shared" si="217"/>
        <v>88.179079999999999</v>
      </c>
    </row>
    <row r="4617" spans="1:10" hidden="1" x14ac:dyDescent="0.35">
      <c r="A4617" s="126" t="s">
        <v>477</v>
      </c>
      <c r="B4617" t="str">
        <f>_xlfn.XLOOKUP(A4617,'[1]2050Pop'!$A$7:$A$143,'[1]2050Pop'!$D$7:$D$143)</f>
        <v>APAC</v>
      </c>
      <c r="C4617" s="127">
        <f>1000*_xlfn.XLOOKUP(A4617,'[1]2050Pop'!$A$7:$A$143,'[1]2050Pop'!$C$7:$C$143)</f>
        <v>112783</v>
      </c>
      <c r="D4617" s="126" t="s">
        <v>541</v>
      </c>
      <c r="E4617" s="128">
        <v>71.257999999999996</v>
      </c>
      <c r="F4617" s="129">
        <f t="shared" si="218"/>
        <v>8.0366910139999987</v>
      </c>
      <c r="G4617" t="str">
        <f>_xlfn.XLOOKUP(D4617,'[1]2050 BAU Mapping to T &amp; C'!$A$3:$A$52,'[1]2050 BAU Mapping to T &amp; C'!$B$3:$B$52)</f>
        <v>Wheat</v>
      </c>
      <c r="H4617" s="129">
        <f>_xlfn.XLOOKUP(G4617,'[1]T&amp;C emissions for 2050 analysis'!$B$3:$B$23,'[1]T&amp;C emissions for 2050 analysis'!$C$3:$C$23)</f>
        <v>0.21999999999999997</v>
      </c>
      <c r="I4617" s="27">
        <f t="shared" si="216"/>
        <v>1.7680720230799996</v>
      </c>
      <c r="J4617" s="129">
        <f t="shared" si="217"/>
        <v>15.676759999999996</v>
      </c>
    </row>
    <row r="4618" spans="1:10" hidden="1" x14ac:dyDescent="0.35">
      <c r="A4618" s="126" t="s">
        <v>478</v>
      </c>
      <c r="B4618" t="str">
        <f>_xlfn.XLOOKUP(A4618,'[1]2050Pop'!$A$7:$A$143,'[1]2050Pop'!$D$7:$D$143)</f>
        <v>MENA</v>
      </c>
      <c r="C4618" s="127">
        <f>1000*_xlfn.XLOOKUP(A4618,'[1]2050Pop'!$A$7:$A$143,'[1]2050Pop'!$C$7:$C$143)</f>
        <v>47170</v>
      </c>
      <c r="D4618" s="126" t="s">
        <v>541</v>
      </c>
      <c r="E4618" s="130">
        <v>937.11</v>
      </c>
      <c r="F4618" s="129">
        <f t="shared" si="218"/>
        <v>44.203478700000005</v>
      </c>
      <c r="G4618" t="str">
        <f>_xlfn.XLOOKUP(D4618,'[1]2050 BAU Mapping to T &amp; C'!$A$3:$A$52,'[1]2050 BAU Mapping to T &amp; C'!$B$3:$B$52)</f>
        <v>Wheat</v>
      </c>
      <c r="H4618" s="129">
        <f>_xlfn.XLOOKUP(G4618,'[1]T&amp;C emissions for 2050 analysis'!$B$3:$B$23,'[1]T&amp;C emissions for 2050 analysis'!$C$3:$C$23)</f>
        <v>0.21999999999999997</v>
      </c>
      <c r="I4618" s="27">
        <f t="shared" si="216"/>
        <v>9.7247653140000008</v>
      </c>
      <c r="J4618" s="129">
        <f t="shared" si="217"/>
        <v>206.16419999999997</v>
      </c>
    </row>
    <row r="4619" spans="1:10" hidden="1" x14ac:dyDescent="0.35">
      <c r="A4619" s="126" t="s">
        <v>494</v>
      </c>
      <c r="B4619" t="str">
        <f>_xlfn.XLOOKUP(A4619,'[1]2050Pop'!$A$7:$A$143,'[1]2050Pop'!$D$7:$D$143)</f>
        <v>SSA</v>
      </c>
      <c r="C4619" s="127">
        <f>1000*_xlfn.XLOOKUP(A4619,'[1]2050Pop'!$A$7:$A$143,'[1]2050Pop'!$C$7:$C$143)</f>
        <v>42975</v>
      </c>
      <c r="D4619" s="126" t="s">
        <v>541</v>
      </c>
      <c r="E4619" s="128">
        <v>132.39599999999999</v>
      </c>
      <c r="F4619" s="129">
        <f t="shared" si="218"/>
        <v>5.6897180999999994</v>
      </c>
      <c r="G4619" t="str">
        <f>_xlfn.XLOOKUP(D4619,'[1]2050 BAU Mapping to T &amp; C'!$A$3:$A$52,'[1]2050 BAU Mapping to T &amp; C'!$B$3:$B$52)</f>
        <v>Wheat</v>
      </c>
      <c r="H4619" s="129">
        <f>_xlfn.XLOOKUP(G4619,'[1]T&amp;C emissions for 2050 analysis'!$B$3:$B$23,'[1]T&amp;C emissions for 2050 analysis'!$C$3:$C$23)</f>
        <v>0.21999999999999997</v>
      </c>
      <c r="I4619" s="27">
        <f t="shared" si="216"/>
        <v>1.2517379819999996</v>
      </c>
      <c r="J4619" s="129">
        <f t="shared" si="217"/>
        <v>29.127119999999994</v>
      </c>
    </row>
    <row r="4620" spans="1:10" hidden="1" x14ac:dyDescent="0.35">
      <c r="A4620" s="126" t="s">
        <v>479</v>
      </c>
      <c r="B4620" t="str">
        <f>_xlfn.XLOOKUP(A4620,'[1]2050Pop'!$A$7:$A$143,'[1]2050Pop'!$D$7:$D$143)</f>
        <v>SSA</v>
      </c>
      <c r="C4620" s="127">
        <f>1000*_xlfn.XLOOKUP(A4620,'[1]2050Pop'!$A$7:$A$143,'[1]2050Pop'!$C$7:$C$143)</f>
        <v>29615</v>
      </c>
      <c r="D4620" s="126" t="s">
        <v>541</v>
      </c>
      <c r="E4620" s="128">
        <v>327.81400000000002</v>
      </c>
      <c r="F4620" s="129">
        <f t="shared" si="218"/>
        <v>9.7082116100000011</v>
      </c>
      <c r="G4620" t="str">
        <f>_xlfn.XLOOKUP(D4620,'[1]2050 BAU Mapping to T &amp; C'!$A$3:$A$52,'[1]2050 BAU Mapping to T &amp; C'!$B$3:$B$52)</f>
        <v>Wheat</v>
      </c>
      <c r="H4620" s="129">
        <f>_xlfn.XLOOKUP(G4620,'[1]T&amp;C emissions for 2050 analysis'!$B$3:$B$23,'[1]T&amp;C emissions for 2050 analysis'!$C$3:$C$23)</f>
        <v>0.21999999999999997</v>
      </c>
      <c r="I4620" s="27">
        <f t="shared" si="216"/>
        <v>2.1358065541999998</v>
      </c>
      <c r="J4620" s="129">
        <f t="shared" si="217"/>
        <v>72.119079999999997</v>
      </c>
    </row>
  </sheetData>
  <autoFilter ref="A3:J4620" xr:uid="{5348DFFB-D04D-45FA-8109-4856DF6A1FF6}">
    <filterColumn colId="0">
      <filters>
        <filter val="Indonesia"/>
      </filters>
    </filterColumn>
    <filterColumn colId="6">
      <filters>
        <filter val="Pork"/>
        <filter val="Poultry"/>
        <filter val="Ruminant Meats"/>
      </filters>
    </filterColumn>
  </autoFilter>
  <hyperlinks>
    <hyperlink ref="F1" location="Index!A1" display="Back to index" xr:uid="{38460142-1FF8-48B3-94E5-DF6B887D4FF6}"/>
  </hyperlinks>
  <pageMargins left="0.7" right="0.7"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0289-8900-41C3-B3CA-93FCD8E271D9}">
  <sheetPr>
    <tabColor theme="6" tint="0.39997558519241921"/>
  </sheetPr>
  <dimension ref="A1:Q55"/>
  <sheetViews>
    <sheetView zoomScale="58" zoomScaleNormal="70" workbookViewId="0"/>
  </sheetViews>
  <sheetFormatPr defaultColWidth="8.7265625" defaultRowHeight="14.5" x14ac:dyDescent="0.35"/>
  <cols>
    <col min="1" max="1" width="16.81640625" style="38" bestFit="1" customWidth="1"/>
    <col min="2" max="2" width="5.26953125" style="38" bestFit="1" customWidth="1"/>
    <col min="3" max="3" width="12.26953125" style="38" bestFit="1" customWidth="1"/>
    <col min="4" max="4" width="19" style="38" bestFit="1" customWidth="1"/>
    <col min="5" max="5" width="22.7265625" style="38" bestFit="1" customWidth="1"/>
    <col min="6" max="10" width="15.453125" style="190" bestFit="1" customWidth="1"/>
    <col min="11" max="11" width="23" style="191" bestFit="1" customWidth="1"/>
    <col min="12" max="16" width="20.453125" style="190" bestFit="1" customWidth="1"/>
    <col min="17" max="17" width="21" style="191" bestFit="1" customWidth="1"/>
  </cols>
  <sheetData>
    <row r="1" spans="1:17" s="95" customFormat="1" ht="40.5" customHeight="1" x14ac:dyDescent="0.35">
      <c r="A1" s="197" t="s">
        <v>56</v>
      </c>
      <c r="B1" s="197" t="s">
        <v>6</v>
      </c>
      <c r="C1" s="197" t="s">
        <v>671</v>
      </c>
      <c r="D1" s="197" t="s">
        <v>672</v>
      </c>
      <c r="E1" s="197" t="s">
        <v>673</v>
      </c>
      <c r="F1" s="198" t="s">
        <v>674</v>
      </c>
      <c r="G1" s="198" t="s">
        <v>675</v>
      </c>
      <c r="H1" s="198" t="s">
        <v>676</v>
      </c>
      <c r="I1" s="198" t="s">
        <v>677</v>
      </c>
      <c r="J1" s="198" t="s">
        <v>678</v>
      </c>
      <c r="K1" s="199" t="s">
        <v>679</v>
      </c>
      <c r="L1" s="198" t="s">
        <v>680</v>
      </c>
      <c r="M1" s="198" t="s">
        <v>681</v>
      </c>
      <c r="N1" s="198" t="s">
        <v>682</v>
      </c>
      <c r="O1" s="198" t="s">
        <v>683</v>
      </c>
      <c r="P1" s="198" t="s">
        <v>684</v>
      </c>
      <c r="Q1" s="199" t="s">
        <v>685</v>
      </c>
    </row>
    <row r="2" spans="1:17" x14ac:dyDescent="0.35">
      <c r="A2" s="38">
        <v>2020</v>
      </c>
      <c r="B2" s="38">
        <v>2020</v>
      </c>
      <c r="C2" s="38" t="s">
        <v>409</v>
      </c>
      <c r="D2" s="38" t="s">
        <v>686</v>
      </c>
      <c r="E2" s="38" t="s">
        <v>480</v>
      </c>
      <c r="F2" s="190">
        <f>'Food loss and waste (IDN)'!F2*'Emissions factors'!$D$102</f>
        <v>0</v>
      </c>
      <c r="G2" s="190">
        <f>'Food loss and waste (IDN)'!G2*'Emissions factors'!$D$102</f>
        <v>8.1057000000000006</v>
      </c>
      <c r="H2" s="190">
        <f>'Food loss and waste (IDN)'!H2*'Emissions factors'!$D$102</f>
        <v>8.0426010000000012</v>
      </c>
      <c r="I2" s="190">
        <f>'Food loss and waste (IDN)'!I2*'Emissions factors'!$D$102</f>
        <v>3.1841806301999998</v>
      </c>
      <c r="J2" s="190">
        <f>'Food loss and waste (IDN)'!J2*'Emissions factors'!$D$102</f>
        <v>3.110025551094</v>
      </c>
      <c r="K2" s="191">
        <f>SUM(F2:J2)</f>
        <v>22.442507181294005</v>
      </c>
      <c r="L2" s="190">
        <f>F2/1000</f>
        <v>0</v>
      </c>
      <c r="M2" s="190">
        <f t="shared" ref="M2:P17" si="0">G2/1000</f>
        <v>8.1057000000000004E-3</v>
      </c>
      <c r="N2" s="190">
        <f t="shared" si="0"/>
        <v>8.0426010000000017E-3</v>
      </c>
      <c r="O2" s="190">
        <f t="shared" si="0"/>
        <v>3.1841806301999998E-3</v>
      </c>
      <c r="P2" s="190">
        <f t="shared" si="0"/>
        <v>3.1100255510940001E-3</v>
      </c>
      <c r="Q2" s="191">
        <f>SUM(L2:P2)</f>
        <v>2.2442507181294001E-2</v>
      </c>
    </row>
    <row r="3" spans="1:17" x14ac:dyDescent="0.35">
      <c r="A3" s="38">
        <v>2020</v>
      </c>
      <c r="B3" s="38">
        <v>2020</v>
      </c>
      <c r="C3" s="38" t="s">
        <v>409</v>
      </c>
      <c r="D3" s="38" t="s">
        <v>686</v>
      </c>
      <c r="E3" s="38" t="s">
        <v>687</v>
      </c>
      <c r="F3" s="190">
        <f>'Food loss and waste (IDN)'!F3*'Emissions factors'!$D$103</f>
        <v>115.89626974659534</v>
      </c>
      <c r="G3" s="190">
        <f>'Food loss and waste (IDN)'!G3*'Emissions factors'!$D$103</f>
        <v>123.24247182369929</v>
      </c>
      <c r="H3" s="190">
        <f>'Food loss and waste (IDN)'!H3*'Emissions factors'!$D$103</f>
        <v>122.28308809007929</v>
      </c>
      <c r="I3" s="190">
        <f>'Food loss and waste (IDN)'!I3*'Emissions factors'!$D$103</f>
        <v>48.413621476120824</v>
      </c>
      <c r="J3" s="190">
        <f>'Food loss and waste (IDN)'!J3*'Emissions factors'!$D$103</f>
        <v>47.286136465905123</v>
      </c>
      <c r="K3" s="191">
        <f t="shared" ref="K3:K51" si="1">SUM(F3:J3)</f>
        <v>457.12158760239987</v>
      </c>
      <c r="L3" s="190">
        <f t="shared" ref="L3:P51" si="2">F3/1000</f>
        <v>0.11589626974659534</v>
      </c>
      <c r="M3" s="190">
        <f t="shared" si="0"/>
        <v>0.1232424718236993</v>
      </c>
      <c r="N3" s="190">
        <f t="shared" si="0"/>
        <v>0.12228308809007929</v>
      </c>
      <c r="O3" s="190">
        <f t="shared" si="0"/>
        <v>4.841362147612082E-2</v>
      </c>
      <c r="P3" s="190">
        <f t="shared" si="0"/>
        <v>4.7286136465905126E-2</v>
      </c>
      <c r="Q3" s="191">
        <f t="shared" ref="Q3:Q51" si="3">SUM(L3:P3)</f>
        <v>0.4571215876023999</v>
      </c>
    </row>
    <row r="4" spans="1:17" x14ac:dyDescent="0.35">
      <c r="A4" s="38">
        <v>2020</v>
      </c>
      <c r="B4" s="38">
        <v>2020</v>
      </c>
      <c r="C4" s="38" t="s">
        <v>409</v>
      </c>
      <c r="D4" s="38" t="s">
        <v>686</v>
      </c>
      <c r="E4" s="38" t="s">
        <v>508</v>
      </c>
      <c r="F4" s="190">
        <f>'Food loss and waste (IDN)'!F4*'Emissions factors'!$D$104</f>
        <v>0</v>
      </c>
      <c r="G4" s="190">
        <f>'Food loss and waste (IDN)'!G4*'Emissions factors'!$D$104</f>
        <v>1.4096010000000003</v>
      </c>
      <c r="H4" s="190">
        <f>'Food loss and waste (IDN)'!H4*'Emissions factors'!$D$104</f>
        <v>1.3986279300000004</v>
      </c>
      <c r="I4" s="190">
        <f>'Food loss and waste (IDN)'!I4*'Emissions factors'!$D$104</f>
        <v>0.55373677788600018</v>
      </c>
      <c r="J4" s="190">
        <f>'Food loss and waste (IDN)'!J4*'Emissions factors'!$D$104</f>
        <v>0.54084102876342011</v>
      </c>
      <c r="K4" s="191">
        <f t="shared" si="1"/>
        <v>3.902806736649421</v>
      </c>
      <c r="L4" s="190">
        <f t="shared" si="2"/>
        <v>0</v>
      </c>
      <c r="M4" s="190">
        <f t="shared" si="0"/>
        <v>1.4096010000000003E-3</v>
      </c>
      <c r="N4" s="190">
        <f t="shared" si="0"/>
        <v>1.3986279300000003E-3</v>
      </c>
      <c r="O4" s="190">
        <f t="shared" si="0"/>
        <v>5.5373677788600017E-4</v>
      </c>
      <c r="P4" s="190">
        <f t="shared" si="0"/>
        <v>5.4084102876342005E-4</v>
      </c>
      <c r="Q4" s="191">
        <f t="shared" si="3"/>
        <v>3.9028067366494211E-3</v>
      </c>
    </row>
    <row r="5" spans="1:17" x14ac:dyDescent="0.35">
      <c r="A5" s="38">
        <v>2020</v>
      </c>
      <c r="B5" s="38">
        <v>2020</v>
      </c>
      <c r="C5" s="38" t="s">
        <v>409</v>
      </c>
      <c r="D5" s="38" t="s">
        <v>686</v>
      </c>
      <c r="E5" s="38" t="s">
        <v>688</v>
      </c>
      <c r="F5" s="190">
        <f>'Food loss and waste (IDN)'!F5*'Emissions factors'!$D$105</f>
        <v>0</v>
      </c>
      <c r="G5" s="190">
        <f>'Food loss and waste (IDN)'!G5*'Emissions factors'!$D$105</f>
        <v>1.0418790000000002</v>
      </c>
      <c r="H5" s="190">
        <f>'Food loss and waste (IDN)'!H5*'Emissions factors'!$D$105</f>
        <v>1.0337684700000001</v>
      </c>
      <c r="I5" s="190">
        <f>'Food loss and waste (IDN)'!I5*'Emissions factors'!$D$105</f>
        <v>0.409283705394</v>
      </c>
      <c r="J5" s="190">
        <f>'Food loss and waste (IDN)'!J5*'Emissions factors'!$D$105</f>
        <v>0.39975206473817998</v>
      </c>
      <c r="K5" s="191">
        <f t="shared" si="1"/>
        <v>2.8846832401321802</v>
      </c>
      <c r="L5" s="190">
        <f t="shared" si="2"/>
        <v>0</v>
      </c>
      <c r="M5" s="190">
        <f t="shared" si="0"/>
        <v>1.0418790000000003E-3</v>
      </c>
      <c r="N5" s="190">
        <f t="shared" si="0"/>
        <v>1.0337684700000001E-3</v>
      </c>
      <c r="O5" s="190">
        <f t="shared" si="0"/>
        <v>4.0928370539399997E-4</v>
      </c>
      <c r="P5" s="190">
        <f t="shared" si="0"/>
        <v>3.9975206473818E-4</v>
      </c>
      <c r="Q5" s="191">
        <f t="shared" si="3"/>
        <v>2.8846832401321805E-3</v>
      </c>
    </row>
    <row r="6" spans="1:17" x14ac:dyDescent="0.35">
      <c r="A6" s="38">
        <v>2020</v>
      </c>
      <c r="B6" s="38">
        <v>2020</v>
      </c>
      <c r="C6" s="38" t="s">
        <v>409</v>
      </c>
      <c r="D6" s="38" t="s">
        <v>686</v>
      </c>
      <c r="E6" s="38" t="s">
        <v>512</v>
      </c>
      <c r="F6" s="190">
        <f>'Food loss and waste (IDN)'!F6*'Emissions factors'!$D$110</f>
        <v>1.8599999999999995E-2</v>
      </c>
      <c r="G6" s="190">
        <f>'Food loss and waste (IDN)'!G6*'Emissions factors'!$D$110</f>
        <v>6.0061259999999991E-2</v>
      </c>
      <c r="H6" s="190">
        <f>'Food loss and waste (IDN)'!H6*'Emissions factors'!$D$110</f>
        <v>5.959371179999999E-2</v>
      </c>
      <c r="I6" s="190">
        <f>'Food loss and waste (IDN)'!I6*'Emissions factors'!$D$110</f>
        <v>2.3594001840359997E-2</v>
      </c>
      <c r="J6" s="190">
        <f>'Food loss and waste (IDN)'!J6*'Emissions factors'!$D$110</f>
        <v>2.3044530790789195E-2</v>
      </c>
      <c r="K6" s="191">
        <f t="shared" si="1"/>
        <v>0.18489350443114916</v>
      </c>
      <c r="L6" s="190">
        <f t="shared" si="2"/>
        <v>1.8599999999999995E-5</v>
      </c>
      <c r="M6" s="190">
        <f t="shared" si="0"/>
        <v>6.0061259999999991E-5</v>
      </c>
      <c r="N6" s="190">
        <f t="shared" si="0"/>
        <v>5.9593711799999988E-5</v>
      </c>
      <c r="O6" s="190">
        <f t="shared" si="0"/>
        <v>2.3594001840359995E-5</v>
      </c>
      <c r="P6" s="190">
        <f t="shared" si="0"/>
        <v>2.3044530790789195E-5</v>
      </c>
      <c r="Q6" s="191">
        <f t="shared" si="3"/>
        <v>1.8489350443114919E-4</v>
      </c>
    </row>
    <row r="7" spans="1:17" x14ac:dyDescent="0.35">
      <c r="A7" s="38">
        <v>2020</v>
      </c>
      <c r="B7" s="38">
        <v>2020</v>
      </c>
      <c r="C7" s="38" t="s">
        <v>409</v>
      </c>
      <c r="D7" s="38" t="s">
        <v>686</v>
      </c>
      <c r="E7" s="38" t="s">
        <v>689</v>
      </c>
      <c r="F7" s="190">
        <f>'Food loss and waste (IDN)'!F7*'Emissions factors'!$D$106</f>
        <v>6027.899381722953</v>
      </c>
      <c r="G7" s="190">
        <f>'Food loss and waste (IDN)'!G7*'Emissions factors'!$D$106</f>
        <v>6518.885373744457</v>
      </c>
      <c r="H7" s="190">
        <f>'Food loss and waste (IDN)'!H7*'Emissions factors'!$D$106</f>
        <v>6468.1389671172819</v>
      </c>
      <c r="I7" s="190">
        <f>'Food loss and waste (IDN)'!I7*'Emissions factors'!$D$106</f>
        <v>2560.828619066976</v>
      </c>
      <c r="J7" s="190">
        <f>'Food loss and waste (IDN)'!J7*'Emissions factors'!$D$106</f>
        <v>2501.19052975045</v>
      </c>
      <c r="K7" s="191">
        <f t="shared" si="1"/>
        <v>24076.942871402116</v>
      </c>
      <c r="L7" s="190">
        <f t="shared" si="2"/>
        <v>6.0278993817229534</v>
      </c>
      <c r="M7" s="190">
        <f t="shared" si="0"/>
        <v>6.5188853737444568</v>
      </c>
      <c r="N7" s="190">
        <f t="shared" si="0"/>
        <v>6.468138967117282</v>
      </c>
      <c r="O7" s="190">
        <f t="shared" si="0"/>
        <v>2.5608286190669758</v>
      </c>
      <c r="P7" s="190">
        <f t="shared" si="0"/>
        <v>2.50119052975045</v>
      </c>
      <c r="Q7" s="191">
        <f t="shared" si="3"/>
        <v>24.076942871402114</v>
      </c>
    </row>
    <row r="8" spans="1:17" x14ac:dyDescent="0.35">
      <c r="A8" s="38">
        <v>2020</v>
      </c>
      <c r="B8" s="38">
        <v>2020</v>
      </c>
      <c r="C8" s="38" t="s">
        <v>409</v>
      </c>
      <c r="D8" s="38" t="s">
        <v>686</v>
      </c>
      <c r="E8" s="38" t="s">
        <v>690</v>
      </c>
      <c r="F8" s="190" t="s">
        <v>142</v>
      </c>
      <c r="G8" s="190" t="s">
        <v>142</v>
      </c>
      <c r="H8" s="190" t="s">
        <v>142</v>
      </c>
      <c r="I8" s="190" t="s">
        <v>142</v>
      </c>
      <c r="J8" s="190" t="s">
        <v>142</v>
      </c>
      <c r="K8" s="190" t="s">
        <v>142</v>
      </c>
      <c r="L8" s="190" t="s">
        <v>142</v>
      </c>
      <c r="M8" s="190" t="s">
        <v>142</v>
      </c>
      <c r="N8" s="190" t="s">
        <v>142</v>
      </c>
      <c r="O8" s="190" t="s">
        <v>142</v>
      </c>
      <c r="P8" s="190" t="s">
        <v>142</v>
      </c>
      <c r="Q8" s="190" t="s">
        <v>142</v>
      </c>
    </row>
    <row r="9" spans="1:17" x14ac:dyDescent="0.35">
      <c r="A9" s="38">
        <v>2020</v>
      </c>
      <c r="B9" s="38">
        <v>2020</v>
      </c>
      <c r="C9" s="38" t="s">
        <v>409</v>
      </c>
      <c r="D9" s="38" t="s">
        <v>686</v>
      </c>
      <c r="E9" s="38" t="s">
        <v>532</v>
      </c>
      <c r="F9" s="190" t="s">
        <v>142</v>
      </c>
      <c r="G9" s="190" t="s">
        <v>142</v>
      </c>
      <c r="H9" s="190" t="s">
        <v>142</v>
      </c>
      <c r="I9" s="190" t="s">
        <v>142</v>
      </c>
      <c r="J9" s="190" t="s">
        <v>142</v>
      </c>
      <c r="K9" s="190" t="s">
        <v>142</v>
      </c>
      <c r="L9" s="190" t="s">
        <v>142</v>
      </c>
      <c r="M9" s="190" t="s">
        <v>142</v>
      </c>
      <c r="N9" s="190" t="s">
        <v>142</v>
      </c>
      <c r="O9" s="190" t="s">
        <v>142</v>
      </c>
      <c r="P9" s="190" t="s">
        <v>142</v>
      </c>
      <c r="Q9" s="190" t="s">
        <v>142</v>
      </c>
    </row>
    <row r="10" spans="1:17" x14ac:dyDescent="0.35">
      <c r="A10" s="38">
        <v>2020</v>
      </c>
      <c r="B10" s="38">
        <v>2020</v>
      </c>
      <c r="C10" s="38" t="s">
        <v>409</v>
      </c>
      <c r="D10" s="38" t="s">
        <v>686</v>
      </c>
      <c r="E10" s="38" t="s">
        <v>541</v>
      </c>
      <c r="F10" s="190">
        <f>'Food loss and waste (IDN)'!F10*'Emissions factors'!$D$109</f>
        <v>0</v>
      </c>
      <c r="G10" s="190">
        <f>'Food loss and waste (IDN)'!G10*'Emissions factors'!$D$109</f>
        <v>291.80310217324762</v>
      </c>
      <c r="H10" s="190">
        <f>'Food loss and waste (IDN)'!H10*'Emissions factors'!$D$109</f>
        <v>289.53155450382616</v>
      </c>
      <c r="I10" s="190">
        <f>'Food loss and waste (IDN)'!I10*'Emissions factors'!$D$109</f>
        <v>114.6296785931291</v>
      </c>
      <c r="J10" s="190">
        <f>'Food loss and waste (IDN)'!J10*'Emissions factors'!$D$109</f>
        <v>111.96011493730252</v>
      </c>
      <c r="K10" s="191">
        <f t="shared" si="1"/>
        <v>807.9244502075054</v>
      </c>
      <c r="L10" s="190">
        <f t="shared" si="2"/>
        <v>0</v>
      </c>
      <c r="M10" s="190">
        <f t="shared" si="0"/>
        <v>0.29180310217324762</v>
      </c>
      <c r="N10" s="190">
        <f t="shared" si="0"/>
        <v>0.28953155450382617</v>
      </c>
      <c r="O10" s="190">
        <f t="shared" si="0"/>
        <v>0.1146296785931291</v>
      </c>
      <c r="P10" s="190">
        <f t="shared" si="0"/>
        <v>0.11196011493730253</v>
      </c>
      <c r="Q10" s="191">
        <f t="shared" si="3"/>
        <v>0.80792445020750547</v>
      </c>
    </row>
    <row r="11" spans="1:17" x14ac:dyDescent="0.35">
      <c r="A11" s="38">
        <v>2020</v>
      </c>
      <c r="B11" s="38">
        <v>2020</v>
      </c>
      <c r="C11" s="38" t="s">
        <v>409</v>
      </c>
      <c r="D11" s="38" t="s">
        <v>691</v>
      </c>
      <c r="E11" s="38" t="s">
        <v>692</v>
      </c>
      <c r="F11" s="190">
        <f>'Food loss and waste (IDN)'!F11*'Emissions factors'!$D$111</f>
        <v>4.5309420000000005</v>
      </c>
      <c r="G11" s="190">
        <f>'Food loss and waste (IDN)'!G11*'Emissions factors'!$D$111</f>
        <v>4.6871700246000003</v>
      </c>
      <c r="H11" s="190">
        <f>'Food loss and waste (IDN)'!H11*'Emissions factors'!$D$111</f>
        <v>10.70047199385</v>
      </c>
      <c r="I11" s="190">
        <f>'Food loss and waste (IDN)'!I11*'Emissions factors'!$D$111</f>
        <v>4.1603435112088807</v>
      </c>
      <c r="J11" s="190">
        <f>'Food loss and waste (IDN)'!J11*'Emissions factors'!$D$111</f>
        <v>5.0740987606139472</v>
      </c>
      <c r="K11" s="191">
        <f t="shared" si="1"/>
        <v>29.153026290272823</v>
      </c>
      <c r="L11" s="190">
        <f t="shared" si="2"/>
        <v>4.5309420000000005E-3</v>
      </c>
      <c r="M11" s="190">
        <f t="shared" si="0"/>
        <v>4.6871700246E-3</v>
      </c>
      <c r="N11" s="190">
        <f t="shared" si="0"/>
        <v>1.070047199385E-2</v>
      </c>
      <c r="O11" s="190">
        <f t="shared" si="0"/>
        <v>4.1603435112088803E-3</v>
      </c>
      <c r="P11" s="190">
        <f t="shared" si="0"/>
        <v>5.0740987606139468E-3</v>
      </c>
      <c r="Q11" s="191">
        <f t="shared" si="3"/>
        <v>2.9153026290272829E-2</v>
      </c>
    </row>
    <row r="12" spans="1:17" x14ac:dyDescent="0.35">
      <c r="A12" s="38">
        <v>2020</v>
      </c>
      <c r="B12" s="38">
        <v>2020</v>
      </c>
      <c r="C12" s="38" t="s">
        <v>409</v>
      </c>
      <c r="D12" s="38" t="s">
        <v>691</v>
      </c>
      <c r="E12" s="38" t="s">
        <v>356</v>
      </c>
      <c r="F12" s="190">
        <f>'Food loss and waste (IDN)'!F12*'Emissions factors'!$D$112</f>
        <v>320.73268500000006</v>
      </c>
      <c r="G12" s="190">
        <f>'Food loss and waste (IDN)'!G12*'Emissions factors'!$D$112</f>
        <v>331.43630899049998</v>
      </c>
      <c r="H12" s="190">
        <f>'Food loss and waste (IDN)'!H12*'Emissions factors'!$D$112</f>
        <v>756.645251502375</v>
      </c>
      <c r="I12" s="190">
        <f>'Food loss and waste (IDN)'!I12*'Emissions factors'!$D$112</f>
        <v>294.18367378412347</v>
      </c>
      <c r="J12" s="190">
        <f>'Food loss and waste (IDN)'!J12*'Emissions factors'!$D$112</f>
        <v>358.79657785929703</v>
      </c>
      <c r="K12" s="191">
        <f t="shared" si="1"/>
        <v>2061.7944971362954</v>
      </c>
      <c r="L12" s="190">
        <f t="shared" si="2"/>
        <v>0.32073268500000007</v>
      </c>
      <c r="M12" s="190">
        <f t="shared" si="0"/>
        <v>0.33143630899049997</v>
      </c>
      <c r="N12" s="190">
        <f t="shared" si="0"/>
        <v>0.75664525150237505</v>
      </c>
      <c r="O12" s="190">
        <f t="shared" si="0"/>
        <v>0.29418367378412347</v>
      </c>
      <c r="P12" s="190">
        <f t="shared" si="0"/>
        <v>0.35879657785929703</v>
      </c>
      <c r="Q12" s="191">
        <f t="shared" si="3"/>
        <v>2.0617944971362956</v>
      </c>
    </row>
    <row r="13" spans="1:17" x14ac:dyDescent="0.35">
      <c r="A13" s="38">
        <v>2020</v>
      </c>
      <c r="B13" s="38">
        <v>2020</v>
      </c>
      <c r="C13" s="38" t="s">
        <v>409</v>
      </c>
      <c r="D13" s="38" t="s">
        <v>691</v>
      </c>
      <c r="E13" s="38" t="s">
        <v>693</v>
      </c>
      <c r="F13" s="190">
        <f>'Food loss and waste (IDN)'!F13*'Emissions factors'!$D$113</f>
        <v>0.18029700000000001</v>
      </c>
      <c r="G13" s="190">
        <f>'Food loss and waste (IDN)'!G13*'Emissions factors'!$D$113</f>
        <v>0.18651368610000002</v>
      </c>
      <c r="H13" s="190">
        <f>'Food loss and waste (IDN)'!H13*'Emissions factors'!$D$113</f>
        <v>0.42579732847500007</v>
      </c>
      <c r="I13" s="190">
        <f>'Food loss and waste (IDN)'!I13*'Emissions factors'!$D$113</f>
        <v>0.16555000131108005</v>
      </c>
      <c r="J13" s="190">
        <f>'Food loss and waste (IDN)'!J13*'Emissions factors'!$D$113</f>
        <v>0.20191050431508789</v>
      </c>
      <c r="K13" s="191">
        <f t="shared" si="1"/>
        <v>1.160068520201168</v>
      </c>
      <c r="L13" s="190">
        <f t="shared" si="2"/>
        <v>1.8029700000000003E-4</v>
      </c>
      <c r="M13" s="190">
        <f t="shared" si="0"/>
        <v>1.8651368610000002E-4</v>
      </c>
      <c r="N13" s="190">
        <f t="shared" si="0"/>
        <v>4.2579732847500008E-4</v>
      </c>
      <c r="O13" s="190">
        <f t="shared" si="0"/>
        <v>1.6555000131108005E-4</v>
      </c>
      <c r="P13" s="190">
        <f t="shared" si="0"/>
        <v>2.019105043150879E-4</v>
      </c>
      <c r="Q13" s="191">
        <f t="shared" si="3"/>
        <v>1.1600685202011679E-3</v>
      </c>
    </row>
    <row r="14" spans="1:17" x14ac:dyDescent="0.35">
      <c r="A14" s="38">
        <v>2020</v>
      </c>
      <c r="B14" s="38">
        <v>2020</v>
      </c>
      <c r="C14" s="38" t="s">
        <v>409</v>
      </c>
      <c r="D14" s="38" t="s">
        <v>691</v>
      </c>
      <c r="E14" s="38" t="s">
        <v>694</v>
      </c>
      <c r="F14" s="190">
        <f>'Food loss and waste (IDN)'!F14*'Emissions factors'!$D$114</f>
        <v>0</v>
      </c>
      <c r="G14" s="190">
        <f>'Food loss and waste (IDN)'!G14*'Emissions factors'!$D$114</f>
        <v>5.6910420000000004</v>
      </c>
      <c r="H14" s="190">
        <f>'Food loss and waste (IDN)'!H14*'Emissions factors'!$D$114</f>
        <v>12.992239499999998</v>
      </c>
      <c r="I14" s="190">
        <f>'Food loss and waste (IDN)'!I14*'Emissions factors'!$D$114</f>
        <v>5.051382717600001</v>
      </c>
      <c r="J14" s="190">
        <f>'Food loss and waste (IDN)'!J14*'Emissions factors'!$D$114</f>
        <v>6.16084097808384</v>
      </c>
      <c r="K14" s="191">
        <f t="shared" si="1"/>
        <v>29.895505195683839</v>
      </c>
      <c r="L14" s="190">
        <f t="shared" si="2"/>
        <v>0</v>
      </c>
      <c r="M14" s="190">
        <f t="shared" si="0"/>
        <v>5.6910420000000003E-3</v>
      </c>
      <c r="N14" s="190">
        <f t="shared" si="0"/>
        <v>1.2992239499999999E-2</v>
      </c>
      <c r="O14" s="190">
        <f t="shared" si="0"/>
        <v>5.0513827176000012E-3</v>
      </c>
      <c r="P14" s="190">
        <f t="shared" si="0"/>
        <v>6.1608409780838404E-3</v>
      </c>
      <c r="Q14" s="191">
        <f t="shared" si="3"/>
        <v>2.989550519568384E-2</v>
      </c>
    </row>
    <row r="15" spans="1:17" x14ac:dyDescent="0.35">
      <c r="A15" s="38">
        <v>2020</v>
      </c>
      <c r="B15" s="38">
        <v>2020</v>
      </c>
      <c r="C15" s="38" t="s">
        <v>409</v>
      </c>
      <c r="D15" s="38" t="s">
        <v>691</v>
      </c>
      <c r="E15" s="38" t="s">
        <v>514</v>
      </c>
      <c r="F15" s="190">
        <f>'Food loss and waste (IDN)'!F15*'Emissions factors'!$D$115</f>
        <v>640.33132799999998</v>
      </c>
      <c r="G15" s="190">
        <f>'Food loss and waste (IDN)'!G15*'Emissions factors'!$D$115</f>
        <v>678.07972592639976</v>
      </c>
      <c r="H15" s="190">
        <f>'Food loss and waste (IDN)'!H15*'Emissions factors'!$D$115</f>
        <v>1548.0072365183996</v>
      </c>
      <c r="I15" s="190">
        <f>'Food loss and waste (IDN)'!I15*'Emissions factors'!$D$115</f>
        <v>601.86521355835384</v>
      </c>
      <c r="J15" s="190">
        <f>'Food loss and waste (IDN)'!J15*'Emissions factors'!$D$115</f>
        <v>734.05561967302719</v>
      </c>
      <c r="K15" s="191">
        <f t="shared" si="1"/>
        <v>4202.33912367618</v>
      </c>
      <c r="L15" s="190">
        <f t="shared" si="2"/>
        <v>0.64033132800000003</v>
      </c>
      <c r="M15" s="190">
        <f t="shared" si="0"/>
        <v>0.67807972592639976</v>
      </c>
      <c r="N15" s="190">
        <f t="shared" si="0"/>
        <v>1.5480072365183997</v>
      </c>
      <c r="O15" s="190">
        <f t="shared" si="0"/>
        <v>0.60186521355835387</v>
      </c>
      <c r="P15" s="190">
        <f t="shared" si="0"/>
        <v>0.73405561967302724</v>
      </c>
      <c r="Q15" s="191">
        <f t="shared" si="3"/>
        <v>4.2023391236761807</v>
      </c>
    </row>
    <row r="16" spans="1:17" x14ac:dyDescent="0.35">
      <c r="A16" s="38">
        <v>2020</v>
      </c>
      <c r="B16" s="38">
        <v>2020</v>
      </c>
      <c r="C16" s="38" t="s">
        <v>409</v>
      </c>
      <c r="D16" s="38" t="s">
        <v>691</v>
      </c>
      <c r="E16" s="38" t="s">
        <v>695</v>
      </c>
      <c r="F16" s="190">
        <f>'Food loss and waste (IDN)'!F16*'Emissions factors'!$D$116</f>
        <v>745.08911100000012</v>
      </c>
      <c r="G16" s="190">
        <f>'Food loss and waste (IDN)'!G16*'Emissions factors'!$D$116</f>
        <v>815.87007974430003</v>
      </c>
      <c r="H16" s="190">
        <f>'Food loss and waste (IDN)'!H16*'Emissions factors'!$D$116</f>
        <v>1862.572702313925</v>
      </c>
      <c r="I16" s="190">
        <f>'Food loss and waste (IDN)'!I16*'Emissions factors'!$D$116</f>
        <v>724.16826665965414</v>
      </c>
      <c r="J16" s="190">
        <f>'Food loss and waste (IDN)'!J16*'Emissions factors'!$D$116</f>
        <v>883.2206509952332</v>
      </c>
      <c r="K16" s="191">
        <f t="shared" si="1"/>
        <v>5030.9208107131126</v>
      </c>
      <c r="L16" s="190">
        <f t="shared" si="2"/>
        <v>0.74508911100000008</v>
      </c>
      <c r="M16" s="190">
        <f t="shared" si="0"/>
        <v>0.81587007974430004</v>
      </c>
      <c r="N16" s="190">
        <f t="shared" si="0"/>
        <v>1.8625727023139249</v>
      </c>
      <c r="O16" s="190">
        <f t="shared" si="0"/>
        <v>0.72416826665965417</v>
      </c>
      <c r="P16" s="190">
        <f t="shared" si="0"/>
        <v>0.88322065099523317</v>
      </c>
      <c r="Q16" s="191">
        <f t="shared" si="3"/>
        <v>5.0309208107131127</v>
      </c>
    </row>
    <row r="17" spans="1:17" x14ac:dyDescent="0.35">
      <c r="A17" s="38">
        <v>2020</v>
      </c>
      <c r="B17" s="38">
        <v>2020</v>
      </c>
      <c r="C17" s="38" t="s">
        <v>409</v>
      </c>
      <c r="D17" s="38" t="s">
        <v>696</v>
      </c>
      <c r="E17" s="38" t="s">
        <v>697</v>
      </c>
      <c r="F17" s="190">
        <f>'Food loss and waste (IDN)'!F17*'Emissions factors'!$D$117</f>
        <v>4277.9781743199683</v>
      </c>
      <c r="G17" s="190">
        <f>'Food loss and waste (IDN)'!G17*'Emissions factors'!$D$117</f>
        <v>11960.956977000707</v>
      </c>
      <c r="H17" s="190">
        <f>'Food loss and waste (IDN)'!H17*'Emissions factors'!$D$117</f>
        <v>3150.0004363811404</v>
      </c>
      <c r="I17" s="190">
        <f>'Food loss and waste (IDN)'!I17*'Emissions factors'!$D$117</f>
        <v>3927.1055440363684</v>
      </c>
      <c r="J17" s="190">
        <f>'Food loss and waste (IDN)'!J17*'Emissions factors'!$D$117</f>
        <v>558.45797736523662</v>
      </c>
      <c r="K17" s="191">
        <f t="shared" si="1"/>
        <v>23874.499109103421</v>
      </c>
      <c r="L17" s="190">
        <f t="shared" si="2"/>
        <v>4.2779781743199683</v>
      </c>
      <c r="M17" s="190">
        <f t="shared" si="0"/>
        <v>11.960956977000707</v>
      </c>
      <c r="N17" s="190">
        <f t="shared" si="0"/>
        <v>3.1500004363811405</v>
      </c>
      <c r="O17" s="190">
        <f t="shared" si="0"/>
        <v>3.9271055440363685</v>
      </c>
      <c r="P17" s="190">
        <f t="shared" si="0"/>
        <v>0.55845797736523661</v>
      </c>
      <c r="Q17" s="191">
        <f t="shared" si="3"/>
        <v>23.874499109103422</v>
      </c>
    </row>
    <row r="18" spans="1:17" x14ac:dyDescent="0.35">
      <c r="A18" s="38">
        <v>2020</v>
      </c>
      <c r="B18" s="38">
        <v>2020</v>
      </c>
      <c r="C18" s="38" t="s">
        <v>409</v>
      </c>
      <c r="D18" s="38" t="s">
        <v>698</v>
      </c>
      <c r="E18" s="38" t="s">
        <v>699</v>
      </c>
      <c r="F18" s="190">
        <f>'Food loss and waste (IDN)'!F18*'Emissions factors'!$D$118</f>
        <v>1844.576</v>
      </c>
      <c r="G18" s="190">
        <f>'Food loss and waste (IDN)'!G18*'Emissions factors'!$D$118</f>
        <v>53.409854399999993</v>
      </c>
      <c r="H18" s="190">
        <f>'Food loss and waste (IDN)'!H18*'Emissions factors'!$D$118</f>
        <v>1268.9927072799999</v>
      </c>
      <c r="I18" s="190">
        <f>'Food loss and waste (IDN)'!I18*'Emissions factors'!$D$118</f>
        <v>1687.7603006823999</v>
      </c>
      <c r="J18" s="190">
        <f>'Food loss and waste (IDN)'!J18*'Emissions factors'!$D$118</f>
        <v>896.92404550550407</v>
      </c>
      <c r="K18" s="191">
        <f t="shared" si="1"/>
        <v>5751.6629078679043</v>
      </c>
      <c r="L18" s="190">
        <f t="shared" si="2"/>
        <v>1.844576</v>
      </c>
      <c r="M18" s="190">
        <f t="shared" si="2"/>
        <v>5.3409854399999991E-2</v>
      </c>
      <c r="N18" s="190">
        <f t="shared" si="2"/>
        <v>1.2689927072799998</v>
      </c>
      <c r="O18" s="190">
        <f t="shared" si="2"/>
        <v>1.6877603006824</v>
      </c>
      <c r="P18" s="190">
        <f t="shared" si="2"/>
        <v>0.89692404550550409</v>
      </c>
      <c r="Q18" s="191">
        <f t="shared" si="3"/>
        <v>5.7516629078679031</v>
      </c>
    </row>
    <row r="19" spans="1:17" x14ac:dyDescent="0.35">
      <c r="A19" s="38">
        <v>2020</v>
      </c>
      <c r="B19" s="38">
        <v>2020</v>
      </c>
      <c r="C19" s="38" t="s">
        <v>409</v>
      </c>
      <c r="D19" s="38" t="s">
        <v>698</v>
      </c>
      <c r="E19" s="38" t="s">
        <v>700</v>
      </c>
      <c r="F19" s="190">
        <f>'Food loss and waste (IDN)'!F19*'Emissions factors'!$D$119</f>
        <v>182.23600000000002</v>
      </c>
      <c r="G19" s="190">
        <f>'Food loss and waste (IDN)'!G19*'Emissions factors'!$D$119</f>
        <v>3.3116680000000005</v>
      </c>
      <c r="H19" s="190">
        <f>'Food loss and waste (IDN)'!H19*'Emissions factors'!$D$119</f>
        <v>82.626116600000017</v>
      </c>
      <c r="I19" s="190">
        <f>'Food loss and waste (IDN)'!I19*'Emissions factors'!$D$119</f>
        <v>109.89273507800002</v>
      </c>
      <c r="J19" s="190">
        <f>'Food loss and waste (IDN)'!J19*'Emissions factors'!$D$119</f>
        <v>58.400139212879999</v>
      </c>
      <c r="K19" s="191">
        <f t="shared" si="1"/>
        <v>436.46665889088007</v>
      </c>
      <c r="L19" s="190">
        <f t="shared" si="2"/>
        <v>0.18223600000000001</v>
      </c>
      <c r="M19" s="190">
        <f t="shared" si="2"/>
        <v>3.3116680000000007E-3</v>
      </c>
      <c r="N19" s="190">
        <f t="shared" si="2"/>
        <v>8.2626116600000021E-2</v>
      </c>
      <c r="O19" s="190">
        <f t="shared" si="2"/>
        <v>0.10989273507800001</v>
      </c>
      <c r="P19" s="190">
        <f t="shared" si="2"/>
        <v>5.8400139212880002E-2</v>
      </c>
      <c r="Q19" s="191">
        <f t="shared" si="3"/>
        <v>0.43646665889088004</v>
      </c>
    </row>
    <row r="20" spans="1:17" x14ac:dyDescent="0.35">
      <c r="A20" s="38">
        <v>2020</v>
      </c>
      <c r="B20" s="38">
        <v>2020</v>
      </c>
      <c r="C20" s="38" t="s">
        <v>409</v>
      </c>
      <c r="D20" s="38" t="s">
        <v>698</v>
      </c>
      <c r="E20" s="38" t="s">
        <v>521</v>
      </c>
      <c r="F20" s="190">
        <f>'Food loss and waste (IDN)'!F20*'Emissions factors'!$D$120</f>
        <v>116.6712</v>
      </c>
      <c r="G20" s="190">
        <f>'Food loss and waste (IDN)'!G20*'Emissions factors'!$D$120</f>
        <v>8.688461359999998</v>
      </c>
      <c r="H20" s="190">
        <f>'Food loss and waste (IDN)'!H20*'Emissions factors'!$D$120</f>
        <v>91.996016931999989</v>
      </c>
      <c r="I20" s="190">
        <f>'Food loss and waste (IDN)'!I20*'Emissions factors'!$D$120</f>
        <v>122.35470251955999</v>
      </c>
      <c r="J20" s="190">
        <f>'Food loss and waste (IDN)'!J20*'Emissions factors'!$D$120</f>
        <v>65.022784767537587</v>
      </c>
      <c r="K20" s="191">
        <f t="shared" si="1"/>
        <v>404.73316557909754</v>
      </c>
      <c r="L20" s="190">
        <f t="shared" si="2"/>
        <v>0.1166712</v>
      </c>
      <c r="M20" s="190">
        <f t="shared" si="2"/>
        <v>8.6884613599999983E-3</v>
      </c>
      <c r="N20" s="190">
        <f t="shared" si="2"/>
        <v>9.1996016931999991E-2</v>
      </c>
      <c r="O20" s="190">
        <f t="shared" si="2"/>
        <v>0.12235470251955999</v>
      </c>
      <c r="P20" s="190">
        <f t="shared" si="2"/>
        <v>6.5022784767537589E-2</v>
      </c>
      <c r="Q20" s="191">
        <f t="shared" si="3"/>
        <v>0.40473316557909761</v>
      </c>
    </row>
    <row r="21" spans="1:17" x14ac:dyDescent="0.35">
      <c r="A21" s="38">
        <v>2020</v>
      </c>
      <c r="B21" s="38">
        <v>2020</v>
      </c>
      <c r="C21" s="38" t="s">
        <v>409</v>
      </c>
      <c r="D21" s="38" t="s">
        <v>698</v>
      </c>
      <c r="E21" s="38" t="s">
        <v>252</v>
      </c>
      <c r="F21" s="190">
        <f>'Food loss and waste (IDN)'!F21*'Emissions factors'!$D$121</f>
        <v>1034.1863999999998</v>
      </c>
      <c r="G21" s="190">
        <f>'Food loss and waste (IDN)'!G21*'Emissions factors'!$D$121</f>
        <v>76.128595919999981</v>
      </c>
      <c r="H21" s="190">
        <f>'Food loss and waste (IDN)'!H21*'Emissions factors'!$D$121</f>
        <v>806.07225020400006</v>
      </c>
      <c r="I21" s="190">
        <f>'Food loss and waste (IDN)'!I21*'Emissions factors'!$D$121</f>
        <v>1072.07609277132</v>
      </c>
      <c r="J21" s="190">
        <f>'Food loss and waste (IDN)'!J21*'Emissions factors'!$D$121</f>
        <v>569.73186644418718</v>
      </c>
      <c r="K21" s="191">
        <f t="shared" si="1"/>
        <v>3558.1952053395071</v>
      </c>
      <c r="L21" s="190">
        <f t="shared" si="2"/>
        <v>1.0341863999999998</v>
      </c>
      <c r="M21" s="190">
        <f t="shared" si="2"/>
        <v>7.6128595919999986E-2</v>
      </c>
      <c r="N21" s="190">
        <f t="shared" si="2"/>
        <v>0.80607225020400008</v>
      </c>
      <c r="O21" s="190">
        <f t="shared" si="2"/>
        <v>1.07207609277132</v>
      </c>
      <c r="P21" s="190">
        <f t="shared" si="2"/>
        <v>0.56973186644418716</v>
      </c>
      <c r="Q21" s="191">
        <f t="shared" si="3"/>
        <v>3.5581952053395072</v>
      </c>
    </row>
    <row r="22" spans="1:17" x14ac:dyDescent="0.35">
      <c r="A22" s="38">
        <v>2020</v>
      </c>
      <c r="B22" s="38">
        <v>2020</v>
      </c>
      <c r="C22" s="38" t="s">
        <v>409</v>
      </c>
      <c r="D22" s="38" t="s">
        <v>701</v>
      </c>
      <c r="E22" s="38" t="s">
        <v>702</v>
      </c>
      <c r="F22" s="190">
        <f>'Food loss and waste (IDN)'!F22*'Emissions factors'!$D$122</f>
        <v>1178.2194173486089</v>
      </c>
      <c r="G22" s="190">
        <f>'Food loss and waste (IDN)'!G22*'Emissions factors'!$D$122</f>
        <v>981.18189612569574</v>
      </c>
      <c r="H22" s="190">
        <f>'Food loss and waste (IDN)'!H22*'Emissions factors'!$D$122</f>
        <v>12.589798686525699</v>
      </c>
      <c r="I22" s="190">
        <f>'Food loss and waste (IDN)'!I22*'Emissions factors'!$D$122</f>
        <v>377.31626663517511</v>
      </c>
      <c r="J22" s="190">
        <f>'Food loss and waste (IDN)'!J22*'Emissions factors'!$D$122</f>
        <v>243.99785242407992</v>
      </c>
      <c r="K22" s="191">
        <f t="shared" si="1"/>
        <v>2793.3052312200853</v>
      </c>
      <c r="L22" s="190">
        <f t="shared" si="2"/>
        <v>1.1782194173486089</v>
      </c>
      <c r="M22" s="190">
        <f t="shared" si="2"/>
        <v>0.98118189612569573</v>
      </c>
      <c r="N22" s="190">
        <f t="shared" si="2"/>
        <v>1.2589798686525698E-2</v>
      </c>
      <c r="O22" s="190">
        <f t="shared" si="2"/>
        <v>0.37731626663517509</v>
      </c>
      <c r="P22" s="190">
        <f t="shared" si="2"/>
        <v>0.24399785242407993</v>
      </c>
      <c r="Q22" s="191">
        <f t="shared" si="3"/>
        <v>2.7933052312200854</v>
      </c>
    </row>
    <row r="23" spans="1:17" x14ac:dyDescent="0.35">
      <c r="A23" s="38">
        <v>2020</v>
      </c>
      <c r="B23" s="38">
        <v>2020</v>
      </c>
      <c r="C23" s="38" t="s">
        <v>409</v>
      </c>
      <c r="D23" s="38" t="s">
        <v>701</v>
      </c>
      <c r="E23" s="38" t="s">
        <v>703</v>
      </c>
      <c r="F23" s="190">
        <f>'Food loss and waste (IDN)'!F23*'Emissions factors'!$D$123</f>
        <v>62.004141889659749</v>
      </c>
      <c r="G23" s="190">
        <f>'Food loss and waste (IDN)'!G23*'Emissions factors'!$D$123</f>
        <v>478.12582954905838</v>
      </c>
      <c r="H23" s="190">
        <f>'Food loss and waste (IDN)'!H23*'Emissions factors'!$D$123</f>
        <v>194.76476099408652</v>
      </c>
      <c r="I23" s="190">
        <f>'Food loss and waste (IDN)'!I23*'Emissions factors'!$D$123</f>
        <v>954.34732887102416</v>
      </c>
      <c r="J23" s="190">
        <f>'Food loss and waste (IDN)'!J23*'Emissions factors'!$D$123</f>
        <v>85.891259598392168</v>
      </c>
      <c r="K23" s="191">
        <f t="shared" si="1"/>
        <v>1775.1333209022212</v>
      </c>
      <c r="L23" s="190">
        <f t="shared" si="2"/>
        <v>6.2004141889659747E-2</v>
      </c>
      <c r="M23" s="190">
        <f t="shared" si="2"/>
        <v>0.47812582954905836</v>
      </c>
      <c r="N23" s="190">
        <f t="shared" si="2"/>
        <v>0.19476476099408652</v>
      </c>
      <c r="O23" s="190">
        <f t="shared" si="2"/>
        <v>0.95434732887102414</v>
      </c>
      <c r="P23" s="190">
        <f t="shared" si="2"/>
        <v>8.5891259598392167E-2</v>
      </c>
      <c r="Q23" s="191">
        <f t="shared" si="3"/>
        <v>1.7751333209022211</v>
      </c>
    </row>
    <row r="24" spans="1:17" x14ac:dyDescent="0.35">
      <c r="A24" s="38">
        <v>2020</v>
      </c>
      <c r="B24" s="38">
        <v>2020</v>
      </c>
      <c r="C24" s="38" t="s">
        <v>409</v>
      </c>
      <c r="D24" s="38" t="s">
        <v>704</v>
      </c>
      <c r="E24" s="38" t="s">
        <v>705</v>
      </c>
      <c r="F24" s="190">
        <f>'Food loss and waste (IDN)'!F24*'Emissions factors'!$D$124</f>
        <v>26.622973999999999</v>
      </c>
      <c r="G24" s="190">
        <f>'Food loss and waste (IDN)'!G24*'Emissions factors'!$D$124</f>
        <v>12.222898884000001</v>
      </c>
      <c r="H24" s="190">
        <f>'Food loss and waste (IDN)'!H24*'Emissions factors'!$D$124</f>
        <v>27.781930169279999</v>
      </c>
      <c r="I24" s="190">
        <f>'Food loss and waste (IDN)'!I24*'Emissions factors'!$D$124</f>
        <v>6.3898439389343995</v>
      </c>
      <c r="J24" s="190">
        <f>'Food loss and waste (IDN)'!J24*'Emissions factors'!$D$124</f>
        <v>3.1310235300778557</v>
      </c>
      <c r="K24" s="191">
        <f t="shared" si="1"/>
        <v>76.148670522292264</v>
      </c>
      <c r="L24" s="190">
        <f t="shared" si="2"/>
        <v>2.6622974000000001E-2</v>
      </c>
      <c r="M24" s="190">
        <f t="shared" si="2"/>
        <v>1.2222898884000001E-2</v>
      </c>
      <c r="N24" s="190">
        <f t="shared" si="2"/>
        <v>2.778193016928E-2</v>
      </c>
      <c r="O24" s="190">
        <f t="shared" si="2"/>
        <v>6.3898439389343999E-3</v>
      </c>
      <c r="P24" s="190">
        <f t="shared" si="2"/>
        <v>3.1310235300778559E-3</v>
      </c>
      <c r="Q24" s="191">
        <f t="shared" si="3"/>
        <v>7.6148670522292253E-2</v>
      </c>
    </row>
    <row r="25" spans="1:17" x14ac:dyDescent="0.35">
      <c r="A25" s="38">
        <v>2020</v>
      </c>
      <c r="B25" s="38">
        <v>2020</v>
      </c>
      <c r="C25" s="38" t="s">
        <v>409</v>
      </c>
      <c r="D25" s="38" t="s">
        <v>704</v>
      </c>
      <c r="E25" s="38" t="s">
        <v>706</v>
      </c>
      <c r="F25" s="190">
        <f>'Food loss and waste (IDN)'!F25*'Emissions factors'!$D$125</f>
        <v>6.9236363636363651E-2</v>
      </c>
      <c r="G25" s="190">
        <f>'Food loss and waste (IDN)'!G25*'Emissions factors'!$D$125</f>
        <v>0.18260596363636367</v>
      </c>
      <c r="H25" s="190">
        <f>'Food loss and waste (IDN)'!H25*'Emissions factors'!$D$125</f>
        <v>0.41505261381818187</v>
      </c>
      <c r="I25" s="190">
        <f>'Food loss and waste (IDN)'!I25*'Emissions factors'!$D$125</f>
        <v>9.5462101178181824E-2</v>
      </c>
      <c r="J25" s="190">
        <f>'Food loss and waste (IDN)'!J25*'Emissions factors'!$D$125</f>
        <v>4.6776429577309091E-2</v>
      </c>
      <c r="K25" s="191">
        <f t="shared" si="1"/>
        <v>0.80913347184640017</v>
      </c>
      <c r="L25" s="190">
        <f t="shared" si="2"/>
        <v>6.9236363636363655E-5</v>
      </c>
      <c r="M25" s="190">
        <f t="shared" si="2"/>
        <v>1.8260596363636367E-4</v>
      </c>
      <c r="N25" s="190">
        <f t="shared" si="2"/>
        <v>4.1505261381818189E-4</v>
      </c>
      <c r="O25" s="190">
        <f t="shared" si="2"/>
        <v>9.5462101178181829E-5</v>
      </c>
      <c r="P25" s="190">
        <f t="shared" si="2"/>
        <v>4.6776429577309089E-5</v>
      </c>
      <c r="Q25" s="191">
        <f t="shared" si="3"/>
        <v>8.0913347184640013E-4</v>
      </c>
    </row>
    <row r="26" spans="1:17" x14ac:dyDescent="0.35">
      <c r="A26" s="38">
        <v>2020</v>
      </c>
      <c r="B26" s="38">
        <v>2020</v>
      </c>
      <c r="C26" s="38" t="s">
        <v>409</v>
      </c>
      <c r="D26" s="38" t="s">
        <v>707</v>
      </c>
      <c r="E26" s="38" t="s">
        <v>708</v>
      </c>
      <c r="F26" s="190">
        <f>'Food loss and waste (IDN)'!F26*'Emissions factors'!$D$126</f>
        <v>4.2865377777777782</v>
      </c>
      <c r="G26" s="190">
        <f>'Food loss and waste (IDN)'!G26*'Emissions factors'!$D$126</f>
        <v>5.1367187936296297</v>
      </c>
      <c r="H26" s="190">
        <f>'Food loss and waste (IDN)'!H26*'Emissions factors'!$D$126</f>
        <v>3.7280447132296302</v>
      </c>
      <c r="I26" s="190">
        <f>'Food loss and waste (IDN)'!I26*'Emissions factors'!$D$126</f>
        <v>3.616948980775387</v>
      </c>
      <c r="J26" s="190">
        <f>'Food loss and waste (IDN)'!J26*'Emissions factors'!$D$126</f>
        <v>1.1614955934057019</v>
      </c>
      <c r="K26" s="191">
        <f t="shared" si="1"/>
        <v>17.92974585881813</v>
      </c>
      <c r="L26" s="190">
        <f t="shared" si="2"/>
        <v>4.2865377777777779E-3</v>
      </c>
      <c r="M26" s="190">
        <f t="shared" si="2"/>
        <v>5.1367187936296301E-3</v>
      </c>
      <c r="N26" s="190">
        <f t="shared" si="2"/>
        <v>3.7280447132296301E-3</v>
      </c>
      <c r="O26" s="190">
        <f t="shared" si="2"/>
        <v>3.6169489807753872E-3</v>
      </c>
      <c r="P26" s="190">
        <f t="shared" si="2"/>
        <v>1.1614955934057018E-3</v>
      </c>
      <c r="Q26" s="191">
        <f t="shared" si="3"/>
        <v>1.7929745858818128E-2</v>
      </c>
    </row>
    <row r="27" spans="1:17" x14ac:dyDescent="0.35">
      <c r="A27" s="38">
        <v>2050</v>
      </c>
      <c r="B27" s="38">
        <v>2050</v>
      </c>
      <c r="C27" s="38" t="s">
        <v>409</v>
      </c>
      <c r="D27" s="38" t="s">
        <v>686</v>
      </c>
      <c r="E27" s="38" t="s">
        <v>480</v>
      </c>
      <c r="F27" s="190" t="s">
        <v>142</v>
      </c>
      <c r="G27" s="190" t="s">
        <v>142</v>
      </c>
      <c r="H27" s="190" t="s">
        <v>142</v>
      </c>
      <c r="I27" s="190" t="s">
        <v>142</v>
      </c>
      <c r="J27" s="190" t="s">
        <v>142</v>
      </c>
      <c r="K27" s="190" t="s">
        <v>142</v>
      </c>
      <c r="L27" s="190" t="s">
        <v>142</v>
      </c>
      <c r="M27" s="190" t="s">
        <v>142</v>
      </c>
      <c r="N27" s="190" t="s">
        <v>142</v>
      </c>
      <c r="O27" s="190" t="s">
        <v>142</v>
      </c>
      <c r="P27" s="190" t="s">
        <v>142</v>
      </c>
      <c r="Q27" s="190" t="s">
        <v>142</v>
      </c>
    </row>
    <row r="28" spans="1:17" x14ac:dyDescent="0.35">
      <c r="A28" s="38">
        <v>2050</v>
      </c>
      <c r="B28" s="38">
        <v>2050</v>
      </c>
      <c r="C28" s="38" t="s">
        <v>409</v>
      </c>
      <c r="D28" s="38" t="s">
        <v>686</v>
      </c>
      <c r="E28" s="38" t="s">
        <v>687</v>
      </c>
      <c r="F28" s="190">
        <f>'Food loss and waste (IDN)'!F28*'Emissions factors'!$D$103</f>
        <v>187.01865254611295</v>
      </c>
      <c r="G28" s="190">
        <f>'Food loss and waste (IDN)'!G28*'Emissions factors'!$D$103</f>
        <v>198.87301866846866</v>
      </c>
      <c r="H28" s="190">
        <f>'Food loss and waste (IDN)'!H28*'Emissions factors'!$D$103</f>
        <v>197.32488727883401</v>
      </c>
      <c r="I28" s="190">
        <f>'Food loss and waste (IDN)'!I28*'Emissions factors'!$D$103</f>
        <v>78.123741800651501</v>
      </c>
      <c r="J28" s="190">
        <f>'Food loss and waste (IDN)'!J28*'Emissions factors'!$D$103</f>
        <v>76.304349961401414</v>
      </c>
      <c r="K28" s="191">
        <f t="shared" si="1"/>
        <v>737.64465025546849</v>
      </c>
      <c r="L28" s="190">
        <f t="shared" si="2"/>
        <v>0.18701865254611294</v>
      </c>
      <c r="M28" s="190">
        <f t="shared" si="2"/>
        <v>0.19887301866846865</v>
      </c>
      <c r="N28" s="190">
        <f t="shared" si="2"/>
        <v>0.19732488727883402</v>
      </c>
      <c r="O28" s="190">
        <f t="shared" si="2"/>
        <v>7.81237418006515E-2</v>
      </c>
      <c r="P28" s="190">
        <f t="shared" si="2"/>
        <v>7.630434996140141E-2</v>
      </c>
      <c r="Q28" s="191">
        <f t="shared" si="3"/>
        <v>0.73764465025546855</v>
      </c>
    </row>
    <row r="29" spans="1:17" x14ac:dyDescent="0.35">
      <c r="A29" s="38">
        <v>2050</v>
      </c>
      <c r="B29" s="38">
        <v>2050</v>
      </c>
      <c r="C29" s="38" t="s">
        <v>409</v>
      </c>
      <c r="D29" s="38" t="s">
        <v>686</v>
      </c>
      <c r="E29" s="38" t="s">
        <v>508</v>
      </c>
      <c r="F29" s="190" t="s">
        <v>142</v>
      </c>
      <c r="G29" s="190" t="s">
        <v>142</v>
      </c>
      <c r="H29" s="190" t="s">
        <v>142</v>
      </c>
      <c r="I29" s="190" t="s">
        <v>142</v>
      </c>
      <c r="J29" s="190" t="s">
        <v>142</v>
      </c>
      <c r="K29" s="190" t="s">
        <v>142</v>
      </c>
      <c r="L29" s="190" t="s">
        <v>142</v>
      </c>
      <c r="M29" s="190" t="s">
        <v>142</v>
      </c>
      <c r="N29" s="190" t="s">
        <v>142</v>
      </c>
      <c r="O29" s="190" t="s">
        <v>142</v>
      </c>
      <c r="P29" s="190" t="s">
        <v>142</v>
      </c>
      <c r="Q29" s="190" t="s">
        <v>142</v>
      </c>
    </row>
    <row r="30" spans="1:17" x14ac:dyDescent="0.35">
      <c r="A30" s="38">
        <v>2050</v>
      </c>
      <c r="B30" s="38">
        <v>2050</v>
      </c>
      <c r="C30" s="38" t="s">
        <v>409</v>
      </c>
      <c r="D30" s="38" t="s">
        <v>686</v>
      </c>
      <c r="E30" s="38" t="s">
        <v>688</v>
      </c>
      <c r="F30" s="190" t="s">
        <v>142</v>
      </c>
      <c r="G30" s="190" t="s">
        <v>142</v>
      </c>
      <c r="H30" s="190" t="s">
        <v>142</v>
      </c>
      <c r="I30" s="190" t="s">
        <v>142</v>
      </c>
      <c r="J30" s="190" t="s">
        <v>142</v>
      </c>
      <c r="K30" s="190" t="s">
        <v>142</v>
      </c>
      <c r="L30" s="190" t="s">
        <v>142</v>
      </c>
      <c r="M30" s="190" t="s">
        <v>142</v>
      </c>
      <c r="N30" s="190" t="s">
        <v>142</v>
      </c>
      <c r="O30" s="190" t="s">
        <v>142</v>
      </c>
      <c r="P30" s="190" t="s">
        <v>142</v>
      </c>
      <c r="Q30" s="190" t="s">
        <v>142</v>
      </c>
    </row>
    <row r="31" spans="1:17" x14ac:dyDescent="0.35">
      <c r="A31" s="38">
        <v>2050</v>
      </c>
      <c r="B31" s="38">
        <v>2050</v>
      </c>
      <c r="C31" s="38" t="s">
        <v>409</v>
      </c>
      <c r="D31" s="38" t="s">
        <v>686</v>
      </c>
      <c r="E31" s="38" t="s">
        <v>512</v>
      </c>
      <c r="F31" s="190" t="s">
        <v>142</v>
      </c>
      <c r="G31" s="190" t="s">
        <v>142</v>
      </c>
      <c r="H31" s="190" t="s">
        <v>142</v>
      </c>
      <c r="I31" s="190" t="s">
        <v>142</v>
      </c>
      <c r="J31" s="190" t="s">
        <v>142</v>
      </c>
      <c r="K31" s="190" t="s">
        <v>142</v>
      </c>
      <c r="L31" s="190" t="s">
        <v>142</v>
      </c>
      <c r="M31" s="190" t="s">
        <v>142</v>
      </c>
      <c r="N31" s="190" t="s">
        <v>142</v>
      </c>
      <c r="O31" s="190" t="s">
        <v>142</v>
      </c>
      <c r="P31" s="190" t="s">
        <v>142</v>
      </c>
      <c r="Q31" s="190" t="s">
        <v>142</v>
      </c>
    </row>
    <row r="32" spans="1:17" x14ac:dyDescent="0.35">
      <c r="A32" s="38">
        <v>2050</v>
      </c>
      <c r="B32" s="38">
        <v>2050</v>
      </c>
      <c r="C32" s="38" t="s">
        <v>409</v>
      </c>
      <c r="D32" s="38" t="s">
        <v>686</v>
      </c>
      <c r="E32" s="38" t="s">
        <v>689</v>
      </c>
      <c r="F32" s="190">
        <f>'Food loss and waste (IDN)'!F32*'Emissions factors'!$D$106</f>
        <v>6175.8118485806335</v>
      </c>
      <c r="G32" s="190">
        <f>'Food loss and waste (IDN)'!G32*'Emissions factors'!$D$106</f>
        <v>6678.8456444345411</v>
      </c>
      <c r="H32" s="190">
        <f>'Food loss and waste (IDN)'!H32*'Emissions factors'!$D$106</f>
        <v>6626.8540235605678</v>
      </c>
      <c r="I32" s="190">
        <f>'Food loss and waste (IDN)'!I32*'Emissions factors'!$D$106</f>
        <v>2623.6661772708221</v>
      </c>
      <c r="J32" s="190">
        <f>'Food loss and waste (IDN)'!J32*'Emissions factors'!$D$106</f>
        <v>2562.5646897867296</v>
      </c>
      <c r="K32" s="191">
        <f t="shared" si="1"/>
        <v>24667.742383633293</v>
      </c>
      <c r="L32" s="190">
        <f t="shared" si="2"/>
        <v>6.1758118485806337</v>
      </c>
      <c r="M32" s="190">
        <f t="shared" si="2"/>
        <v>6.6788456444345412</v>
      </c>
      <c r="N32" s="190">
        <f t="shared" si="2"/>
        <v>6.6268540235605675</v>
      </c>
      <c r="O32" s="190">
        <f t="shared" si="2"/>
        <v>2.6236661772708221</v>
      </c>
      <c r="P32" s="190">
        <f t="shared" si="2"/>
        <v>2.5625646897867296</v>
      </c>
      <c r="Q32" s="191">
        <f t="shared" si="3"/>
        <v>24.667742383633293</v>
      </c>
    </row>
    <row r="33" spans="1:17" x14ac:dyDescent="0.35">
      <c r="A33" s="38">
        <v>2050</v>
      </c>
      <c r="B33" s="38">
        <v>2050</v>
      </c>
      <c r="C33" s="38" t="s">
        <v>409</v>
      </c>
      <c r="D33" s="38" t="s">
        <v>686</v>
      </c>
      <c r="E33" s="38" t="s">
        <v>690</v>
      </c>
      <c r="F33" s="190" t="s">
        <v>142</v>
      </c>
      <c r="G33" s="190" t="s">
        <v>142</v>
      </c>
      <c r="H33" s="190" t="s">
        <v>142</v>
      </c>
      <c r="I33" s="190" t="s">
        <v>142</v>
      </c>
      <c r="J33" s="190" t="s">
        <v>142</v>
      </c>
      <c r="K33" s="190" t="s">
        <v>142</v>
      </c>
      <c r="L33" s="190" t="s">
        <v>142</v>
      </c>
      <c r="M33" s="190" t="s">
        <v>142</v>
      </c>
      <c r="N33" s="190" t="s">
        <v>142</v>
      </c>
      <c r="O33" s="190" t="s">
        <v>142</v>
      </c>
      <c r="P33" s="190" t="s">
        <v>142</v>
      </c>
      <c r="Q33" s="190" t="s">
        <v>142</v>
      </c>
    </row>
    <row r="34" spans="1:17" x14ac:dyDescent="0.35">
      <c r="A34" s="38">
        <v>2050</v>
      </c>
      <c r="B34" s="38">
        <v>2050</v>
      </c>
      <c r="C34" s="38" t="s">
        <v>409</v>
      </c>
      <c r="D34" s="38" t="s">
        <v>686</v>
      </c>
      <c r="E34" s="38" t="s">
        <v>532</v>
      </c>
      <c r="F34" s="190" t="s">
        <v>142</v>
      </c>
      <c r="G34" s="190" t="s">
        <v>142</v>
      </c>
      <c r="H34" s="190" t="s">
        <v>142</v>
      </c>
      <c r="I34" s="190" t="s">
        <v>142</v>
      </c>
      <c r="J34" s="190" t="s">
        <v>142</v>
      </c>
      <c r="K34" s="190" t="s">
        <v>142</v>
      </c>
      <c r="L34" s="190" t="s">
        <v>142</v>
      </c>
      <c r="M34" s="190" t="s">
        <v>142</v>
      </c>
      <c r="N34" s="190" t="s">
        <v>142</v>
      </c>
      <c r="O34" s="190" t="s">
        <v>142</v>
      </c>
      <c r="P34" s="190" t="s">
        <v>142</v>
      </c>
      <c r="Q34" s="190" t="s">
        <v>142</v>
      </c>
    </row>
    <row r="35" spans="1:17" x14ac:dyDescent="0.35">
      <c r="A35" s="38">
        <v>2050</v>
      </c>
      <c r="B35" s="38">
        <v>2050</v>
      </c>
      <c r="C35" s="38" t="s">
        <v>409</v>
      </c>
      <c r="D35" s="38" t="s">
        <v>686</v>
      </c>
      <c r="E35" s="38" t="s">
        <v>541</v>
      </c>
      <c r="F35" s="190" t="s">
        <v>142</v>
      </c>
      <c r="G35" s="190" t="s">
        <v>142</v>
      </c>
      <c r="H35" s="190" t="s">
        <v>142</v>
      </c>
      <c r="I35" s="190" t="s">
        <v>142</v>
      </c>
      <c r="J35" s="190" t="s">
        <v>142</v>
      </c>
      <c r="K35" s="190" t="s">
        <v>142</v>
      </c>
      <c r="L35" s="190" t="s">
        <v>142</v>
      </c>
      <c r="M35" s="190" t="s">
        <v>142</v>
      </c>
      <c r="N35" s="190" t="s">
        <v>142</v>
      </c>
      <c r="O35" s="190" t="s">
        <v>142</v>
      </c>
      <c r="P35" s="190" t="s">
        <v>142</v>
      </c>
      <c r="Q35" s="190" t="s">
        <v>142</v>
      </c>
    </row>
    <row r="36" spans="1:17" x14ac:dyDescent="0.35">
      <c r="A36" s="38">
        <v>2050</v>
      </c>
      <c r="B36" s="38">
        <v>2050</v>
      </c>
      <c r="C36" s="38" t="s">
        <v>409</v>
      </c>
      <c r="D36" s="38" t="s">
        <v>691</v>
      </c>
      <c r="E36" s="38" t="s">
        <v>692</v>
      </c>
      <c r="F36" s="190" t="s">
        <v>142</v>
      </c>
      <c r="G36" s="190" t="s">
        <v>142</v>
      </c>
      <c r="H36" s="190" t="s">
        <v>142</v>
      </c>
      <c r="I36" s="190" t="s">
        <v>142</v>
      </c>
      <c r="J36" s="190" t="s">
        <v>142</v>
      </c>
      <c r="K36" s="190" t="s">
        <v>142</v>
      </c>
      <c r="L36" s="190" t="s">
        <v>142</v>
      </c>
      <c r="M36" s="190" t="s">
        <v>142</v>
      </c>
      <c r="N36" s="190" t="s">
        <v>142</v>
      </c>
      <c r="O36" s="190" t="s">
        <v>142</v>
      </c>
      <c r="P36" s="190" t="s">
        <v>142</v>
      </c>
      <c r="Q36" s="190" t="s">
        <v>142</v>
      </c>
    </row>
    <row r="37" spans="1:17" x14ac:dyDescent="0.35">
      <c r="A37" s="38">
        <v>2050</v>
      </c>
      <c r="B37" s="38">
        <v>2050</v>
      </c>
      <c r="C37" s="38" t="s">
        <v>409</v>
      </c>
      <c r="D37" s="38" t="s">
        <v>691</v>
      </c>
      <c r="E37" s="38" t="s">
        <v>356</v>
      </c>
      <c r="F37" s="190">
        <f>'Food loss and waste (IDN)'!F37*'Emissions factors'!$D$112</f>
        <v>328.44014658000003</v>
      </c>
      <c r="G37" s="190">
        <f>'Food loss and waste (IDN)'!G37*'Emissions factors'!$D$112</f>
        <v>339.40098717027854</v>
      </c>
      <c r="H37" s="190">
        <f>'Food loss and waste (IDN)'!H37*'Emissions factors'!$D$112</f>
        <v>774.82803884643374</v>
      </c>
      <c r="I37" s="190">
        <f>'Food loss and waste (IDN)'!I37*'Emissions factors'!$D$112</f>
        <v>301.25314150349345</v>
      </c>
      <c r="J37" s="190">
        <f>'Food loss and waste (IDN)'!J37*'Emissions factors'!$D$112</f>
        <v>367.41874506650277</v>
      </c>
      <c r="K37" s="191">
        <f t="shared" si="1"/>
        <v>2111.3410591667084</v>
      </c>
      <c r="L37" s="190">
        <f t="shared" si="2"/>
        <v>0.32844014658000004</v>
      </c>
      <c r="M37" s="190">
        <f t="shared" si="2"/>
        <v>0.33940098717027856</v>
      </c>
      <c r="N37" s="190">
        <f t="shared" si="2"/>
        <v>0.7748280388464337</v>
      </c>
      <c r="O37" s="190">
        <f t="shared" si="2"/>
        <v>0.30125314150349347</v>
      </c>
      <c r="P37" s="190">
        <f t="shared" si="2"/>
        <v>0.36741874506650274</v>
      </c>
      <c r="Q37" s="191">
        <f t="shared" si="3"/>
        <v>2.1113410591667083</v>
      </c>
    </row>
    <row r="38" spans="1:17" x14ac:dyDescent="0.35">
      <c r="A38" s="38">
        <v>2050</v>
      </c>
      <c r="B38" s="38">
        <v>2050</v>
      </c>
      <c r="C38" s="38" t="s">
        <v>409</v>
      </c>
      <c r="D38" s="38" t="s">
        <v>691</v>
      </c>
      <c r="E38" s="38" t="s">
        <v>693</v>
      </c>
      <c r="F38" s="190">
        <f>'Food loss and waste (IDN)'!F38*'Emissions factors'!$D$113</f>
        <v>37.198897073000012</v>
      </c>
      <c r="G38" s="190">
        <f>'Food loss and waste (IDN)'!G38*'Emissions factors'!$D$113</f>
        <v>38.481524439894905</v>
      </c>
      <c r="H38" s="190">
        <f>'Food loss and waste (IDN)'!H38*'Emissions factors'!$D$113</f>
        <v>87.850552121776289</v>
      </c>
      <c r="I38" s="190">
        <f>'Food loss and waste (IDN)'!I38*'Emissions factors'!$D$113</f>
        <v>34.156294664946621</v>
      </c>
      <c r="J38" s="190">
        <f>'Food loss and waste (IDN)'!J38*'Emissions factors'!$D$113</f>
        <v>41.658197684789414</v>
      </c>
      <c r="K38" s="191">
        <f t="shared" si="1"/>
        <v>239.34546598440727</v>
      </c>
      <c r="L38" s="190">
        <f t="shared" si="2"/>
        <v>3.719889707300001E-2</v>
      </c>
      <c r="M38" s="190">
        <f t="shared" si="2"/>
        <v>3.8481524439894901E-2</v>
      </c>
      <c r="N38" s="190">
        <f t="shared" si="2"/>
        <v>8.7850552121776296E-2</v>
      </c>
      <c r="O38" s="190">
        <f t="shared" si="2"/>
        <v>3.4156294664946622E-2</v>
      </c>
      <c r="P38" s="190">
        <f t="shared" si="2"/>
        <v>4.1658197684789414E-2</v>
      </c>
      <c r="Q38" s="191">
        <f t="shared" si="3"/>
        <v>0.23934546598440726</v>
      </c>
    </row>
    <row r="39" spans="1:17" x14ac:dyDescent="0.35">
      <c r="A39" s="38">
        <v>2050</v>
      </c>
      <c r="B39" s="38">
        <v>2050</v>
      </c>
      <c r="C39" s="38" t="s">
        <v>409</v>
      </c>
      <c r="D39" s="38" t="s">
        <v>691</v>
      </c>
      <c r="E39" s="38" t="s">
        <v>694</v>
      </c>
      <c r="F39" s="190" t="s">
        <v>142</v>
      </c>
      <c r="G39" s="190" t="s">
        <v>142</v>
      </c>
      <c r="H39" s="190" t="s">
        <v>142</v>
      </c>
      <c r="I39" s="190" t="s">
        <v>142</v>
      </c>
      <c r="J39" s="190" t="s">
        <v>142</v>
      </c>
      <c r="K39" s="190" t="s">
        <v>142</v>
      </c>
      <c r="L39" s="190" t="s">
        <v>142</v>
      </c>
      <c r="M39" s="190" t="s">
        <v>142</v>
      </c>
      <c r="N39" s="190" t="s">
        <v>142</v>
      </c>
      <c r="O39" s="190" t="s">
        <v>142</v>
      </c>
      <c r="P39" s="190" t="s">
        <v>142</v>
      </c>
      <c r="Q39" s="190" t="s">
        <v>142</v>
      </c>
    </row>
    <row r="40" spans="1:17" x14ac:dyDescent="0.35">
      <c r="A40" s="38">
        <v>2050</v>
      </c>
      <c r="B40" s="38">
        <v>2050</v>
      </c>
      <c r="C40" s="38" t="s">
        <v>409</v>
      </c>
      <c r="D40" s="38" t="s">
        <v>691</v>
      </c>
      <c r="E40" s="38" t="s">
        <v>514</v>
      </c>
      <c r="F40" s="190">
        <f>'Food loss and waste (IDN)'!F40*'Emissions factors'!$D$115</f>
        <v>11.513233368000002</v>
      </c>
      <c r="G40" s="190">
        <f>'Food loss and waste (IDN)'!G40*'Emissions factors'!$D$115</f>
        <v>12.191954048358108</v>
      </c>
      <c r="H40" s="190">
        <f>'Food loss and waste (IDN)'!H40*'Emissions factors'!$D$115</f>
        <v>27.833354062272448</v>
      </c>
      <c r="I40" s="190">
        <f>'Food loss and waste (IDN)'!I40*'Emissions factors'!$D$115</f>
        <v>10.821608059411529</v>
      </c>
      <c r="J40" s="190">
        <f>'Food loss and waste (IDN)'!J40*'Emissions factors'!$D$115</f>
        <v>13.198407269536897</v>
      </c>
      <c r="K40" s="191">
        <f t="shared" si="1"/>
        <v>75.558556807578981</v>
      </c>
      <c r="L40" s="190">
        <f t="shared" si="2"/>
        <v>1.1513233368000001E-2</v>
      </c>
      <c r="M40" s="190">
        <f t="shared" si="2"/>
        <v>1.2191954048358107E-2</v>
      </c>
      <c r="N40" s="190">
        <f t="shared" si="2"/>
        <v>2.7833354062272449E-2</v>
      </c>
      <c r="O40" s="190">
        <f t="shared" si="2"/>
        <v>1.0821608059411529E-2</v>
      </c>
      <c r="P40" s="190">
        <f t="shared" si="2"/>
        <v>1.3198407269536897E-2</v>
      </c>
      <c r="Q40" s="191">
        <f t="shared" si="3"/>
        <v>7.5558556807578989E-2</v>
      </c>
    </row>
    <row r="41" spans="1:17" x14ac:dyDescent="0.35">
      <c r="A41" s="38">
        <v>2050</v>
      </c>
      <c r="B41" s="38">
        <v>2050</v>
      </c>
      <c r="C41" s="38" t="s">
        <v>409</v>
      </c>
      <c r="D41" s="38" t="s">
        <v>691</v>
      </c>
      <c r="E41" s="38" t="s">
        <v>695</v>
      </c>
      <c r="F41" s="190">
        <f>'Food loss and waste (IDN)'!F41*'Emissions factors'!$D$116</f>
        <v>1086.6901390020003</v>
      </c>
      <c r="G41" s="190">
        <f>'Food loss and waste (IDN)'!G41*'Emissions factors'!$D$116</f>
        <v>1189.9220606981953</v>
      </c>
      <c r="H41" s="190">
        <f>'Food loss and waste (IDN)'!H41*'Emissions factors'!$D$116</f>
        <v>2716.5064673436764</v>
      </c>
      <c r="I41" s="190">
        <f>'Food loss and waste (IDN)'!I41*'Emissions factors'!$D$116</f>
        <v>1056.1777145032215</v>
      </c>
      <c r="J41" s="190">
        <f>'Food loss and waste (IDN)'!J41*'Emissions factors'!$D$116</f>
        <v>1288.15085045505</v>
      </c>
      <c r="K41" s="191">
        <f t="shared" si="1"/>
        <v>7337.4472320021441</v>
      </c>
      <c r="L41" s="190">
        <f t="shared" si="2"/>
        <v>1.0866901390020003</v>
      </c>
      <c r="M41" s="190">
        <f t="shared" si="2"/>
        <v>1.1899220606981953</v>
      </c>
      <c r="N41" s="190">
        <f t="shared" si="2"/>
        <v>2.7165064673436765</v>
      </c>
      <c r="O41" s="190">
        <f t="shared" si="2"/>
        <v>1.0561777145032216</v>
      </c>
      <c r="P41" s="190">
        <f t="shared" si="2"/>
        <v>1.2881508504550501</v>
      </c>
      <c r="Q41" s="191">
        <f t="shared" si="3"/>
        <v>7.3374472320021438</v>
      </c>
    </row>
    <row r="42" spans="1:17" x14ac:dyDescent="0.35">
      <c r="A42" s="38">
        <v>2050</v>
      </c>
      <c r="B42" s="38">
        <v>2050</v>
      </c>
      <c r="C42" s="38" t="s">
        <v>409</v>
      </c>
      <c r="D42" s="38" t="s">
        <v>696</v>
      </c>
      <c r="E42" s="38" t="s">
        <v>697</v>
      </c>
      <c r="F42" s="190">
        <f>'Food loss and waste (IDN)'!F42*'Emissions factors'!$D$117</f>
        <v>6607.9576610707891</v>
      </c>
      <c r="G42" s="190">
        <f>'Food loss and waste (IDN)'!G42*'Emissions factors'!$D$117</f>
        <v>18475.432568674521</v>
      </c>
      <c r="H42" s="190">
        <f>'Food loss and waste (IDN)'!H42*'Emissions factors'!$D$117</f>
        <v>4865.6324711777816</v>
      </c>
      <c r="I42" s="190">
        <f>'Food loss and waste (IDN)'!I42*'Emissions factors'!$D$117</f>
        <v>6065.9840018173418</v>
      </c>
      <c r="J42" s="190">
        <f>'Food loss and waste (IDN)'!J42*'Emissions factors'!$D$117</f>
        <v>862.619330801827</v>
      </c>
      <c r="K42" s="191">
        <f t="shared" si="1"/>
        <v>36877.626033542256</v>
      </c>
      <c r="L42" s="190">
        <f t="shared" si="2"/>
        <v>6.6079576610707891</v>
      </c>
      <c r="M42" s="190">
        <f t="shared" si="2"/>
        <v>18.47543256867452</v>
      </c>
      <c r="N42" s="190">
        <f t="shared" si="2"/>
        <v>4.8656324711777819</v>
      </c>
      <c r="O42" s="190">
        <f t="shared" si="2"/>
        <v>6.0659840018173421</v>
      </c>
      <c r="P42" s="190">
        <f t="shared" si="2"/>
        <v>0.86261933080182696</v>
      </c>
      <c r="Q42" s="191">
        <f t="shared" si="3"/>
        <v>36.877626033542263</v>
      </c>
    </row>
    <row r="43" spans="1:17" x14ac:dyDescent="0.35">
      <c r="A43" s="38">
        <v>2050</v>
      </c>
      <c r="B43" s="38">
        <v>2050</v>
      </c>
      <c r="C43" s="38" t="s">
        <v>409</v>
      </c>
      <c r="D43" s="38" t="s">
        <v>698</v>
      </c>
      <c r="E43" s="38" t="s">
        <v>699</v>
      </c>
      <c r="F43" s="190">
        <f>'Food loss and waste (IDN)'!F43*'Emissions factors'!$D$118</f>
        <v>3355.236848</v>
      </c>
      <c r="G43" s="190">
        <f>'Food loss and waste (IDN)'!G43*'Emissions factors'!$D$118</f>
        <v>97.151167275945767</v>
      </c>
      <c r="H43" s="190">
        <f>'Food loss and waste (IDN)'!H43*'Emissions factors'!$D$118</f>
        <v>2308.2654720158639</v>
      </c>
      <c r="I43" s="190">
        <f>'Food loss and waste (IDN)'!I43*'Emissions factors'!$D$118</f>
        <v>3069.9930777810991</v>
      </c>
      <c r="J43" s="190">
        <f>'Food loss and waste (IDN)'!J43*'Emissions factors'!$D$118</f>
        <v>1631.4820356208127</v>
      </c>
      <c r="K43" s="191">
        <f t="shared" si="1"/>
        <v>10462.128600693721</v>
      </c>
      <c r="L43" s="190">
        <f t="shared" si="2"/>
        <v>3.3552368480000001</v>
      </c>
      <c r="M43" s="190">
        <f t="shared" si="2"/>
        <v>9.7151167275945763E-2</v>
      </c>
      <c r="N43" s="190">
        <f t="shared" si="2"/>
        <v>2.3082654720158637</v>
      </c>
      <c r="O43" s="190">
        <f t="shared" si="2"/>
        <v>3.0699930777810991</v>
      </c>
      <c r="P43" s="190">
        <f t="shared" si="2"/>
        <v>1.6314820356208126</v>
      </c>
      <c r="Q43" s="191">
        <f t="shared" si="3"/>
        <v>10.462128600693722</v>
      </c>
    </row>
    <row r="44" spans="1:17" x14ac:dyDescent="0.35">
      <c r="A44" s="38">
        <v>2050</v>
      </c>
      <c r="B44" s="38">
        <v>2050</v>
      </c>
      <c r="C44" s="38" t="s">
        <v>409</v>
      </c>
      <c r="D44" s="38" t="s">
        <v>698</v>
      </c>
      <c r="E44" s="38" t="s">
        <v>700</v>
      </c>
      <c r="F44" s="190">
        <f>'Food loss and waste (IDN)'!F44*'Emissions factors'!$D$119</f>
        <v>376.02670500000005</v>
      </c>
      <c r="G44" s="190">
        <f>'Food loss and waste (IDN)'!G44*'Emissions factors'!$D$119</f>
        <v>6.8333128805172416</v>
      </c>
      <c r="H44" s="190">
        <f>'Food loss and waste (IDN)'!H44*'Emissions factors'!$D$119</f>
        <v>170.49115636890519</v>
      </c>
      <c r="I44" s="190">
        <f>'Food loss and waste (IDN)'!I44*'Emissions factors'!$D$119</f>
        <v>226.75323797064391</v>
      </c>
      <c r="J44" s="190">
        <f>'Food loss and waste (IDN)'!J44*'Emissions factors'!$D$119</f>
        <v>120.50314932154217</v>
      </c>
      <c r="K44" s="191">
        <f t="shared" si="1"/>
        <v>900.60756154160856</v>
      </c>
      <c r="L44" s="190">
        <f t="shared" si="2"/>
        <v>0.37602670500000007</v>
      </c>
      <c r="M44" s="190">
        <f t="shared" si="2"/>
        <v>6.8333128805172418E-3</v>
      </c>
      <c r="N44" s="190">
        <f t="shared" si="2"/>
        <v>0.17049115636890519</v>
      </c>
      <c r="O44" s="190">
        <f t="shared" si="2"/>
        <v>0.22675323797064389</v>
      </c>
      <c r="P44" s="190">
        <f t="shared" si="2"/>
        <v>0.12050314932154217</v>
      </c>
      <c r="Q44" s="191">
        <f t="shared" si="3"/>
        <v>0.90060756154160859</v>
      </c>
    </row>
    <row r="45" spans="1:17" x14ac:dyDescent="0.35">
      <c r="A45" s="38">
        <v>2050</v>
      </c>
      <c r="B45" s="38">
        <v>2050</v>
      </c>
      <c r="C45" s="38" t="s">
        <v>409</v>
      </c>
      <c r="D45" s="38" t="s">
        <v>698</v>
      </c>
      <c r="E45" s="38" t="s">
        <v>521</v>
      </c>
      <c r="F45" s="190">
        <f>'Food loss and waste (IDN)'!F45*'Emissions factors'!$D$120</f>
        <v>519.90430559999993</v>
      </c>
      <c r="G45" s="190">
        <f>'Food loss and waste (IDN)'!G45*'Emissions factors'!$D$120</f>
        <v>38.717082451395299</v>
      </c>
      <c r="H45" s="190">
        <f>'Food loss and waste (IDN)'!H45*'Emissions factors'!$D$120</f>
        <v>409.94800174333773</v>
      </c>
      <c r="I45" s="190">
        <f>'Food loss and waste (IDN)'!I45*'Emissions factors'!$D$120</f>
        <v>545.23084231863925</v>
      </c>
      <c r="J45" s="190">
        <f>'Food loss and waste (IDN)'!J45*'Emissions factors'!$D$120</f>
        <v>289.75124763219111</v>
      </c>
      <c r="K45" s="191">
        <f t="shared" si="1"/>
        <v>1803.5514797455633</v>
      </c>
      <c r="L45" s="190">
        <f t="shared" si="2"/>
        <v>0.51990430559999989</v>
      </c>
      <c r="M45" s="190">
        <f t="shared" si="2"/>
        <v>3.8717082451395296E-2</v>
      </c>
      <c r="N45" s="190">
        <f t="shared" si="2"/>
        <v>0.40994800174333773</v>
      </c>
      <c r="O45" s="190">
        <f t="shared" si="2"/>
        <v>0.54523084231863927</v>
      </c>
      <c r="P45" s="190">
        <f t="shared" si="2"/>
        <v>0.28975124763219112</v>
      </c>
      <c r="Q45" s="191">
        <f t="shared" si="3"/>
        <v>1.8035514797455634</v>
      </c>
    </row>
    <row r="46" spans="1:17" x14ac:dyDescent="0.35">
      <c r="A46" s="38">
        <v>2050</v>
      </c>
      <c r="B46" s="38">
        <v>2050</v>
      </c>
      <c r="C46" s="38" t="s">
        <v>409</v>
      </c>
      <c r="D46" s="38" t="s">
        <v>698</v>
      </c>
      <c r="E46" s="38" t="s">
        <v>252</v>
      </c>
      <c r="F46" s="190">
        <f>'Food loss and waste (IDN)'!F46*'Emissions factors'!$D$121</f>
        <v>955.04657039999984</v>
      </c>
      <c r="G46" s="190">
        <f>'Food loss and waste (IDN)'!G46*'Emissions factors'!$D$121</f>
        <v>70.315784077956806</v>
      </c>
      <c r="H46" s="190">
        <f>'Food loss and waste (IDN)'!H46*'Emissions factors'!$D$121</f>
        <v>744.52446694457888</v>
      </c>
      <c r="I46" s="190">
        <f>'Food loss and waste (IDN)'!I46*'Emissions factors'!$D$121</f>
        <v>990.21754103629007</v>
      </c>
      <c r="J46" s="190">
        <f>'Food loss and waste (IDN)'!J46*'Emissions factors'!$D$121</f>
        <v>526.22989323642844</v>
      </c>
      <c r="K46" s="191">
        <f t="shared" si="1"/>
        <v>3286.3342556952539</v>
      </c>
      <c r="L46" s="190">
        <f t="shared" si="2"/>
        <v>0.95504657039999985</v>
      </c>
      <c r="M46" s="190">
        <f t="shared" si="2"/>
        <v>7.03157840779568E-2</v>
      </c>
      <c r="N46" s="190">
        <f t="shared" si="2"/>
        <v>0.74452446694457886</v>
      </c>
      <c r="O46" s="190">
        <f t="shared" si="2"/>
        <v>0.99021754103629012</v>
      </c>
      <c r="P46" s="190">
        <f t="shared" si="2"/>
        <v>0.52622989323642844</v>
      </c>
      <c r="Q46" s="191">
        <f t="shared" si="3"/>
        <v>3.2863342556952544</v>
      </c>
    </row>
    <row r="47" spans="1:17" x14ac:dyDescent="0.35">
      <c r="A47" s="38">
        <v>2050</v>
      </c>
      <c r="B47" s="38">
        <v>2050</v>
      </c>
      <c r="C47" s="38" t="s">
        <v>409</v>
      </c>
      <c r="D47" s="38" t="s">
        <v>701</v>
      </c>
      <c r="E47" s="38" t="s">
        <v>702</v>
      </c>
      <c r="F47" s="190">
        <f>'Food loss and waste (IDN)'!F47*'Emissions factors'!$D$122</f>
        <v>2231.3345182505273</v>
      </c>
      <c r="G47" s="190">
        <f>'Food loss and waste (IDN)'!G47*'Emissions factors'!$D$122</f>
        <v>1858.1810834814901</v>
      </c>
      <c r="H47" s="190">
        <f>'Food loss and waste (IDN)'!H47*'Emissions factors'!$D$122</f>
        <v>23.842802090536356</v>
      </c>
      <c r="I47" s="190">
        <f>'Food loss and waste (IDN)'!I47*'Emissions factors'!$D$122</f>
        <v>714.56877865337447</v>
      </c>
      <c r="J47" s="190">
        <f>'Food loss and waste (IDN)'!J47*'Emissions factors'!$D$122</f>
        <v>462.08781019584882</v>
      </c>
      <c r="K47" s="191">
        <f t="shared" si="1"/>
        <v>5290.0149926717768</v>
      </c>
      <c r="L47" s="190">
        <f t="shared" si="2"/>
        <v>2.2313345182505273</v>
      </c>
      <c r="M47" s="190">
        <f t="shared" si="2"/>
        <v>1.85818108348149</v>
      </c>
      <c r="N47" s="190">
        <f t="shared" si="2"/>
        <v>2.3842802090536356E-2</v>
      </c>
      <c r="O47" s="190">
        <f t="shared" si="2"/>
        <v>0.71456877865337443</v>
      </c>
      <c r="P47" s="190">
        <f t="shared" si="2"/>
        <v>0.46208781019584882</v>
      </c>
      <c r="Q47" s="191">
        <f t="shared" si="3"/>
        <v>5.290014992671777</v>
      </c>
    </row>
    <row r="48" spans="1:17" x14ac:dyDescent="0.35">
      <c r="A48" s="38">
        <v>2050</v>
      </c>
      <c r="B48" s="38">
        <v>2050</v>
      </c>
      <c r="C48" s="38" t="s">
        <v>409</v>
      </c>
      <c r="D48" s="38" t="s">
        <v>701</v>
      </c>
      <c r="E48" s="38" t="s">
        <v>703</v>
      </c>
      <c r="F48" s="190">
        <f>'Food loss and waste (IDN)'!F48*'Emissions factors'!$D$123</f>
        <v>117.42463248843741</v>
      </c>
      <c r="G48" s="190">
        <f>'Food loss and waste (IDN)'!G48*'Emissions factors'!$D$123</f>
        <v>905.48386135137196</v>
      </c>
      <c r="H48" s="190">
        <f>'Food loss and waste (IDN)'!H48*'Emissions factors'!$D$123</f>
        <v>368.84923788039657</v>
      </c>
      <c r="I48" s="190">
        <f>'Food loss and waste (IDN)'!I48*'Emissions factors'!$D$123</f>
        <v>1807.3612656139433</v>
      </c>
      <c r="J48" s="190">
        <f>'Food loss and waste (IDN)'!J48*'Emissions factors'!$D$123</f>
        <v>162.66251390525488</v>
      </c>
      <c r="K48" s="191">
        <f t="shared" si="1"/>
        <v>3361.7815112394037</v>
      </c>
      <c r="L48" s="190">
        <f t="shared" si="2"/>
        <v>0.11742463248843742</v>
      </c>
      <c r="M48" s="190">
        <f t="shared" si="2"/>
        <v>0.90548386135137193</v>
      </c>
      <c r="N48" s="190">
        <f t="shared" si="2"/>
        <v>0.36884923788039659</v>
      </c>
      <c r="O48" s="190">
        <f t="shared" si="2"/>
        <v>1.8073612656139433</v>
      </c>
      <c r="P48" s="190">
        <f t="shared" si="2"/>
        <v>0.16266251390525488</v>
      </c>
      <c r="Q48" s="191">
        <f t="shared" si="3"/>
        <v>3.3617815112394038</v>
      </c>
    </row>
    <row r="49" spans="1:17" x14ac:dyDescent="0.35">
      <c r="A49" s="38">
        <v>2050</v>
      </c>
      <c r="B49" s="38">
        <v>2050</v>
      </c>
      <c r="C49" s="38" t="s">
        <v>409</v>
      </c>
      <c r="D49" s="38" t="s">
        <v>704</v>
      </c>
      <c r="E49" s="38" t="s">
        <v>705</v>
      </c>
      <c r="F49" s="190">
        <f>'Food loss and waste (IDN)'!F49*'Emissions factors'!$D$124</f>
        <v>25.376694475999997</v>
      </c>
      <c r="G49" s="190">
        <f>'Food loss and waste (IDN)'!G49*'Emissions factors'!$D$124</f>
        <v>11.650718307816</v>
      </c>
      <c r="H49" s="190">
        <f>'Food loss and waste (IDN)'!H49*'Emissions factors'!$D$124</f>
        <v>26.481397377294719</v>
      </c>
      <c r="I49" s="190">
        <f>'Food loss and waste (IDN)'!I49*'Emissions factors'!$D$124</f>
        <v>6.0907213967777851</v>
      </c>
      <c r="J49" s="190">
        <f>'Food loss and waste (IDN)'!J49*'Emissions factors'!$D$124</f>
        <v>2.9844534844211146</v>
      </c>
      <c r="K49" s="191">
        <f t="shared" si="1"/>
        <v>72.583985042309607</v>
      </c>
      <c r="L49" s="190">
        <f t="shared" si="2"/>
        <v>2.5376694475999998E-2</v>
      </c>
      <c r="M49" s="190">
        <f t="shared" si="2"/>
        <v>1.1650718307815999E-2</v>
      </c>
      <c r="N49" s="190">
        <f t="shared" si="2"/>
        <v>2.648139737729472E-2</v>
      </c>
      <c r="O49" s="190">
        <f t="shared" si="2"/>
        <v>6.0907213967777854E-3</v>
      </c>
      <c r="P49" s="190">
        <f t="shared" si="2"/>
        <v>2.9844534844211145E-3</v>
      </c>
      <c r="Q49" s="191">
        <f t="shared" si="3"/>
        <v>7.2583985042309604E-2</v>
      </c>
    </row>
    <row r="50" spans="1:17" x14ac:dyDescent="0.35">
      <c r="A50" s="38">
        <v>2050</v>
      </c>
      <c r="B50" s="38">
        <v>2050</v>
      </c>
      <c r="C50" s="38" t="s">
        <v>409</v>
      </c>
      <c r="D50" s="38" t="s">
        <v>704</v>
      </c>
      <c r="E50" s="38" t="s">
        <v>706</v>
      </c>
      <c r="F50" s="190">
        <f>'Food loss and waste (IDN)'!F50*'Emissions factors'!$D$125</f>
        <v>5.5194536727272734</v>
      </c>
      <c r="G50" s="190">
        <f>'Food loss and waste (IDN)'!G50*'Emissions factors'!$D$125</f>
        <v>14.557164815127274</v>
      </c>
      <c r="H50" s="190">
        <f>'Food loss and waste (IDN)'!H50*'Emissions factors'!$D$125</f>
        <v>33.087579320971635</v>
      </c>
      <c r="I50" s="190">
        <f>'Food loss and waste (IDN)'!I50*'Emissions factors'!$D$125</f>
        <v>7.6101432438234768</v>
      </c>
      <c r="J50" s="190">
        <f>'Food loss and waste (IDN)'!J50*'Emissions factors'!$D$125</f>
        <v>3.7289701894735034</v>
      </c>
      <c r="K50" s="191">
        <f t="shared" si="1"/>
        <v>64.503311242123161</v>
      </c>
      <c r="L50" s="190">
        <f t="shared" si="2"/>
        <v>5.5194536727272737E-3</v>
      </c>
      <c r="M50" s="190">
        <f t="shared" si="2"/>
        <v>1.4557164815127274E-2</v>
      </c>
      <c r="N50" s="190">
        <f t="shared" si="2"/>
        <v>3.3087579320971637E-2</v>
      </c>
      <c r="O50" s="190">
        <f t="shared" si="2"/>
        <v>7.6101432438234768E-3</v>
      </c>
      <c r="P50" s="190">
        <f t="shared" si="2"/>
        <v>3.7289701894735036E-3</v>
      </c>
      <c r="Q50" s="191">
        <f t="shared" si="3"/>
        <v>6.4503311242123162E-2</v>
      </c>
    </row>
    <row r="51" spans="1:17" x14ac:dyDescent="0.35">
      <c r="A51" s="38">
        <v>2050</v>
      </c>
      <c r="B51" s="38">
        <v>2050</v>
      </c>
      <c r="C51" s="38" t="s">
        <v>409</v>
      </c>
      <c r="D51" s="38" t="s">
        <v>707</v>
      </c>
      <c r="E51" s="38" t="s">
        <v>708</v>
      </c>
      <c r="F51" s="190">
        <f>'Food loss and waste (IDN)'!F51*'Emissions factors'!$D$126</f>
        <v>39.042793299259259</v>
      </c>
      <c r="G51" s="190">
        <f>'Food loss and waste (IDN)'!G51*'Emissions factors'!$D$126</f>
        <v>46.786441760947653</v>
      </c>
      <c r="H51" s="190">
        <f>'Food loss and waste (IDN)'!H51*'Emissions factors'!$D$126</f>
        <v>33.955907236743933</v>
      </c>
      <c r="I51" s="190">
        <f>'Food loss and waste (IDN)'!I51*'Emissions factors'!$D$126</f>
        <v>32.944021201088951</v>
      </c>
      <c r="J51" s="190">
        <f>'Food loss and waste (IDN)'!J51*'Emissions factors'!$D$126</f>
        <v>10.579174784468728</v>
      </c>
      <c r="K51" s="191">
        <f t="shared" si="1"/>
        <v>163.30833828250854</v>
      </c>
      <c r="L51" s="190">
        <f t="shared" si="2"/>
        <v>3.9042793299259256E-2</v>
      </c>
      <c r="M51" s="190">
        <f t="shared" si="2"/>
        <v>4.678644176094765E-2</v>
      </c>
      <c r="N51" s="190">
        <f t="shared" si="2"/>
        <v>3.395590723674393E-2</v>
      </c>
      <c r="O51" s="190">
        <f t="shared" si="2"/>
        <v>3.2944021201088948E-2</v>
      </c>
      <c r="P51" s="190">
        <f t="shared" si="2"/>
        <v>1.0579174784468728E-2</v>
      </c>
      <c r="Q51" s="191">
        <f t="shared" si="3"/>
        <v>0.16330833828250851</v>
      </c>
    </row>
    <row r="52" spans="1:17" x14ac:dyDescent="0.35">
      <c r="Q52" s="190"/>
    </row>
    <row r="54" spans="1:17" x14ac:dyDescent="0.35">
      <c r="O54" s="190" t="s">
        <v>709</v>
      </c>
      <c r="P54" s="190">
        <f>SUM(Q2:Q26)</f>
        <v>75.415549980162339</v>
      </c>
    </row>
    <row r="55" spans="1:17" x14ac:dyDescent="0.35">
      <c r="O55" s="190" t="s">
        <v>710</v>
      </c>
      <c r="P55" s="190">
        <f>SUM(Q27:Q51)</f>
        <v>97.451519417546109</v>
      </c>
    </row>
  </sheetData>
  <autoFilter ref="A1:K52" xr:uid="{00000000-0009-0000-0000-000005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2954C-B7E3-429E-81F1-A948CEF61747}">
  <sheetPr>
    <tabColor theme="6" tint="0.39997558519241921"/>
  </sheetPr>
  <dimension ref="A1:Q54"/>
  <sheetViews>
    <sheetView zoomScale="54" zoomScaleNormal="30" workbookViewId="0"/>
  </sheetViews>
  <sheetFormatPr defaultColWidth="8.7265625" defaultRowHeight="14.5" x14ac:dyDescent="0.35"/>
  <cols>
    <col min="1" max="1" width="17.26953125" style="38" bestFit="1" customWidth="1"/>
    <col min="2" max="2" width="5.26953125" style="38" bestFit="1" customWidth="1"/>
    <col min="3" max="3" width="9.54296875" style="38" bestFit="1" customWidth="1"/>
    <col min="4" max="4" width="19" style="38" bestFit="1" customWidth="1"/>
    <col min="5" max="5" width="22.7265625" style="38" bestFit="1" customWidth="1"/>
    <col min="6" max="6" width="10.1796875" style="190" bestFit="1" customWidth="1"/>
    <col min="7" max="7" width="12.26953125" style="190" bestFit="1" customWidth="1"/>
    <col min="8" max="8" width="14.81640625" style="190" bestFit="1" customWidth="1"/>
    <col min="9" max="10" width="12.26953125" style="190" bestFit="1" customWidth="1"/>
    <col min="11" max="11" width="24.7265625" style="191" bestFit="1" customWidth="1"/>
    <col min="12" max="16" width="15.1796875" style="191" bestFit="1" customWidth="1"/>
    <col min="17" max="17" width="10.81640625" style="191" bestFit="1" customWidth="1"/>
  </cols>
  <sheetData>
    <row r="1" spans="1:17" ht="15.5" x14ac:dyDescent="0.35">
      <c r="A1" s="200" t="s">
        <v>56</v>
      </c>
      <c r="B1" s="200" t="s">
        <v>6</v>
      </c>
      <c r="C1" s="200" t="s">
        <v>671</v>
      </c>
      <c r="D1" s="200" t="s">
        <v>672</v>
      </c>
      <c r="E1" s="200" t="s">
        <v>673</v>
      </c>
      <c r="F1" s="201" t="s">
        <v>711</v>
      </c>
      <c r="G1" s="201" t="s">
        <v>712</v>
      </c>
      <c r="H1" s="201" t="s">
        <v>713</v>
      </c>
      <c r="I1" s="201" t="s">
        <v>714</v>
      </c>
      <c r="J1" s="201" t="s">
        <v>715</v>
      </c>
      <c r="K1" s="202" t="s">
        <v>679</v>
      </c>
      <c r="L1" s="201" t="s">
        <v>716</v>
      </c>
      <c r="M1" s="201" t="s">
        <v>717</v>
      </c>
      <c r="N1" s="201" t="s">
        <v>718</v>
      </c>
      <c r="O1" s="201" t="s">
        <v>719</v>
      </c>
      <c r="P1" s="201" t="s">
        <v>720</v>
      </c>
      <c r="Q1" s="202" t="s">
        <v>721</v>
      </c>
    </row>
    <row r="2" spans="1:17" x14ac:dyDescent="0.35">
      <c r="A2" s="38">
        <v>2020</v>
      </c>
      <c r="B2" s="38">
        <v>2020</v>
      </c>
      <c r="C2" s="38" t="s">
        <v>409</v>
      </c>
      <c r="D2" s="38" t="s">
        <v>686</v>
      </c>
      <c r="E2" s="38" t="s">
        <v>480</v>
      </c>
      <c r="F2" s="190">
        <f>'FSC data (IDN)'!O2*('Loss factors'!$E$68/100)</f>
        <v>0</v>
      </c>
      <c r="G2" s="190">
        <f>'FSC data (IDN)'!P2*('Loss factors'!$F$68/100)</f>
        <v>10.807600000000001</v>
      </c>
      <c r="H2" s="190">
        <f>'FSC data (IDN)'!Q2*('Loss factors'!$G$68/100)</f>
        <v>10.723468</v>
      </c>
      <c r="I2" s="190">
        <f>'FSC data (IDN)'!R2*('Loss factors'!$H$68/100)</f>
        <v>4.2455741735999997</v>
      </c>
      <c r="J2" s="190">
        <f>'FSC data (IDN)'!S2*('Loss factors'!$I$68/100)</f>
        <v>4.1467007347919997</v>
      </c>
      <c r="K2" s="191">
        <f>SUM(F2:J2)</f>
        <v>29.923342908392002</v>
      </c>
      <c r="L2" s="191">
        <f>F2/1000</f>
        <v>0</v>
      </c>
      <c r="M2" s="191">
        <f>G2/1000</f>
        <v>1.0807600000000001E-2</v>
      </c>
      <c r="N2" s="191">
        <f>H2/1000</f>
        <v>1.0723468E-2</v>
      </c>
      <c r="O2" s="191">
        <f>I2/1000</f>
        <v>4.2455741736E-3</v>
      </c>
      <c r="P2" s="191">
        <f>J2/1000</f>
        <v>4.1467007347919995E-3</v>
      </c>
      <c r="Q2" s="191">
        <f>SUM(L2:P2)</f>
        <v>2.9923342908391999E-2</v>
      </c>
    </row>
    <row r="3" spans="1:17" x14ac:dyDescent="0.35">
      <c r="A3" s="38">
        <v>2020</v>
      </c>
      <c r="B3" s="38">
        <v>2020</v>
      </c>
      <c r="C3" s="38" t="s">
        <v>409</v>
      </c>
      <c r="D3" s="38" t="s">
        <v>686</v>
      </c>
      <c r="E3" s="38" t="s">
        <v>687</v>
      </c>
      <c r="F3" s="190">
        <f>'FSC data (IDN)'!O3*('Loss factors'!$E$68/100)</f>
        <v>66.992063437338345</v>
      </c>
      <c r="G3" s="190">
        <f>'FSC data (IDN)'!P3*('Loss factors'!$F$68/100)</f>
        <v>71.238423019479356</v>
      </c>
      <c r="H3" s="190">
        <f>'FSC data (IDN)'!Q3*('Loss factors'!$G$68/100)</f>
        <v>70.683865948022714</v>
      </c>
      <c r="I3" s="190">
        <f>'FSC data (IDN)'!R3*('Loss factors'!$H$68/100)</f>
        <v>27.984752298335735</v>
      </c>
      <c r="J3" s="190">
        <f>'FSC data (IDN)'!S3*('Loss factors'!$I$68/100)</f>
        <v>27.333026858904695</v>
      </c>
      <c r="K3" s="191">
        <f t="shared" ref="K3:K51" si="0">SUM(F3:J3)</f>
        <v>264.23213156208084</v>
      </c>
      <c r="L3" s="191">
        <f t="shared" ref="L3:P51" si="1">F3/1000</f>
        <v>6.6992063437338351E-2</v>
      </c>
      <c r="M3" s="191">
        <f t="shared" si="1"/>
        <v>7.1238423019479358E-2</v>
      </c>
      <c r="N3" s="191">
        <f t="shared" si="1"/>
        <v>7.0683865948022714E-2</v>
      </c>
      <c r="O3" s="191">
        <f t="shared" si="1"/>
        <v>2.7984752298335736E-2</v>
      </c>
      <c r="P3" s="191">
        <f t="shared" si="1"/>
        <v>2.7333026858904694E-2</v>
      </c>
      <c r="Q3" s="191">
        <f t="shared" ref="Q3:Q51" si="2">SUM(L3:P3)</f>
        <v>0.26423213156208086</v>
      </c>
    </row>
    <row r="4" spans="1:17" x14ac:dyDescent="0.35">
      <c r="A4" s="38">
        <v>2020</v>
      </c>
      <c r="B4" s="38">
        <v>2020</v>
      </c>
      <c r="C4" s="38" t="s">
        <v>409</v>
      </c>
      <c r="D4" s="38" t="s">
        <v>686</v>
      </c>
      <c r="E4" s="38" t="s">
        <v>508</v>
      </c>
      <c r="F4" s="190">
        <f>'FSC data (IDN)'!O4*('Loss factors'!$E$68/100)</f>
        <v>0</v>
      </c>
      <c r="G4" s="190">
        <f>'FSC data (IDN)'!P4*('Loss factors'!$F$68/100)</f>
        <v>1.5157000000000003</v>
      </c>
      <c r="H4" s="190">
        <f>'FSC data (IDN)'!Q4*('Loss factors'!$G$68/100)</f>
        <v>1.5039010000000004</v>
      </c>
      <c r="I4" s="190">
        <f>'FSC data (IDN)'!R4*('Loss factors'!$H$68/100)</f>
        <v>0.59541589020000019</v>
      </c>
      <c r="J4" s="190">
        <f>'FSC data (IDN)'!S4*('Loss factors'!$I$68/100)</f>
        <v>0.58154949329400007</v>
      </c>
      <c r="K4" s="191">
        <f t="shared" si="0"/>
        <v>4.1965663834940008</v>
      </c>
      <c r="L4" s="191">
        <f t="shared" si="1"/>
        <v>0</v>
      </c>
      <c r="M4" s="191">
        <f t="shared" si="1"/>
        <v>1.5157000000000003E-3</v>
      </c>
      <c r="N4" s="191">
        <f t="shared" si="1"/>
        <v>1.5039010000000004E-3</v>
      </c>
      <c r="O4" s="191">
        <f t="shared" si="1"/>
        <v>5.9541589020000016E-4</v>
      </c>
      <c r="P4" s="191">
        <f t="shared" si="1"/>
        <v>5.8154949329400005E-4</v>
      </c>
      <c r="Q4" s="191">
        <f t="shared" si="2"/>
        <v>4.196566383494001E-3</v>
      </c>
    </row>
    <row r="5" spans="1:17" x14ac:dyDescent="0.35">
      <c r="A5" s="38">
        <v>2020</v>
      </c>
      <c r="B5" s="38">
        <v>2020</v>
      </c>
      <c r="C5" s="38" t="s">
        <v>409</v>
      </c>
      <c r="D5" s="38" t="s">
        <v>686</v>
      </c>
      <c r="E5" s="38" t="s">
        <v>688</v>
      </c>
      <c r="F5" s="190">
        <f>'FSC data (IDN)'!O5*('Loss factors'!$E$68/100)</f>
        <v>0</v>
      </c>
      <c r="G5" s="190">
        <f>'FSC data (IDN)'!P5*('Loss factors'!$F$68/100)</f>
        <v>1.1203000000000001</v>
      </c>
      <c r="H5" s="190">
        <f>'FSC data (IDN)'!Q5*('Loss factors'!$G$68/100)</f>
        <v>1.1115790000000001</v>
      </c>
      <c r="I5" s="190">
        <f>'FSC data (IDN)'!R5*('Loss factors'!$H$68/100)</f>
        <v>0.44009000579999996</v>
      </c>
      <c r="J5" s="190">
        <f>'FSC data (IDN)'!S5*('Loss factors'!$I$68/100)</f>
        <v>0.42984092982599997</v>
      </c>
      <c r="K5" s="191">
        <f t="shared" si="0"/>
        <v>3.101809935626</v>
      </c>
      <c r="L5" s="191">
        <f t="shared" si="1"/>
        <v>0</v>
      </c>
      <c r="M5" s="191">
        <f t="shared" si="1"/>
        <v>1.1203000000000001E-3</v>
      </c>
      <c r="N5" s="191">
        <f t="shared" si="1"/>
        <v>1.1115790000000001E-3</v>
      </c>
      <c r="O5" s="191">
        <f t="shared" si="1"/>
        <v>4.4009000579999994E-4</v>
      </c>
      <c r="P5" s="191">
        <f t="shared" si="1"/>
        <v>4.2984092982599996E-4</v>
      </c>
      <c r="Q5" s="191">
        <f t="shared" si="2"/>
        <v>3.1018099356259999E-3</v>
      </c>
    </row>
    <row r="6" spans="1:17" x14ac:dyDescent="0.35">
      <c r="A6" s="38">
        <v>2020</v>
      </c>
      <c r="B6" s="38">
        <v>2020</v>
      </c>
      <c r="C6" s="38" t="s">
        <v>409</v>
      </c>
      <c r="D6" s="38" t="s">
        <v>686</v>
      </c>
      <c r="E6" s="38" t="s">
        <v>512</v>
      </c>
      <c r="F6" s="190">
        <f>'FSC data (IDN)'!O6*('Loss factors'!$E$68/100)</f>
        <v>1.9999999999999993E-2</v>
      </c>
      <c r="G6" s="190">
        <f>'FSC data (IDN)'!P6*('Loss factors'!$F$68/100)</f>
        <v>6.4581999999999987E-2</v>
      </c>
      <c r="H6" s="190">
        <f>'FSC data (IDN)'!Q6*('Loss factors'!$G$68/100)</f>
        <v>6.4079259999999985E-2</v>
      </c>
      <c r="I6" s="190">
        <f>'FSC data (IDN)'!R6*('Loss factors'!$H$68/100)</f>
        <v>2.5369894451999993E-2</v>
      </c>
      <c r="J6" s="190">
        <f>'FSC data (IDN)'!S6*('Loss factors'!$I$68/100)</f>
        <v>2.4779065366439992E-2</v>
      </c>
      <c r="K6" s="191">
        <f t="shared" si="0"/>
        <v>0.19881021981843994</v>
      </c>
      <c r="L6" s="191">
        <f t="shared" si="1"/>
        <v>1.9999999999999995E-5</v>
      </c>
      <c r="M6" s="191">
        <f t="shared" si="1"/>
        <v>6.4581999999999986E-5</v>
      </c>
      <c r="N6" s="191">
        <f t="shared" si="1"/>
        <v>6.4079259999999985E-5</v>
      </c>
      <c r="O6" s="191">
        <f t="shared" si="1"/>
        <v>2.5369894451999992E-5</v>
      </c>
      <c r="P6" s="191">
        <f t="shared" si="1"/>
        <v>2.4779065366439991E-5</v>
      </c>
      <c r="Q6" s="191">
        <f t="shared" si="2"/>
        <v>1.9881021981843993E-4</v>
      </c>
    </row>
    <row r="7" spans="1:17" x14ac:dyDescent="0.35">
      <c r="A7" s="38">
        <v>2020</v>
      </c>
      <c r="B7" s="38">
        <v>2020</v>
      </c>
      <c r="C7" s="38" t="s">
        <v>409</v>
      </c>
      <c r="D7" s="38" t="s">
        <v>686</v>
      </c>
      <c r="E7" s="38" t="s">
        <v>689</v>
      </c>
      <c r="F7" s="190">
        <f>'FSC data (IDN)'!O7*('Loss factors'!$E$68/100)</f>
        <v>3155.9682626821746</v>
      </c>
      <c r="G7" s="190">
        <f>'FSC data (IDN)'!P7*('Loss factors'!$F$68/100)</f>
        <v>3413.0289914892446</v>
      </c>
      <c r="H7" s="190">
        <f>'FSC data (IDN)'!Q7*('Loss factors'!$G$68/100)</f>
        <v>3386.460192208001</v>
      </c>
      <c r="I7" s="190">
        <f>'FSC data (IDN)'!R7*('Loss factors'!$H$68/100)</f>
        <v>1340.7479680978934</v>
      </c>
      <c r="J7" s="190">
        <f>'FSC data (IDN)'!S7*('Loss factors'!$I$68/100)</f>
        <v>1309.5238375656807</v>
      </c>
      <c r="K7" s="191">
        <f t="shared" si="0"/>
        <v>12605.729252042995</v>
      </c>
      <c r="L7" s="191">
        <f t="shared" si="1"/>
        <v>3.1559682626821743</v>
      </c>
      <c r="M7" s="191">
        <f t="shared" si="1"/>
        <v>3.4130289914892447</v>
      </c>
      <c r="N7" s="191">
        <f t="shared" si="1"/>
        <v>3.3864601922080011</v>
      </c>
      <c r="O7" s="191">
        <f t="shared" si="1"/>
        <v>1.3407479680978933</v>
      </c>
      <c r="P7" s="191">
        <f t="shared" si="1"/>
        <v>1.3095238375656806</v>
      </c>
      <c r="Q7" s="191">
        <f t="shared" si="2"/>
        <v>12.605729252042995</v>
      </c>
    </row>
    <row r="8" spans="1:17" x14ac:dyDescent="0.35">
      <c r="A8" s="38">
        <v>2020</v>
      </c>
      <c r="B8" s="38">
        <v>2020</v>
      </c>
      <c r="C8" s="38" t="s">
        <v>409</v>
      </c>
      <c r="D8" s="38" t="s">
        <v>686</v>
      </c>
      <c r="E8" s="38" t="s">
        <v>690</v>
      </c>
      <c r="F8" s="191" t="s">
        <v>142</v>
      </c>
      <c r="G8" s="191" t="s">
        <v>142</v>
      </c>
      <c r="H8" s="191" t="s">
        <v>142</v>
      </c>
      <c r="I8" s="191" t="s">
        <v>142</v>
      </c>
      <c r="J8" s="191" t="s">
        <v>142</v>
      </c>
      <c r="K8" s="191" t="s">
        <v>142</v>
      </c>
      <c r="L8" s="191" t="s">
        <v>142</v>
      </c>
      <c r="M8" s="191" t="s">
        <v>142</v>
      </c>
      <c r="N8" s="191" t="s">
        <v>142</v>
      </c>
      <c r="O8" s="191" t="s">
        <v>142</v>
      </c>
      <c r="P8" s="191" t="s">
        <v>142</v>
      </c>
      <c r="Q8" s="191" t="s">
        <v>142</v>
      </c>
    </row>
    <row r="9" spans="1:17" x14ac:dyDescent="0.35">
      <c r="A9" s="38">
        <v>2020</v>
      </c>
      <c r="B9" s="38">
        <v>2020</v>
      </c>
      <c r="C9" s="38" t="s">
        <v>409</v>
      </c>
      <c r="D9" s="38" t="s">
        <v>686</v>
      </c>
      <c r="E9" s="38" t="s">
        <v>532</v>
      </c>
      <c r="F9" s="191" t="s">
        <v>142</v>
      </c>
      <c r="G9" s="191" t="s">
        <v>142</v>
      </c>
      <c r="H9" s="191" t="s">
        <v>142</v>
      </c>
      <c r="I9" s="191" t="s">
        <v>142</v>
      </c>
      <c r="J9" s="191" t="s">
        <v>142</v>
      </c>
      <c r="K9" s="191" t="s">
        <v>142</v>
      </c>
      <c r="L9" s="191" t="s">
        <v>142</v>
      </c>
      <c r="M9" s="191" t="s">
        <v>142</v>
      </c>
      <c r="N9" s="191" t="s">
        <v>142</v>
      </c>
      <c r="O9" s="191" t="s">
        <v>142</v>
      </c>
      <c r="P9" s="191" t="s">
        <v>142</v>
      </c>
      <c r="Q9" s="191" t="s">
        <v>142</v>
      </c>
    </row>
    <row r="10" spans="1:17" x14ac:dyDescent="0.35">
      <c r="A10" s="38">
        <v>2020</v>
      </c>
      <c r="B10" s="38">
        <v>2020</v>
      </c>
      <c r="C10" s="38" t="s">
        <v>409</v>
      </c>
      <c r="D10" s="38" t="s">
        <v>686</v>
      </c>
      <c r="E10" s="38" t="s">
        <v>541</v>
      </c>
      <c r="F10" s="190">
        <f>'FSC data (IDN)'!O10*('Loss factors'!$E$68/100)</f>
        <v>0</v>
      </c>
      <c r="G10" s="190">
        <f>'FSC data (IDN)'!P10*('Loss factors'!$F$68/100)</f>
        <v>634.35456994184267</v>
      </c>
      <c r="H10" s="190">
        <f>'FSC data (IDN)'!Q10*('Loss factors'!$G$68/100)</f>
        <v>629.41642283440467</v>
      </c>
      <c r="I10" s="190">
        <f>'FSC data (IDN)'!R10*('Loss factors'!$H$68/100)</f>
        <v>249.19495346332411</v>
      </c>
      <c r="J10" s="190">
        <f>'FSC data (IDN)'!S10*('Loss factors'!$I$68/100)</f>
        <v>243.39155421152722</v>
      </c>
      <c r="K10" s="191">
        <f t="shared" si="0"/>
        <v>1756.3575004510985</v>
      </c>
      <c r="L10" s="191">
        <f t="shared" si="1"/>
        <v>0</v>
      </c>
      <c r="M10" s="191">
        <f t="shared" si="1"/>
        <v>0.63435456994184269</v>
      </c>
      <c r="N10" s="191">
        <f t="shared" si="1"/>
        <v>0.62941642283440469</v>
      </c>
      <c r="O10" s="191">
        <f t="shared" si="1"/>
        <v>0.2491949534633241</v>
      </c>
      <c r="P10" s="191">
        <f t="shared" si="1"/>
        <v>0.24339155421152722</v>
      </c>
      <c r="Q10" s="191">
        <f t="shared" si="2"/>
        <v>1.7563575004510987</v>
      </c>
    </row>
    <row r="11" spans="1:17" x14ac:dyDescent="0.35">
      <c r="A11" s="38">
        <v>2020</v>
      </c>
      <c r="B11" s="38">
        <v>2020</v>
      </c>
      <c r="C11" s="38" t="s">
        <v>409</v>
      </c>
      <c r="D11" s="38" t="s">
        <v>691</v>
      </c>
      <c r="E11" s="38" t="s">
        <v>692</v>
      </c>
      <c r="F11" s="190">
        <f>'FSC data (IDN)'!O11*('Loss factors'!$E$69/100)</f>
        <v>13.326300000000002</v>
      </c>
      <c r="G11" s="190">
        <f>'FSC data (IDN)'!P11*('Loss factors'!$F$69/100)</f>
        <v>13.785794189999999</v>
      </c>
      <c r="H11" s="190">
        <f>'FSC data (IDN)'!Q11*('Loss factors'!$G$69/100)</f>
        <v>31.471976452499998</v>
      </c>
      <c r="I11" s="190">
        <f>'FSC data (IDN)'!R11*('Loss factors'!$H$69/100)</f>
        <v>12.236304444732001</v>
      </c>
      <c r="J11" s="190">
        <f>'FSC data (IDN)'!S11*('Loss factors'!$I$69/100)</f>
        <v>14.923819884158668</v>
      </c>
      <c r="K11" s="191">
        <f t="shared" si="0"/>
        <v>85.744194971390669</v>
      </c>
      <c r="L11" s="191">
        <f>F11/1000</f>
        <v>1.3326300000000001E-2</v>
      </c>
      <c r="M11" s="191">
        <f t="shared" si="1"/>
        <v>1.3785794189999999E-2</v>
      </c>
      <c r="N11" s="191">
        <f t="shared" si="1"/>
        <v>3.1471976452500001E-2</v>
      </c>
      <c r="O11" s="191">
        <f t="shared" si="1"/>
        <v>1.2236304444732001E-2</v>
      </c>
      <c r="P11" s="191">
        <f t="shared" si="1"/>
        <v>1.4923819884158668E-2</v>
      </c>
      <c r="Q11" s="191">
        <f t="shared" si="2"/>
        <v>8.5744194971390672E-2</v>
      </c>
    </row>
    <row r="12" spans="1:17" x14ac:dyDescent="0.35">
      <c r="A12" s="38">
        <v>2020</v>
      </c>
      <c r="B12" s="38">
        <v>2020</v>
      </c>
      <c r="C12" s="38" t="s">
        <v>409</v>
      </c>
      <c r="D12" s="38" t="s">
        <v>691</v>
      </c>
      <c r="E12" s="38" t="s">
        <v>356</v>
      </c>
      <c r="F12" s="190">
        <f>'FSC data (IDN)'!O12*('Loss factors'!$E$69/100)</f>
        <v>712.73930000000007</v>
      </c>
      <c r="G12" s="190">
        <f>'FSC data (IDN)'!P12*('Loss factors'!$F$69/100)</f>
        <v>736.52513108999995</v>
      </c>
      <c r="H12" s="190">
        <f>'FSC data (IDN)'!Q12*('Loss factors'!$G$69/100)</f>
        <v>1681.4338922274999</v>
      </c>
      <c r="I12" s="190">
        <f>'FSC data (IDN)'!R12*('Loss factors'!$H$69/100)</f>
        <v>653.74149729805208</v>
      </c>
      <c r="J12" s="190">
        <f>'FSC data (IDN)'!S12*('Loss factors'!$I$69/100)</f>
        <v>797.32572857621562</v>
      </c>
      <c r="K12" s="191">
        <f t="shared" si="0"/>
        <v>4581.7655491917676</v>
      </c>
      <c r="L12" s="191">
        <f t="shared" si="1"/>
        <v>0.71273930000000008</v>
      </c>
      <c r="M12" s="191">
        <f t="shared" si="1"/>
        <v>0.73652513108999995</v>
      </c>
      <c r="N12" s="191">
        <f t="shared" si="1"/>
        <v>1.6814338922274998</v>
      </c>
      <c r="O12" s="191">
        <f t="shared" si="1"/>
        <v>0.65374149729805209</v>
      </c>
      <c r="P12" s="191">
        <f t="shared" si="1"/>
        <v>0.79732572857621564</v>
      </c>
      <c r="Q12" s="191">
        <f t="shared" si="2"/>
        <v>4.5817655491917675</v>
      </c>
    </row>
    <row r="13" spans="1:17" x14ac:dyDescent="0.35">
      <c r="A13" s="38">
        <v>2020</v>
      </c>
      <c r="B13" s="38">
        <v>2020</v>
      </c>
      <c r="C13" s="38" t="s">
        <v>409</v>
      </c>
      <c r="D13" s="38" t="s">
        <v>691</v>
      </c>
      <c r="E13" s="38" t="s">
        <v>693</v>
      </c>
      <c r="F13" s="190">
        <f>'FSC data (IDN)'!O13*('Loss factors'!$E$69/100)</f>
        <v>0.78390000000000004</v>
      </c>
      <c r="G13" s="190">
        <f>'FSC data (IDN)'!P13*('Loss factors'!$F$69/100)</f>
        <v>0.81092907000000003</v>
      </c>
      <c r="H13" s="190">
        <f>'FSC data (IDN)'!Q13*('Loss factors'!$G$69/100)</f>
        <v>1.8512927325000001</v>
      </c>
      <c r="I13" s="190">
        <f>'FSC data (IDN)'!R13*('Loss factors'!$H$69/100)</f>
        <v>0.71978261439600022</v>
      </c>
      <c r="J13" s="190">
        <f>'FSC data (IDN)'!S13*('Loss factors'!$I$69/100)</f>
        <v>0.87787175789168648</v>
      </c>
      <c r="K13" s="191">
        <f t="shared" si="0"/>
        <v>5.0437761747876868</v>
      </c>
      <c r="L13" s="191">
        <f t="shared" si="1"/>
        <v>7.8390000000000003E-4</v>
      </c>
      <c r="M13" s="191">
        <f t="shared" si="1"/>
        <v>8.1092906999999999E-4</v>
      </c>
      <c r="N13" s="191">
        <f t="shared" si="1"/>
        <v>1.8512927325000002E-3</v>
      </c>
      <c r="O13" s="191">
        <f t="shared" si="1"/>
        <v>7.197826143960002E-4</v>
      </c>
      <c r="P13" s="191">
        <f t="shared" si="1"/>
        <v>8.7787175789168649E-4</v>
      </c>
      <c r="Q13" s="191">
        <f t="shared" si="2"/>
        <v>5.0437761747876867E-3</v>
      </c>
    </row>
    <row r="14" spans="1:17" x14ac:dyDescent="0.35">
      <c r="A14" s="38">
        <v>2020</v>
      </c>
      <c r="B14" s="38">
        <v>2020</v>
      </c>
      <c r="C14" s="38" t="s">
        <v>409</v>
      </c>
      <c r="D14" s="38" t="s">
        <v>691</v>
      </c>
      <c r="E14" s="38" t="s">
        <v>694</v>
      </c>
      <c r="F14" s="190">
        <f>'FSC data (IDN)'!O14*('Loss factors'!$E$69/100)</f>
        <v>0</v>
      </c>
      <c r="G14" s="190">
        <f>'FSC data (IDN)'!P14*('Loss factors'!$F$69/100)</f>
        <v>9.1791</v>
      </c>
      <c r="H14" s="190">
        <f>'FSC data (IDN)'!Q14*('Loss factors'!$G$69/100)</f>
        <v>20.955224999999999</v>
      </c>
      <c r="I14" s="190">
        <f>'FSC data (IDN)'!R14*('Loss factors'!$H$69/100)</f>
        <v>8.1473914800000014</v>
      </c>
      <c r="J14" s="190">
        <f>'FSC data (IDN)'!S14*('Loss factors'!$I$69/100)</f>
        <v>9.9368402872320001</v>
      </c>
      <c r="K14" s="191">
        <f t="shared" si="0"/>
        <v>48.218556767232002</v>
      </c>
      <c r="L14" s="191">
        <f t="shared" si="1"/>
        <v>0</v>
      </c>
      <c r="M14" s="191">
        <f t="shared" si="1"/>
        <v>9.1791000000000008E-3</v>
      </c>
      <c r="N14" s="191">
        <f t="shared" si="1"/>
        <v>2.0955224999999997E-2</v>
      </c>
      <c r="O14" s="191">
        <f t="shared" si="1"/>
        <v>8.1473914800000019E-3</v>
      </c>
      <c r="P14" s="191">
        <f t="shared" si="1"/>
        <v>9.9368402872320009E-3</v>
      </c>
      <c r="Q14" s="191">
        <f t="shared" si="2"/>
        <v>4.8218556767231996E-2</v>
      </c>
    </row>
    <row r="15" spans="1:17" x14ac:dyDescent="0.35">
      <c r="A15" s="38">
        <v>2020</v>
      </c>
      <c r="B15" s="38">
        <v>2020</v>
      </c>
      <c r="C15" s="38" t="s">
        <v>409</v>
      </c>
      <c r="D15" s="38" t="s">
        <v>691</v>
      </c>
      <c r="E15" s="38" t="s">
        <v>514</v>
      </c>
      <c r="F15" s="190">
        <f>'FSC data (IDN)'!O15*('Loss factors'!$E$69/100)</f>
        <v>762.29920000000004</v>
      </c>
      <c r="G15" s="190">
        <f>'FSC data (IDN)'!P15*('Loss factors'!$F$69/100)</f>
        <v>807.23776895999981</v>
      </c>
      <c r="H15" s="190">
        <f>'FSC data (IDN)'!Q15*('Loss factors'!$G$69/100)</f>
        <v>1842.8657577599997</v>
      </c>
      <c r="I15" s="190">
        <f>'FSC data (IDN)'!R15*('Loss factors'!$H$69/100)</f>
        <v>716.50620661708797</v>
      </c>
      <c r="J15" s="190">
        <f>'FSC data (IDN)'!S15*('Loss factors'!$I$69/100)</f>
        <v>873.87573770598476</v>
      </c>
      <c r="K15" s="191">
        <f t="shared" si="0"/>
        <v>5002.7846710430722</v>
      </c>
      <c r="L15" s="191">
        <f t="shared" si="1"/>
        <v>0.76229920000000007</v>
      </c>
      <c r="M15" s="191">
        <f t="shared" si="1"/>
        <v>0.80723776895999977</v>
      </c>
      <c r="N15" s="191">
        <f t="shared" si="1"/>
        <v>1.8428657577599998</v>
      </c>
      <c r="O15" s="191">
        <f t="shared" si="1"/>
        <v>0.71650620661708797</v>
      </c>
      <c r="P15" s="191">
        <f t="shared" si="1"/>
        <v>0.87387573770598481</v>
      </c>
      <c r="Q15" s="191">
        <f t="shared" si="2"/>
        <v>5.0027846710430728</v>
      </c>
    </row>
    <row r="16" spans="1:17" x14ac:dyDescent="0.35">
      <c r="A16" s="38">
        <v>2020</v>
      </c>
      <c r="B16" s="38">
        <v>2020</v>
      </c>
      <c r="C16" s="38" t="s">
        <v>409</v>
      </c>
      <c r="D16" s="38" t="s">
        <v>691</v>
      </c>
      <c r="E16" s="38" t="s">
        <v>695</v>
      </c>
      <c r="F16" s="190">
        <f>'FSC data (IDN)'!O16*('Loss factors'!$E$69/100)</f>
        <v>919.86310000000014</v>
      </c>
      <c r="G16" s="190">
        <f>'FSC data (IDN)'!P16*('Loss factors'!$F$69/100)</f>
        <v>1007.24701203</v>
      </c>
      <c r="H16" s="190">
        <f>'FSC data (IDN)'!Q16*('Loss factors'!$G$69/100)</f>
        <v>2299.4724719924998</v>
      </c>
      <c r="I16" s="190">
        <f>'FSC data (IDN)'!R16*('Loss factors'!$H$69/100)</f>
        <v>894.03489711068403</v>
      </c>
      <c r="J16" s="190">
        <f>'FSC data (IDN)'!S16*('Loss factors'!$I$69/100)</f>
        <v>1090.3958654262137</v>
      </c>
      <c r="K16" s="191">
        <f t="shared" si="0"/>
        <v>6211.0133465593972</v>
      </c>
      <c r="L16" s="191">
        <f t="shared" si="1"/>
        <v>0.91986310000000016</v>
      </c>
      <c r="M16" s="191">
        <f t="shared" si="1"/>
        <v>1.0072470120299999</v>
      </c>
      <c r="N16" s="191">
        <f t="shared" si="1"/>
        <v>2.2994724719924999</v>
      </c>
      <c r="O16" s="191">
        <f t="shared" si="1"/>
        <v>0.89403489711068407</v>
      </c>
      <c r="P16" s="191">
        <f t="shared" si="1"/>
        <v>1.0903958654262138</v>
      </c>
      <c r="Q16" s="191">
        <f t="shared" si="2"/>
        <v>6.2110133465593975</v>
      </c>
    </row>
    <row r="17" spans="1:17" x14ac:dyDescent="0.35">
      <c r="A17" s="38">
        <v>2020</v>
      </c>
      <c r="B17" s="38">
        <v>2020</v>
      </c>
      <c r="C17" s="38" t="s">
        <v>409</v>
      </c>
      <c r="D17" s="38" t="s">
        <v>696</v>
      </c>
      <c r="E17" s="38" t="s">
        <v>697</v>
      </c>
      <c r="F17" s="190">
        <f>'FSC data (IDN)'!O17*('Loss factors'!$E$70/100)</f>
        <v>808.69152633647786</v>
      </c>
      <c r="G17" s="190">
        <f>'FSC data (IDN)'!P17*('Loss factors'!$F$70/100)</f>
        <v>2261.0504682420997</v>
      </c>
      <c r="H17" s="190">
        <f>'FSC data (IDN)'!Q17*('Loss factors'!$G$70/100)</f>
        <v>595.4632204879282</v>
      </c>
      <c r="I17" s="190">
        <f>'FSC data (IDN)'!R17*('Loss factors'!$H$70/100)</f>
        <v>742.36399698230025</v>
      </c>
      <c r="J17" s="190">
        <f>'FSC data (IDN)'!S17*('Loss factors'!$I$70/100)</f>
        <v>105.56861575902393</v>
      </c>
      <c r="K17" s="191">
        <f t="shared" si="0"/>
        <v>4513.1378278078291</v>
      </c>
      <c r="L17" s="191">
        <f t="shared" si="1"/>
        <v>0.80869152633647789</v>
      </c>
      <c r="M17" s="191">
        <f t="shared" si="1"/>
        <v>2.2610504682420998</v>
      </c>
      <c r="N17" s="191">
        <f t="shared" si="1"/>
        <v>0.59546322048792821</v>
      </c>
      <c r="O17" s="191">
        <f t="shared" si="1"/>
        <v>0.74236399698230027</v>
      </c>
      <c r="P17" s="191">
        <f t="shared" si="1"/>
        <v>0.10556861575902393</v>
      </c>
      <c r="Q17" s="191">
        <f t="shared" si="2"/>
        <v>4.5131378278078307</v>
      </c>
    </row>
    <row r="18" spans="1:17" x14ac:dyDescent="0.35">
      <c r="A18" s="38">
        <v>2020</v>
      </c>
      <c r="B18" s="38">
        <v>2020</v>
      </c>
      <c r="C18" s="38" t="s">
        <v>409</v>
      </c>
      <c r="D18" s="38" t="s">
        <v>698</v>
      </c>
      <c r="E18" s="38" t="s">
        <v>699</v>
      </c>
      <c r="F18" s="190">
        <f>'FSC data (IDN)'!O18*('Loss factors'!$E$71/100)</f>
        <v>47.2</v>
      </c>
      <c r="G18" s="190">
        <f>'FSC data (IDN)'!P18*('Loss factors'!$F$71/100)</f>
        <v>1.3666799999999999</v>
      </c>
      <c r="H18" s="190">
        <f>'FSC data (IDN)'!Q18*('Loss factors'!$G$71/100)</f>
        <v>32.471665999999999</v>
      </c>
      <c r="I18" s="190">
        <f>'FSC data (IDN)'!R18*('Loss factors'!$H$71/100)</f>
        <v>43.187315779999999</v>
      </c>
      <c r="J18" s="190">
        <f>'FSC data (IDN)'!S18*('Loss factors'!$I$71/100)</f>
        <v>22.950973528800002</v>
      </c>
      <c r="K18" s="191">
        <f t="shared" si="0"/>
        <v>147.1766353088</v>
      </c>
      <c r="L18" s="191">
        <f t="shared" si="1"/>
        <v>4.7200000000000006E-2</v>
      </c>
      <c r="M18" s="191">
        <f t="shared" si="1"/>
        <v>1.3666799999999999E-3</v>
      </c>
      <c r="N18" s="191">
        <f t="shared" si="1"/>
        <v>3.2471665999999996E-2</v>
      </c>
      <c r="O18" s="191">
        <f t="shared" si="1"/>
        <v>4.3187315779999999E-2</v>
      </c>
      <c r="P18" s="191">
        <f t="shared" si="1"/>
        <v>2.2950973528800003E-2</v>
      </c>
      <c r="Q18" s="191">
        <f t="shared" si="2"/>
        <v>0.14717663530880001</v>
      </c>
    </row>
    <row r="19" spans="1:17" x14ac:dyDescent="0.35">
      <c r="A19" s="38">
        <v>2020</v>
      </c>
      <c r="B19" s="38">
        <v>2020</v>
      </c>
      <c r="C19" s="38" t="s">
        <v>409</v>
      </c>
      <c r="D19" s="38" t="s">
        <v>698</v>
      </c>
      <c r="E19" s="38" t="s">
        <v>700</v>
      </c>
      <c r="F19" s="190">
        <f>'FSC data (IDN)'!O19*('Loss factors'!$E$72/100)</f>
        <v>11.600000000000001</v>
      </c>
      <c r="G19" s="190">
        <f>'FSC data (IDN)'!P19*('Loss factors'!$F$72/100)</f>
        <v>0.21080000000000002</v>
      </c>
      <c r="H19" s="190">
        <f>'FSC data (IDN)'!Q19*('Loss factors'!$G$72/100)</f>
        <v>5.2594600000000007</v>
      </c>
      <c r="I19" s="190">
        <f>'FSC data (IDN)'!R19*('Loss factors'!$H$72/100)</f>
        <v>6.9950818000000003</v>
      </c>
      <c r="J19" s="190">
        <f>'FSC data (IDN)'!S19*('Loss factors'!$I$72/100)</f>
        <v>3.7173863279999999</v>
      </c>
      <c r="K19" s="191">
        <f t="shared" si="0"/>
        <v>27.782728128000006</v>
      </c>
      <c r="L19" s="191">
        <f t="shared" si="1"/>
        <v>1.1600000000000001E-2</v>
      </c>
      <c r="M19" s="191">
        <f t="shared" si="1"/>
        <v>2.1080000000000003E-4</v>
      </c>
      <c r="N19" s="191">
        <f t="shared" si="1"/>
        <v>5.2594600000000005E-3</v>
      </c>
      <c r="O19" s="191">
        <f t="shared" si="1"/>
        <v>6.9950818000000005E-3</v>
      </c>
      <c r="P19" s="191">
        <f t="shared" si="1"/>
        <v>3.717386328E-3</v>
      </c>
      <c r="Q19" s="191">
        <f t="shared" si="2"/>
        <v>2.7782728128000006E-2</v>
      </c>
    </row>
    <row r="20" spans="1:17" x14ac:dyDescent="0.35">
      <c r="A20" s="38">
        <v>2020</v>
      </c>
      <c r="B20" s="38">
        <v>2020</v>
      </c>
      <c r="C20" s="38" t="s">
        <v>409</v>
      </c>
      <c r="D20" s="38" t="s">
        <v>698</v>
      </c>
      <c r="E20" s="38" t="s">
        <v>521</v>
      </c>
      <c r="F20" s="190">
        <f>'FSC data (IDN)'!O20*('Loss factors'!$E$73/100)</f>
        <v>16.86</v>
      </c>
      <c r="G20" s="190">
        <f>'FSC data (IDN)'!P20*('Loss factors'!$F$73/100)</f>
        <v>1.2555579999999997</v>
      </c>
      <c r="H20" s="190">
        <f>'FSC data (IDN)'!Q20*('Loss factors'!$G$73/100)</f>
        <v>13.294222099999999</v>
      </c>
      <c r="I20" s="190">
        <f>'FSC data (IDN)'!R20*('Loss factors'!$H$73/100)</f>
        <v>17.681315392999998</v>
      </c>
      <c r="J20" s="190">
        <f>'FSC data (IDN)'!S20*('Loss factors'!$I$73/100)</f>
        <v>9.396356180279998</v>
      </c>
      <c r="K20" s="191">
        <f t="shared" si="0"/>
        <v>58.487451673279992</v>
      </c>
      <c r="L20" s="191">
        <f t="shared" si="1"/>
        <v>1.686E-2</v>
      </c>
      <c r="M20" s="191">
        <f t="shared" si="1"/>
        <v>1.2555579999999997E-3</v>
      </c>
      <c r="N20" s="191">
        <f t="shared" si="1"/>
        <v>1.3294222099999999E-2</v>
      </c>
      <c r="O20" s="191">
        <f t="shared" si="1"/>
        <v>1.7681315393E-2</v>
      </c>
      <c r="P20" s="191">
        <f t="shared" si="1"/>
        <v>9.3963561802799973E-3</v>
      </c>
      <c r="Q20" s="191">
        <f t="shared" si="2"/>
        <v>5.8487451673279997E-2</v>
      </c>
    </row>
    <row r="21" spans="1:17" x14ac:dyDescent="0.35">
      <c r="A21" s="38">
        <v>2020</v>
      </c>
      <c r="B21" s="38">
        <v>2020</v>
      </c>
      <c r="C21" s="38" t="s">
        <v>409</v>
      </c>
      <c r="D21" s="38" t="s">
        <v>698</v>
      </c>
      <c r="E21" s="38" t="s">
        <v>252</v>
      </c>
      <c r="F21" s="190">
        <f>'FSC data (IDN)'!O21*('Loss factors'!$E$73/100)</f>
        <v>220.98</v>
      </c>
      <c r="G21" s="190">
        <f>'FSC data (IDN)'!P21*('Loss factors'!$F$73/100)</f>
        <v>16.266793999999997</v>
      </c>
      <c r="H21" s="190">
        <f>'FSC data (IDN)'!Q21*('Loss factors'!$G$73/100)</f>
        <v>172.23766030000002</v>
      </c>
      <c r="I21" s="190">
        <f>'FSC data (IDN)'!R21*('Loss factors'!$H$73/100)</f>
        <v>229.07608819900003</v>
      </c>
      <c r="J21" s="190">
        <f>'FSC data (IDN)'!S21*('Loss factors'!$I$73/100)</f>
        <v>121.73757830004001</v>
      </c>
      <c r="K21" s="191">
        <f t="shared" si="0"/>
        <v>760.29812079904013</v>
      </c>
      <c r="L21" s="191">
        <f t="shared" si="1"/>
        <v>0.22097999999999998</v>
      </c>
      <c r="M21" s="191">
        <f t="shared" si="1"/>
        <v>1.6266793999999998E-2</v>
      </c>
      <c r="N21" s="191">
        <f t="shared" si="1"/>
        <v>0.17223766030000001</v>
      </c>
      <c r="O21" s="191">
        <f t="shared" si="1"/>
        <v>0.22907608819900002</v>
      </c>
      <c r="P21" s="191">
        <f t="shared" si="1"/>
        <v>0.12173757830004002</v>
      </c>
      <c r="Q21" s="191">
        <f t="shared" si="2"/>
        <v>0.76029812079904013</v>
      </c>
    </row>
    <row r="22" spans="1:17" x14ac:dyDescent="0.35">
      <c r="A22" s="38">
        <v>2020</v>
      </c>
      <c r="B22" s="38">
        <v>2020</v>
      </c>
      <c r="C22" s="38" t="s">
        <v>409</v>
      </c>
      <c r="D22" s="38" t="s">
        <v>701</v>
      </c>
      <c r="E22" s="38" t="s">
        <v>702</v>
      </c>
      <c r="F22" s="190">
        <f>'FSC data (IDN)'!O22*('Loss factors'!$E$75/100)</f>
        <v>385.03902527732316</v>
      </c>
      <c r="G22" s="190">
        <f>'FSC data (IDN)'!P22*('Loss factors'!$F$75/100)</f>
        <v>320.64767847244957</v>
      </c>
      <c r="H22" s="190">
        <f>'FSC data (IDN)'!Q22*('Loss factors'!$G$75/100)</f>
        <v>4.114313296250228</v>
      </c>
      <c r="I22" s="190">
        <f>'FSC data (IDN)'!R22*('Loss factors'!$H$75/100)</f>
        <v>123.30596948861931</v>
      </c>
      <c r="J22" s="190">
        <f>'FSC data (IDN)'!S22*('Loss factors'!$I$75/100)</f>
        <v>79.737860269307163</v>
      </c>
      <c r="K22" s="191">
        <f t="shared" si="0"/>
        <v>912.84484680394939</v>
      </c>
      <c r="L22" s="191">
        <f t="shared" si="1"/>
        <v>0.38503902527732314</v>
      </c>
      <c r="M22" s="191">
        <f t="shared" si="1"/>
        <v>0.32064767847244957</v>
      </c>
      <c r="N22" s="191">
        <f t="shared" si="1"/>
        <v>4.114313296250228E-3</v>
      </c>
      <c r="O22" s="191">
        <f t="shared" si="1"/>
        <v>0.12330596948861931</v>
      </c>
      <c r="P22" s="191">
        <f t="shared" si="1"/>
        <v>7.9737860269307168E-2</v>
      </c>
      <c r="Q22" s="191">
        <f t="shared" si="2"/>
        <v>0.91284484680394939</v>
      </c>
    </row>
    <row r="23" spans="1:17" x14ac:dyDescent="0.35">
      <c r="A23" s="38">
        <v>2020</v>
      </c>
      <c r="B23" s="38">
        <v>2020</v>
      </c>
      <c r="C23" s="38" t="s">
        <v>409</v>
      </c>
      <c r="D23" s="38" t="s">
        <v>701</v>
      </c>
      <c r="E23" s="38" t="s">
        <v>703</v>
      </c>
      <c r="F23" s="190">
        <f>'FSC data (IDN)'!O23*('Loss factors'!$E$76/100)</f>
        <v>26.84161986565357</v>
      </c>
      <c r="G23" s="190">
        <f>'FSC data (IDN)'!P23*('Loss factors'!$F$76/100)</f>
        <v>206.98087859266596</v>
      </c>
      <c r="H23" s="190">
        <f>'FSC data (IDN)'!Q23*('Loss factors'!$G$76/100)</f>
        <v>84.313749348089402</v>
      </c>
      <c r="I23" s="190">
        <f>'FSC data (IDN)'!R23*('Loss factors'!$H$76/100)</f>
        <v>413.13737180563817</v>
      </c>
      <c r="J23" s="190">
        <f>'FSC data (IDN)'!S23*('Loss factors'!$I$76/100)</f>
        <v>37.182363462507432</v>
      </c>
      <c r="K23" s="191">
        <f t="shared" si="0"/>
        <v>768.45598307455452</v>
      </c>
      <c r="L23" s="191">
        <f t="shared" si="1"/>
        <v>2.684161986565357E-2</v>
      </c>
      <c r="M23" s="191">
        <f t="shared" si="1"/>
        <v>0.20698087859266595</v>
      </c>
      <c r="N23" s="191">
        <f t="shared" si="1"/>
        <v>8.4313749348089398E-2</v>
      </c>
      <c r="O23" s="191">
        <f t="shared" si="1"/>
        <v>0.41313737180563814</v>
      </c>
      <c r="P23" s="191">
        <f t="shared" si="1"/>
        <v>3.7182363462507431E-2</v>
      </c>
      <c r="Q23" s="191">
        <f t="shared" si="2"/>
        <v>0.76845598307455454</v>
      </c>
    </row>
    <row r="24" spans="1:17" x14ac:dyDescent="0.35">
      <c r="A24" s="38">
        <v>2020</v>
      </c>
      <c r="B24" s="38">
        <v>2020</v>
      </c>
      <c r="C24" s="38" t="s">
        <v>409</v>
      </c>
      <c r="D24" s="38" t="s">
        <v>704</v>
      </c>
      <c r="E24" s="38" t="s">
        <v>705</v>
      </c>
      <c r="F24" s="190">
        <f>'FSC data (IDN)'!O24*('Loss factors'!$E$77/100)</f>
        <v>13.58315</v>
      </c>
      <c r="G24" s="190">
        <f>'FSC data (IDN)'!P24*('Loss factors'!$F$77/100)</f>
        <v>6.2361729000000006</v>
      </c>
      <c r="H24" s="190">
        <f>'FSC data (IDN)'!Q24*('Loss factors'!$G$77/100)</f>
        <v>14.174454168</v>
      </c>
      <c r="I24" s="190">
        <f>'FSC data (IDN)'!R24*('Loss factors'!$H$77/100)</f>
        <v>3.26012445864</v>
      </c>
      <c r="J24" s="190">
        <f>'FSC data (IDN)'!S24*('Loss factors'!$I$77/100)</f>
        <v>1.5974609847335999</v>
      </c>
      <c r="K24" s="191">
        <f t="shared" si="0"/>
        <v>38.851362511373601</v>
      </c>
      <c r="L24" s="191">
        <f t="shared" si="1"/>
        <v>1.358315E-2</v>
      </c>
      <c r="M24" s="191">
        <f t="shared" si="1"/>
        <v>6.2361729000000006E-3</v>
      </c>
      <c r="N24" s="191">
        <f t="shared" si="1"/>
        <v>1.4174454168000001E-2</v>
      </c>
      <c r="O24" s="191">
        <f t="shared" si="1"/>
        <v>3.2601244586400002E-3</v>
      </c>
      <c r="P24" s="191">
        <f t="shared" si="1"/>
        <v>1.5974609847336E-3</v>
      </c>
      <c r="Q24" s="191">
        <f t="shared" si="2"/>
        <v>3.8851362511373604E-2</v>
      </c>
    </row>
    <row r="25" spans="1:17" x14ac:dyDescent="0.35">
      <c r="A25" s="38">
        <v>2020</v>
      </c>
      <c r="B25" s="38">
        <v>2020</v>
      </c>
      <c r="C25" s="38" t="s">
        <v>409</v>
      </c>
      <c r="D25" s="38" t="s">
        <v>704</v>
      </c>
      <c r="E25" s="38" t="s">
        <v>706</v>
      </c>
      <c r="F25" s="190">
        <f>'FSC data (IDN)'!O25*('Loss factors'!$E$77/100)</f>
        <v>0.20363636363636367</v>
      </c>
      <c r="G25" s="190">
        <f>'FSC data (IDN)'!P25*('Loss factors'!$F$77/100)</f>
        <v>0.53707636363636369</v>
      </c>
      <c r="H25" s="190">
        <f>'FSC data (IDN)'!Q25*('Loss factors'!$G$77/100)</f>
        <v>1.2207429818181819</v>
      </c>
      <c r="I25" s="190">
        <f>'FSC data (IDN)'!R25*('Loss factors'!$H$77/100)</f>
        <v>0.28077088581818183</v>
      </c>
      <c r="J25" s="190">
        <f>'FSC data (IDN)'!S25*('Loss factors'!$I$77/100)</f>
        <v>0.13757773405090909</v>
      </c>
      <c r="K25" s="191">
        <f t="shared" si="0"/>
        <v>2.3798043289600002</v>
      </c>
      <c r="L25" s="191">
        <f t="shared" si="1"/>
        <v>2.0363636363636368E-4</v>
      </c>
      <c r="M25" s="191">
        <f t="shared" si="1"/>
        <v>5.3707636363636369E-4</v>
      </c>
      <c r="N25" s="191">
        <f t="shared" si="1"/>
        <v>1.2207429818181818E-3</v>
      </c>
      <c r="O25" s="191">
        <f t="shared" si="1"/>
        <v>2.8077088581818184E-4</v>
      </c>
      <c r="P25" s="191">
        <f t="shared" si="1"/>
        <v>1.3757773405090909E-4</v>
      </c>
      <c r="Q25" s="191">
        <f t="shared" si="2"/>
        <v>2.37980432896E-3</v>
      </c>
    </row>
    <row r="26" spans="1:17" x14ac:dyDescent="0.35">
      <c r="A26" s="38">
        <v>2020</v>
      </c>
      <c r="B26" s="38">
        <v>2020</v>
      </c>
      <c r="C26" s="38" t="s">
        <v>409</v>
      </c>
      <c r="D26" s="38" t="s">
        <v>707</v>
      </c>
      <c r="E26" s="38" t="s">
        <v>708</v>
      </c>
      <c r="F26" s="190">
        <f>'FSC data (IDN)'!O26*('Loss factors'!$E$78/100)</f>
        <v>26.790861111111113</v>
      </c>
      <c r="G26" s="190">
        <f>'FSC data (IDN)'!P26*('Loss factors'!$F$78/100)</f>
        <v>32.104492460185185</v>
      </c>
      <c r="H26" s="190">
        <f>'FSC data (IDN)'!Q26*('Loss factors'!$G$78/100)</f>
        <v>23.300279457685189</v>
      </c>
      <c r="I26" s="190">
        <f>'FSC data (IDN)'!R26*('Loss factors'!$H$78/100)</f>
        <v>22.605931129846169</v>
      </c>
      <c r="J26" s="190">
        <f>'FSC data (IDN)'!S26*('Loss factors'!$I$78/100)</f>
        <v>7.2593474587856361</v>
      </c>
      <c r="K26" s="191">
        <f t="shared" si="0"/>
        <v>112.0609116176133</v>
      </c>
      <c r="L26" s="191">
        <f t="shared" si="1"/>
        <v>2.6790861111111113E-2</v>
      </c>
      <c r="M26" s="191">
        <f t="shared" si="1"/>
        <v>3.2104492460185187E-2</v>
      </c>
      <c r="N26" s="191">
        <f t="shared" si="1"/>
        <v>2.3300279457685188E-2</v>
      </c>
      <c r="O26" s="191">
        <f t="shared" si="1"/>
        <v>2.2605931129846168E-2</v>
      </c>
      <c r="P26" s="191">
        <f t="shared" si="1"/>
        <v>7.2593474587856364E-3</v>
      </c>
      <c r="Q26" s="191">
        <f t="shared" si="2"/>
        <v>0.11206091161761329</v>
      </c>
    </row>
    <row r="27" spans="1:17" x14ac:dyDescent="0.35">
      <c r="A27" s="38">
        <v>2050</v>
      </c>
      <c r="B27" s="38">
        <v>2050</v>
      </c>
      <c r="C27" s="38" t="s">
        <v>409</v>
      </c>
      <c r="D27" s="38" t="s">
        <v>686</v>
      </c>
      <c r="E27" s="38" t="s">
        <v>480</v>
      </c>
      <c r="F27" s="191" t="s">
        <v>142</v>
      </c>
      <c r="G27" s="191" t="s">
        <v>142</v>
      </c>
      <c r="H27" s="191" t="s">
        <v>142</v>
      </c>
      <c r="I27" s="191" t="s">
        <v>142</v>
      </c>
      <c r="J27" s="191" t="s">
        <v>142</v>
      </c>
      <c r="K27" s="191" t="s">
        <v>142</v>
      </c>
      <c r="L27" s="191" t="s">
        <v>142</v>
      </c>
      <c r="M27" s="191" t="s">
        <v>142</v>
      </c>
      <c r="N27" s="191" t="s">
        <v>142</v>
      </c>
      <c r="O27" s="191" t="s">
        <v>142</v>
      </c>
      <c r="P27" s="191" t="s">
        <v>142</v>
      </c>
      <c r="Q27" s="191" t="s">
        <v>142</v>
      </c>
    </row>
    <row r="28" spans="1:17" x14ac:dyDescent="0.35">
      <c r="A28" s="38">
        <v>2050</v>
      </c>
      <c r="B28" s="38">
        <v>2050</v>
      </c>
      <c r="C28" s="38" t="s">
        <v>409</v>
      </c>
      <c r="D28" s="38" t="s">
        <v>686</v>
      </c>
      <c r="E28" s="38" t="s">
        <v>687</v>
      </c>
      <c r="F28" s="190">
        <f>'FSC data (IDN)'!O28*('Loss factors'!$E$68/100)</f>
        <v>108.10326736769535</v>
      </c>
      <c r="G28" s="190">
        <f>'FSC data (IDN)'!P28*('Loss factors'!$F$68/100)</f>
        <v>114.95550212050212</v>
      </c>
      <c r="H28" s="190">
        <f>'FSC data (IDN)'!Q28*('Loss factors'!$G$68/100)</f>
        <v>114.06062848487515</v>
      </c>
      <c r="I28" s="190">
        <f>'FSC data (IDN)'!R28*('Loss factors'!$H$68/100)</f>
        <v>45.158232254711848</v>
      </c>
      <c r="J28" s="190">
        <f>'FSC data (IDN)'!S28*('Loss factors'!$I$68/100)</f>
        <v>44.1065606713303</v>
      </c>
      <c r="K28" s="191">
        <f t="shared" si="0"/>
        <v>426.38419089911474</v>
      </c>
      <c r="L28" s="191">
        <f t="shared" si="1"/>
        <v>0.10810326736769535</v>
      </c>
      <c r="M28" s="191">
        <f t="shared" si="1"/>
        <v>0.11495550212050212</v>
      </c>
      <c r="N28" s="191">
        <f t="shared" si="1"/>
        <v>0.11406062848487515</v>
      </c>
      <c r="O28" s="191">
        <f t="shared" si="1"/>
        <v>4.5158232254711848E-2</v>
      </c>
      <c r="P28" s="191">
        <f t="shared" si="1"/>
        <v>4.41065606713303E-2</v>
      </c>
      <c r="Q28" s="191">
        <f t="shared" si="2"/>
        <v>0.42638419089911472</v>
      </c>
    </row>
    <row r="29" spans="1:17" x14ac:dyDescent="0.35">
      <c r="A29" s="38">
        <v>2050</v>
      </c>
      <c r="B29" s="38">
        <v>2050</v>
      </c>
      <c r="C29" s="38" t="s">
        <v>409</v>
      </c>
      <c r="D29" s="38" t="s">
        <v>686</v>
      </c>
      <c r="E29" s="38" t="s">
        <v>508</v>
      </c>
      <c r="F29" s="191" t="s">
        <v>142</v>
      </c>
      <c r="G29" s="191" t="s">
        <v>142</v>
      </c>
      <c r="H29" s="191" t="s">
        <v>142</v>
      </c>
      <c r="I29" s="191" t="s">
        <v>142</v>
      </c>
      <c r="J29" s="191" t="s">
        <v>142</v>
      </c>
      <c r="K29" s="191" t="s">
        <v>142</v>
      </c>
      <c r="L29" s="191" t="s">
        <v>142</v>
      </c>
      <c r="M29" s="191" t="s">
        <v>142</v>
      </c>
      <c r="N29" s="191" t="s">
        <v>142</v>
      </c>
      <c r="O29" s="191" t="s">
        <v>142</v>
      </c>
      <c r="P29" s="191" t="s">
        <v>142</v>
      </c>
      <c r="Q29" s="191" t="s">
        <v>142</v>
      </c>
    </row>
    <row r="30" spans="1:17" x14ac:dyDescent="0.35">
      <c r="A30" s="38">
        <v>2050</v>
      </c>
      <c r="B30" s="38">
        <v>2050</v>
      </c>
      <c r="C30" s="38" t="s">
        <v>409</v>
      </c>
      <c r="D30" s="38" t="s">
        <v>686</v>
      </c>
      <c r="E30" s="38" t="s">
        <v>688</v>
      </c>
      <c r="F30" s="191" t="s">
        <v>142</v>
      </c>
      <c r="G30" s="191" t="s">
        <v>142</v>
      </c>
      <c r="H30" s="191" t="s">
        <v>142</v>
      </c>
      <c r="I30" s="191" t="s">
        <v>142</v>
      </c>
      <c r="J30" s="191" t="s">
        <v>142</v>
      </c>
      <c r="K30" s="191" t="s">
        <v>142</v>
      </c>
      <c r="L30" s="191" t="s">
        <v>142</v>
      </c>
      <c r="M30" s="191" t="s">
        <v>142</v>
      </c>
      <c r="N30" s="191" t="s">
        <v>142</v>
      </c>
      <c r="O30" s="191" t="s">
        <v>142</v>
      </c>
      <c r="P30" s="191" t="s">
        <v>142</v>
      </c>
      <c r="Q30" s="191" t="s">
        <v>142</v>
      </c>
    </row>
    <row r="31" spans="1:17" x14ac:dyDescent="0.35">
      <c r="A31" s="38">
        <v>2050</v>
      </c>
      <c r="B31" s="38">
        <v>2050</v>
      </c>
      <c r="C31" s="38" t="s">
        <v>409</v>
      </c>
      <c r="D31" s="38" t="s">
        <v>686</v>
      </c>
      <c r="E31" s="38" t="s">
        <v>512</v>
      </c>
      <c r="F31" s="191" t="s">
        <v>142</v>
      </c>
      <c r="G31" s="191" t="s">
        <v>142</v>
      </c>
      <c r="H31" s="191" t="s">
        <v>142</v>
      </c>
      <c r="I31" s="191" t="s">
        <v>142</v>
      </c>
      <c r="J31" s="191" t="s">
        <v>142</v>
      </c>
      <c r="K31" s="191" t="s">
        <v>142</v>
      </c>
      <c r="L31" s="191" t="s">
        <v>142</v>
      </c>
      <c r="M31" s="191" t="s">
        <v>142</v>
      </c>
      <c r="N31" s="191" t="s">
        <v>142</v>
      </c>
      <c r="O31" s="191" t="s">
        <v>142</v>
      </c>
      <c r="P31" s="191" t="s">
        <v>142</v>
      </c>
      <c r="Q31" s="191" t="s">
        <v>142</v>
      </c>
    </row>
    <row r="32" spans="1:17" x14ac:dyDescent="0.35">
      <c r="A32" s="38">
        <v>2050</v>
      </c>
      <c r="B32" s="38">
        <v>2050</v>
      </c>
      <c r="C32" s="38" t="s">
        <v>409</v>
      </c>
      <c r="D32" s="38" t="s">
        <v>686</v>
      </c>
      <c r="E32" s="38" t="s">
        <v>689</v>
      </c>
      <c r="F32" s="190">
        <f>'FSC data (IDN)'!O32*('Loss factors'!$E$68/100)</f>
        <v>3233.4093448066146</v>
      </c>
      <c r="G32" s="190">
        <f>'FSC data (IDN)'!P32*('Loss factors'!$F$68/100)</f>
        <v>3496.7778243112784</v>
      </c>
      <c r="H32" s="190">
        <f>'FSC data (IDN)'!Q32*('Loss factors'!$G$68/100)</f>
        <v>3469.5570803982032</v>
      </c>
      <c r="I32" s="190">
        <f>'FSC data (IDN)'!R32*('Loss factors'!$H$68/100)</f>
        <v>1373.647213230797</v>
      </c>
      <c r="J32" s="190">
        <f>'FSC data (IDN)'!S32*('Loss factors'!$I$68/100)</f>
        <v>1341.6569056475025</v>
      </c>
      <c r="K32" s="191">
        <f t="shared" si="0"/>
        <v>12915.048368394395</v>
      </c>
      <c r="L32" s="191">
        <f t="shared" si="1"/>
        <v>3.2334093448066148</v>
      </c>
      <c r="M32" s="191">
        <f t="shared" si="1"/>
        <v>3.4967778243112786</v>
      </c>
      <c r="N32" s="191">
        <f t="shared" si="1"/>
        <v>3.4695570803982032</v>
      </c>
      <c r="O32" s="191">
        <f t="shared" si="1"/>
        <v>1.3736472132307971</v>
      </c>
      <c r="P32" s="191">
        <f t="shared" si="1"/>
        <v>1.3416569056475025</v>
      </c>
      <c r="Q32" s="191">
        <f t="shared" si="2"/>
        <v>12.915048368394396</v>
      </c>
    </row>
    <row r="33" spans="1:17" x14ac:dyDescent="0.35">
      <c r="A33" s="38">
        <v>2050</v>
      </c>
      <c r="B33" s="38">
        <v>2050</v>
      </c>
      <c r="C33" s="38" t="s">
        <v>409</v>
      </c>
      <c r="D33" s="38" t="s">
        <v>686</v>
      </c>
      <c r="E33" s="38" t="s">
        <v>690</v>
      </c>
      <c r="F33" s="191" t="s">
        <v>142</v>
      </c>
      <c r="G33" s="191" t="s">
        <v>142</v>
      </c>
      <c r="H33" s="191" t="s">
        <v>142</v>
      </c>
      <c r="I33" s="191" t="s">
        <v>142</v>
      </c>
      <c r="J33" s="191" t="s">
        <v>142</v>
      </c>
      <c r="K33" s="191" t="s">
        <v>142</v>
      </c>
      <c r="L33" s="191" t="s">
        <v>142</v>
      </c>
      <c r="M33" s="191" t="s">
        <v>142</v>
      </c>
      <c r="N33" s="191" t="s">
        <v>142</v>
      </c>
      <c r="O33" s="191" t="s">
        <v>142</v>
      </c>
      <c r="P33" s="191" t="s">
        <v>142</v>
      </c>
      <c r="Q33" s="191" t="s">
        <v>142</v>
      </c>
    </row>
    <row r="34" spans="1:17" x14ac:dyDescent="0.35">
      <c r="A34" s="38">
        <v>2050</v>
      </c>
      <c r="B34" s="38">
        <v>2050</v>
      </c>
      <c r="C34" s="38" t="s">
        <v>409</v>
      </c>
      <c r="D34" s="38" t="s">
        <v>686</v>
      </c>
      <c r="E34" s="38" t="s">
        <v>532</v>
      </c>
      <c r="F34" s="191" t="s">
        <v>142</v>
      </c>
      <c r="G34" s="191" t="s">
        <v>142</v>
      </c>
      <c r="H34" s="191" t="s">
        <v>142</v>
      </c>
      <c r="I34" s="191" t="s">
        <v>142</v>
      </c>
      <c r="J34" s="191" t="s">
        <v>142</v>
      </c>
      <c r="K34" s="191" t="s">
        <v>142</v>
      </c>
      <c r="L34" s="191" t="s">
        <v>142</v>
      </c>
      <c r="M34" s="191" t="s">
        <v>142</v>
      </c>
      <c r="N34" s="191" t="s">
        <v>142</v>
      </c>
      <c r="O34" s="191" t="s">
        <v>142</v>
      </c>
      <c r="P34" s="191" t="s">
        <v>142</v>
      </c>
      <c r="Q34" s="191" t="s">
        <v>142</v>
      </c>
    </row>
    <row r="35" spans="1:17" x14ac:dyDescent="0.35">
      <c r="A35" s="38">
        <v>2050</v>
      </c>
      <c r="B35" s="38">
        <v>2050</v>
      </c>
      <c r="C35" s="38" t="s">
        <v>409</v>
      </c>
      <c r="D35" s="38" t="s">
        <v>686</v>
      </c>
      <c r="E35" s="38" t="s">
        <v>541</v>
      </c>
      <c r="F35" s="191" t="s">
        <v>142</v>
      </c>
      <c r="G35" s="191" t="s">
        <v>142</v>
      </c>
      <c r="H35" s="191" t="s">
        <v>142</v>
      </c>
      <c r="I35" s="191" t="s">
        <v>142</v>
      </c>
      <c r="J35" s="191" t="s">
        <v>142</v>
      </c>
      <c r="K35" s="191" t="s">
        <v>142</v>
      </c>
      <c r="L35" s="191" t="s">
        <v>142</v>
      </c>
      <c r="M35" s="191" t="s">
        <v>142</v>
      </c>
      <c r="N35" s="191" t="s">
        <v>142</v>
      </c>
      <c r="O35" s="191" t="s">
        <v>142</v>
      </c>
      <c r="P35" s="191" t="s">
        <v>142</v>
      </c>
      <c r="Q35" s="191" t="s">
        <v>142</v>
      </c>
    </row>
    <row r="36" spans="1:17" x14ac:dyDescent="0.35">
      <c r="A36" s="38">
        <v>2050</v>
      </c>
      <c r="B36" s="38">
        <v>2050</v>
      </c>
      <c r="C36" s="38" t="s">
        <v>409</v>
      </c>
      <c r="D36" s="38" t="s">
        <v>691</v>
      </c>
      <c r="E36" s="38" t="s">
        <v>692</v>
      </c>
      <c r="F36" s="191" t="s">
        <v>142</v>
      </c>
      <c r="G36" s="191" t="s">
        <v>142</v>
      </c>
      <c r="H36" s="191" t="s">
        <v>142</v>
      </c>
      <c r="I36" s="191" t="s">
        <v>142</v>
      </c>
      <c r="J36" s="191" t="s">
        <v>142</v>
      </c>
      <c r="K36" s="191" t="s">
        <v>142</v>
      </c>
      <c r="L36" s="191" t="s">
        <v>142</v>
      </c>
      <c r="M36" s="191" t="s">
        <v>142</v>
      </c>
      <c r="N36" s="191" t="s">
        <v>142</v>
      </c>
      <c r="O36" s="191" t="s">
        <v>142</v>
      </c>
      <c r="P36" s="191" t="s">
        <v>142</v>
      </c>
      <c r="Q36" s="191" t="s">
        <v>142</v>
      </c>
    </row>
    <row r="37" spans="1:17" x14ac:dyDescent="0.35">
      <c r="A37" s="38">
        <v>2050</v>
      </c>
      <c r="B37" s="38">
        <v>2050</v>
      </c>
      <c r="C37" s="38" t="s">
        <v>409</v>
      </c>
      <c r="D37" s="38" t="s">
        <v>691</v>
      </c>
      <c r="E37" s="38" t="s">
        <v>356</v>
      </c>
      <c r="F37" s="190">
        <f>'FSC data (IDN)'!O37*('Loss factors'!$E$69/100)</f>
        <v>729.86699240000007</v>
      </c>
      <c r="G37" s="190">
        <f>'FSC data (IDN)'!P37*('Loss factors'!$F$69/100)</f>
        <v>754.22441593395229</v>
      </c>
      <c r="H37" s="190">
        <f>'FSC data (IDN)'!Q37*('Loss factors'!$G$69/100)</f>
        <v>1721.8400863254083</v>
      </c>
      <c r="I37" s="190">
        <f>'FSC data (IDN)'!R37*('Loss factors'!$H$69/100)</f>
        <v>669.45142556331882</v>
      </c>
      <c r="J37" s="190">
        <f>'FSC data (IDN)'!S37*('Loss factors'!$I$69/100)</f>
        <v>816.48610014778387</v>
      </c>
      <c r="K37" s="191">
        <f t="shared" si="0"/>
        <v>4691.8690203704627</v>
      </c>
      <c r="L37" s="191">
        <f t="shared" si="1"/>
        <v>0.72986699240000008</v>
      </c>
      <c r="M37" s="191">
        <f t="shared" si="1"/>
        <v>0.75422441593395229</v>
      </c>
      <c r="N37" s="191">
        <f t="shared" si="1"/>
        <v>1.7218400863254082</v>
      </c>
      <c r="O37" s="191">
        <f t="shared" si="1"/>
        <v>0.66945142556331882</v>
      </c>
      <c r="P37" s="191">
        <f t="shared" si="1"/>
        <v>0.81648610014778389</v>
      </c>
      <c r="Q37" s="191">
        <f t="shared" si="2"/>
        <v>4.6918690203704632</v>
      </c>
    </row>
    <row r="38" spans="1:17" x14ac:dyDescent="0.35">
      <c r="A38" s="38">
        <v>2050</v>
      </c>
      <c r="B38" s="38">
        <v>2050</v>
      </c>
      <c r="C38" s="38" t="s">
        <v>409</v>
      </c>
      <c r="D38" s="38" t="s">
        <v>691</v>
      </c>
      <c r="E38" s="38" t="s">
        <v>693</v>
      </c>
      <c r="F38" s="190">
        <f>'FSC data (IDN)'!O38*('Loss factors'!$E$69/100)</f>
        <v>161.73433510000004</v>
      </c>
      <c r="G38" s="190">
        <f>'FSC data (IDN)'!P38*('Loss factors'!$F$69/100)</f>
        <v>167.31097582563001</v>
      </c>
      <c r="H38" s="190">
        <f>'FSC data (IDN)'!Q38*('Loss factors'!$G$69/100)</f>
        <v>381.95892226859252</v>
      </c>
      <c r="I38" s="190">
        <f>'FSC data (IDN)'!R38*('Loss factors'!$H$69/100)</f>
        <v>148.5056289780288</v>
      </c>
      <c r="J38" s="190">
        <f>'FSC data (IDN)'!S38*('Loss factors'!$I$69/100)</f>
        <v>181.12259862951919</v>
      </c>
      <c r="K38" s="191">
        <f t="shared" si="0"/>
        <v>1040.6324608017703</v>
      </c>
      <c r="L38" s="191">
        <f t="shared" si="1"/>
        <v>0.16173433510000004</v>
      </c>
      <c r="M38" s="191">
        <f t="shared" si="1"/>
        <v>0.16731097582563001</v>
      </c>
      <c r="N38" s="191">
        <f t="shared" si="1"/>
        <v>0.38195892226859252</v>
      </c>
      <c r="O38" s="191">
        <f t="shared" si="1"/>
        <v>0.1485056289780288</v>
      </c>
      <c r="P38" s="191">
        <f t="shared" si="1"/>
        <v>0.18112259862951918</v>
      </c>
      <c r="Q38" s="191">
        <f t="shared" si="2"/>
        <v>1.0406324608017705</v>
      </c>
    </row>
    <row r="39" spans="1:17" x14ac:dyDescent="0.35">
      <c r="A39" s="38">
        <v>2050</v>
      </c>
      <c r="B39" s="38">
        <v>2050</v>
      </c>
      <c r="C39" s="38" t="s">
        <v>409</v>
      </c>
      <c r="D39" s="38" t="s">
        <v>691</v>
      </c>
      <c r="E39" s="38" t="s">
        <v>694</v>
      </c>
      <c r="F39" s="191" t="s">
        <v>142</v>
      </c>
      <c r="G39" s="191" t="s">
        <v>142</v>
      </c>
      <c r="H39" s="191" t="s">
        <v>142</v>
      </c>
      <c r="I39" s="191" t="s">
        <v>142</v>
      </c>
      <c r="J39" s="191" t="s">
        <v>142</v>
      </c>
      <c r="K39" s="191" t="s">
        <v>142</v>
      </c>
      <c r="L39" s="191" t="s">
        <v>142</v>
      </c>
      <c r="M39" s="191" t="s">
        <v>142</v>
      </c>
      <c r="N39" s="191" t="s">
        <v>142</v>
      </c>
      <c r="O39" s="191" t="s">
        <v>142</v>
      </c>
      <c r="P39" s="191" t="s">
        <v>142</v>
      </c>
      <c r="Q39" s="191" t="s">
        <v>142</v>
      </c>
    </row>
    <row r="40" spans="1:17" x14ac:dyDescent="0.35">
      <c r="A40" s="38">
        <v>2050</v>
      </c>
      <c r="B40" s="38">
        <v>2050</v>
      </c>
      <c r="C40" s="38" t="s">
        <v>409</v>
      </c>
      <c r="D40" s="38" t="s">
        <v>691</v>
      </c>
      <c r="E40" s="38" t="s">
        <v>514</v>
      </c>
      <c r="F40" s="190">
        <f>'FSC data (IDN)'!O40*('Loss factors'!$E$69/100)</f>
        <v>13.706230200000002</v>
      </c>
      <c r="G40" s="190">
        <f>'FSC data (IDN)'!P40*('Loss factors'!$F$69/100)</f>
        <v>14.514231009950128</v>
      </c>
      <c r="H40" s="190">
        <f>'FSC data (IDN)'!Q40*('Loss factors'!$G$69/100)</f>
        <v>33.134945312229107</v>
      </c>
      <c r="I40" s="190">
        <f>'FSC data (IDN)'!R40*('Loss factors'!$H$69/100)</f>
        <v>12.882866737394679</v>
      </c>
      <c r="J40" s="190">
        <f>'FSC data (IDN)'!S40*('Loss factors'!$I$69/100)</f>
        <v>15.712389606591545</v>
      </c>
      <c r="K40" s="191">
        <f t="shared" si="0"/>
        <v>89.950662866165459</v>
      </c>
      <c r="L40" s="191">
        <f t="shared" si="1"/>
        <v>1.3706230200000002E-2</v>
      </c>
      <c r="M40" s="191">
        <f t="shared" si="1"/>
        <v>1.4514231009950128E-2</v>
      </c>
      <c r="N40" s="191">
        <f t="shared" si="1"/>
        <v>3.313494531222911E-2</v>
      </c>
      <c r="O40" s="191">
        <f t="shared" si="1"/>
        <v>1.2882866737394678E-2</v>
      </c>
      <c r="P40" s="191">
        <f t="shared" si="1"/>
        <v>1.5712389606591545E-2</v>
      </c>
      <c r="Q40" s="191">
        <f t="shared" si="2"/>
        <v>8.9950662866165459E-2</v>
      </c>
    </row>
    <row r="41" spans="1:17" x14ac:dyDescent="0.35">
      <c r="A41" s="38">
        <v>2050</v>
      </c>
      <c r="B41" s="38">
        <v>2050</v>
      </c>
      <c r="C41" s="38" t="s">
        <v>409</v>
      </c>
      <c r="D41" s="38" t="s">
        <v>691</v>
      </c>
      <c r="E41" s="38" t="s">
        <v>695</v>
      </c>
      <c r="F41" s="190">
        <f>'FSC data (IDN)'!O41*('Loss factors'!$E$69/100)</f>
        <v>1341.5927642000001</v>
      </c>
      <c r="G41" s="190">
        <f>'FSC data (IDN)'!P41*('Loss factors'!$F$69/100)</f>
        <v>1469.0395811088829</v>
      </c>
      <c r="H41" s="190">
        <f>'FSC data (IDN)'!Q41*('Loss factors'!$G$69/100)</f>
        <v>3353.7116880786125</v>
      </c>
      <c r="I41" s="190">
        <f>'FSC data (IDN)'!R41*('Loss factors'!$H$69/100)</f>
        <v>1303.9231043249647</v>
      </c>
      <c r="J41" s="190">
        <f>'FSC data (IDN)'!S41*('Loss factors'!$I$69/100)</f>
        <v>1590.3096919198147</v>
      </c>
      <c r="K41" s="191">
        <f t="shared" si="0"/>
        <v>9058.5768296322749</v>
      </c>
      <c r="L41" s="191">
        <f t="shared" si="1"/>
        <v>1.3415927642000001</v>
      </c>
      <c r="M41" s="191">
        <f t="shared" si="1"/>
        <v>1.4690395811088828</v>
      </c>
      <c r="N41" s="191">
        <f t="shared" si="1"/>
        <v>3.3537116880786124</v>
      </c>
      <c r="O41" s="191">
        <f t="shared" si="1"/>
        <v>1.3039231043249646</v>
      </c>
      <c r="P41" s="191">
        <f t="shared" si="1"/>
        <v>1.5903096919198147</v>
      </c>
      <c r="Q41" s="191">
        <f t="shared" si="2"/>
        <v>9.0585768296322744</v>
      </c>
    </row>
    <row r="42" spans="1:17" x14ac:dyDescent="0.35">
      <c r="A42" s="38">
        <v>2050</v>
      </c>
      <c r="B42" s="38">
        <v>2050</v>
      </c>
      <c r="C42" s="38" t="s">
        <v>409</v>
      </c>
      <c r="D42" s="38" t="s">
        <v>696</v>
      </c>
      <c r="E42" s="38" t="s">
        <v>697</v>
      </c>
      <c r="F42" s="190">
        <f>'FSC data (IDN)'!O42*('Loss factors'!$E$70/100)</f>
        <v>1249.1413347959904</v>
      </c>
      <c r="G42" s="190">
        <f>'FSC data (IDN)'!P42*('Loss factors'!$F$70/100)</f>
        <v>3492.5203343430098</v>
      </c>
      <c r="H42" s="190">
        <f>'FSC data (IDN)'!Q42*('Loss factors'!$G$70/100)</f>
        <v>919.7792951186733</v>
      </c>
      <c r="I42" s="190">
        <f>'FSC data (IDN)'!R42*('Loss factors'!$H$70/100)</f>
        <v>1146.6888472244502</v>
      </c>
      <c r="J42" s="190">
        <f>'FSC data (IDN)'!S42*('Loss factors'!$I$70/100)</f>
        <v>163.06603606839829</v>
      </c>
      <c r="K42" s="191">
        <f t="shared" si="0"/>
        <v>6971.1958475505216</v>
      </c>
      <c r="L42" s="191">
        <f t="shared" si="1"/>
        <v>1.2491413347959903</v>
      </c>
      <c r="M42" s="191">
        <f t="shared" si="1"/>
        <v>3.49252033434301</v>
      </c>
      <c r="N42" s="191">
        <f t="shared" si="1"/>
        <v>0.91977929511867329</v>
      </c>
      <c r="O42" s="191">
        <f t="shared" si="1"/>
        <v>1.1466888472244503</v>
      </c>
      <c r="P42" s="191">
        <f t="shared" si="1"/>
        <v>0.16306603606839828</v>
      </c>
      <c r="Q42" s="191">
        <f t="shared" si="2"/>
        <v>6.9711958475505238</v>
      </c>
    </row>
    <row r="43" spans="1:17" x14ac:dyDescent="0.35">
      <c r="A43" s="38">
        <v>2050</v>
      </c>
      <c r="B43" s="38">
        <v>2050</v>
      </c>
      <c r="C43" s="38" t="s">
        <v>409</v>
      </c>
      <c r="D43" s="38" t="s">
        <v>698</v>
      </c>
      <c r="E43" s="38" t="s">
        <v>699</v>
      </c>
      <c r="F43" s="190">
        <f>'FSC data (IDN)'!O43*('Loss factors'!$E$71/100)</f>
        <v>85.85560000000001</v>
      </c>
      <c r="G43" s="190">
        <f>'FSC data (IDN)'!P43*('Loss factors'!$F$71/100)</f>
        <v>2.4859561738983054</v>
      </c>
      <c r="H43" s="190">
        <f>'FSC data (IDN)'!Q43*('Loss factors'!$G$71/100)</f>
        <v>59.065134903169501</v>
      </c>
      <c r="I43" s="190">
        <f>'FSC data (IDN)'!R43*('Loss factors'!$H$71/100)</f>
        <v>78.556629421215433</v>
      </c>
      <c r="J43" s="190">
        <f>'FSC data (IDN)'!S43*('Loss factors'!$I$71/100)</f>
        <v>41.747237349560201</v>
      </c>
      <c r="K43" s="191">
        <f t="shared" si="0"/>
        <v>267.71055784784346</v>
      </c>
      <c r="L43" s="191">
        <f t="shared" si="1"/>
        <v>8.5855600000000004E-2</v>
      </c>
      <c r="M43" s="191">
        <f t="shared" si="1"/>
        <v>2.4859561738983056E-3</v>
      </c>
      <c r="N43" s="191">
        <f t="shared" si="1"/>
        <v>5.9065134903169503E-2</v>
      </c>
      <c r="O43" s="191">
        <f t="shared" si="1"/>
        <v>7.8556629421215426E-2</v>
      </c>
      <c r="P43" s="191">
        <f t="shared" si="1"/>
        <v>4.17472373495602E-2</v>
      </c>
      <c r="Q43" s="191">
        <f t="shared" si="2"/>
        <v>0.26771055784784348</v>
      </c>
    </row>
    <row r="44" spans="1:17" x14ac:dyDescent="0.35">
      <c r="A44" s="38">
        <v>2050</v>
      </c>
      <c r="B44" s="38">
        <v>2050</v>
      </c>
      <c r="C44" s="38" t="s">
        <v>409</v>
      </c>
      <c r="D44" s="38" t="s">
        <v>698</v>
      </c>
      <c r="E44" s="38" t="s">
        <v>700</v>
      </c>
      <c r="F44" s="190">
        <f>'FSC data (IDN)'!O44*('Loss factors'!$E$72/100)</f>
        <v>23.935500000000001</v>
      </c>
      <c r="G44" s="190">
        <f>'FSC data (IDN)'!P44*('Loss factors'!$F$72/100)</f>
        <v>0.43496581034482756</v>
      </c>
      <c r="H44" s="190">
        <f>'FSC data (IDN)'!Q44*('Loss factors'!$G$72/100)</f>
        <v>10.852396968103449</v>
      </c>
      <c r="I44" s="190">
        <f>'FSC data (IDN)'!R44*('Loss factors'!$H$72/100)</f>
        <v>14.433687967577587</v>
      </c>
      <c r="J44" s="190">
        <f>'FSC data (IDN)'!S44*('Loss factors'!$I$72/100)</f>
        <v>7.6704741770555165</v>
      </c>
      <c r="K44" s="191">
        <f t="shared" si="0"/>
        <v>57.327024923081375</v>
      </c>
      <c r="L44" s="191">
        <f t="shared" si="1"/>
        <v>2.3935500000000002E-2</v>
      </c>
      <c r="M44" s="191">
        <f t="shared" si="1"/>
        <v>4.3496581034482758E-4</v>
      </c>
      <c r="N44" s="191">
        <f t="shared" si="1"/>
        <v>1.0852396968103448E-2</v>
      </c>
      <c r="O44" s="191">
        <f t="shared" si="1"/>
        <v>1.4433687967577586E-2</v>
      </c>
      <c r="P44" s="191">
        <f t="shared" si="1"/>
        <v>7.6704741770555161E-3</v>
      </c>
      <c r="Q44" s="191">
        <f t="shared" si="2"/>
        <v>5.7327024923081379E-2</v>
      </c>
    </row>
    <row r="45" spans="1:17" x14ac:dyDescent="0.35">
      <c r="A45" s="38">
        <v>2050</v>
      </c>
      <c r="B45" s="38">
        <v>2050</v>
      </c>
      <c r="C45" s="38" t="s">
        <v>409</v>
      </c>
      <c r="D45" s="38" t="s">
        <v>698</v>
      </c>
      <c r="E45" s="38" t="s">
        <v>521</v>
      </c>
      <c r="F45" s="190">
        <f>'FSC data (IDN)'!O45*('Loss factors'!$E$73/100)</f>
        <v>75.130679999999998</v>
      </c>
      <c r="G45" s="190">
        <f>'FSC data (IDN)'!P45*('Loss factors'!$F$73/100)</f>
        <v>5.5949541114733092</v>
      </c>
      <c r="H45" s="190">
        <f>'FSC data (IDN)'!Q45*('Loss factors'!$G$73/100)</f>
        <v>59.241040714355165</v>
      </c>
      <c r="I45" s="190">
        <f>'FSC data (IDN)'!R45*('Loss factors'!$H$73/100)</f>
        <v>78.790584150092371</v>
      </c>
      <c r="J45" s="190">
        <f>'FSC data (IDN)'!S45*('Loss factors'!$I$73/100)</f>
        <v>41.87156757690623</v>
      </c>
      <c r="K45" s="191">
        <f t="shared" si="0"/>
        <v>260.62882655282709</v>
      </c>
      <c r="L45" s="191">
        <f t="shared" si="1"/>
        <v>7.5130679999999991E-2</v>
      </c>
      <c r="M45" s="191">
        <f t="shared" si="1"/>
        <v>5.594954111473309E-3</v>
      </c>
      <c r="N45" s="191">
        <f t="shared" si="1"/>
        <v>5.9241040714355167E-2</v>
      </c>
      <c r="O45" s="191">
        <f t="shared" si="1"/>
        <v>7.8790584150092366E-2</v>
      </c>
      <c r="P45" s="191">
        <f t="shared" si="1"/>
        <v>4.187156757690623E-2</v>
      </c>
      <c r="Q45" s="191">
        <f t="shared" si="2"/>
        <v>0.2606288265528271</v>
      </c>
    </row>
    <row r="46" spans="1:17" x14ac:dyDescent="0.35">
      <c r="A46" s="38">
        <v>2050</v>
      </c>
      <c r="B46" s="38">
        <v>2050</v>
      </c>
      <c r="C46" s="38" t="s">
        <v>409</v>
      </c>
      <c r="D46" s="38" t="s">
        <v>698</v>
      </c>
      <c r="E46" s="38" t="s">
        <v>252</v>
      </c>
      <c r="F46" s="190">
        <f>'FSC data (IDN)'!O46*('Loss factors'!$E$73/100)</f>
        <v>204.06977999999998</v>
      </c>
      <c r="G46" s="190">
        <f>'FSC data (IDN)'!P46*('Loss factors'!$F$73/100)</f>
        <v>15.02474018759761</v>
      </c>
      <c r="H46" s="190">
        <f>'FSC data (IDN)'!Q46*('Loss factors'!$G$73/100)</f>
        <v>159.08642456080747</v>
      </c>
      <c r="I46" s="190">
        <f>'FSC data (IDN)'!R46*('Loss factors'!$H$73/100)</f>
        <v>211.58494466587396</v>
      </c>
      <c r="J46" s="190">
        <f>'FSC data (IDN)'!S46*('Loss factors'!$I$73/100)</f>
        <v>112.44228487957874</v>
      </c>
      <c r="K46" s="191">
        <f t="shared" si="0"/>
        <v>702.20817429385784</v>
      </c>
      <c r="L46" s="191">
        <f t="shared" si="1"/>
        <v>0.20406977999999998</v>
      </c>
      <c r="M46" s="191">
        <f t="shared" si="1"/>
        <v>1.5024740187597609E-2</v>
      </c>
      <c r="N46" s="191">
        <f t="shared" si="1"/>
        <v>0.15908642456080746</v>
      </c>
      <c r="O46" s="191">
        <f t="shared" si="1"/>
        <v>0.21158494466587396</v>
      </c>
      <c r="P46" s="191">
        <f t="shared" si="1"/>
        <v>0.11244228487957873</v>
      </c>
      <c r="Q46" s="191">
        <f t="shared" si="2"/>
        <v>0.70220817429385773</v>
      </c>
    </row>
    <row r="47" spans="1:17" x14ac:dyDescent="0.35">
      <c r="A47" s="38">
        <v>2050</v>
      </c>
      <c r="B47" s="38">
        <v>2050</v>
      </c>
      <c r="C47" s="38" t="s">
        <v>409</v>
      </c>
      <c r="D47" s="38" t="s">
        <v>701</v>
      </c>
      <c r="E47" s="38" t="s">
        <v>702</v>
      </c>
      <c r="F47" s="190">
        <f>'FSC data (IDN)'!O47*('Loss factors'!$E$75/100)</f>
        <v>729.19428700997628</v>
      </c>
      <c r="G47" s="190">
        <f>'FSC data (IDN)'!P47*('Loss factors'!$F$75/100)</f>
        <v>607.24872009199021</v>
      </c>
      <c r="H47" s="190">
        <f>'FSC data (IDN)'!Q47*('Loss factors'!$G$75/100)</f>
        <v>7.7917653890641683</v>
      </c>
      <c r="I47" s="190">
        <f>'FSC data (IDN)'!R47*('Loss factors'!$H$75/100)</f>
        <v>233.51920871025308</v>
      </c>
      <c r="J47" s="190">
        <f>'FSC data (IDN)'!S47*('Loss factors'!$I$75/100)</f>
        <v>151.00908829929699</v>
      </c>
      <c r="K47" s="191">
        <f t="shared" si="0"/>
        <v>1728.7630695005807</v>
      </c>
      <c r="L47" s="191">
        <f t="shared" si="1"/>
        <v>0.72919428700997624</v>
      </c>
      <c r="M47" s="191">
        <f t="shared" si="1"/>
        <v>0.60724872009199016</v>
      </c>
      <c r="N47" s="191">
        <f t="shared" si="1"/>
        <v>7.791765389064168E-3</v>
      </c>
      <c r="O47" s="191">
        <f t="shared" si="1"/>
        <v>0.23351920871025308</v>
      </c>
      <c r="P47" s="191">
        <f t="shared" si="1"/>
        <v>0.15100908829929699</v>
      </c>
      <c r="Q47" s="191">
        <f t="shared" si="2"/>
        <v>1.7287630695005807</v>
      </c>
    </row>
    <row r="48" spans="1:17" x14ac:dyDescent="0.35">
      <c r="A48" s="38">
        <v>2050</v>
      </c>
      <c r="B48" s="38">
        <v>2050</v>
      </c>
      <c r="C48" s="38" t="s">
        <v>409</v>
      </c>
      <c r="D48" s="38" t="s">
        <v>701</v>
      </c>
      <c r="E48" s="38" t="s">
        <v>703</v>
      </c>
      <c r="F48" s="190">
        <f>'FSC data (IDN)'!O48*('Loss factors'!$E$76/100)</f>
        <v>50.833174237418788</v>
      </c>
      <c r="G48" s="190">
        <f>'FSC data (IDN)'!P48*('Loss factors'!$F$76/100)</f>
        <v>391.98435556336449</v>
      </c>
      <c r="H48" s="190">
        <f>'FSC data (IDN)'!Q48*('Loss factors'!$G$76/100)</f>
        <v>159.67499475341842</v>
      </c>
      <c r="I48" s="190">
        <f>'FSC data (IDN)'!R48*('Loss factors'!$H$76/100)</f>
        <v>782.4074742917503</v>
      </c>
      <c r="J48" s="190">
        <f>'FSC data (IDN)'!S48*('Loss factors'!$I$76/100)</f>
        <v>70.416672686257527</v>
      </c>
      <c r="K48" s="191">
        <f t="shared" si="0"/>
        <v>1455.3166715322095</v>
      </c>
      <c r="L48" s="191">
        <f t="shared" si="1"/>
        <v>5.0833174237418788E-2</v>
      </c>
      <c r="M48" s="191">
        <f t="shared" si="1"/>
        <v>0.39198435556336447</v>
      </c>
      <c r="N48" s="191">
        <f t="shared" si="1"/>
        <v>0.15967499475341843</v>
      </c>
      <c r="O48" s="191">
        <f t="shared" si="1"/>
        <v>0.78240747429175028</v>
      </c>
      <c r="P48" s="191">
        <f t="shared" si="1"/>
        <v>7.0416672686257523E-2</v>
      </c>
      <c r="Q48" s="191">
        <f t="shared" si="2"/>
        <v>1.4553166715322097</v>
      </c>
    </row>
    <row r="49" spans="1:17" x14ac:dyDescent="0.35">
      <c r="A49" s="38">
        <v>2050</v>
      </c>
      <c r="B49" s="38">
        <v>2050</v>
      </c>
      <c r="C49" s="38" t="s">
        <v>409</v>
      </c>
      <c r="D49" s="38" t="s">
        <v>704</v>
      </c>
      <c r="E49" s="38" t="s">
        <v>705</v>
      </c>
      <c r="F49" s="190">
        <f>'FSC data (IDN)'!O49*('Loss factors'!$E$77/100)</f>
        <v>12.9472931</v>
      </c>
      <c r="G49" s="190">
        <f>'FSC data (IDN)'!P49*('Loss factors'!$F$77/100)</f>
        <v>5.9442440345999996</v>
      </c>
      <c r="H49" s="190">
        <f>'FSC data (IDN)'!Q49*('Loss factors'!$G$77/100)</f>
        <v>13.510917029231999</v>
      </c>
      <c r="I49" s="190">
        <f>'FSC data (IDN)'!R49*('Loss factors'!$H$77/100)</f>
        <v>3.1075109167233599</v>
      </c>
      <c r="J49" s="190">
        <f>'FSC data (IDN)'!S49*('Loss factors'!$I$77/100)</f>
        <v>1.5226803491944463</v>
      </c>
      <c r="K49" s="191">
        <f t="shared" si="0"/>
        <v>37.032645429749806</v>
      </c>
      <c r="L49" s="191">
        <f t="shared" si="1"/>
        <v>1.29472931E-2</v>
      </c>
      <c r="M49" s="191">
        <f t="shared" si="1"/>
        <v>5.9442440345999995E-3</v>
      </c>
      <c r="N49" s="191">
        <f t="shared" si="1"/>
        <v>1.3510917029232E-2</v>
      </c>
      <c r="O49" s="191">
        <f t="shared" si="1"/>
        <v>3.1075109167233599E-3</v>
      </c>
      <c r="P49" s="191">
        <f t="shared" si="1"/>
        <v>1.5226803491944464E-3</v>
      </c>
      <c r="Q49" s="191">
        <f t="shared" si="2"/>
        <v>3.7032645429749808E-2</v>
      </c>
    </row>
    <row r="50" spans="1:17" x14ac:dyDescent="0.35">
      <c r="A50" s="38">
        <v>2050</v>
      </c>
      <c r="B50" s="38">
        <v>2050</v>
      </c>
      <c r="C50" s="38" t="s">
        <v>409</v>
      </c>
      <c r="D50" s="38" t="s">
        <v>704</v>
      </c>
      <c r="E50" s="38" t="s">
        <v>706</v>
      </c>
      <c r="F50" s="190">
        <f>'FSC data (IDN)'!O50*('Loss factors'!$E$77/100)</f>
        <v>16.233687272727273</v>
      </c>
      <c r="G50" s="190">
        <f>'FSC data (IDN)'!P50*('Loss factors'!$F$77/100)</f>
        <v>42.815190632727273</v>
      </c>
      <c r="H50" s="190">
        <f>'FSC data (IDN)'!Q50*('Loss factors'!$G$77/100)</f>
        <v>97.316409767563627</v>
      </c>
      <c r="I50" s="190">
        <f>'FSC data (IDN)'!R50*('Loss factors'!$H$77/100)</f>
        <v>22.382774246539636</v>
      </c>
      <c r="J50" s="190">
        <f>'FSC data (IDN)'!S50*('Loss factors'!$I$77/100)</f>
        <v>10.96755938080442</v>
      </c>
      <c r="K50" s="191">
        <f t="shared" si="0"/>
        <v>189.71562130036224</v>
      </c>
      <c r="L50" s="191">
        <f t="shared" si="1"/>
        <v>1.6233687272727275E-2</v>
      </c>
      <c r="M50" s="191">
        <f t="shared" si="1"/>
        <v>4.2815190632727269E-2</v>
      </c>
      <c r="N50" s="191">
        <f t="shared" si="1"/>
        <v>9.731640976756363E-2</v>
      </c>
      <c r="O50" s="191">
        <f t="shared" si="1"/>
        <v>2.2382774246539637E-2</v>
      </c>
      <c r="P50" s="191">
        <f t="shared" si="1"/>
        <v>1.0967559380804421E-2</v>
      </c>
      <c r="Q50" s="191">
        <f t="shared" si="2"/>
        <v>0.18971562130036224</v>
      </c>
    </row>
    <row r="51" spans="1:17" x14ac:dyDescent="0.35">
      <c r="A51" s="38">
        <v>2050</v>
      </c>
      <c r="B51" s="38">
        <v>2050</v>
      </c>
      <c r="C51" s="38" t="s">
        <v>409</v>
      </c>
      <c r="D51" s="38" t="s">
        <v>707</v>
      </c>
      <c r="E51" s="38" t="s">
        <v>708</v>
      </c>
      <c r="F51" s="190">
        <f>'FSC data (IDN)'!O51*('Loss factors'!$E$78/100)</f>
        <v>244.01745812037038</v>
      </c>
      <c r="G51" s="190">
        <f>'FSC data (IDN)'!P51*('Loss factors'!$F$78/100)</f>
        <v>292.41526100592284</v>
      </c>
      <c r="H51" s="190">
        <f>'FSC data (IDN)'!Q51*('Loss factors'!$G$78/100)</f>
        <v>212.22442022964958</v>
      </c>
      <c r="I51" s="190">
        <f>'FSC data (IDN)'!R51*('Loss factors'!$H$78/100)</f>
        <v>205.90013250680596</v>
      </c>
      <c r="J51" s="190">
        <f>'FSC data (IDN)'!S51*('Loss factors'!$I$78/100)</f>
        <v>66.11984240292955</v>
      </c>
      <c r="K51" s="191">
        <f t="shared" si="0"/>
        <v>1020.6771142656784</v>
      </c>
      <c r="L51" s="191">
        <f t="shared" si="1"/>
        <v>0.24401745812037037</v>
      </c>
      <c r="M51" s="191">
        <f t="shared" si="1"/>
        <v>0.29241526100592286</v>
      </c>
      <c r="N51" s="191">
        <f t="shared" si="1"/>
        <v>0.21222442022964957</v>
      </c>
      <c r="O51" s="191">
        <f t="shared" si="1"/>
        <v>0.20590013250680597</v>
      </c>
      <c r="P51" s="191">
        <f t="shared" si="1"/>
        <v>6.6119842402929549E-2</v>
      </c>
      <c r="Q51" s="191">
        <f t="shared" si="2"/>
        <v>1.0206771142656783</v>
      </c>
    </row>
    <row r="52" spans="1:17" x14ac:dyDescent="0.35">
      <c r="Q52" s="191">
        <f>SUM(Q27:Q51)</f>
        <v>40.913037086160898</v>
      </c>
    </row>
    <row r="53" spans="1:17" x14ac:dyDescent="0.35">
      <c r="O53" s="191" t="s">
        <v>722</v>
      </c>
      <c r="P53" s="191">
        <f>SUM(Q2:Q26)</f>
        <v>37.939785180264558</v>
      </c>
    </row>
    <row r="54" spans="1:17" x14ac:dyDescent="0.35">
      <c r="O54" s="191" t="s">
        <v>723</v>
      </c>
      <c r="P54" s="191">
        <f>SUM(Q27:Q51)</f>
        <v>40.913037086160898</v>
      </c>
    </row>
  </sheetData>
  <autoFilter ref="A1:R51" xr:uid="{00000000-0001-0000-0300-000000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BA33-612A-40FB-B58B-A26BBA05DC87}">
  <sheetPr>
    <tabColor theme="6" tint="0.39997558519241921"/>
  </sheetPr>
  <dimension ref="A1:S442"/>
  <sheetViews>
    <sheetView zoomScale="60" zoomScaleNormal="60" workbookViewId="0">
      <pane ySplit="1" topLeftCell="A2" activePane="bottomLeft" state="frozen"/>
      <selection activeCell="F35" sqref="F35"/>
      <selection pane="bottomLeft"/>
    </sheetView>
  </sheetViews>
  <sheetFormatPr defaultColWidth="8.7265625" defaultRowHeight="14.5" x14ac:dyDescent="0.35"/>
  <cols>
    <col min="1" max="1" width="8" style="38" bestFit="1" customWidth="1"/>
    <col min="2" max="2" width="7.26953125" style="38" customWidth="1"/>
    <col min="3" max="3" width="10.26953125" style="38" customWidth="1"/>
    <col min="4" max="4" width="19.26953125" style="38" customWidth="1"/>
    <col min="5" max="5" width="13.453125" style="38" bestFit="1" customWidth="1"/>
    <col min="6" max="6" width="11" style="38" customWidth="1"/>
    <col min="7" max="7" width="10.453125" style="38" customWidth="1"/>
    <col min="8" max="8" width="9.453125" style="38" customWidth="1"/>
    <col min="9" max="9" width="10.54296875" style="38" customWidth="1"/>
    <col min="10" max="10" width="12.54296875" style="38" customWidth="1"/>
    <col min="11" max="11" width="5.7265625" style="38" bestFit="1" customWidth="1"/>
    <col min="12" max="12" width="7.1796875" style="38" customWidth="1"/>
    <col min="13" max="13" width="14.81640625" style="38" customWidth="1"/>
    <col min="14" max="14" width="11.54296875" bestFit="1" customWidth="1"/>
    <col min="16" max="16" width="10.453125" customWidth="1"/>
    <col min="17" max="17" width="10.7265625" customWidth="1"/>
    <col min="18" max="18" width="9.81640625" customWidth="1"/>
    <col min="19" max="19" width="10.81640625" customWidth="1"/>
  </cols>
  <sheetData>
    <row r="1" spans="1:19" s="192" customFormat="1" ht="47.5" customHeight="1" x14ac:dyDescent="0.35">
      <c r="A1" s="203" t="s">
        <v>56</v>
      </c>
      <c r="B1" s="203" t="s">
        <v>6</v>
      </c>
      <c r="C1" s="203" t="s">
        <v>345</v>
      </c>
      <c r="D1" s="203" t="s">
        <v>672</v>
      </c>
      <c r="E1" s="203" t="s">
        <v>673</v>
      </c>
      <c r="F1" s="203" t="s">
        <v>724</v>
      </c>
      <c r="G1" s="203" t="s">
        <v>725</v>
      </c>
      <c r="H1" s="203" t="s">
        <v>726</v>
      </c>
      <c r="I1" s="203" t="s">
        <v>727</v>
      </c>
      <c r="J1" s="203" t="s">
        <v>728</v>
      </c>
      <c r="K1" s="203" t="s">
        <v>729</v>
      </c>
      <c r="L1" s="203" t="s">
        <v>730</v>
      </c>
      <c r="M1" s="203" t="s">
        <v>731</v>
      </c>
      <c r="N1" s="203" t="s">
        <v>732</v>
      </c>
      <c r="O1" s="203" t="s">
        <v>733</v>
      </c>
      <c r="P1" s="203" t="s">
        <v>734</v>
      </c>
      <c r="Q1" s="203" t="s">
        <v>735</v>
      </c>
      <c r="R1" s="203" t="s">
        <v>736</v>
      </c>
      <c r="S1" s="203" t="s">
        <v>737</v>
      </c>
    </row>
    <row r="2" spans="1:19" x14ac:dyDescent="0.35">
      <c r="A2" s="38">
        <v>2020</v>
      </c>
      <c r="B2" s="38">
        <v>2020</v>
      </c>
      <c r="C2" s="38" t="s">
        <v>409</v>
      </c>
      <c r="D2" s="38" t="s">
        <v>686</v>
      </c>
      <c r="E2" s="38" t="s">
        <v>480</v>
      </c>
      <c r="F2" s="193">
        <v>0</v>
      </c>
      <c r="G2" s="194">
        <v>179</v>
      </c>
      <c r="H2" s="194">
        <v>-11</v>
      </c>
      <c r="I2" s="194">
        <v>26</v>
      </c>
      <c r="J2" s="194">
        <v>164</v>
      </c>
      <c r="K2" s="193">
        <v>0</v>
      </c>
      <c r="L2" s="193">
        <v>0</v>
      </c>
      <c r="M2" s="193">
        <v>0</v>
      </c>
      <c r="N2" s="190">
        <f>1-((K2+L2+M2)/J2)</f>
        <v>1</v>
      </c>
      <c r="O2" s="190">
        <f t="shared" ref="O2:O7" si="0">F2*N2</f>
        <v>0</v>
      </c>
      <c r="P2" s="190">
        <f>(O2-'Food loss and waste (IDN)'!F2)+(G2*N2)-(I2*N2)-(H2*N2)</f>
        <v>164</v>
      </c>
      <c r="Q2" s="190">
        <f>(P2-'Food loss and waste (IDN)'!G2)</f>
        <v>153.19239999999999</v>
      </c>
      <c r="R2" s="190">
        <f>(Q2-'Food loss and waste (IDN)'!H2)</f>
        <v>142.468932</v>
      </c>
      <c r="S2" s="190">
        <f>(R2-'Food loss and waste (IDN)'!I2)</f>
        <v>138.22335782639999</v>
      </c>
    </row>
    <row r="3" spans="1:19" x14ac:dyDescent="0.35">
      <c r="A3" s="38">
        <v>2020</v>
      </c>
      <c r="B3" s="38">
        <v>2020</v>
      </c>
      <c r="C3" s="38" t="s">
        <v>409</v>
      </c>
      <c r="D3" s="38" t="s">
        <v>686</v>
      </c>
      <c r="E3" s="38" t="s">
        <v>687</v>
      </c>
      <c r="F3" s="194">
        <v>16926</v>
      </c>
      <c r="G3" s="194">
        <v>1561</v>
      </c>
      <c r="H3" s="194">
        <v>928</v>
      </c>
      <c r="I3" s="194">
        <v>156</v>
      </c>
      <c r="J3" s="194">
        <v>17403</v>
      </c>
      <c r="K3" s="194">
        <v>3710</v>
      </c>
      <c r="L3" s="194">
        <v>107</v>
      </c>
      <c r="M3" s="194">
        <v>12438</v>
      </c>
      <c r="N3" s="190">
        <f t="shared" ref="N3:N51" si="1">1-((K3+L3+M3)/J3)</f>
        <v>6.5965638108372082E-2</v>
      </c>
      <c r="O3" s="190">
        <f t="shared" si="0"/>
        <v>1116.5343906223059</v>
      </c>
      <c r="P3" s="190">
        <f>(O3-'Food loss and waste (IDN)'!F3)+(G3*N3)-(I3*N3)-(H3*N3)</f>
        <v>1081.0079365626609</v>
      </c>
      <c r="Q3" s="190">
        <f>(P3-'Food loss and waste (IDN)'!G3)</f>
        <v>1009.7695135431816</v>
      </c>
      <c r="R3" s="190">
        <f>(Q3-'Food loss and waste (IDN)'!H3)</f>
        <v>939.08564759515889</v>
      </c>
      <c r="S3" s="190">
        <f>(R3-'Food loss and waste (IDN)'!I3)</f>
        <v>911.10089529682318</v>
      </c>
    </row>
    <row r="4" spans="1:19" x14ac:dyDescent="0.35">
      <c r="A4" s="38">
        <v>2020</v>
      </c>
      <c r="B4" s="38">
        <v>2020</v>
      </c>
      <c r="C4" s="38" t="s">
        <v>409</v>
      </c>
      <c r="D4" s="38" t="s">
        <v>686</v>
      </c>
      <c r="E4" s="38" t="s">
        <v>508</v>
      </c>
      <c r="F4" s="193">
        <v>0</v>
      </c>
      <c r="G4" s="194">
        <v>76</v>
      </c>
      <c r="H4" s="194">
        <v>0</v>
      </c>
      <c r="I4" s="193">
        <v>0</v>
      </c>
      <c r="J4" s="194">
        <v>76</v>
      </c>
      <c r="K4" s="194">
        <v>53</v>
      </c>
      <c r="L4" s="193">
        <v>0</v>
      </c>
      <c r="M4" s="193">
        <v>0</v>
      </c>
      <c r="N4" s="190">
        <f t="shared" si="1"/>
        <v>0.30263157894736847</v>
      </c>
      <c r="O4" s="190">
        <f t="shared" si="0"/>
        <v>0</v>
      </c>
      <c r="P4" s="190">
        <f>(O4-'Food loss and waste (IDN)'!F4)+(G4*N4)-(I4*N4)-(H4*N4)</f>
        <v>23.000000000000004</v>
      </c>
      <c r="Q4" s="190">
        <f>(P4-'Food loss and waste (IDN)'!G4)</f>
        <v>21.484300000000005</v>
      </c>
      <c r="R4" s="190">
        <f>(Q4-'Food loss and waste (IDN)'!H4)</f>
        <v>19.980399000000006</v>
      </c>
      <c r="S4" s="190">
        <f>(R4-'Food loss and waste (IDN)'!I4)</f>
        <v>19.384983109800004</v>
      </c>
    </row>
    <row r="5" spans="1:19" x14ac:dyDescent="0.35">
      <c r="A5" s="38">
        <v>2020</v>
      </c>
      <c r="B5" s="38">
        <v>2020</v>
      </c>
      <c r="C5" s="38" t="s">
        <v>409</v>
      </c>
      <c r="D5" s="38" t="s">
        <v>686</v>
      </c>
      <c r="E5" s="38" t="s">
        <v>688</v>
      </c>
      <c r="F5" s="193">
        <v>0</v>
      </c>
      <c r="G5" s="194">
        <v>17</v>
      </c>
      <c r="H5" s="194">
        <v>0</v>
      </c>
      <c r="I5" s="194">
        <v>0</v>
      </c>
      <c r="J5" s="194">
        <v>17</v>
      </c>
      <c r="K5" s="194">
        <v>0</v>
      </c>
      <c r="L5" s="193">
        <v>0</v>
      </c>
      <c r="M5" s="193">
        <v>0</v>
      </c>
      <c r="N5" s="190">
        <f t="shared" si="1"/>
        <v>1</v>
      </c>
      <c r="O5" s="190">
        <f t="shared" si="0"/>
        <v>0</v>
      </c>
      <c r="P5" s="190">
        <f>(O5-'Food loss and waste (IDN)'!F5)+(G5*N5)-(I5*N5)-(H5*N5)</f>
        <v>17</v>
      </c>
      <c r="Q5" s="190">
        <f>(P5-'Food loss and waste (IDN)'!G5)</f>
        <v>15.8797</v>
      </c>
      <c r="R5" s="190">
        <f>(Q5-'Food loss and waste (IDN)'!H5)</f>
        <v>14.768120999999999</v>
      </c>
      <c r="S5" s="190">
        <f>(R5-'Food loss and waste (IDN)'!I5)</f>
        <v>14.328030994199999</v>
      </c>
    </row>
    <row r="6" spans="1:19" x14ac:dyDescent="0.35">
      <c r="A6" s="38">
        <v>2020</v>
      </c>
      <c r="B6" s="38">
        <v>2020</v>
      </c>
      <c r="C6" s="38" t="s">
        <v>409</v>
      </c>
      <c r="D6" s="38" t="s">
        <v>686</v>
      </c>
      <c r="E6" s="38" t="s">
        <v>512</v>
      </c>
      <c r="F6" s="194">
        <v>2</v>
      </c>
      <c r="G6" s="194">
        <v>6</v>
      </c>
      <c r="H6" s="194">
        <v>0</v>
      </c>
      <c r="I6" s="194">
        <v>2</v>
      </c>
      <c r="J6" s="194">
        <v>6</v>
      </c>
      <c r="K6" s="194">
        <v>5</v>
      </c>
      <c r="L6" s="193">
        <v>0</v>
      </c>
      <c r="M6" s="193">
        <v>0</v>
      </c>
      <c r="N6" s="190">
        <f t="shared" si="1"/>
        <v>0.16666666666666663</v>
      </c>
      <c r="O6" s="190">
        <f t="shared" si="0"/>
        <v>0.33333333333333326</v>
      </c>
      <c r="P6" s="190">
        <f>(O6-'Food loss and waste (IDN)'!F6)+(G6*N6)-(I6*N6)-(H6*N6)</f>
        <v>0.97999999999999976</v>
      </c>
      <c r="Q6" s="190">
        <f>(P6-'Food loss and waste (IDN)'!G6)</f>
        <v>0.91541799999999973</v>
      </c>
      <c r="R6" s="190">
        <f>(Q6-'Food loss and waste (IDN)'!H6)</f>
        <v>0.85133873999999976</v>
      </c>
      <c r="S6" s="190">
        <f>(R6-'Food loss and waste (IDN)'!I6)</f>
        <v>0.82596884554799976</v>
      </c>
    </row>
    <row r="7" spans="1:19" x14ac:dyDescent="0.35">
      <c r="A7" s="38">
        <v>2020</v>
      </c>
      <c r="B7" s="38">
        <v>2020</v>
      </c>
      <c r="C7" s="38" t="s">
        <v>409</v>
      </c>
      <c r="D7" s="38" t="s">
        <v>686</v>
      </c>
      <c r="E7" s="38" t="s">
        <v>689</v>
      </c>
      <c r="F7" s="194">
        <v>54649</v>
      </c>
      <c r="G7" s="194">
        <v>583</v>
      </c>
      <c r="H7" s="194">
        <v>-1862</v>
      </c>
      <c r="I7" s="194">
        <v>6</v>
      </c>
      <c r="J7" s="194">
        <v>57088</v>
      </c>
      <c r="K7" s="194">
        <v>1839</v>
      </c>
      <c r="L7" s="194">
        <v>276</v>
      </c>
      <c r="M7" s="194">
        <v>26</v>
      </c>
      <c r="N7" s="190">
        <f t="shared" si="1"/>
        <v>0.96249649663677128</v>
      </c>
      <c r="O7" s="190">
        <f t="shared" si="0"/>
        <v>52599.471044702914</v>
      </c>
      <c r="P7" s="190">
        <f>(O7-'Food loss and waste (IDN)'!F7)+(G7*N7)-(I7*N7)-(H7*N7)</f>
        <v>51791.031737317826</v>
      </c>
      <c r="Q7" s="190">
        <f>(P7-'Food loss and waste (IDN)'!G7)</f>
        <v>48378.002745828584</v>
      </c>
      <c r="R7" s="190">
        <f>(Q7-'Food loss and waste (IDN)'!H7)</f>
        <v>44991.54255362058</v>
      </c>
      <c r="S7" s="190">
        <f>(R7-'Food loss and waste (IDN)'!I7)</f>
        <v>43650.794585522686</v>
      </c>
    </row>
    <row r="8" spans="1:19" x14ac:dyDescent="0.35">
      <c r="A8" s="38">
        <v>2020</v>
      </c>
      <c r="B8" s="38">
        <v>2020</v>
      </c>
      <c r="C8" s="38" t="s">
        <v>409</v>
      </c>
      <c r="D8" s="38" t="s">
        <v>686</v>
      </c>
      <c r="E8" s="38" t="s">
        <v>690</v>
      </c>
      <c r="F8" s="190" t="s">
        <v>142</v>
      </c>
      <c r="G8" s="190" t="s">
        <v>142</v>
      </c>
      <c r="H8" s="190" t="s">
        <v>142</v>
      </c>
      <c r="I8" s="190" t="s">
        <v>142</v>
      </c>
      <c r="J8" s="190" t="s">
        <v>142</v>
      </c>
      <c r="K8" s="190" t="s">
        <v>142</v>
      </c>
      <c r="L8" s="190" t="s">
        <v>142</v>
      </c>
      <c r="M8" s="190" t="s">
        <v>142</v>
      </c>
      <c r="N8" s="190" t="s">
        <v>142</v>
      </c>
      <c r="O8" s="190" t="s">
        <v>142</v>
      </c>
      <c r="P8" s="190" t="s">
        <v>142</v>
      </c>
      <c r="Q8" s="190" t="s">
        <v>142</v>
      </c>
      <c r="R8" s="190" t="s">
        <v>142</v>
      </c>
      <c r="S8" s="190" t="s">
        <v>142</v>
      </c>
    </row>
    <row r="9" spans="1:19" x14ac:dyDescent="0.35">
      <c r="A9" s="38">
        <v>2020</v>
      </c>
      <c r="B9" s="38">
        <v>2020</v>
      </c>
      <c r="C9" s="38" t="s">
        <v>409</v>
      </c>
      <c r="D9" s="38" t="s">
        <v>686</v>
      </c>
      <c r="E9" s="38" t="s">
        <v>532</v>
      </c>
      <c r="F9" s="190" t="s">
        <v>142</v>
      </c>
      <c r="G9" s="190" t="s">
        <v>142</v>
      </c>
      <c r="H9" s="190" t="s">
        <v>142</v>
      </c>
      <c r="I9" s="190" t="s">
        <v>142</v>
      </c>
      <c r="J9" s="190" t="s">
        <v>142</v>
      </c>
      <c r="K9" s="190" t="s">
        <v>142</v>
      </c>
      <c r="L9" s="190" t="s">
        <v>142</v>
      </c>
      <c r="M9" s="190" t="s">
        <v>142</v>
      </c>
      <c r="N9" s="190" t="s">
        <v>142</v>
      </c>
      <c r="O9" s="190" t="s">
        <v>142</v>
      </c>
      <c r="P9" s="190" t="s">
        <v>142</v>
      </c>
      <c r="Q9" s="190" t="s">
        <v>142</v>
      </c>
      <c r="R9" s="190" t="s">
        <v>142</v>
      </c>
      <c r="S9" s="190" t="s">
        <v>142</v>
      </c>
    </row>
    <row r="10" spans="1:19" x14ac:dyDescent="0.35">
      <c r="A10" s="38">
        <v>2020</v>
      </c>
      <c r="B10" s="38">
        <v>2020</v>
      </c>
      <c r="C10" s="38" t="s">
        <v>409</v>
      </c>
      <c r="D10" s="38" t="s">
        <v>686</v>
      </c>
      <c r="E10" s="38" t="s">
        <v>541</v>
      </c>
      <c r="F10" s="193">
        <v>0</v>
      </c>
      <c r="G10" s="194">
        <v>10551</v>
      </c>
      <c r="H10" s="194">
        <v>232</v>
      </c>
      <c r="I10" s="194">
        <v>519</v>
      </c>
      <c r="J10" s="194">
        <v>9801</v>
      </c>
      <c r="K10" s="194">
        <v>1</v>
      </c>
      <c r="L10" s="194">
        <v>0</v>
      </c>
      <c r="M10" s="194">
        <v>173</v>
      </c>
      <c r="N10" s="190">
        <f t="shared" si="1"/>
        <v>0.98224670951943682</v>
      </c>
      <c r="O10" s="190">
        <f t="shared" ref="O10:O51" si="2">F10*N10</f>
        <v>0</v>
      </c>
      <c r="P10" s="190">
        <f>(O10-'Food loss and waste (IDN)'!F10)+(G10*N10)-(I10*N10)-(H10*N10)</f>
        <v>9626.01775329048</v>
      </c>
      <c r="Q10" s="190">
        <f>(P10-'Food loss and waste (IDN)'!G10)</f>
        <v>8991.6631833486372</v>
      </c>
      <c r="R10" s="190">
        <f>(Q10-'Food loss and waste (IDN)'!H10)</f>
        <v>8362.2467605142319</v>
      </c>
      <c r="S10" s="190">
        <f>(R10-'Food loss and waste (IDN)'!I10)</f>
        <v>8113.0518070509079</v>
      </c>
    </row>
    <row r="11" spans="1:19" x14ac:dyDescent="0.35">
      <c r="A11" s="38">
        <v>2020</v>
      </c>
      <c r="B11" s="38">
        <v>2020</v>
      </c>
      <c r="C11" s="38" t="s">
        <v>409</v>
      </c>
      <c r="D11" s="38" t="s">
        <v>691</v>
      </c>
      <c r="E11" s="38" t="s">
        <v>692</v>
      </c>
      <c r="F11" s="194">
        <v>153</v>
      </c>
      <c r="G11" s="193">
        <v>0</v>
      </c>
      <c r="H11" s="193">
        <v>0</v>
      </c>
      <c r="I11" s="193">
        <v>0</v>
      </c>
      <c r="J11" s="194">
        <v>153</v>
      </c>
      <c r="K11" s="193">
        <v>0</v>
      </c>
      <c r="L11" s="193">
        <v>0</v>
      </c>
      <c r="M11" s="193">
        <v>0</v>
      </c>
      <c r="N11" s="190">
        <f t="shared" si="1"/>
        <v>1</v>
      </c>
      <c r="O11" s="190">
        <f t="shared" si="2"/>
        <v>153</v>
      </c>
      <c r="P11" s="190">
        <f>(O11-'Food loss and waste (IDN)'!F11)+(G11*N11)-(I11*N11)-(H11*N11)</f>
        <v>139.6737</v>
      </c>
      <c r="Q11" s="190">
        <f>(P11-'Food loss and waste (IDN)'!G11)</f>
        <v>125.88790580999999</v>
      </c>
      <c r="R11" s="190">
        <f>(Q11-'Food loss and waste (IDN)'!H11)</f>
        <v>94.415929357499991</v>
      </c>
      <c r="S11" s="190">
        <f>(R11-'Food loss and waste (IDN)'!I11)</f>
        <v>82.179624912767991</v>
      </c>
    </row>
    <row r="12" spans="1:19" x14ac:dyDescent="0.35">
      <c r="A12" s="38">
        <v>2020</v>
      </c>
      <c r="B12" s="38">
        <v>2020</v>
      </c>
      <c r="C12" s="38" t="s">
        <v>409</v>
      </c>
      <c r="D12" s="38" t="s">
        <v>691</v>
      </c>
      <c r="E12" s="38" t="s">
        <v>356</v>
      </c>
      <c r="F12" s="194">
        <v>8183</v>
      </c>
      <c r="G12" s="194">
        <v>0</v>
      </c>
      <c r="H12" s="193">
        <v>0</v>
      </c>
      <c r="I12" s="194">
        <v>8</v>
      </c>
      <c r="J12" s="194">
        <v>8175</v>
      </c>
      <c r="K12" s="193">
        <v>0</v>
      </c>
      <c r="L12" s="193">
        <v>0</v>
      </c>
      <c r="M12" s="193">
        <v>0</v>
      </c>
      <c r="N12" s="190">
        <f t="shared" si="1"/>
        <v>1</v>
      </c>
      <c r="O12" s="190">
        <f t="shared" si="2"/>
        <v>8183</v>
      </c>
      <c r="P12" s="190">
        <f>(O12-'Food loss and waste (IDN)'!F12)+(G12*N12)-(I12*N12)-(H12*N12)</f>
        <v>7462.2606999999998</v>
      </c>
      <c r="Q12" s="190">
        <f>(P12-'Food loss and waste (IDN)'!G12)</f>
        <v>6725.7355689099995</v>
      </c>
      <c r="R12" s="190">
        <f>(Q12-'Food loss and waste (IDN)'!H12)</f>
        <v>5044.3016766824994</v>
      </c>
      <c r="S12" s="190">
        <f>(R12-'Food loss and waste (IDN)'!I12)</f>
        <v>4390.5601793844471</v>
      </c>
    </row>
    <row r="13" spans="1:19" x14ac:dyDescent="0.35">
      <c r="A13" s="38">
        <v>2020</v>
      </c>
      <c r="B13" s="38">
        <v>2020</v>
      </c>
      <c r="C13" s="38" t="s">
        <v>409</v>
      </c>
      <c r="D13" s="38" t="s">
        <v>691</v>
      </c>
      <c r="E13" s="38" t="s">
        <v>693</v>
      </c>
      <c r="F13" s="194">
        <v>9</v>
      </c>
      <c r="G13" s="193">
        <v>0</v>
      </c>
      <c r="H13" s="193">
        <v>0</v>
      </c>
      <c r="I13" s="193">
        <v>0</v>
      </c>
      <c r="J13" s="194">
        <v>9</v>
      </c>
      <c r="K13" s="193">
        <v>0</v>
      </c>
      <c r="L13" s="193">
        <v>0</v>
      </c>
      <c r="M13" s="193">
        <v>0</v>
      </c>
      <c r="N13" s="190">
        <f t="shared" si="1"/>
        <v>1</v>
      </c>
      <c r="O13" s="190">
        <f t="shared" si="2"/>
        <v>9</v>
      </c>
      <c r="P13" s="190">
        <f>(O13-'Food loss and waste (IDN)'!F13)+(G13*N13)-(I13*N13)-(H13*N13)</f>
        <v>8.2161000000000008</v>
      </c>
      <c r="Q13" s="190">
        <f>(P13-'Food loss and waste (IDN)'!G13)</f>
        <v>7.4051709300000006</v>
      </c>
      <c r="R13" s="190">
        <f>(Q13-'Food loss and waste (IDN)'!H13)</f>
        <v>5.5538781975000004</v>
      </c>
      <c r="S13" s="190">
        <f>(R13-'Food loss and waste (IDN)'!I13)</f>
        <v>4.8340955831040002</v>
      </c>
    </row>
    <row r="14" spans="1:19" x14ac:dyDescent="0.35">
      <c r="A14" s="38">
        <v>2020</v>
      </c>
      <c r="B14" s="38">
        <v>2020</v>
      </c>
      <c r="C14" s="38" t="s">
        <v>409</v>
      </c>
      <c r="D14" s="38" t="s">
        <v>691</v>
      </c>
      <c r="E14" s="38" t="s">
        <v>694</v>
      </c>
      <c r="F14" s="193">
        <v>0</v>
      </c>
      <c r="G14" s="194">
        <v>92</v>
      </c>
      <c r="H14" s="194">
        <v>-1</v>
      </c>
      <c r="I14" s="193">
        <v>0</v>
      </c>
      <c r="J14" s="194">
        <v>93</v>
      </c>
      <c r="K14" s="193">
        <v>0</v>
      </c>
      <c r="L14" s="193">
        <v>0</v>
      </c>
      <c r="M14" s="193">
        <v>0</v>
      </c>
      <c r="N14" s="190">
        <f t="shared" si="1"/>
        <v>1</v>
      </c>
      <c r="O14" s="190">
        <f t="shared" si="2"/>
        <v>0</v>
      </c>
      <c r="P14" s="190">
        <f>(O14-'Food loss and waste (IDN)'!F14)+(G14*N14)-(I14*N14)-(H14*N14)</f>
        <v>93</v>
      </c>
      <c r="Q14" s="190">
        <f>(P14-'Food loss and waste (IDN)'!G14)</f>
        <v>83.820899999999995</v>
      </c>
      <c r="R14" s="190">
        <f>(Q14-'Food loss and waste (IDN)'!H14)</f>
        <v>62.865674999999996</v>
      </c>
      <c r="S14" s="190">
        <f>(R14-'Food loss and waste (IDN)'!I14)</f>
        <v>54.718283519999993</v>
      </c>
    </row>
    <row r="15" spans="1:19" x14ac:dyDescent="0.35">
      <c r="A15" s="38">
        <v>2020</v>
      </c>
      <c r="B15" s="38">
        <v>2020</v>
      </c>
      <c r="C15" s="38" t="s">
        <v>409</v>
      </c>
      <c r="D15" s="38" t="s">
        <v>691</v>
      </c>
      <c r="E15" s="38" t="s">
        <v>514</v>
      </c>
      <c r="F15" s="194">
        <v>8752</v>
      </c>
      <c r="G15" s="194">
        <v>293</v>
      </c>
      <c r="H15" s="194">
        <v>0</v>
      </c>
      <c r="I15" s="194">
        <v>104</v>
      </c>
      <c r="J15" s="193">
        <v>8941</v>
      </c>
      <c r="K15" s="193">
        <v>0</v>
      </c>
      <c r="L15" s="193">
        <v>0</v>
      </c>
      <c r="M15" s="193">
        <v>0</v>
      </c>
      <c r="N15" s="190">
        <f>1-((K15+L15+M15)/J15)</f>
        <v>1</v>
      </c>
      <c r="O15" s="190">
        <f t="shared" si="2"/>
        <v>8752</v>
      </c>
      <c r="P15" s="190">
        <f>(O15-'Food loss and waste (IDN)'!F15)+(G15*N15)-(I15*N15)-(H15*N15)</f>
        <v>8178.7007999999987</v>
      </c>
      <c r="Q15" s="190">
        <f>(P15-'Food loss and waste (IDN)'!G15)</f>
        <v>7371.4630310399989</v>
      </c>
      <c r="R15" s="190">
        <f>(Q15-'Food loss and waste (IDN)'!H15)</f>
        <v>5528.5972732799992</v>
      </c>
      <c r="S15" s="190">
        <f>(R15-'Food loss and waste (IDN)'!I15)</f>
        <v>4812.0910666629115</v>
      </c>
    </row>
    <row r="16" spans="1:19" x14ac:dyDescent="0.35">
      <c r="A16" s="38">
        <v>2020</v>
      </c>
      <c r="B16" s="38">
        <v>2020</v>
      </c>
      <c r="C16" s="38" t="s">
        <v>409</v>
      </c>
      <c r="D16" s="38" t="s">
        <v>691</v>
      </c>
      <c r="E16" s="38" t="s">
        <v>695</v>
      </c>
      <c r="F16" s="194">
        <v>10561</v>
      </c>
      <c r="G16" s="194">
        <v>666</v>
      </c>
      <c r="H16" s="194">
        <v>0</v>
      </c>
      <c r="I16" s="194">
        <v>102</v>
      </c>
      <c r="J16" s="194">
        <v>11124</v>
      </c>
      <c r="K16" s="193">
        <v>0</v>
      </c>
      <c r="L16" s="193">
        <v>0</v>
      </c>
      <c r="M16" s="193">
        <v>0</v>
      </c>
      <c r="N16" s="190">
        <f t="shared" si="1"/>
        <v>1</v>
      </c>
      <c r="O16" s="190">
        <f t="shared" si="2"/>
        <v>10561</v>
      </c>
      <c r="P16" s="190">
        <f>(O16-'Food loss and waste (IDN)'!F16)+(G16*N16)-(I16*N16)-(H16*N16)</f>
        <v>10205.1369</v>
      </c>
      <c r="Q16" s="190">
        <f>(P16-'Food loss and waste (IDN)'!G16)</f>
        <v>9197.8898879699991</v>
      </c>
      <c r="R16" s="190">
        <f>(Q16-'Food loss and waste (IDN)'!H16)</f>
        <v>6898.4174159774993</v>
      </c>
      <c r="S16" s="190">
        <f>(R16-'Food loss and waste (IDN)'!I16)</f>
        <v>6004.3825188668152</v>
      </c>
    </row>
    <row r="17" spans="1:19" x14ac:dyDescent="0.35">
      <c r="A17" s="38">
        <v>2020</v>
      </c>
      <c r="B17" s="38">
        <v>2020</v>
      </c>
      <c r="C17" s="38" t="s">
        <v>409</v>
      </c>
      <c r="D17" s="38" t="s">
        <v>696</v>
      </c>
      <c r="E17" s="38" t="s">
        <v>697</v>
      </c>
      <c r="F17" s="193">
        <v>10361</v>
      </c>
      <c r="G17" s="193">
        <v>618</v>
      </c>
      <c r="H17" s="194">
        <v>0</v>
      </c>
      <c r="I17" s="193">
        <v>803</v>
      </c>
      <c r="J17" s="193">
        <v>10176</v>
      </c>
      <c r="K17" s="193">
        <v>490</v>
      </c>
      <c r="L17" s="194">
        <v>0</v>
      </c>
      <c r="M17" s="194">
        <v>0</v>
      </c>
      <c r="N17" s="190">
        <f t="shared" si="1"/>
        <v>0.95184748427672961</v>
      </c>
      <c r="O17" s="190">
        <f t="shared" si="2"/>
        <v>9862.0917845911954</v>
      </c>
      <c r="P17" s="190">
        <f>(O17-'Food loss and waste (IDN)'!F17)+(G17*N17)-(I17*N17)-(H17*N17)</f>
        <v>8877.3084736635246</v>
      </c>
      <c r="Q17" s="190">
        <f>(P17-'Food loss and waste (IDN)'!G17)</f>
        <v>6616.258005421425</v>
      </c>
      <c r="R17" s="190">
        <f>(Q17-'Food loss and waste (IDN)'!H17)</f>
        <v>6020.7947849334969</v>
      </c>
      <c r="S17" s="190">
        <f>(R17-'Food loss and waste (IDN)'!I17)</f>
        <v>5278.4307879511962</v>
      </c>
    </row>
    <row r="18" spans="1:19" x14ac:dyDescent="0.35">
      <c r="A18" s="38">
        <v>2020</v>
      </c>
      <c r="B18" s="38">
        <v>2020</v>
      </c>
      <c r="C18" s="38" t="s">
        <v>409</v>
      </c>
      <c r="D18" s="38" t="s">
        <v>698</v>
      </c>
      <c r="E18" s="38" t="s">
        <v>699</v>
      </c>
      <c r="F18" s="194">
        <v>472</v>
      </c>
      <c r="G18" s="194">
        <v>228</v>
      </c>
      <c r="H18" s="194">
        <v>0</v>
      </c>
      <c r="I18" s="194">
        <v>2</v>
      </c>
      <c r="J18" s="194">
        <v>698</v>
      </c>
      <c r="K18" s="193">
        <v>0</v>
      </c>
      <c r="L18" s="193">
        <v>0</v>
      </c>
      <c r="M18" s="193">
        <v>0</v>
      </c>
      <c r="N18" s="190">
        <f t="shared" si="1"/>
        <v>1</v>
      </c>
      <c r="O18" s="190">
        <f t="shared" si="2"/>
        <v>472</v>
      </c>
      <c r="P18" s="190">
        <f>(O18-'Food loss and waste (IDN)'!F18)+(G18*N18)-(I18*N18)-(H18*N18)</f>
        <v>650.79999999999995</v>
      </c>
      <c r="Q18" s="190">
        <f>(P18-'Food loss and waste (IDN)'!G18)</f>
        <v>649.43331999999998</v>
      </c>
      <c r="R18" s="190">
        <f>(Q18-'Food loss and waste (IDN)'!H18)</f>
        <v>616.96165399999995</v>
      </c>
      <c r="S18" s="190">
        <f>(R18-'Food loss and waste (IDN)'!I18)</f>
        <v>573.77433822</v>
      </c>
    </row>
    <row r="19" spans="1:19" x14ac:dyDescent="0.35">
      <c r="A19" s="38">
        <v>2020</v>
      </c>
      <c r="B19" s="38">
        <v>2020</v>
      </c>
      <c r="C19" s="38" t="s">
        <v>409</v>
      </c>
      <c r="D19" s="38" t="s">
        <v>698</v>
      </c>
      <c r="E19" s="38" t="s">
        <v>700</v>
      </c>
      <c r="F19" s="194">
        <v>116</v>
      </c>
      <c r="G19" s="194">
        <v>1</v>
      </c>
      <c r="H19" s="194">
        <v>0</v>
      </c>
      <c r="I19" s="194">
        <v>0</v>
      </c>
      <c r="J19" s="194">
        <v>117</v>
      </c>
      <c r="K19" s="193">
        <v>0</v>
      </c>
      <c r="L19" s="193">
        <v>0</v>
      </c>
      <c r="M19" s="193">
        <v>0</v>
      </c>
      <c r="N19" s="190">
        <f t="shared" si="1"/>
        <v>1</v>
      </c>
      <c r="O19" s="190">
        <f t="shared" si="2"/>
        <v>116</v>
      </c>
      <c r="P19" s="190">
        <f>(O19-'Food loss and waste (IDN)'!F19)+(G19*N19)-(I19*N19)-(H19*N19)</f>
        <v>105.4</v>
      </c>
      <c r="Q19" s="190">
        <f>(P19-'Food loss and waste (IDN)'!G19)</f>
        <v>105.1892</v>
      </c>
      <c r="R19" s="190">
        <f>(Q19-'Food loss and waste (IDN)'!H19)</f>
        <v>99.929739999999995</v>
      </c>
      <c r="S19" s="190">
        <f>(R19-'Food loss and waste (IDN)'!I19)</f>
        <v>92.934658200000001</v>
      </c>
    </row>
    <row r="20" spans="1:19" x14ac:dyDescent="0.35">
      <c r="A20" s="38">
        <v>2020</v>
      </c>
      <c r="B20" s="38">
        <v>2020</v>
      </c>
      <c r="C20" s="38" t="s">
        <v>409</v>
      </c>
      <c r="D20" s="38" t="s">
        <v>698</v>
      </c>
      <c r="E20" s="38" t="s">
        <v>521</v>
      </c>
      <c r="F20" s="194">
        <v>281</v>
      </c>
      <c r="G20" s="194">
        <v>3</v>
      </c>
      <c r="H20" s="194">
        <v>0</v>
      </c>
      <c r="I20" s="194">
        <v>0</v>
      </c>
      <c r="J20" s="194">
        <v>283</v>
      </c>
      <c r="K20" s="193">
        <v>0</v>
      </c>
      <c r="L20" s="193">
        <v>0</v>
      </c>
      <c r="M20" s="193">
        <v>0</v>
      </c>
      <c r="N20" s="190">
        <f t="shared" si="1"/>
        <v>1</v>
      </c>
      <c r="O20" s="190">
        <f t="shared" si="2"/>
        <v>281</v>
      </c>
      <c r="P20" s="190">
        <f>(O20-'Food loss and waste (IDN)'!F20)+(G20*N20)-(I20*N20)-(H20*N20)</f>
        <v>267.14</v>
      </c>
      <c r="Q20" s="190">
        <f>(P20-'Food loss and waste (IDN)'!G20)</f>
        <v>265.88444199999998</v>
      </c>
      <c r="R20" s="190">
        <f>(Q20-'Food loss and waste (IDN)'!H20)</f>
        <v>252.59021989999997</v>
      </c>
      <c r="S20" s="190">
        <f>(R20-'Food loss and waste (IDN)'!I20)</f>
        <v>234.90890450699996</v>
      </c>
    </row>
    <row r="21" spans="1:19" x14ac:dyDescent="0.35">
      <c r="A21" s="38">
        <v>2020</v>
      </c>
      <c r="B21" s="38">
        <v>2020</v>
      </c>
      <c r="C21" s="38" t="s">
        <v>409</v>
      </c>
      <c r="D21" s="38" t="s">
        <v>698</v>
      </c>
      <c r="E21" s="38" t="s">
        <v>252</v>
      </c>
      <c r="F21" s="194">
        <v>3683</v>
      </c>
      <c r="G21" s="194">
        <v>0</v>
      </c>
      <c r="H21" s="194">
        <v>1</v>
      </c>
      <c r="I21" s="194">
        <v>0</v>
      </c>
      <c r="J21" s="194">
        <v>3682</v>
      </c>
      <c r="K21" s="193">
        <v>0</v>
      </c>
      <c r="L21" s="193">
        <v>0</v>
      </c>
      <c r="M21" s="193">
        <v>0</v>
      </c>
      <c r="N21" s="190">
        <f t="shared" si="1"/>
        <v>1</v>
      </c>
      <c r="O21" s="190">
        <f t="shared" si="2"/>
        <v>3683</v>
      </c>
      <c r="P21" s="190">
        <f>(O21-'Food loss and waste (IDN)'!F21)+(G21*N21)-(I21*N21)-(H21*N21)</f>
        <v>3461.02</v>
      </c>
      <c r="Q21" s="190">
        <f>(P21-'Food loss and waste (IDN)'!G21)</f>
        <v>3444.7532059999999</v>
      </c>
      <c r="R21" s="190">
        <f>(Q21-'Food loss and waste (IDN)'!H21)</f>
        <v>3272.5155457000001</v>
      </c>
      <c r="S21" s="190">
        <f>(R21-'Food loss and waste (IDN)'!I21)</f>
        <v>3043.4394575010001</v>
      </c>
    </row>
    <row r="22" spans="1:19" x14ac:dyDescent="0.35">
      <c r="A22" s="38">
        <v>2020</v>
      </c>
      <c r="B22" s="38">
        <v>2020</v>
      </c>
      <c r="C22" s="38" t="s">
        <v>409</v>
      </c>
      <c r="D22" s="38" t="s">
        <v>701</v>
      </c>
      <c r="E22" s="38" t="s">
        <v>702</v>
      </c>
      <c r="F22" s="194">
        <v>5491</v>
      </c>
      <c r="G22" s="194">
        <v>8</v>
      </c>
      <c r="H22" s="194">
        <v>0</v>
      </c>
      <c r="I22" s="194">
        <v>0</v>
      </c>
      <c r="J22" s="194">
        <v>5499</v>
      </c>
      <c r="K22" s="193">
        <v>0</v>
      </c>
      <c r="L22" s="194">
        <v>678</v>
      </c>
      <c r="M22" s="194">
        <v>1</v>
      </c>
      <c r="N22" s="190">
        <f t="shared" si="1"/>
        <v>0.87652300418257867</v>
      </c>
      <c r="O22" s="190">
        <f t="shared" si="2"/>
        <v>4812.9878159665395</v>
      </c>
      <c r="P22" s="190">
        <f>(O22-'Food loss and waste (IDN)'!F22)+(G22*N22)-(I22*N22)-(H22*N22)</f>
        <v>4434.9609747226768</v>
      </c>
      <c r="Q22" s="190">
        <f>(P22-'Food loss and waste (IDN)'!G22)</f>
        <v>4114.3132962502277</v>
      </c>
      <c r="R22" s="190">
        <f>(Q22-'Food loss and waste (IDN)'!H22)</f>
        <v>4110.1989829539771</v>
      </c>
      <c r="S22" s="190">
        <f>(R22-'Food loss and waste (IDN)'!I22)</f>
        <v>3986.8930134653579</v>
      </c>
    </row>
    <row r="23" spans="1:19" x14ac:dyDescent="0.35">
      <c r="A23" s="38">
        <v>2020</v>
      </c>
      <c r="B23" s="38">
        <v>2020</v>
      </c>
      <c r="C23" s="38" t="s">
        <v>409</v>
      </c>
      <c r="D23" s="38" t="s">
        <v>701</v>
      </c>
      <c r="E23" s="38" t="s">
        <v>703</v>
      </c>
      <c r="F23" s="194">
        <v>1565</v>
      </c>
      <c r="G23" s="194">
        <v>7791</v>
      </c>
      <c r="H23" s="194">
        <v>1</v>
      </c>
      <c r="I23" s="194">
        <v>275</v>
      </c>
      <c r="J23" s="194">
        <v>9081</v>
      </c>
      <c r="K23" s="194">
        <v>4449</v>
      </c>
      <c r="L23" s="193">
        <v>0</v>
      </c>
      <c r="M23" s="194">
        <v>182</v>
      </c>
      <c r="N23" s="190">
        <f t="shared" si="1"/>
        <v>0.49003413720955846</v>
      </c>
      <c r="O23" s="190">
        <f t="shared" si="2"/>
        <v>766.90342473295902</v>
      </c>
      <c r="P23" s="190">
        <f>(O23-'Food loss and waste (IDN)'!F23)+(G23*N23)-(I23*N23)-(H23*N23)</f>
        <v>4422.6683459971364</v>
      </c>
      <c r="Q23" s="190">
        <f>(P23-'Food loss and waste (IDN)'!G23)</f>
        <v>4215.6874674044702</v>
      </c>
      <c r="R23" s="190">
        <f>(Q23-'Food loss and waste (IDN)'!H23)</f>
        <v>4131.3737180563812</v>
      </c>
      <c r="S23" s="190">
        <f>(R23-'Food loss and waste (IDN)'!I23)</f>
        <v>3718.2363462507428</v>
      </c>
    </row>
    <row r="24" spans="1:19" x14ac:dyDescent="0.35">
      <c r="A24" s="38">
        <v>2020</v>
      </c>
      <c r="B24" s="38">
        <v>2020</v>
      </c>
      <c r="C24" s="38" t="s">
        <v>409</v>
      </c>
      <c r="D24" s="38" t="s">
        <v>704</v>
      </c>
      <c r="E24" s="38" t="s">
        <v>705</v>
      </c>
      <c r="F24" s="194">
        <v>197</v>
      </c>
      <c r="G24" s="194">
        <v>3</v>
      </c>
      <c r="H24" s="194">
        <v>0</v>
      </c>
      <c r="I24" s="194">
        <v>0</v>
      </c>
      <c r="J24" s="194">
        <v>200</v>
      </c>
      <c r="K24" s="194">
        <v>3</v>
      </c>
      <c r="L24" s="194">
        <v>0</v>
      </c>
      <c r="M24" s="194">
        <v>0</v>
      </c>
      <c r="N24" s="190">
        <f t="shared" si="1"/>
        <v>0.98499999999999999</v>
      </c>
      <c r="O24" s="190">
        <f t="shared" si="2"/>
        <v>194.04499999999999</v>
      </c>
      <c r="P24" s="190">
        <f>(O24-'Food loss and waste (IDN)'!F24)+(G24*N24)-(I24*N24)-(H24*N24)</f>
        <v>183.41685000000001</v>
      </c>
      <c r="Q24" s="190">
        <f>(P24-'Food loss and waste (IDN)'!G24)</f>
        <v>177.1806771</v>
      </c>
      <c r="R24" s="190">
        <f>(Q24-'Food loss and waste (IDN)'!H24)</f>
        <v>163.00622293199999</v>
      </c>
      <c r="S24" s="190">
        <f>(R24-'Food loss and waste (IDN)'!I24)</f>
        <v>159.74609847335998</v>
      </c>
    </row>
    <row r="25" spans="1:19" x14ac:dyDescent="0.35">
      <c r="A25" s="38">
        <v>2020</v>
      </c>
      <c r="B25" s="38">
        <v>2020</v>
      </c>
      <c r="C25" s="38" t="s">
        <v>409</v>
      </c>
      <c r="D25" s="38" t="s">
        <v>704</v>
      </c>
      <c r="E25" s="38" t="s">
        <v>706</v>
      </c>
      <c r="F25" s="194">
        <v>4</v>
      </c>
      <c r="G25" s="194">
        <v>14</v>
      </c>
      <c r="H25" s="194">
        <v>-4</v>
      </c>
      <c r="I25" s="194">
        <v>0</v>
      </c>
      <c r="J25" s="194">
        <v>22</v>
      </c>
      <c r="K25" s="194">
        <v>6</v>
      </c>
      <c r="L25" s="194">
        <v>0</v>
      </c>
      <c r="M25" s="194">
        <v>0</v>
      </c>
      <c r="N25" s="190">
        <f t="shared" si="1"/>
        <v>0.72727272727272729</v>
      </c>
      <c r="O25" s="190">
        <f t="shared" si="2"/>
        <v>2.9090909090909092</v>
      </c>
      <c r="P25" s="190">
        <f>(O25-'Food loss and waste (IDN)'!F25)+(G25*N25)-(I25*N25)-(H25*N25)</f>
        <v>15.796363636363637</v>
      </c>
      <c r="Q25" s="190">
        <f>(P25-'Food loss and waste (IDN)'!G25)</f>
        <v>15.259287272727272</v>
      </c>
      <c r="R25" s="190">
        <f>(Q25-'Food loss and waste (IDN)'!H25)</f>
        <v>14.038544290909091</v>
      </c>
      <c r="S25" s="190">
        <f>(R25-'Food loss and waste (IDN)'!I25)</f>
        <v>13.757773405090909</v>
      </c>
    </row>
    <row r="26" spans="1:19" x14ac:dyDescent="0.35">
      <c r="A26" s="38">
        <v>2020</v>
      </c>
      <c r="B26" s="38">
        <v>2020</v>
      </c>
      <c r="C26" s="38" t="s">
        <v>409</v>
      </c>
      <c r="D26" s="38" t="s">
        <v>707</v>
      </c>
      <c r="E26" s="38" t="s">
        <v>708</v>
      </c>
      <c r="F26" s="194">
        <v>366</v>
      </c>
      <c r="G26" s="194">
        <v>1</v>
      </c>
      <c r="H26" s="194">
        <v>0</v>
      </c>
      <c r="I26" s="194">
        <v>42</v>
      </c>
      <c r="J26" s="194">
        <v>324</v>
      </c>
      <c r="K26" s="194">
        <v>33</v>
      </c>
      <c r="L26" s="194">
        <v>0</v>
      </c>
      <c r="M26" s="194">
        <v>0</v>
      </c>
      <c r="N26" s="190">
        <f t="shared" si="1"/>
        <v>0.89814814814814814</v>
      </c>
      <c r="O26" s="190">
        <f t="shared" si="2"/>
        <v>328.72222222222223</v>
      </c>
      <c r="P26" s="190">
        <f>(O26-'Food loss and waste (IDN)'!F26)+(G26*N26)-(I26*N26)-(H26*N26)</f>
        <v>265.10728703703705</v>
      </c>
      <c r="Q26" s="190">
        <f>(P26-'Food loss and waste (IDN)'!G26)</f>
        <v>233.00279457685187</v>
      </c>
      <c r="R26" s="190">
        <f>(Q26-'Food loss and waste (IDN)'!H26)</f>
        <v>209.70251511916669</v>
      </c>
      <c r="S26" s="190">
        <f>(R26-'Food loss and waste (IDN)'!I26)</f>
        <v>187.09658398932052</v>
      </c>
    </row>
    <row r="27" spans="1:19" x14ac:dyDescent="0.35">
      <c r="A27" s="38">
        <v>2050</v>
      </c>
      <c r="B27" s="38">
        <v>2050</v>
      </c>
      <c r="C27" s="38" t="s">
        <v>409</v>
      </c>
      <c r="D27" s="38" t="s">
        <v>686</v>
      </c>
      <c r="E27" s="38" t="s">
        <v>480</v>
      </c>
      <c r="F27" s="190" t="s">
        <v>142</v>
      </c>
      <c r="G27" s="190" t="s">
        <v>142</v>
      </c>
      <c r="H27" s="190" t="s">
        <v>142</v>
      </c>
      <c r="I27" s="190" t="s">
        <v>142</v>
      </c>
      <c r="J27" s="190" t="s">
        <v>142</v>
      </c>
      <c r="K27" s="190" t="s">
        <v>142</v>
      </c>
      <c r="L27" s="190" t="s">
        <v>142</v>
      </c>
      <c r="M27" s="190" t="s">
        <v>142</v>
      </c>
      <c r="N27" s="190" t="s">
        <v>142</v>
      </c>
      <c r="O27" s="190" t="s">
        <v>142</v>
      </c>
      <c r="P27" s="190" t="s">
        <v>142</v>
      </c>
      <c r="Q27" s="190" t="s">
        <v>142</v>
      </c>
      <c r="R27" s="190" t="s">
        <v>142</v>
      </c>
      <c r="S27" s="190" t="s">
        <v>142</v>
      </c>
    </row>
    <row r="28" spans="1:19" x14ac:dyDescent="0.35">
      <c r="A28" s="38">
        <v>2050</v>
      </c>
      <c r="B28" s="38">
        <v>2050</v>
      </c>
      <c r="C28" s="38" t="s">
        <v>409</v>
      </c>
      <c r="D28" s="38" t="s">
        <v>686</v>
      </c>
      <c r="E28" s="38" t="s">
        <v>687</v>
      </c>
      <c r="F28" s="193">
        <v>27313.025000000001</v>
      </c>
      <c r="G28" s="193">
        <f>G3*($F$28/$F$3)</f>
        <v>2518.943165839537</v>
      </c>
      <c r="H28" s="193">
        <f>H3*($F$28/$F$3)</f>
        <v>1497.4883138367009</v>
      </c>
      <c r="I28" s="193">
        <f t="shared" ref="I28:M28" si="3">I3*($F$28/$F$3)</f>
        <v>251.73294930875576</v>
      </c>
      <c r="J28" s="193">
        <f t="shared" si="3"/>
        <v>28082.746902694078</v>
      </c>
      <c r="K28" s="193">
        <f t="shared" si="3"/>
        <v>5986.7259098428449</v>
      </c>
      <c r="L28" s="193">
        <f t="shared" si="3"/>
        <v>172.66298446177478</v>
      </c>
      <c r="M28" s="193">
        <f t="shared" si="3"/>
        <v>20070.861689117333</v>
      </c>
      <c r="N28" s="190">
        <f t="shared" si="1"/>
        <v>6.5965638108372193E-2</v>
      </c>
      <c r="O28" s="190">
        <f t="shared" si="2"/>
        <v>1801.7211227949226</v>
      </c>
      <c r="P28" s="190">
        <f>(O28-'Food loss and waste (IDN)'!F28)+(G28*N28)-(I28*N28)-(H28*N28)</f>
        <v>1744.3930519044327</v>
      </c>
      <c r="Q28" s="190">
        <f>(P28-'Food loss and waste (IDN)'!G28)</f>
        <v>1629.4375497839305</v>
      </c>
      <c r="R28" s="190">
        <f>(Q28-'Food loss and waste (IDN)'!H28)</f>
        <v>1515.3769212990553</v>
      </c>
      <c r="S28" s="190">
        <f>(R28-'Food loss and waste (IDN)'!I28)</f>
        <v>1470.2186890443434</v>
      </c>
    </row>
    <row r="29" spans="1:19" x14ac:dyDescent="0.35">
      <c r="A29" s="38">
        <v>2050</v>
      </c>
      <c r="B29" s="38">
        <v>2050</v>
      </c>
      <c r="C29" s="38" t="s">
        <v>409</v>
      </c>
      <c r="D29" s="38" t="s">
        <v>686</v>
      </c>
      <c r="E29" s="38" t="s">
        <v>508</v>
      </c>
      <c r="F29" s="190" t="s">
        <v>142</v>
      </c>
      <c r="G29" s="190" t="s">
        <v>142</v>
      </c>
      <c r="H29" s="190" t="s">
        <v>142</v>
      </c>
      <c r="I29" s="190" t="s">
        <v>142</v>
      </c>
      <c r="J29" s="190" t="s">
        <v>142</v>
      </c>
      <c r="K29" s="190" t="s">
        <v>142</v>
      </c>
      <c r="L29" s="190" t="s">
        <v>142</v>
      </c>
      <c r="M29" s="190" t="s">
        <v>142</v>
      </c>
      <c r="N29" s="190" t="s">
        <v>142</v>
      </c>
      <c r="O29" s="190" t="s">
        <v>142</v>
      </c>
      <c r="P29" s="190" t="s">
        <v>142</v>
      </c>
      <c r="Q29" s="190" t="s">
        <v>142</v>
      </c>
      <c r="R29" s="190" t="s">
        <v>142</v>
      </c>
      <c r="S29" s="190" t="s">
        <v>142</v>
      </c>
    </row>
    <row r="30" spans="1:19" x14ac:dyDescent="0.35">
      <c r="A30" s="38">
        <v>2050</v>
      </c>
      <c r="B30" s="38">
        <v>2050</v>
      </c>
      <c r="C30" s="38" t="s">
        <v>409</v>
      </c>
      <c r="D30" s="38" t="s">
        <v>686</v>
      </c>
      <c r="E30" s="38" t="s">
        <v>688</v>
      </c>
      <c r="F30" s="190" t="s">
        <v>142</v>
      </c>
      <c r="G30" s="190" t="s">
        <v>142</v>
      </c>
      <c r="H30" s="190" t="s">
        <v>142</v>
      </c>
      <c r="I30" s="190" t="s">
        <v>142</v>
      </c>
      <c r="J30" s="190" t="s">
        <v>142</v>
      </c>
      <c r="K30" s="190" t="s">
        <v>142</v>
      </c>
      <c r="L30" s="190" t="s">
        <v>142</v>
      </c>
      <c r="M30" s="190" t="s">
        <v>142</v>
      </c>
      <c r="N30" s="190" t="s">
        <v>142</v>
      </c>
      <c r="O30" s="190" t="s">
        <v>142</v>
      </c>
      <c r="P30" s="190" t="s">
        <v>142</v>
      </c>
      <c r="Q30" s="190" t="s">
        <v>142</v>
      </c>
      <c r="R30" s="190" t="s">
        <v>142</v>
      </c>
      <c r="S30" s="190" t="s">
        <v>142</v>
      </c>
    </row>
    <row r="31" spans="1:19" x14ac:dyDescent="0.35">
      <c r="A31" s="38">
        <v>2050</v>
      </c>
      <c r="B31" s="38">
        <v>2050</v>
      </c>
      <c r="C31" s="38" t="s">
        <v>409</v>
      </c>
      <c r="D31" s="38" t="s">
        <v>686</v>
      </c>
      <c r="E31" s="38" t="s">
        <v>512</v>
      </c>
      <c r="F31" s="190" t="s">
        <v>142</v>
      </c>
      <c r="G31" s="190" t="s">
        <v>142</v>
      </c>
      <c r="H31" s="190" t="s">
        <v>142</v>
      </c>
      <c r="I31" s="190" t="s">
        <v>142</v>
      </c>
      <c r="J31" s="190" t="s">
        <v>142</v>
      </c>
      <c r="K31" s="190" t="s">
        <v>142</v>
      </c>
      <c r="L31" s="190" t="s">
        <v>142</v>
      </c>
      <c r="M31" s="190" t="s">
        <v>142</v>
      </c>
      <c r="N31" s="190" t="s">
        <v>142</v>
      </c>
      <c r="O31" s="190" t="s">
        <v>142</v>
      </c>
      <c r="P31" s="190" t="s">
        <v>142</v>
      </c>
      <c r="Q31" s="190" t="s">
        <v>142</v>
      </c>
      <c r="R31" s="190" t="s">
        <v>142</v>
      </c>
      <c r="S31" s="190" t="s">
        <v>142</v>
      </c>
    </row>
    <row r="32" spans="1:19" x14ac:dyDescent="0.35">
      <c r="A32" s="38">
        <v>2050</v>
      </c>
      <c r="B32" s="38">
        <v>2050</v>
      </c>
      <c r="C32" s="38" t="s">
        <v>409</v>
      </c>
      <c r="D32" s="38" t="s">
        <v>686</v>
      </c>
      <c r="E32" s="38" t="s">
        <v>689</v>
      </c>
      <c r="F32" s="193">
        <v>55989.976000000002</v>
      </c>
      <c r="G32" s="193">
        <f>G7*($F$32/$F$7)</f>
        <v>597.30564160368908</v>
      </c>
      <c r="H32" s="193">
        <f>H7*($F$32/$F$7)</f>
        <v>-1907.6897164083518</v>
      </c>
      <c r="I32" s="193">
        <f t="shared" ref="I32:M32" si="4">I7*($F$32/$F$7)</f>
        <v>6.147227872422186</v>
      </c>
      <c r="J32" s="193">
        <f t="shared" si="4"/>
        <v>58488.824130139627</v>
      </c>
      <c r="K32" s="193">
        <f t="shared" si="4"/>
        <v>1884.1253428974001</v>
      </c>
      <c r="L32" s="193">
        <f t="shared" si="4"/>
        <v>282.77248213142053</v>
      </c>
      <c r="M32" s="193">
        <f t="shared" si="4"/>
        <v>26.637987447162807</v>
      </c>
      <c r="N32" s="190">
        <f t="shared" si="1"/>
        <v>0.96249649663677128</v>
      </c>
      <c r="O32" s="190">
        <f t="shared" si="2"/>
        <v>53890.155746776909</v>
      </c>
      <c r="P32" s="190">
        <f>(O32-'Food loss and waste (IDN)'!F32)+(G32*N32)-(I32*N32)-(H32*N32)</f>
        <v>53061.878972857034</v>
      </c>
      <c r="Q32" s="190">
        <f>(P32-'Food loss and waste (IDN)'!G32)</f>
        <v>49565.101148545757</v>
      </c>
      <c r="R32" s="190">
        <f>(Q32-'Food loss and waste (IDN)'!H32)</f>
        <v>46095.544068147552</v>
      </c>
      <c r="S32" s="190">
        <f>(R32-'Food loss and waste (IDN)'!I32)</f>
        <v>44721.896854916755</v>
      </c>
    </row>
    <row r="33" spans="1:19" x14ac:dyDescent="0.35">
      <c r="A33" s="38">
        <v>2050</v>
      </c>
      <c r="B33" s="38">
        <v>2050</v>
      </c>
      <c r="C33" s="38" t="s">
        <v>409</v>
      </c>
      <c r="D33" s="38" t="s">
        <v>686</v>
      </c>
      <c r="E33" s="38" t="s">
        <v>690</v>
      </c>
      <c r="F33" s="190" t="s">
        <v>142</v>
      </c>
      <c r="G33" s="190" t="s">
        <v>142</v>
      </c>
      <c r="H33" s="190" t="s">
        <v>142</v>
      </c>
      <c r="I33" s="190" t="s">
        <v>142</v>
      </c>
      <c r="J33" s="190" t="s">
        <v>142</v>
      </c>
      <c r="K33" s="190" t="s">
        <v>142</v>
      </c>
      <c r="L33" s="190" t="s">
        <v>142</v>
      </c>
      <c r="M33" s="190" t="s">
        <v>142</v>
      </c>
      <c r="N33" s="190" t="s">
        <v>142</v>
      </c>
      <c r="O33" s="190" t="s">
        <v>142</v>
      </c>
      <c r="P33" s="190" t="s">
        <v>142</v>
      </c>
      <c r="Q33" s="190" t="s">
        <v>142</v>
      </c>
      <c r="R33" s="190" t="s">
        <v>142</v>
      </c>
      <c r="S33" s="190" t="s">
        <v>142</v>
      </c>
    </row>
    <row r="34" spans="1:19" x14ac:dyDescent="0.35">
      <c r="A34" s="38">
        <v>2050</v>
      </c>
      <c r="B34" s="38">
        <v>2050</v>
      </c>
      <c r="C34" s="38" t="s">
        <v>409</v>
      </c>
      <c r="D34" s="38" t="s">
        <v>686</v>
      </c>
      <c r="E34" s="38" t="s">
        <v>532</v>
      </c>
      <c r="F34" s="190" t="s">
        <v>142</v>
      </c>
      <c r="G34" s="190" t="s">
        <v>142</v>
      </c>
      <c r="H34" s="190" t="s">
        <v>142</v>
      </c>
      <c r="I34" s="190" t="s">
        <v>142</v>
      </c>
      <c r="J34" s="190" t="s">
        <v>142</v>
      </c>
      <c r="K34" s="190" t="s">
        <v>142</v>
      </c>
      <c r="L34" s="190" t="s">
        <v>142</v>
      </c>
      <c r="M34" s="190" t="s">
        <v>142</v>
      </c>
      <c r="N34" s="190" t="s">
        <v>142</v>
      </c>
      <c r="O34" s="190" t="s">
        <v>142</v>
      </c>
      <c r="P34" s="190" t="s">
        <v>142</v>
      </c>
      <c r="Q34" s="190" t="s">
        <v>142</v>
      </c>
      <c r="R34" s="190" t="s">
        <v>142</v>
      </c>
      <c r="S34" s="190" t="s">
        <v>142</v>
      </c>
    </row>
    <row r="35" spans="1:19" x14ac:dyDescent="0.35">
      <c r="A35" s="38">
        <v>2050</v>
      </c>
      <c r="B35" s="38">
        <v>2050</v>
      </c>
      <c r="C35" s="38" t="s">
        <v>409</v>
      </c>
      <c r="D35" s="38" t="s">
        <v>686</v>
      </c>
      <c r="E35" s="38" t="s">
        <v>541</v>
      </c>
      <c r="F35" s="190" t="s">
        <v>142</v>
      </c>
      <c r="G35" s="190" t="s">
        <v>142</v>
      </c>
      <c r="H35" s="190" t="s">
        <v>142</v>
      </c>
      <c r="I35" s="190" t="s">
        <v>142</v>
      </c>
      <c r="J35" s="190" t="s">
        <v>142</v>
      </c>
      <c r="K35" s="190" t="s">
        <v>142</v>
      </c>
      <c r="L35" s="190" t="s">
        <v>142</v>
      </c>
      <c r="M35" s="190" t="s">
        <v>142</v>
      </c>
      <c r="N35" s="190" t="s">
        <v>142</v>
      </c>
      <c r="O35" s="190" t="s">
        <v>142</v>
      </c>
      <c r="P35" s="190" t="s">
        <v>142</v>
      </c>
      <c r="Q35" s="190" t="s">
        <v>142</v>
      </c>
      <c r="R35" s="190" t="s">
        <v>142</v>
      </c>
      <c r="S35" s="190" t="s">
        <v>142</v>
      </c>
    </row>
    <row r="36" spans="1:19" x14ac:dyDescent="0.35">
      <c r="A36" s="38">
        <v>2050</v>
      </c>
      <c r="B36" s="38">
        <v>2050</v>
      </c>
      <c r="C36" s="38" t="s">
        <v>409</v>
      </c>
      <c r="D36" s="38" t="s">
        <v>691</v>
      </c>
      <c r="E36" s="38" t="s">
        <v>692</v>
      </c>
      <c r="F36" s="190" t="s">
        <v>142</v>
      </c>
      <c r="G36" s="190" t="s">
        <v>142</v>
      </c>
      <c r="H36" s="190" t="s">
        <v>142</v>
      </c>
      <c r="I36" s="190" t="s">
        <v>142</v>
      </c>
      <c r="J36" s="190" t="s">
        <v>142</v>
      </c>
      <c r="K36" s="190" t="s">
        <v>142</v>
      </c>
      <c r="L36" s="190" t="s">
        <v>142</v>
      </c>
      <c r="M36" s="190" t="s">
        <v>142</v>
      </c>
      <c r="N36" s="190" t="s">
        <v>142</v>
      </c>
      <c r="O36" s="190" t="s">
        <v>142</v>
      </c>
      <c r="P36" s="190" t="s">
        <v>142</v>
      </c>
      <c r="Q36" s="190" t="s">
        <v>142</v>
      </c>
      <c r="R36" s="190" t="s">
        <v>142</v>
      </c>
      <c r="S36" s="190" t="s">
        <v>142</v>
      </c>
    </row>
    <row r="37" spans="1:19" x14ac:dyDescent="0.35">
      <c r="A37" s="38">
        <v>2050</v>
      </c>
      <c r="B37" s="38">
        <v>2050</v>
      </c>
      <c r="C37" s="38" t="s">
        <v>409</v>
      </c>
      <c r="D37" s="38" t="s">
        <v>691</v>
      </c>
      <c r="E37" s="38" t="s">
        <v>356</v>
      </c>
      <c r="F37" s="193">
        <v>8379.6440000000002</v>
      </c>
      <c r="G37" s="193">
        <f>G12*($F$37/$F$12)</f>
        <v>0</v>
      </c>
      <c r="H37" s="193">
        <f t="shared" ref="H37:M37" si="5">H12*($F$37/$F$12)</f>
        <v>0</v>
      </c>
      <c r="I37" s="193">
        <f t="shared" si="5"/>
        <v>8.1922463644140286</v>
      </c>
      <c r="J37" s="193">
        <f t="shared" si="5"/>
        <v>8371.4517536355852</v>
      </c>
      <c r="K37" s="193">
        <f t="shared" si="5"/>
        <v>0</v>
      </c>
      <c r="L37" s="193">
        <f t="shared" si="5"/>
        <v>0</v>
      </c>
      <c r="M37" s="193">
        <f t="shared" si="5"/>
        <v>0</v>
      </c>
      <c r="N37" s="190">
        <f t="shared" si="1"/>
        <v>1</v>
      </c>
      <c r="O37" s="190">
        <f t="shared" si="2"/>
        <v>8379.6440000000002</v>
      </c>
      <c r="P37" s="190">
        <f>(O37-'Food loss and waste (IDN)'!F37)+(G37*N37)-(I37*N37)-(H37*N37)</f>
        <v>7641.5847612355856</v>
      </c>
      <c r="Q37" s="190">
        <f>(P37-'Food loss and waste (IDN)'!G37)</f>
        <v>6887.3603453016331</v>
      </c>
      <c r="R37" s="190">
        <f>(Q37-'Food loss and waste (IDN)'!H37)</f>
        <v>5165.5202589762248</v>
      </c>
      <c r="S37" s="190">
        <f>(R37-'Food loss and waste (IDN)'!I37)</f>
        <v>4496.0688334129063</v>
      </c>
    </row>
    <row r="38" spans="1:19" x14ac:dyDescent="0.35">
      <c r="A38" s="38">
        <v>2050</v>
      </c>
      <c r="B38" s="38">
        <v>2050</v>
      </c>
      <c r="C38" s="38" t="s">
        <v>409</v>
      </c>
      <c r="D38" s="38" t="s">
        <v>691</v>
      </c>
      <c r="E38" s="38" t="s">
        <v>693</v>
      </c>
      <c r="F38" s="193">
        <v>1856.8810000000001</v>
      </c>
      <c r="G38" s="193">
        <f>G13*($F$38/$F$13)</f>
        <v>0</v>
      </c>
      <c r="H38" s="193">
        <f t="shared" ref="H38:M38" si="6">H13*($F$38/$F$13)</f>
        <v>0</v>
      </c>
      <c r="I38" s="193">
        <f t="shared" si="6"/>
        <v>0</v>
      </c>
      <c r="J38" s="193">
        <f t="shared" si="6"/>
        <v>1856.8810000000001</v>
      </c>
      <c r="K38" s="193">
        <f t="shared" si="6"/>
        <v>0</v>
      </c>
      <c r="L38" s="193">
        <f t="shared" si="6"/>
        <v>0</v>
      </c>
      <c r="M38" s="193">
        <f t="shared" si="6"/>
        <v>0</v>
      </c>
      <c r="N38" s="190">
        <f t="shared" si="1"/>
        <v>1</v>
      </c>
      <c r="O38" s="190">
        <f>F38*N38</f>
        <v>1856.8810000000001</v>
      </c>
      <c r="P38" s="190">
        <f>(O38-'Food loss and waste (IDN)'!F38)+(G38*N38)-(I38*N38)-(H38*N38)</f>
        <v>1695.1466649000001</v>
      </c>
      <c r="Q38" s="190">
        <f>(P38-'Food loss and waste (IDN)'!G38)</f>
        <v>1527.8356890743701</v>
      </c>
      <c r="R38" s="190">
        <f>(Q38-'Food loss and waste (IDN)'!H38)</f>
        <v>1145.8767668057776</v>
      </c>
      <c r="S38" s="190">
        <f>(R38-'Food loss and waste (IDN)'!I38)</f>
        <v>997.37113782774884</v>
      </c>
    </row>
    <row r="39" spans="1:19" x14ac:dyDescent="0.35">
      <c r="A39" s="38">
        <v>2050</v>
      </c>
      <c r="B39" s="38">
        <v>2050</v>
      </c>
      <c r="C39" s="38" t="s">
        <v>409</v>
      </c>
      <c r="D39" s="38" t="s">
        <v>691</v>
      </c>
      <c r="E39" s="38" t="s">
        <v>694</v>
      </c>
      <c r="F39" s="190" t="s">
        <v>142</v>
      </c>
      <c r="G39" s="190" t="s">
        <v>142</v>
      </c>
      <c r="H39" s="190" t="s">
        <v>142</v>
      </c>
      <c r="I39" s="190" t="s">
        <v>142</v>
      </c>
      <c r="J39" s="190" t="s">
        <v>142</v>
      </c>
      <c r="K39" s="190" t="s">
        <v>142</v>
      </c>
      <c r="L39" s="190" t="s">
        <v>142</v>
      </c>
      <c r="M39" s="190" t="s">
        <v>142</v>
      </c>
      <c r="N39" s="190" t="s">
        <v>142</v>
      </c>
      <c r="O39" s="190" t="s">
        <v>142</v>
      </c>
      <c r="P39" s="190" t="s">
        <v>142</v>
      </c>
      <c r="Q39" s="190" t="s">
        <v>142</v>
      </c>
      <c r="R39" s="190" t="s">
        <v>142</v>
      </c>
      <c r="S39" s="190" t="s">
        <v>142</v>
      </c>
    </row>
    <row r="40" spans="1:19" x14ac:dyDescent="0.35">
      <c r="A40" s="38">
        <v>2050</v>
      </c>
      <c r="B40" s="38">
        <v>2050</v>
      </c>
      <c r="C40" s="38" t="s">
        <v>409</v>
      </c>
      <c r="D40" s="38" t="s">
        <v>691</v>
      </c>
      <c r="E40" s="38" t="s">
        <v>514</v>
      </c>
      <c r="F40" s="193">
        <v>157.36199999999999</v>
      </c>
      <c r="G40" s="193">
        <f>G15*($F$40/$F$15)</f>
        <v>5.2681748171846436</v>
      </c>
      <c r="H40" s="193">
        <f t="shared" ref="H40:M40" si="7">H15*($F$40/$F$15)</f>
        <v>0</v>
      </c>
      <c r="I40" s="193">
        <f t="shared" si="7"/>
        <v>1.8699323583180987</v>
      </c>
      <c r="J40" s="193">
        <f t="shared" si="7"/>
        <v>160.76024245886654</v>
      </c>
      <c r="K40" s="193">
        <f t="shared" si="7"/>
        <v>0</v>
      </c>
      <c r="L40" s="193">
        <f t="shared" si="7"/>
        <v>0</v>
      </c>
      <c r="M40" s="193">
        <f t="shared" si="7"/>
        <v>0</v>
      </c>
      <c r="N40" s="190">
        <f t="shared" si="1"/>
        <v>1</v>
      </c>
      <c r="O40" s="190">
        <f t="shared" si="2"/>
        <v>157.36199999999999</v>
      </c>
      <c r="P40" s="190">
        <f>(O40-'Food loss and waste (IDN)'!F40)+(G40*N40)-(I40*N40)-(H40*N40)</f>
        <v>147.05401225886655</v>
      </c>
      <c r="Q40" s="190">
        <f>(P40-'Food loss and waste (IDN)'!G40)</f>
        <v>132.53978124891643</v>
      </c>
      <c r="R40" s="190">
        <f>(Q40-'Food loss and waste (IDN)'!H40)</f>
        <v>99.40483593668732</v>
      </c>
      <c r="S40" s="190">
        <f>(R40-'Food loss and waste (IDN)'!I40)</f>
        <v>86.521969199292641</v>
      </c>
    </row>
    <row r="41" spans="1:19" x14ac:dyDescent="0.35">
      <c r="A41" s="38">
        <v>2050</v>
      </c>
      <c r="B41" s="38">
        <v>2050</v>
      </c>
      <c r="C41" s="38" t="s">
        <v>409</v>
      </c>
      <c r="D41" s="38" t="s">
        <v>691</v>
      </c>
      <c r="E41" s="38" t="s">
        <v>695</v>
      </c>
      <c r="F41" s="193">
        <v>15402.902</v>
      </c>
      <c r="G41" s="193">
        <f>G16*($F$41/$F$16)</f>
        <v>971.34104081052942</v>
      </c>
      <c r="H41" s="193">
        <f t="shared" ref="H41:M41" si="8">H16*($F$41/$F$16)</f>
        <v>0</v>
      </c>
      <c r="I41" s="193">
        <f t="shared" si="8"/>
        <v>148.76394318719818</v>
      </c>
      <c r="J41" s="193">
        <f t="shared" si="8"/>
        <v>16224.020627592085</v>
      </c>
      <c r="K41" s="193">
        <f t="shared" si="8"/>
        <v>0</v>
      </c>
      <c r="L41" s="193">
        <f t="shared" si="8"/>
        <v>0</v>
      </c>
      <c r="M41" s="193">
        <f t="shared" si="8"/>
        <v>0</v>
      </c>
      <c r="N41" s="190">
        <f t="shared" si="1"/>
        <v>1</v>
      </c>
      <c r="O41" s="190">
        <f t="shared" si="2"/>
        <v>15402.902</v>
      </c>
      <c r="P41" s="190">
        <f>(O41-'Food loss and waste (IDN)'!F41)+(G41*N41)-(I41*N41)-(H41*N41)</f>
        <v>14883.886333423332</v>
      </c>
      <c r="Q41" s="190">
        <f>(P41-'Food loss and waste (IDN)'!G41)</f>
        <v>13414.84675231445</v>
      </c>
      <c r="R41" s="190">
        <f>(Q41-'Food loss and waste (IDN)'!H41)</f>
        <v>10061.135064235837</v>
      </c>
      <c r="S41" s="190">
        <f>(R41-'Food loss and waste (IDN)'!I41)</f>
        <v>8757.2119599108737</v>
      </c>
    </row>
    <row r="42" spans="1:19" x14ac:dyDescent="0.35">
      <c r="A42" s="38">
        <v>2050</v>
      </c>
      <c r="B42" s="38">
        <v>2050</v>
      </c>
      <c r="C42" s="38" t="s">
        <v>409</v>
      </c>
      <c r="D42" s="38" t="s">
        <v>696</v>
      </c>
      <c r="E42" s="38" t="s">
        <v>697</v>
      </c>
      <c r="F42" s="193">
        <v>16004.066999999999</v>
      </c>
      <c r="G42" s="193">
        <f>G17*($F$42/$F$17)</f>
        <v>954.59061924524644</v>
      </c>
      <c r="H42" s="193">
        <f t="shared" ref="H42:M42" si="9">H17*($F$42/$F$17)</f>
        <v>0</v>
      </c>
      <c r="I42" s="193">
        <f t="shared" si="9"/>
        <v>1240.3499470128365</v>
      </c>
      <c r="J42" s="193">
        <f t="shared" si="9"/>
        <v>15718.307672232408</v>
      </c>
      <c r="K42" s="193">
        <f t="shared" si="9"/>
        <v>756.87605733037344</v>
      </c>
      <c r="L42" s="193">
        <f t="shared" si="9"/>
        <v>0</v>
      </c>
      <c r="M42" s="193">
        <f t="shared" si="9"/>
        <v>0</v>
      </c>
      <c r="N42" s="190">
        <f t="shared" si="1"/>
        <v>0.95184748427672961</v>
      </c>
      <c r="O42" s="190">
        <f t="shared" si="2"/>
        <v>15233.430912146227</v>
      </c>
      <c r="P42" s="190">
        <f>(O42-'Food loss and waste (IDN)'!F42)+(G42*N42)-(I42*N42)-(H42*N42)</f>
        <v>13712.290280106046</v>
      </c>
      <c r="Q42" s="190">
        <f>(P42-'Food loss and waste (IDN)'!G42)</f>
        <v>10219.769945763037</v>
      </c>
      <c r="R42" s="190">
        <f>(Q42-'Food loss and waste (IDN)'!H42)</f>
        <v>9299.990650644364</v>
      </c>
      <c r="S42" s="190">
        <f>(R42-'Food loss and waste (IDN)'!I42)</f>
        <v>8153.301803419914</v>
      </c>
    </row>
    <row r="43" spans="1:19" x14ac:dyDescent="0.35">
      <c r="A43" s="38">
        <v>2050</v>
      </c>
      <c r="B43" s="38">
        <v>2050</v>
      </c>
      <c r="C43" s="38" t="s">
        <v>409</v>
      </c>
      <c r="D43" s="38" t="s">
        <v>698</v>
      </c>
      <c r="E43" s="38" t="s">
        <v>699</v>
      </c>
      <c r="F43" s="193">
        <v>858.55600000000004</v>
      </c>
      <c r="G43" s="193">
        <f>G18*($F$43/$F$18)</f>
        <v>414.72620338983052</v>
      </c>
      <c r="H43" s="193">
        <f t="shared" ref="H43:M43" si="10">H18*($F$43/$F$18)</f>
        <v>0</v>
      </c>
      <c r="I43" s="193">
        <f t="shared" si="10"/>
        <v>3.6379491525423728</v>
      </c>
      <c r="J43" s="193">
        <f t="shared" si="10"/>
        <v>1269.6442542372881</v>
      </c>
      <c r="K43" s="193">
        <f t="shared" si="10"/>
        <v>0</v>
      </c>
      <c r="L43" s="193">
        <f t="shared" si="10"/>
        <v>0</v>
      </c>
      <c r="M43" s="193">
        <f t="shared" si="10"/>
        <v>0</v>
      </c>
      <c r="N43" s="190">
        <f t="shared" si="1"/>
        <v>1</v>
      </c>
      <c r="O43" s="190">
        <f t="shared" si="2"/>
        <v>858.55600000000004</v>
      </c>
      <c r="P43" s="190">
        <f>(O43-'Food loss and waste (IDN)'!F43)+(G43*N43)-(I43*N43)-(H43*N43)</f>
        <v>1183.7886542372883</v>
      </c>
      <c r="Q43" s="190">
        <f>(P43-'Food loss and waste (IDN)'!G43)</f>
        <v>1181.3026980633899</v>
      </c>
      <c r="R43" s="190">
        <f>(Q43-'Food loss and waste (IDN)'!H43)</f>
        <v>1122.2375631602204</v>
      </c>
      <c r="S43" s="190">
        <f>(R43-'Food loss and waste (IDN)'!I43)</f>
        <v>1043.680933739005</v>
      </c>
    </row>
    <row r="44" spans="1:19" x14ac:dyDescent="0.35">
      <c r="A44" s="38">
        <v>2050</v>
      </c>
      <c r="B44" s="38">
        <v>2050</v>
      </c>
      <c r="C44" s="38" t="s">
        <v>409</v>
      </c>
      <c r="D44" s="38" t="s">
        <v>698</v>
      </c>
      <c r="E44" s="38" t="s">
        <v>700</v>
      </c>
      <c r="F44" s="193">
        <v>239.35499999999999</v>
      </c>
      <c r="G44" s="193">
        <f>G19*($F$44/$F$19)</f>
        <v>2.063405172413793</v>
      </c>
      <c r="H44" s="193">
        <f t="shared" ref="H44:M44" si="11">H19*($F$44/$F$19)</f>
        <v>0</v>
      </c>
      <c r="I44" s="193">
        <f t="shared" si="11"/>
        <v>0</v>
      </c>
      <c r="J44" s="193">
        <f t="shared" si="11"/>
        <v>241.41840517241377</v>
      </c>
      <c r="K44" s="193">
        <f t="shared" si="11"/>
        <v>0</v>
      </c>
      <c r="L44" s="193">
        <f t="shared" si="11"/>
        <v>0</v>
      </c>
      <c r="M44" s="193">
        <f t="shared" si="11"/>
        <v>0</v>
      </c>
      <c r="N44" s="190">
        <f t="shared" si="1"/>
        <v>1</v>
      </c>
      <c r="O44" s="190">
        <f t="shared" si="2"/>
        <v>239.35499999999999</v>
      </c>
      <c r="P44" s="190">
        <f>(O44-'Food loss and waste (IDN)'!F44)+(G44*N44)-(I44*N44)-(H44*N44)</f>
        <v>217.48290517241378</v>
      </c>
      <c r="Q44" s="190">
        <f>(P44-'Food loss and waste (IDN)'!G44)</f>
        <v>217.04793936206895</v>
      </c>
      <c r="R44" s="190">
        <f>(Q44-'Food loss and waste (IDN)'!H44)</f>
        <v>206.1955423939655</v>
      </c>
      <c r="S44" s="190">
        <f>(R44-'Food loss and waste (IDN)'!I44)</f>
        <v>191.76185442638791</v>
      </c>
    </row>
    <row r="45" spans="1:19" x14ac:dyDescent="0.35">
      <c r="A45" s="38">
        <v>2050</v>
      </c>
      <c r="B45" s="38">
        <v>2050</v>
      </c>
      <c r="C45" s="38" t="s">
        <v>409</v>
      </c>
      <c r="D45" s="38" t="s">
        <v>698</v>
      </c>
      <c r="E45" s="38" t="s">
        <v>521</v>
      </c>
      <c r="F45" s="193">
        <v>1252.1780000000001</v>
      </c>
      <c r="G45" s="193">
        <f>G20*($F$45/$F$20)</f>
        <v>13.368448398576513</v>
      </c>
      <c r="H45" s="193">
        <f t="shared" ref="H45:M45" si="12">H20*($F$45/$F$20)</f>
        <v>0</v>
      </c>
      <c r="I45" s="193">
        <f t="shared" si="12"/>
        <v>0</v>
      </c>
      <c r="J45" s="193">
        <f t="shared" si="12"/>
        <v>1261.0902989323845</v>
      </c>
      <c r="K45" s="193">
        <f t="shared" si="12"/>
        <v>0</v>
      </c>
      <c r="L45" s="193">
        <f t="shared" si="12"/>
        <v>0</v>
      </c>
      <c r="M45" s="193">
        <f t="shared" si="12"/>
        <v>0</v>
      </c>
      <c r="N45" s="190">
        <f t="shared" si="1"/>
        <v>1</v>
      </c>
      <c r="O45" s="190">
        <f t="shared" si="2"/>
        <v>1252.1780000000001</v>
      </c>
      <c r="P45" s="190">
        <f>(O45-'Food loss and waste (IDN)'!F45)+(G45*N45)-(I45*N45)-(H45*N45)</f>
        <v>1190.4157683985766</v>
      </c>
      <c r="Q45" s="190">
        <f>(P45-'Food loss and waste (IDN)'!G45)</f>
        <v>1184.8208142871033</v>
      </c>
      <c r="R45" s="190">
        <f>(Q45-'Food loss and waste (IDN)'!H45)</f>
        <v>1125.5797735727481</v>
      </c>
      <c r="S45" s="190">
        <f>(R45-'Food loss and waste (IDN)'!I45)</f>
        <v>1046.7891894226557</v>
      </c>
    </row>
    <row r="46" spans="1:19" x14ac:dyDescent="0.35">
      <c r="A46" s="38">
        <v>2050</v>
      </c>
      <c r="B46" s="38">
        <v>2050</v>
      </c>
      <c r="C46" s="38" t="s">
        <v>409</v>
      </c>
      <c r="D46" s="38" t="s">
        <v>698</v>
      </c>
      <c r="E46" s="38" t="s">
        <v>252</v>
      </c>
      <c r="F46" s="193">
        <v>3401.163</v>
      </c>
      <c r="G46" s="193">
        <f>G21*($F$45/$F$21)</f>
        <v>0</v>
      </c>
      <c r="H46" s="193">
        <f t="shared" ref="H46:M46" si="13">H21*($F$45/$F$21)</f>
        <v>0.33998859625305461</v>
      </c>
      <c r="I46" s="193">
        <f t="shared" si="13"/>
        <v>0</v>
      </c>
      <c r="J46" s="193">
        <f t="shared" si="13"/>
        <v>1251.838011403747</v>
      </c>
      <c r="K46" s="193">
        <f t="shared" si="13"/>
        <v>0</v>
      </c>
      <c r="L46" s="193">
        <f t="shared" si="13"/>
        <v>0</v>
      </c>
      <c r="M46" s="193">
        <f t="shared" si="13"/>
        <v>0</v>
      </c>
      <c r="N46" s="190">
        <f t="shared" si="1"/>
        <v>1</v>
      </c>
      <c r="O46" s="190">
        <f t="shared" si="2"/>
        <v>3401.163</v>
      </c>
      <c r="P46" s="190">
        <f>(O46-'Food loss and waste (IDN)'!F46)+(G46*N46)-(I46*N46)-(H46*N46)</f>
        <v>3196.7532314037471</v>
      </c>
      <c r="Q46" s="190">
        <f>(P46-'Food loss and waste (IDN)'!G46)</f>
        <v>3181.7284912161495</v>
      </c>
      <c r="R46" s="190">
        <f>(Q46-'Food loss and waste (IDN)'!H46)</f>
        <v>3022.6420666553422</v>
      </c>
      <c r="S46" s="190">
        <f>(R46-'Food loss and waste (IDN)'!I46)</f>
        <v>2811.0571219894682</v>
      </c>
    </row>
    <row r="47" spans="1:19" x14ac:dyDescent="0.35">
      <c r="A47" s="38">
        <v>2050</v>
      </c>
      <c r="B47" s="38">
        <v>2050</v>
      </c>
      <c r="C47" s="38" t="s">
        <v>409</v>
      </c>
      <c r="D47" s="38" t="s">
        <v>701</v>
      </c>
      <c r="E47" s="38" t="s">
        <v>702</v>
      </c>
      <c r="F47" s="193">
        <f>F22*($F$48/$F$23)</f>
        <v>10398.961058785942</v>
      </c>
      <c r="G47" s="193">
        <f t="shared" ref="G47:M48" si="14">G22*($F$48/$F$23)</f>
        <v>15.150553354632589</v>
      </c>
      <c r="H47" s="193">
        <f t="shared" si="14"/>
        <v>0</v>
      </c>
      <c r="I47" s="193">
        <f t="shared" si="14"/>
        <v>0</v>
      </c>
      <c r="J47" s="193">
        <f t="shared" si="14"/>
        <v>10414.111612140576</v>
      </c>
      <c r="K47" s="193">
        <f t="shared" si="14"/>
        <v>0</v>
      </c>
      <c r="L47" s="193">
        <f t="shared" si="14"/>
        <v>1284.0093968051119</v>
      </c>
      <c r="M47" s="193">
        <f t="shared" si="14"/>
        <v>1.8938191693290736</v>
      </c>
      <c r="N47" s="190">
        <f t="shared" si="1"/>
        <v>0.87652300418257867</v>
      </c>
      <c r="O47" s="190">
        <f t="shared" si="2"/>
        <v>9114.9285876247031</v>
      </c>
      <c r="P47" s="190">
        <f>(O47-'Food loss and waste (IDN)'!F47)+(G47*N47)-(I47*N47)-(H47*N47)</f>
        <v>8399.0141091561582</v>
      </c>
      <c r="Q47" s="190">
        <f>(P47-'Food loss and waste (IDN)'!G47)</f>
        <v>7791.7653890641677</v>
      </c>
      <c r="R47" s="190">
        <f>(Q47-'Food loss and waste (IDN)'!H47)</f>
        <v>7783.9736236751032</v>
      </c>
      <c r="S47" s="190">
        <f>(R47-'Food loss and waste (IDN)'!I47)</f>
        <v>7550.45441496485</v>
      </c>
    </row>
    <row r="48" spans="1:19" x14ac:dyDescent="0.35">
      <c r="A48" s="38">
        <v>2050</v>
      </c>
      <c r="B48" s="38">
        <v>2050</v>
      </c>
      <c r="C48" s="38" t="s">
        <v>409</v>
      </c>
      <c r="D48" s="38" t="s">
        <v>701</v>
      </c>
      <c r="E48" s="38" t="s">
        <v>703</v>
      </c>
      <c r="F48" s="193">
        <v>2963.8270000000002</v>
      </c>
      <c r="G48" s="193">
        <f>G23*($F$48/$F$23)</f>
        <v>14754.745148242811</v>
      </c>
      <c r="H48" s="193">
        <f t="shared" si="14"/>
        <v>1.8938191693290736</v>
      </c>
      <c r="I48" s="193">
        <f t="shared" si="14"/>
        <v>520.80027156549522</v>
      </c>
      <c r="J48" s="193">
        <f t="shared" si="14"/>
        <v>17197.771876677318</v>
      </c>
      <c r="K48" s="193">
        <f t="shared" si="14"/>
        <v>8425.6014843450484</v>
      </c>
      <c r="L48" s="193">
        <f t="shared" si="14"/>
        <v>0</v>
      </c>
      <c r="M48" s="193">
        <f t="shared" si="14"/>
        <v>344.67508881789138</v>
      </c>
      <c r="N48" s="190">
        <f t="shared" si="1"/>
        <v>0.49003413720955835</v>
      </c>
      <c r="O48" s="190">
        <f t="shared" si="2"/>
        <v>1452.3764067833938</v>
      </c>
      <c r="P48" s="190">
        <f>(O48-'Food loss and waste (IDN)'!F48)+(G48*N48)-(I48*N48)-(H48*N48)</f>
        <v>8375.734093234285</v>
      </c>
      <c r="Q48" s="190">
        <f>(P48-'Food loss and waste (IDN)'!G48)</f>
        <v>7983.7497376709207</v>
      </c>
      <c r="R48" s="190">
        <f>(Q48-'Food loss and waste (IDN)'!H48)</f>
        <v>7824.0747429175026</v>
      </c>
      <c r="S48" s="190">
        <f>(R48-'Food loss and waste (IDN)'!I48)</f>
        <v>7041.6672686257525</v>
      </c>
    </row>
    <row r="49" spans="1:19" x14ac:dyDescent="0.35">
      <c r="A49" s="38">
        <v>2050</v>
      </c>
      <c r="B49" s="38">
        <v>2050</v>
      </c>
      <c r="C49" s="38" t="s">
        <v>409</v>
      </c>
      <c r="D49" s="38" t="s">
        <v>704</v>
      </c>
      <c r="E49" s="38" t="s">
        <v>705</v>
      </c>
      <c r="F49" s="193">
        <v>187.77799999999999</v>
      </c>
      <c r="G49" s="193">
        <f>G24*($F$49/$F$24)</f>
        <v>2.8595634517766495</v>
      </c>
      <c r="H49" s="193">
        <f t="shared" ref="H49:M49" si="15">H24*($F$49/$F$24)</f>
        <v>0</v>
      </c>
      <c r="I49" s="193">
        <f t="shared" si="15"/>
        <v>0</v>
      </c>
      <c r="J49" s="193">
        <f t="shared" si="15"/>
        <v>190.63756345177666</v>
      </c>
      <c r="K49" s="193">
        <f t="shared" si="15"/>
        <v>2.8595634517766495</v>
      </c>
      <c r="L49" s="193">
        <f t="shared" si="15"/>
        <v>0</v>
      </c>
      <c r="M49" s="193">
        <f t="shared" si="15"/>
        <v>0</v>
      </c>
      <c r="N49" s="190">
        <f t="shared" si="1"/>
        <v>0.98499999999999999</v>
      </c>
      <c r="O49" s="190">
        <f t="shared" si="2"/>
        <v>184.96132999999998</v>
      </c>
      <c r="P49" s="190">
        <f>(O49-'Food loss and waste (IDN)'!F49)+(G49*N49)-(I49*N49)-(H49*N49)</f>
        <v>174.83070689999997</v>
      </c>
      <c r="Q49" s="190">
        <f>(P49-'Food loss and waste (IDN)'!G49)</f>
        <v>168.88646286539998</v>
      </c>
      <c r="R49" s="190">
        <f>(Q49-'Food loss and waste (IDN)'!H49)</f>
        <v>155.37554583616799</v>
      </c>
      <c r="S49" s="190">
        <f>(R49-'Food loss and waste (IDN)'!I49)</f>
        <v>152.26803491944463</v>
      </c>
    </row>
    <row r="50" spans="1:19" x14ac:dyDescent="0.35">
      <c r="A50" s="38">
        <v>2050</v>
      </c>
      <c r="B50" s="38">
        <v>2050</v>
      </c>
      <c r="C50" s="38" t="s">
        <v>409</v>
      </c>
      <c r="D50" s="38" t="s">
        <v>704</v>
      </c>
      <c r="E50" s="38" t="s">
        <v>706</v>
      </c>
      <c r="F50" s="193">
        <v>318.87599999999998</v>
      </c>
      <c r="G50" s="193">
        <f>G25*($F$50/$F$25)</f>
        <v>1116.0659999999998</v>
      </c>
      <c r="H50" s="193">
        <f t="shared" ref="H50:M50" si="16">H25*($F$50/$F$25)</f>
        <v>-318.87599999999998</v>
      </c>
      <c r="I50" s="193">
        <f t="shared" si="16"/>
        <v>0</v>
      </c>
      <c r="J50" s="193">
        <f t="shared" si="16"/>
        <v>1753.8179999999998</v>
      </c>
      <c r="K50" s="193">
        <f t="shared" si="16"/>
        <v>478.31399999999996</v>
      </c>
      <c r="L50" s="193">
        <f t="shared" si="16"/>
        <v>0</v>
      </c>
      <c r="M50" s="193">
        <f t="shared" si="16"/>
        <v>0</v>
      </c>
      <c r="N50" s="190">
        <f t="shared" si="1"/>
        <v>0.72727272727272729</v>
      </c>
      <c r="O50" s="190">
        <f t="shared" si="2"/>
        <v>231.90981818181817</v>
      </c>
      <c r="P50" s="190">
        <f>(O50-'Food loss and waste (IDN)'!F50)+(G50*N50)-(I50*N50)-(H50*N50)</f>
        <v>1259.2703127272725</v>
      </c>
      <c r="Q50" s="190">
        <f>(P50-'Food loss and waste (IDN)'!G50)</f>
        <v>1216.4551220945452</v>
      </c>
      <c r="R50" s="190">
        <f>(Q50-'Food loss and waste (IDN)'!H50)</f>
        <v>1119.1387123269817</v>
      </c>
      <c r="S50" s="190">
        <f>(R50-'Food loss and waste (IDN)'!I50)</f>
        <v>1096.7559380804421</v>
      </c>
    </row>
    <row r="51" spans="1:19" x14ac:dyDescent="0.35">
      <c r="A51" s="38">
        <v>2050</v>
      </c>
      <c r="B51" s="38">
        <v>2050</v>
      </c>
      <c r="C51" s="38" t="s">
        <v>409</v>
      </c>
      <c r="D51" s="38" t="s">
        <v>707</v>
      </c>
      <c r="E51" s="38" t="s">
        <v>708</v>
      </c>
      <c r="F51" s="193">
        <v>3333.614</v>
      </c>
      <c r="G51" s="193">
        <f>G26*($F$51/$F$26)</f>
        <v>9.1082349726775949</v>
      </c>
      <c r="H51" s="193">
        <f t="shared" ref="H51:M51" si="17">H26*($F$51/$F$26)</f>
        <v>0</v>
      </c>
      <c r="I51" s="193">
        <f t="shared" si="17"/>
        <v>382.54586885245897</v>
      </c>
      <c r="J51" s="193">
        <f t="shared" si="17"/>
        <v>2951.068131147541</v>
      </c>
      <c r="K51" s="193">
        <f t="shared" si="17"/>
        <v>300.57175409836066</v>
      </c>
      <c r="L51" s="193">
        <f t="shared" si="17"/>
        <v>0</v>
      </c>
      <c r="M51" s="193">
        <f t="shared" si="17"/>
        <v>0</v>
      </c>
      <c r="N51" s="190">
        <f t="shared" si="1"/>
        <v>0.89814814814814814</v>
      </c>
      <c r="O51" s="190">
        <f t="shared" si="2"/>
        <v>2994.0792407407407</v>
      </c>
      <c r="P51" s="190">
        <f>(O51-'Food loss and waste (IDN)'!F51)+(G51*N51)-(I51*N51)-(H51*N51)</f>
        <v>2414.6594633024183</v>
      </c>
      <c r="Q51" s="190">
        <f>(P51-'Food loss and waste (IDN)'!G51)</f>
        <v>2122.2442022964956</v>
      </c>
      <c r="R51" s="190">
        <f>(Q51-'Food loss and waste (IDN)'!H51)</f>
        <v>1910.0197820668459</v>
      </c>
      <c r="S51" s="190">
        <f>(R51-'Food loss and waste (IDN)'!I51)</f>
        <v>1704.11964956004</v>
      </c>
    </row>
    <row r="53" spans="1:19" x14ac:dyDescent="0.35">
      <c r="B53" s="19" t="s">
        <v>738</v>
      </c>
    </row>
    <row r="67" spans="6:13" x14ac:dyDescent="0.35">
      <c r="F67" s="191"/>
      <c r="G67" s="191"/>
      <c r="H67" s="191"/>
      <c r="I67" s="191"/>
      <c r="J67" s="191"/>
      <c r="K67" s="191"/>
      <c r="L67" s="191"/>
      <c r="M67" s="191"/>
    </row>
    <row r="92" spans="6:13" x14ac:dyDescent="0.35">
      <c r="F92" s="191"/>
      <c r="G92" s="191"/>
      <c r="H92" s="191"/>
      <c r="I92" s="191"/>
      <c r="J92" s="191"/>
      <c r="K92" s="191"/>
      <c r="L92" s="191"/>
      <c r="M92" s="191"/>
    </row>
    <row r="117" spans="6:13" x14ac:dyDescent="0.35">
      <c r="F117" s="191"/>
      <c r="G117" s="191"/>
      <c r="H117" s="191"/>
      <c r="I117" s="191"/>
      <c r="J117" s="191"/>
      <c r="K117" s="191"/>
      <c r="L117" s="191"/>
      <c r="M117" s="191"/>
    </row>
    <row r="217" spans="6:13" x14ac:dyDescent="0.35">
      <c r="F217" s="191"/>
      <c r="G217" s="191"/>
      <c r="H217" s="191"/>
      <c r="I217" s="191"/>
      <c r="J217" s="191"/>
      <c r="K217" s="191"/>
      <c r="L217" s="191"/>
      <c r="M217" s="191"/>
    </row>
    <row r="242" spans="6:13" x14ac:dyDescent="0.35">
      <c r="F242" s="191"/>
      <c r="G242" s="191"/>
      <c r="H242" s="191"/>
      <c r="I242" s="191"/>
      <c r="J242" s="191"/>
      <c r="K242" s="191"/>
      <c r="L242" s="191"/>
      <c r="M242" s="191"/>
    </row>
    <row r="267" spans="6:13" x14ac:dyDescent="0.35">
      <c r="F267" s="191"/>
      <c r="G267" s="191"/>
      <c r="H267" s="191"/>
      <c r="I267" s="191"/>
      <c r="J267" s="191"/>
      <c r="K267" s="191"/>
      <c r="L267" s="191"/>
      <c r="M267" s="191"/>
    </row>
    <row r="292" spans="6:13" x14ac:dyDescent="0.35">
      <c r="F292" s="191"/>
      <c r="G292" s="191"/>
      <c r="H292" s="191"/>
      <c r="I292" s="191"/>
      <c r="J292" s="191"/>
      <c r="K292" s="191"/>
      <c r="L292" s="191"/>
      <c r="M292" s="191"/>
    </row>
    <row r="317" spans="6:13" x14ac:dyDescent="0.35">
      <c r="F317" s="191"/>
      <c r="G317" s="191"/>
      <c r="H317" s="191"/>
      <c r="I317" s="191"/>
      <c r="J317" s="191"/>
      <c r="K317" s="191"/>
      <c r="L317" s="191"/>
      <c r="M317" s="191"/>
    </row>
    <row r="342" spans="6:13" x14ac:dyDescent="0.35">
      <c r="F342" s="191"/>
      <c r="G342" s="191"/>
      <c r="H342" s="191"/>
      <c r="I342" s="191"/>
      <c r="J342" s="191"/>
      <c r="K342" s="191"/>
      <c r="L342" s="191"/>
      <c r="M342" s="191"/>
    </row>
    <row r="367" spans="6:13" x14ac:dyDescent="0.35">
      <c r="F367" s="191"/>
      <c r="G367" s="191"/>
      <c r="H367" s="191"/>
      <c r="I367" s="191"/>
      <c r="J367" s="191"/>
      <c r="K367" s="191"/>
      <c r="L367" s="191"/>
      <c r="M367" s="191"/>
    </row>
    <row r="392" spans="6:13" x14ac:dyDescent="0.35">
      <c r="F392" s="191"/>
      <c r="G392" s="191"/>
      <c r="H392" s="191"/>
      <c r="I392" s="191"/>
      <c r="J392" s="191"/>
      <c r="K392" s="191"/>
      <c r="L392" s="191"/>
      <c r="M392" s="191"/>
    </row>
    <row r="417" spans="6:13" x14ac:dyDescent="0.35">
      <c r="F417" s="191"/>
      <c r="G417" s="191"/>
      <c r="H417" s="191"/>
      <c r="I417" s="191"/>
      <c r="J417" s="191"/>
      <c r="K417" s="191"/>
      <c r="L417" s="191"/>
      <c r="M417" s="191"/>
    </row>
    <row r="442" spans="6:13" x14ac:dyDescent="0.35">
      <c r="F442" s="191"/>
      <c r="G442" s="191"/>
      <c r="H442" s="191"/>
      <c r="I442" s="191"/>
      <c r="J442" s="191"/>
      <c r="K442" s="191"/>
      <c r="L442" s="191"/>
      <c r="M442" s="191"/>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8839-86F3-4CAE-8373-3770BE3CBD66}">
  <sheetPr filterMode="1">
    <tabColor theme="6" tint="0.39997558519241921"/>
  </sheetPr>
  <dimension ref="A1:I1963"/>
  <sheetViews>
    <sheetView zoomScale="85" zoomScaleNormal="85" workbookViewId="0">
      <pane ySplit="1" topLeftCell="A68" activePane="bottomLeft" state="frozen"/>
      <selection activeCell="F35" sqref="F35"/>
      <selection pane="bottomLeft"/>
    </sheetView>
  </sheetViews>
  <sheetFormatPr defaultRowHeight="14.5" x14ac:dyDescent="0.35"/>
  <cols>
    <col min="1" max="1" width="33.453125" style="38" bestFit="1" customWidth="1"/>
    <col min="2" max="2" width="12.26953125" style="38" bestFit="1" customWidth="1"/>
    <col min="3" max="3" width="23.54296875" style="38" bestFit="1" customWidth="1"/>
    <col min="4" max="4" width="16.81640625" style="38" bestFit="1" customWidth="1"/>
    <col min="5" max="9" width="12.54296875" style="190" bestFit="1" customWidth="1"/>
  </cols>
  <sheetData>
    <row r="1" spans="1:9" ht="15.5" x14ac:dyDescent="0.35">
      <c r="A1" s="200" t="s">
        <v>56</v>
      </c>
      <c r="B1" s="200" t="s">
        <v>671</v>
      </c>
      <c r="C1" s="200" t="s">
        <v>672</v>
      </c>
      <c r="D1" s="200" t="s">
        <v>673</v>
      </c>
      <c r="E1" s="201" t="s">
        <v>739</v>
      </c>
      <c r="F1" s="201" t="s">
        <v>740</v>
      </c>
      <c r="G1" s="201" t="s">
        <v>741</v>
      </c>
      <c r="H1" s="201" t="s">
        <v>742</v>
      </c>
      <c r="I1" s="201" t="s">
        <v>743</v>
      </c>
    </row>
    <row r="2" spans="1:9" hidden="1" x14ac:dyDescent="0.35">
      <c r="A2" s="38" t="s">
        <v>744</v>
      </c>
      <c r="B2" s="38" t="s">
        <v>745</v>
      </c>
      <c r="C2" s="38" t="s">
        <v>686</v>
      </c>
      <c r="D2" s="38" t="s">
        <v>746</v>
      </c>
      <c r="E2" s="94">
        <v>4.3</v>
      </c>
      <c r="F2" s="94">
        <v>3.8</v>
      </c>
      <c r="G2" s="94">
        <v>10.5</v>
      </c>
      <c r="H2" s="94">
        <v>3</v>
      </c>
      <c r="I2" s="94">
        <v>27</v>
      </c>
    </row>
    <row r="3" spans="1:9" hidden="1" x14ac:dyDescent="0.35">
      <c r="A3" s="38" t="s">
        <v>744</v>
      </c>
      <c r="B3" s="38" t="s">
        <v>745</v>
      </c>
      <c r="C3" s="38" t="s">
        <v>691</v>
      </c>
      <c r="D3" s="38" t="s">
        <v>746</v>
      </c>
      <c r="E3" s="94">
        <v>20</v>
      </c>
      <c r="F3" s="94">
        <v>7.3</v>
      </c>
      <c r="G3" s="94">
        <v>2</v>
      </c>
      <c r="H3" s="94">
        <v>4.9000000000000004</v>
      </c>
      <c r="I3" s="94">
        <v>19</v>
      </c>
    </row>
    <row r="4" spans="1:9" hidden="1" x14ac:dyDescent="0.35">
      <c r="A4" s="38" t="s">
        <v>744</v>
      </c>
      <c r="B4" s="38" t="s">
        <v>745</v>
      </c>
      <c r="C4" s="38" t="s">
        <v>696</v>
      </c>
      <c r="D4" s="94" t="s">
        <v>697</v>
      </c>
      <c r="E4" s="94">
        <v>9.4</v>
      </c>
      <c r="F4" s="94">
        <v>7.9</v>
      </c>
      <c r="G4" s="94">
        <v>6</v>
      </c>
      <c r="H4" s="94">
        <v>9</v>
      </c>
      <c r="I4" s="94">
        <v>11</v>
      </c>
    </row>
    <row r="5" spans="1:9" hidden="1" x14ac:dyDescent="0.35">
      <c r="A5" s="38" t="s">
        <v>744</v>
      </c>
      <c r="B5" s="38" t="s">
        <v>745</v>
      </c>
      <c r="C5" s="38" t="s">
        <v>698</v>
      </c>
      <c r="D5" s="38" t="s">
        <v>747</v>
      </c>
      <c r="E5" s="94">
        <v>2.2999999999999998</v>
      </c>
      <c r="F5" s="94">
        <v>0.6</v>
      </c>
      <c r="G5" s="94">
        <v>5</v>
      </c>
      <c r="H5" s="94">
        <v>4</v>
      </c>
      <c r="I5" s="94">
        <v>11</v>
      </c>
    </row>
    <row r="6" spans="1:9" hidden="1" x14ac:dyDescent="0.35">
      <c r="A6" s="38" t="s">
        <v>744</v>
      </c>
      <c r="B6" s="38" t="s">
        <v>745</v>
      </c>
      <c r="C6" s="38" t="s">
        <v>698</v>
      </c>
      <c r="D6" s="38" t="s">
        <v>700</v>
      </c>
      <c r="E6" s="94">
        <v>10</v>
      </c>
      <c r="F6" s="94">
        <v>0.6</v>
      </c>
      <c r="G6" s="94">
        <v>5</v>
      </c>
      <c r="H6" s="94">
        <v>4</v>
      </c>
      <c r="I6" s="94">
        <v>11</v>
      </c>
    </row>
    <row r="7" spans="1:9" hidden="1" x14ac:dyDescent="0.35">
      <c r="A7" s="38" t="s">
        <v>744</v>
      </c>
      <c r="B7" s="38" t="s">
        <v>745</v>
      </c>
      <c r="C7" s="38" t="s">
        <v>698</v>
      </c>
      <c r="D7" s="38" t="s">
        <v>521</v>
      </c>
      <c r="E7" s="94">
        <v>2.5</v>
      </c>
      <c r="F7" s="94">
        <v>0.3</v>
      </c>
      <c r="G7" s="94">
        <v>5</v>
      </c>
      <c r="H7" s="94">
        <v>4</v>
      </c>
      <c r="I7" s="94">
        <v>11</v>
      </c>
    </row>
    <row r="8" spans="1:9" hidden="1" x14ac:dyDescent="0.35">
      <c r="A8" s="38" t="s">
        <v>744</v>
      </c>
      <c r="B8" s="38" t="s">
        <v>745</v>
      </c>
      <c r="C8" s="38" t="s">
        <v>698</v>
      </c>
      <c r="D8" s="38" t="s">
        <v>252</v>
      </c>
      <c r="E8" s="94">
        <v>7</v>
      </c>
      <c r="F8" s="94">
        <v>0.9</v>
      </c>
      <c r="G8" s="94">
        <v>5</v>
      </c>
      <c r="H8" s="94">
        <v>4</v>
      </c>
      <c r="I8" s="94">
        <v>11</v>
      </c>
    </row>
    <row r="9" spans="1:9" hidden="1" x14ac:dyDescent="0.35">
      <c r="A9" s="38" t="s">
        <v>744</v>
      </c>
      <c r="B9" s="38" t="s">
        <v>745</v>
      </c>
      <c r="C9" s="38" t="s">
        <v>701</v>
      </c>
      <c r="D9" s="38" t="s">
        <v>702</v>
      </c>
      <c r="E9" s="94">
        <v>4</v>
      </c>
      <c r="F9" s="94">
        <v>1.9</v>
      </c>
      <c r="G9" s="94">
        <v>0.5</v>
      </c>
      <c r="H9" s="94">
        <v>2</v>
      </c>
      <c r="I9" s="94">
        <v>8</v>
      </c>
    </row>
    <row r="10" spans="1:9" hidden="1" x14ac:dyDescent="0.35">
      <c r="A10" s="38" t="s">
        <v>744</v>
      </c>
      <c r="B10" s="38" t="s">
        <v>745</v>
      </c>
      <c r="C10" s="38" t="s">
        <v>701</v>
      </c>
      <c r="D10" s="38" t="s">
        <v>703</v>
      </c>
      <c r="E10" s="94">
        <v>3.5</v>
      </c>
      <c r="F10" s="94">
        <v>1.7</v>
      </c>
      <c r="G10" s="94">
        <v>1.2</v>
      </c>
      <c r="H10" s="94">
        <v>0.82</v>
      </c>
      <c r="I10" s="94">
        <v>7</v>
      </c>
    </row>
    <row r="11" spans="1:9" hidden="1" x14ac:dyDescent="0.35">
      <c r="A11" s="38" t="s">
        <v>744</v>
      </c>
      <c r="B11" s="38" t="s">
        <v>745</v>
      </c>
      <c r="C11" s="38" t="s">
        <v>704</v>
      </c>
      <c r="D11" s="38" t="s">
        <v>746</v>
      </c>
      <c r="E11" s="94">
        <v>5.3</v>
      </c>
      <c r="F11" s="94">
        <v>1.2</v>
      </c>
      <c r="G11" s="94">
        <v>5</v>
      </c>
      <c r="H11" s="94">
        <v>1</v>
      </c>
      <c r="I11" s="94">
        <v>4</v>
      </c>
    </row>
    <row r="12" spans="1:9" hidden="1" x14ac:dyDescent="0.35">
      <c r="A12" s="38" t="s">
        <v>744</v>
      </c>
      <c r="B12" s="38" t="s">
        <v>745</v>
      </c>
      <c r="C12" s="38" t="s">
        <v>707</v>
      </c>
      <c r="D12" s="38" t="s">
        <v>708</v>
      </c>
      <c r="E12" s="94">
        <v>20</v>
      </c>
      <c r="F12" s="94">
        <v>7.6</v>
      </c>
      <c r="G12" s="94">
        <v>13.8</v>
      </c>
      <c r="H12" s="94">
        <v>7</v>
      </c>
      <c r="I12" s="94">
        <v>17</v>
      </c>
    </row>
    <row r="13" spans="1:9" hidden="1" x14ac:dyDescent="0.35">
      <c r="A13" s="38" t="s">
        <v>744</v>
      </c>
      <c r="B13" s="38" t="s">
        <v>748</v>
      </c>
      <c r="C13" s="38" t="s">
        <v>686</v>
      </c>
      <c r="D13" s="38" t="s">
        <v>746</v>
      </c>
      <c r="E13" s="195">
        <v>3.92</v>
      </c>
      <c r="F13" s="195">
        <v>4.24</v>
      </c>
      <c r="G13" s="195">
        <v>11.8</v>
      </c>
      <c r="H13" s="195">
        <v>2</v>
      </c>
      <c r="I13" s="195">
        <v>13.65</v>
      </c>
    </row>
    <row r="14" spans="1:9" hidden="1" x14ac:dyDescent="0.35">
      <c r="A14" s="38" t="s">
        <v>744</v>
      </c>
      <c r="B14" s="38" t="s">
        <v>748</v>
      </c>
      <c r="C14" s="38" t="s">
        <v>691</v>
      </c>
      <c r="D14" s="38" t="s">
        <v>746</v>
      </c>
      <c r="E14" s="195">
        <v>10</v>
      </c>
      <c r="F14" s="195">
        <v>8.3699999999999992</v>
      </c>
      <c r="G14" s="195">
        <v>2</v>
      </c>
      <c r="H14" s="195">
        <v>8</v>
      </c>
      <c r="I14" s="195">
        <v>10.35</v>
      </c>
    </row>
    <row r="15" spans="1:9" hidden="1" x14ac:dyDescent="0.35">
      <c r="A15" s="38" t="s">
        <v>744</v>
      </c>
      <c r="B15" s="38" t="s">
        <v>748</v>
      </c>
      <c r="C15" s="38" t="s">
        <v>696</v>
      </c>
      <c r="D15" s="94" t="s">
        <v>697</v>
      </c>
      <c r="E15" s="195">
        <v>15</v>
      </c>
      <c r="F15" s="195">
        <v>16.5</v>
      </c>
      <c r="G15" s="195">
        <v>6</v>
      </c>
      <c r="H15" s="195">
        <v>11</v>
      </c>
      <c r="I15" s="195">
        <v>7.3</v>
      </c>
    </row>
    <row r="16" spans="1:9" hidden="1" x14ac:dyDescent="0.35">
      <c r="A16" s="38" t="s">
        <v>744</v>
      </c>
      <c r="B16" s="38" t="s">
        <v>748</v>
      </c>
      <c r="C16" s="38" t="s">
        <v>698</v>
      </c>
      <c r="D16" s="38" t="s">
        <v>747</v>
      </c>
      <c r="E16" s="195">
        <v>2.2999999999999998</v>
      </c>
      <c r="F16" s="195">
        <v>0.55000000000000004</v>
      </c>
      <c r="G16" s="195">
        <v>5</v>
      </c>
      <c r="H16" s="195">
        <v>6</v>
      </c>
      <c r="I16" s="195">
        <v>6.8</v>
      </c>
    </row>
    <row r="17" spans="1:9" hidden="1" x14ac:dyDescent="0.35">
      <c r="A17" s="38" t="s">
        <v>744</v>
      </c>
      <c r="B17" s="38" t="s">
        <v>748</v>
      </c>
      <c r="C17" s="38" t="s">
        <v>698</v>
      </c>
      <c r="D17" s="38" t="s">
        <v>700</v>
      </c>
      <c r="E17" s="195">
        <v>10</v>
      </c>
      <c r="F17" s="195">
        <v>0.81</v>
      </c>
      <c r="G17" s="195">
        <v>5</v>
      </c>
      <c r="H17" s="195">
        <v>6</v>
      </c>
      <c r="I17" s="195">
        <v>6.8</v>
      </c>
    </row>
    <row r="18" spans="1:9" hidden="1" x14ac:dyDescent="0.35">
      <c r="A18" s="38" t="s">
        <v>744</v>
      </c>
      <c r="B18" s="38" t="s">
        <v>748</v>
      </c>
      <c r="C18" s="38" t="s">
        <v>698</v>
      </c>
      <c r="D18" s="38" t="s">
        <v>521</v>
      </c>
      <c r="E18" s="195">
        <v>2.5</v>
      </c>
      <c r="F18" s="195">
        <v>0.18</v>
      </c>
      <c r="G18" s="195">
        <v>5</v>
      </c>
      <c r="H18" s="195">
        <v>6</v>
      </c>
      <c r="I18" s="195">
        <v>6.8</v>
      </c>
    </row>
    <row r="19" spans="1:9" hidden="1" x14ac:dyDescent="0.35">
      <c r="A19" s="38" t="s">
        <v>744</v>
      </c>
      <c r="B19" s="38" t="s">
        <v>748</v>
      </c>
      <c r="C19" s="38" t="s">
        <v>698</v>
      </c>
      <c r="D19" s="38" t="s">
        <v>252</v>
      </c>
      <c r="E19" s="195">
        <v>7</v>
      </c>
      <c r="F19" s="195">
        <v>1.03</v>
      </c>
      <c r="G19" s="195">
        <v>5</v>
      </c>
      <c r="H19" s="195">
        <v>6</v>
      </c>
      <c r="I19" s="195">
        <v>6.8</v>
      </c>
    </row>
    <row r="20" spans="1:9" hidden="1" x14ac:dyDescent="0.35">
      <c r="A20" s="38" t="s">
        <v>744</v>
      </c>
      <c r="B20" s="38" t="s">
        <v>748</v>
      </c>
      <c r="C20" s="38" t="s">
        <v>701</v>
      </c>
      <c r="D20" s="38" t="s">
        <v>702</v>
      </c>
      <c r="E20" s="195">
        <v>6</v>
      </c>
      <c r="F20" s="195">
        <v>2.38</v>
      </c>
      <c r="G20" s="195">
        <v>0.5</v>
      </c>
      <c r="H20" s="195">
        <v>4</v>
      </c>
      <c r="I20" s="195">
        <v>3.65</v>
      </c>
    </row>
    <row r="21" spans="1:9" hidden="1" x14ac:dyDescent="0.35">
      <c r="A21" s="38" t="s">
        <v>744</v>
      </c>
      <c r="B21" s="38" t="s">
        <v>748</v>
      </c>
      <c r="C21" s="38" t="s">
        <v>701</v>
      </c>
      <c r="D21" s="38" t="s">
        <v>703</v>
      </c>
      <c r="E21" s="195">
        <v>3.5</v>
      </c>
      <c r="F21" s="195">
        <v>2.2400000000000002</v>
      </c>
      <c r="G21" s="195">
        <v>1.2</v>
      </c>
      <c r="H21" s="195">
        <v>0.5</v>
      </c>
      <c r="I21" s="195">
        <v>2.6</v>
      </c>
    </row>
    <row r="22" spans="1:9" hidden="1" x14ac:dyDescent="0.35">
      <c r="A22" s="38" t="s">
        <v>744</v>
      </c>
      <c r="B22" s="38" t="s">
        <v>748</v>
      </c>
      <c r="C22" s="38" t="s">
        <v>704</v>
      </c>
      <c r="D22" s="38" t="s">
        <v>746</v>
      </c>
      <c r="E22" s="195">
        <v>6</v>
      </c>
      <c r="F22" s="195">
        <v>2.72</v>
      </c>
      <c r="G22" s="195">
        <v>5</v>
      </c>
      <c r="H22" s="195">
        <v>1</v>
      </c>
      <c r="I22" s="195">
        <v>16.55</v>
      </c>
    </row>
    <row r="23" spans="1:9" hidden="1" x14ac:dyDescent="0.35">
      <c r="A23" s="38" t="s">
        <v>744</v>
      </c>
      <c r="B23" s="38" t="s">
        <v>748</v>
      </c>
      <c r="C23" s="38" t="s">
        <v>707</v>
      </c>
      <c r="D23" s="38" t="s">
        <v>708</v>
      </c>
      <c r="E23" s="195">
        <v>20</v>
      </c>
      <c r="F23" s="195">
        <v>4.8499999999999996</v>
      </c>
      <c r="G23" s="195">
        <v>15</v>
      </c>
      <c r="H23" s="195">
        <v>9</v>
      </c>
      <c r="I23" s="195">
        <v>7.15</v>
      </c>
    </row>
    <row r="24" spans="1:9" hidden="1" x14ac:dyDescent="0.35">
      <c r="A24" s="38" t="s">
        <v>744</v>
      </c>
      <c r="B24" s="38" t="s">
        <v>749</v>
      </c>
      <c r="C24" s="38" t="s">
        <v>686</v>
      </c>
      <c r="D24" s="38" t="s">
        <v>746</v>
      </c>
      <c r="E24" s="94">
        <v>7.17</v>
      </c>
      <c r="F24" s="94">
        <v>3.25</v>
      </c>
      <c r="G24" s="94">
        <v>10.5</v>
      </c>
      <c r="H24" s="94">
        <v>9</v>
      </c>
      <c r="I24" s="94">
        <v>23.99</v>
      </c>
    </row>
    <row r="25" spans="1:9" hidden="1" x14ac:dyDescent="0.35">
      <c r="A25" s="38" t="s">
        <v>744</v>
      </c>
      <c r="B25" s="38" t="s">
        <v>749</v>
      </c>
      <c r="C25" s="38" t="s">
        <v>691</v>
      </c>
      <c r="D25" s="38" t="s">
        <v>746</v>
      </c>
      <c r="E25" s="94">
        <v>20</v>
      </c>
      <c r="F25" s="94">
        <v>15.3</v>
      </c>
      <c r="G25" s="94">
        <v>2</v>
      </c>
      <c r="H25" s="94">
        <v>9.35</v>
      </c>
      <c r="I25" s="94">
        <v>25.43</v>
      </c>
    </row>
    <row r="26" spans="1:9" hidden="1" x14ac:dyDescent="0.35">
      <c r="A26" s="38" t="s">
        <v>744</v>
      </c>
      <c r="B26" s="38" t="s">
        <v>749</v>
      </c>
      <c r="C26" s="38" t="s">
        <v>696</v>
      </c>
      <c r="D26" s="94" t="s">
        <v>697</v>
      </c>
      <c r="E26" s="94">
        <v>12</v>
      </c>
      <c r="F26" s="94">
        <v>2.2200000000000002</v>
      </c>
      <c r="G26" s="94">
        <v>6</v>
      </c>
      <c r="H26" s="94">
        <v>6.83</v>
      </c>
      <c r="I26" s="94">
        <v>28.17</v>
      </c>
    </row>
    <row r="27" spans="1:9" hidden="1" x14ac:dyDescent="0.35">
      <c r="A27" s="38" t="s">
        <v>744</v>
      </c>
      <c r="B27" s="38" t="s">
        <v>749</v>
      </c>
      <c r="C27" s="38" t="s">
        <v>698</v>
      </c>
      <c r="D27" s="38" t="s">
        <v>747</v>
      </c>
      <c r="E27" s="94">
        <v>2.2999999999999998</v>
      </c>
      <c r="F27" s="94">
        <v>0.31</v>
      </c>
      <c r="G27" s="94">
        <v>5</v>
      </c>
      <c r="H27" s="94">
        <v>3.9</v>
      </c>
      <c r="I27" s="38">
        <v>21.19</v>
      </c>
    </row>
    <row r="28" spans="1:9" hidden="1" x14ac:dyDescent="0.35">
      <c r="A28" s="38" t="s">
        <v>744</v>
      </c>
      <c r="B28" s="38" t="s">
        <v>749</v>
      </c>
      <c r="C28" s="38" t="s">
        <v>698</v>
      </c>
      <c r="D28" s="38" t="s">
        <v>700</v>
      </c>
      <c r="E28" s="94">
        <v>10</v>
      </c>
      <c r="F28" s="94">
        <v>0.8</v>
      </c>
      <c r="G28" s="94">
        <v>5</v>
      </c>
      <c r="H28" s="94">
        <v>3.9</v>
      </c>
      <c r="I28" s="94">
        <v>21.19</v>
      </c>
    </row>
    <row r="29" spans="1:9" hidden="1" x14ac:dyDescent="0.35">
      <c r="A29" s="38" t="s">
        <v>744</v>
      </c>
      <c r="B29" s="38" t="s">
        <v>749</v>
      </c>
      <c r="C29" s="38" t="s">
        <v>698</v>
      </c>
      <c r="D29" s="38" t="s">
        <v>521</v>
      </c>
      <c r="E29" s="94">
        <v>2.5</v>
      </c>
      <c r="F29" s="94">
        <v>0.66</v>
      </c>
      <c r="G29" s="94">
        <v>5</v>
      </c>
      <c r="H29" s="94">
        <v>3.9</v>
      </c>
      <c r="I29" s="94">
        <v>21.19</v>
      </c>
    </row>
    <row r="30" spans="1:9" hidden="1" x14ac:dyDescent="0.35">
      <c r="A30" s="38" t="s">
        <v>744</v>
      </c>
      <c r="B30" s="38" t="s">
        <v>749</v>
      </c>
      <c r="C30" s="38" t="s">
        <v>698</v>
      </c>
      <c r="D30" s="38" t="s">
        <v>252</v>
      </c>
      <c r="E30" s="94">
        <v>7</v>
      </c>
      <c r="F30" s="94">
        <v>0.88</v>
      </c>
      <c r="G30" s="94">
        <v>5</v>
      </c>
      <c r="H30" s="94">
        <v>3.9</v>
      </c>
      <c r="I30" s="94">
        <v>21.19</v>
      </c>
    </row>
    <row r="31" spans="1:9" hidden="1" x14ac:dyDescent="0.35">
      <c r="A31" s="38" t="s">
        <v>744</v>
      </c>
      <c r="B31" s="38" t="s">
        <v>749</v>
      </c>
      <c r="C31" s="38" t="s">
        <v>701</v>
      </c>
      <c r="D31" s="38" t="s">
        <v>702</v>
      </c>
      <c r="E31" s="94">
        <v>4</v>
      </c>
      <c r="F31" s="94">
        <v>2.27</v>
      </c>
      <c r="G31" s="94">
        <v>0.5</v>
      </c>
      <c r="H31" s="94">
        <v>7</v>
      </c>
      <c r="I31" s="94">
        <v>20.399999999999999</v>
      </c>
    </row>
    <row r="32" spans="1:9" hidden="1" x14ac:dyDescent="0.35">
      <c r="A32" s="38" t="s">
        <v>744</v>
      </c>
      <c r="B32" s="38" t="s">
        <v>749</v>
      </c>
      <c r="C32" s="38" t="s">
        <v>701</v>
      </c>
      <c r="D32" s="38" t="s">
        <v>703</v>
      </c>
      <c r="E32" s="94">
        <v>3.5</v>
      </c>
      <c r="F32" s="94">
        <v>0.4</v>
      </c>
      <c r="G32" s="94">
        <v>1.2</v>
      </c>
      <c r="H32" s="94">
        <v>7.75</v>
      </c>
      <c r="I32" s="94">
        <v>21</v>
      </c>
    </row>
    <row r="33" spans="1:9" hidden="1" x14ac:dyDescent="0.35">
      <c r="A33" s="38" t="s">
        <v>744</v>
      </c>
      <c r="B33" s="38" t="s">
        <v>749</v>
      </c>
      <c r="C33" s="38" t="s">
        <v>704</v>
      </c>
      <c r="D33" s="38" t="s">
        <v>746</v>
      </c>
      <c r="E33" s="94">
        <v>12</v>
      </c>
      <c r="F33" s="94">
        <v>3.91</v>
      </c>
      <c r="G33" s="94">
        <v>5</v>
      </c>
      <c r="H33" s="94">
        <v>1</v>
      </c>
      <c r="I33" s="94">
        <v>4</v>
      </c>
    </row>
    <row r="34" spans="1:9" hidden="1" x14ac:dyDescent="0.35">
      <c r="A34" s="38" t="s">
        <v>744</v>
      </c>
      <c r="B34" s="38" t="s">
        <v>749</v>
      </c>
      <c r="C34" s="38" t="s">
        <v>707</v>
      </c>
      <c r="D34" s="38" t="s">
        <v>708</v>
      </c>
      <c r="E34" s="94">
        <v>20</v>
      </c>
      <c r="F34" s="94">
        <v>5.83</v>
      </c>
      <c r="G34" s="94">
        <v>15</v>
      </c>
      <c r="H34" s="94">
        <v>8</v>
      </c>
      <c r="I34" s="94">
        <v>15</v>
      </c>
    </row>
    <row r="35" spans="1:9" hidden="1" x14ac:dyDescent="0.35">
      <c r="A35" s="38" t="s">
        <v>744</v>
      </c>
      <c r="B35" s="38" t="s">
        <v>750</v>
      </c>
      <c r="C35" s="38" t="s">
        <v>686</v>
      </c>
      <c r="D35" s="38" t="s">
        <v>746</v>
      </c>
      <c r="E35" s="94">
        <v>6</v>
      </c>
      <c r="F35" s="94">
        <v>7.46</v>
      </c>
      <c r="G35" s="94">
        <v>9</v>
      </c>
      <c r="H35" s="94">
        <v>4</v>
      </c>
      <c r="I35" s="94">
        <v>10</v>
      </c>
    </row>
    <row r="36" spans="1:9" hidden="1" x14ac:dyDescent="0.35">
      <c r="A36" s="38" t="s">
        <v>744</v>
      </c>
      <c r="B36" s="38" t="s">
        <v>750</v>
      </c>
      <c r="C36" s="38" t="s">
        <v>691</v>
      </c>
      <c r="D36" s="38" t="s">
        <v>746</v>
      </c>
      <c r="E36" s="94">
        <v>20</v>
      </c>
      <c r="F36" s="94">
        <v>14.32</v>
      </c>
      <c r="G36" s="94">
        <v>20</v>
      </c>
      <c r="H36" s="94">
        <v>12</v>
      </c>
      <c r="I36" s="94">
        <v>10</v>
      </c>
    </row>
    <row r="37" spans="1:9" hidden="1" x14ac:dyDescent="0.35">
      <c r="A37" s="38" t="s">
        <v>744</v>
      </c>
      <c r="B37" s="38" t="s">
        <v>750</v>
      </c>
      <c r="C37" s="38" t="s">
        <v>696</v>
      </c>
      <c r="D37" s="94" t="s">
        <v>697</v>
      </c>
      <c r="E37" s="94">
        <v>5.7</v>
      </c>
      <c r="F37" s="94">
        <v>19.61</v>
      </c>
      <c r="G37" s="94">
        <v>9</v>
      </c>
      <c r="H37" s="94">
        <v>10</v>
      </c>
      <c r="I37" s="94">
        <v>4</v>
      </c>
    </row>
    <row r="38" spans="1:9" hidden="1" x14ac:dyDescent="0.35">
      <c r="A38" s="38" t="s">
        <v>744</v>
      </c>
      <c r="B38" s="38" t="s">
        <v>750</v>
      </c>
      <c r="C38" s="38" t="s">
        <v>698</v>
      </c>
      <c r="D38" s="38" t="s">
        <v>747</v>
      </c>
      <c r="E38" s="94">
        <v>5</v>
      </c>
      <c r="F38" s="94">
        <v>1.32</v>
      </c>
      <c r="G38" s="94">
        <v>5</v>
      </c>
      <c r="H38" s="94">
        <v>5</v>
      </c>
      <c r="I38" s="94">
        <v>6</v>
      </c>
    </row>
    <row r="39" spans="1:9" hidden="1" x14ac:dyDescent="0.35">
      <c r="A39" s="38" t="s">
        <v>744</v>
      </c>
      <c r="B39" s="38" t="s">
        <v>750</v>
      </c>
      <c r="C39" s="38" t="s">
        <v>698</v>
      </c>
      <c r="D39" s="38" t="s">
        <v>700</v>
      </c>
      <c r="E39" s="94">
        <v>10</v>
      </c>
      <c r="F39" s="94">
        <v>1.04</v>
      </c>
      <c r="G39" s="94">
        <v>5</v>
      </c>
      <c r="H39" s="94">
        <v>5</v>
      </c>
      <c r="I39" s="94">
        <v>6</v>
      </c>
    </row>
    <row r="40" spans="1:9" hidden="1" x14ac:dyDescent="0.35">
      <c r="A40" s="38" t="s">
        <v>744</v>
      </c>
      <c r="B40" s="38" t="s">
        <v>750</v>
      </c>
      <c r="C40" s="38" t="s">
        <v>698</v>
      </c>
      <c r="D40" s="38" t="s">
        <v>521</v>
      </c>
      <c r="E40" s="94">
        <v>6</v>
      </c>
      <c r="F40" s="94">
        <v>0.41</v>
      </c>
      <c r="G40" s="94">
        <v>5</v>
      </c>
      <c r="H40" s="94">
        <v>5</v>
      </c>
      <c r="I40" s="94">
        <v>6</v>
      </c>
    </row>
    <row r="41" spans="1:9" hidden="1" x14ac:dyDescent="0.35">
      <c r="A41" s="38" t="s">
        <v>744</v>
      </c>
      <c r="B41" s="38" t="s">
        <v>750</v>
      </c>
      <c r="C41" s="38" t="s">
        <v>698</v>
      </c>
      <c r="D41" s="38" t="s">
        <v>252</v>
      </c>
      <c r="E41" s="94">
        <v>6</v>
      </c>
      <c r="F41" s="94">
        <v>1.5</v>
      </c>
      <c r="G41" s="94">
        <v>5</v>
      </c>
      <c r="H41" s="94">
        <v>5</v>
      </c>
      <c r="I41" s="94">
        <v>6</v>
      </c>
    </row>
    <row r="42" spans="1:9" hidden="1" x14ac:dyDescent="0.35">
      <c r="A42" s="38" t="s">
        <v>744</v>
      </c>
      <c r="B42" s="38" t="s">
        <v>750</v>
      </c>
      <c r="C42" s="38" t="s">
        <v>701</v>
      </c>
      <c r="D42" s="38" t="s">
        <v>702</v>
      </c>
      <c r="E42" s="94">
        <v>6</v>
      </c>
      <c r="F42" s="94">
        <v>6.21</v>
      </c>
      <c r="G42" s="94">
        <v>0.5</v>
      </c>
      <c r="H42" s="94">
        <v>4</v>
      </c>
      <c r="I42" s="94">
        <v>4</v>
      </c>
    </row>
    <row r="43" spans="1:9" hidden="1" x14ac:dyDescent="0.35">
      <c r="A43" s="38" t="s">
        <v>744</v>
      </c>
      <c r="B43" s="38" t="s">
        <v>750</v>
      </c>
      <c r="C43" s="38" t="s">
        <v>701</v>
      </c>
      <c r="D43" s="38" t="s">
        <v>703</v>
      </c>
      <c r="E43" s="94">
        <v>3.5</v>
      </c>
      <c r="F43" s="94">
        <v>3.74</v>
      </c>
      <c r="G43" s="94">
        <v>2</v>
      </c>
      <c r="H43" s="94">
        <v>8</v>
      </c>
      <c r="I43" s="94">
        <v>4</v>
      </c>
    </row>
    <row r="44" spans="1:9" hidden="1" x14ac:dyDescent="0.35">
      <c r="A44" s="38" t="s">
        <v>744</v>
      </c>
      <c r="B44" s="38" t="s">
        <v>750</v>
      </c>
      <c r="C44" s="38" t="s">
        <v>704</v>
      </c>
      <c r="D44" s="38" t="s">
        <v>746</v>
      </c>
      <c r="E44" s="94">
        <v>6</v>
      </c>
      <c r="F44" s="94">
        <v>1.49</v>
      </c>
      <c r="G44" s="94">
        <v>8</v>
      </c>
      <c r="H44" s="94">
        <v>2</v>
      </c>
      <c r="I44" s="94">
        <v>2</v>
      </c>
    </row>
    <row r="45" spans="1:9" hidden="1" x14ac:dyDescent="0.35">
      <c r="A45" s="38" t="s">
        <v>744</v>
      </c>
      <c r="B45" s="38" t="s">
        <v>750</v>
      </c>
      <c r="C45" s="38" t="s">
        <v>707</v>
      </c>
      <c r="D45" s="38" t="s">
        <v>708</v>
      </c>
      <c r="E45" s="94">
        <v>14</v>
      </c>
      <c r="F45" s="94">
        <v>10.39</v>
      </c>
      <c r="G45" s="94">
        <v>12</v>
      </c>
      <c r="H45" s="94">
        <v>3</v>
      </c>
      <c r="I45" s="94">
        <v>4</v>
      </c>
    </row>
    <row r="46" spans="1:9" hidden="1" x14ac:dyDescent="0.35">
      <c r="A46" s="38" t="s">
        <v>744</v>
      </c>
      <c r="B46" s="38" t="s">
        <v>751</v>
      </c>
      <c r="C46" s="38" t="s">
        <v>686</v>
      </c>
      <c r="D46" s="38" t="s">
        <v>746</v>
      </c>
      <c r="E46" s="94">
        <v>6</v>
      </c>
      <c r="F46" s="94">
        <v>7.23</v>
      </c>
      <c r="G46" s="94">
        <v>9</v>
      </c>
      <c r="H46" s="94">
        <v>4</v>
      </c>
      <c r="I46" s="94">
        <v>12</v>
      </c>
    </row>
    <row r="47" spans="1:9" hidden="1" x14ac:dyDescent="0.35">
      <c r="A47" s="38" t="s">
        <v>744</v>
      </c>
      <c r="B47" s="38" t="s">
        <v>751</v>
      </c>
      <c r="C47" s="38" t="s">
        <v>691</v>
      </c>
      <c r="D47" s="38" t="s">
        <v>746</v>
      </c>
      <c r="E47" s="94">
        <v>11.33</v>
      </c>
      <c r="F47" s="94">
        <v>11.3</v>
      </c>
      <c r="G47" s="94">
        <v>20</v>
      </c>
      <c r="H47" s="94">
        <v>15.15</v>
      </c>
      <c r="I47" s="94">
        <v>13</v>
      </c>
    </row>
    <row r="48" spans="1:9" hidden="1" x14ac:dyDescent="0.35">
      <c r="A48" s="38" t="s">
        <v>744</v>
      </c>
      <c r="B48" s="38" t="s">
        <v>751</v>
      </c>
      <c r="C48" s="38" t="s">
        <v>696</v>
      </c>
      <c r="D48" s="94" t="s">
        <v>697</v>
      </c>
      <c r="E48" s="94">
        <v>6.6</v>
      </c>
      <c r="F48" s="94">
        <v>22.46</v>
      </c>
      <c r="G48" s="94">
        <v>9</v>
      </c>
      <c r="H48" s="94">
        <v>10</v>
      </c>
      <c r="I48" s="94">
        <v>4</v>
      </c>
    </row>
    <row r="49" spans="1:9" hidden="1" x14ac:dyDescent="0.35">
      <c r="A49" s="38" t="s">
        <v>744</v>
      </c>
      <c r="B49" s="38" t="s">
        <v>751</v>
      </c>
      <c r="C49" s="38" t="s">
        <v>698</v>
      </c>
      <c r="D49" s="38" t="s">
        <v>747</v>
      </c>
      <c r="E49" s="94">
        <v>10</v>
      </c>
      <c r="F49" s="94">
        <v>0.2</v>
      </c>
      <c r="G49" s="94">
        <v>5</v>
      </c>
      <c r="H49" s="94">
        <v>5</v>
      </c>
      <c r="I49" s="94">
        <v>8</v>
      </c>
    </row>
    <row r="50" spans="1:9" hidden="1" x14ac:dyDescent="0.35">
      <c r="A50" s="38" t="s">
        <v>744</v>
      </c>
      <c r="B50" s="38" t="s">
        <v>751</v>
      </c>
      <c r="C50" s="38" t="s">
        <v>698</v>
      </c>
      <c r="D50" s="38" t="s">
        <v>700</v>
      </c>
      <c r="E50" s="94">
        <v>15</v>
      </c>
      <c r="F50" s="94">
        <v>0.2</v>
      </c>
      <c r="G50" s="94">
        <v>5</v>
      </c>
      <c r="H50" s="94">
        <v>5</v>
      </c>
      <c r="I50" s="94">
        <v>8</v>
      </c>
    </row>
    <row r="51" spans="1:9" hidden="1" x14ac:dyDescent="0.35">
      <c r="A51" s="38" t="s">
        <v>744</v>
      </c>
      <c r="B51" s="38" t="s">
        <v>751</v>
      </c>
      <c r="C51" s="38" t="s">
        <v>698</v>
      </c>
      <c r="D51" s="38" t="s">
        <v>521</v>
      </c>
      <c r="E51" s="94">
        <v>8</v>
      </c>
      <c r="F51" s="94">
        <v>0.23</v>
      </c>
      <c r="G51" s="94">
        <v>5</v>
      </c>
      <c r="H51" s="94">
        <v>5</v>
      </c>
      <c r="I51" s="94">
        <v>8</v>
      </c>
    </row>
    <row r="52" spans="1:9" hidden="1" x14ac:dyDescent="0.35">
      <c r="A52" s="38" t="s">
        <v>744</v>
      </c>
      <c r="B52" s="38" t="s">
        <v>751</v>
      </c>
      <c r="C52" s="38" t="s">
        <v>698</v>
      </c>
      <c r="D52" s="38" t="s">
        <v>252</v>
      </c>
      <c r="E52" s="94">
        <v>8</v>
      </c>
      <c r="F52" s="94">
        <v>0.9</v>
      </c>
      <c r="G52" s="94">
        <v>5</v>
      </c>
      <c r="H52" s="94">
        <v>5</v>
      </c>
      <c r="I52" s="94">
        <v>8</v>
      </c>
    </row>
    <row r="53" spans="1:9" hidden="1" x14ac:dyDescent="0.35">
      <c r="A53" s="38" t="s">
        <v>744</v>
      </c>
      <c r="B53" s="38" t="s">
        <v>751</v>
      </c>
      <c r="C53" s="38" t="s">
        <v>701</v>
      </c>
      <c r="D53" s="38" t="s">
        <v>702</v>
      </c>
      <c r="E53" s="94">
        <v>6</v>
      </c>
      <c r="F53" s="94">
        <v>4.8899999999999997</v>
      </c>
      <c r="G53" s="94">
        <v>4.5</v>
      </c>
      <c r="H53" s="94">
        <v>4</v>
      </c>
      <c r="I53" s="94">
        <v>12</v>
      </c>
    </row>
    <row r="54" spans="1:9" hidden="1" x14ac:dyDescent="0.35">
      <c r="A54" s="38" t="s">
        <v>744</v>
      </c>
      <c r="B54" s="38" t="s">
        <v>751</v>
      </c>
      <c r="C54" s="38" t="s">
        <v>701</v>
      </c>
      <c r="D54" s="38" t="s">
        <v>703</v>
      </c>
      <c r="E54" s="94">
        <v>3.5</v>
      </c>
      <c r="F54" s="94">
        <v>3.32</v>
      </c>
      <c r="G54" s="94">
        <v>2</v>
      </c>
      <c r="H54" s="94">
        <v>8</v>
      </c>
      <c r="I54" s="94">
        <v>2</v>
      </c>
    </row>
    <row r="55" spans="1:9" hidden="1" x14ac:dyDescent="0.35">
      <c r="A55" s="38" t="s">
        <v>744</v>
      </c>
      <c r="B55" s="38" t="s">
        <v>751</v>
      </c>
      <c r="C55" s="38" t="s">
        <v>704</v>
      </c>
      <c r="D55" s="38" t="s">
        <v>746</v>
      </c>
      <c r="E55" s="94">
        <v>15</v>
      </c>
      <c r="F55" s="94">
        <v>2.8</v>
      </c>
      <c r="G55" s="94">
        <v>8</v>
      </c>
      <c r="H55" s="94">
        <v>2</v>
      </c>
      <c r="I55" s="94">
        <v>2</v>
      </c>
    </row>
    <row r="56" spans="1:9" hidden="1" x14ac:dyDescent="0.35">
      <c r="A56" s="38" t="s">
        <v>744</v>
      </c>
      <c r="B56" s="38" t="s">
        <v>751</v>
      </c>
      <c r="C56" s="38" t="s">
        <v>707</v>
      </c>
      <c r="D56" s="38" t="s">
        <v>708</v>
      </c>
      <c r="E56" s="94">
        <v>11.9</v>
      </c>
      <c r="F56" s="94">
        <v>9.26</v>
      </c>
      <c r="G56" s="94">
        <v>12</v>
      </c>
      <c r="H56" s="94">
        <v>5.7</v>
      </c>
      <c r="I56" s="94">
        <v>6</v>
      </c>
    </row>
    <row r="57" spans="1:9" hidden="1" x14ac:dyDescent="0.35">
      <c r="A57" s="38" t="s">
        <v>744</v>
      </c>
      <c r="B57" s="38" t="s">
        <v>752</v>
      </c>
      <c r="C57" s="38" t="s">
        <v>686</v>
      </c>
      <c r="D57" s="38" t="s">
        <v>746</v>
      </c>
      <c r="E57" s="195">
        <v>7.21</v>
      </c>
      <c r="F57" s="195">
        <v>8.75</v>
      </c>
      <c r="G57" s="195">
        <v>15.25</v>
      </c>
      <c r="H57" s="195">
        <v>2</v>
      </c>
      <c r="I57" s="195">
        <v>1</v>
      </c>
    </row>
    <row r="58" spans="1:9" hidden="1" x14ac:dyDescent="0.35">
      <c r="A58" s="38" t="s">
        <v>744</v>
      </c>
      <c r="B58" s="38" t="s">
        <v>752</v>
      </c>
      <c r="C58" s="38" t="s">
        <v>691</v>
      </c>
      <c r="D58" s="38" t="s">
        <v>746</v>
      </c>
      <c r="E58" s="195">
        <v>13.47</v>
      </c>
      <c r="F58" s="195">
        <v>17.71</v>
      </c>
      <c r="G58" s="195">
        <v>25</v>
      </c>
      <c r="H58" s="195">
        <v>34.130000000000003</v>
      </c>
      <c r="I58" s="195">
        <v>5</v>
      </c>
    </row>
    <row r="59" spans="1:9" hidden="1" x14ac:dyDescent="0.35">
      <c r="A59" s="38" t="s">
        <v>744</v>
      </c>
      <c r="B59" s="38" t="s">
        <v>752</v>
      </c>
      <c r="C59" s="38" t="s">
        <v>696</v>
      </c>
      <c r="D59" s="94" t="s">
        <v>697</v>
      </c>
      <c r="E59" s="195">
        <v>5.7</v>
      </c>
      <c r="F59" s="195">
        <v>21.94</v>
      </c>
      <c r="G59" s="195">
        <v>9</v>
      </c>
      <c r="H59" s="195">
        <v>15</v>
      </c>
      <c r="I59" s="195">
        <v>2</v>
      </c>
    </row>
    <row r="60" spans="1:9" hidden="1" x14ac:dyDescent="0.35">
      <c r="A60" s="38" t="s">
        <v>744</v>
      </c>
      <c r="B60" s="38" t="s">
        <v>752</v>
      </c>
      <c r="C60" s="38" t="s">
        <v>698</v>
      </c>
      <c r="D60" s="38" t="s">
        <v>747</v>
      </c>
      <c r="E60" s="195">
        <v>10</v>
      </c>
      <c r="F60" s="195">
        <v>0.93</v>
      </c>
      <c r="G60" s="195">
        <v>5</v>
      </c>
      <c r="H60" s="195">
        <v>7</v>
      </c>
      <c r="I60" s="195">
        <v>2</v>
      </c>
    </row>
    <row r="61" spans="1:9" hidden="1" x14ac:dyDescent="0.35">
      <c r="A61" s="38" t="s">
        <v>744</v>
      </c>
      <c r="B61" s="38" t="s">
        <v>752</v>
      </c>
      <c r="C61" s="38" t="s">
        <v>698</v>
      </c>
      <c r="D61" s="38" t="s">
        <v>700</v>
      </c>
      <c r="E61" s="195">
        <v>33</v>
      </c>
      <c r="F61" s="195">
        <v>0.2</v>
      </c>
      <c r="G61" s="195">
        <v>5</v>
      </c>
      <c r="H61" s="195">
        <v>7</v>
      </c>
      <c r="I61" s="195">
        <v>2</v>
      </c>
    </row>
    <row r="62" spans="1:9" hidden="1" x14ac:dyDescent="0.35">
      <c r="A62" s="38" t="s">
        <v>744</v>
      </c>
      <c r="B62" s="38" t="s">
        <v>752</v>
      </c>
      <c r="C62" s="38" t="s">
        <v>698</v>
      </c>
      <c r="D62" s="38" t="s">
        <v>521</v>
      </c>
      <c r="E62" s="195">
        <v>10</v>
      </c>
      <c r="F62" s="195">
        <v>0.23</v>
      </c>
      <c r="G62" s="195">
        <v>5</v>
      </c>
      <c r="H62" s="195">
        <v>7</v>
      </c>
      <c r="I62" s="195">
        <v>2</v>
      </c>
    </row>
    <row r="63" spans="1:9" hidden="1" x14ac:dyDescent="0.35">
      <c r="A63" s="38" t="s">
        <v>744</v>
      </c>
      <c r="B63" s="38" t="s">
        <v>752</v>
      </c>
      <c r="C63" s="38" t="s">
        <v>698</v>
      </c>
      <c r="D63" s="38" t="s">
        <v>252</v>
      </c>
      <c r="E63" s="195">
        <v>25</v>
      </c>
      <c r="F63" s="195">
        <v>0.9</v>
      </c>
      <c r="G63" s="195">
        <v>5</v>
      </c>
      <c r="H63" s="195">
        <v>7</v>
      </c>
      <c r="I63" s="195">
        <v>2</v>
      </c>
    </row>
    <row r="64" spans="1:9" hidden="1" x14ac:dyDescent="0.35">
      <c r="A64" s="38" t="s">
        <v>744</v>
      </c>
      <c r="B64" s="38" t="s">
        <v>752</v>
      </c>
      <c r="C64" s="38" t="s">
        <v>701</v>
      </c>
      <c r="D64" s="38" t="s">
        <v>702</v>
      </c>
      <c r="E64" s="195">
        <v>8</v>
      </c>
      <c r="F64" s="195">
        <v>8.01</v>
      </c>
      <c r="G64" s="195">
        <v>0.1</v>
      </c>
      <c r="H64" s="195">
        <v>3</v>
      </c>
      <c r="I64" s="195">
        <v>1</v>
      </c>
    </row>
    <row r="65" spans="1:9" hidden="1" x14ac:dyDescent="0.35">
      <c r="A65" s="38" t="s">
        <v>744</v>
      </c>
      <c r="B65" s="38" t="s">
        <v>752</v>
      </c>
      <c r="C65" s="38" t="s">
        <v>701</v>
      </c>
      <c r="D65" s="38" t="s">
        <v>703</v>
      </c>
      <c r="E65" s="195">
        <v>6</v>
      </c>
      <c r="F65" s="195">
        <v>8.1999999999999993</v>
      </c>
      <c r="G65" s="195">
        <v>2</v>
      </c>
      <c r="H65" s="195">
        <v>10</v>
      </c>
      <c r="I65" s="195">
        <v>0.1</v>
      </c>
    </row>
    <row r="66" spans="1:9" hidden="1" x14ac:dyDescent="0.35">
      <c r="A66" s="38" t="s">
        <v>744</v>
      </c>
      <c r="B66" s="38" t="s">
        <v>752</v>
      </c>
      <c r="C66" s="38" t="s">
        <v>704</v>
      </c>
      <c r="D66" s="38" t="s">
        <v>746</v>
      </c>
      <c r="E66" s="195">
        <v>12</v>
      </c>
      <c r="F66" s="195">
        <v>8.18</v>
      </c>
      <c r="G66" s="195">
        <v>8</v>
      </c>
      <c r="H66" s="195">
        <v>2</v>
      </c>
      <c r="I66" s="195">
        <v>1</v>
      </c>
    </row>
    <row r="67" spans="1:9" hidden="1" x14ac:dyDescent="0.35">
      <c r="A67" s="38" t="s">
        <v>744</v>
      </c>
      <c r="B67" s="38" t="s">
        <v>752</v>
      </c>
      <c r="C67" s="38" t="s">
        <v>707</v>
      </c>
      <c r="D67" s="38" t="s">
        <v>708</v>
      </c>
      <c r="E67" s="195">
        <v>14</v>
      </c>
      <c r="F67" s="195">
        <v>16.940000000000001</v>
      </c>
      <c r="G67" s="195">
        <v>15</v>
      </c>
      <c r="H67" s="195">
        <v>5</v>
      </c>
      <c r="I67" s="195">
        <v>2</v>
      </c>
    </row>
    <row r="68" spans="1:9" x14ac:dyDescent="0.35">
      <c r="A68" s="38" t="s">
        <v>744</v>
      </c>
      <c r="B68" s="38" t="s">
        <v>753</v>
      </c>
      <c r="C68" s="38" t="s">
        <v>686</v>
      </c>
      <c r="D68" s="38" t="s">
        <v>746</v>
      </c>
      <c r="E68" s="94">
        <v>6</v>
      </c>
      <c r="F68" s="94">
        <v>6.59</v>
      </c>
      <c r="G68" s="94">
        <v>7</v>
      </c>
      <c r="H68" s="94">
        <v>2.98</v>
      </c>
      <c r="I68" s="94">
        <v>3</v>
      </c>
    </row>
    <row r="69" spans="1:9" x14ac:dyDescent="0.35">
      <c r="A69" s="38" t="s">
        <v>744</v>
      </c>
      <c r="B69" s="38" t="s">
        <v>753</v>
      </c>
      <c r="C69" s="38" t="s">
        <v>691</v>
      </c>
      <c r="D69" s="38" t="s">
        <v>746</v>
      </c>
      <c r="E69" s="94">
        <v>8.7100000000000009</v>
      </c>
      <c r="F69" s="94">
        <v>9.8699999999999992</v>
      </c>
      <c r="G69" s="94">
        <v>25</v>
      </c>
      <c r="H69" s="94">
        <v>12.96</v>
      </c>
      <c r="I69" s="94">
        <v>18.16</v>
      </c>
    </row>
    <row r="70" spans="1:9" x14ac:dyDescent="0.35">
      <c r="A70" s="38" t="s">
        <v>744</v>
      </c>
      <c r="B70" s="38" t="s">
        <v>753</v>
      </c>
      <c r="C70" s="38" t="s">
        <v>696</v>
      </c>
      <c r="D70" s="94" t="s">
        <v>697</v>
      </c>
      <c r="E70" s="94">
        <v>8.1999999999999993</v>
      </c>
      <c r="F70" s="94">
        <v>25.47</v>
      </c>
      <c r="G70" s="94">
        <v>9</v>
      </c>
      <c r="H70" s="94">
        <v>12.33</v>
      </c>
      <c r="I70" s="94">
        <v>2</v>
      </c>
    </row>
    <row r="71" spans="1:9" x14ac:dyDescent="0.35">
      <c r="A71" s="38" t="s">
        <v>744</v>
      </c>
      <c r="B71" s="38" t="s">
        <v>753</v>
      </c>
      <c r="C71" s="38" t="s">
        <v>698</v>
      </c>
      <c r="D71" s="38" t="s">
        <v>747</v>
      </c>
      <c r="E71" s="94">
        <v>10</v>
      </c>
      <c r="F71" s="94">
        <v>0.21</v>
      </c>
      <c r="G71" s="94">
        <v>5</v>
      </c>
      <c r="H71" s="94">
        <v>7</v>
      </c>
      <c r="I71" s="94">
        <v>4</v>
      </c>
    </row>
    <row r="72" spans="1:9" x14ac:dyDescent="0.35">
      <c r="A72" s="38" t="s">
        <v>744</v>
      </c>
      <c r="B72" s="38" t="s">
        <v>753</v>
      </c>
      <c r="C72" s="38" t="s">
        <v>698</v>
      </c>
      <c r="D72" s="38" t="s">
        <v>700</v>
      </c>
      <c r="E72" s="94">
        <v>10</v>
      </c>
      <c r="F72" s="94">
        <v>0.2</v>
      </c>
      <c r="G72" s="94">
        <v>5</v>
      </c>
      <c r="H72" s="94">
        <v>7</v>
      </c>
      <c r="I72" s="94">
        <v>4</v>
      </c>
    </row>
    <row r="73" spans="1:9" x14ac:dyDescent="0.35">
      <c r="A73" s="38" t="s">
        <v>744</v>
      </c>
      <c r="B73" s="38" t="s">
        <v>753</v>
      </c>
      <c r="C73" s="38" t="s">
        <v>698</v>
      </c>
      <c r="D73" s="38" t="s">
        <v>521</v>
      </c>
      <c r="E73" s="94">
        <v>6</v>
      </c>
      <c r="F73" s="94">
        <v>0.47</v>
      </c>
      <c r="G73" s="94">
        <v>5</v>
      </c>
      <c r="H73" s="94">
        <v>7</v>
      </c>
      <c r="I73" s="94">
        <v>4</v>
      </c>
    </row>
    <row r="74" spans="1:9" x14ac:dyDescent="0.35">
      <c r="A74" s="38" t="s">
        <v>744</v>
      </c>
      <c r="B74" s="38" t="s">
        <v>753</v>
      </c>
      <c r="C74" s="38" t="s">
        <v>698</v>
      </c>
      <c r="D74" s="38" t="s">
        <v>252</v>
      </c>
      <c r="E74" s="94">
        <v>8</v>
      </c>
      <c r="F74" s="94">
        <v>0.97</v>
      </c>
      <c r="G74" s="94">
        <v>5</v>
      </c>
      <c r="H74" s="94">
        <v>7</v>
      </c>
      <c r="I74" s="94">
        <v>4</v>
      </c>
    </row>
    <row r="75" spans="1:9" x14ac:dyDescent="0.35">
      <c r="A75" s="38" t="s">
        <v>744</v>
      </c>
      <c r="B75" s="38" t="s">
        <v>753</v>
      </c>
      <c r="C75" s="38" t="s">
        <v>701</v>
      </c>
      <c r="D75" s="38" t="s">
        <v>702</v>
      </c>
      <c r="E75" s="94">
        <v>8</v>
      </c>
      <c r="F75" s="94">
        <v>7.23</v>
      </c>
      <c r="G75" s="94">
        <v>0.1</v>
      </c>
      <c r="H75" s="94">
        <v>3</v>
      </c>
      <c r="I75" s="94">
        <v>2</v>
      </c>
    </row>
    <row r="76" spans="1:9" x14ac:dyDescent="0.35">
      <c r="A76" s="38" t="s">
        <v>744</v>
      </c>
      <c r="B76" s="38" t="s">
        <v>753</v>
      </c>
      <c r="C76" s="38" t="s">
        <v>701</v>
      </c>
      <c r="D76" s="38" t="s">
        <v>703</v>
      </c>
      <c r="E76" s="94">
        <v>3.5</v>
      </c>
      <c r="F76" s="94">
        <v>4.68</v>
      </c>
      <c r="G76" s="94">
        <v>2</v>
      </c>
      <c r="H76" s="94">
        <v>10</v>
      </c>
      <c r="I76" s="94">
        <v>1</v>
      </c>
    </row>
    <row r="77" spans="1:9" x14ac:dyDescent="0.35">
      <c r="A77" s="38" t="s">
        <v>744</v>
      </c>
      <c r="B77" s="38" t="s">
        <v>753</v>
      </c>
      <c r="C77" s="38" t="s">
        <v>704</v>
      </c>
      <c r="D77" s="38" t="s">
        <v>746</v>
      </c>
      <c r="E77" s="94">
        <v>7</v>
      </c>
      <c r="F77" s="94">
        <v>3.4</v>
      </c>
      <c r="G77" s="94">
        <v>8</v>
      </c>
      <c r="H77" s="94">
        <v>2</v>
      </c>
      <c r="I77" s="94">
        <v>1</v>
      </c>
    </row>
    <row r="78" spans="1:9" x14ac:dyDescent="0.35">
      <c r="A78" s="38" t="s">
        <v>744</v>
      </c>
      <c r="B78" s="38" t="s">
        <v>753</v>
      </c>
      <c r="C78" s="38" t="s">
        <v>707</v>
      </c>
      <c r="D78" s="38" t="s">
        <v>708</v>
      </c>
      <c r="E78" s="94">
        <v>8.15</v>
      </c>
      <c r="F78" s="94">
        <v>12.11</v>
      </c>
      <c r="G78" s="94">
        <v>10</v>
      </c>
      <c r="H78" s="94">
        <v>10.78</v>
      </c>
      <c r="I78" s="94">
        <v>3.88</v>
      </c>
    </row>
    <row r="79" spans="1:9" hidden="1" x14ac:dyDescent="0.35">
      <c r="A79" s="38" t="s">
        <v>754</v>
      </c>
      <c r="B79" s="38" t="s">
        <v>745</v>
      </c>
      <c r="C79" s="38" t="s">
        <v>686</v>
      </c>
      <c r="D79" s="38" t="s">
        <v>746</v>
      </c>
      <c r="E79" s="190">
        <f t="shared" ref="E79:I94" si="0">(E2/2)</f>
        <v>2.15</v>
      </c>
      <c r="F79" s="190">
        <f t="shared" si="0"/>
        <v>1.9</v>
      </c>
      <c r="G79" s="190">
        <f t="shared" si="0"/>
        <v>5.25</v>
      </c>
      <c r="H79" s="190">
        <f t="shared" si="0"/>
        <v>1.5</v>
      </c>
      <c r="I79" s="190">
        <f t="shared" si="0"/>
        <v>13.5</v>
      </c>
    </row>
    <row r="80" spans="1:9" hidden="1" x14ac:dyDescent="0.35">
      <c r="A80" s="38" t="s">
        <v>754</v>
      </c>
      <c r="B80" s="38" t="s">
        <v>745</v>
      </c>
      <c r="C80" s="38" t="s">
        <v>691</v>
      </c>
      <c r="D80" s="38" t="s">
        <v>746</v>
      </c>
      <c r="E80" s="190">
        <f t="shared" si="0"/>
        <v>10</v>
      </c>
      <c r="F80" s="190">
        <f t="shared" si="0"/>
        <v>3.65</v>
      </c>
      <c r="G80" s="190">
        <f t="shared" si="0"/>
        <v>1</v>
      </c>
      <c r="H80" s="190">
        <f t="shared" si="0"/>
        <v>2.4500000000000002</v>
      </c>
      <c r="I80" s="190">
        <f t="shared" si="0"/>
        <v>9.5</v>
      </c>
    </row>
    <row r="81" spans="1:9" hidden="1" x14ac:dyDescent="0.35">
      <c r="A81" s="38" t="s">
        <v>754</v>
      </c>
      <c r="B81" s="38" t="s">
        <v>745</v>
      </c>
      <c r="C81" s="38" t="s">
        <v>696</v>
      </c>
      <c r="D81" s="38" t="s">
        <v>697</v>
      </c>
      <c r="E81" s="190">
        <f t="shared" si="0"/>
        <v>4.7</v>
      </c>
      <c r="F81" s="190">
        <f t="shared" si="0"/>
        <v>3.95</v>
      </c>
      <c r="G81" s="190">
        <f t="shared" si="0"/>
        <v>3</v>
      </c>
      <c r="H81" s="190">
        <f t="shared" si="0"/>
        <v>4.5</v>
      </c>
      <c r="I81" s="190">
        <f t="shared" si="0"/>
        <v>5.5</v>
      </c>
    </row>
    <row r="82" spans="1:9" hidden="1" x14ac:dyDescent="0.35">
      <c r="A82" s="38" t="s">
        <v>754</v>
      </c>
      <c r="B82" s="38" t="s">
        <v>745</v>
      </c>
      <c r="C82" s="38" t="s">
        <v>698</v>
      </c>
      <c r="D82" s="38" t="s">
        <v>747</v>
      </c>
      <c r="E82" s="190">
        <f t="shared" si="0"/>
        <v>1.1499999999999999</v>
      </c>
      <c r="F82" s="190">
        <f t="shared" si="0"/>
        <v>0.3</v>
      </c>
      <c r="G82" s="190">
        <f t="shared" si="0"/>
        <v>2.5</v>
      </c>
      <c r="H82" s="190">
        <f t="shared" si="0"/>
        <v>2</v>
      </c>
      <c r="I82" s="190">
        <f t="shared" si="0"/>
        <v>5.5</v>
      </c>
    </row>
    <row r="83" spans="1:9" hidden="1" x14ac:dyDescent="0.35">
      <c r="A83" s="38" t="s">
        <v>754</v>
      </c>
      <c r="B83" s="38" t="s">
        <v>745</v>
      </c>
      <c r="C83" s="38" t="s">
        <v>698</v>
      </c>
      <c r="D83" s="38" t="s">
        <v>700</v>
      </c>
      <c r="E83" s="190">
        <f t="shared" si="0"/>
        <v>5</v>
      </c>
      <c r="F83" s="190">
        <f t="shared" si="0"/>
        <v>0.3</v>
      </c>
      <c r="G83" s="190">
        <f t="shared" si="0"/>
        <v>2.5</v>
      </c>
      <c r="H83" s="190">
        <f t="shared" si="0"/>
        <v>2</v>
      </c>
      <c r="I83" s="190">
        <f t="shared" si="0"/>
        <v>5.5</v>
      </c>
    </row>
    <row r="84" spans="1:9" hidden="1" x14ac:dyDescent="0.35">
      <c r="A84" s="38" t="s">
        <v>754</v>
      </c>
      <c r="B84" s="38" t="s">
        <v>745</v>
      </c>
      <c r="C84" s="38" t="s">
        <v>698</v>
      </c>
      <c r="D84" s="38" t="s">
        <v>521</v>
      </c>
      <c r="E84" s="190">
        <f t="shared" si="0"/>
        <v>1.25</v>
      </c>
      <c r="F84" s="190">
        <f t="shared" si="0"/>
        <v>0.15</v>
      </c>
      <c r="G84" s="190">
        <f t="shared" si="0"/>
        <v>2.5</v>
      </c>
      <c r="H84" s="190">
        <f t="shared" si="0"/>
        <v>2</v>
      </c>
      <c r="I84" s="190">
        <f t="shared" si="0"/>
        <v>5.5</v>
      </c>
    </row>
    <row r="85" spans="1:9" hidden="1" x14ac:dyDescent="0.35">
      <c r="A85" s="38" t="s">
        <v>754</v>
      </c>
      <c r="B85" s="38" t="s">
        <v>745</v>
      </c>
      <c r="C85" s="38" t="s">
        <v>698</v>
      </c>
      <c r="D85" s="38" t="s">
        <v>252</v>
      </c>
      <c r="E85" s="190">
        <f t="shared" si="0"/>
        <v>3.5</v>
      </c>
      <c r="F85" s="190">
        <f t="shared" si="0"/>
        <v>0.45</v>
      </c>
      <c r="G85" s="190">
        <f t="shared" si="0"/>
        <v>2.5</v>
      </c>
      <c r="H85" s="190">
        <f t="shared" si="0"/>
        <v>2</v>
      </c>
      <c r="I85" s="190">
        <f t="shared" si="0"/>
        <v>5.5</v>
      </c>
    </row>
    <row r="86" spans="1:9" hidden="1" x14ac:dyDescent="0.35">
      <c r="A86" s="38" t="s">
        <v>754</v>
      </c>
      <c r="B86" s="38" t="s">
        <v>745</v>
      </c>
      <c r="C86" s="38" t="s">
        <v>701</v>
      </c>
      <c r="D86" s="38" t="s">
        <v>702</v>
      </c>
      <c r="E86" s="190">
        <f t="shared" si="0"/>
        <v>2</v>
      </c>
      <c r="F86" s="190">
        <f t="shared" si="0"/>
        <v>0.95</v>
      </c>
      <c r="G86" s="190">
        <f t="shared" si="0"/>
        <v>0.25</v>
      </c>
      <c r="H86" s="190">
        <f t="shared" si="0"/>
        <v>1</v>
      </c>
      <c r="I86" s="190">
        <f t="shared" si="0"/>
        <v>4</v>
      </c>
    </row>
    <row r="87" spans="1:9" hidden="1" x14ac:dyDescent="0.35">
      <c r="A87" s="38" t="s">
        <v>754</v>
      </c>
      <c r="B87" s="38" t="s">
        <v>745</v>
      </c>
      <c r="C87" s="38" t="s">
        <v>701</v>
      </c>
      <c r="D87" s="38" t="s">
        <v>703</v>
      </c>
      <c r="E87" s="190">
        <f t="shared" si="0"/>
        <v>1.75</v>
      </c>
      <c r="F87" s="190">
        <f t="shared" si="0"/>
        <v>0.85</v>
      </c>
      <c r="G87" s="190">
        <f t="shared" si="0"/>
        <v>0.6</v>
      </c>
      <c r="H87" s="190">
        <f t="shared" si="0"/>
        <v>0.41</v>
      </c>
      <c r="I87" s="190">
        <f t="shared" si="0"/>
        <v>3.5</v>
      </c>
    </row>
    <row r="88" spans="1:9" hidden="1" x14ac:dyDescent="0.35">
      <c r="A88" s="38" t="s">
        <v>754</v>
      </c>
      <c r="B88" s="38" t="s">
        <v>745</v>
      </c>
      <c r="C88" s="38" t="s">
        <v>704</v>
      </c>
      <c r="D88" s="38" t="s">
        <v>746</v>
      </c>
      <c r="E88" s="190">
        <f t="shared" si="0"/>
        <v>2.65</v>
      </c>
      <c r="F88" s="190">
        <f t="shared" si="0"/>
        <v>0.6</v>
      </c>
      <c r="G88" s="190">
        <f t="shared" si="0"/>
        <v>2.5</v>
      </c>
      <c r="H88" s="190">
        <f t="shared" si="0"/>
        <v>0.5</v>
      </c>
      <c r="I88" s="190">
        <f t="shared" si="0"/>
        <v>2</v>
      </c>
    </row>
    <row r="89" spans="1:9" hidden="1" x14ac:dyDescent="0.35">
      <c r="A89" s="38" t="s">
        <v>754</v>
      </c>
      <c r="B89" s="38" t="s">
        <v>745</v>
      </c>
      <c r="C89" s="38" t="s">
        <v>707</v>
      </c>
      <c r="D89" s="38" t="s">
        <v>708</v>
      </c>
      <c r="E89" s="190">
        <f t="shared" si="0"/>
        <v>10</v>
      </c>
      <c r="F89" s="190">
        <f t="shared" si="0"/>
        <v>3.8</v>
      </c>
      <c r="G89" s="190">
        <f t="shared" si="0"/>
        <v>6.9</v>
      </c>
      <c r="H89" s="190">
        <f t="shared" si="0"/>
        <v>3.5</v>
      </c>
      <c r="I89" s="190">
        <f t="shared" si="0"/>
        <v>8.5</v>
      </c>
    </row>
    <row r="90" spans="1:9" hidden="1" x14ac:dyDescent="0.35">
      <c r="A90" s="38" t="s">
        <v>754</v>
      </c>
      <c r="B90" s="38" t="s">
        <v>748</v>
      </c>
      <c r="C90" s="38" t="s">
        <v>686</v>
      </c>
      <c r="D90" s="38" t="s">
        <v>746</v>
      </c>
      <c r="E90" s="190">
        <f t="shared" si="0"/>
        <v>1.96</v>
      </c>
      <c r="F90" s="190">
        <f t="shared" si="0"/>
        <v>2.12</v>
      </c>
      <c r="G90" s="190">
        <f t="shared" si="0"/>
        <v>5.9</v>
      </c>
      <c r="H90" s="190">
        <f t="shared" si="0"/>
        <v>1</v>
      </c>
      <c r="I90" s="190">
        <f t="shared" si="0"/>
        <v>6.8250000000000002</v>
      </c>
    </row>
    <row r="91" spans="1:9" hidden="1" x14ac:dyDescent="0.35">
      <c r="A91" s="38" t="s">
        <v>754</v>
      </c>
      <c r="B91" s="38" t="s">
        <v>748</v>
      </c>
      <c r="C91" s="38" t="s">
        <v>691</v>
      </c>
      <c r="D91" s="38" t="s">
        <v>746</v>
      </c>
      <c r="E91" s="190">
        <f t="shared" si="0"/>
        <v>5</v>
      </c>
      <c r="F91" s="190">
        <f t="shared" si="0"/>
        <v>4.1849999999999996</v>
      </c>
      <c r="G91" s="190">
        <f t="shared" si="0"/>
        <v>1</v>
      </c>
      <c r="H91" s="190">
        <f t="shared" si="0"/>
        <v>4</v>
      </c>
      <c r="I91" s="190">
        <f t="shared" si="0"/>
        <v>5.1749999999999998</v>
      </c>
    </row>
    <row r="92" spans="1:9" hidden="1" x14ac:dyDescent="0.35">
      <c r="A92" s="38" t="s">
        <v>754</v>
      </c>
      <c r="B92" s="38" t="s">
        <v>748</v>
      </c>
      <c r="C92" s="38" t="s">
        <v>696</v>
      </c>
      <c r="D92" s="38" t="s">
        <v>697</v>
      </c>
      <c r="E92" s="190">
        <f t="shared" si="0"/>
        <v>7.5</v>
      </c>
      <c r="F92" s="190">
        <f t="shared" si="0"/>
        <v>8.25</v>
      </c>
      <c r="G92" s="190">
        <f t="shared" si="0"/>
        <v>3</v>
      </c>
      <c r="H92" s="190">
        <f t="shared" si="0"/>
        <v>5.5</v>
      </c>
      <c r="I92" s="190">
        <f t="shared" si="0"/>
        <v>3.65</v>
      </c>
    </row>
    <row r="93" spans="1:9" hidden="1" x14ac:dyDescent="0.35">
      <c r="A93" s="38" t="s">
        <v>754</v>
      </c>
      <c r="B93" s="38" t="s">
        <v>748</v>
      </c>
      <c r="C93" s="38" t="s">
        <v>698</v>
      </c>
      <c r="D93" s="38" t="s">
        <v>747</v>
      </c>
      <c r="E93" s="190">
        <f t="shared" si="0"/>
        <v>1.1499999999999999</v>
      </c>
      <c r="F93" s="190">
        <f t="shared" si="0"/>
        <v>0.27500000000000002</v>
      </c>
      <c r="G93" s="190">
        <f t="shared" si="0"/>
        <v>2.5</v>
      </c>
      <c r="H93" s="190">
        <f t="shared" si="0"/>
        <v>3</v>
      </c>
      <c r="I93" s="190">
        <f t="shared" si="0"/>
        <v>3.4</v>
      </c>
    </row>
    <row r="94" spans="1:9" hidden="1" x14ac:dyDescent="0.35">
      <c r="A94" s="38" t="s">
        <v>754</v>
      </c>
      <c r="B94" s="38" t="s">
        <v>748</v>
      </c>
      <c r="C94" s="38" t="s">
        <v>698</v>
      </c>
      <c r="D94" s="38" t="s">
        <v>700</v>
      </c>
      <c r="E94" s="190">
        <f t="shared" si="0"/>
        <v>5</v>
      </c>
      <c r="F94" s="190">
        <f t="shared" si="0"/>
        <v>0.40500000000000003</v>
      </c>
      <c r="G94" s="190">
        <f t="shared" si="0"/>
        <v>2.5</v>
      </c>
      <c r="H94" s="190">
        <f t="shared" si="0"/>
        <v>3</v>
      </c>
      <c r="I94" s="190">
        <f t="shared" si="0"/>
        <v>3.4</v>
      </c>
    </row>
    <row r="95" spans="1:9" hidden="1" x14ac:dyDescent="0.35">
      <c r="A95" s="38" t="s">
        <v>754</v>
      </c>
      <c r="B95" s="38" t="s">
        <v>748</v>
      </c>
      <c r="C95" s="38" t="s">
        <v>698</v>
      </c>
      <c r="D95" s="38" t="s">
        <v>521</v>
      </c>
      <c r="E95" s="190">
        <f t="shared" ref="E95:I110" si="1">(E18/2)</f>
        <v>1.25</v>
      </c>
      <c r="F95" s="190">
        <f t="shared" si="1"/>
        <v>0.09</v>
      </c>
      <c r="G95" s="190">
        <f t="shared" si="1"/>
        <v>2.5</v>
      </c>
      <c r="H95" s="190">
        <f t="shared" si="1"/>
        <v>3</v>
      </c>
      <c r="I95" s="190">
        <f t="shared" si="1"/>
        <v>3.4</v>
      </c>
    </row>
    <row r="96" spans="1:9" hidden="1" x14ac:dyDescent="0.35">
      <c r="A96" s="38" t="s">
        <v>754</v>
      </c>
      <c r="B96" s="38" t="s">
        <v>748</v>
      </c>
      <c r="C96" s="38" t="s">
        <v>698</v>
      </c>
      <c r="D96" s="38" t="s">
        <v>252</v>
      </c>
      <c r="E96" s="190">
        <f t="shared" si="1"/>
        <v>3.5</v>
      </c>
      <c r="F96" s="190">
        <f t="shared" si="1"/>
        <v>0.51500000000000001</v>
      </c>
      <c r="G96" s="190">
        <f t="shared" si="1"/>
        <v>2.5</v>
      </c>
      <c r="H96" s="190">
        <f t="shared" si="1"/>
        <v>3</v>
      </c>
      <c r="I96" s="190">
        <f t="shared" si="1"/>
        <v>3.4</v>
      </c>
    </row>
    <row r="97" spans="1:9" hidden="1" x14ac:dyDescent="0.35">
      <c r="A97" s="38" t="s">
        <v>754</v>
      </c>
      <c r="B97" s="38" t="s">
        <v>748</v>
      </c>
      <c r="C97" s="38" t="s">
        <v>701</v>
      </c>
      <c r="D97" s="38" t="s">
        <v>702</v>
      </c>
      <c r="E97" s="190">
        <f t="shared" si="1"/>
        <v>3</v>
      </c>
      <c r="F97" s="190">
        <f t="shared" si="1"/>
        <v>1.19</v>
      </c>
      <c r="G97" s="190">
        <f t="shared" si="1"/>
        <v>0.25</v>
      </c>
      <c r="H97" s="190">
        <f t="shared" si="1"/>
        <v>2</v>
      </c>
      <c r="I97" s="190">
        <f t="shared" si="1"/>
        <v>1.825</v>
      </c>
    </row>
    <row r="98" spans="1:9" hidden="1" x14ac:dyDescent="0.35">
      <c r="A98" s="38" t="s">
        <v>754</v>
      </c>
      <c r="B98" s="38" t="s">
        <v>748</v>
      </c>
      <c r="C98" s="38" t="s">
        <v>701</v>
      </c>
      <c r="D98" s="38" t="s">
        <v>703</v>
      </c>
      <c r="E98" s="190">
        <f t="shared" si="1"/>
        <v>1.75</v>
      </c>
      <c r="F98" s="190">
        <f t="shared" si="1"/>
        <v>1.1200000000000001</v>
      </c>
      <c r="G98" s="190">
        <f t="shared" si="1"/>
        <v>0.6</v>
      </c>
      <c r="H98" s="190">
        <f t="shared" si="1"/>
        <v>0.25</v>
      </c>
      <c r="I98" s="190">
        <f t="shared" si="1"/>
        <v>1.3</v>
      </c>
    </row>
    <row r="99" spans="1:9" hidden="1" x14ac:dyDescent="0.35">
      <c r="A99" s="38" t="s">
        <v>754</v>
      </c>
      <c r="B99" s="38" t="s">
        <v>748</v>
      </c>
      <c r="C99" s="38" t="s">
        <v>704</v>
      </c>
      <c r="D99" s="38" t="s">
        <v>746</v>
      </c>
      <c r="E99" s="190">
        <f t="shared" si="1"/>
        <v>3</v>
      </c>
      <c r="F99" s="190">
        <f t="shared" si="1"/>
        <v>1.36</v>
      </c>
      <c r="G99" s="190">
        <f t="shared" si="1"/>
        <v>2.5</v>
      </c>
      <c r="H99" s="190">
        <f t="shared" si="1"/>
        <v>0.5</v>
      </c>
      <c r="I99" s="190">
        <f t="shared" si="1"/>
        <v>8.2750000000000004</v>
      </c>
    </row>
    <row r="100" spans="1:9" hidden="1" x14ac:dyDescent="0.35">
      <c r="A100" s="38" t="s">
        <v>754</v>
      </c>
      <c r="B100" s="38" t="s">
        <v>748</v>
      </c>
      <c r="C100" s="38" t="s">
        <v>707</v>
      </c>
      <c r="D100" s="38" t="s">
        <v>708</v>
      </c>
      <c r="E100" s="190">
        <f t="shared" si="1"/>
        <v>10</v>
      </c>
      <c r="F100" s="190">
        <f t="shared" si="1"/>
        <v>2.4249999999999998</v>
      </c>
      <c r="G100" s="190">
        <f t="shared" si="1"/>
        <v>7.5</v>
      </c>
      <c r="H100" s="190">
        <f t="shared" si="1"/>
        <v>4.5</v>
      </c>
      <c r="I100" s="190">
        <f t="shared" si="1"/>
        <v>3.5750000000000002</v>
      </c>
    </row>
    <row r="101" spans="1:9" hidden="1" x14ac:dyDescent="0.35">
      <c r="A101" s="38" t="s">
        <v>754</v>
      </c>
      <c r="B101" s="38" t="s">
        <v>749</v>
      </c>
      <c r="C101" s="38" t="s">
        <v>686</v>
      </c>
      <c r="D101" s="38" t="s">
        <v>746</v>
      </c>
      <c r="E101" s="190">
        <f t="shared" si="1"/>
        <v>3.585</v>
      </c>
      <c r="F101" s="190">
        <f t="shared" si="1"/>
        <v>1.625</v>
      </c>
      <c r="G101" s="190">
        <f t="shared" si="1"/>
        <v>5.25</v>
      </c>
      <c r="H101" s="190">
        <f t="shared" si="1"/>
        <v>4.5</v>
      </c>
      <c r="I101" s="190">
        <f t="shared" si="1"/>
        <v>11.994999999999999</v>
      </c>
    </row>
    <row r="102" spans="1:9" hidden="1" x14ac:dyDescent="0.35">
      <c r="A102" s="38" t="s">
        <v>754</v>
      </c>
      <c r="B102" s="38" t="s">
        <v>749</v>
      </c>
      <c r="C102" s="38" t="s">
        <v>691</v>
      </c>
      <c r="D102" s="38" t="s">
        <v>746</v>
      </c>
      <c r="E102" s="190">
        <f t="shared" si="1"/>
        <v>10</v>
      </c>
      <c r="F102" s="190">
        <f t="shared" si="1"/>
        <v>7.65</v>
      </c>
      <c r="G102" s="190">
        <f t="shared" si="1"/>
        <v>1</v>
      </c>
      <c r="H102" s="190">
        <f t="shared" si="1"/>
        <v>4.6749999999999998</v>
      </c>
      <c r="I102" s="190">
        <f t="shared" si="1"/>
        <v>12.715</v>
      </c>
    </row>
    <row r="103" spans="1:9" hidden="1" x14ac:dyDescent="0.35">
      <c r="A103" s="38" t="s">
        <v>754</v>
      </c>
      <c r="B103" s="38" t="s">
        <v>749</v>
      </c>
      <c r="C103" s="38" t="s">
        <v>696</v>
      </c>
      <c r="D103" s="38" t="s">
        <v>697</v>
      </c>
      <c r="E103" s="190">
        <f t="shared" si="1"/>
        <v>6</v>
      </c>
      <c r="F103" s="190">
        <f t="shared" si="1"/>
        <v>1.1100000000000001</v>
      </c>
      <c r="G103" s="190">
        <f t="shared" si="1"/>
        <v>3</v>
      </c>
      <c r="H103" s="190">
        <f t="shared" si="1"/>
        <v>3.415</v>
      </c>
      <c r="I103" s="190">
        <f t="shared" si="1"/>
        <v>14.085000000000001</v>
      </c>
    </row>
    <row r="104" spans="1:9" hidden="1" x14ac:dyDescent="0.35">
      <c r="A104" s="38" t="s">
        <v>754</v>
      </c>
      <c r="B104" s="38" t="s">
        <v>749</v>
      </c>
      <c r="C104" s="38" t="s">
        <v>698</v>
      </c>
      <c r="D104" s="38" t="s">
        <v>747</v>
      </c>
      <c r="E104" s="190">
        <f t="shared" si="1"/>
        <v>1.1499999999999999</v>
      </c>
      <c r="F104" s="190">
        <f t="shared" si="1"/>
        <v>0.155</v>
      </c>
      <c r="G104" s="190">
        <f t="shared" si="1"/>
        <v>2.5</v>
      </c>
      <c r="H104" s="190">
        <f t="shared" si="1"/>
        <v>1.95</v>
      </c>
      <c r="I104" s="190">
        <f t="shared" si="1"/>
        <v>10.595000000000001</v>
      </c>
    </row>
    <row r="105" spans="1:9" hidden="1" x14ac:dyDescent="0.35">
      <c r="A105" s="38" t="s">
        <v>754</v>
      </c>
      <c r="B105" s="38" t="s">
        <v>749</v>
      </c>
      <c r="C105" s="38" t="s">
        <v>698</v>
      </c>
      <c r="D105" s="38" t="s">
        <v>700</v>
      </c>
      <c r="E105" s="190">
        <f t="shared" si="1"/>
        <v>5</v>
      </c>
      <c r="F105" s="190">
        <f t="shared" si="1"/>
        <v>0.4</v>
      </c>
      <c r="G105" s="190">
        <f t="shared" si="1"/>
        <v>2.5</v>
      </c>
      <c r="H105" s="190">
        <f t="shared" si="1"/>
        <v>1.95</v>
      </c>
      <c r="I105" s="190">
        <f t="shared" si="1"/>
        <v>10.595000000000001</v>
      </c>
    </row>
    <row r="106" spans="1:9" hidden="1" x14ac:dyDescent="0.35">
      <c r="A106" s="38" t="s">
        <v>754</v>
      </c>
      <c r="B106" s="38" t="s">
        <v>749</v>
      </c>
      <c r="C106" s="38" t="s">
        <v>698</v>
      </c>
      <c r="D106" s="38" t="s">
        <v>521</v>
      </c>
      <c r="E106" s="190">
        <f t="shared" si="1"/>
        <v>1.25</v>
      </c>
      <c r="F106" s="190">
        <f t="shared" si="1"/>
        <v>0.33</v>
      </c>
      <c r="G106" s="190">
        <f t="shared" si="1"/>
        <v>2.5</v>
      </c>
      <c r="H106" s="190">
        <f t="shared" si="1"/>
        <v>1.95</v>
      </c>
      <c r="I106" s="190">
        <f t="shared" si="1"/>
        <v>10.595000000000001</v>
      </c>
    </row>
    <row r="107" spans="1:9" hidden="1" x14ac:dyDescent="0.35">
      <c r="A107" s="38" t="s">
        <v>754</v>
      </c>
      <c r="B107" s="38" t="s">
        <v>749</v>
      </c>
      <c r="C107" s="38" t="s">
        <v>698</v>
      </c>
      <c r="D107" s="38" t="s">
        <v>252</v>
      </c>
      <c r="E107" s="190">
        <f t="shared" si="1"/>
        <v>3.5</v>
      </c>
      <c r="F107" s="190">
        <f t="shared" si="1"/>
        <v>0.44</v>
      </c>
      <c r="G107" s="190">
        <f t="shared" si="1"/>
        <v>2.5</v>
      </c>
      <c r="H107" s="190">
        <f t="shared" si="1"/>
        <v>1.95</v>
      </c>
      <c r="I107" s="190">
        <f t="shared" si="1"/>
        <v>10.595000000000001</v>
      </c>
    </row>
    <row r="108" spans="1:9" hidden="1" x14ac:dyDescent="0.35">
      <c r="A108" s="38" t="s">
        <v>754</v>
      </c>
      <c r="B108" s="38" t="s">
        <v>749</v>
      </c>
      <c r="C108" s="38" t="s">
        <v>701</v>
      </c>
      <c r="D108" s="38" t="s">
        <v>702</v>
      </c>
      <c r="E108" s="190">
        <f t="shared" si="1"/>
        <v>2</v>
      </c>
      <c r="F108" s="190">
        <f t="shared" si="1"/>
        <v>1.135</v>
      </c>
      <c r="G108" s="190">
        <f t="shared" si="1"/>
        <v>0.25</v>
      </c>
      <c r="H108" s="190">
        <f t="shared" si="1"/>
        <v>3.5</v>
      </c>
      <c r="I108" s="190">
        <f t="shared" si="1"/>
        <v>10.199999999999999</v>
      </c>
    </row>
    <row r="109" spans="1:9" hidden="1" x14ac:dyDescent="0.35">
      <c r="A109" s="38" t="s">
        <v>754</v>
      </c>
      <c r="B109" s="38" t="s">
        <v>749</v>
      </c>
      <c r="C109" s="38" t="s">
        <v>701</v>
      </c>
      <c r="D109" s="38" t="s">
        <v>703</v>
      </c>
      <c r="E109" s="190">
        <f t="shared" si="1"/>
        <v>1.75</v>
      </c>
      <c r="F109" s="190">
        <f t="shared" si="1"/>
        <v>0.2</v>
      </c>
      <c r="G109" s="190">
        <f t="shared" si="1"/>
        <v>0.6</v>
      </c>
      <c r="H109" s="190">
        <f t="shared" si="1"/>
        <v>3.875</v>
      </c>
      <c r="I109" s="190">
        <f t="shared" si="1"/>
        <v>10.5</v>
      </c>
    </row>
    <row r="110" spans="1:9" hidden="1" x14ac:dyDescent="0.35">
      <c r="A110" s="38" t="s">
        <v>754</v>
      </c>
      <c r="B110" s="38" t="s">
        <v>749</v>
      </c>
      <c r="C110" s="38" t="s">
        <v>704</v>
      </c>
      <c r="D110" s="38" t="s">
        <v>746</v>
      </c>
      <c r="E110" s="190">
        <f t="shared" si="1"/>
        <v>6</v>
      </c>
      <c r="F110" s="190">
        <f t="shared" si="1"/>
        <v>1.9550000000000001</v>
      </c>
      <c r="G110" s="190">
        <f t="shared" si="1"/>
        <v>2.5</v>
      </c>
      <c r="H110" s="190">
        <f t="shared" si="1"/>
        <v>0.5</v>
      </c>
      <c r="I110" s="190">
        <f t="shared" si="1"/>
        <v>2</v>
      </c>
    </row>
    <row r="111" spans="1:9" hidden="1" x14ac:dyDescent="0.35">
      <c r="A111" s="38" t="s">
        <v>754</v>
      </c>
      <c r="B111" s="38" t="s">
        <v>749</v>
      </c>
      <c r="C111" s="38" t="s">
        <v>707</v>
      </c>
      <c r="D111" s="38" t="s">
        <v>708</v>
      </c>
      <c r="E111" s="190">
        <f t="shared" ref="E111:I126" si="2">(E34/2)</f>
        <v>10</v>
      </c>
      <c r="F111" s="190">
        <f t="shared" si="2"/>
        <v>2.915</v>
      </c>
      <c r="G111" s="190">
        <f t="shared" si="2"/>
        <v>7.5</v>
      </c>
      <c r="H111" s="190">
        <f t="shared" si="2"/>
        <v>4</v>
      </c>
      <c r="I111" s="190">
        <f t="shared" si="2"/>
        <v>7.5</v>
      </c>
    </row>
    <row r="112" spans="1:9" hidden="1" x14ac:dyDescent="0.35">
      <c r="A112" s="38" t="s">
        <v>754</v>
      </c>
      <c r="B112" s="38" t="s">
        <v>750</v>
      </c>
      <c r="C112" s="38" t="s">
        <v>686</v>
      </c>
      <c r="D112" s="38" t="s">
        <v>746</v>
      </c>
      <c r="E112" s="190">
        <f t="shared" si="2"/>
        <v>3</v>
      </c>
      <c r="F112" s="190">
        <f t="shared" si="2"/>
        <v>3.73</v>
      </c>
      <c r="G112" s="190">
        <f t="shared" si="2"/>
        <v>4.5</v>
      </c>
      <c r="H112" s="190">
        <f t="shared" si="2"/>
        <v>2</v>
      </c>
      <c r="I112" s="190">
        <f t="shared" si="2"/>
        <v>5</v>
      </c>
    </row>
    <row r="113" spans="1:9" hidden="1" x14ac:dyDescent="0.35">
      <c r="A113" s="38" t="s">
        <v>754</v>
      </c>
      <c r="B113" s="38" t="s">
        <v>750</v>
      </c>
      <c r="C113" s="38" t="s">
        <v>691</v>
      </c>
      <c r="D113" s="38" t="s">
        <v>746</v>
      </c>
      <c r="E113" s="190">
        <f t="shared" si="2"/>
        <v>10</v>
      </c>
      <c r="F113" s="190">
        <f t="shared" si="2"/>
        <v>7.16</v>
      </c>
      <c r="G113" s="190">
        <f t="shared" si="2"/>
        <v>10</v>
      </c>
      <c r="H113" s="190">
        <f t="shared" si="2"/>
        <v>6</v>
      </c>
      <c r="I113" s="190">
        <f t="shared" si="2"/>
        <v>5</v>
      </c>
    </row>
    <row r="114" spans="1:9" hidden="1" x14ac:dyDescent="0.35">
      <c r="A114" s="38" t="s">
        <v>754</v>
      </c>
      <c r="B114" s="38" t="s">
        <v>750</v>
      </c>
      <c r="C114" s="38" t="s">
        <v>696</v>
      </c>
      <c r="D114" s="38" t="s">
        <v>697</v>
      </c>
      <c r="E114" s="190">
        <f t="shared" si="2"/>
        <v>2.85</v>
      </c>
      <c r="F114" s="190">
        <f t="shared" si="2"/>
        <v>9.8049999999999997</v>
      </c>
      <c r="G114" s="190">
        <f t="shared" si="2"/>
        <v>4.5</v>
      </c>
      <c r="H114" s="190">
        <f t="shared" si="2"/>
        <v>5</v>
      </c>
      <c r="I114" s="190">
        <f t="shared" si="2"/>
        <v>2</v>
      </c>
    </row>
    <row r="115" spans="1:9" hidden="1" x14ac:dyDescent="0.35">
      <c r="A115" s="38" t="s">
        <v>754</v>
      </c>
      <c r="B115" s="38" t="s">
        <v>750</v>
      </c>
      <c r="C115" s="38" t="s">
        <v>698</v>
      </c>
      <c r="D115" s="38" t="s">
        <v>747</v>
      </c>
      <c r="E115" s="190">
        <f t="shared" si="2"/>
        <v>2.5</v>
      </c>
      <c r="F115" s="190">
        <f t="shared" si="2"/>
        <v>0.66</v>
      </c>
      <c r="G115" s="190">
        <f t="shared" si="2"/>
        <v>2.5</v>
      </c>
      <c r="H115" s="190">
        <f t="shared" si="2"/>
        <v>2.5</v>
      </c>
      <c r="I115" s="190">
        <f t="shared" si="2"/>
        <v>3</v>
      </c>
    </row>
    <row r="116" spans="1:9" hidden="1" x14ac:dyDescent="0.35">
      <c r="A116" s="38" t="s">
        <v>754</v>
      </c>
      <c r="B116" s="38" t="s">
        <v>750</v>
      </c>
      <c r="C116" s="38" t="s">
        <v>698</v>
      </c>
      <c r="D116" s="38" t="s">
        <v>700</v>
      </c>
      <c r="E116" s="190">
        <f t="shared" si="2"/>
        <v>5</v>
      </c>
      <c r="F116" s="190">
        <f t="shared" si="2"/>
        <v>0.52</v>
      </c>
      <c r="G116" s="190">
        <f t="shared" si="2"/>
        <v>2.5</v>
      </c>
      <c r="H116" s="190">
        <f t="shared" si="2"/>
        <v>2.5</v>
      </c>
      <c r="I116" s="190">
        <f t="shared" si="2"/>
        <v>3</v>
      </c>
    </row>
    <row r="117" spans="1:9" hidden="1" x14ac:dyDescent="0.35">
      <c r="A117" s="38" t="s">
        <v>754</v>
      </c>
      <c r="B117" s="38" t="s">
        <v>750</v>
      </c>
      <c r="C117" s="38" t="s">
        <v>698</v>
      </c>
      <c r="D117" s="38" t="s">
        <v>521</v>
      </c>
      <c r="E117" s="190">
        <f t="shared" si="2"/>
        <v>3</v>
      </c>
      <c r="F117" s="190">
        <f t="shared" si="2"/>
        <v>0.20499999999999999</v>
      </c>
      <c r="G117" s="190">
        <f t="shared" si="2"/>
        <v>2.5</v>
      </c>
      <c r="H117" s="190">
        <f t="shared" si="2"/>
        <v>2.5</v>
      </c>
      <c r="I117" s="190">
        <f t="shared" si="2"/>
        <v>3</v>
      </c>
    </row>
    <row r="118" spans="1:9" hidden="1" x14ac:dyDescent="0.35">
      <c r="A118" s="38" t="s">
        <v>754</v>
      </c>
      <c r="B118" s="38" t="s">
        <v>750</v>
      </c>
      <c r="C118" s="38" t="s">
        <v>698</v>
      </c>
      <c r="D118" s="38" t="s">
        <v>252</v>
      </c>
      <c r="E118" s="190">
        <f t="shared" si="2"/>
        <v>3</v>
      </c>
      <c r="F118" s="190">
        <f t="shared" si="2"/>
        <v>0.75</v>
      </c>
      <c r="G118" s="190">
        <f t="shared" si="2"/>
        <v>2.5</v>
      </c>
      <c r="H118" s="190">
        <f t="shared" si="2"/>
        <v>2.5</v>
      </c>
      <c r="I118" s="190">
        <f t="shared" si="2"/>
        <v>3</v>
      </c>
    </row>
    <row r="119" spans="1:9" hidden="1" x14ac:dyDescent="0.35">
      <c r="A119" s="38" t="s">
        <v>754</v>
      </c>
      <c r="B119" s="38" t="s">
        <v>750</v>
      </c>
      <c r="C119" s="38" t="s">
        <v>701</v>
      </c>
      <c r="D119" s="38" t="s">
        <v>702</v>
      </c>
      <c r="E119" s="190">
        <f t="shared" si="2"/>
        <v>3</v>
      </c>
      <c r="F119" s="190">
        <f t="shared" si="2"/>
        <v>3.105</v>
      </c>
      <c r="G119" s="190">
        <f t="shared" si="2"/>
        <v>0.25</v>
      </c>
      <c r="H119" s="190">
        <f t="shared" si="2"/>
        <v>2</v>
      </c>
      <c r="I119" s="190">
        <f t="shared" si="2"/>
        <v>2</v>
      </c>
    </row>
    <row r="120" spans="1:9" hidden="1" x14ac:dyDescent="0.35">
      <c r="A120" s="38" t="s">
        <v>754</v>
      </c>
      <c r="B120" s="38" t="s">
        <v>750</v>
      </c>
      <c r="C120" s="38" t="s">
        <v>701</v>
      </c>
      <c r="D120" s="38" t="s">
        <v>703</v>
      </c>
      <c r="E120" s="190">
        <f t="shared" si="2"/>
        <v>1.75</v>
      </c>
      <c r="F120" s="190">
        <f t="shared" si="2"/>
        <v>1.87</v>
      </c>
      <c r="G120" s="190">
        <f t="shared" si="2"/>
        <v>1</v>
      </c>
      <c r="H120" s="190">
        <f t="shared" si="2"/>
        <v>4</v>
      </c>
      <c r="I120" s="190">
        <f t="shared" si="2"/>
        <v>2</v>
      </c>
    </row>
    <row r="121" spans="1:9" hidden="1" x14ac:dyDescent="0.35">
      <c r="A121" s="38" t="s">
        <v>754</v>
      </c>
      <c r="B121" s="38" t="s">
        <v>750</v>
      </c>
      <c r="C121" s="38" t="s">
        <v>704</v>
      </c>
      <c r="D121" s="38" t="s">
        <v>746</v>
      </c>
      <c r="E121" s="190">
        <f t="shared" si="2"/>
        <v>3</v>
      </c>
      <c r="F121" s="190">
        <f t="shared" si="2"/>
        <v>0.745</v>
      </c>
      <c r="G121" s="190">
        <f t="shared" si="2"/>
        <v>4</v>
      </c>
      <c r="H121" s="190">
        <f t="shared" si="2"/>
        <v>1</v>
      </c>
      <c r="I121" s="190">
        <f t="shared" si="2"/>
        <v>1</v>
      </c>
    </row>
    <row r="122" spans="1:9" hidden="1" x14ac:dyDescent="0.35">
      <c r="A122" s="38" t="s">
        <v>754</v>
      </c>
      <c r="B122" s="38" t="s">
        <v>750</v>
      </c>
      <c r="C122" s="38" t="s">
        <v>707</v>
      </c>
      <c r="D122" s="38" t="s">
        <v>708</v>
      </c>
      <c r="E122" s="190">
        <f t="shared" si="2"/>
        <v>7</v>
      </c>
      <c r="F122" s="190">
        <f t="shared" si="2"/>
        <v>5.1950000000000003</v>
      </c>
      <c r="G122" s="190">
        <f t="shared" si="2"/>
        <v>6</v>
      </c>
      <c r="H122" s="190">
        <f t="shared" si="2"/>
        <v>1.5</v>
      </c>
      <c r="I122" s="190">
        <f t="shared" si="2"/>
        <v>2</v>
      </c>
    </row>
    <row r="123" spans="1:9" hidden="1" x14ac:dyDescent="0.35">
      <c r="A123" s="38" t="s">
        <v>754</v>
      </c>
      <c r="B123" s="38" t="s">
        <v>751</v>
      </c>
      <c r="C123" s="38" t="s">
        <v>686</v>
      </c>
      <c r="D123" s="38" t="s">
        <v>746</v>
      </c>
      <c r="E123" s="190">
        <f t="shared" si="2"/>
        <v>3</v>
      </c>
      <c r="F123" s="190">
        <f t="shared" si="2"/>
        <v>3.6150000000000002</v>
      </c>
      <c r="G123" s="190">
        <f t="shared" si="2"/>
        <v>4.5</v>
      </c>
      <c r="H123" s="190">
        <f t="shared" si="2"/>
        <v>2</v>
      </c>
      <c r="I123" s="190">
        <f t="shared" si="2"/>
        <v>6</v>
      </c>
    </row>
    <row r="124" spans="1:9" hidden="1" x14ac:dyDescent="0.35">
      <c r="A124" s="38" t="s">
        <v>754</v>
      </c>
      <c r="B124" s="38" t="s">
        <v>751</v>
      </c>
      <c r="C124" s="38" t="s">
        <v>691</v>
      </c>
      <c r="D124" s="38" t="s">
        <v>746</v>
      </c>
      <c r="E124" s="190">
        <f t="shared" si="2"/>
        <v>5.665</v>
      </c>
      <c r="F124" s="190">
        <f t="shared" si="2"/>
        <v>5.65</v>
      </c>
      <c r="G124" s="190">
        <f t="shared" si="2"/>
        <v>10</v>
      </c>
      <c r="H124" s="190">
        <f t="shared" si="2"/>
        <v>7.5750000000000002</v>
      </c>
      <c r="I124" s="190">
        <f t="shared" si="2"/>
        <v>6.5</v>
      </c>
    </row>
    <row r="125" spans="1:9" hidden="1" x14ac:dyDescent="0.35">
      <c r="A125" s="38" t="s">
        <v>754</v>
      </c>
      <c r="B125" s="38" t="s">
        <v>751</v>
      </c>
      <c r="C125" s="38" t="s">
        <v>696</v>
      </c>
      <c r="D125" s="38" t="s">
        <v>697</v>
      </c>
      <c r="E125" s="190">
        <f t="shared" si="2"/>
        <v>3.3</v>
      </c>
      <c r="F125" s="190">
        <f t="shared" si="2"/>
        <v>11.23</v>
      </c>
      <c r="G125" s="190">
        <f t="shared" si="2"/>
        <v>4.5</v>
      </c>
      <c r="H125" s="190">
        <f t="shared" si="2"/>
        <v>5</v>
      </c>
      <c r="I125" s="190">
        <f t="shared" si="2"/>
        <v>2</v>
      </c>
    </row>
    <row r="126" spans="1:9" hidden="1" x14ac:dyDescent="0.35">
      <c r="A126" s="38" t="s">
        <v>754</v>
      </c>
      <c r="B126" s="38" t="s">
        <v>751</v>
      </c>
      <c r="C126" s="38" t="s">
        <v>698</v>
      </c>
      <c r="D126" s="38" t="s">
        <v>747</v>
      </c>
      <c r="E126" s="190">
        <f t="shared" si="2"/>
        <v>5</v>
      </c>
      <c r="F126" s="190">
        <f t="shared" si="2"/>
        <v>0.1</v>
      </c>
      <c r="G126" s="190">
        <f t="shared" si="2"/>
        <v>2.5</v>
      </c>
      <c r="H126" s="190">
        <f t="shared" si="2"/>
        <v>2.5</v>
      </c>
      <c r="I126" s="190">
        <f t="shared" si="2"/>
        <v>4</v>
      </c>
    </row>
    <row r="127" spans="1:9" hidden="1" x14ac:dyDescent="0.35">
      <c r="A127" s="38" t="s">
        <v>754</v>
      </c>
      <c r="B127" s="38" t="s">
        <v>751</v>
      </c>
      <c r="C127" s="38" t="s">
        <v>698</v>
      </c>
      <c r="D127" s="38" t="s">
        <v>700</v>
      </c>
      <c r="E127" s="190">
        <f t="shared" ref="E127:I142" si="3">(E50/2)</f>
        <v>7.5</v>
      </c>
      <c r="F127" s="190">
        <f t="shared" si="3"/>
        <v>0.1</v>
      </c>
      <c r="G127" s="190">
        <f t="shared" si="3"/>
        <v>2.5</v>
      </c>
      <c r="H127" s="190">
        <f t="shared" si="3"/>
        <v>2.5</v>
      </c>
      <c r="I127" s="190">
        <f t="shared" si="3"/>
        <v>4</v>
      </c>
    </row>
    <row r="128" spans="1:9" hidden="1" x14ac:dyDescent="0.35">
      <c r="A128" s="38" t="s">
        <v>754</v>
      </c>
      <c r="B128" s="38" t="s">
        <v>751</v>
      </c>
      <c r="C128" s="38" t="s">
        <v>698</v>
      </c>
      <c r="D128" s="38" t="s">
        <v>521</v>
      </c>
      <c r="E128" s="190">
        <f t="shared" si="3"/>
        <v>4</v>
      </c>
      <c r="F128" s="190">
        <f t="shared" si="3"/>
        <v>0.115</v>
      </c>
      <c r="G128" s="190">
        <f t="shared" si="3"/>
        <v>2.5</v>
      </c>
      <c r="H128" s="190">
        <f t="shared" si="3"/>
        <v>2.5</v>
      </c>
      <c r="I128" s="190">
        <f t="shared" si="3"/>
        <v>4</v>
      </c>
    </row>
    <row r="129" spans="1:9" hidden="1" x14ac:dyDescent="0.35">
      <c r="A129" s="38" t="s">
        <v>754</v>
      </c>
      <c r="B129" s="38" t="s">
        <v>751</v>
      </c>
      <c r="C129" s="38" t="s">
        <v>698</v>
      </c>
      <c r="D129" s="38" t="s">
        <v>252</v>
      </c>
      <c r="E129" s="190">
        <f t="shared" si="3"/>
        <v>4</v>
      </c>
      <c r="F129" s="190">
        <f t="shared" si="3"/>
        <v>0.45</v>
      </c>
      <c r="G129" s="190">
        <f t="shared" si="3"/>
        <v>2.5</v>
      </c>
      <c r="H129" s="190">
        <f t="shared" si="3"/>
        <v>2.5</v>
      </c>
      <c r="I129" s="190">
        <f t="shared" si="3"/>
        <v>4</v>
      </c>
    </row>
    <row r="130" spans="1:9" hidden="1" x14ac:dyDescent="0.35">
      <c r="A130" s="38" t="s">
        <v>754</v>
      </c>
      <c r="B130" s="38" t="s">
        <v>751</v>
      </c>
      <c r="C130" s="38" t="s">
        <v>701</v>
      </c>
      <c r="D130" s="38" t="s">
        <v>702</v>
      </c>
      <c r="E130" s="190">
        <f t="shared" si="3"/>
        <v>3</v>
      </c>
      <c r="F130" s="190">
        <f t="shared" si="3"/>
        <v>2.4449999999999998</v>
      </c>
      <c r="G130" s="190">
        <f t="shared" si="3"/>
        <v>2.25</v>
      </c>
      <c r="H130" s="190">
        <f t="shared" si="3"/>
        <v>2</v>
      </c>
      <c r="I130" s="190">
        <f t="shared" si="3"/>
        <v>6</v>
      </c>
    </row>
    <row r="131" spans="1:9" hidden="1" x14ac:dyDescent="0.35">
      <c r="A131" s="38" t="s">
        <v>754</v>
      </c>
      <c r="B131" s="38" t="s">
        <v>751</v>
      </c>
      <c r="C131" s="38" t="s">
        <v>701</v>
      </c>
      <c r="D131" s="38" t="s">
        <v>703</v>
      </c>
      <c r="E131" s="190">
        <f t="shared" si="3"/>
        <v>1.75</v>
      </c>
      <c r="F131" s="190">
        <f t="shared" si="3"/>
        <v>1.66</v>
      </c>
      <c r="G131" s="190">
        <f t="shared" si="3"/>
        <v>1</v>
      </c>
      <c r="H131" s="190">
        <f t="shared" si="3"/>
        <v>4</v>
      </c>
      <c r="I131" s="190">
        <f t="shared" si="3"/>
        <v>1</v>
      </c>
    </row>
    <row r="132" spans="1:9" hidden="1" x14ac:dyDescent="0.35">
      <c r="A132" s="38" t="s">
        <v>754</v>
      </c>
      <c r="B132" s="38" t="s">
        <v>751</v>
      </c>
      <c r="C132" s="38" t="s">
        <v>704</v>
      </c>
      <c r="D132" s="38" t="s">
        <v>746</v>
      </c>
      <c r="E132" s="190">
        <f t="shared" si="3"/>
        <v>7.5</v>
      </c>
      <c r="F132" s="190">
        <f t="shared" si="3"/>
        <v>1.4</v>
      </c>
      <c r="G132" s="190">
        <f t="shared" si="3"/>
        <v>4</v>
      </c>
      <c r="H132" s="190">
        <f t="shared" si="3"/>
        <v>1</v>
      </c>
      <c r="I132" s="190">
        <f t="shared" si="3"/>
        <v>1</v>
      </c>
    </row>
    <row r="133" spans="1:9" hidden="1" x14ac:dyDescent="0.35">
      <c r="A133" s="38" t="s">
        <v>754</v>
      </c>
      <c r="B133" s="38" t="s">
        <v>751</v>
      </c>
      <c r="C133" s="38" t="s">
        <v>707</v>
      </c>
      <c r="D133" s="38" t="s">
        <v>708</v>
      </c>
      <c r="E133" s="190">
        <f t="shared" si="3"/>
        <v>5.95</v>
      </c>
      <c r="F133" s="190">
        <f t="shared" si="3"/>
        <v>4.63</v>
      </c>
      <c r="G133" s="190">
        <f t="shared" si="3"/>
        <v>6</v>
      </c>
      <c r="H133" s="190">
        <f t="shared" si="3"/>
        <v>2.85</v>
      </c>
      <c r="I133" s="190">
        <f t="shared" si="3"/>
        <v>3</v>
      </c>
    </row>
    <row r="134" spans="1:9" hidden="1" x14ac:dyDescent="0.35">
      <c r="A134" s="38" t="s">
        <v>754</v>
      </c>
      <c r="B134" s="38" t="s">
        <v>752</v>
      </c>
      <c r="C134" s="38" t="s">
        <v>686</v>
      </c>
      <c r="D134" s="38" t="s">
        <v>746</v>
      </c>
      <c r="E134" s="190">
        <f t="shared" si="3"/>
        <v>3.605</v>
      </c>
      <c r="F134" s="190">
        <f t="shared" si="3"/>
        <v>4.375</v>
      </c>
      <c r="G134" s="190">
        <f t="shared" si="3"/>
        <v>7.625</v>
      </c>
      <c r="H134" s="190">
        <f t="shared" si="3"/>
        <v>1</v>
      </c>
      <c r="I134" s="190">
        <f t="shared" si="3"/>
        <v>0.5</v>
      </c>
    </row>
    <row r="135" spans="1:9" hidden="1" x14ac:dyDescent="0.35">
      <c r="A135" s="38" t="s">
        <v>754</v>
      </c>
      <c r="B135" s="38" t="s">
        <v>752</v>
      </c>
      <c r="C135" s="38" t="s">
        <v>691</v>
      </c>
      <c r="D135" s="38" t="s">
        <v>746</v>
      </c>
      <c r="E135" s="190">
        <f t="shared" si="3"/>
        <v>6.7350000000000003</v>
      </c>
      <c r="F135" s="190">
        <f t="shared" si="3"/>
        <v>8.8550000000000004</v>
      </c>
      <c r="G135" s="190">
        <f t="shared" si="3"/>
        <v>12.5</v>
      </c>
      <c r="H135" s="190">
        <f t="shared" si="3"/>
        <v>17.065000000000001</v>
      </c>
      <c r="I135" s="190">
        <f t="shared" si="3"/>
        <v>2.5</v>
      </c>
    </row>
    <row r="136" spans="1:9" hidden="1" x14ac:dyDescent="0.35">
      <c r="A136" s="38" t="s">
        <v>754</v>
      </c>
      <c r="B136" s="38" t="s">
        <v>752</v>
      </c>
      <c r="C136" s="38" t="s">
        <v>696</v>
      </c>
      <c r="D136" s="38" t="s">
        <v>697</v>
      </c>
      <c r="E136" s="190">
        <f t="shared" si="3"/>
        <v>2.85</v>
      </c>
      <c r="F136" s="190">
        <f t="shared" si="3"/>
        <v>10.97</v>
      </c>
      <c r="G136" s="190">
        <f t="shared" si="3"/>
        <v>4.5</v>
      </c>
      <c r="H136" s="190">
        <f t="shared" si="3"/>
        <v>7.5</v>
      </c>
      <c r="I136" s="190">
        <f t="shared" si="3"/>
        <v>1</v>
      </c>
    </row>
    <row r="137" spans="1:9" hidden="1" x14ac:dyDescent="0.35">
      <c r="A137" s="38" t="s">
        <v>754</v>
      </c>
      <c r="B137" s="38" t="s">
        <v>752</v>
      </c>
      <c r="C137" s="38" t="s">
        <v>698</v>
      </c>
      <c r="D137" s="38" t="s">
        <v>747</v>
      </c>
      <c r="E137" s="190">
        <f t="shared" si="3"/>
        <v>5</v>
      </c>
      <c r="F137" s="190">
        <f t="shared" si="3"/>
        <v>0.46500000000000002</v>
      </c>
      <c r="G137" s="190">
        <f t="shared" si="3"/>
        <v>2.5</v>
      </c>
      <c r="H137" s="190">
        <f t="shared" si="3"/>
        <v>3.5</v>
      </c>
      <c r="I137" s="190">
        <f t="shared" si="3"/>
        <v>1</v>
      </c>
    </row>
    <row r="138" spans="1:9" hidden="1" x14ac:dyDescent="0.35">
      <c r="A138" s="38" t="s">
        <v>754</v>
      </c>
      <c r="B138" s="38" t="s">
        <v>752</v>
      </c>
      <c r="C138" s="38" t="s">
        <v>698</v>
      </c>
      <c r="D138" s="38" t="s">
        <v>700</v>
      </c>
      <c r="E138" s="190">
        <f t="shared" si="3"/>
        <v>16.5</v>
      </c>
      <c r="F138" s="190">
        <f t="shared" si="3"/>
        <v>0.1</v>
      </c>
      <c r="G138" s="190">
        <f t="shared" si="3"/>
        <v>2.5</v>
      </c>
      <c r="H138" s="190">
        <f t="shared" si="3"/>
        <v>3.5</v>
      </c>
      <c r="I138" s="190">
        <f t="shared" si="3"/>
        <v>1</v>
      </c>
    </row>
    <row r="139" spans="1:9" hidden="1" x14ac:dyDescent="0.35">
      <c r="A139" s="38" t="s">
        <v>754</v>
      </c>
      <c r="B139" s="38" t="s">
        <v>752</v>
      </c>
      <c r="C139" s="38" t="s">
        <v>698</v>
      </c>
      <c r="D139" s="38" t="s">
        <v>521</v>
      </c>
      <c r="E139" s="190">
        <f t="shared" si="3"/>
        <v>5</v>
      </c>
      <c r="F139" s="190">
        <f t="shared" si="3"/>
        <v>0.115</v>
      </c>
      <c r="G139" s="190">
        <f t="shared" si="3"/>
        <v>2.5</v>
      </c>
      <c r="H139" s="190">
        <f t="shared" si="3"/>
        <v>3.5</v>
      </c>
      <c r="I139" s="190">
        <f t="shared" si="3"/>
        <v>1</v>
      </c>
    </row>
    <row r="140" spans="1:9" hidden="1" x14ac:dyDescent="0.35">
      <c r="A140" s="38" t="s">
        <v>754</v>
      </c>
      <c r="B140" s="38" t="s">
        <v>752</v>
      </c>
      <c r="C140" s="38" t="s">
        <v>698</v>
      </c>
      <c r="D140" s="38" t="s">
        <v>252</v>
      </c>
      <c r="E140" s="190">
        <f t="shared" si="3"/>
        <v>12.5</v>
      </c>
      <c r="F140" s="190">
        <f t="shared" si="3"/>
        <v>0.45</v>
      </c>
      <c r="G140" s="190">
        <f t="shared" si="3"/>
        <v>2.5</v>
      </c>
      <c r="H140" s="190">
        <f t="shared" si="3"/>
        <v>3.5</v>
      </c>
      <c r="I140" s="190">
        <f t="shared" si="3"/>
        <v>1</v>
      </c>
    </row>
    <row r="141" spans="1:9" hidden="1" x14ac:dyDescent="0.35">
      <c r="A141" s="38" t="s">
        <v>754</v>
      </c>
      <c r="B141" s="38" t="s">
        <v>752</v>
      </c>
      <c r="C141" s="38" t="s">
        <v>701</v>
      </c>
      <c r="D141" s="38" t="s">
        <v>702</v>
      </c>
      <c r="E141" s="190">
        <f t="shared" si="3"/>
        <v>4</v>
      </c>
      <c r="F141" s="190">
        <f t="shared" si="3"/>
        <v>4.0049999999999999</v>
      </c>
      <c r="G141" s="190">
        <f t="shared" si="3"/>
        <v>0.05</v>
      </c>
      <c r="H141" s="190">
        <f t="shared" si="3"/>
        <v>1.5</v>
      </c>
      <c r="I141" s="190">
        <f t="shared" si="3"/>
        <v>0.5</v>
      </c>
    </row>
    <row r="142" spans="1:9" hidden="1" x14ac:dyDescent="0.35">
      <c r="A142" s="38" t="s">
        <v>754</v>
      </c>
      <c r="B142" s="38" t="s">
        <v>752</v>
      </c>
      <c r="C142" s="38" t="s">
        <v>701</v>
      </c>
      <c r="D142" s="38" t="s">
        <v>703</v>
      </c>
      <c r="E142" s="190">
        <f t="shared" si="3"/>
        <v>3</v>
      </c>
      <c r="F142" s="190">
        <f t="shared" si="3"/>
        <v>4.0999999999999996</v>
      </c>
      <c r="G142" s="190">
        <f t="shared" si="3"/>
        <v>1</v>
      </c>
      <c r="H142" s="190">
        <f t="shared" si="3"/>
        <v>5</v>
      </c>
      <c r="I142" s="190">
        <f t="shared" si="3"/>
        <v>0.05</v>
      </c>
    </row>
    <row r="143" spans="1:9" hidden="1" x14ac:dyDescent="0.35">
      <c r="A143" s="38" t="s">
        <v>754</v>
      </c>
      <c r="B143" s="38" t="s">
        <v>752</v>
      </c>
      <c r="C143" s="38" t="s">
        <v>704</v>
      </c>
      <c r="D143" s="38" t="s">
        <v>746</v>
      </c>
      <c r="E143" s="190">
        <f t="shared" ref="E143:I155" si="4">(E66/2)</f>
        <v>6</v>
      </c>
      <c r="F143" s="190">
        <f t="shared" si="4"/>
        <v>4.09</v>
      </c>
      <c r="G143" s="190">
        <f t="shared" si="4"/>
        <v>4</v>
      </c>
      <c r="H143" s="190">
        <f t="shared" si="4"/>
        <v>1</v>
      </c>
      <c r="I143" s="190">
        <f t="shared" si="4"/>
        <v>0.5</v>
      </c>
    </row>
    <row r="144" spans="1:9" hidden="1" x14ac:dyDescent="0.35">
      <c r="A144" s="38" t="s">
        <v>754</v>
      </c>
      <c r="B144" s="38" t="s">
        <v>752</v>
      </c>
      <c r="C144" s="38" t="s">
        <v>707</v>
      </c>
      <c r="D144" s="38" t="s">
        <v>708</v>
      </c>
      <c r="E144" s="190">
        <f t="shared" si="4"/>
        <v>7</v>
      </c>
      <c r="F144" s="190">
        <f t="shared" si="4"/>
        <v>8.4700000000000006</v>
      </c>
      <c r="G144" s="190">
        <f t="shared" si="4"/>
        <v>7.5</v>
      </c>
      <c r="H144" s="190">
        <f t="shared" si="4"/>
        <v>2.5</v>
      </c>
      <c r="I144" s="190">
        <f t="shared" si="4"/>
        <v>1</v>
      </c>
    </row>
    <row r="145" spans="1:9" hidden="1" x14ac:dyDescent="0.35">
      <c r="A145" s="38" t="s">
        <v>754</v>
      </c>
      <c r="B145" s="38" t="s">
        <v>753</v>
      </c>
      <c r="C145" s="38" t="s">
        <v>686</v>
      </c>
      <c r="D145" s="38" t="s">
        <v>746</v>
      </c>
      <c r="E145" s="190">
        <f t="shared" si="4"/>
        <v>3</v>
      </c>
      <c r="F145" s="190">
        <f t="shared" si="4"/>
        <v>3.2949999999999999</v>
      </c>
      <c r="G145" s="190">
        <f t="shared" si="4"/>
        <v>3.5</v>
      </c>
      <c r="H145" s="190">
        <f t="shared" si="4"/>
        <v>1.49</v>
      </c>
      <c r="I145" s="190">
        <f t="shared" si="4"/>
        <v>1.5</v>
      </c>
    </row>
    <row r="146" spans="1:9" hidden="1" x14ac:dyDescent="0.35">
      <c r="A146" s="38" t="s">
        <v>754</v>
      </c>
      <c r="B146" s="38" t="s">
        <v>753</v>
      </c>
      <c r="C146" s="38" t="s">
        <v>691</v>
      </c>
      <c r="D146" s="38" t="s">
        <v>746</v>
      </c>
      <c r="E146" s="190">
        <f t="shared" si="4"/>
        <v>4.3550000000000004</v>
      </c>
      <c r="F146" s="190">
        <f t="shared" si="4"/>
        <v>4.9349999999999996</v>
      </c>
      <c r="G146" s="190">
        <f t="shared" si="4"/>
        <v>12.5</v>
      </c>
      <c r="H146" s="190">
        <f t="shared" si="4"/>
        <v>6.48</v>
      </c>
      <c r="I146" s="190">
        <f t="shared" si="4"/>
        <v>9.08</v>
      </c>
    </row>
    <row r="147" spans="1:9" hidden="1" x14ac:dyDescent="0.35">
      <c r="A147" s="38" t="s">
        <v>754</v>
      </c>
      <c r="B147" s="38" t="s">
        <v>753</v>
      </c>
      <c r="C147" s="38" t="s">
        <v>696</v>
      </c>
      <c r="D147" s="38" t="s">
        <v>697</v>
      </c>
      <c r="E147" s="190">
        <f t="shared" si="4"/>
        <v>4.0999999999999996</v>
      </c>
      <c r="F147" s="190">
        <f t="shared" si="4"/>
        <v>12.734999999999999</v>
      </c>
      <c r="G147" s="190">
        <f t="shared" si="4"/>
        <v>4.5</v>
      </c>
      <c r="H147" s="190">
        <f t="shared" si="4"/>
        <v>6.165</v>
      </c>
      <c r="I147" s="190">
        <f t="shared" si="4"/>
        <v>1</v>
      </c>
    </row>
    <row r="148" spans="1:9" hidden="1" x14ac:dyDescent="0.35">
      <c r="A148" s="38" t="s">
        <v>754</v>
      </c>
      <c r="B148" s="38" t="s">
        <v>753</v>
      </c>
      <c r="C148" s="38" t="s">
        <v>698</v>
      </c>
      <c r="D148" s="38" t="s">
        <v>747</v>
      </c>
      <c r="E148" s="190">
        <f t="shared" si="4"/>
        <v>5</v>
      </c>
      <c r="F148" s="190">
        <f t="shared" si="4"/>
        <v>0.105</v>
      </c>
      <c r="G148" s="190">
        <f t="shared" si="4"/>
        <v>2.5</v>
      </c>
      <c r="H148" s="190">
        <f t="shared" si="4"/>
        <v>3.5</v>
      </c>
      <c r="I148" s="190">
        <f t="shared" si="4"/>
        <v>2</v>
      </c>
    </row>
    <row r="149" spans="1:9" hidden="1" x14ac:dyDescent="0.35">
      <c r="A149" s="38" t="s">
        <v>754</v>
      </c>
      <c r="B149" s="38" t="s">
        <v>753</v>
      </c>
      <c r="C149" s="38" t="s">
        <v>698</v>
      </c>
      <c r="D149" s="38" t="s">
        <v>700</v>
      </c>
      <c r="E149" s="190">
        <f t="shared" si="4"/>
        <v>5</v>
      </c>
      <c r="F149" s="190">
        <f t="shared" si="4"/>
        <v>0.1</v>
      </c>
      <c r="G149" s="190">
        <f t="shared" si="4"/>
        <v>2.5</v>
      </c>
      <c r="H149" s="190">
        <f t="shared" si="4"/>
        <v>3.5</v>
      </c>
      <c r="I149" s="190">
        <f t="shared" si="4"/>
        <v>2</v>
      </c>
    </row>
    <row r="150" spans="1:9" hidden="1" x14ac:dyDescent="0.35">
      <c r="A150" s="38" t="s">
        <v>754</v>
      </c>
      <c r="B150" s="38" t="s">
        <v>753</v>
      </c>
      <c r="C150" s="38" t="s">
        <v>698</v>
      </c>
      <c r="D150" s="38" t="s">
        <v>521</v>
      </c>
      <c r="E150" s="190">
        <f t="shared" si="4"/>
        <v>3</v>
      </c>
      <c r="F150" s="190">
        <f t="shared" si="4"/>
        <v>0.23499999999999999</v>
      </c>
      <c r="G150" s="190">
        <f t="shared" si="4"/>
        <v>2.5</v>
      </c>
      <c r="H150" s="190">
        <f t="shared" si="4"/>
        <v>3.5</v>
      </c>
      <c r="I150" s="190">
        <f t="shared" si="4"/>
        <v>2</v>
      </c>
    </row>
    <row r="151" spans="1:9" hidden="1" x14ac:dyDescent="0.35">
      <c r="A151" s="38" t="s">
        <v>754</v>
      </c>
      <c r="B151" s="38" t="s">
        <v>753</v>
      </c>
      <c r="C151" s="38" t="s">
        <v>698</v>
      </c>
      <c r="D151" s="38" t="s">
        <v>252</v>
      </c>
      <c r="E151" s="190">
        <f t="shared" si="4"/>
        <v>4</v>
      </c>
      <c r="F151" s="190">
        <f t="shared" si="4"/>
        <v>0.48499999999999999</v>
      </c>
      <c r="G151" s="190">
        <f t="shared" si="4"/>
        <v>2.5</v>
      </c>
      <c r="H151" s="190">
        <f t="shared" si="4"/>
        <v>3.5</v>
      </c>
      <c r="I151" s="190">
        <f t="shared" si="4"/>
        <v>2</v>
      </c>
    </row>
    <row r="152" spans="1:9" hidden="1" x14ac:dyDescent="0.35">
      <c r="A152" s="38" t="s">
        <v>754</v>
      </c>
      <c r="B152" s="38" t="s">
        <v>753</v>
      </c>
      <c r="C152" s="38" t="s">
        <v>701</v>
      </c>
      <c r="D152" s="38" t="s">
        <v>702</v>
      </c>
      <c r="E152" s="190">
        <f t="shared" si="4"/>
        <v>4</v>
      </c>
      <c r="F152" s="190">
        <f t="shared" si="4"/>
        <v>3.6150000000000002</v>
      </c>
      <c r="G152" s="190">
        <f t="shared" si="4"/>
        <v>0.05</v>
      </c>
      <c r="H152" s="190">
        <f t="shared" si="4"/>
        <v>1.5</v>
      </c>
      <c r="I152" s="190">
        <f t="shared" si="4"/>
        <v>1</v>
      </c>
    </row>
    <row r="153" spans="1:9" hidden="1" x14ac:dyDescent="0.35">
      <c r="A153" s="38" t="s">
        <v>754</v>
      </c>
      <c r="B153" s="38" t="s">
        <v>753</v>
      </c>
      <c r="C153" s="38" t="s">
        <v>701</v>
      </c>
      <c r="D153" s="38" t="s">
        <v>703</v>
      </c>
      <c r="E153" s="190">
        <f t="shared" si="4"/>
        <v>1.75</v>
      </c>
      <c r="F153" s="190">
        <f t="shared" si="4"/>
        <v>2.34</v>
      </c>
      <c r="G153" s="190">
        <f t="shared" si="4"/>
        <v>1</v>
      </c>
      <c r="H153" s="190">
        <f t="shared" si="4"/>
        <v>5</v>
      </c>
      <c r="I153" s="190">
        <f t="shared" si="4"/>
        <v>0.5</v>
      </c>
    </row>
    <row r="154" spans="1:9" hidden="1" x14ac:dyDescent="0.35">
      <c r="A154" s="38" t="s">
        <v>754</v>
      </c>
      <c r="B154" s="38" t="s">
        <v>753</v>
      </c>
      <c r="C154" s="38" t="s">
        <v>704</v>
      </c>
      <c r="D154" s="38" t="s">
        <v>746</v>
      </c>
      <c r="E154" s="190">
        <f t="shared" si="4"/>
        <v>3.5</v>
      </c>
      <c r="F154" s="190">
        <f t="shared" si="4"/>
        <v>1.7</v>
      </c>
      <c r="G154" s="190">
        <f t="shared" si="4"/>
        <v>4</v>
      </c>
      <c r="H154" s="190">
        <f t="shared" si="4"/>
        <v>1</v>
      </c>
      <c r="I154" s="190">
        <f t="shared" si="4"/>
        <v>0.5</v>
      </c>
    </row>
    <row r="155" spans="1:9" hidden="1" x14ac:dyDescent="0.35">
      <c r="A155" s="38" t="s">
        <v>754</v>
      </c>
      <c r="B155" s="38" t="s">
        <v>753</v>
      </c>
      <c r="C155" s="38" t="s">
        <v>707</v>
      </c>
      <c r="D155" s="38" t="s">
        <v>708</v>
      </c>
      <c r="E155" s="190">
        <f t="shared" si="4"/>
        <v>4.0750000000000002</v>
      </c>
      <c r="F155" s="190">
        <f t="shared" si="4"/>
        <v>6.0549999999999997</v>
      </c>
      <c r="G155" s="190">
        <f t="shared" si="4"/>
        <v>5</v>
      </c>
      <c r="H155" s="190">
        <f t="shared" si="4"/>
        <v>5.39</v>
      </c>
      <c r="I155" s="190">
        <f t="shared" si="4"/>
        <v>1.94</v>
      </c>
    </row>
    <row r="156" spans="1:9" hidden="1" x14ac:dyDescent="0.35">
      <c r="A156" s="196" t="s">
        <v>755</v>
      </c>
      <c r="B156" s="38" t="s">
        <v>745</v>
      </c>
      <c r="C156" s="38" t="s">
        <v>686</v>
      </c>
      <c r="D156" s="38" t="s">
        <v>746</v>
      </c>
      <c r="E156" s="190">
        <f t="shared" ref="E156:I171" si="5">E2*0.25</f>
        <v>1.075</v>
      </c>
      <c r="F156" s="190">
        <f t="shared" si="5"/>
        <v>0.95</v>
      </c>
      <c r="G156" s="190">
        <f t="shared" si="5"/>
        <v>2.625</v>
      </c>
      <c r="H156" s="190">
        <f t="shared" si="5"/>
        <v>0.75</v>
      </c>
      <c r="I156" s="190">
        <f t="shared" si="5"/>
        <v>6.75</v>
      </c>
    </row>
    <row r="157" spans="1:9" hidden="1" x14ac:dyDescent="0.35">
      <c r="A157" s="196" t="s">
        <v>755</v>
      </c>
      <c r="B157" s="38" t="s">
        <v>745</v>
      </c>
      <c r="C157" s="38" t="s">
        <v>691</v>
      </c>
      <c r="D157" s="38" t="s">
        <v>746</v>
      </c>
      <c r="E157" s="190">
        <f t="shared" si="5"/>
        <v>5</v>
      </c>
      <c r="F157" s="190">
        <f t="shared" si="5"/>
        <v>1.825</v>
      </c>
      <c r="G157" s="190">
        <f t="shared" si="5"/>
        <v>0.5</v>
      </c>
      <c r="H157" s="190">
        <f t="shared" si="5"/>
        <v>1.2250000000000001</v>
      </c>
      <c r="I157" s="190">
        <f t="shared" si="5"/>
        <v>4.75</v>
      </c>
    </row>
    <row r="158" spans="1:9" hidden="1" x14ac:dyDescent="0.35">
      <c r="A158" s="196" t="s">
        <v>755</v>
      </c>
      <c r="B158" s="38" t="s">
        <v>745</v>
      </c>
      <c r="C158" s="38" t="s">
        <v>696</v>
      </c>
      <c r="D158" s="38" t="s">
        <v>697</v>
      </c>
      <c r="E158" s="190">
        <f t="shared" si="5"/>
        <v>2.35</v>
      </c>
      <c r="F158" s="190">
        <f t="shared" si="5"/>
        <v>1.9750000000000001</v>
      </c>
      <c r="G158" s="190">
        <f t="shared" si="5"/>
        <v>1.5</v>
      </c>
      <c r="H158" s="190">
        <f t="shared" si="5"/>
        <v>2.25</v>
      </c>
      <c r="I158" s="190">
        <f t="shared" si="5"/>
        <v>2.75</v>
      </c>
    </row>
    <row r="159" spans="1:9" hidden="1" x14ac:dyDescent="0.35">
      <c r="A159" s="196" t="s">
        <v>755</v>
      </c>
      <c r="B159" s="38" t="s">
        <v>745</v>
      </c>
      <c r="C159" s="38" t="s">
        <v>698</v>
      </c>
      <c r="D159" s="38" t="s">
        <v>747</v>
      </c>
      <c r="E159" s="190">
        <f t="shared" si="5"/>
        <v>0.57499999999999996</v>
      </c>
      <c r="F159" s="190">
        <f t="shared" si="5"/>
        <v>0.15</v>
      </c>
      <c r="G159" s="190">
        <f t="shared" si="5"/>
        <v>1.25</v>
      </c>
      <c r="H159" s="190">
        <f t="shared" si="5"/>
        <v>1</v>
      </c>
      <c r="I159" s="190">
        <f t="shared" si="5"/>
        <v>2.75</v>
      </c>
    </row>
    <row r="160" spans="1:9" hidden="1" x14ac:dyDescent="0.35">
      <c r="A160" s="196" t="s">
        <v>755</v>
      </c>
      <c r="B160" s="38" t="s">
        <v>745</v>
      </c>
      <c r="C160" s="38" t="s">
        <v>698</v>
      </c>
      <c r="D160" s="38" t="s">
        <v>700</v>
      </c>
      <c r="E160" s="190">
        <f t="shared" si="5"/>
        <v>2.5</v>
      </c>
      <c r="F160" s="190">
        <f t="shared" si="5"/>
        <v>0.15</v>
      </c>
      <c r="G160" s="190">
        <f t="shared" si="5"/>
        <v>1.25</v>
      </c>
      <c r="H160" s="190">
        <f t="shared" si="5"/>
        <v>1</v>
      </c>
      <c r="I160" s="190">
        <f t="shared" si="5"/>
        <v>2.75</v>
      </c>
    </row>
    <row r="161" spans="1:9" hidden="1" x14ac:dyDescent="0.35">
      <c r="A161" s="196" t="s">
        <v>755</v>
      </c>
      <c r="B161" s="38" t="s">
        <v>745</v>
      </c>
      <c r="C161" s="38" t="s">
        <v>698</v>
      </c>
      <c r="D161" s="38" t="s">
        <v>521</v>
      </c>
      <c r="E161" s="190">
        <f t="shared" si="5"/>
        <v>0.625</v>
      </c>
      <c r="F161" s="190">
        <f t="shared" si="5"/>
        <v>7.4999999999999997E-2</v>
      </c>
      <c r="G161" s="190">
        <f t="shared" si="5"/>
        <v>1.25</v>
      </c>
      <c r="H161" s="190">
        <f t="shared" si="5"/>
        <v>1</v>
      </c>
      <c r="I161" s="190">
        <f t="shared" si="5"/>
        <v>2.75</v>
      </c>
    </row>
    <row r="162" spans="1:9" hidden="1" x14ac:dyDescent="0.35">
      <c r="A162" s="196" t="s">
        <v>755</v>
      </c>
      <c r="B162" s="38" t="s">
        <v>745</v>
      </c>
      <c r="C162" s="38" t="s">
        <v>698</v>
      </c>
      <c r="D162" s="38" t="s">
        <v>252</v>
      </c>
      <c r="E162" s="190">
        <f t="shared" si="5"/>
        <v>1.75</v>
      </c>
      <c r="F162" s="190">
        <f t="shared" si="5"/>
        <v>0.22500000000000001</v>
      </c>
      <c r="G162" s="190">
        <f t="shared" si="5"/>
        <v>1.25</v>
      </c>
      <c r="H162" s="190">
        <f t="shared" si="5"/>
        <v>1</v>
      </c>
      <c r="I162" s="190">
        <f t="shared" si="5"/>
        <v>2.75</v>
      </c>
    </row>
    <row r="163" spans="1:9" hidden="1" x14ac:dyDescent="0.35">
      <c r="A163" s="196" t="s">
        <v>755</v>
      </c>
      <c r="B163" s="38" t="s">
        <v>745</v>
      </c>
      <c r="C163" s="38" t="s">
        <v>701</v>
      </c>
      <c r="D163" s="38" t="s">
        <v>702</v>
      </c>
      <c r="E163" s="190">
        <f t="shared" si="5"/>
        <v>1</v>
      </c>
      <c r="F163" s="190">
        <f t="shared" si="5"/>
        <v>0.47499999999999998</v>
      </c>
      <c r="G163" s="190">
        <f t="shared" si="5"/>
        <v>0.125</v>
      </c>
      <c r="H163" s="190">
        <f t="shared" si="5"/>
        <v>0.5</v>
      </c>
      <c r="I163" s="190">
        <f t="shared" si="5"/>
        <v>2</v>
      </c>
    </row>
    <row r="164" spans="1:9" hidden="1" x14ac:dyDescent="0.35">
      <c r="A164" s="196" t="s">
        <v>755</v>
      </c>
      <c r="B164" s="38" t="s">
        <v>745</v>
      </c>
      <c r="C164" s="38" t="s">
        <v>701</v>
      </c>
      <c r="D164" s="38" t="s">
        <v>703</v>
      </c>
      <c r="E164" s="190">
        <f t="shared" si="5"/>
        <v>0.875</v>
      </c>
      <c r="F164" s="190">
        <f t="shared" si="5"/>
        <v>0.42499999999999999</v>
      </c>
      <c r="G164" s="190">
        <f t="shared" si="5"/>
        <v>0.3</v>
      </c>
      <c r="H164" s="190">
        <f t="shared" si="5"/>
        <v>0.20499999999999999</v>
      </c>
      <c r="I164" s="190">
        <f t="shared" si="5"/>
        <v>1.75</v>
      </c>
    </row>
    <row r="165" spans="1:9" hidden="1" x14ac:dyDescent="0.35">
      <c r="A165" s="196" t="s">
        <v>755</v>
      </c>
      <c r="B165" s="38" t="s">
        <v>745</v>
      </c>
      <c r="C165" s="38" t="s">
        <v>704</v>
      </c>
      <c r="D165" s="38" t="s">
        <v>746</v>
      </c>
      <c r="E165" s="190">
        <f t="shared" si="5"/>
        <v>1.325</v>
      </c>
      <c r="F165" s="190">
        <f t="shared" si="5"/>
        <v>0.3</v>
      </c>
      <c r="G165" s="190">
        <f t="shared" si="5"/>
        <v>1.25</v>
      </c>
      <c r="H165" s="190">
        <f t="shared" si="5"/>
        <v>0.25</v>
      </c>
      <c r="I165" s="190">
        <f t="shared" si="5"/>
        <v>1</v>
      </c>
    </row>
    <row r="166" spans="1:9" hidden="1" x14ac:dyDescent="0.35">
      <c r="A166" s="196" t="s">
        <v>755</v>
      </c>
      <c r="B166" s="38" t="s">
        <v>745</v>
      </c>
      <c r="C166" s="38" t="s">
        <v>707</v>
      </c>
      <c r="D166" s="38" t="s">
        <v>708</v>
      </c>
      <c r="E166" s="190">
        <f t="shared" si="5"/>
        <v>5</v>
      </c>
      <c r="F166" s="190">
        <f t="shared" si="5"/>
        <v>1.9</v>
      </c>
      <c r="G166" s="190">
        <f t="shared" si="5"/>
        <v>3.45</v>
      </c>
      <c r="H166" s="190">
        <f t="shared" si="5"/>
        <v>1.75</v>
      </c>
      <c r="I166" s="190">
        <f t="shared" si="5"/>
        <v>4.25</v>
      </c>
    </row>
    <row r="167" spans="1:9" hidden="1" x14ac:dyDescent="0.35">
      <c r="A167" s="196" t="s">
        <v>755</v>
      </c>
      <c r="B167" s="38" t="s">
        <v>748</v>
      </c>
      <c r="C167" s="38" t="s">
        <v>686</v>
      </c>
      <c r="D167" s="38" t="s">
        <v>746</v>
      </c>
      <c r="E167" s="190">
        <f t="shared" si="5"/>
        <v>0.98</v>
      </c>
      <c r="F167" s="190">
        <f t="shared" si="5"/>
        <v>1.06</v>
      </c>
      <c r="G167" s="190">
        <f t="shared" si="5"/>
        <v>2.95</v>
      </c>
      <c r="H167" s="190">
        <f t="shared" si="5"/>
        <v>0.5</v>
      </c>
      <c r="I167" s="190">
        <f t="shared" si="5"/>
        <v>3.4125000000000001</v>
      </c>
    </row>
    <row r="168" spans="1:9" hidden="1" x14ac:dyDescent="0.35">
      <c r="A168" s="196" t="s">
        <v>755</v>
      </c>
      <c r="B168" s="38" t="s">
        <v>748</v>
      </c>
      <c r="C168" s="38" t="s">
        <v>691</v>
      </c>
      <c r="D168" s="38" t="s">
        <v>746</v>
      </c>
      <c r="E168" s="190">
        <f t="shared" si="5"/>
        <v>2.5</v>
      </c>
      <c r="F168" s="190">
        <f t="shared" si="5"/>
        <v>2.0924999999999998</v>
      </c>
      <c r="G168" s="190">
        <f t="shared" si="5"/>
        <v>0.5</v>
      </c>
      <c r="H168" s="190">
        <f t="shared" si="5"/>
        <v>2</v>
      </c>
      <c r="I168" s="190">
        <f t="shared" si="5"/>
        <v>2.5874999999999999</v>
      </c>
    </row>
    <row r="169" spans="1:9" hidden="1" x14ac:dyDescent="0.35">
      <c r="A169" s="196" t="s">
        <v>755</v>
      </c>
      <c r="B169" s="38" t="s">
        <v>748</v>
      </c>
      <c r="C169" s="38" t="s">
        <v>696</v>
      </c>
      <c r="D169" s="38" t="s">
        <v>697</v>
      </c>
      <c r="E169" s="190">
        <f t="shared" si="5"/>
        <v>3.75</v>
      </c>
      <c r="F169" s="190">
        <f t="shared" si="5"/>
        <v>4.125</v>
      </c>
      <c r="G169" s="190">
        <f t="shared" si="5"/>
        <v>1.5</v>
      </c>
      <c r="H169" s="190">
        <f t="shared" si="5"/>
        <v>2.75</v>
      </c>
      <c r="I169" s="190">
        <f t="shared" si="5"/>
        <v>1.825</v>
      </c>
    </row>
    <row r="170" spans="1:9" hidden="1" x14ac:dyDescent="0.35">
      <c r="A170" s="196" t="s">
        <v>755</v>
      </c>
      <c r="B170" s="38" t="s">
        <v>748</v>
      </c>
      <c r="C170" s="38" t="s">
        <v>698</v>
      </c>
      <c r="D170" s="38" t="s">
        <v>747</v>
      </c>
      <c r="E170" s="190">
        <f t="shared" si="5"/>
        <v>0.57499999999999996</v>
      </c>
      <c r="F170" s="190">
        <f t="shared" si="5"/>
        <v>0.13750000000000001</v>
      </c>
      <c r="G170" s="190">
        <f t="shared" si="5"/>
        <v>1.25</v>
      </c>
      <c r="H170" s="190">
        <f t="shared" si="5"/>
        <v>1.5</v>
      </c>
      <c r="I170" s="190">
        <f t="shared" si="5"/>
        <v>1.7</v>
      </c>
    </row>
    <row r="171" spans="1:9" hidden="1" x14ac:dyDescent="0.35">
      <c r="A171" s="196" t="s">
        <v>755</v>
      </c>
      <c r="B171" s="38" t="s">
        <v>748</v>
      </c>
      <c r="C171" s="38" t="s">
        <v>698</v>
      </c>
      <c r="D171" s="38" t="s">
        <v>700</v>
      </c>
      <c r="E171" s="190">
        <f t="shared" si="5"/>
        <v>2.5</v>
      </c>
      <c r="F171" s="190">
        <f t="shared" si="5"/>
        <v>0.20250000000000001</v>
      </c>
      <c r="G171" s="190">
        <f t="shared" si="5"/>
        <v>1.25</v>
      </c>
      <c r="H171" s="190">
        <f t="shared" si="5"/>
        <v>1.5</v>
      </c>
      <c r="I171" s="190">
        <f t="shared" si="5"/>
        <v>1.7</v>
      </c>
    </row>
    <row r="172" spans="1:9" hidden="1" x14ac:dyDescent="0.35">
      <c r="A172" s="196" t="s">
        <v>755</v>
      </c>
      <c r="B172" s="38" t="s">
        <v>748</v>
      </c>
      <c r="C172" s="38" t="s">
        <v>698</v>
      </c>
      <c r="D172" s="38" t="s">
        <v>521</v>
      </c>
      <c r="E172" s="190">
        <f t="shared" ref="E172:I187" si="6">E18*0.25</f>
        <v>0.625</v>
      </c>
      <c r="F172" s="190">
        <f t="shared" si="6"/>
        <v>4.4999999999999998E-2</v>
      </c>
      <c r="G172" s="190">
        <f t="shared" si="6"/>
        <v>1.25</v>
      </c>
      <c r="H172" s="190">
        <f t="shared" si="6"/>
        <v>1.5</v>
      </c>
      <c r="I172" s="190">
        <f t="shared" si="6"/>
        <v>1.7</v>
      </c>
    </row>
    <row r="173" spans="1:9" hidden="1" x14ac:dyDescent="0.35">
      <c r="A173" s="196" t="s">
        <v>755</v>
      </c>
      <c r="B173" s="38" t="s">
        <v>748</v>
      </c>
      <c r="C173" s="38" t="s">
        <v>698</v>
      </c>
      <c r="D173" s="38" t="s">
        <v>252</v>
      </c>
      <c r="E173" s="190">
        <f t="shared" si="6"/>
        <v>1.75</v>
      </c>
      <c r="F173" s="190">
        <f t="shared" si="6"/>
        <v>0.25750000000000001</v>
      </c>
      <c r="G173" s="190">
        <f t="shared" si="6"/>
        <v>1.25</v>
      </c>
      <c r="H173" s="190">
        <f t="shared" si="6"/>
        <v>1.5</v>
      </c>
      <c r="I173" s="190">
        <f t="shared" si="6"/>
        <v>1.7</v>
      </c>
    </row>
    <row r="174" spans="1:9" hidden="1" x14ac:dyDescent="0.35">
      <c r="A174" s="196" t="s">
        <v>755</v>
      </c>
      <c r="B174" s="38" t="s">
        <v>748</v>
      </c>
      <c r="C174" s="38" t="s">
        <v>701</v>
      </c>
      <c r="D174" s="38" t="s">
        <v>702</v>
      </c>
      <c r="E174" s="190">
        <f t="shared" si="6"/>
        <v>1.5</v>
      </c>
      <c r="F174" s="190">
        <f t="shared" si="6"/>
        <v>0.59499999999999997</v>
      </c>
      <c r="G174" s="190">
        <f t="shared" si="6"/>
        <v>0.125</v>
      </c>
      <c r="H174" s="190">
        <f t="shared" si="6"/>
        <v>1</v>
      </c>
      <c r="I174" s="190">
        <f t="shared" si="6"/>
        <v>0.91249999999999998</v>
      </c>
    </row>
    <row r="175" spans="1:9" hidden="1" x14ac:dyDescent="0.35">
      <c r="A175" s="196" t="s">
        <v>755</v>
      </c>
      <c r="B175" s="38" t="s">
        <v>748</v>
      </c>
      <c r="C175" s="38" t="s">
        <v>701</v>
      </c>
      <c r="D175" s="38" t="s">
        <v>703</v>
      </c>
      <c r="E175" s="190">
        <f t="shared" si="6"/>
        <v>0.875</v>
      </c>
      <c r="F175" s="190">
        <f t="shared" si="6"/>
        <v>0.56000000000000005</v>
      </c>
      <c r="G175" s="190">
        <f t="shared" si="6"/>
        <v>0.3</v>
      </c>
      <c r="H175" s="190">
        <f t="shared" si="6"/>
        <v>0.125</v>
      </c>
      <c r="I175" s="190">
        <f t="shared" si="6"/>
        <v>0.65</v>
      </c>
    </row>
    <row r="176" spans="1:9" hidden="1" x14ac:dyDescent="0.35">
      <c r="A176" s="196" t="s">
        <v>755</v>
      </c>
      <c r="B176" s="38" t="s">
        <v>748</v>
      </c>
      <c r="C176" s="38" t="s">
        <v>704</v>
      </c>
      <c r="D176" s="38" t="s">
        <v>746</v>
      </c>
      <c r="E176" s="190">
        <f t="shared" si="6"/>
        <v>1.5</v>
      </c>
      <c r="F176" s="190">
        <f t="shared" si="6"/>
        <v>0.68</v>
      </c>
      <c r="G176" s="190">
        <f t="shared" si="6"/>
        <v>1.25</v>
      </c>
      <c r="H176" s="190">
        <f t="shared" si="6"/>
        <v>0.25</v>
      </c>
      <c r="I176" s="190">
        <f t="shared" si="6"/>
        <v>4.1375000000000002</v>
      </c>
    </row>
    <row r="177" spans="1:9" hidden="1" x14ac:dyDescent="0.35">
      <c r="A177" s="196" t="s">
        <v>755</v>
      </c>
      <c r="B177" s="38" t="s">
        <v>748</v>
      </c>
      <c r="C177" s="38" t="s">
        <v>707</v>
      </c>
      <c r="D177" s="38" t="s">
        <v>708</v>
      </c>
      <c r="E177" s="190">
        <f t="shared" si="6"/>
        <v>5</v>
      </c>
      <c r="F177" s="190">
        <f t="shared" si="6"/>
        <v>1.2124999999999999</v>
      </c>
      <c r="G177" s="190">
        <f t="shared" si="6"/>
        <v>3.75</v>
      </c>
      <c r="H177" s="190">
        <f t="shared" si="6"/>
        <v>2.25</v>
      </c>
      <c r="I177" s="190">
        <f t="shared" si="6"/>
        <v>1.7875000000000001</v>
      </c>
    </row>
    <row r="178" spans="1:9" hidden="1" x14ac:dyDescent="0.35">
      <c r="A178" s="196" t="s">
        <v>755</v>
      </c>
      <c r="B178" s="38" t="s">
        <v>749</v>
      </c>
      <c r="C178" s="38" t="s">
        <v>686</v>
      </c>
      <c r="D178" s="38" t="s">
        <v>746</v>
      </c>
      <c r="E178" s="190">
        <f t="shared" si="6"/>
        <v>1.7925</v>
      </c>
      <c r="F178" s="190">
        <f t="shared" si="6"/>
        <v>0.8125</v>
      </c>
      <c r="G178" s="190">
        <f t="shared" si="6"/>
        <v>2.625</v>
      </c>
      <c r="H178" s="190">
        <f t="shared" si="6"/>
        <v>2.25</v>
      </c>
      <c r="I178" s="190">
        <f t="shared" si="6"/>
        <v>5.9974999999999996</v>
      </c>
    </row>
    <row r="179" spans="1:9" hidden="1" x14ac:dyDescent="0.35">
      <c r="A179" s="196" t="s">
        <v>755</v>
      </c>
      <c r="B179" s="38" t="s">
        <v>749</v>
      </c>
      <c r="C179" s="38" t="s">
        <v>691</v>
      </c>
      <c r="D179" s="38" t="s">
        <v>746</v>
      </c>
      <c r="E179" s="190">
        <f t="shared" si="6"/>
        <v>5</v>
      </c>
      <c r="F179" s="190">
        <f t="shared" si="6"/>
        <v>3.8250000000000002</v>
      </c>
      <c r="G179" s="190">
        <f t="shared" si="6"/>
        <v>0.5</v>
      </c>
      <c r="H179" s="190">
        <f t="shared" si="6"/>
        <v>2.3374999999999999</v>
      </c>
      <c r="I179" s="190">
        <f t="shared" si="6"/>
        <v>6.3574999999999999</v>
      </c>
    </row>
    <row r="180" spans="1:9" hidden="1" x14ac:dyDescent="0.35">
      <c r="A180" s="196" t="s">
        <v>755</v>
      </c>
      <c r="B180" s="38" t="s">
        <v>749</v>
      </c>
      <c r="C180" s="38" t="s">
        <v>696</v>
      </c>
      <c r="D180" s="38" t="s">
        <v>697</v>
      </c>
      <c r="E180" s="190">
        <f t="shared" si="6"/>
        <v>3</v>
      </c>
      <c r="F180" s="190">
        <f t="shared" si="6"/>
        <v>0.55500000000000005</v>
      </c>
      <c r="G180" s="190">
        <f t="shared" si="6"/>
        <v>1.5</v>
      </c>
      <c r="H180" s="190">
        <f t="shared" si="6"/>
        <v>1.7075</v>
      </c>
      <c r="I180" s="190">
        <f t="shared" si="6"/>
        <v>7.0425000000000004</v>
      </c>
    </row>
    <row r="181" spans="1:9" hidden="1" x14ac:dyDescent="0.35">
      <c r="A181" s="196" t="s">
        <v>755</v>
      </c>
      <c r="B181" s="38" t="s">
        <v>749</v>
      </c>
      <c r="C181" s="38" t="s">
        <v>698</v>
      </c>
      <c r="D181" s="38" t="s">
        <v>747</v>
      </c>
      <c r="E181" s="190">
        <f t="shared" si="6"/>
        <v>0.57499999999999996</v>
      </c>
      <c r="F181" s="190">
        <f t="shared" si="6"/>
        <v>7.7499999999999999E-2</v>
      </c>
      <c r="G181" s="190">
        <f t="shared" si="6"/>
        <v>1.25</v>
      </c>
      <c r="H181" s="190">
        <f t="shared" si="6"/>
        <v>0.97499999999999998</v>
      </c>
      <c r="I181" s="190">
        <f t="shared" si="6"/>
        <v>5.2975000000000003</v>
      </c>
    </row>
    <row r="182" spans="1:9" hidden="1" x14ac:dyDescent="0.35">
      <c r="A182" s="196" t="s">
        <v>755</v>
      </c>
      <c r="B182" s="38" t="s">
        <v>749</v>
      </c>
      <c r="C182" s="38" t="s">
        <v>698</v>
      </c>
      <c r="D182" s="38" t="s">
        <v>700</v>
      </c>
      <c r="E182" s="190">
        <f t="shared" si="6"/>
        <v>2.5</v>
      </c>
      <c r="F182" s="190">
        <f t="shared" si="6"/>
        <v>0.2</v>
      </c>
      <c r="G182" s="190">
        <f t="shared" si="6"/>
        <v>1.25</v>
      </c>
      <c r="H182" s="190">
        <f t="shared" si="6"/>
        <v>0.97499999999999998</v>
      </c>
      <c r="I182" s="190">
        <f t="shared" si="6"/>
        <v>5.2975000000000003</v>
      </c>
    </row>
    <row r="183" spans="1:9" hidden="1" x14ac:dyDescent="0.35">
      <c r="A183" s="196" t="s">
        <v>755</v>
      </c>
      <c r="B183" s="38" t="s">
        <v>749</v>
      </c>
      <c r="C183" s="38" t="s">
        <v>698</v>
      </c>
      <c r="D183" s="38" t="s">
        <v>521</v>
      </c>
      <c r="E183" s="190">
        <f t="shared" si="6"/>
        <v>0.625</v>
      </c>
      <c r="F183" s="190">
        <f t="shared" si="6"/>
        <v>0.16500000000000001</v>
      </c>
      <c r="G183" s="190">
        <f t="shared" si="6"/>
        <v>1.25</v>
      </c>
      <c r="H183" s="190">
        <f t="shared" si="6"/>
        <v>0.97499999999999998</v>
      </c>
      <c r="I183" s="190">
        <f t="shared" si="6"/>
        <v>5.2975000000000003</v>
      </c>
    </row>
    <row r="184" spans="1:9" hidden="1" x14ac:dyDescent="0.35">
      <c r="A184" s="196" t="s">
        <v>755</v>
      </c>
      <c r="B184" s="38" t="s">
        <v>749</v>
      </c>
      <c r="C184" s="38" t="s">
        <v>698</v>
      </c>
      <c r="D184" s="38" t="s">
        <v>252</v>
      </c>
      <c r="E184" s="190">
        <f t="shared" si="6"/>
        <v>1.75</v>
      </c>
      <c r="F184" s="190">
        <f t="shared" si="6"/>
        <v>0.22</v>
      </c>
      <c r="G184" s="190">
        <f t="shared" si="6"/>
        <v>1.25</v>
      </c>
      <c r="H184" s="190">
        <f t="shared" si="6"/>
        <v>0.97499999999999998</v>
      </c>
      <c r="I184" s="190">
        <f t="shared" si="6"/>
        <v>5.2975000000000003</v>
      </c>
    </row>
    <row r="185" spans="1:9" hidden="1" x14ac:dyDescent="0.35">
      <c r="A185" s="196" t="s">
        <v>755</v>
      </c>
      <c r="B185" s="38" t="s">
        <v>749</v>
      </c>
      <c r="C185" s="38" t="s">
        <v>701</v>
      </c>
      <c r="D185" s="38" t="s">
        <v>702</v>
      </c>
      <c r="E185" s="190">
        <f t="shared" si="6"/>
        <v>1</v>
      </c>
      <c r="F185" s="190">
        <f t="shared" si="6"/>
        <v>0.5675</v>
      </c>
      <c r="G185" s="190">
        <f t="shared" si="6"/>
        <v>0.125</v>
      </c>
      <c r="H185" s="190">
        <f t="shared" si="6"/>
        <v>1.75</v>
      </c>
      <c r="I185" s="190">
        <f t="shared" si="6"/>
        <v>5.0999999999999996</v>
      </c>
    </row>
    <row r="186" spans="1:9" hidden="1" x14ac:dyDescent="0.35">
      <c r="A186" s="196" t="s">
        <v>755</v>
      </c>
      <c r="B186" s="38" t="s">
        <v>749</v>
      </c>
      <c r="C186" s="38" t="s">
        <v>701</v>
      </c>
      <c r="D186" s="38" t="s">
        <v>703</v>
      </c>
      <c r="E186" s="190">
        <f t="shared" si="6"/>
        <v>0.875</v>
      </c>
      <c r="F186" s="190">
        <f t="shared" si="6"/>
        <v>0.1</v>
      </c>
      <c r="G186" s="190">
        <f t="shared" si="6"/>
        <v>0.3</v>
      </c>
      <c r="H186" s="190">
        <f t="shared" si="6"/>
        <v>1.9375</v>
      </c>
      <c r="I186" s="190">
        <f t="shared" si="6"/>
        <v>5.25</v>
      </c>
    </row>
    <row r="187" spans="1:9" hidden="1" x14ac:dyDescent="0.35">
      <c r="A187" s="196" t="s">
        <v>755</v>
      </c>
      <c r="B187" s="38" t="s">
        <v>749</v>
      </c>
      <c r="C187" s="38" t="s">
        <v>704</v>
      </c>
      <c r="D187" s="38" t="s">
        <v>746</v>
      </c>
      <c r="E187" s="190">
        <f t="shared" si="6"/>
        <v>3</v>
      </c>
      <c r="F187" s="190">
        <f t="shared" si="6"/>
        <v>0.97750000000000004</v>
      </c>
      <c r="G187" s="190">
        <f t="shared" si="6"/>
        <v>1.25</v>
      </c>
      <c r="H187" s="190">
        <f t="shared" si="6"/>
        <v>0.25</v>
      </c>
      <c r="I187" s="190">
        <f t="shared" si="6"/>
        <v>1</v>
      </c>
    </row>
    <row r="188" spans="1:9" hidden="1" x14ac:dyDescent="0.35">
      <c r="A188" s="196" t="s">
        <v>755</v>
      </c>
      <c r="B188" s="38" t="s">
        <v>749</v>
      </c>
      <c r="C188" s="38" t="s">
        <v>707</v>
      </c>
      <c r="D188" s="38" t="s">
        <v>708</v>
      </c>
      <c r="E188" s="190">
        <f t="shared" ref="E188:I203" si="7">E34*0.25</f>
        <v>5</v>
      </c>
      <c r="F188" s="190">
        <f t="shared" si="7"/>
        <v>1.4575</v>
      </c>
      <c r="G188" s="190">
        <f t="shared" si="7"/>
        <v>3.75</v>
      </c>
      <c r="H188" s="190">
        <f t="shared" si="7"/>
        <v>2</v>
      </c>
      <c r="I188" s="190">
        <f t="shared" si="7"/>
        <v>3.75</v>
      </c>
    </row>
    <row r="189" spans="1:9" hidden="1" x14ac:dyDescent="0.35">
      <c r="A189" s="196" t="s">
        <v>755</v>
      </c>
      <c r="B189" s="38" t="s">
        <v>750</v>
      </c>
      <c r="C189" s="38" t="s">
        <v>686</v>
      </c>
      <c r="D189" s="38" t="s">
        <v>746</v>
      </c>
      <c r="E189" s="190">
        <f t="shared" si="7"/>
        <v>1.5</v>
      </c>
      <c r="F189" s="190">
        <f t="shared" si="7"/>
        <v>1.865</v>
      </c>
      <c r="G189" s="190">
        <f t="shared" si="7"/>
        <v>2.25</v>
      </c>
      <c r="H189" s="190">
        <f t="shared" si="7"/>
        <v>1</v>
      </c>
      <c r="I189" s="190">
        <f t="shared" si="7"/>
        <v>2.5</v>
      </c>
    </row>
    <row r="190" spans="1:9" hidden="1" x14ac:dyDescent="0.35">
      <c r="A190" s="196" t="s">
        <v>755</v>
      </c>
      <c r="B190" s="38" t="s">
        <v>750</v>
      </c>
      <c r="C190" s="38" t="s">
        <v>691</v>
      </c>
      <c r="D190" s="38" t="s">
        <v>746</v>
      </c>
      <c r="E190" s="190">
        <f t="shared" si="7"/>
        <v>5</v>
      </c>
      <c r="F190" s="190">
        <f t="shared" si="7"/>
        <v>3.58</v>
      </c>
      <c r="G190" s="190">
        <f t="shared" si="7"/>
        <v>5</v>
      </c>
      <c r="H190" s="190">
        <f t="shared" si="7"/>
        <v>3</v>
      </c>
      <c r="I190" s="190">
        <f t="shared" si="7"/>
        <v>2.5</v>
      </c>
    </row>
    <row r="191" spans="1:9" hidden="1" x14ac:dyDescent="0.35">
      <c r="A191" s="196" t="s">
        <v>755</v>
      </c>
      <c r="B191" s="38" t="s">
        <v>750</v>
      </c>
      <c r="C191" s="38" t="s">
        <v>696</v>
      </c>
      <c r="D191" s="38" t="s">
        <v>697</v>
      </c>
      <c r="E191" s="190">
        <f t="shared" si="7"/>
        <v>1.425</v>
      </c>
      <c r="F191" s="190">
        <f t="shared" si="7"/>
        <v>4.9024999999999999</v>
      </c>
      <c r="G191" s="190">
        <f t="shared" si="7"/>
        <v>2.25</v>
      </c>
      <c r="H191" s="190">
        <f t="shared" si="7"/>
        <v>2.5</v>
      </c>
      <c r="I191" s="190">
        <f t="shared" si="7"/>
        <v>1</v>
      </c>
    </row>
    <row r="192" spans="1:9" hidden="1" x14ac:dyDescent="0.35">
      <c r="A192" s="196" t="s">
        <v>755</v>
      </c>
      <c r="B192" s="38" t="s">
        <v>750</v>
      </c>
      <c r="C192" s="38" t="s">
        <v>698</v>
      </c>
      <c r="D192" s="38" t="s">
        <v>747</v>
      </c>
      <c r="E192" s="190">
        <f t="shared" si="7"/>
        <v>1.25</v>
      </c>
      <c r="F192" s="190">
        <f t="shared" si="7"/>
        <v>0.33</v>
      </c>
      <c r="G192" s="190">
        <f t="shared" si="7"/>
        <v>1.25</v>
      </c>
      <c r="H192" s="190">
        <f t="shared" si="7"/>
        <v>1.25</v>
      </c>
      <c r="I192" s="190">
        <f t="shared" si="7"/>
        <v>1.5</v>
      </c>
    </row>
    <row r="193" spans="1:9" hidden="1" x14ac:dyDescent="0.35">
      <c r="A193" s="196" t="s">
        <v>755</v>
      </c>
      <c r="B193" s="38" t="s">
        <v>750</v>
      </c>
      <c r="C193" s="38" t="s">
        <v>698</v>
      </c>
      <c r="D193" s="38" t="s">
        <v>700</v>
      </c>
      <c r="E193" s="190">
        <f t="shared" si="7"/>
        <v>2.5</v>
      </c>
      <c r="F193" s="190">
        <f t="shared" si="7"/>
        <v>0.26</v>
      </c>
      <c r="G193" s="190">
        <f t="shared" si="7"/>
        <v>1.25</v>
      </c>
      <c r="H193" s="190">
        <f t="shared" si="7"/>
        <v>1.25</v>
      </c>
      <c r="I193" s="190">
        <f t="shared" si="7"/>
        <v>1.5</v>
      </c>
    </row>
    <row r="194" spans="1:9" hidden="1" x14ac:dyDescent="0.35">
      <c r="A194" s="196" t="s">
        <v>755</v>
      </c>
      <c r="B194" s="38" t="s">
        <v>750</v>
      </c>
      <c r="C194" s="38" t="s">
        <v>698</v>
      </c>
      <c r="D194" s="38" t="s">
        <v>521</v>
      </c>
      <c r="E194" s="190">
        <f t="shared" si="7"/>
        <v>1.5</v>
      </c>
      <c r="F194" s="190">
        <f t="shared" si="7"/>
        <v>0.10249999999999999</v>
      </c>
      <c r="G194" s="190">
        <f t="shared" si="7"/>
        <v>1.25</v>
      </c>
      <c r="H194" s="190">
        <f t="shared" si="7"/>
        <v>1.25</v>
      </c>
      <c r="I194" s="190">
        <f t="shared" si="7"/>
        <v>1.5</v>
      </c>
    </row>
    <row r="195" spans="1:9" hidden="1" x14ac:dyDescent="0.35">
      <c r="A195" s="196" t="s">
        <v>755</v>
      </c>
      <c r="B195" s="38" t="s">
        <v>750</v>
      </c>
      <c r="C195" s="38" t="s">
        <v>698</v>
      </c>
      <c r="D195" s="38" t="s">
        <v>252</v>
      </c>
      <c r="E195" s="190">
        <f t="shared" si="7"/>
        <v>1.5</v>
      </c>
      <c r="F195" s="190">
        <f t="shared" si="7"/>
        <v>0.375</v>
      </c>
      <c r="G195" s="190">
        <f t="shared" si="7"/>
        <v>1.25</v>
      </c>
      <c r="H195" s="190">
        <f t="shared" si="7"/>
        <v>1.25</v>
      </c>
      <c r="I195" s="190">
        <f t="shared" si="7"/>
        <v>1.5</v>
      </c>
    </row>
    <row r="196" spans="1:9" hidden="1" x14ac:dyDescent="0.35">
      <c r="A196" s="196" t="s">
        <v>755</v>
      </c>
      <c r="B196" s="38" t="s">
        <v>750</v>
      </c>
      <c r="C196" s="38" t="s">
        <v>701</v>
      </c>
      <c r="D196" s="38" t="s">
        <v>702</v>
      </c>
      <c r="E196" s="190">
        <f t="shared" si="7"/>
        <v>1.5</v>
      </c>
      <c r="F196" s="190">
        <f t="shared" si="7"/>
        <v>1.5525</v>
      </c>
      <c r="G196" s="190">
        <f t="shared" si="7"/>
        <v>0.125</v>
      </c>
      <c r="H196" s="190">
        <f t="shared" si="7"/>
        <v>1</v>
      </c>
      <c r="I196" s="190">
        <f t="shared" si="7"/>
        <v>1</v>
      </c>
    </row>
    <row r="197" spans="1:9" hidden="1" x14ac:dyDescent="0.35">
      <c r="A197" s="196" t="s">
        <v>755</v>
      </c>
      <c r="B197" s="38" t="s">
        <v>750</v>
      </c>
      <c r="C197" s="38" t="s">
        <v>701</v>
      </c>
      <c r="D197" s="38" t="s">
        <v>703</v>
      </c>
      <c r="E197" s="190">
        <f t="shared" si="7"/>
        <v>0.875</v>
      </c>
      <c r="F197" s="190">
        <f t="shared" si="7"/>
        <v>0.93500000000000005</v>
      </c>
      <c r="G197" s="190">
        <f t="shared" si="7"/>
        <v>0.5</v>
      </c>
      <c r="H197" s="190">
        <f t="shared" si="7"/>
        <v>2</v>
      </c>
      <c r="I197" s="190">
        <f t="shared" si="7"/>
        <v>1</v>
      </c>
    </row>
    <row r="198" spans="1:9" hidden="1" x14ac:dyDescent="0.35">
      <c r="A198" s="196" t="s">
        <v>755</v>
      </c>
      <c r="B198" s="38" t="s">
        <v>750</v>
      </c>
      <c r="C198" s="38" t="s">
        <v>704</v>
      </c>
      <c r="D198" s="38" t="s">
        <v>746</v>
      </c>
      <c r="E198" s="190">
        <f t="shared" si="7"/>
        <v>1.5</v>
      </c>
      <c r="F198" s="190">
        <f t="shared" si="7"/>
        <v>0.3725</v>
      </c>
      <c r="G198" s="190">
        <f t="shared" si="7"/>
        <v>2</v>
      </c>
      <c r="H198" s="190">
        <f t="shared" si="7"/>
        <v>0.5</v>
      </c>
      <c r="I198" s="190">
        <f t="shared" si="7"/>
        <v>0.5</v>
      </c>
    </row>
    <row r="199" spans="1:9" hidden="1" x14ac:dyDescent="0.35">
      <c r="A199" s="196" t="s">
        <v>755</v>
      </c>
      <c r="B199" s="38" t="s">
        <v>750</v>
      </c>
      <c r="C199" s="38" t="s">
        <v>707</v>
      </c>
      <c r="D199" s="38" t="s">
        <v>708</v>
      </c>
      <c r="E199" s="190">
        <f t="shared" si="7"/>
        <v>3.5</v>
      </c>
      <c r="F199" s="190">
        <f t="shared" si="7"/>
        <v>2.5975000000000001</v>
      </c>
      <c r="G199" s="190">
        <f t="shared" si="7"/>
        <v>3</v>
      </c>
      <c r="H199" s="190">
        <f t="shared" si="7"/>
        <v>0.75</v>
      </c>
      <c r="I199" s="190">
        <f t="shared" si="7"/>
        <v>1</v>
      </c>
    </row>
    <row r="200" spans="1:9" hidden="1" x14ac:dyDescent="0.35">
      <c r="A200" s="196" t="s">
        <v>755</v>
      </c>
      <c r="B200" s="38" t="s">
        <v>751</v>
      </c>
      <c r="C200" s="38" t="s">
        <v>686</v>
      </c>
      <c r="D200" s="38" t="s">
        <v>746</v>
      </c>
      <c r="E200" s="190">
        <f t="shared" si="7"/>
        <v>1.5</v>
      </c>
      <c r="F200" s="190">
        <f t="shared" si="7"/>
        <v>1.8075000000000001</v>
      </c>
      <c r="G200" s="190">
        <f t="shared" si="7"/>
        <v>2.25</v>
      </c>
      <c r="H200" s="190">
        <f t="shared" si="7"/>
        <v>1</v>
      </c>
      <c r="I200" s="190">
        <f t="shared" si="7"/>
        <v>3</v>
      </c>
    </row>
    <row r="201" spans="1:9" hidden="1" x14ac:dyDescent="0.35">
      <c r="A201" s="196" t="s">
        <v>755</v>
      </c>
      <c r="B201" s="38" t="s">
        <v>751</v>
      </c>
      <c r="C201" s="38" t="s">
        <v>691</v>
      </c>
      <c r="D201" s="38" t="s">
        <v>746</v>
      </c>
      <c r="E201" s="190">
        <f t="shared" si="7"/>
        <v>2.8325</v>
      </c>
      <c r="F201" s="190">
        <f t="shared" si="7"/>
        <v>2.8250000000000002</v>
      </c>
      <c r="G201" s="190">
        <f t="shared" si="7"/>
        <v>5</v>
      </c>
      <c r="H201" s="190">
        <f t="shared" si="7"/>
        <v>3.7875000000000001</v>
      </c>
      <c r="I201" s="190">
        <f t="shared" si="7"/>
        <v>3.25</v>
      </c>
    </row>
    <row r="202" spans="1:9" hidden="1" x14ac:dyDescent="0.35">
      <c r="A202" s="196" t="s">
        <v>755</v>
      </c>
      <c r="B202" s="38" t="s">
        <v>751</v>
      </c>
      <c r="C202" s="38" t="s">
        <v>696</v>
      </c>
      <c r="D202" s="38" t="s">
        <v>697</v>
      </c>
      <c r="E202" s="190">
        <f t="shared" si="7"/>
        <v>1.65</v>
      </c>
      <c r="F202" s="190">
        <f t="shared" si="7"/>
        <v>5.6150000000000002</v>
      </c>
      <c r="G202" s="190">
        <f t="shared" si="7"/>
        <v>2.25</v>
      </c>
      <c r="H202" s="190">
        <f t="shared" si="7"/>
        <v>2.5</v>
      </c>
      <c r="I202" s="190">
        <f t="shared" si="7"/>
        <v>1</v>
      </c>
    </row>
    <row r="203" spans="1:9" hidden="1" x14ac:dyDescent="0.35">
      <c r="A203" s="196" t="s">
        <v>755</v>
      </c>
      <c r="B203" s="38" t="s">
        <v>751</v>
      </c>
      <c r="C203" s="38" t="s">
        <v>698</v>
      </c>
      <c r="D203" s="38" t="s">
        <v>747</v>
      </c>
      <c r="E203" s="190">
        <f t="shared" si="7"/>
        <v>2.5</v>
      </c>
      <c r="F203" s="190">
        <f t="shared" si="7"/>
        <v>0.05</v>
      </c>
      <c r="G203" s="190">
        <f t="shared" si="7"/>
        <v>1.25</v>
      </c>
      <c r="H203" s="190">
        <f t="shared" si="7"/>
        <v>1.25</v>
      </c>
      <c r="I203" s="190">
        <f t="shared" si="7"/>
        <v>2</v>
      </c>
    </row>
    <row r="204" spans="1:9" hidden="1" x14ac:dyDescent="0.35">
      <c r="A204" s="196" t="s">
        <v>755</v>
      </c>
      <c r="B204" s="38" t="s">
        <v>751</v>
      </c>
      <c r="C204" s="38" t="s">
        <v>698</v>
      </c>
      <c r="D204" s="38" t="s">
        <v>700</v>
      </c>
      <c r="E204" s="190">
        <f t="shared" ref="E204:I219" si="8">E50*0.25</f>
        <v>3.75</v>
      </c>
      <c r="F204" s="190">
        <f t="shared" si="8"/>
        <v>0.05</v>
      </c>
      <c r="G204" s="190">
        <f t="shared" si="8"/>
        <v>1.25</v>
      </c>
      <c r="H204" s="190">
        <f t="shared" si="8"/>
        <v>1.25</v>
      </c>
      <c r="I204" s="190">
        <f t="shared" si="8"/>
        <v>2</v>
      </c>
    </row>
    <row r="205" spans="1:9" hidden="1" x14ac:dyDescent="0.35">
      <c r="A205" s="196" t="s">
        <v>755</v>
      </c>
      <c r="B205" s="38" t="s">
        <v>751</v>
      </c>
      <c r="C205" s="38" t="s">
        <v>698</v>
      </c>
      <c r="D205" s="38" t="s">
        <v>521</v>
      </c>
      <c r="E205" s="190">
        <f t="shared" si="8"/>
        <v>2</v>
      </c>
      <c r="F205" s="190">
        <f t="shared" si="8"/>
        <v>5.7500000000000002E-2</v>
      </c>
      <c r="G205" s="190">
        <f t="shared" si="8"/>
        <v>1.25</v>
      </c>
      <c r="H205" s="190">
        <f t="shared" si="8"/>
        <v>1.25</v>
      </c>
      <c r="I205" s="190">
        <f t="shared" si="8"/>
        <v>2</v>
      </c>
    </row>
    <row r="206" spans="1:9" hidden="1" x14ac:dyDescent="0.35">
      <c r="A206" s="196" t="s">
        <v>755</v>
      </c>
      <c r="B206" s="38" t="s">
        <v>751</v>
      </c>
      <c r="C206" s="38" t="s">
        <v>698</v>
      </c>
      <c r="D206" s="38" t="s">
        <v>252</v>
      </c>
      <c r="E206" s="190">
        <f t="shared" si="8"/>
        <v>2</v>
      </c>
      <c r="F206" s="190">
        <f t="shared" si="8"/>
        <v>0.22500000000000001</v>
      </c>
      <c r="G206" s="190">
        <f t="shared" si="8"/>
        <v>1.25</v>
      </c>
      <c r="H206" s="190">
        <f t="shared" si="8"/>
        <v>1.25</v>
      </c>
      <c r="I206" s="190">
        <f t="shared" si="8"/>
        <v>2</v>
      </c>
    </row>
    <row r="207" spans="1:9" hidden="1" x14ac:dyDescent="0.35">
      <c r="A207" s="196" t="s">
        <v>755</v>
      </c>
      <c r="B207" s="38" t="s">
        <v>751</v>
      </c>
      <c r="C207" s="38" t="s">
        <v>701</v>
      </c>
      <c r="D207" s="38" t="s">
        <v>702</v>
      </c>
      <c r="E207" s="190">
        <f t="shared" si="8"/>
        <v>1.5</v>
      </c>
      <c r="F207" s="190">
        <f t="shared" si="8"/>
        <v>1.2224999999999999</v>
      </c>
      <c r="G207" s="190">
        <f t="shared" si="8"/>
        <v>1.125</v>
      </c>
      <c r="H207" s="190">
        <f t="shared" si="8"/>
        <v>1</v>
      </c>
      <c r="I207" s="190">
        <f t="shared" si="8"/>
        <v>3</v>
      </c>
    </row>
    <row r="208" spans="1:9" hidden="1" x14ac:dyDescent="0.35">
      <c r="A208" s="196" t="s">
        <v>755</v>
      </c>
      <c r="B208" s="38" t="s">
        <v>751</v>
      </c>
      <c r="C208" s="38" t="s">
        <v>701</v>
      </c>
      <c r="D208" s="38" t="s">
        <v>703</v>
      </c>
      <c r="E208" s="190">
        <f t="shared" si="8"/>
        <v>0.875</v>
      </c>
      <c r="F208" s="190">
        <f t="shared" si="8"/>
        <v>0.83</v>
      </c>
      <c r="G208" s="190">
        <f t="shared" si="8"/>
        <v>0.5</v>
      </c>
      <c r="H208" s="190">
        <f t="shared" si="8"/>
        <v>2</v>
      </c>
      <c r="I208" s="190">
        <f t="shared" si="8"/>
        <v>0.5</v>
      </c>
    </row>
    <row r="209" spans="1:9" hidden="1" x14ac:dyDescent="0.35">
      <c r="A209" s="196" t="s">
        <v>755</v>
      </c>
      <c r="B209" s="38" t="s">
        <v>751</v>
      </c>
      <c r="C209" s="38" t="s">
        <v>704</v>
      </c>
      <c r="D209" s="38" t="s">
        <v>746</v>
      </c>
      <c r="E209" s="190">
        <f t="shared" si="8"/>
        <v>3.75</v>
      </c>
      <c r="F209" s="190">
        <f t="shared" si="8"/>
        <v>0.7</v>
      </c>
      <c r="G209" s="190">
        <f t="shared" si="8"/>
        <v>2</v>
      </c>
      <c r="H209" s="190">
        <f t="shared" si="8"/>
        <v>0.5</v>
      </c>
      <c r="I209" s="190">
        <f t="shared" si="8"/>
        <v>0.5</v>
      </c>
    </row>
    <row r="210" spans="1:9" hidden="1" x14ac:dyDescent="0.35">
      <c r="A210" s="196" t="s">
        <v>755</v>
      </c>
      <c r="B210" s="38" t="s">
        <v>751</v>
      </c>
      <c r="C210" s="38" t="s">
        <v>707</v>
      </c>
      <c r="D210" s="38" t="s">
        <v>708</v>
      </c>
      <c r="E210" s="190">
        <f t="shared" si="8"/>
        <v>2.9750000000000001</v>
      </c>
      <c r="F210" s="190">
        <f t="shared" si="8"/>
        <v>2.3149999999999999</v>
      </c>
      <c r="G210" s="190">
        <f t="shared" si="8"/>
        <v>3</v>
      </c>
      <c r="H210" s="190">
        <f t="shared" si="8"/>
        <v>1.425</v>
      </c>
      <c r="I210" s="190">
        <f t="shared" si="8"/>
        <v>1.5</v>
      </c>
    </row>
    <row r="211" spans="1:9" hidden="1" x14ac:dyDescent="0.35">
      <c r="A211" s="196" t="s">
        <v>755</v>
      </c>
      <c r="B211" s="38" t="s">
        <v>752</v>
      </c>
      <c r="C211" s="38" t="s">
        <v>686</v>
      </c>
      <c r="D211" s="38" t="s">
        <v>746</v>
      </c>
      <c r="E211" s="190">
        <f t="shared" si="8"/>
        <v>1.8025</v>
      </c>
      <c r="F211" s="190">
        <f t="shared" si="8"/>
        <v>2.1875</v>
      </c>
      <c r="G211" s="190">
        <f t="shared" si="8"/>
        <v>3.8125</v>
      </c>
      <c r="H211" s="190">
        <f t="shared" si="8"/>
        <v>0.5</v>
      </c>
      <c r="I211" s="190">
        <f t="shared" si="8"/>
        <v>0.25</v>
      </c>
    </row>
    <row r="212" spans="1:9" hidden="1" x14ac:dyDescent="0.35">
      <c r="A212" s="196" t="s">
        <v>755</v>
      </c>
      <c r="B212" s="38" t="s">
        <v>752</v>
      </c>
      <c r="C212" s="38" t="s">
        <v>691</v>
      </c>
      <c r="D212" s="38" t="s">
        <v>746</v>
      </c>
      <c r="E212" s="190">
        <f t="shared" si="8"/>
        <v>3.3675000000000002</v>
      </c>
      <c r="F212" s="190">
        <f t="shared" si="8"/>
        <v>4.4275000000000002</v>
      </c>
      <c r="G212" s="190">
        <f t="shared" si="8"/>
        <v>6.25</v>
      </c>
      <c r="H212" s="190">
        <f t="shared" si="8"/>
        <v>8.5325000000000006</v>
      </c>
      <c r="I212" s="190">
        <f t="shared" si="8"/>
        <v>1.25</v>
      </c>
    </row>
    <row r="213" spans="1:9" hidden="1" x14ac:dyDescent="0.35">
      <c r="A213" s="196" t="s">
        <v>755</v>
      </c>
      <c r="B213" s="38" t="s">
        <v>752</v>
      </c>
      <c r="C213" s="38" t="s">
        <v>696</v>
      </c>
      <c r="D213" s="38" t="s">
        <v>697</v>
      </c>
      <c r="E213" s="190">
        <f t="shared" si="8"/>
        <v>1.425</v>
      </c>
      <c r="F213" s="190">
        <f t="shared" si="8"/>
        <v>5.4850000000000003</v>
      </c>
      <c r="G213" s="190">
        <f t="shared" si="8"/>
        <v>2.25</v>
      </c>
      <c r="H213" s="190">
        <f t="shared" si="8"/>
        <v>3.75</v>
      </c>
      <c r="I213" s="190">
        <f t="shared" si="8"/>
        <v>0.5</v>
      </c>
    </row>
    <row r="214" spans="1:9" hidden="1" x14ac:dyDescent="0.35">
      <c r="A214" s="196" t="s">
        <v>755</v>
      </c>
      <c r="B214" s="38" t="s">
        <v>752</v>
      </c>
      <c r="C214" s="38" t="s">
        <v>698</v>
      </c>
      <c r="D214" s="38" t="s">
        <v>747</v>
      </c>
      <c r="E214" s="190">
        <f t="shared" si="8"/>
        <v>2.5</v>
      </c>
      <c r="F214" s="190">
        <f t="shared" si="8"/>
        <v>0.23250000000000001</v>
      </c>
      <c r="G214" s="190">
        <f t="shared" si="8"/>
        <v>1.25</v>
      </c>
      <c r="H214" s="190">
        <f t="shared" si="8"/>
        <v>1.75</v>
      </c>
      <c r="I214" s="190">
        <f t="shared" si="8"/>
        <v>0.5</v>
      </c>
    </row>
    <row r="215" spans="1:9" hidden="1" x14ac:dyDescent="0.35">
      <c r="A215" s="196" t="s">
        <v>755</v>
      </c>
      <c r="B215" s="38" t="s">
        <v>752</v>
      </c>
      <c r="C215" s="38" t="s">
        <v>698</v>
      </c>
      <c r="D215" s="38" t="s">
        <v>700</v>
      </c>
      <c r="E215" s="190">
        <f t="shared" si="8"/>
        <v>8.25</v>
      </c>
      <c r="F215" s="190">
        <f t="shared" si="8"/>
        <v>0.05</v>
      </c>
      <c r="G215" s="190">
        <f t="shared" si="8"/>
        <v>1.25</v>
      </c>
      <c r="H215" s="190">
        <f t="shared" si="8"/>
        <v>1.75</v>
      </c>
      <c r="I215" s="190">
        <f t="shared" si="8"/>
        <v>0.5</v>
      </c>
    </row>
    <row r="216" spans="1:9" hidden="1" x14ac:dyDescent="0.35">
      <c r="A216" s="196" t="s">
        <v>755</v>
      </c>
      <c r="B216" s="38" t="s">
        <v>752</v>
      </c>
      <c r="C216" s="38" t="s">
        <v>698</v>
      </c>
      <c r="D216" s="38" t="s">
        <v>521</v>
      </c>
      <c r="E216" s="190">
        <f t="shared" si="8"/>
        <v>2.5</v>
      </c>
      <c r="F216" s="190">
        <f t="shared" si="8"/>
        <v>5.7500000000000002E-2</v>
      </c>
      <c r="G216" s="190">
        <f t="shared" si="8"/>
        <v>1.25</v>
      </c>
      <c r="H216" s="190">
        <f t="shared" si="8"/>
        <v>1.75</v>
      </c>
      <c r="I216" s="190">
        <f t="shared" si="8"/>
        <v>0.5</v>
      </c>
    </row>
    <row r="217" spans="1:9" hidden="1" x14ac:dyDescent="0.35">
      <c r="A217" s="196" t="s">
        <v>755</v>
      </c>
      <c r="B217" s="38" t="s">
        <v>752</v>
      </c>
      <c r="C217" s="38" t="s">
        <v>698</v>
      </c>
      <c r="D217" s="38" t="s">
        <v>252</v>
      </c>
      <c r="E217" s="190">
        <f t="shared" si="8"/>
        <v>6.25</v>
      </c>
      <c r="F217" s="190">
        <f t="shared" si="8"/>
        <v>0.22500000000000001</v>
      </c>
      <c r="G217" s="190">
        <f t="shared" si="8"/>
        <v>1.25</v>
      </c>
      <c r="H217" s="190">
        <f t="shared" si="8"/>
        <v>1.75</v>
      </c>
      <c r="I217" s="190">
        <f t="shared" si="8"/>
        <v>0.5</v>
      </c>
    </row>
    <row r="218" spans="1:9" hidden="1" x14ac:dyDescent="0.35">
      <c r="A218" s="196" t="s">
        <v>755</v>
      </c>
      <c r="B218" s="38" t="s">
        <v>752</v>
      </c>
      <c r="C218" s="38" t="s">
        <v>701</v>
      </c>
      <c r="D218" s="38" t="s">
        <v>702</v>
      </c>
      <c r="E218" s="190">
        <f t="shared" si="8"/>
        <v>2</v>
      </c>
      <c r="F218" s="190">
        <f t="shared" si="8"/>
        <v>2.0024999999999999</v>
      </c>
      <c r="G218" s="190">
        <f t="shared" si="8"/>
        <v>2.5000000000000001E-2</v>
      </c>
      <c r="H218" s="190">
        <f t="shared" si="8"/>
        <v>0.75</v>
      </c>
      <c r="I218" s="190">
        <f t="shared" si="8"/>
        <v>0.25</v>
      </c>
    </row>
    <row r="219" spans="1:9" hidden="1" x14ac:dyDescent="0.35">
      <c r="A219" s="196" t="s">
        <v>755</v>
      </c>
      <c r="B219" s="38" t="s">
        <v>752</v>
      </c>
      <c r="C219" s="38" t="s">
        <v>701</v>
      </c>
      <c r="D219" s="38" t="s">
        <v>703</v>
      </c>
      <c r="E219" s="190">
        <f t="shared" si="8"/>
        <v>1.5</v>
      </c>
      <c r="F219" s="190">
        <f t="shared" si="8"/>
        <v>2.0499999999999998</v>
      </c>
      <c r="G219" s="190">
        <f t="shared" si="8"/>
        <v>0.5</v>
      </c>
      <c r="H219" s="190">
        <f t="shared" si="8"/>
        <v>2.5</v>
      </c>
      <c r="I219" s="190">
        <f t="shared" si="8"/>
        <v>2.5000000000000001E-2</v>
      </c>
    </row>
    <row r="220" spans="1:9" hidden="1" x14ac:dyDescent="0.35">
      <c r="A220" s="196" t="s">
        <v>755</v>
      </c>
      <c r="B220" s="38" t="s">
        <v>752</v>
      </c>
      <c r="C220" s="38" t="s">
        <v>704</v>
      </c>
      <c r="D220" s="38" t="s">
        <v>746</v>
      </c>
      <c r="E220" s="190">
        <f t="shared" ref="E220:I232" si="9">E66*0.25</f>
        <v>3</v>
      </c>
      <c r="F220" s="190">
        <f t="shared" si="9"/>
        <v>2.0449999999999999</v>
      </c>
      <c r="G220" s="190">
        <f t="shared" si="9"/>
        <v>2</v>
      </c>
      <c r="H220" s="190">
        <f t="shared" si="9"/>
        <v>0.5</v>
      </c>
      <c r="I220" s="190">
        <f t="shared" si="9"/>
        <v>0.25</v>
      </c>
    </row>
    <row r="221" spans="1:9" hidden="1" x14ac:dyDescent="0.35">
      <c r="A221" s="196" t="s">
        <v>755</v>
      </c>
      <c r="B221" s="38" t="s">
        <v>752</v>
      </c>
      <c r="C221" s="38" t="s">
        <v>707</v>
      </c>
      <c r="D221" s="38" t="s">
        <v>708</v>
      </c>
      <c r="E221" s="190">
        <f t="shared" si="9"/>
        <v>3.5</v>
      </c>
      <c r="F221" s="190">
        <f t="shared" si="9"/>
        <v>4.2350000000000003</v>
      </c>
      <c r="G221" s="190">
        <f t="shared" si="9"/>
        <v>3.75</v>
      </c>
      <c r="H221" s="190">
        <f t="shared" si="9"/>
        <v>1.25</v>
      </c>
      <c r="I221" s="190">
        <f t="shared" si="9"/>
        <v>0.5</v>
      </c>
    </row>
    <row r="222" spans="1:9" hidden="1" x14ac:dyDescent="0.35">
      <c r="A222" s="196" t="s">
        <v>755</v>
      </c>
      <c r="B222" s="38" t="s">
        <v>753</v>
      </c>
      <c r="C222" s="38" t="s">
        <v>686</v>
      </c>
      <c r="D222" s="38" t="s">
        <v>746</v>
      </c>
      <c r="E222" s="190">
        <f t="shared" si="9"/>
        <v>1.5</v>
      </c>
      <c r="F222" s="190">
        <f t="shared" si="9"/>
        <v>1.6475</v>
      </c>
      <c r="G222" s="190">
        <f t="shared" si="9"/>
        <v>1.75</v>
      </c>
      <c r="H222" s="190">
        <f t="shared" si="9"/>
        <v>0.745</v>
      </c>
      <c r="I222" s="190">
        <f t="shared" si="9"/>
        <v>0.75</v>
      </c>
    </row>
    <row r="223" spans="1:9" hidden="1" x14ac:dyDescent="0.35">
      <c r="A223" s="196" t="s">
        <v>755</v>
      </c>
      <c r="B223" s="38" t="s">
        <v>753</v>
      </c>
      <c r="C223" s="38" t="s">
        <v>691</v>
      </c>
      <c r="D223" s="38" t="s">
        <v>746</v>
      </c>
      <c r="E223" s="190">
        <f t="shared" si="9"/>
        <v>2.1775000000000002</v>
      </c>
      <c r="F223" s="190">
        <f t="shared" si="9"/>
        <v>2.4674999999999998</v>
      </c>
      <c r="G223" s="190">
        <f t="shared" si="9"/>
        <v>6.25</v>
      </c>
      <c r="H223" s="190">
        <f t="shared" si="9"/>
        <v>3.24</v>
      </c>
      <c r="I223" s="190">
        <f t="shared" si="9"/>
        <v>4.54</v>
      </c>
    </row>
    <row r="224" spans="1:9" hidden="1" x14ac:dyDescent="0.35">
      <c r="A224" s="196" t="s">
        <v>755</v>
      </c>
      <c r="B224" s="38" t="s">
        <v>753</v>
      </c>
      <c r="C224" s="38" t="s">
        <v>696</v>
      </c>
      <c r="D224" s="38" t="s">
        <v>697</v>
      </c>
      <c r="E224" s="190">
        <f t="shared" si="9"/>
        <v>2.0499999999999998</v>
      </c>
      <c r="F224" s="190">
        <f t="shared" si="9"/>
        <v>6.3674999999999997</v>
      </c>
      <c r="G224" s="190">
        <f t="shared" si="9"/>
        <v>2.25</v>
      </c>
      <c r="H224" s="190">
        <f t="shared" si="9"/>
        <v>3.0825</v>
      </c>
      <c r="I224" s="190">
        <f t="shared" si="9"/>
        <v>0.5</v>
      </c>
    </row>
    <row r="225" spans="1:9" hidden="1" x14ac:dyDescent="0.35">
      <c r="A225" s="196" t="s">
        <v>755</v>
      </c>
      <c r="B225" s="38" t="s">
        <v>753</v>
      </c>
      <c r="C225" s="38" t="s">
        <v>698</v>
      </c>
      <c r="D225" s="38" t="s">
        <v>747</v>
      </c>
      <c r="E225" s="190">
        <f t="shared" si="9"/>
        <v>2.5</v>
      </c>
      <c r="F225" s="190">
        <f t="shared" si="9"/>
        <v>5.2499999999999998E-2</v>
      </c>
      <c r="G225" s="190">
        <f t="shared" si="9"/>
        <v>1.25</v>
      </c>
      <c r="H225" s="190">
        <f t="shared" si="9"/>
        <v>1.75</v>
      </c>
      <c r="I225" s="190">
        <f t="shared" si="9"/>
        <v>1</v>
      </c>
    </row>
    <row r="226" spans="1:9" hidden="1" x14ac:dyDescent="0.35">
      <c r="A226" s="196" t="s">
        <v>755</v>
      </c>
      <c r="B226" s="38" t="s">
        <v>753</v>
      </c>
      <c r="C226" s="38" t="s">
        <v>698</v>
      </c>
      <c r="D226" s="38" t="s">
        <v>700</v>
      </c>
      <c r="E226" s="190">
        <f t="shared" si="9"/>
        <v>2.5</v>
      </c>
      <c r="F226" s="190">
        <f t="shared" si="9"/>
        <v>0.05</v>
      </c>
      <c r="G226" s="190">
        <f t="shared" si="9"/>
        <v>1.25</v>
      </c>
      <c r="H226" s="190">
        <f t="shared" si="9"/>
        <v>1.75</v>
      </c>
      <c r="I226" s="190">
        <f t="shared" si="9"/>
        <v>1</v>
      </c>
    </row>
    <row r="227" spans="1:9" hidden="1" x14ac:dyDescent="0.35">
      <c r="A227" s="196" t="s">
        <v>755</v>
      </c>
      <c r="B227" s="38" t="s">
        <v>753</v>
      </c>
      <c r="C227" s="38" t="s">
        <v>698</v>
      </c>
      <c r="D227" s="38" t="s">
        <v>521</v>
      </c>
      <c r="E227" s="190">
        <f t="shared" si="9"/>
        <v>1.5</v>
      </c>
      <c r="F227" s="190">
        <f t="shared" si="9"/>
        <v>0.11749999999999999</v>
      </c>
      <c r="G227" s="190">
        <f t="shared" si="9"/>
        <v>1.25</v>
      </c>
      <c r="H227" s="190">
        <f t="shared" si="9"/>
        <v>1.75</v>
      </c>
      <c r="I227" s="190">
        <f t="shared" si="9"/>
        <v>1</v>
      </c>
    </row>
    <row r="228" spans="1:9" hidden="1" x14ac:dyDescent="0.35">
      <c r="A228" s="196" t="s">
        <v>755</v>
      </c>
      <c r="B228" s="38" t="s">
        <v>753</v>
      </c>
      <c r="C228" s="38" t="s">
        <v>698</v>
      </c>
      <c r="D228" s="38" t="s">
        <v>252</v>
      </c>
      <c r="E228" s="190">
        <f t="shared" si="9"/>
        <v>2</v>
      </c>
      <c r="F228" s="190">
        <f t="shared" si="9"/>
        <v>0.24249999999999999</v>
      </c>
      <c r="G228" s="190">
        <f t="shared" si="9"/>
        <v>1.25</v>
      </c>
      <c r="H228" s="190">
        <f t="shared" si="9"/>
        <v>1.75</v>
      </c>
      <c r="I228" s="190">
        <f t="shared" si="9"/>
        <v>1</v>
      </c>
    </row>
    <row r="229" spans="1:9" hidden="1" x14ac:dyDescent="0.35">
      <c r="A229" s="196" t="s">
        <v>755</v>
      </c>
      <c r="B229" s="38" t="s">
        <v>753</v>
      </c>
      <c r="C229" s="38" t="s">
        <v>701</v>
      </c>
      <c r="D229" s="38" t="s">
        <v>702</v>
      </c>
      <c r="E229" s="190">
        <f t="shared" si="9"/>
        <v>2</v>
      </c>
      <c r="F229" s="190">
        <f t="shared" si="9"/>
        <v>1.8075000000000001</v>
      </c>
      <c r="G229" s="190">
        <f t="shared" si="9"/>
        <v>2.5000000000000001E-2</v>
      </c>
      <c r="H229" s="190">
        <f t="shared" si="9"/>
        <v>0.75</v>
      </c>
      <c r="I229" s="190">
        <f t="shared" si="9"/>
        <v>0.5</v>
      </c>
    </row>
    <row r="230" spans="1:9" hidden="1" x14ac:dyDescent="0.35">
      <c r="A230" s="196" t="s">
        <v>755</v>
      </c>
      <c r="B230" s="38" t="s">
        <v>753</v>
      </c>
      <c r="C230" s="38" t="s">
        <v>701</v>
      </c>
      <c r="D230" s="38" t="s">
        <v>703</v>
      </c>
      <c r="E230" s="190">
        <f t="shared" si="9"/>
        <v>0.875</v>
      </c>
      <c r="F230" s="190">
        <f t="shared" si="9"/>
        <v>1.17</v>
      </c>
      <c r="G230" s="190">
        <f t="shared" si="9"/>
        <v>0.5</v>
      </c>
      <c r="H230" s="190">
        <f t="shared" si="9"/>
        <v>2.5</v>
      </c>
      <c r="I230" s="190">
        <f t="shared" si="9"/>
        <v>0.25</v>
      </c>
    </row>
    <row r="231" spans="1:9" hidden="1" x14ac:dyDescent="0.35">
      <c r="A231" s="196" t="s">
        <v>755</v>
      </c>
      <c r="B231" s="38" t="s">
        <v>753</v>
      </c>
      <c r="C231" s="38" t="s">
        <v>704</v>
      </c>
      <c r="D231" s="38" t="s">
        <v>746</v>
      </c>
      <c r="E231" s="190">
        <f t="shared" si="9"/>
        <v>1.75</v>
      </c>
      <c r="F231" s="190">
        <f t="shared" si="9"/>
        <v>0.85</v>
      </c>
      <c r="G231" s="190">
        <f t="shared" si="9"/>
        <v>2</v>
      </c>
      <c r="H231" s="190">
        <f t="shared" si="9"/>
        <v>0.5</v>
      </c>
      <c r="I231" s="190">
        <f t="shared" si="9"/>
        <v>0.25</v>
      </c>
    </row>
    <row r="232" spans="1:9" hidden="1" x14ac:dyDescent="0.35">
      <c r="A232" s="196" t="s">
        <v>755</v>
      </c>
      <c r="B232" s="38" t="s">
        <v>753</v>
      </c>
      <c r="C232" s="38" t="s">
        <v>707</v>
      </c>
      <c r="D232" s="38" t="s">
        <v>708</v>
      </c>
      <c r="E232" s="190">
        <f t="shared" si="9"/>
        <v>2.0375000000000001</v>
      </c>
      <c r="F232" s="190">
        <f t="shared" si="9"/>
        <v>3.0274999999999999</v>
      </c>
      <c r="G232" s="190">
        <f t="shared" si="9"/>
        <v>2.5</v>
      </c>
      <c r="H232" s="190">
        <f t="shared" si="9"/>
        <v>2.6949999999999998</v>
      </c>
      <c r="I232" s="190">
        <f t="shared" si="9"/>
        <v>0.97</v>
      </c>
    </row>
    <row r="233" spans="1:9" hidden="1" x14ac:dyDescent="0.35">
      <c r="A233" s="196" t="s">
        <v>756</v>
      </c>
      <c r="B233" s="38" t="s">
        <v>745</v>
      </c>
      <c r="C233" s="38" t="s">
        <v>686</v>
      </c>
      <c r="D233" s="38" t="s">
        <v>746</v>
      </c>
      <c r="E233" s="190">
        <f t="shared" ref="E233:I248" si="10">E2*0.75</f>
        <v>3.2249999999999996</v>
      </c>
      <c r="F233" s="190">
        <f t="shared" si="10"/>
        <v>2.8499999999999996</v>
      </c>
      <c r="G233" s="190">
        <f t="shared" si="10"/>
        <v>7.875</v>
      </c>
      <c r="H233" s="190">
        <f t="shared" si="10"/>
        <v>2.25</v>
      </c>
      <c r="I233" s="190">
        <f t="shared" si="10"/>
        <v>20.25</v>
      </c>
    </row>
    <row r="234" spans="1:9" hidden="1" x14ac:dyDescent="0.35">
      <c r="A234" s="196" t="s">
        <v>756</v>
      </c>
      <c r="B234" s="38" t="s">
        <v>745</v>
      </c>
      <c r="C234" s="38" t="s">
        <v>691</v>
      </c>
      <c r="D234" s="38" t="s">
        <v>746</v>
      </c>
      <c r="E234" s="190">
        <f t="shared" si="10"/>
        <v>15</v>
      </c>
      <c r="F234" s="190">
        <f t="shared" si="10"/>
        <v>5.4749999999999996</v>
      </c>
      <c r="G234" s="190">
        <f t="shared" si="10"/>
        <v>1.5</v>
      </c>
      <c r="H234" s="190">
        <f t="shared" si="10"/>
        <v>3.6750000000000003</v>
      </c>
      <c r="I234" s="190">
        <f t="shared" si="10"/>
        <v>14.25</v>
      </c>
    </row>
    <row r="235" spans="1:9" hidden="1" x14ac:dyDescent="0.35">
      <c r="A235" s="196" t="s">
        <v>756</v>
      </c>
      <c r="B235" s="38" t="s">
        <v>745</v>
      </c>
      <c r="C235" s="38" t="s">
        <v>696</v>
      </c>
      <c r="D235" s="38" t="s">
        <v>697</v>
      </c>
      <c r="E235" s="190">
        <f t="shared" si="10"/>
        <v>7.0500000000000007</v>
      </c>
      <c r="F235" s="190">
        <f t="shared" si="10"/>
        <v>5.9250000000000007</v>
      </c>
      <c r="G235" s="190">
        <f t="shared" si="10"/>
        <v>4.5</v>
      </c>
      <c r="H235" s="190">
        <f t="shared" si="10"/>
        <v>6.75</v>
      </c>
      <c r="I235" s="190">
        <f t="shared" si="10"/>
        <v>8.25</v>
      </c>
    </row>
    <row r="236" spans="1:9" hidden="1" x14ac:dyDescent="0.35">
      <c r="A236" s="196" t="s">
        <v>756</v>
      </c>
      <c r="B236" s="38" t="s">
        <v>745</v>
      </c>
      <c r="C236" s="38" t="s">
        <v>698</v>
      </c>
      <c r="D236" s="38" t="s">
        <v>747</v>
      </c>
      <c r="E236" s="190">
        <f t="shared" si="10"/>
        <v>1.7249999999999999</v>
      </c>
      <c r="F236" s="190">
        <f t="shared" si="10"/>
        <v>0.44999999999999996</v>
      </c>
      <c r="G236" s="190">
        <f t="shared" si="10"/>
        <v>3.75</v>
      </c>
      <c r="H236" s="190">
        <f t="shared" si="10"/>
        <v>3</v>
      </c>
      <c r="I236" s="190">
        <f t="shared" si="10"/>
        <v>8.25</v>
      </c>
    </row>
    <row r="237" spans="1:9" hidden="1" x14ac:dyDescent="0.35">
      <c r="A237" s="196" t="s">
        <v>756</v>
      </c>
      <c r="B237" s="38" t="s">
        <v>745</v>
      </c>
      <c r="C237" s="38" t="s">
        <v>698</v>
      </c>
      <c r="D237" s="38" t="s">
        <v>700</v>
      </c>
      <c r="E237" s="190">
        <f t="shared" si="10"/>
        <v>7.5</v>
      </c>
      <c r="F237" s="190">
        <f t="shared" si="10"/>
        <v>0.44999999999999996</v>
      </c>
      <c r="G237" s="190">
        <f t="shared" si="10"/>
        <v>3.75</v>
      </c>
      <c r="H237" s="190">
        <f t="shared" si="10"/>
        <v>3</v>
      </c>
      <c r="I237" s="190">
        <f t="shared" si="10"/>
        <v>8.25</v>
      </c>
    </row>
    <row r="238" spans="1:9" hidden="1" x14ac:dyDescent="0.35">
      <c r="A238" s="196" t="s">
        <v>756</v>
      </c>
      <c r="B238" s="38" t="s">
        <v>745</v>
      </c>
      <c r="C238" s="38" t="s">
        <v>698</v>
      </c>
      <c r="D238" s="38" t="s">
        <v>521</v>
      </c>
      <c r="E238" s="190">
        <f t="shared" si="10"/>
        <v>1.875</v>
      </c>
      <c r="F238" s="190">
        <f t="shared" si="10"/>
        <v>0.22499999999999998</v>
      </c>
      <c r="G238" s="190">
        <f t="shared" si="10"/>
        <v>3.75</v>
      </c>
      <c r="H238" s="190">
        <f t="shared" si="10"/>
        <v>3</v>
      </c>
      <c r="I238" s="190">
        <f t="shared" si="10"/>
        <v>8.25</v>
      </c>
    </row>
    <row r="239" spans="1:9" hidden="1" x14ac:dyDescent="0.35">
      <c r="A239" s="196" t="s">
        <v>756</v>
      </c>
      <c r="B239" s="38" t="s">
        <v>745</v>
      </c>
      <c r="C239" s="38" t="s">
        <v>698</v>
      </c>
      <c r="D239" s="38" t="s">
        <v>252</v>
      </c>
      <c r="E239" s="190">
        <f t="shared" si="10"/>
        <v>5.25</v>
      </c>
      <c r="F239" s="190">
        <f t="shared" si="10"/>
        <v>0.67500000000000004</v>
      </c>
      <c r="G239" s="190">
        <f t="shared" si="10"/>
        <v>3.75</v>
      </c>
      <c r="H239" s="190">
        <f t="shared" si="10"/>
        <v>3</v>
      </c>
      <c r="I239" s="190">
        <f t="shared" si="10"/>
        <v>8.25</v>
      </c>
    </row>
    <row r="240" spans="1:9" hidden="1" x14ac:dyDescent="0.35">
      <c r="A240" s="196" t="s">
        <v>756</v>
      </c>
      <c r="B240" s="38" t="s">
        <v>745</v>
      </c>
      <c r="C240" s="38" t="s">
        <v>701</v>
      </c>
      <c r="D240" s="38" t="s">
        <v>702</v>
      </c>
      <c r="E240" s="190">
        <f t="shared" si="10"/>
        <v>3</v>
      </c>
      <c r="F240" s="190">
        <f t="shared" si="10"/>
        <v>1.4249999999999998</v>
      </c>
      <c r="G240" s="190">
        <f t="shared" si="10"/>
        <v>0.375</v>
      </c>
      <c r="H240" s="190">
        <f t="shared" si="10"/>
        <v>1.5</v>
      </c>
      <c r="I240" s="190">
        <f t="shared" si="10"/>
        <v>6</v>
      </c>
    </row>
    <row r="241" spans="1:9" hidden="1" x14ac:dyDescent="0.35">
      <c r="A241" s="196" t="s">
        <v>756</v>
      </c>
      <c r="B241" s="38" t="s">
        <v>745</v>
      </c>
      <c r="C241" s="38" t="s">
        <v>701</v>
      </c>
      <c r="D241" s="38" t="s">
        <v>703</v>
      </c>
      <c r="E241" s="190">
        <f t="shared" si="10"/>
        <v>2.625</v>
      </c>
      <c r="F241" s="190">
        <f t="shared" si="10"/>
        <v>1.2749999999999999</v>
      </c>
      <c r="G241" s="190">
        <f t="shared" si="10"/>
        <v>0.89999999999999991</v>
      </c>
      <c r="H241" s="190">
        <f t="shared" si="10"/>
        <v>0.61499999999999999</v>
      </c>
      <c r="I241" s="190">
        <f t="shared" si="10"/>
        <v>5.25</v>
      </c>
    </row>
    <row r="242" spans="1:9" hidden="1" x14ac:dyDescent="0.35">
      <c r="A242" s="196" t="s">
        <v>756</v>
      </c>
      <c r="B242" s="38" t="s">
        <v>745</v>
      </c>
      <c r="C242" s="38" t="s">
        <v>704</v>
      </c>
      <c r="D242" s="38" t="s">
        <v>746</v>
      </c>
      <c r="E242" s="190">
        <f t="shared" si="10"/>
        <v>3.9749999999999996</v>
      </c>
      <c r="F242" s="190">
        <f t="shared" si="10"/>
        <v>0.89999999999999991</v>
      </c>
      <c r="G242" s="190">
        <f t="shared" si="10"/>
        <v>3.75</v>
      </c>
      <c r="H242" s="190">
        <f t="shared" si="10"/>
        <v>0.75</v>
      </c>
      <c r="I242" s="190">
        <f t="shared" si="10"/>
        <v>3</v>
      </c>
    </row>
    <row r="243" spans="1:9" hidden="1" x14ac:dyDescent="0.35">
      <c r="A243" s="196" t="s">
        <v>756</v>
      </c>
      <c r="B243" s="38" t="s">
        <v>745</v>
      </c>
      <c r="C243" s="38" t="s">
        <v>707</v>
      </c>
      <c r="D243" s="38" t="s">
        <v>708</v>
      </c>
      <c r="E243" s="190">
        <f t="shared" si="10"/>
        <v>15</v>
      </c>
      <c r="F243" s="190">
        <f t="shared" si="10"/>
        <v>5.6999999999999993</v>
      </c>
      <c r="G243" s="190">
        <f t="shared" si="10"/>
        <v>10.350000000000001</v>
      </c>
      <c r="H243" s="190">
        <f t="shared" si="10"/>
        <v>5.25</v>
      </c>
      <c r="I243" s="190">
        <f t="shared" si="10"/>
        <v>12.75</v>
      </c>
    </row>
    <row r="244" spans="1:9" hidden="1" x14ac:dyDescent="0.35">
      <c r="A244" s="196" t="s">
        <v>756</v>
      </c>
      <c r="B244" s="38" t="s">
        <v>748</v>
      </c>
      <c r="C244" s="38" t="s">
        <v>686</v>
      </c>
      <c r="D244" s="38" t="s">
        <v>746</v>
      </c>
      <c r="E244" s="190">
        <f t="shared" si="10"/>
        <v>2.94</v>
      </c>
      <c r="F244" s="190">
        <f t="shared" si="10"/>
        <v>3.18</v>
      </c>
      <c r="G244" s="190">
        <f t="shared" si="10"/>
        <v>8.8500000000000014</v>
      </c>
      <c r="H244" s="190">
        <f t="shared" si="10"/>
        <v>1.5</v>
      </c>
      <c r="I244" s="190">
        <f t="shared" si="10"/>
        <v>10.237500000000001</v>
      </c>
    </row>
    <row r="245" spans="1:9" hidden="1" x14ac:dyDescent="0.35">
      <c r="A245" s="196" t="s">
        <v>756</v>
      </c>
      <c r="B245" s="38" t="s">
        <v>748</v>
      </c>
      <c r="C245" s="38" t="s">
        <v>691</v>
      </c>
      <c r="D245" s="38" t="s">
        <v>746</v>
      </c>
      <c r="E245" s="190">
        <f t="shared" si="10"/>
        <v>7.5</v>
      </c>
      <c r="F245" s="190">
        <f t="shared" si="10"/>
        <v>6.2774999999999999</v>
      </c>
      <c r="G245" s="190">
        <f t="shared" si="10"/>
        <v>1.5</v>
      </c>
      <c r="H245" s="190">
        <f t="shared" si="10"/>
        <v>6</v>
      </c>
      <c r="I245" s="190">
        <f t="shared" si="10"/>
        <v>7.7624999999999993</v>
      </c>
    </row>
    <row r="246" spans="1:9" hidden="1" x14ac:dyDescent="0.35">
      <c r="A246" s="196" t="s">
        <v>756</v>
      </c>
      <c r="B246" s="38" t="s">
        <v>748</v>
      </c>
      <c r="C246" s="38" t="s">
        <v>696</v>
      </c>
      <c r="D246" s="38" t="s">
        <v>697</v>
      </c>
      <c r="E246" s="190">
        <f t="shared" si="10"/>
        <v>11.25</v>
      </c>
      <c r="F246" s="190">
        <f t="shared" si="10"/>
        <v>12.375</v>
      </c>
      <c r="G246" s="190">
        <f t="shared" si="10"/>
        <v>4.5</v>
      </c>
      <c r="H246" s="190">
        <f t="shared" si="10"/>
        <v>8.25</v>
      </c>
      <c r="I246" s="190">
        <f t="shared" si="10"/>
        <v>5.4749999999999996</v>
      </c>
    </row>
    <row r="247" spans="1:9" hidden="1" x14ac:dyDescent="0.35">
      <c r="A247" s="196" t="s">
        <v>756</v>
      </c>
      <c r="B247" s="38" t="s">
        <v>748</v>
      </c>
      <c r="C247" s="38" t="s">
        <v>698</v>
      </c>
      <c r="D247" s="38" t="s">
        <v>747</v>
      </c>
      <c r="E247" s="190">
        <f t="shared" si="10"/>
        <v>1.7249999999999999</v>
      </c>
      <c r="F247" s="190">
        <f t="shared" si="10"/>
        <v>0.41250000000000003</v>
      </c>
      <c r="G247" s="190">
        <f t="shared" si="10"/>
        <v>3.75</v>
      </c>
      <c r="H247" s="190">
        <f t="shared" si="10"/>
        <v>4.5</v>
      </c>
      <c r="I247" s="190">
        <f t="shared" si="10"/>
        <v>5.0999999999999996</v>
      </c>
    </row>
    <row r="248" spans="1:9" hidden="1" x14ac:dyDescent="0.35">
      <c r="A248" s="196" t="s">
        <v>756</v>
      </c>
      <c r="B248" s="38" t="s">
        <v>748</v>
      </c>
      <c r="C248" s="38" t="s">
        <v>698</v>
      </c>
      <c r="D248" s="38" t="s">
        <v>700</v>
      </c>
      <c r="E248" s="190">
        <f t="shared" si="10"/>
        <v>7.5</v>
      </c>
      <c r="F248" s="190">
        <f t="shared" si="10"/>
        <v>0.60750000000000004</v>
      </c>
      <c r="G248" s="190">
        <f t="shared" si="10"/>
        <v>3.75</v>
      </c>
      <c r="H248" s="190">
        <f t="shared" si="10"/>
        <v>4.5</v>
      </c>
      <c r="I248" s="190">
        <f t="shared" si="10"/>
        <v>5.0999999999999996</v>
      </c>
    </row>
    <row r="249" spans="1:9" hidden="1" x14ac:dyDescent="0.35">
      <c r="A249" s="196" t="s">
        <v>756</v>
      </c>
      <c r="B249" s="38" t="s">
        <v>748</v>
      </c>
      <c r="C249" s="38" t="s">
        <v>698</v>
      </c>
      <c r="D249" s="38" t="s">
        <v>521</v>
      </c>
      <c r="E249" s="190">
        <f t="shared" ref="E249:I264" si="11">E18*0.75</f>
        <v>1.875</v>
      </c>
      <c r="F249" s="190">
        <f t="shared" si="11"/>
        <v>0.13500000000000001</v>
      </c>
      <c r="G249" s="190">
        <f t="shared" si="11"/>
        <v>3.75</v>
      </c>
      <c r="H249" s="190">
        <f t="shared" si="11"/>
        <v>4.5</v>
      </c>
      <c r="I249" s="190">
        <f t="shared" si="11"/>
        <v>5.0999999999999996</v>
      </c>
    </row>
    <row r="250" spans="1:9" hidden="1" x14ac:dyDescent="0.35">
      <c r="A250" s="196" t="s">
        <v>756</v>
      </c>
      <c r="B250" s="38" t="s">
        <v>748</v>
      </c>
      <c r="C250" s="38" t="s">
        <v>698</v>
      </c>
      <c r="D250" s="38" t="s">
        <v>252</v>
      </c>
      <c r="E250" s="190">
        <f t="shared" si="11"/>
        <v>5.25</v>
      </c>
      <c r="F250" s="190">
        <f t="shared" si="11"/>
        <v>0.77249999999999996</v>
      </c>
      <c r="G250" s="190">
        <f t="shared" si="11"/>
        <v>3.75</v>
      </c>
      <c r="H250" s="190">
        <f t="shared" si="11"/>
        <v>4.5</v>
      </c>
      <c r="I250" s="190">
        <f t="shared" si="11"/>
        <v>5.0999999999999996</v>
      </c>
    </row>
    <row r="251" spans="1:9" hidden="1" x14ac:dyDescent="0.35">
      <c r="A251" s="196" t="s">
        <v>756</v>
      </c>
      <c r="B251" s="38" t="s">
        <v>748</v>
      </c>
      <c r="C251" s="38" t="s">
        <v>701</v>
      </c>
      <c r="D251" s="38" t="s">
        <v>702</v>
      </c>
      <c r="E251" s="190">
        <f t="shared" si="11"/>
        <v>4.5</v>
      </c>
      <c r="F251" s="190">
        <f t="shared" si="11"/>
        <v>1.7849999999999999</v>
      </c>
      <c r="G251" s="190">
        <f t="shared" si="11"/>
        <v>0.375</v>
      </c>
      <c r="H251" s="190">
        <f t="shared" si="11"/>
        <v>3</v>
      </c>
      <c r="I251" s="190">
        <f t="shared" si="11"/>
        <v>2.7374999999999998</v>
      </c>
    </row>
    <row r="252" spans="1:9" hidden="1" x14ac:dyDescent="0.35">
      <c r="A252" s="196" t="s">
        <v>756</v>
      </c>
      <c r="B252" s="38" t="s">
        <v>748</v>
      </c>
      <c r="C252" s="38" t="s">
        <v>701</v>
      </c>
      <c r="D252" s="38" t="s">
        <v>703</v>
      </c>
      <c r="E252" s="190">
        <f t="shared" si="11"/>
        <v>2.625</v>
      </c>
      <c r="F252" s="190">
        <f t="shared" si="11"/>
        <v>1.6800000000000002</v>
      </c>
      <c r="G252" s="190">
        <f t="shared" si="11"/>
        <v>0.89999999999999991</v>
      </c>
      <c r="H252" s="190">
        <f t="shared" si="11"/>
        <v>0.375</v>
      </c>
      <c r="I252" s="190">
        <f t="shared" si="11"/>
        <v>1.9500000000000002</v>
      </c>
    </row>
    <row r="253" spans="1:9" hidden="1" x14ac:dyDescent="0.35">
      <c r="A253" s="196" t="s">
        <v>756</v>
      </c>
      <c r="B253" s="38" t="s">
        <v>748</v>
      </c>
      <c r="C253" s="38" t="s">
        <v>704</v>
      </c>
      <c r="D253" s="38" t="s">
        <v>746</v>
      </c>
      <c r="E253" s="190">
        <f t="shared" si="11"/>
        <v>4.5</v>
      </c>
      <c r="F253" s="190">
        <f t="shared" si="11"/>
        <v>2.04</v>
      </c>
      <c r="G253" s="190">
        <f t="shared" si="11"/>
        <v>3.75</v>
      </c>
      <c r="H253" s="190">
        <f t="shared" si="11"/>
        <v>0.75</v>
      </c>
      <c r="I253" s="190">
        <f t="shared" si="11"/>
        <v>12.412500000000001</v>
      </c>
    </row>
    <row r="254" spans="1:9" hidden="1" x14ac:dyDescent="0.35">
      <c r="A254" s="196" t="s">
        <v>756</v>
      </c>
      <c r="B254" s="38" t="s">
        <v>748</v>
      </c>
      <c r="C254" s="38" t="s">
        <v>707</v>
      </c>
      <c r="D254" s="38" t="s">
        <v>708</v>
      </c>
      <c r="E254" s="190">
        <f t="shared" si="11"/>
        <v>15</v>
      </c>
      <c r="F254" s="190">
        <f t="shared" si="11"/>
        <v>3.6374999999999997</v>
      </c>
      <c r="G254" s="190">
        <f t="shared" si="11"/>
        <v>11.25</v>
      </c>
      <c r="H254" s="190">
        <f t="shared" si="11"/>
        <v>6.75</v>
      </c>
      <c r="I254" s="190">
        <f t="shared" si="11"/>
        <v>5.3625000000000007</v>
      </c>
    </row>
    <row r="255" spans="1:9" hidden="1" x14ac:dyDescent="0.35">
      <c r="A255" s="196" t="s">
        <v>756</v>
      </c>
      <c r="B255" s="38" t="s">
        <v>749</v>
      </c>
      <c r="C255" s="38" t="s">
        <v>686</v>
      </c>
      <c r="D255" s="38" t="s">
        <v>746</v>
      </c>
      <c r="E255" s="190">
        <f t="shared" si="11"/>
        <v>5.3774999999999995</v>
      </c>
      <c r="F255" s="190">
        <f t="shared" si="11"/>
        <v>2.4375</v>
      </c>
      <c r="G255" s="190">
        <f t="shared" si="11"/>
        <v>7.875</v>
      </c>
      <c r="H255" s="190">
        <f t="shared" si="11"/>
        <v>6.75</v>
      </c>
      <c r="I255" s="190">
        <f t="shared" si="11"/>
        <v>17.9925</v>
      </c>
    </row>
    <row r="256" spans="1:9" hidden="1" x14ac:dyDescent="0.35">
      <c r="A256" s="196" t="s">
        <v>756</v>
      </c>
      <c r="B256" s="38" t="s">
        <v>749</v>
      </c>
      <c r="C256" s="38" t="s">
        <v>691</v>
      </c>
      <c r="D256" s="38" t="s">
        <v>746</v>
      </c>
      <c r="E256" s="190">
        <f t="shared" si="11"/>
        <v>15</v>
      </c>
      <c r="F256" s="190">
        <f t="shared" si="11"/>
        <v>11.475000000000001</v>
      </c>
      <c r="G256" s="190">
        <f t="shared" si="11"/>
        <v>1.5</v>
      </c>
      <c r="H256" s="190">
        <f t="shared" si="11"/>
        <v>7.0124999999999993</v>
      </c>
      <c r="I256" s="190">
        <f t="shared" si="11"/>
        <v>19.072499999999998</v>
      </c>
    </row>
    <row r="257" spans="1:9" hidden="1" x14ac:dyDescent="0.35">
      <c r="A257" s="196" t="s">
        <v>756</v>
      </c>
      <c r="B257" s="38" t="s">
        <v>749</v>
      </c>
      <c r="C257" s="38" t="s">
        <v>696</v>
      </c>
      <c r="D257" s="38" t="s">
        <v>697</v>
      </c>
      <c r="E257" s="190">
        <f t="shared" si="11"/>
        <v>9</v>
      </c>
      <c r="F257" s="190">
        <f t="shared" si="11"/>
        <v>1.665</v>
      </c>
      <c r="G257" s="190">
        <f t="shared" si="11"/>
        <v>4.5</v>
      </c>
      <c r="H257" s="190">
        <f t="shared" si="11"/>
        <v>5.1225000000000005</v>
      </c>
      <c r="I257" s="190">
        <f t="shared" si="11"/>
        <v>21.127500000000001</v>
      </c>
    </row>
    <row r="258" spans="1:9" hidden="1" x14ac:dyDescent="0.35">
      <c r="A258" s="196" t="s">
        <v>756</v>
      </c>
      <c r="B258" s="38" t="s">
        <v>749</v>
      </c>
      <c r="C258" s="38" t="s">
        <v>698</v>
      </c>
      <c r="D258" s="38" t="s">
        <v>747</v>
      </c>
      <c r="E258" s="190">
        <f t="shared" si="11"/>
        <v>1.7249999999999999</v>
      </c>
      <c r="F258" s="190">
        <f t="shared" si="11"/>
        <v>0.23249999999999998</v>
      </c>
      <c r="G258" s="190">
        <f t="shared" si="11"/>
        <v>3.75</v>
      </c>
      <c r="H258" s="190">
        <f t="shared" si="11"/>
        <v>2.9249999999999998</v>
      </c>
      <c r="I258" s="190">
        <f t="shared" si="11"/>
        <v>15.892500000000002</v>
      </c>
    </row>
    <row r="259" spans="1:9" hidden="1" x14ac:dyDescent="0.35">
      <c r="A259" s="196" t="s">
        <v>756</v>
      </c>
      <c r="B259" s="38" t="s">
        <v>749</v>
      </c>
      <c r="C259" s="38" t="s">
        <v>698</v>
      </c>
      <c r="D259" s="38" t="s">
        <v>700</v>
      </c>
      <c r="E259" s="190">
        <f t="shared" si="11"/>
        <v>7.5</v>
      </c>
      <c r="F259" s="190">
        <f t="shared" si="11"/>
        <v>0.60000000000000009</v>
      </c>
      <c r="G259" s="190">
        <f t="shared" si="11"/>
        <v>3.75</v>
      </c>
      <c r="H259" s="190">
        <f t="shared" si="11"/>
        <v>2.9249999999999998</v>
      </c>
      <c r="I259" s="190">
        <f t="shared" si="11"/>
        <v>15.892500000000002</v>
      </c>
    </row>
    <row r="260" spans="1:9" hidden="1" x14ac:dyDescent="0.35">
      <c r="A260" s="196" t="s">
        <v>756</v>
      </c>
      <c r="B260" s="38" t="s">
        <v>749</v>
      </c>
      <c r="C260" s="38" t="s">
        <v>698</v>
      </c>
      <c r="D260" s="38" t="s">
        <v>521</v>
      </c>
      <c r="E260" s="190">
        <f t="shared" si="11"/>
        <v>1.875</v>
      </c>
      <c r="F260" s="190">
        <f t="shared" si="11"/>
        <v>0.495</v>
      </c>
      <c r="G260" s="190">
        <f t="shared" si="11"/>
        <v>3.75</v>
      </c>
      <c r="H260" s="190">
        <f t="shared" si="11"/>
        <v>2.9249999999999998</v>
      </c>
      <c r="I260" s="190">
        <f t="shared" si="11"/>
        <v>15.892500000000002</v>
      </c>
    </row>
    <row r="261" spans="1:9" hidden="1" x14ac:dyDescent="0.35">
      <c r="A261" s="196" t="s">
        <v>756</v>
      </c>
      <c r="B261" s="38" t="s">
        <v>749</v>
      </c>
      <c r="C261" s="38" t="s">
        <v>698</v>
      </c>
      <c r="D261" s="38" t="s">
        <v>252</v>
      </c>
      <c r="E261" s="190">
        <f t="shared" si="11"/>
        <v>5.25</v>
      </c>
      <c r="F261" s="190">
        <f t="shared" si="11"/>
        <v>0.66</v>
      </c>
      <c r="G261" s="190">
        <f t="shared" si="11"/>
        <v>3.75</v>
      </c>
      <c r="H261" s="190">
        <f t="shared" si="11"/>
        <v>2.9249999999999998</v>
      </c>
      <c r="I261" s="190">
        <f t="shared" si="11"/>
        <v>15.892500000000002</v>
      </c>
    </row>
    <row r="262" spans="1:9" hidden="1" x14ac:dyDescent="0.35">
      <c r="A262" s="196" t="s">
        <v>756</v>
      </c>
      <c r="B262" s="38" t="s">
        <v>749</v>
      </c>
      <c r="C262" s="38" t="s">
        <v>701</v>
      </c>
      <c r="D262" s="38" t="s">
        <v>702</v>
      </c>
      <c r="E262" s="190">
        <f t="shared" si="11"/>
        <v>3</v>
      </c>
      <c r="F262" s="190">
        <f t="shared" si="11"/>
        <v>1.7025000000000001</v>
      </c>
      <c r="G262" s="190">
        <f t="shared" si="11"/>
        <v>0.375</v>
      </c>
      <c r="H262" s="190">
        <f t="shared" si="11"/>
        <v>5.25</v>
      </c>
      <c r="I262" s="190">
        <f t="shared" si="11"/>
        <v>15.299999999999999</v>
      </c>
    </row>
    <row r="263" spans="1:9" hidden="1" x14ac:dyDescent="0.35">
      <c r="A263" s="196" t="s">
        <v>756</v>
      </c>
      <c r="B263" s="38" t="s">
        <v>749</v>
      </c>
      <c r="C263" s="38" t="s">
        <v>701</v>
      </c>
      <c r="D263" s="38" t="s">
        <v>703</v>
      </c>
      <c r="E263" s="190">
        <f t="shared" si="11"/>
        <v>2.625</v>
      </c>
      <c r="F263" s="190">
        <f t="shared" si="11"/>
        <v>0.30000000000000004</v>
      </c>
      <c r="G263" s="190">
        <f t="shared" si="11"/>
        <v>0.89999999999999991</v>
      </c>
      <c r="H263" s="190">
        <f t="shared" si="11"/>
        <v>5.8125</v>
      </c>
      <c r="I263" s="190">
        <f t="shared" si="11"/>
        <v>15.75</v>
      </c>
    </row>
    <row r="264" spans="1:9" hidden="1" x14ac:dyDescent="0.35">
      <c r="A264" s="196" t="s">
        <v>756</v>
      </c>
      <c r="B264" s="38" t="s">
        <v>749</v>
      </c>
      <c r="C264" s="38" t="s">
        <v>704</v>
      </c>
      <c r="D264" s="38" t="s">
        <v>746</v>
      </c>
      <c r="E264" s="190">
        <f t="shared" si="11"/>
        <v>9</v>
      </c>
      <c r="F264" s="190">
        <f t="shared" si="11"/>
        <v>2.9325000000000001</v>
      </c>
      <c r="G264" s="190">
        <f t="shared" si="11"/>
        <v>3.75</v>
      </c>
      <c r="H264" s="190">
        <f t="shared" si="11"/>
        <v>0.75</v>
      </c>
      <c r="I264" s="190">
        <f t="shared" si="11"/>
        <v>3</v>
      </c>
    </row>
    <row r="265" spans="1:9" hidden="1" x14ac:dyDescent="0.35">
      <c r="A265" s="196" t="s">
        <v>756</v>
      </c>
      <c r="B265" s="38" t="s">
        <v>749</v>
      </c>
      <c r="C265" s="38" t="s">
        <v>707</v>
      </c>
      <c r="D265" s="38" t="s">
        <v>708</v>
      </c>
      <c r="E265" s="190">
        <f t="shared" ref="E265:I280" si="12">E34*0.75</f>
        <v>15</v>
      </c>
      <c r="F265" s="190">
        <f t="shared" si="12"/>
        <v>4.3725000000000005</v>
      </c>
      <c r="G265" s="190">
        <f t="shared" si="12"/>
        <v>11.25</v>
      </c>
      <c r="H265" s="190">
        <f t="shared" si="12"/>
        <v>6</v>
      </c>
      <c r="I265" s="190">
        <f t="shared" si="12"/>
        <v>11.25</v>
      </c>
    </row>
    <row r="266" spans="1:9" hidden="1" x14ac:dyDescent="0.35">
      <c r="A266" s="196" t="s">
        <v>756</v>
      </c>
      <c r="B266" s="38" t="s">
        <v>750</v>
      </c>
      <c r="C266" s="38" t="s">
        <v>686</v>
      </c>
      <c r="D266" s="38" t="s">
        <v>746</v>
      </c>
      <c r="E266" s="190">
        <f t="shared" si="12"/>
        <v>4.5</v>
      </c>
      <c r="F266" s="190">
        <f t="shared" si="12"/>
        <v>5.5949999999999998</v>
      </c>
      <c r="G266" s="190">
        <f t="shared" si="12"/>
        <v>6.75</v>
      </c>
      <c r="H266" s="190">
        <f t="shared" si="12"/>
        <v>3</v>
      </c>
      <c r="I266" s="190">
        <f t="shared" si="12"/>
        <v>7.5</v>
      </c>
    </row>
    <row r="267" spans="1:9" hidden="1" x14ac:dyDescent="0.35">
      <c r="A267" s="196" t="s">
        <v>756</v>
      </c>
      <c r="B267" s="38" t="s">
        <v>750</v>
      </c>
      <c r="C267" s="38" t="s">
        <v>691</v>
      </c>
      <c r="D267" s="38" t="s">
        <v>746</v>
      </c>
      <c r="E267" s="190">
        <f t="shared" si="12"/>
        <v>15</v>
      </c>
      <c r="F267" s="190">
        <f t="shared" si="12"/>
        <v>10.74</v>
      </c>
      <c r="G267" s="190">
        <f t="shared" si="12"/>
        <v>15</v>
      </c>
      <c r="H267" s="190">
        <f t="shared" si="12"/>
        <v>9</v>
      </c>
      <c r="I267" s="190">
        <f t="shared" si="12"/>
        <v>7.5</v>
      </c>
    </row>
    <row r="268" spans="1:9" hidden="1" x14ac:dyDescent="0.35">
      <c r="A268" s="196" t="s">
        <v>756</v>
      </c>
      <c r="B268" s="38" t="s">
        <v>750</v>
      </c>
      <c r="C268" s="38" t="s">
        <v>696</v>
      </c>
      <c r="D268" s="38" t="s">
        <v>697</v>
      </c>
      <c r="E268" s="190">
        <f t="shared" si="12"/>
        <v>4.2750000000000004</v>
      </c>
      <c r="F268" s="190">
        <f t="shared" si="12"/>
        <v>14.7075</v>
      </c>
      <c r="G268" s="190">
        <f t="shared" si="12"/>
        <v>6.75</v>
      </c>
      <c r="H268" s="190">
        <f t="shared" si="12"/>
        <v>7.5</v>
      </c>
      <c r="I268" s="190">
        <f t="shared" si="12"/>
        <v>3</v>
      </c>
    </row>
    <row r="269" spans="1:9" hidden="1" x14ac:dyDescent="0.35">
      <c r="A269" s="196" t="s">
        <v>756</v>
      </c>
      <c r="B269" s="38" t="s">
        <v>750</v>
      </c>
      <c r="C269" s="38" t="s">
        <v>698</v>
      </c>
      <c r="D269" s="38" t="s">
        <v>747</v>
      </c>
      <c r="E269" s="190">
        <f t="shared" si="12"/>
        <v>3.75</v>
      </c>
      <c r="F269" s="190">
        <f t="shared" si="12"/>
        <v>0.99</v>
      </c>
      <c r="G269" s="190">
        <f t="shared" si="12"/>
        <v>3.75</v>
      </c>
      <c r="H269" s="190">
        <f t="shared" si="12"/>
        <v>3.75</v>
      </c>
      <c r="I269" s="190">
        <f t="shared" si="12"/>
        <v>4.5</v>
      </c>
    </row>
    <row r="270" spans="1:9" hidden="1" x14ac:dyDescent="0.35">
      <c r="A270" s="196" t="s">
        <v>756</v>
      </c>
      <c r="B270" s="38" t="s">
        <v>750</v>
      </c>
      <c r="C270" s="38" t="s">
        <v>698</v>
      </c>
      <c r="D270" s="38" t="s">
        <v>700</v>
      </c>
      <c r="E270" s="190">
        <f t="shared" si="12"/>
        <v>7.5</v>
      </c>
      <c r="F270" s="190">
        <f t="shared" si="12"/>
        <v>0.78</v>
      </c>
      <c r="G270" s="190">
        <f t="shared" si="12"/>
        <v>3.75</v>
      </c>
      <c r="H270" s="190">
        <f t="shared" si="12"/>
        <v>3.75</v>
      </c>
      <c r="I270" s="190">
        <f t="shared" si="12"/>
        <v>4.5</v>
      </c>
    </row>
    <row r="271" spans="1:9" hidden="1" x14ac:dyDescent="0.35">
      <c r="A271" s="196" t="s">
        <v>756</v>
      </c>
      <c r="B271" s="38" t="s">
        <v>750</v>
      </c>
      <c r="C271" s="38" t="s">
        <v>698</v>
      </c>
      <c r="D271" s="38" t="s">
        <v>521</v>
      </c>
      <c r="E271" s="190">
        <f t="shared" si="12"/>
        <v>4.5</v>
      </c>
      <c r="F271" s="190">
        <f t="shared" si="12"/>
        <v>0.3075</v>
      </c>
      <c r="G271" s="190">
        <f t="shared" si="12"/>
        <v>3.75</v>
      </c>
      <c r="H271" s="190">
        <f t="shared" si="12"/>
        <v>3.75</v>
      </c>
      <c r="I271" s="190">
        <f t="shared" si="12"/>
        <v>4.5</v>
      </c>
    </row>
    <row r="272" spans="1:9" hidden="1" x14ac:dyDescent="0.35">
      <c r="A272" s="196" t="s">
        <v>756</v>
      </c>
      <c r="B272" s="38" t="s">
        <v>750</v>
      </c>
      <c r="C272" s="38" t="s">
        <v>698</v>
      </c>
      <c r="D272" s="38" t="s">
        <v>252</v>
      </c>
      <c r="E272" s="190">
        <f t="shared" si="12"/>
        <v>4.5</v>
      </c>
      <c r="F272" s="190">
        <f t="shared" si="12"/>
        <v>1.125</v>
      </c>
      <c r="G272" s="190">
        <f t="shared" si="12"/>
        <v>3.75</v>
      </c>
      <c r="H272" s="190">
        <f t="shared" si="12"/>
        <v>3.75</v>
      </c>
      <c r="I272" s="190">
        <f t="shared" si="12"/>
        <v>4.5</v>
      </c>
    </row>
    <row r="273" spans="1:9" hidden="1" x14ac:dyDescent="0.35">
      <c r="A273" s="196" t="s">
        <v>756</v>
      </c>
      <c r="B273" s="38" t="s">
        <v>750</v>
      </c>
      <c r="C273" s="38" t="s">
        <v>701</v>
      </c>
      <c r="D273" s="38" t="s">
        <v>702</v>
      </c>
      <c r="E273" s="190">
        <f t="shared" si="12"/>
        <v>4.5</v>
      </c>
      <c r="F273" s="190">
        <f t="shared" si="12"/>
        <v>4.6574999999999998</v>
      </c>
      <c r="G273" s="190">
        <f t="shared" si="12"/>
        <v>0.375</v>
      </c>
      <c r="H273" s="190">
        <f t="shared" si="12"/>
        <v>3</v>
      </c>
      <c r="I273" s="190">
        <f t="shared" si="12"/>
        <v>3</v>
      </c>
    </row>
    <row r="274" spans="1:9" hidden="1" x14ac:dyDescent="0.35">
      <c r="A274" s="196" t="s">
        <v>756</v>
      </c>
      <c r="B274" s="38" t="s">
        <v>750</v>
      </c>
      <c r="C274" s="38" t="s">
        <v>701</v>
      </c>
      <c r="D274" s="38" t="s">
        <v>703</v>
      </c>
      <c r="E274" s="190">
        <f t="shared" si="12"/>
        <v>2.625</v>
      </c>
      <c r="F274" s="190">
        <f t="shared" si="12"/>
        <v>2.8050000000000002</v>
      </c>
      <c r="G274" s="190">
        <f t="shared" si="12"/>
        <v>1.5</v>
      </c>
      <c r="H274" s="190">
        <f t="shared" si="12"/>
        <v>6</v>
      </c>
      <c r="I274" s="190">
        <f t="shared" si="12"/>
        <v>3</v>
      </c>
    </row>
    <row r="275" spans="1:9" hidden="1" x14ac:dyDescent="0.35">
      <c r="A275" s="196" t="s">
        <v>756</v>
      </c>
      <c r="B275" s="38" t="s">
        <v>750</v>
      </c>
      <c r="C275" s="38" t="s">
        <v>704</v>
      </c>
      <c r="D275" s="38" t="s">
        <v>746</v>
      </c>
      <c r="E275" s="190">
        <f t="shared" si="12"/>
        <v>4.5</v>
      </c>
      <c r="F275" s="190">
        <f t="shared" si="12"/>
        <v>1.1174999999999999</v>
      </c>
      <c r="G275" s="190">
        <f t="shared" si="12"/>
        <v>6</v>
      </c>
      <c r="H275" s="190">
        <f t="shared" si="12"/>
        <v>1.5</v>
      </c>
      <c r="I275" s="190">
        <f t="shared" si="12"/>
        <v>1.5</v>
      </c>
    </row>
    <row r="276" spans="1:9" hidden="1" x14ac:dyDescent="0.35">
      <c r="A276" s="196" t="s">
        <v>756</v>
      </c>
      <c r="B276" s="38" t="s">
        <v>750</v>
      </c>
      <c r="C276" s="38" t="s">
        <v>707</v>
      </c>
      <c r="D276" s="38" t="s">
        <v>708</v>
      </c>
      <c r="E276" s="190">
        <f t="shared" si="12"/>
        <v>10.5</v>
      </c>
      <c r="F276" s="190">
        <f t="shared" si="12"/>
        <v>7.7925000000000004</v>
      </c>
      <c r="G276" s="190">
        <f t="shared" si="12"/>
        <v>9</v>
      </c>
      <c r="H276" s="190">
        <f t="shared" si="12"/>
        <v>2.25</v>
      </c>
      <c r="I276" s="190">
        <f t="shared" si="12"/>
        <v>3</v>
      </c>
    </row>
    <row r="277" spans="1:9" hidden="1" x14ac:dyDescent="0.35">
      <c r="A277" s="196" t="s">
        <v>756</v>
      </c>
      <c r="B277" s="38" t="s">
        <v>751</v>
      </c>
      <c r="C277" s="38" t="s">
        <v>686</v>
      </c>
      <c r="D277" s="38" t="s">
        <v>746</v>
      </c>
      <c r="E277" s="190">
        <f t="shared" si="12"/>
        <v>4.5</v>
      </c>
      <c r="F277" s="190">
        <f t="shared" si="12"/>
        <v>5.4225000000000003</v>
      </c>
      <c r="G277" s="190">
        <f t="shared" si="12"/>
        <v>6.75</v>
      </c>
      <c r="H277" s="190">
        <f t="shared" si="12"/>
        <v>3</v>
      </c>
      <c r="I277" s="190">
        <f t="shared" si="12"/>
        <v>9</v>
      </c>
    </row>
    <row r="278" spans="1:9" hidden="1" x14ac:dyDescent="0.35">
      <c r="A278" s="196" t="s">
        <v>756</v>
      </c>
      <c r="B278" s="38" t="s">
        <v>751</v>
      </c>
      <c r="C278" s="38" t="s">
        <v>691</v>
      </c>
      <c r="D278" s="38" t="s">
        <v>746</v>
      </c>
      <c r="E278" s="190">
        <f t="shared" si="12"/>
        <v>8.4975000000000005</v>
      </c>
      <c r="F278" s="190">
        <f t="shared" si="12"/>
        <v>8.4750000000000014</v>
      </c>
      <c r="G278" s="190">
        <f t="shared" si="12"/>
        <v>15</v>
      </c>
      <c r="H278" s="190">
        <f t="shared" si="12"/>
        <v>11.362500000000001</v>
      </c>
      <c r="I278" s="190">
        <f t="shared" si="12"/>
        <v>9.75</v>
      </c>
    </row>
    <row r="279" spans="1:9" hidden="1" x14ac:dyDescent="0.35">
      <c r="A279" s="196" t="s">
        <v>756</v>
      </c>
      <c r="B279" s="38" t="s">
        <v>751</v>
      </c>
      <c r="C279" s="38" t="s">
        <v>696</v>
      </c>
      <c r="D279" s="38" t="s">
        <v>697</v>
      </c>
      <c r="E279" s="190">
        <f t="shared" si="12"/>
        <v>4.9499999999999993</v>
      </c>
      <c r="F279" s="190">
        <f t="shared" si="12"/>
        <v>16.844999999999999</v>
      </c>
      <c r="G279" s="190">
        <f t="shared" si="12"/>
        <v>6.75</v>
      </c>
      <c r="H279" s="190">
        <f t="shared" si="12"/>
        <v>7.5</v>
      </c>
      <c r="I279" s="190">
        <f t="shared" si="12"/>
        <v>3</v>
      </c>
    </row>
    <row r="280" spans="1:9" hidden="1" x14ac:dyDescent="0.35">
      <c r="A280" s="196" t="s">
        <v>756</v>
      </c>
      <c r="B280" s="38" t="s">
        <v>751</v>
      </c>
      <c r="C280" s="38" t="s">
        <v>698</v>
      </c>
      <c r="D280" s="38" t="s">
        <v>747</v>
      </c>
      <c r="E280" s="190">
        <f t="shared" si="12"/>
        <v>7.5</v>
      </c>
      <c r="F280" s="190">
        <f t="shared" si="12"/>
        <v>0.15000000000000002</v>
      </c>
      <c r="G280" s="190">
        <f t="shared" si="12"/>
        <v>3.75</v>
      </c>
      <c r="H280" s="190">
        <f t="shared" si="12"/>
        <v>3.75</v>
      </c>
      <c r="I280" s="190">
        <f t="shared" si="12"/>
        <v>6</v>
      </c>
    </row>
    <row r="281" spans="1:9" hidden="1" x14ac:dyDescent="0.35">
      <c r="A281" s="196" t="s">
        <v>756</v>
      </c>
      <c r="B281" s="38" t="s">
        <v>751</v>
      </c>
      <c r="C281" s="38" t="s">
        <v>698</v>
      </c>
      <c r="D281" s="38" t="s">
        <v>700</v>
      </c>
      <c r="E281" s="190">
        <f t="shared" ref="E281:I296" si="13">E50*0.75</f>
        <v>11.25</v>
      </c>
      <c r="F281" s="190">
        <f t="shared" si="13"/>
        <v>0.15000000000000002</v>
      </c>
      <c r="G281" s="190">
        <f t="shared" si="13"/>
        <v>3.75</v>
      </c>
      <c r="H281" s="190">
        <f t="shared" si="13"/>
        <v>3.75</v>
      </c>
      <c r="I281" s="190">
        <f t="shared" si="13"/>
        <v>6</v>
      </c>
    </row>
    <row r="282" spans="1:9" hidden="1" x14ac:dyDescent="0.35">
      <c r="A282" s="196" t="s">
        <v>756</v>
      </c>
      <c r="B282" s="38" t="s">
        <v>751</v>
      </c>
      <c r="C282" s="38" t="s">
        <v>698</v>
      </c>
      <c r="D282" s="38" t="s">
        <v>521</v>
      </c>
      <c r="E282" s="190">
        <f t="shared" si="13"/>
        <v>6</v>
      </c>
      <c r="F282" s="190">
        <f t="shared" si="13"/>
        <v>0.17250000000000001</v>
      </c>
      <c r="G282" s="190">
        <f t="shared" si="13"/>
        <v>3.75</v>
      </c>
      <c r="H282" s="190">
        <f t="shared" si="13"/>
        <v>3.75</v>
      </c>
      <c r="I282" s="190">
        <f t="shared" si="13"/>
        <v>6</v>
      </c>
    </row>
    <row r="283" spans="1:9" hidden="1" x14ac:dyDescent="0.35">
      <c r="A283" s="196" t="s">
        <v>756</v>
      </c>
      <c r="B283" s="38" t="s">
        <v>751</v>
      </c>
      <c r="C283" s="38" t="s">
        <v>698</v>
      </c>
      <c r="D283" s="38" t="s">
        <v>252</v>
      </c>
      <c r="E283" s="190">
        <f t="shared" si="13"/>
        <v>6</v>
      </c>
      <c r="F283" s="190">
        <f t="shared" si="13"/>
        <v>0.67500000000000004</v>
      </c>
      <c r="G283" s="190">
        <f t="shared" si="13"/>
        <v>3.75</v>
      </c>
      <c r="H283" s="190">
        <f t="shared" si="13"/>
        <v>3.75</v>
      </c>
      <c r="I283" s="190">
        <f t="shared" si="13"/>
        <v>6</v>
      </c>
    </row>
    <row r="284" spans="1:9" hidden="1" x14ac:dyDescent="0.35">
      <c r="A284" s="196" t="s">
        <v>756</v>
      </c>
      <c r="B284" s="38" t="s">
        <v>751</v>
      </c>
      <c r="C284" s="38" t="s">
        <v>701</v>
      </c>
      <c r="D284" s="38" t="s">
        <v>702</v>
      </c>
      <c r="E284" s="190">
        <f t="shared" si="13"/>
        <v>4.5</v>
      </c>
      <c r="F284" s="190">
        <f t="shared" si="13"/>
        <v>3.6674999999999995</v>
      </c>
      <c r="G284" s="190">
        <f t="shared" si="13"/>
        <v>3.375</v>
      </c>
      <c r="H284" s="190">
        <f t="shared" si="13"/>
        <v>3</v>
      </c>
      <c r="I284" s="190">
        <f t="shared" si="13"/>
        <v>9</v>
      </c>
    </row>
    <row r="285" spans="1:9" hidden="1" x14ac:dyDescent="0.35">
      <c r="A285" s="196" t="s">
        <v>756</v>
      </c>
      <c r="B285" s="38" t="s">
        <v>751</v>
      </c>
      <c r="C285" s="38" t="s">
        <v>701</v>
      </c>
      <c r="D285" s="38" t="s">
        <v>703</v>
      </c>
      <c r="E285" s="190">
        <f t="shared" si="13"/>
        <v>2.625</v>
      </c>
      <c r="F285" s="190">
        <f t="shared" si="13"/>
        <v>2.4899999999999998</v>
      </c>
      <c r="G285" s="190">
        <f t="shared" si="13"/>
        <v>1.5</v>
      </c>
      <c r="H285" s="190">
        <f t="shared" si="13"/>
        <v>6</v>
      </c>
      <c r="I285" s="190">
        <f t="shared" si="13"/>
        <v>1.5</v>
      </c>
    </row>
    <row r="286" spans="1:9" hidden="1" x14ac:dyDescent="0.35">
      <c r="A286" s="196" t="s">
        <v>756</v>
      </c>
      <c r="B286" s="38" t="s">
        <v>751</v>
      </c>
      <c r="C286" s="38" t="s">
        <v>704</v>
      </c>
      <c r="D286" s="38" t="s">
        <v>746</v>
      </c>
      <c r="E286" s="190">
        <f t="shared" si="13"/>
        <v>11.25</v>
      </c>
      <c r="F286" s="190">
        <f t="shared" si="13"/>
        <v>2.0999999999999996</v>
      </c>
      <c r="G286" s="190">
        <f t="shared" si="13"/>
        <v>6</v>
      </c>
      <c r="H286" s="190">
        <f t="shared" si="13"/>
        <v>1.5</v>
      </c>
      <c r="I286" s="190">
        <f t="shared" si="13"/>
        <v>1.5</v>
      </c>
    </row>
    <row r="287" spans="1:9" hidden="1" x14ac:dyDescent="0.35">
      <c r="A287" s="196" t="s">
        <v>756</v>
      </c>
      <c r="B287" s="38" t="s">
        <v>751</v>
      </c>
      <c r="C287" s="38" t="s">
        <v>707</v>
      </c>
      <c r="D287" s="38" t="s">
        <v>708</v>
      </c>
      <c r="E287" s="190">
        <f t="shared" si="13"/>
        <v>8.9250000000000007</v>
      </c>
      <c r="F287" s="190">
        <f t="shared" si="13"/>
        <v>6.9450000000000003</v>
      </c>
      <c r="G287" s="190">
        <f t="shared" si="13"/>
        <v>9</v>
      </c>
      <c r="H287" s="190">
        <f t="shared" si="13"/>
        <v>4.2750000000000004</v>
      </c>
      <c r="I287" s="190">
        <f t="shared" si="13"/>
        <v>4.5</v>
      </c>
    </row>
    <row r="288" spans="1:9" hidden="1" x14ac:dyDescent="0.35">
      <c r="A288" s="196" t="s">
        <v>756</v>
      </c>
      <c r="B288" s="38" t="s">
        <v>752</v>
      </c>
      <c r="C288" s="38" t="s">
        <v>686</v>
      </c>
      <c r="D288" s="38" t="s">
        <v>746</v>
      </c>
      <c r="E288" s="190">
        <f t="shared" si="13"/>
        <v>5.4074999999999998</v>
      </c>
      <c r="F288" s="190">
        <f t="shared" si="13"/>
        <v>6.5625</v>
      </c>
      <c r="G288" s="190">
        <f t="shared" si="13"/>
        <v>11.4375</v>
      </c>
      <c r="H288" s="190">
        <f t="shared" si="13"/>
        <v>1.5</v>
      </c>
      <c r="I288" s="190">
        <f t="shared" si="13"/>
        <v>0.75</v>
      </c>
    </row>
    <row r="289" spans="1:9" hidden="1" x14ac:dyDescent="0.35">
      <c r="A289" s="196" t="s">
        <v>756</v>
      </c>
      <c r="B289" s="38" t="s">
        <v>752</v>
      </c>
      <c r="C289" s="38" t="s">
        <v>691</v>
      </c>
      <c r="D289" s="38" t="s">
        <v>746</v>
      </c>
      <c r="E289" s="190">
        <f t="shared" si="13"/>
        <v>10.102500000000001</v>
      </c>
      <c r="F289" s="190">
        <f t="shared" si="13"/>
        <v>13.282500000000001</v>
      </c>
      <c r="G289" s="190">
        <f t="shared" si="13"/>
        <v>18.75</v>
      </c>
      <c r="H289" s="190">
        <f t="shared" si="13"/>
        <v>25.597500000000004</v>
      </c>
      <c r="I289" s="190">
        <f t="shared" si="13"/>
        <v>3.75</v>
      </c>
    </row>
    <row r="290" spans="1:9" hidden="1" x14ac:dyDescent="0.35">
      <c r="A290" s="196" t="s">
        <v>756</v>
      </c>
      <c r="B290" s="38" t="s">
        <v>752</v>
      </c>
      <c r="C290" s="38" t="s">
        <v>696</v>
      </c>
      <c r="D290" s="38" t="s">
        <v>697</v>
      </c>
      <c r="E290" s="190">
        <f t="shared" si="13"/>
        <v>4.2750000000000004</v>
      </c>
      <c r="F290" s="190">
        <f t="shared" si="13"/>
        <v>16.455000000000002</v>
      </c>
      <c r="G290" s="190">
        <f t="shared" si="13"/>
        <v>6.75</v>
      </c>
      <c r="H290" s="190">
        <f t="shared" si="13"/>
        <v>11.25</v>
      </c>
      <c r="I290" s="190">
        <f t="shared" si="13"/>
        <v>1.5</v>
      </c>
    </row>
    <row r="291" spans="1:9" hidden="1" x14ac:dyDescent="0.35">
      <c r="A291" s="196" t="s">
        <v>756</v>
      </c>
      <c r="B291" s="38" t="s">
        <v>752</v>
      </c>
      <c r="C291" s="38" t="s">
        <v>698</v>
      </c>
      <c r="D291" s="38" t="s">
        <v>747</v>
      </c>
      <c r="E291" s="190">
        <f t="shared" si="13"/>
        <v>7.5</v>
      </c>
      <c r="F291" s="190">
        <f t="shared" si="13"/>
        <v>0.69750000000000001</v>
      </c>
      <c r="G291" s="190">
        <f t="shared" si="13"/>
        <v>3.75</v>
      </c>
      <c r="H291" s="190">
        <f t="shared" si="13"/>
        <v>5.25</v>
      </c>
      <c r="I291" s="190">
        <f t="shared" si="13"/>
        <v>1.5</v>
      </c>
    </row>
    <row r="292" spans="1:9" hidden="1" x14ac:dyDescent="0.35">
      <c r="A292" s="196" t="s">
        <v>756</v>
      </c>
      <c r="B292" s="38" t="s">
        <v>752</v>
      </c>
      <c r="C292" s="38" t="s">
        <v>698</v>
      </c>
      <c r="D292" s="38" t="s">
        <v>700</v>
      </c>
      <c r="E292" s="190">
        <f t="shared" si="13"/>
        <v>24.75</v>
      </c>
      <c r="F292" s="190">
        <f t="shared" si="13"/>
        <v>0.15000000000000002</v>
      </c>
      <c r="G292" s="190">
        <f t="shared" si="13"/>
        <v>3.75</v>
      </c>
      <c r="H292" s="190">
        <f t="shared" si="13"/>
        <v>5.25</v>
      </c>
      <c r="I292" s="190">
        <f t="shared" si="13"/>
        <v>1.5</v>
      </c>
    </row>
    <row r="293" spans="1:9" hidden="1" x14ac:dyDescent="0.35">
      <c r="A293" s="196" t="s">
        <v>756</v>
      </c>
      <c r="B293" s="38" t="s">
        <v>752</v>
      </c>
      <c r="C293" s="38" t="s">
        <v>698</v>
      </c>
      <c r="D293" s="38" t="s">
        <v>521</v>
      </c>
      <c r="E293" s="190">
        <f t="shared" si="13"/>
        <v>7.5</v>
      </c>
      <c r="F293" s="190">
        <f t="shared" si="13"/>
        <v>0.17250000000000001</v>
      </c>
      <c r="G293" s="190">
        <f t="shared" si="13"/>
        <v>3.75</v>
      </c>
      <c r="H293" s="190">
        <f t="shared" si="13"/>
        <v>5.25</v>
      </c>
      <c r="I293" s="190">
        <f t="shared" si="13"/>
        <v>1.5</v>
      </c>
    </row>
    <row r="294" spans="1:9" hidden="1" x14ac:dyDescent="0.35">
      <c r="A294" s="196" t="s">
        <v>756</v>
      </c>
      <c r="B294" s="38" t="s">
        <v>752</v>
      </c>
      <c r="C294" s="38" t="s">
        <v>698</v>
      </c>
      <c r="D294" s="38" t="s">
        <v>252</v>
      </c>
      <c r="E294" s="190">
        <f t="shared" si="13"/>
        <v>18.75</v>
      </c>
      <c r="F294" s="190">
        <f t="shared" si="13"/>
        <v>0.67500000000000004</v>
      </c>
      <c r="G294" s="190">
        <f t="shared" si="13"/>
        <v>3.75</v>
      </c>
      <c r="H294" s="190">
        <f t="shared" si="13"/>
        <v>5.25</v>
      </c>
      <c r="I294" s="190">
        <f t="shared" si="13"/>
        <v>1.5</v>
      </c>
    </row>
    <row r="295" spans="1:9" hidden="1" x14ac:dyDescent="0.35">
      <c r="A295" s="196" t="s">
        <v>756</v>
      </c>
      <c r="B295" s="38" t="s">
        <v>752</v>
      </c>
      <c r="C295" s="38" t="s">
        <v>701</v>
      </c>
      <c r="D295" s="38" t="s">
        <v>702</v>
      </c>
      <c r="E295" s="190">
        <f t="shared" si="13"/>
        <v>6</v>
      </c>
      <c r="F295" s="190">
        <f t="shared" si="13"/>
        <v>6.0075000000000003</v>
      </c>
      <c r="G295" s="190">
        <f t="shared" si="13"/>
        <v>7.5000000000000011E-2</v>
      </c>
      <c r="H295" s="190">
        <f t="shared" si="13"/>
        <v>2.25</v>
      </c>
      <c r="I295" s="190">
        <f t="shared" si="13"/>
        <v>0.75</v>
      </c>
    </row>
    <row r="296" spans="1:9" hidden="1" x14ac:dyDescent="0.35">
      <c r="A296" s="196" t="s">
        <v>756</v>
      </c>
      <c r="B296" s="38" t="s">
        <v>752</v>
      </c>
      <c r="C296" s="38" t="s">
        <v>701</v>
      </c>
      <c r="D296" s="38" t="s">
        <v>703</v>
      </c>
      <c r="E296" s="190">
        <f t="shared" si="13"/>
        <v>4.5</v>
      </c>
      <c r="F296" s="190">
        <f t="shared" si="13"/>
        <v>6.1499999999999995</v>
      </c>
      <c r="G296" s="190">
        <f t="shared" si="13"/>
        <v>1.5</v>
      </c>
      <c r="H296" s="190">
        <f t="shared" si="13"/>
        <v>7.5</v>
      </c>
      <c r="I296" s="190">
        <f t="shared" si="13"/>
        <v>7.5000000000000011E-2</v>
      </c>
    </row>
    <row r="297" spans="1:9" hidden="1" x14ac:dyDescent="0.35">
      <c r="A297" s="196" t="s">
        <v>756</v>
      </c>
      <c r="B297" s="38" t="s">
        <v>752</v>
      </c>
      <c r="C297" s="38" t="s">
        <v>704</v>
      </c>
      <c r="D297" s="38" t="s">
        <v>746</v>
      </c>
      <c r="E297" s="190">
        <f t="shared" ref="E297:I309" si="14">E66*0.75</f>
        <v>9</v>
      </c>
      <c r="F297" s="190">
        <f t="shared" si="14"/>
        <v>6.1349999999999998</v>
      </c>
      <c r="G297" s="190">
        <f t="shared" si="14"/>
        <v>6</v>
      </c>
      <c r="H297" s="190">
        <f t="shared" si="14"/>
        <v>1.5</v>
      </c>
      <c r="I297" s="190">
        <f t="shared" si="14"/>
        <v>0.75</v>
      </c>
    </row>
    <row r="298" spans="1:9" hidden="1" x14ac:dyDescent="0.35">
      <c r="A298" s="196" t="s">
        <v>756</v>
      </c>
      <c r="B298" s="38" t="s">
        <v>752</v>
      </c>
      <c r="C298" s="38" t="s">
        <v>707</v>
      </c>
      <c r="D298" s="38" t="s">
        <v>708</v>
      </c>
      <c r="E298" s="190">
        <f t="shared" si="14"/>
        <v>10.5</v>
      </c>
      <c r="F298" s="190">
        <f t="shared" si="14"/>
        <v>12.705000000000002</v>
      </c>
      <c r="G298" s="190">
        <f t="shared" si="14"/>
        <v>11.25</v>
      </c>
      <c r="H298" s="190">
        <f t="shared" si="14"/>
        <v>3.75</v>
      </c>
      <c r="I298" s="190">
        <f t="shared" si="14"/>
        <v>1.5</v>
      </c>
    </row>
    <row r="299" spans="1:9" hidden="1" x14ac:dyDescent="0.35">
      <c r="A299" s="196" t="s">
        <v>756</v>
      </c>
      <c r="B299" s="38" t="s">
        <v>753</v>
      </c>
      <c r="C299" s="38" t="s">
        <v>686</v>
      </c>
      <c r="D299" s="38" t="s">
        <v>746</v>
      </c>
      <c r="E299" s="190">
        <f t="shared" si="14"/>
        <v>4.5</v>
      </c>
      <c r="F299" s="190">
        <f t="shared" si="14"/>
        <v>4.9424999999999999</v>
      </c>
      <c r="G299" s="190">
        <f t="shared" si="14"/>
        <v>5.25</v>
      </c>
      <c r="H299" s="190">
        <f t="shared" si="14"/>
        <v>2.2349999999999999</v>
      </c>
      <c r="I299" s="190">
        <f t="shared" si="14"/>
        <v>2.25</v>
      </c>
    </row>
    <row r="300" spans="1:9" hidden="1" x14ac:dyDescent="0.35">
      <c r="A300" s="196" t="s">
        <v>756</v>
      </c>
      <c r="B300" s="38" t="s">
        <v>753</v>
      </c>
      <c r="C300" s="38" t="s">
        <v>691</v>
      </c>
      <c r="D300" s="38" t="s">
        <v>746</v>
      </c>
      <c r="E300" s="190">
        <f t="shared" si="14"/>
        <v>6.5325000000000006</v>
      </c>
      <c r="F300" s="190">
        <f t="shared" si="14"/>
        <v>7.4024999999999999</v>
      </c>
      <c r="G300" s="190">
        <f t="shared" si="14"/>
        <v>18.75</v>
      </c>
      <c r="H300" s="190">
        <f t="shared" si="14"/>
        <v>9.7200000000000006</v>
      </c>
      <c r="I300" s="190">
        <f t="shared" si="14"/>
        <v>13.620000000000001</v>
      </c>
    </row>
    <row r="301" spans="1:9" hidden="1" x14ac:dyDescent="0.35">
      <c r="A301" s="196" t="s">
        <v>756</v>
      </c>
      <c r="B301" s="38" t="s">
        <v>753</v>
      </c>
      <c r="C301" s="38" t="s">
        <v>696</v>
      </c>
      <c r="D301" s="38" t="s">
        <v>697</v>
      </c>
      <c r="E301" s="190">
        <f t="shared" si="14"/>
        <v>6.1499999999999995</v>
      </c>
      <c r="F301" s="190">
        <f t="shared" si="14"/>
        <v>19.102499999999999</v>
      </c>
      <c r="G301" s="190">
        <f t="shared" si="14"/>
        <v>6.75</v>
      </c>
      <c r="H301" s="190">
        <f t="shared" si="14"/>
        <v>9.2475000000000005</v>
      </c>
      <c r="I301" s="190">
        <f t="shared" si="14"/>
        <v>1.5</v>
      </c>
    </row>
    <row r="302" spans="1:9" hidden="1" x14ac:dyDescent="0.35">
      <c r="A302" s="196" t="s">
        <v>756</v>
      </c>
      <c r="B302" s="38" t="s">
        <v>753</v>
      </c>
      <c r="C302" s="38" t="s">
        <v>698</v>
      </c>
      <c r="D302" s="38" t="s">
        <v>747</v>
      </c>
      <c r="E302" s="190">
        <f t="shared" si="14"/>
        <v>7.5</v>
      </c>
      <c r="F302" s="190">
        <f t="shared" si="14"/>
        <v>0.1575</v>
      </c>
      <c r="G302" s="190">
        <f t="shared" si="14"/>
        <v>3.75</v>
      </c>
      <c r="H302" s="190">
        <f t="shared" si="14"/>
        <v>5.25</v>
      </c>
      <c r="I302" s="190">
        <f t="shared" si="14"/>
        <v>3</v>
      </c>
    </row>
    <row r="303" spans="1:9" hidden="1" x14ac:dyDescent="0.35">
      <c r="A303" s="196" t="s">
        <v>756</v>
      </c>
      <c r="B303" s="38" t="s">
        <v>753</v>
      </c>
      <c r="C303" s="38" t="s">
        <v>698</v>
      </c>
      <c r="D303" s="38" t="s">
        <v>700</v>
      </c>
      <c r="E303" s="190">
        <f t="shared" si="14"/>
        <v>7.5</v>
      </c>
      <c r="F303" s="190">
        <f t="shared" si="14"/>
        <v>0.15000000000000002</v>
      </c>
      <c r="G303" s="190">
        <f t="shared" si="14"/>
        <v>3.75</v>
      </c>
      <c r="H303" s="190">
        <f t="shared" si="14"/>
        <v>5.25</v>
      </c>
      <c r="I303" s="190">
        <f t="shared" si="14"/>
        <v>3</v>
      </c>
    </row>
    <row r="304" spans="1:9" hidden="1" x14ac:dyDescent="0.35">
      <c r="A304" s="196" t="s">
        <v>756</v>
      </c>
      <c r="B304" s="38" t="s">
        <v>753</v>
      </c>
      <c r="C304" s="38" t="s">
        <v>698</v>
      </c>
      <c r="D304" s="38" t="s">
        <v>521</v>
      </c>
      <c r="E304" s="190">
        <f t="shared" si="14"/>
        <v>4.5</v>
      </c>
      <c r="F304" s="190">
        <f t="shared" si="14"/>
        <v>0.35249999999999998</v>
      </c>
      <c r="G304" s="190">
        <f t="shared" si="14"/>
        <v>3.75</v>
      </c>
      <c r="H304" s="190">
        <f t="shared" si="14"/>
        <v>5.25</v>
      </c>
      <c r="I304" s="190">
        <f t="shared" si="14"/>
        <v>3</v>
      </c>
    </row>
    <row r="305" spans="1:9" hidden="1" x14ac:dyDescent="0.35">
      <c r="A305" s="196" t="s">
        <v>756</v>
      </c>
      <c r="B305" s="38" t="s">
        <v>753</v>
      </c>
      <c r="C305" s="38" t="s">
        <v>698</v>
      </c>
      <c r="D305" s="38" t="s">
        <v>252</v>
      </c>
      <c r="E305" s="190">
        <f t="shared" si="14"/>
        <v>6</v>
      </c>
      <c r="F305" s="190">
        <f t="shared" si="14"/>
        <v>0.72750000000000004</v>
      </c>
      <c r="G305" s="190">
        <f t="shared" si="14"/>
        <v>3.75</v>
      </c>
      <c r="H305" s="190">
        <f t="shared" si="14"/>
        <v>5.25</v>
      </c>
      <c r="I305" s="190">
        <f t="shared" si="14"/>
        <v>3</v>
      </c>
    </row>
    <row r="306" spans="1:9" hidden="1" x14ac:dyDescent="0.35">
      <c r="A306" s="196" t="s">
        <v>756</v>
      </c>
      <c r="B306" s="38" t="s">
        <v>753</v>
      </c>
      <c r="C306" s="38" t="s">
        <v>701</v>
      </c>
      <c r="D306" s="38" t="s">
        <v>702</v>
      </c>
      <c r="E306" s="190">
        <f t="shared" si="14"/>
        <v>6</v>
      </c>
      <c r="F306" s="190">
        <f t="shared" si="14"/>
        <v>5.4225000000000003</v>
      </c>
      <c r="G306" s="190">
        <f t="shared" si="14"/>
        <v>7.5000000000000011E-2</v>
      </c>
      <c r="H306" s="190">
        <f t="shared" si="14"/>
        <v>2.25</v>
      </c>
      <c r="I306" s="190">
        <f t="shared" si="14"/>
        <v>1.5</v>
      </c>
    </row>
    <row r="307" spans="1:9" hidden="1" x14ac:dyDescent="0.35">
      <c r="A307" s="196" t="s">
        <v>756</v>
      </c>
      <c r="B307" s="38" t="s">
        <v>753</v>
      </c>
      <c r="C307" s="38" t="s">
        <v>701</v>
      </c>
      <c r="D307" s="38" t="s">
        <v>703</v>
      </c>
      <c r="E307" s="190">
        <f t="shared" si="14"/>
        <v>2.625</v>
      </c>
      <c r="F307" s="190">
        <f t="shared" si="14"/>
        <v>3.51</v>
      </c>
      <c r="G307" s="190">
        <f t="shared" si="14"/>
        <v>1.5</v>
      </c>
      <c r="H307" s="190">
        <f t="shared" si="14"/>
        <v>7.5</v>
      </c>
      <c r="I307" s="190">
        <f t="shared" si="14"/>
        <v>0.75</v>
      </c>
    </row>
    <row r="308" spans="1:9" hidden="1" x14ac:dyDescent="0.35">
      <c r="A308" s="196" t="s">
        <v>756</v>
      </c>
      <c r="B308" s="38" t="s">
        <v>753</v>
      </c>
      <c r="C308" s="38" t="s">
        <v>704</v>
      </c>
      <c r="D308" s="38" t="s">
        <v>746</v>
      </c>
      <c r="E308" s="190">
        <f t="shared" si="14"/>
        <v>5.25</v>
      </c>
      <c r="F308" s="190">
        <f t="shared" si="14"/>
        <v>2.5499999999999998</v>
      </c>
      <c r="G308" s="190">
        <f t="shared" si="14"/>
        <v>6</v>
      </c>
      <c r="H308" s="190">
        <f t="shared" si="14"/>
        <v>1.5</v>
      </c>
      <c r="I308" s="190">
        <f t="shared" si="14"/>
        <v>0.75</v>
      </c>
    </row>
    <row r="309" spans="1:9" hidden="1" x14ac:dyDescent="0.35">
      <c r="A309" s="196" t="s">
        <v>756</v>
      </c>
      <c r="B309" s="38" t="s">
        <v>753</v>
      </c>
      <c r="C309" s="38" t="s">
        <v>707</v>
      </c>
      <c r="D309" s="38" t="s">
        <v>708</v>
      </c>
      <c r="E309" s="190">
        <f t="shared" si="14"/>
        <v>6.1125000000000007</v>
      </c>
      <c r="F309" s="190">
        <f t="shared" si="14"/>
        <v>9.0824999999999996</v>
      </c>
      <c r="G309" s="190">
        <f t="shared" si="14"/>
        <v>7.5</v>
      </c>
      <c r="H309" s="190">
        <f t="shared" si="14"/>
        <v>8.0849999999999991</v>
      </c>
      <c r="I309" s="190">
        <f t="shared" si="14"/>
        <v>2.91</v>
      </c>
    </row>
    <row r="310" spans="1:9" hidden="1" x14ac:dyDescent="0.35">
      <c r="A310" s="38" t="s">
        <v>757</v>
      </c>
      <c r="B310" s="38" t="s">
        <v>745</v>
      </c>
      <c r="C310" s="38" t="s">
        <v>686</v>
      </c>
      <c r="D310" s="38" t="s">
        <v>746</v>
      </c>
      <c r="E310" s="94">
        <f>E2*0.5</f>
        <v>2.15</v>
      </c>
      <c r="F310" s="94">
        <v>3.8</v>
      </c>
      <c r="G310" s="94">
        <v>10.5</v>
      </c>
      <c r="H310" s="94">
        <v>3</v>
      </c>
      <c r="I310" s="94">
        <v>27</v>
      </c>
    </row>
    <row r="311" spans="1:9" hidden="1" x14ac:dyDescent="0.35">
      <c r="A311" s="38" t="s">
        <v>757</v>
      </c>
      <c r="B311" s="38" t="s">
        <v>745</v>
      </c>
      <c r="C311" s="38" t="s">
        <v>691</v>
      </c>
      <c r="D311" s="38" t="s">
        <v>746</v>
      </c>
      <c r="E311" s="94">
        <f t="shared" ref="E311:E374" si="15">E3*0.5</f>
        <v>10</v>
      </c>
      <c r="F311" s="94">
        <v>7.3</v>
      </c>
      <c r="G311" s="94">
        <v>2</v>
      </c>
      <c r="H311" s="94">
        <v>4.9000000000000004</v>
      </c>
      <c r="I311" s="94">
        <v>19</v>
      </c>
    </row>
    <row r="312" spans="1:9" hidden="1" x14ac:dyDescent="0.35">
      <c r="A312" s="38" t="s">
        <v>757</v>
      </c>
      <c r="B312" s="38" t="s">
        <v>745</v>
      </c>
      <c r="C312" s="38" t="s">
        <v>696</v>
      </c>
      <c r="D312" s="94" t="s">
        <v>697</v>
      </c>
      <c r="E312" s="94">
        <f t="shared" si="15"/>
        <v>4.7</v>
      </c>
      <c r="F312" s="94">
        <v>7.9</v>
      </c>
      <c r="G312" s="94">
        <v>6</v>
      </c>
      <c r="H312" s="94">
        <v>9</v>
      </c>
      <c r="I312" s="94">
        <v>11</v>
      </c>
    </row>
    <row r="313" spans="1:9" hidden="1" x14ac:dyDescent="0.35">
      <c r="A313" s="38" t="s">
        <v>757</v>
      </c>
      <c r="B313" s="38" t="s">
        <v>745</v>
      </c>
      <c r="C313" s="38" t="s">
        <v>698</v>
      </c>
      <c r="D313" s="38" t="s">
        <v>747</v>
      </c>
      <c r="E313" s="94">
        <f t="shared" si="15"/>
        <v>1.1499999999999999</v>
      </c>
      <c r="F313" s="94">
        <v>0.6</v>
      </c>
      <c r="G313" s="94">
        <v>5</v>
      </c>
      <c r="H313" s="94">
        <v>4</v>
      </c>
      <c r="I313" s="94">
        <v>11</v>
      </c>
    </row>
    <row r="314" spans="1:9" hidden="1" x14ac:dyDescent="0.35">
      <c r="A314" s="38" t="s">
        <v>757</v>
      </c>
      <c r="B314" s="38" t="s">
        <v>745</v>
      </c>
      <c r="C314" s="38" t="s">
        <v>698</v>
      </c>
      <c r="D314" s="38" t="s">
        <v>700</v>
      </c>
      <c r="E314" s="94">
        <f t="shared" si="15"/>
        <v>5</v>
      </c>
      <c r="F314" s="94">
        <v>0.6</v>
      </c>
      <c r="G314" s="94">
        <v>5</v>
      </c>
      <c r="H314" s="94">
        <v>4</v>
      </c>
      <c r="I314" s="94">
        <v>11</v>
      </c>
    </row>
    <row r="315" spans="1:9" hidden="1" x14ac:dyDescent="0.35">
      <c r="A315" s="38" t="s">
        <v>757</v>
      </c>
      <c r="B315" s="38" t="s">
        <v>745</v>
      </c>
      <c r="C315" s="38" t="s">
        <v>698</v>
      </c>
      <c r="D315" s="38" t="s">
        <v>521</v>
      </c>
      <c r="E315" s="94">
        <f t="shared" si="15"/>
        <v>1.25</v>
      </c>
      <c r="F315" s="94">
        <v>0.3</v>
      </c>
      <c r="G315" s="94">
        <v>5</v>
      </c>
      <c r="H315" s="94">
        <v>4</v>
      </c>
      <c r="I315" s="94">
        <v>11</v>
      </c>
    </row>
    <row r="316" spans="1:9" hidden="1" x14ac:dyDescent="0.35">
      <c r="A316" s="38" t="s">
        <v>757</v>
      </c>
      <c r="B316" s="38" t="s">
        <v>745</v>
      </c>
      <c r="C316" s="38" t="s">
        <v>698</v>
      </c>
      <c r="D316" s="38" t="s">
        <v>252</v>
      </c>
      <c r="E316" s="94">
        <f t="shared" si="15"/>
        <v>3.5</v>
      </c>
      <c r="F316" s="94">
        <v>0.9</v>
      </c>
      <c r="G316" s="94">
        <v>5</v>
      </c>
      <c r="H316" s="94">
        <v>4</v>
      </c>
      <c r="I316" s="94">
        <v>11</v>
      </c>
    </row>
    <row r="317" spans="1:9" hidden="1" x14ac:dyDescent="0.35">
      <c r="A317" s="38" t="s">
        <v>757</v>
      </c>
      <c r="B317" s="38" t="s">
        <v>745</v>
      </c>
      <c r="C317" s="38" t="s">
        <v>701</v>
      </c>
      <c r="D317" s="38" t="s">
        <v>702</v>
      </c>
      <c r="E317" s="94">
        <f t="shared" si="15"/>
        <v>2</v>
      </c>
      <c r="F317" s="94">
        <v>1.9</v>
      </c>
      <c r="G317" s="94">
        <v>0.5</v>
      </c>
      <c r="H317" s="94">
        <v>2</v>
      </c>
      <c r="I317" s="94">
        <v>8</v>
      </c>
    </row>
    <row r="318" spans="1:9" hidden="1" x14ac:dyDescent="0.35">
      <c r="A318" s="38" t="s">
        <v>757</v>
      </c>
      <c r="B318" s="38" t="s">
        <v>745</v>
      </c>
      <c r="C318" s="38" t="s">
        <v>701</v>
      </c>
      <c r="D318" s="38" t="s">
        <v>703</v>
      </c>
      <c r="E318" s="94">
        <f t="shared" si="15"/>
        <v>1.75</v>
      </c>
      <c r="F318" s="94">
        <v>1.7</v>
      </c>
      <c r="G318" s="94">
        <v>1.2</v>
      </c>
      <c r="H318" s="94">
        <v>0.82</v>
      </c>
      <c r="I318" s="94">
        <v>7</v>
      </c>
    </row>
    <row r="319" spans="1:9" hidden="1" x14ac:dyDescent="0.35">
      <c r="A319" s="38" t="s">
        <v>757</v>
      </c>
      <c r="B319" s="38" t="s">
        <v>745</v>
      </c>
      <c r="C319" s="38" t="s">
        <v>704</v>
      </c>
      <c r="D319" s="38" t="s">
        <v>746</v>
      </c>
      <c r="E319" s="94">
        <f t="shared" si="15"/>
        <v>2.65</v>
      </c>
      <c r="F319" s="94">
        <v>1.2</v>
      </c>
      <c r="G319" s="94">
        <v>5</v>
      </c>
      <c r="H319" s="94">
        <v>1</v>
      </c>
      <c r="I319" s="94">
        <v>4</v>
      </c>
    </row>
    <row r="320" spans="1:9" hidden="1" x14ac:dyDescent="0.35">
      <c r="A320" s="38" t="s">
        <v>757</v>
      </c>
      <c r="B320" s="38" t="s">
        <v>745</v>
      </c>
      <c r="C320" s="38" t="s">
        <v>707</v>
      </c>
      <c r="D320" s="38" t="s">
        <v>708</v>
      </c>
      <c r="E320" s="94">
        <f t="shared" si="15"/>
        <v>10</v>
      </c>
      <c r="F320" s="94">
        <v>7.6</v>
      </c>
      <c r="G320" s="94">
        <v>13.8</v>
      </c>
      <c r="H320" s="94">
        <v>7</v>
      </c>
      <c r="I320" s="94">
        <v>17</v>
      </c>
    </row>
    <row r="321" spans="1:9" hidden="1" x14ac:dyDescent="0.35">
      <c r="A321" s="38" t="s">
        <v>757</v>
      </c>
      <c r="B321" s="38" t="s">
        <v>748</v>
      </c>
      <c r="C321" s="38" t="s">
        <v>686</v>
      </c>
      <c r="D321" s="38" t="s">
        <v>746</v>
      </c>
      <c r="E321" s="94">
        <f t="shared" si="15"/>
        <v>1.96</v>
      </c>
      <c r="F321" s="94">
        <v>4.24</v>
      </c>
      <c r="G321" s="94">
        <v>11.8</v>
      </c>
      <c r="H321" s="94">
        <v>2</v>
      </c>
      <c r="I321" s="94">
        <v>13.65</v>
      </c>
    </row>
    <row r="322" spans="1:9" hidden="1" x14ac:dyDescent="0.35">
      <c r="A322" s="38" t="s">
        <v>757</v>
      </c>
      <c r="B322" s="38" t="s">
        <v>748</v>
      </c>
      <c r="C322" s="38" t="s">
        <v>691</v>
      </c>
      <c r="D322" s="38" t="s">
        <v>746</v>
      </c>
      <c r="E322" s="94">
        <f t="shared" si="15"/>
        <v>5</v>
      </c>
      <c r="F322" s="94">
        <v>8.3699999999999992</v>
      </c>
      <c r="G322" s="94">
        <v>2</v>
      </c>
      <c r="H322" s="94">
        <v>8</v>
      </c>
      <c r="I322" s="94">
        <v>10.35</v>
      </c>
    </row>
    <row r="323" spans="1:9" hidden="1" x14ac:dyDescent="0.35">
      <c r="A323" s="38" t="s">
        <v>757</v>
      </c>
      <c r="B323" s="38" t="s">
        <v>748</v>
      </c>
      <c r="C323" s="38" t="s">
        <v>696</v>
      </c>
      <c r="D323" s="94" t="s">
        <v>697</v>
      </c>
      <c r="E323" s="94">
        <f t="shared" si="15"/>
        <v>7.5</v>
      </c>
      <c r="F323" s="94">
        <v>16.5</v>
      </c>
      <c r="G323" s="94">
        <v>6</v>
      </c>
      <c r="H323" s="94">
        <v>11</v>
      </c>
      <c r="I323" s="94">
        <v>7.3</v>
      </c>
    </row>
    <row r="324" spans="1:9" hidden="1" x14ac:dyDescent="0.35">
      <c r="A324" s="38" t="s">
        <v>757</v>
      </c>
      <c r="B324" s="38" t="s">
        <v>748</v>
      </c>
      <c r="C324" s="38" t="s">
        <v>698</v>
      </c>
      <c r="D324" s="38" t="s">
        <v>747</v>
      </c>
      <c r="E324" s="94">
        <f t="shared" si="15"/>
        <v>1.1499999999999999</v>
      </c>
      <c r="F324" s="94">
        <v>0.55000000000000004</v>
      </c>
      <c r="G324" s="94">
        <v>5</v>
      </c>
      <c r="H324" s="94">
        <v>6</v>
      </c>
      <c r="I324" s="94">
        <v>6.8</v>
      </c>
    </row>
    <row r="325" spans="1:9" hidden="1" x14ac:dyDescent="0.35">
      <c r="A325" s="38" t="s">
        <v>757</v>
      </c>
      <c r="B325" s="38" t="s">
        <v>748</v>
      </c>
      <c r="C325" s="38" t="s">
        <v>698</v>
      </c>
      <c r="D325" s="38" t="s">
        <v>700</v>
      </c>
      <c r="E325" s="94">
        <f t="shared" si="15"/>
        <v>5</v>
      </c>
      <c r="F325" s="94">
        <v>0.81</v>
      </c>
      <c r="G325" s="94">
        <v>5</v>
      </c>
      <c r="H325" s="94">
        <v>6</v>
      </c>
      <c r="I325" s="94">
        <v>6.8</v>
      </c>
    </row>
    <row r="326" spans="1:9" hidden="1" x14ac:dyDescent="0.35">
      <c r="A326" s="38" t="s">
        <v>757</v>
      </c>
      <c r="B326" s="38" t="s">
        <v>748</v>
      </c>
      <c r="C326" s="38" t="s">
        <v>698</v>
      </c>
      <c r="D326" s="38" t="s">
        <v>521</v>
      </c>
      <c r="E326" s="94">
        <f t="shared" si="15"/>
        <v>1.25</v>
      </c>
      <c r="F326" s="94">
        <v>0.18</v>
      </c>
      <c r="G326" s="94">
        <v>5</v>
      </c>
      <c r="H326" s="94">
        <v>6</v>
      </c>
      <c r="I326" s="94">
        <v>6.8</v>
      </c>
    </row>
    <row r="327" spans="1:9" hidden="1" x14ac:dyDescent="0.35">
      <c r="A327" s="38" t="s">
        <v>757</v>
      </c>
      <c r="B327" s="38" t="s">
        <v>748</v>
      </c>
      <c r="C327" s="38" t="s">
        <v>698</v>
      </c>
      <c r="D327" s="38" t="s">
        <v>252</v>
      </c>
      <c r="E327" s="94">
        <f t="shared" si="15"/>
        <v>3.5</v>
      </c>
      <c r="F327" s="94">
        <v>1.03</v>
      </c>
      <c r="G327" s="94">
        <v>5</v>
      </c>
      <c r="H327" s="94">
        <v>6</v>
      </c>
      <c r="I327" s="94">
        <v>6.8</v>
      </c>
    </row>
    <row r="328" spans="1:9" hidden="1" x14ac:dyDescent="0.35">
      <c r="A328" s="38" t="s">
        <v>757</v>
      </c>
      <c r="B328" s="38" t="s">
        <v>748</v>
      </c>
      <c r="C328" s="38" t="s">
        <v>701</v>
      </c>
      <c r="D328" s="38" t="s">
        <v>702</v>
      </c>
      <c r="E328" s="94">
        <f t="shared" si="15"/>
        <v>3</v>
      </c>
      <c r="F328" s="94">
        <v>2.38</v>
      </c>
      <c r="G328" s="94">
        <v>0.5</v>
      </c>
      <c r="H328" s="94">
        <v>4</v>
      </c>
      <c r="I328" s="94">
        <v>3.65</v>
      </c>
    </row>
    <row r="329" spans="1:9" hidden="1" x14ac:dyDescent="0.35">
      <c r="A329" s="38" t="s">
        <v>757</v>
      </c>
      <c r="B329" s="38" t="s">
        <v>748</v>
      </c>
      <c r="C329" s="38" t="s">
        <v>701</v>
      </c>
      <c r="D329" s="38" t="s">
        <v>703</v>
      </c>
      <c r="E329" s="94">
        <f t="shared" si="15"/>
        <v>1.75</v>
      </c>
      <c r="F329" s="94">
        <v>2.2400000000000002</v>
      </c>
      <c r="G329" s="94">
        <v>1.2</v>
      </c>
      <c r="H329" s="94">
        <v>0.5</v>
      </c>
      <c r="I329" s="94">
        <v>2.6</v>
      </c>
    </row>
    <row r="330" spans="1:9" hidden="1" x14ac:dyDescent="0.35">
      <c r="A330" s="38" t="s">
        <v>757</v>
      </c>
      <c r="B330" s="38" t="s">
        <v>748</v>
      </c>
      <c r="C330" s="38" t="s">
        <v>704</v>
      </c>
      <c r="D330" s="38" t="s">
        <v>746</v>
      </c>
      <c r="E330" s="94">
        <f t="shared" si="15"/>
        <v>3</v>
      </c>
      <c r="F330" s="94">
        <v>2.72</v>
      </c>
      <c r="G330" s="94">
        <v>5</v>
      </c>
      <c r="H330" s="94">
        <v>1</v>
      </c>
      <c r="I330" s="94">
        <v>16.55</v>
      </c>
    </row>
    <row r="331" spans="1:9" hidden="1" x14ac:dyDescent="0.35">
      <c r="A331" s="38" t="s">
        <v>757</v>
      </c>
      <c r="B331" s="38" t="s">
        <v>748</v>
      </c>
      <c r="C331" s="38" t="s">
        <v>707</v>
      </c>
      <c r="D331" s="38" t="s">
        <v>708</v>
      </c>
      <c r="E331" s="94">
        <f t="shared" si="15"/>
        <v>10</v>
      </c>
      <c r="F331" s="94">
        <v>4.8499999999999996</v>
      </c>
      <c r="G331" s="94">
        <v>15</v>
      </c>
      <c r="H331" s="94">
        <v>9</v>
      </c>
      <c r="I331" s="94">
        <v>7.15</v>
      </c>
    </row>
    <row r="332" spans="1:9" hidden="1" x14ac:dyDescent="0.35">
      <c r="A332" s="38" t="s">
        <v>757</v>
      </c>
      <c r="B332" s="38" t="s">
        <v>749</v>
      </c>
      <c r="C332" s="38" t="s">
        <v>686</v>
      </c>
      <c r="D332" s="38" t="s">
        <v>746</v>
      </c>
      <c r="E332" s="94">
        <f t="shared" si="15"/>
        <v>3.585</v>
      </c>
      <c r="F332" s="94">
        <v>3.25</v>
      </c>
      <c r="G332" s="94">
        <v>10.5</v>
      </c>
      <c r="H332" s="94">
        <v>9</v>
      </c>
      <c r="I332" s="94">
        <v>23.99</v>
      </c>
    </row>
    <row r="333" spans="1:9" hidden="1" x14ac:dyDescent="0.35">
      <c r="A333" s="38" t="s">
        <v>757</v>
      </c>
      <c r="B333" s="38" t="s">
        <v>749</v>
      </c>
      <c r="C333" s="38" t="s">
        <v>691</v>
      </c>
      <c r="D333" s="38" t="s">
        <v>746</v>
      </c>
      <c r="E333" s="94">
        <f t="shared" si="15"/>
        <v>10</v>
      </c>
      <c r="F333" s="94">
        <v>15.3</v>
      </c>
      <c r="G333" s="94">
        <v>2</v>
      </c>
      <c r="H333" s="94">
        <v>9.35</v>
      </c>
      <c r="I333" s="94">
        <v>25.43</v>
      </c>
    </row>
    <row r="334" spans="1:9" hidden="1" x14ac:dyDescent="0.35">
      <c r="A334" s="38" t="s">
        <v>757</v>
      </c>
      <c r="B334" s="38" t="s">
        <v>749</v>
      </c>
      <c r="C334" s="38" t="s">
        <v>696</v>
      </c>
      <c r="D334" s="94" t="s">
        <v>697</v>
      </c>
      <c r="E334" s="94">
        <f t="shared" si="15"/>
        <v>6</v>
      </c>
      <c r="F334" s="94">
        <v>2.2200000000000002</v>
      </c>
      <c r="G334" s="94">
        <v>6</v>
      </c>
      <c r="H334" s="94">
        <v>6.83</v>
      </c>
      <c r="I334" s="94">
        <v>28.17</v>
      </c>
    </row>
    <row r="335" spans="1:9" hidden="1" x14ac:dyDescent="0.35">
      <c r="A335" s="38" t="s">
        <v>757</v>
      </c>
      <c r="B335" s="38" t="s">
        <v>749</v>
      </c>
      <c r="C335" s="38" t="s">
        <v>698</v>
      </c>
      <c r="D335" s="38" t="s">
        <v>747</v>
      </c>
      <c r="E335" s="94">
        <f t="shared" si="15"/>
        <v>1.1499999999999999</v>
      </c>
      <c r="F335" s="94">
        <v>0.31</v>
      </c>
      <c r="G335" s="94">
        <v>5</v>
      </c>
      <c r="H335" s="94">
        <v>3.9</v>
      </c>
      <c r="I335" s="38">
        <v>21.19</v>
      </c>
    </row>
    <row r="336" spans="1:9" hidden="1" x14ac:dyDescent="0.35">
      <c r="A336" s="38" t="s">
        <v>757</v>
      </c>
      <c r="B336" s="38" t="s">
        <v>749</v>
      </c>
      <c r="C336" s="38" t="s">
        <v>698</v>
      </c>
      <c r="D336" s="38" t="s">
        <v>700</v>
      </c>
      <c r="E336" s="94">
        <f t="shared" si="15"/>
        <v>5</v>
      </c>
      <c r="F336" s="94">
        <v>0.8</v>
      </c>
      <c r="G336" s="94">
        <v>5</v>
      </c>
      <c r="H336" s="94">
        <v>3.9</v>
      </c>
      <c r="I336" s="94">
        <v>21.19</v>
      </c>
    </row>
    <row r="337" spans="1:9" hidden="1" x14ac:dyDescent="0.35">
      <c r="A337" s="38" t="s">
        <v>757</v>
      </c>
      <c r="B337" s="38" t="s">
        <v>749</v>
      </c>
      <c r="C337" s="38" t="s">
        <v>698</v>
      </c>
      <c r="D337" s="38" t="s">
        <v>521</v>
      </c>
      <c r="E337" s="94">
        <f t="shared" si="15"/>
        <v>1.25</v>
      </c>
      <c r="F337" s="94">
        <v>0.66</v>
      </c>
      <c r="G337" s="94">
        <v>5</v>
      </c>
      <c r="H337" s="94">
        <v>3.9</v>
      </c>
      <c r="I337" s="94">
        <v>21.19</v>
      </c>
    </row>
    <row r="338" spans="1:9" hidden="1" x14ac:dyDescent="0.35">
      <c r="A338" s="38" t="s">
        <v>757</v>
      </c>
      <c r="B338" s="38" t="s">
        <v>749</v>
      </c>
      <c r="C338" s="38" t="s">
        <v>698</v>
      </c>
      <c r="D338" s="38" t="s">
        <v>252</v>
      </c>
      <c r="E338" s="94">
        <f t="shared" si="15"/>
        <v>3.5</v>
      </c>
      <c r="F338" s="94">
        <v>0.88</v>
      </c>
      <c r="G338" s="94">
        <v>5</v>
      </c>
      <c r="H338" s="94">
        <v>3.9</v>
      </c>
      <c r="I338" s="94">
        <v>21.19</v>
      </c>
    </row>
    <row r="339" spans="1:9" hidden="1" x14ac:dyDescent="0.35">
      <c r="A339" s="38" t="s">
        <v>757</v>
      </c>
      <c r="B339" s="38" t="s">
        <v>749</v>
      </c>
      <c r="C339" s="38" t="s">
        <v>701</v>
      </c>
      <c r="D339" s="38" t="s">
        <v>702</v>
      </c>
      <c r="E339" s="94">
        <f t="shared" si="15"/>
        <v>2</v>
      </c>
      <c r="F339" s="94">
        <v>2.27</v>
      </c>
      <c r="G339" s="94">
        <v>0.5</v>
      </c>
      <c r="H339" s="94">
        <v>7</v>
      </c>
      <c r="I339" s="94">
        <v>20.399999999999999</v>
      </c>
    </row>
    <row r="340" spans="1:9" hidden="1" x14ac:dyDescent="0.35">
      <c r="A340" s="38" t="s">
        <v>757</v>
      </c>
      <c r="B340" s="38" t="s">
        <v>749</v>
      </c>
      <c r="C340" s="38" t="s">
        <v>701</v>
      </c>
      <c r="D340" s="38" t="s">
        <v>703</v>
      </c>
      <c r="E340" s="94">
        <f t="shared" si="15"/>
        <v>1.75</v>
      </c>
      <c r="F340" s="94">
        <v>0.4</v>
      </c>
      <c r="G340" s="94">
        <v>1.2</v>
      </c>
      <c r="H340" s="94">
        <v>7.75</v>
      </c>
      <c r="I340" s="94">
        <v>21</v>
      </c>
    </row>
    <row r="341" spans="1:9" hidden="1" x14ac:dyDescent="0.35">
      <c r="A341" s="38" t="s">
        <v>757</v>
      </c>
      <c r="B341" s="38" t="s">
        <v>749</v>
      </c>
      <c r="C341" s="38" t="s">
        <v>704</v>
      </c>
      <c r="D341" s="38" t="s">
        <v>746</v>
      </c>
      <c r="E341" s="94">
        <f t="shared" si="15"/>
        <v>6</v>
      </c>
      <c r="F341" s="94">
        <v>3.91</v>
      </c>
      <c r="G341" s="94">
        <v>5</v>
      </c>
      <c r="H341" s="94">
        <v>1</v>
      </c>
      <c r="I341" s="94">
        <v>4</v>
      </c>
    </row>
    <row r="342" spans="1:9" hidden="1" x14ac:dyDescent="0.35">
      <c r="A342" s="38" t="s">
        <v>757</v>
      </c>
      <c r="B342" s="38" t="s">
        <v>749</v>
      </c>
      <c r="C342" s="38" t="s">
        <v>707</v>
      </c>
      <c r="D342" s="38" t="s">
        <v>708</v>
      </c>
      <c r="E342" s="94">
        <f t="shared" si="15"/>
        <v>10</v>
      </c>
      <c r="F342" s="94">
        <v>5.83</v>
      </c>
      <c r="G342" s="94">
        <v>15</v>
      </c>
      <c r="H342" s="94">
        <v>8</v>
      </c>
      <c r="I342" s="94">
        <v>15</v>
      </c>
    </row>
    <row r="343" spans="1:9" hidden="1" x14ac:dyDescent="0.35">
      <c r="A343" s="38" t="s">
        <v>757</v>
      </c>
      <c r="B343" s="38" t="s">
        <v>750</v>
      </c>
      <c r="C343" s="38" t="s">
        <v>686</v>
      </c>
      <c r="D343" s="38" t="s">
        <v>746</v>
      </c>
      <c r="E343" s="94">
        <f t="shared" si="15"/>
        <v>3</v>
      </c>
      <c r="F343" s="94">
        <v>7.46</v>
      </c>
      <c r="G343" s="94">
        <v>9</v>
      </c>
      <c r="H343" s="94">
        <v>4</v>
      </c>
      <c r="I343" s="94">
        <v>10</v>
      </c>
    </row>
    <row r="344" spans="1:9" hidden="1" x14ac:dyDescent="0.35">
      <c r="A344" s="38" t="s">
        <v>757</v>
      </c>
      <c r="B344" s="38" t="s">
        <v>750</v>
      </c>
      <c r="C344" s="38" t="s">
        <v>691</v>
      </c>
      <c r="D344" s="38" t="s">
        <v>746</v>
      </c>
      <c r="E344" s="94">
        <f t="shared" si="15"/>
        <v>10</v>
      </c>
      <c r="F344" s="94">
        <v>14.32</v>
      </c>
      <c r="G344" s="94">
        <v>20</v>
      </c>
      <c r="H344" s="94">
        <v>12</v>
      </c>
      <c r="I344" s="94">
        <v>10</v>
      </c>
    </row>
    <row r="345" spans="1:9" hidden="1" x14ac:dyDescent="0.35">
      <c r="A345" s="38" t="s">
        <v>757</v>
      </c>
      <c r="B345" s="38" t="s">
        <v>750</v>
      </c>
      <c r="C345" s="38" t="s">
        <v>696</v>
      </c>
      <c r="D345" s="94" t="s">
        <v>697</v>
      </c>
      <c r="E345" s="94">
        <f t="shared" si="15"/>
        <v>2.85</v>
      </c>
      <c r="F345" s="94">
        <v>19.61</v>
      </c>
      <c r="G345" s="94">
        <v>9</v>
      </c>
      <c r="H345" s="94">
        <v>10</v>
      </c>
      <c r="I345" s="94">
        <v>4</v>
      </c>
    </row>
    <row r="346" spans="1:9" hidden="1" x14ac:dyDescent="0.35">
      <c r="A346" s="38" t="s">
        <v>757</v>
      </c>
      <c r="B346" s="38" t="s">
        <v>750</v>
      </c>
      <c r="C346" s="38" t="s">
        <v>698</v>
      </c>
      <c r="D346" s="38" t="s">
        <v>747</v>
      </c>
      <c r="E346" s="94">
        <f t="shared" si="15"/>
        <v>2.5</v>
      </c>
      <c r="F346" s="94">
        <v>1.32</v>
      </c>
      <c r="G346" s="94">
        <v>5</v>
      </c>
      <c r="H346" s="94">
        <v>5</v>
      </c>
      <c r="I346" s="94">
        <v>6</v>
      </c>
    </row>
    <row r="347" spans="1:9" hidden="1" x14ac:dyDescent="0.35">
      <c r="A347" s="38" t="s">
        <v>757</v>
      </c>
      <c r="B347" s="38" t="s">
        <v>750</v>
      </c>
      <c r="C347" s="38" t="s">
        <v>698</v>
      </c>
      <c r="D347" s="38" t="s">
        <v>700</v>
      </c>
      <c r="E347" s="94">
        <f t="shared" si="15"/>
        <v>5</v>
      </c>
      <c r="F347" s="94">
        <v>1.04</v>
      </c>
      <c r="G347" s="94">
        <v>5</v>
      </c>
      <c r="H347" s="94">
        <v>5</v>
      </c>
      <c r="I347" s="94">
        <v>6</v>
      </c>
    </row>
    <row r="348" spans="1:9" hidden="1" x14ac:dyDescent="0.35">
      <c r="A348" s="38" t="s">
        <v>757</v>
      </c>
      <c r="B348" s="38" t="s">
        <v>750</v>
      </c>
      <c r="C348" s="38" t="s">
        <v>698</v>
      </c>
      <c r="D348" s="38" t="s">
        <v>521</v>
      </c>
      <c r="E348" s="94">
        <f t="shared" si="15"/>
        <v>3</v>
      </c>
      <c r="F348" s="94">
        <v>0.41</v>
      </c>
      <c r="G348" s="94">
        <v>5</v>
      </c>
      <c r="H348" s="94">
        <v>5</v>
      </c>
      <c r="I348" s="94">
        <v>6</v>
      </c>
    </row>
    <row r="349" spans="1:9" hidden="1" x14ac:dyDescent="0.35">
      <c r="A349" s="38" t="s">
        <v>757</v>
      </c>
      <c r="B349" s="38" t="s">
        <v>750</v>
      </c>
      <c r="C349" s="38" t="s">
        <v>698</v>
      </c>
      <c r="D349" s="38" t="s">
        <v>252</v>
      </c>
      <c r="E349" s="94">
        <f t="shared" si="15"/>
        <v>3</v>
      </c>
      <c r="F349" s="94">
        <v>1.5</v>
      </c>
      <c r="G349" s="94">
        <v>5</v>
      </c>
      <c r="H349" s="94">
        <v>5</v>
      </c>
      <c r="I349" s="94">
        <v>6</v>
      </c>
    </row>
    <row r="350" spans="1:9" hidden="1" x14ac:dyDescent="0.35">
      <c r="A350" s="38" t="s">
        <v>757</v>
      </c>
      <c r="B350" s="38" t="s">
        <v>750</v>
      </c>
      <c r="C350" s="38" t="s">
        <v>701</v>
      </c>
      <c r="D350" s="38" t="s">
        <v>702</v>
      </c>
      <c r="E350" s="94">
        <f t="shared" si="15"/>
        <v>3</v>
      </c>
      <c r="F350" s="94">
        <v>6.21</v>
      </c>
      <c r="G350" s="94">
        <v>0.5</v>
      </c>
      <c r="H350" s="94">
        <v>4</v>
      </c>
      <c r="I350" s="94">
        <v>4</v>
      </c>
    </row>
    <row r="351" spans="1:9" hidden="1" x14ac:dyDescent="0.35">
      <c r="A351" s="38" t="s">
        <v>757</v>
      </c>
      <c r="B351" s="38" t="s">
        <v>750</v>
      </c>
      <c r="C351" s="38" t="s">
        <v>701</v>
      </c>
      <c r="D351" s="38" t="s">
        <v>703</v>
      </c>
      <c r="E351" s="94">
        <f t="shared" si="15"/>
        <v>1.75</v>
      </c>
      <c r="F351" s="94">
        <v>3.74</v>
      </c>
      <c r="G351" s="94">
        <v>2</v>
      </c>
      <c r="H351" s="94">
        <v>8</v>
      </c>
      <c r="I351" s="94">
        <v>4</v>
      </c>
    </row>
    <row r="352" spans="1:9" hidden="1" x14ac:dyDescent="0.35">
      <c r="A352" s="38" t="s">
        <v>757</v>
      </c>
      <c r="B352" s="38" t="s">
        <v>750</v>
      </c>
      <c r="C352" s="38" t="s">
        <v>704</v>
      </c>
      <c r="D352" s="38" t="s">
        <v>746</v>
      </c>
      <c r="E352" s="94">
        <f t="shared" si="15"/>
        <v>3</v>
      </c>
      <c r="F352" s="94">
        <v>1.49</v>
      </c>
      <c r="G352" s="94">
        <v>8</v>
      </c>
      <c r="H352" s="94">
        <v>2</v>
      </c>
      <c r="I352" s="94">
        <v>2</v>
      </c>
    </row>
    <row r="353" spans="1:9" hidden="1" x14ac:dyDescent="0.35">
      <c r="A353" s="38" t="s">
        <v>757</v>
      </c>
      <c r="B353" s="38" t="s">
        <v>750</v>
      </c>
      <c r="C353" s="38" t="s">
        <v>707</v>
      </c>
      <c r="D353" s="38" t="s">
        <v>708</v>
      </c>
      <c r="E353" s="94">
        <f t="shared" si="15"/>
        <v>7</v>
      </c>
      <c r="F353" s="94">
        <v>10.39</v>
      </c>
      <c r="G353" s="94">
        <v>12</v>
      </c>
      <c r="H353" s="94">
        <v>3</v>
      </c>
      <c r="I353" s="94">
        <v>4</v>
      </c>
    </row>
    <row r="354" spans="1:9" hidden="1" x14ac:dyDescent="0.35">
      <c r="A354" s="38" t="s">
        <v>757</v>
      </c>
      <c r="B354" s="38" t="s">
        <v>751</v>
      </c>
      <c r="C354" s="38" t="s">
        <v>686</v>
      </c>
      <c r="D354" s="38" t="s">
        <v>746</v>
      </c>
      <c r="E354" s="94">
        <f t="shared" si="15"/>
        <v>3</v>
      </c>
      <c r="F354" s="94">
        <v>7.23</v>
      </c>
      <c r="G354" s="94">
        <v>9</v>
      </c>
      <c r="H354" s="94">
        <v>4</v>
      </c>
      <c r="I354" s="94">
        <v>12</v>
      </c>
    </row>
    <row r="355" spans="1:9" hidden="1" x14ac:dyDescent="0.35">
      <c r="A355" s="38" t="s">
        <v>757</v>
      </c>
      <c r="B355" s="38" t="s">
        <v>751</v>
      </c>
      <c r="C355" s="38" t="s">
        <v>691</v>
      </c>
      <c r="D355" s="38" t="s">
        <v>746</v>
      </c>
      <c r="E355" s="94">
        <f t="shared" si="15"/>
        <v>5.665</v>
      </c>
      <c r="F355" s="94">
        <v>11.3</v>
      </c>
      <c r="G355" s="94">
        <v>20</v>
      </c>
      <c r="H355" s="94">
        <v>15.15</v>
      </c>
      <c r="I355" s="94">
        <v>13</v>
      </c>
    </row>
    <row r="356" spans="1:9" hidden="1" x14ac:dyDescent="0.35">
      <c r="A356" s="38" t="s">
        <v>757</v>
      </c>
      <c r="B356" s="38" t="s">
        <v>751</v>
      </c>
      <c r="C356" s="38" t="s">
        <v>696</v>
      </c>
      <c r="D356" s="94" t="s">
        <v>697</v>
      </c>
      <c r="E356" s="94">
        <f t="shared" si="15"/>
        <v>3.3</v>
      </c>
      <c r="F356" s="94">
        <v>22.46</v>
      </c>
      <c r="G356" s="94">
        <v>9</v>
      </c>
      <c r="H356" s="94">
        <v>10</v>
      </c>
      <c r="I356" s="94">
        <v>4</v>
      </c>
    </row>
    <row r="357" spans="1:9" hidden="1" x14ac:dyDescent="0.35">
      <c r="A357" s="38" t="s">
        <v>757</v>
      </c>
      <c r="B357" s="38" t="s">
        <v>751</v>
      </c>
      <c r="C357" s="38" t="s">
        <v>698</v>
      </c>
      <c r="D357" s="38" t="s">
        <v>747</v>
      </c>
      <c r="E357" s="94">
        <f t="shared" si="15"/>
        <v>5</v>
      </c>
      <c r="F357" s="94">
        <v>0.2</v>
      </c>
      <c r="G357" s="94">
        <v>5</v>
      </c>
      <c r="H357" s="94">
        <v>5</v>
      </c>
      <c r="I357" s="94">
        <v>8</v>
      </c>
    </row>
    <row r="358" spans="1:9" hidden="1" x14ac:dyDescent="0.35">
      <c r="A358" s="38" t="s">
        <v>757</v>
      </c>
      <c r="B358" s="38" t="s">
        <v>751</v>
      </c>
      <c r="C358" s="38" t="s">
        <v>698</v>
      </c>
      <c r="D358" s="38" t="s">
        <v>700</v>
      </c>
      <c r="E358" s="94">
        <f t="shared" si="15"/>
        <v>7.5</v>
      </c>
      <c r="F358" s="94">
        <v>0.2</v>
      </c>
      <c r="G358" s="94">
        <v>5</v>
      </c>
      <c r="H358" s="94">
        <v>5</v>
      </c>
      <c r="I358" s="94">
        <v>8</v>
      </c>
    </row>
    <row r="359" spans="1:9" hidden="1" x14ac:dyDescent="0.35">
      <c r="A359" s="38" t="s">
        <v>757</v>
      </c>
      <c r="B359" s="38" t="s">
        <v>751</v>
      </c>
      <c r="C359" s="38" t="s">
        <v>698</v>
      </c>
      <c r="D359" s="38" t="s">
        <v>521</v>
      </c>
      <c r="E359" s="94">
        <f t="shared" si="15"/>
        <v>4</v>
      </c>
      <c r="F359" s="94">
        <v>0.23</v>
      </c>
      <c r="G359" s="94">
        <v>5</v>
      </c>
      <c r="H359" s="94">
        <v>5</v>
      </c>
      <c r="I359" s="94">
        <v>8</v>
      </c>
    </row>
    <row r="360" spans="1:9" hidden="1" x14ac:dyDescent="0.35">
      <c r="A360" s="38" t="s">
        <v>757</v>
      </c>
      <c r="B360" s="38" t="s">
        <v>751</v>
      </c>
      <c r="C360" s="38" t="s">
        <v>698</v>
      </c>
      <c r="D360" s="38" t="s">
        <v>252</v>
      </c>
      <c r="E360" s="94">
        <f t="shared" si="15"/>
        <v>4</v>
      </c>
      <c r="F360" s="94">
        <v>0.9</v>
      </c>
      <c r="G360" s="94">
        <v>5</v>
      </c>
      <c r="H360" s="94">
        <v>5</v>
      </c>
      <c r="I360" s="94">
        <v>8</v>
      </c>
    </row>
    <row r="361" spans="1:9" hidden="1" x14ac:dyDescent="0.35">
      <c r="A361" s="38" t="s">
        <v>757</v>
      </c>
      <c r="B361" s="38" t="s">
        <v>751</v>
      </c>
      <c r="C361" s="38" t="s">
        <v>701</v>
      </c>
      <c r="D361" s="38" t="s">
        <v>702</v>
      </c>
      <c r="E361" s="94">
        <f t="shared" si="15"/>
        <v>3</v>
      </c>
      <c r="F361" s="94">
        <v>4.8899999999999997</v>
      </c>
      <c r="G361" s="94">
        <v>4.5</v>
      </c>
      <c r="H361" s="94">
        <v>4</v>
      </c>
      <c r="I361" s="94">
        <v>12</v>
      </c>
    </row>
    <row r="362" spans="1:9" hidden="1" x14ac:dyDescent="0.35">
      <c r="A362" s="38" t="s">
        <v>757</v>
      </c>
      <c r="B362" s="38" t="s">
        <v>751</v>
      </c>
      <c r="C362" s="38" t="s">
        <v>701</v>
      </c>
      <c r="D362" s="38" t="s">
        <v>703</v>
      </c>
      <c r="E362" s="94">
        <f t="shared" si="15"/>
        <v>1.75</v>
      </c>
      <c r="F362" s="94">
        <v>3.32</v>
      </c>
      <c r="G362" s="94">
        <v>2</v>
      </c>
      <c r="H362" s="94">
        <v>8</v>
      </c>
      <c r="I362" s="94">
        <v>2</v>
      </c>
    </row>
    <row r="363" spans="1:9" hidden="1" x14ac:dyDescent="0.35">
      <c r="A363" s="38" t="s">
        <v>757</v>
      </c>
      <c r="B363" s="38" t="s">
        <v>751</v>
      </c>
      <c r="C363" s="38" t="s">
        <v>704</v>
      </c>
      <c r="D363" s="38" t="s">
        <v>746</v>
      </c>
      <c r="E363" s="94">
        <f t="shared" si="15"/>
        <v>7.5</v>
      </c>
      <c r="F363" s="94">
        <v>2.8</v>
      </c>
      <c r="G363" s="94">
        <v>8</v>
      </c>
      <c r="H363" s="94">
        <v>2</v>
      </c>
      <c r="I363" s="94">
        <v>2</v>
      </c>
    </row>
    <row r="364" spans="1:9" hidden="1" x14ac:dyDescent="0.35">
      <c r="A364" s="38" t="s">
        <v>757</v>
      </c>
      <c r="B364" s="38" t="s">
        <v>751</v>
      </c>
      <c r="C364" s="38" t="s">
        <v>707</v>
      </c>
      <c r="D364" s="38" t="s">
        <v>708</v>
      </c>
      <c r="E364" s="94">
        <f t="shared" si="15"/>
        <v>5.95</v>
      </c>
      <c r="F364" s="94">
        <v>9.26</v>
      </c>
      <c r="G364" s="94">
        <v>12</v>
      </c>
      <c r="H364" s="94">
        <v>5.7</v>
      </c>
      <c r="I364" s="94">
        <v>6</v>
      </c>
    </row>
    <row r="365" spans="1:9" hidden="1" x14ac:dyDescent="0.35">
      <c r="A365" s="38" t="s">
        <v>757</v>
      </c>
      <c r="B365" s="38" t="s">
        <v>752</v>
      </c>
      <c r="C365" s="38" t="s">
        <v>686</v>
      </c>
      <c r="D365" s="38" t="s">
        <v>746</v>
      </c>
      <c r="E365" s="94">
        <f t="shared" si="15"/>
        <v>3.605</v>
      </c>
      <c r="F365" s="94">
        <v>8.75</v>
      </c>
      <c r="G365" s="94">
        <v>15.25</v>
      </c>
      <c r="H365" s="94">
        <v>2</v>
      </c>
      <c r="I365" s="94">
        <v>1</v>
      </c>
    </row>
    <row r="366" spans="1:9" hidden="1" x14ac:dyDescent="0.35">
      <c r="A366" s="38" t="s">
        <v>757</v>
      </c>
      <c r="B366" s="38" t="s">
        <v>752</v>
      </c>
      <c r="C366" s="38" t="s">
        <v>691</v>
      </c>
      <c r="D366" s="38" t="s">
        <v>746</v>
      </c>
      <c r="E366" s="94">
        <f t="shared" si="15"/>
        <v>6.7350000000000003</v>
      </c>
      <c r="F366" s="94">
        <v>17.71</v>
      </c>
      <c r="G366" s="94">
        <v>25</v>
      </c>
      <c r="H366" s="94">
        <v>34.130000000000003</v>
      </c>
      <c r="I366" s="94">
        <v>5</v>
      </c>
    </row>
    <row r="367" spans="1:9" hidden="1" x14ac:dyDescent="0.35">
      <c r="A367" s="38" t="s">
        <v>757</v>
      </c>
      <c r="B367" s="38" t="s">
        <v>752</v>
      </c>
      <c r="C367" s="38" t="s">
        <v>696</v>
      </c>
      <c r="D367" s="94" t="s">
        <v>697</v>
      </c>
      <c r="E367" s="94">
        <f t="shared" si="15"/>
        <v>2.85</v>
      </c>
      <c r="F367" s="94">
        <v>21.94</v>
      </c>
      <c r="G367" s="94">
        <v>9</v>
      </c>
      <c r="H367" s="94">
        <v>15</v>
      </c>
      <c r="I367" s="94">
        <v>2</v>
      </c>
    </row>
    <row r="368" spans="1:9" hidden="1" x14ac:dyDescent="0.35">
      <c r="A368" s="38" t="s">
        <v>757</v>
      </c>
      <c r="B368" s="38" t="s">
        <v>752</v>
      </c>
      <c r="C368" s="38" t="s">
        <v>698</v>
      </c>
      <c r="D368" s="38" t="s">
        <v>747</v>
      </c>
      <c r="E368" s="94">
        <f t="shared" si="15"/>
        <v>5</v>
      </c>
      <c r="F368" s="94">
        <v>0.93</v>
      </c>
      <c r="G368" s="94">
        <v>5</v>
      </c>
      <c r="H368" s="94">
        <v>7</v>
      </c>
      <c r="I368" s="94">
        <v>2</v>
      </c>
    </row>
    <row r="369" spans="1:9" hidden="1" x14ac:dyDescent="0.35">
      <c r="A369" s="38" t="s">
        <v>757</v>
      </c>
      <c r="B369" s="38" t="s">
        <v>752</v>
      </c>
      <c r="C369" s="38" t="s">
        <v>698</v>
      </c>
      <c r="D369" s="38" t="s">
        <v>700</v>
      </c>
      <c r="E369" s="94">
        <f t="shared" si="15"/>
        <v>16.5</v>
      </c>
      <c r="F369" s="94">
        <v>0.2</v>
      </c>
      <c r="G369" s="94">
        <v>5</v>
      </c>
      <c r="H369" s="94">
        <v>7</v>
      </c>
      <c r="I369" s="94">
        <v>2</v>
      </c>
    </row>
    <row r="370" spans="1:9" hidden="1" x14ac:dyDescent="0.35">
      <c r="A370" s="38" t="s">
        <v>757</v>
      </c>
      <c r="B370" s="38" t="s">
        <v>752</v>
      </c>
      <c r="C370" s="38" t="s">
        <v>698</v>
      </c>
      <c r="D370" s="38" t="s">
        <v>521</v>
      </c>
      <c r="E370" s="94">
        <f t="shared" si="15"/>
        <v>5</v>
      </c>
      <c r="F370" s="94">
        <v>0.23</v>
      </c>
      <c r="G370" s="94">
        <v>5</v>
      </c>
      <c r="H370" s="94">
        <v>7</v>
      </c>
      <c r="I370" s="94">
        <v>2</v>
      </c>
    </row>
    <row r="371" spans="1:9" hidden="1" x14ac:dyDescent="0.35">
      <c r="A371" s="38" t="s">
        <v>757</v>
      </c>
      <c r="B371" s="38" t="s">
        <v>752</v>
      </c>
      <c r="C371" s="38" t="s">
        <v>698</v>
      </c>
      <c r="D371" s="38" t="s">
        <v>252</v>
      </c>
      <c r="E371" s="94">
        <f t="shared" si="15"/>
        <v>12.5</v>
      </c>
      <c r="F371" s="94">
        <v>0.9</v>
      </c>
      <c r="G371" s="94">
        <v>5</v>
      </c>
      <c r="H371" s="94">
        <v>7</v>
      </c>
      <c r="I371" s="94">
        <v>2</v>
      </c>
    </row>
    <row r="372" spans="1:9" hidden="1" x14ac:dyDescent="0.35">
      <c r="A372" s="38" t="s">
        <v>757</v>
      </c>
      <c r="B372" s="38" t="s">
        <v>752</v>
      </c>
      <c r="C372" s="38" t="s">
        <v>701</v>
      </c>
      <c r="D372" s="38" t="s">
        <v>702</v>
      </c>
      <c r="E372" s="94">
        <f t="shared" si="15"/>
        <v>4</v>
      </c>
      <c r="F372" s="94">
        <v>8.01</v>
      </c>
      <c r="G372" s="94">
        <v>0.1</v>
      </c>
      <c r="H372" s="94">
        <v>3</v>
      </c>
      <c r="I372" s="94">
        <v>1</v>
      </c>
    </row>
    <row r="373" spans="1:9" hidden="1" x14ac:dyDescent="0.35">
      <c r="A373" s="38" t="s">
        <v>757</v>
      </c>
      <c r="B373" s="38" t="s">
        <v>752</v>
      </c>
      <c r="C373" s="38" t="s">
        <v>701</v>
      </c>
      <c r="D373" s="38" t="s">
        <v>703</v>
      </c>
      <c r="E373" s="94">
        <f t="shared" si="15"/>
        <v>3</v>
      </c>
      <c r="F373" s="94">
        <v>8.1999999999999993</v>
      </c>
      <c r="G373" s="94">
        <v>2</v>
      </c>
      <c r="H373" s="94">
        <v>10</v>
      </c>
      <c r="I373" s="94">
        <v>0.1</v>
      </c>
    </row>
    <row r="374" spans="1:9" hidden="1" x14ac:dyDescent="0.35">
      <c r="A374" s="38" t="s">
        <v>757</v>
      </c>
      <c r="B374" s="38" t="s">
        <v>752</v>
      </c>
      <c r="C374" s="38" t="s">
        <v>704</v>
      </c>
      <c r="D374" s="38" t="s">
        <v>746</v>
      </c>
      <c r="E374" s="94">
        <f t="shared" si="15"/>
        <v>6</v>
      </c>
      <c r="F374" s="94">
        <v>8.18</v>
      </c>
      <c r="G374" s="94">
        <v>8</v>
      </c>
      <c r="H374" s="94">
        <v>2</v>
      </c>
      <c r="I374" s="94">
        <v>1</v>
      </c>
    </row>
    <row r="375" spans="1:9" hidden="1" x14ac:dyDescent="0.35">
      <c r="A375" s="38" t="s">
        <v>757</v>
      </c>
      <c r="B375" s="38" t="s">
        <v>752</v>
      </c>
      <c r="C375" s="38" t="s">
        <v>707</v>
      </c>
      <c r="D375" s="38" t="s">
        <v>708</v>
      </c>
      <c r="E375" s="94">
        <f t="shared" ref="E375:E386" si="16">E67*0.5</f>
        <v>7</v>
      </c>
      <c r="F375" s="94">
        <v>16.940000000000001</v>
      </c>
      <c r="G375" s="94">
        <v>15</v>
      </c>
      <c r="H375" s="94">
        <v>5</v>
      </c>
      <c r="I375" s="94">
        <v>2</v>
      </c>
    </row>
    <row r="376" spans="1:9" hidden="1" x14ac:dyDescent="0.35">
      <c r="A376" s="38" t="s">
        <v>757</v>
      </c>
      <c r="B376" s="38" t="s">
        <v>753</v>
      </c>
      <c r="C376" s="38" t="s">
        <v>686</v>
      </c>
      <c r="D376" s="38" t="s">
        <v>746</v>
      </c>
      <c r="E376" s="94">
        <f t="shared" si="16"/>
        <v>3</v>
      </c>
      <c r="F376" s="94">
        <v>6.59</v>
      </c>
      <c r="G376" s="94">
        <v>7</v>
      </c>
      <c r="H376" s="94">
        <v>2.98</v>
      </c>
      <c r="I376" s="94">
        <v>3</v>
      </c>
    </row>
    <row r="377" spans="1:9" hidden="1" x14ac:dyDescent="0.35">
      <c r="A377" s="38" t="s">
        <v>757</v>
      </c>
      <c r="B377" s="38" t="s">
        <v>753</v>
      </c>
      <c r="C377" s="38" t="s">
        <v>691</v>
      </c>
      <c r="D377" s="38" t="s">
        <v>746</v>
      </c>
      <c r="E377" s="94">
        <f t="shared" si="16"/>
        <v>4.3550000000000004</v>
      </c>
      <c r="F377" s="94">
        <v>9.8699999999999992</v>
      </c>
      <c r="G377" s="94">
        <v>25</v>
      </c>
      <c r="H377" s="94">
        <v>12.96</v>
      </c>
      <c r="I377" s="94">
        <v>18.16</v>
      </c>
    </row>
    <row r="378" spans="1:9" hidden="1" x14ac:dyDescent="0.35">
      <c r="A378" s="38" t="s">
        <v>757</v>
      </c>
      <c r="B378" s="38" t="s">
        <v>753</v>
      </c>
      <c r="C378" s="38" t="s">
        <v>696</v>
      </c>
      <c r="D378" s="94" t="s">
        <v>697</v>
      </c>
      <c r="E378" s="94">
        <f t="shared" si="16"/>
        <v>4.0999999999999996</v>
      </c>
      <c r="F378" s="94">
        <v>25.47</v>
      </c>
      <c r="G378" s="94">
        <v>9</v>
      </c>
      <c r="H378" s="94">
        <v>12.33</v>
      </c>
      <c r="I378" s="94">
        <v>2</v>
      </c>
    </row>
    <row r="379" spans="1:9" hidden="1" x14ac:dyDescent="0.35">
      <c r="A379" s="38" t="s">
        <v>757</v>
      </c>
      <c r="B379" s="38" t="s">
        <v>753</v>
      </c>
      <c r="C379" s="38" t="s">
        <v>698</v>
      </c>
      <c r="D379" s="38" t="s">
        <v>747</v>
      </c>
      <c r="E379" s="94">
        <f t="shared" si="16"/>
        <v>5</v>
      </c>
      <c r="F379" s="94">
        <v>0.21</v>
      </c>
      <c r="G379" s="94">
        <v>5</v>
      </c>
      <c r="H379" s="94">
        <v>7</v>
      </c>
      <c r="I379" s="94">
        <v>4</v>
      </c>
    </row>
    <row r="380" spans="1:9" hidden="1" x14ac:dyDescent="0.35">
      <c r="A380" s="38" t="s">
        <v>757</v>
      </c>
      <c r="B380" s="38" t="s">
        <v>753</v>
      </c>
      <c r="C380" s="38" t="s">
        <v>698</v>
      </c>
      <c r="D380" s="38" t="s">
        <v>700</v>
      </c>
      <c r="E380" s="94">
        <f t="shared" si="16"/>
        <v>5</v>
      </c>
      <c r="F380" s="94">
        <v>0.2</v>
      </c>
      <c r="G380" s="94">
        <v>5</v>
      </c>
      <c r="H380" s="94">
        <v>7</v>
      </c>
      <c r="I380" s="94">
        <v>4</v>
      </c>
    </row>
    <row r="381" spans="1:9" hidden="1" x14ac:dyDescent="0.35">
      <c r="A381" s="38" t="s">
        <v>757</v>
      </c>
      <c r="B381" s="38" t="s">
        <v>753</v>
      </c>
      <c r="C381" s="38" t="s">
        <v>698</v>
      </c>
      <c r="D381" s="38" t="s">
        <v>521</v>
      </c>
      <c r="E381" s="94">
        <f t="shared" si="16"/>
        <v>3</v>
      </c>
      <c r="F381" s="94">
        <v>0.47</v>
      </c>
      <c r="G381" s="94">
        <v>5</v>
      </c>
      <c r="H381" s="94">
        <v>7</v>
      </c>
      <c r="I381" s="94">
        <v>4</v>
      </c>
    </row>
    <row r="382" spans="1:9" hidden="1" x14ac:dyDescent="0.35">
      <c r="A382" s="38" t="s">
        <v>757</v>
      </c>
      <c r="B382" s="38" t="s">
        <v>753</v>
      </c>
      <c r="C382" s="38" t="s">
        <v>698</v>
      </c>
      <c r="D382" s="38" t="s">
        <v>252</v>
      </c>
      <c r="E382" s="94">
        <f t="shared" si="16"/>
        <v>4</v>
      </c>
      <c r="F382" s="94">
        <v>0.97</v>
      </c>
      <c r="G382" s="94">
        <v>5</v>
      </c>
      <c r="H382" s="94">
        <v>7</v>
      </c>
      <c r="I382" s="94">
        <v>4</v>
      </c>
    </row>
    <row r="383" spans="1:9" hidden="1" x14ac:dyDescent="0.35">
      <c r="A383" s="38" t="s">
        <v>757</v>
      </c>
      <c r="B383" s="38" t="s">
        <v>753</v>
      </c>
      <c r="C383" s="38" t="s">
        <v>701</v>
      </c>
      <c r="D383" s="38" t="s">
        <v>702</v>
      </c>
      <c r="E383" s="94">
        <f t="shared" si="16"/>
        <v>4</v>
      </c>
      <c r="F383" s="94">
        <v>7.23</v>
      </c>
      <c r="G383" s="94">
        <v>0.1</v>
      </c>
      <c r="H383" s="94">
        <v>3</v>
      </c>
      <c r="I383" s="94">
        <v>2</v>
      </c>
    </row>
    <row r="384" spans="1:9" hidden="1" x14ac:dyDescent="0.35">
      <c r="A384" s="38" t="s">
        <v>757</v>
      </c>
      <c r="B384" s="38" t="s">
        <v>753</v>
      </c>
      <c r="C384" s="38" t="s">
        <v>701</v>
      </c>
      <c r="D384" s="38" t="s">
        <v>703</v>
      </c>
      <c r="E384" s="94">
        <f t="shared" si="16"/>
        <v>1.75</v>
      </c>
      <c r="F384" s="94">
        <v>4.68</v>
      </c>
      <c r="G384" s="94">
        <v>2</v>
      </c>
      <c r="H384" s="94">
        <v>10</v>
      </c>
      <c r="I384" s="94">
        <v>1</v>
      </c>
    </row>
    <row r="385" spans="1:9" hidden="1" x14ac:dyDescent="0.35">
      <c r="A385" s="38" t="s">
        <v>757</v>
      </c>
      <c r="B385" s="38" t="s">
        <v>753</v>
      </c>
      <c r="C385" s="38" t="s">
        <v>704</v>
      </c>
      <c r="D385" s="38" t="s">
        <v>746</v>
      </c>
      <c r="E385" s="94">
        <f t="shared" si="16"/>
        <v>3.5</v>
      </c>
      <c r="F385" s="94">
        <v>3.4</v>
      </c>
      <c r="G385" s="94">
        <v>8</v>
      </c>
      <c r="H385" s="94">
        <v>2</v>
      </c>
      <c r="I385" s="94">
        <v>1</v>
      </c>
    </row>
    <row r="386" spans="1:9" hidden="1" x14ac:dyDescent="0.35">
      <c r="A386" s="38" t="s">
        <v>757</v>
      </c>
      <c r="B386" s="38" t="s">
        <v>753</v>
      </c>
      <c r="C386" s="38" t="s">
        <v>707</v>
      </c>
      <c r="D386" s="38" t="s">
        <v>708</v>
      </c>
      <c r="E386" s="94">
        <f t="shared" si="16"/>
        <v>4.0750000000000002</v>
      </c>
      <c r="F386" s="94">
        <v>12.11</v>
      </c>
      <c r="G386" s="94">
        <v>10</v>
      </c>
      <c r="H386" s="94">
        <v>10.78</v>
      </c>
      <c r="I386" s="94">
        <v>3.88</v>
      </c>
    </row>
    <row r="387" spans="1:9" hidden="1" x14ac:dyDescent="0.35">
      <c r="A387" s="38" t="s">
        <v>758</v>
      </c>
      <c r="B387" s="38" t="s">
        <v>745</v>
      </c>
      <c r="C387" s="38" t="s">
        <v>686</v>
      </c>
      <c r="D387" s="38" t="s">
        <v>746</v>
      </c>
      <c r="E387" s="38">
        <v>0</v>
      </c>
      <c r="F387" s="38">
        <v>3.8</v>
      </c>
      <c r="G387" s="38">
        <v>10.5</v>
      </c>
      <c r="H387" s="190">
        <v>3</v>
      </c>
      <c r="I387" s="190">
        <v>27</v>
      </c>
    </row>
    <row r="388" spans="1:9" hidden="1" x14ac:dyDescent="0.35">
      <c r="A388" s="38" t="s">
        <v>758</v>
      </c>
      <c r="B388" s="38" t="s">
        <v>745</v>
      </c>
      <c r="C388" s="38" t="s">
        <v>691</v>
      </c>
      <c r="D388" s="38" t="s">
        <v>746</v>
      </c>
      <c r="E388" s="38">
        <v>0</v>
      </c>
      <c r="F388" s="38">
        <v>7.3</v>
      </c>
      <c r="G388" s="38">
        <v>2</v>
      </c>
      <c r="H388" s="190">
        <v>4.9000000000000004</v>
      </c>
      <c r="I388" s="190">
        <v>19</v>
      </c>
    </row>
    <row r="389" spans="1:9" hidden="1" x14ac:dyDescent="0.35">
      <c r="A389" s="38" t="s">
        <v>758</v>
      </c>
      <c r="B389" s="38" t="s">
        <v>745</v>
      </c>
      <c r="C389" s="38" t="s">
        <v>696</v>
      </c>
      <c r="D389" s="38" t="s">
        <v>697</v>
      </c>
      <c r="E389" s="38">
        <v>0</v>
      </c>
      <c r="F389" s="38">
        <v>7.9</v>
      </c>
      <c r="G389" s="38">
        <v>6</v>
      </c>
      <c r="H389" s="190">
        <v>9</v>
      </c>
      <c r="I389" s="190">
        <v>11</v>
      </c>
    </row>
    <row r="390" spans="1:9" hidden="1" x14ac:dyDescent="0.35">
      <c r="A390" s="38" t="s">
        <v>758</v>
      </c>
      <c r="B390" s="38" t="s">
        <v>745</v>
      </c>
      <c r="C390" s="38" t="s">
        <v>698</v>
      </c>
      <c r="D390" s="38" t="s">
        <v>747</v>
      </c>
      <c r="E390" s="38">
        <v>0</v>
      </c>
      <c r="F390" s="38">
        <v>0.6</v>
      </c>
      <c r="G390" s="38">
        <v>5</v>
      </c>
      <c r="H390" s="190">
        <v>4</v>
      </c>
      <c r="I390" s="190">
        <v>11</v>
      </c>
    </row>
    <row r="391" spans="1:9" hidden="1" x14ac:dyDescent="0.35">
      <c r="A391" s="38" t="s">
        <v>758</v>
      </c>
      <c r="B391" s="38" t="s">
        <v>745</v>
      </c>
      <c r="C391" s="38" t="s">
        <v>698</v>
      </c>
      <c r="D391" s="38" t="s">
        <v>700</v>
      </c>
      <c r="E391" s="38">
        <v>0</v>
      </c>
      <c r="F391" s="38">
        <v>0.6</v>
      </c>
      <c r="G391" s="38">
        <v>5</v>
      </c>
      <c r="H391" s="190">
        <v>4</v>
      </c>
      <c r="I391" s="190">
        <v>11</v>
      </c>
    </row>
    <row r="392" spans="1:9" hidden="1" x14ac:dyDescent="0.35">
      <c r="A392" s="38" t="s">
        <v>758</v>
      </c>
      <c r="B392" s="38" t="s">
        <v>745</v>
      </c>
      <c r="C392" s="38" t="s">
        <v>698</v>
      </c>
      <c r="D392" s="38" t="s">
        <v>521</v>
      </c>
      <c r="E392" s="38">
        <v>0</v>
      </c>
      <c r="F392" s="38">
        <v>0.3</v>
      </c>
      <c r="G392" s="38">
        <v>5</v>
      </c>
      <c r="H392" s="190">
        <v>4</v>
      </c>
      <c r="I392" s="190">
        <v>11</v>
      </c>
    </row>
    <row r="393" spans="1:9" hidden="1" x14ac:dyDescent="0.35">
      <c r="A393" s="38" t="s">
        <v>758</v>
      </c>
      <c r="B393" s="38" t="s">
        <v>745</v>
      </c>
      <c r="C393" s="38" t="s">
        <v>698</v>
      </c>
      <c r="D393" s="38" t="s">
        <v>252</v>
      </c>
      <c r="E393" s="38">
        <v>0</v>
      </c>
      <c r="F393" s="38">
        <v>0.9</v>
      </c>
      <c r="G393" s="38">
        <v>5</v>
      </c>
      <c r="H393" s="190">
        <v>4</v>
      </c>
      <c r="I393" s="190">
        <v>11</v>
      </c>
    </row>
    <row r="394" spans="1:9" hidden="1" x14ac:dyDescent="0.35">
      <c r="A394" s="38" t="s">
        <v>758</v>
      </c>
      <c r="B394" s="38" t="s">
        <v>745</v>
      </c>
      <c r="C394" s="38" t="s">
        <v>701</v>
      </c>
      <c r="D394" s="38" t="s">
        <v>702</v>
      </c>
      <c r="E394" s="38">
        <v>0</v>
      </c>
      <c r="F394" s="38">
        <v>1.9</v>
      </c>
      <c r="G394" s="38">
        <v>0.5</v>
      </c>
      <c r="H394" s="190">
        <v>2</v>
      </c>
      <c r="I394" s="190">
        <v>8</v>
      </c>
    </row>
    <row r="395" spans="1:9" hidden="1" x14ac:dyDescent="0.35">
      <c r="A395" s="38" t="s">
        <v>758</v>
      </c>
      <c r="B395" s="38" t="s">
        <v>745</v>
      </c>
      <c r="C395" s="38" t="s">
        <v>701</v>
      </c>
      <c r="D395" s="38" t="s">
        <v>703</v>
      </c>
      <c r="E395" s="38">
        <v>0</v>
      </c>
      <c r="F395" s="38">
        <v>1.7</v>
      </c>
      <c r="G395" s="38">
        <v>1.2</v>
      </c>
      <c r="H395" s="190">
        <v>0.82</v>
      </c>
      <c r="I395" s="190">
        <v>7</v>
      </c>
    </row>
    <row r="396" spans="1:9" hidden="1" x14ac:dyDescent="0.35">
      <c r="A396" s="38" t="s">
        <v>758</v>
      </c>
      <c r="B396" s="38" t="s">
        <v>745</v>
      </c>
      <c r="C396" s="38" t="s">
        <v>704</v>
      </c>
      <c r="D396" s="38" t="s">
        <v>746</v>
      </c>
      <c r="E396" s="38">
        <v>0</v>
      </c>
      <c r="F396" s="38">
        <v>1.2</v>
      </c>
      <c r="G396" s="38">
        <v>5</v>
      </c>
      <c r="H396" s="190">
        <v>1</v>
      </c>
      <c r="I396" s="190">
        <v>4</v>
      </c>
    </row>
    <row r="397" spans="1:9" hidden="1" x14ac:dyDescent="0.35">
      <c r="A397" s="38" t="s">
        <v>758</v>
      </c>
      <c r="B397" s="38" t="s">
        <v>745</v>
      </c>
      <c r="C397" s="38" t="s">
        <v>707</v>
      </c>
      <c r="D397" s="38" t="s">
        <v>708</v>
      </c>
      <c r="E397" s="38">
        <v>0</v>
      </c>
      <c r="F397" s="38">
        <v>7.6</v>
      </c>
      <c r="G397" s="38">
        <v>13.8</v>
      </c>
      <c r="H397" s="190">
        <v>7</v>
      </c>
      <c r="I397" s="190">
        <v>17</v>
      </c>
    </row>
    <row r="398" spans="1:9" hidden="1" x14ac:dyDescent="0.35">
      <c r="A398" s="38" t="s">
        <v>758</v>
      </c>
      <c r="B398" s="38" t="s">
        <v>748</v>
      </c>
      <c r="C398" s="38" t="s">
        <v>686</v>
      </c>
      <c r="D398" s="38" t="s">
        <v>746</v>
      </c>
      <c r="E398" s="38">
        <v>0</v>
      </c>
      <c r="F398" s="38">
        <v>4.24</v>
      </c>
      <c r="G398" s="38">
        <v>11.8</v>
      </c>
      <c r="H398" s="190">
        <v>2</v>
      </c>
      <c r="I398" s="190">
        <v>13.65</v>
      </c>
    </row>
    <row r="399" spans="1:9" hidden="1" x14ac:dyDescent="0.35">
      <c r="A399" s="38" t="s">
        <v>758</v>
      </c>
      <c r="B399" s="38" t="s">
        <v>748</v>
      </c>
      <c r="C399" s="38" t="s">
        <v>691</v>
      </c>
      <c r="D399" s="38" t="s">
        <v>746</v>
      </c>
      <c r="E399" s="38">
        <v>0</v>
      </c>
      <c r="F399" s="38">
        <v>8.3699999999999992</v>
      </c>
      <c r="G399" s="38">
        <v>2</v>
      </c>
      <c r="H399" s="190">
        <v>8</v>
      </c>
      <c r="I399" s="190">
        <v>10.35</v>
      </c>
    </row>
    <row r="400" spans="1:9" hidden="1" x14ac:dyDescent="0.35">
      <c r="A400" s="38" t="s">
        <v>758</v>
      </c>
      <c r="B400" s="38" t="s">
        <v>748</v>
      </c>
      <c r="C400" s="38" t="s">
        <v>696</v>
      </c>
      <c r="D400" s="38" t="s">
        <v>697</v>
      </c>
      <c r="E400" s="38">
        <v>0</v>
      </c>
      <c r="F400" s="38">
        <v>16.5</v>
      </c>
      <c r="G400" s="38">
        <v>6</v>
      </c>
      <c r="H400" s="190">
        <v>11</v>
      </c>
      <c r="I400" s="190">
        <v>7.3</v>
      </c>
    </row>
    <row r="401" spans="1:9" hidden="1" x14ac:dyDescent="0.35">
      <c r="A401" s="38" t="s">
        <v>758</v>
      </c>
      <c r="B401" s="38" t="s">
        <v>748</v>
      </c>
      <c r="C401" s="38" t="s">
        <v>698</v>
      </c>
      <c r="D401" s="38" t="s">
        <v>747</v>
      </c>
      <c r="E401" s="38">
        <v>0</v>
      </c>
      <c r="F401" s="38">
        <v>0.55000000000000004</v>
      </c>
      <c r="G401" s="38">
        <v>5</v>
      </c>
      <c r="H401" s="190">
        <v>6</v>
      </c>
      <c r="I401" s="190">
        <v>6.8</v>
      </c>
    </row>
    <row r="402" spans="1:9" hidden="1" x14ac:dyDescent="0.35">
      <c r="A402" s="38" t="s">
        <v>758</v>
      </c>
      <c r="B402" s="38" t="s">
        <v>748</v>
      </c>
      <c r="C402" s="38" t="s">
        <v>698</v>
      </c>
      <c r="D402" s="38" t="s">
        <v>700</v>
      </c>
      <c r="E402" s="38">
        <v>0</v>
      </c>
      <c r="F402" s="38">
        <v>0.81</v>
      </c>
      <c r="G402" s="38">
        <v>5</v>
      </c>
      <c r="H402" s="190">
        <v>6</v>
      </c>
      <c r="I402" s="190">
        <v>6.8</v>
      </c>
    </row>
    <row r="403" spans="1:9" hidden="1" x14ac:dyDescent="0.35">
      <c r="A403" s="38" t="s">
        <v>758</v>
      </c>
      <c r="B403" s="38" t="s">
        <v>748</v>
      </c>
      <c r="C403" s="38" t="s">
        <v>698</v>
      </c>
      <c r="D403" s="38" t="s">
        <v>521</v>
      </c>
      <c r="E403" s="38">
        <v>0</v>
      </c>
      <c r="F403" s="38">
        <v>0.18</v>
      </c>
      <c r="G403" s="38">
        <v>5</v>
      </c>
      <c r="H403" s="190">
        <v>6</v>
      </c>
      <c r="I403" s="190">
        <v>6.8</v>
      </c>
    </row>
    <row r="404" spans="1:9" hidden="1" x14ac:dyDescent="0.35">
      <c r="A404" s="38" t="s">
        <v>758</v>
      </c>
      <c r="B404" s="38" t="s">
        <v>748</v>
      </c>
      <c r="C404" s="38" t="s">
        <v>698</v>
      </c>
      <c r="D404" s="38" t="s">
        <v>252</v>
      </c>
      <c r="E404" s="38">
        <v>0</v>
      </c>
      <c r="F404" s="38">
        <v>1.03</v>
      </c>
      <c r="G404" s="38">
        <v>5</v>
      </c>
      <c r="H404" s="190">
        <v>6</v>
      </c>
      <c r="I404" s="190">
        <v>6.8</v>
      </c>
    </row>
    <row r="405" spans="1:9" hidden="1" x14ac:dyDescent="0.35">
      <c r="A405" s="38" t="s">
        <v>758</v>
      </c>
      <c r="B405" s="38" t="s">
        <v>748</v>
      </c>
      <c r="C405" s="38" t="s">
        <v>701</v>
      </c>
      <c r="D405" s="38" t="s">
        <v>702</v>
      </c>
      <c r="E405" s="38">
        <v>0</v>
      </c>
      <c r="F405" s="38">
        <v>2.38</v>
      </c>
      <c r="G405" s="38">
        <v>0.5</v>
      </c>
      <c r="H405" s="190">
        <v>4</v>
      </c>
      <c r="I405" s="190">
        <v>3.65</v>
      </c>
    </row>
    <row r="406" spans="1:9" hidden="1" x14ac:dyDescent="0.35">
      <c r="A406" s="38" t="s">
        <v>758</v>
      </c>
      <c r="B406" s="38" t="s">
        <v>748</v>
      </c>
      <c r="C406" s="38" t="s">
        <v>701</v>
      </c>
      <c r="D406" s="38" t="s">
        <v>703</v>
      </c>
      <c r="E406" s="38">
        <v>0</v>
      </c>
      <c r="F406" s="38">
        <v>2.2400000000000002</v>
      </c>
      <c r="G406" s="38">
        <v>1.2</v>
      </c>
      <c r="H406" s="190">
        <v>0.5</v>
      </c>
      <c r="I406" s="190">
        <v>2.6</v>
      </c>
    </row>
    <row r="407" spans="1:9" hidden="1" x14ac:dyDescent="0.35">
      <c r="A407" s="38" t="s">
        <v>758</v>
      </c>
      <c r="B407" s="38" t="s">
        <v>748</v>
      </c>
      <c r="C407" s="38" t="s">
        <v>704</v>
      </c>
      <c r="D407" s="38" t="s">
        <v>746</v>
      </c>
      <c r="E407" s="38">
        <v>0</v>
      </c>
      <c r="F407" s="38">
        <v>2.72</v>
      </c>
      <c r="G407" s="38">
        <v>5</v>
      </c>
      <c r="H407" s="190">
        <v>1</v>
      </c>
      <c r="I407" s="190">
        <v>16.55</v>
      </c>
    </row>
    <row r="408" spans="1:9" hidden="1" x14ac:dyDescent="0.35">
      <c r="A408" s="38" t="s">
        <v>758</v>
      </c>
      <c r="B408" s="38" t="s">
        <v>748</v>
      </c>
      <c r="C408" s="38" t="s">
        <v>707</v>
      </c>
      <c r="D408" s="38" t="s">
        <v>708</v>
      </c>
      <c r="E408" s="38">
        <v>0</v>
      </c>
      <c r="F408" s="38">
        <v>4.8499999999999996</v>
      </c>
      <c r="G408" s="38">
        <v>15</v>
      </c>
      <c r="H408" s="190">
        <v>9</v>
      </c>
      <c r="I408" s="190">
        <v>7.15</v>
      </c>
    </row>
    <row r="409" spans="1:9" hidden="1" x14ac:dyDescent="0.35">
      <c r="A409" s="38" t="s">
        <v>758</v>
      </c>
      <c r="B409" s="38" t="s">
        <v>749</v>
      </c>
      <c r="C409" s="38" t="s">
        <v>686</v>
      </c>
      <c r="D409" s="38" t="s">
        <v>746</v>
      </c>
      <c r="E409" s="38">
        <v>0</v>
      </c>
      <c r="F409" s="38">
        <v>3.25</v>
      </c>
      <c r="G409" s="38">
        <v>10.5</v>
      </c>
      <c r="H409" s="190">
        <v>9</v>
      </c>
      <c r="I409" s="190">
        <v>23.99</v>
      </c>
    </row>
    <row r="410" spans="1:9" hidden="1" x14ac:dyDescent="0.35">
      <c r="A410" s="38" t="s">
        <v>758</v>
      </c>
      <c r="B410" s="38" t="s">
        <v>749</v>
      </c>
      <c r="C410" s="38" t="s">
        <v>691</v>
      </c>
      <c r="D410" s="38" t="s">
        <v>746</v>
      </c>
      <c r="E410" s="38">
        <v>0</v>
      </c>
      <c r="F410" s="38">
        <v>15.3</v>
      </c>
      <c r="G410" s="38">
        <v>2</v>
      </c>
      <c r="H410" s="190">
        <v>9.35</v>
      </c>
      <c r="I410" s="190">
        <v>25.43</v>
      </c>
    </row>
    <row r="411" spans="1:9" hidden="1" x14ac:dyDescent="0.35">
      <c r="A411" s="38" t="s">
        <v>758</v>
      </c>
      <c r="B411" s="38" t="s">
        <v>749</v>
      </c>
      <c r="C411" s="38" t="s">
        <v>696</v>
      </c>
      <c r="D411" s="38" t="s">
        <v>697</v>
      </c>
      <c r="E411" s="38">
        <v>0</v>
      </c>
      <c r="F411" s="38">
        <v>2.2200000000000002</v>
      </c>
      <c r="G411" s="38">
        <v>6</v>
      </c>
      <c r="H411" s="190">
        <v>6.83</v>
      </c>
      <c r="I411" s="190">
        <v>28.17</v>
      </c>
    </row>
    <row r="412" spans="1:9" hidden="1" x14ac:dyDescent="0.35">
      <c r="A412" s="38" t="s">
        <v>758</v>
      </c>
      <c r="B412" s="38" t="s">
        <v>749</v>
      </c>
      <c r="C412" s="38" t="s">
        <v>698</v>
      </c>
      <c r="D412" s="38" t="s">
        <v>747</v>
      </c>
      <c r="E412" s="38">
        <v>0</v>
      </c>
      <c r="F412" s="38">
        <v>0.31</v>
      </c>
      <c r="G412" s="38">
        <v>5</v>
      </c>
      <c r="H412" s="190">
        <v>3.9</v>
      </c>
      <c r="I412" s="190">
        <v>21.19</v>
      </c>
    </row>
    <row r="413" spans="1:9" hidden="1" x14ac:dyDescent="0.35">
      <c r="A413" s="38" t="s">
        <v>758</v>
      </c>
      <c r="B413" s="38" t="s">
        <v>749</v>
      </c>
      <c r="C413" s="38" t="s">
        <v>698</v>
      </c>
      <c r="D413" s="38" t="s">
        <v>700</v>
      </c>
      <c r="E413" s="38">
        <v>0</v>
      </c>
      <c r="F413" s="38">
        <v>0.8</v>
      </c>
      <c r="G413" s="38">
        <v>5</v>
      </c>
      <c r="H413" s="190">
        <v>3.9</v>
      </c>
      <c r="I413" s="190">
        <v>21.19</v>
      </c>
    </row>
    <row r="414" spans="1:9" hidden="1" x14ac:dyDescent="0.35">
      <c r="A414" s="38" t="s">
        <v>758</v>
      </c>
      <c r="B414" s="38" t="s">
        <v>749</v>
      </c>
      <c r="C414" s="38" t="s">
        <v>698</v>
      </c>
      <c r="D414" s="38" t="s">
        <v>521</v>
      </c>
      <c r="E414" s="38">
        <v>0</v>
      </c>
      <c r="F414" s="38">
        <v>0.66</v>
      </c>
      <c r="G414" s="38">
        <v>5</v>
      </c>
      <c r="H414" s="190">
        <v>3.9</v>
      </c>
      <c r="I414" s="190">
        <v>21.19</v>
      </c>
    </row>
    <row r="415" spans="1:9" hidden="1" x14ac:dyDescent="0.35">
      <c r="A415" s="38" t="s">
        <v>758</v>
      </c>
      <c r="B415" s="38" t="s">
        <v>749</v>
      </c>
      <c r="C415" s="38" t="s">
        <v>698</v>
      </c>
      <c r="D415" s="38" t="s">
        <v>252</v>
      </c>
      <c r="E415" s="38">
        <v>0</v>
      </c>
      <c r="F415" s="38">
        <v>0.88</v>
      </c>
      <c r="G415" s="38">
        <v>5</v>
      </c>
      <c r="H415" s="190">
        <v>3.9</v>
      </c>
      <c r="I415" s="190">
        <v>21.19</v>
      </c>
    </row>
    <row r="416" spans="1:9" hidden="1" x14ac:dyDescent="0.35">
      <c r="A416" s="38" t="s">
        <v>758</v>
      </c>
      <c r="B416" s="38" t="s">
        <v>749</v>
      </c>
      <c r="C416" s="38" t="s">
        <v>701</v>
      </c>
      <c r="D416" s="38" t="s">
        <v>702</v>
      </c>
      <c r="E416" s="38">
        <v>0</v>
      </c>
      <c r="F416" s="38">
        <v>2.27</v>
      </c>
      <c r="G416" s="38">
        <v>0.5</v>
      </c>
      <c r="H416" s="190">
        <v>7</v>
      </c>
      <c r="I416" s="190">
        <v>20.399999999999999</v>
      </c>
    </row>
    <row r="417" spans="1:9" hidden="1" x14ac:dyDescent="0.35">
      <c r="A417" s="38" t="s">
        <v>758</v>
      </c>
      <c r="B417" s="38" t="s">
        <v>749</v>
      </c>
      <c r="C417" s="38" t="s">
        <v>701</v>
      </c>
      <c r="D417" s="38" t="s">
        <v>703</v>
      </c>
      <c r="E417" s="38">
        <v>0</v>
      </c>
      <c r="F417" s="38">
        <v>0.4</v>
      </c>
      <c r="G417" s="38">
        <v>1.2</v>
      </c>
      <c r="H417" s="190">
        <v>7.75</v>
      </c>
      <c r="I417" s="190">
        <v>21</v>
      </c>
    </row>
    <row r="418" spans="1:9" hidden="1" x14ac:dyDescent="0.35">
      <c r="A418" s="38" t="s">
        <v>758</v>
      </c>
      <c r="B418" s="38" t="s">
        <v>749</v>
      </c>
      <c r="C418" s="38" t="s">
        <v>704</v>
      </c>
      <c r="D418" s="38" t="s">
        <v>746</v>
      </c>
      <c r="E418" s="38">
        <v>0</v>
      </c>
      <c r="F418" s="38">
        <v>3.91</v>
      </c>
      <c r="G418" s="38">
        <v>5</v>
      </c>
      <c r="H418" s="190">
        <v>1</v>
      </c>
      <c r="I418" s="190">
        <v>4</v>
      </c>
    </row>
    <row r="419" spans="1:9" hidden="1" x14ac:dyDescent="0.35">
      <c r="A419" s="38" t="s">
        <v>758</v>
      </c>
      <c r="B419" s="38" t="s">
        <v>749</v>
      </c>
      <c r="C419" s="38" t="s">
        <v>707</v>
      </c>
      <c r="D419" s="38" t="s">
        <v>708</v>
      </c>
      <c r="E419" s="38">
        <v>0</v>
      </c>
      <c r="F419" s="38">
        <v>5.83</v>
      </c>
      <c r="G419" s="38">
        <v>15</v>
      </c>
      <c r="H419" s="190">
        <v>8</v>
      </c>
      <c r="I419" s="190">
        <v>15</v>
      </c>
    </row>
    <row r="420" spans="1:9" hidden="1" x14ac:dyDescent="0.35">
      <c r="A420" s="38" t="s">
        <v>758</v>
      </c>
      <c r="B420" s="38" t="s">
        <v>750</v>
      </c>
      <c r="C420" s="38" t="s">
        <v>686</v>
      </c>
      <c r="D420" s="38" t="s">
        <v>746</v>
      </c>
      <c r="E420" s="38">
        <v>0</v>
      </c>
      <c r="F420" s="38">
        <v>7.46</v>
      </c>
      <c r="G420" s="38">
        <v>9</v>
      </c>
      <c r="H420" s="190">
        <v>4</v>
      </c>
      <c r="I420" s="190">
        <v>10</v>
      </c>
    </row>
    <row r="421" spans="1:9" hidden="1" x14ac:dyDescent="0.35">
      <c r="A421" s="38" t="s">
        <v>758</v>
      </c>
      <c r="B421" s="38" t="s">
        <v>750</v>
      </c>
      <c r="C421" s="38" t="s">
        <v>691</v>
      </c>
      <c r="D421" s="38" t="s">
        <v>746</v>
      </c>
      <c r="E421" s="38">
        <v>0</v>
      </c>
      <c r="F421" s="38">
        <v>14.32</v>
      </c>
      <c r="G421" s="38">
        <v>20</v>
      </c>
      <c r="H421" s="190">
        <v>12</v>
      </c>
      <c r="I421" s="190">
        <v>10</v>
      </c>
    </row>
    <row r="422" spans="1:9" hidden="1" x14ac:dyDescent="0.35">
      <c r="A422" s="38" t="s">
        <v>758</v>
      </c>
      <c r="B422" s="38" t="s">
        <v>750</v>
      </c>
      <c r="C422" s="38" t="s">
        <v>696</v>
      </c>
      <c r="D422" s="38" t="s">
        <v>697</v>
      </c>
      <c r="E422" s="38">
        <v>0</v>
      </c>
      <c r="F422" s="38">
        <v>19.61</v>
      </c>
      <c r="G422" s="38">
        <v>9</v>
      </c>
      <c r="H422" s="190">
        <v>10</v>
      </c>
      <c r="I422" s="190">
        <v>4</v>
      </c>
    </row>
    <row r="423" spans="1:9" hidden="1" x14ac:dyDescent="0.35">
      <c r="A423" s="38" t="s">
        <v>758</v>
      </c>
      <c r="B423" s="38" t="s">
        <v>750</v>
      </c>
      <c r="C423" s="38" t="s">
        <v>698</v>
      </c>
      <c r="D423" s="38" t="s">
        <v>747</v>
      </c>
      <c r="E423" s="38">
        <v>0</v>
      </c>
      <c r="F423" s="38">
        <v>1.32</v>
      </c>
      <c r="G423" s="38">
        <v>5</v>
      </c>
      <c r="H423" s="190">
        <v>5</v>
      </c>
      <c r="I423" s="190">
        <v>6</v>
      </c>
    </row>
    <row r="424" spans="1:9" hidden="1" x14ac:dyDescent="0.35">
      <c r="A424" s="38" t="s">
        <v>758</v>
      </c>
      <c r="B424" s="38" t="s">
        <v>750</v>
      </c>
      <c r="C424" s="38" t="s">
        <v>698</v>
      </c>
      <c r="D424" s="38" t="s">
        <v>700</v>
      </c>
      <c r="E424" s="38">
        <v>0</v>
      </c>
      <c r="F424" s="38">
        <v>1.04</v>
      </c>
      <c r="G424" s="38">
        <v>5</v>
      </c>
      <c r="H424" s="190">
        <v>5</v>
      </c>
      <c r="I424" s="190">
        <v>6</v>
      </c>
    </row>
    <row r="425" spans="1:9" hidden="1" x14ac:dyDescent="0.35">
      <c r="A425" s="38" t="s">
        <v>758</v>
      </c>
      <c r="B425" s="38" t="s">
        <v>750</v>
      </c>
      <c r="C425" s="38" t="s">
        <v>698</v>
      </c>
      <c r="D425" s="38" t="s">
        <v>521</v>
      </c>
      <c r="E425" s="38">
        <v>0</v>
      </c>
      <c r="F425" s="38">
        <v>0.41</v>
      </c>
      <c r="G425" s="38">
        <v>5</v>
      </c>
      <c r="H425" s="190">
        <v>5</v>
      </c>
      <c r="I425" s="190">
        <v>6</v>
      </c>
    </row>
    <row r="426" spans="1:9" hidden="1" x14ac:dyDescent="0.35">
      <c r="A426" s="38" t="s">
        <v>758</v>
      </c>
      <c r="B426" s="38" t="s">
        <v>750</v>
      </c>
      <c r="C426" s="38" t="s">
        <v>698</v>
      </c>
      <c r="D426" s="38" t="s">
        <v>252</v>
      </c>
      <c r="E426" s="38">
        <v>0</v>
      </c>
      <c r="F426" s="38">
        <v>1.5</v>
      </c>
      <c r="G426" s="38">
        <v>5</v>
      </c>
      <c r="H426" s="190">
        <v>5</v>
      </c>
      <c r="I426" s="190">
        <v>6</v>
      </c>
    </row>
    <row r="427" spans="1:9" hidden="1" x14ac:dyDescent="0.35">
      <c r="A427" s="38" t="s">
        <v>758</v>
      </c>
      <c r="B427" s="38" t="s">
        <v>750</v>
      </c>
      <c r="C427" s="38" t="s">
        <v>701</v>
      </c>
      <c r="D427" s="38" t="s">
        <v>702</v>
      </c>
      <c r="E427" s="38">
        <v>0</v>
      </c>
      <c r="F427" s="38">
        <v>6.21</v>
      </c>
      <c r="G427" s="38">
        <v>0.5</v>
      </c>
      <c r="H427" s="190">
        <v>4</v>
      </c>
      <c r="I427" s="190">
        <v>4</v>
      </c>
    </row>
    <row r="428" spans="1:9" hidden="1" x14ac:dyDescent="0.35">
      <c r="A428" s="38" t="s">
        <v>758</v>
      </c>
      <c r="B428" s="38" t="s">
        <v>750</v>
      </c>
      <c r="C428" s="38" t="s">
        <v>701</v>
      </c>
      <c r="D428" s="38" t="s">
        <v>703</v>
      </c>
      <c r="E428" s="38">
        <v>0</v>
      </c>
      <c r="F428" s="38">
        <v>3.74</v>
      </c>
      <c r="G428" s="38">
        <v>2</v>
      </c>
      <c r="H428" s="190">
        <v>8</v>
      </c>
      <c r="I428" s="190">
        <v>4</v>
      </c>
    </row>
    <row r="429" spans="1:9" hidden="1" x14ac:dyDescent="0.35">
      <c r="A429" s="38" t="s">
        <v>758</v>
      </c>
      <c r="B429" s="38" t="s">
        <v>750</v>
      </c>
      <c r="C429" s="38" t="s">
        <v>704</v>
      </c>
      <c r="D429" s="38" t="s">
        <v>746</v>
      </c>
      <c r="E429" s="38">
        <v>0</v>
      </c>
      <c r="F429" s="38">
        <v>1.49</v>
      </c>
      <c r="G429" s="38">
        <v>8</v>
      </c>
      <c r="H429" s="190">
        <v>2</v>
      </c>
      <c r="I429" s="190">
        <v>2</v>
      </c>
    </row>
    <row r="430" spans="1:9" hidden="1" x14ac:dyDescent="0.35">
      <c r="A430" s="38" t="s">
        <v>758</v>
      </c>
      <c r="B430" s="38" t="s">
        <v>750</v>
      </c>
      <c r="C430" s="38" t="s">
        <v>707</v>
      </c>
      <c r="D430" s="38" t="s">
        <v>708</v>
      </c>
      <c r="E430" s="38">
        <v>0</v>
      </c>
      <c r="F430" s="38">
        <v>10.39</v>
      </c>
      <c r="G430" s="38">
        <v>12</v>
      </c>
      <c r="H430" s="190">
        <v>3</v>
      </c>
      <c r="I430" s="190">
        <v>4</v>
      </c>
    </row>
    <row r="431" spans="1:9" hidden="1" x14ac:dyDescent="0.35">
      <c r="A431" s="38" t="s">
        <v>758</v>
      </c>
      <c r="B431" s="38" t="s">
        <v>751</v>
      </c>
      <c r="C431" s="38" t="s">
        <v>686</v>
      </c>
      <c r="D431" s="38" t="s">
        <v>746</v>
      </c>
      <c r="E431" s="38">
        <v>0</v>
      </c>
      <c r="F431" s="38">
        <v>7.23</v>
      </c>
      <c r="G431" s="38">
        <v>9</v>
      </c>
      <c r="H431" s="190">
        <v>4</v>
      </c>
      <c r="I431" s="190">
        <v>12</v>
      </c>
    </row>
    <row r="432" spans="1:9" hidden="1" x14ac:dyDescent="0.35">
      <c r="A432" s="38" t="s">
        <v>758</v>
      </c>
      <c r="B432" s="38" t="s">
        <v>751</v>
      </c>
      <c r="C432" s="38" t="s">
        <v>691</v>
      </c>
      <c r="D432" s="38" t="s">
        <v>746</v>
      </c>
      <c r="E432" s="38">
        <v>0</v>
      </c>
      <c r="F432" s="38">
        <v>11.3</v>
      </c>
      <c r="G432" s="38">
        <v>20</v>
      </c>
      <c r="H432" s="190">
        <v>15.15</v>
      </c>
      <c r="I432" s="190">
        <v>13</v>
      </c>
    </row>
    <row r="433" spans="1:9" hidden="1" x14ac:dyDescent="0.35">
      <c r="A433" s="38" t="s">
        <v>758</v>
      </c>
      <c r="B433" s="38" t="s">
        <v>751</v>
      </c>
      <c r="C433" s="38" t="s">
        <v>696</v>
      </c>
      <c r="D433" s="38" t="s">
        <v>697</v>
      </c>
      <c r="E433" s="38">
        <v>0</v>
      </c>
      <c r="F433" s="38">
        <v>22.46</v>
      </c>
      <c r="G433" s="38">
        <v>9</v>
      </c>
      <c r="H433" s="190">
        <v>10</v>
      </c>
      <c r="I433" s="190">
        <v>4</v>
      </c>
    </row>
    <row r="434" spans="1:9" hidden="1" x14ac:dyDescent="0.35">
      <c r="A434" s="38" t="s">
        <v>758</v>
      </c>
      <c r="B434" s="38" t="s">
        <v>751</v>
      </c>
      <c r="C434" s="38" t="s">
        <v>698</v>
      </c>
      <c r="D434" s="38" t="s">
        <v>747</v>
      </c>
      <c r="E434" s="38">
        <v>0</v>
      </c>
      <c r="F434" s="38">
        <v>0.2</v>
      </c>
      <c r="G434" s="38">
        <v>5</v>
      </c>
      <c r="H434" s="190">
        <v>5</v>
      </c>
      <c r="I434" s="190">
        <v>8</v>
      </c>
    </row>
    <row r="435" spans="1:9" hidden="1" x14ac:dyDescent="0.35">
      <c r="A435" s="38" t="s">
        <v>758</v>
      </c>
      <c r="B435" s="38" t="s">
        <v>751</v>
      </c>
      <c r="C435" s="38" t="s">
        <v>698</v>
      </c>
      <c r="D435" s="38" t="s">
        <v>700</v>
      </c>
      <c r="E435" s="38">
        <v>0</v>
      </c>
      <c r="F435" s="38">
        <v>0.2</v>
      </c>
      <c r="G435" s="38">
        <v>5</v>
      </c>
      <c r="H435" s="190">
        <v>5</v>
      </c>
      <c r="I435" s="190">
        <v>8</v>
      </c>
    </row>
    <row r="436" spans="1:9" hidden="1" x14ac:dyDescent="0.35">
      <c r="A436" s="38" t="s">
        <v>758</v>
      </c>
      <c r="B436" s="38" t="s">
        <v>751</v>
      </c>
      <c r="C436" s="38" t="s">
        <v>698</v>
      </c>
      <c r="D436" s="38" t="s">
        <v>521</v>
      </c>
      <c r="E436" s="38">
        <v>0</v>
      </c>
      <c r="F436" s="38">
        <v>0.23</v>
      </c>
      <c r="G436" s="38">
        <v>5</v>
      </c>
      <c r="H436" s="190">
        <v>5</v>
      </c>
      <c r="I436" s="190">
        <v>8</v>
      </c>
    </row>
    <row r="437" spans="1:9" hidden="1" x14ac:dyDescent="0.35">
      <c r="A437" s="38" t="s">
        <v>758</v>
      </c>
      <c r="B437" s="38" t="s">
        <v>751</v>
      </c>
      <c r="C437" s="38" t="s">
        <v>698</v>
      </c>
      <c r="D437" s="38" t="s">
        <v>252</v>
      </c>
      <c r="E437" s="38">
        <v>0</v>
      </c>
      <c r="F437" s="38">
        <v>0.9</v>
      </c>
      <c r="G437" s="38">
        <v>5</v>
      </c>
      <c r="H437" s="190">
        <v>5</v>
      </c>
      <c r="I437" s="190">
        <v>8</v>
      </c>
    </row>
    <row r="438" spans="1:9" hidden="1" x14ac:dyDescent="0.35">
      <c r="A438" s="38" t="s">
        <v>758</v>
      </c>
      <c r="B438" s="38" t="s">
        <v>751</v>
      </c>
      <c r="C438" s="38" t="s">
        <v>701</v>
      </c>
      <c r="D438" s="38" t="s">
        <v>702</v>
      </c>
      <c r="E438" s="38">
        <v>0</v>
      </c>
      <c r="F438" s="38">
        <v>4.8899999999999997</v>
      </c>
      <c r="G438" s="38">
        <v>4.5</v>
      </c>
      <c r="H438" s="190">
        <v>4</v>
      </c>
      <c r="I438" s="190">
        <v>12</v>
      </c>
    </row>
    <row r="439" spans="1:9" hidden="1" x14ac:dyDescent="0.35">
      <c r="A439" s="38" t="s">
        <v>758</v>
      </c>
      <c r="B439" s="38" t="s">
        <v>751</v>
      </c>
      <c r="C439" s="38" t="s">
        <v>701</v>
      </c>
      <c r="D439" s="38" t="s">
        <v>703</v>
      </c>
      <c r="E439" s="38">
        <v>0</v>
      </c>
      <c r="F439" s="38">
        <v>3.32</v>
      </c>
      <c r="G439" s="38">
        <v>2</v>
      </c>
      <c r="H439" s="190">
        <v>8</v>
      </c>
      <c r="I439" s="190">
        <v>2</v>
      </c>
    </row>
    <row r="440" spans="1:9" hidden="1" x14ac:dyDescent="0.35">
      <c r="A440" s="38" t="s">
        <v>758</v>
      </c>
      <c r="B440" s="38" t="s">
        <v>751</v>
      </c>
      <c r="C440" s="38" t="s">
        <v>704</v>
      </c>
      <c r="D440" s="38" t="s">
        <v>746</v>
      </c>
      <c r="E440" s="38">
        <v>0</v>
      </c>
      <c r="F440" s="38">
        <v>2.8</v>
      </c>
      <c r="G440" s="38">
        <v>8</v>
      </c>
      <c r="H440" s="190">
        <v>2</v>
      </c>
      <c r="I440" s="190">
        <v>2</v>
      </c>
    </row>
    <row r="441" spans="1:9" hidden="1" x14ac:dyDescent="0.35">
      <c r="A441" s="38" t="s">
        <v>758</v>
      </c>
      <c r="B441" s="38" t="s">
        <v>751</v>
      </c>
      <c r="C441" s="38" t="s">
        <v>707</v>
      </c>
      <c r="D441" s="38" t="s">
        <v>708</v>
      </c>
      <c r="E441" s="38">
        <v>0</v>
      </c>
      <c r="F441" s="38">
        <v>9.26</v>
      </c>
      <c r="G441" s="38">
        <v>12</v>
      </c>
      <c r="H441" s="190">
        <v>5.7</v>
      </c>
      <c r="I441" s="190">
        <v>6</v>
      </c>
    </row>
    <row r="442" spans="1:9" hidden="1" x14ac:dyDescent="0.35">
      <c r="A442" s="38" t="s">
        <v>758</v>
      </c>
      <c r="B442" s="38" t="s">
        <v>752</v>
      </c>
      <c r="C442" s="38" t="s">
        <v>686</v>
      </c>
      <c r="D442" s="38" t="s">
        <v>746</v>
      </c>
      <c r="E442" s="38">
        <v>0</v>
      </c>
      <c r="F442" s="38">
        <v>8.75</v>
      </c>
      <c r="G442" s="38">
        <v>15.25</v>
      </c>
      <c r="H442" s="190">
        <v>2</v>
      </c>
      <c r="I442" s="190">
        <v>1</v>
      </c>
    </row>
    <row r="443" spans="1:9" hidden="1" x14ac:dyDescent="0.35">
      <c r="A443" s="38" t="s">
        <v>758</v>
      </c>
      <c r="B443" s="38" t="s">
        <v>752</v>
      </c>
      <c r="C443" s="38" t="s">
        <v>691</v>
      </c>
      <c r="D443" s="38" t="s">
        <v>746</v>
      </c>
      <c r="E443" s="38">
        <v>0</v>
      </c>
      <c r="F443" s="38">
        <v>17.71</v>
      </c>
      <c r="G443" s="38">
        <v>25</v>
      </c>
      <c r="H443" s="190">
        <v>34.130000000000003</v>
      </c>
      <c r="I443" s="190">
        <v>5</v>
      </c>
    </row>
    <row r="444" spans="1:9" hidden="1" x14ac:dyDescent="0.35">
      <c r="A444" s="38" t="s">
        <v>758</v>
      </c>
      <c r="B444" s="38" t="s">
        <v>752</v>
      </c>
      <c r="C444" s="38" t="s">
        <v>696</v>
      </c>
      <c r="D444" s="38" t="s">
        <v>697</v>
      </c>
      <c r="E444" s="38">
        <v>0</v>
      </c>
      <c r="F444" s="38">
        <v>21.94</v>
      </c>
      <c r="G444" s="38">
        <v>9</v>
      </c>
      <c r="H444" s="190">
        <v>15</v>
      </c>
      <c r="I444" s="190">
        <v>2</v>
      </c>
    </row>
    <row r="445" spans="1:9" hidden="1" x14ac:dyDescent="0.35">
      <c r="A445" s="38" t="s">
        <v>758</v>
      </c>
      <c r="B445" s="38" t="s">
        <v>752</v>
      </c>
      <c r="C445" s="38" t="s">
        <v>698</v>
      </c>
      <c r="D445" s="38" t="s">
        <v>747</v>
      </c>
      <c r="E445" s="38">
        <v>0</v>
      </c>
      <c r="F445" s="38">
        <v>0.93</v>
      </c>
      <c r="G445" s="38">
        <v>5</v>
      </c>
      <c r="H445" s="190">
        <v>7</v>
      </c>
      <c r="I445" s="190">
        <v>2</v>
      </c>
    </row>
    <row r="446" spans="1:9" hidden="1" x14ac:dyDescent="0.35">
      <c r="A446" s="38" t="s">
        <v>758</v>
      </c>
      <c r="B446" s="38" t="s">
        <v>752</v>
      </c>
      <c r="C446" s="38" t="s">
        <v>698</v>
      </c>
      <c r="D446" s="38" t="s">
        <v>700</v>
      </c>
      <c r="E446" s="38">
        <v>0</v>
      </c>
      <c r="F446" s="38">
        <v>0.2</v>
      </c>
      <c r="G446" s="38">
        <v>5</v>
      </c>
      <c r="H446" s="190">
        <v>7</v>
      </c>
      <c r="I446" s="190">
        <v>2</v>
      </c>
    </row>
    <row r="447" spans="1:9" hidden="1" x14ac:dyDescent="0.35">
      <c r="A447" s="38" t="s">
        <v>758</v>
      </c>
      <c r="B447" s="38" t="s">
        <v>752</v>
      </c>
      <c r="C447" s="38" t="s">
        <v>698</v>
      </c>
      <c r="D447" s="38" t="s">
        <v>521</v>
      </c>
      <c r="E447" s="38">
        <v>0</v>
      </c>
      <c r="F447" s="38">
        <v>0.23</v>
      </c>
      <c r="G447" s="38">
        <v>5</v>
      </c>
      <c r="H447" s="190">
        <v>7</v>
      </c>
      <c r="I447" s="190">
        <v>2</v>
      </c>
    </row>
    <row r="448" spans="1:9" hidden="1" x14ac:dyDescent="0.35">
      <c r="A448" s="38" t="s">
        <v>758</v>
      </c>
      <c r="B448" s="38" t="s">
        <v>752</v>
      </c>
      <c r="C448" s="38" t="s">
        <v>698</v>
      </c>
      <c r="D448" s="38" t="s">
        <v>252</v>
      </c>
      <c r="E448" s="38">
        <v>0</v>
      </c>
      <c r="F448" s="38">
        <v>0.9</v>
      </c>
      <c r="G448" s="38">
        <v>5</v>
      </c>
      <c r="H448" s="190">
        <v>7</v>
      </c>
      <c r="I448" s="190">
        <v>2</v>
      </c>
    </row>
    <row r="449" spans="1:9" hidden="1" x14ac:dyDescent="0.35">
      <c r="A449" s="38" t="s">
        <v>758</v>
      </c>
      <c r="B449" s="38" t="s">
        <v>752</v>
      </c>
      <c r="C449" s="38" t="s">
        <v>701</v>
      </c>
      <c r="D449" s="38" t="s">
        <v>702</v>
      </c>
      <c r="E449" s="38">
        <v>0</v>
      </c>
      <c r="F449" s="38">
        <v>8.01</v>
      </c>
      <c r="G449" s="38">
        <v>0.1</v>
      </c>
      <c r="H449" s="190">
        <v>3</v>
      </c>
      <c r="I449" s="190">
        <v>1</v>
      </c>
    </row>
    <row r="450" spans="1:9" hidden="1" x14ac:dyDescent="0.35">
      <c r="A450" s="38" t="s">
        <v>758</v>
      </c>
      <c r="B450" s="38" t="s">
        <v>752</v>
      </c>
      <c r="C450" s="38" t="s">
        <v>701</v>
      </c>
      <c r="D450" s="38" t="s">
        <v>703</v>
      </c>
      <c r="E450" s="38">
        <v>0</v>
      </c>
      <c r="F450" s="38">
        <v>8.1999999999999993</v>
      </c>
      <c r="G450" s="38">
        <v>2</v>
      </c>
      <c r="H450" s="190">
        <v>10</v>
      </c>
      <c r="I450" s="190">
        <v>0.1</v>
      </c>
    </row>
    <row r="451" spans="1:9" hidden="1" x14ac:dyDescent="0.35">
      <c r="A451" s="38" t="s">
        <v>758</v>
      </c>
      <c r="B451" s="38" t="s">
        <v>752</v>
      </c>
      <c r="C451" s="38" t="s">
        <v>704</v>
      </c>
      <c r="D451" s="38" t="s">
        <v>746</v>
      </c>
      <c r="E451" s="38">
        <v>0</v>
      </c>
      <c r="F451" s="38">
        <v>8.18</v>
      </c>
      <c r="G451" s="38">
        <v>8</v>
      </c>
      <c r="H451" s="190">
        <v>2</v>
      </c>
      <c r="I451" s="190">
        <v>1</v>
      </c>
    </row>
    <row r="452" spans="1:9" hidden="1" x14ac:dyDescent="0.35">
      <c r="A452" s="38" t="s">
        <v>758</v>
      </c>
      <c r="B452" s="38" t="s">
        <v>752</v>
      </c>
      <c r="C452" s="38" t="s">
        <v>707</v>
      </c>
      <c r="D452" s="38" t="s">
        <v>708</v>
      </c>
      <c r="E452" s="38">
        <v>0</v>
      </c>
      <c r="F452" s="38">
        <v>16.940000000000001</v>
      </c>
      <c r="G452" s="38">
        <v>15</v>
      </c>
      <c r="H452" s="190">
        <v>5</v>
      </c>
      <c r="I452" s="190">
        <v>2</v>
      </c>
    </row>
    <row r="453" spans="1:9" hidden="1" x14ac:dyDescent="0.35">
      <c r="A453" s="38" t="s">
        <v>758</v>
      </c>
      <c r="B453" s="38" t="s">
        <v>753</v>
      </c>
      <c r="C453" s="38" t="s">
        <v>686</v>
      </c>
      <c r="D453" s="38" t="s">
        <v>746</v>
      </c>
      <c r="E453" s="38">
        <v>0</v>
      </c>
      <c r="F453" s="38">
        <v>6.59</v>
      </c>
      <c r="G453" s="38">
        <v>7</v>
      </c>
      <c r="H453" s="190">
        <v>2.98</v>
      </c>
      <c r="I453" s="190">
        <v>3</v>
      </c>
    </row>
    <row r="454" spans="1:9" hidden="1" x14ac:dyDescent="0.35">
      <c r="A454" s="38" t="s">
        <v>758</v>
      </c>
      <c r="B454" s="38" t="s">
        <v>753</v>
      </c>
      <c r="C454" s="38" t="s">
        <v>691</v>
      </c>
      <c r="D454" s="38" t="s">
        <v>746</v>
      </c>
      <c r="E454" s="38">
        <v>0</v>
      </c>
      <c r="F454" s="38">
        <v>9.8699999999999992</v>
      </c>
      <c r="G454" s="38">
        <v>25</v>
      </c>
      <c r="H454" s="190">
        <v>12.96</v>
      </c>
      <c r="I454" s="190">
        <v>18.16</v>
      </c>
    </row>
    <row r="455" spans="1:9" hidden="1" x14ac:dyDescent="0.35">
      <c r="A455" s="38" t="s">
        <v>758</v>
      </c>
      <c r="B455" s="38" t="s">
        <v>753</v>
      </c>
      <c r="C455" s="38" t="s">
        <v>696</v>
      </c>
      <c r="D455" s="38" t="s">
        <v>697</v>
      </c>
      <c r="E455" s="38">
        <v>0</v>
      </c>
      <c r="F455" s="38">
        <v>25.47</v>
      </c>
      <c r="G455" s="38">
        <v>9</v>
      </c>
      <c r="H455" s="190">
        <v>12.33</v>
      </c>
      <c r="I455" s="190">
        <v>2</v>
      </c>
    </row>
    <row r="456" spans="1:9" hidden="1" x14ac:dyDescent="0.35">
      <c r="A456" s="38" t="s">
        <v>758</v>
      </c>
      <c r="B456" s="38" t="s">
        <v>753</v>
      </c>
      <c r="C456" s="38" t="s">
        <v>698</v>
      </c>
      <c r="D456" s="38" t="s">
        <v>747</v>
      </c>
      <c r="E456" s="38">
        <v>0</v>
      </c>
      <c r="F456" s="38">
        <v>0.21</v>
      </c>
      <c r="G456" s="38">
        <v>5</v>
      </c>
      <c r="H456" s="190">
        <v>7</v>
      </c>
      <c r="I456" s="190">
        <v>4</v>
      </c>
    </row>
    <row r="457" spans="1:9" hidden="1" x14ac:dyDescent="0.35">
      <c r="A457" s="38" t="s">
        <v>758</v>
      </c>
      <c r="B457" s="38" t="s">
        <v>753</v>
      </c>
      <c r="C457" s="38" t="s">
        <v>698</v>
      </c>
      <c r="D457" s="38" t="s">
        <v>700</v>
      </c>
      <c r="E457" s="38">
        <v>0</v>
      </c>
      <c r="F457" s="38">
        <v>0.2</v>
      </c>
      <c r="G457" s="38">
        <v>5</v>
      </c>
      <c r="H457" s="190">
        <v>7</v>
      </c>
      <c r="I457" s="190">
        <v>4</v>
      </c>
    </row>
    <row r="458" spans="1:9" hidden="1" x14ac:dyDescent="0.35">
      <c r="A458" s="38" t="s">
        <v>758</v>
      </c>
      <c r="B458" s="38" t="s">
        <v>753</v>
      </c>
      <c r="C458" s="38" t="s">
        <v>698</v>
      </c>
      <c r="D458" s="38" t="s">
        <v>521</v>
      </c>
      <c r="E458" s="38">
        <v>0</v>
      </c>
      <c r="F458" s="38">
        <v>0.47</v>
      </c>
      <c r="G458" s="38">
        <v>5</v>
      </c>
      <c r="H458" s="190">
        <v>7</v>
      </c>
      <c r="I458" s="190">
        <v>4</v>
      </c>
    </row>
    <row r="459" spans="1:9" hidden="1" x14ac:dyDescent="0.35">
      <c r="A459" s="38" t="s">
        <v>758</v>
      </c>
      <c r="B459" s="38" t="s">
        <v>753</v>
      </c>
      <c r="C459" s="38" t="s">
        <v>698</v>
      </c>
      <c r="D459" s="38" t="s">
        <v>252</v>
      </c>
      <c r="E459" s="38">
        <v>0</v>
      </c>
      <c r="F459" s="38">
        <v>0.97</v>
      </c>
      <c r="G459" s="38">
        <v>5</v>
      </c>
      <c r="H459" s="190">
        <v>7</v>
      </c>
      <c r="I459" s="190">
        <v>4</v>
      </c>
    </row>
    <row r="460" spans="1:9" hidden="1" x14ac:dyDescent="0.35">
      <c r="A460" s="38" t="s">
        <v>758</v>
      </c>
      <c r="B460" s="38" t="s">
        <v>753</v>
      </c>
      <c r="C460" s="38" t="s">
        <v>701</v>
      </c>
      <c r="D460" s="38" t="s">
        <v>702</v>
      </c>
      <c r="E460" s="38">
        <v>0</v>
      </c>
      <c r="F460" s="38">
        <v>7.23</v>
      </c>
      <c r="G460" s="38">
        <v>0.1</v>
      </c>
      <c r="H460" s="190">
        <v>3</v>
      </c>
      <c r="I460" s="190">
        <v>2</v>
      </c>
    </row>
    <row r="461" spans="1:9" hidden="1" x14ac:dyDescent="0.35">
      <c r="A461" s="38" t="s">
        <v>758</v>
      </c>
      <c r="B461" s="38" t="s">
        <v>753</v>
      </c>
      <c r="C461" s="38" t="s">
        <v>701</v>
      </c>
      <c r="D461" s="38" t="s">
        <v>703</v>
      </c>
      <c r="E461" s="38">
        <v>0</v>
      </c>
      <c r="F461" s="38">
        <v>4.68</v>
      </c>
      <c r="G461" s="38">
        <v>2</v>
      </c>
      <c r="H461" s="190">
        <v>10</v>
      </c>
      <c r="I461" s="190">
        <v>1</v>
      </c>
    </row>
    <row r="462" spans="1:9" hidden="1" x14ac:dyDescent="0.35">
      <c r="A462" s="38" t="s">
        <v>758</v>
      </c>
      <c r="B462" s="38" t="s">
        <v>753</v>
      </c>
      <c r="C462" s="38" t="s">
        <v>704</v>
      </c>
      <c r="D462" s="38" t="s">
        <v>746</v>
      </c>
      <c r="E462" s="38">
        <v>0</v>
      </c>
      <c r="F462" s="38">
        <v>3.4</v>
      </c>
      <c r="G462" s="38">
        <v>8</v>
      </c>
      <c r="H462" s="190">
        <v>2</v>
      </c>
      <c r="I462" s="190">
        <v>1</v>
      </c>
    </row>
    <row r="463" spans="1:9" hidden="1" x14ac:dyDescent="0.35">
      <c r="A463" s="38" t="s">
        <v>758</v>
      </c>
      <c r="B463" s="38" t="s">
        <v>753</v>
      </c>
      <c r="C463" s="38" t="s">
        <v>707</v>
      </c>
      <c r="D463" s="38" t="s">
        <v>708</v>
      </c>
      <c r="E463" s="38">
        <v>0</v>
      </c>
      <c r="F463" s="38">
        <v>12.11</v>
      </c>
      <c r="G463" s="38">
        <v>10</v>
      </c>
      <c r="H463" s="190">
        <v>10.78</v>
      </c>
      <c r="I463" s="190">
        <v>3.88</v>
      </c>
    </row>
    <row r="464" spans="1:9" hidden="1" x14ac:dyDescent="0.35">
      <c r="A464" s="38" t="s">
        <v>759</v>
      </c>
      <c r="B464" s="38" t="s">
        <v>745</v>
      </c>
      <c r="C464" s="38" t="s">
        <v>686</v>
      </c>
      <c r="D464" s="38" t="s">
        <v>746</v>
      </c>
      <c r="E464" s="94">
        <v>4.3</v>
      </c>
      <c r="F464" s="94">
        <v>3.8</v>
      </c>
      <c r="G464" s="94">
        <v>10.5</v>
      </c>
      <c r="H464" s="94">
        <v>3</v>
      </c>
      <c r="I464" s="94">
        <f t="shared" ref="I464:I527" si="17">I2*0.5</f>
        <v>13.5</v>
      </c>
    </row>
    <row r="465" spans="1:9" hidden="1" x14ac:dyDescent="0.35">
      <c r="A465" s="38" t="s">
        <v>759</v>
      </c>
      <c r="B465" s="38" t="s">
        <v>745</v>
      </c>
      <c r="C465" s="38" t="s">
        <v>691</v>
      </c>
      <c r="D465" s="38" t="s">
        <v>746</v>
      </c>
      <c r="E465" s="94">
        <v>20</v>
      </c>
      <c r="F465" s="94">
        <v>7.3</v>
      </c>
      <c r="G465" s="94">
        <v>2</v>
      </c>
      <c r="H465" s="94">
        <v>4.9000000000000004</v>
      </c>
      <c r="I465" s="94">
        <f t="shared" si="17"/>
        <v>9.5</v>
      </c>
    </row>
    <row r="466" spans="1:9" hidden="1" x14ac:dyDescent="0.35">
      <c r="A466" s="38" t="s">
        <v>759</v>
      </c>
      <c r="B466" s="38" t="s">
        <v>745</v>
      </c>
      <c r="C466" s="38" t="s">
        <v>696</v>
      </c>
      <c r="D466" s="94" t="s">
        <v>697</v>
      </c>
      <c r="E466" s="94">
        <v>9.4</v>
      </c>
      <c r="F466" s="94">
        <v>7.9</v>
      </c>
      <c r="G466" s="94">
        <v>6</v>
      </c>
      <c r="H466" s="94">
        <v>9</v>
      </c>
      <c r="I466" s="94">
        <f t="shared" si="17"/>
        <v>5.5</v>
      </c>
    </row>
    <row r="467" spans="1:9" hidden="1" x14ac:dyDescent="0.35">
      <c r="A467" s="38" t="s">
        <v>759</v>
      </c>
      <c r="B467" s="38" t="s">
        <v>745</v>
      </c>
      <c r="C467" s="38" t="s">
        <v>698</v>
      </c>
      <c r="D467" s="38" t="s">
        <v>747</v>
      </c>
      <c r="E467" s="94">
        <v>2.2999999999999998</v>
      </c>
      <c r="F467" s="94">
        <v>0.6</v>
      </c>
      <c r="G467" s="94">
        <v>5</v>
      </c>
      <c r="H467" s="94">
        <v>4</v>
      </c>
      <c r="I467" s="94">
        <f t="shared" si="17"/>
        <v>5.5</v>
      </c>
    </row>
    <row r="468" spans="1:9" hidden="1" x14ac:dyDescent="0.35">
      <c r="A468" s="38" t="s">
        <v>759</v>
      </c>
      <c r="B468" s="38" t="s">
        <v>745</v>
      </c>
      <c r="C468" s="38" t="s">
        <v>698</v>
      </c>
      <c r="D468" s="38" t="s">
        <v>700</v>
      </c>
      <c r="E468" s="94">
        <v>10</v>
      </c>
      <c r="F468" s="94">
        <v>0.6</v>
      </c>
      <c r="G468" s="94">
        <v>5</v>
      </c>
      <c r="H468" s="94">
        <v>4</v>
      </c>
      <c r="I468" s="94">
        <f t="shared" si="17"/>
        <v>5.5</v>
      </c>
    </row>
    <row r="469" spans="1:9" hidden="1" x14ac:dyDescent="0.35">
      <c r="A469" s="38" t="s">
        <v>759</v>
      </c>
      <c r="B469" s="38" t="s">
        <v>745</v>
      </c>
      <c r="C469" s="38" t="s">
        <v>698</v>
      </c>
      <c r="D469" s="38" t="s">
        <v>521</v>
      </c>
      <c r="E469" s="94">
        <v>2.5</v>
      </c>
      <c r="F469" s="94">
        <v>0.3</v>
      </c>
      <c r="G469" s="94">
        <v>5</v>
      </c>
      <c r="H469" s="94">
        <v>4</v>
      </c>
      <c r="I469" s="94">
        <f t="shared" si="17"/>
        <v>5.5</v>
      </c>
    </row>
    <row r="470" spans="1:9" hidden="1" x14ac:dyDescent="0.35">
      <c r="A470" s="38" t="s">
        <v>759</v>
      </c>
      <c r="B470" s="38" t="s">
        <v>745</v>
      </c>
      <c r="C470" s="38" t="s">
        <v>698</v>
      </c>
      <c r="D470" s="38" t="s">
        <v>252</v>
      </c>
      <c r="E470" s="94">
        <v>7</v>
      </c>
      <c r="F470" s="94">
        <v>0.9</v>
      </c>
      <c r="G470" s="94">
        <v>5</v>
      </c>
      <c r="H470" s="94">
        <v>4</v>
      </c>
      <c r="I470" s="94">
        <f t="shared" si="17"/>
        <v>5.5</v>
      </c>
    </row>
    <row r="471" spans="1:9" hidden="1" x14ac:dyDescent="0.35">
      <c r="A471" s="38" t="s">
        <v>759</v>
      </c>
      <c r="B471" s="38" t="s">
        <v>745</v>
      </c>
      <c r="C471" s="38" t="s">
        <v>701</v>
      </c>
      <c r="D471" s="38" t="s">
        <v>702</v>
      </c>
      <c r="E471" s="94">
        <v>4</v>
      </c>
      <c r="F471" s="94">
        <v>1.9</v>
      </c>
      <c r="G471" s="94">
        <v>0.5</v>
      </c>
      <c r="H471" s="94">
        <v>2</v>
      </c>
      <c r="I471" s="94">
        <f t="shared" si="17"/>
        <v>4</v>
      </c>
    </row>
    <row r="472" spans="1:9" hidden="1" x14ac:dyDescent="0.35">
      <c r="A472" s="38" t="s">
        <v>759</v>
      </c>
      <c r="B472" s="38" t="s">
        <v>745</v>
      </c>
      <c r="C472" s="38" t="s">
        <v>701</v>
      </c>
      <c r="D472" s="38" t="s">
        <v>703</v>
      </c>
      <c r="E472" s="94">
        <v>3.5</v>
      </c>
      <c r="F472" s="94">
        <v>1.7</v>
      </c>
      <c r="G472" s="94">
        <v>1.2</v>
      </c>
      <c r="H472" s="94">
        <v>0.82</v>
      </c>
      <c r="I472" s="94">
        <f t="shared" si="17"/>
        <v>3.5</v>
      </c>
    </row>
    <row r="473" spans="1:9" hidden="1" x14ac:dyDescent="0.35">
      <c r="A473" s="38" t="s">
        <v>759</v>
      </c>
      <c r="B473" s="38" t="s">
        <v>745</v>
      </c>
      <c r="C473" s="38" t="s">
        <v>704</v>
      </c>
      <c r="D473" s="38" t="s">
        <v>746</v>
      </c>
      <c r="E473" s="94">
        <v>5.3</v>
      </c>
      <c r="F473" s="94">
        <v>1.2</v>
      </c>
      <c r="G473" s="94">
        <v>5</v>
      </c>
      <c r="H473" s="94">
        <v>1</v>
      </c>
      <c r="I473" s="94">
        <f t="shared" si="17"/>
        <v>2</v>
      </c>
    </row>
    <row r="474" spans="1:9" hidden="1" x14ac:dyDescent="0.35">
      <c r="A474" s="38" t="s">
        <v>759</v>
      </c>
      <c r="B474" s="38" t="s">
        <v>745</v>
      </c>
      <c r="C474" s="38" t="s">
        <v>707</v>
      </c>
      <c r="D474" s="38" t="s">
        <v>708</v>
      </c>
      <c r="E474" s="94">
        <v>20</v>
      </c>
      <c r="F474" s="94">
        <v>7.6</v>
      </c>
      <c r="G474" s="94">
        <v>13.8</v>
      </c>
      <c r="H474" s="94">
        <v>7</v>
      </c>
      <c r="I474" s="94">
        <f t="shared" si="17"/>
        <v>8.5</v>
      </c>
    </row>
    <row r="475" spans="1:9" hidden="1" x14ac:dyDescent="0.35">
      <c r="A475" s="38" t="s">
        <v>759</v>
      </c>
      <c r="B475" s="38" t="s">
        <v>748</v>
      </c>
      <c r="C475" s="38" t="s">
        <v>686</v>
      </c>
      <c r="D475" s="38" t="s">
        <v>746</v>
      </c>
      <c r="E475" s="94">
        <v>3.92</v>
      </c>
      <c r="F475" s="94">
        <v>4.24</v>
      </c>
      <c r="G475" s="94">
        <v>11.8</v>
      </c>
      <c r="H475" s="94">
        <v>2</v>
      </c>
      <c r="I475" s="94">
        <f t="shared" si="17"/>
        <v>6.8250000000000002</v>
      </c>
    </row>
    <row r="476" spans="1:9" hidden="1" x14ac:dyDescent="0.35">
      <c r="A476" s="38" t="s">
        <v>759</v>
      </c>
      <c r="B476" s="38" t="s">
        <v>748</v>
      </c>
      <c r="C476" s="38" t="s">
        <v>691</v>
      </c>
      <c r="D476" s="38" t="s">
        <v>746</v>
      </c>
      <c r="E476" s="94">
        <v>10</v>
      </c>
      <c r="F476" s="94">
        <v>8.3699999999999992</v>
      </c>
      <c r="G476" s="94">
        <v>2</v>
      </c>
      <c r="H476" s="94">
        <v>8</v>
      </c>
      <c r="I476" s="94">
        <f t="shared" si="17"/>
        <v>5.1749999999999998</v>
      </c>
    </row>
    <row r="477" spans="1:9" hidden="1" x14ac:dyDescent="0.35">
      <c r="A477" s="38" t="s">
        <v>759</v>
      </c>
      <c r="B477" s="38" t="s">
        <v>748</v>
      </c>
      <c r="C477" s="38" t="s">
        <v>696</v>
      </c>
      <c r="D477" s="94" t="s">
        <v>697</v>
      </c>
      <c r="E477" s="94">
        <v>15</v>
      </c>
      <c r="F477" s="94">
        <v>16.5</v>
      </c>
      <c r="G477" s="94">
        <v>6</v>
      </c>
      <c r="H477" s="94">
        <v>11</v>
      </c>
      <c r="I477" s="94">
        <f t="shared" si="17"/>
        <v>3.65</v>
      </c>
    </row>
    <row r="478" spans="1:9" hidden="1" x14ac:dyDescent="0.35">
      <c r="A478" s="38" t="s">
        <v>759</v>
      </c>
      <c r="B478" s="38" t="s">
        <v>748</v>
      </c>
      <c r="C478" s="38" t="s">
        <v>698</v>
      </c>
      <c r="D478" s="38" t="s">
        <v>747</v>
      </c>
      <c r="E478" s="94">
        <v>2.2999999999999998</v>
      </c>
      <c r="F478" s="94">
        <v>0.55000000000000004</v>
      </c>
      <c r="G478" s="94">
        <v>5</v>
      </c>
      <c r="H478" s="94">
        <v>6</v>
      </c>
      <c r="I478" s="94">
        <f t="shared" si="17"/>
        <v>3.4</v>
      </c>
    </row>
    <row r="479" spans="1:9" hidden="1" x14ac:dyDescent="0.35">
      <c r="A479" s="38" t="s">
        <v>759</v>
      </c>
      <c r="B479" s="38" t="s">
        <v>748</v>
      </c>
      <c r="C479" s="38" t="s">
        <v>698</v>
      </c>
      <c r="D479" s="38" t="s">
        <v>700</v>
      </c>
      <c r="E479" s="94">
        <v>10</v>
      </c>
      <c r="F479" s="94">
        <v>0.81</v>
      </c>
      <c r="G479" s="94">
        <v>5</v>
      </c>
      <c r="H479" s="94">
        <v>6</v>
      </c>
      <c r="I479" s="94">
        <f t="shared" si="17"/>
        <v>3.4</v>
      </c>
    </row>
    <row r="480" spans="1:9" hidden="1" x14ac:dyDescent="0.35">
      <c r="A480" s="38" t="s">
        <v>759</v>
      </c>
      <c r="B480" s="38" t="s">
        <v>748</v>
      </c>
      <c r="C480" s="38" t="s">
        <v>698</v>
      </c>
      <c r="D480" s="38" t="s">
        <v>521</v>
      </c>
      <c r="E480" s="94">
        <v>2.5</v>
      </c>
      <c r="F480" s="94">
        <v>0.18</v>
      </c>
      <c r="G480" s="94">
        <v>5</v>
      </c>
      <c r="H480" s="94">
        <v>6</v>
      </c>
      <c r="I480" s="94">
        <f t="shared" si="17"/>
        <v>3.4</v>
      </c>
    </row>
    <row r="481" spans="1:9" hidden="1" x14ac:dyDescent="0.35">
      <c r="A481" s="38" t="s">
        <v>759</v>
      </c>
      <c r="B481" s="38" t="s">
        <v>748</v>
      </c>
      <c r="C481" s="38" t="s">
        <v>698</v>
      </c>
      <c r="D481" s="38" t="s">
        <v>252</v>
      </c>
      <c r="E481" s="94">
        <v>7</v>
      </c>
      <c r="F481" s="94">
        <v>1.03</v>
      </c>
      <c r="G481" s="94">
        <v>5</v>
      </c>
      <c r="H481" s="94">
        <v>6</v>
      </c>
      <c r="I481" s="94">
        <f t="shared" si="17"/>
        <v>3.4</v>
      </c>
    </row>
    <row r="482" spans="1:9" hidden="1" x14ac:dyDescent="0.35">
      <c r="A482" s="38" t="s">
        <v>759</v>
      </c>
      <c r="B482" s="38" t="s">
        <v>748</v>
      </c>
      <c r="C482" s="38" t="s">
        <v>701</v>
      </c>
      <c r="D482" s="38" t="s">
        <v>702</v>
      </c>
      <c r="E482" s="94">
        <v>6</v>
      </c>
      <c r="F482" s="94">
        <v>2.38</v>
      </c>
      <c r="G482" s="94">
        <v>0.5</v>
      </c>
      <c r="H482" s="94">
        <v>4</v>
      </c>
      <c r="I482" s="94">
        <f t="shared" si="17"/>
        <v>1.825</v>
      </c>
    </row>
    <row r="483" spans="1:9" hidden="1" x14ac:dyDescent="0.35">
      <c r="A483" s="38" t="s">
        <v>759</v>
      </c>
      <c r="B483" s="38" t="s">
        <v>748</v>
      </c>
      <c r="C483" s="38" t="s">
        <v>701</v>
      </c>
      <c r="D483" s="38" t="s">
        <v>703</v>
      </c>
      <c r="E483" s="94">
        <v>3.5</v>
      </c>
      <c r="F483" s="94">
        <v>2.2400000000000002</v>
      </c>
      <c r="G483" s="94">
        <v>1.2</v>
      </c>
      <c r="H483" s="94">
        <v>0.5</v>
      </c>
      <c r="I483" s="94">
        <f t="shared" si="17"/>
        <v>1.3</v>
      </c>
    </row>
    <row r="484" spans="1:9" hidden="1" x14ac:dyDescent="0.35">
      <c r="A484" s="38" t="s">
        <v>759</v>
      </c>
      <c r="B484" s="38" t="s">
        <v>748</v>
      </c>
      <c r="C484" s="38" t="s">
        <v>704</v>
      </c>
      <c r="D484" s="38" t="s">
        <v>746</v>
      </c>
      <c r="E484" s="94">
        <v>6</v>
      </c>
      <c r="F484" s="94">
        <v>2.72</v>
      </c>
      <c r="G484" s="94">
        <v>5</v>
      </c>
      <c r="H484" s="94">
        <v>1</v>
      </c>
      <c r="I484" s="94">
        <f t="shared" si="17"/>
        <v>8.2750000000000004</v>
      </c>
    </row>
    <row r="485" spans="1:9" hidden="1" x14ac:dyDescent="0.35">
      <c r="A485" s="38" t="s">
        <v>759</v>
      </c>
      <c r="B485" s="38" t="s">
        <v>748</v>
      </c>
      <c r="C485" s="38" t="s">
        <v>707</v>
      </c>
      <c r="D485" s="38" t="s">
        <v>708</v>
      </c>
      <c r="E485" s="94">
        <v>20</v>
      </c>
      <c r="F485" s="94">
        <v>4.8499999999999996</v>
      </c>
      <c r="G485" s="94">
        <v>15</v>
      </c>
      <c r="H485" s="94">
        <v>9</v>
      </c>
      <c r="I485" s="94">
        <f t="shared" si="17"/>
        <v>3.5750000000000002</v>
      </c>
    </row>
    <row r="486" spans="1:9" hidden="1" x14ac:dyDescent="0.35">
      <c r="A486" s="38" t="s">
        <v>759</v>
      </c>
      <c r="B486" s="38" t="s">
        <v>749</v>
      </c>
      <c r="C486" s="38" t="s">
        <v>686</v>
      </c>
      <c r="D486" s="38" t="s">
        <v>746</v>
      </c>
      <c r="E486" s="94">
        <v>7.17</v>
      </c>
      <c r="F486" s="94">
        <v>3.25</v>
      </c>
      <c r="G486" s="94">
        <v>10.5</v>
      </c>
      <c r="H486" s="94">
        <v>9</v>
      </c>
      <c r="I486" s="94">
        <f t="shared" si="17"/>
        <v>11.994999999999999</v>
      </c>
    </row>
    <row r="487" spans="1:9" hidden="1" x14ac:dyDescent="0.35">
      <c r="A487" s="38" t="s">
        <v>759</v>
      </c>
      <c r="B487" s="38" t="s">
        <v>749</v>
      </c>
      <c r="C487" s="38" t="s">
        <v>691</v>
      </c>
      <c r="D487" s="38" t="s">
        <v>746</v>
      </c>
      <c r="E487" s="94">
        <v>20</v>
      </c>
      <c r="F487" s="94">
        <v>15.3</v>
      </c>
      <c r="G487" s="94">
        <v>2</v>
      </c>
      <c r="H487" s="94">
        <v>9.35</v>
      </c>
      <c r="I487" s="94">
        <f t="shared" si="17"/>
        <v>12.715</v>
      </c>
    </row>
    <row r="488" spans="1:9" hidden="1" x14ac:dyDescent="0.35">
      <c r="A488" s="38" t="s">
        <v>759</v>
      </c>
      <c r="B488" s="38" t="s">
        <v>749</v>
      </c>
      <c r="C488" s="38" t="s">
        <v>696</v>
      </c>
      <c r="D488" s="94" t="s">
        <v>697</v>
      </c>
      <c r="E488" s="94">
        <v>12</v>
      </c>
      <c r="F488" s="94">
        <v>2.2200000000000002</v>
      </c>
      <c r="G488" s="94">
        <v>6</v>
      </c>
      <c r="H488" s="94">
        <v>6.83</v>
      </c>
      <c r="I488" s="94">
        <f t="shared" si="17"/>
        <v>14.085000000000001</v>
      </c>
    </row>
    <row r="489" spans="1:9" hidden="1" x14ac:dyDescent="0.35">
      <c r="A489" s="38" t="s">
        <v>759</v>
      </c>
      <c r="B489" s="38" t="s">
        <v>749</v>
      </c>
      <c r="C489" s="38" t="s">
        <v>698</v>
      </c>
      <c r="D489" s="38" t="s">
        <v>747</v>
      </c>
      <c r="E489" s="94">
        <v>2.2999999999999998</v>
      </c>
      <c r="F489" s="94">
        <v>0.31</v>
      </c>
      <c r="G489" s="94">
        <v>5</v>
      </c>
      <c r="H489" s="94">
        <v>3.9</v>
      </c>
      <c r="I489" s="94">
        <f t="shared" si="17"/>
        <v>10.595000000000001</v>
      </c>
    </row>
    <row r="490" spans="1:9" hidden="1" x14ac:dyDescent="0.35">
      <c r="A490" s="38" t="s">
        <v>759</v>
      </c>
      <c r="B490" s="38" t="s">
        <v>749</v>
      </c>
      <c r="C490" s="38" t="s">
        <v>698</v>
      </c>
      <c r="D490" s="38" t="s">
        <v>700</v>
      </c>
      <c r="E490" s="94">
        <v>10</v>
      </c>
      <c r="F490" s="94">
        <v>0.8</v>
      </c>
      <c r="G490" s="94">
        <v>5</v>
      </c>
      <c r="H490" s="94">
        <v>3.9</v>
      </c>
      <c r="I490" s="94">
        <f t="shared" si="17"/>
        <v>10.595000000000001</v>
      </c>
    </row>
    <row r="491" spans="1:9" hidden="1" x14ac:dyDescent="0.35">
      <c r="A491" s="38" t="s">
        <v>759</v>
      </c>
      <c r="B491" s="38" t="s">
        <v>749</v>
      </c>
      <c r="C491" s="38" t="s">
        <v>698</v>
      </c>
      <c r="D491" s="38" t="s">
        <v>521</v>
      </c>
      <c r="E491" s="94">
        <v>2.5</v>
      </c>
      <c r="F491" s="94">
        <v>0.66</v>
      </c>
      <c r="G491" s="94">
        <v>5</v>
      </c>
      <c r="H491" s="94">
        <v>3.9</v>
      </c>
      <c r="I491" s="94">
        <f t="shared" si="17"/>
        <v>10.595000000000001</v>
      </c>
    </row>
    <row r="492" spans="1:9" hidden="1" x14ac:dyDescent="0.35">
      <c r="A492" s="38" t="s">
        <v>759</v>
      </c>
      <c r="B492" s="38" t="s">
        <v>749</v>
      </c>
      <c r="C492" s="38" t="s">
        <v>698</v>
      </c>
      <c r="D492" s="38" t="s">
        <v>252</v>
      </c>
      <c r="E492" s="94">
        <v>7</v>
      </c>
      <c r="F492" s="94">
        <v>0.88</v>
      </c>
      <c r="G492" s="94">
        <v>5</v>
      </c>
      <c r="H492" s="94">
        <v>3.9</v>
      </c>
      <c r="I492" s="94">
        <f t="shared" si="17"/>
        <v>10.595000000000001</v>
      </c>
    </row>
    <row r="493" spans="1:9" hidden="1" x14ac:dyDescent="0.35">
      <c r="A493" s="38" t="s">
        <v>759</v>
      </c>
      <c r="B493" s="38" t="s">
        <v>749</v>
      </c>
      <c r="C493" s="38" t="s">
        <v>701</v>
      </c>
      <c r="D493" s="38" t="s">
        <v>702</v>
      </c>
      <c r="E493" s="94">
        <v>4</v>
      </c>
      <c r="F493" s="94">
        <v>2.27</v>
      </c>
      <c r="G493" s="94">
        <v>0.5</v>
      </c>
      <c r="H493" s="94">
        <v>7</v>
      </c>
      <c r="I493" s="94">
        <f t="shared" si="17"/>
        <v>10.199999999999999</v>
      </c>
    </row>
    <row r="494" spans="1:9" hidden="1" x14ac:dyDescent="0.35">
      <c r="A494" s="38" t="s">
        <v>759</v>
      </c>
      <c r="B494" s="38" t="s">
        <v>749</v>
      </c>
      <c r="C494" s="38" t="s">
        <v>701</v>
      </c>
      <c r="D494" s="38" t="s">
        <v>703</v>
      </c>
      <c r="E494" s="94">
        <v>3.5</v>
      </c>
      <c r="F494" s="94">
        <v>0.4</v>
      </c>
      <c r="G494" s="94">
        <v>1.2</v>
      </c>
      <c r="H494" s="94">
        <v>7.75</v>
      </c>
      <c r="I494" s="94">
        <f t="shared" si="17"/>
        <v>10.5</v>
      </c>
    </row>
    <row r="495" spans="1:9" hidden="1" x14ac:dyDescent="0.35">
      <c r="A495" s="38" t="s">
        <v>759</v>
      </c>
      <c r="B495" s="38" t="s">
        <v>749</v>
      </c>
      <c r="C495" s="38" t="s">
        <v>704</v>
      </c>
      <c r="D495" s="38" t="s">
        <v>746</v>
      </c>
      <c r="E495" s="94">
        <v>12</v>
      </c>
      <c r="F495" s="94">
        <v>3.91</v>
      </c>
      <c r="G495" s="94">
        <v>5</v>
      </c>
      <c r="H495" s="94">
        <v>1</v>
      </c>
      <c r="I495" s="94">
        <f t="shared" si="17"/>
        <v>2</v>
      </c>
    </row>
    <row r="496" spans="1:9" hidden="1" x14ac:dyDescent="0.35">
      <c r="A496" s="38" t="s">
        <v>759</v>
      </c>
      <c r="B496" s="38" t="s">
        <v>749</v>
      </c>
      <c r="C496" s="38" t="s">
        <v>707</v>
      </c>
      <c r="D496" s="38" t="s">
        <v>708</v>
      </c>
      <c r="E496" s="94">
        <v>20</v>
      </c>
      <c r="F496" s="94">
        <v>5.83</v>
      </c>
      <c r="G496" s="94">
        <v>15</v>
      </c>
      <c r="H496" s="94">
        <v>8</v>
      </c>
      <c r="I496" s="94">
        <f t="shared" si="17"/>
        <v>7.5</v>
      </c>
    </row>
    <row r="497" spans="1:9" hidden="1" x14ac:dyDescent="0.35">
      <c r="A497" s="38" t="s">
        <v>759</v>
      </c>
      <c r="B497" s="38" t="s">
        <v>750</v>
      </c>
      <c r="C497" s="38" t="s">
        <v>686</v>
      </c>
      <c r="D497" s="38" t="s">
        <v>746</v>
      </c>
      <c r="E497" s="94">
        <v>6</v>
      </c>
      <c r="F497" s="94">
        <v>7.46</v>
      </c>
      <c r="G497" s="94">
        <v>9</v>
      </c>
      <c r="H497" s="94">
        <v>4</v>
      </c>
      <c r="I497" s="94">
        <f t="shared" si="17"/>
        <v>5</v>
      </c>
    </row>
    <row r="498" spans="1:9" hidden="1" x14ac:dyDescent="0.35">
      <c r="A498" s="38" t="s">
        <v>759</v>
      </c>
      <c r="B498" s="38" t="s">
        <v>750</v>
      </c>
      <c r="C498" s="38" t="s">
        <v>691</v>
      </c>
      <c r="D498" s="38" t="s">
        <v>746</v>
      </c>
      <c r="E498" s="94">
        <v>20</v>
      </c>
      <c r="F498" s="94">
        <v>14.32</v>
      </c>
      <c r="G498" s="94">
        <v>20</v>
      </c>
      <c r="H498" s="94">
        <v>12</v>
      </c>
      <c r="I498" s="94">
        <f t="shared" si="17"/>
        <v>5</v>
      </c>
    </row>
    <row r="499" spans="1:9" hidden="1" x14ac:dyDescent="0.35">
      <c r="A499" s="38" t="s">
        <v>759</v>
      </c>
      <c r="B499" s="38" t="s">
        <v>750</v>
      </c>
      <c r="C499" s="38" t="s">
        <v>696</v>
      </c>
      <c r="D499" s="94" t="s">
        <v>697</v>
      </c>
      <c r="E499" s="94">
        <v>5.7</v>
      </c>
      <c r="F499" s="94">
        <v>19.61</v>
      </c>
      <c r="G499" s="94">
        <v>9</v>
      </c>
      <c r="H499" s="94">
        <v>10</v>
      </c>
      <c r="I499" s="94">
        <f t="shared" si="17"/>
        <v>2</v>
      </c>
    </row>
    <row r="500" spans="1:9" hidden="1" x14ac:dyDescent="0.35">
      <c r="A500" s="38" t="s">
        <v>759</v>
      </c>
      <c r="B500" s="38" t="s">
        <v>750</v>
      </c>
      <c r="C500" s="38" t="s">
        <v>698</v>
      </c>
      <c r="D500" s="38" t="s">
        <v>747</v>
      </c>
      <c r="E500" s="94">
        <v>5</v>
      </c>
      <c r="F500" s="94">
        <v>1.32</v>
      </c>
      <c r="G500" s="94">
        <v>5</v>
      </c>
      <c r="H500" s="94">
        <v>5</v>
      </c>
      <c r="I500" s="94">
        <f t="shared" si="17"/>
        <v>3</v>
      </c>
    </row>
    <row r="501" spans="1:9" hidden="1" x14ac:dyDescent="0.35">
      <c r="A501" s="38" t="s">
        <v>759</v>
      </c>
      <c r="B501" s="38" t="s">
        <v>750</v>
      </c>
      <c r="C501" s="38" t="s">
        <v>698</v>
      </c>
      <c r="D501" s="38" t="s">
        <v>700</v>
      </c>
      <c r="E501" s="94">
        <v>10</v>
      </c>
      <c r="F501" s="94">
        <v>1.04</v>
      </c>
      <c r="G501" s="94">
        <v>5</v>
      </c>
      <c r="H501" s="94">
        <v>5</v>
      </c>
      <c r="I501" s="94">
        <f t="shared" si="17"/>
        <v>3</v>
      </c>
    </row>
    <row r="502" spans="1:9" hidden="1" x14ac:dyDescent="0.35">
      <c r="A502" s="38" t="s">
        <v>759</v>
      </c>
      <c r="B502" s="38" t="s">
        <v>750</v>
      </c>
      <c r="C502" s="38" t="s">
        <v>698</v>
      </c>
      <c r="D502" s="38" t="s">
        <v>521</v>
      </c>
      <c r="E502" s="94">
        <v>6</v>
      </c>
      <c r="F502" s="94">
        <v>0.41</v>
      </c>
      <c r="G502" s="94">
        <v>5</v>
      </c>
      <c r="H502" s="94">
        <v>5</v>
      </c>
      <c r="I502" s="94">
        <f t="shared" si="17"/>
        <v>3</v>
      </c>
    </row>
    <row r="503" spans="1:9" hidden="1" x14ac:dyDescent="0.35">
      <c r="A503" s="38" t="s">
        <v>759</v>
      </c>
      <c r="B503" s="38" t="s">
        <v>750</v>
      </c>
      <c r="C503" s="38" t="s">
        <v>698</v>
      </c>
      <c r="D503" s="38" t="s">
        <v>252</v>
      </c>
      <c r="E503" s="94">
        <v>6</v>
      </c>
      <c r="F503" s="94">
        <v>1.5</v>
      </c>
      <c r="G503" s="94">
        <v>5</v>
      </c>
      <c r="H503" s="94">
        <v>5</v>
      </c>
      <c r="I503" s="94">
        <f t="shared" si="17"/>
        <v>3</v>
      </c>
    </row>
    <row r="504" spans="1:9" hidden="1" x14ac:dyDescent="0.35">
      <c r="A504" s="38" t="s">
        <v>759</v>
      </c>
      <c r="B504" s="38" t="s">
        <v>750</v>
      </c>
      <c r="C504" s="38" t="s">
        <v>701</v>
      </c>
      <c r="D504" s="38" t="s">
        <v>702</v>
      </c>
      <c r="E504" s="94">
        <v>6</v>
      </c>
      <c r="F504" s="94">
        <v>6.21</v>
      </c>
      <c r="G504" s="94">
        <v>0.5</v>
      </c>
      <c r="H504" s="94">
        <v>4</v>
      </c>
      <c r="I504" s="94">
        <f t="shared" si="17"/>
        <v>2</v>
      </c>
    </row>
    <row r="505" spans="1:9" hidden="1" x14ac:dyDescent="0.35">
      <c r="A505" s="38" t="s">
        <v>759</v>
      </c>
      <c r="B505" s="38" t="s">
        <v>750</v>
      </c>
      <c r="C505" s="38" t="s">
        <v>701</v>
      </c>
      <c r="D505" s="38" t="s">
        <v>703</v>
      </c>
      <c r="E505" s="94">
        <v>3.5</v>
      </c>
      <c r="F505" s="94">
        <v>3.74</v>
      </c>
      <c r="G505" s="94">
        <v>2</v>
      </c>
      <c r="H505" s="94">
        <v>8</v>
      </c>
      <c r="I505" s="94">
        <f t="shared" si="17"/>
        <v>2</v>
      </c>
    </row>
    <row r="506" spans="1:9" hidden="1" x14ac:dyDescent="0.35">
      <c r="A506" s="38" t="s">
        <v>759</v>
      </c>
      <c r="B506" s="38" t="s">
        <v>750</v>
      </c>
      <c r="C506" s="38" t="s">
        <v>704</v>
      </c>
      <c r="D506" s="38" t="s">
        <v>746</v>
      </c>
      <c r="E506" s="94">
        <v>6</v>
      </c>
      <c r="F506" s="94">
        <v>1.49</v>
      </c>
      <c r="G506" s="94">
        <v>8</v>
      </c>
      <c r="H506" s="94">
        <v>2</v>
      </c>
      <c r="I506" s="94">
        <f t="shared" si="17"/>
        <v>1</v>
      </c>
    </row>
    <row r="507" spans="1:9" hidden="1" x14ac:dyDescent="0.35">
      <c r="A507" s="38" t="s">
        <v>759</v>
      </c>
      <c r="B507" s="38" t="s">
        <v>750</v>
      </c>
      <c r="C507" s="38" t="s">
        <v>707</v>
      </c>
      <c r="D507" s="38" t="s">
        <v>708</v>
      </c>
      <c r="E507" s="94">
        <v>14</v>
      </c>
      <c r="F507" s="94">
        <v>10.39</v>
      </c>
      <c r="G507" s="94">
        <v>12</v>
      </c>
      <c r="H507" s="94">
        <v>3</v>
      </c>
      <c r="I507" s="94">
        <f t="shared" si="17"/>
        <v>2</v>
      </c>
    </row>
    <row r="508" spans="1:9" hidden="1" x14ac:dyDescent="0.35">
      <c r="A508" s="38" t="s">
        <v>759</v>
      </c>
      <c r="B508" s="38" t="s">
        <v>751</v>
      </c>
      <c r="C508" s="38" t="s">
        <v>686</v>
      </c>
      <c r="D508" s="38" t="s">
        <v>746</v>
      </c>
      <c r="E508" s="94">
        <v>6</v>
      </c>
      <c r="F508" s="94">
        <v>7.23</v>
      </c>
      <c r="G508" s="94">
        <v>9</v>
      </c>
      <c r="H508" s="94">
        <v>4</v>
      </c>
      <c r="I508" s="94">
        <f t="shared" si="17"/>
        <v>6</v>
      </c>
    </row>
    <row r="509" spans="1:9" hidden="1" x14ac:dyDescent="0.35">
      <c r="A509" s="38" t="s">
        <v>759</v>
      </c>
      <c r="B509" s="38" t="s">
        <v>751</v>
      </c>
      <c r="C509" s="38" t="s">
        <v>691</v>
      </c>
      <c r="D509" s="38" t="s">
        <v>746</v>
      </c>
      <c r="E509" s="94">
        <v>11.33</v>
      </c>
      <c r="F509" s="94">
        <v>11.3</v>
      </c>
      <c r="G509" s="94">
        <v>20</v>
      </c>
      <c r="H509" s="94">
        <v>15.15</v>
      </c>
      <c r="I509" s="94">
        <f t="shared" si="17"/>
        <v>6.5</v>
      </c>
    </row>
    <row r="510" spans="1:9" hidden="1" x14ac:dyDescent="0.35">
      <c r="A510" s="38" t="s">
        <v>759</v>
      </c>
      <c r="B510" s="38" t="s">
        <v>751</v>
      </c>
      <c r="C510" s="38" t="s">
        <v>696</v>
      </c>
      <c r="D510" s="94" t="s">
        <v>697</v>
      </c>
      <c r="E510" s="94">
        <v>6.6</v>
      </c>
      <c r="F510" s="94">
        <v>22.46</v>
      </c>
      <c r="G510" s="94">
        <v>9</v>
      </c>
      <c r="H510" s="94">
        <v>10</v>
      </c>
      <c r="I510" s="94">
        <f t="shared" si="17"/>
        <v>2</v>
      </c>
    </row>
    <row r="511" spans="1:9" hidden="1" x14ac:dyDescent="0.35">
      <c r="A511" s="38" t="s">
        <v>759</v>
      </c>
      <c r="B511" s="38" t="s">
        <v>751</v>
      </c>
      <c r="C511" s="38" t="s">
        <v>698</v>
      </c>
      <c r="D511" s="38" t="s">
        <v>747</v>
      </c>
      <c r="E511" s="94">
        <v>10</v>
      </c>
      <c r="F511" s="94">
        <v>0.2</v>
      </c>
      <c r="G511" s="94">
        <v>5</v>
      </c>
      <c r="H511" s="94">
        <v>5</v>
      </c>
      <c r="I511" s="94">
        <f t="shared" si="17"/>
        <v>4</v>
      </c>
    </row>
    <row r="512" spans="1:9" hidden="1" x14ac:dyDescent="0.35">
      <c r="A512" s="38" t="s">
        <v>759</v>
      </c>
      <c r="B512" s="38" t="s">
        <v>751</v>
      </c>
      <c r="C512" s="38" t="s">
        <v>698</v>
      </c>
      <c r="D512" s="38" t="s">
        <v>700</v>
      </c>
      <c r="E512" s="94">
        <v>15</v>
      </c>
      <c r="F512" s="94">
        <v>0.2</v>
      </c>
      <c r="G512" s="94">
        <v>5</v>
      </c>
      <c r="H512" s="94">
        <v>5</v>
      </c>
      <c r="I512" s="94">
        <f t="shared" si="17"/>
        <v>4</v>
      </c>
    </row>
    <row r="513" spans="1:9" hidden="1" x14ac:dyDescent="0.35">
      <c r="A513" s="38" t="s">
        <v>759</v>
      </c>
      <c r="B513" s="38" t="s">
        <v>751</v>
      </c>
      <c r="C513" s="38" t="s">
        <v>698</v>
      </c>
      <c r="D513" s="38" t="s">
        <v>521</v>
      </c>
      <c r="E513" s="94">
        <v>8</v>
      </c>
      <c r="F513" s="94">
        <v>0.23</v>
      </c>
      <c r="G513" s="94">
        <v>5</v>
      </c>
      <c r="H513" s="94">
        <v>5</v>
      </c>
      <c r="I513" s="94">
        <f t="shared" si="17"/>
        <v>4</v>
      </c>
    </row>
    <row r="514" spans="1:9" hidden="1" x14ac:dyDescent="0.35">
      <c r="A514" s="38" t="s">
        <v>759</v>
      </c>
      <c r="B514" s="38" t="s">
        <v>751</v>
      </c>
      <c r="C514" s="38" t="s">
        <v>698</v>
      </c>
      <c r="D514" s="38" t="s">
        <v>252</v>
      </c>
      <c r="E514" s="94">
        <v>8</v>
      </c>
      <c r="F514" s="94">
        <v>0.9</v>
      </c>
      <c r="G514" s="94">
        <v>5</v>
      </c>
      <c r="H514" s="94">
        <v>5</v>
      </c>
      <c r="I514" s="94">
        <f t="shared" si="17"/>
        <v>4</v>
      </c>
    </row>
    <row r="515" spans="1:9" hidden="1" x14ac:dyDescent="0.35">
      <c r="A515" s="38" t="s">
        <v>759</v>
      </c>
      <c r="B515" s="38" t="s">
        <v>751</v>
      </c>
      <c r="C515" s="38" t="s">
        <v>701</v>
      </c>
      <c r="D515" s="38" t="s">
        <v>702</v>
      </c>
      <c r="E515" s="94">
        <v>6</v>
      </c>
      <c r="F515" s="94">
        <v>4.8899999999999997</v>
      </c>
      <c r="G515" s="94">
        <v>4.5</v>
      </c>
      <c r="H515" s="94">
        <v>4</v>
      </c>
      <c r="I515" s="94">
        <f t="shared" si="17"/>
        <v>6</v>
      </c>
    </row>
    <row r="516" spans="1:9" hidden="1" x14ac:dyDescent="0.35">
      <c r="A516" s="38" t="s">
        <v>759</v>
      </c>
      <c r="B516" s="38" t="s">
        <v>751</v>
      </c>
      <c r="C516" s="38" t="s">
        <v>701</v>
      </c>
      <c r="D516" s="38" t="s">
        <v>703</v>
      </c>
      <c r="E516" s="94">
        <v>3.5</v>
      </c>
      <c r="F516" s="94">
        <v>3.32</v>
      </c>
      <c r="G516" s="94">
        <v>2</v>
      </c>
      <c r="H516" s="94">
        <v>8</v>
      </c>
      <c r="I516" s="94">
        <f t="shared" si="17"/>
        <v>1</v>
      </c>
    </row>
    <row r="517" spans="1:9" hidden="1" x14ac:dyDescent="0.35">
      <c r="A517" s="38" t="s">
        <v>759</v>
      </c>
      <c r="B517" s="38" t="s">
        <v>751</v>
      </c>
      <c r="C517" s="38" t="s">
        <v>704</v>
      </c>
      <c r="D517" s="38" t="s">
        <v>746</v>
      </c>
      <c r="E517" s="94">
        <v>15</v>
      </c>
      <c r="F517" s="94">
        <v>2.8</v>
      </c>
      <c r="G517" s="94">
        <v>8</v>
      </c>
      <c r="H517" s="94">
        <v>2</v>
      </c>
      <c r="I517" s="94">
        <f t="shared" si="17"/>
        <v>1</v>
      </c>
    </row>
    <row r="518" spans="1:9" hidden="1" x14ac:dyDescent="0.35">
      <c r="A518" s="38" t="s">
        <v>759</v>
      </c>
      <c r="B518" s="38" t="s">
        <v>751</v>
      </c>
      <c r="C518" s="38" t="s">
        <v>707</v>
      </c>
      <c r="D518" s="38" t="s">
        <v>708</v>
      </c>
      <c r="E518" s="94">
        <v>11.9</v>
      </c>
      <c r="F518" s="94">
        <v>9.26</v>
      </c>
      <c r="G518" s="94">
        <v>12</v>
      </c>
      <c r="H518" s="94">
        <v>5.7</v>
      </c>
      <c r="I518" s="94">
        <f t="shared" si="17"/>
        <v>3</v>
      </c>
    </row>
    <row r="519" spans="1:9" hidden="1" x14ac:dyDescent="0.35">
      <c r="A519" s="38" t="s">
        <v>759</v>
      </c>
      <c r="B519" s="38" t="s">
        <v>752</v>
      </c>
      <c r="C519" s="38" t="s">
        <v>686</v>
      </c>
      <c r="D519" s="38" t="s">
        <v>746</v>
      </c>
      <c r="E519" s="94">
        <v>7.21</v>
      </c>
      <c r="F519" s="94">
        <v>8.75</v>
      </c>
      <c r="G519" s="94">
        <v>15.25</v>
      </c>
      <c r="H519" s="94">
        <v>2</v>
      </c>
      <c r="I519" s="94">
        <f t="shared" si="17"/>
        <v>0.5</v>
      </c>
    </row>
    <row r="520" spans="1:9" hidden="1" x14ac:dyDescent="0.35">
      <c r="A520" s="38" t="s">
        <v>759</v>
      </c>
      <c r="B520" s="38" t="s">
        <v>752</v>
      </c>
      <c r="C520" s="38" t="s">
        <v>691</v>
      </c>
      <c r="D520" s="38" t="s">
        <v>746</v>
      </c>
      <c r="E520" s="94">
        <v>13.47</v>
      </c>
      <c r="F520" s="94">
        <v>17.71</v>
      </c>
      <c r="G520" s="94">
        <v>25</v>
      </c>
      <c r="H520" s="94">
        <v>34.130000000000003</v>
      </c>
      <c r="I520" s="94">
        <f t="shared" si="17"/>
        <v>2.5</v>
      </c>
    </row>
    <row r="521" spans="1:9" hidden="1" x14ac:dyDescent="0.35">
      <c r="A521" s="38" t="s">
        <v>759</v>
      </c>
      <c r="B521" s="38" t="s">
        <v>752</v>
      </c>
      <c r="C521" s="38" t="s">
        <v>696</v>
      </c>
      <c r="D521" s="94" t="s">
        <v>697</v>
      </c>
      <c r="E521" s="94">
        <v>5.7</v>
      </c>
      <c r="F521" s="94">
        <v>21.94</v>
      </c>
      <c r="G521" s="94">
        <v>9</v>
      </c>
      <c r="H521" s="94">
        <v>15</v>
      </c>
      <c r="I521" s="94">
        <f t="shared" si="17"/>
        <v>1</v>
      </c>
    </row>
    <row r="522" spans="1:9" hidden="1" x14ac:dyDescent="0.35">
      <c r="A522" s="38" t="s">
        <v>759</v>
      </c>
      <c r="B522" s="38" t="s">
        <v>752</v>
      </c>
      <c r="C522" s="38" t="s">
        <v>698</v>
      </c>
      <c r="D522" s="38" t="s">
        <v>747</v>
      </c>
      <c r="E522" s="94">
        <v>10</v>
      </c>
      <c r="F522" s="94">
        <v>0.93</v>
      </c>
      <c r="G522" s="94">
        <v>5</v>
      </c>
      <c r="H522" s="94">
        <v>7</v>
      </c>
      <c r="I522" s="94">
        <f t="shared" si="17"/>
        <v>1</v>
      </c>
    </row>
    <row r="523" spans="1:9" hidden="1" x14ac:dyDescent="0.35">
      <c r="A523" s="38" t="s">
        <v>759</v>
      </c>
      <c r="B523" s="38" t="s">
        <v>752</v>
      </c>
      <c r="C523" s="38" t="s">
        <v>698</v>
      </c>
      <c r="D523" s="38" t="s">
        <v>700</v>
      </c>
      <c r="E523" s="94">
        <v>33</v>
      </c>
      <c r="F523" s="94">
        <v>0.2</v>
      </c>
      <c r="G523" s="94">
        <v>5</v>
      </c>
      <c r="H523" s="94">
        <v>7</v>
      </c>
      <c r="I523" s="94">
        <f t="shared" si="17"/>
        <v>1</v>
      </c>
    </row>
    <row r="524" spans="1:9" hidden="1" x14ac:dyDescent="0.35">
      <c r="A524" s="38" t="s">
        <v>759</v>
      </c>
      <c r="B524" s="38" t="s">
        <v>752</v>
      </c>
      <c r="C524" s="38" t="s">
        <v>698</v>
      </c>
      <c r="D524" s="38" t="s">
        <v>521</v>
      </c>
      <c r="E524" s="94">
        <v>10</v>
      </c>
      <c r="F524" s="94">
        <v>0.23</v>
      </c>
      <c r="G524" s="94">
        <v>5</v>
      </c>
      <c r="H524" s="94">
        <v>7</v>
      </c>
      <c r="I524" s="94">
        <f t="shared" si="17"/>
        <v>1</v>
      </c>
    </row>
    <row r="525" spans="1:9" hidden="1" x14ac:dyDescent="0.35">
      <c r="A525" s="38" t="s">
        <v>759</v>
      </c>
      <c r="B525" s="38" t="s">
        <v>752</v>
      </c>
      <c r="C525" s="38" t="s">
        <v>698</v>
      </c>
      <c r="D525" s="38" t="s">
        <v>252</v>
      </c>
      <c r="E525" s="94">
        <v>25</v>
      </c>
      <c r="F525" s="94">
        <v>0.9</v>
      </c>
      <c r="G525" s="94">
        <v>5</v>
      </c>
      <c r="H525" s="94">
        <v>7</v>
      </c>
      <c r="I525" s="94">
        <f t="shared" si="17"/>
        <v>1</v>
      </c>
    </row>
    <row r="526" spans="1:9" hidden="1" x14ac:dyDescent="0.35">
      <c r="A526" s="38" t="s">
        <v>759</v>
      </c>
      <c r="B526" s="38" t="s">
        <v>752</v>
      </c>
      <c r="C526" s="38" t="s">
        <v>701</v>
      </c>
      <c r="D526" s="38" t="s">
        <v>702</v>
      </c>
      <c r="E526" s="94">
        <v>8</v>
      </c>
      <c r="F526" s="94">
        <v>8.01</v>
      </c>
      <c r="G526" s="94">
        <v>0.1</v>
      </c>
      <c r="H526" s="94">
        <v>3</v>
      </c>
      <c r="I526" s="94">
        <f t="shared" si="17"/>
        <v>0.5</v>
      </c>
    </row>
    <row r="527" spans="1:9" hidden="1" x14ac:dyDescent="0.35">
      <c r="A527" s="38" t="s">
        <v>759</v>
      </c>
      <c r="B527" s="38" t="s">
        <v>752</v>
      </c>
      <c r="C527" s="38" t="s">
        <v>701</v>
      </c>
      <c r="D527" s="38" t="s">
        <v>703</v>
      </c>
      <c r="E527" s="94">
        <v>6</v>
      </c>
      <c r="F527" s="94">
        <v>8.1999999999999993</v>
      </c>
      <c r="G527" s="94">
        <v>2</v>
      </c>
      <c r="H527" s="94">
        <v>10</v>
      </c>
      <c r="I527" s="94">
        <f t="shared" si="17"/>
        <v>0.05</v>
      </c>
    </row>
    <row r="528" spans="1:9" hidden="1" x14ac:dyDescent="0.35">
      <c r="A528" s="38" t="s">
        <v>759</v>
      </c>
      <c r="B528" s="38" t="s">
        <v>752</v>
      </c>
      <c r="C528" s="38" t="s">
        <v>704</v>
      </c>
      <c r="D528" s="38" t="s">
        <v>746</v>
      </c>
      <c r="E528" s="94">
        <v>12</v>
      </c>
      <c r="F528" s="94">
        <v>8.18</v>
      </c>
      <c r="G528" s="94">
        <v>8</v>
      </c>
      <c r="H528" s="94">
        <v>2</v>
      </c>
      <c r="I528" s="94">
        <f t="shared" ref="I528:I540" si="18">I66*0.5</f>
        <v>0.5</v>
      </c>
    </row>
    <row r="529" spans="1:9" hidden="1" x14ac:dyDescent="0.35">
      <c r="A529" s="38" t="s">
        <v>759</v>
      </c>
      <c r="B529" s="38" t="s">
        <v>752</v>
      </c>
      <c r="C529" s="38" t="s">
        <v>707</v>
      </c>
      <c r="D529" s="38" t="s">
        <v>708</v>
      </c>
      <c r="E529" s="94">
        <v>14</v>
      </c>
      <c r="F529" s="94">
        <v>16.940000000000001</v>
      </c>
      <c r="G529" s="94">
        <v>15</v>
      </c>
      <c r="H529" s="94">
        <v>5</v>
      </c>
      <c r="I529" s="94">
        <f t="shared" si="18"/>
        <v>1</v>
      </c>
    </row>
    <row r="530" spans="1:9" hidden="1" x14ac:dyDescent="0.35">
      <c r="A530" s="38" t="s">
        <v>759</v>
      </c>
      <c r="B530" s="38" t="s">
        <v>753</v>
      </c>
      <c r="C530" s="38" t="s">
        <v>686</v>
      </c>
      <c r="D530" s="38" t="s">
        <v>746</v>
      </c>
      <c r="E530" s="94">
        <v>6</v>
      </c>
      <c r="F530" s="94">
        <v>6.59</v>
      </c>
      <c r="G530" s="94">
        <v>7</v>
      </c>
      <c r="H530" s="94">
        <v>2.98</v>
      </c>
      <c r="I530" s="94">
        <f t="shared" si="18"/>
        <v>1.5</v>
      </c>
    </row>
    <row r="531" spans="1:9" hidden="1" x14ac:dyDescent="0.35">
      <c r="A531" s="38" t="s">
        <v>759</v>
      </c>
      <c r="B531" s="38" t="s">
        <v>753</v>
      </c>
      <c r="C531" s="38" t="s">
        <v>691</v>
      </c>
      <c r="D531" s="38" t="s">
        <v>746</v>
      </c>
      <c r="E531" s="94">
        <v>8.7100000000000009</v>
      </c>
      <c r="F531" s="94">
        <v>9.8699999999999992</v>
      </c>
      <c r="G531" s="94">
        <v>25</v>
      </c>
      <c r="H531" s="94">
        <v>12.96</v>
      </c>
      <c r="I531" s="94">
        <f t="shared" si="18"/>
        <v>9.08</v>
      </c>
    </row>
    <row r="532" spans="1:9" hidden="1" x14ac:dyDescent="0.35">
      <c r="A532" s="38" t="s">
        <v>759</v>
      </c>
      <c r="B532" s="38" t="s">
        <v>753</v>
      </c>
      <c r="C532" s="38" t="s">
        <v>696</v>
      </c>
      <c r="D532" s="94" t="s">
        <v>697</v>
      </c>
      <c r="E532" s="94">
        <v>8.1999999999999993</v>
      </c>
      <c r="F532" s="94">
        <v>25.47</v>
      </c>
      <c r="G532" s="94">
        <v>9</v>
      </c>
      <c r="H532" s="94">
        <v>12.33</v>
      </c>
      <c r="I532" s="94">
        <f t="shared" si="18"/>
        <v>1</v>
      </c>
    </row>
    <row r="533" spans="1:9" hidden="1" x14ac:dyDescent="0.35">
      <c r="A533" s="38" t="s">
        <v>759</v>
      </c>
      <c r="B533" s="38" t="s">
        <v>753</v>
      </c>
      <c r="C533" s="38" t="s">
        <v>698</v>
      </c>
      <c r="D533" s="38" t="s">
        <v>747</v>
      </c>
      <c r="E533" s="94">
        <v>10</v>
      </c>
      <c r="F533" s="94">
        <v>0.21</v>
      </c>
      <c r="G533" s="94">
        <v>5</v>
      </c>
      <c r="H533" s="94">
        <v>7</v>
      </c>
      <c r="I533" s="94">
        <f t="shared" si="18"/>
        <v>2</v>
      </c>
    </row>
    <row r="534" spans="1:9" hidden="1" x14ac:dyDescent="0.35">
      <c r="A534" s="38" t="s">
        <v>759</v>
      </c>
      <c r="B534" s="38" t="s">
        <v>753</v>
      </c>
      <c r="C534" s="38" t="s">
        <v>698</v>
      </c>
      <c r="D534" s="38" t="s">
        <v>700</v>
      </c>
      <c r="E534" s="94">
        <v>10</v>
      </c>
      <c r="F534" s="94">
        <v>0.2</v>
      </c>
      <c r="G534" s="94">
        <v>5</v>
      </c>
      <c r="H534" s="94">
        <v>7</v>
      </c>
      <c r="I534" s="94">
        <f t="shared" si="18"/>
        <v>2</v>
      </c>
    </row>
    <row r="535" spans="1:9" hidden="1" x14ac:dyDescent="0.35">
      <c r="A535" s="38" t="s">
        <v>759</v>
      </c>
      <c r="B535" s="38" t="s">
        <v>753</v>
      </c>
      <c r="C535" s="38" t="s">
        <v>698</v>
      </c>
      <c r="D535" s="38" t="s">
        <v>521</v>
      </c>
      <c r="E535" s="94">
        <v>6</v>
      </c>
      <c r="F535" s="94">
        <v>0.47</v>
      </c>
      <c r="G535" s="94">
        <v>5</v>
      </c>
      <c r="H535" s="94">
        <v>7</v>
      </c>
      <c r="I535" s="94">
        <f t="shared" si="18"/>
        <v>2</v>
      </c>
    </row>
    <row r="536" spans="1:9" hidden="1" x14ac:dyDescent="0.35">
      <c r="A536" s="38" t="s">
        <v>759</v>
      </c>
      <c r="B536" s="38" t="s">
        <v>753</v>
      </c>
      <c r="C536" s="38" t="s">
        <v>698</v>
      </c>
      <c r="D536" s="38" t="s">
        <v>252</v>
      </c>
      <c r="E536" s="94">
        <v>8</v>
      </c>
      <c r="F536" s="94">
        <v>0.97</v>
      </c>
      <c r="G536" s="94">
        <v>5</v>
      </c>
      <c r="H536" s="94">
        <v>7</v>
      </c>
      <c r="I536" s="94">
        <f t="shared" si="18"/>
        <v>2</v>
      </c>
    </row>
    <row r="537" spans="1:9" hidden="1" x14ac:dyDescent="0.35">
      <c r="A537" s="38" t="s">
        <v>759</v>
      </c>
      <c r="B537" s="38" t="s">
        <v>753</v>
      </c>
      <c r="C537" s="38" t="s">
        <v>701</v>
      </c>
      <c r="D537" s="38" t="s">
        <v>702</v>
      </c>
      <c r="E537" s="94">
        <v>8</v>
      </c>
      <c r="F537" s="94">
        <v>7.23</v>
      </c>
      <c r="G537" s="94">
        <v>0.1</v>
      </c>
      <c r="H537" s="94">
        <v>3</v>
      </c>
      <c r="I537" s="94">
        <f t="shared" si="18"/>
        <v>1</v>
      </c>
    </row>
    <row r="538" spans="1:9" hidden="1" x14ac:dyDescent="0.35">
      <c r="A538" s="38" t="s">
        <v>759</v>
      </c>
      <c r="B538" s="38" t="s">
        <v>753</v>
      </c>
      <c r="C538" s="38" t="s">
        <v>701</v>
      </c>
      <c r="D538" s="38" t="s">
        <v>703</v>
      </c>
      <c r="E538" s="94">
        <v>3.5</v>
      </c>
      <c r="F538" s="94">
        <v>4.68</v>
      </c>
      <c r="G538" s="94">
        <v>2</v>
      </c>
      <c r="H538" s="94">
        <v>10</v>
      </c>
      <c r="I538" s="94">
        <f t="shared" si="18"/>
        <v>0.5</v>
      </c>
    </row>
    <row r="539" spans="1:9" hidden="1" x14ac:dyDescent="0.35">
      <c r="A539" s="38" t="s">
        <v>759</v>
      </c>
      <c r="B539" s="38" t="s">
        <v>753</v>
      </c>
      <c r="C539" s="38" t="s">
        <v>704</v>
      </c>
      <c r="D539" s="38" t="s">
        <v>746</v>
      </c>
      <c r="E539" s="94">
        <v>7</v>
      </c>
      <c r="F539" s="94">
        <v>3.4</v>
      </c>
      <c r="G539" s="94">
        <v>8</v>
      </c>
      <c r="H539" s="94">
        <v>2</v>
      </c>
      <c r="I539" s="94">
        <f t="shared" si="18"/>
        <v>0.5</v>
      </c>
    </row>
    <row r="540" spans="1:9" hidden="1" x14ac:dyDescent="0.35">
      <c r="A540" s="38" t="s">
        <v>759</v>
      </c>
      <c r="B540" s="38" t="s">
        <v>753</v>
      </c>
      <c r="C540" s="38" t="s">
        <v>707</v>
      </c>
      <c r="D540" s="38" t="s">
        <v>708</v>
      </c>
      <c r="E540" s="94">
        <v>8.15</v>
      </c>
      <c r="F540" s="94">
        <v>12.11</v>
      </c>
      <c r="G540" s="94">
        <v>10</v>
      </c>
      <c r="H540" s="94">
        <v>10.78</v>
      </c>
      <c r="I540" s="94">
        <f t="shared" si="18"/>
        <v>1.94</v>
      </c>
    </row>
    <row r="541" spans="1:9" hidden="1" x14ac:dyDescent="0.35">
      <c r="A541" s="38" t="s">
        <v>760</v>
      </c>
      <c r="B541" s="38" t="s">
        <v>745</v>
      </c>
      <c r="C541" s="38" t="s">
        <v>686</v>
      </c>
      <c r="D541" s="38" t="s">
        <v>746</v>
      </c>
      <c r="E541" s="38">
        <v>4.3</v>
      </c>
      <c r="F541" s="38">
        <v>3.8</v>
      </c>
      <c r="G541" s="38">
        <v>10.5</v>
      </c>
      <c r="H541" s="190">
        <v>3</v>
      </c>
      <c r="I541" s="190">
        <v>0</v>
      </c>
    </row>
    <row r="542" spans="1:9" hidden="1" x14ac:dyDescent="0.35">
      <c r="A542" s="38" t="s">
        <v>760</v>
      </c>
      <c r="B542" s="38" t="s">
        <v>745</v>
      </c>
      <c r="C542" s="38" t="s">
        <v>691</v>
      </c>
      <c r="D542" s="38" t="s">
        <v>746</v>
      </c>
      <c r="E542" s="38">
        <v>20</v>
      </c>
      <c r="F542" s="38">
        <v>7.3</v>
      </c>
      <c r="G542" s="38">
        <v>2</v>
      </c>
      <c r="H542" s="190">
        <v>4.9000000000000004</v>
      </c>
      <c r="I542" s="190">
        <v>0</v>
      </c>
    </row>
    <row r="543" spans="1:9" hidden="1" x14ac:dyDescent="0.35">
      <c r="A543" s="38" t="s">
        <v>760</v>
      </c>
      <c r="B543" s="38" t="s">
        <v>745</v>
      </c>
      <c r="C543" s="38" t="s">
        <v>696</v>
      </c>
      <c r="D543" s="38" t="s">
        <v>697</v>
      </c>
      <c r="E543" s="38">
        <v>9.4</v>
      </c>
      <c r="F543" s="38">
        <v>7.9</v>
      </c>
      <c r="G543" s="38">
        <v>6</v>
      </c>
      <c r="H543" s="190">
        <v>9</v>
      </c>
      <c r="I543" s="190">
        <v>0</v>
      </c>
    </row>
    <row r="544" spans="1:9" hidden="1" x14ac:dyDescent="0.35">
      <c r="A544" s="38" t="s">
        <v>760</v>
      </c>
      <c r="B544" s="38" t="s">
        <v>745</v>
      </c>
      <c r="C544" s="38" t="s">
        <v>698</v>
      </c>
      <c r="D544" s="38" t="s">
        <v>747</v>
      </c>
      <c r="E544" s="38">
        <v>2.2999999999999998</v>
      </c>
      <c r="F544" s="38">
        <v>0.6</v>
      </c>
      <c r="G544" s="38">
        <v>5</v>
      </c>
      <c r="H544" s="190">
        <v>4</v>
      </c>
      <c r="I544" s="190">
        <v>0</v>
      </c>
    </row>
    <row r="545" spans="1:9" hidden="1" x14ac:dyDescent="0.35">
      <c r="A545" s="38" t="s">
        <v>760</v>
      </c>
      <c r="B545" s="38" t="s">
        <v>745</v>
      </c>
      <c r="C545" s="38" t="s">
        <v>698</v>
      </c>
      <c r="D545" s="38" t="s">
        <v>700</v>
      </c>
      <c r="E545" s="38">
        <v>10</v>
      </c>
      <c r="F545" s="38">
        <v>0.6</v>
      </c>
      <c r="G545" s="38">
        <v>5</v>
      </c>
      <c r="H545" s="190">
        <v>4</v>
      </c>
      <c r="I545" s="190">
        <v>0</v>
      </c>
    </row>
    <row r="546" spans="1:9" hidden="1" x14ac:dyDescent="0.35">
      <c r="A546" s="38" t="s">
        <v>760</v>
      </c>
      <c r="B546" s="38" t="s">
        <v>745</v>
      </c>
      <c r="C546" s="38" t="s">
        <v>698</v>
      </c>
      <c r="D546" s="38" t="s">
        <v>521</v>
      </c>
      <c r="E546" s="38">
        <v>2.5</v>
      </c>
      <c r="F546" s="38">
        <v>0.3</v>
      </c>
      <c r="G546" s="38">
        <v>5</v>
      </c>
      <c r="H546" s="190">
        <v>4</v>
      </c>
      <c r="I546" s="190">
        <v>0</v>
      </c>
    </row>
    <row r="547" spans="1:9" hidden="1" x14ac:dyDescent="0.35">
      <c r="A547" s="38" t="s">
        <v>760</v>
      </c>
      <c r="B547" s="38" t="s">
        <v>745</v>
      </c>
      <c r="C547" s="38" t="s">
        <v>698</v>
      </c>
      <c r="D547" s="38" t="s">
        <v>252</v>
      </c>
      <c r="E547" s="38">
        <v>7</v>
      </c>
      <c r="F547" s="38">
        <v>0.9</v>
      </c>
      <c r="G547" s="38">
        <v>5</v>
      </c>
      <c r="H547" s="190">
        <v>4</v>
      </c>
      <c r="I547" s="190">
        <v>0</v>
      </c>
    </row>
    <row r="548" spans="1:9" hidden="1" x14ac:dyDescent="0.35">
      <c r="A548" s="38" t="s">
        <v>760</v>
      </c>
      <c r="B548" s="38" t="s">
        <v>745</v>
      </c>
      <c r="C548" s="38" t="s">
        <v>701</v>
      </c>
      <c r="D548" s="38" t="s">
        <v>702</v>
      </c>
      <c r="E548" s="38">
        <v>4</v>
      </c>
      <c r="F548" s="38">
        <v>1.9</v>
      </c>
      <c r="G548" s="38">
        <v>0.5</v>
      </c>
      <c r="H548" s="190">
        <v>2</v>
      </c>
      <c r="I548" s="190">
        <v>0</v>
      </c>
    </row>
    <row r="549" spans="1:9" hidden="1" x14ac:dyDescent="0.35">
      <c r="A549" s="38" t="s">
        <v>760</v>
      </c>
      <c r="B549" s="38" t="s">
        <v>745</v>
      </c>
      <c r="C549" s="38" t="s">
        <v>701</v>
      </c>
      <c r="D549" s="38" t="s">
        <v>703</v>
      </c>
      <c r="E549" s="38">
        <v>3.5</v>
      </c>
      <c r="F549" s="38">
        <v>1.7</v>
      </c>
      <c r="G549" s="38">
        <v>1.2</v>
      </c>
      <c r="H549" s="190">
        <v>0.82</v>
      </c>
      <c r="I549" s="190">
        <v>0</v>
      </c>
    </row>
    <row r="550" spans="1:9" hidden="1" x14ac:dyDescent="0.35">
      <c r="A550" s="38" t="s">
        <v>760</v>
      </c>
      <c r="B550" s="38" t="s">
        <v>745</v>
      </c>
      <c r="C550" s="38" t="s">
        <v>704</v>
      </c>
      <c r="D550" s="38" t="s">
        <v>746</v>
      </c>
      <c r="E550" s="38">
        <v>5.3</v>
      </c>
      <c r="F550" s="38">
        <v>1.2</v>
      </c>
      <c r="G550" s="38">
        <v>5</v>
      </c>
      <c r="H550" s="190">
        <v>1</v>
      </c>
      <c r="I550" s="190">
        <v>0</v>
      </c>
    </row>
    <row r="551" spans="1:9" hidden="1" x14ac:dyDescent="0.35">
      <c r="A551" s="38" t="s">
        <v>760</v>
      </c>
      <c r="B551" s="38" t="s">
        <v>745</v>
      </c>
      <c r="C551" s="38" t="s">
        <v>707</v>
      </c>
      <c r="D551" s="38" t="s">
        <v>708</v>
      </c>
      <c r="E551" s="38">
        <v>20</v>
      </c>
      <c r="F551" s="38">
        <v>7.6</v>
      </c>
      <c r="G551" s="38">
        <v>13.8</v>
      </c>
      <c r="H551" s="190">
        <v>7</v>
      </c>
      <c r="I551" s="190">
        <v>0</v>
      </c>
    </row>
    <row r="552" spans="1:9" hidden="1" x14ac:dyDescent="0.35">
      <c r="A552" s="38" t="s">
        <v>760</v>
      </c>
      <c r="B552" s="38" t="s">
        <v>748</v>
      </c>
      <c r="C552" s="38" t="s">
        <v>686</v>
      </c>
      <c r="D552" s="38" t="s">
        <v>746</v>
      </c>
      <c r="E552" s="38">
        <v>3.92</v>
      </c>
      <c r="F552" s="38">
        <v>4.24</v>
      </c>
      <c r="G552" s="38">
        <v>11.8</v>
      </c>
      <c r="H552" s="190">
        <v>2</v>
      </c>
      <c r="I552" s="190">
        <v>0</v>
      </c>
    </row>
    <row r="553" spans="1:9" hidden="1" x14ac:dyDescent="0.35">
      <c r="A553" s="38" t="s">
        <v>760</v>
      </c>
      <c r="B553" s="38" t="s">
        <v>748</v>
      </c>
      <c r="C553" s="38" t="s">
        <v>691</v>
      </c>
      <c r="D553" s="38" t="s">
        <v>746</v>
      </c>
      <c r="E553" s="38">
        <v>10</v>
      </c>
      <c r="F553" s="38">
        <v>8.3699999999999992</v>
      </c>
      <c r="G553" s="38">
        <v>2</v>
      </c>
      <c r="H553" s="190">
        <v>8</v>
      </c>
      <c r="I553" s="190">
        <v>0</v>
      </c>
    </row>
    <row r="554" spans="1:9" hidden="1" x14ac:dyDescent="0.35">
      <c r="A554" s="38" t="s">
        <v>760</v>
      </c>
      <c r="B554" s="38" t="s">
        <v>748</v>
      </c>
      <c r="C554" s="38" t="s">
        <v>696</v>
      </c>
      <c r="D554" s="38" t="s">
        <v>697</v>
      </c>
      <c r="E554" s="38">
        <v>15</v>
      </c>
      <c r="F554" s="38">
        <v>16.5</v>
      </c>
      <c r="G554" s="38">
        <v>6</v>
      </c>
      <c r="H554" s="190">
        <v>11</v>
      </c>
      <c r="I554" s="190">
        <v>0</v>
      </c>
    </row>
    <row r="555" spans="1:9" hidden="1" x14ac:dyDescent="0.35">
      <c r="A555" s="38" t="s">
        <v>760</v>
      </c>
      <c r="B555" s="38" t="s">
        <v>748</v>
      </c>
      <c r="C555" s="38" t="s">
        <v>698</v>
      </c>
      <c r="D555" s="38" t="s">
        <v>747</v>
      </c>
      <c r="E555" s="38">
        <v>2.2999999999999998</v>
      </c>
      <c r="F555" s="38">
        <v>0.55000000000000004</v>
      </c>
      <c r="G555" s="38">
        <v>5</v>
      </c>
      <c r="H555" s="190">
        <v>6</v>
      </c>
      <c r="I555" s="190">
        <v>0</v>
      </c>
    </row>
    <row r="556" spans="1:9" hidden="1" x14ac:dyDescent="0.35">
      <c r="A556" s="38" t="s">
        <v>760</v>
      </c>
      <c r="B556" s="38" t="s">
        <v>748</v>
      </c>
      <c r="C556" s="38" t="s">
        <v>698</v>
      </c>
      <c r="D556" s="38" t="s">
        <v>700</v>
      </c>
      <c r="E556" s="38">
        <v>10</v>
      </c>
      <c r="F556" s="38">
        <v>0.81</v>
      </c>
      <c r="G556" s="38">
        <v>5</v>
      </c>
      <c r="H556" s="190">
        <v>6</v>
      </c>
      <c r="I556" s="190">
        <v>0</v>
      </c>
    </row>
    <row r="557" spans="1:9" hidden="1" x14ac:dyDescent="0.35">
      <c r="A557" s="38" t="s">
        <v>760</v>
      </c>
      <c r="B557" s="38" t="s">
        <v>748</v>
      </c>
      <c r="C557" s="38" t="s">
        <v>698</v>
      </c>
      <c r="D557" s="38" t="s">
        <v>521</v>
      </c>
      <c r="E557" s="38">
        <v>2.5</v>
      </c>
      <c r="F557" s="38">
        <v>0.18</v>
      </c>
      <c r="G557" s="38">
        <v>5</v>
      </c>
      <c r="H557" s="190">
        <v>6</v>
      </c>
      <c r="I557" s="190">
        <v>0</v>
      </c>
    </row>
    <row r="558" spans="1:9" hidden="1" x14ac:dyDescent="0.35">
      <c r="A558" s="38" t="s">
        <v>760</v>
      </c>
      <c r="B558" s="38" t="s">
        <v>748</v>
      </c>
      <c r="C558" s="38" t="s">
        <v>698</v>
      </c>
      <c r="D558" s="38" t="s">
        <v>252</v>
      </c>
      <c r="E558" s="38">
        <v>7</v>
      </c>
      <c r="F558" s="38">
        <v>1.03</v>
      </c>
      <c r="G558" s="38">
        <v>5</v>
      </c>
      <c r="H558" s="190">
        <v>6</v>
      </c>
      <c r="I558" s="190">
        <v>0</v>
      </c>
    </row>
    <row r="559" spans="1:9" hidden="1" x14ac:dyDescent="0.35">
      <c r="A559" s="38" t="s">
        <v>760</v>
      </c>
      <c r="B559" s="38" t="s">
        <v>748</v>
      </c>
      <c r="C559" s="38" t="s">
        <v>701</v>
      </c>
      <c r="D559" s="38" t="s">
        <v>702</v>
      </c>
      <c r="E559" s="38">
        <v>6</v>
      </c>
      <c r="F559" s="38">
        <v>2.38</v>
      </c>
      <c r="G559" s="38">
        <v>0.5</v>
      </c>
      <c r="H559" s="190">
        <v>4</v>
      </c>
      <c r="I559" s="190">
        <v>0</v>
      </c>
    </row>
    <row r="560" spans="1:9" hidden="1" x14ac:dyDescent="0.35">
      <c r="A560" s="38" t="s">
        <v>760</v>
      </c>
      <c r="B560" s="38" t="s">
        <v>748</v>
      </c>
      <c r="C560" s="38" t="s">
        <v>701</v>
      </c>
      <c r="D560" s="38" t="s">
        <v>703</v>
      </c>
      <c r="E560" s="38">
        <v>3.5</v>
      </c>
      <c r="F560" s="38">
        <v>2.2400000000000002</v>
      </c>
      <c r="G560" s="38">
        <v>1.2</v>
      </c>
      <c r="H560" s="190">
        <v>0.5</v>
      </c>
      <c r="I560" s="190">
        <v>0</v>
      </c>
    </row>
    <row r="561" spans="1:9" hidden="1" x14ac:dyDescent="0.35">
      <c r="A561" s="38" t="s">
        <v>760</v>
      </c>
      <c r="B561" s="38" t="s">
        <v>748</v>
      </c>
      <c r="C561" s="38" t="s">
        <v>704</v>
      </c>
      <c r="D561" s="38" t="s">
        <v>746</v>
      </c>
      <c r="E561" s="38">
        <v>6</v>
      </c>
      <c r="F561" s="38">
        <v>2.72</v>
      </c>
      <c r="G561" s="38">
        <v>5</v>
      </c>
      <c r="H561" s="190">
        <v>1</v>
      </c>
      <c r="I561" s="190">
        <v>0</v>
      </c>
    </row>
    <row r="562" spans="1:9" hidden="1" x14ac:dyDescent="0.35">
      <c r="A562" s="38" t="s">
        <v>760</v>
      </c>
      <c r="B562" s="38" t="s">
        <v>748</v>
      </c>
      <c r="C562" s="38" t="s">
        <v>707</v>
      </c>
      <c r="D562" s="38" t="s">
        <v>708</v>
      </c>
      <c r="E562" s="38">
        <v>20</v>
      </c>
      <c r="F562" s="38">
        <v>4.8499999999999996</v>
      </c>
      <c r="G562" s="38">
        <v>15</v>
      </c>
      <c r="H562" s="190">
        <v>9</v>
      </c>
      <c r="I562" s="190">
        <v>0</v>
      </c>
    </row>
    <row r="563" spans="1:9" hidden="1" x14ac:dyDescent="0.35">
      <c r="A563" s="38" t="s">
        <v>760</v>
      </c>
      <c r="B563" s="38" t="s">
        <v>749</v>
      </c>
      <c r="C563" s="38" t="s">
        <v>686</v>
      </c>
      <c r="D563" s="38" t="s">
        <v>746</v>
      </c>
      <c r="E563" s="38">
        <v>7.17</v>
      </c>
      <c r="F563" s="38">
        <v>3.25</v>
      </c>
      <c r="G563" s="38">
        <v>10.5</v>
      </c>
      <c r="H563" s="190">
        <v>9</v>
      </c>
      <c r="I563" s="190">
        <v>0</v>
      </c>
    </row>
    <row r="564" spans="1:9" hidden="1" x14ac:dyDescent="0.35">
      <c r="A564" s="38" t="s">
        <v>760</v>
      </c>
      <c r="B564" s="38" t="s">
        <v>749</v>
      </c>
      <c r="C564" s="38" t="s">
        <v>691</v>
      </c>
      <c r="D564" s="38" t="s">
        <v>746</v>
      </c>
      <c r="E564" s="38">
        <v>20</v>
      </c>
      <c r="F564" s="38">
        <v>15.3</v>
      </c>
      <c r="G564" s="38">
        <v>2</v>
      </c>
      <c r="H564" s="190">
        <v>9.35</v>
      </c>
      <c r="I564" s="190">
        <v>0</v>
      </c>
    </row>
    <row r="565" spans="1:9" hidden="1" x14ac:dyDescent="0.35">
      <c r="A565" s="38" t="s">
        <v>760</v>
      </c>
      <c r="B565" s="38" t="s">
        <v>749</v>
      </c>
      <c r="C565" s="38" t="s">
        <v>696</v>
      </c>
      <c r="D565" s="38" t="s">
        <v>697</v>
      </c>
      <c r="E565" s="38">
        <v>12</v>
      </c>
      <c r="F565" s="38">
        <v>2.2200000000000002</v>
      </c>
      <c r="G565" s="38">
        <v>6</v>
      </c>
      <c r="H565" s="190">
        <v>6.83</v>
      </c>
      <c r="I565" s="190">
        <v>0</v>
      </c>
    </row>
    <row r="566" spans="1:9" hidden="1" x14ac:dyDescent="0.35">
      <c r="A566" s="38" t="s">
        <v>760</v>
      </c>
      <c r="B566" s="38" t="s">
        <v>749</v>
      </c>
      <c r="C566" s="38" t="s">
        <v>698</v>
      </c>
      <c r="D566" s="38" t="s">
        <v>747</v>
      </c>
      <c r="E566" s="38">
        <v>2.2999999999999998</v>
      </c>
      <c r="F566" s="38">
        <v>0.31</v>
      </c>
      <c r="G566" s="38">
        <v>5</v>
      </c>
      <c r="H566" s="190">
        <v>3.9</v>
      </c>
      <c r="I566" s="190">
        <v>0</v>
      </c>
    </row>
    <row r="567" spans="1:9" hidden="1" x14ac:dyDescent="0.35">
      <c r="A567" s="38" t="s">
        <v>760</v>
      </c>
      <c r="B567" s="38" t="s">
        <v>749</v>
      </c>
      <c r="C567" s="38" t="s">
        <v>698</v>
      </c>
      <c r="D567" s="38" t="s">
        <v>700</v>
      </c>
      <c r="E567" s="38">
        <v>10</v>
      </c>
      <c r="F567" s="38">
        <v>0.8</v>
      </c>
      <c r="G567" s="38">
        <v>5</v>
      </c>
      <c r="H567" s="190">
        <v>3.9</v>
      </c>
      <c r="I567" s="190">
        <v>0</v>
      </c>
    </row>
    <row r="568" spans="1:9" hidden="1" x14ac:dyDescent="0.35">
      <c r="A568" s="38" t="s">
        <v>760</v>
      </c>
      <c r="B568" s="38" t="s">
        <v>749</v>
      </c>
      <c r="C568" s="38" t="s">
        <v>698</v>
      </c>
      <c r="D568" s="38" t="s">
        <v>521</v>
      </c>
      <c r="E568" s="38">
        <v>2.5</v>
      </c>
      <c r="F568" s="38">
        <v>0.66</v>
      </c>
      <c r="G568" s="38">
        <v>5</v>
      </c>
      <c r="H568" s="190">
        <v>3.9</v>
      </c>
      <c r="I568" s="190">
        <v>0</v>
      </c>
    </row>
    <row r="569" spans="1:9" hidden="1" x14ac:dyDescent="0.35">
      <c r="A569" s="38" t="s">
        <v>760</v>
      </c>
      <c r="B569" s="38" t="s">
        <v>749</v>
      </c>
      <c r="C569" s="38" t="s">
        <v>698</v>
      </c>
      <c r="D569" s="38" t="s">
        <v>252</v>
      </c>
      <c r="E569" s="38">
        <v>7</v>
      </c>
      <c r="F569" s="38">
        <v>0.88</v>
      </c>
      <c r="G569" s="38">
        <v>5</v>
      </c>
      <c r="H569" s="190">
        <v>3.9</v>
      </c>
      <c r="I569" s="190">
        <v>0</v>
      </c>
    </row>
    <row r="570" spans="1:9" hidden="1" x14ac:dyDescent="0.35">
      <c r="A570" s="38" t="s">
        <v>760</v>
      </c>
      <c r="B570" s="38" t="s">
        <v>749</v>
      </c>
      <c r="C570" s="38" t="s">
        <v>701</v>
      </c>
      <c r="D570" s="38" t="s">
        <v>702</v>
      </c>
      <c r="E570" s="38">
        <v>4</v>
      </c>
      <c r="F570" s="38">
        <v>2.27</v>
      </c>
      <c r="G570" s="38">
        <v>0.5</v>
      </c>
      <c r="H570" s="190">
        <v>7</v>
      </c>
      <c r="I570" s="190">
        <v>0</v>
      </c>
    </row>
    <row r="571" spans="1:9" hidden="1" x14ac:dyDescent="0.35">
      <c r="A571" s="38" t="s">
        <v>760</v>
      </c>
      <c r="B571" s="38" t="s">
        <v>749</v>
      </c>
      <c r="C571" s="38" t="s">
        <v>701</v>
      </c>
      <c r="D571" s="38" t="s">
        <v>703</v>
      </c>
      <c r="E571" s="38">
        <v>3.5</v>
      </c>
      <c r="F571" s="38">
        <v>0.4</v>
      </c>
      <c r="G571" s="38">
        <v>1.2</v>
      </c>
      <c r="H571" s="190">
        <v>7.75</v>
      </c>
      <c r="I571" s="190">
        <v>0</v>
      </c>
    </row>
    <row r="572" spans="1:9" hidden="1" x14ac:dyDescent="0.35">
      <c r="A572" s="38" t="s">
        <v>760</v>
      </c>
      <c r="B572" s="38" t="s">
        <v>749</v>
      </c>
      <c r="C572" s="38" t="s">
        <v>704</v>
      </c>
      <c r="D572" s="38" t="s">
        <v>746</v>
      </c>
      <c r="E572" s="38">
        <v>12</v>
      </c>
      <c r="F572" s="38">
        <v>3.91</v>
      </c>
      <c r="G572" s="38">
        <v>5</v>
      </c>
      <c r="H572" s="190">
        <v>1</v>
      </c>
      <c r="I572" s="190">
        <v>0</v>
      </c>
    </row>
    <row r="573" spans="1:9" hidden="1" x14ac:dyDescent="0.35">
      <c r="A573" s="38" t="s">
        <v>760</v>
      </c>
      <c r="B573" s="38" t="s">
        <v>749</v>
      </c>
      <c r="C573" s="38" t="s">
        <v>707</v>
      </c>
      <c r="D573" s="38" t="s">
        <v>708</v>
      </c>
      <c r="E573" s="38">
        <v>20</v>
      </c>
      <c r="F573" s="38">
        <v>5.83</v>
      </c>
      <c r="G573" s="38">
        <v>15</v>
      </c>
      <c r="H573" s="190">
        <v>8</v>
      </c>
      <c r="I573" s="190">
        <v>0</v>
      </c>
    </row>
    <row r="574" spans="1:9" hidden="1" x14ac:dyDescent="0.35">
      <c r="A574" s="38" t="s">
        <v>760</v>
      </c>
      <c r="B574" s="38" t="s">
        <v>750</v>
      </c>
      <c r="C574" s="38" t="s">
        <v>686</v>
      </c>
      <c r="D574" s="38" t="s">
        <v>746</v>
      </c>
      <c r="E574" s="38">
        <v>6</v>
      </c>
      <c r="F574" s="38">
        <v>7.46</v>
      </c>
      <c r="G574" s="38">
        <v>9</v>
      </c>
      <c r="H574" s="190">
        <v>4</v>
      </c>
      <c r="I574" s="190">
        <v>0</v>
      </c>
    </row>
    <row r="575" spans="1:9" hidden="1" x14ac:dyDescent="0.35">
      <c r="A575" s="38" t="s">
        <v>760</v>
      </c>
      <c r="B575" s="38" t="s">
        <v>750</v>
      </c>
      <c r="C575" s="38" t="s">
        <v>691</v>
      </c>
      <c r="D575" s="38" t="s">
        <v>746</v>
      </c>
      <c r="E575" s="38">
        <v>20</v>
      </c>
      <c r="F575" s="38">
        <v>14.32</v>
      </c>
      <c r="G575" s="38">
        <v>20</v>
      </c>
      <c r="H575" s="190">
        <v>12</v>
      </c>
      <c r="I575" s="190">
        <v>0</v>
      </c>
    </row>
    <row r="576" spans="1:9" hidden="1" x14ac:dyDescent="0.35">
      <c r="A576" s="38" t="s">
        <v>760</v>
      </c>
      <c r="B576" s="38" t="s">
        <v>750</v>
      </c>
      <c r="C576" s="38" t="s">
        <v>696</v>
      </c>
      <c r="D576" s="38" t="s">
        <v>697</v>
      </c>
      <c r="E576" s="38">
        <v>5.7</v>
      </c>
      <c r="F576" s="38">
        <v>19.61</v>
      </c>
      <c r="G576" s="38">
        <v>9</v>
      </c>
      <c r="H576" s="190">
        <v>10</v>
      </c>
      <c r="I576" s="190">
        <v>0</v>
      </c>
    </row>
    <row r="577" spans="1:9" hidden="1" x14ac:dyDescent="0.35">
      <c r="A577" s="38" t="s">
        <v>760</v>
      </c>
      <c r="B577" s="38" t="s">
        <v>750</v>
      </c>
      <c r="C577" s="38" t="s">
        <v>698</v>
      </c>
      <c r="D577" s="38" t="s">
        <v>747</v>
      </c>
      <c r="E577" s="38">
        <v>5</v>
      </c>
      <c r="F577" s="38">
        <v>1.32</v>
      </c>
      <c r="G577" s="38">
        <v>5</v>
      </c>
      <c r="H577" s="190">
        <v>5</v>
      </c>
      <c r="I577" s="190">
        <v>0</v>
      </c>
    </row>
    <row r="578" spans="1:9" hidden="1" x14ac:dyDescent="0.35">
      <c r="A578" s="38" t="s">
        <v>760</v>
      </c>
      <c r="B578" s="38" t="s">
        <v>750</v>
      </c>
      <c r="C578" s="38" t="s">
        <v>698</v>
      </c>
      <c r="D578" s="38" t="s">
        <v>700</v>
      </c>
      <c r="E578" s="38">
        <v>10</v>
      </c>
      <c r="F578" s="38">
        <v>1.04</v>
      </c>
      <c r="G578" s="38">
        <v>5</v>
      </c>
      <c r="H578" s="190">
        <v>5</v>
      </c>
      <c r="I578" s="190">
        <v>0</v>
      </c>
    </row>
    <row r="579" spans="1:9" hidden="1" x14ac:dyDescent="0.35">
      <c r="A579" s="38" t="s">
        <v>760</v>
      </c>
      <c r="B579" s="38" t="s">
        <v>750</v>
      </c>
      <c r="C579" s="38" t="s">
        <v>698</v>
      </c>
      <c r="D579" s="38" t="s">
        <v>521</v>
      </c>
      <c r="E579" s="38">
        <v>6</v>
      </c>
      <c r="F579" s="38">
        <v>0.41</v>
      </c>
      <c r="G579" s="38">
        <v>5</v>
      </c>
      <c r="H579" s="190">
        <v>5</v>
      </c>
      <c r="I579" s="190">
        <v>0</v>
      </c>
    </row>
    <row r="580" spans="1:9" hidden="1" x14ac:dyDescent="0.35">
      <c r="A580" s="38" t="s">
        <v>760</v>
      </c>
      <c r="B580" s="38" t="s">
        <v>750</v>
      </c>
      <c r="C580" s="38" t="s">
        <v>698</v>
      </c>
      <c r="D580" s="38" t="s">
        <v>252</v>
      </c>
      <c r="E580" s="38">
        <v>6</v>
      </c>
      <c r="F580" s="38">
        <v>1.5</v>
      </c>
      <c r="G580" s="38">
        <v>5</v>
      </c>
      <c r="H580" s="190">
        <v>5</v>
      </c>
      <c r="I580" s="190">
        <v>0</v>
      </c>
    </row>
    <row r="581" spans="1:9" hidden="1" x14ac:dyDescent="0.35">
      <c r="A581" s="38" t="s">
        <v>760</v>
      </c>
      <c r="B581" s="38" t="s">
        <v>750</v>
      </c>
      <c r="C581" s="38" t="s">
        <v>701</v>
      </c>
      <c r="D581" s="38" t="s">
        <v>702</v>
      </c>
      <c r="E581" s="38">
        <v>6</v>
      </c>
      <c r="F581" s="38">
        <v>6.21</v>
      </c>
      <c r="G581" s="38">
        <v>0.5</v>
      </c>
      <c r="H581" s="190">
        <v>4</v>
      </c>
      <c r="I581" s="190">
        <v>0</v>
      </c>
    </row>
    <row r="582" spans="1:9" hidden="1" x14ac:dyDescent="0.35">
      <c r="A582" s="38" t="s">
        <v>760</v>
      </c>
      <c r="B582" s="38" t="s">
        <v>750</v>
      </c>
      <c r="C582" s="38" t="s">
        <v>701</v>
      </c>
      <c r="D582" s="38" t="s">
        <v>703</v>
      </c>
      <c r="E582" s="38">
        <v>3.5</v>
      </c>
      <c r="F582" s="38">
        <v>3.74</v>
      </c>
      <c r="G582" s="38">
        <v>2</v>
      </c>
      <c r="H582" s="190">
        <v>8</v>
      </c>
      <c r="I582" s="190">
        <v>0</v>
      </c>
    </row>
    <row r="583" spans="1:9" hidden="1" x14ac:dyDescent="0.35">
      <c r="A583" s="38" t="s">
        <v>760</v>
      </c>
      <c r="B583" s="38" t="s">
        <v>750</v>
      </c>
      <c r="C583" s="38" t="s">
        <v>704</v>
      </c>
      <c r="D583" s="38" t="s">
        <v>746</v>
      </c>
      <c r="E583" s="38">
        <v>6</v>
      </c>
      <c r="F583" s="38">
        <v>1.49</v>
      </c>
      <c r="G583" s="38">
        <v>8</v>
      </c>
      <c r="H583" s="190">
        <v>2</v>
      </c>
      <c r="I583" s="190">
        <v>0</v>
      </c>
    </row>
    <row r="584" spans="1:9" hidden="1" x14ac:dyDescent="0.35">
      <c r="A584" s="38" t="s">
        <v>760</v>
      </c>
      <c r="B584" s="38" t="s">
        <v>750</v>
      </c>
      <c r="C584" s="38" t="s">
        <v>707</v>
      </c>
      <c r="D584" s="38" t="s">
        <v>708</v>
      </c>
      <c r="E584" s="38">
        <v>14</v>
      </c>
      <c r="F584" s="38">
        <v>10.39</v>
      </c>
      <c r="G584" s="38">
        <v>12</v>
      </c>
      <c r="H584" s="190">
        <v>3</v>
      </c>
      <c r="I584" s="190">
        <v>0</v>
      </c>
    </row>
    <row r="585" spans="1:9" hidden="1" x14ac:dyDescent="0.35">
      <c r="A585" s="38" t="s">
        <v>760</v>
      </c>
      <c r="B585" s="38" t="s">
        <v>751</v>
      </c>
      <c r="C585" s="38" t="s">
        <v>686</v>
      </c>
      <c r="D585" s="38" t="s">
        <v>746</v>
      </c>
      <c r="E585" s="38">
        <v>6</v>
      </c>
      <c r="F585" s="38">
        <v>7.23</v>
      </c>
      <c r="G585" s="38">
        <v>9</v>
      </c>
      <c r="H585" s="190">
        <v>4</v>
      </c>
      <c r="I585" s="190">
        <v>0</v>
      </c>
    </row>
    <row r="586" spans="1:9" hidden="1" x14ac:dyDescent="0.35">
      <c r="A586" s="38" t="s">
        <v>760</v>
      </c>
      <c r="B586" s="38" t="s">
        <v>751</v>
      </c>
      <c r="C586" s="38" t="s">
        <v>691</v>
      </c>
      <c r="D586" s="38" t="s">
        <v>746</v>
      </c>
      <c r="E586" s="38">
        <v>11.33</v>
      </c>
      <c r="F586" s="38">
        <v>11.3</v>
      </c>
      <c r="G586" s="38">
        <v>20</v>
      </c>
      <c r="H586" s="190">
        <v>15.15</v>
      </c>
      <c r="I586" s="190">
        <v>0</v>
      </c>
    </row>
    <row r="587" spans="1:9" hidden="1" x14ac:dyDescent="0.35">
      <c r="A587" s="38" t="s">
        <v>760</v>
      </c>
      <c r="B587" s="38" t="s">
        <v>751</v>
      </c>
      <c r="C587" s="38" t="s">
        <v>696</v>
      </c>
      <c r="D587" s="38" t="s">
        <v>697</v>
      </c>
      <c r="E587" s="38">
        <v>6.6</v>
      </c>
      <c r="F587" s="38">
        <v>22.46</v>
      </c>
      <c r="G587" s="38">
        <v>9</v>
      </c>
      <c r="H587" s="190">
        <v>10</v>
      </c>
      <c r="I587" s="190">
        <v>0</v>
      </c>
    </row>
    <row r="588" spans="1:9" hidden="1" x14ac:dyDescent="0.35">
      <c r="A588" s="38" t="s">
        <v>760</v>
      </c>
      <c r="B588" s="38" t="s">
        <v>751</v>
      </c>
      <c r="C588" s="38" t="s">
        <v>698</v>
      </c>
      <c r="D588" s="38" t="s">
        <v>747</v>
      </c>
      <c r="E588" s="38">
        <v>10</v>
      </c>
      <c r="F588" s="38">
        <v>0.2</v>
      </c>
      <c r="G588" s="38">
        <v>5</v>
      </c>
      <c r="H588" s="190">
        <v>5</v>
      </c>
      <c r="I588" s="190">
        <v>0</v>
      </c>
    </row>
    <row r="589" spans="1:9" hidden="1" x14ac:dyDescent="0.35">
      <c r="A589" s="38" t="s">
        <v>760</v>
      </c>
      <c r="B589" s="38" t="s">
        <v>751</v>
      </c>
      <c r="C589" s="38" t="s">
        <v>698</v>
      </c>
      <c r="D589" s="38" t="s">
        <v>700</v>
      </c>
      <c r="E589" s="38">
        <v>15</v>
      </c>
      <c r="F589" s="38">
        <v>0.2</v>
      </c>
      <c r="G589" s="38">
        <v>5</v>
      </c>
      <c r="H589" s="190">
        <v>5</v>
      </c>
      <c r="I589" s="190">
        <v>0</v>
      </c>
    </row>
    <row r="590" spans="1:9" hidden="1" x14ac:dyDescent="0.35">
      <c r="A590" s="38" t="s">
        <v>760</v>
      </c>
      <c r="B590" s="38" t="s">
        <v>751</v>
      </c>
      <c r="C590" s="38" t="s">
        <v>698</v>
      </c>
      <c r="D590" s="38" t="s">
        <v>521</v>
      </c>
      <c r="E590" s="38">
        <v>8</v>
      </c>
      <c r="F590" s="38">
        <v>0.23</v>
      </c>
      <c r="G590" s="38">
        <v>5</v>
      </c>
      <c r="H590" s="190">
        <v>5</v>
      </c>
      <c r="I590" s="190">
        <v>0</v>
      </c>
    </row>
    <row r="591" spans="1:9" hidden="1" x14ac:dyDescent="0.35">
      <c r="A591" s="38" t="s">
        <v>760</v>
      </c>
      <c r="B591" s="38" t="s">
        <v>751</v>
      </c>
      <c r="C591" s="38" t="s">
        <v>698</v>
      </c>
      <c r="D591" s="38" t="s">
        <v>252</v>
      </c>
      <c r="E591" s="38">
        <v>8</v>
      </c>
      <c r="F591" s="38">
        <v>0.9</v>
      </c>
      <c r="G591" s="38">
        <v>5</v>
      </c>
      <c r="H591" s="190">
        <v>5</v>
      </c>
      <c r="I591" s="190">
        <v>0</v>
      </c>
    </row>
    <row r="592" spans="1:9" hidden="1" x14ac:dyDescent="0.35">
      <c r="A592" s="38" t="s">
        <v>760</v>
      </c>
      <c r="B592" s="38" t="s">
        <v>751</v>
      </c>
      <c r="C592" s="38" t="s">
        <v>701</v>
      </c>
      <c r="D592" s="38" t="s">
        <v>702</v>
      </c>
      <c r="E592" s="38">
        <v>6</v>
      </c>
      <c r="F592" s="38">
        <v>4.8899999999999997</v>
      </c>
      <c r="G592" s="38">
        <v>4.5</v>
      </c>
      <c r="H592" s="190">
        <v>4</v>
      </c>
      <c r="I592" s="190">
        <v>0</v>
      </c>
    </row>
    <row r="593" spans="1:9" hidden="1" x14ac:dyDescent="0.35">
      <c r="A593" s="38" t="s">
        <v>760</v>
      </c>
      <c r="B593" s="38" t="s">
        <v>751</v>
      </c>
      <c r="C593" s="38" t="s">
        <v>701</v>
      </c>
      <c r="D593" s="38" t="s">
        <v>703</v>
      </c>
      <c r="E593" s="38">
        <v>3.5</v>
      </c>
      <c r="F593" s="38">
        <v>3.32</v>
      </c>
      <c r="G593" s="38">
        <v>2</v>
      </c>
      <c r="H593" s="190">
        <v>8</v>
      </c>
      <c r="I593" s="190">
        <v>0</v>
      </c>
    </row>
    <row r="594" spans="1:9" hidden="1" x14ac:dyDescent="0.35">
      <c r="A594" s="38" t="s">
        <v>760</v>
      </c>
      <c r="B594" s="38" t="s">
        <v>751</v>
      </c>
      <c r="C594" s="38" t="s">
        <v>704</v>
      </c>
      <c r="D594" s="38" t="s">
        <v>746</v>
      </c>
      <c r="E594" s="38">
        <v>15</v>
      </c>
      <c r="F594" s="38">
        <v>2.8</v>
      </c>
      <c r="G594" s="38">
        <v>8</v>
      </c>
      <c r="H594" s="190">
        <v>2</v>
      </c>
      <c r="I594" s="190">
        <v>0</v>
      </c>
    </row>
    <row r="595" spans="1:9" hidden="1" x14ac:dyDescent="0.35">
      <c r="A595" s="38" t="s">
        <v>760</v>
      </c>
      <c r="B595" s="38" t="s">
        <v>751</v>
      </c>
      <c r="C595" s="38" t="s">
        <v>707</v>
      </c>
      <c r="D595" s="38" t="s">
        <v>708</v>
      </c>
      <c r="E595" s="38">
        <v>11.9</v>
      </c>
      <c r="F595" s="38">
        <v>9.26</v>
      </c>
      <c r="G595" s="38">
        <v>12</v>
      </c>
      <c r="H595" s="190">
        <v>5.7</v>
      </c>
      <c r="I595" s="190">
        <v>0</v>
      </c>
    </row>
    <row r="596" spans="1:9" hidden="1" x14ac:dyDescent="0.35">
      <c r="A596" s="38" t="s">
        <v>760</v>
      </c>
      <c r="B596" s="38" t="s">
        <v>752</v>
      </c>
      <c r="C596" s="38" t="s">
        <v>686</v>
      </c>
      <c r="D596" s="38" t="s">
        <v>746</v>
      </c>
      <c r="E596" s="38">
        <v>7.21</v>
      </c>
      <c r="F596" s="38">
        <v>8.75</v>
      </c>
      <c r="G596" s="38">
        <v>15.25</v>
      </c>
      <c r="H596" s="190">
        <v>2</v>
      </c>
      <c r="I596" s="190">
        <v>0</v>
      </c>
    </row>
    <row r="597" spans="1:9" hidden="1" x14ac:dyDescent="0.35">
      <c r="A597" s="38" t="s">
        <v>760</v>
      </c>
      <c r="B597" s="38" t="s">
        <v>752</v>
      </c>
      <c r="C597" s="38" t="s">
        <v>691</v>
      </c>
      <c r="D597" s="38" t="s">
        <v>746</v>
      </c>
      <c r="E597" s="38">
        <v>13.47</v>
      </c>
      <c r="F597" s="38">
        <v>17.71</v>
      </c>
      <c r="G597" s="38">
        <v>25</v>
      </c>
      <c r="H597" s="190">
        <v>34.130000000000003</v>
      </c>
      <c r="I597" s="190">
        <v>0</v>
      </c>
    </row>
    <row r="598" spans="1:9" hidden="1" x14ac:dyDescent="0.35">
      <c r="A598" s="38" t="s">
        <v>760</v>
      </c>
      <c r="B598" s="38" t="s">
        <v>752</v>
      </c>
      <c r="C598" s="38" t="s">
        <v>696</v>
      </c>
      <c r="D598" s="38" t="s">
        <v>697</v>
      </c>
      <c r="E598" s="38">
        <v>5.7</v>
      </c>
      <c r="F598" s="38">
        <v>21.94</v>
      </c>
      <c r="G598" s="38">
        <v>9</v>
      </c>
      <c r="H598" s="190">
        <v>15</v>
      </c>
      <c r="I598" s="190">
        <v>0</v>
      </c>
    </row>
    <row r="599" spans="1:9" hidden="1" x14ac:dyDescent="0.35">
      <c r="A599" s="38" t="s">
        <v>760</v>
      </c>
      <c r="B599" s="38" t="s">
        <v>752</v>
      </c>
      <c r="C599" s="38" t="s">
        <v>698</v>
      </c>
      <c r="D599" s="38" t="s">
        <v>747</v>
      </c>
      <c r="E599" s="38">
        <v>10</v>
      </c>
      <c r="F599" s="38">
        <v>0.93</v>
      </c>
      <c r="G599" s="38">
        <v>5</v>
      </c>
      <c r="H599" s="190">
        <v>7</v>
      </c>
      <c r="I599" s="190">
        <v>0</v>
      </c>
    </row>
    <row r="600" spans="1:9" hidden="1" x14ac:dyDescent="0.35">
      <c r="A600" s="38" t="s">
        <v>760</v>
      </c>
      <c r="B600" s="38" t="s">
        <v>752</v>
      </c>
      <c r="C600" s="38" t="s">
        <v>698</v>
      </c>
      <c r="D600" s="38" t="s">
        <v>700</v>
      </c>
      <c r="E600" s="38">
        <v>33</v>
      </c>
      <c r="F600" s="38">
        <v>0.2</v>
      </c>
      <c r="G600" s="38">
        <v>5</v>
      </c>
      <c r="H600" s="190">
        <v>7</v>
      </c>
      <c r="I600" s="190">
        <v>0</v>
      </c>
    </row>
    <row r="601" spans="1:9" hidden="1" x14ac:dyDescent="0.35">
      <c r="A601" s="38" t="s">
        <v>760</v>
      </c>
      <c r="B601" s="38" t="s">
        <v>752</v>
      </c>
      <c r="C601" s="38" t="s">
        <v>698</v>
      </c>
      <c r="D601" s="38" t="s">
        <v>521</v>
      </c>
      <c r="E601" s="38">
        <v>10</v>
      </c>
      <c r="F601" s="38">
        <v>0.23</v>
      </c>
      <c r="G601" s="38">
        <v>5</v>
      </c>
      <c r="H601" s="190">
        <v>7</v>
      </c>
      <c r="I601" s="190">
        <v>0</v>
      </c>
    </row>
    <row r="602" spans="1:9" hidden="1" x14ac:dyDescent="0.35">
      <c r="A602" s="38" t="s">
        <v>760</v>
      </c>
      <c r="B602" s="38" t="s">
        <v>752</v>
      </c>
      <c r="C602" s="38" t="s">
        <v>698</v>
      </c>
      <c r="D602" s="38" t="s">
        <v>252</v>
      </c>
      <c r="E602" s="38">
        <v>25</v>
      </c>
      <c r="F602" s="38">
        <v>0.9</v>
      </c>
      <c r="G602" s="38">
        <v>5</v>
      </c>
      <c r="H602" s="190">
        <v>7</v>
      </c>
      <c r="I602" s="190">
        <v>0</v>
      </c>
    </row>
    <row r="603" spans="1:9" hidden="1" x14ac:dyDescent="0.35">
      <c r="A603" s="38" t="s">
        <v>760</v>
      </c>
      <c r="B603" s="38" t="s">
        <v>752</v>
      </c>
      <c r="C603" s="38" t="s">
        <v>701</v>
      </c>
      <c r="D603" s="38" t="s">
        <v>702</v>
      </c>
      <c r="E603" s="38">
        <v>8</v>
      </c>
      <c r="F603" s="38">
        <v>8.01</v>
      </c>
      <c r="G603" s="38">
        <v>0.1</v>
      </c>
      <c r="H603" s="190">
        <v>3</v>
      </c>
      <c r="I603" s="190">
        <v>0</v>
      </c>
    </row>
    <row r="604" spans="1:9" hidden="1" x14ac:dyDescent="0.35">
      <c r="A604" s="38" t="s">
        <v>760</v>
      </c>
      <c r="B604" s="38" t="s">
        <v>752</v>
      </c>
      <c r="C604" s="38" t="s">
        <v>701</v>
      </c>
      <c r="D604" s="38" t="s">
        <v>703</v>
      </c>
      <c r="E604" s="38">
        <v>6</v>
      </c>
      <c r="F604" s="38">
        <v>8.1999999999999993</v>
      </c>
      <c r="G604" s="38">
        <v>2</v>
      </c>
      <c r="H604" s="190">
        <v>10</v>
      </c>
      <c r="I604" s="190">
        <v>0</v>
      </c>
    </row>
    <row r="605" spans="1:9" hidden="1" x14ac:dyDescent="0.35">
      <c r="A605" s="38" t="s">
        <v>760</v>
      </c>
      <c r="B605" s="38" t="s">
        <v>752</v>
      </c>
      <c r="C605" s="38" t="s">
        <v>704</v>
      </c>
      <c r="D605" s="38" t="s">
        <v>746</v>
      </c>
      <c r="E605" s="38">
        <v>12</v>
      </c>
      <c r="F605" s="38">
        <v>8.18</v>
      </c>
      <c r="G605" s="38">
        <v>8</v>
      </c>
      <c r="H605" s="190">
        <v>2</v>
      </c>
      <c r="I605" s="190">
        <v>0</v>
      </c>
    </row>
    <row r="606" spans="1:9" hidden="1" x14ac:dyDescent="0.35">
      <c r="A606" s="38" t="s">
        <v>760</v>
      </c>
      <c r="B606" s="38" t="s">
        <v>752</v>
      </c>
      <c r="C606" s="38" t="s">
        <v>707</v>
      </c>
      <c r="D606" s="38" t="s">
        <v>708</v>
      </c>
      <c r="E606" s="38">
        <v>14</v>
      </c>
      <c r="F606" s="38">
        <v>16.940000000000001</v>
      </c>
      <c r="G606" s="38">
        <v>15</v>
      </c>
      <c r="H606" s="190">
        <v>5</v>
      </c>
      <c r="I606" s="190">
        <v>0</v>
      </c>
    </row>
    <row r="607" spans="1:9" hidden="1" x14ac:dyDescent="0.35">
      <c r="A607" s="38" t="s">
        <v>760</v>
      </c>
      <c r="B607" s="38" t="s">
        <v>753</v>
      </c>
      <c r="C607" s="38" t="s">
        <v>686</v>
      </c>
      <c r="D607" s="38" t="s">
        <v>746</v>
      </c>
      <c r="E607" s="38">
        <v>6</v>
      </c>
      <c r="F607" s="38">
        <v>6.59</v>
      </c>
      <c r="G607" s="38">
        <v>7</v>
      </c>
      <c r="H607" s="190">
        <v>2.98</v>
      </c>
      <c r="I607" s="190">
        <v>0</v>
      </c>
    </row>
    <row r="608" spans="1:9" hidden="1" x14ac:dyDescent="0.35">
      <c r="A608" s="38" t="s">
        <v>760</v>
      </c>
      <c r="B608" s="38" t="s">
        <v>753</v>
      </c>
      <c r="C608" s="38" t="s">
        <v>691</v>
      </c>
      <c r="D608" s="38" t="s">
        <v>746</v>
      </c>
      <c r="E608" s="38">
        <v>8.7100000000000009</v>
      </c>
      <c r="F608" s="38">
        <v>9.8699999999999992</v>
      </c>
      <c r="G608" s="38">
        <v>25</v>
      </c>
      <c r="H608" s="190">
        <v>12.96</v>
      </c>
      <c r="I608" s="190">
        <v>0</v>
      </c>
    </row>
    <row r="609" spans="1:9" hidden="1" x14ac:dyDescent="0.35">
      <c r="A609" s="38" t="s">
        <v>760</v>
      </c>
      <c r="B609" s="38" t="s">
        <v>753</v>
      </c>
      <c r="C609" s="38" t="s">
        <v>696</v>
      </c>
      <c r="D609" s="38" t="s">
        <v>697</v>
      </c>
      <c r="E609" s="38">
        <v>8.1999999999999993</v>
      </c>
      <c r="F609" s="38">
        <v>25.47</v>
      </c>
      <c r="G609" s="38">
        <v>9</v>
      </c>
      <c r="H609" s="190">
        <v>12.33</v>
      </c>
      <c r="I609" s="190">
        <v>0</v>
      </c>
    </row>
    <row r="610" spans="1:9" hidden="1" x14ac:dyDescent="0.35">
      <c r="A610" s="38" t="s">
        <v>760</v>
      </c>
      <c r="B610" s="38" t="s">
        <v>753</v>
      </c>
      <c r="C610" s="38" t="s">
        <v>698</v>
      </c>
      <c r="D610" s="38" t="s">
        <v>747</v>
      </c>
      <c r="E610" s="38">
        <v>10</v>
      </c>
      <c r="F610" s="38">
        <v>0.21</v>
      </c>
      <c r="G610" s="38">
        <v>5</v>
      </c>
      <c r="H610" s="190">
        <v>7</v>
      </c>
      <c r="I610" s="190">
        <v>0</v>
      </c>
    </row>
    <row r="611" spans="1:9" hidden="1" x14ac:dyDescent="0.35">
      <c r="A611" s="38" t="s">
        <v>760</v>
      </c>
      <c r="B611" s="38" t="s">
        <v>753</v>
      </c>
      <c r="C611" s="38" t="s">
        <v>698</v>
      </c>
      <c r="D611" s="38" t="s">
        <v>700</v>
      </c>
      <c r="E611" s="38">
        <v>10</v>
      </c>
      <c r="F611" s="38">
        <v>0.2</v>
      </c>
      <c r="G611" s="38">
        <v>5</v>
      </c>
      <c r="H611" s="190">
        <v>7</v>
      </c>
      <c r="I611" s="190">
        <v>0</v>
      </c>
    </row>
    <row r="612" spans="1:9" hidden="1" x14ac:dyDescent="0.35">
      <c r="A612" s="38" t="s">
        <v>760</v>
      </c>
      <c r="B612" s="38" t="s">
        <v>753</v>
      </c>
      <c r="C612" s="38" t="s">
        <v>698</v>
      </c>
      <c r="D612" s="38" t="s">
        <v>521</v>
      </c>
      <c r="E612" s="38">
        <v>6</v>
      </c>
      <c r="F612" s="38">
        <v>0.47</v>
      </c>
      <c r="G612" s="38">
        <v>5</v>
      </c>
      <c r="H612" s="190">
        <v>7</v>
      </c>
      <c r="I612" s="190">
        <v>0</v>
      </c>
    </row>
    <row r="613" spans="1:9" hidden="1" x14ac:dyDescent="0.35">
      <c r="A613" s="38" t="s">
        <v>760</v>
      </c>
      <c r="B613" s="38" t="s">
        <v>753</v>
      </c>
      <c r="C613" s="38" t="s">
        <v>698</v>
      </c>
      <c r="D613" s="38" t="s">
        <v>252</v>
      </c>
      <c r="E613" s="38">
        <v>8</v>
      </c>
      <c r="F613" s="38">
        <v>0.97</v>
      </c>
      <c r="G613" s="38">
        <v>5</v>
      </c>
      <c r="H613" s="190">
        <v>7</v>
      </c>
      <c r="I613" s="190">
        <v>0</v>
      </c>
    </row>
    <row r="614" spans="1:9" hidden="1" x14ac:dyDescent="0.35">
      <c r="A614" s="38" t="s">
        <v>760</v>
      </c>
      <c r="B614" s="38" t="s">
        <v>753</v>
      </c>
      <c r="C614" s="38" t="s">
        <v>701</v>
      </c>
      <c r="D614" s="38" t="s">
        <v>702</v>
      </c>
      <c r="E614" s="38">
        <v>8</v>
      </c>
      <c r="F614" s="38">
        <v>7.23</v>
      </c>
      <c r="G614" s="38">
        <v>0.1</v>
      </c>
      <c r="H614" s="190">
        <v>3</v>
      </c>
      <c r="I614" s="190">
        <v>0</v>
      </c>
    </row>
    <row r="615" spans="1:9" hidden="1" x14ac:dyDescent="0.35">
      <c r="A615" s="38" t="s">
        <v>760</v>
      </c>
      <c r="B615" s="38" t="s">
        <v>753</v>
      </c>
      <c r="C615" s="38" t="s">
        <v>701</v>
      </c>
      <c r="D615" s="38" t="s">
        <v>703</v>
      </c>
      <c r="E615" s="38">
        <v>3.5</v>
      </c>
      <c r="F615" s="38">
        <v>4.68</v>
      </c>
      <c r="G615" s="38">
        <v>2</v>
      </c>
      <c r="H615" s="190">
        <v>10</v>
      </c>
      <c r="I615" s="190">
        <v>0</v>
      </c>
    </row>
    <row r="616" spans="1:9" hidden="1" x14ac:dyDescent="0.35">
      <c r="A616" s="38" t="s">
        <v>760</v>
      </c>
      <c r="B616" s="38" t="s">
        <v>753</v>
      </c>
      <c r="C616" s="38" t="s">
        <v>704</v>
      </c>
      <c r="D616" s="38" t="s">
        <v>746</v>
      </c>
      <c r="E616" s="38">
        <v>7</v>
      </c>
      <c r="F616" s="38">
        <v>3.4</v>
      </c>
      <c r="G616" s="38">
        <v>8</v>
      </c>
      <c r="H616" s="190">
        <v>2</v>
      </c>
      <c r="I616" s="190">
        <v>0</v>
      </c>
    </row>
    <row r="617" spans="1:9" hidden="1" x14ac:dyDescent="0.35">
      <c r="A617" s="38" t="s">
        <v>760</v>
      </c>
      <c r="B617" s="38" t="s">
        <v>753</v>
      </c>
      <c r="C617" s="38" t="s">
        <v>707</v>
      </c>
      <c r="D617" s="38" t="s">
        <v>708</v>
      </c>
      <c r="E617" s="38">
        <v>8.15</v>
      </c>
      <c r="F617" s="38">
        <v>12.11</v>
      </c>
      <c r="G617" s="38">
        <v>10</v>
      </c>
      <c r="H617" s="190">
        <v>10.78</v>
      </c>
      <c r="I617" s="190">
        <v>0</v>
      </c>
    </row>
    <row r="618" spans="1:9" hidden="1" x14ac:dyDescent="0.35">
      <c r="A618" s="38" t="s">
        <v>761</v>
      </c>
      <c r="B618" s="38" t="s">
        <v>745</v>
      </c>
      <c r="C618" s="38" t="s">
        <v>686</v>
      </c>
      <c r="D618" s="38" t="s">
        <v>746</v>
      </c>
      <c r="E618" s="190">
        <v>4.3</v>
      </c>
      <c r="F618" s="190">
        <v>3.8</v>
      </c>
      <c r="G618" s="190">
        <f>G2*0.5</f>
        <v>5.25</v>
      </c>
      <c r="H618" s="190">
        <v>3</v>
      </c>
      <c r="I618" s="190">
        <v>27</v>
      </c>
    </row>
    <row r="619" spans="1:9" hidden="1" x14ac:dyDescent="0.35">
      <c r="A619" s="38" t="s">
        <v>761</v>
      </c>
      <c r="B619" s="38" t="s">
        <v>745</v>
      </c>
      <c r="C619" s="38" t="s">
        <v>691</v>
      </c>
      <c r="D619" s="38" t="s">
        <v>746</v>
      </c>
      <c r="E619" s="190">
        <v>20</v>
      </c>
      <c r="F619" s="190">
        <v>7.3</v>
      </c>
      <c r="G619" s="190">
        <f t="shared" ref="G619:G682" si="19">G3*0.5</f>
        <v>1</v>
      </c>
      <c r="H619" s="190">
        <v>4.9000000000000004</v>
      </c>
      <c r="I619" s="190">
        <v>19</v>
      </c>
    </row>
    <row r="620" spans="1:9" hidden="1" x14ac:dyDescent="0.35">
      <c r="A620" s="38" t="s">
        <v>761</v>
      </c>
      <c r="B620" s="38" t="s">
        <v>745</v>
      </c>
      <c r="C620" s="38" t="s">
        <v>696</v>
      </c>
      <c r="D620" s="38" t="s">
        <v>697</v>
      </c>
      <c r="E620" s="190">
        <v>9.4</v>
      </c>
      <c r="F620" s="190">
        <v>7.9</v>
      </c>
      <c r="G620" s="190">
        <f t="shared" si="19"/>
        <v>3</v>
      </c>
      <c r="H620" s="190">
        <v>9</v>
      </c>
      <c r="I620" s="190">
        <v>11</v>
      </c>
    </row>
    <row r="621" spans="1:9" hidden="1" x14ac:dyDescent="0.35">
      <c r="A621" s="38" t="s">
        <v>761</v>
      </c>
      <c r="B621" s="38" t="s">
        <v>745</v>
      </c>
      <c r="C621" s="38" t="s">
        <v>698</v>
      </c>
      <c r="D621" s="38" t="s">
        <v>747</v>
      </c>
      <c r="E621" s="190">
        <v>2.2999999999999998</v>
      </c>
      <c r="F621" s="190">
        <v>0.6</v>
      </c>
      <c r="G621" s="190">
        <f t="shared" si="19"/>
        <v>2.5</v>
      </c>
      <c r="H621" s="190">
        <v>4</v>
      </c>
      <c r="I621" s="190">
        <v>11</v>
      </c>
    </row>
    <row r="622" spans="1:9" hidden="1" x14ac:dyDescent="0.35">
      <c r="A622" s="38" t="s">
        <v>761</v>
      </c>
      <c r="B622" s="38" t="s">
        <v>745</v>
      </c>
      <c r="C622" s="38" t="s">
        <v>698</v>
      </c>
      <c r="D622" s="38" t="s">
        <v>700</v>
      </c>
      <c r="E622" s="190">
        <v>10</v>
      </c>
      <c r="F622" s="190">
        <v>0.6</v>
      </c>
      <c r="G622" s="190">
        <f t="shared" si="19"/>
        <v>2.5</v>
      </c>
      <c r="H622" s="190">
        <v>4</v>
      </c>
      <c r="I622" s="190">
        <v>11</v>
      </c>
    </row>
    <row r="623" spans="1:9" hidden="1" x14ac:dyDescent="0.35">
      <c r="A623" s="38" t="s">
        <v>761</v>
      </c>
      <c r="B623" s="38" t="s">
        <v>745</v>
      </c>
      <c r="C623" s="38" t="s">
        <v>698</v>
      </c>
      <c r="D623" s="38" t="s">
        <v>521</v>
      </c>
      <c r="E623" s="190">
        <v>2.5</v>
      </c>
      <c r="F623" s="190">
        <v>0.3</v>
      </c>
      <c r="G623" s="190">
        <f t="shared" si="19"/>
        <v>2.5</v>
      </c>
      <c r="H623" s="190">
        <v>4</v>
      </c>
      <c r="I623" s="190">
        <v>11</v>
      </c>
    </row>
    <row r="624" spans="1:9" hidden="1" x14ac:dyDescent="0.35">
      <c r="A624" s="38" t="s">
        <v>761</v>
      </c>
      <c r="B624" s="38" t="s">
        <v>745</v>
      </c>
      <c r="C624" s="38" t="s">
        <v>698</v>
      </c>
      <c r="D624" s="38" t="s">
        <v>252</v>
      </c>
      <c r="E624" s="190">
        <v>7</v>
      </c>
      <c r="F624" s="190">
        <v>0.9</v>
      </c>
      <c r="G624" s="190">
        <f t="shared" si="19"/>
        <v>2.5</v>
      </c>
      <c r="H624" s="190">
        <v>4</v>
      </c>
      <c r="I624" s="190">
        <v>11</v>
      </c>
    </row>
    <row r="625" spans="1:9" hidden="1" x14ac:dyDescent="0.35">
      <c r="A625" s="38" t="s">
        <v>761</v>
      </c>
      <c r="B625" s="38" t="s">
        <v>745</v>
      </c>
      <c r="C625" s="38" t="s">
        <v>701</v>
      </c>
      <c r="D625" s="38" t="s">
        <v>702</v>
      </c>
      <c r="E625" s="190">
        <v>4</v>
      </c>
      <c r="F625" s="190">
        <v>1.9</v>
      </c>
      <c r="G625" s="190">
        <f t="shared" si="19"/>
        <v>0.25</v>
      </c>
      <c r="H625" s="190">
        <v>2</v>
      </c>
      <c r="I625" s="190">
        <v>8</v>
      </c>
    </row>
    <row r="626" spans="1:9" hidden="1" x14ac:dyDescent="0.35">
      <c r="A626" s="38" t="s">
        <v>761</v>
      </c>
      <c r="B626" s="38" t="s">
        <v>745</v>
      </c>
      <c r="C626" s="38" t="s">
        <v>701</v>
      </c>
      <c r="D626" s="38" t="s">
        <v>703</v>
      </c>
      <c r="E626" s="190">
        <v>3.5</v>
      </c>
      <c r="F626" s="190">
        <v>1.7</v>
      </c>
      <c r="G626" s="190">
        <f t="shared" si="19"/>
        <v>0.6</v>
      </c>
      <c r="H626" s="190">
        <v>0.82</v>
      </c>
      <c r="I626" s="190">
        <v>7</v>
      </c>
    </row>
    <row r="627" spans="1:9" hidden="1" x14ac:dyDescent="0.35">
      <c r="A627" s="38" t="s">
        <v>761</v>
      </c>
      <c r="B627" s="38" t="s">
        <v>745</v>
      </c>
      <c r="C627" s="38" t="s">
        <v>704</v>
      </c>
      <c r="D627" s="38" t="s">
        <v>746</v>
      </c>
      <c r="E627" s="190">
        <v>5.3</v>
      </c>
      <c r="F627" s="190">
        <v>1.2</v>
      </c>
      <c r="G627" s="190">
        <f t="shared" si="19"/>
        <v>2.5</v>
      </c>
      <c r="H627" s="190">
        <v>1</v>
      </c>
      <c r="I627" s="190">
        <v>4</v>
      </c>
    </row>
    <row r="628" spans="1:9" hidden="1" x14ac:dyDescent="0.35">
      <c r="A628" s="38" t="s">
        <v>761</v>
      </c>
      <c r="B628" s="38" t="s">
        <v>745</v>
      </c>
      <c r="C628" s="38" t="s">
        <v>707</v>
      </c>
      <c r="D628" s="38" t="s">
        <v>708</v>
      </c>
      <c r="E628" s="190">
        <v>20</v>
      </c>
      <c r="F628" s="190">
        <v>7.6</v>
      </c>
      <c r="G628" s="190">
        <f t="shared" si="19"/>
        <v>6.9</v>
      </c>
      <c r="H628" s="190">
        <v>7</v>
      </c>
      <c r="I628" s="190">
        <v>17</v>
      </c>
    </row>
    <row r="629" spans="1:9" hidden="1" x14ac:dyDescent="0.35">
      <c r="A629" s="38" t="s">
        <v>761</v>
      </c>
      <c r="B629" s="38" t="s">
        <v>748</v>
      </c>
      <c r="C629" s="38" t="s">
        <v>686</v>
      </c>
      <c r="D629" s="38" t="s">
        <v>746</v>
      </c>
      <c r="E629" s="190">
        <v>3.92</v>
      </c>
      <c r="F629" s="190">
        <v>4.24</v>
      </c>
      <c r="G629" s="190">
        <f t="shared" si="19"/>
        <v>5.9</v>
      </c>
      <c r="H629" s="190">
        <v>2</v>
      </c>
      <c r="I629" s="190">
        <v>13.65</v>
      </c>
    </row>
    <row r="630" spans="1:9" hidden="1" x14ac:dyDescent="0.35">
      <c r="A630" s="38" t="s">
        <v>761</v>
      </c>
      <c r="B630" s="38" t="s">
        <v>748</v>
      </c>
      <c r="C630" s="38" t="s">
        <v>691</v>
      </c>
      <c r="D630" s="38" t="s">
        <v>746</v>
      </c>
      <c r="E630" s="190">
        <v>10</v>
      </c>
      <c r="F630" s="190">
        <v>8.3699999999999992</v>
      </c>
      <c r="G630" s="190">
        <f t="shared" si="19"/>
        <v>1</v>
      </c>
      <c r="H630" s="190">
        <v>8</v>
      </c>
      <c r="I630" s="190">
        <v>10.35</v>
      </c>
    </row>
    <row r="631" spans="1:9" hidden="1" x14ac:dyDescent="0.35">
      <c r="A631" s="38" t="s">
        <v>761</v>
      </c>
      <c r="B631" s="38" t="s">
        <v>748</v>
      </c>
      <c r="C631" s="38" t="s">
        <v>696</v>
      </c>
      <c r="D631" s="38" t="s">
        <v>697</v>
      </c>
      <c r="E631" s="190">
        <v>15</v>
      </c>
      <c r="F631" s="190">
        <v>16.5</v>
      </c>
      <c r="G631" s="190">
        <f t="shared" si="19"/>
        <v>3</v>
      </c>
      <c r="H631" s="190">
        <v>11</v>
      </c>
      <c r="I631" s="190">
        <v>7.3</v>
      </c>
    </row>
    <row r="632" spans="1:9" hidden="1" x14ac:dyDescent="0.35">
      <c r="A632" s="38" t="s">
        <v>761</v>
      </c>
      <c r="B632" s="38" t="s">
        <v>748</v>
      </c>
      <c r="C632" s="38" t="s">
        <v>698</v>
      </c>
      <c r="D632" s="38" t="s">
        <v>747</v>
      </c>
      <c r="E632" s="190">
        <v>2.2999999999999998</v>
      </c>
      <c r="F632" s="190">
        <v>0.55000000000000004</v>
      </c>
      <c r="G632" s="190">
        <f t="shared" si="19"/>
        <v>2.5</v>
      </c>
      <c r="H632" s="190">
        <v>6</v>
      </c>
      <c r="I632" s="190">
        <v>6.8</v>
      </c>
    </row>
    <row r="633" spans="1:9" hidden="1" x14ac:dyDescent="0.35">
      <c r="A633" s="38" t="s">
        <v>761</v>
      </c>
      <c r="B633" s="38" t="s">
        <v>748</v>
      </c>
      <c r="C633" s="38" t="s">
        <v>698</v>
      </c>
      <c r="D633" s="38" t="s">
        <v>700</v>
      </c>
      <c r="E633" s="190">
        <v>10</v>
      </c>
      <c r="F633" s="190">
        <v>0.81</v>
      </c>
      <c r="G633" s="190">
        <f t="shared" si="19"/>
        <v>2.5</v>
      </c>
      <c r="H633" s="190">
        <v>6</v>
      </c>
      <c r="I633" s="190">
        <v>6.8</v>
      </c>
    </row>
    <row r="634" spans="1:9" hidden="1" x14ac:dyDescent="0.35">
      <c r="A634" s="38" t="s">
        <v>761</v>
      </c>
      <c r="B634" s="38" t="s">
        <v>748</v>
      </c>
      <c r="C634" s="38" t="s">
        <v>698</v>
      </c>
      <c r="D634" s="38" t="s">
        <v>521</v>
      </c>
      <c r="E634" s="190">
        <v>2.5</v>
      </c>
      <c r="F634" s="190">
        <v>0.18</v>
      </c>
      <c r="G634" s="190">
        <f t="shared" si="19"/>
        <v>2.5</v>
      </c>
      <c r="H634" s="190">
        <v>6</v>
      </c>
      <c r="I634" s="190">
        <v>6.8</v>
      </c>
    </row>
    <row r="635" spans="1:9" hidden="1" x14ac:dyDescent="0.35">
      <c r="A635" s="38" t="s">
        <v>761</v>
      </c>
      <c r="B635" s="38" t="s">
        <v>748</v>
      </c>
      <c r="C635" s="38" t="s">
        <v>698</v>
      </c>
      <c r="D635" s="38" t="s">
        <v>252</v>
      </c>
      <c r="E635" s="190">
        <v>7</v>
      </c>
      <c r="F635" s="190">
        <v>1.03</v>
      </c>
      <c r="G635" s="190">
        <f t="shared" si="19"/>
        <v>2.5</v>
      </c>
      <c r="H635" s="190">
        <v>6</v>
      </c>
      <c r="I635" s="190">
        <v>6.8</v>
      </c>
    </row>
    <row r="636" spans="1:9" hidden="1" x14ac:dyDescent="0.35">
      <c r="A636" s="38" t="s">
        <v>761</v>
      </c>
      <c r="B636" s="38" t="s">
        <v>748</v>
      </c>
      <c r="C636" s="38" t="s">
        <v>701</v>
      </c>
      <c r="D636" s="38" t="s">
        <v>702</v>
      </c>
      <c r="E636" s="190">
        <v>6</v>
      </c>
      <c r="F636" s="190">
        <v>2.38</v>
      </c>
      <c r="G636" s="190">
        <f t="shared" si="19"/>
        <v>0.25</v>
      </c>
      <c r="H636" s="190">
        <v>4</v>
      </c>
      <c r="I636" s="190">
        <v>3.65</v>
      </c>
    </row>
    <row r="637" spans="1:9" hidden="1" x14ac:dyDescent="0.35">
      <c r="A637" s="38" t="s">
        <v>761</v>
      </c>
      <c r="B637" s="38" t="s">
        <v>748</v>
      </c>
      <c r="C637" s="38" t="s">
        <v>701</v>
      </c>
      <c r="D637" s="38" t="s">
        <v>703</v>
      </c>
      <c r="E637" s="190">
        <v>3.5</v>
      </c>
      <c r="F637" s="190">
        <v>2.2400000000000002</v>
      </c>
      <c r="G637" s="190">
        <f t="shared" si="19"/>
        <v>0.6</v>
      </c>
      <c r="H637" s="190">
        <v>0.5</v>
      </c>
      <c r="I637" s="190">
        <v>2.6</v>
      </c>
    </row>
    <row r="638" spans="1:9" hidden="1" x14ac:dyDescent="0.35">
      <c r="A638" s="38" t="s">
        <v>761</v>
      </c>
      <c r="B638" s="38" t="s">
        <v>748</v>
      </c>
      <c r="C638" s="38" t="s">
        <v>704</v>
      </c>
      <c r="D638" s="38" t="s">
        <v>746</v>
      </c>
      <c r="E638" s="190">
        <v>6</v>
      </c>
      <c r="F638" s="190">
        <v>2.72</v>
      </c>
      <c r="G638" s="190">
        <f t="shared" si="19"/>
        <v>2.5</v>
      </c>
      <c r="H638" s="190">
        <v>1</v>
      </c>
      <c r="I638" s="190">
        <v>16.55</v>
      </c>
    </row>
    <row r="639" spans="1:9" hidden="1" x14ac:dyDescent="0.35">
      <c r="A639" s="38" t="s">
        <v>761</v>
      </c>
      <c r="B639" s="38" t="s">
        <v>748</v>
      </c>
      <c r="C639" s="38" t="s">
        <v>707</v>
      </c>
      <c r="D639" s="38" t="s">
        <v>708</v>
      </c>
      <c r="E639" s="190">
        <v>20</v>
      </c>
      <c r="F639" s="190">
        <v>4.8499999999999996</v>
      </c>
      <c r="G639" s="190">
        <f t="shared" si="19"/>
        <v>7.5</v>
      </c>
      <c r="H639" s="190">
        <v>9</v>
      </c>
      <c r="I639" s="190">
        <v>7.15</v>
      </c>
    </row>
    <row r="640" spans="1:9" hidden="1" x14ac:dyDescent="0.35">
      <c r="A640" s="38" t="s">
        <v>761</v>
      </c>
      <c r="B640" s="38" t="s">
        <v>749</v>
      </c>
      <c r="C640" s="38" t="s">
        <v>686</v>
      </c>
      <c r="D640" s="38" t="s">
        <v>746</v>
      </c>
      <c r="E640" s="190">
        <v>7.17</v>
      </c>
      <c r="F640" s="190">
        <v>3.25</v>
      </c>
      <c r="G640" s="190">
        <f t="shared" si="19"/>
        <v>5.25</v>
      </c>
      <c r="H640" s="190">
        <v>9</v>
      </c>
      <c r="I640" s="190">
        <v>23.99</v>
      </c>
    </row>
    <row r="641" spans="1:9" hidden="1" x14ac:dyDescent="0.35">
      <c r="A641" s="38" t="s">
        <v>761</v>
      </c>
      <c r="B641" s="38" t="s">
        <v>749</v>
      </c>
      <c r="C641" s="38" t="s">
        <v>691</v>
      </c>
      <c r="D641" s="38" t="s">
        <v>746</v>
      </c>
      <c r="E641" s="190">
        <v>20</v>
      </c>
      <c r="F641" s="190">
        <v>15.3</v>
      </c>
      <c r="G641" s="190">
        <f t="shared" si="19"/>
        <v>1</v>
      </c>
      <c r="H641" s="190">
        <v>9.35</v>
      </c>
      <c r="I641" s="190">
        <v>25.43</v>
      </c>
    </row>
    <row r="642" spans="1:9" hidden="1" x14ac:dyDescent="0.35">
      <c r="A642" s="38" t="s">
        <v>761</v>
      </c>
      <c r="B642" s="38" t="s">
        <v>749</v>
      </c>
      <c r="C642" s="38" t="s">
        <v>696</v>
      </c>
      <c r="D642" s="38" t="s">
        <v>697</v>
      </c>
      <c r="E642" s="190">
        <v>12</v>
      </c>
      <c r="F642" s="190">
        <v>2.2200000000000002</v>
      </c>
      <c r="G642" s="190">
        <f t="shared" si="19"/>
        <v>3</v>
      </c>
      <c r="H642" s="190">
        <v>6.83</v>
      </c>
      <c r="I642" s="190">
        <v>28.17</v>
      </c>
    </row>
    <row r="643" spans="1:9" hidden="1" x14ac:dyDescent="0.35">
      <c r="A643" s="38" t="s">
        <v>761</v>
      </c>
      <c r="B643" s="38" t="s">
        <v>749</v>
      </c>
      <c r="C643" s="38" t="s">
        <v>698</v>
      </c>
      <c r="D643" s="38" t="s">
        <v>747</v>
      </c>
      <c r="E643" s="190">
        <v>2.2999999999999998</v>
      </c>
      <c r="F643" s="190">
        <v>0.31</v>
      </c>
      <c r="G643" s="190">
        <f t="shared" si="19"/>
        <v>2.5</v>
      </c>
      <c r="H643" s="190">
        <v>3.9</v>
      </c>
      <c r="I643" s="190">
        <v>21.19</v>
      </c>
    </row>
    <row r="644" spans="1:9" hidden="1" x14ac:dyDescent="0.35">
      <c r="A644" s="38" t="s">
        <v>761</v>
      </c>
      <c r="B644" s="38" t="s">
        <v>749</v>
      </c>
      <c r="C644" s="38" t="s">
        <v>698</v>
      </c>
      <c r="D644" s="38" t="s">
        <v>700</v>
      </c>
      <c r="E644" s="190">
        <v>10</v>
      </c>
      <c r="F644" s="190">
        <v>0.8</v>
      </c>
      <c r="G644" s="190">
        <f t="shared" si="19"/>
        <v>2.5</v>
      </c>
      <c r="H644" s="190">
        <v>3.9</v>
      </c>
      <c r="I644" s="190">
        <v>21.19</v>
      </c>
    </row>
    <row r="645" spans="1:9" hidden="1" x14ac:dyDescent="0.35">
      <c r="A645" s="38" t="s">
        <v>761</v>
      </c>
      <c r="B645" s="38" t="s">
        <v>749</v>
      </c>
      <c r="C645" s="38" t="s">
        <v>698</v>
      </c>
      <c r="D645" s="38" t="s">
        <v>521</v>
      </c>
      <c r="E645" s="190">
        <v>2.5</v>
      </c>
      <c r="F645" s="190">
        <v>0.66</v>
      </c>
      <c r="G645" s="190">
        <f t="shared" si="19"/>
        <v>2.5</v>
      </c>
      <c r="H645" s="190">
        <v>3.9</v>
      </c>
      <c r="I645" s="190">
        <v>21.19</v>
      </c>
    </row>
    <row r="646" spans="1:9" hidden="1" x14ac:dyDescent="0.35">
      <c r="A646" s="38" t="s">
        <v>761</v>
      </c>
      <c r="B646" s="38" t="s">
        <v>749</v>
      </c>
      <c r="C646" s="38" t="s">
        <v>698</v>
      </c>
      <c r="D646" s="38" t="s">
        <v>252</v>
      </c>
      <c r="E646" s="190">
        <v>7</v>
      </c>
      <c r="F646" s="190">
        <v>0.88</v>
      </c>
      <c r="G646" s="190">
        <f t="shared" si="19"/>
        <v>2.5</v>
      </c>
      <c r="H646" s="190">
        <v>3.9</v>
      </c>
      <c r="I646" s="190">
        <v>21.19</v>
      </c>
    </row>
    <row r="647" spans="1:9" hidden="1" x14ac:dyDescent="0.35">
      <c r="A647" s="38" t="s">
        <v>761</v>
      </c>
      <c r="B647" s="38" t="s">
        <v>749</v>
      </c>
      <c r="C647" s="38" t="s">
        <v>701</v>
      </c>
      <c r="D647" s="38" t="s">
        <v>702</v>
      </c>
      <c r="E647" s="190">
        <v>4</v>
      </c>
      <c r="F647" s="190">
        <v>2.27</v>
      </c>
      <c r="G647" s="190">
        <f t="shared" si="19"/>
        <v>0.25</v>
      </c>
      <c r="H647" s="190">
        <v>7</v>
      </c>
      <c r="I647" s="190">
        <v>20.399999999999999</v>
      </c>
    </row>
    <row r="648" spans="1:9" hidden="1" x14ac:dyDescent="0.35">
      <c r="A648" s="38" t="s">
        <v>761</v>
      </c>
      <c r="B648" s="38" t="s">
        <v>749</v>
      </c>
      <c r="C648" s="38" t="s">
        <v>701</v>
      </c>
      <c r="D648" s="38" t="s">
        <v>703</v>
      </c>
      <c r="E648" s="190">
        <v>3.5</v>
      </c>
      <c r="F648" s="190">
        <v>0.4</v>
      </c>
      <c r="G648" s="190">
        <f t="shared" si="19"/>
        <v>0.6</v>
      </c>
      <c r="H648" s="190">
        <v>7.75</v>
      </c>
      <c r="I648" s="190">
        <v>21</v>
      </c>
    </row>
    <row r="649" spans="1:9" hidden="1" x14ac:dyDescent="0.35">
      <c r="A649" s="38" t="s">
        <v>761</v>
      </c>
      <c r="B649" s="38" t="s">
        <v>749</v>
      </c>
      <c r="C649" s="38" t="s">
        <v>704</v>
      </c>
      <c r="D649" s="38" t="s">
        <v>746</v>
      </c>
      <c r="E649" s="190">
        <v>12</v>
      </c>
      <c r="F649" s="190">
        <v>3.91</v>
      </c>
      <c r="G649" s="190">
        <f t="shared" si="19"/>
        <v>2.5</v>
      </c>
      <c r="H649" s="190">
        <v>1</v>
      </c>
      <c r="I649" s="190">
        <v>4</v>
      </c>
    </row>
    <row r="650" spans="1:9" hidden="1" x14ac:dyDescent="0.35">
      <c r="A650" s="38" t="s">
        <v>761</v>
      </c>
      <c r="B650" s="38" t="s">
        <v>749</v>
      </c>
      <c r="C650" s="38" t="s">
        <v>707</v>
      </c>
      <c r="D650" s="38" t="s">
        <v>708</v>
      </c>
      <c r="E650" s="190">
        <v>20</v>
      </c>
      <c r="F650" s="190">
        <v>5.83</v>
      </c>
      <c r="G650" s="190">
        <f t="shared" si="19"/>
        <v>7.5</v>
      </c>
      <c r="H650" s="190">
        <v>8</v>
      </c>
      <c r="I650" s="190">
        <v>15</v>
      </c>
    </row>
    <row r="651" spans="1:9" hidden="1" x14ac:dyDescent="0.35">
      <c r="A651" s="38" t="s">
        <v>761</v>
      </c>
      <c r="B651" s="38" t="s">
        <v>750</v>
      </c>
      <c r="C651" s="38" t="s">
        <v>686</v>
      </c>
      <c r="D651" s="38" t="s">
        <v>746</v>
      </c>
      <c r="E651" s="190">
        <v>6</v>
      </c>
      <c r="F651" s="190">
        <v>7.46</v>
      </c>
      <c r="G651" s="190">
        <f t="shared" si="19"/>
        <v>4.5</v>
      </c>
      <c r="H651" s="190">
        <v>4</v>
      </c>
      <c r="I651" s="190">
        <v>10</v>
      </c>
    </row>
    <row r="652" spans="1:9" hidden="1" x14ac:dyDescent="0.35">
      <c r="A652" s="38" t="s">
        <v>761</v>
      </c>
      <c r="B652" s="38" t="s">
        <v>750</v>
      </c>
      <c r="C652" s="38" t="s">
        <v>691</v>
      </c>
      <c r="D652" s="38" t="s">
        <v>746</v>
      </c>
      <c r="E652" s="190">
        <v>20</v>
      </c>
      <c r="F652" s="190">
        <v>14.32</v>
      </c>
      <c r="G652" s="190">
        <f t="shared" si="19"/>
        <v>10</v>
      </c>
      <c r="H652" s="190">
        <v>12</v>
      </c>
      <c r="I652" s="190">
        <v>10</v>
      </c>
    </row>
    <row r="653" spans="1:9" hidden="1" x14ac:dyDescent="0.35">
      <c r="A653" s="38" t="s">
        <v>761</v>
      </c>
      <c r="B653" s="38" t="s">
        <v>750</v>
      </c>
      <c r="C653" s="38" t="s">
        <v>696</v>
      </c>
      <c r="D653" s="38" t="s">
        <v>697</v>
      </c>
      <c r="E653" s="190">
        <v>5.7</v>
      </c>
      <c r="F653" s="190">
        <v>19.61</v>
      </c>
      <c r="G653" s="190">
        <f t="shared" si="19"/>
        <v>4.5</v>
      </c>
      <c r="H653" s="190">
        <v>10</v>
      </c>
      <c r="I653" s="190">
        <v>4</v>
      </c>
    </row>
    <row r="654" spans="1:9" hidden="1" x14ac:dyDescent="0.35">
      <c r="A654" s="38" t="s">
        <v>761</v>
      </c>
      <c r="B654" s="38" t="s">
        <v>750</v>
      </c>
      <c r="C654" s="38" t="s">
        <v>698</v>
      </c>
      <c r="D654" s="38" t="s">
        <v>747</v>
      </c>
      <c r="E654" s="190">
        <v>5</v>
      </c>
      <c r="F654" s="190">
        <v>1.32</v>
      </c>
      <c r="G654" s="190">
        <f t="shared" si="19"/>
        <v>2.5</v>
      </c>
      <c r="H654" s="190">
        <v>5</v>
      </c>
      <c r="I654" s="190">
        <v>6</v>
      </c>
    </row>
    <row r="655" spans="1:9" hidden="1" x14ac:dyDescent="0.35">
      <c r="A655" s="38" t="s">
        <v>761</v>
      </c>
      <c r="B655" s="38" t="s">
        <v>750</v>
      </c>
      <c r="C655" s="38" t="s">
        <v>698</v>
      </c>
      <c r="D655" s="38" t="s">
        <v>700</v>
      </c>
      <c r="E655" s="190">
        <v>10</v>
      </c>
      <c r="F655" s="190">
        <v>1.04</v>
      </c>
      <c r="G655" s="190">
        <f t="shared" si="19"/>
        <v>2.5</v>
      </c>
      <c r="H655" s="190">
        <v>5</v>
      </c>
      <c r="I655" s="190">
        <v>6</v>
      </c>
    </row>
    <row r="656" spans="1:9" hidden="1" x14ac:dyDescent="0.35">
      <c r="A656" s="38" t="s">
        <v>761</v>
      </c>
      <c r="B656" s="38" t="s">
        <v>750</v>
      </c>
      <c r="C656" s="38" t="s">
        <v>698</v>
      </c>
      <c r="D656" s="38" t="s">
        <v>521</v>
      </c>
      <c r="E656" s="190">
        <v>6</v>
      </c>
      <c r="F656" s="190">
        <v>0.41</v>
      </c>
      <c r="G656" s="190">
        <f t="shared" si="19"/>
        <v>2.5</v>
      </c>
      <c r="H656" s="190">
        <v>5</v>
      </c>
      <c r="I656" s="190">
        <v>6</v>
      </c>
    </row>
    <row r="657" spans="1:9" hidden="1" x14ac:dyDescent="0.35">
      <c r="A657" s="38" t="s">
        <v>761</v>
      </c>
      <c r="B657" s="38" t="s">
        <v>750</v>
      </c>
      <c r="C657" s="38" t="s">
        <v>698</v>
      </c>
      <c r="D657" s="38" t="s">
        <v>252</v>
      </c>
      <c r="E657" s="190">
        <v>6</v>
      </c>
      <c r="F657" s="190">
        <v>1.5</v>
      </c>
      <c r="G657" s="190">
        <f t="shared" si="19"/>
        <v>2.5</v>
      </c>
      <c r="H657" s="190">
        <v>5</v>
      </c>
      <c r="I657" s="190">
        <v>6</v>
      </c>
    </row>
    <row r="658" spans="1:9" hidden="1" x14ac:dyDescent="0.35">
      <c r="A658" s="38" t="s">
        <v>761</v>
      </c>
      <c r="B658" s="38" t="s">
        <v>750</v>
      </c>
      <c r="C658" s="38" t="s">
        <v>701</v>
      </c>
      <c r="D658" s="38" t="s">
        <v>702</v>
      </c>
      <c r="E658" s="190">
        <v>6</v>
      </c>
      <c r="F658" s="190">
        <v>6.21</v>
      </c>
      <c r="G658" s="190">
        <f t="shared" si="19"/>
        <v>0.25</v>
      </c>
      <c r="H658" s="190">
        <v>4</v>
      </c>
      <c r="I658" s="190">
        <v>4</v>
      </c>
    </row>
    <row r="659" spans="1:9" hidden="1" x14ac:dyDescent="0.35">
      <c r="A659" s="38" t="s">
        <v>761</v>
      </c>
      <c r="B659" s="38" t="s">
        <v>750</v>
      </c>
      <c r="C659" s="38" t="s">
        <v>701</v>
      </c>
      <c r="D659" s="38" t="s">
        <v>703</v>
      </c>
      <c r="E659" s="190">
        <v>3.5</v>
      </c>
      <c r="F659" s="190">
        <v>3.74</v>
      </c>
      <c r="G659" s="190">
        <f t="shared" si="19"/>
        <v>1</v>
      </c>
      <c r="H659" s="190">
        <v>8</v>
      </c>
      <c r="I659" s="190">
        <v>4</v>
      </c>
    </row>
    <row r="660" spans="1:9" hidden="1" x14ac:dyDescent="0.35">
      <c r="A660" s="38" t="s">
        <v>761</v>
      </c>
      <c r="B660" s="38" t="s">
        <v>750</v>
      </c>
      <c r="C660" s="38" t="s">
        <v>704</v>
      </c>
      <c r="D660" s="38" t="s">
        <v>746</v>
      </c>
      <c r="E660" s="190">
        <v>6</v>
      </c>
      <c r="F660" s="190">
        <v>1.49</v>
      </c>
      <c r="G660" s="190">
        <f t="shared" si="19"/>
        <v>4</v>
      </c>
      <c r="H660" s="190">
        <v>2</v>
      </c>
      <c r="I660" s="190">
        <v>2</v>
      </c>
    </row>
    <row r="661" spans="1:9" hidden="1" x14ac:dyDescent="0.35">
      <c r="A661" s="38" t="s">
        <v>761</v>
      </c>
      <c r="B661" s="38" t="s">
        <v>750</v>
      </c>
      <c r="C661" s="38" t="s">
        <v>707</v>
      </c>
      <c r="D661" s="38" t="s">
        <v>708</v>
      </c>
      <c r="E661" s="190">
        <v>14</v>
      </c>
      <c r="F661" s="190">
        <v>10.39</v>
      </c>
      <c r="G661" s="190">
        <f t="shared" si="19"/>
        <v>6</v>
      </c>
      <c r="H661" s="190">
        <v>3</v>
      </c>
      <c r="I661" s="190">
        <v>4</v>
      </c>
    </row>
    <row r="662" spans="1:9" hidden="1" x14ac:dyDescent="0.35">
      <c r="A662" s="38" t="s">
        <v>761</v>
      </c>
      <c r="B662" s="38" t="s">
        <v>751</v>
      </c>
      <c r="C662" s="38" t="s">
        <v>686</v>
      </c>
      <c r="D662" s="38" t="s">
        <v>746</v>
      </c>
      <c r="E662" s="190">
        <v>6</v>
      </c>
      <c r="F662" s="190">
        <v>7.23</v>
      </c>
      <c r="G662" s="190">
        <f t="shared" si="19"/>
        <v>4.5</v>
      </c>
      <c r="H662" s="190">
        <v>4</v>
      </c>
      <c r="I662" s="190">
        <v>12</v>
      </c>
    </row>
    <row r="663" spans="1:9" hidden="1" x14ac:dyDescent="0.35">
      <c r="A663" s="38" t="s">
        <v>761</v>
      </c>
      <c r="B663" s="38" t="s">
        <v>751</v>
      </c>
      <c r="C663" s="38" t="s">
        <v>691</v>
      </c>
      <c r="D663" s="38" t="s">
        <v>746</v>
      </c>
      <c r="E663" s="190">
        <v>11.33</v>
      </c>
      <c r="F663" s="190">
        <v>11.3</v>
      </c>
      <c r="G663" s="190">
        <f t="shared" si="19"/>
        <v>10</v>
      </c>
      <c r="H663" s="190">
        <v>15.15</v>
      </c>
      <c r="I663" s="190">
        <v>13</v>
      </c>
    </row>
    <row r="664" spans="1:9" hidden="1" x14ac:dyDescent="0.35">
      <c r="A664" s="38" t="s">
        <v>761</v>
      </c>
      <c r="B664" s="38" t="s">
        <v>751</v>
      </c>
      <c r="C664" s="38" t="s">
        <v>696</v>
      </c>
      <c r="D664" s="38" t="s">
        <v>697</v>
      </c>
      <c r="E664" s="190">
        <v>6.6</v>
      </c>
      <c r="F664" s="190">
        <v>22.46</v>
      </c>
      <c r="G664" s="190">
        <f t="shared" si="19"/>
        <v>4.5</v>
      </c>
      <c r="H664" s="190">
        <v>10</v>
      </c>
      <c r="I664" s="190">
        <v>4</v>
      </c>
    </row>
    <row r="665" spans="1:9" hidden="1" x14ac:dyDescent="0.35">
      <c r="A665" s="38" t="s">
        <v>761</v>
      </c>
      <c r="B665" s="38" t="s">
        <v>751</v>
      </c>
      <c r="C665" s="38" t="s">
        <v>698</v>
      </c>
      <c r="D665" s="38" t="s">
        <v>747</v>
      </c>
      <c r="E665" s="190">
        <v>10</v>
      </c>
      <c r="F665" s="190">
        <v>0.2</v>
      </c>
      <c r="G665" s="190">
        <f t="shared" si="19"/>
        <v>2.5</v>
      </c>
      <c r="H665" s="190">
        <v>5</v>
      </c>
      <c r="I665" s="190">
        <v>8</v>
      </c>
    </row>
    <row r="666" spans="1:9" hidden="1" x14ac:dyDescent="0.35">
      <c r="A666" s="38" t="s">
        <v>761</v>
      </c>
      <c r="B666" s="38" t="s">
        <v>751</v>
      </c>
      <c r="C666" s="38" t="s">
        <v>698</v>
      </c>
      <c r="D666" s="38" t="s">
        <v>700</v>
      </c>
      <c r="E666" s="190">
        <v>15</v>
      </c>
      <c r="F666" s="190">
        <v>0.2</v>
      </c>
      <c r="G666" s="190">
        <f t="shared" si="19"/>
        <v>2.5</v>
      </c>
      <c r="H666" s="190">
        <v>5</v>
      </c>
      <c r="I666" s="190">
        <v>8</v>
      </c>
    </row>
    <row r="667" spans="1:9" hidden="1" x14ac:dyDescent="0.35">
      <c r="A667" s="38" t="s">
        <v>761</v>
      </c>
      <c r="B667" s="38" t="s">
        <v>751</v>
      </c>
      <c r="C667" s="38" t="s">
        <v>698</v>
      </c>
      <c r="D667" s="38" t="s">
        <v>521</v>
      </c>
      <c r="E667" s="190">
        <v>8</v>
      </c>
      <c r="F667" s="190">
        <v>0.23</v>
      </c>
      <c r="G667" s="190">
        <f t="shared" si="19"/>
        <v>2.5</v>
      </c>
      <c r="H667" s="190">
        <v>5</v>
      </c>
      <c r="I667" s="190">
        <v>8</v>
      </c>
    </row>
    <row r="668" spans="1:9" hidden="1" x14ac:dyDescent="0.35">
      <c r="A668" s="38" t="s">
        <v>761</v>
      </c>
      <c r="B668" s="38" t="s">
        <v>751</v>
      </c>
      <c r="C668" s="38" t="s">
        <v>698</v>
      </c>
      <c r="D668" s="38" t="s">
        <v>252</v>
      </c>
      <c r="E668" s="190">
        <v>8</v>
      </c>
      <c r="F668" s="190">
        <v>0.9</v>
      </c>
      <c r="G668" s="190">
        <f t="shared" si="19"/>
        <v>2.5</v>
      </c>
      <c r="H668" s="190">
        <v>5</v>
      </c>
      <c r="I668" s="190">
        <v>8</v>
      </c>
    </row>
    <row r="669" spans="1:9" hidden="1" x14ac:dyDescent="0.35">
      <c r="A669" s="38" t="s">
        <v>761</v>
      </c>
      <c r="B669" s="38" t="s">
        <v>751</v>
      </c>
      <c r="C669" s="38" t="s">
        <v>701</v>
      </c>
      <c r="D669" s="38" t="s">
        <v>702</v>
      </c>
      <c r="E669" s="190">
        <v>6</v>
      </c>
      <c r="F669" s="190">
        <v>4.8899999999999997</v>
      </c>
      <c r="G669" s="190">
        <f t="shared" si="19"/>
        <v>2.25</v>
      </c>
      <c r="H669" s="190">
        <v>4</v>
      </c>
      <c r="I669" s="190">
        <v>12</v>
      </c>
    </row>
    <row r="670" spans="1:9" hidden="1" x14ac:dyDescent="0.35">
      <c r="A670" s="38" t="s">
        <v>761</v>
      </c>
      <c r="B670" s="38" t="s">
        <v>751</v>
      </c>
      <c r="C670" s="38" t="s">
        <v>701</v>
      </c>
      <c r="D670" s="38" t="s">
        <v>703</v>
      </c>
      <c r="E670" s="190">
        <v>3.5</v>
      </c>
      <c r="F670" s="190">
        <v>3.32</v>
      </c>
      <c r="G670" s="190">
        <f t="shared" si="19"/>
        <v>1</v>
      </c>
      <c r="H670" s="190">
        <v>8</v>
      </c>
      <c r="I670" s="190">
        <v>2</v>
      </c>
    </row>
    <row r="671" spans="1:9" hidden="1" x14ac:dyDescent="0.35">
      <c r="A671" s="38" t="s">
        <v>761</v>
      </c>
      <c r="B671" s="38" t="s">
        <v>751</v>
      </c>
      <c r="C671" s="38" t="s">
        <v>704</v>
      </c>
      <c r="D671" s="38" t="s">
        <v>746</v>
      </c>
      <c r="E671" s="190">
        <v>15</v>
      </c>
      <c r="F671" s="190">
        <v>2.8</v>
      </c>
      <c r="G671" s="190">
        <f t="shared" si="19"/>
        <v>4</v>
      </c>
      <c r="H671" s="190">
        <v>2</v>
      </c>
      <c r="I671" s="190">
        <v>2</v>
      </c>
    </row>
    <row r="672" spans="1:9" hidden="1" x14ac:dyDescent="0.35">
      <c r="A672" s="38" t="s">
        <v>761</v>
      </c>
      <c r="B672" s="38" t="s">
        <v>751</v>
      </c>
      <c r="C672" s="38" t="s">
        <v>707</v>
      </c>
      <c r="D672" s="38" t="s">
        <v>708</v>
      </c>
      <c r="E672" s="190">
        <v>11.9</v>
      </c>
      <c r="F672" s="190">
        <v>9.26</v>
      </c>
      <c r="G672" s="190">
        <f t="shared" si="19"/>
        <v>6</v>
      </c>
      <c r="H672" s="190">
        <v>5.7</v>
      </c>
      <c r="I672" s="190">
        <v>6</v>
      </c>
    </row>
    <row r="673" spans="1:9" hidden="1" x14ac:dyDescent="0.35">
      <c r="A673" s="38" t="s">
        <v>761</v>
      </c>
      <c r="B673" s="38" t="s">
        <v>752</v>
      </c>
      <c r="C673" s="38" t="s">
        <v>686</v>
      </c>
      <c r="D673" s="38" t="s">
        <v>746</v>
      </c>
      <c r="E673" s="190">
        <v>7.21</v>
      </c>
      <c r="F673" s="190">
        <v>8.75</v>
      </c>
      <c r="G673" s="190">
        <f t="shared" si="19"/>
        <v>7.625</v>
      </c>
      <c r="H673" s="190">
        <v>2</v>
      </c>
      <c r="I673" s="190">
        <v>1</v>
      </c>
    </row>
    <row r="674" spans="1:9" hidden="1" x14ac:dyDescent="0.35">
      <c r="A674" s="38" t="s">
        <v>761</v>
      </c>
      <c r="B674" s="38" t="s">
        <v>752</v>
      </c>
      <c r="C674" s="38" t="s">
        <v>691</v>
      </c>
      <c r="D674" s="38" t="s">
        <v>746</v>
      </c>
      <c r="E674" s="190">
        <v>13.47</v>
      </c>
      <c r="F674" s="190">
        <v>17.71</v>
      </c>
      <c r="G674" s="190">
        <f t="shared" si="19"/>
        <v>12.5</v>
      </c>
      <c r="H674" s="190">
        <v>34.130000000000003</v>
      </c>
      <c r="I674" s="190">
        <v>5</v>
      </c>
    </row>
    <row r="675" spans="1:9" hidden="1" x14ac:dyDescent="0.35">
      <c r="A675" s="38" t="s">
        <v>761</v>
      </c>
      <c r="B675" s="38" t="s">
        <v>752</v>
      </c>
      <c r="C675" s="38" t="s">
        <v>696</v>
      </c>
      <c r="D675" s="38" t="s">
        <v>697</v>
      </c>
      <c r="E675" s="190">
        <v>5.7</v>
      </c>
      <c r="F675" s="190">
        <v>21.94</v>
      </c>
      <c r="G675" s="190">
        <f t="shared" si="19"/>
        <v>4.5</v>
      </c>
      <c r="H675" s="190">
        <v>15</v>
      </c>
      <c r="I675" s="190">
        <v>2</v>
      </c>
    </row>
    <row r="676" spans="1:9" hidden="1" x14ac:dyDescent="0.35">
      <c r="A676" s="38" t="s">
        <v>761</v>
      </c>
      <c r="B676" s="38" t="s">
        <v>752</v>
      </c>
      <c r="C676" s="38" t="s">
        <v>698</v>
      </c>
      <c r="D676" s="38" t="s">
        <v>747</v>
      </c>
      <c r="E676" s="190">
        <v>10</v>
      </c>
      <c r="F676" s="190">
        <v>0.93</v>
      </c>
      <c r="G676" s="190">
        <f t="shared" si="19"/>
        <v>2.5</v>
      </c>
      <c r="H676" s="190">
        <v>7</v>
      </c>
      <c r="I676" s="190">
        <v>2</v>
      </c>
    </row>
    <row r="677" spans="1:9" hidden="1" x14ac:dyDescent="0.35">
      <c r="A677" s="38" t="s">
        <v>761</v>
      </c>
      <c r="B677" s="38" t="s">
        <v>752</v>
      </c>
      <c r="C677" s="38" t="s">
        <v>698</v>
      </c>
      <c r="D677" s="38" t="s">
        <v>700</v>
      </c>
      <c r="E677" s="190">
        <v>33</v>
      </c>
      <c r="F677" s="190">
        <v>0.2</v>
      </c>
      <c r="G677" s="190">
        <f t="shared" si="19"/>
        <v>2.5</v>
      </c>
      <c r="H677" s="190">
        <v>7</v>
      </c>
      <c r="I677" s="190">
        <v>2</v>
      </c>
    </row>
    <row r="678" spans="1:9" hidden="1" x14ac:dyDescent="0.35">
      <c r="A678" s="38" t="s">
        <v>761</v>
      </c>
      <c r="B678" s="38" t="s">
        <v>752</v>
      </c>
      <c r="C678" s="38" t="s">
        <v>698</v>
      </c>
      <c r="D678" s="38" t="s">
        <v>521</v>
      </c>
      <c r="E678" s="190">
        <v>10</v>
      </c>
      <c r="F678" s="190">
        <v>0.23</v>
      </c>
      <c r="G678" s="190">
        <f t="shared" si="19"/>
        <v>2.5</v>
      </c>
      <c r="H678" s="190">
        <v>7</v>
      </c>
      <c r="I678" s="190">
        <v>2</v>
      </c>
    </row>
    <row r="679" spans="1:9" hidden="1" x14ac:dyDescent="0.35">
      <c r="A679" s="38" t="s">
        <v>761</v>
      </c>
      <c r="B679" s="38" t="s">
        <v>752</v>
      </c>
      <c r="C679" s="38" t="s">
        <v>698</v>
      </c>
      <c r="D679" s="38" t="s">
        <v>252</v>
      </c>
      <c r="E679" s="190">
        <v>25</v>
      </c>
      <c r="F679" s="190">
        <v>0.9</v>
      </c>
      <c r="G679" s="190">
        <f t="shared" si="19"/>
        <v>2.5</v>
      </c>
      <c r="H679" s="190">
        <v>7</v>
      </c>
      <c r="I679" s="190">
        <v>2</v>
      </c>
    </row>
    <row r="680" spans="1:9" hidden="1" x14ac:dyDescent="0.35">
      <c r="A680" s="38" t="s">
        <v>761</v>
      </c>
      <c r="B680" s="38" t="s">
        <v>752</v>
      </c>
      <c r="C680" s="38" t="s">
        <v>701</v>
      </c>
      <c r="D680" s="38" t="s">
        <v>702</v>
      </c>
      <c r="E680" s="190">
        <v>8</v>
      </c>
      <c r="F680" s="190">
        <v>8.01</v>
      </c>
      <c r="G680" s="190">
        <f t="shared" si="19"/>
        <v>0.05</v>
      </c>
      <c r="H680" s="190">
        <v>3</v>
      </c>
      <c r="I680" s="190">
        <v>1</v>
      </c>
    </row>
    <row r="681" spans="1:9" hidden="1" x14ac:dyDescent="0.35">
      <c r="A681" s="38" t="s">
        <v>761</v>
      </c>
      <c r="B681" s="38" t="s">
        <v>752</v>
      </c>
      <c r="C681" s="38" t="s">
        <v>701</v>
      </c>
      <c r="D681" s="38" t="s">
        <v>703</v>
      </c>
      <c r="E681" s="190">
        <v>6</v>
      </c>
      <c r="F681" s="190">
        <v>8.1999999999999993</v>
      </c>
      <c r="G681" s="190">
        <f t="shared" si="19"/>
        <v>1</v>
      </c>
      <c r="H681" s="190">
        <v>10</v>
      </c>
      <c r="I681" s="190">
        <v>0.1</v>
      </c>
    </row>
    <row r="682" spans="1:9" hidden="1" x14ac:dyDescent="0.35">
      <c r="A682" s="38" t="s">
        <v>761</v>
      </c>
      <c r="B682" s="38" t="s">
        <v>752</v>
      </c>
      <c r="C682" s="38" t="s">
        <v>704</v>
      </c>
      <c r="D682" s="38" t="s">
        <v>746</v>
      </c>
      <c r="E682" s="190">
        <v>12</v>
      </c>
      <c r="F682" s="190">
        <v>8.18</v>
      </c>
      <c r="G682" s="190">
        <f t="shared" si="19"/>
        <v>4</v>
      </c>
      <c r="H682" s="190">
        <v>2</v>
      </c>
      <c r="I682" s="190">
        <v>1</v>
      </c>
    </row>
    <row r="683" spans="1:9" hidden="1" x14ac:dyDescent="0.35">
      <c r="A683" s="38" t="s">
        <v>761</v>
      </c>
      <c r="B683" s="38" t="s">
        <v>752</v>
      </c>
      <c r="C683" s="38" t="s">
        <v>707</v>
      </c>
      <c r="D683" s="38" t="s">
        <v>708</v>
      </c>
      <c r="E683" s="190">
        <v>14</v>
      </c>
      <c r="F683" s="190">
        <v>16.940000000000001</v>
      </c>
      <c r="G683" s="190">
        <f t="shared" ref="G683:G694" si="20">G67*0.5</f>
        <v>7.5</v>
      </c>
      <c r="H683" s="190">
        <v>5</v>
      </c>
      <c r="I683" s="190">
        <v>2</v>
      </c>
    </row>
    <row r="684" spans="1:9" hidden="1" x14ac:dyDescent="0.35">
      <c r="A684" s="38" t="s">
        <v>761</v>
      </c>
      <c r="B684" s="38" t="s">
        <v>753</v>
      </c>
      <c r="C684" s="38" t="s">
        <v>686</v>
      </c>
      <c r="D684" s="38" t="s">
        <v>746</v>
      </c>
      <c r="E684" s="190">
        <v>6</v>
      </c>
      <c r="F684" s="190">
        <v>6.59</v>
      </c>
      <c r="G684" s="190">
        <f t="shared" si="20"/>
        <v>3.5</v>
      </c>
      <c r="H684" s="190">
        <v>2.98</v>
      </c>
      <c r="I684" s="190">
        <v>3</v>
      </c>
    </row>
    <row r="685" spans="1:9" hidden="1" x14ac:dyDescent="0.35">
      <c r="A685" s="38" t="s">
        <v>761</v>
      </c>
      <c r="B685" s="38" t="s">
        <v>753</v>
      </c>
      <c r="C685" s="38" t="s">
        <v>691</v>
      </c>
      <c r="D685" s="38" t="s">
        <v>746</v>
      </c>
      <c r="E685" s="190">
        <v>8.7100000000000009</v>
      </c>
      <c r="F685" s="190">
        <v>9.8699999999999992</v>
      </c>
      <c r="G685" s="190">
        <f t="shared" si="20"/>
        <v>12.5</v>
      </c>
      <c r="H685" s="190">
        <v>12.96</v>
      </c>
      <c r="I685" s="190">
        <v>18.16</v>
      </c>
    </row>
    <row r="686" spans="1:9" hidden="1" x14ac:dyDescent="0.35">
      <c r="A686" s="38" t="s">
        <v>761</v>
      </c>
      <c r="B686" s="38" t="s">
        <v>753</v>
      </c>
      <c r="C686" s="38" t="s">
        <v>696</v>
      </c>
      <c r="D686" s="38" t="s">
        <v>697</v>
      </c>
      <c r="E686" s="190">
        <v>8.1999999999999993</v>
      </c>
      <c r="F686" s="190">
        <v>25.47</v>
      </c>
      <c r="G686" s="190">
        <f t="shared" si="20"/>
        <v>4.5</v>
      </c>
      <c r="H686" s="190">
        <v>12.33</v>
      </c>
      <c r="I686" s="190">
        <v>2</v>
      </c>
    </row>
    <row r="687" spans="1:9" hidden="1" x14ac:dyDescent="0.35">
      <c r="A687" s="38" t="s">
        <v>761</v>
      </c>
      <c r="B687" s="38" t="s">
        <v>753</v>
      </c>
      <c r="C687" s="38" t="s">
        <v>698</v>
      </c>
      <c r="D687" s="38" t="s">
        <v>747</v>
      </c>
      <c r="E687" s="190">
        <v>10</v>
      </c>
      <c r="F687" s="190">
        <v>0.21</v>
      </c>
      <c r="G687" s="190">
        <f t="shared" si="20"/>
        <v>2.5</v>
      </c>
      <c r="H687" s="190">
        <v>7</v>
      </c>
      <c r="I687" s="190">
        <v>4</v>
      </c>
    </row>
    <row r="688" spans="1:9" hidden="1" x14ac:dyDescent="0.35">
      <c r="A688" s="38" t="s">
        <v>761</v>
      </c>
      <c r="B688" s="38" t="s">
        <v>753</v>
      </c>
      <c r="C688" s="38" t="s">
        <v>698</v>
      </c>
      <c r="D688" s="38" t="s">
        <v>700</v>
      </c>
      <c r="E688" s="190">
        <v>10</v>
      </c>
      <c r="F688" s="190">
        <v>0.2</v>
      </c>
      <c r="G688" s="190">
        <f t="shared" si="20"/>
        <v>2.5</v>
      </c>
      <c r="H688" s="190">
        <v>7</v>
      </c>
      <c r="I688" s="190">
        <v>4</v>
      </c>
    </row>
    <row r="689" spans="1:9" hidden="1" x14ac:dyDescent="0.35">
      <c r="A689" s="38" t="s">
        <v>761</v>
      </c>
      <c r="B689" s="38" t="s">
        <v>753</v>
      </c>
      <c r="C689" s="38" t="s">
        <v>698</v>
      </c>
      <c r="D689" s="38" t="s">
        <v>521</v>
      </c>
      <c r="E689" s="190">
        <v>6</v>
      </c>
      <c r="F689" s="190">
        <v>0.47</v>
      </c>
      <c r="G689" s="190">
        <f t="shared" si="20"/>
        <v>2.5</v>
      </c>
      <c r="H689" s="190">
        <v>7</v>
      </c>
      <c r="I689" s="190">
        <v>4</v>
      </c>
    </row>
    <row r="690" spans="1:9" hidden="1" x14ac:dyDescent="0.35">
      <c r="A690" s="38" t="s">
        <v>761</v>
      </c>
      <c r="B690" s="38" t="s">
        <v>753</v>
      </c>
      <c r="C690" s="38" t="s">
        <v>698</v>
      </c>
      <c r="D690" s="38" t="s">
        <v>252</v>
      </c>
      <c r="E690" s="190">
        <v>8</v>
      </c>
      <c r="F690" s="190">
        <v>0.97</v>
      </c>
      <c r="G690" s="190">
        <f t="shared" si="20"/>
        <v>2.5</v>
      </c>
      <c r="H690" s="190">
        <v>7</v>
      </c>
      <c r="I690" s="190">
        <v>4</v>
      </c>
    </row>
    <row r="691" spans="1:9" hidden="1" x14ac:dyDescent="0.35">
      <c r="A691" s="38" t="s">
        <v>761</v>
      </c>
      <c r="B691" s="38" t="s">
        <v>753</v>
      </c>
      <c r="C691" s="38" t="s">
        <v>701</v>
      </c>
      <c r="D691" s="38" t="s">
        <v>702</v>
      </c>
      <c r="E691" s="190">
        <v>8</v>
      </c>
      <c r="F691" s="190">
        <v>7.23</v>
      </c>
      <c r="G691" s="190">
        <f t="shared" si="20"/>
        <v>0.05</v>
      </c>
      <c r="H691" s="190">
        <v>3</v>
      </c>
      <c r="I691" s="190">
        <v>2</v>
      </c>
    </row>
    <row r="692" spans="1:9" hidden="1" x14ac:dyDescent="0.35">
      <c r="A692" s="38" t="s">
        <v>761</v>
      </c>
      <c r="B692" s="38" t="s">
        <v>753</v>
      </c>
      <c r="C692" s="38" t="s">
        <v>701</v>
      </c>
      <c r="D692" s="38" t="s">
        <v>703</v>
      </c>
      <c r="E692" s="190">
        <v>3.5</v>
      </c>
      <c r="F692" s="190">
        <v>4.68</v>
      </c>
      <c r="G692" s="190">
        <f t="shared" si="20"/>
        <v>1</v>
      </c>
      <c r="H692" s="190">
        <v>10</v>
      </c>
      <c r="I692" s="190">
        <v>1</v>
      </c>
    </row>
    <row r="693" spans="1:9" hidden="1" x14ac:dyDescent="0.35">
      <c r="A693" s="38" t="s">
        <v>761</v>
      </c>
      <c r="B693" s="38" t="s">
        <v>753</v>
      </c>
      <c r="C693" s="38" t="s">
        <v>704</v>
      </c>
      <c r="D693" s="38" t="s">
        <v>746</v>
      </c>
      <c r="E693" s="190">
        <v>7</v>
      </c>
      <c r="F693" s="190">
        <v>3.4</v>
      </c>
      <c r="G693" s="190">
        <f t="shared" si="20"/>
        <v>4</v>
      </c>
      <c r="H693" s="190">
        <v>2</v>
      </c>
      <c r="I693" s="190">
        <v>1</v>
      </c>
    </row>
    <row r="694" spans="1:9" hidden="1" x14ac:dyDescent="0.35">
      <c r="A694" s="38" t="s">
        <v>761</v>
      </c>
      <c r="B694" s="38" t="s">
        <v>753</v>
      </c>
      <c r="C694" s="38" t="s">
        <v>707</v>
      </c>
      <c r="D694" s="38" t="s">
        <v>708</v>
      </c>
      <c r="E694" s="190">
        <v>8.15</v>
      </c>
      <c r="F694" s="190">
        <v>12.11</v>
      </c>
      <c r="G694" s="190">
        <f t="shared" si="20"/>
        <v>5</v>
      </c>
      <c r="H694" s="190">
        <v>10.78</v>
      </c>
      <c r="I694" s="190">
        <v>3.88</v>
      </c>
    </row>
    <row r="695" spans="1:9" hidden="1" x14ac:dyDescent="0.35">
      <c r="A695" s="38" t="s">
        <v>762</v>
      </c>
      <c r="B695" s="38" t="s">
        <v>745</v>
      </c>
      <c r="C695" s="38" t="s">
        <v>686</v>
      </c>
      <c r="D695" s="38" t="s">
        <v>746</v>
      </c>
      <c r="E695" s="94">
        <f>E2*0.5</f>
        <v>2.15</v>
      </c>
      <c r="F695" s="94">
        <f>F2*0.5</f>
        <v>1.9</v>
      </c>
      <c r="G695" s="94">
        <f>G2*0.5</f>
        <v>5.25</v>
      </c>
      <c r="H695" s="94">
        <f>H2*0.5</f>
        <v>1.5</v>
      </c>
      <c r="I695" s="94">
        <f>I2*0.5</f>
        <v>13.5</v>
      </c>
    </row>
    <row r="696" spans="1:9" hidden="1" x14ac:dyDescent="0.35">
      <c r="A696" s="38" t="s">
        <v>762</v>
      </c>
      <c r="B696" s="38" t="s">
        <v>745</v>
      </c>
      <c r="C696" s="38" t="s">
        <v>691</v>
      </c>
      <c r="D696" s="38" t="s">
        <v>746</v>
      </c>
      <c r="E696" s="94">
        <v>20</v>
      </c>
      <c r="F696" s="94">
        <v>7.3</v>
      </c>
      <c r="G696" s="94">
        <v>2</v>
      </c>
      <c r="H696" s="94">
        <v>4.9000000000000004</v>
      </c>
      <c r="I696" s="94">
        <v>19</v>
      </c>
    </row>
    <row r="697" spans="1:9" hidden="1" x14ac:dyDescent="0.35">
      <c r="A697" s="38" t="s">
        <v>762</v>
      </c>
      <c r="B697" s="38" t="s">
        <v>745</v>
      </c>
      <c r="C697" s="38" t="s">
        <v>696</v>
      </c>
      <c r="D697" s="94" t="s">
        <v>697</v>
      </c>
      <c r="E697" s="94">
        <v>9.4</v>
      </c>
      <c r="F697" s="94">
        <v>7.9</v>
      </c>
      <c r="G697" s="94">
        <v>6</v>
      </c>
      <c r="H697" s="94">
        <v>9</v>
      </c>
      <c r="I697" s="94">
        <v>11</v>
      </c>
    </row>
    <row r="698" spans="1:9" hidden="1" x14ac:dyDescent="0.35">
      <c r="A698" s="38" t="s">
        <v>762</v>
      </c>
      <c r="B698" s="38" t="s">
        <v>745</v>
      </c>
      <c r="C698" s="38" t="s">
        <v>698</v>
      </c>
      <c r="D698" s="38" t="s">
        <v>747</v>
      </c>
      <c r="E698" s="94">
        <v>2.2999999999999998</v>
      </c>
      <c r="F698" s="94">
        <v>0.6</v>
      </c>
      <c r="G698" s="94">
        <v>5</v>
      </c>
      <c r="H698" s="94">
        <v>4</v>
      </c>
      <c r="I698" s="94">
        <v>11</v>
      </c>
    </row>
    <row r="699" spans="1:9" hidden="1" x14ac:dyDescent="0.35">
      <c r="A699" s="38" t="s">
        <v>762</v>
      </c>
      <c r="B699" s="38" t="s">
        <v>745</v>
      </c>
      <c r="C699" s="38" t="s">
        <v>698</v>
      </c>
      <c r="D699" s="38" t="s">
        <v>700</v>
      </c>
      <c r="E699" s="94">
        <v>10</v>
      </c>
      <c r="F699" s="94">
        <v>0.6</v>
      </c>
      <c r="G699" s="94">
        <v>5</v>
      </c>
      <c r="H699" s="94">
        <v>4</v>
      </c>
      <c r="I699" s="94">
        <v>11</v>
      </c>
    </row>
    <row r="700" spans="1:9" hidden="1" x14ac:dyDescent="0.35">
      <c r="A700" s="38" t="s">
        <v>762</v>
      </c>
      <c r="B700" s="38" t="s">
        <v>745</v>
      </c>
      <c r="C700" s="38" t="s">
        <v>698</v>
      </c>
      <c r="D700" s="38" t="s">
        <v>521</v>
      </c>
      <c r="E700" s="94">
        <v>2.5</v>
      </c>
      <c r="F700" s="94">
        <v>0.3</v>
      </c>
      <c r="G700" s="94">
        <v>5</v>
      </c>
      <c r="H700" s="94">
        <v>4</v>
      </c>
      <c r="I700" s="94">
        <v>11</v>
      </c>
    </row>
    <row r="701" spans="1:9" hidden="1" x14ac:dyDescent="0.35">
      <c r="A701" s="38" t="s">
        <v>762</v>
      </c>
      <c r="B701" s="38" t="s">
        <v>745</v>
      </c>
      <c r="C701" s="38" t="s">
        <v>698</v>
      </c>
      <c r="D701" s="38" t="s">
        <v>252</v>
      </c>
      <c r="E701" s="94">
        <v>7</v>
      </c>
      <c r="F701" s="94">
        <v>0.9</v>
      </c>
      <c r="G701" s="94">
        <v>5</v>
      </c>
      <c r="H701" s="94">
        <v>4</v>
      </c>
      <c r="I701" s="94">
        <v>11</v>
      </c>
    </row>
    <row r="702" spans="1:9" hidden="1" x14ac:dyDescent="0.35">
      <c r="A702" s="38" t="s">
        <v>762</v>
      </c>
      <c r="B702" s="38" t="s">
        <v>745</v>
      </c>
      <c r="C702" s="38" t="s">
        <v>701</v>
      </c>
      <c r="D702" s="38" t="s">
        <v>702</v>
      </c>
      <c r="E702" s="94">
        <v>4</v>
      </c>
      <c r="F702" s="94">
        <v>1.9</v>
      </c>
      <c r="G702" s="94">
        <v>0.5</v>
      </c>
      <c r="H702" s="94">
        <v>2</v>
      </c>
      <c r="I702" s="94">
        <v>8</v>
      </c>
    </row>
    <row r="703" spans="1:9" hidden="1" x14ac:dyDescent="0.35">
      <c r="A703" s="38" t="s">
        <v>762</v>
      </c>
      <c r="B703" s="38" t="s">
        <v>745</v>
      </c>
      <c r="C703" s="38" t="s">
        <v>701</v>
      </c>
      <c r="D703" s="38" t="s">
        <v>703</v>
      </c>
      <c r="E703" s="94">
        <v>3.5</v>
      </c>
      <c r="F703" s="94">
        <v>1.7</v>
      </c>
      <c r="G703" s="94">
        <v>1.2</v>
      </c>
      <c r="H703" s="94">
        <v>0.82</v>
      </c>
      <c r="I703" s="94">
        <v>7</v>
      </c>
    </row>
    <row r="704" spans="1:9" hidden="1" x14ac:dyDescent="0.35">
      <c r="A704" s="38" t="s">
        <v>762</v>
      </c>
      <c r="B704" s="38" t="s">
        <v>745</v>
      </c>
      <c r="C704" s="38" t="s">
        <v>704</v>
      </c>
      <c r="D704" s="38" t="s">
        <v>746</v>
      </c>
      <c r="E704" s="94">
        <v>5.3</v>
      </c>
      <c r="F704" s="94">
        <v>1.2</v>
      </c>
      <c r="G704" s="94">
        <v>5</v>
      </c>
      <c r="H704" s="94">
        <v>1</v>
      </c>
      <c r="I704" s="94">
        <v>4</v>
      </c>
    </row>
    <row r="705" spans="1:9" hidden="1" x14ac:dyDescent="0.35">
      <c r="A705" s="38" t="s">
        <v>762</v>
      </c>
      <c r="B705" s="38" t="s">
        <v>745</v>
      </c>
      <c r="C705" s="38" t="s">
        <v>707</v>
      </c>
      <c r="D705" s="38" t="s">
        <v>708</v>
      </c>
      <c r="E705" s="94">
        <v>20</v>
      </c>
      <c r="F705" s="94">
        <v>7.6</v>
      </c>
      <c r="G705" s="94">
        <v>13.8</v>
      </c>
      <c r="H705" s="94">
        <v>7</v>
      </c>
      <c r="I705" s="94">
        <v>17</v>
      </c>
    </row>
    <row r="706" spans="1:9" hidden="1" x14ac:dyDescent="0.35">
      <c r="A706" s="38" t="s">
        <v>762</v>
      </c>
      <c r="B706" s="38" t="s">
        <v>748</v>
      </c>
      <c r="C706" s="38" t="s">
        <v>686</v>
      </c>
      <c r="D706" s="38" t="s">
        <v>746</v>
      </c>
      <c r="E706" s="94">
        <f>E13*0.5</f>
        <v>1.96</v>
      </c>
      <c r="F706" s="94">
        <f>F13*0.5</f>
        <v>2.12</v>
      </c>
      <c r="G706" s="94">
        <f>G13*0.5</f>
        <v>5.9</v>
      </c>
      <c r="H706" s="94">
        <f>H13*0.5</f>
        <v>1</v>
      </c>
      <c r="I706" s="94">
        <f>I13*0.5</f>
        <v>6.8250000000000002</v>
      </c>
    </row>
    <row r="707" spans="1:9" hidden="1" x14ac:dyDescent="0.35">
      <c r="A707" s="38" t="s">
        <v>762</v>
      </c>
      <c r="B707" s="38" t="s">
        <v>748</v>
      </c>
      <c r="C707" s="38" t="s">
        <v>691</v>
      </c>
      <c r="D707" s="38" t="s">
        <v>746</v>
      </c>
      <c r="E707" s="94">
        <v>10</v>
      </c>
      <c r="F707" s="94">
        <v>8.3699999999999992</v>
      </c>
      <c r="G707" s="94">
        <v>2</v>
      </c>
      <c r="H707" s="94">
        <v>8</v>
      </c>
      <c r="I707" s="94">
        <v>10.35</v>
      </c>
    </row>
    <row r="708" spans="1:9" hidden="1" x14ac:dyDescent="0.35">
      <c r="A708" s="38" t="s">
        <v>762</v>
      </c>
      <c r="B708" s="38" t="s">
        <v>748</v>
      </c>
      <c r="C708" s="38" t="s">
        <v>696</v>
      </c>
      <c r="D708" s="94" t="s">
        <v>697</v>
      </c>
      <c r="E708" s="94">
        <v>15</v>
      </c>
      <c r="F708" s="94">
        <v>16.5</v>
      </c>
      <c r="G708" s="94">
        <v>6</v>
      </c>
      <c r="H708" s="94">
        <v>11</v>
      </c>
      <c r="I708" s="94">
        <v>7.3</v>
      </c>
    </row>
    <row r="709" spans="1:9" hidden="1" x14ac:dyDescent="0.35">
      <c r="A709" s="38" t="s">
        <v>762</v>
      </c>
      <c r="B709" s="38" t="s">
        <v>748</v>
      </c>
      <c r="C709" s="38" t="s">
        <v>698</v>
      </c>
      <c r="D709" s="38" t="s">
        <v>747</v>
      </c>
      <c r="E709" s="94">
        <v>2.2999999999999998</v>
      </c>
      <c r="F709" s="94">
        <v>0.55000000000000004</v>
      </c>
      <c r="G709" s="94">
        <v>5</v>
      </c>
      <c r="H709" s="94">
        <v>6</v>
      </c>
      <c r="I709" s="94">
        <v>6.8</v>
      </c>
    </row>
    <row r="710" spans="1:9" hidden="1" x14ac:dyDescent="0.35">
      <c r="A710" s="38" t="s">
        <v>762</v>
      </c>
      <c r="B710" s="38" t="s">
        <v>748</v>
      </c>
      <c r="C710" s="38" t="s">
        <v>698</v>
      </c>
      <c r="D710" s="38" t="s">
        <v>700</v>
      </c>
      <c r="E710" s="94">
        <v>10</v>
      </c>
      <c r="F710" s="94">
        <v>0.81</v>
      </c>
      <c r="G710" s="94">
        <v>5</v>
      </c>
      <c r="H710" s="94">
        <v>6</v>
      </c>
      <c r="I710" s="94">
        <v>6.8</v>
      </c>
    </row>
    <row r="711" spans="1:9" hidden="1" x14ac:dyDescent="0.35">
      <c r="A711" s="38" t="s">
        <v>762</v>
      </c>
      <c r="B711" s="38" t="s">
        <v>748</v>
      </c>
      <c r="C711" s="38" t="s">
        <v>698</v>
      </c>
      <c r="D711" s="38" t="s">
        <v>521</v>
      </c>
      <c r="E711" s="94">
        <v>2.5</v>
      </c>
      <c r="F711" s="94">
        <v>0.18</v>
      </c>
      <c r="G711" s="94">
        <v>5</v>
      </c>
      <c r="H711" s="94">
        <v>6</v>
      </c>
      <c r="I711" s="94">
        <v>6.8</v>
      </c>
    </row>
    <row r="712" spans="1:9" hidden="1" x14ac:dyDescent="0.35">
      <c r="A712" s="38" t="s">
        <v>762</v>
      </c>
      <c r="B712" s="38" t="s">
        <v>748</v>
      </c>
      <c r="C712" s="38" t="s">
        <v>698</v>
      </c>
      <c r="D712" s="38" t="s">
        <v>252</v>
      </c>
      <c r="E712" s="94">
        <v>7</v>
      </c>
      <c r="F712" s="94">
        <v>1.03</v>
      </c>
      <c r="G712" s="94">
        <v>5</v>
      </c>
      <c r="H712" s="94">
        <v>6</v>
      </c>
      <c r="I712" s="94">
        <v>6.8</v>
      </c>
    </row>
    <row r="713" spans="1:9" hidden="1" x14ac:dyDescent="0.35">
      <c r="A713" s="38" t="s">
        <v>762</v>
      </c>
      <c r="B713" s="38" t="s">
        <v>748</v>
      </c>
      <c r="C713" s="38" t="s">
        <v>701</v>
      </c>
      <c r="D713" s="38" t="s">
        <v>702</v>
      </c>
      <c r="E713" s="94">
        <v>6</v>
      </c>
      <c r="F713" s="94">
        <v>2.38</v>
      </c>
      <c r="G713" s="94">
        <v>0.5</v>
      </c>
      <c r="H713" s="94">
        <v>4</v>
      </c>
      <c r="I713" s="94">
        <v>3.65</v>
      </c>
    </row>
    <row r="714" spans="1:9" hidden="1" x14ac:dyDescent="0.35">
      <c r="A714" s="38" t="s">
        <v>762</v>
      </c>
      <c r="B714" s="38" t="s">
        <v>748</v>
      </c>
      <c r="C714" s="38" t="s">
        <v>701</v>
      </c>
      <c r="D714" s="38" t="s">
        <v>703</v>
      </c>
      <c r="E714" s="94">
        <v>3.5</v>
      </c>
      <c r="F714" s="94">
        <v>2.2400000000000002</v>
      </c>
      <c r="G714" s="94">
        <v>1.2</v>
      </c>
      <c r="H714" s="94">
        <v>0.5</v>
      </c>
      <c r="I714" s="94">
        <v>2.6</v>
      </c>
    </row>
    <row r="715" spans="1:9" hidden="1" x14ac:dyDescent="0.35">
      <c r="A715" s="38" t="s">
        <v>762</v>
      </c>
      <c r="B715" s="38" t="s">
        <v>748</v>
      </c>
      <c r="C715" s="38" t="s">
        <v>704</v>
      </c>
      <c r="D715" s="38" t="s">
        <v>746</v>
      </c>
      <c r="E715" s="94">
        <v>6</v>
      </c>
      <c r="F715" s="94">
        <v>2.72</v>
      </c>
      <c r="G715" s="94">
        <v>5</v>
      </c>
      <c r="H715" s="94">
        <v>1</v>
      </c>
      <c r="I715" s="94">
        <v>16.55</v>
      </c>
    </row>
    <row r="716" spans="1:9" hidden="1" x14ac:dyDescent="0.35">
      <c r="A716" s="38" t="s">
        <v>762</v>
      </c>
      <c r="B716" s="38" t="s">
        <v>748</v>
      </c>
      <c r="C716" s="38" t="s">
        <v>707</v>
      </c>
      <c r="D716" s="38" t="s">
        <v>708</v>
      </c>
      <c r="E716" s="94">
        <v>20</v>
      </c>
      <c r="F716" s="94">
        <v>4.8499999999999996</v>
      </c>
      <c r="G716" s="94">
        <v>15</v>
      </c>
      <c r="H716" s="94">
        <v>9</v>
      </c>
      <c r="I716" s="94">
        <v>7.15</v>
      </c>
    </row>
    <row r="717" spans="1:9" hidden="1" x14ac:dyDescent="0.35">
      <c r="A717" s="38" t="s">
        <v>762</v>
      </c>
      <c r="B717" s="38" t="s">
        <v>749</v>
      </c>
      <c r="C717" s="38" t="s">
        <v>686</v>
      </c>
      <c r="D717" s="38" t="s">
        <v>746</v>
      </c>
      <c r="E717" s="94">
        <f>E24*0.5</f>
        <v>3.585</v>
      </c>
      <c r="F717" s="94">
        <f>F24*0.5</f>
        <v>1.625</v>
      </c>
      <c r="G717" s="94">
        <f>G24*0.5</f>
        <v>5.25</v>
      </c>
      <c r="H717" s="94">
        <f>H24*0.5</f>
        <v>4.5</v>
      </c>
      <c r="I717" s="94">
        <f>I24*0.5</f>
        <v>11.994999999999999</v>
      </c>
    </row>
    <row r="718" spans="1:9" hidden="1" x14ac:dyDescent="0.35">
      <c r="A718" s="38" t="s">
        <v>762</v>
      </c>
      <c r="B718" s="38" t="s">
        <v>749</v>
      </c>
      <c r="C718" s="38" t="s">
        <v>691</v>
      </c>
      <c r="D718" s="38" t="s">
        <v>746</v>
      </c>
      <c r="E718" s="94">
        <v>20</v>
      </c>
      <c r="F718" s="94">
        <v>15.3</v>
      </c>
      <c r="G718" s="94">
        <v>2</v>
      </c>
      <c r="H718" s="94">
        <v>9.35</v>
      </c>
      <c r="I718" s="94">
        <v>25.43</v>
      </c>
    </row>
    <row r="719" spans="1:9" hidden="1" x14ac:dyDescent="0.35">
      <c r="A719" s="38" t="s">
        <v>762</v>
      </c>
      <c r="B719" s="38" t="s">
        <v>749</v>
      </c>
      <c r="C719" s="38" t="s">
        <v>696</v>
      </c>
      <c r="D719" s="94" t="s">
        <v>697</v>
      </c>
      <c r="E719" s="94">
        <v>12</v>
      </c>
      <c r="F719" s="94">
        <v>2.2200000000000002</v>
      </c>
      <c r="G719" s="94">
        <v>6</v>
      </c>
      <c r="H719" s="94">
        <v>6.83</v>
      </c>
      <c r="I719" s="94">
        <v>28.17</v>
      </c>
    </row>
    <row r="720" spans="1:9" hidden="1" x14ac:dyDescent="0.35">
      <c r="A720" s="38" t="s">
        <v>762</v>
      </c>
      <c r="B720" s="38" t="s">
        <v>749</v>
      </c>
      <c r="C720" s="38" t="s">
        <v>698</v>
      </c>
      <c r="D720" s="38" t="s">
        <v>747</v>
      </c>
      <c r="E720" s="94">
        <v>2.2999999999999998</v>
      </c>
      <c r="F720" s="94">
        <v>0.31</v>
      </c>
      <c r="G720" s="94">
        <v>5</v>
      </c>
      <c r="H720" s="94">
        <v>3.9</v>
      </c>
      <c r="I720" s="38">
        <v>21.19</v>
      </c>
    </row>
    <row r="721" spans="1:9" hidden="1" x14ac:dyDescent="0.35">
      <c r="A721" s="38" t="s">
        <v>762</v>
      </c>
      <c r="B721" s="38" t="s">
        <v>749</v>
      </c>
      <c r="C721" s="38" t="s">
        <v>698</v>
      </c>
      <c r="D721" s="38" t="s">
        <v>700</v>
      </c>
      <c r="E721" s="94">
        <v>10</v>
      </c>
      <c r="F721" s="94">
        <v>0.8</v>
      </c>
      <c r="G721" s="94">
        <v>5</v>
      </c>
      <c r="H721" s="94">
        <v>3.9</v>
      </c>
      <c r="I721" s="94">
        <v>21.19</v>
      </c>
    </row>
    <row r="722" spans="1:9" hidden="1" x14ac:dyDescent="0.35">
      <c r="A722" s="38" t="s">
        <v>762</v>
      </c>
      <c r="B722" s="38" t="s">
        <v>749</v>
      </c>
      <c r="C722" s="38" t="s">
        <v>698</v>
      </c>
      <c r="D722" s="38" t="s">
        <v>521</v>
      </c>
      <c r="E722" s="94">
        <v>2.5</v>
      </c>
      <c r="F722" s="94">
        <v>0.66</v>
      </c>
      <c r="G722" s="94">
        <v>5</v>
      </c>
      <c r="H722" s="94">
        <v>3.9</v>
      </c>
      <c r="I722" s="94">
        <v>21.19</v>
      </c>
    </row>
    <row r="723" spans="1:9" hidden="1" x14ac:dyDescent="0.35">
      <c r="A723" s="38" t="s">
        <v>762</v>
      </c>
      <c r="B723" s="38" t="s">
        <v>749</v>
      </c>
      <c r="C723" s="38" t="s">
        <v>698</v>
      </c>
      <c r="D723" s="38" t="s">
        <v>252</v>
      </c>
      <c r="E723" s="94">
        <v>7</v>
      </c>
      <c r="F723" s="94">
        <v>0.88</v>
      </c>
      <c r="G723" s="94">
        <v>5</v>
      </c>
      <c r="H723" s="94">
        <v>3.9</v>
      </c>
      <c r="I723" s="94">
        <v>21.19</v>
      </c>
    </row>
    <row r="724" spans="1:9" hidden="1" x14ac:dyDescent="0.35">
      <c r="A724" s="38" t="s">
        <v>762</v>
      </c>
      <c r="B724" s="38" t="s">
        <v>749</v>
      </c>
      <c r="C724" s="38" t="s">
        <v>701</v>
      </c>
      <c r="D724" s="38" t="s">
        <v>702</v>
      </c>
      <c r="E724" s="94">
        <v>4</v>
      </c>
      <c r="F724" s="94">
        <v>2.27</v>
      </c>
      <c r="G724" s="94">
        <v>0.5</v>
      </c>
      <c r="H724" s="94">
        <v>7</v>
      </c>
      <c r="I724" s="94">
        <v>20.399999999999999</v>
      </c>
    </row>
    <row r="725" spans="1:9" hidden="1" x14ac:dyDescent="0.35">
      <c r="A725" s="38" t="s">
        <v>762</v>
      </c>
      <c r="B725" s="38" t="s">
        <v>749</v>
      </c>
      <c r="C725" s="38" t="s">
        <v>701</v>
      </c>
      <c r="D725" s="38" t="s">
        <v>703</v>
      </c>
      <c r="E725" s="94">
        <v>3.5</v>
      </c>
      <c r="F725" s="94">
        <v>0.4</v>
      </c>
      <c r="G725" s="94">
        <v>1.2</v>
      </c>
      <c r="H725" s="94">
        <v>7.75</v>
      </c>
      <c r="I725" s="94">
        <v>21</v>
      </c>
    </row>
    <row r="726" spans="1:9" hidden="1" x14ac:dyDescent="0.35">
      <c r="A726" s="38" t="s">
        <v>762</v>
      </c>
      <c r="B726" s="38" t="s">
        <v>749</v>
      </c>
      <c r="C726" s="38" t="s">
        <v>704</v>
      </c>
      <c r="D726" s="38" t="s">
        <v>746</v>
      </c>
      <c r="E726" s="94">
        <v>12</v>
      </c>
      <c r="F726" s="94">
        <v>3.91</v>
      </c>
      <c r="G726" s="94">
        <v>5</v>
      </c>
      <c r="H726" s="94">
        <v>1</v>
      </c>
      <c r="I726" s="94">
        <v>4</v>
      </c>
    </row>
    <row r="727" spans="1:9" hidden="1" x14ac:dyDescent="0.35">
      <c r="A727" s="38" t="s">
        <v>762</v>
      </c>
      <c r="B727" s="38" t="s">
        <v>749</v>
      </c>
      <c r="C727" s="38" t="s">
        <v>707</v>
      </c>
      <c r="D727" s="38" t="s">
        <v>708</v>
      </c>
      <c r="E727" s="94">
        <v>20</v>
      </c>
      <c r="F727" s="94">
        <v>5.83</v>
      </c>
      <c r="G727" s="94">
        <v>15</v>
      </c>
      <c r="H727" s="94">
        <v>8</v>
      </c>
      <c r="I727" s="94">
        <v>15</v>
      </c>
    </row>
    <row r="728" spans="1:9" hidden="1" x14ac:dyDescent="0.35">
      <c r="A728" s="38" t="s">
        <v>762</v>
      </c>
      <c r="B728" s="38" t="s">
        <v>750</v>
      </c>
      <c r="C728" s="38" t="s">
        <v>686</v>
      </c>
      <c r="D728" s="38" t="s">
        <v>746</v>
      </c>
      <c r="E728" s="94">
        <f>E35*0.5</f>
        <v>3</v>
      </c>
      <c r="F728" s="94">
        <f>F35*0.5</f>
        <v>3.73</v>
      </c>
      <c r="G728" s="94">
        <f>G35*0.5</f>
        <v>4.5</v>
      </c>
      <c r="H728" s="94">
        <f>H35*0.5</f>
        <v>2</v>
      </c>
      <c r="I728" s="94">
        <f>I35*0.5</f>
        <v>5</v>
      </c>
    </row>
    <row r="729" spans="1:9" hidden="1" x14ac:dyDescent="0.35">
      <c r="A729" s="38" t="s">
        <v>762</v>
      </c>
      <c r="B729" s="38" t="s">
        <v>750</v>
      </c>
      <c r="C729" s="38" t="s">
        <v>691</v>
      </c>
      <c r="D729" s="38" t="s">
        <v>746</v>
      </c>
      <c r="E729" s="94">
        <v>20</v>
      </c>
      <c r="F729" s="94">
        <v>14.32</v>
      </c>
      <c r="G729" s="94">
        <v>20</v>
      </c>
      <c r="H729" s="94">
        <v>12</v>
      </c>
      <c r="I729" s="94">
        <v>10</v>
      </c>
    </row>
    <row r="730" spans="1:9" hidden="1" x14ac:dyDescent="0.35">
      <c r="A730" s="38" t="s">
        <v>762</v>
      </c>
      <c r="B730" s="38" t="s">
        <v>750</v>
      </c>
      <c r="C730" s="38" t="s">
        <v>696</v>
      </c>
      <c r="D730" s="94" t="s">
        <v>697</v>
      </c>
      <c r="E730" s="94">
        <v>5.7</v>
      </c>
      <c r="F730" s="94">
        <v>19.61</v>
      </c>
      <c r="G730" s="94">
        <v>9</v>
      </c>
      <c r="H730" s="94">
        <v>10</v>
      </c>
      <c r="I730" s="94">
        <v>4</v>
      </c>
    </row>
    <row r="731" spans="1:9" hidden="1" x14ac:dyDescent="0.35">
      <c r="A731" s="38" t="s">
        <v>762</v>
      </c>
      <c r="B731" s="38" t="s">
        <v>750</v>
      </c>
      <c r="C731" s="38" t="s">
        <v>698</v>
      </c>
      <c r="D731" s="38" t="s">
        <v>747</v>
      </c>
      <c r="E731" s="94">
        <v>5</v>
      </c>
      <c r="F731" s="94">
        <v>1.32</v>
      </c>
      <c r="G731" s="94">
        <v>5</v>
      </c>
      <c r="H731" s="94">
        <v>5</v>
      </c>
      <c r="I731" s="94">
        <v>6</v>
      </c>
    </row>
    <row r="732" spans="1:9" hidden="1" x14ac:dyDescent="0.35">
      <c r="A732" s="38" t="s">
        <v>762</v>
      </c>
      <c r="B732" s="38" t="s">
        <v>750</v>
      </c>
      <c r="C732" s="38" t="s">
        <v>698</v>
      </c>
      <c r="D732" s="38" t="s">
        <v>700</v>
      </c>
      <c r="E732" s="94">
        <v>10</v>
      </c>
      <c r="F732" s="94">
        <v>1.04</v>
      </c>
      <c r="G732" s="94">
        <v>5</v>
      </c>
      <c r="H732" s="94">
        <v>5</v>
      </c>
      <c r="I732" s="94">
        <v>6</v>
      </c>
    </row>
    <row r="733" spans="1:9" hidden="1" x14ac:dyDescent="0.35">
      <c r="A733" s="38" t="s">
        <v>762</v>
      </c>
      <c r="B733" s="38" t="s">
        <v>750</v>
      </c>
      <c r="C733" s="38" t="s">
        <v>698</v>
      </c>
      <c r="D733" s="38" t="s">
        <v>521</v>
      </c>
      <c r="E733" s="94">
        <v>6</v>
      </c>
      <c r="F733" s="94">
        <v>0.41</v>
      </c>
      <c r="G733" s="94">
        <v>5</v>
      </c>
      <c r="H733" s="94">
        <v>5</v>
      </c>
      <c r="I733" s="94">
        <v>6</v>
      </c>
    </row>
    <row r="734" spans="1:9" hidden="1" x14ac:dyDescent="0.35">
      <c r="A734" s="38" t="s">
        <v>762</v>
      </c>
      <c r="B734" s="38" t="s">
        <v>750</v>
      </c>
      <c r="C734" s="38" t="s">
        <v>698</v>
      </c>
      <c r="D734" s="38" t="s">
        <v>252</v>
      </c>
      <c r="E734" s="94">
        <v>6</v>
      </c>
      <c r="F734" s="94">
        <v>1.5</v>
      </c>
      <c r="G734" s="94">
        <v>5</v>
      </c>
      <c r="H734" s="94">
        <v>5</v>
      </c>
      <c r="I734" s="94">
        <v>6</v>
      </c>
    </row>
    <row r="735" spans="1:9" hidden="1" x14ac:dyDescent="0.35">
      <c r="A735" s="38" t="s">
        <v>762</v>
      </c>
      <c r="B735" s="38" t="s">
        <v>750</v>
      </c>
      <c r="C735" s="38" t="s">
        <v>701</v>
      </c>
      <c r="D735" s="38" t="s">
        <v>702</v>
      </c>
      <c r="E735" s="94">
        <v>6</v>
      </c>
      <c r="F735" s="94">
        <v>6.21</v>
      </c>
      <c r="G735" s="94">
        <v>0.5</v>
      </c>
      <c r="H735" s="94">
        <v>4</v>
      </c>
      <c r="I735" s="94">
        <v>4</v>
      </c>
    </row>
    <row r="736" spans="1:9" hidden="1" x14ac:dyDescent="0.35">
      <c r="A736" s="38" t="s">
        <v>762</v>
      </c>
      <c r="B736" s="38" t="s">
        <v>750</v>
      </c>
      <c r="C736" s="38" t="s">
        <v>701</v>
      </c>
      <c r="D736" s="38" t="s">
        <v>703</v>
      </c>
      <c r="E736" s="94">
        <v>3.5</v>
      </c>
      <c r="F736" s="94">
        <v>3.74</v>
      </c>
      <c r="G736" s="94">
        <v>2</v>
      </c>
      <c r="H736" s="94">
        <v>8</v>
      </c>
      <c r="I736" s="94">
        <v>4</v>
      </c>
    </row>
    <row r="737" spans="1:9" hidden="1" x14ac:dyDescent="0.35">
      <c r="A737" s="38" t="s">
        <v>762</v>
      </c>
      <c r="B737" s="38" t="s">
        <v>750</v>
      </c>
      <c r="C737" s="38" t="s">
        <v>704</v>
      </c>
      <c r="D737" s="38" t="s">
        <v>746</v>
      </c>
      <c r="E737" s="94">
        <v>6</v>
      </c>
      <c r="F737" s="94">
        <v>1.49</v>
      </c>
      <c r="G737" s="94">
        <v>8</v>
      </c>
      <c r="H737" s="94">
        <v>2</v>
      </c>
      <c r="I737" s="94">
        <v>2</v>
      </c>
    </row>
    <row r="738" spans="1:9" hidden="1" x14ac:dyDescent="0.35">
      <c r="A738" s="38" t="s">
        <v>762</v>
      </c>
      <c r="B738" s="38" t="s">
        <v>750</v>
      </c>
      <c r="C738" s="38" t="s">
        <v>707</v>
      </c>
      <c r="D738" s="38" t="s">
        <v>708</v>
      </c>
      <c r="E738" s="94">
        <v>14</v>
      </c>
      <c r="F738" s="94">
        <v>10.39</v>
      </c>
      <c r="G738" s="94">
        <v>12</v>
      </c>
      <c r="H738" s="94">
        <v>3</v>
      </c>
      <c r="I738" s="94">
        <v>4</v>
      </c>
    </row>
    <row r="739" spans="1:9" hidden="1" x14ac:dyDescent="0.35">
      <c r="A739" s="38" t="s">
        <v>762</v>
      </c>
      <c r="B739" s="38" t="s">
        <v>751</v>
      </c>
      <c r="C739" s="38" t="s">
        <v>686</v>
      </c>
      <c r="D739" s="38" t="s">
        <v>746</v>
      </c>
      <c r="E739" s="94">
        <f>E46*0.5</f>
        <v>3</v>
      </c>
      <c r="F739" s="94">
        <f>F46*0.5</f>
        <v>3.6150000000000002</v>
      </c>
      <c r="G739" s="94">
        <f>G46*0.5</f>
        <v>4.5</v>
      </c>
      <c r="H739" s="94">
        <f>H46*0.5</f>
        <v>2</v>
      </c>
      <c r="I739" s="94">
        <f>I46*0.5</f>
        <v>6</v>
      </c>
    </row>
    <row r="740" spans="1:9" hidden="1" x14ac:dyDescent="0.35">
      <c r="A740" s="38" t="s">
        <v>762</v>
      </c>
      <c r="B740" s="38" t="s">
        <v>751</v>
      </c>
      <c r="C740" s="38" t="s">
        <v>691</v>
      </c>
      <c r="D740" s="38" t="s">
        <v>746</v>
      </c>
      <c r="E740" s="94">
        <v>11.33</v>
      </c>
      <c r="F740" s="94">
        <v>11.3</v>
      </c>
      <c r="G740" s="94">
        <v>20</v>
      </c>
      <c r="H740" s="94">
        <v>15.15</v>
      </c>
      <c r="I740" s="94">
        <v>13</v>
      </c>
    </row>
    <row r="741" spans="1:9" hidden="1" x14ac:dyDescent="0.35">
      <c r="A741" s="38" t="s">
        <v>762</v>
      </c>
      <c r="B741" s="38" t="s">
        <v>751</v>
      </c>
      <c r="C741" s="38" t="s">
        <v>696</v>
      </c>
      <c r="D741" s="94" t="s">
        <v>697</v>
      </c>
      <c r="E741" s="94">
        <v>6.6</v>
      </c>
      <c r="F741" s="94">
        <v>22.46</v>
      </c>
      <c r="G741" s="94">
        <v>9</v>
      </c>
      <c r="H741" s="94">
        <v>10</v>
      </c>
      <c r="I741" s="94">
        <v>4</v>
      </c>
    </row>
    <row r="742" spans="1:9" hidden="1" x14ac:dyDescent="0.35">
      <c r="A742" s="38" t="s">
        <v>762</v>
      </c>
      <c r="B742" s="38" t="s">
        <v>751</v>
      </c>
      <c r="C742" s="38" t="s">
        <v>698</v>
      </c>
      <c r="D742" s="38" t="s">
        <v>747</v>
      </c>
      <c r="E742" s="94">
        <v>10</v>
      </c>
      <c r="F742" s="94">
        <v>0.2</v>
      </c>
      <c r="G742" s="94">
        <v>5</v>
      </c>
      <c r="H742" s="94">
        <v>5</v>
      </c>
      <c r="I742" s="94">
        <v>8</v>
      </c>
    </row>
    <row r="743" spans="1:9" hidden="1" x14ac:dyDescent="0.35">
      <c r="A743" s="38" t="s">
        <v>762</v>
      </c>
      <c r="B743" s="38" t="s">
        <v>751</v>
      </c>
      <c r="C743" s="38" t="s">
        <v>698</v>
      </c>
      <c r="D743" s="38" t="s">
        <v>700</v>
      </c>
      <c r="E743" s="94">
        <v>15</v>
      </c>
      <c r="F743" s="94">
        <v>0.2</v>
      </c>
      <c r="G743" s="94">
        <v>5</v>
      </c>
      <c r="H743" s="94">
        <v>5</v>
      </c>
      <c r="I743" s="94">
        <v>8</v>
      </c>
    </row>
    <row r="744" spans="1:9" hidden="1" x14ac:dyDescent="0.35">
      <c r="A744" s="38" t="s">
        <v>762</v>
      </c>
      <c r="B744" s="38" t="s">
        <v>751</v>
      </c>
      <c r="C744" s="38" t="s">
        <v>698</v>
      </c>
      <c r="D744" s="38" t="s">
        <v>521</v>
      </c>
      <c r="E744" s="94">
        <v>8</v>
      </c>
      <c r="F744" s="94">
        <v>0.23</v>
      </c>
      <c r="G744" s="94">
        <v>5</v>
      </c>
      <c r="H744" s="94">
        <v>5</v>
      </c>
      <c r="I744" s="94">
        <v>8</v>
      </c>
    </row>
    <row r="745" spans="1:9" hidden="1" x14ac:dyDescent="0.35">
      <c r="A745" s="38" t="s">
        <v>762</v>
      </c>
      <c r="B745" s="38" t="s">
        <v>751</v>
      </c>
      <c r="C745" s="38" t="s">
        <v>698</v>
      </c>
      <c r="D745" s="38" t="s">
        <v>252</v>
      </c>
      <c r="E745" s="94">
        <v>8</v>
      </c>
      <c r="F745" s="94">
        <v>0.9</v>
      </c>
      <c r="G745" s="94">
        <v>5</v>
      </c>
      <c r="H745" s="94">
        <v>5</v>
      </c>
      <c r="I745" s="94">
        <v>8</v>
      </c>
    </row>
    <row r="746" spans="1:9" hidden="1" x14ac:dyDescent="0.35">
      <c r="A746" s="38" t="s">
        <v>762</v>
      </c>
      <c r="B746" s="38" t="s">
        <v>751</v>
      </c>
      <c r="C746" s="38" t="s">
        <v>701</v>
      </c>
      <c r="D746" s="38" t="s">
        <v>702</v>
      </c>
      <c r="E746" s="94">
        <v>6</v>
      </c>
      <c r="F746" s="94">
        <v>4.8899999999999997</v>
      </c>
      <c r="G746" s="94">
        <v>4.5</v>
      </c>
      <c r="H746" s="94">
        <v>4</v>
      </c>
      <c r="I746" s="94">
        <v>12</v>
      </c>
    </row>
    <row r="747" spans="1:9" hidden="1" x14ac:dyDescent="0.35">
      <c r="A747" s="38" t="s">
        <v>762</v>
      </c>
      <c r="B747" s="38" t="s">
        <v>751</v>
      </c>
      <c r="C747" s="38" t="s">
        <v>701</v>
      </c>
      <c r="D747" s="38" t="s">
        <v>703</v>
      </c>
      <c r="E747" s="94">
        <v>3.5</v>
      </c>
      <c r="F747" s="94">
        <v>3.32</v>
      </c>
      <c r="G747" s="94">
        <v>2</v>
      </c>
      <c r="H747" s="94">
        <v>8</v>
      </c>
      <c r="I747" s="94">
        <v>2</v>
      </c>
    </row>
    <row r="748" spans="1:9" hidden="1" x14ac:dyDescent="0.35">
      <c r="A748" s="38" t="s">
        <v>762</v>
      </c>
      <c r="B748" s="38" t="s">
        <v>751</v>
      </c>
      <c r="C748" s="38" t="s">
        <v>704</v>
      </c>
      <c r="D748" s="38" t="s">
        <v>746</v>
      </c>
      <c r="E748" s="94">
        <v>15</v>
      </c>
      <c r="F748" s="94">
        <v>2.8</v>
      </c>
      <c r="G748" s="94">
        <v>8</v>
      </c>
      <c r="H748" s="94">
        <v>2</v>
      </c>
      <c r="I748" s="94">
        <v>2</v>
      </c>
    </row>
    <row r="749" spans="1:9" hidden="1" x14ac:dyDescent="0.35">
      <c r="A749" s="38" t="s">
        <v>762</v>
      </c>
      <c r="B749" s="38" t="s">
        <v>751</v>
      </c>
      <c r="C749" s="38" t="s">
        <v>707</v>
      </c>
      <c r="D749" s="38" t="s">
        <v>708</v>
      </c>
      <c r="E749" s="94">
        <v>11.9</v>
      </c>
      <c r="F749" s="94">
        <v>9.26</v>
      </c>
      <c r="G749" s="94">
        <v>12</v>
      </c>
      <c r="H749" s="94">
        <v>5.7</v>
      </c>
      <c r="I749" s="94">
        <v>6</v>
      </c>
    </row>
    <row r="750" spans="1:9" hidden="1" x14ac:dyDescent="0.35">
      <c r="A750" s="38" t="s">
        <v>762</v>
      </c>
      <c r="B750" s="38" t="s">
        <v>752</v>
      </c>
      <c r="C750" s="38" t="s">
        <v>686</v>
      </c>
      <c r="D750" s="38" t="s">
        <v>746</v>
      </c>
      <c r="E750" s="94">
        <f>E57*0.5</f>
        <v>3.605</v>
      </c>
      <c r="F750" s="94">
        <f>F57*0.5</f>
        <v>4.375</v>
      </c>
      <c r="G750" s="94">
        <f>G57*0.5</f>
        <v>7.625</v>
      </c>
      <c r="H750" s="94">
        <f>H57*0.5</f>
        <v>1</v>
      </c>
      <c r="I750" s="94">
        <f>I57*0.5</f>
        <v>0.5</v>
      </c>
    </row>
    <row r="751" spans="1:9" hidden="1" x14ac:dyDescent="0.35">
      <c r="A751" s="38" t="s">
        <v>762</v>
      </c>
      <c r="B751" s="38" t="s">
        <v>752</v>
      </c>
      <c r="C751" s="38" t="s">
        <v>691</v>
      </c>
      <c r="D751" s="38" t="s">
        <v>746</v>
      </c>
      <c r="E751" s="94">
        <v>13.47</v>
      </c>
      <c r="F751" s="94">
        <v>17.71</v>
      </c>
      <c r="G751" s="94">
        <v>25</v>
      </c>
      <c r="H751" s="94">
        <v>34.130000000000003</v>
      </c>
      <c r="I751" s="94">
        <v>5</v>
      </c>
    </row>
    <row r="752" spans="1:9" hidden="1" x14ac:dyDescent="0.35">
      <c r="A752" s="38" t="s">
        <v>762</v>
      </c>
      <c r="B752" s="38" t="s">
        <v>752</v>
      </c>
      <c r="C752" s="38" t="s">
        <v>696</v>
      </c>
      <c r="D752" s="94" t="s">
        <v>697</v>
      </c>
      <c r="E752" s="94">
        <v>5.7</v>
      </c>
      <c r="F752" s="94">
        <v>21.94</v>
      </c>
      <c r="G752" s="94">
        <v>9</v>
      </c>
      <c r="H752" s="94">
        <v>15</v>
      </c>
      <c r="I752" s="94">
        <v>2</v>
      </c>
    </row>
    <row r="753" spans="1:9" hidden="1" x14ac:dyDescent="0.35">
      <c r="A753" s="38" t="s">
        <v>762</v>
      </c>
      <c r="B753" s="38" t="s">
        <v>752</v>
      </c>
      <c r="C753" s="38" t="s">
        <v>698</v>
      </c>
      <c r="D753" s="38" t="s">
        <v>747</v>
      </c>
      <c r="E753" s="94">
        <v>10</v>
      </c>
      <c r="F753" s="94">
        <v>0.93</v>
      </c>
      <c r="G753" s="94">
        <v>5</v>
      </c>
      <c r="H753" s="94">
        <v>7</v>
      </c>
      <c r="I753" s="94">
        <v>2</v>
      </c>
    </row>
    <row r="754" spans="1:9" hidden="1" x14ac:dyDescent="0.35">
      <c r="A754" s="38" t="s">
        <v>762</v>
      </c>
      <c r="B754" s="38" t="s">
        <v>752</v>
      </c>
      <c r="C754" s="38" t="s">
        <v>698</v>
      </c>
      <c r="D754" s="38" t="s">
        <v>700</v>
      </c>
      <c r="E754" s="94">
        <v>33</v>
      </c>
      <c r="F754" s="94">
        <v>0.2</v>
      </c>
      <c r="G754" s="94">
        <v>5</v>
      </c>
      <c r="H754" s="94">
        <v>7</v>
      </c>
      <c r="I754" s="94">
        <v>2</v>
      </c>
    </row>
    <row r="755" spans="1:9" hidden="1" x14ac:dyDescent="0.35">
      <c r="A755" s="38" t="s">
        <v>762</v>
      </c>
      <c r="B755" s="38" t="s">
        <v>752</v>
      </c>
      <c r="C755" s="38" t="s">
        <v>698</v>
      </c>
      <c r="D755" s="38" t="s">
        <v>521</v>
      </c>
      <c r="E755" s="94">
        <v>10</v>
      </c>
      <c r="F755" s="94">
        <v>0.23</v>
      </c>
      <c r="G755" s="94">
        <v>5</v>
      </c>
      <c r="H755" s="94">
        <v>7</v>
      </c>
      <c r="I755" s="94">
        <v>2</v>
      </c>
    </row>
    <row r="756" spans="1:9" hidden="1" x14ac:dyDescent="0.35">
      <c r="A756" s="38" t="s">
        <v>762</v>
      </c>
      <c r="B756" s="38" t="s">
        <v>752</v>
      </c>
      <c r="C756" s="38" t="s">
        <v>698</v>
      </c>
      <c r="D756" s="38" t="s">
        <v>252</v>
      </c>
      <c r="E756" s="94">
        <v>25</v>
      </c>
      <c r="F756" s="94">
        <v>0.9</v>
      </c>
      <c r="G756" s="94">
        <v>5</v>
      </c>
      <c r="H756" s="94">
        <v>7</v>
      </c>
      <c r="I756" s="94">
        <v>2</v>
      </c>
    </row>
    <row r="757" spans="1:9" hidden="1" x14ac:dyDescent="0.35">
      <c r="A757" s="38" t="s">
        <v>762</v>
      </c>
      <c r="B757" s="38" t="s">
        <v>752</v>
      </c>
      <c r="C757" s="38" t="s">
        <v>701</v>
      </c>
      <c r="D757" s="38" t="s">
        <v>702</v>
      </c>
      <c r="E757" s="94">
        <v>8</v>
      </c>
      <c r="F757" s="94">
        <v>8.01</v>
      </c>
      <c r="G757" s="94">
        <v>0.1</v>
      </c>
      <c r="H757" s="94">
        <v>3</v>
      </c>
      <c r="I757" s="94">
        <v>1</v>
      </c>
    </row>
    <row r="758" spans="1:9" hidden="1" x14ac:dyDescent="0.35">
      <c r="A758" s="38" t="s">
        <v>762</v>
      </c>
      <c r="B758" s="38" t="s">
        <v>752</v>
      </c>
      <c r="C758" s="38" t="s">
        <v>701</v>
      </c>
      <c r="D758" s="38" t="s">
        <v>703</v>
      </c>
      <c r="E758" s="94">
        <v>6</v>
      </c>
      <c r="F758" s="94">
        <v>8.1999999999999993</v>
      </c>
      <c r="G758" s="94">
        <v>2</v>
      </c>
      <c r="H758" s="94">
        <v>10</v>
      </c>
      <c r="I758" s="94">
        <v>0.1</v>
      </c>
    </row>
    <row r="759" spans="1:9" hidden="1" x14ac:dyDescent="0.35">
      <c r="A759" s="38" t="s">
        <v>762</v>
      </c>
      <c r="B759" s="38" t="s">
        <v>752</v>
      </c>
      <c r="C759" s="38" t="s">
        <v>704</v>
      </c>
      <c r="D759" s="38" t="s">
        <v>746</v>
      </c>
      <c r="E759" s="94">
        <v>12</v>
      </c>
      <c r="F759" s="94">
        <v>8.18</v>
      </c>
      <c r="G759" s="94">
        <v>8</v>
      </c>
      <c r="H759" s="94">
        <v>2</v>
      </c>
      <c r="I759" s="94">
        <v>1</v>
      </c>
    </row>
    <row r="760" spans="1:9" hidden="1" x14ac:dyDescent="0.35">
      <c r="A760" s="38" t="s">
        <v>762</v>
      </c>
      <c r="B760" s="38" t="s">
        <v>752</v>
      </c>
      <c r="C760" s="38" t="s">
        <v>707</v>
      </c>
      <c r="D760" s="38" t="s">
        <v>708</v>
      </c>
      <c r="E760" s="94">
        <v>14</v>
      </c>
      <c r="F760" s="94">
        <v>16.940000000000001</v>
      </c>
      <c r="G760" s="94">
        <v>15</v>
      </c>
      <c r="H760" s="94">
        <v>5</v>
      </c>
      <c r="I760" s="94">
        <v>2</v>
      </c>
    </row>
    <row r="761" spans="1:9" hidden="1" x14ac:dyDescent="0.35">
      <c r="A761" s="38" t="s">
        <v>762</v>
      </c>
      <c r="B761" s="38" t="s">
        <v>753</v>
      </c>
      <c r="C761" s="38" t="s">
        <v>686</v>
      </c>
      <c r="D761" s="38" t="s">
        <v>746</v>
      </c>
      <c r="E761" s="94">
        <f>E68*0.5</f>
        <v>3</v>
      </c>
      <c r="F761" s="94">
        <f>F68*0.5</f>
        <v>3.2949999999999999</v>
      </c>
      <c r="G761" s="94">
        <f>G68*0.5</f>
        <v>3.5</v>
      </c>
      <c r="H761" s="94">
        <f>H68*0.5</f>
        <v>1.49</v>
      </c>
      <c r="I761" s="94">
        <f>I68*0.5</f>
        <v>1.5</v>
      </c>
    </row>
    <row r="762" spans="1:9" hidden="1" x14ac:dyDescent="0.35">
      <c r="A762" s="38" t="s">
        <v>762</v>
      </c>
      <c r="B762" s="38" t="s">
        <v>753</v>
      </c>
      <c r="C762" s="38" t="s">
        <v>691</v>
      </c>
      <c r="D762" s="38" t="s">
        <v>746</v>
      </c>
      <c r="E762" s="94">
        <v>8.7100000000000009</v>
      </c>
      <c r="F762" s="94">
        <v>9.8699999999999992</v>
      </c>
      <c r="G762" s="94">
        <v>25</v>
      </c>
      <c r="H762" s="94">
        <v>12.96</v>
      </c>
      <c r="I762" s="94">
        <v>18.16</v>
      </c>
    </row>
    <row r="763" spans="1:9" hidden="1" x14ac:dyDescent="0.35">
      <c r="A763" s="38" t="s">
        <v>762</v>
      </c>
      <c r="B763" s="38" t="s">
        <v>753</v>
      </c>
      <c r="C763" s="38" t="s">
        <v>696</v>
      </c>
      <c r="D763" s="94" t="s">
        <v>697</v>
      </c>
      <c r="E763" s="94">
        <v>8.1999999999999993</v>
      </c>
      <c r="F763" s="94">
        <v>25.47</v>
      </c>
      <c r="G763" s="94">
        <v>9</v>
      </c>
      <c r="H763" s="94">
        <v>12.33</v>
      </c>
      <c r="I763" s="94">
        <v>2</v>
      </c>
    </row>
    <row r="764" spans="1:9" hidden="1" x14ac:dyDescent="0.35">
      <c r="A764" s="38" t="s">
        <v>762</v>
      </c>
      <c r="B764" s="38" t="s">
        <v>753</v>
      </c>
      <c r="C764" s="38" t="s">
        <v>698</v>
      </c>
      <c r="D764" s="38" t="s">
        <v>747</v>
      </c>
      <c r="E764" s="94">
        <v>10</v>
      </c>
      <c r="F764" s="94">
        <v>0.21</v>
      </c>
      <c r="G764" s="94">
        <v>5</v>
      </c>
      <c r="H764" s="94">
        <v>7</v>
      </c>
      <c r="I764" s="94">
        <v>4</v>
      </c>
    </row>
    <row r="765" spans="1:9" hidden="1" x14ac:dyDescent="0.35">
      <c r="A765" s="38" t="s">
        <v>762</v>
      </c>
      <c r="B765" s="38" t="s">
        <v>753</v>
      </c>
      <c r="C765" s="38" t="s">
        <v>698</v>
      </c>
      <c r="D765" s="38" t="s">
        <v>700</v>
      </c>
      <c r="E765" s="94">
        <v>10</v>
      </c>
      <c r="F765" s="94">
        <v>0.2</v>
      </c>
      <c r="G765" s="94">
        <v>5</v>
      </c>
      <c r="H765" s="94">
        <v>7</v>
      </c>
      <c r="I765" s="94">
        <v>4</v>
      </c>
    </row>
    <row r="766" spans="1:9" hidden="1" x14ac:dyDescent="0.35">
      <c r="A766" s="38" t="s">
        <v>762</v>
      </c>
      <c r="B766" s="38" t="s">
        <v>753</v>
      </c>
      <c r="C766" s="38" t="s">
        <v>698</v>
      </c>
      <c r="D766" s="38" t="s">
        <v>521</v>
      </c>
      <c r="E766" s="94">
        <v>6</v>
      </c>
      <c r="F766" s="94">
        <v>0.47</v>
      </c>
      <c r="G766" s="94">
        <v>5</v>
      </c>
      <c r="H766" s="94">
        <v>7</v>
      </c>
      <c r="I766" s="94">
        <v>4</v>
      </c>
    </row>
    <row r="767" spans="1:9" hidden="1" x14ac:dyDescent="0.35">
      <c r="A767" s="38" t="s">
        <v>762</v>
      </c>
      <c r="B767" s="38" t="s">
        <v>753</v>
      </c>
      <c r="C767" s="38" t="s">
        <v>698</v>
      </c>
      <c r="D767" s="38" t="s">
        <v>252</v>
      </c>
      <c r="E767" s="94">
        <v>8</v>
      </c>
      <c r="F767" s="94">
        <v>0.97</v>
      </c>
      <c r="G767" s="94">
        <v>5</v>
      </c>
      <c r="H767" s="94">
        <v>7</v>
      </c>
      <c r="I767" s="94">
        <v>4</v>
      </c>
    </row>
    <row r="768" spans="1:9" hidden="1" x14ac:dyDescent="0.35">
      <c r="A768" s="38" t="s">
        <v>762</v>
      </c>
      <c r="B768" s="38" t="s">
        <v>753</v>
      </c>
      <c r="C768" s="38" t="s">
        <v>701</v>
      </c>
      <c r="D768" s="38" t="s">
        <v>702</v>
      </c>
      <c r="E768" s="94">
        <v>8</v>
      </c>
      <c r="F768" s="94">
        <v>7.23</v>
      </c>
      <c r="G768" s="94">
        <v>0.1</v>
      </c>
      <c r="H768" s="94">
        <v>3</v>
      </c>
      <c r="I768" s="94">
        <v>2</v>
      </c>
    </row>
    <row r="769" spans="1:9" hidden="1" x14ac:dyDescent="0.35">
      <c r="A769" s="38" t="s">
        <v>762</v>
      </c>
      <c r="B769" s="38" t="s">
        <v>753</v>
      </c>
      <c r="C769" s="38" t="s">
        <v>701</v>
      </c>
      <c r="D769" s="38" t="s">
        <v>703</v>
      </c>
      <c r="E769" s="94">
        <v>3.5</v>
      </c>
      <c r="F769" s="94">
        <v>4.68</v>
      </c>
      <c r="G769" s="94">
        <v>2</v>
      </c>
      <c r="H769" s="94">
        <v>10</v>
      </c>
      <c r="I769" s="94">
        <v>1</v>
      </c>
    </row>
    <row r="770" spans="1:9" hidden="1" x14ac:dyDescent="0.35">
      <c r="A770" s="38" t="s">
        <v>762</v>
      </c>
      <c r="B770" s="38" t="s">
        <v>753</v>
      </c>
      <c r="C770" s="38" t="s">
        <v>704</v>
      </c>
      <c r="D770" s="38" t="s">
        <v>746</v>
      </c>
      <c r="E770" s="94">
        <v>7</v>
      </c>
      <c r="F770" s="94">
        <v>3.4</v>
      </c>
      <c r="G770" s="94">
        <v>8</v>
      </c>
      <c r="H770" s="94">
        <v>2</v>
      </c>
      <c r="I770" s="94">
        <v>1</v>
      </c>
    </row>
    <row r="771" spans="1:9" hidden="1" x14ac:dyDescent="0.35">
      <c r="A771" s="38" t="s">
        <v>762</v>
      </c>
      <c r="B771" s="38" t="s">
        <v>753</v>
      </c>
      <c r="C771" s="38" t="s">
        <v>707</v>
      </c>
      <c r="D771" s="38" t="s">
        <v>708</v>
      </c>
      <c r="E771" s="94">
        <v>8.15</v>
      </c>
      <c r="F771" s="94">
        <v>12.11</v>
      </c>
      <c r="G771" s="94">
        <v>10</v>
      </c>
      <c r="H771" s="94">
        <v>10.78</v>
      </c>
      <c r="I771" s="94">
        <v>3.88</v>
      </c>
    </row>
    <row r="772" spans="1:9" hidden="1" x14ac:dyDescent="0.35">
      <c r="A772" s="38" t="s">
        <v>763</v>
      </c>
      <c r="B772" s="38" t="s">
        <v>745</v>
      </c>
      <c r="C772" s="38" t="s">
        <v>686</v>
      </c>
      <c r="D772" s="38" t="s">
        <v>746</v>
      </c>
      <c r="E772" s="94">
        <v>4.3</v>
      </c>
      <c r="F772" s="94">
        <v>3.8</v>
      </c>
      <c r="G772" s="94">
        <v>10.5</v>
      </c>
      <c r="H772" s="94">
        <v>3</v>
      </c>
      <c r="I772" s="94">
        <v>27</v>
      </c>
    </row>
    <row r="773" spans="1:9" hidden="1" x14ac:dyDescent="0.35">
      <c r="A773" s="38" t="s">
        <v>763</v>
      </c>
      <c r="B773" s="38" t="s">
        <v>745</v>
      </c>
      <c r="C773" s="38" t="s">
        <v>691</v>
      </c>
      <c r="D773" s="38" t="s">
        <v>746</v>
      </c>
      <c r="E773" s="94">
        <f>E3*0.5</f>
        <v>10</v>
      </c>
      <c r="F773" s="94">
        <f>F3*0.5</f>
        <v>3.65</v>
      </c>
      <c r="G773" s="94">
        <f>G3*0.5</f>
        <v>1</v>
      </c>
      <c r="H773" s="94">
        <f>H3*0.5</f>
        <v>2.4500000000000002</v>
      </c>
      <c r="I773" s="94">
        <f>I3*0.5</f>
        <v>9.5</v>
      </c>
    </row>
    <row r="774" spans="1:9" hidden="1" x14ac:dyDescent="0.35">
      <c r="A774" s="38" t="s">
        <v>763</v>
      </c>
      <c r="B774" s="38" t="s">
        <v>745</v>
      </c>
      <c r="C774" s="38" t="s">
        <v>696</v>
      </c>
      <c r="D774" s="94" t="s">
        <v>697</v>
      </c>
      <c r="E774" s="94">
        <v>9.4</v>
      </c>
      <c r="F774" s="94">
        <v>7.9</v>
      </c>
      <c r="G774" s="94">
        <v>6</v>
      </c>
      <c r="H774" s="94">
        <v>9</v>
      </c>
      <c r="I774" s="94">
        <v>11</v>
      </c>
    </row>
    <row r="775" spans="1:9" hidden="1" x14ac:dyDescent="0.35">
      <c r="A775" s="38" t="s">
        <v>763</v>
      </c>
      <c r="B775" s="38" t="s">
        <v>745</v>
      </c>
      <c r="C775" s="38" t="s">
        <v>698</v>
      </c>
      <c r="D775" s="38" t="s">
        <v>747</v>
      </c>
      <c r="E775" s="94">
        <v>2.2999999999999998</v>
      </c>
      <c r="F775" s="94">
        <v>0.6</v>
      </c>
      <c r="G775" s="94">
        <v>5</v>
      </c>
      <c r="H775" s="94">
        <v>4</v>
      </c>
      <c r="I775" s="94">
        <v>11</v>
      </c>
    </row>
    <row r="776" spans="1:9" hidden="1" x14ac:dyDescent="0.35">
      <c r="A776" s="38" t="s">
        <v>763</v>
      </c>
      <c r="B776" s="38" t="s">
        <v>745</v>
      </c>
      <c r="C776" s="38" t="s">
        <v>698</v>
      </c>
      <c r="D776" s="38" t="s">
        <v>700</v>
      </c>
      <c r="E776" s="94">
        <v>10</v>
      </c>
      <c r="F776" s="94">
        <v>0.6</v>
      </c>
      <c r="G776" s="94">
        <v>5</v>
      </c>
      <c r="H776" s="94">
        <v>4</v>
      </c>
      <c r="I776" s="94">
        <v>11</v>
      </c>
    </row>
    <row r="777" spans="1:9" hidden="1" x14ac:dyDescent="0.35">
      <c r="A777" s="38" t="s">
        <v>763</v>
      </c>
      <c r="B777" s="38" t="s">
        <v>745</v>
      </c>
      <c r="C777" s="38" t="s">
        <v>698</v>
      </c>
      <c r="D777" s="38" t="s">
        <v>521</v>
      </c>
      <c r="E777" s="94">
        <v>2.5</v>
      </c>
      <c r="F777" s="94">
        <v>0.3</v>
      </c>
      <c r="G777" s="94">
        <v>5</v>
      </c>
      <c r="H777" s="94">
        <v>4</v>
      </c>
      <c r="I777" s="94">
        <v>11</v>
      </c>
    </row>
    <row r="778" spans="1:9" hidden="1" x14ac:dyDescent="0.35">
      <c r="A778" s="38" t="s">
        <v>763</v>
      </c>
      <c r="B778" s="38" t="s">
        <v>745</v>
      </c>
      <c r="C778" s="38" t="s">
        <v>698</v>
      </c>
      <c r="D778" s="38" t="s">
        <v>252</v>
      </c>
      <c r="E778" s="94">
        <v>7</v>
      </c>
      <c r="F778" s="94">
        <v>0.9</v>
      </c>
      <c r="G778" s="94">
        <v>5</v>
      </c>
      <c r="H778" s="94">
        <v>4</v>
      </c>
      <c r="I778" s="94">
        <v>11</v>
      </c>
    </row>
    <row r="779" spans="1:9" hidden="1" x14ac:dyDescent="0.35">
      <c r="A779" s="38" t="s">
        <v>763</v>
      </c>
      <c r="B779" s="38" t="s">
        <v>745</v>
      </c>
      <c r="C779" s="38" t="s">
        <v>701</v>
      </c>
      <c r="D779" s="38" t="s">
        <v>702</v>
      </c>
      <c r="E779" s="94">
        <v>4</v>
      </c>
      <c r="F779" s="94">
        <v>1.9</v>
      </c>
      <c r="G779" s="94">
        <v>0.5</v>
      </c>
      <c r="H779" s="94">
        <v>2</v>
      </c>
      <c r="I779" s="94">
        <v>8</v>
      </c>
    </row>
    <row r="780" spans="1:9" hidden="1" x14ac:dyDescent="0.35">
      <c r="A780" s="38" t="s">
        <v>763</v>
      </c>
      <c r="B780" s="38" t="s">
        <v>745</v>
      </c>
      <c r="C780" s="38" t="s">
        <v>701</v>
      </c>
      <c r="D780" s="38" t="s">
        <v>703</v>
      </c>
      <c r="E780" s="94">
        <v>3.5</v>
      </c>
      <c r="F780" s="94">
        <v>1.7</v>
      </c>
      <c r="G780" s="94">
        <v>1.2</v>
      </c>
      <c r="H780" s="94">
        <v>0.82</v>
      </c>
      <c r="I780" s="94">
        <v>7</v>
      </c>
    </row>
    <row r="781" spans="1:9" hidden="1" x14ac:dyDescent="0.35">
      <c r="A781" s="38" t="s">
        <v>763</v>
      </c>
      <c r="B781" s="38" t="s">
        <v>745</v>
      </c>
      <c r="C781" s="38" t="s">
        <v>704</v>
      </c>
      <c r="D781" s="38" t="s">
        <v>746</v>
      </c>
      <c r="E781" s="94">
        <v>5.3</v>
      </c>
      <c r="F781" s="94">
        <v>1.2</v>
      </c>
      <c r="G781" s="94">
        <v>5</v>
      </c>
      <c r="H781" s="94">
        <v>1</v>
      </c>
      <c r="I781" s="94">
        <v>4</v>
      </c>
    </row>
    <row r="782" spans="1:9" hidden="1" x14ac:dyDescent="0.35">
      <c r="A782" s="38" t="s">
        <v>763</v>
      </c>
      <c r="B782" s="38" t="s">
        <v>745</v>
      </c>
      <c r="C782" s="38" t="s">
        <v>707</v>
      </c>
      <c r="D782" s="38" t="s">
        <v>708</v>
      </c>
      <c r="E782" s="94">
        <v>20</v>
      </c>
      <c r="F782" s="94">
        <v>7.6</v>
      </c>
      <c r="G782" s="94">
        <v>13.8</v>
      </c>
      <c r="H782" s="94">
        <v>7</v>
      </c>
      <c r="I782" s="94">
        <v>17</v>
      </c>
    </row>
    <row r="783" spans="1:9" hidden="1" x14ac:dyDescent="0.35">
      <c r="A783" s="38" t="s">
        <v>763</v>
      </c>
      <c r="B783" s="38" t="s">
        <v>748</v>
      </c>
      <c r="C783" s="38" t="s">
        <v>686</v>
      </c>
      <c r="D783" s="38" t="s">
        <v>746</v>
      </c>
      <c r="E783" s="94">
        <v>3.92</v>
      </c>
      <c r="F783" s="94">
        <v>4.24</v>
      </c>
      <c r="G783" s="94">
        <v>11.8</v>
      </c>
      <c r="H783" s="94">
        <v>2</v>
      </c>
      <c r="I783" s="94">
        <v>13.65</v>
      </c>
    </row>
    <row r="784" spans="1:9" hidden="1" x14ac:dyDescent="0.35">
      <c r="A784" s="38" t="s">
        <v>763</v>
      </c>
      <c r="B784" s="38" t="s">
        <v>748</v>
      </c>
      <c r="C784" s="38" t="s">
        <v>691</v>
      </c>
      <c r="D784" s="38" t="s">
        <v>746</v>
      </c>
      <c r="E784" s="94">
        <f>E14*0.5</f>
        <v>5</v>
      </c>
      <c r="F784" s="94">
        <f>F14*0.5</f>
        <v>4.1849999999999996</v>
      </c>
      <c r="G784" s="94">
        <f>G14*0.5</f>
        <v>1</v>
      </c>
      <c r="H784" s="94">
        <f>H14*0.5</f>
        <v>4</v>
      </c>
      <c r="I784" s="94">
        <f>I14*0.5</f>
        <v>5.1749999999999998</v>
      </c>
    </row>
    <row r="785" spans="1:9" hidden="1" x14ac:dyDescent="0.35">
      <c r="A785" s="38" t="s">
        <v>763</v>
      </c>
      <c r="B785" s="38" t="s">
        <v>748</v>
      </c>
      <c r="C785" s="38" t="s">
        <v>696</v>
      </c>
      <c r="D785" s="94" t="s">
        <v>697</v>
      </c>
      <c r="E785" s="94">
        <v>15</v>
      </c>
      <c r="F785" s="94">
        <v>16.5</v>
      </c>
      <c r="G785" s="94">
        <v>6</v>
      </c>
      <c r="H785" s="94">
        <v>11</v>
      </c>
      <c r="I785" s="94">
        <v>7.3</v>
      </c>
    </row>
    <row r="786" spans="1:9" hidden="1" x14ac:dyDescent="0.35">
      <c r="A786" s="38" t="s">
        <v>763</v>
      </c>
      <c r="B786" s="38" t="s">
        <v>748</v>
      </c>
      <c r="C786" s="38" t="s">
        <v>698</v>
      </c>
      <c r="D786" s="38" t="s">
        <v>747</v>
      </c>
      <c r="E786" s="94">
        <v>2.2999999999999998</v>
      </c>
      <c r="F786" s="94">
        <v>0.55000000000000004</v>
      </c>
      <c r="G786" s="94">
        <v>5</v>
      </c>
      <c r="H786" s="94">
        <v>6</v>
      </c>
      <c r="I786" s="94">
        <v>6.8</v>
      </c>
    </row>
    <row r="787" spans="1:9" hidden="1" x14ac:dyDescent="0.35">
      <c r="A787" s="38" t="s">
        <v>763</v>
      </c>
      <c r="B787" s="38" t="s">
        <v>748</v>
      </c>
      <c r="C787" s="38" t="s">
        <v>698</v>
      </c>
      <c r="D787" s="38" t="s">
        <v>700</v>
      </c>
      <c r="E787" s="94">
        <v>10</v>
      </c>
      <c r="F787" s="94">
        <v>0.81</v>
      </c>
      <c r="G787" s="94">
        <v>5</v>
      </c>
      <c r="H787" s="94">
        <v>6</v>
      </c>
      <c r="I787" s="94">
        <v>6.8</v>
      </c>
    </row>
    <row r="788" spans="1:9" hidden="1" x14ac:dyDescent="0.35">
      <c r="A788" s="38" t="s">
        <v>763</v>
      </c>
      <c r="B788" s="38" t="s">
        <v>748</v>
      </c>
      <c r="C788" s="38" t="s">
        <v>698</v>
      </c>
      <c r="D788" s="38" t="s">
        <v>521</v>
      </c>
      <c r="E788" s="94">
        <v>2.5</v>
      </c>
      <c r="F788" s="94">
        <v>0.18</v>
      </c>
      <c r="G788" s="94">
        <v>5</v>
      </c>
      <c r="H788" s="94">
        <v>6</v>
      </c>
      <c r="I788" s="94">
        <v>6.8</v>
      </c>
    </row>
    <row r="789" spans="1:9" hidden="1" x14ac:dyDescent="0.35">
      <c r="A789" s="38" t="s">
        <v>763</v>
      </c>
      <c r="B789" s="38" t="s">
        <v>748</v>
      </c>
      <c r="C789" s="38" t="s">
        <v>698</v>
      </c>
      <c r="D789" s="38" t="s">
        <v>252</v>
      </c>
      <c r="E789" s="94">
        <v>7</v>
      </c>
      <c r="F789" s="94">
        <v>1.03</v>
      </c>
      <c r="G789" s="94">
        <v>5</v>
      </c>
      <c r="H789" s="94">
        <v>6</v>
      </c>
      <c r="I789" s="94">
        <v>6.8</v>
      </c>
    </row>
    <row r="790" spans="1:9" hidden="1" x14ac:dyDescent="0.35">
      <c r="A790" s="38" t="s">
        <v>763</v>
      </c>
      <c r="B790" s="38" t="s">
        <v>748</v>
      </c>
      <c r="C790" s="38" t="s">
        <v>701</v>
      </c>
      <c r="D790" s="38" t="s">
        <v>702</v>
      </c>
      <c r="E790" s="94">
        <v>6</v>
      </c>
      <c r="F790" s="94">
        <v>2.38</v>
      </c>
      <c r="G790" s="94">
        <v>0.5</v>
      </c>
      <c r="H790" s="94">
        <v>4</v>
      </c>
      <c r="I790" s="94">
        <v>3.65</v>
      </c>
    </row>
    <row r="791" spans="1:9" hidden="1" x14ac:dyDescent="0.35">
      <c r="A791" s="38" t="s">
        <v>763</v>
      </c>
      <c r="B791" s="38" t="s">
        <v>748</v>
      </c>
      <c r="C791" s="38" t="s">
        <v>701</v>
      </c>
      <c r="D791" s="38" t="s">
        <v>703</v>
      </c>
      <c r="E791" s="94">
        <v>3.5</v>
      </c>
      <c r="F791" s="94">
        <v>2.2400000000000002</v>
      </c>
      <c r="G791" s="94">
        <v>1.2</v>
      </c>
      <c r="H791" s="94">
        <v>0.5</v>
      </c>
      <c r="I791" s="94">
        <v>2.6</v>
      </c>
    </row>
    <row r="792" spans="1:9" hidden="1" x14ac:dyDescent="0.35">
      <c r="A792" s="38" t="s">
        <v>763</v>
      </c>
      <c r="B792" s="38" t="s">
        <v>748</v>
      </c>
      <c r="C792" s="38" t="s">
        <v>704</v>
      </c>
      <c r="D792" s="38" t="s">
        <v>746</v>
      </c>
      <c r="E792" s="94">
        <v>6</v>
      </c>
      <c r="F792" s="94">
        <v>2.72</v>
      </c>
      <c r="G792" s="94">
        <v>5</v>
      </c>
      <c r="H792" s="94">
        <v>1</v>
      </c>
      <c r="I792" s="94">
        <v>16.55</v>
      </c>
    </row>
    <row r="793" spans="1:9" hidden="1" x14ac:dyDescent="0.35">
      <c r="A793" s="38" t="s">
        <v>763</v>
      </c>
      <c r="B793" s="38" t="s">
        <v>748</v>
      </c>
      <c r="C793" s="38" t="s">
        <v>707</v>
      </c>
      <c r="D793" s="38" t="s">
        <v>708</v>
      </c>
      <c r="E793" s="94">
        <v>20</v>
      </c>
      <c r="F793" s="94">
        <v>4.8499999999999996</v>
      </c>
      <c r="G793" s="94">
        <v>15</v>
      </c>
      <c r="H793" s="94">
        <v>9</v>
      </c>
      <c r="I793" s="94">
        <v>7.15</v>
      </c>
    </row>
    <row r="794" spans="1:9" hidden="1" x14ac:dyDescent="0.35">
      <c r="A794" s="38" t="s">
        <v>763</v>
      </c>
      <c r="B794" s="38" t="s">
        <v>749</v>
      </c>
      <c r="C794" s="38" t="s">
        <v>686</v>
      </c>
      <c r="D794" s="38" t="s">
        <v>746</v>
      </c>
      <c r="E794" s="94">
        <v>7.17</v>
      </c>
      <c r="F794" s="94">
        <v>3.25</v>
      </c>
      <c r="G794" s="94">
        <v>10.5</v>
      </c>
      <c r="H794" s="94">
        <v>9</v>
      </c>
      <c r="I794" s="94">
        <v>23.99</v>
      </c>
    </row>
    <row r="795" spans="1:9" hidden="1" x14ac:dyDescent="0.35">
      <c r="A795" s="38" t="s">
        <v>763</v>
      </c>
      <c r="B795" s="38" t="s">
        <v>749</v>
      </c>
      <c r="C795" s="38" t="s">
        <v>691</v>
      </c>
      <c r="D795" s="38" t="s">
        <v>746</v>
      </c>
      <c r="E795" s="94">
        <f>E25*0.5</f>
        <v>10</v>
      </c>
      <c r="F795" s="94">
        <f>F25*0.5</f>
        <v>7.65</v>
      </c>
      <c r="G795" s="94">
        <f>G25*0.5</f>
        <v>1</v>
      </c>
      <c r="H795" s="94">
        <f>H25*0.5</f>
        <v>4.6749999999999998</v>
      </c>
      <c r="I795" s="94">
        <f>I25*0.5</f>
        <v>12.715</v>
      </c>
    </row>
    <row r="796" spans="1:9" hidden="1" x14ac:dyDescent="0.35">
      <c r="A796" s="38" t="s">
        <v>763</v>
      </c>
      <c r="B796" s="38" t="s">
        <v>749</v>
      </c>
      <c r="C796" s="38" t="s">
        <v>696</v>
      </c>
      <c r="D796" s="94" t="s">
        <v>697</v>
      </c>
      <c r="E796" s="94">
        <v>12</v>
      </c>
      <c r="F796" s="94">
        <v>2.2200000000000002</v>
      </c>
      <c r="G796" s="94">
        <v>6</v>
      </c>
      <c r="H796" s="94">
        <v>6.83</v>
      </c>
      <c r="I796" s="94">
        <v>28.17</v>
      </c>
    </row>
    <row r="797" spans="1:9" hidden="1" x14ac:dyDescent="0.35">
      <c r="A797" s="38" t="s">
        <v>763</v>
      </c>
      <c r="B797" s="38" t="s">
        <v>749</v>
      </c>
      <c r="C797" s="38" t="s">
        <v>698</v>
      </c>
      <c r="D797" s="38" t="s">
        <v>747</v>
      </c>
      <c r="E797" s="94">
        <v>2.2999999999999998</v>
      </c>
      <c r="F797" s="94">
        <v>0.31</v>
      </c>
      <c r="G797" s="94">
        <v>5</v>
      </c>
      <c r="H797" s="94">
        <v>3.9</v>
      </c>
      <c r="I797" s="38">
        <v>21.19</v>
      </c>
    </row>
    <row r="798" spans="1:9" hidden="1" x14ac:dyDescent="0.35">
      <c r="A798" s="38" t="s">
        <v>763</v>
      </c>
      <c r="B798" s="38" t="s">
        <v>749</v>
      </c>
      <c r="C798" s="38" t="s">
        <v>698</v>
      </c>
      <c r="D798" s="38" t="s">
        <v>700</v>
      </c>
      <c r="E798" s="94">
        <v>10</v>
      </c>
      <c r="F798" s="94">
        <v>0.8</v>
      </c>
      <c r="G798" s="94">
        <v>5</v>
      </c>
      <c r="H798" s="94">
        <v>3.9</v>
      </c>
      <c r="I798" s="94">
        <v>21.19</v>
      </c>
    </row>
    <row r="799" spans="1:9" hidden="1" x14ac:dyDescent="0.35">
      <c r="A799" s="38" t="s">
        <v>763</v>
      </c>
      <c r="B799" s="38" t="s">
        <v>749</v>
      </c>
      <c r="C799" s="38" t="s">
        <v>698</v>
      </c>
      <c r="D799" s="38" t="s">
        <v>521</v>
      </c>
      <c r="E799" s="94">
        <v>2.5</v>
      </c>
      <c r="F799" s="94">
        <v>0.66</v>
      </c>
      <c r="G799" s="94">
        <v>5</v>
      </c>
      <c r="H799" s="94">
        <v>3.9</v>
      </c>
      <c r="I799" s="94">
        <v>21.19</v>
      </c>
    </row>
    <row r="800" spans="1:9" hidden="1" x14ac:dyDescent="0.35">
      <c r="A800" s="38" t="s">
        <v>763</v>
      </c>
      <c r="B800" s="38" t="s">
        <v>749</v>
      </c>
      <c r="C800" s="38" t="s">
        <v>698</v>
      </c>
      <c r="D800" s="38" t="s">
        <v>252</v>
      </c>
      <c r="E800" s="94">
        <v>7</v>
      </c>
      <c r="F800" s="94">
        <v>0.88</v>
      </c>
      <c r="G800" s="94">
        <v>5</v>
      </c>
      <c r="H800" s="94">
        <v>3.9</v>
      </c>
      <c r="I800" s="94">
        <v>21.19</v>
      </c>
    </row>
    <row r="801" spans="1:9" hidden="1" x14ac:dyDescent="0.35">
      <c r="A801" s="38" t="s">
        <v>763</v>
      </c>
      <c r="B801" s="38" t="s">
        <v>749</v>
      </c>
      <c r="C801" s="38" t="s">
        <v>701</v>
      </c>
      <c r="D801" s="38" t="s">
        <v>702</v>
      </c>
      <c r="E801" s="94">
        <v>4</v>
      </c>
      <c r="F801" s="94">
        <v>2.27</v>
      </c>
      <c r="G801" s="94">
        <v>0.5</v>
      </c>
      <c r="H801" s="94">
        <v>7</v>
      </c>
      <c r="I801" s="94">
        <v>20.399999999999999</v>
      </c>
    </row>
    <row r="802" spans="1:9" hidden="1" x14ac:dyDescent="0.35">
      <c r="A802" s="38" t="s">
        <v>763</v>
      </c>
      <c r="B802" s="38" t="s">
        <v>749</v>
      </c>
      <c r="C802" s="38" t="s">
        <v>701</v>
      </c>
      <c r="D802" s="38" t="s">
        <v>703</v>
      </c>
      <c r="E802" s="94">
        <v>3.5</v>
      </c>
      <c r="F802" s="94">
        <v>0.4</v>
      </c>
      <c r="G802" s="94">
        <v>1.2</v>
      </c>
      <c r="H802" s="94">
        <v>7.75</v>
      </c>
      <c r="I802" s="94">
        <v>21</v>
      </c>
    </row>
    <row r="803" spans="1:9" hidden="1" x14ac:dyDescent="0.35">
      <c r="A803" s="38" t="s">
        <v>763</v>
      </c>
      <c r="B803" s="38" t="s">
        <v>749</v>
      </c>
      <c r="C803" s="38" t="s">
        <v>704</v>
      </c>
      <c r="D803" s="38" t="s">
        <v>746</v>
      </c>
      <c r="E803" s="94">
        <v>12</v>
      </c>
      <c r="F803" s="94">
        <v>3.91</v>
      </c>
      <c r="G803" s="94">
        <v>5</v>
      </c>
      <c r="H803" s="94">
        <v>1</v>
      </c>
      <c r="I803" s="94">
        <v>4</v>
      </c>
    </row>
    <row r="804" spans="1:9" hidden="1" x14ac:dyDescent="0.35">
      <c r="A804" s="38" t="s">
        <v>763</v>
      </c>
      <c r="B804" s="38" t="s">
        <v>749</v>
      </c>
      <c r="C804" s="38" t="s">
        <v>707</v>
      </c>
      <c r="D804" s="38" t="s">
        <v>708</v>
      </c>
      <c r="E804" s="94">
        <v>20</v>
      </c>
      <c r="F804" s="94">
        <v>5.83</v>
      </c>
      <c r="G804" s="94">
        <v>15</v>
      </c>
      <c r="H804" s="94">
        <v>8</v>
      </c>
      <c r="I804" s="94">
        <v>15</v>
      </c>
    </row>
    <row r="805" spans="1:9" hidden="1" x14ac:dyDescent="0.35">
      <c r="A805" s="38" t="s">
        <v>763</v>
      </c>
      <c r="B805" s="38" t="s">
        <v>750</v>
      </c>
      <c r="C805" s="38" t="s">
        <v>686</v>
      </c>
      <c r="D805" s="38" t="s">
        <v>746</v>
      </c>
      <c r="E805" s="94">
        <v>6</v>
      </c>
      <c r="F805" s="94">
        <v>7.46</v>
      </c>
      <c r="G805" s="94">
        <v>9</v>
      </c>
      <c r="H805" s="94">
        <v>4</v>
      </c>
      <c r="I805" s="94">
        <v>10</v>
      </c>
    </row>
    <row r="806" spans="1:9" hidden="1" x14ac:dyDescent="0.35">
      <c r="A806" s="38" t="s">
        <v>763</v>
      </c>
      <c r="B806" s="38" t="s">
        <v>750</v>
      </c>
      <c r="C806" s="38" t="s">
        <v>691</v>
      </c>
      <c r="D806" s="38" t="s">
        <v>746</v>
      </c>
      <c r="E806" s="94">
        <f>E36*0.5</f>
        <v>10</v>
      </c>
      <c r="F806" s="94">
        <f>F36*0.5</f>
        <v>7.16</v>
      </c>
      <c r="G806" s="94">
        <f>G36*0.5</f>
        <v>10</v>
      </c>
      <c r="H806" s="94">
        <f>H36*0.5</f>
        <v>6</v>
      </c>
      <c r="I806" s="94">
        <f>I36*0.5</f>
        <v>5</v>
      </c>
    </row>
    <row r="807" spans="1:9" hidden="1" x14ac:dyDescent="0.35">
      <c r="A807" s="38" t="s">
        <v>763</v>
      </c>
      <c r="B807" s="38" t="s">
        <v>750</v>
      </c>
      <c r="C807" s="38" t="s">
        <v>696</v>
      </c>
      <c r="D807" s="94" t="s">
        <v>697</v>
      </c>
      <c r="E807" s="94">
        <v>5.7</v>
      </c>
      <c r="F807" s="94">
        <v>19.61</v>
      </c>
      <c r="G807" s="94">
        <v>9</v>
      </c>
      <c r="H807" s="94">
        <v>10</v>
      </c>
      <c r="I807" s="94">
        <v>4</v>
      </c>
    </row>
    <row r="808" spans="1:9" hidden="1" x14ac:dyDescent="0.35">
      <c r="A808" s="38" t="s">
        <v>763</v>
      </c>
      <c r="B808" s="38" t="s">
        <v>750</v>
      </c>
      <c r="C808" s="38" t="s">
        <v>698</v>
      </c>
      <c r="D808" s="38" t="s">
        <v>747</v>
      </c>
      <c r="E808" s="94">
        <v>5</v>
      </c>
      <c r="F808" s="94">
        <v>1.32</v>
      </c>
      <c r="G808" s="94">
        <v>5</v>
      </c>
      <c r="H808" s="94">
        <v>5</v>
      </c>
      <c r="I808" s="94">
        <v>6</v>
      </c>
    </row>
    <row r="809" spans="1:9" hidden="1" x14ac:dyDescent="0.35">
      <c r="A809" s="38" t="s">
        <v>763</v>
      </c>
      <c r="B809" s="38" t="s">
        <v>750</v>
      </c>
      <c r="C809" s="38" t="s">
        <v>698</v>
      </c>
      <c r="D809" s="38" t="s">
        <v>700</v>
      </c>
      <c r="E809" s="94">
        <v>10</v>
      </c>
      <c r="F809" s="94">
        <v>1.04</v>
      </c>
      <c r="G809" s="94">
        <v>5</v>
      </c>
      <c r="H809" s="94">
        <v>5</v>
      </c>
      <c r="I809" s="94">
        <v>6</v>
      </c>
    </row>
    <row r="810" spans="1:9" hidden="1" x14ac:dyDescent="0.35">
      <c r="A810" s="38" t="s">
        <v>763</v>
      </c>
      <c r="B810" s="38" t="s">
        <v>750</v>
      </c>
      <c r="C810" s="38" t="s">
        <v>698</v>
      </c>
      <c r="D810" s="38" t="s">
        <v>521</v>
      </c>
      <c r="E810" s="94">
        <v>6</v>
      </c>
      <c r="F810" s="94">
        <v>0.41</v>
      </c>
      <c r="G810" s="94">
        <v>5</v>
      </c>
      <c r="H810" s="94">
        <v>5</v>
      </c>
      <c r="I810" s="94">
        <v>6</v>
      </c>
    </row>
    <row r="811" spans="1:9" hidden="1" x14ac:dyDescent="0.35">
      <c r="A811" s="38" t="s">
        <v>763</v>
      </c>
      <c r="B811" s="38" t="s">
        <v>750</v>
      </c>
      <c r="C811" s="38" t="s">
        <v>698</v>
      </c>
      <c r="D811" s="38" t="s">
        <v>252</v>
      </c>
      <c r="E811" s="94">
        <v>6</v>
      </c>
      <c r="F811" s="94">
        <v>1.5</v>
      </c>
      <c r="G811" s="94">
        <v>5</v>
      </c>
      <c r="H811" s="94">
        <v>5</v>
      </c>
      <c r="I811" s="94">
        <v>6</v>
      </c>
    </row>
    <row r="812" spans="1:9" hidden="1" x14ac:dyDescent="0.35">
      <c r="A812" s="38" t="s">
        <v>763</v>
      </c>
      <c r="B812" s="38" t="s">
        <v>750</v>
      </c>
      <c r="C812" s="38" t="s">
        <v>701</v>
      </c>
      <c r="D812" s="38" t="s">
        <v>702</v>
      </c>
      <c r="E812" s="94">
        <v>6</v>
      </c>
      <c r="F812" s="94">
        <v>6.21</v>
      </c>
      <c r="G812" s="94">
        <v>0.5</v>
      </c>
      <c r="H812" s="94">
        <v>4</v>
      </c>
      <c r="I812" s="94">
        <v>4</v>
      </c>
    </row>
    <row r="813" spans="1:9" hidden="1" x14ac:dyDescent="0.35">
      <c r="A813" s="38" t="s">
        <v>763</v>
      </c>
      <c r="B813" s="38" t="s">
        <v>750</v>
      </c>
      <c r="C813" s="38" t="s">
        <v>701</v>
      </c>
      <c r="D813" s="38" t="s">
        <v>703</v>
      </c>
      <c r="E813" s="94">
        <v>3.5</v>
      </c>
      <c r="F813" s="94">
        <v>3.74</v>
      </c>
      <c r="G813" s="94">
        <v>2</v>
      </c>
      <c r="H813" s="94">
        <v>8</v>
      </c>
      <c r="I813" s="94">
        <v>4</v>
      </c>
    </row>
    <row r="814" spans="1:9" hidden="1" x14ac:dyDescent="0.35">
      <c r="A814" s="38" t="s">
        <v>763</v>
      </c>
      <c r="B814" s="38" t="s">
        <v>750</v>
      </c>
      <c r="C814" s="38" t="s">
        <v>704</v>
      </c>
      <c r="D814" s="38" t="s">
        <v>746</v>
      </c>
      <c r="E814" s="94">
        <v>6</v>
      </c>
      <c r="F814" s="94">
        <v>1.49</v>
      </c>
      <c r="G814" s="94">
        <v>8</v>
      </c>
      <c r="H814" s="94">
        <v>2</v>
      </c>
      <c r="I814" s="94">
        <v>2</v>
      </c>
    </row>
    <row r="815" spans="1:9" hidden="1" x14ac:dyDescent="0.35">
      <c r="A815" s="38" t="s">
        <v>763</v>
      </c>
      <c r="B815" s="38" t="s">
        <v>750</v>
      </c>
      <c r="C815" s="38" t="s">
        <v>707</v>
      </c>
      <c r="D815" s="38" t="s">
        <v>708</v>
      </c>
      <c r="E815" s="94">
        <v>14</v>
      </c>
      <c r="F815" s="94">
        <v>10.39</v>
      </c>
      <c r="G815" s="94">
        <v>12</v>
      </c>
      <c r="H815" s="94">
        <v>3</v>
      </c>
      <c r="I815" s="94">
        <v>4</v>
      </c>
    </row>
    <row r="816" spans="1:9" hidden="1" x14ac:dyDescent="0.35">
      <c r="A816" s="38" t="s">
        <v>763</v>
      </c>
      <c r="B816" s="38" t="s">
        <v>751</v>
      </c>
      <c r="C816" s="38" t="s">
        <v>686</v>
      </c>
      <c r="D816" s="38" t="s">
        <v>746</v>
      </c>
      <c r="E816" s="94">
        <v>6</v>
      </c>
      <c r="F816" s="94">
        <v>7.23</v>
      </c>
      <c r="G816" s="94">
        <v>9</v>
      </c>
      <c r="H816" s="94">
        <v>4</v>
      </c>
      <c r="I816" s="94">
        <v>12</v>
      </c>
    </row>
    <row r="817" spans="1:9" hidden="1" x14ac:dyDescent="0.35">
      <c r="A817" s="38" t="s">
        <v>763</v>
      </c>
      <c r="B817" s="38" t="s">
        <v>751</v>
      </c>
      <c r="C817" s="38" t="s">
        <v>691</v>
      </c>
      <c r="D817" s="38" t="s">
        <v>746</v>
      </c>
      <c r="E817" s="94">
        <f>E47*0.5</f>
        <v>5.665</v>
      </c>
      <c r="F817" s="94">
        <f>F47*0.5</f>
        <v>5.65</v>
      </c>
      <c r="G817" s="94">
        <f>G47*0.5</f>
        <v>10</v>
      </c>
      <c r="H817" s="94">
        <f>H47*0.5</f>
        <v>7.5750000000000002</v>
      </c>
      <c r="I817" s="94">
        <f>I47*0.5</f>
        <v>6.5</v>
      </c>
    </row>
    <row r="818" spans="1:9" hidden="1" x14ac:dyDescent="0.35">
      <c r="A818" s="38" t="s">
        <v>763</v>
      </c>
      <c r="B818" s="38" t="s">
        <v>751</v>
      </c>
      <c r="C818" s="38" t="s">
        <v>696</v>
      </c>
      <c r="D818" s="94" t="s">
        <v>697</v>
      </c>
      <c r="E818" s="94">
        <v>6.6</v>
      </c>
      <c r="F818" s="94">
        <v>22.46</v>
      </c>
      <c r="G818" s="94">
        <v>9</v>
      </c>
      <c r="H818" s="94">
        <v>10</v>
      </c>
      <c r="I818" s="94">
        <v>4</v>
      </c>
    </row>
    <row r="819" spans="1:9" hidden="1" x14ac:dyDescent="0.35">
      <c r="A819" s="38" t="s">
        <v>763</v>
      </c>
      <c r="B819" s="38" t="s">
        <v>751</v>
      </c>
      <c r="C819" s="38" t="s">
        <v>698</v>
      </c>
      <c r="D819" s="38" t="s">
        <v>747</v>
      </c>
      <c r="E819" s="94">
        <v>10</v>
      </c>
      <c r="F819" s="94">
        <v>0.2</v>
      </c>
      <c r="G819" s="94">
        <v>5</v>
      </c>
      <c r="H819" s="94">
        <v>5</v>
      </c>
      <c r="I819" s="94">
        <v>8</v>
      </c>
    </row>
    <row r="820" spans="1:9" hidden="1" x14ac:dyDescent="0.35">
      <c r="A820" s="38" t="s">
        <v>763</v>
      </c>
      <c r="B820" s="38" t="s">
        <v>751</v>
      </c>
      <c r="C820" s="38" t="s">
        <v>698</v>
      </c>
      <c r="D820" s="38" t="s">
        <v>700</v>
      </c>
      <c r="E820" s="94">
        <v>15</v>
      </c>
      <c r="F820" s="94">
        <v>0.2</v>
      </c>
      <c r="G820" s="94">
        <v>5</v>
      </c>
      <c r="H820" s="94">
        <v>5</v>
      </c>
      <c r="I820" s="94">
        <v>8</v>
      </c>
    </row>
    <row r="821" spans="1:9" hidden="1" x14ac:dyDescent="0.35">
      <c r="A821" s="38" t="s">
        <v>763</v>
      </c>
      <c r="B821" s="38" t="s">
        <v>751</v>
      </c>
      <c r="C821" s="38" t="s">
        <v>698</v>
      </c>
      <c r="D821" s="38" t="s">
        <v>521</v>
      </c>
      <c r="E821" s="94">
        <v>8</v>
      </c>
      <c r="F821" s="94">
        <v>0.23</v>
      </c>
      <c r="G821" s="94">
        <v>5</v>
      </c>
      <c r="H821" s="94">
        <v>5</v>
      </c>
      <c r="I821" s="94">
        <v>8</v>
      </c>
    </row>
    <row r="822" spans="1:9" hidden="1" x14ac:dyDescent="0.35">
      <c r="A822" s="38" t="s">
        <v>763</v>
      </c>
      <c r="B822" s="38" t="s">
        <v>751</v>
      </c>
      <c r="C822" s="38" t="s">
        <v>698</v>
      </c>
      <c r="D822" s="38" t="s">
        <v>252</v>
      </c>
      <c r="E822" s="94">
        <v>8</v>
      </c>
      <c r="F822" s="94">
        <v>0.9</v>
      </c>
      <c r="G822" s="94">
        <v>5</v>
      </c>
      <c r="H822" s="94">
        <v>5</v>
      </c>
      <c r="I822" s="94">
        <v>8</v>
      </c>
    </row>
    <row r="823" spans="1:9" hidden="1" x14ac:dyDescent="0.35">
      <c r="A823" s="38" t="s">
        <v>763</v>
      </c>
      <c r="B823" s="38" t="s">
        <v>751</v>
      </c>
      <c r="C823" s="38" t="s">
        <v>701</v>
      </c>
      <c r="D823" s="38" t="s">
        <v>702</v>
      </c>
      <c r="E823" s="94">
        <v>6</v>
      </c>
      <c r="F823" s="94">
        <v>4.8899999999999997</v>
      </c>
      <c r="G823" s="94">
        <v>4.5</v>
      </c>
      <c r="H823" s="94">
        <v>4</v>
      </c>
      <c r="I823" s="94">
        <v>12</v>
      </c>
    </row>
    <row r="824" spans="1:9" hidden="1" x14ac:dyDescent="0.35">
      <c r="A824" s="38" t="s">
        <v>763</v>
      </c>
      <c r="B824" s="38" t="s">
        <v>751</v>
      </c>
      <c r="C824" s="38" t="s">
        <v>701</v>
      </c>
      <c r="D824" s="38" t="s">
        <v>703</v>
      </c>
      <c r="E824" s="94">
        <v>3.5</v>
      </c>
      <c r="F824" s="94">
        <v>3.32</v>
      </c>
      <c r="G824" s="94">
        <v>2</v>
      </c>
      <c r="H824" s="94">
        <v>8</v>
      </c>
      <c r="I824" s="94">
        <v>2</v>
      </c>
    </row>
    <row r="825" spans="1:9" hidden="1" x14ac:dyDescent="0.35">
      <c r="A825" s="38" t="s">
        <v>763</v>
      </c>
      <c r="B825" s="38" t="s">
        <v>751</v>
      </c>
      <c r="C825" s="38" t="s">
        <v>704</v>
      </c>
      <c r="D825" s="38" t="s">
        <v>746</v>
      </c>
      <c r="E825" s="94">
        <v>15</v>
      </c>
      <c r="F825" s="94">
        <v>2.8</v>
      </c>
      <c r="G825" s="94">
        <v>8</v>
      </c>
      <c r="H825" s="94">
        <v>2</v>
      </c>
      <c r="I825" s="94">
        <v>2</v>
      </c>
    </row>
    <row r="826" spans="1:9" hidden="1" x14ac:dyDescent="0.35">
      <c r="A826" s="38" t="s">
        <v>763</v>
      </c>
      <c r="B826" s="38" t="s">
        <v>751</v>
      </c>
      <c r="C826" s="38" t="s">
        <v>707</v>
      </c>
      <c r="D826" s="38" t="s">
        <v>708</v>
      </c>
      <c r="E826" s="94">
        <v>11.9</v>
      </c>
      <c r="F826" s="94">
        <v>9.26</v>
      </c>
      <c r="G826" s="94">
        <v>12</v>
      </c>
      <c r="H826" s="94">
        <v>5.7</v>
      </c>
      <c r="I826" s="94">
        <v>6</v>
      </c>
    </row>
    <row r="827" spans="1:9" hidden="1" x14ac:dyDescent="0.35">
      <c r="A827" s="38" t="s">
        <v>763</v>
      </c>
      <c r="B827" s="38" t="s">
        <v>752</v>
      </c>
      <c r="C827" s="38" t="s">
        <v>686</v>
      </c>
      <c r="D827" s="38" t="s">
        <v>746</v>
      </c>
      <c r="E827" s="94">
        <v>7.21</v>
      </c>
      <c r="F827" s="94">
        <v>8.75</v>
      </c>
      <c r="G827" s="94">
        <v>15.25</v>
      </c>
      <c r="H827" s="94">
        <v>2</v>
      </c>
      <c r="I827" s="94">
        <v>1</v>
      </c>
    </row>
    <row r="828" spans="1:9" hidden="1" x14ac:dyDescent="0.35">
      <c r="A828" s="38" t="s">
        <v>763</v>
      </c>
      <c r="B828" s="38" t="s">
        <v>752</v>
      </c>
      <c r="C828" s="38" t="s">
        <v>691</v>
      </c>
      <c r="D828" s="38" t="s">
        <v>746</v>
      </c>
      <c r="E828" s="94">
        <f>E58*0.5</f>
        <v>6.7350000000000003</v>
      </c>
      <c r="F828" s="94">
        <f>F58*0.5</f>
        <v>8.8550000000000004</v>
      </c>
      <c r="G828" s="94">
        <f>G58*0.5</f>
        <v>12.5</v>
      </c>
      <c r="H828" s="94">
        <f>H58*0.5</f>
        <v>17.065000000000001</v>
      </c>
      <c r="I828" s="94">
        <f>I58*0.5</f>
        <v>2.5</v>
      </c>
    </row>
    <row r="829" spans="1:9" hidden="1" x14ac:dyDescent="0.35">
      <c r="A829" s="38" t="s">
        <v>763</v>
      </c>
      <c r="B829" s="38" t="s">
        <v>752</v>
      </c>
      <c r="C829" s="38" t="s">
        <v>696</v>
      </c>
      <c r="D829" s="94" t="s">
        <v>697</v>
      </c>
      <c r="E829" s="94">
        <v>5.7</v>
      </c>
      <c r="F829" s="94">
        <v>21.94</v>
      </c>
      <c r="G829" s="94">
        <v>9</v>
      </c>
      <c r="H829" s="94">
        <v>15</v>
      </c>
      <c r="I829" s="94">
        <v>2</v>
      </c>
    </row>
    <row r="830" spans="1:9" hidden="1" x14ac:dyDescent="0.35">
      <c r="A830" s="38" t="s">
        <v>763</v>
      </c>
      <c r="B830" s="38" t="s">
        <v>752</v>
      </c>
      <c r="C830" s="38" t="s">
        <v>698</v>
      </c>
      <c r="D830" s="38" t="s">
        <v>747</v>
      </c>
      <c r="E830" s="94">
        <v>10</v>
      </c>
      <c r="F830" s="94">
        <v>0.93</v>
      </c>
      <c r="G830" s="94">
        <v>5</v>
      </c>
      <c r="H830" s="94">
        <v>7</v>
      </c>
      <c r="I830" s="94">
        <v>2</v>
      </c>
    </row>
    <row r="831" spans="1:9" hidden="1" x14ac:dyDescent="0.35">
      <c r="A831" s="38" t="s">
        <v>763</v>
      </c>
      <c r="B831" s="38" t="s">
        <v>752</v>
      </c>
      <c r="C831" s="38" t="s">
        <v>698</v>
      </c>
      <c r="D831" s="38" t="s">
        <v>700</v>
      </c>
      <c r="E831" s="94">
        <v>33</v>
      </c>
      <c r="F831" s="94">
        <v>0.2</v>
      </c>
      <c r="G831" s="94">
        <v>5</v>
      </c>
      <c r="H831" s="94">
        <v>7</v>
      </c>
      <c r="I831" s="94">
        <v>2</v>
      </c>
    </row>
    <row r="832" spans="1:9" hidden="1" x14ac:dyDescent="0.35">
      <c r="A832" s="38" t="s">
        <v>763</v>
      </c>
      <c r="B832" s="38" t="s">
        <v>752</v>
      </c>
      <c r="C832" s="38" t="s">
        <v>698</v>
      </c>
      <c r="D832" s="38" t="s">
        <v>521</v>
      </c>
      <c r="E832" s="94">
        <v>10</v>
      </c>
      <c r="F832" s="94">
        <v>0.23</v>
      </c>
      <c r="G832" s="94">
        <v>5</v>
      </c>
      <c r="H832" s="94">
        <v>7</v>
      </c>
      <c r="I832" s="94">
        <v>2</v>
      </c>
    </row>
    <row r="833" spans="1:9" hidden="1" x14ac:dyDescent="0.35">
      <c r="A833" s="38" t="s">
        <v>763</v>
      </c>
      <c r="B833" s="38" t="s">
        <v>752</v>
      </c>
      <c r="C833" s="38" t="s">
        <v>698</v>
      </c>
      <c r="D833" s="38" t="s">
        <v>252</v>
      </c>
      <c r="E833" s="94">
        <v>25</v>
      </c>
      <c r="F833" s="94">
        <v>0.9</v>
      </c>
      <c r="G833" s="94">
        <v>5</v>
      </c>
      <c r="H833" s="94">
        <v>7</v>
      </c>
      <c r="I833" s="94">
        <v>2</v>
      </c>
    </row>
    <row r="834" spans="1:9" hidden="1" x14ac:dyDescent="0.35">
      <c r="A834" s="38" t="s">
        <v>763</v>
      </c>
      <c r="B834" s="38" t="s">
        <v>752</v>
      </c>
      <c r="C834" s="38" t="s">
        <v>701</v>
      </c>
      <c r="D834" s="38" t="s">
        <v>702</v>
      </c>
      <c r="E834" s="94">
        <v>8</v>
      </c>
      <c r="F834" s="94">
        <v>8.01</v>
      </c>
      <c r="G834" s="94">
        <v>0.1</v>
      </c>
      <c r="H834" s="94">
        <v>3</v>
      </c>
      <c r="I834" s="94">
        <v>1</v>
      </c>
    </row>
    <row r="835" spans="1:9" hidden="1" x14ac:dyDescent="0.35">
      <c r="A835" s="38" t="s">
        <v>763</v>
      </c>
      <c r="B835" s="38" t="s">
        <v>752</v>
      </c>
      <c r="C835" s="38" t="s">
        <v>701</v>
      </c>
      <c r="D835" s="38" t="s">
        <v>703</v>
      </c>
      <c r="E835" s="94">
        <v>6</v>
      </c>
      <c r="F835" s="94">
        <v>8.1999999999999993</v>
      </c>
      <c r="G835" s="94">
        <v>2</v>
      </c>
      <c r="H835" s="94">
        <v>10</v>
      </c>
      <c r="I835" s="94">
        <v>0.1</v>
      </c>
    </row>
    <row r="836" spans="1:9" hidden="1" x14ac:dyDescent="0.35">
      <c r="A836" s="38" t="s">
        <v>763</v>
      </c>
      <c r="B836" s="38" t="s">
        <v>752</v>
      </c>
      <c r="C836" s="38" t="s">
        <v>704</v>
      </c>
      <c r="D836" s="38" t="s">
        <v>746</v>
      </c>
      <c r="E836" s="94">
        <v>12</v>
      </c>
      <c r="F836" s="94">
        <v>8.18</v>
      </c>
      <c r="G836" s="94">
        <v>8</v>
      </c>
      <c r="H836" s="94">
        <v>2</v>
      </c>
      <c r="I836" s="94">
        <v>1</v>
      </c>
    </row>
    <row r="837" spans="1:9" hidden="1" x14ac:dyDescent="0.35">
      <c r="A837" s="38" t="s">
        <v>763</v>
      </c>
      <c r="B837" s="38" t="s">
        <v>752</v>
      </c>
      <c r="C837" s="38" t="s">
        <v>707</v>
      </c>
      <c r="D837" s="38" t="s">
        <v>708</v>
      </c>
      <c r="E837" s="94">
        <v>14</v>
      </c>
      <c r="F837" s="94">
        <v>16.940000000000001</v>
      </c>
      <c r="G837" s="94">
        <v>15</v>
      </c>
      <c r="H837" s="94">
        <v>5</v>
      </c>
      <c r="I837" s="94">
        <v>2</v>
      </c>
    </row>
    <row r="838" spans="1:9" hidden="1" x14ac:dyDescent="0.35">
      <c r="A838" s="38" t="s">
        <v>763</v>
      </c>
      <c r="B838" s="38" t="s">
        <v>753</v>
      </c>
      <c r="C838" s="38" t="s">
        <v>686</v>
      </c>
      <c r="D838" s="38" t="s">
        <v>746</v>
      </c>
      <c r="E838" s="94">
        <v>6</v>
      </c>
      <c r="F838" s="94">
        <v>6.59</v>
      </c>
      <c r="G838" s="94">
        <v>7</v>
      </c>
      <c r="H838" s="94">
        <v>2.98</v>
      </c>
      <c r="I838" s="94">
        <v>3</v>
      </c>
    </row>
    <row r="839" spans="1:9" hidden="1" x14ac:dyDescent="0.35">
      <c r="A839" s="38" t="s">
        <v>763</v>
      </c>
      <c r="B839" s="38" t="s">
        <v>753</v>
      </c>
      <c r="C839" s="38" t="s">
        <v>691</v>
      </c>
      <c r="D839" s="38" t="s">
        <v>746</v>
      </c>
      <c r="E839" s="94">
        <f>E69*0.5</f>
        <v>4.3550000000000004</v>
      </c>
      <c r="F839" s="94">
        <f>F69*0.5</f>
        <v>4.9349999999999996</v>
      </c>
      <c r="G839" s="94">
        <f>G69*0.5</f>
        <v>12.5</v>
      </c>
      <c r="H839" s="94">
        <f>H69*0.5</f>
        <v>6.48</v>
      </c>
      <c r="I839" s="94">
        <f>I69*0.5</f>
        <v>9.08</v>
      </c>
    </row>
    <row r="840" spans="1:9" hidden="1" x14ac:dyDescent="0.35">
      <c r="A840" s="38" t="s">
        <v>763</v>
      </c>
      <c r="B840" s="38" t="s">
        <v>753</v>
      </c>
      <c r="C840" s="38" t="s">
        <v>696</v>
      </c>
      <c r="D840" s="94" t="s">
        <v>697</v>
      </c>
      <c r="E840" s="94">
        <v>8.1999999999999993</v>
      </c>
      <c r="F840" s="94">
        <v>25.47</v>
      </c>
      <c r="G840" s="94">
        <v>9</v>
      </c>
      <c r="H840" s="94">
        <v>12.33</v>
      </c>
      <c r="I840" s="94">
        <v>2</v>
      </c>
    </row>
    <row r="841" spans="1:9" hidden="1" x14ac:dyDescent="0.35">
      <c r="A841" s="38" t="s">
        <v>763</v>
      </c>
      <c r="B841" s="38" t="s">
        <v>753</v>
      </c>
      <c r="C841" s="38" t="s">
        <v>698</v>
      </c>
      <c r="D841" s="38" t="s">
        <v>747</v>
      </c>
      <c r="E841" s="94">
        <v>10</v>
      </c>
      <c r="F841" s="94">
        <v>0.21</v>
      </c>
      <c r="G841" s="94">
        <v>5</v>
      </c>
      <c r="H841" s="94">
        <v>7</v>
      </c>
      <c r="I841" s="94">
        <v>4</v>
      </c>
    </row>
    <row r="842" spans="1:9" hidden="1" x14ac:dyDescent="0.35">
      <c r="A842" s="38" t="s">
        <v>763</v>
      </c>
      <c r="B842" s="38" t="s">
        <v>753</v>
      </c>
      <c r="C842" s="38" t="s">
        <v>698</v>
      </c>
      <c r="D842" s="38" t="s">
        <v>700</v>
      </c>
      <c r="E842" s="94">
        <v>10</v>
      </c>
      <c r="F842" s="94">
        <v>0.2</v>
      </c>
      <c r="G842" s="94">
        <v>5</v>
      </c>
      <c r="H842" s="94">
        <v>7</v>
      </c>
      <c r="I842" s="94">
        <v>4</v>
      </c>
    </row>
    <row r="843" spans="1:9" hidden="1" x14ac:dyDescent="0.35">
      <c r="A843" s="38" t="s">
        <v>763</v>
      </c>
      <c r="B843" s="38" t="s">
        <v>753</v>
      </c>
      <c r="C843" s="38" t="s">
        <v>698</v>
      </c>
      <c r="D843" s="38" t="s">
        <v>521</v>
      </c>
      <c r="E843" s="94">
        <v>6</v>
      </c>
      <c r="F843" s="94">
        <v>0.47</v>
      </c>
      <c r="G843" s="94">
        <v>5</v>
      </c>
      <c r="H843" s="94">
        <v>7</v>
      </c>
      <c r="I843" s="94">
        <v>4</v>
      </c>
    </row>
    <row r="844" spans="1:9" hidden="1" x14ac:dyDescent="0.35">
      <c r="A844" s="38" t="s">
        <v>763</v>
      </c>
      <c r="B844" s="38" t="s">
        <v>753</v>
      </c>
      <c r="C844" s="38" t="s">
        <v>698</v>
      </c>
      <c r="D844" s="38" t="s">
        <v>252</v>
      </c>
      <c r="E844" s="94">
        <v>8</v>
      </c>
      <c r="F844" s="94">
        <v>0.97</v>
      </c>
      <c r="G844" s="94">
        <v>5</v>
      </c>
      <c r="H844" s="94">
        <v>7</v>
      </c>
      <c r="I844" s="94">
        <v>4</v>
      </c>
    </row>
    <row r="845" spans="1:9" hidden="1" x14ac:dyDescent="0.35">
      <c r="A845" s="38" t="s">
        <v>763</v>
      </c>
      <c r="B845" s="38" t="s">
        <v>753</v>
      </c>
      <c r="C845" s="38" t="s">
        <v>701</v>
      </c>
      <c r="D845" s="38" t="s">
        <v>702</v>
      </c>
      <c r="E845" s="94">
        <v>8</v>
      </c>
      <c r="F845" s="94">
        <v>7.23</v>
      </c>
      <c r="G845" s="94">
        <v>0.1</v>
      </c>
      <c r="H845" s="94">
        <v>3</v>
      </c>
      <c r="I845" s="94">
        <v>2</v>
      </c>
    </row>
    <row r="846" spans="1:9" hidden="1" x14ac:dyDescent="0.35">
      <c r="A846" s="38" t="s">
        <v>763</v>
      </c>
      <c r="B846" s="38" t="s">
        <v>753</v>
      </c>
      <c r="C846" s="38" t="s">
        <v>701</v>
      </c>
      <c r="D846" s="38" t="s">
        <v>703</v>
      </c>
      <c r="E846" s="94">
        <v>3.5</v>
      </c>
      <c r="F846" s="94">
        <v>4.68</v>
      </c>
      <c r="G846" s="94">
        <v>2</v>
      </c>
      <c r="H846" s="94">
        <v>10</v>
      </c>
      <c r="I846" s="94">
        <v>1</v>
      </c>
    </row>
    <row r="847" spans="1:9" hidden="1" x14ac:dyDescent="0.35">
      <c r="A847" s="38" t="s">
        <v>763</v>
      </c>
      <c r="B847" s="38" t="s">
        <v>753</v>
      </c>
      <c r="C847" s="38" t="s">
        <v>704</v>
      </c>
      <c r="D847" s="38" t="s">
        <v>746</v>
      </c>
      <c r="E847" s="94">
        <v>7</v>
      </c>
      <c r="F847" s="94">
        <v>3.4</v>
      </c>
      <c r="G847" s="94">
        <v>8</v>
      </c>
      <c r="H847" s="94">
        <v>2</v>
      </c>
      <c r="I847" s="94">
        <v>1</v>
      </c>
    </row>
    <row r="848" spans="1:9" hidden="1" x14ac:dyDescent="0.35">
      <c r="A848" s="38" t="s">
        <v>763</v>
      </c>
      <c r="B848" s="38" t="s">
        <v>753</v>
      </c>
      <c r="C848" s="38" t="s">
        <v>707</v>
      </c>
      <c r="D848" s="38" t="s">
        <v>708</v>
      </c>
      <c r="E848" s="94">
        <v>8.15</v>
      </c>
      <c r="F848" s="94">
        <v>12.11</v>
      </c>
      <c r="G848" s="94">
        <v>10</v>
      </c>
      <c r="H848" s="94">
        <v>10.78</v>
      </c>
      <c r="I848" s="94">
        <v>3.88</v>
      </c>
    </row>
    <row r="849" spans="1:9" hidden="1" x14ac:dyDescent="0.35">
      <c r="A849" s="38" t="s">
        <v>764</v>
      </c>
      <c r="B849" s="38" t="s">
        <v>745</v>
      </c>
      <c r="C849" s="38" t="s">
        <v>698</v>
      </c>
      <c r="D849" s="38" t="s">
        <v>747</v>
      </c>
      <c r="E849" s="94">
        <f t="shared" ref="E849:I852" si="21">E5*0.5</f>
        <v>1.1499999999999999</v>
      </c>
      <c r="F849" s="94">
        <f t="shared" si="21"/>
        <v>0.3</v>
      </c>
      <c r="G849" s="94">
        <f t="shared" si="21"/>
        <v>2.5</v>
      </c>
      <c r="H849" s="94">
        <f t="shared" si="21"/>
        <v>2</v>
      </c>
      <c r="I849" s="94">
        <f t="shared" si="21"/>
        <v>5.5</v>
      </c>
    </row>
    <row r="850" spans="1:9" hidden="1" x14ac:dyDescent="0.35">
      <c r="A850" s="38" t="s">
        <v>764</v>
      </c>
      <c r="B850" s="38" t="s">
        <v>745</v>
      </c>
      <c r="C850" s="38" t="s">
        <v>698</v>
      </c>
      <c r="D850" s="38" t="s">
        <v>700</v>
      </c>
      <c r="E850" s="94">
        <f t="shared" si="21"/>
        <v>5</v>
      </c>
      <c r="F850" s="94">
        <f t="shared" si="21"/>
        <v>0.3</v>
      </c>
      <c r="G850" s="94">
        <f t="shared" si="21"/>
        <v>2.5</v>
      </c>
      <c r="H850" s="94">
        <f t="shared" si="21"/>
        <v>2</v>
      </c>
      <c r="I850" s="94">
        <f t="shared" si="21"/>
        <v>5.5</v>
      </c>
    </row>
    <row r="851" spans="1:9" hidden="1" x14ac:dyDescent="0.35">
      <c r="A851" s="38" t="s">
        <v>764</v>
      </c>
      <c r="B851" s="38" t="s">
        <v>745</v>
      </c>
      <c r="C851" s="38" t="s">
        <v>698</v>
      </c>
      <c r="D851" s="38" t="s">
        <v>521</v>
      </c>
      <c r="E851" s="94">
        <f t="shared" si="21"/>
        <v>1.25</v>
      </c>
      <c r="F851" s="94">
        <f t="shared" si="21"/>
        <v>0.15</v>
      </c>
      <c r="G851" s="94">
        <f t="shared" si="21"/>
        <v>2.5</v>
      </c>
      <c r="H851" s="94">
        <f t="shared" si="21"/>
        <v>2</v>
      </c>
      <c r="I851" s="94">
        <f t="shared" si="21"/>
        <v>5.5</v>
      </c>
    </row>
    <row r="852" spans="1:9" hidden="1" x14ac:dyDescent="0.35">
      <c r="A852" s="38" t="s">
        <v>764</v>
      </c>
      <c r="B852" s="38" t="s">
        <v>745</v>
      </c>
      <c r="C852" s="38" t="s">
        <v>698</v>
      </c>
      <c r="D852" s="38" t="s">
        <v>252</v>
      </c>
      <c r="E852" s="94">
        <f t="shared" si="21"/>
        <v>3.5</v>
      </c>
      <c r="F852" s="94">
        <f t="shared" si="21"/>
        <v>0.45</v>
      </c>
      <c r="G852" s="94">
        <f t="shared" si="21"/>
        <v>2.5</v>
      </c>
      <c r="H852" s="94">
        <f t="shared" si="21"/>
        <v>2</v>
      </c>
      <c r="I852" s="94">
        <f t="shared" si="21"/>
        <v>5.5</v>
      </c>
    </row>
    <row r="853" spans="1:9" hidden="1" x14ac:dyDescent="0.35">
      <c r="A853" s="38" t="s">
        <v>764</v>
      </c>
      <c r="B853" s="38" t="s">
        <v>748</v>
      </c>
      <c r="C853" s="38" t="s">
        <v>698</v>
      </c>
      <c r="D853" s="38" t="s">
        <v>747</v>
      </c>
      <c r="E853" s="94">
        <f t="shared" ref="E853:I856" si="22">E16*0.5</f>
        <v>1.1499999999999999</v>
      </c>
      <c r="F853" s="94">
        <f t="shared" si="22"/>
        <v>0.27500000000000002</v>
      </c>
      <c r="G853" s="94">
        <f t="shared" si="22"/>
        <v>2.5</v>
      </c>
      <c r="H853" s="94">
        <f t="shared" si="22"/>
        <v>3</v>
      </c>
      <c r="I853" s="94">
        <f t="shared" si="22"/>
        <v>3.4</v>
      </c>
    </row>
    <row r="854" spans="1:9" hidden="1" x14ac:dyDescent="0.35">
      <c r="A854" s="38" t="s">
        <v>764</v>
      </c>
      <c r="B854" s="38" t="s">
        <v>748</v>
      </c>
      <c r="C854" s="38" t="s">
        <v>698</v>
      </c>
      <c r="D854" s="38" t="s">
        <v>700</v>
      </c>
      <c r="E854" s="94">
        <f t="shared" si="22"/>
        <v>5</v>
      </c>
      <c r="F854" s="94">
        <f t="shared" si="22"/>
        <v>0.40500000000000003</v>
      </c>
      <c r="G854" s="94">
        <f t="shared" si="22"/>
        <v>2.5</v>
      </c>
      <c r="H854" s="94">
        <f t="shared" si="22"/>
        <v>3</v>
      </c>
      <c r="I854" s="94">
        <f t="shared" si="22"/>
        <v>3.4</v>
      </c>
    </row>
    <row r="855" spans="1:9" hidden="1" x14ac:dyDescent="0.35">
      <c r="A855" s="38" t="s">
        <v>764</v>
      </c>
      <c r="B855" s="38" t="s">
        <v>748</v>
      </c>
      <c r="C855" s="38" t="s">
        <v>698</v>
      </c>
      <c r="D855" s="38" t="s">
        <v>521</v>
      </c>
      <c r="E855" s="94">
        <f t="shared" si="22"/>
        <v>1.25</v>
      </c>
      <c r="F855" s="94">
        <f t="shared" si="22"/>
        <v>0.09</v>
      </c>
      <c r="G855" s="94">
        <f t="shared" si="22"/>
        <v>2.5</v>
      </c>
      <c r="H855" s="94">
        <f t="shared" si="22"/>
        <v>3</v>
      </c>
      <c r="I855" s="94">
        <f t="shared" si="22"/>
        <v>3.4</v>
      </c>
    </row>
    <row r="856" spans="1:9" hidden="1" x14ac:dyDescent="0.35">
      <c r="A856" s="38" t="s">
        <v>764</v>
      </c>
      <c r="B856" s="38" t="s">
        <v>748</v>
      </c>
      <c r="C856" s="38" t="s">
        <v>698</v>
      </c>
      <c r="D856" s="38" t="s">
        <v>252</v>
      </c>
      <c r="E856" s="94">
        <f t="shared" si="22"/>
        <v>3.5</v>
      </c>
      <c r="F856" s="94">
        <f t="shared" si="22"/>
        <v>0.51500000000000001</v>
      </c>
      <c r="G856" s="94">
        <f t="shared" si="22"/>
        <v>2.5</v>
      </c>
      <c r="H856" s="94">
        <f t="shared" si="22"/>
        <v>3</v>
      </c>
      <c r="I856" s="94">
        <f t="shared" si="22"/>
        <v>3.4</v>
      </c>
    </row>
    <row r="857" spans="1:9" hidden="1" x14ac:dyDescent="0.35">
      <c r="A857" s="38" t="s">
        <v>764</v>
      </c>
      <c r="B857" s="38" t="s">
        <v>749</v>
      </c>
      <c r="C857" s="38" t="s">
        <v>698</v>
      </c>
      <c r="D857" s="38" t="s">
        <v>747</v>
      </c>
      <c r="E857" s="94">
        <f t="shared" ref="E857:I860" si="23">E27*0.5</f>
        <v>1.1499999999999999</v>
      </c>
      <c r="F857" s="94">
        <f t="shared" si="23"/>
        <v>0.155</v>
      </c>
      <c r="G857" s="94">
        <f t="shared" si="23"/>
        <v>2.5</v>
      </c>
      <c r="H857" s="94">
        <f t="shared" si="23"/>
        <v>1.95</v>
      </c>
      <c r="I857" s="94">
        <f t="shared" si="23"/>
        <v>10.595000000000001</v>
      </c>
    </row>
    <row r="858" spans="1:9" hidden="1" x14ac:dyDescent="0.35">
      <c r="A858" s="38" t="s">
        <v>764</v>
      </c>
      <c r="B858" s="38" t="s">
        <v>749</v>
      </c>
      <c r="C858" s="38" t="s">
        <v>698</v>
      </c>
      <c r="D858" s="38" t="s">
        <v>700</v>
      </c>
      <c r="E858" s="94">
        <f t="shared" si="23"/>
        <v>5</v>
      </c>
      <c r="F858" s="94">
        <f t="shared" si="23"/>
        <v>0.4</v>
      </c>
      <c r="G858" s="94">
        <f t="shared" si="23"/>
        <v>2.5</v>
      </c>
      <c r="H858" s="94">
        <f t="shared" si="23"/>
        <v>1.95</v>
      </c>
      <c r="I858" s="94">
        <f t="shared" si="23"/>
        <v>10.595000000000001</v>
      </c>
    </row>
    <row r="859" spans="1:9" hidden="1" x14ac:dyDescent="0.35">
      <c r="A859" s="38" t="s">
        <v>764</v>
      </c>
      <c r="B859" s="38" t="s">
        <v>749</v>
      </c>
      <c r="C859" s="38" t="s">
        <v>698</v>
      </c>
      <c r="D859" s="38" t="s">
        <v>521</v>
      </c>
      <c r="E859" s="94">
        <f t="shared" si="23"/>
        <v>1.25</v>
      </c>
      <c r="F859" s="94">
        <f t="shared" si="23"/>
        <v>0.33</v>
      </c>
      <c r="G859" s="94">
        <f t="shared" si="23"/>
        <v>2.5</v>
      </c>
      <c r="H859" s="94">
        <f t="shared" si="23"/>
        <v>1.95</v>
      </c>
      <c r="I859" s="94">
        <f t="shared" si="23"/>
        <v>10.595000000000001</v>
      </c>
    </row>
    <row r="860" spans="1:9" hidden="1" x14ac:dyDescent="0.35">
      <c r="A860" s="38" t="s">
        <v>764</v>
      </c>
      <c r="B860" s="38" t="s">
        <v>749</v>
      </c>
      <c r="C860" s="38" t="s">
        <v>698</v>
      </c>
      <c r="D860" s="38" t="s">
        <v>252</v>
      </c>
      <c r="E860" s="94">
        <f t="shared" si="23"/>
        <v>3.5</v>
      </c>
      <c r="F860" s="94">
        <f t="shared" si="23"/>
        <v>0.44</v>
      </c>
      <c r="G860" s="94">
        <f t="shared" si="23"/>
        <v>2.5</v>
      </c>
      <c r="H860" s="94">
        <f t="shared" si="23"/>
        <v>1.95</v>
      </c>
      <c r="I860" s="94">
        <f t="shared" si="23"/>
        <v>10.595000000000001</v>
      </c>
    </row>
    <row r="861" spans="1:9" hidden="1" x14ac:dyDescent="0.35">
      <c r="A861" s="38" t="s">
        <v>764</v>
      </c>
      <c r="B861" s="38" t="s">
        <v>750</v>
      </c>
      <c r="C861" s="38" t="s">
        <v>698</v>
      </c>
      <c r="D861" s="38" t="s">
        <v>747</v>
      </c>
      <c r="E861" s="94">
        <f t="shared" ref="E861:I864" si="24">E38*0.5</f>
        <v>2.5</v>
      </c>
      <c r="F861" s="94">
        <f t="shared" si="24"/>
        <v>0.66</v>
      </c>
      <c r="G861" s="94">
        <f t="shared" si="24"/>
        <v>2.5</v>
      </c>
      <c r="H861" s="94">
        <f t="shared" si="24"/>
        <v>2.5</v>
      </c>
      <c r="I861" s="94">
        <f t="shared" si="24"/>
        <v>3</v>
      </c>
    </row>
    <row r="862" spans="1:9" hidden="1" x14ac:dyDescent="0.35">
      <c r="A862" s="38" t="s">
        <v>764</v>
      </c>
      <c r="B862" s="38" t="s">
        <v>750</v>
      </c>
      <c r="C862" s="38" t="s">
        <v>698</v>
      </c>
      <c r="D862" s="38" t="s">
        <v>700</v>
      </c>
      <c r="E862" s="94">
        <f t="shared" si="24"/>
        <v>5</v>
      </c>
      <c r="F862" s="94">
        <f t="shared" si="24"/>
        <v>0.52</v>
      </c>
      <c r="G862" s="94">
        <f t="shared" si="24"/>
        <v>2.5</v>
      </c>
      <c r="H862" s="94">
        <f t="shared" si="24"/>
        <v>2.5</v>
      </c>
      <c r="I862" s="94">
        <f t="shared" si="24"/>
        <v>3</v>
      </c>
    </row>
    <row r="863" spans="1:9" hidden="1" x14ac:dyDescent="0.35">
      <c r="A863" s="38" t="s">
        <v>764</v>
      </c>
      <c r="B863" s="38" t="s">
        <v>750</v>
      </c>
      <c r="C863" s="38" t="s">
        <v>698</v>
      </c>
      <c r="D863" s="38" t="s">
        <v>521</v>
      </c>
      <c r="E863" s="94">
        <f t="shared" si="24"/>
        <v>3</v>
      </c>
      <c r="F863" s="94">
        <f t="shared" si="24"/>
        <v>0.20499999999999999</v>
      </c>
      <c r="G863" s="94">
        <f t="shared" si="24"/>
        <v>2.5</v>
      </c>
      <c r="H863" s="94">
        <f t="shared" si="24"/>
        <v>2.5</v>
      </c>
      <c r="I863" s="94">
        <f t="shared" si="24"/>
        <v>3</v>
      </c>
    </row>
    <row r="864" spans="1:9" hidden="1" x14ac:dyDescent="0.35">
      <c r="A864" s="38" t="s">
        <v>764</v>
      </c>
      <c r="B864" s="38" t="s">
        <v>750</v>
      </c>
      <c r="C864" s="38" t="s">
        <v>698</v>
      </c>
      <c r="D864" s="38" t="s">
        <v>252</v>
      </c>
      <c r="E864" s="94">
        <f t="shared" si="24"/>
        <v>3</v>
      </c>
      <c r="F864" s="94">
        <f t="shared" si="24"/>
        <v>0.75</v>
      </c>
      <c r="G864" s="94">
        <f t="shared" si="24"/>
        <v>2.5</v>
      </c>
      <c r="H864" s="94">
        <f t="shared" si="24"/>
        <v>2.5</v>
      </c>
      <c r="I864" s="94">
        <f t="shared" si="24"/>
        <v>3</v>
      </c>
    </row>
    <row r="865" spans="1:9" hidden="1" x14ac:dyDescent="0.35">
      <c r="A865" s="38" t="s">
        <v>764</v>
      </c>
      <c r="B865" s="38" t="s">
        <v>751</v>
      </c>
      <c r="C865" s="38" t="s">
        <v>698</v>
      </c>
      <c r="D865" s="38" t="s">
        <v>747</v>
      </c>
      <c r="E865" s="94">
        <f t="shared" ref="E865:I868" si="25">E49*0.5</f>
        <v>5</v>
      </c>
      <c r="F865" s="94">
        <f t="shared" si="25"/>
        <v>0.1</v>
      </c>
      <c r="G865" s="94">
        <f t="shared" si="25"/>
        <v>2.5</v>
      </c>
      <c r="H865" s="94">
        <f t="shared" si="25"/>
        <v>2.5</v>
      </c>
      <c r="I865" s="94">
        <f t="shared" si="25"/>
        <v>4</v>
      </c>
    </row>
    <row r="866" spans="1:9" hidden="1" x14ac:dyDescent="0.35">
      <c r="A866" s="38" t="s">
        <v>764</v>
      </c>
      <c r="B866" s="38" t="s">
        <v>751</v>
      </c>
      <c r="C866" s="38" t="s">
        <v>698</v>
      </c>
      <c r="D866" s="38" t="s">
        <v>700</v>
      </c>
      <c r="E866" s="94">
        <f t="shared" si="25"/>
        <v>7.5</v>
      </c>
      <c r="F866" s="94">
        <f t="shared" si="25"/>
        <v>0.1</v>
      </c>
      <c r="G866" s="94">
        <f t="shared" si="25"/>
        <v>2.5</v>
      </c>
      <c r="H866" s="94">
        <f t="shared" si="25"/>
        <v>2.5</v>
      </c>
      <c r="I866" s="94">
        <f t="shared" si="25"/>
        <v>4</v>
      </c>
    </row>
    <row r="867" spans="1:9" hidden="1" x14ac:dyDescent="0.35">
      <c r="A867" s="38" t="s">
        <v>764</v>
      </c>
      <c r="B867" s="38" t="s">
        <v>751</v>
      </c>
      <c r="C867" s="38" t="s">
        <v>698</v>
      </c>
      <c r="D867" s="38" t="s">
        <v>521</v>
      </c>
      <c r="E867" s="94">
        <f t="shared" si="25"/>
        <v>4</v>
      </c>
      <c r="F867" s="94">
        <f t="shared" si="25"/>
        <v>0.115</v>
      </c>
      <c r="G867" s="94">
        <f t="shared" si="25"/>
        <v>2.5</v>
      </c>
      <c r="H867" s="94">
        <f t="shared" si="25"/>
        <v>2.5</v>
      </c>
      <c r="I867" s="94">
        <f t="shared" si="25"/>
        <v>4</v>
      </c>
    </row>
    <row r="868" spans="1:9" hidden="1" x14ac:dyDescent="0.35">
      <c r="A868" s="38" t="s">
        <v>764</v>
      </c>
      <c r="B868" s="38" t="s">
        <v>751</v>
      </c>
      <c r="C868" s="38" t="s">
        <v>698</v>
      </c>
      <c r="D868" s="38" t="s">
        <v>252</v>
      </c>
      <c r="E868" s="94">
        <f t="shared" si="25"/>
        <v>4</v>
      </c>
      <c r="F868" s="94">
        <f t="shared" si="25"/>
        <v>0.45</v>
      </c>
      <c r="G868" s="94">
        <f t="shared" si="25"/>
        <v>2.5</v>
      </c>
      <c r="H868" s="94">
        <f t="shared" si="25"/>
        <v>2.5</v>
      </c>
      <c r="I868" s="94">
        <f t="shared" si="25"/>
        <v>4</v>
      </c>
    </row>
    <row r="869" spans="1:9" hidden="1" x14ac:dyDescent="0.35">
      <c r="A869" s="38" t="s">
        <v>764</v>
      </c>
      <c r="B869" s="38" t="s">
        <v>752</v>
      </c>
      <c r="C869" s="38" t="s">
        <v>698</v>
      </c>
      <c r="D869" s="38" t="s">
        <v>747</v>
      </c>
      <c r="E869" s="94">
        <f t="shared" ref="E869:I872" si="26">E60*0.5</f>
        <v>5</v>
      </c>
      <c r="F869" s="94">
        <f t="shared" si="26"/>
        <v>0.46500000000000002</v>
      </c>
      <c r="G869" s="94">
        <f t="shared" si="26"/>
        <v>2.5</v>
      </c>
      <c r="H869" s="94">
        <f t="shared" si="26"/>
        <v>3.5</v>
      </c>
      <c r="I869" s="94">
        <f t="shared" si="26"/>
        <v>1</v>
      </c>
    </row>
    <row r="870" spans="1:9" hidden="1" x14ac:dyDescent="0.35">
      <c r="A870" s="38" t="s">
        <v>764</v>
      </c>
      <c r="B870" s="38" t="s">
        <v>752</v>
      </c>
      <c r="C870" s="38" t="s">
        <v>698</v>
      </c>
      <c r="D870" s="38" t="s">
        <v>700</v>
      </c>
      <c r="E870" s="94">
        <f t="shared" si="26"/>
        <v>16.5</v>
      </c>
      <c r="F870" s="94">
        <f t="shared" si="26"/>
        <v>0.1</v>
      </c>
      <c r="G870" s="94">
        <f t="shared" si="26"/>
        <v>2.5</v>
      </c>
      <c r="H870" s="94">
        <f t="shared" si="26"/>
        <v>3.5</v>
      </c>
      <c r="I870" s="94">
        <f t="shared" si="26"/>
        <v>1</v>
      </c>
    </row>
    <row r="871" spans="1:9" hidden="1" x14ac:dyDescent="0.35">
      <c r="A871" s="38" t="s">
        <v>764</v>
      </c>
      <c r="B871" s="38" t="s">
        <v>752</v>
      </c>
      <c r="C871" s="38" t="s">
        <v>698</v>
      </c>
      <c r="D871" s="38" t="s">
        <v>521</v>
      </c>
      <c r="E871" s="94">
        <f t="shared" si="26"/>
        <v>5</v>
      </c>
      <c r="F871" s="94">
        <f t="shared" si="26"/>
        <v>0.115</v>
      </c>
      <c r="G871" s="94">
        <f t="shared" si="26"/>
        <v>2.5</v>
      </c>
      <c r="H871" s="94">
        <f t="shared" si="26"/>
        <v>3.5</v>
      </c>
      <c r="I871" s="94">
        <f t="shared" si="26"/>
        <v>1</v>
      </c>
    </row>
    <row r="872" spans="1:9" hidden="1" x14ac:dyDescent="0.35">
      <c r="A872" s="38" t="s">
        <v>764</v>
      </c>
      <c r="B872" s="38" t="s">
        <v>752</v>
      </c>
      <c r="C872" s="38" t="s">
        <v>698</v>
      </c>
      <c r="D872" s="38" t="s">
        <v>252</v>
      </c>
      <c r="E872" s="94">
        <f t="shared" si="26"/>
        <v>12.5</v>
      </c>
      <c r="F872" s="94">
        <f t="shared" si="26"/>
        <v>0.45</v>
      </c>
      <c r="G872" s="94">
        <f t="shared" si="26"/>
        <v>2.5</v>
      </c>
      <c r="H872" s="94">
        <f t="shared" si="26"/>
        <v>3.5</v>
      </c>
      <c r="I872" s="94">
        <f t="shared" si="26"/>
        <v>1</v>
      </c>
    </row>
    <row r="873" spans="1:9" hidden="1" x14ac:dyDescent="0.35">
      <c r="A873" s="38" t="s">
        <v>764</v>
      </c>
      <c r="B873" s="38" t="s">
        <v>753</v>
      </c>
      <c r="C873" s="38" t="s">
        <v>698</v>
      </c>
      <c r="D873" s="38" t="s">
        <v>747</v>
      </c>
      <c r="E873" s="94">
        <f t="shared" ref="E873:I876" si="27">E71*0.5</f>
        <v>5</v>
      </c>
      <c r="F873" s="94">
        <f t="shared" si="27"/>
        <v>0.105</v>
      </c>
      <c r="G873" s="94">
        <f t="shared" si="27"/>
        <v>2.5</v>
      </c>
      <c r="H873" s="94">
        <f t="shared" si="27"/>
        <v>3.5</v>
      </c>
      <c r="I873" s="94">
        <f t="shared" si="27"/>
        <v>2</v>
      </c>
    </row>
    <row r="874" spans="1:9" hidden="1" x14ac:dyDescent="0.35">
      <c r="A874" s="38" t="s">
        <v>764</v>
      </c>
      <c r="B874" s="38" t="s">
        <v>753</v>
      </c>
      <c r="C874" s="38" t="s">
        <v>698</v>
      </c>
      <c r="D874" s="38" t="s">
        <v>700</v>
      </c>
      <c r="E874" s="94">
        <f t="shared" si="27"/>
        <v>5</v>
      </c>
      <c r="F874" s="94">
        <f t="shared" si="27"/>
        <v>0.1</v>
      </c>
      <c r="G874" s="94">
        <f t="shared" si="27"/>
        <v>2.5</v>
      </c>
      <c r="H874" s="94">
        <f t="shared" si="27"/>
        <v>3.5</v>
      </c>
      <c r="I874" s="94">
        <f t="shared" si="27"/>
        <v>2</v>
      </c>
    </row>
    <row r="875" spans="1:9" hidden="1" x14ac:dyDescent="0.35">
      <c r="A875" s="38" t="s">
        <v>764</v>
      </c>
      <c r="B875" s="38" t="s">
        <v>753</v>
      </c>
      <c r="C875" s="38" t="s">
        <v>698</v>
      </c>
      <c r="D875" s="38" t="s">
        <v>521</v>
      </c>
      <c r="E875" s="94">
        <f t="shared" si="27"/>
        <v>3</v>
      </c>
      <c r="F875" s="94">
        <f t="shared" si="27"/>
        <v>0.23499999999999999</v>
      </c>
      <c r="G875" s="94">
        <f t="shared" si="27"/>
        <v>2.5</v>
      </c>
      <c r="H875" s="94">
        <f t="shared" si="27"/>
        <v>3.5</v>
      </c>
      <c r="I875" s="94">
        <f t="shared" si="27"/>
        <v>2</v>
      </c>
    </row>
    <row r="876" spans="1:9" hidden="1" x14ac:dyDescent="0.35">
      <c r="A876" s="38" t="s">
        <v>764</v>
      </c>
      <c r="B876" s="38" t="s">
        <v>753</v>
      </c>
      <c r="C876" s="38" t="s">
        <v>698</v>
      </c>
      <c r="D876" s="38" t="s">
        <v>252</v>
      </c>
      <c r="E876" s="94">
        <f t="shared" si="27"/>
        <v>4</v>
      </c>
      <c r="F876" s="94">
        <f t="shared" si="27"/>
        <v>0.48499999999999999</v>
      </c>
      <c r="G876" s="94">
        <f t="shared" si="27"/>
        <v>2.5</v>
      </c>
      <c r="H876" s="94">
        <f t="shared" si="27"/>
        <v>3.5</v>
      </c>
      <c r="I876" s="94">
        <f t="shared" si="27"/>
        <v>2</v>
      </c>
    </row>
    <row r="877" spans="1:9" hidden="1" x14ac:dyDescent="0.35">
      <c r="A877" s="38" t="s">
        <v>765</v>
      </c>
      <c r="B877" s="38" t="s">
        <v>745</v>
      </c>
      <c r="C877" s="38" t="s">
        <v>686</v>
      </c>
      <c r="D877" s="38" t="s">
        <v>746</v>
      </c>
      <c r="E877" s="190">
        <v>0</v>
      </c>
      <c r="F877" s="190">
        <v>3.8</v>
      </c>
      <c r="G877" s="190">
        <v>10.5</v>
      </c>
      <c r="H877" s="190">
        <v>3</v>
      </c>
      <c r="I877" s="190">
        <v>0</v>
      </c>
    </row>
    <row r="878" spans="1:9" hidden="1" x14ac:dyDescent="0.35">
      <c r="A878" s="38" t="s">
        <v>765</v>
      </c>
      <c r="B878" s="38" t="s">
        <v>745</v>
      </c>
      <c r="C878" s="38" t="s">
        <v>691</v>
      </c>
      <c r="D878" s="38" t="s">
        <v>746</v>
      </c>
      <c r="E878" s="190">
        <v>0</v>
      </c>
      <c r="F878" s="190">
        <v>7.3</v>
      </c>
      <c r="G878" s="190">
        <v>2</v>
      </c>
      <c r="H878" s="190">
        <v>4.9000000000000004</v>
      </c>
      <c r="I878" s="190">
        <v>0</v>
      </c>
    </row>
    <row r="879" spans="1:9" hidden="1" x14ac:dyDescent="0.35">
      <c r="A879" s="38" t="s">
        <v>765</v>
      </c>
      <c r="B879" s="38" t="s">
        <v>745</v>
      </c>
      <c r="C879" s="38" t="s">
        <v>696</v>
      </c>
      <c r="D879" s="38" t="s">
        <v>697</v>
      </c>
      <c r="E879" s="190">
        <v>0</v>
      </c>
      <c r="F879" s="190">
        <v>7.9</v>
      </c>
      <c r="G879" s="190">
        <v>6</v>
      </c>
      <c r="H879" s="190">
        <v>9</v>
      </c>
      <c r="I879" s="190">
        <v>0</v>
      </c>
    </row>
    <row r="880" spans="1:9" hidden="1" x14ac:dyDescent="0.35">
      <c r="A880" s="38" t="s">
        <v>765</v>
      </c>
      <c r="B880" s="38" t="s">
        <v>745</v>
      </c>
      <c r="C880" s="38" t="s">
        <v>698</v>
      </c>
      <c r="D880" s="38" t="s">
        <v>747</v>
      </c>
      <c r="E880" s="190">
        <v>0</v>
      </c>
      <c r="F880" s="190">
        <v>0.6</v>
      </c>
      <c r="G880" s="190">
        <v>5</v>
      </c>
      <c r="H880" s="190">
        <v>4</v>
      </c>
      <c r="I880" s="190">
        <v>0</v>
      </c>
    </row>
    <row r="881" spans="1:9" hidden="1" x14ac:dyDescent="0.35">
      <c r="A881" s="38" t="s">
        <v>765</v>
      </c>
      <c r="B881" s="38" t="s">
        <v>745</v>
      </c>
      <c r="C881" s="38" t="s">
        <v>698</v>
      </c>
      <c r="D881" s="38" t="s">
        <v>700</v>
      </c>
      <c r="E881" s="190">
        <v>0</v>
      </c>
      <c r="F881" s="190">
        <v>0.6</v>
      </c>
      <c r="G881" s="190">
        <v>5</v>
      </c>
      <c r="H881" s="190">
        <v>4</v>
      </c>
      <c r="I881" s="190">
        <v>0</v>
      </c>
    </row>
    <row r="882" spans="1:9" hidden="1" x14ac:dyDescent="0.35">
      <c r="A882" s="38" t="s">
        <v>765</v>
      </c>
      <c r="B882" s="38" t="s">
        <v>745</v>
      </c>
      <c r="C882" s="38" t="s">
        <v>698</v>
      </c>
      <c r="D882" s="38" t="s">
        <v>521</v>
      </c>
      <c r="E882" s="190">
        <v>0</v>
      </c>
      <c r="F882" s="190">
        <v>0.3</v>
      </c>
      <c r="G882" s="190">
        <v>5</v>
      </c>
      <c r="H882" s="190">
        <v>4</v>
      </c>
      <c r="I882" s="190">
        <v>0</v>
      </c>
    </row>
    <row r="883" spans="1:9" hidden="1" x14ac:dyDescent="0.35">
      <c r="A883" s="38" t="s">
        <v>765</v>
      </c>
      <c r="B883" s="38" t="s">
        <v>745</v>
      </c>
      <c r="C883" s="38" t="s">
        <v>698</v>
      </c>
      <c r="D883" s="38" t="s">
        <v>252</v>
      </c>
      <c r="E883" s="190">
        <v>0</v>
      </c>
      <c r="F883" s="190">
        <v>0.9</v>
      </c>
      <c r="G883" s="190">
        <v>5</v>
      </c>
      <c r="H883" s="190">
        <v>4</v>
      </c>
      <c r="I883" s="190">
        <v>0</v>
      </c>
    </row>
    <row r="884" spans="1:9" hidden="1" x14ac:dyDescent="0.35">
      <c r="A884" s="38" t="s">
        <v>765</v>
      </c>
      <c r="B884" s="38" t="s">
        <v>745</v>
      </c>
      <c r="C884" s="38" t="s">
        <v>701</v>
      </c>
      <c r="D884" s="38" t="s">
        <v>702</v>
      </c>
      <c r="E884" s="190">
        <v>0</v>
      </c>
      <c r="F884" s="190">
        <v>1.9</v>
      </c>
      <c r="G884" s="190">
        <v>0.5</v>
      </c>
      <c r="H884" s="190">
        <v>2</v>
      </c>
      <c r="I884" s="190">
        <v>0</v>
      </c>
    </row>
    <row r="885" spans="1:9" hidden="1" x14ac:dyDescent="0.35">
      <c r="A885" s="38" t="s">
        <v>765</v>
      </c>
      <c r="B885" s="38" t="s">
        <v>745</v>
      </c>
      <c r="C885" s="38" t="s">
        <v>701</v>
      </c>
      <c r="D885" s="38" t="s">
        <v>703</v>
      </c>
      <c r="E885" s="190">
        <v>0</v>
      </c>
      <c r="F885" s="190">
        <v>1.7</v>
      </c>
      <c r="G885" s="190">
        <v>1.2</v>
      </c>
      <c r="H885" s="190">
        <v>0.82</v>
      </c>
      <c r="I885" s="190">
        <v>0</v>
      </c>
    </row>
    <row r="886" spans="1:9" hidden="1" x14ac:dyDescent="0.35">
      <c r="A886" s="38" t="s">
        <v>765</v>
      </c>
      <c r="B886" s="38" t="s">
        <v>745</v>
      </c>
      <c r="C886" s="38" t="s">
        <v>704</v>
      </c>
      <c r="D886" s="38" t="s">
        <v>746</v>
      </c>
      <c r="E886" s="190">
        <v>0</v>
      </c>
      <c r="F886" s="190">
        <v>1.2</v>
      </c>
      <c r="G886" s="190">
        <v>5</v>
      </c>
      <c r="H886" s="190">
        <v>1</v>
      </c>
      <c r="I886" s="190">
        <v>0</v>
      </c>
    </row>
    <row r="887" spans="1:9" hidden="1" x14ac:dyDescent="0.35">
      <c r="A887" s="38" t="s">
        <v>765</v>
      </c>
      <c r="B887" s="38" t="s">
        <v>745</v>
      </c>
      <c r="C887" s="38" t="s">
        <v>707</v>
      </c>
      <c r="D887" s="38" t="s">
        <v>708</v>
      </c>
      <c r="E887" s="190">
        <v>0</v>
      </c>
      <c r="F887" s="190">
        <v>7.6</v>
      </c>
      <c r="G887" s="190">
        <v>13.8</v>
      </c>
      <c r="H887" s="190">
        <v>7</v>
      </c>
      <c r="I887" s="190">
        <v>0</v>
      </c>
    </row>
    <row r="888" spans="1:9" hidden="1" x14ac:dyDescent="0.35">
      <c r="A888" s="38" t="s">
        <v>765</v>
      </c>
      <c r="B888" s="38" t="s">
        <v>748</v>
      </c>
      <c r="C888" s="38" t="s">
        <v>686</v>
      </c>
      <c r="D888" s="38" t="s">
        <v>746</v>
      </c>
      <c r="E888" s="190">
        <v>0</v>
      </c>
      <c r="F888" s="190">
        <v>4.24</v>
      </c>
      <c r="G888" s="190">
        <v>11.8</v>
      </c>
      <c r="H888" s="190">
        <v>2</v>
      </c>
      <c r="I888" s="190">
        <v>0</v>
      </c>
    </row>
    <row r="889" spans="1:9" hidden="1" x14ac:dyDescent="0.35">
      <c r="A889" s="38" t="s">
        <v>765</v>
      </c>
      <c r="B889" s="38" t="s">
        <v>748</v>
      </c>
      <c r="C889" s="38" t="s">
        <v>691</v>
      </c>
      <c r="D889" s="38" t="s">
        <v>746</v>
      </c>
      <c r="E889" s="190">
        <v>0</v>
      </c>
      <c r="F889" s="190">
        <v>8.3699999999999992</v>
      </c>
      <c r="G889" s="190">
        <v>2</v>
      </c>
      <c r="H889" s="190">
        <v>8</v>
      </c>
      <c r="I889" s="190">
        <v>0</v>
      </c>
    </row>
    <row r="890" spans="1:9" hidden="1" x14ac:dyDescent="0.35">
      <c r="A890" s="38" t="s">
        <v>765</v>
      </c>
      <c r="B890" s="38" t="s">
        <v>748</v>
      </c>
      <c r="C890" s="38" t="s">
        <v>696</v>
      </c>
      <c r="D890" s="38" t="s">
        <v>697</v>
      </c>
      <c r="E890" s="190">
        <v>0</v>
      </c>
      <c r="F890" s="190">
        <v>16.5</v>
      </c>
      <c r="G890" s="190">
        <v>6</v>
      </c>
      <c r="H890" s="190">
        <v>11</v>
      </c>
      <c r="I890" s="190">
        <v>0</v>
      </c>
    </row>
    <row r="891" spans="1:9" hidden="1" x14ac:dyDescent="0.35">
      <c r="A891" s="38" t="s">
        <v>765</v>
      </c>
      <c r="B891" s="38" t="s">
        <v>748</v>
      </c>
      <c r="C891" s="38" t="s">
        <v>698</v>
      </c>
      <c r="D891" s="38" t="s">
        <v>747</v>
      </c>
      <c r="E891" s="190">
        <v>0</v>
      </c>
      <c r="F891" s="190">
        <v>0.55000000000000004</v>
      </c>
      <c r="G891" s="190">
        <v>5</v>
      </c>
      <c r="H891" s="190">
        <v>6</v>
      </c>
      <c r="I891" s="190">
        <v>0</v>
      </c>
    </row>
    <row r="892" spans="1:9" hidden="1" x14ac:dyDescent="0.35">
      <c r="A892" s="38" t="s">
        <v>765</v>
      </c>
      <c r="B892" s="38" t="s">
        <v>748</v>
      </c>
      <c r="C892" s="38" t="s">
        <v>698</v>
      </c>
      <c r="D892" s="38" t="s">
        <v>700</v>
      </c>
      <c r="E892" s="190">
        <v>0</v>
      </c>
      <c r="F892" s="190">
        <v>0.81</v>
      </c>
      <c r="G892" s="190">
        <v>5</v>
      </c>
      <c r="H892" s="190">
        <v>6</v>
      </c>
      <c r="I892" s="190">
        <v>0</v>
      </c>
    </row>
    <row r="893" spans="1:9" hidden="1" x14ac:dyDescent="0.35">
      <c r="A893" s="38" t="s">
        <v>765</v>
      </c>
      <c r="B893" s="38" t="s">
        <v>748</v>
      </c>
      <c r="C893" s="38" t="s">
        <v>698</v>
      </c>
      <c r="D893" s="38" t="s">
        <v>521</v>
      </c>
      <c r="E893" s="190">
        <v>0</v>
      </c>
      <c r="F893" s="190">
        <v>0.18</v>
      </c>
      <c r="G893" s="190">
        <v>5</v>
      </c>
      <c r="H893" s="190">
        <v>6</v>
      </c>
      <c r="I893" s="190">
        <v>0</v>
      </c>
    </row>
    <row r="894" spans="1:9" hidden="1" x14ac:dyDescent="0.35">
      <c r="A894" s="38" t="s">
        <v>765</v>
      </c>
      <c r="B894" s="38" t="s">
        <v>748</v>
      </c>
      <c r="C894" s="38" t="s">
        <v>698</v>
      </c>
      <c r="D894" s="38" t="s">
        <v>252</v>
      </c>
      <c r="E894" s="190">
        <v>0</v>
      </c>
      <c r="F894" s="190">
        <v>1.03</v>
      </c>
      <c r="G894" s="190">
        <v>5</v>
      </c>
      <c r="H894" s="190">
        <v>6</v>
      </c>
      <c r="I894" s="190">
        <v>0</v>
      </c>
    </row>
    <row r="895" spans="1:9" hidden="1" x14ac:dyDescent="0.35">
      <c r="A895" s="38" t="s">
        <v>765</v>
      </c>
      <c r="B895" s="38" t="s">
        <v>748</v>
      </c>
      <c r="C895" s="38" t="s">
        <v>701</v>
      </c>
      <c r="D895" s="38" t="s">
        <v>702</v>
      </c>
      <c r="E895" s="190">
        <v>0</v>
      </c>
      <c r="F895" s="190">
        <v>2.38</v>
      </c>
      <c r="G895" s="190">
        <v>0.5</v>
      </c>
      <c r="H895" s="190">
        <v>4</v>
      </c>
      <c r="I895" s="190">
        <v>0</v>
      </c>
    </row>
    <row r="896" spans="1:9" hidden="1" x14ac:dyDescent="0.35">
      <c r="A896" s="38" t="s">
        <v>765</v>
      </c>
      <c r="B896" s="38" t="s">
        <v>748</v>
      </c>
      <c r="C896" s="38" t="s">
        <v>701</v>
      </c>
      <c r="D896" s="38" t="s">
        <v>703</v>
      </c>
      <c r="E896" s="190">
        <v>0</v>
      </c>
      <c r="F896" s="190">
        <v>2.2400000000000002</v>
      </c>
      <c r="G896" s="190">
        <v>1.2</v>
      </c>
      <c r="H896" s="190">
        <v>0.5</v>
      </c>
      <c r="I896" s="190">
        <v>0</v>
      </c>
    </row>
    <row r="897" spans="1:9" hidden="1" x14ac:dyDescent="0.35">
      <c r="A897" s="38" t="s">
        <v>765</v>
      </c>
      <c r="B897" s="38" t="s">
        <v>748</v>
      </c>
      <c r="C897" s="38" t="s">
        <v>704</v>
      </c>
      <c r="D897" s="38" t="s">
        <v>746</v>
      </c>
      <c r="E897" s="190">
        <v>0</v>
      </c>
      <c r="F897" s="190">
        <v>2.72</v>
      </c>
      <c r="G897" s="190">
        <v>5</v>
      </c>
      <c r="H897" s="190">
        <v>1</v>
      </c>
      <c r="I897" s="190">
        <v>0</v>
      </c>
    </row>
    <row r="898" spans="1:9" hidden="1" x14ac:dyDescent="0.35">
      <c r="A898" s="38" t="s">
        <v>765</v>
      </c>
      <c r="B898" s="38" t="s">
        <v>748</v>
      </c>
      <c r="C898" s="38" t="s">
        <v>707</v>
      </c>
      <c r="D898" s="38" t="s">
        <v>708</v>
      </c>
      <c r="E898" s="190">
        <v>0</v>
      </c>
      <c r="F898" s="190">
        <v>4.8499999999999996</v>
      </c>
      <c r="G898" s="190">
        <v>15</v>
      </c>
      <c r="H898" s="190">
        <v>9</v>
      </c>
      <c r="I898" s="190">
        <v>0</v>
      </c>
    </row>
    <row r="899" spans="1:9" hidden="1" x14ac:dyDescent="0.35">
      <c r="A899" s="38" t="s">
        <v>765</v>
      </c>
      <c r="B899" s="38" t="s">
        <v>749</v>
      </c>
      <c r="C899" s="38" t="s">
        <v>686</v>
      </c>
      <c r="D899" s="38" t="s">
        <v>746</v>
      </c>
      <c r="E899" s="190">
        <v>0</v>
      </c>
      <c r="F899" s="190">
        <v>3.25</v>
      </c>
      <c r="G899" s="190">
        <v>10.5</v>
      </c>
      <c r="H899" s="190">
        <v>9</v>
      </c>
      <c r="I899" s="190">
        <v>0</v>
      </c>
    </row>
    <row r="900" spans="1:9" hidden="1" x14ac:dyDescent="0.35">
      <c r="A900" s="38" t="s">
        <v>765</v>
      </c>
      <c r="B900" s="38" t="s">
        <v>749</v>
      </c>
      <c r="C900" s="38" t="s">
        <v>691</v>
      </c>
      <c r="D900" s="38" t="s">
        <v>746</v>
      </c>
      <c r="E900" s="190">
        <v>0</v>
      </c>
      <c r="F900" s="190">
        <v>15.3</v>
      </c>
      <c r="G900" s="190">
        <v>2</v>
      </c>
      <c r="H900" s="190">
        <v>9.35</v>
      </c>
      <c r="I900" s="190">
        <v>0</v>
      </c>
    </row>
    <row r="901" spans="1:9" hidden="1" x14ac:dyDescent="0.35">
      <c r="A901" s="38" t="s">
        <v>765</v>
      </c>
      <c r="B901" s="38" t="s">
        <v>749</v>
      </c>
      <c r="C901" s="38" t="s">
        <v>696</v>
      </c>
      <c r="D901" s="38" t="s">
        <v>697</v>
      </c>
      <c r="E901" s="190">
        <v>0</v>
      </c>
      <c r="F901" s="190">
        <v>2.2200000000000002</v>
      </c>
      <c r="G901" s="190">
        <v>6</v>
      </c>
      <c r="H901" s="190">
        <v>6.83</v>
      </c>
      <c r="I901" s="190">
        <v>0</v>
      </c>
    </row>
    <row r="902" spans="1:9" hidden="1" x14ac:dyDescent="0.35">
      <c r="A902" s="38" t="s">
        <v>765</v>
      </c>
      <c r="B902" s="38" t="s">
        <v>749</v>
      </c>
      <c r="C902" s="38" t="s">
        <v>698</v>
      </c>
      <c r="D902" s="38" t="s">
        <v>747</v>
      </c>
      <c r="E902" s="190">
        <v>0</v>
      </c>
      <c r="F902" s="190">
        <v>0.31</v>
      </c>
      <c r="G902" s="190">
        <v>5</v>
      </c>
      <c r="H902" s="190">
        <v>3.9</v>
      </c>
      <c r="I902" s="190">
        <v>0</v>
      </c>
    </row>
    <row r="903" spans="1:9" hidden="1" x14ac:dyDescent="0.35">
      <c r="A903" s="38" t="s">
        <v>765</v>
      </c>
      <c r="B903" s="38" t="s">
        <v>749</v>
      </c>
      <c r="C903" s="38" t="s">
        <v>698</v>
      </c>
      <c r="D903" s="38" t="s">
        <v>700</v>
      </c>
      <c r="E903" s="190">
        <v>0</v>
      </c>
      <c r="F903" s="190">
        <v>0.8</v>
      </c>
      <c r="G903" s="190">
        <v>5</v>
      </c>
      <c r="H903" s="190">
        <v>3.9</v>
      </c>
      <c r="I903" s="190">
        <v>0</v>
      </c>
    </row>
    <row r="904" spans="1:9" hidden="1" x14ac:dyDescent="0.35">
      <c r="A904" s="38" t="s">
        <v>765</v>
      </c>
      <c r="B904" s="38" t="s">
        <v>749</v>
      </c>
      <c r="C904" s="38" t="s">
        <v>698</v>
      </c>
      <c r="D904" s="38" t="s">
        <v>521</v>
      </c>
      <c r="E904" s="190">
        <v>0</v>
      </c>
      <c r="F904" s="190">
        <v>0.66</v>
      </c>
      <c r="G904" s="190">
        <v>5</v>
      </c>
      <c r="H904" s="190">
        <v>3.9</v>
      </c>
      <c r="I904" s="190">
        <v>0</v>
      </c>
    </row>
    <row r="905" spans="1:9" hidden="1" x14ac:dyDescent="0.35">
      <c r="A905" s="38" t="s">
        <v>765</v>
      </c>
      <c r="B905" s="38" t="s">
        <v>749</v>
      </c>
      <c r="C905" s="38" t="s">
        <v>698</v>
      </c>
      <c r="D905" s="38" t="s">
        <v>252</v>
      </c>
      <c r="E905" s="190">
        <v>0</v>
      </c>
      <c r="F905" s="190">
        <v>0.88</v>
      </c>
      <c r="G905" s="190">
        <v>5</v>
      </c>
      <c r="H905" s="190">
        <v>3.9</v>
      </c>
      <c r="I905" s="190">
        <v>0</v>
      </c>
    </row>
    <row r="906" spans="1:9" hidden="1" x14ac:dyDescent="0.35">
      <c r="A906" s="38" t="s">
        <v>765</v>
      </c>
      <c r="B906" s="38" t="s">
        <v>749</v>
      </c>
      <c r="C906" s="38" t="s">
        <v>701</v>
      </c>
      <c r="D906" s="38" t="s">
        <v>702</v>
      </c>
      <c r="E906" s="190">
        <v>0</v>
      </c>
      <c r="F906" s="190">
        <v>2.27</v>
      </c>
      <c r="G906" s="190">
        <v>0.5</v>
      </c>
      <c r="H906" s="190">
        <v>7</v>
      </c>
      <c r="I906" s="190">
        <v>0</v>
      </c>
    </row>
    <row r="907" spans="1:9" hidden="1" x14ac:dyDescent="0.35">
      <c r="A907" s="38" t="s">
        <v>765</v>
      </c>
      <c r="B907" s="38" t="s">
        <v>749</v>
      </c>
      <c r="C907" s="38" t="s">
        <v>701</v>
      </c>
      <c r="D907" s="38" t="s">
        <v>703</v>
      </c>
      <c r="E907" s="190">
        <v>0</v>
      </c>
      <c r="F907" s="190">
        <v>0.4</v>
      </c>
      <c r="G907" s="190">
        <v>1.2</v>
      </c>
      <c r="H907" s="190">
        <v>7.75</v>
      </c>
      <c r="I907" s="190">
        <v>0</v>
      </c>
    </row>
    <row r="908" spans="1:9" hidden="1" x14ac:dyDescent="0.35">
      <c r="A908" s="38" t="s">
        <v>765</v>
      </c>
      <c r="B908" s="38" t="s">
        <v>749</v>
      </c>
      <c r="C908" s="38" t="s">
        <v>704</v>
      </c>
      <c r="D908" s="38" t="s">
        <v>746</v>
      </c>
      <c r="E908" s="190">
        <v>0</v>
      </c>
      <c r="F908" s="190">
        <v>3.91</v>
      </c>
      <c r="G908" s="190">
        <v>5</v>
      </c>
      <c r="H908" s="190">
        <v>1</v>
      </c>
      <c r="I908" s="190">
        <v>0</v>
      </c>
    </row>
    <row r="909" spans="1:9" hidden="1" x14ac:dyDescent="0.35">
      <c r="A909" s="38" t="s">
        <v>765</v>
      </c>
      <c r="B909" s="38" t="s">
        <v>749</v>
      </c>
      <c r="C909" s="38" t="s">
        <v>707</v>
      </c>
      <c r="D909" s="38" t="s">
        <v>708</v>
      </c>
      <c r="E909" s="190">
        <v>0</v>
      </c>
      <c r="F909" s="190">
        <v>5.83</v>
      </c>
      <c r="G909" s="190">
        <v>15</v>
      </c>
      <c r="H909" s="190">
        <v>8</v>
      </c>
      <c r="I909" s="190">
        <v>0</v>
      </c>
    </row>
    <row r="910" spans="1:9" hidden="1" x14ac:dyDescent="0.35">
      <c r="A910" s="38" t="s">
        <v>765</v>
      </c>
      <c r="B910" s="38" t="s">
        <v>750</v>
      </c>
      <c r="C910" s="38" t="s">
        <v>686</v>
      </c>
      <c r="D910" s="38" t="s">
        <v>746</v>
      </c>
      <c r="E910" s="190">
        <v>0</v>
      </c>
      <c r="F910" s="190">
        <v>7.46</v>
      </c>
      <c r="G910" s="190">
        <v>9</v>
      </c>
      <c r="H910" s="190">
        <v>4</v>
      </c>
      <c r="I910" s="190">
        <v>0</v>
      </c>
    </row>
    <row r="911" spans="1:9" hidden="1" x14ac:dyDescent="0.35">
      <c r="A911" s="38" t="s">
        <v>765</v>
      </c>
      <c r="B911" s="38" t="s">
        <v>750</v>
      </c>
      <c r="C911" s="38" t="s">
        <v>691</v>
      </c>
      <c r="D911" s="38" t="s">
        <v>746</v>
      </c>
      <c r="E911" s="190">
        <v>0</v>
      </c>
      <c r="F911" s="190">
        <v>14.32</v>
      </c>
      <c r="G911" s="190">
        <v>20</v>
      </c>
      <c r="H911" s="190">
        <v>12</v>
      </c>
      <c r="I911" s="190">
        <v>0</v>
      </c>
    </row>
    <row r="912" spans="1:9" hidden="1" x14ac:dyDescent="0.35">
      <c r="A912" s="38" t="s">
        <v>765</v>
      </c>
      <c r="B912" s="38" t="s">
        <v>750</v>
      </c>
      <c r="C912" s="38" t="s">
        <v>696</v>
      </c>
      <c r="D912" s="38" t="s">
        <v>697</v>
      </c>
      <c r="E912" s="190">
        <v>0</v>
      </c>
      <c r="F912" s="190">
        <v>19.61</v>
      </c>
      <c r="G912" s="190">
        <v>9</v>
      </c>
      <c r="H912" s="190">
        <v>10</v>
      </c>
      <c r="I912" s="190">
        <v>0</v>
      </c>
    </row>
    <row r="913" spans="1:9" hidden="1" x14ac:dyDescent="0.35">
      <c r="A913" s="38" t="s">
        <v>765</v>
      </c>
      <c r="B913" s="38" t="s">
        <v>750</v>
      </c>
      <c r="C913" s="38" t="s">
        <v>698</v>
      </c>
      <c r="D913" s="38" t="s">
        <v>747</v>
      </c>
      <c r="E913" s="190">
        <v>0</v>
      </c>
      <c r="F913" s="190">
        <v>1.32</v>
      </c>
      <c r="G913" s="190">
        <v>5</v>
      </c>
      <c r="H913" s="190">
        <v>5</v>
      </c>
      <c r="I913" s="190">
        <v>0</v>
      </c>
    </row>
    <row r="914" spans="1:9" hidden="1" x14ac:dyDescent="0.35">
      <c r="A914" s="38" t="s">
        <v>765</v>
      </c>
      <c r="B914" s="38" t="s">
        <v>750</v>
      </c>
      <c r="C914" s="38" t="s">
        <v>698</v>
      </c>
      <c r="D914" s="38" t="s">
        <v>700</v>
      </c>
      <c r="E914" s="190">
        <v>0</v>
      </c>
      <c r="F914" s="190">
        <v>1.04</v>
      </c>
      <c r="G914" s="190">
        <v>5</v>
      </c>
      <c r="H914" s="190">
        <v>5</v>
      </c>
      <c r="I914" s="190">
        <v>0</v>
      </c>
    </row>
    <row r="915" spans="1:9" hidden="1" x14ac:dyDescent="0.35">
      <c r="A915" s="38" t="s">
        <v>765</v>
      </c>
      <c r="B915" s="38" t="s">
        <v>750</v>
      </c>
      <c r="C915" s="38" t="s">
        <v>698</v>
      </c>
      <c r="D915" s="38" t="s">
        <v>521</v>
      </c>
      <c r="E915" s="190">
        <v>0</v>
      </c>
      <c r="F915" s="190">
        <v>0.41</v>
      </c>
      <c r="G915" s="190">
        <v>5</v>
      </c>
      <c r="H915" s="190">
        <v>5</v>
      </c>
      <c r="I915" s="190">
        <v>0</v>
      </c>
    </row>
    <row r="916" spans="1:9" hidden="1" x14ac:dyDescent="0.35">
      <c r="A916" s="38" t="s">
        <v>765</v>
      </c>
      <c r="B916" s="38" t="s">
        <v>750</v>
      </c>
      <c r="C916" s="38" t="s">
        <v>698</v>
      </c>
      <c r="D916" s="38" t="s">
        <v>252</v>
      </c>
      <c r="E916" s="190">
        <v>0</v>
      </c>
      <c r="F916" s="190">
        <v>1.5</v>
      </c>
      <c r="G916" s="190">
        <v>5</v>
      </c>
      <c r="H916" s="190">
        <v>5</v>
      </c>
      <c r="I916" s="190">
        <v>0</v>
      </c>
    </row>
    <row r="917" spans="1:9" hidden="1" x14ac:dyDescent="0.35">
      <c r="A917" s="38" t="s">
        <v>765</v>
      </c>
      <c r="B917" s="38" t="s">
        <v>750</v>
      </c>
      <c r="C917" s="38" t="s">
        <v>701</v>
      </c>
      <c r="D917" s="38" t="s">
        <v>702</v>
      </c>
      <c r="E917" s="190">
        <v>0</v>
      </c>
      <c r="F917" s="190">
        <v>6.21</v>
      </c>
      <c r="G917" s="190">
        <v>0.5</v>
      </c>
      <c r="H917" s="190">
        <v>4</v>
      </c>
      <c r="I917" s="190">
        <v>0</v>
      </c>
    </row>
    <row r="918" spans="1:9" hidden="1" x14ac:dyDescent="0.35">
      <c r="A918" s="38" t="s">
        <v>765</v>
      </c>
      <c r="B918" s="38" t="s">
        <v>750</v>
      </c>
      <c r="C918" s="38" t="s">
        <v>701</v>
      </c>
      <c r="D918" s="38" t="s">
        <v>703</v>
      </c>
      <c r="E918" s="190">
        <v>0</v>
      </c>
      <c r="F918" s="190">
        <v>3.74</v>
      </c>
      <c r="G918" s="190">
        <v>2</v>
      </c>
      <c r="H918" s="190">
        <v>8</v>
      </c>
      <c r="I918" s="190">
        <v>0</v>
      </c>
    </row>
    <row r="919" spans="1:9" hidden="1" x14ac:dyDescent="0.35">
      <c r="A919" s="38" t="s">
        <v>765</v>
      </c>
      <c r="B919" s="38" t="s">
        <v>750</v>
      </c>
      <c r="C919" s="38" t="s">
        <v>704</v>
      </c>
      <c r="D919" s="38" t="s">
        <v>746</v>
      </c>
      <c r="E919" s="190">
        <v>0</v>
      </c>
      <c r="F919" s="190">
        <v>1.49</v>
      </c>
      <c r="G919" s="190">
        <v>8</v>
      </c>
      <c r="H919" s="190">
        <v>2</v>
      </c>
      <c r="I919" s="190">
        <v>0</v>
      </c>
    </row>
    <row r="920" spans="1:9" hidden="1" x14ac:dyDescent="0.35">
      <c r="A920" s="38" t="s">
        <v>765</v>
      </c>
      <c r="B920" s="38" t="s">
        <v>750</v>
      </c>
      <c r="C920" s="38" t="s">
        <v>707</v>
      </c>
      <c r="D920" s="38" t="s">
        <v>708</v>
      </c>
      <c r="E920" s="190">
        <v>0</v>
      </c>
      <c r="F920" s="190">
        <v>10.39</v>
      </c>
      <c r="G920" s="190">
        <v>12</v>
      </c>
      <c r="H920" s="190">
        <v>3</v>
      </c>
      <c r="I920" s="190">
        <v>0</v>
      </c>
    </row>
    <row r="921" spans="1:9" hidden="1" x14ac:dyDescent="0.35">
      <c r="A921" s="38" t="s">
        <v>765</v>
      </c>
      <c r="B921" s="38" t="s">
        <v>751</v>
      </c>
      <c r="C921" s="38" t="s">
        <v>686</v>
      </c>
      <c r="D921" s="38" t="s">
        <v>746</v>
      </c>
      <c r="E921" s="190">
        <v>0</v>
      </c>
      <c r="F921" s="190">
        <v>7.23</v>
      </c>
      <c r="G921" s="190">
        <v>9</v>
      </c>
      <c r="H921" s="190">
        <v>4</v>
      </c>
      <c r="I921" s="190">
        <v>0</v>
      </c>
    </row>
    <row r="922" spans="1:9" hidden="1" x14ac:dyDescent="0.35">
      <c r="A922" s="38" t="s">
        <v>765</v>
      </c>
      <c r="B922" s="38" t="s">
        <v>751</v>
      </c>
      <c r="C922" s="38" t="s">
        <v>691</v>
      </c>
      <c r="D922" s="38" t="s">
        <v>746</v>
      </c>
      <c r="E922" s="190">
        <v>0</v>
      </c>
      <c r="F922" s="190">
        <v>11.3</v>
      </c>
      <c r="G922" s="190">
        <v>20</v>
      </c>
      <c r="H922" s="190">
        <v>15.15</v>
      </c>
      <c r="I922" s="190">
        <v>0</v>
      </c>
    </row>
    <row r="923" spans="1:9" hidden="1" x14ac:dyDescent="0.35">
      <c r="A923" s="38" t="s">
        <v>765</v>
      </c>
      <c r="B923" s="38" t="s">
        <v>751</v>
      </c>
      <c r="C923" s="38" t="s">
        <v>696</v>
      </c>
      <c r="D923" s="38" t="s">
        <v>697</v>
      </c>
      <c r="E923" s="190">
        <v>0</v>
      </c>
      <c r="F923" s="190">
        <v>22.46</v>
      </c>
      <c r="G923" s="190">
        <v>9</v>
      </c>
      <c r="H923" s="190">
        <v>10</v>
      </c>
      <c r="I923" s="190">
        <v>0</v>
      </c>
    </row>
    <row r="924" spans="1:9" hidden="1" x14ac:dyDescent="0.35">
      <c r="A924" s="38" t="s">
        <v>765</v>
      </c>
      <c r="B924" s="38" t="s">
        <v>751</v>
      </c>
      <c r="C924" s="38" t="s">
        <v>698</v>
      </c>
      <c r="D924" s="38" t="s">
        <v>747</v>
      </c>
      <c r="E924" s="190">
        <v>0</v>
      </c>
      <c r="F924" s="190">
        <v>0.2</v>
      </c>
      <c r="G924" s="190">
        <v>5</v>
      </c>
      <c r="H924" s="190">
        <v>5</v>
      </c>
      <c r="I924" s="190">
        <v>0</v>
      </c>
    </row>
    <row r="925" spans="1:9" hidden="1" x14ac:dyDescent="0.35">
      <c r="A925" s="38" t="s">
        <v>765</v>
      </c>
      <c r="B925" s="38" t="s">
        <v>751</v>
      </c>
      <c r="C925" s="38" t="s">
        <v>698</v>
      </c>
      <c r="D925" s="38" t="s">
        <v>700</v>
      </c>
      <c r="E925" s="190">
        <v>0</v>
      </c>
      <c r="F925" s="190">
        <v>0.2</v>
      </c>
      <c r="G925" s="190">
        <v>5</v>
      </c>
      <c r="H925" s="190">
        <v>5</v>
      </c>
      <c r="I925" s="190">
        <v>0</v>
      </c>
    </row>
    <row r="926" spans="1:9" hidden="1" x14ac:dyDescent="0.35">
      <c r="A926" s="38" t="s">
        <v>765</v>
      </c>
      <c r="B926" s="38" t="s">
        <v>751</v>
      </c>
      <c r="C926" s="38" t="s">
        <v>698</v>
      </c>
      <c r="D926" s="38" t="s">
        <v>521</v>
      </c>
      <c r="E926" s="190">
        <v>0</v>
      </c>
      <c r="F926" s="190">
        <v>0.23</v>
      </c>
      <c r="G926" s="190">
        <v>5</v>
      </c>
      <c r="H926" s="190">
        <v>5</v>
      </c>
      <c r="I926" s="190">
        <v>0</v>
      </c>
    </row>
    <row r="927" spans="1:9" hidden="1" x14ac:dyDescent="0.35">
      <c r="A927" s="38" t="s">
        <v>765</v>
      </c>
      <c r="B927" s="38" t="s">
        <v>751</v>
      </c>
      <c r="C927" s="38" t="s">
        <v>698</v>
      </c>
      <c r="D927" s="38" t="s">
        <v>252</v>
      </c>
      <c r="E927" s="190">
        <v>0</v>
      </c>
      <c r="F927" s="190">
        <v>0.9</v>
      </c>
      <c r="G927" s="190">
        <v>5</v>
      </c>
      <c r="H927" s="190">
        <v>5</v>
      </c>
      <c r="I927" s="190">
        <v>0</v>
      </c>
    </row>
    <row r="928" spans="1:9" hidden="1" x14ac:dyDescent="0.35">
      <c r="A928" s="38" t="s">
        <v>765</v>
      </c>
      <c r="B928" s="38" t="s">
        <v>751</v>
      </c>
      <c r="C928" s="38" t="s">
        <v>701</v>
      </c>
      <c r="D928" s="38" t="s">
        <v>702</v>
      </c>
      <c r="E928" s="190">
        <v>0</v>
      </c>
      <c r="F928" s="190">
        <v>4.8899999999999997</v>
      </c>
      <c r="G928" s="190">
        <v>4.5</v>
      </c>
      <c r="H928" s="190">
        <v>4</v>
      </c>
      <c r="I928" s="190">
        <v>0</v>
      </c>
    </row>
    <row r="929" spans="1:9" hidden="1" x14ac:dyDescent="0.35">
      <c r="A929" s="38" t="s">
        <v>765</v>
      </c>
      <c r="B929" s="38" t="s">
        <v>751</v>
      </c>
      <c r="C929" s="38" t="s">
        <v>701</v>
      </c>
      <c r="D929" s="38" t="s">
        <v>703</v>
      </c>
      <c r="E929" s="190">
        <v>0</v>
      </c>
      <c r="F929" s="190">
        <v>3.32</v>
      </c>
      <c r="G929" s="190">
        <v>2</v>
      </c>
      <c r="H929" s="190">
        <v>8</v>
      </c>
      <c r="I929" s="190">
        <v>0</v>
      </c>
    </row>
    <row r="930" spans="1:9" hidden="1" x14ac:dyDescent="0.35">
      <c r="A930" s="38" t="s">
        <v>765</v>
      </c>
      <c r="B930" s="38" t="s">
        <v>751</v>
      </c>
      <c r="C930" s="38" t="s">
        <v>704</v>
      </c>
      <c r="D930" s="38" t="s">
        <v>746</v>
      </c>
      <c r="E930" s="190">
        <v>0</v>
      </c>
      <c r="F930" s="190">
        <v>2.8</v>
      </c>
      <c r="G930" s="190">
        <v>8</v>
      </c>
      <c r="H930" s="190">
        <v>2</v>
      </c>
      <c r="I930" s="190">
        <v>0</v>
      </c>
    </row>
    <row r="931" spans="1:9" hidden="1" x14ac:dyDescent="0.35">
      <c r="A931" s="38" t="s">
        <v>765</v>
      </c>
      <c r="B931" s="38" t="s">
        <v>751</v>
      </c>
      <c r="C931" s="38" t="s">
        <v>707</v>
      </c>
      <c r="D931" s="38" t="s">
        <v>708</v>
      </c>
      <c r="E931" s="190">
        <v>0</v>
      </c>
      <c r="F931" s="190">
        <v>9.26</v>
      </c>
      <c r="G931" s="190">
        <v>12</v>
      </c>
      <c r="H931" s="190">
        <v>5.7</v>
      </c>
      <c r="I931" s="190">
        <v>0</v>
      </c>
    </row>
    <row r="932" spans="1:9" hidden="1" x14ac:dyDescent="0.35">
      <c r="A932" s="38" t="s">
        <v>765</v>
      </c>
      <c r="B932" s="38" t="s">
        <v>752</v>
      </c>
      <c r="C932" s="38" t="s">
        <v>686</v>
      </c>
      <c r="D932" s="38" t="s">
        <v>746</v>
      </c>
      <c r="E932" s="190">
        <v>0</v>
      </c>
      <c r="F932" s="190">
        <v>8.75</v>
      </c>
      <c r="G932" s="190">
        <v>15.25</v>
      </c>
      <c r="H932" s="190">
        <v>2</v>
      </c>
      <c r="I932" s="190">
        <v>0</v>
      </c>
    </row>
    <row r="933" spans="1:9" hidden="1" x14ac:dyDescent="0.35">
      <c r="A933" s="38" t="s">
        <v>765</v>
      </c>
      <c r="B933" s="38" t="s">
        <v>752</v>
      </c>
      <c r="C933" s="38" t="s">
        <v>691</v>
      </c>
      <c r="D933" s="38" t="s">
        <v>746</v>
      </c>
      <c r="E933" s="190">
        <v>0</v>
      </c>
      <c r="F933" s="190">
        <v>17.71</v>
      </c>
      <c r="G933" s="190">
        <v>25</v>
      </c>
      <c r="H933" s="190">
        <v>34.130000000000003</v>
      </c>
      <c r="I933" s="190">
        <v>0</v>
      </c>
    </row>
    <row r="934" spans="1:9" hidden="1" x14ac:dyDescent="0.35">
      <c r="A934" s="38" t="s">
        <v>765</v>
      </c>
      <c r="B934" s="38" t="s">
        <v>752</v>
      </c>
      <c r="C934" s="38" t="s">
        <v>696</v>
      </c>
      <c r="D934" s="38" t="s">
        <v>697</v>
      </c>
      <c r="E934" s="190">
        <v>0</v>
      </c>
      <c r="F934" s="190">
        <v>21.94</v>
      </c>
      <c r="G934" s="190">
        <v>9</v>
      </c>
      <c r="H934" s="190">
        <v>15</v>
      </c>
      <c r="I934" s="190">
        <v>0</v>
      </c>
    </row>
    <row r="935" spans="1:9" hidden="1" x14ac:dyDescent="0.35">
      <c r="A935" s="38" t="s">
        <v>765</v>
      </c>
      <c r="B935" s="38" t="s">
        <v>752</v>
      </c>
      <c r="C935" s="38" t="s">
        <v>698</v>
      </c>
      <c r="D935" s="38" t="s">
        <v>747</v>
      </c>
      <c r="E935" s="190">
        <v>0</v>
      </c>
      <c r="F935" s="190">
        <v>0.93</v>
      </c>
      <c r="G935" s="190">
        <v>5</v>
      </c>
      <c r="H935" s="190">
        <v>7</v>
      </c>
      <c r="I935" s="190">
        <v>0</v>
      </c>
    </row>
    <row r="936" spans="1:9" hidden="1" x14ac:dyDescent="0.35">
      <c r="A936" s="38" t="s">
        <v>765</v>
      </c>
      <c r="B936" s="38" t="s">
        <v>752</v>
      </c>
      <c r="C936" s="38" t="s">
        <v>698</v>
      </c>
      <c r="D936" s="38" t="s">
        <v>700</v>
      </c>
      <c r="E936" s="190">
        <v>0</v>
      </c>
      <c r="F936" s="190">
        <v>0.2</v>
      </c>
      <c r="G936" s="190">
        <v>5</v>
      </c>
      <c r="H936" s="190">
        <v>7</v>
      </c>
      <c r="I936" s="190">
        <v>0</v>
      </c>
    </row>
    <row r="937" spans="1:9" hidden="1" x14ac:dyDescent="0.35">
      <c r="A937" s="38" t="s">
        <v>765</v>
      </c>
      <c r="B937" s="38" t="s">
        <v>752</v>
      </c>
      <c r="C937" s="38" t="s">
        <v>698</v>
      </c>
      <c r="D937" s="38" t="s">
        <v>521</v>
      </c>
      <c r="E937" s="190">
        <v>0</v>
      </c>
      <c r="F937" s="190">
        <v>0.23</v>
      </c>
      <c r="G937" s="190">
        <v>5</v>
      </c>
      <c r="H937" s="190">
        <v>7</v>
      </c>
      <c r="I937" s="190">
        <v>0</v>
      </c>
    </row>
    <row r="938" spans="1:9" hidden="1" x14ac:dyDescent="0.35">
      <c r="A938" s="38" t="s">
        <v>765</v>
      </c>
      <c r="B938" s="38" t="s">
        <v>752</v>
      </c>
      <c r="C938" s="38" t="s">
        <v>698</v>
      </c>
      <c r="D938" s="38" t="s">
        <v>252</v>
      </c>
      <c r="E938" s="190">
        <v>0</v>
      </c>
      <c r="F938" s="190">
        <v>0.9</v>
      </c>
      <c r="G938" s="190">
        <v>5</v>
      </c>
      <c r="H938" s="190">
        <v>7</v>
      </c>
      <c r="I938" s="190">
        <v>0</v>
      </c>
    </row>
    <row r="939" spans="1:9" hidden="1" x14ac:dyDescent="0.35">
      <c r="A939" s="38" t="s">
        <v>765</v>
      </c>
      <c r="B939" s="38" t="s">
        <v>752</v>
      </c>
      <c r="C939" s="38" t="s">
        <v>701</v>
      </c>
      <c r="D939" s="38" t="s">
        <v>702</v>
      </c>
      <c r="E939" s="190">
        <v>0</v>
      </c>
      <c r="F939" s="190">
        <v>8.01</v>
      </c>
      <c r="G939" s="190">
        <v>0.1</v>
      </c>
      <c r="H939" s="190">
        <v>3</v>
      </c>
      <c r="I939" s="190">
        <v>0</v>
      </c>
    </row>
    <row r="940" spans="1:9" hidden="1" x14ac:dyDescent="0.35">
      <c r="A940" s="38" t="s">
        <v>765</v>
      </c>
      <c r="B940" s="38" t="s">
        <v>752</v>
      </c>
      <c r="C940" s="38" t="s">
        <v>701</v>
      </c>
      <c r="D940" s="38" t="s">
        <v>703</v>
      </c>
      <c r="E940" s="190">
        <v>0</v>
      </c>
      <c r="F940" s="190">
        <v>8.1999999999999993</v>
      </c>
      <c r="G940" s="190">
        <v>2</v>
      </c>
      <c r="H940" s="190">
        <v>10</v>
      </c>
      <c r="I940" s="190">
        <v>0</v>
      </c>
    </row>
    <row r="941" spans="1:9" hidden="1" x14ac:dyDescent="0.35">
      <c r="A941" s="38" t="s">
        <v>765</v>
      </c>
      <c r="B941" s="38" t="s">
        <v>752</v>
      </c>
      <c r="C941" s="38" t="s">
        <v>704</v>
      </c>
      <c r="D941" s="38" t="s">
        <v>746</v>
      </c>
      <c r="E941" s="190">
        <v>0</v>
      </c>
      <c r="F941" s="190">
        <v>8.18</v>
      </c>
      <c r="G941" s="190">
        <v>8</v>
      </c>
      <c r="H941" s="190">
        <v>2</v>
      </c>
      <c r="I941" s="190">
        <v>0</v>
      </c>
    </row>
    <row r="942" spans="1:9" hidden="1" x14ac:dyDescent="0.35">
      <c r="A942" s="38" t="s">
        <v>765</v>
      </c>
      <c r="B942" s="38" t="s">
        <v>752</v>
      </c>
      <c r="C942" s="38" t="s">
        <v>707</v>
      </c>
      <c r="D942" s="38" t="s">
        <v>708</v>
      </c>
      <c r="E942" s="190">
        <v>0</v>
      </c>
      <c r="F942" s="190">
        <v>16.940000000000001</v>
      </c>
      <c r="G942" s="190">
        <v>15</v>
      </c>
      <c r="H942" s="190">
        <v>5</v>
      </c>
      <c r="I942" s="190">
        <v>0</v>
      </c>
    </row>
    <row r="943" spans="1:9" hidden="1" x14ac:dyDescent="0.35">
      <c r="A943" s="38" t="s">
        <v>765</v>
      </c>
      <c r="B943" s="38" t="s">
        <v>753</v>
      </c>
      <c r="C943" s="38" t="s">
        <v>686</v>
      </c>
      <c r="D943" s="38" t="s">
        <v>746</v>
      </c>
      <c r="E943" s="190">
        <v>0</v>
      </c>
      <c r="F943" s="190">
        <v>6.59</v>
      </c>
      <c r="G943" s="190">
        <v>7</v>
      </c>
      <c r="H943" s="190">
        <v>2.98</v>
      </c>
      <c r="I943" s="190">
        <v>0</v>
      </c>
    </row>
    <row r="944" spans="1:9" hidden="1" x14ac:dyDescent="0.35">
      <c r="A944" s="38" t="s">
        <v>765</v>
      </c>
      <c r="B944" s="38" t="s">
        <v>753</v>
      </c>
      <c r="C944" s="38" t="s">
        <v>691</v>
      </c>
      <c r="D944" s="38" t="s">
        <v>746</v>
      </c>
      <c r="E944" s="190">
        <v>0</v>
      </c>
      <c r="F944" s="190">
        <v>9.8699999999999992</v>
      </c>
      <c r="G944" s="190">
        <v>25</v>
      </c>
      <c r="H944" s="190">
        <v>12.96</v>
      </c>
      <c r="I944" s="190">
        <v>0</v>
      </c>
    </row>
    <row r="945" spans="1:9" hidden="1" x14ac:dyDescent="0.35">
      <c r="A945" s="38" t="s">
        <v>765</v>
      </c>
      <c r="B945" s="38" t="s">
        <v>753</v>
      </c>
      <c r="C945" s="38" t="s">
        <v>696</v>
      </c>
      <c r="D945" s="38" t="s">
        <v>697</v>
      </c>
      <c r="E945" s="190">
        <v>0</v>
      </c>
      <c r="F945" s="190">
        <v>25.47</v>
      </c>
      <c r="G945" s="190">
        <v>9</v>
      </c>
      <c r="H945" s="190">
        <v>12.33</v>
      </c>
      <c r="I945" s="190">
        <v>0</v>
      </c>
    </row>
    <row r="946" spans="1:9" hidden="1" x14ac:dyDescent="0.35">
      <c r="A946" s="38" t="s">
        <v>765</v>
      </c>
      <c r="B946" s="38" t="s">
        <v>753</v>
      </c>
      <c r="C946" s="38" t="s">
        <v>698</v>
      </c>
      <c r="D946" s="38" t="s">
        <v>747</v>
      </c>
      <c r="E946" s="190">
        <v>0</v>
      </c>
      <c r="F946" s="190">
        <v>0.21</v>
      </c>
      <c r="G946" s="190">
        <v>5</v>
      </c>
      <c r="H946" s="190">
        <v>7</v>
      </c>
      <c r="I946" s="190">
        <v>0</v>
      </c>
    </row>
    <row r="947" spans="1:9" hidden="1" x14ac:dyDescent="0.35">
      <c r="A947" s="38" t="s">
        <v>765</v>
      </c>
      <c r="B947" s="38" t="s">
        <v>753</v>
      </c>
      <c r="C947" s="38" t="s">
        <v>698</v>
      </c>
      <c r="D947" s="38" t="s">
        <v>700</v>
      </c>
      <c r="E947" s="190">
        <v>0</v>
      </c>
      <c r="F947" s="190">
        <v>0.2</v>
      </c>
      <c r="G947" s="190">
        <v>5</v>
      </c>
      <c r="H947" s="190">
        <v>7</v>
      </c>
      <c r="I947" s="190">
        <v>0</v>
      </c>
    </row>
    <row r="948" spans="1:9" hidden="1" x14ac:dyDescent="0.35">
      <c r="A948" s="38" t="s">
        <v>765</v>
      </c>
      <c r="B948" s="38" t="s">
        <v>753</v>
      </c>
      <c r="C948" s="38" t="s">
        <v>698</v>
      </c>
      <c r="D948" s="38" t="s">
        <v>521</v>
      </c>
      <c r="E948" s="190">
        <v>0</v>
      </c>
      <c r="F948" s="190">
        <v>0.47</v>
      </c>
      <c r="G948" s="190">
        <v>5</v>
      </c>
      <c r="H948" s="190">
        <v>7</v>
      </c>
      <c r="I948" s="190">
        <v>0</v>
      </c>
    </row>
    <row r="949" spans="1:9" hidden="1" x14ac:dyDescent="0.35">
      <c r="A949" s="38" t="s">
        <v>765</v>
      </c>
      <c r="B949" s="38" t="s">
        <v>753</v>
      </c>
      <c r="C949" s="38" t="s">
        <v>698</v>
      </c>
      <c r="D949" s="38" t="s">
        <v>252</v>
      </c>
      <c r="E949" s="190">
        <v>0</v>
      </c>
      <c r="F949" s="190">
        <v>0.97</v>
      </c>
      <c r="G949" s="190">
        <v>5</v>
      </c>
      <c r="H949" s="190">
        <v>7</v>
      </c>
      <c r="I949" s="190">
        <v>0</v>
      </c>
    </row>
    <row r="950" spans="1:9" hidden="1" x14ac:dyDescent="0.35">
      <c r="A950" s="38" t="s">
        <v>765</v>
      </c>
      <c r="B950" s="38" t="s">
        <v>753</v>
      </c>
      <c r="C950" s="38" t="s">
        <v>701</v>
      </c>
      <c r="D950" s="38" t="s">
        <v>702</v>
      </c>
      <c r="E950" s="190">
        <v>0</v>
      </c>
      <c r="F950" s="190">
        <v>7.23</v>
      </c>
      <c r="G950" s="190">
        <v>0.1</v>
      </c>
      <c r="H950" s="190">
        <v>3</v>
      </c>
      <c r="I950" s="190">
        <v>0</v>
      </c>
    </row>
    <row r="951" spans="1:9" hidden="1" x14ac:dyDescent="0.35">
      <c r="A951" s="38" t="s">
        <v>765</v>
      </c>
      <c r="B951" s="38" t="s">
        <v>753</v>
      </c>
      <c r="C951" s="38" t="s">
        <v>701</v>
      </c>
      <c r="D951" s="38" t="s">
        <v>703</v>
      </c>
      <c r="E951" s="190">
        <v>0</v>
      </c>
      <c r="F951" s="190">
        <v>4.68</v>
      </c>
      <c r="G951" s="190">
        <v>2</v>
      </c>
      <c r="H951" s="190">
        <v>10</v>
      </c>
      <c r="I951" s="190">
        <v>0</v>
      </c>
    </row>
    <row r="952" spans="1:9" hidden="1" x14ac:dyDescent="0.35">
      <c r="A952" s="38" t="s">
        <v>765</v>
      </c>
      <c r="B952" s="38" t="s">
        <v>753</v>
      </c>
      <c r="C952" s="38" t="s">
        <v>704</v>
      </c>
      <c r="D952" s="38" t="s">
        <v>746</v>
      </c>
      <c r="E952" s="190">
        <v>0</v>
      </c>
      <c r="F952" s="190">
        <v>3.4</v>
      </c>
      <c r="G952" s="190">
        <v>8</v>
      </c>
      <c r="H952" s="190">
        <v>2</v>
      </c>
      <c r="I952" s="190">
        <v>0</v>
      </c>
    </row>
    <row r="953" spans="1:9" hidden="1" x14ac:dyDescent="0.35">
      <c r="A953" s="38" t="s">
        <v>765</v>
      </c>
      <c r="B953" s="38" t="s">
        <v>753</v>
      </c>
      <c r="C953" s="38" t="s">
        <v>707</v>
      </c>
      <c r="D953" s="38" t="s">
        <v>708</v>
      </c>
      <c r="E953" s="190">
        <v>0</v>
      </c>
      <c r="F953" s="190">
        <v>12.11</v>
      </c>
      <c r="G953" s="190">
        <v>10</v>
      </c>
      <c r="H953" s="190">
        <v>10.78</v>
      </c>
      <c r="I953" s="190">
        <v>0</v>
      </c>
    </row>
    <row r="954" spans="1:9" hidden="1" x14ac:dyDescent="0.35">
      <c r="A954" s="38" t="s">
        <v>766</v>
      </c>
      <c r="B954" s="38" t="s">
        <v>745</v>
      </c>
      <c r="C954" s="38" t="s">
        <v>686</v>
      </c>
      <c r="D954" s="38" t="s">
        <v>746</v>
      </c>
      <c r="E954" s="190">
        <v>0</v>
      </c>
      <c r="F954" s="190">
        <v>3.8</v>
      </c>
      <c r="G954" s="190">
        <v>0</v>
      </c>
      <c r="H954" s="190">
        <v>3</v>
      </c>
      <c r="I954" s="94">
        <v>27</v>
      </c>
    </row>
    <row r="955" spans="1:9" hidden="1" x14ac:dyDescent="0.35">
      <c r="A955" s="38" t="s">
        <v>766</v>
      </c>
      <c r="B955" s="38" t="s">
        <v>745</v>
      </c>
      <c r="C955" s="38" t="s">
        <v>691</v>
      </c>
      <c r="D955" s="38" t="s">
        <v>746</v>
      </c>
      <c r="E955" s="190">
        <v>0</v>
      </c>
      <c r="F955" s="190">
        <v>7.3</v>
      </c>
      <c r="G955" s="190">
        <v>0</v>
      </c>
      <c r="H955" s="190">
        <v>4.9000000000000004</v>
      </c>
      <c r="I955" s="94">
        <v>19</v>
      </c>
    </row>
    <row r="956" spans="1:9" hidden="1" x14ac:dyDescent="0.35">
      <c r="A956" s="38" t="s">
        <v>766</v>
      </c>
      <c r="B956" s="38" t="s">
        <v>745</v>
      </c>
      <c r="C956" s="38" t="s">
        <v>696</v>
      </c>
      <c r="D956" s="38" t="s">
        <v>697</v>
      </c>
      <c r="E956" s="190">
        <v>0</v>
      </c>
      <c r="F956" s="190">
        <v>7.9</v>
      </c>
      <c r="G956" s="190">
        <v>0</v>
      </c>
      <c r="H956" s="190">
        <v>9</v>
      </c>
      <c r="I956" s="94">
        <v>11</v>
      </c>
    </row>
    <row r="957" spans="1:9" hidden="1" x14ac:dyDescent="0.35">
      <c r="A957" s="38" t="s">
        <v>766</v>
      </c>
      <c r="B957" s="38" t="s">
        <v>745</v>
      </c>
      <c r="C957" s="38" t="s">
        <v>698</v>
      </c>
      <c r="D957" s="38" t="s">
        <v>747</v>
      </c>
      <c r="E957" s="190">
        <v>0</v>
      </c>
      <c r="F957" s="190">
        <v>0.6</v>
      </c>
      <c r="G957" s="190">
        <v>0</v>
      </c>
      <c r="H957" s="190">
        <v>4</v>
      </c>
      <c r="I957" s="94">
        <v>11</v>
      </c>
    </row>
    <row r="958" spans="1:9" hidden="1" x14ac:dyDescent="0.35">
      <c r="A958" s="38" t="s">
        <v>766</v>
      </c>
      <c r="B958" s="38" t="s">
        <v>745</v>
      </c>
      <c r="C958" s="38" t="s">
        <v>698</v>
      </c>
      <c r="D958" s="38" t="s">
        <v>700</v>
      </c>
      <c r="E958" s="190">
        <v>0</v>
      </c>
      <c r="F958" s="190">
        <v>0.6</v>
      </c>
      <c r="G958" s="190">
        <v>0</v>
      </c>
      <c r="H958" s="190">
        <v>4</v>
      </c>
      <c r="I958" s="94">
        <v>11</v>
      </c>
    </row>
    <row r="959" spans="1:9" hidden="1" x14ac:dyDescent="0.35">
      <c r="A959" s="38" t="s">
        <v>766</v>
      </c>
      <c r="B959" s="38" t="s">
        <v>745</v>
      </c>
      <c r="C959" s="38" t="s">
        <v>698</v>
      </c>
      <c r="D959" s="38" t="s">
        <v>521</v>
      </c>
      <c r="E959" s="190">
        <v>0</v>
      </c>
      <c r="F959" s="190">
        <v>0.3</v>
      </c>
      <c r="G959" s="190">
        <v>0</v>
      </c>
      <c r="H959" s="190">
        <v>4</v>
      </c>
      <c r="I959" s="94">
        <v>11</v>
      </c>
    </row>
    <row r="960" spans="1:9" hidden="1" x14ac:dyDescent="0.35">
      <c r="A960" s="38" t="s">
        <v>766</v>
      </c>
      <c r="B960" s="38" t="s">
        <v>745</v>
      </c>
      <c r="C960" s="38" t="s">
        <v>698</v>
      </c>
      <c r="D960" s="38" t="s">
        <v>252</v>
      </c>
      <c r="E960" s="190">
        <v>0</v>
      </c>
      <c r="F960" s="190">
        <v>0.9</v>
      </c>
      <c r="G960" s="190">
        <v>0</v>
      </c>
      <c r="H960" s="190">
        <v>4</v>
      </c>
      <c r="I960" s="94">
        <v>11</v>
      </c>
    </row>
    <row r="961" spans="1:9" hidden="1" x14ac:dyDescent="0.35">
      <c r="A961" s="38" t="s">
        <v>766</v>
      </c>
      <c r="B961" s="38" t="s">
        <v>745</v>
      </c>
      <c r="C961" s="38" t="s">
        <v>701</v>
      </c>
      <c r="D961" s="38" t="s">
        <v>702</v>
      </c>
      <c r="E961" s="190">
        <v>0</v>
      </c>
      <c r="F961" s="190">
        <v>1.9</v>
      </c>
      <c r="G961" s="190">
        <v>0</v>
      </c>
      <c r="H961" s="190">
        <v>2</v>
      </c>
      <c r="I961" s="94">
        <v>8</v>
      </c>
    </row>
    <row r="962" spans="1:9" hidden="1" x14ac:dyDescent="0.35">
      <c r="A962" s="38" t="s">
        <v>766</v>
      </c>
      <c r="B962" s="38" t="s">
        <v>745</v>
      </c>
      <c r="C962" s="38" t="s">
        <v>701</v>
      </c>
      <c r="D962" s="38" t="s">
        <v>703</v>
      </c>
      <c r="E962" s="190">
        <v>0</v>
      </c>
      <c r="F962" s="190">
        <v>1.7</v>
      </c>
      <c r="G962" s="190">
        <v>0</v>
      </c>
      <c r="H962" s="190">
        <v>0.82</v>
      </c>
      <c r="I962" s="94">
        <v>7</v>
      </c>
    </row>
    <row r="963" spans="1:9" hidden="1" x14ac:dyDescent="0.35">
      <c r="A963" s="38" t="s">
        <v>766</v>
      </c>
      <c r="B963" s="38" t="s">
        <v>745</v>
      </c>
      <c r="C963" s="38" t="s">
        <v>704</v>
      </c>
      <c r="D963" s="38" t="s">
        <v>746</v>
      </c>
      <c r="E963" s="190">
        <v>0</v>
      </c>
      <c r="F963" s="190">
        <v>1.2</v>
      </c>
      <c r="G963" s="190">
        <v>0</v>
      </c>
      <c r="H963" s="190">
        <v>1</v>
      </c>
      <c r="I963" s="94">
        <v>4</v>
      </c>
    </row>
    <row r="964" spans="1:9" hidden="1" x14ac:dyDescent="0.35">
      <c r="A964" s="38" t="s">
        <v>766</v>
      </c>
      <c r="B964" s="38" t="s">
        <v>745</v>
      </c>
      <c r="C964" s="38" t="s">
        <v>707</v>
      </c>
      <c r="D964" s="38" t="s">
        <v>708</v>
      </c>
      <c r="E964" s="190">
        <v>0</v>
      </c>
      <c r="F964" s="190">
        <v>7.6</v>
      </c>
      <c r="G964" s="190">
        <v>0</v>
      </c>
      <c r="H964" s="190">
        <v>7</v>
      </c>
      <c r="I964" s="94">
        <v>17</v>
      </c>
    </row>
    <row r="965" spans="1:9" hidden="1" x14ac:dyDescent="0.35">
      <c r="A965" s="38" t="s">
        <v>766</v>
      </c>
      <c r="B965" s="38" t="s">
        <v>748</v>
      </c>
      <c r="C965" s="38" t="s">
        <v>686</v>
      </c>
      <c r="D965" s="38" t="s">
        <v>746</v>
      </c>
      <c r="E965" s="190">
        <v>0</v>
      </c>
      <c r="F965" s="190">
        <v>4.24</v>
      </c>
      <c r="G965" s="190">
        <v>0</v>
      </c>
      <c r="H965" s="190">
        <v>2</v>
      </c>
      <c r="I965" s="94">
        <v>13.65</v>
      </c>
    </row>
    <row r="966" spans="1:9" hidden="1" x14ac:dyDescent="0.35">
      <c r="A966" s="38" t="s">
        <v>766</v>
      </c>
      <c r="B966" s="38" t="s">
        <v>748</v>
      </c>
      <c r="C966" s="38" t="s">
        <v>691</v>
      </c>
      <c r="D966" s="38" t="s">
        <v>746</v>
      </c>
      <c r="E966" s="190">
        <v>0</v>
      </c>
      <c r="F966" s="190">
        <v>8.3699999999999992</v>
      </c>
      <c r="G966" s="190">
        <v>0</v>
      </c>
      <c r="H966" s="190">
        <v>8</v>
      </c>
      <c r="I966" s="94">
        <v>10.35</v>
      </c>
    </row>
    <row r="967" spans="1:9" hidden="1" x14ac:dyDescent="0.35">
      <c r="A967" s="38" t="s">
        <v>766</v>
      </c>
      <c r="B967" s="38" t="s">
        <v>748</v>
      </c>
      <c r="C967" s="38" t="s">
        <v>696</v>
      </c>
      <c r="D967" s="38" t="s">
        <v>697</v>
      </c>
      <c r="E967" s="190">
        <v>0</v>
      </c>
      <c r="F967" s="190">
        <v>16.5</v>
      </c>
      <c r="G967" s="190">
        <v>0</v>
      </c>
      <c r="H967" s="190">
        <v>11</v>
      </c>
      <c r="I967" s="94">
        <v>7.3</v>
      </c>
    </row>
    <row r="968" spans="1:9" hidden="1" x14ac:dyDescent="0.35">
      <c r="A968" s="38" t="s">
        <v>766</v>
      </c>
      <c r="B968" s="38" t="s">
        <v>748</v>
      </c>
      <c r="C968" s="38" t="s">
        <v>698</v>
      </c>
      <c r="D968" s="38" t="s">
        <v>747</v>
      </c>
      <c r="E968" s="190">
        <v>0</v>
      </c>
      <c r="F968" s="190">
        <v>0.55000000000000004</v>
      </c>
      <c r="G968" s="190">
        <v>0</v>
      </c>
      <c r="H968" s="190">
        <v>6</v>
      </c>
      <c r="I968" s="94">
        <v>6.8</v>
      </c>
    </row>
    <row r="969" spans="1:9" hidden="1" x14ac:dyDescent="0.35">
      <c r="A969" s="38" t="s">
        <v>766</v>
      </c>
      <c r="B969" s="38" t="s">
        <v>748</v>
      </c>
      <c r="C969" s="38" t="s">
        <v>698</v>
      </c>
      <c r="D969" s="38" t="s">
        <v>700</v>
      </c>
      <c r="E969" s="190">
        <v>0</v>
      </c>
      <c r="F969" s="190">
        <v>0.81</v>
      </c>
      <c r="G969" s="190">
        <v>0</v>
      </c>
      <c r="H969" s="190">
        <v>6</v>
      </c>
      <c r="I969" s="94">
        <v>6.8</v>
      </c>
    </row>
    <row r="970" spans="1:9" hidden="1" x14ac:dyDescent="0.35">
      <c r="A970" s="38" t="s">
        <v>766</v>
      </c>
      <c r="B970" s="38" t="s">
        <v>748</v>
      </c>
      <c r="C970" s="38" t="s">
        <v>698</v>
      </c>
      <c r="D970" s="38" t="s">
        <v>521</v>
      </c>
      <c r="E970" s="190">
        <v>0</v>
      </c>
      <c r="F970" s="190">
        <v>0.18</v>
      </c>
      <c r="G970" s="190">
        <v>0</v>
      </c>
      <c r="H970" s="190">
        <v>6</v>
      </c>
      <c r="I970" s="94">
        <v>6.8</v>
      </c>
    </row>
    <row r="971" spans="1:9" hidden="1" x14ac:dyDescent="0.35">
      <c r="A971" s="38" t="s">
        <v>766</v>
      </c>
      <c r="B971" s="38" t="s">
        <v>748</v>
      </c>
      <c r="C971" s="38" t="s">
        <v>698</v>
      </c>
      <c r="D971" s="38" t="s">
        <v>252</v>
      </c>
      <c r="E971" s="190">
        <v>0</v>
      </c>
      <c r="F971" s="190">
        <v>1.03</v>
      </c>
      <c r="G971" s="190">
        <v>0</v>
      </c>
      <c r="H971" s="190">
        <v>6</v>
      </c>
      <c r="I971" s="94">
        <v>6.8</v>
      </c>
    </row>
    <row r="972" spans="1:9" hidden="1" x14ac:dyDescent="0.35">
      <c r="A972" s="38" t="s">
        <v>766</v>
      </c>
      <c r="B972" s="38" t="s">
        <v>748</v>
      </c>
      <c r="C972" s="38" t="s">
        <v>701</v>
      </c>
      <c r="D972" s="38" t="s">
        <v>702</v>
      </c>
      <c r="E972" s="190">
        <v>0</v>
      </c>
      <c r="F972" s="190">
        <v>2.38</v>
      </c>
      <c r="G972" s="190">
        <v>0</v>
      </c>
      <c r="H972" s="190">
        <v>4</v>
      </c>
      <c r="I972" s="94">
        <v>3.65</v>
      </c>
    </row>
    <row r="973" spans="1:9" hidden="1" x14ac:dyDescent="0.35">
      <c r="A973" s="38" t="s">
        <v>766</v>
      </c>
      <c r="B973" s="38" t="s">
        <v>748</v>
      </c>
      <c r="C973" s="38" t="s">
        <v>701</v>
      </c>
      <c r="D973" s="38" t="s">
        <v>703</v>
      </c>
      <c r="E973" s="190">
        <v>0</v>
      </c>
      <c r="F973" s="190">
        <v>2.2400000000000002</v>
      </c>
      <c r="G973" s="190">
        <v>0</v>
      </c>
      <c r="H973" s="190">
        <v>0.5</v>
      </c>
      <c r="I973" s="94">
        <v>2.6</v>
      </c>
    </row>
    <row r="974" spans="1:9" hidden="1" x14ac:dyDescent="0.35">
      <c r="A974" s="38" t="s">
        <v>766</v>
      </c>
      <c r="B974" s="38" t="s">
        <v>748</v>
      </c>
      <c r="C974" s="38" t="s">
        <v>704</v>
      </c>
      <c r="D974" s="38" t="s">
        <v>746</v>
      </c>
      <c r="E974" s="190">
        <v>0</v>
      </c>
      <c r="F974" s="190">
        <v>2.72</v>
      </c>
      <c r="G974" s="190">
        <v>0</v>
      </c>
      <c r="H974" s="190">
        <v>1</v>
      </c>
      <c r="I974" s="94">
        <v>16.55</v>
      </c>
    </row>
    <row r="975" spans="1:9" hidden="1" x14ac:dyDescent="0.35">
      <c r="A975" s="38" t="s">
        <v>766</v>
      </c>
      <c r="B975" s="38" t="s">
        <v>748</v>
      </c>
      <c r="C975" s="38" t="s">
        <v>707</v>
      </c>
      <c r="D975" s="38" t="s">
        <v>708</v>
      </c>
      <c r="E975" s="190">
        <v>0</v>
      </c>
      <c r="F975" s="190">
        <v>4.8499999999999996</v>
      </c>
      <c r="G975" s="190">
        <v>0</v>
      </c>
      <c r="H975" s="190">
        <v>9</v>
      </c>
      <c r="I975" s="94">
        <v>7.15</v>
      </c>
    </row>
    <row r="976" spans="1:9" hidden="1" x14ac:dyDescent="0.35">
      <c r="A976" s="38" t="s">
        <v>766</v>
      </c>
      <c r="B976" s="38" t="s">
        <v>749</v>
      </c>
      <c r="C976" s="38" t="s">
        <v>686</v>
      </c>
      <c r="D976" s="38" t="s">
        <v>746</v>
      </c>
      <c r="E976" s="190">
        <v>0</v>
      </c>
      <c r="F976" s="190">
        <v>3.25</v>
      </c>
      <c r="G976" s="190">
        <v>0</v>
      </c>
      <c r="H976" s="190">
        <v>9</v>
      </c>
      <c r="I976" s="94">
        <v>23.99</v>
      </c>
    </row>
    <row r="977" spans="1:9" hidden="1" x14ac:dyDescent="0.35">
      <c r="A977" s="38" t="s">
        <v>766</v>
      </c>
      <c r="B977" s="38" t="s">
        <v>749</v>
      </c>
      <c r="C977" s="38" t="s">
        <v>691</v>
      </c>
      <c r="D977" s="38" t="s">
        <v>746</v>
      </c>
      <c r="E977" s="190">
        <v>0</v>
      </c>
      <c r="F977" s="190">
        <v>15.3</v>
      </c>
      <c r="G977" s="190">
        <v>0</v>
      </c>
      <c r="H977" s="190">
        <v>9.35</v>
      </c>
      <c r="I977" s="94">
        <v>25.43</v>
      </c>
    </row>
    <row r="978" spans="1:9" hidden="1" x14ac:dyDescent="0.35">
      <c r="A978" s="38" t="s">
        <v>766</v>
      </c>
      <c r="B978" s="38" t="s">
        <v>749</v>
      </c>
      <c r="C978" s="38" t="s">
        <v>696</v>
      </c>
      <c r="D978" s="38" t="s">
        <v>697</v>
      </c>
      <c r="E978" s="190">
        <v>0</v>
      </c>
      <c r="F978" s="190">
        <v>2.2200000000000002</v>
      </c>
      <c r="G978" s="190">
        <v>0</v>
      </c>
      <c r="H978" s="190">
        <v>6.83</v>
      </c>
      <c r="I978" s="94">
        <v>28.17</v>
      </c>
    </row>
    <row r="979" spans="1:9" hidden="1" x14ac:dyDescent="0.35">
      <c r="A979" s="38" t="s">
        <v>766</v>
      </c>
      <c r="B979" s="38" t="s">
        <v>749</v>
      </c>
      <c r="C979" s="38" t="s">
        <v>698</v>
      </c>
      <c r="D979" s="38" t="s">
        <v>747</v>
      </c>
      <c r="E979" s="190">
        <v>0</v>
      </c>
      <c r="F979" s="190">
        <v>0.31</v>
      </c>
      <c r="G979" s="190">
        <v>0</v>
      </c>
      <c r="H979" s="190">
        <v>3.9</v>
      </c>
      <c r="I979" s="38">
        <v>21.19</v>
      </c>
    </row>
    <row r="980" spans="1:9" hidden="1" x14ac:dyDescent="0.35">
      <c r="A980" s="38" t="s">
        <v>766</v>
      </c>
      <c r="B980" s="38" t="s">
        <v>749</v>
      </c>
      <c r="C980" s="38" t="s">
        <v>698</v>
      </c>
      <c r="D980" s="38" t="s">
        <v>700</v>
      </c>
      <c r="E980" s="190">
        <v>0</v>
      </c>
      <c r="F980" s="190">
        <v>0.8</v>
      </c>
      <c r="G980" s="190">
        <v>0</v>
      </c>
      <c r="H980" s="190">
        <v>3.9</v>
      </c>
      <c r="I980" s="94">
        <v>21.19</v>
      </c>
    </row>
    <row r="981" spans="1:9" hidden="1" x14ac:dyDescent="0.35">
      <c r="A981" s="38" t="s">
        <v>766</v>
      </c>
      <c r="B981" s="38" t="s">
        <v>749</v>
      </c>
      <c r="C981" s="38" t="s">
        <v>698</v>
      </c>
      <c r="D981" s="38" t="s">
        <v>521</v>
      </c>
      <c r="E981" s="190">
        <v>0</v>
      </c>
      <c r="F981" s="190">
        <v>0.66</v>
      </c>
      <c r="G981" s="190">
        <v>0</v>
      </c>
      <c r="H981" s="190">
        <v>3.9</v>
      </c>
      <c r="I981" s="94">
        <v>21.19</v>
      </c>
    </row>
    <row r="982" spans="1:9" hidden="1" x14ac:dyDescent="0.35">
      <c r="A982" s="38" t="s">
        <v>766</v>
      </c>
      <c r="B982" s="38" t="s">
        <v>749</v>
      </c>
      <c r="C982" s="38" t="s">
        <v>698</v>
      </c>
      <c r="D982" s="38" t="s">
        <v>252</v>
      </c>
      <c r="E982" s="190">
        <v>0</v>
      </c>
      <c r="F982" s="190">
        <v>0.88</v>
      </c>
      <c r="G982" s="190">
        <v>0</v>
      </c>
      <c r="H982" s="190">
        <v>3.9</v>
      </c>
      <c r="I982" s="94">
        <v>21.19</v>
      </c>
    </row>
    <row r="983" spans="1:9" hidden="1" x14ac:dyDescent="0.35">
      <c r="A983" s="38" t="s">
        <v>766</v>
      </c>
      <c r="B983" s="38" t="s">
        <v>749</v>
      </c>
      <c r="C983" s="38" t="s">
        <v>701</v>
      </c>
      <c r="D983" s="38" t="s">
        <v>702</v>
      </c>
      <c r="E983" s="190">
        <v>0</v>
      </c>
      <c r="F983" s="190">
        <v>2.27</v>
      </c>
      <c r="G983" s="190">
        <v>0</v>
      </c>
      <c r="H983" s="190">
        <v>7</v>
      </c>
      <c r="I983" s="94">
        <v>20.399999999999999</v>
      </c>
    </row>
    <row r="984" spans="1:9" hidden="1" x14ac:dyDescent="0.35">
      <c r="A984" s="38" t="s">
        <v>766</v>
      </c>
      <c r="B984" s="38" t="s">
        <v>749</v>
      </c>
      <c r="C984" s="38" t="s">
        <v>701</v>
      </c>
      <c r="D984" s="38" t="s">
        <v>703</v>
      </c>
      <c r="E984" s="190">
        <v>0</v>
      </c>
      <c r="F984" s="190">
        <v>0.4</v>
      </c>
      <c r="G984" s="190">
        <v>0</v>
      </c>
      <c r="H984" s="190">
        <v>7.75</v>
      </c>
      <c r="I984" s="94">
        <v>21</v>
      </c>
    </row>
    <row r="985" spans="1:9" hidden="1" x14ac:dyDescent="0.35">
      <c r="A985" s="38" t="s">
        <v>766</v>
      </c>
      <c r="B985" s="38" t="s">
        <v>749</v>
      </c>
      <c r="C985" s="38" t="s">
        <v>704</v>
      </c>
      <c r="D985" s="38" t="s">
        <v>746</v>
      </c>
      <c r="E985" s="190">
        <v>0</v>
      </c>
      <c r="F985" s="190">
        <v>3.91</v>
      </c>
      <c r="G985" s="190">
        <v>0</v>
      </c>
      <c r="H985" s="190">
        <v>1</v>
      </c>
      <c r="I985" s="94">
        <v>4</v>
      </c>
    </row>
    <row r="986" spans="1:9" hidden="1" x14ac:dyDescent="0.35">
      <c r="A986" s="38" t="s">
        <v>766</v>
      </c>
      <c r="B986" s="38" t="s">
        <v>749</v>
      </c>
      <c r="C986" s="38" t="s">
        <v>707</v>
      </c>
      <c r="D986" s="38" t="s">
        <v>708</v>
      </c>
      <c r="E986" s="190">
        <v>0</v>
      </c>
      <c r="F986" s="190">
        <v>5.83</v>
      </c>
      <c r="G986" s="190">
        <v>0</v>
      </c>
      <c r="H986" s="190">
        <v>8</v>
      </c>
      <c r="I986" s="94">
        <v>15</v>
      </c>
    </row>
    <row r="987" spans="1:9" hidden="1" x14ac:dyDescent="0.35">
      <c r="A987" s="38" t="s">
        <v>766</v>
      </c>
      <c r="B987" s="38" t="s">
        <v>750</v>
      </c>
      <c r="C987" s="38" t="s">
        <v>686</v>
      </c>
      <c r="D987" s="38" t="s">
        <v>746</v>
      </c>
      <c r="E987" s="190">
        <v>0</v>
      </c>
      <c r="F987" s="190">
        <v>7.46</v>
      </c>
      <c r="G987" s="190">
        <v>0</v>
      </c>
      <c r="H987" s="190">
        <v>4</v>
      </c>
      <c r="I987" s="94">
        <v>10</v>
      </c>
    </row>
    <row r="988" spans="1:9" hidden="1" x14ac:dyDescent="0.35">
      <c r="A988" s="38" t="s">
        <v>766</v>
      </c>
      <c r="B988" s="38" t="s">
        <v>750</v>
      </c>
      <c r="C988" s="38" t="s">
        <v>691</v>
      </c>
      <c r="D988" s="38" t="s">
        <v>746</v>
      </c>
      <c r="E988" s="190">
        <v>0</v>
      </c>
      <c r="F988" s="190">
        <v>14.32</v>
      </c>
      <c r="G988" s="190">
        <v>0</v>
      </c>
      <c r="H988" s="190">
        <v>12</v>
      </c>
      <c r="I988" s="94">
        <v>10</v>
      </c>
    </row>
    <row r="989" spans="1:9" hidden="1" x14ac:dyDescent="0.35">
      <c r="A989" s="38" t="s">
        <v>766</v>
      </c>
      <c r="B989" s="38" t="s">
        <v>750</v>
      </c>
      <c r="C989" s="38" t="s">
        <v>696</v>
      </c>
      <c r="D989" s="38" t="s">
        <v>697</v>
      </c>
      <c r="E989" s="190">
        <v>0</v>
      </c>
      <c r="F989" s="190">
        <v>19.61</v>
      </c>
      <c r="G989" s="190">
        <v>0</v>
      </c>
      <c r="H989" s="190">
        <v>10</v>
      </c>
      <c r="I989" s="94">
        <v>4</v>
      </c>
    </row>
    <row r="990" spans="1:9" hidden="1" x14ac:dyDescent="0.35">
      <c r="A990" s="38" t="s">
        <v>766</v>
      </c>
      <c r="B990" s="38" t="s">
        <v>750</v>
      </c>
      <c r="C990" s="38" t="s">
        <v>698</v>
      </c>
      <c r="D990" s="38" t="s">
        <v>747</v>
      </c>
      <c r="E990" s="190">
        <v>0</v>
      </c>
      <c r="F990" s="190">
        <v>1.32</v>
      </c>
      <c r="G990" s="190">
        <v>0</v>
      </c>
      <c r="H990" s="190">
        <v>5</v>
      </c>
      <c r="I990" s="94">
        <v>6</v>
      </c>
    </row>
    <row r="991" spans="1:9" hidden="1" x14ac:dyDescent="0.35">
      <c r="A991" s="38" t="s">
        <v>766</v>
      </c>
      <c r="B991" s="38" t="s">
        <v>750</v>
      </c>
      <c r="C991" s="38" t="s">
        <v>698</v>
      </c>
      <c r="D991" s="38" t="s">
        <v>700</v>
      </c>
      <c r="E991" s="190">
        <v>0</v>
      </c>
      <c r="F991" s="190">
        <v>1.04</v>
      </c>
      <c r="G991" s="190">
        <v>0</v>
      </c>
      <c r="H991" s="190">
        <v>5</v>
      </c>
      <c r="I991" s="94">
        <v>6</v>
      </c>
    </row>
    <row r="992" spans="1:9" hidden="1" x14ac:dyDescent="0.35">
      <c r="A992" s="38" t="s">
        <v>766</v>
      </c>
      <c r="B992" s="38" t="s">
        <v>750</v>
      </c>
      <c r="C992" s="38" t="s">
        <v>698</v>
      </c>
      <c r="D992" s="38" t="s">
        <v>521</v>
      </c>
      <c r="E992" s="190">
        <v>0</v>
      </c>
      <c r="F992" s="190">
        <v>0.41</v>
      </c>
      <c r="G992" s="190">
        <v>0</v>
      </c>
      <c r="H992" s="190">
        <v>5</v>
      </c>
      <c r="I992" s="94">
        <v>6</v>
      </c>
    </row>
    <row r="993" spans="1:9" hidden="1" x14ac:dyDescent="0.35">
      <c r="A993" s="38" t="s">
        <v>766</v>
      </c>
      <c r="B993" s="38" t="s">
        <v>750</v>
      </c>
      <c r="C993" s="38" t="s">
        <v>698</v>
      </c>
      <c r="D993" s="38" t="s">
        <v>252</v>
      </c>
      <c r="E993" s="190">
        <v>0</v>
      </c>
      <c r="F993" s="190">
        <v>1.5</v>
      </c>
      <c r="G993" s="190">
        <v>0</v>
      </c>
      <c r="H993" s="190">
        <v>5</v>
      </c>
      <c r="I993" s="94">
        <v>6</v>
      </c>
    </row>
    <row r="994" spans="1:9" hidden="1" x14ac:dyDescent="0.35">
      <c r="A994" s="38" t="s">
        <v>766</v>
      </c>
      <c r="B994" s="38" t="s">
        <v>750</v>
      </c>
      <c r="C994" s="38" t="s">
        <v>701</v>
      </c>
      <c r="D994" s="38" t="s">
        <v>702</v>
      </c>
      <c r="E994" s="190">
        <v>0</v>
      </c>
      <c r="F994" s="190">
        <v>6.21</v>
      </c>
      <c r="G994" s="190">
        <v>0</v>
      </c>
      <c r="H994" s="190">
        <v>4</v>
      </c>
      <c r="I994" s="94">
        <v>4</v>
      </c>
    </row>
    <row r="995" spans="1:9" hidden="1" x14ac:dyDescent="0.35">
      <c r="A995" s="38" t="s">
        <v>766</v>
      </c>
      <c r="B995" s="38" t="s">
        <v>750</v>
      </c>
      <c r="C995" s="38" t="s">
        <v>701</v>
      </c>
      <c r="D995" s="38" t="s">
        <v>703</v>
      </c>
      <c r="E995" s="190">
        <v>0</v>
      </c>
      <c r="F995" s="190">
        <v>3.74</v>
      </c>
      <c r="G995" s="190">
        <v>0</v>
      </c>
      <c r="H995" s="190">
        <v>8</v>
      </c>
      <c r="I995" s="94">
        <v>4</v>
      </c>
    </row>
    <row r="996" spans="1:9" hidden="1" x14ac:dyDescent="0.35">
      <c r="A996" s="38" t="s">
        <v>766</v>
      </c>
      <c r="B996" s="38" t="s">
        <v>750</v>
      </c>
      <c r="C996" s="38" t="s">
        <v>704</v>
      </c>
      <c r="D996" s="38" t="s">
        <v>746</v>
      </c>
      <c r="E996" s="190">
        <v>0</v>
      </c>
      <c r="F996" s="190">
        <v>1.49</v>
      </c>
      <c r="G996" s="190">
        <v>0</v>
      </c>
      <c r="H996" s="190">
        <v>2</v>
      </c>
      <c r="I996" s="94">
        <v>2</v>
      </c>
    </row>
    <row r="997" spans="1:9" hidden="1" x14ac:dyDescent="0.35">
      <c r="A997" s="38" t="s">
        <v>766</v>
      </c>
      <c r="B997" s="38" t="s">
        <v>750</v>
      </c>
      <c r="C997" s="38" t="s">
        <v>707</v>
      </c>
      <c r="D997" s="38" t="s">
        <v>708</v>
      </c>
      <c r="E997" s="190">
        <v>0</v>
      </c>
      <c r="F997" s="190">
        <v>10.39</v>
      </c>
      <c r="G997" s="190">
        <v>0</v>
      </c>
      <c r="H997" s="190">
        <v>3</v>
      </c>
      <c r="I997" s="94">
        <v>4</v>
      </c>
    </row>
    <row r="998" spans="1:9" hidden="1" x14ac:dyDescent="0.35">
      <c r="A998" s="38" t="s">
        <v>766</v>
      </c>
      <c r="B998" s="38" t="s">
        <v>751</v>
      </c>
      <c r="C998" s="38" t="s">
        <v>686</v>
      </c>
      <c r="D998" s="38" t="s">
        <v>746</v>
      </c>
      <c r="E998" s="190">
        <v>0</v>
      </c>
      <c r="F998" s="190">
        <v>7.23</v>
      </c>
      <c r="G998" s="190">
        <v>0</v>
      </c>
      <c r="H998" s="190">
        <v>4</v>
      </c>
      <c r="I998" s="94">
        <v>12</v>
      </c>
    </row>
    <row r="999" spans="1:9" hidden="1" x14ac:dyDescent="0.35">
      <c r="A999" s="38" t="s">
        <v>766</v>
      </c>
      <c r="B999" s="38" t="s">
        <v>751</v>
      </c>
      <c r="C999" s="38" t="s">
        <v>691</v>
      </c>
      <c r="D999" s="38" t="s">
        <v>746</v>
      </c>
      <c r="E999" s="190">
        <v>0</v>
      </c>
      <c r="F999" s="190">
        <v>11.3</v>
      </c>
      <c r="G999" s="190">
        <v>0</v>
      </c>
      <c r="H999" s="190">
        <v>15.15</v>
      </c>
      <c r="I999" s="94">
        <v>13</v>
      </c>
    </row>
    <row r="1000" spans="1:9" hidden="1" x14ac:dyDescent="0.35">
      <c r="A1000" s="38" t="s">
        <v>766</v>
      </c>
      <c r="B1000" s="38" t="s">
        <v>751</v>
      </c>
      <c r="C1000" s="38" t="s">
        <v>696</v>
      </c>
      <c r="D1000" s="38" t="s">
        <v>697</v>
      </c>
      <c r="E1000" s="190">
        <v>0</v>
      </c>
      <c r="F1000" s="190">
        <v>22.46</v>
      </c>
      <c r="G1000" s="190">
        <v>0</v>
      </c>
      <c r="H1000" s="190">
        <v>10</v>
      </c>
      <c r="I1000" s="94">
        <v>4</v>
      </c>
    </row>
    <row r="1001" spans="1:9" hidden="1" x14ac:dyDescent="0.35">
      <c r="A1001" s="38" t="s">
        <v>766</v>
      </c>
      <c r="B1001" s="38" t="s">
        <v>751</v>
      </c>
      <c r="C1001" s="38" t="s">
        <v>698</v>
      </c>
      <c r="D1001" s="38" t="s">
        <v>747</v>
      </c>
      <c r="E1001" s="190">
        <v>0</v>
      </c>
      <c r="F1001" s="190">
        <v>0.2</v>
      </c>
      <c r="G1001" s="190">
        <v>0</v>
      </c>
      <c r="H1001" s="190">
        <v>5</v>
      </c>
      <c r="I1001" s="94">
        <v>8</v>
      </c>
    </row>
    <row r="1002" spans="1:9" hidden="1" x14ac:dyDescent="0.35">
      <c r="A1002" s="38" t="s">
        <v>766</v>
      </c>
      <c r="B1002" s="38" t="s">
        <v>751</v>
      </c>
      <c r="C1002" s="38" t="s">
        <v>698</v>
      </c>
      <c r="D1002" s="38" t="s">
        <v>700</v>
      </c>
      <c r="E1002" s="190">
        <v>0</v>
      </c>
      <c r="F1002" s="190">
        <v>0.2</v>
      </c>
      <c r="G1002" s="190">
        <v>0</v>
      </c>
      <c r="H1002" s="190">
        <v>5</v>
      </c>
      <c r="I1002" s="94">
        <v>8</v>
      </c>
    </row>
    <row r="1003" spans="1:9" hidden="1" x14ac:dyDescent="0.35">
      <c r="A1003" s="38" t="s">
        <v>766</v>
      </c>
      <c r="B1003" s="38" t="s">
        <v>751</v>
      </c>
      <c r="C1003" s="38" t="s">
        <v>698</v>
      </c>
      <c r="D1003" s="38" t="s">
        <v>521</v>
      </c>
      <c r="E1003" s="190">
        <v>0</v>
      </c>
      <c r="F1003" s="190">
        <v>0.23</v>
      </c>
      <c r="G1003" s="190">
        <v>0</v>
      </c>
      <c r="H1003" s="190">
        <v>5</v>
      </c>
      <c r="I1003" s="94">
        <v>8</v>
      </c>
    </row>
    <row r="1004" spans="1:9" hidden="1" x14ac:dyDescent="0.35">
      <c r="A1004" s="38" t="s">
        <v>766</v>
      </c>
      <c r="B1004" s="38" t="s">
        <v>751</v>
      </c>
      <c r="C1004" s="38" t="s">
        <v>698</v>
      </c>
      <c r="D1004" s="38" t="s">
        <v>252</v>
      </c>
      <c r="E1004" s="190">
        <v>0</v>
      </c>
      <c r="F1004" s="190">
        <v>0.9</v>
      </c>
      <c r="G1004" s="190">
        <v>0</v>
      </c>
      <c r="H1004" s="190">
        <v>5</v>
      </c>
      <c r="I1004" s="94">
        <v>8</v>
      </c>
    </row>
    <row r="1005" spans="1:9" hidden="1" x14ac:dyDescent="0.35">
      <c r="A1005" s="38" t="s">
        <v>766</v>
      </c>
      <c r="B1005" s="38" t="s">
        <v>751</v>
      </c>
      <c r="C1005" s="38" t="s">
        <v>701</v>
      </c>
      <c r="D1005" s="38" t="s">
        <v>702</v>
      </c>
      <c r="E1005" s="190">
        <v>0</v>
      </c>
      <c r="F1005" s="190">
        <v>4.8899999999999997</v>
      </c>
      <c r="G1005" s="190">
        <v>0</v>
      </c>
      <c r="H1005" s="190">
        <v>4</v>
      </c>
      <c r="I1005" s="94">
        <v>12</v>
      </c>
    </row>
    <row r="1006" spans="1:9" hidden="1" x14ac:dyDescent="0.35">
      <c r="A1006" s="38" t="s">
        <v>766</v>
      </c>
      <c r="B1006" s="38" t="s">
        <v>751</v>
      </c>
      <c r="C1006" s="38" t="s">
        <v>701</v>
      </c>
      <c r="D1006" s="38" t="s">
        <v>703</v>
      </c>
      <c r="E1006" s="190">
        <v>0</v>
      </c>
      <c r="F1006" s="190">
        <v>3.32</v>
      </c>
      <c r="G1006" s="190">
        <v>0</v>
      </c>
      <c r="H1006" s="190">
        <v>8</v>
      </c>
      <c r="I1006" s="94">
        <v>2</v>
      </c>
    </row>
    <row r="1007" spans="1:9" hidden="1" x14ac:dyDescent="0.35">
      <c r="A1007" s="38" t="s">
        <v>766</v>
      </c>
      <c r="B1007" s="38" t="s">
        <v>751</v>
      </c>
      <c r="C1007" s="38" t="s">
        <v>704</v>
      </c>
      <c r="D1007" s="38" t="s">
        <v>746</v>
      </c>
      <c r="E1007" s="190">
        <v>0</v>
      </c>
      <c r="F1007" s="190">
        <v>2.8</v>
      </c>
      <c r="G1007" s="190">
        <v>0</v>
      </c>
      <c r="H1007" s="190">
        <v>2</v>
      </c>
      <c r="I1007" s="94">
        <v>2</v>
      </c>
    </row>
    <row r="1008" spans="1:9" hidden="1" x14ac:dyDescent="0.35">
      <c r="A1008" s="38" t="s">
        <v>766</v>
      </c>
      <c r="B1008" s="38" t="s">
        <v>751</v>
      </c>
      <c r="C1008" s="38" t="s">
        <v>707</v>
      </c>
      <c r="D1008" s="38" t="s">
        <v>708</v>
      </c>
      <c r="E1008" s="190">
        <v>0</v>
      </c>
      <c r="F1008" s="190">
        <v>9.26</v>
      </c>
      <c r="G1008" s="190">
        <v>0</v>
      </c>
      <c r="H1008" s="190">
        <v>5.7</v>
      </c>
      <c r="I1008" s="94">
        <v>6</v>
      </c>
    </row>
    <row r="1009" spans="1:9" hidden="1" x14ac:dyDescent="0.35">
      <c r="A1009" s="38" t="s">
        <v>766</v>
      </c>
      <c r="B1009" s="38" t="s">
        <v>752</v>
      </c>
      <c r="C1009" s="38" t="s">
        <v>686</v>
      </c>
      <c r="D1009" s="38" t="s">
        <v>746</v>
      </c>
      <c r="E1009" s="190">
        <v>0</v>
      </c>
      <c r="F1009" s="190">
        <v>8.75</v>
      </c>
      <c r="G1009" s="190">
        <v>0</v>
      </c>
      <c r="H1009" s="190">
        <v>2</v>
      </c>
      <c r="I1009" s="94">
        <v>1</v>
      </c>
    </row>
    <row r="1010" spans="1:9" hidden="1" x14ac:dyDescent="0.35">
      <c r="A1010" s="38" t="s">
        <v>766</v>
      </c>
      <c r="B1010" s="38" t="s">
        <v>752</v>
      </c>
      <c r="C1010" s="38" t="s">
        <v>691</v>
      </c>
      <c r="D1010" s="38" t="s">
        <v>746</v>
      </c>
      <c r="E1010" s="190">
        <v>0</v>
      </c>
      <c r="F1010" s="190">
        <v>17.71</v>
      </c>
      <c r="G1010" s="190">
        <v>0</v>
      </c>
      <c r="H1010" s="190">
        <v>34.130000000000003</v>
      </c>
      <c r="I1010" s="94">
        <v>5</v>
      </c>
    </row>
    <row r="1011" spans="1:9" hidden="1" x14ac:dyDescent="0.35">
      <c r="A1011" s="38" t="s">
        <v>766</v>
      </c>
      <c r="B1011" s="38" t="s">
        <v>752</v>
      </c>
      <c r="C1011" s="38" t="s">
        <v>696</v>
      </c>
      <c r="D1011" s="38" t="s">
        <v>697</v>
      </c>
      <c r="E1011" s="190">
        <v>0</v>
      </c>
      <c r="F1011" s="190">
        <v>21.94</v>
      </c>
      <c r="G1011" s="190">
        <v>0</v>
      </c>
      <c r="H1011" s="190">
        <v>15</v>
      </c>
      <c r="I1011" s="94">
        <v>2</v>
      </c>
    </row>
    <row r="1012" spans="1:9" hidden="1" x14ac:dyDescent="0.35">
      <c r="A1012" s="38" t="s">
        <v>766</v>
      </c>
      <c r="B1012" s="38" t="s">
        <v>752</v>
      </c>
      <c r="C1012" s="38" t="s">
        <v>698</v>
      </c>
      <c r="D1012" s="38" t="s">
        <v>747</v>
      </c>
      <c r="E1012" s="190">
        <v>0</v>
      </c>
      <c r="F1012" s="190">
        <v>0.93</v>
      </c>
      <c r="G1012" s="190">
        <v>0</v>
      </c>
      <c r="H1012" s="190">
        <v>7</v>
      </c>
      <c r="I1012" s="94">
        <v>2</v>
      </c>
    </row>
    <row r="1013" spans="1:9" hidden="1" x14ac:dyDescent="0.35">
      <c r="A1013" s="38" t="s">
        <v>766</v>
      </c>
      <c r="B1013" s="38" t="s">
        <v>752</v>
      </c>
      <c r="C1013" s="38" t="s">
        <v>698</v>
      </c>
      <c r="D1013" s="38" t="s">
        <v>700</v>
      </c>
      <c r="E1013" s="190">
        <v>0</v>
      </c>
      <c r="F1013" s="190">
        <v>0.2</v>
      </c>
      <c r="G1013" s="190">
        <v>0</v>
      </c>
      <c r="H1013" s="190">
        <v>7</v>
      </c>
      <c r="I1013" s="94">
        <v>2</v>
      </c>
    </row>
    <row r="1014" spans="1:9" hidden="1" x14ac:dyDescent="0.35">
      <c r="A1014" s="38" t="s">
        <v>766</v>
      </c>
      <c r="B1014" s="38" t="s">
        <v>752</v>
      </c>
      <c r="C1014" s="38" t="s">
        <v>698</v>
      </c>
      <c r="D1014" s="38" t="s">
        <v>521</v>
      </c>
      <c r="E1014" s="190">
        <v>0</v>
      </c>
      <c r="F1014" s="190">
        <v>0.23</v>
      </c>
      <c r="G1014" s="190">
        <v>0</v>
      </c>
      <c r="H1014" s="190">
        <v>7</v>
      </c>
      <c r="I1014" s="94">
        <v>2</v>
      </c>
    </row>
    <row r="1015" spans="1:9" hidden="1" x14ac:dyDescent="0.35">
      <c r="A1015" s="38" t="s">
        <v>766</v>
      </c>
      <c r="B1015" s="38" t="s">
        <v>752</v>
      </c>
      <c r="C1015" s="38" t="s">
        <v>698</v>
      </c>
      <c r="D1015" s="38" t="s">
        <v>252</v>
      </c>
      <c r="E1015" s="190">
        <v>0</v>
      </c>
      <c r="F1015" s="190">
        <v>0.9</v>
      </c>
      <c r="G1015" s="190">
        <v>0</v>
      </c>
      <c r="H1015" s="190">
        <v>7</v>
      </c>
      <c r="I1015" s="94">
        <v>2</v>
      </c>
    </row>
    <row r="1016" spans="1:9" hidden="1" x14ac:dyDescent="0.35">
      <c r="A1016" s="38" t="s">
        <v>766</v>
      </c>
      <c r="B1016" s="38" t="s">
        <v>752</v>
      </c>
      <c r="C1016" s="38" t="s">
        <v>701</v>
      </c>
      <c r="D1016" s="38" t="s">
        <v>702</v>
      </c>
      <c r="E1016" s="190">
        <v>0</v>
      </c>
      <c r="F1016" s="190">
        <v>8.01</v>
      </c>
      <c r="G1016" s="190">
        <v>0</v>
      </c>
      <c r="H1016" s="190">
        <v>3</v>
      </c>
      <c r="I1016" s="94">
        <v>1</v>
      </c>
    </row>
    <row r="1017" spans="1:9" hidden="1" x14ac:dyDescent="0.35">
      <c r="A1017" s="38" t="s">
        <v>766</v>
      </c>
      <c r="B1017" s="38" t="s">
        <v>752</v>
      </c>
      <c r="C1017" s="38" t="s">
        <v>701</v>
      </c>
      <c r="D1017" s="38" t="s">
        <v>703</v>
      </c>
      <c r="E1017" s="190">
        <v>0</v>
      </c>
      <c r="F1017" s="190">
        <v>8.1999999999999993</v>
      </c>
      <c r="G1017" s="190">
        <v>0</v>
      </c>
      <c r="H1017" s="190">
        <v>10</v>
      </c>
      <c r="I1017" s="94">
        <v>0.1</v>
      </c>
    </row>
    <row r="1018" spans="1:9" hidden="1" x14ac:dyDescent="0.35">
      <c r="A1018" s="38" t="s">
        <v>766</v>
      </c>
      <c r="B1018" s="38" t="s">
        <v>752</v>
      </c>
      <c r="C1018" s="38" t="s">
        <v>704</v>
      </c>
      <c r="D1018" s="38" t="s">
        <v>746</v>
      </c>
      <c r="E1018" s="190">
        <v>0</v>
      </c>
      <c r="F1018" s="190">
        <v>8.18</v>
      </c>
      <c r="G1018" s="190">
        <v>0</v>
      </c>
      <c r="H1018" s="190">
        <v>2</v>
      </c>
      <c r="I1018" s="94">
        <v>1</v>
      </c>
    </row>
    <row r="1019" spans="1:9" hidden="1" x14ac:dyDescent="0.35">
      <c r="A1019" s="38" t="s">
        <v>766</v>
      </c>
      <c r="B1019" s="38" t="s">
        <v>752</v>
      </c>
      <c r="C1019" s="38" t="s">
        <v>707</v>
      </c>
      <c r="D1019" s="38" t="s">
        <v>708</v>
      </c>
      <c r="E1019" s="190">
        <v>0</v>
      </c>
      <c r="F1019" s="190">
        <v>16.940000000000001</v>
      </c>
      <c r="G1019" s="190">
        <v>0</v>
      </c>
      <c r="H1019" s="190">
        <v>5</v>
      </c>
      <c r="I1019" s="94">
        <v>2</v>
      </c>
    </row>
    <row r="1020" spans="1:9" hidden="1" x14ac:dyDescent="0.35">
      <c r="A1020" s="38" t="s">
        <v>766</v>
      </c>
      <c r="B1020" s="38" t="s">
        <v>753</v>
      </c>
      <c r="C1020" s="38" t="s">
        <v>686</v>
      </c>
      <c r="D1020" s="38" t="s">
        <v>746</v>
      </c>
      <c r="E1020" s="190">
        <v>0</v>
      </c>
      <c r="F1020" s="190">
        <v>6.59</v>
      </c>
      <c r="G1020" s="190">
        <v>0</v>
      </c>
      <c r="H1020" s="190">
        <v>2.98</v>
      </c>
      <c r="I1020" s="94">
        <v>3</v>
      </c>
    </row>
    <row r="1021" spans="1:9" hidden="1" x14ac:dyDescent="0.35">
      <c r="A1021" s="38" t="s">
        <v>766</v>
      </c>
      <c r="B1021" s="38" t="s">
        <v>753</v>
      </c>
      <c r="C1021" s="38" t="s">
        <v>691</v>
      </c>
      <c r="D1021" s="38" t="s">
        <v>746</v>
      </c>
      <c r="E1021" s="190">
        <v>0</v>
      </c>
      <c r="F1021" s="190">
        <v>9.8699999999999992</v>
      </c>
      <c r="G1021" s="190">
        <v>0</v>
      </c>
      <c r="H1021" s="190">
        <v>12.96</v>
      </c>
      <c r="I1021" s="94">
        <v>18.16</v>
      </c>
    </row>
    <row r="1022" spans="1:9" hidden="1" x14ac:dyDescent="0.35">
      <c r="A1022" s="38" t="s">
        <v>766</v>
      </c>
      <c r="B1022" s="38" t="s">
        <v>753</v>
      </c>
      <c r="C1022" s="38" t="s">
        <v>696</v>
      </c>
      <c r="D1022" s="38" t="s">
        <v>697</v>
      </c>
      <c r="E1022" s="190">
        <v>0</v>
      </c>
      <c r="F1022" s="190">
        <v>25.47</v>
      </c>
      <c r="G1022" s="190">
        <v>0</v>
      </c>
      <c r="H1022" s="190">
        <v>12.33</v>
      </c>
      <c r="I1022" s="94">
        <v>2</v>
      </c>
    </row>
    <row r="1023" spans="1:9" hidden="1" x14ac:dyDescent="0.35">
      <c r="A1023" s="38" t="s">
        <v>766</v>
      </c>
      <c r="B1023" s="38" t="s">
        <v>753</v>
      </c>
      <c r="C1023" s="38" t="s">
        <v>698</v>
      </c>
      <c r="D1023" s="38" t="s">
        <v>747</v>
      </c>
      <c r="E1023" s="190">
        <v>0</v>
      </c>
      <c r="F1023" s="190">
        <v>0.21</v>
      </c>
      <c r="G1023" s="190">
        <v>0</v>
      </c>
      <c r="H1023" s="190">
        <v>7</v>
      </c>
      <c r="I1023" s="94">
        <v>4</v>
      </c>
    </row>
    <row r="1024" spans="1:9" hidden="1" x14ac:dyDescent="0.35">
      <c r="A1024" s="38" t="s">
        <v>766</v>
      </c>
      <c r="B1024" s="38" t="s">
        <v>753</v>
      </c>
      <c r="C1024" s="38" t="s">
        <v>698</v>
      </c>
      <c r="D1024" s="38" t="s">
        <v>700</v>
      </c>
      <c r="E1024" s="190">
        <v>0</v>
      </c>
      <c r="F1024" s="190">
        <v>0.2</v>
      </c>
      <c r="G1024" s="190">
        <v>0</v>
      </c>
      <c r="H1024" s="190">
        <v>7</v>
      </c>
      <c r="I1024" s="94">
        <v>4</v>
      </c>
    </row>
    <row r="1025" spans="1:9" hidden="1" x14ac:dyDescent="0.35">
      <c r="A1025" s="38" t="s">
        <v>766</v>
      </c>
      <c r="B1025" s="38" t="s">
        <v>753</v>
      </c>
      <c r="C1025" s="38" t="s">
        <v>698</v>
      </c>
      <c r="D1025" s="38" t="s">
        <v>521</v>
      </c>
      <c r="E1025" s="190">
        <v>0</v>
      </c>
      <c r="F1025" s="190">
        <v>0.47</v>
      </c>
      <c r="G1025" s="190">
        <v>0</v>
      </c>
      <c r="H1025" s="190">
        <v>7</v>
      </c>
      <c r="I1025" s="94">
        <v>4</v>
      </c>
    </row>
    <row r="1026" spans="1:9" hidden="1" x14ac:dyDescent="0.35">
      <c r="A1026" s="38" t="s">
        <v>766</v>
      </c>
      <c r="B1026" s="38" t="s">
        <v>753</v>
      </c>
      <c r="C1026" s="38" t="s">
        <v>698</v>
      </c>
      <c r="D1026" s="38" t="s">
        <v>252</v>
      </c>
      <c r="E1026" s="190">
        <v>0</v>
      </c>
      <c r="F1026" s="190">
        <v>0.97</v>
      </c>
      <c r="G1026" s="190">
        <v>0</v>
      </c>
      <c r="H1026" s="190">
        <v>7</v>
      </c>
      <c r="I1026" s="94">
        <v>4</v>
      </c>
    </row>
    <row r="1027" spans="1:9" hidden="1" x14ac:dyDescent="0.35">
      <c r="A1027" s="38" t="s">
        <v>766</v>
      </c>
      <c r="B1027" s="38" t="s">
        <v>753</v>
      </c>
      <c r="C1027" s="38" t="s">
        <v>701</v>
      </c>
      <c r="D1027" s="38" t="s">
        <v>702</v>
      </c>
      <c r="E1027" s="190">
        <v>0</v>
      </c>
      <c r="F1027" s="190">
        <v>7.23</v>
      </c>
      <c r="G1027" s="190">
        <v>0</v>
      </c>
      <c r="H1027" s="190">
        <v>3</v>
      </c>
      <c r="I1027" s="94">
        <v>2</v>
      </c>
    </row>
    <row r="1028" spans="1:9" hidden="1" x14ac:dyDescent="0.35">
      <c r="A1028" s="38" t="s">
        <v>766</v>
      </c>
      <c r="B1028" s="38" t="s">
        <v>753</v>
      </c>
      <c r="C1028" s="38" t="s">
        <v>701</v>
      </c>
      <c r="D1028" s="38" t="s">
        <v>703</v>
      </c>
      <c r="E1028" s="190">
        <v>0</v>
      </c>
      <c r="F1028" s="190">
        <v>4.68</v>
      </c>
      <c r="G1028" s="190">
        <v>0</v>
      </c>
      <c r="H1028" s="190">
        <v>10</v>
      </c>
      <c r="I1028" s="94">
        <v>1</v>
      </c>
    </row>
    <row r="1029" spans="1:9" hidden="1" x14ac:dyDescent="0.35">
      <c r="A1029" s="38" t="s">
        <v>766</v>
      </c>
      <c r="B1029" s="38" t="s">
        <v>753</v>
      </c>
      <c r="C1029" s="38" t="s">
        <v>704</v>
      </c>
      <c r="D1029" s="38" t="s">
        <v>746</v>
      </c>
      <c r="E1029" s="190">
        <v>0</v>
      </c>
      <c r="F1029" s="190">
        <v>3.4</v>
      </c>
      <c r="G1029" s="190">
        <v>0</v>
      </c>
      <c r="H1029" s="190">
        <v>2</v>
      </c>
      <c r="I1029" s="94">
        <v>1</v>
      </c>
    </row>
    <row r="1030" spans="1:9" hidden="1" x14ac:dyDescent="0.35">
      <c r="A1030" s="38" t="s">
        <v>766</v>
      </c>
      <c r="B1030" s="38" t="s">
        <v>753</v>
      </c>
      <c r="C1030" s="38" t="s">
        <v>707</v>
      </c>
      <c r="D1030" s="38" t="s">
        <v>708</v>
      </c>
      <c r="E1030" s="190">
        <v>0</v>
      </c>
      <c r="F1030" s="190">
        <v>12.11</v>
      </c>
      <c r="G1030" s="190">
        <v>0</v>
      </c>
      <c r="H1030" s="190">
        <v>10.78</v>
      </c>
      <c r="I1030" s="94">
        <v>3.88</v>
      </c>
    </row>
    <row r="1031" spans="1:9" hidden="1" x14ac:dyDescent="0.35">
      <c r="A1031" s="38" t="s">
        <v>767</v>
      </c>
      <c r="B1031" s="38" t="s">
        <v>745</v>
      </c>
      <c r="C1031" s="38" t="s">
        <v>686</v>
      </c>
      <c r="D1031" s="38" t="s">
        <v>746</v>
      </c>
      <c r="E1031" s="190">
        <v>4.3</v>
      </c>
      <c r="F1031" s="190">
        <v>3.8</v>
      </c>
      <c r="G1031" s="190">
        <v>10.5</v>
      </c>
      <c r="H1031" s="190">
        <v>3</v>
      </c>
      <c r="I1031" s="190">
        <v>27</v>
      </c>
    </row>
    <row r="1032" spans="1:9" hidden="1" x14ac:dyDescent="0.35">
      <c r="A1032" s="38" t="s">
        <v>767</v>
      </c>
      <c r="B1032" s="38" t="s">
        <v>745</v>
      </c>
      <c r="C1032" s="38" t="s">
        <v>691</v>
      </c>
      <c r="D1032" s="38" t="s">
        <v>746</v>
      </c>
      <c r="E1032" s="190">
        <v>20</v>
      </c>
      <c r="F1032" s="190">
        <v>7.3</v>
      </c>
      <c r="G1032" s="190">
        <v>2</v>
      </c>
      <c r="H1032" s="190">
        <v>4.9000000000000004</v>
      </c>
      <c r="I1032" s="190">
        <v>19</v>
      </c>
    </row>
    <row r="1033" spans="1:9" hidden="1" x14ac:dyDescent="0.35">
      <c r="A1033" s="38" t="s">
        <v>767</v>
      </c>
      <c r="B1033" s="38" t="s">
        <v>745</v>
      </c>
      <c r="C1033" s="38" t="s">
        <v>696</v>
      </c>
      <c r="D1033" s="38" t="s">
        <v>697</v>
      </c>
      <c r="E1033" s="190">
        <v>9.4</v>
      </c>
      <c r="F1033" s="190">
        <v>7.9</v>
      </c>
      <c r="G1033" s="190">
        <v>6</v>
      </c>
      <c r="H1033" s="190">
        <v>9</v>
      </c>
      <c r="I1033" s="190">
        <v>11</v>
      </c>
    </row>
    <row r="1034" spans="1:9" hidden="1" x14ac:dyDescent="0.35">
      <c r="A1034" s="38" t="s">
        <v>767</v>
      </c>
      <c r="B1034" s="38" t="s">
        <v>745</v>
      </c>
      <c r="C1034" s="38" t="s">
        <v>698</v>
      </c>
      <c r="D1034" s="38" t="s">
        <v>747</v>
      </c>
      <c r="E1034" s="190">
        <v>0</v>
      </c>
      <c r="F1034" s="190">
        <v>0</v>
      </c>
      <c r="G1034" s="190">
        <v>0</v>
      </c>
      <c r="H1034" s="190">
        <v>0</v>
      </c>
      <c r="I1034" s="190">
        <v>0</v>
      </c>
    </row>
    <row r="1035" spans="1:9" hidden="1" x14ac:dyDescent="0.35">
      <c r="A1035" s="38" t="s">
        <v>767</v>
      </c>
      <c r="B1035" s="38" t="s">
        <v>745</v>
      </c>
      <c r="C1035" s="38" t="s">
        <v>698</v>
      </c>
      <c r="D1035" s="38" t="s">
        <v>700</v>
      </c>
      <c r="E1035" s="190">
        <v>0</v>
      </c>
      <c r="F1035" s="190">
        <v>0</v>
      </c>
      <c r="G1035" s="190">
        <v>0</v>
      </c>
      <c r="H1035" s="190">
        <v>0</v>
      </c>
      <c r="I1035" s="190">
        <v>0</v>
      </c>
    </row>
    <row r="1036" spans="1:9" hidden="1" x14ac:dyDescent="0.35">
      <c r="A1036" s="38" t="s">
        <v>767</v>
      </c>
      <c r="B1036" s="38" t="s">
        <v>745</v>
      </c>
      <c r="C1036" s="38" t="s">
        <v>698</v>
      </c>
      <c r="D1036" s="38" t="s">
        <v>521</v>
      </c>
      <c r="E1036" s="190">
        <v>0</v>
      </c>
      <c r="F1036" s="190">
        <v>0</v>
      </c>
      <c r="G1036" s="190">
        <v>0</v>
      </c>
      <c r="H1036" s="190">
        <v>0</v>
      </c>
      <c r="I1036" s="190">
        <v>0</v>
      </c>
    </row>
    <row r="1037" spans="1:9" hidden="1" x14ac:dyDescent="0.35">
      <c r="A1037" s="38" t="s">
        <v>767</v>
      </c>
      <c r="B1037" s="38" t="s">
        <v>745</v>
      </c>
      <c r="C1037" s="38" t="s">
        <v>698</v>
      </c>
      <c r="D1037" s="38" t="s">
        <v>252</v>
      </c>
      <c r="E1037" s="190">
        <v>0</v>
      </c>
      <c r="F1037" s="190">
        <v>0</v>
      </c>
      <c r="G1037" s="190">
        <v>0</v>
      </c>
      <c r="H1037" s="190">
        <v>0</v>
      </c>
      <c r="I1037" s="190">
        <v>0</v>
      </c>
    </row>
    <row r="1038" spans="1:9" hidden="1" x14ac:dyDescent="0.35">
      <c r="A1038" s="38" t="s">
        <v>767</v>
      </c>
      <c r="B1038" s="38" t="s">
        <v>745</v>
      </c>
      <c r="C1038" s="38" t="s">
        <v>701</v>
      </c>
      <c r="D1038" s="38" t="s">
        <v>702</v>
      </c>
      <c r="E1038" s="190">
        <v>4</v>
      </c>
      <c r="F1038" s="190">
        <v>1.9</v>
      </c>
      <c r="G1038" s="190">
        <v>0.5</v>
      </c>
      <c r="H1038" s="190">
        <v>2</v>
      </c>
      <c r="I1038" s="190">
        <v>8</v>
      </c>
    </row>
    <row r="1039" spans="1:9" hidden="1" x14ac:dyDescent="0.35">
      <c r="A1039" s="38" t="s">
        <v>767</v>
      </c>
      <c r="B1039" s="38" t="s">
        <v>745</v>
      </c>
      <c r="C1039" s="38" t="s">
        <v>701</v>
      </c>
      <c r="D1039" s="38" t="s">
        <v>703</v>
      </c>
      <c r="E1039" s="190">
        <v>3.5</v>
      </c>
      <c r="F1039" s="190">
        <v>1.7</v>
      </c>
      <c r="G1039" s="190">
        <v>1.2</v>
      </c>
      <c r="H1039" s="190">
        <v>0.82</v>
      </c>
      <c r="I1039" s="190">
        <v>7</v>
      </c>
    </row>
    <row r="1040" spans="1:9" hidden="1" x14ac:dyDescent="0.35">
      <c r="A1040" s="38" t="s">
        <v>767</v>
      </c>
      <c r="B1040" s="38" t="s">
        <v>745</v>
      </c>
      <c r="C1040" s="38" t="s">
        <v>704</v>
      </c>
      <c r="D1040" s="38" t="s">
        <v>746</v>
      </c>
      <c r="E1040" s="190">
        <v>5.3</v>
      </c>
      <c r="F1040" s="190">
        <v>1.2</v>
      </c>
      <c r="G1040" s="190">
        <v>5</v>
      </c>
      <c r="H1040" s="190">
        <v>1</v>
      </c>
      <c r="I1040" s="190">
        <v>4</v>
      </c>
    </row>
    <row r="1041" spans="1:9" hidden="1" x14ac:dyDescent="0.35">
      <c r="A1041" s="38" t="s">
        <v>767</v>
      </c>
      <c r="B1041" s="38" t="s">
        <v>745</v>
      </c>
      <c r="C1041" s="38" t="s">
        <v>707</v>
      </c>
      <c r="D1041" s="38" t="s">
        <v>708</v>
      </c>
      <c r="E1041" s="190">
        <v>20</v>
      </c>
      <c r="F1041" s="190">
        <v>7.6</v>
      </c>
      <c r="G1041" s="190">
        <v>13.8</v>
      </c>
      <c r="H1041" s="190">
        <v>7</v>
      </c>
      <c r="I1041" s="190">
        <v>17</v>
      </c>
    </row>
    <row r="1042" spans="1:9" hidden="1" x14ac:dyDescent="0.35">
      <c r="A1042" s="38" t="s">
        <v>767</v>
      </c>
      <c r="B1042" s="38" t="s">
        <v>748</v>
      </c>
      <c r="C1042" s="38" t="s">
        <v>686</v>
      </c>
      <c r="D1042" s="38" t="s">
        <v>746</v>
      </c>
      <c r="E1042" s="190">
        <v>3.92</v>
      </c>
      <c r="F1042" s="190">
        <v>4.24</v>
      </c>
      <c r="G1042" s="190">
        <v>11.8</v>
      </c>
      <c r="H1042" s="190">
        <v>2</v>
      </c>
      <c r="I1042" s="190">
        <v>13.65</v>
      </c>
    </row>
    <row r="1043" spans="1:9" hidden="1" x14ac:dyDescent="0.35">
      <c r="A1043" s="38" t="s">
        <v>767</v>
      </c>
      <c r="B1043" s="38" t="s">
        <v>748</v>
      </c>
      <c r="C1043" s="38" t="s">
        <v>691</v>
      </c>
      <c r="D1043" s="38" t="s">
        <v>746</v>
      </c>
      <c r="E1043" s="190">
        <v>10</v>
      </c>
      <c r="F1043" s="190">
        <v>8.3699999999999992</v>
      </c>
      <c r="G1043" s="190">
        <v>2</v>
      </c>
      <c r="H1043" s="190">
        <v>8</v>
      </c>
      <c r="I1043" s="190">
        <v>10.35</v>
      </c>
    </row>
    <row r="1044" spans="1:9" hidden="1" x14ac:dyDescent="0.35">
      <c r="A1044" s="38" t="s">
        <v>767</v>
      </c>
      <c r="B1044" s="38" t="s">
        <v>748</v>
      </c>
      <c r="C1044" s="38" t="s">
        <v>696</v>
      </c>
      <c r="D1044" s="38" t="s">
        <v>697</v>
      </c>
      <c r="E1044" s="190">
        <v>15</v>
      </c>
      <c r="F1044" s="190">
        <v>16.5</v>
      </c>
      <c r="G1044" s="190">
        <v>6</v>
      </c>
      <c r="H1044" s="190">
        <v>11</v>
      </c>
      <c r="I1044" s="190">
        <v>7.3</v>
      </c>
    </row>
    <row r="1045" spans="1:9" hidden="1" x14ac:dyDescent="0.35">
      <c r="A1045" s="38" t="s">
        <v>767</v>
      </c>
      <c r="B1045" s="38" t="s">
        <v>748</v>
      </c>
      <c r="C1045" s="38" t="s">
        <v>698</v>
      </c>
      <c r="D1045" s="38" t="s">
        <v>747</v>
      </c>
      <c r="E1045" s="190">
        <v>0</v>
      </c>
      <c r="F1045" s="190">
        <v>0</v>
      </c>
      <c r="G1045" s="190">
        <v>0</v>
      </c>
      <c r="H1045" s="190">
        <v>0</v>
      </c>
      <c r="I1045" s="190">
        <v>0</v>
      </c>
    </row>
    <row r="1046" spans="1:9" hidden="1" x14ac:dyDescent="0.35">
      <c r="A1046" s="38" t="s">
        <v>767</v>
      </c>
      <c r="B1046" s="38" t="s">
        <v>748</v>
      </c>
      <c r="C1046" s="38" t="s">
        <v>698</v>
      </c>
      <c r="D1046" s="38" t="s">
        <v>700</v>
      </c>
      <c r="E1046" s="190">
        <v>0</v>
      </c>
      <c r="F1046" s="190">
        <v>0</v>
      </c>
      <c r="G1046" s="190">
        <v>0</v>
      </c>
      <c r="H1046" s="190">
        <v>0</v>
      </c>
      <c r="I1046" s="190">
        <v>0</v>
      </c>
    </row>
    <row r="1047" spans="1:9" hidden="1" x14ac:dyDescent="0.35">
      <c r="A1047" s="38" t="s">
        <v>767</v>
      </c>
      <c r="B1047" s="38" t="s">
        <v>748</v>
      </c>
      <c r="C1047" s="38" t="s">
        <v>698</v>
      </c>
      <c r="D1047" s="38" t="s">
        <v>521</v>
      </c>
      <c r="E1047" s="190">
        <v>0</v>
      </c>
      <c r="F1047" s="190">
        <v>0</v>
      </c>
      <c r="G1047" s="190">
        <v>0</v>
      </c>
      <c r="H1047" s="190">
        <v>0</v>
      </c>
      <c r="I1047" s="190">
        <v>0</v>
      </c>
    </row>
    <row r="1048" spans="1:9" hidden="1" x14ac:dyDescent="0.35">
      <c r="A1048" s="38" t="s">
        <v>767</v>
      </c>
      <c r="B1048" s="38" t="s">
        <v>748</v>
      </c>
      <c r="C1048" s="38" t="s">
        <v>698</v>
      </c>
      <c r="D1048" s="38" t="s">
        <v>252</v>
      </c>
      <c r="E1048" s="190">
        <v>0</v>
      </c>
      <c r="F1048" s="190">
        <v>0</v>
      </c>
      <c r="G1048" s="190">
        <v>0</v>
      </c>
      <c r="H1048" s="190">
        <v>0</v>
      </c>
      <c r="I1048" s="190">
        <v>0</v>
      </c>
    </row>
    <row r="1049" spans="1:9" hidden="1" x14ac:dyDescent="0.35">
      <c r="A1049" s="38" t="s">
        <v>767</v>
      </c>
      <c r="B1049" s="38" t="s">
        <v>748</v>
      </c>
      <c r="C1049" s="38" t="s">
        <v>701</v>
      </c>
      <c r="D1049" s="38" t="s">
        <v>702</v>
      </c>
      <c r="E1049" s="190">
        <v>6</v>
      </c>
      <c r="F1049" s="190">
        <v>2.38</v>
      </c>
      <c r="G1049" s="190">
        <v>0.5</v>
      </c>
      <c r="H1049" s="190">
        <v>4</v>
      </c>
      <c r="I1049" s="190">
        <v>3.65</v>
      </c>
    </row>
    <row r="1050" spans="1:9" hidden="1" x14ac:dyDescent="0.35">
      <c r="A1050" s="38" t="s">
        <v>767</v>
      </c>
      <c r="B1050" s="38" t="s">
        <v>748</v>
      </c>
      <c r="C1050" s="38" t="s">
        <v>701</v>
      </c>
      <c r="D1050" s="38" t="s">
        <v>703</v>
      </c>
      <c r="E1050" s="190">
        <v>3.5</v>
      </c>
      <c r="F1050" s="190">
        <v>2.2400000000000002</v>
      </c>
      <c r="G1050" s="190">
        <v>1.2</v>
      </c>
      <c r="H1050" s="190">
        <v>0.5</v>
      </c>
      <c r="I1050" s="190">
        <v>2.6</v>
      </c>
    </row>
    <row r="1051" spans="1:9" hidden="1" x14ac:dyDescent="0.35">
      <c r="A1051" s="38" t="s">
        <v>767</v>
      </c>
      <c r="B1051" s="38" t="s">
        <v>748</v>
      </c>
      <c r="C1051" s="38" t="s">
        <v>704</v>
      </c>
      <c r="D1051" s="38" t="s">
        <v>746</v>
      </c>
      <c r="E1051" s="190">
        <v>6</v>
      </c>
      <c r="F1051" s="190">
        <v>2.72</v>
      </c>
      <c r="G1051" s="190">
        <v>5</v>
      </c>
      <c r="H1051" s="190">
        <v>1</v>
      </c>
      <c r="I1051" s="190">
        <v>16.55</v>
      </c>
    </row>
    <row r="1052" spans="1:9" hidden="1" x14ac:dyDescent="0.35">
      <c r="A1052" s="38" t="s">
        <v>767</v>
      </c>
      <c r="B1052" s="38" t="s">
        <v>748</v>
      </c>
      <c r="C1052" s="38" t="s">
        <v>707</v>
      </c>
      <c r="D1052" s="38" t="s">
        <v>708</v>
      </c>
      <c r="E1052" s="190">
        <v>20</v>
      </c>
      <c r="F1052" s="190">
        <v>4.8499999999999996</v>
      </c>
      <c r="G1052" s="190">
        <v>15</v>
      </c>
      <c r="H1052" s="190">
        <v>9</v>
      </c>
      <c r="I1052" s="190">
        <v>7.15</v>
      </c>
    </row>
    <row r="1053" spans="1:9" hidden="1" x14ac:dyDescent="0.35">
      <c r="A1053" s="38" t="s">
        <v>767</v>
      </c>
      <c r="B1053" s="38" t="s">
        <v>749</v>
      </c>
      <c r="C1053" s="38" t="s">
        <v>686</v>
      </c>
      <c r="D1053" s="38" t="s">
        <v>746</v>
      </c>
      <c r="E1053" s="190">
        <v>7.17</v>
      </c>
      <c r="F1053" s="190">
        <v>3.25</v>
      </c>
      <c r="G1053" s="190">
        <v>10.5</v>
      </c>
      <c r="H1053" s="190">
        <v>9</v>
      </c>
      <c r="I1053" s="190">
        <v>23.99</v>
      </c>
    </row>
    <row r="1054" spans="1:9" hidden="1" x14ac:dyDescent="0.35">
      <c r="A1054" s="38" t="s">
        <v>767</v>
      </c>
      <c r="B1054" s="38" t="s">
        <v>749</v>
      </c>
      <c r="C1054" s="38" t="s">
        <v>691</v>
      </c>
      <c r="D1054" s="38" t="s">
        <v>746</v>
      </c>
      <c r="E1054" s="190">
        <v>20</v>
      </c>
      <c r="F1054" s="190">
        <v>15.3</v>
      </c>
      <c r="G1054" s="190">
        <v>2</v>
      </c>
      <c r="H1054" s="190">
        <v>9.35</v>
      </c>
      <c r="I1054" s="190">
        <v>25.43</v>
      </c>
    </row>
    <row r="1055" spans="1:9" hidden="1" x14ac:dyDescent="0.35">
      <c r="A1055" s="38" t="s">
        <v>767</v>
      </c>
      <c r="B1055" s="38" t="s">
        <v>749</v>
      </c>
      <c r="C1055" s="38" t="s">
        <v>696</v>
      </c>
      <c r="D1055" s="38" t="s">
        <v>697</v>
      </c>
      <c r="E1055" s="190">
        <v>12</v>
      </c>
      <c r="F1055" s="190">
        <v>2.2200000000000002</v>
      </c>
      <c r="G1055" s="190">
        <v>6</v>
      </c>
      <c r="H1055" s="190">
        <v>6.83</v>
      </c>
      <c r="I1055" s="190">
        <v>28.17</v>
      </c>
    </row>
    <row r="1056" spans="1:9" hidden="1" x14ac:dyDescent="0.35">
      <c r="A1056" s="38" t="s">
        <v>767</v>
      </c>
      <c r="B1056" s="38" t="s">
        <v>749</v>
      </c>
      <c r="C1056" s="38" t="s">
        <v>698</v>
      </c>
      <c r="D1056" s="38" t="s">
        <v>747</v>
      </c>
      <c r="E1056" s="190">
        <v>0</v>
      </c>
      <c r="F1056" s="190">
        <v>0</v>
      </c>
      <c r="G1056" s="190">
        <v>0</v>
      </c>
      <c r="H1056" s="190">
        <v>0</v>
      </c>
      <c r="I1056" s="190">
        <v>0</v>
      </c>
    </row>
    <row r="1057" spans="1:9" hidden="1" x14ac:dyDescent="0.35">
      <c r="A1057" s="38" t="s">
        <v>767</v>
      </c>
      <c r="B1057" s="38" t="s">
        <v>749</v>
      </c>
      <c r="C1057" s="38" t="s">
        <v>698</v>
      </c>
      <c r="D1057" s="38" t="s">
        <v>700</v>
      </c>
      <c r="E1057" s="190">
        <v>0</v>
      </c>
      <c r="F1057" s="190">
        <v>0</v>
      </c>
      <c r="G1057" s="190">
        <v>0</v>
      </c>
      <c r="H1057" s="190">
        <v>0</v>
      </c>
      <c r="I1057" s="190">
        <v>0</v>
      </c>
    </row>
    <row r="1058" spans="1:9" hidden="1" x14ac:dyDescent="0.35">
      <c r="A1058" s="38" t="s">
        <v>767</v>
      </c>
      <c r="B1058" s="38" t="s">
        <v>749</v>
      </c>
      <c r="C1058" s="38" t="s">
        <v>698</v>
      </c>
      <c r="D1058" s="38" t="s">
        <v>521</v>
      </c>
      <c r="E1058" s="190">
        <v>0</v>
      </c>
      <c r="F1058" s="190">
        <v>0</v>
      </c>
      <c r="G1058" s="190">
        <v>0</v>
      </c>
      <c r="H1058" s="190">
        <v>0</v>
      </c>
      <c r="I1058" s="190">
        <v>0</v>
      </c>
    </row>
    <row r="1059" spans="1:9" hidden="1" x14ac:dyDescent="0.35">
      <c r="A1059" s="38" t="s">
        <v>767</v>
      </c>
      <c r="B1059" s="38" t="s">
        <v>749</v>
      </c>
      <c r="C1059" s="38" t="s">
        <v>698</v>
      </c>
      <c r="D1059" s="38" t="s">
        <v>252</v>
      </c>
      <c r="E1059" s="190">
        <v>0</v>
      </c>
      <c r="F1059" s="190">
        <v>0</v>
      </c>
      <c r="G1059" s="190">
        <v>0</v>
      </c>
      <c r="H1059" s="190">
        <v>0</v>
      </c>
      <c r="I1059" s="190">
        <v>0</v>
      </c>
    </row>
    <row r="1060" spans="1:9" hidden="1" x14ac:dyDescent="0.35">
      <c r="A1060" s="38" t="s">
        <v>767</v>
      </c>
      <c r="B1060" s="38" t="s">
        <v>749</v>
      </c>
      <c r="C1060" s="38" t="s">
        <v>701</v>
      </c>
      <c r="D1060" s="38" t="s">
        <v>702</v>
      </c>
      <c r="E1060" s="190">
        <v>4</v>
      </c>
      <c r="F1060" s="190">
        <v>2.27</v>
      </c>
      <c r="G1060" s="190">
        <v>0.5</v>
      </c>
      <c r="H1060" s="190">
        <v>7</v>
      </c>
      <c r="I1060" s="190">
        <v>20.399999999999999</v>
      </c>
    </row>
    <row r="1061" spans="1:9" hidden="1" x14ac:dyDescent="0.35">
      <c r="A1061" s="38" t="s">
        <v>767</v>
      </c>
      <c r="B1061" s="38" t="s">
        <v>749</v>
      </c>
      <c r="C1061" s="38" t="s">
        <v>701</v>
      </c>
      <c r="D1061" s="38" t="s">
        <v>703</v>
      </c>
      <c r="E1061" s="190">
        <v>3.5</v>
      </c>
      <c r="F1061" s="190">
        <v>0.4</v>
      </c>
      <c r="G1061" s="190">
        <v>1.2</v>
      </c>
      <c r="H1061" s="190">
        <v>7.75</v>
      </c>
      <c r="I1061" s="190">
        <v>21</v>
      </c>
    </row>
    <row r="1062" spans="1:9" hidden="1" x14ac:dyDescent="0.35">
      <c r="A1062" s="38" t="s">
        <v>767</v>
      </c>
      <c r="B1062" s="38" t="s">
        <v>749</v>
      </c>
      <c r="C1062" s="38" t="s">
        <v>704</v>
      </c>
      <c r="D1062" s="38" t="s">
        <v>746</v>
      </c>
      <c r="E1062" s="190">
        <v>12</v>
      </c>
      <c r="F1062" s="190">
        <v>3.91</v>
      </c>
      <c r="G1062" s="190">
        <v>5</v>
      </c>
      <c r="H1062" s="190">
        <v>1</v>
      </c>
      <c r="I1062" s="190">
        <v>4</v>
      </c>
    </row>
    <row r="1063" spans="1:9" hidden="1" x14ac:dyDescent="0.35">
      <c r="A1063" s="38" t="s">
        <v>767</v>
      </c>
      <c r="B1063" s="38" t="s">
        <v>749</v>
      </c>
      <c r="C1063" s="38" t="s">
        <v>707</v>
      </c>
      <c r="D1063" s="38" t="s">
        <v>708</v>
      </c>
      <c r="E1063" s="190">
        <v>20</v>
      </c>
      <c r="F1063" s="190">
        <v>5.83</v>
      </c>
      <c r="G1063" s="190">
        <v>15</v>
      </c>
      <c r="H1063" s="190">
        <v>8</v>
      </c>
      <c r="I1063" s="190">
        <v>15</v>
      </c>
    </row>
    <row r="1064" spans="1:9" hidden="1" x14ac:dyDescent="0.35">
      <c r="A1064" s="38" t="s">
        <v>767</v>
      </c>
      <c r="B1064" s="38" t="s">
        <v>750</v>
      </c>
      <c r="C1064" s="38" t="s">
        <v>686</v>
      </c>
      <c r="D1064" s="38" t="s">
        <v>746</v>
      </c>
      <c r="E1064" s="190">
        <v>6</v>
      </c>
      <c r="F1064" s="190">
        <v>7.46</v>
      </c>
      <c r="G1064" s="190">
        <v>9</v>
      </c>
      <c r="H1064" s="190">
        <v>4</v>
      </c>
      <c r="I1064" s="190">
        <v>10</v>
      </c>
    </row>
    <row r="1065" spans="1:9" hidden="1" x14ac:dyDescent="0.35">
      <c r="A1065" s="38" t="s">
        <v>767</v>
      </c>
      <c r="B1065" s="38" t="s">
        <v>750</v>
      </c>
      <c r="C1065" s="38" t="s">
        <v>691</v>
      </c>
      <c r="D1065" s="38" t="s">
        <v>746</v>
      </c>
      <c r="E1065" s="190">
        <v>20</v>
      </c>
      <c r="F1065" s="190">
        <v>14.32</v>
      </c>
      <c r="G1065" s="190">
        <v>20</v>
      </c>
      <c r="H1065" s="190">
        <v>12</v>
      </c>
      <c r="I1065" s="190">
        <v>10</v>
      </c>
    </row>
    <row r="1066" spans="1:9" hidden="1" x14ac:dyDescent="0.35">
      <c r="A1066" s="38" t="s">
        <v>767</v>
      </c>
      <c r="B1066" s="38" t="s">
        <v>750</v>
      </c>
      <c r="C1066" s="38" t="s">
        <v>696</v>
      </c>
      <c r="D1066" s="38" t="s">
        <v>697</v>
      </c>
      <c r="E1066" s="190">
        <v>5.7</v>
      </c>
      <c r="F1066" s="190">
        <v>19.61</v>
      </c>
      <c r="G1066" s="190">
        <v>9</v>
      </c>
      <c r="H1066" s="190">
        <v>10</v>
      </c>
      <c r="I1066" s="190">
        <v>4</v>
      </c>
    </row>
    <row r="1067" spans="1:9" hidden="1" x14ac:dyDescent="0.35">
      <c r="A1067" s="38" t="s">
        <v>767</v>
      </c>
      <c r="B1067" s="38" t="s">
        <v>750</v>
      </c>
      <c r="C1067" s="38" t="s">
        <v>698</v>
      </c>
      <c r="D1067" s="38" t="s">
        <v>747</v>
      </c>
      <c r="E1067" s="190">
        <v>0</v>
      </c>
      <c r="F1067" s="190">
        <v>0</v>
      </c>
      <c r="G1067" s="190">
        <v>0</v>
      </c>
      <c r="H1067" s="190">
        <v>0</v>
      </c>
      <c r="I1067" s="190">
        <v>0</v>
      </c>
    </row>
    <row r="1068" spans="1:9" hidden="1" x14ac:dyDescent="0.35">
      <c r="A1068" s="38" t="s">
        <v>767</v>
      </c>
      <c r="B1068" s="38" t="s">
        <v>750</v>
      </c>
      <c r="C1068" s="38" t="s">
        <v>698</v>
      </c>
      <c r="D1068" s="38" t="s">
        <v>700</v>
      </c>
      <c r="E1068" s="190">
        <v>0</v>
      </c>
      <c r="F1068" s="190">
        <v>0</v>
      </c>
      <c r="G1068" s="190">
        <v>0</v>
      </c>
      <c r="H1068" s="190">
        <v>0</v>
      </c>
      <c r="I1068" s="190">
        <v>0</v>
      </c>
    </row>
    <row r="1069" spans="1:9" hidden="1" x14ac:dyDescent="0.35">
      <c r="A1069" s="38" t="s">
        <v>767</v>
      </c>
      <c r="B1069" s="38" t="s">
        <v>750</v>
      </c>
      <c r="C1069" s="38" t="s">
        <v>698</v>
      </c>
      <c r="D1069" s="38" t="s">
        <v>521</v>
      </c>
      <c r="E1069" s="190">
        <v>0</v>
      </c>
      <c r="F1069" s="190">
        <v>0</v>
      </c>
      <c r="G1069" s="190">
        <v>0</v>
      </c>
      <c r="H1069" s="190">
        <v>0</v>
      </c>
      <c r="I1069" s="190">
        <v>0</v>
      </c>
    </row>
    <row r="1070" spans="1:9" hidden="1" x14ac:dyDescent="0.35">
      <c r="A1070" s="38" t="s">
        <v>767</v>
      </c>
      <c r="B1070" s="38" t="s">
        <v>750</v>
      </c>
      <c r="C1070" s="38" t="s">
        <v>698</v>
      </c>
      <c r="D1070" s="38" t="s">
        <v>252</v>
      </c>
      <c r="E1070" s="190">
        <v>0</v>
      </c>
      <c r="F1070" s="190">
        <v>0</v>
      </c>
      <c r="G1070" s="190">
        <v>0</v>
      </c>
      <c r="H1070" s="190">
        <v>0</v>
      </c>
      <c r="I1070" s="190">
        <v>0</v>
      </c>
    </row>
    <row r="1071" spans="1:9" hidden="1" x14ac:dyDescent="0.35">
      <c r="A1071" s="38" t="s">
        <v>767</v>
      </c>
      <c r="B1071" s="38" t="s">
        <v>750</v>
      </c>
      <c r="C1071" s="38" t="s">
        <v>701</v>
      </c>
      <c r="D1071" s="38" t="s">
        <v>702</v>
      </c>
      <c r="E1071" s="190">
        <v>6</v>
      </c>
      <c r="F1071" s="190">
        <v>6.21</v>
      </c>
      <c r="G1071" s="190">
        <v>0.5</v>
      </c>
      <c r="H1071" s="190">
        <v>4</v>
      </c>
      <c r="I1071" s="190">
        <v>4</v>
      </c>
    </row>
    <row r="1072" spans="1:9" hidden="1" x14ac:dyDescent="0.35">
      <c r="A1072" s="38" t="s">
        <v>767</v>
      </c>
      <c r="B1072" s="38" t="s">
        <v>750</v>
      </c>
      <c r="C1072" s="38" t="s">
        <v>701</v>
      </c>
      <c r="D1072" s="38" t="s">
        <v>703</v>
      </c>
      <c r="E1072" s="190">
        <v>3.5</v>
      </c>
      <c r="F1072" s="190">
        <v>3.74</v>
      </c>
      <c r="G1072" s="190">
        <v>2</v>
      </c>
      <c r="H1072" s="190">
        <v>8</v>
      </c>
      <c r="I1072" s="190">
        <v>4</v>
      </c>
    </row>
    <row r="1073" spans="1:9" hidden="1" x14ac:dyDescent="0.35">
      <c r="A1073" s="38" t="s">
        <v>767</v>
      </c>
      <c r="B1073" s="38" t="s">
        <v>750</v>
      </c>
      <c r="C1073" s="38" t="s">
        <v>704</v>
      </c>
      <c r="D1073" s="38" t="s">
        <v>746</v>
      </c>
      <c r="E1073" s="190">
        <v>6</v>
      </c>
      <c r="F1073" s="190">
        <v>1.49</v>
      </c>
      <c r="G1073" s="190">
        <v>8</v>
      </c>
      <c r="H1073" s="190">
        <v>2</v>
      </c>
      <c r="I1073" s="190">
        <v>2</v>
      </c>
    </row>
    <row r="1074" spans="1:9" hidden="1" x14ac:dyDescent="0.35">
      <c r="A1074" s="38" t="s">
        <v>767</v>
      </c>
      <c r="B1074" s="38" t="s">
        <v>750</v>
      </c>
      <c r="C1074" s="38" t="s">
        <v>707</v>
      </c>
      <c r="D1074" s="38" t="s">
        <v>708</v>
      </c>
      <c r="E1074" s="190">
        <v>14</v>
      </c>
      <c r="F1074" s="190">
        <v>10.39</v>
      </c>
      <c r="G1074" s="190">
        <v>12</v>
      </c>
      <c r="H1074" s="190">
        <v>3</v>
      </c>
      <c r="I1074" s="190">
        <v>4</v>
      </c>
    </row>
    <row r="1075" spans="1:9" hidden="1" x14ac:dyDescent="0.35">
      <c r="A1075" s="38" t="s">
        <v>767</v>
      </c>
      <c r="B1075" s="38" t="s">
        <v>751</v>
      </c>
      <c r="C1075" s="38" t="s">
        <v>686</v>
      </c>
      <c r="D1075" s="38" t="s">
        <v>746</v>
      </c>
      <c r="E1075" s="190">
        <v>6</v>
      </c>
      <c r="F1075" s="190">
        <v>7.23</v>
      </c>
      <c r="G1075" s="190">
        <v>9</v>
      </c>
      <c r="H1075" s="190">
        <v>4</v>
      </c>
      <c r="I1075" s="190">
        <v>12</v>
      </c>
    </row>
    <row r="1076" spans="1:9" hidden="1" x14ac:dyDescent="0.35">
      <c r="A1076" s="38" t="s">
        <v>767</v>
      </c>
      <c r="B1076" s="38" t="s">
        <v>751</v>
      </c>
      <c r="C1076" s="38" t="s">
        <v>691</v>
      </c>
      <c r="D1076" s="38" t="s">
        <v>746</v>
      </c>
      <c r="E1076" s="190">
        <v>11.33</v>
      </c>
      <c r="F1076" s="190">
        <v>11.3</v>
      </c>
      <c r="G1076" s="190">
        <v>20</v>
      </c>
      <c r="H1076" s="190">
        <v>15.15</v>
      </c>
      <c r="I1076" s="190">
        <v>13</v>
      </c>
    </row>
    <row r="1077" spans="1:9" hidden="1" x14ac:dyDescent="0.35">
      <c r="A1077" s="38" t="s">
        <v>767</v>
      </c>
      <c r="B1077" s="38" t="s">
        <v>751</v>
      </c>
      <c r="C1077" s="38" t="s">
        <v>696</v>
      </c>
      <c r="D1077" s="38" t="s">
        <v>697</v>
      </c>
      <c r="E1077" s="190">
        <v>6.6</v>
      </c>
      <c r="F1077" s="190">
        <v>22.46</v>
      </c>
      <c r="G1077" s="190">
        <v>9</v>
      </c>
      <c r="H1077" s="190">
        <v>10</v>
      </c>
      <c r="I1077" s="190">
        <v>4</v>
      </c>
    </row>
    <row r="1078" spans="1:9" hidden="1" x14ac:dyDescent="0.35">
      <c r="A1078" s="38" t="s">
        <v>767</v>
      </c>
      <c r="B1078" s="38" t="s">
        <v>751</v>
      </c>
      <c r="C1078" s="38" t="s">
        <v>698</v>
      </c>
      <c r="D1078" s="38" t="s">
        <v>747</v>
      </c>
      <c r="E1078" s="190">
        <v>0</v>
      </c>
      <c r="F1078" s="190">
        <v>0</v>
      </c>
      <c r="G1078" s="190">
        <v>0</v>
      </c>
      <c r="H1078" s="190">
        <v>0</v>
      </c>
      <c r="I1078" s="190">
        <v>0</v>
      </c>
    </row>
    <row r="1079" spans="1:9" hidden="1" x14ac:dyDescent="0.35">
      <c r="A1079" s="38" t="s">
        <v>767</v>
      </c>
      <c r="B1079" s="38" t="s">
        <v>751</v>
      </c>
      <c r="C1079" s="38" t="s">
        <v>698</v>
      </c>
      <c r="D1079" s="38" t="s">
        <v>700</v>
      </c>
      <c r="E1079" s="190">
        <v>0</v>
      </c>
      <c r="F1079" s="190">
        <v>0</v>
      </c>
      <c r="G1079" s="190">
        <v>0</v>
      </c>
      <c r="H1079" s="190">
        <v>0</v>
      </c>
      <c r="I1079" s="190">
        <v>0</v>
      </c>
    </row>
    <row r="1080" spans="1:9" hidden="1" x14ac:dyDescent="0.35">
      <c r="A1080" s="38" t="s">
        <v>767</v>
      </c>
      <c r="B1080" s="38" t="s">
        <v>751</v>
      </c>
      <c r="C1080" s="38" t="s">
        <v>698</v>
      </c>
      <c r="D1080" s="38" t="s">
        <v>521</v>
      </c>
      <c r="E1080" s="190">
        <v>0</v>
      </c>
      <c r="F1080" s="190">
        <v>0</v>
      </c>
      <c r="G1080" s="190">
        <v>0</v>
      </c>
      <c r="H1080" s="190">
        <v>0</v>
      </c>
      <c r="I1080" s="190">
        <v>0</v>
      </c>
    </row>
    <row r="1081" spans="1:9" hidden="1" x14ac:dyDescent="0.35">
      <c r="A1081" s="38" t="s">
        <v>767</v>
      </c>
      <c r="B1081" s="38" t="s">
        <v>751</v>
      </c>
      <c r="C1081" s="38" t="s">
        <v>698</v>
      </c>
      <c r="D1081" s="38" t="s">
        <v>252</v>
      </c>
      <c r="E1081" s="190">
        <v>0</v>
      </c>
      <c r="F1081" s="190">
        <v>0</v>
      </c>
      <c r="G1081" s="190">
        <v>0</v>
      </c>
      <c r="H1081" s="190">
        <v>0</v>
      </c>
      <c r="I1081" s="190">
        <v>0</v>
      </c>
    </row>
    <row r="1082" spans="1:9" hidden="1" x14ac:dyDescent="0.35">
      <c r="A1082" s="38" t="s">
        <v>767</v>
      </c>
      <c r="B1082" s="38" t="s">
        <v>751</v>
      </c>
      <c r="C1082" s="38" t="s">
        <v>701</v>
      </c>
      <c r="D1082" s="38" t="s">
        <v>702</v>
      </c>
      <c r="E1082" s="190">
        <v>6</v>
      </c>
      <c r="F1082" s="190">
        <v>4.8899999999999997</v>
      </c>
      <c r="G1082" s="190">
        <v>4.5</v>
      </c>
      <c r="H1082" s="190">
        <v>4</v>
      </c>
      <c r="I1082" s="190">
        <v>12</v>
      </c>
    </row>
    <row r="1083" spans="1:9" hidden="1" x14ac:dyDescent="0.35">
      <c r="A1083" s="38" t="s">
        <v>767</v>
      </c>
      <c r="B1083" s="38" t="s">
        <v>751</v>
      </c>
      <c r="C1083" s="38" t="s">
        <v>701</v>
      </c>
      <c r="D1083" s="38" t="s">
        <v>703</v>
      </c>
      <c r="E1083" s="190">
        <v>3.5</v>
      </c>
      <c r="F1083" s="190">
        <v>3.32</v>
      </c>
      <c r="G1083" s="190">
        <v>2</v>
      </c>
      <c r="H1083" s="190">
        <v>8</v>
      </c>
      <c r="I1083" s="190">
        <v>2</v>
      </c>
    </row>
    <row r="1084" spans="1:9" hidden="1" x14ac:dyDescent="0.35">
      <c r="A1084" s="38" t="s">
        <v>767</v>
      </c>
      <c r="B1084" s="38" t="s">
        <v>751</v>
      </c>
      <c r="C1084" s="38" t="s">
        <v>704</v>
      </c>
      <c r="D1084" s="38" t="s">
        <v>746</v>
      </c>
      <c r="E1084" s="190">
        <v>15</v>
      </c>
      <c r="F1084" s="190">
        <v>2.8</v>
      </c>
      <c r="G1084" s="190">
        <v>8</v>
      </c>
      <c r="H1084" s="190">
        <v>2</v>
      </c>
      <c r="I1084" s="190">
        <v>2</v>
      </c>
    </row>
    <row r="1085" spans="1:9" hidden="1" x14ac:dyDescent="0.35">
      <c r="A1085" s="38" t="s">
        <v>767</v>
      </c>
      <c r="B1085" s="38" t="s">
        <v>751</v>
      </c>
      <c r="C1085" s="38" t="s">
        <v>707</v>
      </c>
      <c r="D1085" s="38" t="s">
        <v>708</v>
      </c>
      <c r="E1085" s="190">
        <v>11.9</v>
      </c>
      <c r="F1085" s="190">
        <v>9.26</v>
      </c>
      <c r="G1085" s="190">
        <v>12</v>
      </c>
      <c r="H1085" s="190">
        <v>5.7</v>
      </c>
      <c r="I1085" s="190">
        <v>6</v>
      </c>
    </row>
    <row r="1086" spans="1:9" hidden="1" x14ac:dyDescent="0.35">
      <c r="A1086" s="38" t="s">
        <v>767</v>
      </c>
      <c r="B1086" s="38" t="s">
        <v>752</v>
      </c>
      <c r="C1086" s="38" t="s">
        <v>686</v>
      </c>
      <c r="D1086" s="38" t="s">
        <v>746</v>
      </c>
      <c r="E1086" s="190">
        <v>7.21</v>
      </c>
      <c r="F1086" s="190">
        <v>8.75</v>
      </c>
      <c r="G1086" s="190">
        <v>15.25</v>
      </c>
      <c r="H1086" s="190">
        <v>2</v>
      </c>
      <c r="I1086" s="190">
        <v>1</v>
      </c>
    </row>
    <row r="1087" spans="1:9" hidden="1" x14ac:dyDescent="0.35">
      <c r="A1087" s="38" t="s">
        <v>767</v>
      </c>
      <c r="B1087" s="38" t="s">
        <v>752</v>
      </c>
      <c r="C1087" s="38" t="s">
        <v>691</v>
      </c>
      <c r="D1087" s="38" t="s">
        <v>746</v>
      </c>
      <c r="E1087" s="190">
        <v>13.47</v>
      </c>
      <c r="F1087" s="190">
        <v>17.71</v>
      </c>
      <c r="G1087" s="190">
        <v>25</v>
      </c>
      <c r="H1087" s="190">
        <v>34.130000000000003</v>
      </c>
      <c r="I1087" s="190">
        <v>5</v>
      </c>
    </row>
    <row r="1088" spans="1:9" hidden="1" x14ac:dyDescent="0.35">
      <c r="A1088" s="38" t="s">
        <v>767</v>
      </c>
      <c r="B1088" s="38" t="s">
        <v>752</v>
      </c>
      <c r="C1088" s="38" t="s">
        <v>696</v>
      </c>
      <c r="D1088" s="38" t="s">
        <v>697</v>
      </c>
      <c r="E1088" s="190">
        <v>5.7</v>
      </c>
      <c r="F1088" s="190">
        <v>21.94</v>
      </c>
      <c r="G1088" s="190">
        <v>9</v>
      </c>
      <c r="H1088" s="190">
        <v>15</v>
      </c>
      <c r="I1088" s="190">
        <v>2</v>
      </c>
    </row>
    <row r="1089" spans="1:9" hidden="1" x14ac:dyDescent="0.35">
      <c r="A1089" s="38" t="s">
        <v>767</v>
      </c>
      <c r="B1089" s="38" t="s">
        <v>752</v>
      </c>
      <c r="C1089" s="38" t="s">
        <v>698</v>
      </c>
      <c r="D1089" s="38" t="s">
        <v>747</v>
      </c>
      <c r="E1089" s="190">
        <v>0</v>
      </c>
      <c r="F1089" s="190">
        <v>0</v>
      </c>
      <c r="G1089" s="190">
        <v>0</v>
      </c>
      <c r="H1089" s="190">
        <v>0</v>
      </c>
      <c r="I1089" s="190">
        <v>0</v>
      </c>
    </row>
    <row r="1090" spans="1:9" hidden="1" x14ac:dyDescent="0.35">
      <c r="A1090" s="38" t="s">
        <v>767</v>
      </c>
      <c r="B1090" s="38" t="s">
        <v>752</v>
      </c>
      <c r="C1090" s="38" t="s">
        <v>698</v>
      </c>
      <c r="D1090" s="38" t="s">
        <v>700</v>
      </c>
      <c r="E1090" s="190">
        <v>0</v>
      </c>
      <c r="F1090" s="190">
        <v>0</v>
      </c>
      <c r="G1090" s="190">
        <v>0</v>
      </c>
      <c r="H1090" s="190">
        <v>0</v>
      </c>
      <c r="I1090" s="190">
        <v>0</v>
      </c>
    </row>
    <row r="1091" spans="1:9" hidden="1" x14ac:dyDescent="0.35">
      <c r="A1091" s="38" t="s">
        <v>767</v>
      </c>
      <c r="B1091" s="38" t="s">
        <v>752</v>
      </c>
      <c r="C1091" s="38" t="s">
        <v>698</v>
      </c>
      <c r="D1091" s="38" t="s">
        <v>521</v>
      </c>
      <c r="E1091" s="190">
        <v>0</v>
      </c>
      <c r="F1091" s="190">
        <v>0</v>
      </c>
      <c r="G1091" s="190">
        <v>0</v>
      </c>
      <c r="H1091" s="190">
        <v>0</v>
      </c>
      <c r="I1091" s="190">
        <v>0</v>
      </c>
    </row>
    <row r="1092" spans="1:9" hidden="1" x14ac:dyDescent="0.35">
      <c r="A1092" s="38" t="s">
        <v>767</v>
      </c>
      <c r="B1092" s="38" t="s">
        <v>752</v>
      </c>
      <c r="C1092" s="38" t="s">
        <v>698</v>
      </c>
      <c r="D1092" s="38" t="s">
        <v>252</v>
      </c>
      <c r="E1092" s="190">
        <v>0</v>
      </c>
      <c r="F1092" s="190">
        <v>0</v>
      </c>
      <c r="G1092" s="190">
        <v>0</v>
      </c>
      <c r="H1092" s="190">
        <v>0</v>
      </c>
      <c r="I1092" s="190">
        <v>0</v>
      </c>
    </row>
    <row r="1093" spans="1:9" hidden="1" x14ac:dyDescent="0.35">
      <c r="A1093" s="38" t="s">
        <v>767</v>
      </c>
      <c r="B1093" s="38" t="s">
        <v>752</v>
      </c>
      <c r="C1093" s="38" t="s">
        <v>701</v>
      </c>
      <c r="D1093" s="38" t="s">
        <v>702</v>
      </c>
      <c r="E1093" s="190">
        <v>8</v>
      </c>
      <c r="F1093" s="190">
        <v>8.01</v>
      </c>
      <c r="G1093" s="190">
        <v>0.1</v>
      </c>
      <c r="H1093" s="190">
        <v>3</v>
      </c>
      <c r="I1093" s="190">
        <v>1</v>
      </c>
    </row>
    <row r="1094" spans="1:9" hidden="1" x14ac:dyDescent="0.35">
      <c r="A1094" s="38" t="s">
        <v>767</v>
      </c>
      <c r="B1094" s="38" t="s">
        <v>752</v>
      </c>
      <c r="C1094" s="38" t="s">
        <v>701</v>
      </c>
      <c r="D1094" s="38" t="s">
        <v>703</v>
      </c>
      <c r="E1094" s="190">
        <v>6</v>
      </c>
      <c r="F1094" s="190">
        <v>8.1999999999999993</v>
      </c>
      <c r="G1094" s="190">
        <v>2</v>
      </c>
      <c r="H1094" s="190">
        <v>10</v>
      </c>
      <c r="I1094" s="190">
        <v>0.1</v>
      </c>
    </row>
    <row r="1095" spans="1:9" hidden="1" x14ac:dyDescent="0.35">
      <c r="A1095" s="38" t="s">
        <v>767</v>
      </c>
      <c r="B1095" s="38" t="s">
        <v>752</v>
      </c>
      <c r="C1095" s="38" t="s">
        <v>704</v>
      </c>
      <c r="D1095" s="38" t="s">
        <v>746</v>
      </c>
      <c r="E1095" s="190">
        <v>12</v>
      </c>
      <c r="F1095" s="190">
        <v>8.18</v>
      </c>
      <c r="G1095" s="190">
        <v>8</v>
      </c>
      <c r="H1095" s="190">
        <v>2</v>
      </c>
      <c r="I1095" s="190">
        <v>1</v>
      </c>
    </row>
    <row r="1096" spans="1:9" hidden="1" x14ac:dyDescent="0.35">
      <c r="A1096" s="38" t="s">
        <v>767</v>
      </c>
      <c r="B1096" s="38" t="s">
        <v>752</v>
      </c>
      <c r="C1096" s="38" t="s">
        <v>707</v>
      </c>
      <c r="D1096" s="38" t="s">
        <v>708</v>
      </c>
      <c r="E1096" s="190">
        <v>14</v>
      </c>
      <c r="F1096" s="190">
        <v>16.940000000000001</v>
      </c>
      <c r="G1096" s="190">
        <v>15</v>
      </c>
      <c r="H1096" s="190">
        <v>5</v>
      </c>
      <c r="I1096" s="190">
        <v>2</v>
      </c>
    </row>
    <row r="1097" spans="1:9" hidden="1" x14ac:dyDescent="0.35">
      <c r="A1097" s="38" t="s">
        <v>767</v>
      </c>
      <c r="B1097" s="38" t="s">
        <v>753</v>
      </c>
      <c r="C1097" s="38" t="s">
        <v>686</v>
      </c>
      <c r="D1097" s="38" t="s">
        <v>746</v>
      </c>
      <c r="E1097" s="190">
        <v>6</v>
      </c>
      <c r="F1097" s="190">
        <v>6.59</v>
      </c>
      <c r="G1097" s="190">
        <v>7</v>
      </c>
      <c r="H1097" s="190">
        <v>2.98</v>
      </c>
      <c r="I1097" s="190">
        <v>3</v>
      </c>
    </row>
    <row r="1098" spans="1:9" hidden="1" x14ac:dyDescent="0.35">
      <c r="A1098" s="38" t="s">
        <v>767</v>
      </c>
      <c r="B1098" s="38" t="s">
        <v>753</v>
      </c>
      <c r="C1098" s="38" t="s">
        <v>691</v>
      </c>
      <c r="D1098" s="38" t="s">
        <v>746</v>
      </c>
      <c r="E1098" s="190">
        <v>8.7100000000000009</v>
      </c>
      <c r="F1098" s="190">
        <v>9.8699999999999992</v>
      </c>
      <c r="G1098" s="190">
        <v>25</v>
      </c>
      <c r="H1098" s="190">
        <v>12.96</v>
      </c>
      <c r="I1098" s="190">
        <v>18.16</v>
      </c>
    </row>
    <row r="1099" spans="1:9" hidden="1" x14ac:dyDescent="0.35">
      <c r="A1099" s="38" t="s">
        <v>767</v>
      </c>
      <c r="B1099" s="38" t="s">
        <v>753</v>
      </c>
      <c r="C1099" s="38" t="s">
        <v>696</v>
      </c>
      <c r="D1099" s="38" t="s">
        <v>697</v>
      </c>
      <c r="E1099" s="190">
        <v>8.1999999999999993</v>
      </c>
      <c r="F1099" s="190">
        <v>25.47</v>
      </c>
      <c r="G1099" s="190">
        <v>9</v>
      </c>
      <c r="H1099" s="190">
        <v>12.33</v>
      </c>
      <c r="I1099" s="190">
        <v>2</v>
      </c>
    </row>
    <row r="1100" spans="1:9" hidden="1" x14ac:dyDescent="0.35">
      <c r="A1100" s="38" t="s">
        <v>767</v>
      </c>
      <c r="B1100" s="38" t="s">
        <v>753</v>
      </c>
      <c r="C1100" s="38" t="s">
        <v>698</v>
      </c>
      <c r="D1100" s="38" t="s">
        <v>747</v>
      </c>
      <c r="E1100" s="190">
        <v>0</v>
      </c>
      <c r="F1100" s="190">
        <v>0</v>
      </c>
      <c r="G1100" s="190">
        <v>0</v>
      </c>
      <c r="H1100" s="190">
        <v>0</v>
      </c>
      <c r="I1100" s="190">
        <v>0</v>
      </c>
    </row>
    <row r="1101" spans="1:9" hidden="1" x14ac:dyDescent="0.35">
      <c r="A1101" s="38" t="s">
        <v>767</v>
      </c>
      <c r="B1101" s="38" t="s">
        <v>753</v>
      </c>
      <c r="C1101" s="38" t="s">
        <v>698</v>
      </c>
      <c r="D1101" s="38" t="s">
        <v>700</v>
      </c>
      <c r="E1101" s="190">
        <v>0</v>
      </c>
      <c r="F1101" s="190">
        <v>0</v>
      </c>
      <c r="G1101" s="190">
        <v>0</v>
      </c>
      <c r="H1101" s="190">
        <v>0</v>
      </c>
      <c r="I1101" s="190">
        <v>0</v>
      </c>
    </row>
    <row r="1102" spans="1:9" hidden="1" x14ac:dyDescent="0.35">
      <c r="A1102" s="38" t="s">
        <v>767</v>
      </c>
      <c r="B1102" s="38" t="s">
        <v>753</v>
      </c>
      <c r="C1102" s="38" t="s">
        <v>698</v>
      </c>
      <c r="D1102" s="38" t="s">
        <v>521</v>
      </c>
      <c r="E1102" s="190">
        <v>0</v>
      </c>
      <c r="F1102" s="190">
        <v>0</v>
      </c>
      <c r="G1102" s="190">
        <v>0</v>
      </c>
      <c r="H1102" s="190">
        <v>0</v>
      </c>
      <c r="I1102" s="190">
        <v>0</v>
      </c>
    </row>
    <row r="1103" spans="1:9" hidden="1" x14ac:dyDescent="0.35">
      <c r="A1103" s="38" t="s">
        <v>767</v>
      </c>
      <c r="B1103" s="38" t="s">
        <v>753</v>
      </c>
      <c r="C1103" s="38" t="s">
        <v>698</v>
      </c>
      <c r="D1103" s="38" t="s">
        <v>252</v>
      </c>
      <c r="E1103" s="190">
        <v>0</v>
      </c>
      <c r="F1103" s="190">
        <v>0</v>
      </c>
      <c r="G1103" s="190">
        <v>0</v>
      </c>
      <c r="H1103" s="190">
        <v>0</v>
      </c>
      <c r="I1103" s="190">
        <v>0</v>
      </c>
    </row>
    <row r="1104" spans="1:9" hidden="1" x14ac:dyDescent="0.35">
      <c r="A1104" s="38" t="s">
        <v>767</v>
      </c>
      <c r="B1104" s="38" t="s">
        <v>753</v>
      </c>
      <c r="C1104" s="38" t="s">
        <v>701</v>
      </c>
      <c r="D1104" s="38" t="s">
        <v>702</v>
      </c>
      <c r="E1104" s="190">
        <v>8</v>
      </c>
      <c r="F1104" s="190">
        <v>7.23</v>
      </c>
      <c r="G1104" s="190">
        <v>0.1</v>
      </c>
      <c r="H1104" s="190">
        <v>3</v>
      </c>
      <c r="I1104" s="190">
        <v>2</v>
      </c>
    </row>
    <row r="1105" spans="1:9" hidden="1" x14ac:dyDescent="0.35">
      <c r="A1105" s="38" t="s">
        <v>767</v>
      </c>
      <c r="B1105" s="38" t="s">
        <v>753</v>
      </c>
      <c r="C1105" s="38" t="s">
        <v>701</v>
      </c>
      <c r="D1105" s="38" t="s">
        <v>703</v>
      </c>
      <c r="E1105" s="190">
        <v>3.5</v>
      </c>
      <c r="F1105" s="190">
        <v>4.68</v>
      </c>
      <c r="G1105" s="190">
        <v>2</v>
      </c>
      <c r="H1105" s="190">
        <v>10</v>
      </c>
      <c r="I1105" s="190">
        <v>1</v>
      </c>
    </row>
    <row r="1106" spans="1:9" hidden="1" x14ac:dyDescent="0.35">
      <c r="A1106" s="38" t="s">
        <v>767</v>
      </c>
      <c r="B1106" s="38" t="s">
        <v>753</v>
      </c>
      <c r="C1106" s="38" t="s">
        <v>704</v>
      </c>
      <c r="D1106" s="38" t="s">
        <v>746</v>
      </c>
      <c r="E1106" s="190">
        <v>7</v>
      </c>
      <c r="F1106" s="190">
        <v>3.4</v>
      </c>
      <c r="G1106" s="190">
        <v>8</v>
      </c>
      <c r="H1106" s="190">
        <v>2</v>
      </c>
      <c r="I1106" s="190">
        <v>1</v>
      </c>
    </row>
    <row r="1107" spans="1:9" hidden="1" x14ac:dyDescent="0.35">
      <c r="A1107" s="38" t="s">
        <v>767</v>
      </c>
      <c r="B1107" s="38" t="s">
        <v>753</v>
      </c>
      <c r="C1107" s="38" t="s">
        <v>707</v>
      </c>
      <c r="D1107" s="38" t="s">
        <v>708</v>
      </c>
      <c r="E1107" s="190">
        <v>8.15</v>
      </c>
      <c r="F1107" s="190">
        <v>12.11</v>
      </c>
      <c r="G1107" s="190">
        <v>10</v>
      </c>
      <c r="H1107" s="190">
        <v>10.78</v>
      </c>
      <c r="I1107" s="190">
        <v>3.88</v>
      </c>
    </row>
    <row r="1108" spans="1:9" hidden="1" x14ac:dyDescent="0.35">
      <c r="A1108" s="38" t="s">
        <v>768</v>
      </c>
      <c r="B1108" s="38" t="s">
        <v>745</v>
      </c>
      <c r="C1108" s="38" t="s">
        <v>686</v>
      </c>
      <c r="D1108" s="38" t="s">
        <v>746</v>
      </c>
      <c r="E1108" s="94">
        <v>4.3</v>
      </c>
      <c r="F1108" s="94">
        <v>3.8</v>
      </c>
      <c r="G1108" s="94">
        <v>10.5</v>
      </c>
      <c r="H1108" s="94">
        <v>3</v>
      </c>
      <c r="I1108" s="94">
        <v>27</v>
      </c>
    </row>
    <row r="1109" spans="1:9" hidden="1" x14ac:dyDescent="0.35">
      <c r="A1109" s="38" t="s">
        <v>768</v>
      </c>
      <c r="B1109" s="38" t="s">
        <v>745</v>
      </c>
      <c r="C1109" s="38" t="s">
        <v>691</v>
      </c>
      <c r="D1109" s="38" t="s">
        <v>746</v>
      </c>
      <c r="E1109" s="94">
        <v>0</v>
      </c>
      <c r="F1109" s="94">
        <v>0</v>
      </c>
      <c r="G1109" s="94">
        <v>0</v>
      </c>
      <c r="H1109" s="94">
        <v>0</v>
      </c>
      <c r="I1109" s="94">
        <v>0</v>
      </c>
    </row>
    <row r="1110" spans="1:9" hidden="1" x14ac:dyDescent="0.35">
      <c r="A1110" s="38" t="s">
        <v>768</v>
      </c>
      <c r="B1110" s="38" t="s">
        <v>745</v>
      </c>
      <c r="C1110" s="38" t="s">
        <v>696</v>
      </c>
      <c r="D1110" s="94" t="s">
        <v>697</v>
      </c>
      <c r="E1110" s="94">
        <v>9.4</v>
      </c>
      <c r="F1110" s="94">
        <v>7.9</v>
      </c>
      <c r="G1110" s="94">
        <v>6</v>
      </c>
      <c r="H1110" s="94">
        <v>9</v>
      </c>
      <c r="I1110" s="94">
        <v>11</v>
      </c>
    </row>
    <row r="1111" spans="1:9" hidden="1" x14ac:dyDescent="0.35">
      <c r="A1111" s="38" t="s">
        <v>768</v>
      </c>
      <c r="B1111" s="38" t="s">
        <v>745</v>
      </c>
      <c r="C1111" s="38" t="s">
        <v>698</v>
      </c>
      <c r="D1111" s="38" t="s">
        <v>747</v>
      </c>
      <c r="E1111" s="94">
        <v>2.2999999999999998</v>
      </c>
      <c r="F1111" s="94">
        <v>0.6</v>
      </c>
      <c r="G1111" s="94">
        <v>5</v>
      </c>
      <c r="H1111" s="94">
        <v>4</v>
      </c>
      <c r="I1111" s="94">
        <v>11</v>
      </c>
    </row>
    <row r="1112" spans="1:9" hidden="1" x14ac:dyDescent="0.35">
      <c r="A1112" s="38" t="s">
        <v>768</v>
      </c>
      <c r="B1112" s="38" t="s">
        <v>745</v>
      </c>
      <c r="C1112" s="38" t="s">
        <v>698</v>
      </c>
      <c r="D1112" s="38" t="s">
        <v>700</v>
      </c>
      <c r="E1112" s="94">
        <v>10</v>
      </c>
      <c r="F1112" s="94">
        <v>0.6</v>
      </c>
      <c r="G1112" s="94">
        <v>5</v>
      </c>
      <c r="H1112" s="94">
        <v>4</v>
      </c>
      <c r="I1112" s="94">
        <v>11</v>
      </c>
    </row>
    <row r="1113" spans="1:9" hidden="1" x14ac:dyDescent="0.35">
      <c r="A1113" s="38" t="s">
        <v>768</v>
      </c>
      <c r="B1113" s="38" t="s">
        <v>745</v>
      </c>
      <c r="C1113" s="38" t="s">
        <v>698</v>
      </c>
      <c r="D1113" s="38" t="s">
        <v>521</v>
      </c>
      <c r="E1113" s="94">
        <v>2.5</v>
      </c>
      <c r="F1113" s="94">
        <v>0.3</v>
      </c>
      <c r="G1113" s="94">
        <v>5</v>
      </c>
      <c r="H1113" s="94">
        <v>4</v>
      </c>
      <c r="I1113" s="94">
        <v>11</v>
      </c>
    </row>
    <row r="1114" spans="1:9" hidden="1" x14ac:dyDescent="0.35">
      <c r="A1114" s="38" t="s">
        <v>768</v>
      </c>
      <c r="B1114" s="38" t="s">
        <v>745</v>
      </c>
      <c r="C1114" s="38" t="s">
        <v>698</v>
      </c>
      <c r="D1114" s="38" t="s">
        <v>252</v>
      </c>
      <c r="E1114" s="94">
        <v>7</v>
      </c>
      <c r="F1114" s="94">
        <v>0.9</v>
      </c>
      <c r="G1114" s="94">
        <v>5</v>
      </c>
      <c r="H1114" s="94">
        <v>4</v>
      </c>
      <c r="I1114" s="94">
        <v>11</v>
      </c>
    </row>
    <row r="1115" spans="1:9" hidden="1" x14ac:dyDescent="0.35">
      <c r="A1115" s="38" t="s">
        <v>768</v>
      </c>
      <c r="B1115" s="38" t="s">
        <v>745</v>
      </c>
      <c r="C1115" s="38" t="s">
        <v>701</v>
      </c>
      <c r="D1115" s="38" t="s">
        <v>702</v>
      </c>
      <c r="E1115" s="94">
        <v>4</v>
      </c>
      <c r="F1115" s="94">
        <v>1.9</v>
      </c>
      <c r="G1115" s="94">
        <v>0.5</v>
      </c>
      <c r="H1115" s="94">
        <v>2</v>
      </c>
      <c r="I1115" s="94">
        <v>8</v>
      </c>
    </row>
    <row r="1116" spans="1:9" hidden="1" x14ac:dyDescent="0.35">
      <c r="A1116" s="38" t="s">
        <v>768</v>
      </c>
      <c r="B1116" s="38" t="s">
        <v>745</v>
      </c>
      <c r="C1116" s="38" t="s">
        <v>701</v>
      </c>
      <c r="D1116" s="38" t="s">
        <v>703</v>
      </c>
      <c r="E1116" s="94">
        <v>3.5</v>
      </c>
      <c r="F1116" s="94">
        <v>1.7</v>
      </c>
      <c r="G1116" s="94">
        <v>1.2</v>
      </c>
      <c r="H1116" s="94">
        <v>0.82</v>
      </c>
      <c r="I1116" s="94">
        <v>7</v>
      </c>
    </row>
    <row r="1117" spans="1:9" hidden="1" x14ac:dyDescent="0.35">
      <c r="A1117" s="38" t="s">
        <v>768</v>
      </c>
      <c r="B1117" s="38" t="s">
        <v>745</v>
      </c>
      <c r="C1117" s="38" t="s">
        <v>704</v>
      </c>
      <c r="D1117" s="38" t="s">
        <v>746</v>
      </c>
      <c r="E1117" s="94">
        <v>5.3</v>
      </c>
      <c r="F1117" s="94">
        <v>1.2</v>
      </c>
      <c r="G1117" s="94">
        <v>5</v>
      </c>
      <c r="H1117" s="94">
        <v>1</v>
      </c>
      <c r="I1117" s="94">
        <v>4</v>
      </c>
    </row>
    <row r="1118" spans="1:9" hidden="1" x14ac:dyDescent="0.35">
      <c r="A1118" s="38" t="s">
        <v>768</v>
      </c>
      <c r="B1118" s="38" t="s">
        <v>745</v>
      </c>
      <c r="C1118" s="38" t="s">
        <v>707</v>
      </c>
      <c r="D1118" s="38" t="s">
        <v>708</v>
      </c>
      <c r="E1118" s="94">
        <v>20</v>
      </c>
      <c r="F1118" s="94">
        <v>7.6</v>
      </c>
      <c r="G1118" s="94">
        <v>13.8</v>
      </c>
      <c r="H1118" s="94">
        <v>7</v>
      </c>
      <c r="I1118" s="94">
        <v>17</v>
      </c>
    </row>
    <row r="1119" spans="1:9" hidden="1" x14ac:dyDescent="0.35">
      <c r="A1119" s="38" t="s">
        <v>768</v>
      </c>
      <c r="B1119" s="38" t="s">
        <v>748</v>
      </c>
      <c r="C1119" s="38" t="s">
        <v>686</v>
      </c>
      <c r="D1119" s="38" t="s">
        <v>746</v>
      </c>
      <c r="E1119" s="94">
        <v>3.92</v>
      </c>
      <c r="F1119" s="94">
        <v>4.24</v>
      </c>
      <c r="G1119" s="94">
        <v>11.8</v>
      </c>
      <c r="H1119" s="94">
        <v>2</v>
      </c>
      <c r="I1119" s="94">
        <v>13.65</v>
      </c>
    </row>
    <row r="1120" spans="1:9" hidden="1" x14ac:dyDescent="0.35">
      <c r="A1120" s="38" t="s">
        <v>768</v>
      </c>
      <c r="B1120" s="38" t="s">
        <v>748</v>
      </c>
      <c r="C1120" s="38" t="s">
        <v>691</v>
      </c>
      <c r="D1120" s="38" t="s">
        <v>746</v>
      </c>
      <c r="E1120" s="94">
        <v>0</v>
      </c>
      <c r="F1120" s="94">
        <v>0</v>
      </c>
      <c r="G1120" s="94">
        <v>0</v>
      </c>
      <c r="H1120" s="94">
        <v>0</v>
      </c>
      <c r="I1120" s="94">
        <v>0</v>
      </c>
    </row>
    <row r="1121" spans="1:9" hidden="1" x14ac:dyDescent="0.35">
      <c r="A1121" s="38" t="s">
        <v>768</v>
      </c>
      <c r="B1121" s="38" t="s">
        <v>748</v>
      </c>
      <c r="C1121" s="38" t="s">
        <v>696</v>
      </c>
      <c r="D1121" s="94" t="s">
        <v>697</v>
      </c>
      <c r="E1121" s="94">
        <v>15</v>
      </c>
      <c r="F1121" s="94">
        <v>16.5</v>
      </c>
      <c r="G1121" s="94">
        <v>6</v>
      </c>
      <c r="H1121" s="94">
        <v>11</v>
      </c>
      <c r="I1121" s="94">
        <v>7.3</v>
      </c>
    </row>
    <row r="1122" spans="1:9" hidden="1" x14ac:dyDescent="0.35">
      <c r="A1122" s="38" t="s">
        <v>768</v>
      </c>
      <c r="B1122" s="38" t="s">
        <v>748</v>
      </c>
      <c r="C1122" s="38" t="s">
        <v>698</v>
      </c>
      <c r="D1122" s="38" t="s">
        <v>747</v>
      </c>
      <c r="E1122" s="94">
        <v>2.2999999999999998</v>
      </c>
      <c r="F1122" s="94">
        <v>0.55000000000000004</v>
      </c>
      <c r="G1122" s="94">
        <v>5</v>
      </c>
      <c r="H1122" s="94">
        <v>6</v>
      </c>
      <c r="I1122" s="94">
        <v>6.8</v>
      </c>
    </row>
    <row r="1123" spans="1:9" hidden="1" x14ac:dyDescent="0.35">
      <c r="A1123" s="38" t="s">
        <v>768</v>
      </c>
      <c r="B1123" s="38" t="s">
        <v>748</v>
      </c>
      <c r="C1123" s="38" t="s">
        <v>698</v>
      </c>
      <c r="D1123" s="38" t="s">
        <v>700</v>
      </c>
      <c r="E1123" s="94">
        <v>10</v>
      </c>
      <c r="F1123" s="94">
        <v>0.81</v>
      </c>
      <c r="G1123" s="94">
        <v>5</v>
      </c>
      <c r="H1123" s="94">
        <v>6</v>
      </c>
      <c r="I1123" s="94">
        <v>6.8</v>
      </c>
    </row>
    <row r="1124" spans="1:9" hidden="1" x14ac:dyDescent="0.35">
      <c r="A1124" s="38" t="s">
        <v>768</v>
      </c>
      <c r="B1124" s="38" t="s">
        <v>748</v>
      </c>
      <c r="C1124" s="38" t="s">
        <v>698</v>
      </c>
      <c r="D1124" s="38" t="s">
        <v>521</v>
      </c>
      <c r="E1124" s="94">
        <v>2.5</v>
      </c>
      <c r="F1124" s="94">
        <v>0.18</v>
      </c>
      <c r="G1124" s="94">
        <v>5</v>
      </c>
      <c r="H1124" s="94">
        <v>6</v>
      </c>
      <c r="I1124" s="94">
        <v>6.8</v>
      </c>
    </row>
    <row r="1125" spans="1:9" hidden="1" x14ac:dyDescent="0.35">
      <c r="A1125" s="38" t="s">
        <v>768</v>
      </c>
      <c r="B1125" s="38" t="s">
        <v>748</v>
      </c>
      <c r="C1125" s="38" t="s">
        <v>698</v>
      </c>
      <c r="D1125" s="38" t="s">
        <v>252</v>
      </c>
      <c r="E1125" s="94">
        <v>7</v>
      </c>
      <c r="F1125" s="94">
        <v>1.03</v>
      </c>
      <c r="G1125" s="94">
        <v>5</v>
      </c>
      <c r="H1125" s="94">
        <v>6</v>
      </c>
      <c r="I1125" s="94">
        <v>6.8</v>
      </c>
    </row>
    <row r="1126" spans="1:9" hidden="1" x14ac:dyDescent="0.35">
      <c r="A1126" s="38" t="s">
        <v>768</v>
      </c>
      <c r="B1126" s="38" t="s">
        <v>748</v>
      </c>
      <c r="C1126" s="38" t="s">
        <v>701</v>
      </c>
      <c r="D1126" s="38" t="s">
        <v>702</v>
      </c>
      <c r="E1126" s="94">
        <v>6</v>
      </c>
      <c r="F1126" s="94">
        <v>2.38</v>
      </c>
      <c r="G1126" s="94">
        <v>0.5</v>
      </c>
      <c r="H1126" s="94">
        <v>4</v>
      </c>
      <c r="I1126" s="94">
        <v>3.65</v>
      </c>
    </row>
    <row r="1127" spans="1:9" hidden="1" x14ac:dyDescent="0.35">
      <c r="A1127" s="38" t="s">
        <v>768</v>
      </c>
      <c r="B1127" s="38" t="s">
        <v>748</v>
      </c>
      <c r="C1127" s="38" t="s">
        <v>701</v>
      </c>
      <c r="D1127" s="38" t="s">
        <v>703</v>
      </c>
      <c r="E1127" s="94">
        <v>3.5</v>
      </c>
      <c r="F1127" s="94">
        <v>2.2400000000000002</v>
      </c>
      <c r="G1127" s="94">
        <v>1.2</v>
      </c>
      <c r="H1127" s="94">
        <v>0.5</v>
      </c>
      <c r="I1127" s="94">
        <v>2.6</v>
      </c>
    </row>
    <row r="1128" spans="1:9" hidden="1" x14ac:dyDescent="0.35">
      <c r="A1128" s="38" t="s">
        <v>768</v>
      </c>
      <c r="B1128" s="38" t="s">
        <v>748</v>
      </c>
      <c r="C1128" s="38" t="s">
        <v>704</v>
      </c>
      <c r="D1128" s="38" t="s">
        <v>746</v>
      </c>
      <c r="E1128" s="94">
        <v>6</v>
      </c>
      <c r="F1128" s="94">
        <v>2.72</v>
      </c>
      <c r="G1128" s="94">
        <v>5</v>
      </c>
      <c r="H1128" s="94">
        <v>1</v>
      </c>
      <c r="I1128" s="94">
        <v>16.55</v>
      </c>
    </row>
    <row r="1129" spans="1:9" hidden="1" x14ac:dyDescent="0.35">
      <c r="A1129" s="38" t="s">
        <v>768</v>
      </c>
      <c r="B1129" s="38" t="s">
        <v>748</v>
      </c>
      <c r="C1129" s="38" t="s">
        <v>707</v>
      </c>
      <c r="D1129" s="38" t="s">
        <v>708</v>
      </c>
      <c r="E1129" s="94">
        <v>20</v>
      </c>
      <c r="F1129" s="94">
        <v>4.8499999999999996</v>
      </c>
      <c r="G1129" s="94">
        <v>15</v>
      </c>
      <c r="H1129" s="94">
        <v>9</v>
      </c>
      <c r="I1129" s="94">
        <v>7.15</v>
      </c>
    </row>
    <row r="1130" spans="1:9" hidden="1" x14ac:dyDescent="0.35">
      <c r="A1130" s="38" t="s">
        <v>768</v>
      </c>
      <c r="B1130" s="38" t="s">
        <v>749</v>
      </c>
      <c r="C1130" s="38" t="s">
        <v>686</v>
      </c>
      <c r="D1130" s="38" t="s">
        <v>746</v>
      </c>
      <c r="E1130" s="94">
        <v>7.17</v>
      </c>
      <c r="F1130" s="94">
        <v>3.25</v>
      </c>
      <c r="G1130" s="94">
        <v>10.5</v>
      </c>
      <c r="H1130" s="94">
        <v>9</v>
      </c>
      <c r="I1130" s="94">
        <v>23.99</v>
      </c>
    </row>
    <row r="1131" spans="1:9" hidden="1" x14ac:dyDescent="0.35">
      <c r="A1131" s="38" t="s">
        <v>768</v>
      </c>
      <c r="B1131" s="38" t="s">
        <v>749</v>
      </c>
      <c r="C1131" s="38" t="s">
        <v>691</v>
      </c>
      <c r="D1131" s="38" t="s">
        <v>746</v>
      </c>
      <c r="E1131" s="94">
        <v>0</v>
      </c>
      <c r="F1131" s="94">
        <v>0</v>
      </c>
      <c r="G1131" s="94">
        <v>0</v>
      </c>
      <c r="H1131" s="94">
        <v>0</v>
      </c>
      <c r="I1131" s="94">
        <v>0</v>
      </c>
    </row>
    <row r="1132" spans="1:9" hidden="1" x14ac:dyDescent="0.35">
      <c r="A1132" s="38" t="s">
        <v>768</v>
      </c>
      <c r="B1132" s="38" t="s">
        <v>749</v>
      </c>
      <c r="C1132" s="38" t="s">
        <v>696</v>
      </c>
      <c r="D1132" s="94" t="s">
        <v>697</v>
      </c>
      <c r="E1132" s="94">
        <v>12</v>
      </c>
      <c r="F1132" s="94">
        <v>2.2200000000000002</v>
      </c>
      <c r="G1132" s="94">
        <v>6</v>
      </c>
      <c r="H1132" s="94">
        <v>6.83</v>
      </c>
      <c r="I1132" s="94">
        <v>28.17</v>
      </c>
    </row>
    <row r="1133" spans="1:9" hidden="1" x14ac:dyDescent="0.35">
      <c r="A1133" s="38" t="s">
        <v>768</v>
      </c>
      <c r="B1133" s="38" t="s">
        <v>749</v>
      </c>
      <c r="C1133" s="38" t="s">
        <v>698</v>
      </c>
      <c r="D1133" s="38" t="s">
        <v>747</v>
      </c>
      <c r="E1133" s="94">
        <v>2.2999999999999998</v>
      </c>
      <c r="F1133" s="94">
        <v>0.31</v>
      </c>
      <c r="G1133" s="94">
        <v>5</v>
      </c>
      <c r="H1133" s="94">
        <v>3.9</v>
      </c>
      <c r="I1133" s="38">
        <v>21.19</v>
      </c>
    </row>
    <row r="1134" spans="1:9" hidden="1" x14ac:dyDescent="0.35">
      <c r="A1134" s="38" t="s">
        <v>768</v>
      </c>
      <c r="B1134" s="38" t="s">
        <v>749</v>
      </c>
      <c r="C1134" s="38" t="s">
        <v>698</v>
      </c>
      <c r="D1134" s="38" t="s">
        <v>700</v>
      </c>
      <c r="E1134" s="94">
        <v>10</v>
      </c>
      <c r="F1134" s="94">
        <v>0.8</v>
      </c>
      <c r="G1134" s="94">
        <v>5</v>
      </c>
      <c r="H1134" s="94">
        <v>3.9</v>
      </c>
      <c r="I1134" s="94">
        <v>21.19</v>
      </c>
    </row>
    <row r="1135" spans="1:9" hidden="1" x14ac:dyDescent="0.35">
      <c r="A1135" s="38" t="s">
        <v>768</v>
      </c>
      <c r="B1135" s="38" t="s">
        <v>749</v>
      </c>
      <c r="C1135" s="38" t="s">
        <v>698</v>
      </c>
      <c r="D1135" s="38" t="s">
        <v>521</v>
      </c>
      <c r="E1135" s="94">
        <v>2.5</v>
      </c>
      <c r="F1135" s="94">
        <v>0.66</v>
      </c>
      <c r="G1135" s="94">
        <v>5</v>
      </c>
      <c r="H1135" s="94">
        <v>3.9</v>
      </c>
      <c r="I1135" s="94">
        <v>21.19</v>
      </c>
    </row>
    <row r="1136" spans="1:9" hidden="1" x14ac:dyDescent="0.35">
      <c r="A1136" s="38" t="s">
        <v>768</v>
      </c>
      <c r="B1136" s="38" t="s">
        <v>749</v>
      </c>
      <c r="C1136" s="38" t="s">
        <v>698</v>
      </c>
      <c r="D1136" s="38" t="s">
        <v>252</v>
      </c>
      <c r="E1136" s="94">
        <v>7</v>
      </c>
      <c r="F1136" s="94">
        <v>0.88</v>
      </c>
      <c r="G1136" s="94">
        <v>5</v>
      </c>
      <c r="H1136" s="94">
        <v>3.9</v>
      </c>
      <c r="I1136" s="94">
        <v>21.19</v>
      </c>
    </row>
    <row r="1137" spans="1:9" hidden="1" x14ac:dyDescent="0.35">
      <c r="A1137" s="38" t="s">
        <v>768</v>
      </c>
      <c r="B1137" s="38" t="s">
        <v>749</v>
      </c>
      <c r="C1137" s="38" t="s">
        <v>701</v>
      </c>
      <c r="D1137" s="38" t="s">
        <v>702</v>
      </c>
      <c r="E1137" s="94">
        <v>4</v>
      </c>
      <c r="F1137" s="94">
        <v>2.27</v>
      </c>
      <c r="G1137" s="94">
        <v>0.5</v>
      </c>
      <c r="H1137" s="94">
        <v>7</v>
      </c>
      <c r="I1137" s="94">
        <v>20.399999999999999</v>
      </c>
    </row>
    <row r="1138" spans="1:9" hidden="1" x14ac:dyDescent="0.35">
      <c r="A1138" s="38" t="s">
        <v>768</v>
      </c>
      <c r="B1138" s="38" t="s">
        <v>749</v>
      </c>
      <c r="C1138" s="38" t="s">
        <v>701</v>
      </c>
      <c r="D1138" s="38" t="s">
        <v>703</v>
      </c>
      <c r="E1138" s="94">
        <v>3.5</v>
      </c>
      <c r="F1138" s="94">
        <v>0.4</v>
      </c>
      <c r="G1138" s="94">
        <v>1.2</v>
      </c>
      <c r="H1138" s="94">
        <v>7.75</v>
      </c>
      <c r="I1138" s="94">
        <v>21</v>
      </c>
    </row>
    <row r="1139" spans="1:9" hidden="1" x14ac:dyDescent="0.35">
      <c r="A1139" s="38" t="s">
        <v>768</v>
      </c>
      <c r="B1139" s="38" t="s">
        <v>749</v>
      </c>
      <c r="C1139" s="38" t="s">
        <v>704</v>
      </c>
      <c r="D1139" s="38" t="s">
        <v>746</v>
      </c>
      <c r="E1139" s="94">
        <v>12</v>
      </c>
      <c r="F1139" s="94">
        <v>3.91</v>
      </c>
      <c r="G1139" s="94">
        <v>5</v>
      </c>
      <c r="H1139" s="94">
        <v>1</v>
      </c>
      <c r="I1139" s="94">
        <v>4</v>
      </c>
    </row>
    <row r="1140" spans="1:9" hidden="1" x14ac:dyDescent="0.35">
      <c r="A1140" s="38" t="s">
        <v>768</v>
      </c>
      <c r="B1140" s="38" t="s">
        <v>749</v>
      </c>
      <c r="C1140" s="38" t="s">
        <v>707</v>
      </c>
      <c r="D1140" s="38" t="s">
        <v>708</v>
      </c>
      <c r="E1140" s="94">
        <v>20</v>
      </c>
      <c r="F1140" s="94">
        <v>5.83</v>
      </c>
      <c r="G1140" s="94">
        <v>15</v>
      </c>
      <c r="H1140" s="94">
        <v>8</v>
      </c>
      <c r="I1140" s="94">
        <v>15</v>
      </c>
    </row>
    <row r="1141" spans="1:9" hidden="1" x14ac:dyDescent="0.35">
      <c r="A1141" s="38" t="s">
        <v>768</v>
      </c>
      <c r="B1141" s="38" t="s">
        <v>750</v>
      </c>
      <c r="C1141" s="38" t="s">
        <v>686</v>
      </c>
      <c r="D1141" s="38" t="s">
        <v>746</v>
      </c>
      <c r="E1141" s="94">
        <v>6</v>
      </c>
      <c r="F1141" s="94">
        <v>7.46</v>
      </c>
      <c r="G1141" s="94">
        <v>9</v>
      </c>
      <c r="H1141" s="94">
        <v>4</v>
      </c>
      <c r="I1141" s="94">
        <v>10</v>
      </c>
    </row>
    <row r="1142" spans="1:9" hidden="1" x14ac:dyDescent="0.35">
      <c r="A1142" s="38" t="s">
        <v>768</v>
      </c>
      <c r="B1142" s="38" t="s">
        <v>750</v>
      </c>
      <c r="C1142" s="38" t="s">
        <v>691</v>
      </c>
      <c r="D1142" s="38" t="s">
        <v>746</v>
      </c>
      <c r="E1142" s="94">
        <v>0</v>
      </c>
      <c r="F1142" s="94">
        <v>0</v>
      </c>
      <c r="G1142" s="94">
        <v>0</v>
      </c>
      <c r="H1142" s="94">
        <v>0</v>
      </c>
      <c r="I1142" s="94">
        <v>0</v>
      </c>
    </row>
    <row r="1143" spans="1:9" hidden="1" x14ac:dyDescent="0.35">
      <c r="A1143" s="38" t="s">
        <v>768</v>
      </c>
      <c r="B1143" s="38" t="s">
        <v>750</v>
      </c>
      <c r="C1143" s="38" t="s">
        <v>696</v>
      </c>
      <c r="D1143" s="94" t="s">
        <v>697</v>
      </c>
      <c r="E1143" s="94">
        <v>5.7</v>
      </c>
      <c r="F1143" s="94">
        <v>19.61</v>
      </c>
      <c r="G1143" s="94">
        <v>9</v>
      </c>
      <c r="H1143" s="94">
        <v>10</v>
      </c>
      <c r="I1143" s="94">
        <v>4</v>
      </c>
    </row>
    <row r="1144" spans="1:9" hidden="1" x14ac:dyDescent="0.35">
      <c r="A1144" s="38" t="s">
        <v>768</v>
      </c>
      <c r="B1144" s="38" t="s">
        <v>750</v>
      </c>
      <c r="C1144" s="38" t="s">
        <v>698</v>
      </c>
      <c r="D1144" s="38" t="s">
        <v>747</v>
      </c>
      <c r="E1144" s="94">
        <v>5</v>
      </c>
      <c r="F1144" s="94">
        <v>1.32</v>
      </c>
      <c r="G1144" s="94">
        <v>5</v>
      </c>
      <c r="H1144" s="94">
        <v>5</v>
      </c>
      <c r="I1144" s="94">
        <v>6</v>
      </c>
    </row>
    <row r="1145" spans="1:9" hidden="1" x14ac:dyDescent="0.35">
      <c r="A1145" s="38" t="s">
        <v>768</v>
      </c>
      <c r="B1145" s="38" t="s">
        <v>750</v>
      </c>
      <c r="C1145" s="38" t="s">
        <v>698</v>
      </c>
      <c r="D1145" s="38" t="s">
        <v>700</v>
      </c>
      <c r="E1145" s="94">
        <v>10</v>
      </c>
      <c r="F1145" s="94">
        <v>1.04</v>
      </c>
      <c r="G1145" s="94">
        <v>5</v>
      </c>
      <c r="H1145" s="94">
        <v>5</v>
      </c>
      <c r="I1145" s="94">
        <v>6</v>
      </c>
    </row>
    <row r="1146" spans="1:9" hidden="1" x14ac:dyDescent="0.35">
      <c r="A1146" s="38" t="s">
        <v>768</v>
      </c>
      <c r="B1146" s="38" t="s">
        <v>750</v>
      </c>
      <c r="C1146" s="38" t="s">
        <v>698</v>
      </c>
      <c r="D1146" s="38" t="s">
        <v>521</v>
      </c>
      <c r="E1146" s="94">
        <v>6</v>
      </c>
      <c r="F1146" s="94">
        <v>0.41</v>
      </c>
      <c r="G1146" s="94">
        <v>5</v>
      </c>
      <c r="H1146" s="94">
        <v>5</v>
      </c>
      <c r="I1146" s="94">
        <v>6</v>
      </c>
    </row>
    <row r="1147" spans="1:9" hidden="1" x14ac:dyDescent="0.35">
      <c r="A1147" s="38" t="s">
        <v>768</v>
      </c>
      <c r="B1147" s="38" t="s">
        <v>750</v>
      </c>
      <c r="C1147" s="38" t="s">
        <v>698</v>
      </c>
      <c r="D1147" s="38" t="s">
        <v>252</v>
      </c>
      <c r="E1147" s="94">
        <v>6</v>
      </c>
      <c r="F1147" s="94">
        <v>1.5</v>
      </c>
      <c r="G1147" s="94">
        <v>5</v>
      </c>
      <c r="H1147" s="94">
        <v>5</v>
      </c>
      <c r="I1147" s="94">
        <v>6</v>
      </c>
    </row>
    <row r="1148" spans="1:9" hidden="1" x14ac:dyDescent="0.35">
      <c r="A1148" s="38" t="s">
        <v>768</v>
      </c>
      <c r="B1148" s="38" t="s">
        <v>750</v>
      </c>
      <c r="C1148" s="38" t="s">
        <v>701</v>
      </c>
      <c r="D1148" s="38" t="s">
        <v>702</v>
      </c>
      <c r="E1148" s="94">
        <v>6</v>
      </c>
      <c r="F1148" s="94">
        <v>6.21</v>
      </c>
      <c r="G1148" s="94">
        <v>0.5</v>
      </c>
      <c r="H1148" s="94">
        <v>4</v>
      </c>
      <c r="I1148" s="94">
        <v>4</v>
      </c>
    </row>
    <row r="1149" spans="1:9" hidden="1" x14ac:dyDescent="0.35">
      <c r="A1149" s="38" t="s">
        <v>768</v>
      </c>
      <c r="B1149" s="38" t="s">
        <v>750</v>
      </c>
      <c r="C1149" s="38" t="s">
        <v>701</v>
      </c>
      <c r="D1149" s="38" t="s">
        <v>703</v>
      </c>
      <c r="E1149" s="94">
        <v>3.5</v>
      </c>
      <c r="F1149" s="94">
        <v>3.74</v>
      </c>
      <c r="G1149" s="94">
        <v>2</v>
      </c>
      <c r="H1149" s="94">
        <v>8</v>
      </c>
      <c r="I1149" s="94">
        <v>4</v>
      </c>
    </row>
    <row r="1150" spans="1:9" hidden="1" x14ac:dyDescent="0.35">
      <c r="A1150" s="38" t="s">
        <v>768</v>
      </c>
      <c r="B1150" s="38" t="s">
        <v>750</v>
      </c>
      <c r="C1150" s="38" t="s">
        <v>704</v>
      </c>
      <c r="D1150" s="38" t="s">
        <v>746</v>
      </c>
      <c r="E1150" s="94">
        <v>6</v>
      </c>
      <c r="F1150" s="94">
        <v>1.49</v>
      </c>
      <c r="G1150" s="94">
        <v>8</v>
      </c>
      <c r="H1150" s="94">
        <v>2</v>
      </c>
      <c r="I1150" s="94">
        <v>2</v>
      </c>
    </row>
    <row r="1151" spans="1:9" hidden="1" x14ac:dyDescent="0.35">
      <c r="A1151" s="38" t="s">
        <v>768</v>
      </c>
      <c r="B1151" s="38" t="s">
        <v>750</v>
      </c>
      <c r="C1151" s="38" t="s">
        <v>707</v>
      </c>
      <c r="D1151" s="38" t="s">
        <v>708</v>
      </c>
      <c r="E1151" s="94">
        <v>14</v>
      </c>
      <c r="F1151" s="94">
        <v>10.39</v>
      </c>
      <c r="G1151" s="94">
        <v>12</v>
      </c>
      <c r="H1151" s="94">
        <v>3</v>
      </c>
      <c r="I1151" s="94">
        <v>4</v>
      </c>
    </row>
    <row r="1152" spans="1:9" hidden="1" x14ac:dyDescent="0.35">
      <c r="A1152" s="38" t="s">
        <v>768</v>
      </c>
      <c r="B1152" s="38" t="s">
        <v>751</v>
      </c>
      <c r="C1152" s="38" t="s">
        <v>686</v>
      </c>
      <c r="D1152" s="38" t="s">
        <v>746</v>
      </c>
      <c r="E1152" s="94">
        <v>6</v>
      </c>
      <c r="F1152" s="94">
        <v>7.23</v>
      </c>
      <c r="G1152" s="94">
        <v>9</v>
      </c>
      <c r="H1152" s="94">
        <v>4</v>
      </c>
      <c r="I1152" s="94">
        <v>12</v>
      </c>
    </row>
    <row r="1153" spans="1:9" hidden="1" x14ac:dyDescent="0.35">
      <c r="A1153" s="38" t="s">
        <v>768</v>
      </c>
      <c r="B1153" s="38" t="s">
        <v>751</v>
      </c>
      <c r="C1153" s="38" t="s">
        <v>691</v>
      </c>
      <c r="D1153" s="38" t="s">
        <v>746</v>
      </c>
      <c r="E1153" s="94">
        <v>0</v>
      </c>
      <c r="F1153" s="94">
        <v>0</v>
      </c>
      <c r="G1153" s="94">
        <v>0</v>
      </c>
      <c r="H1153" s="94">
        <v>0</v>
      </c>
      <c r="I1153" s="94">
        <v>0</v>
      </c>
    </row>
    <row r="1154" spans="1:9" hidden="1" x14ac:dyDescent="0.35">
      <c r="A1154" s="38" t="s">
        <v>768</v>
      </c>
      <c r="B1154" s="38" t="s">
        <v>751</v>
      </c>
      <c r="C1154" s="38" t="s">
        <v>696</v>
      </c>
      <c r="D1154" s="94" t="s">
        <v>697</v>
      </c>
      <c r="E1154" s="94">
        <v>6.6</v>
      </c>
      <c r="F1154" s="94">
        <v>22.46</v>
      </c>
      <c r="G1154" s="94">
        <v>9</v>
      </c>
      <c r="H1154" s="94">
        <v>10</v>
      </c>
      <c r="I1154" s="94">
        <v>4</v>
      </c>
    </row>
    <row r="1155" spans="1:9" hidden="1" x14ac:dyDescent="0.35">
      <c r="A1155" s="38" t="s">
        <v>768</v>
      </c>
      <c r="B1155" s="38" t="s">
        <v>751</v>
      </c>
      <c r="C1155" s="38" t="s">
        <v>698</v>
      </c>
      <c r="D1155" s="38" t="s">
        <v>747</v>
      </c>
      <c r="E1155" s="94">
        <v>10</v>
      </c>
      <c r="F1155" s="94">
        <v>0.2</v>
      </c>
      <c r="G1155" s="94">
        <v>5</v>
      </c>
      <c r="H1155" s="94">
        <v>5</v>
      </c>
      <c r="I1155" s="94">
        <v>8</v>
      </c>
    </row>
    <row r="1156" spans="1:9" hidden="1" x14ac:dyDescent="0.35">
      <c r="A1156" s="38" t="s">
        <v>768</v>
      </c>
      <c r="B1156" s="38" t="s">
        <v>751</v>
      </c>
      <c r="C1156" s="38" t="s">
        <v>698</v>
      </c>
      <c r="D1156" s="38" t="s">
        <v>700</v>
      </c>
      <c r="E1156" s="94">
        <v>15</v>
      </c>
      <c r="F1156" s="94">
        <v>0.2</v>
      </c>
      <c r="G1156" s="94">
        <v>5</v>
      </c>
      <c r="H1156" s="94">
        <v>5</v>
      </c>
      <c r="I1156" s="94">
        <v>8</v>
      </c>
    </row>
    <row r="1157" spans="1:9" hidden="1" x14ac:dyDescent="0.35">
      <c r="A1157" s="38" t="s">
        <v>768</v>
      </c>
      <c r="B1157" s="38" t="s">
        <v>751</v>
      </c>
      <c r="C1157" s="38" t="s">
        <v>698</v>
      </c>
      <c r="D1157" s="38" t="s">
        <v>521</v>
      </c>
      <c r="E1157" s="94">
        <v>8</v>
      </c>
      <c r="F1157" s="94">
        <v>0.23</v>
      </c>
      <c r="G1157" s="94">
        <v>5</v>
      </c>
      <c r="H1157" s="94">
        <v>5</v>
      </c>
      <c r="I1157" s="94">
        <v>8</v>
      </c>
    </row>
    <row r="1158" spans="1:9" hidden="1" x14ac:dyDescent="0.35">
      <c r="A1158" s="38" t="s">
        <v>768</v>
      </c>
      <c r="B1158" s="38" t="s">
        <v>751</v>
      </c>
      <c r="C1158" s="38" t="s">
        <v>698</v>
      </c>
      <c r="D1158" s="38" t="s">
        <v>252</v>
      </c>
      <c r="E1158" s="94">
        <v>8</v>
      </c>
      <c r="F1158" s="94">
        <v>0.9</v>
      </c>
      <c r="G1158" s="94">
        <v>5</v>
      </c>
      <c r="H1158" s="94">
        <v>5</v>
      </c>
      <c r="I1158" s="94">
        <v>8</v>
      </c>
    </row>
    <row r="1159" spans="1:9" hidden="1" x14ac:dyDescent="0.35">
      <c r="A1159" s="38" t="s">
        <v>768</v>
      </c>
      <c r="B1159" s="38" t="s">
        <v>751</v>
      </c>
      <c r="C1159" s="38" t="s">
        <v>701</v>
      </c>
      <c r="D1159" s="38" t="s">
        <v>702</v>
      </c>
      <c r="E1159" s="94">
        <v>6</v>
      </c>
      <c r="F1159" s="94">
        <v>4.8899999999999997</v>
      </c>
      <c r="G1159" s="94">
        <v>4.5</v>
      </c>
      <c r="H1159" s="94">
        <v>4</v>
      </c>
      <c r="I1159" s="94">
        <v>12</v>
      </c>
    </row>
    <row r="1160" spans="1:9" hidden="1" x14ac:dyDescent="0.35">
      <c r="A1160" s="38" t="s">
        <v>768</v>
      </c>
      <c r="B1160" s="38" t="s">
        <v>751</v>
      </c>
      <c r="C1160" s="38" t="s">
        <v>701</v>
      </c>
      <c r="D1160" s="38" t="s">
        <v>703</v>
      </c>
      <c r="E1160" s="94">
        <v>3.5</v>
      </c>
      <c r="F1160" s="94">
        <v>3.32</v>
      </c>
      <c r="G1160" s="94">
        <v>2</v>
      </c>
      <c r="H1160" s="94">
        <v>8</v>
      </c>
      <c r="I1160" s="94">
        <v>2</v>
      </c>
    </row>
    <row r="1161" spans="1:9" hidden="1" x14ac:dyDescent="0.35">
      <c r="A1161" s="38" t="s">
        <v>768</v>
      </c>
      <c r="B1161" s="38" t="s">
        <v>751</v>
      </c>
      <c r="C1161" s="38" t="s">
        <v>704</v>
      </c>
      <c r="D1161" s="38" t="s">
        <v>746</v>
      </c>
      <c r="E1161" s="94">
        <v>15</v>
      </c>
      <c r="F1161" s="94">
        <v>2.8</v>
      </c>
      <c r="G1161" s="94">
        <v>8</v>
      </c>
      <c r="H1161" s="94">
        <v>2</v>
      </c>
      <c r="I1161" s="94">
        <v>2</v>
      </c>
    </row>
    <row r="1162" spans="1:9" hidden="1" x14ac:dyDescent="0.35">
      <c r="A1162" s="38" t="s">
        <v>768</v>
      </c>
      <c r="B1162" s="38" t="s">
        <v>751</v>
      </c>
      <c r="C1162" s="38" t="s">
        <v>707</v>
      </c>
      <c r="D1162" s="38" t="s">
        <v>708</v>
      </c>
      <c r="E1162" s="94">
        <v>11.9</v>
      </c>
      <c r="F1162" s="94">
        <v>9.26</v>
      </c>
      <c r="G1162" s="94">
        <v>12</v>
      </c>
      <c r="H1162" s="94">
        <v>5.7</v>
      </c>
      <c r="I1162" s="94">
        <v>6</v>
      </c>
    </row>
    <row r="1163" spans="1:9" hidden="1" x14ac:dyDescent="0.35">
      <c r="A1163" s="38" t="s">
        <v>768</v>
      </c>
      <c r="B1163" s="38" t="s">
        <v>752</v>
      </c>
      <c r="C1163" s="38" t="s">
        <v>686</v>
      </c>
      <c r="D1163" s="38" t="s">
        <v>746</v>
      </c>
      <c r="E1163" s="94">
        <v>7.21</v>
      </c>
      <c r="F1163" s="94">
        <v>8.75</v>
      </c>
      <c r="G1163" s="94">
        <v>15.25</v>
      </c>
      <c r="H1163" s="94">
        <v>2</v>
      </c>
      <c r="I1163" s="94">
        <v>1</v>
      </c>
    </row>
    <row r="1164" spans="1:9" hidden="1" x14ac:dyDescent="0.35">
      <c r="A1164" s="38" t="s">
        <v>768</v>
      </c>
      <c r="B1164" s="38" t="s">
        <v>752</v>
      </c>
      <c r="C1164" s="38" t="s">
        <v>691</v>
      </c>
      <c r="D1164" s="38" t="s">
        <v>746</v>
      </c>
      <c r="E1164" s="94">
        <v>0</v>
      </c>
      <c r="F1164" s="94">
        <v>0</v>
      </c>
      <c r="G1164" s="94">
        <v>0</v>
      </c>
      <c r="H1164" s="94">
        <v>0</v>
      </c>
      <c r="I1164" s="94">
        <v>0</v>
      </c>
    </row>
    <row r="1165" spans="1:9" hidden="1" x14ac:dyDescent="0.35">
      <c r="A1165" s="38" t="s">
        <v>768</v>
      </c>
      <c r="B1165" s="38" t="s">
        <v>752</v>
      </c>
      <c r="C1165" s="38" t="s">
        <v>696</v>
      </c>
      <c r="D1165" s="94" t="s">
        <v>697</v>
      </c>
      <c r="E1165" s="94">
        <v>5.7</v>
      </c>
      <c r="F1165" s="94">
        <v>21.94</v>
      </c>
      <c r="G1165" s="94">
        <v>9</v>
      </c>
      <c r="H1165" s="94">
        <v>15</v>
      </c>
      <c r="I1165" s="94">
        <v>2</v>
      </c>
    </row>
    <row r="1166" spans="1:9" hidden="1" x14ac:dyDescent="0.35">
      <c r="A1166" s="38" t="s">
        <v>768</v>
      </c>
      <c r="B1166" s="38" t="s">
        <v>752</v>
      </c>
      <c r="C1166" s="38" t="s">
        <v>698</v>
      </c>
      <c r="D1166" s="38" t="s">
        <v>747</v>
      </c>
      <c r="E1166" s="94">
        <v>10</v>
      </c>
      <c r="F1166" s="94">
        <v>0.93</v>
      </c>
      <c r="G1166" s="94">
        <v>5</v>
      </c>
      <c r="H1166" s="94">
        <v>7</v>
      </c>
      <c r="I1166" s="94">
        <v>2</v>
      </c>
    </row>
    <row r="1167" spans="1:9" hidden="1" x14ac:dyDescent="0.35">
      <c r="A1167" s="38" t="s">
        <v>768</v>
      </c>
      <c r="B1167" s="38" t="s">
        <v>752</v>
      </c>
      <c r="C1167" s="38" t="s">
        <v>698</v>
      </c>
      <c r="D1167" s="38" t="s">
        <v>700</v>
      </c>
      <c r="E1167" s="94">
        <v>33</v>
      </c>
      <c r="F1167" s="94">
        <v>0.2</v>
      </c>
      <c r="G1167" s="94">
        <v>5</v>
      </c>
      <c r="H1167" s="94">
        <v>7</v>
      </c>
      <c r="I1167" s="94">
        <v>2</v>
      </c>
    </row>
    <row r="1168" spans="1:9" hidden="1" x14ac:dyDescent="0.35">
      <c r="A1168" s="38" t="s">
        <v>768</v>
      </c>
      <c r="B1168" s="38" t="s">
        <v>752</v>
      </c>
      <c r="C1168" s="38" t="s">
        <v>698</v>
      </c>
      <c r="D1168" s="38" t="s">
        <v>521</v>
      </c>
      <c r="E1168" s="94">
        <v>10</v>
      </c>
      <c r="F1168" s="94">
        <v>0.23</v>
      </c>
      <c r="G1168" s="94">
        <v>5</v>
      </c>
      <c r="H1168" s="94">
        <v>7</v>
      </c>
      <c r="I1168" s="94">
        <v>2</v>
      </c>
    </row>
    <row r="1169" spans="1:9" hidden="1" x14ac:dyDescent="0.35">
      <c r="A1169" s="38" t="s">
        <v>768</v>
      </c>
      <c r="B1169" s="38" t="s">
        <v>752</v>
      </c>
      <c r="C1169" s="38" t="s">
        <v>698</v>
      </c>
      <c r="D1169" s="38" t="s">
        <v>252</v>
      </c>
      <c r="E1169" s="94">
        <v>25</v>
      </c>
      <c r="F1169" s="94">
        <v>0.9</v>
      </c>
      <c r="G1169" s="94">
        <v>5</v>
      </c>
      <c r="H1169" s="94">
        <v>7</v>
      </c>
      <c r="I1169" s="94">
        <v>2</v>
      </c>
    </row>
    <row r="1170" spans="1:9" hidden="1" x14ac:dyDescent="0.35">
      <c r="A1170" s="38" t="s">
        <v>768</v>
      </c>
      <c r="B1170" s="38" t="s">
        <v>752</v>
      </c>
      <c r="C1170" s="38" t="s">
        <v>701</v>
      </c>
      <c r="D1170" s="38" t="s">
        <v>702</v>
      </c>
      <c r="E1170" s="94">
        <v>8</v>
      </c>
      <c r="F1170" s="94">
        <v>8.01</v>
      </c>
      <c r="G1170" s="94">
        <v>0.1</v>
      </c>
      <c r="H1170" s="94">
        <v>3</v>
      </c>
      <c r="I1170" s="94">
        <v>1</v>
      </c>
    </row>
    <row r="1171" spans="1:9" hidden="1" x14ac:dyDescent="0.35">
      <c r="A1171" s="38" t="s">
        <v>768</v>
      </c>
      <c r="B1171" s="38" t="s">
        <v>752</v>
      </c>
      <c r="C1171" s="38" t="s">
        <v>701</v>
      </c>
      <c r="D1171" s="38" t="s">
        <v>703</v>
      </c>
      <c r="E1171" s="94">
        <v>6</v>
      </c>
      <c r="F1171" s="94">
        <v>8.1999999999999993</v>
      </c>
      <c r="G1171" s="94">
        <v>2</v>
      </c>
      <c r="H1171" s="94">
        <v>10</v>
      </c>
      <c r="I1171" s="94">
        <v>0.1</v>
      </c>
    </row>
    <row r="1172" spans="1:9" hidden="1" x14ac:dyDescent="0.35">
      <c r="A1172" s="38" t="s">
        <v>768</v>
      </c>
      <c r="B1172" s="38" t="s">
        <v>752</v>
      </c>
      <c r="C1172" s="38" t="s">
        <v>704</v>
      </c>
      <c r="D1172" s="38" t="s">
        <v>746</v>
      </c>
      <c r="E1172" s="94">
        <v>12</v>
      </c>
      <c r="F1172" s="94">
        <v>8.18</v>
      </c>
      <c r="G1172" s="94">
        <v>8</v>
      </c>
      <c r="H1172" s="94">
        <v>2</v>
      </c>
      <c r="I1172" s="94">
        <v>1</v>
      </c>
    </row>
    <row r="1173" spans="1:9" hidden="1" x14ac:dyDescent="0.35">
      <c r="A1173" s="38" t="s">
        <v>768</v>
      </c>
      <c r="B1173" s="38" t="s">
        <v>752</v>
      </c>
      <c r="C1173" s="38" t="s">
        <v>707</v>
      </c>
      <c r="D1173" s="38" t="s">
        <v>708</v>
      </c>
      <c r="E1173" s="94">
        <v>14</v>
      </c>
      <c r="F1173" s="94">
        <v>16.940000000000001</v>
      </c>
      <c r="G1173" s="94">
        <v>15</v>
      </c>
      <c r="H1173" s="94">
        <v>5</v>
      </c>
      <c r="I1173" s="94">
        <v>2</v>
      </c>
    </row>
    <row r="1174" spans="1:9" hidden="1" x14ac:dyDescent="0.35">
      <c r="A1174" s="38" t="s">
        <v>768</v>
      </c>
      <c r="B1174" s="38" t="s">
        <v>753</v>
      </c>
      <c r="C1174" s="38" t="s">
        <v>686</v>
      </c>
      <c r="D1174" s="38" t="s">
        <v>746</v>
      </c>
      <c r="E1174" s="94">
        <v>6</v>
      </c>
      <c r="F1174" s="94">
        <v>6.59</v>
      </c>
      <c r="G1174" s="94">
        <v>7</v>
      </c>
      <c r="H1174" s="94">
        <v>2.98</v>
      </c>
      <c r="I1174" s="94">
        <v>3</v>
      </c>
    </row>
    <row r="1175" spans="1:9" hidden="1" x14ac:dyDescent="0.35">
      <c r="A1175" s="38" t="s">
        <v>768</v>
      </c>
      <c r="B1175" s="38" t="s">
        <v>753</v>
      </c>
      <c r="C1175" s="38" t="s">
        <v>691</v>
      </c>
      <c r="D1175" s="38" t="s">
        <v>746</v>
      </c>
      <c r="E1175" s="94">
        <v>0</v>
      </c>
      <c r="F1175" s="94">
        <v>0</v>
      </c>
      <c r="G1175" s="94">
        <v>0</v>
      </c>
      <c r="H1175" s="94">
        <v>0</v>
      </c>
      <c r="I1175" s="94">
        <v>0</v>
      </c>
    </row>
    <row r="1176" spans="1:9" hidden="1" x14ac:dyDescent="0.35">
      <c r="A1176" s="38" t="s">
        <v>768</v>
      </c>
      <c r="B1176" s="38" t="s">
        <v>753</v>
      </c>
      <c r="C1176" s="38" t="s">
        <v>696</v>
      </c>
      <c r="D1176" s="94" t="s">
        <v>697</v>
      </c>
      <c r="E1176" s="94">
        <v>8.1999999999999993</v>
      </c>
      <c r="F1176" s="94">
        <v>25.47</v>
      </c>
      <c r="G1176" s="94">
        <v>9</v>
      </c>
      <c r="H1176" s="94">
        <v>12.33</v>
      </c>
      <c r="I1176" s="94">
        <v>2</v>
      </c>
    </row>
    <row r="1177" spans="1:9" hidden="1" x14ac:dyDescent="0.35">
      <c r="A1177" s="38" t="s">
        <v>768</v>
      </c>
      <c r="B1177" s="38" t="s">
        <v>753</v>
      </c>
      <c r="C1177" s="38" t="s">
        <v>698</v>
      </c>
      <c r="D1177" s="38" t="s">
        <v>747</v>
      </c>
      <c r="E1177" s="94">
        <v>10</v>
      </c>
      <c r="F1177" s="94">
        <v>0.21</v>
      </c>
      <c r="G1177" s="94">
        <v>5</v>
      </c>
      <c r="H1177" s="94">
        <v>7</v>
      </c>
      <c r="I1177" s="94">
        <v>4</v>
      </c>
    </row>
    <row r="1178" spans="1:9" hidden="1" x14ac:dyDescent="0.35">
      <c r="A1178" s="38" t="s">
        <v>768</v>
      </c>
      <c r="B1178" s="38" t="s">
        <v>753</v>
      </c>
      <c r="C1178" s="38" t="s">
        <v>698</v>
      </c>
      <c r="D1178" s="38" t="s">
        <v>700</v>
      </c>
      <c r="E1178" s="94">
        <v>10</v>
      </c>
      <c r="F1178" s="94">
        <v>0.2</v>
      </c>
      <c r="G1178" s="94">
        <v>5</v>
      </c>
      <c r="H1178" s="94">
        <v>7</v>
      </c>
      <c r="I1178" s="94">
        <v>4</v>
      </c>
    </row>
    <row r="1179" spans="1:9" hidden="1" x14ac:dyDescent="0.35">
      <c r="A1179" s="38" t="s">
        <v>768</v>
      </c>
      <c r="B1179" s="38" t="s">
        <v>753</v>
      </c>
      <c r="C1179" s="38" t="s">
        <v>698</v>
      </c>
      <c r="D1179" s="38" t="s">
        <v>521</v>
      </c>
      <c r="E1179" s="94">
        <v>6</v>
      </c>
      <c r="F1179" s="94">
        <v>0.47</v>
      </c>
      <c r="G1179" s="94">
        <v>5</v>
      </c>
      <c r="H1179" s="94">
        <v>7</v>
      </c>
      <c r="I1179" s="94">
        <v>4</v>
      </c>
    </row>
    <row r="1180" spans="1:9" hidden="1" x14ac:dyDescent="0.35">
      <c r="A1180" s="38" t="s">
        <v>768</v>
      </c>
      <c r="B1180" s="38" t="s">
        <v>753</v>
      </c>
      <c r="C1180" s="38" t="s">
        <v>698</v>
      </c>
      <c r="D1180" s="38" t="s">
        <v>252</v>
      </c>
      <c r="E1180" s="94">
        <v>8</v>
      </c>
      <c r="F1180" s="94">
        <v>0.97</v>
      </c>
      <c r="G1180" s="94">
        <v>5</v>
      </c>
      <c r="H1180" s="94">
        <v>7</v>
      </c>
      <c r="I1180" s="94">
        <v>4</v>
      </c>
    </row>
    <row r="1181" spans="1:9" hidden="1" x14ac:dyDescent="0.35">
      <c r="A1181" s="38" t="s">
        <v>768</v>
      </c>
      <c r="B1181" s="38" t="s">
        <v>753</v>
      </c>
      <c r="C1181" s="38" t="s">
        <v>701</v>
      </c>
      <c r="D1181" s="38" t="s">
        <v>702</v>
      </c>
      <c r="E1181" s="94">
        <v>8</v>
      </c>
      <c r="F1181" s="94">
        <v>7.23</v>
      </c>
      <c r="G1181" s="94">
        <v>0.1</v>
      </c>
      <c r="H1181" s="94">
        <v>3</v>
      </c>
      <c r="I1181" s="94">
        <v>2</v>
      </c>
    </row>
    <row r="1182" spans="1:9" hidden="1" x14ac:dyDescent="0.35">
      <c r="A1182" s="38" t="s">
        <v>768</v>
      </c>
      <c r="B1182" s="38" t="s">
        <v>753</v>
      </c>
      <c r="C1182" s="38" t="s">
        <v>701</v>
      </c>
      <c r="D1182" s="38" t="s">
        <v>703</v>
      </c>
      <c r="E1182" s="94">
        <v>3.5</v>
      </c>
      <c r="F1182" s="94">
        <v>4.68</v>
      </c>
      <c r="G1182" s="94">
        <v>2</v>
      </c>
      <c r="H1182" s="94">
        <v>10</v>
      </c>
      <c r="I1182" s="94">
        <v>1</v>
      </c>
    </row>
    <row r="1183" spans="1:9" hidden="1" x14ac:dyDescent="0.35">
      <c r="A1183" s="38" t="s">
        <v>768</v>
      </c>
      <c r="B1183" s="38" t="s">
        <v>753</v>
      </c>
      <c r="C1183" s="38" t="s">
        <v>704</v>
      </c>
      <c r="D1183" s="38" t="s">
        <v>746</v>
      </c>
      <c r="E1183" s="94">
        <v>7</v>
      </c>
      <c r="F1183" s="94">
        <v>3.4</v>
      </c>
      <c r="G1183" s="94">
        <v>8</v>
      </c>
      <c r="H1183" s="94">
        <v>2</v>
      </c>
      <c r="I1183" s="94">
        <v>1</v>
      </c>
    </row>
    <row r="1184" spans="1:9" hidden="1" x14ac:dyDescent="0.35">
      <c r="A1184" s="38" t="s">
        <v>768</v>
      </c>
      <c r="B1184" s="38" t="s">
        <v>753</v>
      </c>
      <c r="C1184" s="38" t="s">
        <v>707</v>
      </c>
      <c r="D1184" s="38" t="s">
        <v>708</v>
      </c>
      <c r="E1184" s="94">
        <v>8.15</v>
      </c>
      <c r="F1184" s="94">
        <v>12.11</v>
      </c>
      <c r="G1184" s="94">
        <v>10</v>
      </c>
      <c r="H1184" s="94">
        <v>10.78</v>
      </c>
      <c r="I1184" s="94">
        <v>3.88</v>
      </c>
    </row>
    <row r="1185" spans="1:9" hidden="1" x14ac:dyDescent="0.35">
      <c r="A1185" s="38" t="s">
        <v>769</v>
      </c>
      <c r="B1185" s="38" t="s">
        <v>745</v>
      </c>
      <c r="C1185" s="38" t="s">
        <v>686</v>
      </c>
      <c r="D1185" s="38" t="s">
        <v>746</v>
      </c>
      <c r="E1185" s="190">
        <v>0</v>
      </c>
      <c r="F1185" s="190">
        <v>0</v>
      </c>
      <c r="G1185" s="190">
        <v>0</v>
      </c>
      <c r="H1185" s="190">
        <v>0</v>
      </c>
      <c r="I1185" s="190">
        <v>0</v>
      </c>
    </row>
    <row r="1186" spans="1:9" hidden="1" x14ac:dyDescent="0.35">
      <c r="A1186" s="38" t="s">
        <v>769</v>
      </c>
      <c r="B1186" s="38" t="s">
        <v>745</v>
      </c>
      <c r="C1186" s="38" t="s">
        <v>691</v>
      </c>
      <c r="D1186" s="38" t="s">
        <v>746</v>
      </c>
      <c r="E1186" s="190">
        <v>20</v>
      </c>
      <c r="F1186" s="190">
        <v>7.3</v>
      </c>
      <c r="G1186" s="190">
        <v>2</v>
      </c>
      <c r="H1186" s="190">
        <v>4.9000000000000004</v>
      </c>
      <c r="I1186" s="190">
        <v>19</v>
      </c>
    </row>
    <row r="1187" spans="1:9" hidden="1" x14ac:dyDescent="0.35">
      <c r="A1187" s="38" t="s">
        <v>769</v>
      </c>
      <c r="B1187" s="38" t="s">
        <v>745</v>
      </c>
      <c r="C1187" s="38" t="s">
        <v>696</v>
      </c>
      <c r="D1187" s="38" t="s">
        <v>697</v>
      </c>
      <c r="E1187" s="190">
        <v>9.4</v>
      </c>
      <c r="F1187" s="190">
        <v>7.9</v>
      </c>
      <c r="G1187" s="190">
        <v>6</v>
      </c>
      <c r="H1187" s="190">
        <v>9</v>
      </c>
      <c r="I1187" s="190">
        <v>11</v>
      </c>
    </row>
    <row r="1188" spans="1:9" hidden="1" x14ac:dyDescent="0.35">
      <c r="A1188" s="38" t="s">
        <v>769</v>
      </c>
      <c r="B1188" s="38" t="s">
        <v>745</v>
      </c>
      <c r="C1188" s="38" t="s">
        <v>698</v>
      </c>
      <c r="D1188" s="38" t="s">
        <v>747</v>
      </c>
      <c r="E1188" s="190">
        <v>2.2999999999999998</v>
      </c>
      <c r="F1188" s="190">
        <v>0.6</v>
      </c>
      <c r="G1188" s="190">
        <v>5</v>
      </c>
      <c r="H1188" s="190">
        <v>4</v>
      </c>
      <c r="I1188" s="190">
        <v>11</v>
      </c>
    </row>
    <row r="1189" spans="1:9" hidden="1" x14ac:dyDescent="0.35">
      <c r="A1189" s="38" t="s">
        <v>769</v>
      </c>
      <c r="B1189" s="38" t="s">
        <v>745</v>
      </c>
      <c r="C1189" s="38" t="s">
        <v>698</v>
      </c>
      <c r="D1189" s="38" t="s">
        <v>700</v>
      </c>
      <c r="E1189" s="190">
        <v>10</v>
      </c>
      <c r="F1189" s="190">
        <v>0.6</v>
      </c>
      <c r="G1189" s="190">
        <v>5</v>
      </c>
      <c r="H1189" s="190">
        <v>4</v>
      </c>
      <c r="I1189" s="190">
        <v>11</v>
      </c>
    </row>
    <row r="1190" spans="1:9" hidden="1" x14ac:dyDescent="0.35">
      <c r="A1190" s="38" t="s">
        <v>769</v>
      </c>
      <c r="B1190" s="38" t="s">
        <v>745</v>
      </c>
      <c r="C1190" s="38" t="s">
        <v>698</v>
      </c>
      <c r="D1190" s="38" t="s">
        <v>521</v>
      </c>
      <c r="E1190" s="190">
        <v>2.5</v>
      </c>
      <c r="F1190" s="190">
        <v>0.3</v>
      </c>
      <c r="G1190" s="190">
        <v>5</v>
      </c>
      <c r="H1190" s="190">
        <v>4</v>
      </c>
      <c r="I1190" s="190">
        <v>11</v>
      </c>
    </row>
    <row r="1191" spans="1:9" hidden="1" x14ac:dyDescent="0.35">
      <c r="A1191" s="38" t="s">
        <v>769</v>
      </c>
      <c r="B1191" s="38" t="s">
        <v>745</v>
      </c>
      <c r="C1191" s="38" t="s">
        <v>698</v>
      </c>
      <c r="D1191" s="38" t="s">
        <v>252</v>
      </c>
      <c r="E1191" s="190">
        <v>7</v>
      </c>
      <c r="F1191" s="190">
        <v>0.9</v>
      </c>
      <c r="G1191" s="190">
        <v>5</v>
      </c>
      <c r="H1191" s="190">
        <v>4</v>
      </c>
      <c r="I1191" s="190">
        <v>11</v>
      </c>
    </row>
    <row r="1192" spans="1:9" hidden="1" x14ac:dyDescent="0.35">
      <c r="A1192" s="38" t="s">
        <v>769</v>
      </c>
      <c r="B1192" s="38" t="s">
        <v>745</v>
      </c>
      <c r="C1192" s="38" t="s">
        <v>701</v>
      </c>
      <c r="D1192" s="38" t="s">
        <v>702</v>
      </c>
      <c r="E1192" s="190">
        <v>4</v>
      </c>
      <c r="F1192" s="190">
        <v>1.9</v>
      </c>
      <c r="G1192" s="190">
        <v>0.5</v>
      </c>
      <c r="H1192" s="190">
        <v>2</v>
      </c>
      <c r="I1192" s="190">
        <v>8</v>
      </c>
    </row>
    <row r="1193" spans="1:9" hidden="1" x14ac:dyDescent="0.35">
      <c r="A1193" s="38" t="s">
        <v>769</v>
      </c>
      <c r="B1193" s="38" t="s">
        <v>745</v>
      </c>
      <c r="C1193" s="38" t="s">
        <v>701</v>
      </c>
      <c r="D1193" s="38" t="s">
        <v>703</v>
      </c>
      <c r="E1193" s="190">
        <v>3.5</v>
      </c>
      <c r="F1193" s="190">
        <v>1.7</v>
      </c>
      <c r="G1193" s="190">
        <v>1.2</v>
      </c>
      <c r="H1193" s="190">
        <v>0.82</v>
      </c>
      <c r="I1193" s="190">
        <v>7</v>
      </c>
    </row>
    <row r="1194" spans="1:9" hidden="1" x14ac:dyDescent="0.35">
      <c r="A1194" s="38" t="s">
        <v>769</v>
      </c>
      <c r="B1194" s="38" t="s">
        <v>745</v>
      </c>
      <c r="C1194" s="38" t="s">
        <v>704</v>
      </c>
      <c r="D1194" s="38" t="s">
        <v>746</v>
      </c>
      <c r="E1194" s="190">
        <v>5.3</v>
      </c>
      <c r="F1194" s="190">
        <v>1.2</v>
      </c>
      <c r="G1194" s="190">
        <v>5</v>
      </c>
      <c r="H1194" s="190">
        <v>1</v>
      </c>
      <c r="I1194" s="190">
        <v>4</v>
      </c>
    </row>
    <row r="1195" spans="1:9" hidden="1" x14ac:dyDescent="0.35">
      <c r="A1195" s="38" t="s">
        <v>769</v>
      </c>
      <c r="B1195" s="38" t="s">
        <v>745</v>
      </c>
      <c r="C1195" s="38" t="s">
        <v>707</v>
      </c>
      <c r="D1195" s="38" t="s">
        <v>708</v>
      </c>
      <c r="E1195" s="190">
        <v>20</v>
      </c>
      <c r="F1195" s="190">
        <v>7.6</v>
      </c>
      <c r="G1195" s="190">
        <v>13.8</v>
      </c>
      <c r="H1195" s="190">
        <v>7</v>
      </c>
      <c r="I1195" s="190">
        <v>17</v>
      </c>
    </row>
    <row r="1196" spans="1:9" hidden="1" x14ac:dyDescent="0.35">
      <c r="A1196" s="38" t="s">
        <v>769</v>
      </c>
      <c r="B1196" s="38" t="s">
        <v>748</v>
      </c>
      <c r="C1196" s="38" t="s">
        <v>686</v>
      </c>
      <c r="D1196" s="38" t="s">
        <v>746</v>
      </c>
      <c r="E1196" s="190">
        <v>0</v>
      </c>
      <c r="F1196" s="190">
        <v>0</v>
      </c>
      <c r="G1196" s="190">
        <v>0</v>
      </c>
      <c r="H1196" s="190">
        <v>0</v>
      </c>
      <c r="I1196" s="190">
        <v>0</v>
      </c>
    </row>
    <row r="1197" spans="1:9" hidden="1" x14ac:dyDescent="0.35">
      <c r="A1197" s="38" t="s">
        <v>769</v>
      </c>
      <c r="B1197" s="38" t="s">
        <v>748</v>
      </c>
      <c r="C1197" s="38" t="s">
        <v>691</v>
      </c>
      <c r="D1197" s="38" t="s">
        <v>746</v>
      </c>
      <c r="E1197" s="190">
        <v>10</v>
      </c>
      <c r="F1197" s="190">
        <v>8.3699999999999992</v>
      </c>
      <c r="G1197" s="190">
        <v>2</v>
      </c>
      <c r="H1197" s="190">
        <v>8</v>
      </c>
      <c r="I1197" s="190">
        <v>10.35</v>
      </c>
    </row>
    <row r="1198" spans="1:9" hidden="1" x14ac:dyDescent="0.35">
      <c r="A1198" s="38" t="s">
        <v>769</v>
      </c>
      <c r="B1198" s="38" t="s">
        <v>748</v>
      </c>
      <c r="C1198" s="38" t="s">
        <v>696</v>
      </c>
      <c r="D1198" s="38" t="s">
        <v>697</v>
      </c>
      <c r="E1198" s="190">
        <v>15</v>
      </c>
      <c r="F1198" s="190">
        <v>16.5</v>
      </c>
      <c r="G1198" s="190">
        <v>6</v>
      </c>
      <c r="H1198" s="190">
        <v>11</v>
      </c>
      <c r="I1198" s="190">
        <v>7.3</v>
      </c>
    </row>
    <row r="1199" spans="1:9" hidden="1" x14ac:dyDescent="0.35">
      <c r="A1199" s="38" t="s">
        <v>769</v>
      </c>
      <c r="B1199" s="38" t="s">
        <v>748</v>
      </c>
      <c r="C1199" s="38" t="s">
        <v>698</v>
      </c>
      <c r="D1199" s="38" t="s">
        <v>747</v>
      </c>
      <c r="E1199" s="190">
        <v>2.2999999999999998</v>
      </c>
      <c r="F1199" s="190">
        <v>0.55000000000000004</v>
      </c>
      <c r="G1199" s="190">
        <v>5</v>
      </c>
      <c r="H1199" s="190">
        <v>6</v>
      </c>
      <c r="I1199" s="190">
        <v>6.8</v>
      </c>
    </row>
    <row r="1200" spans="1:9" hidden="1" x14ac:dyDescent="0.35">
      <c r="A1200" s="38" t="s">
        <v>769</v>
      </c>
      <c r="B1200" s="38" t="s">
        <v>748</v>
      </c>
      <c r="C1200" s="38" t="s">
        <v>698</v>
      </c>
      <c r="D1200" s="38" t="s">
        <v>700</v>
      </c>
      <c r="E1200" s="190">
        <v>10</v>
      </c>
      <c r="F1200" s="190">
        <v>0.81</v>
      </c>
      <c r="G1200" s="190">
        <v>5</v>
      </c>
      <c r="H1200" s="190">
        <v>6</v>
      </c>
      <c r="I1200" s="190">
        <v>6.8</v>
      </c>
    </row>
    <row r="1201" spans="1:9" hidden="1" x14ac:dyDescent="0.35">
      <c r="A1201" s="38" t="s">
        <v>769</v>
      </c>
      <c r="B1201" s="38" t="s">
        <v>748</v>
      </c>
      <c r="C1201" s="38" t="s">
        <v>698</v>
      </c>
      <c r="D1201" s="38" t="s">
        <v>521</v>
      </c>
      <c r="E1201" s="190">
        <v>2.5</v>
      </c>
      <c r="F1201" s="190">
        <v>0.18</v>
      </c>
      <c r="G1201" s="190">
        <v>5</v>
      </c>
      <c r="H1201" s="190">
        <v>6</v>
      </c>
      <c r="I1201" s="190">
        <v>6.8</v>
      </c>
    </row>
    <row r="1202" spans="1:9" hidden="1" x14ac:dyDescent="0.35">
      <c r="A1202" s="38" t="s">
        <v>769</v>
      </c>
      <c r="B1202" s="38" t="s">
        <v>748</v>
      </c>
      <c r="C1202" s="38" t="s">
        <v>698</v>
      </c>
      <c r="D1202" s="38" t="s">
        <v>252</v>
      </c>
      <c r="E1202" s="190">
        <v>7</v>
      </c>
      <c r="F1202" s="190">
        <v>1.03</v>
      </c>
      <c r="G1202" s="190">
        <v>5</v>
      </c>
      <c r="H1202" s="190">
        <v>6</v>
      </c>
      <c r="I1202" s="190">
        <v>6.8</v>
      </c>
    </row>
    <row r="1203" spans="1:9" hidden="1" x14ac:dyDescent="0.35">
      <c r="A1203" s="38" t="s">
        <v>769</v>
      </c>
      <c r="B1203" s="38" t="s">
        <v>748</v>
      </c>
      <c r="C1203" s="38" t="s">
        <v>701</v>
      </c>
      <c r="D1203" s="38" t="s">
        <v>702</v>
      </c>
      <c r="E1203" s="190">
        <v>6</v>
      </c>
      <c r="F1203" s="190">
        <v>2.38</v>
      </c>
      <c r="G1203" s="190">
        <v>0.5</v>
      </c>
      <c r="H1203" s="190">
        <v>4</v>
      </c>
      <c r="I1203" s="190">
        <v>3.65</v>
      </c>
    </row>
    <row r="1204" spans="1:9" hidden="1" x14ac:dyDescent="0.35">
      <c r="A1204" s="38" t="s">
        <v>769</v>
      </c>
      <c r="B1204" s="38" t="s">
        <v>748</v>
      </c>
      <c r="C1204" s="38" t="s">
        <v>701</v>
      </c>
      <c r="D1204" s="38" t="s">
        <v>703</v>
      </c>
      <c r="E1204" s="190">
        <v>3.5</v>
      </c>
      <c r="F1204" s="190">
        <v>2.2400000000000002</v>
      </c>
      <c r="G1204" s="190">
        <v>1.2</v>
      </c>
      <c r="H1204" s="190">
        <v>0.5</v>
      </c>
      <c r="I1204" s="190">
        <v>2.6</v>
      </c>
    </row>
    <row r="1205" spans="1:9" hidden="1" x14ac:dyDescent="0.35">
      <c r="A1205" s="38" t="s">
        <v>769</v>
      </c>
      <c r="B1205" s="38" t="s">
        <v>748</v>
      </c>
      <c r="C1205" s="38" t="s">
        <v>704</v>
      </c>
      <c r="D1205" s="38" t="s">
        <v>746</v>
      </c>
      <c r="E1205" s="190">
        <v>6</v>
      </c>
      <c r="F1205" s="190">
        <v>2.72</v>
      </c>
      <c r="G1205" s="190">
        <v>5</v>
      </c>
      <c r="H1205" s="190">
        <v>1</v>
      </c>
      <c r="I1205" s="190">
        <v>16.55</v>
      </c>
    </row>
    <row r="1206" spans="1:9" hidden="1" x14ac:dyDescent="0.35">
      <c r="A1206" s="38" t="s">
        <v>769</v>
      </c>
      <c r="B1206" s="38" t="s">
        <v>748</v>
      </c>
      <c r="C1206" s="38" t="s">
        <v>707</v>
      </c>
      <c r="D1206" s="38" t="s">
        <v>708</v>
      </c>
      <c r="E1206" s="190">
        <v>20</v>
      </c>
      <c r="F1206" s="190">
        <v>4.8499999999999996</v>
      </c>
      <c r="G1206" s="190">
        <v>15</v>
      </c>
      <c r="H1206" s="190">
        <v>9</v>
      </c>
      <c r="I1206" s="190">
        <v>7.15</v>
      </c>
    </row>
    <row r="1207" spans="1:9" hidden="1" x14ac:dyDescent="0.35">
      <c r="A1207" s="38" t="s">
        <v>769</v>
      </c>
      <c r="B1207" s="38" t="s">
        <v>749</v>
      </c>
      <c r="C1207" s="38" t="s">
        <v>686</v>
      </c>
      <c r="D1207" s="38" t="s">
        <v>746</v>
      </c>
      <c r="E1207" s="190">
        <v>0</v>
      </c>
      <c r="F1207" s="190">
        <v>0</v>
      </c>
      <c r="G1207" s="190">
        <v>0</v>
      </c>
      <c r="H1207" s="190">
        <v>0</v>
      </c>
      <c r="I1207" s="190">
        <v>0</v>
      </c>
    </row>
    <row r="1208" spans="1:9" hidden="1" x14ac:dyDescent="0.35">
      <c r="A1208" s="38" t="s">
        <v>769</v>
      </c>
      <c r="B1208" s="38" t="s">
        <v>749</v>
      </c>
      <c r="C1208" s="38" t="s">
        <v>691</v>
      </c>
      <c r="D1208" s="38" t="s">
        <v>746</v>
      </c>
      <c r="E1208" s="190">
        <v>20</v>
      </c>
      <c r="F1208" s="190">
        <v>15.3</v>
      </c>
      <c r="G1208" s="190">
        <v>2</v>
      </c>
      <c r="H1208" s="190">
        <v>9.35</v>
      </c>
      <c r="I1208" s="190">
        <v>25.43</v>
      </c>
    </row>
    <row r="1209" spans="1:9" hidden="1" x14ac:dyDescent="0.35">
      <c r="A1209" s="38" t="s">
        <v>769</v>
      </c>
      <c r="B1209" s="38" t="s">
        <v>749</v>
      </c>
      <c r="C1209" s="38" t="s">
        <v>696</v>
      </c>
      <c r="D1209" s="38" t="s">
        <v>697</v>
      </c>
      <c r="E1209" s="190">
        <v>12</v>
      </c>
      <c r="F1209" s="190">
        <v>2.2200000000000002</v>
      </c>
      <c r="G1209" s="190">
        <v>6</v>
      </c>
      <c r="H1209" s="190">
        <v>6.83</v>
      </c>
      <c r="I1209" s="190">
        <v>28.17</v>
      </c>
    </row>
    <row r="1210" spans="1:9" hidden="1" x14ac:dyDescent="0.35">
      <c r="A1210" s="38" t="s">
        <v>769</v>
      </c>
      <c r="B1210" s="38" t="s">
        <v>749</v>
      </c>
      <c r="C1210" s="38" t="s">
        <v>698</v>
      </c>
      <c r="D1210" s="38" t="s">
        <v>747</v>
      </c>
      <c r="E1210" s="190">
        <v>2.2999999999999998</v>
      </c>
      <c r="F1210" s="190">
        <v>0.31</v>
      </c>
      <c r="G1210" s="190">
        <v>5</v>
      </c>
      <c r="H1210" s="190">
        <v>3.9</v>
      </c>
      <c r="I1210" s="190">
        <v>21.19</v>
      </c>
    </row>
    <row r="1211" spans="1:9" hidden="1" x14ac:dyDescent="0.35">
      <c r="A1211" s="38" t="s">
        <v>769</v>
      </c>
      <c r="B1211" s="38" t="s">
        <v>749</v>
      </c>
      <c r="C1211" s="38" t="s">
        <v>698</v>
      </c>
      <c r="D1211" s="38" t="s">
        <v>700</v>
      </c>
      <c r="E1211" s="190">
        <v>10</v>
      </c>
      <c r="F1211" s="190">
        <v>0.8</v>
      </c>
      <c r="G1211" s="190">
        <v>5</v>
      </c>
      <c r="H1211" s="190">
        <v>3.9</v>
      </c>
      <c r="I1211" s="190">
        <v>21.19</v>
      </c>
    </row>
    <row r="1212" spans="1:9" hidden="1" x14ac:dyDescent="0.35">
      <c r="A1212" s="38" t="s">
        <v>769</v>
      </c>
      <c r="B1212" s="38" t="s">
        <v>749</v>
      </c>
      <c r="C1212" s="38" t="s">
        <v>698</v>
      </c>
      <c r="D1212" s="38" t="s">
        <v>521</v>
      </c>
      <c r="E1212" s="190">
        <v>2.5</v>
      </c>
      <c r="F1212" s="190">
        <v>0.66</v>
      </c>
      <c r="G1212" s="190">
        <v>5</v>
      </c>
      <c r="H1212" s="190">
        <v>3.9</v>
      </c>
      <c r="I1212" s="190">
        <v>21.19</v>
      </c>
    </row>
    <row r="1213" spans="1:9" hidden="1" x14ac:dyDescent="0.35">
      <c r="A1213" s="38" t="s">
        <v>769</v>
      </c>
      <c r="B1213" s="38" t="s">
        <v>749</v>
      </c>
      <c r="C1213" s="38" t="s">
        <v>698</v>
      </c>
      <c r="D1213" s="38" t="s">
        <v>252</v>
      </c>
      <c r="E1213" s="190">
        <v>7</v>
      </c>
      <c r="F1213" s="190">
        <v>0.88</v>
      </c>
      <c r="G1213" s="190">
        <v>5</v>
      </c>
      <c r="H1213" s="190">
        <v>3.9</v>
      </c>
      <c r="I1213" s="190">
        <v>21.19</v>
      </c>
    </row>
    <row r="1214" spans="1:9" hidden="1" x14ac:dyDescent="0.35">
      <c r="A1214" s="38" t="s">
        <v>769</v>
      </c>
      <c r="B1214" s="38" t="s">
        <v>749</v>
      </c>
      <c r="C1214" s="38" t="s">
        <v>701</v>
      </c>
      <c r="D1214" s="38" t="s">
        <v>702</v>
      </c>
      <c r="E1214" s="190">
        <v>4</v>
      </c>
      <c r="F1214" s="190">
        <v>2.27</v>
      </c>
      <c r="G1214" s="190">
        <v>0.5</v>
      </c>
      <c r="H1214" s="190">
        <v>7</v>
      </c>
      <c r="I1214" s="190">
        <v>20.399999999999999</v>
      </c>
    </row>
    <row r="1215" spans="1:9" hidden="1" x14ac:dyDescent="0.35">
      <c r="A1215" s="38" t="s">
        <v>769</v>
      </c>
      <c r="B1215" s="38" t="s">
        <v>749</v>
      </c>
      <c r="C1215" s="38" t="s">
        <v>701</v>
      </c>
      <c r="D1215" s="38" t="s">
        <v>703</v>
      </c>
      <c r="E1215" s="190">
        <v>3.5</v>
      </c>
      <c r="F1215" s="190">
        <v>0.4</v>
      </c>
      <c r="G1215" s="190">
        <v>1.2</v>
      </c>
      <c r="H1215" s="190">
        <v>7.75</v>
      </c>
      <c r="I1215" s="190">
        <v>21</v>
      </c>
    </row>
    <row r="1216" spans="1:9" hidden="1" x14ac:dyDescent="0.35">
      <c r="A1216" s="38" t="s">
        <v>769</v>
      </c>
      <c r="B1216" s="38" t="s">
        <v>749</v>
      </c>
      <c r="C1216" s="38" t="s">
        <v>704</v>
      </c>
      <c r="D1216" s="38" t="s">
        <v>746</v>
      </c>
      <c r="E1216" s="190">
        <v>12</v>
      </c>
      <c r="F1216" s="190">
        <v>3.91</v>
      </c>
      <c r="G1216" s="190">
        <v>5</v>
      </c>
      <c r="H1216" s="190">
        <v>1</v>
      </c>
      <c r="I1216" s="190">
        <v>4</v>
      </c>
    </row>
    <row r="1217" spans="1:9" hidden="1" x14ac:dyDescent="0.35">
      <c r="A1217" s="38" t="s">
        <v>769</v>
      </c>
      <c r="B1217" s="38" t="s">
        <v>749</v>
      </c>
      <c r="C1217" s="38" t="s">
        <v>707</v>
      </c>
      <c r="D1217" s="38" t="s">
        <v>708</v>
      </c>
      <c r="E1217" s="190">
        <v>20</v>
      </c>
      <c r="F1217" s="190">
        <v>5.83</v>
      </c>
      <c r="G1217" s="190">
        <v>15</v>
      </c>
      <c r="H1217" s="190">
        <v>8</v>
      </c>
      <c r="I1217" s="190">
        <v>15</v>
      </c>
    </row>
    <row r="1218" spans="1:9" hidden="1" x14ac:dyDescent="0.35">
      <c r="A1218" s="38" t="s">
        <v>769</v>
      </c>
      <c r="B1218" s="38" t="s">
        <v>750</v>
      </c>
      <c r="C1218" s="38" t="s">
        <v>686</v>
      </c>
      <c r="D1218" s="38" t="s">
        <v>746</v>
      </c>
      <c r="E1218" s="190">
        <v>0</v>
      </c>
      <c r="F1218" s="190">
        <v>0</v>
      </c>
      <c r="G1218" s="190">
        <v>0</v>
      </c>
      <c r="H1218" s="190">
        <v>0</v>
      </c>
      <c r="I1218" s="190">
        <v>0</v>
      </c>
    </row>
    <row r="1219" spans="1:9" hidden="1" x14ac:dyDescent="0.35">
      <c r="A1219" s="38" t="s">
        <v>769</v>
      </c>
      <c r="B1219" s="38" t="s">
        <v>750</v>
      </c>
      <c r="C1219" s="38" t="s">
        <v>691</v>
      </c>
      <c r="D1219" s="38" t="s">
        <v>746</v>
      </c>
      <c r="E1219" s="190">
        <v>20</v>
      </c>
      <c r="F1219" s="190">
        <v>14.32</v>
      </c>
      <c r="G1219" s="190">
        <v>20</v>
      </c>
      <c r="H1219" s="190">
        <v>12</v>
      </c>
      <c r="I1219" s="190">
        <v>10</v>
      </c>
    </row>
    <row r="1220" spans="1:9" hidden="1" x14ac:dyDescent="0.35">
      <c r="A1220" s="38" t="s">
        <v>769</v>
      </c>
      <c r="B1220" s="38" t="s">
        <v>750</v>
      </c>
      <c r="C1220" s="38" t="s">
        <v>696</v>
      </c>
      <c r="D1220" s="38" t="s">
        <v>697</v>
      </c>
      <c r="E1220" s="190">
        <v>5.7</v>
      </c>
      <c r="F1220" s="190">
        <v>19.61</v>
      </c>
      <c r="G1220" s="190">
        <v>9</v>
      </c>
      <c r="H1220" s="190">
        <v>10</v>
      </c>
      <c r="I1220" s="190">
        <v>4</v>
      </c>
    </row>
    <row r="1221" spans="1:9" hidden="1" x14ac:dyDescent="0.35">
      <c r="A1221" s="38" t="s">
        <v>769</v>
      </c>
      <c r="B1221" s="38" t="s">
        <v>750</v>
      </c>
      <c r="C1221" s="38" t="s">
        <v>698</v>
      </c>
      <c r="D1221" s="38" t="s">
        <v>747</v>
      </c>
      <c r="E1221" s="190">
        <v>5</v>
      </c>
      <c r="F1221" s="190">
        <v>1.32</v>
      </c>
      <c r="G1221" s="190">
        <v>5</v>
      </c>
      <c r="H1221" s="190">
        <v>5</v>
      </c>
      <c r="I1221" s="190">
        <v>6</v>
      </c>
    </row>
    <row r="1222" spans="1:9" hidden="1" x14ac:dyDescent="0.35">
      <c r="A1222" s="38" t="s">
        <v>769</v>
      </c>
      <c r="B1222" s="38" t="s">
        <v>750</v>
      </c>
      <c r="C1222" s="38" t="s">
        <v>698</v>
      </c>
      <c r="D1222" s="38" t="s">
        <v>700</v>
      </c>
      <c r="E1222" s="190">
        <v>10</v>
      </c>
      <c r="F1222" s="190">
        <v>1.04</v>
      </c>
      <c r="G1222" s="190">
        <v>5</v>
      </c>
      <c r="H1222" s="190">
        <v>5</v>
      </c>
      <c r="I1222" s="190">
        <v>6</v>
      </c>
    </row>
    <row r="1223" spans="1:9" hidden="1" x14ac:dyDescent="0.35">
      <c r="A1223" s="38" t="s">
        <v>769</v>
      </c>
      <c r="B1223" s="38" t="s">
        <v>750</v>
      </c>
      <c r="C1223" s="38" t="s">
        <v>698</v>
      </c>
      <c r="D1223" s="38" t="s">
        <v>521</v>
      </c>
      <c r="E1223" s="190">
        <v>6</v>
      </c>
      <c r="F1223" s="190">
        <v>0.41</v>
      </c>
      <c r="G1223" s="190">
        <v>5</v>
      </c>
      <c r="H1223" s="190">
        <v>5</v>
      </c>
      <c r="I1223" s="190">
        <v>6</v>
      </c>
    </row>
    <row r="1224" spans="1:9" hidden="1" x14ac:dyDescent="0.35">
      <c r="A1224" s="38" t="s">
        <v>769</v>
      </c>
      <c r="B1224" s="38" t="s">
        <v>750</v>
      </c>
      <c r="C1224" s="38" t="s">
        <v>698</v>
      </c>
      <c r="D1224" s="38" t="s">
        <v>252</v>
      </c>
      <c r="E1224" s="190">
        <v>6</v>
      </c>
      <c r="F1224" s="190">
        <v>1.5</v>
      </c>
      <c r="G1224" s="190">
        <v>5</v>
      </c>
      <c r="H1224" s="190">
        <v>5</v>
      </c>
      <c r="I1224" s="190">
        <v>6</v>
      </c>
    </row>
    <row r="1225" spans="1:9" hidden="1" x14ac:dyDescent="0.35">
      <c r="A1225" s="38" t="s">
        <v>769</v>
      </c>
      <c r="B1225" s="38" t="s">
        <v>750</v>
      </c>
      <c r="C1225" s="38" t="s">
        <v>701</v>
      </c>
      <c r="D1225" s="38" t="s">
        <v>702</v>
      </c>
      <c r="E1225" s="190">
        <v>6</v>
      </c>
      <c r="F1225" s="190">
        <v>6.21</v>
      </c>
      <c r="G1225" s="190">
        <v>0.5</v>
      </c>
      <c r="H1225" s="190">
        <v>4</v>
      </c>
      <c r="I1225" s="190">
        <v>4</v>
      </c>
    </row>
    <row r="1226" spans="1:9" hidden="1" x14ac:dyDescent="0.35">
      <c r="A1226" s="38" t="s">
        <v>769</v>
      </c>
      <c r="B1226" s="38" t="s">
        <v>750</v>
      </c>
      <c r="C1226" s="38" t="s">
        <v>701</v>
      </c>
      <c r="D1226" s="38" t="s">
        <v>703</v>
      </c>
      <c r="E1226" s="190">
        <v>3.5</v>
      </c>
      <c r="F1226" s="190">
        <v>3.74</v>
      </c>
      <c r="G1226" s="190">
        <v>2</v>
      </c>
      <c r="H1226" s="190">
        <v>8</v>
      </c>
      <c r="I1226" s="190">
        <v>4</v>
      </c>
    </row>
    <row r="1227" spans="1:9" hidden="1" x14ac:dyDescent="0.35">
      <c r="A1227" s="38" t="s">
        <v>769</v>
      </c>
      <c r="B1227" s="38" t="s">
        <v>750</v>
      </c>
      <c r="C1227" s="38" t="s">
        <v>704</v>
      </c>
      <c r="D1227" s="38" t="s">
        <v>746</v>
      </c>
      <c r="E1227" s="190">
        <v>6</v>
      </c>
      <c r="F1227" s="190">
        <v>1.49</v>
      </c>
      <c r="G1227" s="190">
        <v>8</v>
      </c>
      <c r="H1227" s="190">
        <v>2</v>
      </c>
      <c r="I1227" s="190">
        <v>2</v>
      </c>
    </row>
    <row r="1228" spans="1:9" hidden="1" x14ac:dyDescent="0.35">
      <c r="A1228" s="38" t="s">
        <v>769</v>
      </c>
      <c r="B1228" s="38" t="s">
        <v>750</v>
      </c>
      <c r="C1228" s="38" t="s">
        <v>707</v>
      </c>
      <c r="D1228" s="38" t="s">
        <v>708</v>
      </c>
      <c r="E1228" s="190">
        <v>14</v>
      </c>
      <c r="F1228" s="190">
        <v>10.39</v>
      </c>
      <c r="G1228" s="190">
        <v>12</v>
      </c>
      <c r="H1228" s="190">
        <v>3</v>
      </c>
      <c r="I1228" s="190">
        <v>4</v>
      </c>
    </row>
    <row r="1229" spans="1:9" hidden="1" x14ac:dyDescent="0.35">
      <c r="A1229" s="38" t="s">
        <v>769</v>
      </c>
      <c r="B1229" s="38" t="s">
        <v>751</v>
      </c>
      <c r="C1229" s="38" t="s">
        <v>686</v>
      </c>
      <c r="D1229" s="38" t="s">
        <v>746</v>
      </c>
      <c r="E1229" s="190">
        <v>0</v>
      </c>
      <c r="F1229" s="190">
        <v>0</v>
      </c>
      <c r="G1229" s="190">
        <v>0</v>
      </c>
      <c r="H1229" s="190">
        <v>0</v>
      </c>
      <c r="I1229" s="190">
        <v>0</v>
      </c>
    </row>
    <row r="1230" spans="1:9" hidden="1" x14ac:dyDescent="0.35">
      <c r="A1230" s="38" t="s">
        <v>769</v>
      </c>
      <c r="B1230" s="38" t="s">
        <v>751</v>
      </c>
      <c r="C1230" s="38" t="s">
        <v>691</v>
      </c>
      <c r="D1230" s="38" t="s">
        <v>746</v>
      </c>
      <c r="E1230" s="190">
        <v>11.33</v>
      </c>
      <c r="F1230" s="190">
        <v>11.3</v>
      </c>
      <c r="G1230" s="190">
        <v>20</v>
      </c>
      <c r="H1230" s="190">
        <v>15.15</v>
      </c>
      <c r="I1230" s="190">
        <v>13</v>
      </c>
    </row>
    <row r="1231" spans="1:9" hidden="1" x14ac:dyDescent="0.35">
      <c r="A1231" s="38" t="s">
        <v>769</v>
      </c>
      <c r="B1231" s="38" t="s">
        <v>751</v>
      </c>
      <c r="C1231" s="38" t="s">
        <v>696</v>
      </c>
      <c r="D1231" s="38" t="s">
        <v>697</v>
      </c>
      <c r="E1231" s="190">
        <v>6.6</v>
      </c>
      <c r="F1231" s="190">
        <v>22.46</v>
      </c>
      <c r="G1231" s="190">
        <v>9</v>
      </c>
      <c r="H1231" s="190">
        <v>10</v>
      </c>
      <c r="I1231" s="190">
        <v>4</v>
      </c>
    </row>
    <row r="1232" spans="1:9" hidden="1" x14ac:dyDescent="0.35">
      <c r="A1232" s="38" t="s">
        <v>769</v>
      </c>
      <c r="B1232" s="38" t="s">
        <v>751</v>
      </c>
      <c r="C1232" s="38" t="s">
        <v>698</v>
      </c>
      <c r="D1232" s="38" t="s">
        <v>747</v>
      </c>
      <c r="E1232" s="190">
        <v>10</v>
      </c>
      <c r="F1232" s="190">
        <v>0.2</v>
      </c>
      <c r="G1232" s="190">
        <v>5</v>
      </c>
      <c r="H1232" s="190">
        <v>5</v>
      </c>
      <c r="I1232" s="190">
        <v>8</v>
      </c>
    </row>
    <row r="1233" spans="1:9" hidden="1" x14ac:dyDescent="0.35">
      <c r="A1233" s="38" t="s">
        <v>769</v>
      </c>
      <c r="B1233" s="38" t="s">
        <v>751</v>
      </c>
      <c r="C1233" s="38" t="s">
        <v>698</v>
      </c>
      <c r="D1233" s="38" t="s">
        <v>700</v>
      </c>
      <c r="E1233" s="190">
        <v>15</v>
      </c>
      <c r="F1233" s="190">
        <v>0.2</v>
      </c>
      <c r="G1233" s="190">
        <v>5</v>
      </c>
      <c r="H1233" s="190">
        <v>5</v>
      </c>
      <c r="I1233" s="190">
        <v>8</v>
      </c>
    </row>
    <row r="1234" spans="1:9" hidden="1" x14ac:dyDescent="0.35">
      <c r="A1234" s="38" t="s">
        <v>769</v>
      </c>
      <c r="B1234" s="38" t="s">
        <v>751</v>
      </c>
      <c r="C1234" s="38" t="s">
        <v>698</v>
      </c>
      <c r="D1234" s="38" t="s">
        <v>521</v>
      </c>
      <c r="E1234" s="190">
        <v>8</v>
      </c>
      <c r="F1234" s="190">
        <v>0.23</v>
      </c>
      <c r="G1234" s="190">
        <v>5</v>
      </c>
      <c r="H1234" s="190">
        <v>5</v>
      </c>
      <c r="I1234" s="190">
        <v>8</v>
      </c>
    </row>
    <row r="1235" spans="1:9" hidden="1" x14ac:dyDescent="0.35">
      <c r="A1235" s="38" t="s">
        <v>769</v>
      </c>
      <c r="B1235" s="38" t="s">
        <v>751</v>
      </c>
      <c r="C1235" s="38" t="s">
        <v>698</v>
      </c>
      <c r="D1235" s="38" t="s">
        <v>252</v>
      </c>
      <c r="E1235" s="190">
        <v>8</v>
      </c>
      <c r="F1235" s="190">
        <v>0.9</v>
      </c>
      <c r="G1235" s="190">
        <v>5</v>
      </c>
      <c r="H1235" s="190">
        <v>5</v>
      </c>
      <c r="I1235" s="190">
        <v>8</v>
      </c>
    </row>
    <row r="1236" spans="1:9" hidden="1" x14ac:dyDescent="0.35">
      <c r="A1236" s="38" t="s">
        <v>769</v>
      </c>
      <c r="B1236" s="38" t="s">
        <v>751</v>
      </c>
      <c r="C1236" s="38" t="s">
        <v>701</v>
      </c>
      <c r="D1236" s="38" t="s">
        <v>702</v>
      </c>
      <c r="E1236" s="190">
        <v>6</v>
      </c>
      <c r="F1236" s="190">
        <v>4.8899999999999997</v>
      </c>
      <c r="G1236" s="190">
        <v>4.5</v>
      </c>
      <c r="H1236" s="190">
        <v>4</v>
      </c>
      <c r="I1236" s="190">
        <v>12</v>
      </c>
    </row>
    <row r="1237" spans="1:9" hidden="1" x14ac:dyDescent="0.35">
      <c r="A1237" s="38" t="s">
        <v>769</v>
      </c>
      <c r="B1237" s="38" t="s">
        <v>751</v>
      </c>
      <c r="C1237" s="38" t="s">
        <v>701</v>
      </c>
      <c r="D1237" s="38" t="s">
        <v>703</v>
      </c>
      <c r="E1237" s="190">
        <v>3.5</v>
      </c>
      <c r="F1237" s="190">
        <v>3.32</v>
      </c>
      <c r="G1237" s="190">
        <v>2</v>
      </c>
      <c r="H1237" s="190">
        <v>8</v>
      </c>
      <c r="I1237" s="190">
        <v>2</v>
      </c>
    </row>
    <row r="1238" spans="1:9" hidden="1" x14ac:dyDescent="0.35">
      <c r="A1238" s="38" t="s">
        <v>769</v>
      </c>
      <c r="B1238" s="38" t="s">
        <v>751</v>
      </c>
      <c r="C1238" s="38" t="s">
        <v>704</v>
      </c>
      <c r="D1238" s="38" t="s">
        <v>746</v>
      </c>
      <c r="E1238" s="190">
        <v>15</v>
      </c>
      <c r="F1238" s="190">
        <v>2.8</v>
      </c>
      <c r="G1238" s="190">
        <v>8</v>
      </c>
      <c r="H1238" s="190">
        <v>2</v>
      </c>
      <c r="I1238" s="190">
        <v>2</v>
      </c>
    </row>
    <row r="1239" spans="1:9" hidden="1" x14ac:dyDescent="0.35">
      <c r="A1239" s="38" t="s">
        <v>769</v>
      </c>
      <c r="B1239" s="38" t="s">
        <v>751</v>
      </c>
      <c r="C1239" s="38" t="s">
        <v>707</v>
      </c>
      <c r="D1239" s="38" t="s">
        <v>708</v>
      </c>
      <c r="E1239" s="190">
        <v>11.9</v>
      </c>
      <c r="F1239" s="190">
        <v>9.26</v>
      </c>
      <c r="G1239" s="190">
        <v>12</v>
      </c>
      <c r="H1239" s="190">
        <v>5.7</v>
      </c>
      <c r="I1239" s="190">
        <v>6</v>
      </c>
    </row>
    <row r="1240" spans="1:9" hidden="1" x14ac:dyDescent="0.35">
      <c r="A1240" s="38" t="s">
        <v>769</v>
      </c>
      <c r="B1240" s="38" t="s">
        <v>752</v>
      </c>
      <c r="C1240" s="38" t="s">
        <v>686</v>
      </c>
      <c r="D1240" s="38" t="s">
        <v>746</v>
      </c>
      <c r="E1240" s="190">
        <v>0</v>
      </c>
      <c r="F1240" s="190">
        <v>0</v>
      </c>
      <c r="G1240" s="190">
        <v>0</v>
      </c>
      <c r="H1240" s="190">
        <v>0</v>
      </c>
      <c r="I1240" s="190">
        <v>0</v>
      </c>
    </row>
    <row r="1241" spans="1:9" hidden="1" x14ac:dyDescent="0.35">
      <c r="A1241" s="38" t="s">
        <v>769</v>
      </c>
      <c r="B1241" s="38" t="s">
        <v>752</v>
      </c>
      <c r="C1241" s="38" t="s">
        <v>691</v>
      </c>
      <c r="D1241" s="38" t="s">
        <v>746</v>
      </c>
      <c r="E1241" s="190">
        <v>13.47</v>
      </c>
      <c r="F1241" s="190">
        <v>17.71</v>
      </c>
      <c r="G1241" s="190">
        <v>25</v>
      </c>
      <c r="H1241" s="190">
        <v>34.130000000000003</v>
      </c>
      <c r="I1241" s="190">
        <v>5</v>
      </c>
    </row>
    <row r="1242" spans="1:9" hidden="1" x14ac:dyDescent="0.35">
      <c r="A1242" s="38" t="s">
        <v>769</v>
      </c>
      <c r="B1242" s="38" t="s">
        <v>752</v>
      </c>
      <c r="C1242" s="38" t="s">
        <v>696</v>
      </c>
      <c r="D1242" s="38" t="s">
        <v>697</v>
      </c>
      <c r="E1242" s="190">
        <v>5.7</v>
      </c>
      <c r="F1242" s="190">
        <v>21.94</v>
      </c>
      <c r="G1242" s="190">
        <v>9</v>
      </c>
      <c r="H1242" s="190">
        <v>15</v>
      </c>
      <c r="I1242" s="190">
        <v>2</v>
      </c>
    </row>
    <row r="1243" spans="1:9" hidden="1" x14ac:dyDescent="0.35">
      <c r="A1243" s="38" t="s">
        <v>769</v>
      </c>
      <c r="B1243" s="38" t="s">
        <v>752</v>
      </c>
      <c r="C1243" s="38" t="s">
        <v>698</v>
      </c>
      <c r="D1243" s="38" t="s">
        <v>747</v>
      </c>
      <c r="E1243" s="190">
        <v>10</v>
      </c>
      <c r="F1243" s="190">
        <v>0.93</v>
      </c>
      <c r="G1243" s="190">
        <v>5</v>
      </c>
      <c r="H1243" s="190">
        <v>7</v>
      </c>
      <c r="I1243" s="190">
        <v>2</v>
      </c>
    </row>
    <row r="1244" spans="1:9" hidden="1" x14ac:dyDescent="0.35">
      <c r="A1244" s="38" t="s">
        <v>769</v>
      </c>
      <c r="B1244" s="38" t="s">
        <v>752</v>
      </c>
      <c r="C1244" s="38" t="s">
        <v>698</v>
      </c>
      <c r="D1244" s="38" t="s">
        <v>700</v>
      </c>
      <c r="E1244" s="190">
        <v>33</v>
      </c>
      <c r="F1244" s="190">
        <v>0.2</v>
      </c>
      <c r="G1244" s="190">
        <v>5</v>
      </c>
      <c r="H1244" s="190">
        <v>7</v>
      </c>
      <c r="I1244" s="190">
        <v>2</v>
      </c>
    </row>
    <row r="1245" spans="1:9" hidden="1" x14ac:dyDescent="0.35">
      <c r="A1245" s="38" t="s">
        <v>769</v>
      </c>
      <c r="B1245" s="38" t="s">
        <v>752</v>
      </c>
      <c r="C1245" s="38" t="s">
        <v>698</v>
      </c>
      <c r="D1245" s="38" t="s">
        <v>521</v>
      </c>
      <c r="E1245" s="190">
        <v>10</v>
      </c>
      <c r="F1245" s="190">
        <v>0.23</v>
      </c>
      <c r="G1245" s="190">
        <v>5</v>
      </c>
      <c r="H1245" s="190">
        <v>7</v>
      </c>
      <c r="I1245" s="190">
        <v>2</v>
      </c>
    </row>
    <row r="1246" spans="1:9" hidden="1" x14ac:dyDescent="0.35">
      <c r="A1246" s="38" t="s">
        <v>769</v>
      </c>
      <c r="B1246" s="38" t="s">
        <v>752</v>
      </c>
      <c r="C1246" s="38" t="s">
        <v>698</v>
      </c>
      <c r="D1246" s="38" t="s">
        <v>252</v>
      </c>
      <c r="E1246" s="190">
        <v>25</v>
      </c>
      <c r="F1246" s="190">
        <v>0.9</v>
      </c>
      <c r="G1246" s="190">
        <v>5</v>
      </c>
      <c r="H1246" s="190">
        <v>7</v>
      </c>
      <c r="I1246" s="190">
        <v>2</v>
      </c>
    </row>
    <row r="1247" spans="1:9" hidden="1" x14ac:dyDescent="0.35">
      <c r="A1247" s="38" t="s">
        <v>769</v>
      </c>
      <c r="B1247" s="38" t="s">
        <v>752</v>
      </c>
      <c r="C1247" s="38" t="s">
        <v>701</v>
      </c>
      <c r="D1247" s="38" t="s">
        <v>702</v>
      </c>
      <c r="E1247" s="190">
        <v>8</v>
      </c>
      <c r="F1247" s="190">
        <v>8.01</v>
      </c>
      <c r="G1247" s="190">
        <v>0.1</v>
      </c>
      <c r="H1247" s="190">
        <v>3</v>
      </c>
      <c r="I1247" s="190">
        <v>1</v>
      </c>
    </row>
    <row r="1248" spans="1:9" hidden="1" x14ac:dyDescent="0.35">
      <c r="A1248" s="38" t="s">
        <v>769</v>
      </c>
      <c r="B1248" s="38" t="s">
        <v>752</v>
      </c>
      <c r="C1248" s="38" t="s">
        <v>701</v>
      </c>
      <c r="D1248" s="38" t="s">
        <v>703</v>
      </c>
      <c r="E1248" s="190">
        <v>6</v>
      </c>
      <c r="F1248" s="190">
        <v>8.1999999999999993</v>
      </c>
      <c r="G1248" s="190">
        <v>2</v>
      </c>
      <c r="H1248" s="190">
        <v>10</v>
      </c>
      <c r="I1248" s="190">
        <v>0.1</v>
      </c>
    </row>
    <row r="1249" spans="1:9" hidden="1" x14ac:dyDescent="0.35">
      <c r="A1249" s="38" t="s">
        <v>769</v>
      </c>
      <c r="B1249" s="38" t="s">
        <v>752</v>
      </c>
      <c r="C1249" s="38" t="s">
        <v>704</v>
      </c>
      <c r="D1249" s="38" t="s">
        <v>746</v>
      </c>
      <c r="E1249" s="190">
        <v>12</v>
      </c>
      <c r="F1249" s="190">
        <v>8.18</v>
      </c>
      <c r="G1249" s="190">
        <v>8</v>
      </c>
      <c r="H1249" s="190">
        <v>2</v>
      </c>
      <c r="I1249" s="190">
        <v>1</v>
      </c>
    </row>
    <row r="1250" spans="1:9" hidden="1" x14ac:dyDescent="0.35">
      <c r="A1250" s="38" t="s">
        <v>769</v>
      </c>
      <c r="B1250" s="38" t="s">
        <v>752</v>
      </c>
      <c r="C1250" s="38" t="s">
        <v>707</v>
      </c>
      <c r="D1250" s="38" t="s">
        <v>708</v>
      </c>
      <c r="E1250" s="190">
        <v>14</v>
      </c>
      <c r="F1250" s="190">
        <v>16.940000000000001</v>
      </c>
      <c r="G1250" s="190">
        <v>15</v>
      </c>
      <c r="H1250" s="190">
        <v>5</v>
      </c>
      <c r="I1250" s="190">
        <v>2</v>
      </c>
    </row>
    <row r="1251" spans="1:9" hidden="1" x14ac:dyDescent="0.35">
      <c r="A1251" s="38" t="s">
        <v>769</v>
      </c>
      <c r="B1251" s="38" t="s">
        <v>753</v>
      </c>
      <c r="C1251" s="38" t="s">
        <v>686</v>
      </c>
      <c r="D1251" s="38" t="s">
        <v>746</v>
      </c>
      <c r="E1251" s="190">
        <v>0</v>
      </c>
      <c r="F1251" s="190">
        <v>0</v>
      </c>
      <c r="G1251" s="190">
        <v>0</v>
      </c>
      <c r="H1251" s="190">
        <v>0</v>
      </c>
      <c r="I1251" s="190">
        <v>0</v>
      </c>
    </row>
    <row r="1252" spans="1:9" hidden="1" x14ac:dyDescent="0.35">
      <c r="A1252" s="38" t="s">
        <v>769</v>
      </c>
      <c r="B1252" s="38" t="s">
        <v>753</v>
      </c>
      <c r="C1252" s="38" t="s">
        <v>691</v>
      </c>
      <c r="D1252" s="38" t="s">
        <v>746</v>
      </c>
      <c r="E1252" s="190">
        <v>8.7100000000000009</v>
      </c>
      <c r="F1252" s="190">
        <v>9.8699999999999992</v>
      </c>
      <c r="G1252" s="190">
        <v>25</v>
      </c>
      <c r="H1252" s="190">
        <v>12.96</v>
      </c>
      <c r="I1252" s="190">
        <v>18.16</v>
      </c>
    </row>
    <row r="1253" spans="1:9" hidden="1" x14ac:dyDescent="0.35">
      <c r="A1253" s="38" t="s">
        <v>769</v>
      </c>
      <c r="B1253" s="38" t="s">
        <v>753</v>
      </c>
      <c r="C1253" s="38" t="s">
        <v>696</v>
      </c>
      <c r="D1253" s="38" t="s">
        <v>697</v>
      </c>
      <c r="E1253" s="190">
        <v>8.1999999999999993</v>
      </c>
      <c r="F1253" s="190">
        <v>25.47</v>
      </c>
      <c r="G1253" s="190">
        <v>9</v>
      </c>
      <c r="H1253" s="190">
        <v>12.33</v>
      </c>
      <c r="I1253" s="190">
        <v>2</v>
      </c>
    </row>
    <row r="1254" spans="1:9" hidden="1" x14ac:dyDescent="0.35">
      <c r="A1254" s="38" t="s">
        <v>769</v>
      </c>
      <c r="B1254" s="38" t="s">
        <v>753</v>
      </c>
      <c r="C1254" s="38" t="s">
        <v>698</v>
      </c>
      <c r="D1254" s="38" t="s">
        <v>747</v>
      </c>
      <c r="E1254" s="190">
        <v>10</v>
      </c>
      <c r="F1254" s="190">
        <v>0.21</v>
      </c>
      <c r="G1254" s="190">
        <v>5</v>
      </c>
      <c r="H1254" s="190">
        <v>7</v>
      </c>
      <c r="I1254" s="190">
        <v>4</v>
      </c>
    </row>
    <row r="1255" spans="1:9" hidden="1" x14ac:dyDescent="0.35">
      <c r="A1255" s="38" t="s">
        <v>769</v>
      </c>
      <c r="B1255" s="38" t="s">
        <v>753</v>
      </c>
      <c r="C1255" s="38" t="s">
        <v>698</v>
      </c>
      <c r="D1255" s="38" t="s">
        <v>700</v>
      </c>
      <c r="E1255" s="190">
        <v>10</v>
      </c>
      <c r="F1255" s="190">
        <v>0.2</v>
      </c>
      <c r="G1255" s="190">
        <v>5</v>
      </c>
      <c r="H1255" s="190">
        <v>7</v>
      </c>
      <c r="I1255" s="190">
        <v>4</v>
      </c>
    </row>
    <row r="1256" spans="1:9" hidden="1" x14ac:dyDescent="0.35">
      <c r="A1256" s="38" t="s">
        <v>769</v>
      </c>
      <c r="B1256" s="38" t="s">
        <v>753</v>
      </c>
      <c r="C1256" s="38" t="s">
        <v>698</v>
      </c>
      <c r="D1256" s="38" t="s">
        <v>521</v>
      </c>
      <c r="E1256" s="190">
        <v>6</v>
      </c>
      <c r="F1256" s="190">
        <v>0.47</v>
      </c>
      <c r="G1256" s="190">
        <v>5</v>
      </c>
      <c r="H1256" s="190">
        <v>7</v>
      </c>
      <c r="I1256" s="190">
        <v>4</v>
      </c>
    </row>
    <row r="1257" spans="1:9" hidden="1" x14ac:dyDescent="0.35">
      <c r="A1257" s="38" t="s">
        <v>769</v>
      </c>
      <c r="B1257" s="38" t="s">
        <v>753</v>
      </c>
      <c r="C1257" s="38" t="s">
        <v>698</v>
      </c>
      <c r="D1257" s="38" t="s">
        <v>252</v>
      </c>
      <c r="E1257" s="190">
        <v>8</v>
      </c>
      <c r="F1257" s="190">
        <v>0.97</v>
      </c>
      <c r="G1257" s="190">
        <v>5</v>
      </c>
      <c r="H1257" s="190">
        <v>7</v>
      </c>
      <c r="I1257" s="190">
        <v>4</v>
      </c>
    </row>
    <row r="1258" spans="1:9" hidden="1" x14ac:dyDescent="0.35">
      <c r="A1258" s="38" t="s">
        <v>769</v>
      </c>
      <c r="B1258" s="38" t="s">
        <v>753</v>
      </c>
      <c r="C1258" s="38" t="s">
        <v>701</v>
      </c>
      <c r="D1258" s="38" t="s">
        <v>702</v>
      </c>
      <c r="E1258" s="190">
        <v>8</v>
      </c>
      <c r="F1258" s="190">
        <v>7.23</v>
      </c>
      <c r="G1258" s="190">
        <v>0.1</v>
      </c>
      <c r="H1258" s="190">
        <v>3</v>
      </c>
      <c r="I1258" s="190">
        <v>2</v>
      </c>
    </row>
    <row r="1259" spans="1:9" hidden="1" x14ac:dyDescent="0.35">
      <c r="A1259" s="38" t="s">
        <v>769</v>
      </c>
      <c r="B1259" s="38" t="s">
        <v>753</v>
      </c>
      <c r="C1259" s="38" t="s">
        <v>701</v>
      </c>
      <c r="D1259" s="38" t="s">
        <v>703</v>
      </c>
      <c r="E1259" s="190">
        <v>3.5</v>
      </c>
      <c r="F1259" s="190">
        <v>4.68</v>
      </c>
      <c r="G1259" s="190">
        <v>2</v>
      </c>
      <c r="H1259" s="190">
        <v>10</v>
      </c>
      <c r="I1259" s="190">
        <v>1</v>
      </c>
    </row>
    <row r="1260" spans="1:9" hidden="1" x14ac:dyDescent="0.35">
      <c r="A1260" s="38" t="s">
        <v>769</v>
      </c>
      <c r="B1260" s="38" t="s">
        <v>753</v>
      </c>
      <c r="C1260" s="38" t="s">
        <v>704</v>
      </c>
      <c r="D1260" s="38" t="s">
        <v>746</v>
      </c>
      <c r="E1260" s="190">
        <v>7</v>
      </c>
      <c r="F1260" s="190">
        <v>3.4</v>
      </c>
      <c r="G1260" s="190">
        <v>8</v>
      </c>
      <c r="H1260" s="190">
        <v>2</v>
      </c>
      <c r="I1260" s="190">
        <v>1</v>
      </c>
    </row>
    <row r="1261" spans="1:9" hidden="1" x14ac:dyDescent="0.35">
      <c r="A1261" s="38" t="s">
        <v>769</v>
      </c>
      <c r="B1261" s="38" t="s">
        <v>753</v>
      </c>
      <c r="C1261" s="38" t="s">
        <v>707</v>
      </c>
      <c r="D1261" s="38" t="s">
        <v>708</v>
      </c>
      <c r="E1261" s="190">
        <v>8.15</v>
      </c>
      <c r="F1261" s="190">
        <v>12.11</v>
      </c>
      <c r="G1261" s="190">
        <v>10</v>
      </c>
      <c r="H1261" s="190">
        <v>10.78</v>
      </c>
      <c r="I1261" s="190">
        <v>3.88</v>
      </c>
    </row>
    <row r="1262" spans="1:9" hidden="1" x14ac:dyDescent="0.35">
      <c r="A1262" s="38" t="s">
        <v>770</v>
      </c>
      <c r="B1262" s="38" t="s">
        <v>745</v>
      </c>
      <c r="C1262" s="38" t="s">
        <v>696</v>
      </c>
      <c r="D1262" s="38" t="s">
        <v>697</v>
      </c>
      <c r="E1262" s="190">
        <f>E4*0.5</f>
        <v>4.7</v>
      </c>
      <c r="F1262" s="190">
        <f>F4*0.5</f>
        <v>3.95</v>
      </c>
      <c r="G1262" s="190">
        <f>G4*0.5</f>
        <v>3</v>
      </c>
      <c r="H1262" s="190">
        <f>H4*0.5</f>
        <v>4.5</v>
      </c>
      <c r="I1262" s="190">
        <f>I4*0.5</f>
        <v>5.5</v>
      </c>
    </row>
    <row r="1263" spans="1:9" hidden="1" x14ac:dyDescent="0.35">
      <c r="A1263" s="38" t="s">
        <v>770</v>
      </c>
      <c r="B1263" s="38" t="s">
        <v>748</v>
      </c>
      <c r="C1263" s="38" t="s">
        <v>696</v>
      </c>
      <c r="D1263" s="38" t="s">
        <v>697</v>
      </c>
      <c r="E1263" s="190">
        <f>E15*0.5</f>
        <v>7.5</v>
      </c>
      <c r="F1263" s="190">
        <f>F15*0.5</f>
        <v>8.25</v>
      </c>
      <c r="G1263" s="190">
        <f>G15*0.5</f>
        <v>3</v>
      </c>
      <c r="H1263" s="190">
        <f>H15*0.5</f>
        <v>5.5</v>
      </c>
      <c r="I1263" s="190">
        <f>I15*0.5</f>
        <v>3.65</v>
      </c>
    </row>
    <row r="1264" spans="1:9" hidden="1" x14ac:dyDescent="0.35">
      <c r="A1264" s="38" t="s">
        <v>770</v>
      </c>
      <c r="B1264" s="38" t="s">
        <v>749</v>
      </c>
      <c r="C1264" s="38" t="s">
        <v>696</v>
      </c>
      <c r="D1264" s="38" t="s">
        <v>697</v>
      </c>
      <c r="E1264" s="190">
        <f>E26*0.5</f>
        <v>6</v>
      </c>
      <c r="F1264" s="190">
        <f>F26*0.5</f>
        <v>1.1100000000000001</v>
      </c>
      <c r="G1264" s="190">
        <f>G26*0.5</f>
        <v>3</v>
      </c>
      <c r="H1264" s="190">
        <f>H26*0.5</f>
        <v>3.415</v>
      </c>
      <c r="I1264" s="190">
        <f>I26*0.5</f>
        <v>14.085000000000001</v>
      </c>
    </row>
    <row r="1265" spans="1:9" hidden="1" x14ac:dyDescent="0.35">
      <c r="A1265" s="38" t="s">
        <v>770</v>
      </c>
      <c r="B1265" s="38" t="s">
        <v>750</v>
      </c>
      <c r="C1265" s="38" t="s">
        <v>696</v>
      </c>
      <c r="D1265" s="38" t="s">
        <v>697</v>
      </c>
      <c r="E1265" s="190">
        <f>E37*0.5</f>
        <v>2.85</v>
      </c>
      <c r="F1265" s="190">
        <f>F37*0.5</f>
        <v>9.8049999999999997</v>
      </c>
      <c r="G1265" s="190">
        <f>G37*0.5</f>
        <v>4.5</v>
      </c>
      <c r="H1265" s="190">
        <f>H37*0.5</f>
        <v>5</v>
      </c>
      <c r="I1265" s="190">
        <f>I37*0.5</f>
        <v>2</v>
      </c>
    </row>
    <row r="1266" spans="1:9" hidden="1" x14ac:dyDescent="0.35">
      <c r="A1266" s="38" t="s">
        <v>770</v>
      </c>
      <c r="B1266" s="38" t="s">
        <v>751</v>
      </c>
      <c r="C1266" s="38" t="s">
        <v>696</v>
      </c>
      <c r="D1266" s="38" t="s">
        <v>697</v>
      </c>
      <c r="E1266" s="190">
        <f>E48*0.5</f>
        <v>3.3</v>
      </c>
      <c r="F1266" s="190">
        <f>F48*0.5</f>
        <v>11.23</v>
      </c>
      <c r="G1266" s="190">
        <f>G48*0.5</f>
        <v>4.5</v>
      </c>
      <c r="H1266" s="190">
        <f>H48*0.5</f>
        <v>5</v>
      </c>
      <c r="I1266" s="190">
        <f>I48*0.5</f>
        <v>2</v>
      </c>
    </row>
    <row r="1267" spans="1:9" hidden="1" x14ac:dyDescent="0.35">
      <c r="A1267" s="38" t="s">
        <v>770</v>
      </c>
      <c r="B1267" s="38" t="s">
        <v>752</v>
      </c>
      <c r="C1267" s="38" t="s">
        <v>696</v>
      </c>
      <c r="D1267" s="38" t="s">
        <v>697</v>
      </c>
      <c r="E1267" s="190">
        <f>E59*0.5</f>
        <v>2.85</v>
      </c>
      <c r="F1267" s="190">
        <f>F59*0.5</f>
        <v>10.97</v>
      </c>
      <c r="G1267" s="190">
        <f>G59*0.5</f>
        <v>4.5</v>
      </c>
      <c r="H1267" s="190">
        <f>H59*0.5</f>
        <v>7.5</v>
      </c>
      <c r="I1267" s="190">
        <f>I59*0.5</f>
        <v>1</v>
      </c>
    </row>
    <row r="1268" spans="1:9" hidden="1" x14ac:dyDescent="0.35">
      <c r="A1268" s="38" t="s">
        <v>770</v>
      </c>
      <c r="B1268" s="38" t="s">
        <v>753</v>
      </c>
      <c r="C1268" s="38" t="s">
        <v>696</v>
      </c>
      <c r="D1268" s="38" t="s">
        <v>697</v>
      </c>
      <c r="E1268" s="190">
        <f>E70*0.5</f>
        <v>4.0999999999999996</v>
      </c>
      <c r="F1268" s="190">
        <f>F70*0.5</f>
        <v>12.734999999999999</v>
      </c>
      <c r="G1268" s="190">
        <f>G70*0.5</f>
        <v>4.5</v>
      </c>
      <c r="H1268" s="190">
        <f>H70*0.5</f>
        <v>6.165</v>
      </c>
      <c r="I1268" s="190">
        <f>I70*0.5</f>
        <v>1</v>
      </c>
    </row>
    <row r="1269" spans="1:9" hidden="1" x14ac:dyDescent="0.35">
      <c r="A1269" s="38" t="s">
        <v>771</v>
      </c>
      <c r="B1269" s="38" t="s">
        <v>745</v>
      </c>
      <c r="C1269" s="38" t="s">
        <v>686</v>
      </c>
      <c r="D1269" s="38" t="s">
        <v>746</v>
      </c>
      <c r="E1269" s="190">
        <v>4.3</v>
      </c>
      <c r="F1269" s="190">
        <v>3.8</v>
      </c>
      <c r="G1269" s="190">
        <v>10.5</v>
      </c>
      <c r="H1269" s="190">
        <v>3</v>
      </c>
      <c r="I1269" s="190">
        <v>27</v>
      </c>
    </row>
    <row r="1270" spans="1:9" hidden="1" x14ac:dyDescent="0.35">
      <c r="A1270" s="38" t="s">
        <v>771</v>
      </c>
      <c r="B1270" s="38" t="s">
        <v>745</v>
      </c>
      <c r="C1270" s="38" t="s">
        <v>691</v>
      </c>
      <c r="D1270" s="38" t="s">
        <v>746</v>
      </c>
      <c r="E1270" s="190">
        <v>20</v>
      </c>
      <c r="F1270" s="190">
        <v>7.3</v>
      </c>
      <c r="G1270" s="190">
        <v>2</v>
      </c>
      <c r="H1270" s="190">
        <v>4.9000000000000004</v>
      </c>
      <c r="I1270" s="190">
        <v>19</v>
      </c>
    </row>
    <row r="1271" spans="1:9" hidden="1" x14ac:dyDescent="0.35">
      <c r="A1271" s="38" t="s">
        <v>771</v>
      </c>
      <c r="B1271" s="38" t="s">
        <v>745</v>
      </c>
      <c r="C1271" s="38" t="s">
        <v>696</v>
      </c>
      <c r="D1271" s="38" t="s">
        <v>697</v>
      </c>
      <c r="E1271" s="190">
        <v>0</v>
      </c>
      <c r="F1271" s="190">
        <v>0</v>
      </c>
      <c r="G1271" s="190">
        <v>0</v>
      </c>
      <c r="H1271" s="190">
        <v>0</v>
      </c>
      <c r="I1271" s="190">
        <v>0</v>
      </c>
    </row>
    <row r="1272" spans="1:9" hidden="1" x14ac:dyDescent="0.35">
      <c r="A1272" s="38" t="s">
        <v>771</v>
      </c>
      <c r="B1272" s="38" t="s">
        <v>745</v>
      </c>
      <c r="C1272" s="38" t="s">
        <v>698</v>
      </c>
      <c r="D1272" s="38" t="s">
        <v>747</v>
      </c>
      <c r="E1272" s="190">
        <v>2.2999999999999998</v>
      </c>
      <c r="F1272" s="190">
        <v>0.6</v>
      </c>
      <c r="G1272" s="190">
        <v>5</v>
      </c>
      <c r="H1272" s="190">
        <v>4</v>
      </c>
      <c r="I1272" s="190">
        <v>11</v>
      </c>
    </row>
    <row r="1273" spans="1:9" hidden="1" x14ac:dyDescent="0.35">
      <c r="A1273" s="38" t="s">
        <v>771</v>
      </c>
      <c r="B1273" s="38" t="s">
        <v>745</v>
      </c>
      <c r="C1273" s="38" t="s">
        <v>698</v>
      </c>
      <c r="D1273" s="38" t="s">
        <v>700</v>
      </c>
      <c r="E1273" s="190">
        <v>10</v>
      </c>
      <c r="F1273" s="190">
        <v>0.6</v>
      </c>
      <c r="G1273" s="190">
        <v>5</v>
      </c>
      <c r="H1273" s="190">
        <v>4</v>
      </c>
      <c r="I1273" s="190">
        <v>11</v>
      </c>
    </row>
    <row r="1274" spans="1:9" hidden="1" x14ac:dyDescent="0.35">
      <c r="A1274" s="38" t="s">
        <v>771</v>
      </c>
      <c r="B1274" s="38" t="s">
        <v>745</v>
      </c>
      <c r="C1274" s="38" t="s">
        <v>698</v>
      </c>
      <c r="D1274" s="38" t="s">
        <v>521</v>
      </c>
      <c r="E1274" s="190">
        <v>2.5</v>
      </c>
      <c r="F1274" s="190">
        <v>0.3</v>
      </c>
      <c r="G1274" s="190">
        <v>5</v>
      </c>
      <c r="H1274" s="190">
        <v>4</v>
      </c>
      <c r="I1274" s="190">
        <v>11</v>
      </c>
    </row>
    <row r="1275" spans="1:9" hidden="1" x14ac:dyDescent="0.35">
      <c r="A1275" s="38" t="s">
        <v>771</v>
      </c>
      <c r="B1275" s="38" t="s">
        <v>745</v>
      </c>
      <c r="C1275" s="38" t="s">
        <v>698</v>
      </c>
      <c r="D1275" s="38" t="s">
        <v>252</v>
      </c>
      <c r="E1275" s="190">
        <v>7</v>
      </c>
      <c r="F1275" s="190">
        <v>0.9</v>
      </c>
      <c r="G1275" s="190">
        <v>5</v>
      </c>
      <c r="H1275" s="190">
        <v>4</v>
      </c>
      <c r="I1275" s="190">
        <v>11</v>
      </c>
    </row>
    <row r="1276" spans="1:9" hidden="1" x14ac:dyDescent="0.35">
      <c r="A1276" s="38" t="s">
        <v>771</v>
      </c>
      <c r="B1276" s="38" t="s">
        <v>745</v>
      </c>
      <c r="C1276" s="38" t="s">
        <v>701</v>
      </c>
      <c r="D1276" s="38" t="s">
        <v>702</v>
      </c>
      <c r="E1276" s="190">
        <v>4</v>
      </c>
      <c r="F1276" s="190">
        <v>1.9</v>
      </c>
      <c r="G1276" s="190">
        <v>0.5</v>
      </c>
      <c r="H1276" s="190">
        <v>2</v>
      </c>
      <c r="I1276" s="190">
        <v>8</v>
      </c>
    </row>
    <row r="1277" spans="1:9" hidden="1" x14ac:dyDescent="0.35">
      <c r="A1277" s="38" t="s">
        <v>771</v>
      </c>
      <c r="B1277" s="38" t="s">
        <v>745</v>
      </c>
      <c r="C1277" s="38" t="s">
        <v>701</v>
      </c>
      <c r="D1277" s="38" t="s">
        <v>703</v>
      </c>
      <c r="E1277" s="190">
        <v>3.5</v>
      </c>
      <c r="F1277" s="190">
        <v>1.7</v>
      </c>
      <c r="G1277" s="190">
        <v>1.2</v>
      </c>
      <c r="H1277" s="190">
        <v>0.82</v>
      </c>
      <c r="I1277" s="190">
        <v>7</v>
      </c>
    </row>
    <row r="1278" spans="1:9" hidden="1" x14ac:dyDescent="0.35">
      <c r="A1278" s="38" t="s">
        <v>771</v>
      </c>
      <c r="B1278" s="38" t="s">
        <v>745</v>
      </c>
      <c r="C1278" s="38" t="s">
        <v>704</v>
      </c>
      <c r="D1278" s="38" t="s">
        <v>746</v>
      </c>
      <c r="E1278" s="190">
        <v>5.3</v>
      </c>
      <c r="F1278" s="190">
        <v>1.2</v>
      </c>
      <c r="G1278" s="190">
        <v>5</v>
      </c>
      <c r="H1278" s="190">
        <v>1</v>
      </c>
      <c r="I1278" s="190">
        <v>4</v>
      </c>
    </row>
    <row r="1279" spans="1:9" hidden="1" x14ac:dyDescent="0.35">
      <c r="A1279" s="38" t="s">
        <v>771</v>
      </c>
      <c r="B1279" s="38" t="s">
        <v>745</v>
      </c>
      <c r="C1279" s="38" t="s">
        <v>707</v>
      </c>
      <c r="D1279" s="38" t="s">
        <v>708</v>
      </c>
      <c r="E1279" s="190">
        <v>20</v>
      </c>
      <c r="F1279" s="190">
        <v>7.6</v>
      </c>
      <c r="G1279" s="190">
        <v>13.8</v>
      </c>
      <c r="H1279" s="190">
        <v>7</v>
      </c>
      <c r="I1279" s="190">
        <v>17</v>
      </c>
    </row>
    <row r="1280" spans="1:9" hidden="1" x14ac:dyDescent="0.35">
      <c r="A1280" s="38" t="s">
        <v>771</v>
      </c>
      <c r="B1280" s="38" t="s">
        <v>748</v>
      </c>
      <c r="C1280" s="38" t="s">
        <v>686</v>
      </c>
      <c r="D1280" s="38" t="s">
        <v>746</v>
      </c>
      <c r="E1280" s="190">
        <v>3.92</v>
      </c>
      <c r="F1280" s="190">
        <v>4.24</v>
      </c>
      <c r="G1280" s="190">
        <v>11.8</v>
      </c>
      <c r="H1280" s="190">
        <v>2</v>
      </c>
      <c r="I1280" s="190">
        <v>13.65</v>
      </c>
    </row>
    <row r="1281" spans="1:9" hidden="1" x14ac:dyDescent="0.35">
      <c r="A1281" s="38" t="s">
        <v>771</v>
      </c>
      <c r="B1281" s="38" t="s">
        <v>748</v>
      </c>
      <c r="C1281" s="38" t="s">
        <v>691</v>
      </c>
      <c r="D1281" s="38" t="s">
        <v>746</v>
      </c>
      <c r="E1281" s="190">
        <v>10</v>
      </c>
      <c r="F1281" s="190">
        <v>8.3699999999999992</v>
      </c>
      <c r="G1281" s="190">
        <v>2</v>
      </c>
      <c r="H1281" s="190">
        <v>8</v>
      </c>
      <c r="I1281" s="190">
        <v>10.35</v>
      </c>
    </row>
    <row r="1282" spans="1:9" hidden="1" x14ac:dyDescent="0.35">
      <c r="A1282" s="38" t="s">
        <v>771</v>
      </c>
      <c r="B1282" s="38" t="s">
        <v>748</v>
      </c>
      <c r="C1282" s="38" t="s">
        <v>696</v>
      </c>
      <c r="D1282" s="38" t="s">
        <v>697</v>
      </c>
      <c r="E1282" s="190">
        <v>0</v>
      </c>
      <c r="F1282" s="190">
        <v>0</v>
      </c>
      <c r="G1282" s="190">
        <v>0</v>
      </c>
      <c r="H1282" s="190">
        <v>0</v>
      </c>
      <c r="I1282" s="190">
        <v>0</v>
      </c>
    </row>
    <row r="1283" spans="1:9" hidden="1" x14ac:dyDescent="0.35">
      <c r="A1283" s="38" t="s">
        <v>771</v>
      </c>
      <c r="B1283" s="38" t="s">
        <v>748</v>
      </c>
      <c r="C1283" s="38" t="s">
        <v>698</v>
      </c>
      <c r="D1283" s="38" t="s">
        <v>747</v>
      </c>
      <c r="E1283" s="190">
        <v>2.2999999999999998</v>
      </c>
      <c r="F1283" s="190">
        <v>0.55000000000000004</v>
      </c>
      <c r="G1283" s="190">
        <v>5</v>
      </c>
      <c r="H1283" s="190">
        <v>6</v>
      </c>
      <c r="I1283" s="190">
        <v>6.8</v>
      </c>
    </row>
    <row r="1284" spans="1:9" hidden="1" x14ac:dyDescent="0.35">
      <c r="A1284" s="38" t="s">
        <v>771</v>
      </c>
      <c r="B1284" s="38" t="s">
        <v>748</v>
      </c>
      <c r="C1284" s="38" t="s">
        <v>698</v>
      </c>
      <c r="D1284" s="38" t="s">
        <v>700</v>
      </c>
      <c r="E1284" s="190">
        <v>10</v>
      </c>
      <c r="F1284" s="190">
        <v>0.81</v>
      </c>
      <c r="G1284" s="190">
        <v>5</v>
      </c>
      <c r="H1284" s="190">
        <v>6</v>
      </c>
      <c r="I1284" s="190">
        <v>6.8</v>
      </c>
    </row>
    <row r="1285" spans="1:9" hidden="1" x14ac:dyDescent="0.35">
      <c r="A1285" s="38" t="s">
        <v>771</v>
      </c>
      <c r="B1285" s="38" t="s">
        <v>748</v>
      </c>
      <c r="C1285" s="38" t="s">
        <v>698</v>
      </c>
      <c r="D1285" s="38" t="s">
        <v>521</v>
      </c>
      <c r="E1285" s="190">
        <v>2.5</v>
      </c>
      <c r="F1285" s="190">
        <v>0.18</v>
      </c>
      <c r="G1285" s="190">
        <v>5</v>
      </c>
      <c r="H1285" s="190">
        <v>6</v>
      </c>
      <c r="I1285" s="190">
        <v>6.8</v>
      </c>
    </row>
    <row r="1286" spans="1:9" hidden="1" x14ac:dyDescent="0.35">
      <c r="A1286" s="38" t="s">
        <v>771</v>
      </c>
      <c r="B1286" s="38" t="s">
        <v>748</v>
      </c>
      <c r="C1286" s="38" t="s">
        <v>698</v>
      </c>
      <c r="D1286" s="38" t="s">
        <v>252</v>
      </c>
      <c r="E1286" s="190">
        <v>7</v>
      </c>
      <c r="F1286" s="190">
        <v>1.03</v>
      </c>
      <c r="G1286" s="190">
        <v>5</v>
      </c>
      <c r="H1286" s="190">
        <v>6</v>
      </c>
      <c r="I1286" s="190">
        <v>6.8</v>
      </c>
    </row>
    <row r="1287" spans="1:9" hidden="1" x14ac:dyDescent="0.35">
      <c r="A1287" s="38" t="s">
        <v>771</v>
      </c>
      <c r="B1287" s="38" t="s">
        <v>748</v>
      </c>
      <c r="C1287" s="38" t="s">
        <v>701</v>
      </c>
      <c r="D1287" s="38" t="s">
        <v>702</v>
      </c>
      <c r="E1287" s="190">
        <v>6</v>
      </c>
      <c r="F1287" s="190">
        <v>2.38</v>
      </c>
      <c r="G1287" s="190">
        <v>0.5</v>
      </c>
      <c r="H1287" s="190">
        <v>4</v>
      </c>
      <c r="I1287" s="190">
        <v>3.65</v>
      </c>
    </row>
    <row r="1288" spans="1:9" hidden="1" x14ac:dyDescent="0.35">
      <c r="A1288" s="38" t="s">
        <v>771</v>
      </c>
      <c r="B1288" s="38" t="s">
        <v>748</v>
      </c>
      <c r="C1288" s="38" t="s">
        <v>701</v>
      </c>
      <c r="D1288" s="38" t="s">
        <v>703</v>
      </c>
      <c r="E1288" s="190">
        <v>3.5</v>
      </c>
      <c r="F1288" s="190">
        <v>2.2400000000000002</v>
      </c>
      <c r="G1288" s="190">
        <v>1.2</v>
      </c>
      <c r="H1288" s="190">
        <v>0.5</v>
      </c>
      <c r="I1288" s="190">
        <v>2.6</v>
      </c>
    </row>
    <row r="1289" spans="1:9" hidden="1" x14ac:dyDescent="0.35">
      <c r="A1289" s="38" t="s">
        <v>771</v>
      </c>
      <c r="B1289" s="38" t="s">
        <v>748</v>
      </c>
      <c r="C1289" s="38" t="s">
        <v>704</v>
      </c>
      <c r="D1289" s="38" t="s">
        <v>746</v>
      </c>
      <c r="E1289" s="190">
        <v>6</v>
      </c>
      <c r="F1289" s="190">
        <v>2.72</v>
      </c>
      <c r="G1289" s="190">
        <v>5</v>
      </c>
      <c r="H1289" s="190">
        <v>1</v>
      </c>
      <c r="I1289" s="190">
        <v>16.55</v>
      </c>
    </row>
    <row r="1290" spans="1:9" hidden="1" x14ac:dyDescent="0.35">
      <c r="A1290" s="38" t="s">
        <v>771</v>
      </c>
      <c r="B1290" s="38" t="s">
        <v>748</v>
      </c>
      <c r="C1290" s="38" t="s">
        <v>707</v>
      </c>
      <c r="D1290" s="38" t="s">
        <v>708</v>
      </c>
      <c r="E1290" s="190">
        <v>20</v>
      </c>
      <c r="F1290" s="190">
        <v>4.8499999999999996</v>
      </c>
      <c r="G1290" s="190">
        <v>15</v>
      </c>
      <c r="H1290" s="190">
        <v>9</v>
      </c>
      <c r="I1290" s="190">
        <v>7.15</v>
      </c>
    </row>
    <row r="1291" spans="1:9" hidden="1" x14ac:dyDescent="0.35">
      <c r="A1291" s="38" t="s">
        <v>771</v>
      </c>
      <c r="B1291" s="38" t="s">
        <v>749</v>
      </c>
      <c r="C1291" s="38" t="s">
        <v>686</v>
      </c>
      <c r="D1291" s="38" t="s">
        <v>746</v>
      </c>
      <c r="E1291" s="190">
        <v>7.17</v>
      </c>
      <c r="F1291" s="190">
        <v>3.25</v>
      </c>
      <c r="G1291" s="190">
        <v>10.5</v>
      </c>
      <c r="H1291" s="190">
        <v>9</v>
      </c>
      <c r="I1291" s="190">
        <v>23.99</v>
      </c>
    </row>
    <row r="1292" spans="1:9" hidden="1" x14ac:dyDescent="0.35">
      <c r="A1292" s="38" t="s">
        <v>771</v>
      </c>
      <c r="B1292" s="38" t="s">
        <v>749</v>
      </c>
      <c r="C1292" s="38" t="s">
        <v>691</v>
      </c>
      <c r="D1292" s="38" t="s">
        <v>746</v>
      </c>
      <c r="E1292" s="190">
        <v>20</v>
      </c>
      <c r="F1292" s="190">
        <v>15.3</v>
      </c>
      <c r="G1292" s="190">
        <v>2</v>
      </c>
      <c r="H1292" s="190">
        <v>9.35</v>
      </c>
      <c r="I1292" s="190">
        <v>25.43</v>
      </c>
    </row>
    <row r="1293" spans="1:9" hidden="1" x14ac:dyDescent="0.35">
      <c r="A1293" s="38" t="s">
        <v>771</v>
      </c>
      <c r="B1293" s="38" t="s">
        <v>749</v>
      </c>
      <c r="C1293" s="38" t="s">
        <v>696</v>
      </c>
      <c r="D1293" s="38" t="s">
        <v>697</v>
      </c>
      <c r="E1293" s="190">
        <v>0</v>
      </c>
      <c r="F1293" s="190">
        <v>0</v>
      </c>
      <c r="G1293" s="190">
        <v>0</v>
      </c>
      <c r="H1293" s="190">
        <v>0</v>
      </c>
      <c r="I1293" s="190">
        <v>0</v>
      </c>
    </row>
    <row r="1294" spans="1:9" hidden="1" x14ac:dyDescent="0.35">
      <c r="A1294" s="38" t="s">
        <v>771</v>
      </c>
      <c r="B1294" s="38" t="s">
        <v>749</v>
      </c>
      <c r="C1294" s="38" t="s">
        <v>698</v>
      </c>
      <c r="D1294" s="38" t="s">
        <v>747</v>
      </c>
      <c r="E1294" s="190">
        <v>2.2999999999999998</v>
      </c>
      <c r="F1294" s="190">
        <v>0.31</v>
      </c>
      <c r="G1294" s="190">
        <v>5</v>
      </c>
      <c r="H1294" s="190">
        <v>3.9</v>
      </c>
      <c r="I1294" s="190">
        <v>21.19</v>
      </c>
    </row>
    <row r="1295" spans="1:9" hidden="1" x14ac:dyDescent="0.35">
      <c r="A1295" s="38" t="s">
        <v>771</v>
      </c>
      <c r="B1295" s="38" t="s">
        <v>749</v>
      </c>
      <c r="C1295" s="38" t="s">
        <v>698</v>
      </c>
      <c r="D1295" s="38" t="s">
        <v>700</v>
      </c>
      <c r="E1295" s="190">
        <v>10</v>
      </c>
      <c r="F1295" s="190">
        <v>0.8</v>
      </c>
      <c r="G1295" s="190">
        <v>5</v>
      </c>
      <c r="H1295" s="190">
        <v>3.9</v>
      </c>
      <c r="I1295" s="190">
        <v>21.19</v>
      </c>
    </row>
    <row r="1296" spans="1:9" hidden="1" x14ac:dyDescent="0.35">
      <c r="A1296" s="38" t="s">
        <v>771</v>
      </c>
      <c r="B1296" s="38" t="s">
        <v>749</v>
      </c>
      <c r="C1296" s="38" t="s">
        <v>698</v>
      </c>
      <c r="D1296" s="38" t="s">
        <v>521</v>
      </c>
      <c r="E1296" s="190">
        <v>2.5</v>
      </c>
      <c r="F1296" s="190">
        <v>0.66</v>
      </c>
      <c r="G1296" s="190">
        <v>5</v>
      </c>
      <c r="H1296" s="190">
        <v>3.9</v>
      </c>
      <c r="I1296" s="190">
        <v>21.19</v>
      </c>
    </row>
    <row r="1297" spans="1:9" hidden="1" x14ac:dyDescent="0.35">
      <c r="A1297" s="38" t="s">
        <v>771</v>
      </c>
      <c r="B1297" s="38" t="s">
        <v>749</v>
      </c>
      <c r="C1297" s="38" t="s">
        <v>698</v>
      </c>
      <c r="D1297" s="38" t="s">
        <v>252</v>
      </c>
      <c r="E1297" s="190">
        <v>7</v>
      </c>
      <c r="F1297" s="190">
        <v>0.88</v>
      </c>
      <c r="G1297" s="190">
        <v>5</v>
      </c>
      <c r="H1297" s="190">
        <v>3.9</v>
      </c>
      <c r="I1297" s="190">
        <v>21.19</v>
      </c>
    </row>
    <row r="1298" spans="1:9" hidden="1" x14ac:dyDescent="0.35">
      <c r="A1298" s="38" t="s">
        <v>771</v>
      </c>
      <c r="B1298" s="38" t="s">
        <v>749</v>
      </c>
      <c r="C1298" s="38" t="s">
        <v>701</v>
      </c>
      <c r="D1298" s="38" t="s">
        <v>702</v>
      </c>
      <c r="E1298" s="190">
        <v>4</v>
      </c>
      <c r="F1298" s="190">
        <v>2.27</v>
      </c>
      <c r="G1298" s="190">
        <v>0.5</v>
      </c>
      <c r="H1298" s="190">
        <v>7</v>
      </c>
      <c r="I1298" s="190">
        <v>20.399999999999999</v>
      </c>
    </row>
    <row r="1299" spans="1:9" hidden="1" x14ac:dyDescent="0.35">
      <c r="A1299" s="38" t="s">
        <v>771</v>
      </c>
      <c r="B1299" s="38" t="s">
        <v>749</v>
      </c>
      <c r="C1299" s="38" t="s">
        <v>701</v>
      </c>
      <c r="D1299" s="38" t="s">
        <v>703</v>
      </c>
      <c r="E1299" s="190">
        <v>3.5</v>
      </c>
      <c r="F1299" s="190">
        <v>0.4</v>
      </c>
      <c r="G1299" s="190">
        <v>1.2</v>
      </c>
      <c r="H1299" s="190">
        <v>7.75</v>
      </c>
      <c r="I1299" s="190">
        <v>21</v>
      </c>
    </row>
    <row r="1300" spans="1:9" hidden="1" x14ac:dyDescent="0.35">
      <c r="A1300" s="38" t="s">
        <v>771</v>
      </c>
      <c r="B1300" s="38" t="s">
        <v>749</v>
      </c>
      <c r="C1300" s="38" t="s">
        <v>704</v>
      </c>
      <c r="D1300" s="38" t="s">
        <v>746</v>
      </c>
      <c r="E1300" s="190">
        <v>12</v>
      </c>
      <c r="F1300" s="190">
        <v>3.91</v>
      </c>
      <c r="G1300" s="190">
        <v>5</v>
      </c>
      <c r="H1300" s="190">
        <v>1</v>
      </c>
      <c r="I1300" s="190">
        <v>4</v>
      </c>
    </row>
    <row r="1301" spans="1:9" hidden="1" x14ac:dyDescent="0.35">
      <c r="A1301" s="38" t="s">
        <v>771</v>
      </c>
      <c r="B1301" s="38" t="s">
        <v>749</v>
      </c>
      <c r="C1301" s="38" t="s">
        <v>707</v>
      </c>
      <c r="D1301" s="38" t="s">
        <v>708</v>
      </c>
      <c r="E1301" s="190">
        <v>20</v>
      </c>
      <c r="F1301" s="190">
        <v>5.83</v>
      </c>
      <c r="G1301" s="190">
        <v>15</v>
      </c>
      <c r="H1301" s="190">
        <v>8</v>
      </c>
      <c r="I1301" s="190">
        <v>15</v>
      </c>
    </row>
    <row r="1302" spans="1:9" hidden="1" x14ac:dyDescent="0.35">
      <c r="A1302" s="38" t="s">
        <v>771</v>
      </c>
      <c r="B1302" s="38" t="s">
        <v>750</v>
      </c>
      <c r="C1302" s="38" t="s">
        <v>686</v>
      </c>
      <c r="D1302" s="38" t="s">
        <v>746</v>
      </c>
      <c r="E1302" s="190">
        <v>6</v>
      </c>
      <c r="F1302" s="190">
        <v>7.46</v>
      </c>
      <c r="G1302" s="190">
        <v>9</v>
      </c>
      <c r="H1302" s="190">
        <v>4</v>
      </c>
      <c r="I1302" s="190">
        <v>10</v>
      </c>
    </row>
    <row r="1303" spans="1:9" hidden="1" x14ac:dyDescent="0.35">
      <c r="A1303" s="38" t="s">
        <v>771</v>
      </c>
      <c r="B1303" s="38" t="s">
        <v>750</v>
      </c>
      <c r="C1303" s="38" t="s">
        <v>691</v>
      </c>
      <c r="D1303" s="38" t="s">
        <v>746</v>
      </c>
      <c r="E1303" s="190">
        <v>20</v>
      </c>
      <c r="F1303" s="190">
        <v>14.32</v>
      </c>
      <c r="G1303" s="190">
        <v>20</v>
      </c>
      <c r="H1303" s="190">
        <v>12</v>
      </c>
      <c r="I1303" s="190">
        <v>10</v>
      </c>
    </row>
    <row r="1304" spans="1:9" hidden="1" x14ac:dyDescent="0.35">
      <c r="A1304" s="38" t="s">
        <v>771</v>
      </c>
      <c r="B1304" s="38" t="s">
        <v>750</v>
      </c>
      <c r="C1304" s="38" t="s">
        <v>696</v>
      </c>
      <c r="D1304" s="38" t="s">
        <v>697</v>
      </c>
      <c r="E1304" s="190">
        <v>0</v>
      </c>
      <c r="F1304" s="190">
        <v>0</v>
      </c>
      <c r="G1304" s="190">
        <v>0</v>
      </c>
      <c r="H1304" s="190">
        <v>0</v>
      </c>
      <c r="I1304" s="190">
        <v>0</v>
      </c>
    </row>
    <row r="1305" spans="1:9" hidden="1" x14ac:dyDescent="0.35">
      <c r="A1305" s="38" t="s">
        <v>771</v>
      </c>
      <c r="B1305" s="38" t="s">
        <v>750</v>
      </c>
      <c r="C1305" s="38" t="s">
        <v>698</v>
      </c>
      <c r="D1305" s="38" t="s">
        <v>747</v>
      </c>
      <c r="E1305" s="190">
        <v>5</v>
      </c>
      <c r="F1305" s="190">
        <v>1.32</v>
      </c>
      <c r="G1305" s="190">
        <v>5</v>
      </c>
      <c r="H1305" s="190">
        <v>5</v>
      </c>
      <c r="I1305" s="190">
        <v>6</v>
      </c>
    </row>
    <row r="1306" spans="1:9" hidden="1" x14ac:dyDescent="0.35">
      <c r="A1306" s="38" t="s">
        <v>771</v>
      </c>
      <c r="B1306" s="38" t="s">
        <v>750</v>
      </c>
      <c r="C1306" s="38" t="s">
        <v>698</v>
      </c>
      <c r="D1306" s="38" t="s">
        <v>700</v>
      </c>
      <c r="E1306" s="190">
        <v>10</v>
      </c>
      <c r="F1306" s="190">
        <v>1.04</v>
      </c>
      <c r="G1306" s="190">
        <v>5</v>
      </c>
      <c r="H1306" s="190">
        <v>5</v>
      </c>
      <c r="I1306" s="190">
        <v>6</v>
      </c>
    </row>
    <row r="1307" spans="1:9" hidden="1" x14ac:dyDescent="0.35">
      <c r="A1307" s="38" t="s">
        <v>771</v>
      </c>
      <c r="B1307" s="38" t="s">
        <v>750</v>
      </c>
      <c r="C1307" s="38" t="s">
        <v>698</v>
      </c>
      <c r="D1307" s="38" t="s">
        <v>521</v>
      </c>
      <c r="E1307" s="190">
        <v>6</v>
      </c>
      <c r="F1307" s="190">
        <v>0.41</v>
      </c>
      <c r="G1307" s="190">
        <v>5</v>
      </c>
      <c r="H1307" s="190">
        <v>5</v>
      </c>
      <c r="I1307" s="190">
        <v>6</v>
      </c>
    </row>
    <row r="1308" spans="1:9" hidden="1" x14ac:dyDescent="0.35">
      <c r="A1308" s="38" t="s">
        <v>771</v>
      </c>
      <c r="B1308" s="38" t="s">
        <v>750</v>
      </c>
      <c r="C1308" s="38" t="s">
        <v>698</v>
      </c>
      <c r="D1308" s="38" t="s">
        <v>252</v>
      </c>
      <c r="E1308" s="190">
        <v>6</v>
      </c>
      <c r="F1308" s="190">
        <v>1.5</v>
      </c>
      <c r="G1308" s="190">
        <v>5</v>
      </c>
      <c r="H1308" s="190">
        <v>5</v>
      </c>
      <c r="I1308" s="190">
        <v>6</v>
      </c>
    </row>
    <row r="1309" spans="1:9" hidden="1" x14ac:dyDescent="0.35">
      <c r="A1309" s="38" t="s">
        <v>771</v>
      </c>
      <c r="B1309" s="38" t="s">
        <v>750</v>
      </c>
      <c r="C1309" s="38" t="s">
        <v>701</v>
      </c>
      <c r="D1309" s="38" t="s">
        <v>702</v>
      </c>
      <c r="E1309" s="190">
        <v>6</v>
      </c>
      <c r="F1309" s="190">
        <v>6.21</v>
      </c>
      <c r="G1309" s="190">
        <v>0.5</v>
      </c>
      <c r="H1309" s="190">
        <v>4</v>
      </c>
      <c r="I1309" s="190">
        <v>4</v>
      </c>
    </row>
    <row r="1310" spans="1:9" hidden="1" x14ac:dyDescent="0.35">
      <c r="A1310" s="38" t="s">
        <v>771</v>
      </c>
      <c r="B1310" s="38" t="s">
        <v>750</v>
      </c>
      <c r="C1310" s="38" t="s">
        <v>701</v>
      </c>
      <c r="D1310" s="38" t="s">
        <v>703</v>
      </c>
      <c r="E1310" s="190">
        <v>3.5</v>
      </c>
      <c r="F1310" s="190">
        <v>3.74</v>
      </c>
      <c r="G1310" s="190">
        <v>2</v>
      </c>
      <c r="H1310" s="190">
        <v>8</v>
      </c>
      <c r="I1310" s="190">
        <v>4</v>
      </c>
    </row>
    <row r="1311" spans="1:9" hidden="1" x14ac:dyDescent="0.35">
      <c r="A1311" s="38" t="s">
        <v>771</v>
      </c>
      <c r="B1311" s="38" t="s">
        <v>750</v>
      </c>
      <c r="C1311" s="38" t="s">
        <v>704</v>
      </c>
      <c r="D1311" s="38" t="s">
        <v>746</v>
      </c>
      <c r="E1311" s="190">
        <v>6</v>
      </c>
      <c r="F1311" s="190">
        <v>1.49</v>
      </c>
      <c r="G1311" s="190">
        <v>8</v>
      </c>
      <c r="H1311" s="190">
        <v>2</v>
      </c>
      <c r="I1311" s="190">
        <v>2</v>
      </c>
    </row>
    <row r="1312" spans="1:9" hidden="1" x14ac:dyDescent="0.35">
      <c r="A1312" s="38" t="s">
        <v>771</v>
      </c>
      <c r="B1312" s="38" t="s">
        <v>750</v>
      </c>
      <c r="C1312" s="38" t="s">
        <v>707</v>
      </c>
      <c r="D1312" s="38" t="s">
        <v>708</v>
      </c>
      <c r="E1312" s="190">
        <v>14</v>
      </c>
      <c r="F1312" s="190">
        <v>10.39</v>
      </c>
      <c r="G1312" s="190">
        <v>12</v>
      </c>
      <c r="H1312" s="190">
        <v>3</v>
      </c>
      <c r="I1312" s="190">
        <v>4</v>
      </c>
    </row>
    <row r="1313" spans="1:9" hidden="1" x14ac:dyDescent="0.35">
      <c r="A1313" s="38" t="s">
        <v>771</v>
      </c>
      <c r="B1313" s="38" t="s">
        <v>751</v>
      </c>
      <c r="C1313" s="38" t="s">
        <v>686</v>
      </c>
      <c r="D1313" s="38" t="s">
        <v>746</v>
      </c>
      <c r="E1313" s="190">
        <v>6</v>
      </c>
      <c r="F1313" s="190">
        <v>7.23</v>
      </c>
      <c r="G1313" s="190">
        <v>9</v>
      </c>
      <c r="H1313" s="190">
        <v>4</v>
      </c>
      <c r="I1313" s="190">
        <v>12</v>
      </c>
    </row>
    <row r="1314" spans="1:9" hidden="1" x14ac:dyDescent="0.35">
      <c r="A1314" s="38" t="s">
        <v>771</v>
      </c>
      <c r="B1314" s="38" t="s">
        <v>751</v>
      </c>
      <c r="C1314" s="38" t="s">
        <v>691</v>
      </c>
      <c r="D1314" s="38" t="s">
        <v>746</v>
      </c>
      <c r="E1314" s="190">
        <v>11.33</v>
      </c>
      <c r="F1314" s="190">
        <v>11.3</v>
      </c>
      <c r="G1314" s="190">
        <v>20</v>
      </c>
      <c r="H1314" s="190">
        <v>15.15</v>
      </c>
      <c r="I1314" s="190">
        <v>13</v>
      </c>
    </row>
    <row r="1315" spans="1:9" hidden="1" x14ac:dyDescent="0.35">
      <c r="A1315" s="38" t="s">
        <v>771</v>
      </c>
      <c r="B1315" s="38" t="s">
        <v>751</v>
      </c>
      <c r="C1315" s="38" t="s">
        <v>696</v>
      </c>
      <c r="D1315" s="38" t="s">
        <v>697</v>
      </c>
      <c r="E1315" s="190">
        <v>0</v>
      </c>
      <c r="F1315" s="190">
        <v>0</v>
      </c>
      <c r="G1315" s="190">
        <v>0</v>
      </c>
      <c r="H1315" s="190">
        <v>0</v>
      </c>
      <c r="I1315" s="190">
        <v>0</v>
      </c>
    </row>
    <row r="1316" spans="1:9" hidden="1" x14ac:dyDescent="0.35">
      <c r="A1316" s="38" t="s">
        <v>771</v>
      </c>
      <c r="B1316" s="38" t="s">
        <v>751</v>
      </c>
      <c r="C1316" s="38" t="s">
        <v>698</v>
      </c>
      <c r="D1316" s="38" t="s">
        <v>747</v>
      </c>
      <c r="E1316" s="190">
        <v>10</v>
      </c>
      <c r="F1316" s="190">
        <v>0.2</v>
      </c>
      <c r="G1316" s="190">
        <v>5</v>
      </c>
      <c r="H1316" s="190">
        <v>5</v>
      </c>
      <c r="I1316" s="190">
        <v>8</v>
      </c>
    </row>
    <row r="1317" spans="1:9" hidden="1" x14ac:dyDescent="0.35">
      <c r="A1317" s="38" t="s">
        <v>771</v>
      </c>
      <c r="B1317" s="38" t="s">
        <v>751</v>
      </c>
      <c r="C1317" s="38" t="s">
        <v>698</v>
      </c>
      <c r="D1317" s="38" t="s">
        <v>700</v>
      </c>
      <c r="E1317" s="190">
        <v>15</v>
      </c>
      <c r="F1317" s="190">
        <v>0.2</v>
      </c>
      <c r="G1317" s="190">
        <v>5</v>
      </c>
      <c r="H1317" s="190">
        <v>5</v>
      </c>
      <c r="I1317" s="190">
        <v>8</v>
      </c>
    </row>
    <row r="1318" spans="1:9" hidden="1" x14ac:dyDescent="0.35">
      <c r="A1318" s="38" t="s">
        <v>771</v>
      </c>
      <c r="B1318" s="38" t="s">
        <v>751</v>
      </c>
      <c r="C1318" s="38" t="s">
        <v>698</v>
      </c>
      <c r="D1318" s="38" t="s">
        <v>521</v>
      </c>
      <c r="E1318" s="190">
        <v>8</v>
      </c>
      <c r="F1318" s="190">
        <v>0.23</v>
      </c>
      <c r="G1318" s="190">
        <v>5</v>
      </c>
      <c r="H1318" s="190">
        <v>5</v>
      </c>
      <c r="I1318" s="190">
        <v>8</v>
      </c>
    </row>
    <row r="1319" spans="1:9" hidden="1" x14ac:dyDescent="0.35">
      <c r="A1319" s="38" t="s">
        <v>771</v>
      </c>
      <c r="B1319" s="38" t="s">
        <v>751</v>
      </c>
      <c r="C1319" s="38" t="s">
        <v>698</v>
      </c>
      <c r="D1319" s="38" t="s">
        <v>252</v>
      </c>
      <c r="E1319" s="190">
        <v>8</v>
      </c>
      <c r="F1319" s="190">
        <v>0.9</v>
      </c>
      <c r="G1319" s="190">
        <v>5</v>
      </c>
      <c r="H1319" s="190">
        <v>5</v>
      </c>
      <c r="I1319" s="190">
        <v>8</v>
      </c>
    </row>
    <row r="1320" spans="1:9" hidden="1" x14ac:dyDescent="0.35">
      <c r="A1320" s="38" t="s">
        <v>771</v>
      </c>
      <c r="B1320" s="38" t="s">
        <v>751</v>
      </c>
      <c r="C1320" s="38" t="s">
        <v>701</v>
      </c>
      <c r="D1320" s="38" t="s">
        <v>702</v>
      </c>
      <c r="E1320" s="190">
        <v>6</v>
      </c>
      <c r="F1320" s="190">
        <v>4.8899999999999997</v>
      </c>
      <c r="G1320" s="190">
        <v>4.5</v>
      </c>
      <c r="H1320" s="190">
        <v>4</v>
      </c>
      <c r="I1320" s="190">
        <v>12</v>
      </c>
    </row>
    <row r="1321" spans="1:9" hidden="1" x14ac:dyDescent="0.35">
      <c r="A1321" s="38" t="s">
        <v>771</v>
      </c>
      <c r="B1321" s="38" t="s">
        <v>751</v>
      </c>
      <c r="C1321" s="38" t="s">
        <v>701</v>
      </c>
      <c r="D1321" s="38" t="s">
        <v>703</v>
      </c>
      <c r="E1321" s="190">
        <v>3.5</v>
      </c>
      <c r="F1321" s="190">
        <v>3.32</v>
      </c>
      <c r="G1321" s="190">
        <v>2</v>
      </c>
      <c r="H1321" s="190">
        <v>8</v>
      </c>
      <c r="I1321" s="190">
        <v>2</v>
      </c>
    </row>
    <row r="1322" spans="1:9" hidden="1" x14ac:dyDescent="0.35">
      <c r="A1322" s="38" t="s">
        <v>771</v>
      </c>
      <c r="B1322" s="38" t="s">
        <v>751</v>
      </c>
      <c r="C1322" s="38" t="s">
        <v>704</v>
      </c>
      <c r="D1322" s="38" t="s">
        <v>746</v>
      </c>
      <c r="E1322" s="190">
        <v>15</v>
      </c>
      <c r="F1322" s="190">
        <v>2.8</v>
      </c>
      <c r="G1322" s="190">
        <v>8</v>
      </c>
      <c r="H1322" s="190">
        <v>2</v>
      </c>
      <c r="I1322" s="190">
        <v>2</v>
      </c>
    </row>
    <row r="1323" spans="1:9" hidden="1" x14ac:dyDescent="0.35">
      <c r="A1323" s="38" t="s">
        <v>771</v>
      </c>
      <c r="B1323" s="38" t="s">
        <v>751</v>
      </c>
      <c r="C1323" s="38" t="s">
        <v>707</v>
      </c>
      <c r="D1323" s="38" t="s">
        <v>708</v>
      </c>
      <c r="E1323" s="190">
        <v>11.9</v>
      </c>
      <c r="F1323" s="190">
        <v>9.26</v>
      </c>
      <c r="G1323" s="190">
        <v>12</v>
      </c>
      <c r="H1323" s="190">
        <v>5.7</v>
      </c>
      <c r="I1323" s="190">
        <v>6</v>
      </c>
    </row>
    <row r="1324" spans="1:9" hidden="1" x14ac:dyDescent="0.35">
      <c r="A1324" s="38" t="s">
        <v>771</v>
      </c>
      <c r="B1324" s="38" t="s">
        <v>752</v>
      </c>
      <c r="C1324" s="38" t="s">
        <v>686</v>
      </c>
      <c r="D1324" s="38" t="s">
        <v>746</v>
      </c>
      <c r="E1324" s="190">
        <v>7.21</v>
      </c>
      <c r="F1324" s="190">
        <v>8.75</v>
      </c>
      <c r="G1324" s="190">
        <v>15.25</v>
      </c>
      <c r="H1324" s="190">
        <v>2</v>
      </c>
      <c r="I1324" s="190">
        <v>1</v>
      </c>
    </row>
    <row r="1325" spans="1:9" hidden="1" x14ac:dyDescent="0.35">
      <c r="A1325" s="38" t="s">
        <v>771</v>
      </c>
      <c r="B1325" s="38" t="s">
        <v>752</v>
      </c>
      <c r="C1325" s="38" t="s">
        <v>691</v>
      </c>
      <c r="D1325" s="38" t="s">
        <v>746</v>
      </c>
      <c r="E1325" s="190">
        <v>13.47</v>
      </c>
      <c r="F1325" s="190">
        <v>17.71</v>
      </c>
      <c r="G1325" s="190">
        <v>25</v>
      </c>
      <c r="H1325" s="190">
        <v>34.130000000000003</v>
      </c>
      <c r="I1325" s="190">
        <v>5</v>
      </c>
    </row>
    <row r="1326" spans="1:9" hidden="1" x14ac:dyDescent="0.35">
      <c r="A1326" s="38" t="s">
        <v>771</v>
      </c>
      <c r="B1326" s="38" t="s">
        <v>752</v>
      </c>
      <c r="C1326" s="38" t="s">
        <v>696</v>
      </c>
      <c r="D1326" s="38" t="s">
        <v>697</v>
      </c>
      <c r="E1326" s="190">
        <v>0</v>
      </c>
      <c r="F1326" s="190">
        <v>0</v>
      </c>
      <c r="G1326" s="190">
        <v>0</v>
      </c>
      <c r="H1326" s="190">
        <v>0</v>
      </c>
      <c r="I1326" s="190">
        <v>0</v>
      </c>
    </row>
    <row r="1327" spans="1:9" hidden="1" x14ac:dyDescent="0.35">
      <c r="A1327" s="38" t="s">
        <v>771</v>
      </c>
      <c r="B1327" s="38" t="s">
        <v>752</v>
      </c>
      <c r="C1327" s="38" t="s">
        <v>698</v>
      </c>
      <c r="D1327" s="38" t="s">
        <v>747</v>
      </c>
      <c r="E1327" s="190">
        <v>10</v>
      </c>
      <c r="F1327" s="190">
        <v>0.93</v>
      </c>
      <c r="G1327" s="190">
        <v>5</v>
      </c>
      <c r="H1327" s="190">
        <v>7</v>
      </c>
      <c r="I1327" s="190">
        <v>2</v>
      </c>
    </row>
    <row r="1328" spans="1:9" hidden="1" x14ac:dyDescent="0.35">
      <c r="A1328" s="38" t="s">
        <v>771</v>
      </c>
      <c r="B1328" s="38" t="s">
        <v>752</v>
      </c>
      <c r="C1328" s="38" t="s">
        <v>698</v>
      </c>
      <c r="D1328" s="38" t="s">
        <v>700</v>
      </c>
      <c r="E1328" s="190">
        <v>33</v>
      </c>
      <c r="F1328" s="190">
        <v>0.2</v>
      </c>
      <c r="G1328" s="190">
        <v>5</v>
      </c>
      <c r="H1328" s="190">
        <v>7</v>
      </c>
      <c r="I1328" s="190">
        <v>2</v>
      </c>
    </row>
    <row r="1329" spans="1:9" hidden="1" x14ac:dyDescent="0.35">
      <c r="A1329" s="38" t="s">
        <v>771</v>
      </c>
      <c r="B1329" s="38" t="s">
        <v>752</v>
      </c>
      <c r="C1329" s="38" t="s">
        <v>698</v>
      </c>
      <c r="D1329" s="38" t="s">
        <v>521</v>
      </c>
      <c r="E1329" s="190">
        <v>10</v>
      </c>
      <c r="F1329" s="190">
        <v>0.23</v>
      </c>
      <c r="G1329" s="190">
        <v>5</v>
      </c>
      <c r="H1329" s="190">
        <v>7</v>
      </c>
      <c r="I1329" s="190">
        <v>2</v>
      </c>
    </row>
    <row r="1330" spans="1:9" hidden="1" x14ac:dyDescent="0.35">
      <c r="A1330" s="38" t="s">
        <v>771</v>
      </c>
      <c r="B1330" s="38" t="s">
        <v>752</v>
      </c>
      <c r="C1330" s="38" t="s">
        <v>698</v>
      </c>
      <c r="D1330" s="38" t="s">
        <v>252</v>
      </c>
      <c r="E1330" s="190">
        <v>25</v>
      </c>
      <c r="F1330" s="190">
        <v>0.9</v>
      </c>
      <c r="G1330" s="190">
        <v>5</v>
      </c>
      <c r="H1330" s="190">
        <v>7</v>
      </c>
      <c r="I1330" s="190">
        <v>2</v>
      </c>
    </row>
    <row r="1331" spans="1:9" hidden="1" x14ac:dyDescent="0.35">
      <c r="A1331" s="38" t="s">
        <v>771</v>
      </c>
      <c r="B1331" s="38" t="s">
        <v>752</v>
      </c>
      <c r="C1331" s="38" t="s">
        <v>701</v>
      </c>
      <c r="D1331" s="38" t="s">
        <v>702</v>
      </c>
      <c r="E1331" s="190">
        <v>8</v>
      </c>
      <c r="F1331" s="190">
        <v>8.01</v>
      </c>
      <c r="G1331" s="190">
        <v>0.1</v>
      </c>
      <c r="H1331" s="190">
        <v>3</v>
      </c>
      <c r="I1331" s="190">
        <v>1</v>
      </c>
    </row>
    <row r="1332" spans="1:9" hidden="1" x14ac:dyDescent="0.35">
      <c r="A1332" s="38" t="s">
        <v>771</v>
      </c>
      <c r="B1332" s="38" t="s">
        <v>752</v>
      </c>
      <c r="C1332" s="38" t="s">
        <v>701</v>
      </c>
      <c r="D1332" s="38" t="s">
        <v>703</v>
      </c>
      <c r="E1332" s="190">
        <v>6</v>
      </c>
      <c r="F1332" s="190">
        <v>8.1999999999999993</v>
      </c>
      <c r="G1332" s="190">
        <v>2</v>
      </c>
      <c r="H1332" s="190">
        <v>10</v>
      </c>
      <c r="I1332" s="190">
        <v>0.1</v>
      </c>
    </row>
    <row r="1333" spans="1:9" hidden="1" x14ac:dyDescent="0.35">
      <c r="A1333" s="38" t="s">
        <v>771</v>
      </c>
      <c r="B1333" s="38" t="s">
        <v>752</v>
      </c>
      <c r="C1333" s="38" t="s">
        <v>704</v>
      </c>
      <c r="D1333" s="38" t="s">
        <v>746</v>
      </c>
      <c r="E1333" s="190">
        <v>12</v>
      </c>
      <c r="F1333" s="190">
        <v>8.18</v>
      </c>
      <c r="G1333" s="190">
        <v>8</v>
      </c>
      <c r="H1333" s="190">
        <v>2</v>
      </c>
      <c r="I1333" s="190">
        <v>1</v>
      </c>
    </row>
    <row r="1334" spans="1:9" hidden="1" x14ac:dyDescent="0.35">
      <c r="A1334" s="38" t="s">
        <v>771</v>
      </c>
      <c r="B1334" s="38" t="s">
        <v>752</v>
      </c>
      <c r="C1334" s="38" t="s">
        <v>707</v>
      </c>
      <c r="D1334" s="38" t="s">
        <v>708</v>
      </c>
      <c r="E1334" s="190">
        <v>14</v>
      </c>
      <c r="F1334" s="190">
        <v>16.940000000000001</v>
      </c>
      <c r="G1334" s="190">
        <v>15</v>
      </c>
      <c r="H1334" s="190">
        <v>5</v>
      </c>
      <c r="I1334" s="190">
        <v>2</v>
      </c>
    </row>
    <row r="1335" spans="1:9" hidden="1" x14ac:dyDescent="0.35">
      <c r="A1335" s="38" t="s">
        <v>771</v>
      </c>
      <c r="B1335" s="38" t="s">
        <v>753</v>
      </c>
      <c r="C1335" s="38" t="s">
        <v>686</v>
      </c>
      <c r="D1335" s="38" t="s">
        <v>746</v>
      </c>
      <c r="E1335" s="190">
        <v>6</v>
      </c>
      <c r="F1335" s="190">
        <v>6.59</v>
      </c>
      <c r="G1335" s="190">
        <v>7</v>
      </c>
      <c r="H1335" s="190">
        <v>2.98</v>
      </c>
      <c r="I1335" s="190">
        <v>3</v>
      </c>
    </row>
    <row r="1336" spans="1:9" hidden="1" x14ac:dyDescent="0.35">
      <c r="A1336" s="38" t="s">
        <v>771</v>
      </c>
      <c r="B1336" s="38" t="s">
        <v>753</v>
      </c>
      <c r="C1336" s="38" t="s">
        <v>691</v>
      </c>
      <c r="D1336" s="38" t="s">
        <v>746</v>
      </c>
      <c r="E1336" s="190">
        <v>8.7100000000000009</v>
      </c>
      <c r="F1336" s="190">
        <v>9.8699999999999992</v>
      </c>
      <c r="G1336" s="190">
        <v>25</v>
      </c>
      <c r="H1336" s="190">
        <v>12.96</v>
      </c>
      <c r="I1336" s="190">
        <v>18.16</v>
      </c>
    </row>
    <row r="1337" spans="1:9" hidden="1" x14ac:dyDescent="0.35">
      <c r="A1337" s="38" t="s">
        <v>771</v>
      </c>
      <c r="B1337" s="38" t="s">
        <v>753</v>
      </c>
      <c r="C1337" s="38" t="s">
        <v>696</v>
      </c>
      <c r="D1337" s="38" t="s">
        <v>697</v>
      </c>
      <c r="E1337" s="190">
        <v>0</v>
      </c>
      <c r="F1337" s="190">
        <v>0</v>
      </c>
      <c r="G1337" s="190">
        <v>0</v>
      </c>
      <c r="H1337" s="190">
        <v>0</v>
      </c>
      <c r="I1337" s="190">
        <v>0</v>
      </c>
    </row>
    <row r="1338" spans="1:9" hidden="1" x14ac:dyDescent="0.35">
      <c r="A1338" s="38" t="s">
        <v>771</v>
      </c>
      <c r="B1338" s="38" t="s">
        <v>753</v>
      </c>
      <c r="C1338" s="38" t="s">
        <v>698</v>
      </c>
      <c r="D1338" s="38" t="s">
        <v>747</v>
      </c>
      <c r="E1338" s="190">
        <v>10</v>
      </c>
      <c r="F1338" s="190">
        <v>0.21</v>
      </c>
      <c r="G1338" s="190">
        <v>5</v>
      </c>
      <c r="H1338" s="190">
        <v>7</v>
      </c>
      <c r="I1338" s="190">
        <v>4</v>
      </c>
    </row>
    <row r="1339" spans="1:9" hidden="1" x14ac:dyDescent="0.35">
      <c r="A1339" s="38" t="s">
        <v>771</v>
      </c>
      <c r="B1339" s="38" t="s">
        <v>753</v>
      </c>
      <c r="C1339" s="38" t="s">
        <v>698</v>
      </c>
      <c r="D1339" s="38" t="s">
        <v>700</v>
      </c>
      <c r="E1339" s="190">
        <v>10</v>
      </c>
      <c r="F1339" s="190">
        <v>0.2</v>
      </c>
      <c r="G1339" s="190">
        <v>5</v>
      </c>
      <c r="H1339" s="190">
        <v>7</v>
      </c>
      <c r="I1339" s="190">
        <v>4</v>
      </c>
    </row>
    <row r="1340" spans="1:9" hidden="1" x14ac:dyDescent="0.35">
      <c r="A1340" s="38" t="s">
        <v>771</v>
      </c>
      <c r="B1340" s="38" t="s">
        <v>753</v>
      </c>
      <c r="C1340" s="38" t="s">
        <v>698</v>
      </c>
      <c r="D1340" s="38" t="s">
        <v>521</v>
      </c>
      <c r="E1340" s="190">
        <v>6</v>
      </c>
      <c r="F1340" s="190">
        <v>0.47</v>
      </c>
      <c r="G1340" s="190">
        <v>5</v>
      </c>
      <c r="H1340" s="190">
        <v>7</v>
      </c>
      <c r="I1340" s="190">
        <v>4</v>
      </c>
    </row>
    <row r="1341" spans="1:9" hidden="1" x14ac:dyDescent="0.35">
      <c r="A1341" s="38" t="s">
        <v>771</v>
      </c>
      <c r="B1341" s="38" t="s">
        <v>753</v>
      </c>
      <c r="C1341" s="38" t="s">
        <v>698</v>
      </c>
      <c r="D1341" s="38" t="s">
        <v>252</v>
      </c>
      <c r="E1341" s="190">
        <v>8</v>
      </c>
      <c r="F1341" s="190">
        <v>0.97</v>
      </c>
      <c r="G1341" s="190">
        <v>5</v>
      </c>
      <c r="H1341" s="190">
        <v>7</v>
      </c>
      <c r="I1341" s="190">
        <v>4</v>
      </c>
    </row>
    <row r="1342" spans="1:9" hidden="1" x14ac:dyDescent="0.35">
      <c r="A1342" s="38" t="s">
        <v>771</v>
      </c>
      <c r="B1342" s="38" t="s">
        <v>753</v>
      </c>
      <c r="C1342" s="38" t="s">
        <v>701</v>
      </c>
      <c r="D1342" s="38" t="s">
        <v>702</v>
      </c>
      <c r="E1342" s="190">
        <v>8</v>
      </c>
      <c r="F1342" s="190">
        <v>7.23</v>
      </c>
      <c r="G1342" s="190">
        <v>0.1</v>
      </c>
      <c r="H1342" s="190">
        <v>3</v>
      </c>
      <c r="I1342" s="190">
        <v>2</v>
      </c>
    </row>
    <row r="1343" spans="1:9" hidden="1" x14ac:dyDescent="0.35">
      <c r="A1343" s="38" t="s">
        <v>771</v>
      </c>
      <c r="B1343" s="38" t="s">
        <v>753</v>
      </c>
      <c r="C1343" s="38" t="s">
        <v>701</v>
      </c>
      <c r="D1343" s="38" t="s">
        <v>703</v>
      </c>
      <c r="E1343" s="190">
        <v>3.5</v>
      </c>
      <c r="F1343" s="190">
        <v>4.68</v>
      </c>
      <c r="G1343" s="190">
        <v>2</v>
      </c>
      <c r="H1343" s="190">
        <v>10</v>
      </c>
      <c r="I1343" s="190">
        <v>1</v>
      </c>
    </row>
    <row r="1344" spans="1:9" hidden="1" x14ac:dyDescent="0.35">
      <c r="A1344" s="38" t="s">
        <v>771</v>
      </c>
      <c r="B1344" s="38" t="s">
        <v>753</v>
      </c>
      <c r="C1344" s="38" t="s">
        <v>704</v>
      </c>
      <c r="D1344" s="38" t="s">
        <v>746</v>
      </c>
      <c r="E1344" s="190">
        <v>7</v>
      </c>
      <c r="F1344" s="190">
        <v>3.4</v>
      </c>
      <c r="G1344" s="190">
        <v>8</v>
      </c>
      <c r="H1344" s="190">
        <v>2</v>
      </c>
      <c r="I1344" s="190">
        <v>1</v>
      </c>
    </row>
    <row r="1345" spans="1:9" hidden="1" x14ac:dyDescent="0.35">
      <c r="A1345" s="38" t="s">
        <v>771</v>
      </c>
      <c r="B1345" s="38" t="s">
        <v>753</v>
      </c>
      <c r="C1345" s="38" t="s">
        <v>707</v>
      </c>
      <c r="D1345" s="38" t="s">
        <v>708</v>
      </c>
      <c r="E1345" s="190">
        <v>8.15</v>
      </c>
      <c r="F1345" s="190">
        <v>12.11</v>
      </c>
      <c r="G1345" s="190">
        <v>10</v>
      </c>
      <c r="H1345" s="190">
        <v>10.78</v>
      </c>
      <c r="I1345" s="190">
        <v>3.88</v>
      </c>
    </row>
    <row r="1346" spans="1:9" hidden="1" x14ac:dyDescent="0.35">
      <c r="A1346" s="38" t="s">
        <v>772</v>
      </c>
      <c r="B1346" s="38" t="s">
        <v>745</v>
      </c>
      <c r="C1346" s="38" t="s">
        <v>686</v>
      </c>
      <c r="D1346" s="38" t="s">
        <v>746</v>
      </c>
      <c r="E1346" s="190">
        <v>4.3</v>
      </c>
      <c r="F1346" s="190">
        <v>3.8</v>
      </c>
      <c r="G1346" s="190">
        <f>G2*0.5</f>
        <v>5.25</v>
      </c>
      <c r="H1346" s="190">
        <v>3</v>
      </c>
      <c r="I1346" s="190">
        <f>I2*0.5</f>
        <v>13.5</v>
      </c>
    </row>
    <row r="1347" spans="1:9" hidden="1" x14ac:dyDescent="0.35">
      <c r="A1347" s="38" t="s">
        <v>772</v>
      </c>
      <c r="B1347" s="38" t="s">
        <v>745</v>
      </c>
      <c r="C1347" s="38" t="s">
        <v>691</v>
      </c>
      <c r="D1347" s="38" t="s">
        <v>746</v>
      </c>
      <c r="E1347" s="190">
        <v>20</v>
      </c>
      <c r="F1347" s="190">
        <v>7.3</v>
      </c>
      <c r="G1347" s="190">
        <f t="shared" ref="G1347:G1410" si="28">G3*0.5</f>
        <v>1</v>
      </c>
      <c r="H1347" s="190">
        <v>4.9000000000000004</v>
      </c>
      <c r="I1347" s="190">
        <f t="shared" ref="I1347:I1410" si="29">I3*0.5</f>
        <v>9.5</v>
      </c>
    </row>
    <row r="1348" spans="1:9" hidden="1" x14ac:dyDescent="0.35">
      <c r="A1348" s="38" t="s">
        <v>772</v>
      </c>
      <c r="B1348" s="38" t="s">
        <v>745</v>
      </c>
      <c r="C1348" s="38" t="s">
        <v>696</v>
      </c>
      <c r="D1348" s="38" t="s">
        <v>697</v>
      </c>
      <c r="E1348" s="190">
        <v>9.4</v>
      </c>
      <c r="F1348" s="190">
        <v>7.9</v>
      </c>
      <c r="G1348" s="190">
        <f t="shared" si="28"/>
        <v>3</v>
      </c>
      <c r="H1348" s="190">
        <v>9</v>
      </c>
      <c r="I1348" s="190">
        <f t="shared" si="29"/>
        <v>5.5</v>
      </c>
    </row>
    <row r="1349" spans="1:9" hidden="1" x14ac:dyDescent="0.35">
      <c r="A1349" s="38" t="s">
        <v>772</v>
      </c>
      <c r="B1349" s="38" t="s">
        <v>745</v>
      </c>
      <c r="C1349" s="38" t="s">
        <v>698</v>
      </c>
      <c r="D1349" s="38" t="s">
        <v>747</v>
      </c>
      <c r="E1349" s="190">
        <v>2.2999999999999998</v>
      </c>
      <c r="F1349" s="190">
        <v>0.6</v>
      </c>
      <c r="G1349" s="190">
        <f t="shared" si="28"/>
        <v>2.5</v>
      </c>
      <c r="H1349" s="190">
        <v>4</v>
      </c>
      <c r="I1349" s="190">
        <f t="shared" si="29"/>
        <v>5.5</v>
      </c>
    </row>
    <row r="1350" spans="1:9" hidden="1" x14ac:dyDescent="0.35">
      <c r="A1350" s="38" t="s">
        <v>772</v>
      </c>
      <c r="B1350" s="38" t="s">
        <v>745</v>
      </c>
      <c r="C1350" s="38" t="s">
        <v>698</v>
      </c>
      <c r="D1350" s="38" t="s">
        <v>700</v>
      </c>
      <c r="E1350" s="190">
        <v>10</v>
      </c>
      <c r="F1350" s="190">
        <v>0.6</v>
      </c>
      <c r="G1350" s="190">
        <f t="shared" si="28"/>
        <v>2.5</v>
      </c>
      <c r="H1350" s="190">
        <v>4</v>
      </c>
      <c r="I1350" s="190">
        <f t="shared" si="29"/>
        <v>5.5</v>
      </c>
    </row>
    <row r="1351" spans="1:9" hidden="1" x14ac:dyDescent="0.35">
      <c r="A1351" s="38" t="s">
        <v>772</v>
      </c>
      <c r="B1351" s="38" t="s">
        <v>745</v>
      </c>
      <c r="C1351" s="38" t="s">
        <v>698</v>
      </c>
      <c r="D1351" s="38" t="s">
        <v>521</v>
      </c>
      <c r="E1351" s="190">
        <v>2.5</v>
      </c>
      <c r="F1351" s="190">
        <v>0.3</v>
      </c>
      <c r="G1351" s="190">
        <f t="shared" si="28"/>
        <v>2.5</v>
      </c>
      <c r="H1351" s="190">
        <v>4</v>
      </c>
      <c r="I1351" s="190">
        <f t="shared" si="29"/>
        <v>5.5</v>
      </c>
    </row>
    <row r="1352" spans="1:9" hidden="1" x14ac:dyDescent="0.35">
      <c r="A1352" s="38" t="s">
        <v>772</v>
      </c>
      <c r="B1352" s="38" t="s">
        <v>745</v>
      </c>
      <c r="C1352" s="38" t="s">
        <v>698</v>
      </c>
      <c r="D1352" s="38" t="s">
        <v>252</v>
      </c>
      <c r="E1352" s="190">
        <v>7</v>
      </c>
      <c r="F1352" s="190">
        <v>0.9</v>
      </c>
      <c r="G1352" s="190">
        <f t="shared" si="28"/>
        <v>2.5</v>
      </c>
      <c r="H1352" s="190">
        <v>4</v>
      </c>
      <c r="I1352" s="190">
        <f t="shared" si="29"/>
        <v>5.5</v>
      </c>
    </row>
    <row r="1353" spans="1:9" hidden="1" x14ac:dyDescent="0.35">
      <c r="A1353" s="38" t="s">
        <v>772</v>
      </c>
      <c r="B1353" s="38" t="s">
        <v>745</v>
      </c>
      <c r="C1353" s="38" t="s">
        <v>701</v>
      </c>
      <c r="D1353" s="38" t="s">
        <v>702</v>
      </c>
      <c r="E1353" s="190">
        <v>4</v>
      </c>
      <c r="F1353" s="190">
        <v>1.9</v>
      </c>
      <c r="G1353" s="190">
        <f t="shared" si="28"/>
        <v>0.25</v>
      </c>
      <c r="H1353" s="190">
        <v>2</v>
      </c>
      <c r="I1353" s="190">
        <f t="shared" si="29"/>
        <v>4</v>
      </c>
    </row>
    <row r="1354" spans="1:9" hidden="1" x14ac:dyDescent="0.35">
      <c r="A1354" s="38" t="s">
        <v>772</v>
      </c>
      <c r="B1354" s="38" t="s">
        <v>745</v>
      </c>
      <c r="C1354" s="38" t="s">
        <v>701</v>
      </c>
      <c r="D1354" s="38" t="s">
        <v>703</v>
      </c>
      <c r="E1354" s="190">
        <v>3.5</v>
      </c>
      <c r="F1354" s="190">
        <v>1.7</v>
      </c>
      <c r="G1354" s="190">
        <f t="shared" si="28"/>
        <v>0.6</v>
      </c>
      <c r="H1354" s="190">
        <v>0.82</v>
      </c>
      <c r="I1354" s="190">
        <f t="shared" si="29"/>
        <v>3.5</v>
      </c>
    </row>
    <row r="1355" spans="1:9" hidden="1" x14ac:dyDescent="0.35">
      <c r="A1355" s="38" t="s">
        <v>772</v>
      </c>
      <c r="B1355" s="38" t="s">
        <v>745</v>
      </c>
      <c r="C1355" s="38" t="s">
        <v>704</v>
      </c>
      <c r="D1355" s="38" t="s">
        <v>746</v>
      </c>
      <c r="E1355" s="190">
        <v>5.3</v>
      </c>
      <c r="F1355" s="190">
        <v>1.2</v>
      </c>
      <c r="G1355" s="190">
        <f t="shared" si="28"/>
        <v>2.5</v>
      </c>
      <c r="H1355" s="190">
        <v>1</v>
      </c>
      <c r="I1355" s="190">
        <f t="shared" si="29"/>
        <v>2</v>
      </c>
    </row>
    <row r="1356" spans="1:9" hidden="1" x14ac:dyDescent="0.35">
      <c r="A1356" s="38" t="s">
        <v>772</v>
      </c>
      <c r="B1356" s="38" t="s">
        <v>745</v>
      </c>
      <c r="C1356" s="38" t="s">
        <v>707</v>
      </c>
      <c r="D1356" s="38" t="s">
        <v>708</v>
      </c>
      <c r="E1356" s="190">
        <v>20</v>
      </c>
      <c r="F1356" s="190">
        <v>7.6</v>
      </c>
      <c r="G1356" s="190">
        <f t="shared" si="28"/>
        <v>6.9</v>
      </c>
      <c r="H1356" s="190">
        <v>7</v>
      </c>
      <c r="I1356" s="190">
        <f t="shared" si="29"/>
        <v>8.5</v>
      </c>
    </row>
    <row r="1357" spans="1:9" hidden="1" x14ac:dyDescent="0.35">
      <c r="A1357" s="38" t="s">
        <v>772</v>
      </c>
      <c r="B1357" s="38" t="s">
        <v>748</v>
      </c>
      <c r="C1357" s="38" t="s">
        <v>686</v>
      </c>
      <c r="D1357" s="38" t="s">
        <v>746</v>
      </c>
      <c r="E1357" s="190">
        <v>3.92</v>
      </c>
      <c r="F1357" s="190">
        <v>4.24</v>
      </c>
      <c r="G1357" s="190">
        <f t="shared" si="28"/>
        <v>5.9</v>
      </c>
      <c r="H1357" s="190">
        <v>2</v>
      </c>
      <c r="I1357" s="190">
        <f t="shared" si="29"/>
        <v>6.8250000000000002</v>
      </c>
    </row>
    <row r="1358" spans="1:9" hidden="1" x14ac:dyDescent="0.35">
      <c r="A1358" s="38" t="s">
        <v>772</v>
      </c>
      <c r="B1358" s="38" t="s">
        <v>748</v>
      </c>
      <c r="C1358" s="38" t="s">
        <v>691</v>
      </c>
      <c r="D1358" s="38" t="s">
        <v>746</v>
      </c>
      <c r="E1358" s="190">
        <v>10</v>
      </c>
      <c r="F1358" s="190">
        <v>8.3699999999999992</v>
      </c>
      <c r="G1358" s="190">
        <f t="shared" si="28"/>
        <v>1</v>
      </c>
      <c r="H1358" s="190">
        <v>8</v>
      </c>
      <c r="I1358" s="190">
        <f t="shared" si="29"/>
        <v>5.1749999999999998</v>
      </c>
    </row>
    <row r="1359" spans="1:9" hidden="1" x14ac:dyDescent="0.35">
      <c r="A1359" s="38" t="s">
        <v>772</v>
      </c>
      <c r="B1359" s="38" t="s">
        <v>748</v>
      </c>
      <c r="C1359" s="38" t="s">
        <v>696</v>
      </c>
      <c r="D1359" s="38" t="s">
        <v>697</v>
      </c>
      <c r="E1359" s="190">
        <v>15</v>
      </c>
      <c r="F1359" s="190">
        <v>16.5</v>
      </c>
      <c r="G1359" s="190">
        <f t="shared" si="28"/>
        <v>3</v>
      </c>
      <c r="H1359" s="190">
        <v>11</v>
      </c>
      <c r="I1359" s="190">
        <f t="shared" si="29"/>
        <v>3.65</v>
      </c>
    </row>
    <row r="1360" spans="1:9" hidden="1" x14ac:dyDescent="0.35">
      <c r="A1360" s="38" t="s">
        <v>772</v>
      </c>
      <c r="B1360" s="38" t="s">
        <v>748</v>
      </c>
      <c r="C1360" s="38" t="s">
        <v>698</v>
      </c>
      <c r="D1360" s="38" t="s">
        <v>747</v>
      </c>
      <c r="E1360" s="190">
        <v>2.2999999999999998</v>
      </c>
      <c r="F1360" s="190">
        <v>0.55000000000000004</v>
      </c>
      <c r="G1360" s="190">
        <f t="shared" si="28"/>
        <v>2.5</v>
      </c>
      <c r="H1360" s="190">
        <v>6</v>
      </c>
      <c r="I1360" s="190">
        <f t="shared" si="29"/>
        <v>3.4</v>
      </c>
    </row>
    <row r="1361" spans="1:9" hidden="1" x14ac:dyDescent="0.35">
      <c r="A1361" s="38" t="s">
        <v>772</v>
      </c>
      <c r="B1361" s="38" t="s">
        <v>748</v>
      </c>
      <c r="C1361" s="38" t="s">
        <v>698</v>
      </c>
      <c r="D1361" s="38" t="s">
        <v>700</v>
      </c>
      <c r="E1361" s="190">
        <v>10</v>
      </c>
      <c r="F1361" s="190">
        <v>0.81</v>
      </c>
      <c r="G1361" s="190">
        <f t="shared" si="28"/>
        <v>2.5</v>
      </c>
      <c r="H1361" s="190">
        <v>6</v>
      </c>
      <c r="I1361" s="190">
        <f t="shared" si="29"/>
        <v>3.4</v>
      </c>
    </row>
    <row r="1362" spans="1:9" hidden="1" x14ac:dyDescent="0.35">
      <c r="A1362" s="38" t="s">
        <v>772</v>
      </c>
      <c r="B1362" s="38" t="s">
        <v>748</v>
      </c>
      <c r="C1362" s="38" t="s">
        <v>698</v>
      </c>
      <c r="D1362" s="38" t="s">
        <v>521</v>
      </c>
      <c r="E1362" s="190">
        <v>2.5</v>
      </c>
      <c r="F1362" s="190">
        <v>0.18</v>
      </c>
      <c r="G1362" s="190">
        <f t="shared" si="28"/>
        <v>2.5</v>
      </c>
      <c r="H1362" s="190">
        <v>6</v>
      </c>
      <c r="I1362" s="190">
        <f t="shared" si="29"/>
        <v>3.4</v>
      </c>
    </row>
    <row r="1363" spans="1:9" hidden="1" x14ac:dyDescent="0.35">
      <c r="A1363" s="38" t="s">
        <v>772</v>
      </c>
      <c r="B1363" s="38" t="s">
        <v>748</v>
      </c>
      <c r="C1363" s="38" t="s">
        <v>698</v>
      </c>
      <c r="D1363" s="38" t="s">
        <v>252</v>
      </c>
      <c r="E1363" s="190">
        <v>7</v>
      </c>
      <c r="F1363" s="190">
        <v>1.03</v>
      </c>
      <c r="G1363" s="190">
        <f t="shared" si="28"/>
        <v>2.5</v>
      </c>
      <c r="H1363" s="190">
        <v>6</v>
      </c>
      <c r="I1363" s="190">
        <f t="shared" si="29"/>
        <v>3.4</v>
      </c>
    </row>
    <row r="1364" spans="1:9" hidden="1" x14ac:dyDescent="0.35">
      <c r="A1364" s="38" t="s">
        <v>772</v>
      </c>
      <c r="B1364" s="38" t="s">
        <v>748</v>
      </c>
      <c r="C1364" s="38" t="s">
        <v>701</v>
      </c>
      <c r="D1364" s="38" t="s">
        <v>702</v>
      </c>
      <c r="E1364" s="190">
        <v>6</v>
      </c>
      <c r="F1364" s="190">
        <v>2.38</v>
      </c>
      <c r="G1364" s="190">
        <f t="shared" si="28"/>
        <v>0.25</v>
      </c>
      <c r="H1364" s="190">
        <v>4</v>
      </c>
      <c r="I1364" s="190">
        <f t="shared" si="29"/>
        <v>1.825</v>
      </c>
    </row>
    <row r="1365" spans="1:9" hidden="1" x14ac:dyDescent="0.35">
      <c r="A1365" s="38" t="s">
        <v>772</v>
      </c>
      <c r="B1365" s="38" t="s">
        <v>748</v>
      </c>
      <c r="C1365" s="38" t="s">
        <v>701</v>
      </c>
      <c r="D1365" s="38" t="s">
        <v>703</v>
      </c>
      <c r="E1365" s="190">
        <v>3.5</v>
      </c>
      <c r="F1365" s="190">
        <v>2.2400000000000002</v>
      </c>
      <c r="G1365" s="190">
        <f t="shared" si="28"/>
        <v>0.6</v>
      </c>
      <c r="H1365" s="190">
        <v>0.5</v>
      </c>
      <c r="I1365" s="190">
        <f t="shared" si="29"/>
        <v>1.3</v>
      </c>
    </row>
    <row r="1366" spans="1:9" hidden="1" x14ac:dyDescent="0.35">
      <c r="A1366" s="38" t="s">
        <v>772</v>
      </c>
      <c r="B1366" s="38" t="s">
        <v>748</v>
      </c>
      <c r="C1366" s="38" t="s">
        <v>704</v>
      </c>
      <c r="D1366" s="38" t="s">
        <v>746</v>
      </c>
      <c r="E1366" s="190">
        <v>6</v>
      </c>
      <c r="F1366" s="190">
        <v>2.72</v>
      </c>
      <c r="G1366" s="190">
        <f t="shared" si="28"/>
        <v>2.5</v>
      </c>
      <c r="H1366" s="190">
        <v>1</v>
      </c>
      <c r="I1366" s="190">
        <f t="shared" si="29"/>
        <v>8.2750000000000004</v>
      </c>
    </row>
    <row r="1367" spans="1:9" hidden="1" x14ac:dyDescent="0.35">
      <c r="A1367" s="38" t="s">
        <v>772</v>
      </c>
      <c r="B1367" s="38" t="s">
        <v>748</v>
      </c>
      <c r="C1367" s="38" t="s">
        <v>707</v>
      </c>
      <c r="D1367" s="38" t="s">
        <v>708</v>
      </c>
      <c r="E1367" s="190">
        <v>20</v>
      </c>
      <c r="F1367" s="190">
        <v>4.8499999999999996</v>
      </c>
      <c r="G1367" s="190">
        <f t="shared" si="28"/>
        <v>7.5</v>
      </c>
      <c r="H1367" s="190">
        <v>9</v>
      </c>
      <c r="I1367" s="190">
        <f t="shared" si="29"/>
        <v>3.5750000000000002</v>
      </c>
    </row>
    <row r="1368" spans="1:9" hidden="1" x14ac:dyDescent="0.35">
      <c r="A1368" s="38" t="s">
        <v>772</v>
      </c>
      <c r="B1368" s="38" t="s">
        <v>749</v>
      </c>
      <c r="C1368" s="38" t="s">
        <v>686</v>
      </c>
      <c r="D1368" s="38" t="s">
        <v>746</v>
      </c>
      <c r="E1368" s="190">
        <v>7.17</v>
      </c>
      <c r="F1368" s="190">
        <v>3.25</v>
      </c>
      <c r="G1368" s="190">
        <f t="shared" si="28"/>
        <v>5.25</v>
      </c>
      <c r="H1368" s="190">
        <v>9</v>
      </c>
      <c r="I1368" s="190">
        <f t="shared" si="29"/>
        <v>11.994999999999999</v>
      </c>
    </row>
    <row r="1369" spans="1:9" hidden="1" x14ac:dyDescent="0.35">
      <c r="A1369" s="38" t="s">
        <v>772</v>
      </c>
      <c r="B1369" s="38" t="s">
        <v>749</v>
      </c>
      <c r="C1369" s="38" t="s">
        <v>691</v>
      </c>
      <c r="D1369" s="38" t="s">
        <v>746</v>
      </c>
      <c r="E1369" s="190">
        <v>20</v>
      </c>
      <c r="F1369" s="190">
        <v>15.3</v>
      </c>
      <c r="G1369" s="190">
        <f t="shared" si="28"/>
        <v>1</v>
      </c>
      <c r="H1369" s="190">
        <v>9.35</v>
      </c>
      <c r="I1369" s="190">
        <f t="shared" si="29"/>
        <v>12.715</v>
      </c>
    </row>
    <row r="1370" spans="1:9" hidden="1" x14ac:dyDescent="0.35">
      <c r="A1370" s="38" t="s">
        <v>772</v>
      </c>
      <c r="B1370" s="38" t="s">
        <v>749</v>
      </c>
      <c r="C1370" s="38" t="s">
        <v>696</v>
      </c>
      <c r="D1370" s="38" t="s">
        <v>697</v>
      </c>
      <c r="E1370" s="190">
        <v>12</v>
      </c>
      <c r="F1370" s="190">
        <v>2.2200000000000002</v>
      </c>
      <c r="G1370" s="190">
        <f t="shared" si="28"/>
        <v>3</v>
      </c>
      <c r="H1370" s="190">
        <v>6.83</v>
      </c>
      <c r="I1370" s="190">
        <f t="shared" si="29"/>
        <v>14.085000000000001</v>
      </c>
    </row>
    <row r="1371" spans="1:9" hidden="1" x14ac:dyDescent="0.35">
      <c r="A1371" s="38" t="s">
        <v>772</v>
      </c>
      <c r="B1371" s="38" t="s">
        <v>749</v>
      </c>
      <c r="C1371" s="38" t="s">
        <v>698</v>
      </c>
      <c r="D1371" s="38" t="s">
        <v>747</v>
      </c>
      <c r="E1371" s="190">
        <v>2.2999999999999998</v>
      </c>
      <c r="F1371" s="190">
        <v>0.31</v>
      </c>
      <c r="G1371" s="190">
        <f t="shared" si="28"/>
        <v>2.5</v>
      </c>
      <c r="H1371" s="190">
        <v>3.9</v>
      </c>
      <c r="I1371" s="190">
        <f t="shared" si="29"/>
        <v>10.595000000000001</v>
      </c>
    </row>
    <row r="1372" spans="1:9" hidden="1" x14ac:dyDescent="0.35">
      <c r="A1372" s="38" t="s">
        <v>772</v>
      </c>
      <c r="B1372" s="38" t="s">
        <v>749</v>
      </c>
      <c r="C1372" s="38" t="s">
        <v>698</v>
      </c>
      <c r="D1372" s="38" t="s">
        <v>700</v>
      </c>
      <c r="E1372" s="190">
        <v>10</v>
      </c>
      <c r="F1372" s="190">
        <v>0.8</v>
      </c>
      <c r="G1372" s="190">
        <f t="shared" si="28"/>
        <v>2.5</v>
      </c>
      <c r="H1372" s="190">
        <v>3.9</v>
      </c>
      <c r="I1372" s="190">
        <f t="shared" si="29"/>
        <v>10.595000000000001</v>
      </c>
    </row>
    <row r="1373" spans="1:9" hidden="1" x14ac:dyDescent="0.35">
      <c r="A1373" s="38" t="s">
        <v>772</v>
      </c>
      <c r="B1373" s="38" t="s">
        <v>749</v>
      </c>
      <c r="C1373" s="38" t="s">
        <v>698</v>
      </c>
      <c r="D1373" s="38" t="s">
        <v>521</v>
      </c>
      <c r="E1373" s="190">
        <v>2.5</v>
      </c>
      <c r="F1373" s="190">
        <v>0.66</v>
      </c>
      <c r="G1373" s="190">
        <f t="shared" si="28"/>
        <v>2.5</v>
      </c>
      <c r="H1373" s="190">
        <v>3.9</v>
      </c>
      <c r="I1373" s="190">
        <f t="shared" si="29"/>
        <v>10.595000000000001</v>
      </c>
    </row>
    <row r="1374" spans="1:9" hidden="1" x14ac:dyDescent="0.35">
      <c r="A1374" s="38" t="s">
        <v>772</v>
      </c>
      <c r="B1374" s="38" t="s">
        <v>749</v>
      </c>
      <c r="C1374" s="38" t="s">
        <v>698</v>
      </c>
      <c r="D1374" s="38" t="s">
        <v>252</v>
      </c>
      <c r="E1374" s="190">
        <v>7</v>
      </c>
      <c r="F1374" s="190">
        <v>0.88</v>
      </c>
      <c r="G1374" s="190">
        <f t="shared" si="28"/>
        <v>2.5</v>
      </c>
      <c r="H1374" s="190">
        <v>3.9</v>
      </c>
      <c r="I1374" s="190">
        <f t="shared" si="29"/>
        <v>10.595000000000001</v>
      </c>
    </row>
    <row r="1375" spans="1:9" hidden="1" x14ac:dyDescent="0.35">
      <c r="A1375" s="38" t="s">
        <v>772</v>
      </c>
      <c r="B1375" s="38" t="s">
        <v>749</v>
      </c>
      <c r="C1375" s="38" t="s">
        <v>701</v>
      </c>
      <c r="D1375" s="38" t="s">
        <v>702</v>
      </c>
      <c r="E1375" s="190">
        <v>4</v>
      </c>
      <c r="F1375" s="190">
        <v>2.27</v>
      </c>
      <c r="G1375" s="190">
        <f t="shared" si="28"/>
        <v>0.25</v>
      </c>
      <c r="H1375" s="190">
        <v>7</v>
      </c>
      <c r="I1375" s="190">
        <f t="shared" si="29"/>
        <v>10.199999999999999</v>
      </c>
    </row>
    <row r="1376" spans="1:9" hidden="1" x14ac:dyDescent="0.35">
      <c r="A1376" s="38" t="s">
        <v>772</v>
      </c>
      <c r="B1376" s="38" t="s">
        <v>749</v>
      </c>
      <c r="C1376" s="38" t="s">
        <v>701</v>
      </c>
      <c r="D1376" s="38" t="s">
        <v>703</v>
      </c>
      <c r="E1376" s="190">
        <v>3.5</v>
      </c>
      <c r="F1376" s="190">
        <v>0.4</v>
      </c>
      <c r="G1376" s="190">
        <f t="shared" si="28"/>
        <v>0.6</v>
      </c>
      <c r="H1376" s="190">
        <v>7.75</v>
      </c>
      <c r="I1376" s="190">
        <f t="shared" si="29"/>
        <v>10.5</v>
      </c>
    </row>
    <row r="1377" spans="1:9" hidden="1" x14ac:dyDescent="0.35">
      <c r="A1377" s="38" t="s">
        <v>772</v>
      </c>
      <c r="B1377" s="38" t="s">
        <v>749</v>
      </c>
      <c r="C1377" s="38" t="s">
        <v>704</v>
      </c>
      <c r="D1377" s="38" t="s">
        <v>746</v>
      </c>
      <c r="E1377" s="190">
        <v>12</v>
      </c>
      <c r="F1377" s="190">
        <v>3.91</v>
      </c>
      <c r="G1377" s="190">
        <f t="shared" si="28"/>
        <v>2.5</v>
      </c>
      <c r="H1377" s="190">
        <v>1</v>
      </c>
      <c r="I1377" s="190">
        <f t="shared" si="29"/>
        <v>2</v>
      </c>
    </row>
    <row r="1378" spans="1:9" hidden="1" x14ac:dyDescent="0.35">
      <c r="A1378" s="38" t="s">
        <v>772</v>
      </c>
      <c r="B1378" s="38" t="s">
        <v>749</v>
      </c>
      <c r="C1378" s="38" t="s">
        <v>707</v>
      </c>
      <c r="D1378" s="38" t="s">
        <v>708</v>
      </c>
      <c r="E1378" s="190">
        <v>20</v>
      </c>
      <c r="F1378" s="190">
        <v>5.83</v>
      </c>
      <c r="G1378" s="190">
        <f t="shared" si="28"/>
        <v>7.5</v>
      </c>
      <c r="H1378" s="190">
        <v>8</v>
      </c>
      <c r="I1378" s="190">
        <f t="shared" si="29"/>
        <v>7.5</v>
      </c>
    </row>
    <row r="1379" spans="1:9" hidden="1" x14ac:dyDescent="0.35">
      <c r="A1379" s="38" t="s">
        <v>772</v>
      </c>
      <c r="B1379" s="38" t="s">
        <v>750</v>
      </c>
      <c r="C1379" s="38" t="s">
        <v>686</v>
      </c>
      <c r="D1379" s="38" t="s">
        <v>746</v>
      </c>
      <c r="E1379" s="190">
        <v>6</v>
      </c>
      <c r="F1379" s="190">
        <v>7.46</v>
      </c>
      <c r="G1379" s="190">
        <f t="shared" si="28"/>
        <v>4.5</v>
      </c>
      <c r="H1379" s="190">
        <v>4</v>
      </c>
      <c r="I1379" s="190">
        <f t="shared" si="29"/>
        <v>5</v>
      </c>
    </row>
    <row r="1380" spans="1:9" hidden="1" x14ac:dyDescent="0.35">
      <c r="A1380" s="38" t="s">
        <v>772</v>
      </c>
      <c r="B1380" s="38" t="s">
        <v>750</v>
      </c>
      <c r="C1380" s="38" t="s">
        <v>691</v>
      </c>
      <c r="D1380" s="38" t="s">
        <v>746</v>
      </c>
      <c r="E1380" s="190">
        <v>20</v>
      </c>
      <c r="F1380" s="190">
        <v>14.32</v>
      </c>
      <c r="G1380" s="190">
        <f t="shared" si="28"/>
        <v>10</v>
      </c>
      <c r="H1380" s="190">
        <v>12</v>
      </c>
      <c r="I1380" s="190">
        <f t="shared" si="29"/>
        <v>5</v>
      </c>
    </row>
    <row r="1381" spans="1:9" hidden="1" x14ac:dyDescent="0.35">
      <c r="A1381" s="38" t="s">
        <v>772</v>
      </c>
      <c r="B1381" s="38" t="s">
        <v>750</v>
      </c>
      <c r="C1381" s="38" t="s">
        <v>696</v>
      </c>
      <c r="D1381" s="38" t="s">
        <v>697</v>
      </c>
      <c r="E1381" s="190">
        <v>5.7</v>
      </c>
      <c r="F1381" s="190">
        <v>19.61</v>
      </c>
      <c r="G1381" s="190">
        <f t="shared" si="28"/>
        <v>4.5</v>
      </c>
      <c r="H1381" s="190">
        <v>10</v>
      </c>
      <c r="I1381" s="190">
        <f t="shared" si="29"/>
        <v>2</v>
      </c>
    </row>
    <row r="1382" spans="1:9" hidden="1" x14ac:dyDescent="0.35">
      <c r="A1382" s="38" t="s">
        <v>772</v>
      </c>
      <c r="B1382" s="38" t="s">
        <v>750</v>
      </c>
      <c r="C1382" s="38" t="s">
        <v>698</v>
      </c>
      <c r="D1382" s="38" t="s">
        <v>747</v>
      </c>
      <c r="E1382" s="190">
        <v>5</v>
      </c>
      <c r="F1382" s="190">
        <v>1.32</v>
      </c>
      <c r="G1382" s="190">
        <f t="shared" si="28"/>
        <v>2.5</v>
      </c>
      <c r="H1382" s="190">
        <v>5</v>
      </c>
      <c r="I1382" s="190">
        <f t="shared" si="29"/>
        <v>3</v>
      </c>
    </row>
    <row r="1383" spans="1:9" hidden="1" x14ac:dyDescent="0.35">
      <c r="A1383" s="38" t="s">
        <v>772</v>
      </c>
      <c r="B1383" s="38" t="s">
        <v>750</v>
      </c>
      <c r="C1383" s="38" t="s">
        <v>698</v>
      </c>
      <c r="D1383" s="38" t="s">
        <v>700</v>
      </c>
      <c r="E1383" s="190">
        <v>10</v>
      </c>
      <c r="F1383" s="190">
        <v>1.04</v>
      </c>
      <c r="G1383" s="190">
        <f t="shared" si="28"/>
        <v>2.5</v>
      </c>
      <c r="H1383" s="190">
        <v>5</v>
      </c>
      <c r="I1383" s="190">
        <f t="shared" si="29"/>
        <v>3</v>
      </c>
    </row>
    <row r="1384" spans="1:9" hidden="1" x14ac:dyDescent="0.35">
      <c r="A1384" s="38" t="s">
        <v>772</v>
      </c>
      <c r="B1384" s="38" t="s">
        <v>750</v>
      </c>
      <c r="C1384" s="38" t="s">
        <v>698</v>
      </c>
      <c r="D1384" s="38" t="s">
        <v>521</v>
      </c>
      <c r="E1384" s="190">
        <v>6</v>
      </c>
      <c r="F1384" s="190">
        <v>0.41</v>
      </c>
      <c r="G1384" s="190">
        <f t="shared" si="28"/>
        <v>2.5</v>
      </c>
      <c r="H1384" s="190">
        <v>5</v>
      </c>
      <c r="I1384" s="190">
        <f t="shared" si="29"/>
        <v>3</v>
      </c>
    </row>
    <row r="1385" spans="1:9" hidden="1" x14ac:dyDescent="0.35">
      <c r="A1385" s="38" t="s">
        <v>772</v>
      </c>
      <c r="B1385" s="38" t="s">
        <v>750</v>
      </c>
      <c r="C1385" s="38" t="s">
        <v>698</v>
      </c>
      <c r="D1385" s="38" t="s">
        <v>252</v>
      </c>
      <c r="E1385" s="190">
        <v>6</v>
      </c>
      <c r="F1385" s="190">
        <v>1.5</v>
      </c>
      <c r="G1385" s="190">
        <f t="shared" si="28"/>
        <v>2.5</v>
      </c>
      <c r="H1385" s="190">
        <v>5</v>
      </c>
      <c r="I1385" s="190">
        <f t="shared" si="29"/>
        <v>3</v>
      </c>
    </row>
    <row r="1386" spans="1:9" hidden="1" x14ac:dyDescent="0.35">
      <c r="A1386" s="38" t="s">
        <v>772</v>
      </c>
      <c r="B1386" s="38" t="s">
        <v>750</v>
      </c>
      <c r="C1386" s="38" t="s">
        <v>701</v>
      </c>
      <c r="D1386" s="38" t="s">
        <v>702</v>
      </c>
      <c r="E1386" s="190">
        <v>6</v>
      </c>
      <c r="F1386" s="190">
        <v>6.21</v>
      </c>
      <c r="G1386" s="190">
        <f t="shared" si="28"/>
        <v>0.25</v>
      </c>
      <c r="H1386" s="190">
        <v>4</v>
      </c>
      <c r="I1386" s="190">
        <f t="shared" si="29"/>
        <v>2</v>
      </c>
    </row>
    <row r="1387" spans="1:9" hidden="1" x14ac:dyDescent="0.35">
      <c r="A1387" s="38" t="s">
        <v>772</v>
      </c>
      <c r="B1387" s="38" t="s">
        <v>750</v>
      </c>
      <c r="C1387" s="38" t="s">
        <v>701</v>
      </c>
      <c r="D1387" s="38" t="s">
        <v>703</v>
      </c>
      <c r="E1387" s="190">
        <v>3.5</v>
      </c>
      <c r="F1387" s="190">
        <v>3.74</v>
      </c>
      <c r="G1387" s="190">
        <f t="shared" si="28"/>
        <v>1</v>
      </c>
      <c r="H1387" s="190">
        <v>8</v>
      </c>
      <c r="I1387" s="190">
        <f t="shared" si="29"/>
        <v>2</v>
      </c>
    </row>
    <row r="1388" spans="1:9" hidden="1" x14ac:dyDescent="0.35">
      <c r="A1388" s="38" t="s">
        <v>772</v>
      </c>
      <c r="B1388" s="38" t="s">
        <v>750</v>
      </c>
      <c r="C1388" s="38" t="s">
        <v>704</v>
      </c>
      <c r="D1388" s="38" t="s">
        <v>746</v>
      </c>
      <c r="E1388" s="190">
        <v>6</v>
      </c>
      <c r="F1388" s="190">
        <v>1.49</v>
      </c>
      <c r="G1388" s="190">
        <f t="shared" si="28"/>
        <v>4</v>
      </c>
      <c r="H1388" s="190">
        <v>2</v>
      </c>
      <c r="I1388" s="190">
        <f t="shared" si="29"/>
        <v>1</v>
      </c>
    </row>
    <row r="1389" spans="1:9" hidden="1" x14ac:dyDescent="0.35">
      <c r="A1389" s="38" t="s">
        <v>772</v>
      </c>
      <c r="B1389" s="38" t="s">
        <v>750</v>
      </c>
      <c r="C1389" s="38" t="s">
        <v>707</v>
      </c>
      <c r="D1389" s="38" t="s">
        <v>708</v>
      </c>
      <c r="E1389" s="190">
        <v>14</v>
      </c>
      <c r="F1389" s="190">
        <v>10.39</v>
      </c>
      <c r="G1389" s="190">
        <f t="shared" si="28"/>
        <v>6</v>
      </c>
      <c r="H1389" s="190">
        <v>3</v>
      </c>
      <c r="I1389" s="190">
        <f t="shared" si="29"/>
        <v>2</v>
      </c>
    </row>
    <row r="1390" spans="1:9" hidden="1" x14ac:dyDescent="0.35">
      <c r="A1390" s="38" t="s">
        <v>772</v>
      </c>
      <c r="B1390" s="38" t="s">
        <v>751</v>
      </c>
      <c r="C1390" s="38" t="s">
        <v>686</v>
      </c>
      <c r="D1390" s="38" t="s">
        <v>746</v>
      </c>
      <c r="E1390" s="190">
        <v>6</v>
      </c>
      <c r="F1390" s="190">
        <v>7.23</v>
      </c>
      <c r="G1390" s="190">
        <f t="shared" si="28"/>
        <v>4.5</v>
      </c>
      <c r="H1390" s="190">
        <v>4</v>
      </c>
      <c r="I1390" s="190">
        <f t="shared" si="29"/>
        <v>6</v>
      </c>
    </row>
    <row r="1391" spans="1:9" hidden="1" x14ac:dyDescent="0.35">
      <c r="A1391" s="38" t="s">
        <v>772</v>
      </c>
      <c r="B1391" s="38" t="s">
        <v>751</v>
      </c>
      <c r="C1391" s="38" t="s">
        <v>691</v>
      </c>
      <c r="D1391" s="38" t="s">
        <v>746</v>
      </c>
      <c r="E1391" s="190">
        <v>11.33</v>
      </c>
      <c r="F1391" s="190">
        <v>11.3</v>
      </c>
      <c r="G1391" s="190">
        <f t="shared" si="28"/>
        <v>10</v>
      </c>
      <c r="H1391" s="190">
        <v>15.15</v>
      </c>
      <c r="I1391" s="190">
        <f t="shared" si="29"/>
        <v>6.5</v>
      </c>
    </row>
    <row r="1392" spans="1:9" hidden="1" x14ac:dyDescent="0.35">
      <c r="A1392" s="38" t="s">
        <v>772</v>
      </c>
      <c r="B1392" s="38" t="s">
        <v>751</v>
      </c>
      <c r="C1392" s="38" t="s">
        <v>696</v>
      </c>
      <c r="D1392" s="38" t="s">
        <v>697</v>
      </c>
      <c r="E1392" s="190">
        <v>6.6</v>
      </c>
      <c r="F1392" s="190">
        <v>22.46</v>
      </c>
      <c r="G1392" s="190">
        <f t="shared" si="28"/>
        <v>4.5</v>
      </c>
      <c r="H1392" s="190">
        <v>10</v>
      </c>
      <c r="I1392" s="190">
        <f t="shared" si="29"/>
        <v>2</v>
      </c>
    </row>
    <row r="1393" spans="1:9" hidden="1" x14ac:dyDescent="0.35">
      <c r="A1393" s="38" t="s">
        <v>772</v>
      </c>
      <c r="B1393" s="38" t="s">
        <v>751</v>
      </c>
      <c r="C1393" s="38" t="s">
        <v>698</v>
      </c>
      <c r="D1393" s="38" t="s">
        <v>747</v>
      </c>
      <c r="E1393" s="190">
        <v>10</v>
      </c>
      <c r="F1393" s="190">
        <v>0.2</v>
      </c>
      <c r="G1393" s="190">
        <f t="shared" si="28"/>
        <v>2.5</v>
      </c>
      <c r="H1393" s="190">
        <v>5</v>
      </c>
      <c r="I1393" s="190">
        <f t="shared" si="29"/>
        <v>4</v>
      </c>
    </row>
    <row r="1394" spans="1:9" hidden="1" x14ac:dyDescent="0.35">
      <c r="A1394" s="38" t="s">
        <v>772</v>
      </c>
      <c r="B1394" s="38" t="s">
        <v>751</v>
      </c>
      <c r="C1394" s="38" t="s">
        <v>698</v>
      </c>
      <c r="D1394" s="38" t="s">
        <v>700</v>
      </c>
      <c r="E1394" s="190">
        <v>15</v>
      </c>
      <c r="F1394" s="190">
        <v>0.2</v>
      </c>
      <c r="G1394" s="190">
        <f t="shared" si="28"/>
        <v>2.5</v>
      </c>
      <c r="H1394" s="190">
        <v>5</v>
      </c>
      <c r="I1394" s="190">
        <f t="shared" si="29"/>
        <v>4</v>
      </c>
    </row>
    <row r="1395" spans="1:9" hidden="1" x14ac:dyDescent="0.35">
      <c r="A1395" s="38" t="s">
        <v>772</v>
      </c>
      <c r="B1395" s="38" t="s">
        <v>751</v>
      </c>
      <c r="C1395" s="38" t="s">
        <v>698</v>
      </c>
      <c r="D1395" s="38" t="s">
        <v>521</v>
      </c>
      <c r="E1395" s="190">
        <v>8</v>
      </c>
      <c r="F1395" s="190">
        <v>0.23</v>
      </c>
      <c r="G1395" s="190">
        <f t="shared" si="28"/>
        <v>2.5</v>
      </c>
      <c r="H1395" s="190">
        <v>5</v>
      </c>
      <c r="I1395" s="190">
        <f t="shared" si="29"/>
        <v>4</v>
      </c>
    </row>
    <row r="1396" spans="1:9" hidden="1" x14ac:dyDescent="0.35">
      <c r="A1396" s="38" t="s">
        <v>772</v>
      </c>
      <c r="B1396" s="38" t="s">
        <v>751</v>
      </c>
      <c r="C1396" s="38" t="s">
        <v>698</v>
      </c>
      <c r="D1396" s="38" t="s">
        <v>252</v>
      </c>
      <c r="E1396" s="190">
        <v>8</v>
      </c>
      <c r="F1396" s="190">
        <v>0.9</v>
      </c>
      <c r="G1396" s="190">
        <f t="shared" si="28"/>
        <v>2.5</v>
      </c>
      <c r="H1396" s="190">
        <v>5</v>
      </c>
      <c r="I1396" s="190">
        <f t="shared" si="29"/>
        <v>4</v>
      </c>
    </row>
    <row r="1397" spans="1:9" hidden="1" x14ac:dyDescent="0.35">
      <c r="A1397" s="38" t="s">
        <v>772</v>
      </c>
      <c r="B1397" s="38" t="s">
        <v>751</v>
      </c>
      <c r="C1397" s="38" t="s">
        <v>701</v>
      </c>
      <c r="D1397" s="38" t="s">
        <v>702</v>
      </c>
      <c r="E1397" s="190">
        <v>6</v>
      </c>
      <c r="F1397" s="190">
        <v>4.8899999999999997</v>
      </c>
      <c r="G1397" s="190">
        <f t="shared" si="28"/>
        <v>2.25</v>
      </c>
      <c r="H1397" s="190">
        <v>4</v>
      </c>
      <c r="I1397" s="190">
        <f t="shared" si="29"/>
        <v>6</v>
      </c>
    </row>
    <row r="1398" spans="1:9" hidden="1" x14ac:dyDescent="0.35">
      <c r="A1398" s="38" t="s">
        <v>772</v>
      </c>
      <c r="B1398" s="38" t="s">
        <v>751</v>
      </c>
      <c r="C1398" s="38" t="s">
        <v>701</v>
      </c>
      <c r="D1398" s="38" t="s">
        <v>703</v>
      </c>
      <c r="E1398" s="190">
        <v>3.5</v>
      </c>
      <c r="F1398" s="190">
        <v>3.32</v>
      </c>
      <c r="G1398" s="190">
        <f t="shared" si="28"/>
        <v>1</v>
      </c>
      <c r="H1398" s="190">
        <v>8</v>
      </c>
      <c r="I1398" s="190">
        <f t="shared" si="29"/>
        <v>1</v>
      </c>
    </row>
    <row r="1399" spans="1:9" hidden="1" x14ac:dyDescent="0.35">
      <c r="A1399" s="38" t="s">
        <v>772</v>
      </c>
      <c r="B1399" s="38" t="s">
        <v>751</v>
      </c>
      <c r="C1399" s="38" t="s">
        <v>704</v>
      </c>
      <c r="D1399" s="38" t="s">
        <v>746</v>
      </c>
      <c r="E1399" s="190">
        <v>15</v>
      </c>
      <c r="F1399" s="190">
        <v>2.8</v>
      </c>
      <c r="G1399" s="190">
        <f t="shared" si="28"/>
        <v>4</v>
      </c>
      <c r="H1399" s="190">
        <v>2</v>
      </c>
      <c r="I1399" s="190">
        <f t="shared" si="29"/>
        <v>1</v>
      </c>
    </row>
    <row r="1400" spans="1:9" hidden="1" x14ac:dyDescent="0.35">
      <c r="A1400" s="38" t="s">
        <v>772</v>
      </c>
      <c r="B1400" s="38" t="s">
        <v>751</v>
      </c>
      <c r="C1400" s="38" t="s">
        <v>707</v>
      </c>
      <c r="D1400" s="38" t="s">
        <v>708</v>
      </c>
      <c r="E1400" s="190">
        <v>11.9</v>
      </c>
      <c r="F1400" s="190">
        <v>9.26</v>
      </c>
      <c r="G1400" s="190">
        <f t="shared" si="28"/>
        <v>6</v>
      </c>
      <c r="H1400" s="190">
        <v>5.7</v>
      </c>
      <c r="I1400" s="190">
        <f t="shared" si="29"/>
        <v>3</v>
      </c>
    </row>
    <row r="1401" spans="1:9" hidden="1" x14ac:dyDescent="0.35">
      <c r="A1401" s="38" t="s">
        <v>772</v>
      </c>
      <c r="B1401" s="38" t="s">
        <v>752</v>
      </c>
      <c r="C1401" s="38" t="s">
        <v>686</v>
      </c>
      <c r="D1401" s="38" t="s">
        <v>746</v>
      </c>
      <c r="E1401" s="190">
        <v>7.21</v>
      </c>
      <c r="F1401" s="190">
        <v>8.75</v>
      </c>
      <c r="G1401" s="190">
        <f t="shared" si="28"/>
        <v>7.625</v>
      </c>
      <c r="H1401" s="190">
        <v>2</v>
      </c>
      <c r="I1401" s="190">
        <f t="shared" si="29"/>
        <v>0.5</v>
      </c>
    </row>
    <row r="1402" spans="1:9" hidden="1" x14ac:dyDescent="0.35">
      <c r="A1402" s="38" t="s">
        <v>772</v>
      </c>
      <c r="B1402" s="38" t="s">
        <v>752</v>
      </c>
      <c r="C1402" s="38" t="s">
        <v>691</v>
      </c>
      <c r="D1402" s="38" t="s">
        <v>746</v>
      </c>
      <c r="E1402" s="190">
        <v>13.47</v>
      </c>
      <c r="F1402" s="190">
        <v>17.71</v>
      </c>
      <c r="G1402" s="190">
        <f t="shared" si="28"/>
        <v>12.5</v>
      </c>
      <c r="H1402" s="190">
        <v>34.130000000000003</v>
      </c>
      <c r="I1402" s="190">
        <f t="shared" si="29"/>
        <v>2.5</v>
      </c>
    </row>
    <row r="1403" spans="1:9" hidden="1" x14ac:dyDescent="0.35">
      <c r="A1403" s="38" t="s">
        <v>772</v>
      </c>
      <c r="B1403" s="38" t="s">
        <v>752</v>
      </c>
      <c r="C1403" s="38" t="s">
        <v>696</v>
      </c>
      <c r="D1403" s="38" t="s">
        <v>697</v>
      </c>
      <c r="E1403" s="190">
        <v>5.7</v>
      </c>
      <c r="F1403" s="190">
        <v>21.94</v>
      </c>
      <c r="G1403" s="190">
        <f t="shared" si="28"/>
        <v>4.5</v>
      </c>
      <c r="H1403" s="190">
        <v>15</v>
      </c>
      <c r="I1403" s="190">
        <f t="shared" si="29"/>
        <v>1</v>
      </c>
    </row>
    <row r="1404" spans="1:9" hidden="1" x14ac:dyDescent="0.35">
      <c r="A1404" s="38" t="s">
        <v>772</v>
      </c>
      <c r="B1404" s="38" t="s">
        <v>752</v>
      </c>
      <c r="C1404" s="38" t="s">
        <v>698</v>
      </c>
      <c r="D1404" s="38" t="s">
        <v>747</v>
      </c>
      <c r="E1404" s="190">
        <v>10</v>
      </c>
      <c r="F1404" s="190">
        <v>0.93</v>
      </c>
      <c r="G1404" s="190">
        <f t="shared" si="28"/>
        <v>2.5</v>
      </c>
      <c r="H1404" s="190">
        <v>7</v>
      </c>
      <c r="I1404" s="190">
        <f t="shared" si="29"/>
        <v>1</v>
      </c>
    </row>
    <row r="1405" spans="1:9" hidden="1" x14ac:dyDescent="0.35">
      <c r="A1405" s="38" t="s">
        <v>772</v>
      </c>
      <c r="B1405" s="38" t="s">
        <v>752</v>
      </c>
      <c r="C1405" s="38" t="s">
        <v>698</v>
      </c>
      <c r="D1405" s="38" t="s">
        <v>700</v>
      </c>
      <c r="E1405" s="190">
        <v>33</v>
      </c>
      <c r="F1405" s="190">
        <v>0.2</v>
      </c>
      <c r="G1405" s="190">
        <f t="shared" si="28"/>
        <v>2.5</v>
      </c>
      <c r="H1405" s="190">
        <v>7</v>
      </c>
      <c r="I1405" s="190">
        <f t="shared" si="29"/>
        <v>1</v>
      </c>
    </row>
    <row r="1406" spans="1:9" hidden="1" x14ac:dyDescent="0.35">
      <c r="A1406" s="38" t="s">
        <v>772</v>
      </c>
      <c r="B1406" s="38" t="s">
        <v>752</v>
      </c>
      <c r="C1406" s="38" t="s">
        <v>698</v>
      </c>
      <c r="D1406" s="38" t="s">
        <v>521</v>
      </c>
      <c r="E1406" s="190">
        <v>10</v>
      </c>
      <c r="F1406" s="190">
        <v>0.23</v>
      </c>
      <c r="G1406" s="190">
        <f t="shared" si="28"/>
        <v>2.5</v>
      </c>
      <c r="H1406" s="190">
        <v>7</v>
      </c>
      <c r="I1406" s="190">
        <f t="shared" si="29"/>
        <v>1</v>
      </c>
    </row>
    <row r="1407" spans="1:9" hidden="1" x14ac:dyDescent="0.35">
      <c r="A1407" s="38" t="s">
        <v>772</v>
      </c>
      <c r="B1407" s="38" t="s">
        <v>752</v>
      </c>
      <c r="C1407" s="38" t="s">
        <v>698</v>
      </c>
      <c r="D1407" s="38" t="s">
        <v>252</v>
      </c>
      <c r="E1407" s="190">
        <v>25</v>
      </c>
      <c r="F1407" s="190">
        <v>0.9</v>
      </c>
      <c r="G1407" s="190">
        <f t="shared" si="28"/>
        <v>2.5</v>
      </c>
      <c r="H1407" s="190">
        <v>7</v>
      </c>
      <c r="I1407" s="190">
        <f t="shared" si="29"/>
        <v>1</v>
      </c>
    </row>
    <row r="1408" spans="1:9" hidden="1" x14ac:dyDescent="0.35">
      <c r="A1408" s="38" t="s">
        <v>772</v>
      </c>
      <c r="B1408" s="38" t="s">
        <v>752</v>
      </c>
      <c r="C1408" s="38" t="s">
        <v>701</v>
      </c>
      <c r="D1408" s="38" t="s">
        <v>702</v>
      </c>
      <c r="E1408" s="190">
        <v>8</v>
      </c>
      <c r="F1408" s="190">
        <v>8.01</v>
      </c>
      <c r="G1408" s="190">
        <f t="shared" si="28"/>
        <v>0.05</v>
      </c>
      <c r="H1408" s="190">
        <v>3</v>
      </c>
      <c r="I1408" s="190">
        <f t="shared" si="29"/>
        <v>0.5</v>
      </c>
    </row>
    <row r="1409" spans="1:9" hidden="1" x14ac:dyDescent="0.35">
      <c r="A1409" s="38" t="s">
        <v>772</v>
      </c>
      <c r="B1409" s="38" t="s">
        <v>752</v>
      </c>
      <c r="C1409" s="38" t="s">
        <v>701</v>
      </c>
      <c r="D1409" s="38" t="s">
        <v>703</v>
      </c>
      <c r="E1409" s="190">
        <v>6</v>
      </c>
      <c r="F1409" s="190">
        <v>8.1999999999999993</v>
      </c>
      <c r="G1409" s="190">
        <f t="shared" si="28"/>
        <v>1</v>
      </c>
      <c r="H1409" s="190">
        <v>10</v>
      </c>
      <c r="I1409" s="190">
        <f t="shared" si="29"/>
        <v>0.05</v>
      </c>
    </row>
    <row r="1410" spans="1:9" hidden="1" x14ac:dyDescent="0.35">
      <c r="A1410" s="38" t="s">
        <v>772</v>
      </c>
      <c r="B1410" s="38" t="s">
        <v>752</v>
      </c>
      <c r="C1410" s="38" t="s">
        <v>704</v>
      </c>
      <c r="D1410" s="38" t="s">
        <v>746</v>
      </c>
      <c r="E1410" s="190">
        <v>12</v>
      </c>
      <c r="F1410" s="190">
        <v>8.18</v>
      </c>
      <c r="G1410" s="190">
        <f t="shared" si="28"/>
        <v>4</v>
      </c>
      <c r="H1410" s="190">
        <v>2</v>
      </c>
      <c r="I1410" s="190">
        <f t="shared" si="29"/>
        <v>0.5</v>
      </c>
    </row>
    <row r="1411" spans="1:9" hidden="1" x14ac:dyDescent="0.35">
      <c r="A1411" s="38" t="s">
        <v>772</v>
      </c>
      <c r="B1411" s="38" t="s">
        <v>752</v>
      </c>
      <c r="C1411" s="38" t="s">
        <v>707</v>
      </c>
      <c r="D1411" s="38" t="s">
        <v>708</v>
      </c>
      <c r="E1411" s="190">
        <v>14</v>
      </c>
      <c r="F1411" s="190">
        <v>16.940000000000001</v>
      </c>
      <c r="G1411" s="190">
        <f t="shared" ref="G1411:G1422" si="30">G67*0.5</f>
        <v>7.5</v>
      </c>
      <c r="H1411" s="190">
        <v>5</v>
      </c>
      <c r="I1411" s="190">
        <f t="shared" ref="I1411:I1422" si="31">I67*0.5</f>
        <v>1</v>
      </c>
    </row>
    <row r="1412" spans="1:9" hidden="1" x14ac:dyDescent="0.35">
      <c r="A1412" s="38" t="s">
        <v>772</v>
      </c>
      <c r="B1412" s="38" t="s">
        <v>753</v>
      </c>
      <c r="C1412" s="38" t="s">
        <v>686</v>
      </c>
      <c r="D1412" s="38" t="s">
        <v>746</v>
      </c>
      <c r="E1412" s="190">
        <v>6</v>
      </c>
      <c r="F1412" s="190">
        <v>6.59</v>
      </c>
      <c r="G1412" s="190">
        <f t="shared" si="30"/>
        <v>3.5</v>
      </c>
      <c r="H1412" s="190">
        <v>2.98</v>
      </c>
      <c r="I1412" s="190">
        <f t="shared" si="31"/>
        <v>1.5</v>
      </c>
    </row>
    <row r="1413" spans="1:9" hidden="1" x14ac:dyDescent="0.35">
      <c r="A1413" s="38" t="s">
        <v>772</v>
      </c>
      <c r="B1413" s="38" t="s">
        <v>753</v>
      </c>
      <c r="C1413" s="38" t="s">
        <v>691</v>
      </c>
      <c r="D1413" s="38" t="s">
        <v>746</v>
      </c>
      <c r="E1413" s="190">
        <v>8.7100000000000009</v>
      </c>
      <c r="F1413" s="190">
        <v>9.8699999999999992</v>
      </c>
      <c r="G1413" s="190">
        <f t="shared" si="30"/>
        <v>12.5</v>
      </c>
      <c r="H1413" s="190">
        <v>12.96</v>
      </c>
      <c r="I1413" s="190">
        <f t="shared" si="31"/>
        <v>9.08</v>
      </c>
    </row>
    <row r="1414" spans="1:9" hidden="1" x14ac:dyDescent="0.35">
      <c r="A1414" s="38" t="s">
        <v>772</v>
      </c>
      <c r="B1414" s="38" t="s">
        <v>753</v>
      </c>
      <c r="C1414" s="38" t="s">
        <v>696</v>
      </c>
      <c r="D1414" s="38" t="s">
        <v>697</v>
      </c>
      <c r="E1414" s="190">
        <v>8.1999999999999993</v>
      </c>
      <c r="F1414" s="190">
        <v>25.47</v>
      </c>
      <c r="G1414" s="190">
        <f t="shared" si="30"/>
        <v>4.5</v>
      </c>
      <c r="H1414" s="190">
        <v>12.33</v>
      </c>
      <c r="I1414" s="190">
        <f t="shared" si="31"/>
        <v>1</v>
      </c>
    </row>
    <row r="1415" spans="1:9" hidden="1" x14ac:dyDescent="0.35">
      <c r="A1415" s="38" t="s">
        <v>772</v>
      </c>
      <c r="B1415" s="38" t="s">
        <v>753</v>
      </c>
      <c r="C1415" s="38" t="s">
        <v>698</v>
      </c>
      <c r="D1415" s="38" t="s">
        <v>747</v>
      </c>
      <c r="E1415" s="190">
        <v>10</v>
      </c>
      <c r="F1415" s="190">
        <v>0.21</v>
      </c>
      <c r="G1415" s="190">
        <f t="shared" si="30"/>
        <v>2.5</v>
      </c>
      <c r="H1415" s="190">
        <v>7</v>
      </c>
      <c r="I1415" s="190">
        <f t="shared" si="31"/>
        <v>2</v>
      </c>
    </row>
    <row r="1416" spans="1:9" hidden="1" x14ac:dyDescent="0.35">
      <c r="A1416" s="38" t="s">
        <v>772</v>
      </c>
      <c r="B1416" s="38" t="s">
        <v>753</v>
      </c>
      <c r="C1416" s="38" t="s">
        <v>698</v>
      </c>
      <c r="D1416" s="38" t="s">
        <v>700</v>
      </c>
      <c r="E1416" s="190">
        <v>10</v>
      </c>
      <c r="F1416" s="190">
        <v>0.2</v>
      </c>
      <c r="G1416" s="190">
        <f t="shared" si="30"/>
        <v>2.5</v>
      </c>
      <c r="H1416" s="190">
        <v>7</v>
      </c>
      <c r="I1416" s="190">
        <f t="shared" si="31"/>
        <v>2</v>
      </c>
    </row>
    <row r="1417" spans="1:9" hidden="1" x14ac:dyDescent="0.35">
      <c r="A1417" s="38" t="s">
        <v>772</v>
      </c>
      <c r="B1417" s="38" t="s">
        <v>753</v>
      </c>
      <c r="C1417" s="38" t="s">
        <v>698</v>
      </c>
      <c r="D1417" s="38" t="s">
        <v>521</v>
      </c>
      <c r="E1417" s="190">
        <v>6</v>
      </c>
      <c r="F1417" s="190">
        <v>0.47</v>
      </c>
      <c r="G1417" s="190">
        <f t="shared" si="30"/>
        <v>2.5</v>
      </c>
      <c r="H1417" s="190">
        <v>7</v>
      </c>
      <c r="I1417" s="190">
        <f t="shared" si="31"/>
        <v>2</v>
      </c>
    </row>
    <row r="1418" spans="1:9" hidden="1" x14ac:dyDescent="0.35">
      <c r="A1418" s="38" t="s">
        <v>772</v>
      </c>
      <c r="B1418" s="38" t="s">
        <v>753</v>
      </c>
      <c r="C1418" s="38" t="s">
        <v>698</v>
      </c>
      <c r="D1418" s="38" t="s">
        <v>252</v>
      </c>
      <c r="E1418" s="190">
        <v>8</v>
      </c>
      <c r="F1418" s="190">
        <v>0.97</v>
      </c>
      <c r="G1418" s="190">
        <f t="shared" si="30"/>
        <v>2.5</v>
      </c>
      <c r="H1418" s="190">
        <v>7</v>
      </c>
      <c r="I1418" s="190">
        <f t="shared" si="31"/>
        <v>2</v>
      </c>
    </row>
    <row r="1419" spans="1:9" hidden="1" x14ac:dyDescent="0.35">
      <c r="A1419" s="38" t="s">
        <v>772</v>
      </c>
      <c r="B1419" s="38" t="s">
        <v>753</v>
      </c>
      <c r="C1419" s="38" t="s">
        <v>701</v>
      </c>
      <c r="D1419" s="38" t="s">
        <v>702</v>
      </c>
      <c r="E1419" s="190">
        <v>8</v>
      </c>
      <c r="F1419" s="190">
        <v>7.23</v>
      </c>
      <c r="G1419" s="190">
        <f t="shared" si="30"/>
        <v>0.05</v>
      </c>
      <c r="H1419" s="190">
        <v>3</v>
      </c>
      <c r="I1419" s="190">
        <f t="shared" si="31"/>
        <v>1</v>
      </c>
    </row>
    <row r="1420" spans="1:9" hidden="1" x14ac:dyDescent="0.35">
      <c r="A1420" s="38" t="s">
        <v>772</v>
      </c>
      <c r="B1420" s="38" t="s">
        <v>753</v>
      </c>
      <c r="C1420" s="38" t="s">
        <v>701</v>
      </c>
      <c r="D1420" s="38" t="s">
        <v>703</v>
      </c>
      <c r="E1420" s="190">
        <v>3.5</v>
      </c>
      <c r="F1420" s="190">
        <v>4.68</v>
      </c>
      <c r="G1420" s="190">
        <f t="shared" si="30"/>
        <v>1</v>
      </c>
      <c r="H1420" s="190">
        <v>10</v>
      </c>
      <c r="I1420" s="190">
        <f t="shared" si="31"/>
        <v>0.5</v>
      </c>
    </row>
    <row r="1421" spans="1:9" hidden="1" x14ac:dyDescent="0.35">
      <c r="A1421" s="38" t="s">
        <v>772</v>
      </c>
      <c r="B1421" s="38" t="s">
        <v>753</v>
      </c>
      <c r="C1421" s="38" t="s">
        <v>704</v>
      </c>
      <c r="D1421" s="38" t="s">
        <v>746</v>
      </c>
      <c r="E1421" s="190">
        <v>7</v>
      </c>
      <c r="F1421" s="190">
        <v>3.4</v>
      </c>
      <c r="G1421" s="190">
        <f t="shared" si="30"/>
        <v>4</v>
      </c>
      <c r="H1421" s="190">
        <v>2</v>
      </c>
      <c r="I1421" s="190">
        <f t="shared" si="31"/>
        <v>0.5</v>
      </c>
    </row>
    <row r="1422" spans="1:9" hidden="1" x14ac:dyDescent="0.35">
      <c r="A1422" s="38" t="s">
        <v>772</v>
      </c>
      <c r="B1422" s="38" t="s">
        <v>753</v>
      </c>
      <c r="C1422" s="38" t="s">
        <v>707</v>
      </c>
      <c r="D1422" s="38" t="s">
        <v>708</v>
      </c>
      <c r="E1422" s="190">
        <v>8.15</v>
      </c>
      <c r="F1422" s="190">
        <v>12.11</v>
      </c>
      <c r="G1422" s="190">
        <f t="shared" si="30"/>
        <v>5</v>
      </c>
      <c r="H1422" s="190">
        <v>10.78</v>
      </c>
      <c r="I1422" s="190">
        <f t="shared" si="31"/>
        <v>1.94</v>
      </c>
    </row>
    <row r="1423" spans="1:9" hidden="1" x14ac:dyDescent="0.35">
      <c r="A1423" s="38" t="s">
        <v>773</v>
      </c>
      <c r="B1423" s="38" t="s">
        <v>745</v>
      </c>
      <c r="C1423" s="38" t="s">
        <v>686</v>
      </c>
      <c r="D1423" s="38" t="s">
        <v>746</v>
      </c>
      <c r="E1423" s="94">
        <f>E2*0.5</f>
        <v>2.15</v>
      </c>
      <c r="F1423" s="94">
        <f>F2*0.5</f>
        <v>1.9</v>
      </c>
      <c r="G1423" s="94">
        <f>G2*0.5</f>
        <v>5.25</v>
      </c>
      <c r="H1423" s="94">
        <f>H2*0.5</f>
        <v>1.5</v>
      </c>
      <c r="I1423" s="94">
        <f>I2*0.5</f>
        <v>13.5</v>
      </c>
    </row>
    <row r="1424" spans="1:9" hidden="1" x14ac:dyDescent="0.35">
      <c r="A1424" s="38" t="s">
        <v>773</v>
      </c>
      <c r="B1424" s="38" t="s">
        <v>745</v>
      </c>
      <c r="C1424" s="38" t="s">
        <v>691</v>
      </c>
      <c r="D1424" s="38" t="s">
        <v>746</v>
      </c>
      <c r="E1424" s="94">
        <v>20</v>
      </c>
      <c r="F1424" s="94">
        <v>7.3</v>
      </c>
      <c r="G1424" s="94">
        <v>2</v>
      </c>
      <c r="H1424" s="94">
        <v>4.9000000000000004</v>
      </c>
      <c r="I1424" s="94">
        <v>19</v>
      </c>
    </row>
    <row r="1425" spans="1:9" hidden="1" x14ac:dyDescent="0.35">
      <c r="A1425" s="38" t="s">
        <v>773</v>
      </c>
      <c r="B1425" s="38" t="s">
        <v>745</v>
      </c>
      <c r="C1425" s="38" t="s">
        <v>696</v>
      </c>
      <c r="D1425" s="38" t="s">
        <v>697</v>
      </c>
      <c r="E1425" s="94">
        <v>9.4</v>
      </c>
      <c r="F1425" s="94">
        <v>7.9</v>
      </c>
      <c r="G1425" s="94">
        <v>6</v>
      </c>
      <c r="H1425" s="94">
        <v>9</v>
      </c>
      <c r="I1425" s="94">
        <v>11</v>
      </c>
    </row>
    <row r="1426" spans="1:9" hidden="1" x14ac:dyDescent="0.35">
      <c r="A1426" s="38" t="s">
        <v>773</v>
      </c>
      <c r="B1426" s="38" t="s">
        <v>745</v>
      </c>
      <c r="C1426" s="38" t="s">
        <v>698</v>
      </c>
      <c r="D1426" s="38" t="s">
        <v>747</v>
      </c>
      <c r="E1426" s="94">
        <f t="shared" ref="E1426:I1429" si="32">E5*0.5</f>
        <v>1.1499999999999999</v>
      </c>
      <c r="F1426" s="94">
        <f t="shared" si="32"/>
        <v>0.3</v>
      </c>
      <c r="G1426" s="94">
        <f t="shared" si="32"/>
        <v>2.5</v>
      </c>
      <c r="H1426" s="94">
        <f t="shared" si="32"/>
        <v>2</v>
      </c>
      <c r="I1426" s="94">
        <f t="shared" si="32"/>
        <v>5.5</v>
      </c>
    </row>
    <row r="1427" spans="1:9" hidden="1" x14ac:dyDescent="0.35">
      <c r="A1427" s="38" t="s">
        <v>773</v>
      </c>
      <c r="B1427" s="38" t="s">
        <v>745</v>
      </c>
      <c r="C1427" s="38" t="s">
        <v>698</v>
      </c>
      <c r="D1427" s="38" t="s">
        <v>700</v>
      </c>
      <c r="E1427" s="94">
        <f t="shared" si="32"/>
        <v>5</v>
      </c>
      <c r="F1427" s="94">
        <f t="shared" si="32"/>
        <v>0.3</v>
      </c>
      <c r="G1427" s="94">
        <f t="shared" si="32"/>
        <v>2.5</v>
      </c>
      <c r="H1427" s="94">
        <f t="shared" si="32"/>
        <v>2</v>
      </c>
      <c r="I1427" s="94">
        <f t="shared" si="32"/>
        <v>5.5</v>
      </c>
    </row>
    <row r="1428" spans="1:9" hidden="1" x14ac:dyDescent="0.35">
      <c r="A1428" s="38" t="s">
        <v>773</v>
      </c>
      <c r="B1428" s="38" t="s">
        <v>745</v>
      </c>
      <c r="C1428" s="38" t="s">
        <v>698</v>
      </c>
      <c r="D1428" s="38" t="s">
        <v>521</v>
      </c>
      <c r="E1428" s="94">
        <f t="shared" si="32"/>
        <v>1.25</v>
      </c>
      <c r="F1428" s="94">
        <f t="shared" si="32"/>
        <v>0.15</v>
      </c>
      <c r="G1428" s="94">
        <f t="shared" si="32"/>
        <v>2.5</v>
      </c>
      <c r="H1428" s="94">
        <f t="shared" si="32"/>
        <v>2</v>
      </c>
      <c r="I1428" s="94">
        <f t="shared" si="32"/>
        <v>5.5</v>
      </c>
    </row>
    <row r="1429" spans="1:9" hidden="1" x14ac:dyDescent="0.35">
      <c r="A1429" s="38" t="s">
        <v>773</v>
      </c>
      <c r="B1429" s="38" t="s">
        <v>745</v>
      </c>
      <c r="C1429" s="38" t="s">
        <v>698</v>
      </c>
      <c r="D1429" s="38" t="s">
        <v>252</v>
      </c>
      <c r="E1429" s="94">
        <f t="shared" si="32"/>
        <v>3.5</v>
      </c>
      <c r="F1429" s="94">
        <f t="shared" si="32"/>
        <v>0.45</v>
      </c>
      <c r="G1429" s="94">
        <f t="shared" si="32"/>
        <v>2.5</v>
      </c>
      <c r="H1429" s="94">
        <f t="shared" si="32"/>
        <v>2</v>
      </c>
      <c r="I1429" s="94">
        <f t="shared" si="32"/>
        <v>5.5</v>
      </c>
    </row>
    <row r="1430" spans="1:9" hidden="1" x14ac:dyDescent="0.35">
      <c r="A1430" s="38" t="s">
        <v>773</v>
      </c>
      <c r="B1430" s="38" t="s">
        <v>745</v>
      </c>
      <c r="C1430" s="38" t="s">
        <v>701</v>
      </c>
      <c r="D1430" s="38" t="s">
        <v>702</v>
      </c>
      <c r="E1430" s="94">
        <v>4</v>
      </c>
      <c r="F1430" s="94">
        <v>1.9</v>
      </c>
      <c r="G1430" s="94">
        <v>0.5</v>
      </c>
      <c r="H1430" s="94">
        <v>2</v>
      </c>
      <c r="I1430" s="94">
        <v>8</v>
      </c>
    </row>
    <row r="1431" spans="1:9" hidden="1" x14ac:dyDescent="0.35">
      <c r="A1431" s="38" t="s">
        <v>773</v>
      </c>
      <c r="B1431" s="38" t="s">
        <v>745</v>
      </c>
      <c r="C1431" s="38" t="s">
        <v>701</v>
      </c>
      <c r="D1431" s="38" t="s">
        <v>703</v>
      </c>
      <c r="E1431" s="94">
        <v>3.5</v>
      </c>
      <c r="F1431" s="94">
        <v>1.7</v>
      </c>
      <c r="G1431" s="94">
        <v>1.2</v>
      </c>
      <c r="H1431" s="94">
        <v>0.82</v>
      </c>
      <c r="I1431" s="94">
        <v>7</v>
      </c>
    </row>
    <row r="1432" spans="1:9" hidden="1" x14ac:dyDescent="0.35">
      <c r="A1432" s="38" t="s">
        <v>773</v>
      </c>
      <c r="B1432" s="38" t="s">
        <v>745</v>
      </c>
      <c r="C1432" s="38" t="s">
        <v>704</v>
      </c>
      <c r="D1432" s="38" t="s">
        <v>746</v>
      </c>
      <c r="E1432" s="94">
        <v>5.3</v>
      </c>
      <c r="F1432" s="94">
        <v>1.2</v>
      </c>
      <c r="G1432" s="94">
        <v>5</v>
      </c>
      <c r="H1432" s="94">
        <v>1</v>
      </c>
      <c r="I1432" s="94">
        <v>4</v>
      </c>
    </row>
    <row r="1433" spans="1:9" hidden="1" x14ac:dyDescent="0.35">
      <c r="A1433" s="38" t="s">
        <v>773</v>
      </c>
      <c r="B1433" s="38" t="s">
        <v>745</v>
      </c>
      <c r="C1433" s="38" t="s">
        <v>707</v>
      </c>
      <c r="D1433" s="38" t="s">
        <v>708</v>
      </c>
      <c r="E1433" s="94">
        <v>20</v>
      </c>
      <c r="F1433" s="94">
        <v>7.6</v>
      </c>
      <c r="G1433" s="94">
        <v>13.8</v>
      </c>
      <c r="H1433" s="94">
        <v>7</v>
      </c>
      <c r="I1433" s="94">
        <v>17</v>
      </c>
    </row>
    <row r="1434" spans="1:9" hidden="1" x14ac:dyDescent="0.35">
      <c r="A1434" s="38" t="s">
        <v>773</v>
      </c>
      <c r="B1434" s="38" t="s">
        <v>748</v>
      </c>
      <c r="C1434" s="38" t="s">
        <v>686</v>
      </c>
      <c r="D1434" s="38" t="s">
        <v>746</v>
      </c>
      <c r="E1434" s="94">
        <f>E13*0.5</f>
        <v>1.96</v>
      </c>
      <c r="F1434" s="94">
        <f>F13*0.5</f>
        <v>2.12</v>
      </c>
      <c r="G1434" s="94">
        <f>G13*0.5</f>
        <v>5.9</v>
      </c>
      <c r="H1434" s="94">
        <f>H13*0.5</f>
        <v>1</v>
      </c>
      <c r="I1434" s="94">
        <f>I13*0.5</f>
        <v>6.8250000000000002</v>
      </c>
    </row>
    <row r="1435" spans="1:9" hidden="1" x14ac:dyDescent="0.35">
      <c r="A1435" s="38" t="s">
        <v>773</v>
      </c>
      <c r="B1435" s="38" t="s">
        <v>748</v>
      </c>
      <c r="C1435" s="38" t="s">
        <v>691</v>
      </c>
      <c r="D1435" s="38" t="s">
        <v>746</v>
      </c>
      <c r="E1435" s="94">
        <v>10</v>
      </c>
      <c r="F1435" s="94">
        <v>8.3699999999999992</v>
      </c>
      <c r="G1435" s="94">
        <v>2</v>
      </c>
      <c r="H1435" s="94">
        <v>8</v>
      </c>
      <c r="I1435" s="94">
        <v>10.35</v>
      </c>
    </row>
    <row r="1436" spans="1:9" hidden="1" x14ac:dyDescent="0.35">
      <c r="A1436" s="38" t="s">
        <v>773</v>
      </c>
      <c r="B1436" s="38" t="s">
        <v>748</v>
      </c>
      <c r="C1436" s="38" t="s">
        <v>696</v>
      </c>
      <c r="D1436" s="38" t="s">
        <v>697</v>
      </c>
      <c r="E1436" s="94">
        <v>15</v>
      </c>
      <c r="F1436" s="94">
        <v>16.5</v>
      </c>
      <c r="G1436" s="94">
        <v>6</v>
      </c>
      <c r="H1436" s="94">
        <v>11</v>
      </c>
      <c r="I1436" s="94">
        <v>7.3</v>
      </c>
    </row>
    <row r="1437" spans="1:9" hidden="1" x14ac:dyDescent="0.35">
      <c r="A1437" s="38" t="s">
        <v>773</v>
      </c>
      <c r="B1437" s="38" t="s">
        <v>748</v>
      </c>
      <c r="C1437" s="38" t="s">
        <v>698</v>
      </c>
      <c r="D1437" s="38" t="s">
        <v>747</v>
      </c>
      <c r="E1437" s="94">
        <f>E16*0.5</f>
        <v>1.1499999999999999</v>
      </c>
      <c r="F1437" s="94">
        <f>F16*0.5</f>
        <v>0.27500000000000002</v>
      </c>
      <c r="G1437" s="94">
        <f>G16*0.5</f>
        <v>2.5</v>
      </c>
      <c r="H1437" s="94">
        <f>H16*0.5</f>
        <v>3</v>
      </c>
      <c r="I1437" s="94">
        <f>I16*0.5</f>
        <v>3.4</v>
      </c>
    </row>
    <row r="1438" spans="1:9" hidden="1" x14ac:dyDescent="0.35">
      <c r="A1438" s="38" t="s">
        <v>773</v>
      </c>
      <c r="B1438" s="38" t="s">
        <v>748</v>
      </c>
      <c r="C1438" s="38" t="s">
        <v>698</v>
      </c>
      <c r="D1438" s="38" t="s">
        <v>700</v>
      </c>
      <c r="E1438" s="94">
        <f t="shared" ref="E1438:I1440" si="33">E17*0.5</f>
        <v>5</v>
      </c>
      <c r="F1438" s="94">
        <f t="shared" si="33"/>
        <v>0.40500000000000003</v>
      </c>
      <c r="G1438" s="94">
        <f t="shared" si="33"/>
        <v>2.5</v>
      </c>
      <c r="H1438" s="94">
        <f t="shared" si="33"/>
        <v>3</v>
      </c>
      <c r="I1438" s="94">
        <f t="shared" si="33"/>
        <v>3.4</v>
      </c>
    </row>
    <row r="1439" spans="1:9" hidden="1" x14ac:dyDescent="0.35">
      <c r="A1439" s="38" t="s">
        <v>773</v>
      </c>
      <c r="B1439" s="38" t="s">
        <v>748</v>
      </c>
      <c r="C1439" s="38" t="s">
        <v>698</v>
      </c>
      <c r="D1439" s="38" t="s">
        <v>521</v>
      </c>
      <c r="E1439" s="94">
        <f t="shared" si="33"/>
        <v>1.25</v>
      </c>
      <c r="F1439" s="94">
        <f t="shared" si="33"/>
        <v>0.09</v>
      </c>
      <c r="G1439" s="94">
        <f t="shared" si="33"/>
        <v>2.5</v>
      </c>
      <c r="H1439" s="94">
        <f t="shared" si="33"/>
        <v>3</v>
      </c>
      <c r="I1439" s="94">
        <f t="shared" si="33"/>
        <v>3.4</v>
      </c>
    </row>
    <row r="1440" spans="1:9" hidden="1" x14ac:dyDescent="0.35">
      <c r="A1440" s="38" t="s">
        <v>773</v>
      </c>
      <c r="B1440" s="38" t="s">
        <v>748</v>
      </c>
      <c r="C1440" s="38" t="s">
        <v>698</v>
      </c>
      <c r="D1440" s="38" t="s">
        <v>252</v>
      </c>
      <c r="E1440" s="94">
        <f t="shared" si="33"/>
        <v>3.5</v>
      </c>
      <c r="F1440" s="94">
        <f t="shared" si="33"/>
        <v>0.51500000000000001</v>
      </c>
      <c r="G1440" s="94">
        <f t="shared" si="33"/>
        <v>2.5</v>
      </c>
      <c r="H1440" s="94">
        <f t="shared" si="33"/>
        <v>3</v>
      </c>
      <c r="I1440" s="94">
        <f t="shared" si="33"/>
        <v>3.4</v>
      </c>
    </row>
    <row r="1441" spans="1:9" hidden="1" x14ac:dyDescent="0.35">
      <c r="A1441" s="38" t="s">
        <v>773</v>
      </c>
      <c r="B1441" s="38" t="s">
        <v>748</v>
      </c>
      <c r="C1441" s="38" t="s">
        <v>701</v>
      </c>
      <c r="D1441" s="38" t="s">
        <v>702</v>
      </c>
      <c r="E1441" s="94">
        <v>6</v>
      </c>
      <c r="F1441" s="94">
        <v>2.38</v>
      </c>
      <c r="G1441" s="94">
        <v>0.5</v>
      </c>
      <c r="H1441" s="94">
        <v>4</v>
      </c>
      <c r="I1441" s="94">
        <v>3.65</v>
      </c>
    </row>
    <row r="1442" spans="1:9" hidden="1" x14ac:dyDescent="0.35">
      <c r="A1442" s="38" t="s">
        <v>773</v>
      </c>
      <c r="B1442" s="38" t="s">
        <v>748</v>
      </c>
      <c r="C1442" s="38" t="s">
        <v>701</v>
      </c>
      <c r="D1442" s="38" t="s">
        <v>703</v>
      </c>
      <c r="E1442" s="94">
        <v>3.5</v>
      </c>
      <c r="F1442" s="94">
        <v>2.2400000000000002</v>
      </c>
      <c r="G1442" s="94">
        <v>1.2</v>
      </c>
      <c r="H1442" s="94">
        <v>0.5</v>
      </c>
      <c r="I1442" s="94">
        <v>2.6</v>
      </c>
    </row>
    <row r="1443" spans="1:9" hidden="1" x14ac:dyDescent="0.35">
      <c r="A1443" s="38" t="s">
        <v>773</v>
      </c>
      <c r="B1443" s="38" t="s">
        <v>748</v>
      </c>
      <c r="C1443" s="38" t="s">
        <v>704</v>
      </c>
      <c r="D1443" s="38" t="s">
        <v>746</v>
      </c>
      <c r="E1443" s="94">
        <v>6</v>
      </c>
      <c r="F1443" s="94">
        <v>2.72</v>
      </c>
      <c r="G1443" s="94">
        <v>5</v>
      </c>
      <c r="H1443" s="94">
        <v>1</v>
      </c>
      <c r="I1443" s="94">
        <v>16.55</v>
      </c>
    </row>
    <row r="1444" spans="1:9" hidden="1" x14ac:dyDescent="0.35">
      <c r="A1444" s="38" t="s">
        <v>773</v>
      </c>
      <c r="B1444" s="38" t="s">
        <v>748</v>
      </c>
      <c r="C1444" s="38" t="s">
        <v>707</v>
      </c>
      <c r="D1444" s="38" t="s">
        <v>708</v>
      </c>
      <c r="E1444" s="94">
        <v>20</v>
      </c>
      <c r="F1444" s="94">
        <v>4.8499999999999996</v>
      </c>
      <c r="G1444" s="94">
        <v>15</v>
      </c>
      <c r="H1444" s="94">
        <v>9</v>
      </c>
      <c r="I1444" s="94">
        <v>7.15</v>
      </c>
    </row>
    <row r="1445" spans="1:9" hidden="1" x14ac:dyDescent="0.35">
      <c r="A1445" s="38" t="s">
        <v>773</v>
      </c>
      <c r="B1445" s="38" t="s">
        <v>749</v>
      </c>
      <c r="C1445" s="38" t="s">
        <v>686</v>
      </c>
      <c r="D1445" s="38" t="s">
        <v>746</v>
      </c>
      <c r="E1445" s="94">
        <f>E24*0.5</f>
        <v>3.585</v>
      </c>
      <c r="F1445" s="94">
        <f>F24*0.5</f>
        <v>1.625</v>
      </c>
      <c r="G1445" s="94">
        <f>G24*0.5</f>
        <v>5.25</v>
      </c>
      <c r="H1445" s="94">
        <f>H24*0.5</f>
        <v>4.5</v>
      </c>
      <c r="I1445" s="94">
        <f>I24*0.5</f>
        <v>11.994999999999999</v>
      </c>
    </row>
    <row r="1446" spans="1:9" hidden="1" x14ac:dyDescent="0.35">
      <c r="A1446" s="38" t="s">
        <v>773</v>
      </c>
      <c r="B1446" s="38" t="s">
        <v>749</v>
      </c>
      <c r="C1446" s="38" t="s">
        <v>691</v>
      </c>
      <c r="D1446" s="38" t="s">
        <v>746</v>
      </c>
      <c r="E1446" s="94">
        <v>20</v>
      </c>
      <c r="F1446" s="94">
        <v>15.3</v>
      </c>
      <c r="G1446" s="94">
        <v>2</v>
      </c>
      <c r="H1446" s="94">
        <v>9.35</v>
      </c>
      <c r="I1446" s="94">
        <v>25.43</v>
      </c>
    </row>
    <row r="1447" spans="1:9" hidden="1" x14ac:dyDescent="0.35">
      <c r="A1447" s="38" t="s">
        <v>773</v>
      </c>
      <c r="B1447" s="38" t="s">
        <v>749</v>
      </c>
      <c r="C1447" s="38" t="s">
        <v>696</v>
      </c>
      <c r="D1447" s="38" t="s">
        <v>697</v>
      </c>
      <c r="E1447" s="94">
        <v>12</v>
      </c>
      <c r="F1447" s="94">
        <v>2.2200000000000002</v>
      </c>
      <c r="G1447" s="94">
        <v>6</v>
      </c>
      <c r="H1447" s="94">
        <v>6.83</v>
      </c>
      <c r="I1447" s="94">
        <v>28.17</v>
      </c>
    </row>
    <row r="1448" spans="1:9" hidden="1" x14ac:dyDescent="0.35">
      <c r="A1448" s="38" t="s">
        <v>773</v>
      </c>
      <c r="B1448" s="38" t="s">
        <v>749</v>
      </c>
      <c r="C1448" s="38" t="s">
        <v>698</v>
      </c>
      <c r="D1448" s="38" t="s">
        <v>747</v>
      </c>
      <c r="E1448" s="94">
        <f>E27*0.5</f>
        <v>1.1499999999999999</v>
      </c>
      <c r="F1448" s="94">
        <f>F27*0.5</f>
        <v>0.155</v>
      </c>
      <c r="G1448" s="94">
        <f>G27*0.5</f>
        <v>2.5</v>
      </c>
      <c r="H1448" s="94">
        <f>H27*0.5</f>
        <v>1.95</v>
      </c>
      <c r="I1448" s="94">
        <f>I27*0.5</f>
        <v>10.595000000000001</v>
      </c>
    </row>
    <row r="1449" spans="1:9" hidden="1" x14ac:dyDescent="0.35">
      <c r="A1449" s="38" t="s">
        <v>773</v>
      </c>
      <c r="B1449" s="38" t="s">
        <v>749</v>
      </c>
      <c r="C1449" s="38" t="s">
        <v>698</v>
      </c>
      <c r="D1449" s="38" t="s">
        <v>700</v>
      </c>
      <c r="E1449" s="94">
        <f t="shared" ref="E1449:I1451" si="34">E28*0.5</f>
        <v>5</v>
      </c>
      <c r="F1449" s="94">
        <f t="shared" si="34"/>
        <v>0.4</v>
      </c>
      <c r="G1449" s="94">
        <f t="shared" si="34"/>
        <v>2.5</v>
      </c>
      <c r="H1449" s="94">
        <f t="shared" si="34"/>
        <v>1.95</v>
      </c>
      <c r="I1449" s="94">
        <f t="shared" si="34"/>
        <v>10.595000000000001</v>
      </c>
    </row>
    <row r="1450" spans="1:9" hidden="1" x14ac:dyDescent="0.35">
      <c r="A1450" s="38" t="s">
        <v>773</v>
      </c>
      <c r="B1450" s="38" t="s">
        <v>749</v>
      </c>
      <c r="C1450" s="38" t="s">
        <v>698</v>
      </c>
      <c r="D1450" s="38" t="s">
        <v>521</v>
      </c>
      <c r="E1450" s="94">
        <f t="shared" si="34"/>
        <v>1.25</v>
      </c>
      <c r="F1450" s="94">
        <f t="shared" si="34"/>
        <v>0.33</v>
      </c>
      <c r="G1450" s="94">
        <f t="shared" si="34"/>
        <v>2.5</v>
      </c>
      <c r="H1450" s="94">
        <f t="shared" si="34"/>
        <v>1.95</v>
      </c>
      <c r="I1450" s="94">
        <f t="shared" si="34"/>
        <v>10.595000000000001</v>
      </c>
    </row>
    <row r="1451" spans="1:9" hidden="1" x14ac:dyDescent="0.35">
      <c r="A1451" s="38" t="s">
        <v>773</v>
      </c>
      <c r="B1451" s="38" t="s">
        <v>749</v>
      </c>
      <c r="C1451" s="38" t="s">
        <v>698</v>
      </c>
      <c r="D1451" s="38" t="s">
        <v>252</v>
      </c>
      <c r="E1451" s="94">
        <f t="shared" si="34"/>
        <v>3.5</v>
      </c>
      <c r="F1451" s="94">
        <f t="shared" si="34"/>
        <v>0.44</v>
      </c>
      <c r="G1451" s="94">
        <f t="shared" si="34"/>
        <v>2.5</v>
      </c>
      <c r="H1451" s="94">
        <f t="shared" si="34"/>
        <v>1.95</v>
      </c>
      <c r="I1451" s="94">
        <f t="shared" si="34"/>
        <v>10.595000000000001</v>
      </c>
    </row>
    <row r="1452" spans="1:9" hidden="1" x14ac:dyDescent="0.35">
      <c r="A1452" s="38" t="s">
        <v>773</v>
      </c>
      <c r="B1452" s="38" t="s">
        <v>749</v>
      </c>
      <c r="C1452" s="38" t="s">
        <v>701</v>
      </c>
      <c r="D1452" s="38" t="s">
        <v>702</v>
      </c>
      <c r="E1452" s="94">
        <v>4</v>
      </c>
      <c r="F1452" s="94">
        <v>2.27</v>
      </c>
      <c r="G1452" s="94">
        <v>0.5</v>
      </c>
      <c r="H1452" s="94">
        <v>7</v>
      </c>
      <c r="I1452" s="94">
        <v>20.399999999999999</v>
      </c>
    </row>
    <row r="1453" spans="1:9" hidden="1" x14ac:dyDescent="0.35">
      <c r="A1453" s="38" t="s">
        <v>773</v>
      </c>
      <c r="B1453" s="38" t="s">
        <v>749</v>
      </c>
      <c r="C1453" s="38" t="s">
        <v>701</v>
      </c>
      <c r="D1453" s="38" t="s">
        <v>703</v>
      </c>
      <c r="E1453" s="94">
        <v>3.5</v>
      </c>
      <c r="F1453" s="94">
        <v>0.4</v>
      </c>
      <c r="G1453" s="94">
        <v>1.2</v>
      </c>
      <c r="H1453" s="94">
        <v>7.75</v>
      </c>
      <c r="I1453" s="94">
        <v>21</v>
      </c>
    </row>
    <row r="1454" spans="1:9" hidden="1" x14ac:dyDescent="0.35">
      <c r="A1454" s="38" t="s">
        <v>773</v>
      </c>
      <c r="B1454" s="38" t="s">
        <v>749</v>
      </c>
      <c r="C1454" s="38" t="s">
        <v>704</v>
      </c>
      <c r="D1454" s="38" t="s">
        <v>746</v>
      </c>
      <c r="E1454" s="94">
        <v>12</v>
      </c>
      <c r="F1454" s="94">
        <v>3.91</v>
      </c>
      <c r="G1454" s="94">
        <v>5</v>
      </c>
      <c r="H1454" s="94">
        <v>1</v>
      </c>
      <c r="I1454" s="94">
        <v>4</v>
      </c>
    </row>
    <row r="1455" spans="1:9" hidden="1" x14ac:dyDescent="0.35">
      <c r="A1455" s="38" t="s">
        <v>773</v>
      </c>
      <c r="B1455" s="38" t="s">
        <v>749</v>
      </c>
      <c r="C1455" s="38" t="s">
        <v>707</v>
      </c>
      <c r="D1455" s="38" t="s">
        <v>708</v>
      </c>
      <c r="E1455" s="94">
        <v>20</v>
      </c>
      <c r="F1455" s="94">
        <v>5.83</v>
      </c>
      <c r="G1455" s="94">
        <v>15</v>
      </c>
      <c r="H1455" s="94">
        <v>8</v>
      </c>
      <c r="I1455" s="94">
        <v>15</v>
      </c>
    </row>
    <row r="1456" spans="1:9" hidden="1" x14ac:dyDescent="0.35">
      <c r="A1456" s="38" t="s">
        <v>773</v>
      </c>
      <c r="B1456" s="38" t="s">
        <v>750</v>
      </c>
      <c r="C1456" s="38" t="s">
        <v>686</v>
      </c>
      <c r="D1456" s="38" t="s">
        <v>746</v>
      </c>
      <c r="E1456" s="94">
        <f>E35*0.5</f>
        <v>3</v>
      </c>
      <c r="F1456" s="94">
        <f>F35*0.5</f>
        <v>3.73</v>
      </c>
      <c r="G1456" s="94">
        <f>G35*0.5</f>
        <v>4.5</v>
      </c>
      <c r="H1456" s="94">
        <f>H35*0.5</f>
        <v>2</v>
      </c>
      <c r="I1456" s="94">
        <f>I35*0.5</f>
        <v>5</v>
      </c>
    </row>
    <row r="1457" spans="1:9" hidden="1" x14ac:dyDescent="0.35">
      <c r="A1457" s="38" t="s">
        <v>773</v>
      </c>
      <c r="B1457" s="38" t="s">
        <v>750</v>
      </c>
      <c r="C1457" s="38" t="s">
        <v>691</v>
      </c>
      <c r="D1457" s="38" t="s">
        <v>746</v>
      </c>
      <c r="E1457" s="94">
        <v>20</v>
      </c>
      <c r="F1457" s="94">
        <v>14.32</v>
      </c>
      <c r="G1457" s="94">
        <v>20</v>
      </c>
      <c r="H1457" s="94">
        <v>12</v>
      </c>
      <c r="I1457" s="94">
        <v>10</v>
      </c>
    </row>
    <row r="1458" spans="1:9" hidden="1" x14ac:dyDescent="0.35">
      <c r="A1458" s="38" t="s">
        <v>773</v>
      </c>
      <c r="B1458" s="38" t="s">
        <v>750</v>
      </c>
      <c r="C1458" s="38" t="s">
        <v>696</v>
      </c>
      <c r="D1458" s="38" t="s">
        <v>697</v>
      </c>
      <c r="E1458" s="94">
        <v>5.7</v>
      </c>
      <c r="F1458" s="94">
        <v>19.61</v>
      </c>
      <c r="G1458" s="94">
        <v>9</v>
      </c>
      <c r="H1458" s="94">
        <v>10</v>
      </c>
      <c r="I1458" s="94">
        <v>4</v>
      </c>
    </row>
    <row r="1459" spans="1:9" hidden="1" x14ac:dyDescent="0.35">
      <c r="A1459" s="38" t="s">
        <v>773</v>
      </c>
      <c r="B1459" s="38" t="s">
        <v>750</v>
      </c>
      <c r="C1459" s="38" t="s">
        <v>698</v>
      </c>
      <c r="D1459" s="38" t="s">
        <v>747</v>
      </c>
      <c r="E1459" s="94">
        <f>E38*0.5</f>
        <v>2.5</v>
      </c>
      <c r="F1459" s="94">
        <f>F38*0.5</f>
        <v>0.66</v>
      </c>
      <c r="G1459" s="94">
        <f>G38*0.5</f>
        <v>2.5</v>
      </c>
      <c r="H1459" s="94">
        <f>H38*0.5</f>
        <v>2.5</v>
      </c>
      <c r="I1459" s="94">
        <f>I38*0.5</f>
        <v>3</v>
      </c>
    </row>
    <row r="1460" spans="1:9" hidden="1" x14ac:dyDescent="0.35">
      <c r="A1460" s="38" t="s">
        <v>773</v>
      </c>
      <c r="B1460" s="38" t="s">
        <v>750</v>
      </c>
      <c r="C1460" s="38" t="s">
        <v>698</v>
      </c>
      <c r="D1460" s="38" t="s">
        <v>700</v>
      </c>
      <c r="E1460" s="94">
        <f t="shared" ref="E1460:I1462" si="35">E39*0.5</f>
        <v>5</v>
      </c>
      <c r="F1460" s="94">
        <f t="shared" si="35"/>
        <v>0.52</v>
      </c>
      <c r="G1460" s="94">
        <f t="shared" si="35"/>
        <v>2.5</v>
      </c>
      <c r="H1460" s="94">
        <f t="shared" si="35"/>
        <v>2.5</v>
      </c>
      <c r="I1460" s="94">
        <f t="shared" si="35"/>
        <v>3</v>
      </c>
    </row>
    <row r="1461" spans="1:9" hidden="1" x14ac:dyDescent="0.35">
      <c r="A1461" s="38" t="s">
        <v>773</v>
      </c>
      <c r="B1461" s="38" t="s">
        <v>750</v>
      </c>
      <c r="C1461" s="38" t="s">
        <v>698</v>
      </c>
      <c r="D1461" s="38" t="s">
        <v>521</v>
      </c>
      <c r="E1461" s="94">
        <f t="shared" si="35"/>
        <v>3</v>
      </c>
      <c r="F1461" s="94">
        <f t="shared" si="35"/>
        <v>0.20499999999999999</v>
      </c>
      <c r="G1461" s="94">
        <f t="shared" si="35"/>
        <v>2.5</v>
      </c>
      <c r="H1461" s="94">
        <f t="shared" si="35"/>
        <v>2.5</v>
      </c>
      <c r="I1461" s="94">
        <f t="shared" si="35"/>
        <v>3</v>
      </c>
    </row>
    <row r="1462" spans="1:9" hidden="1" x14ac:dyDescent="0.35">
      <c r="A1462" s="38" t="s">
        <v>773</v>
      </c>
      <c r="B1462" s="38" t="s">
        <v>750</v>
      </c>
      <c r="C1462" s="38" t="s">
        <v>698</v>
      </c>
      <c r="D1462" s="38" t="s">
        <v>252</v>
      </c>
      <c r="E1462" s="94">
        <f t="shared" si="35"/>
        <v>3</v>
      </c>
      <c r="F1462" s="94">
        <f t="shared" si="35"/>
        <v>0.75</v>
      </c>
      <c r="G1462" s="94">
        <f t="shared" si="35"/>
        <v>2.5</v>
      </c>
      <c r="H1462" s="94">
        <f t="shared" si="35"/>
        <v>2.5</v>
      </c>
      <c r="I1462" s="94">
        <f t="shared" si="35"/>
        <v>3</v>
      </c>
    </row>
    <row r="1463" spans="1:9" hidden="1" x14ac:dyDescent="0.35">
      <c r="A1463" s="38" t="s">
        <v>773</v>
      </c>
      <c r="B1463" s="38" t="s">
        <v>750</v>
      </c>
      <c r="C1463" s="38" t="s">
        <v>701</v>
      </c>
      <c r="D1463" s="38" t="s">
        <v>702</v>
      </c>
      <c r="E1463" s="94">
        <v>6</v>
      </c>
      <c r="F1463" s="94">
        <v>6.21</v>
      </c>
      <c r="G1463" s="94">
        <v>0.5</v>
      </c>
      <c r="H1463" s="94">
        <v>4</v>
      </c>
      <c r="I1463" s="94">
        <v>4</v>
      </c>
    </row>
    <row r="1464" spans="1:9" hidden="1" x14ac:dyDescent="0.35">
      <c r="A1464" s="38" t="s">
        <v>773</v>
      </c>
      <c r="B1464" s="38" t="s">
        <v>750</v>
      </c>
      <c r="C1464" s="38" t="s">
        <v>701</v>
      </c>
      <c r="D1464" s="38" t="s">
        <v>703</v>
      </c>
      <c r="E1464" s="94">
        <v>3.5</v>
      </c>
      <c r="F1464" s="94">
        <v>3.74</v>
      </c>
      <c r="G1464" s="94">
        <v>2</v>
      </c>
      <c r="H1464" s="94">
        <v>8</v>
      </c>
      <c r="I1464" s="94">
        <v>4</v>
      </c>
    </row>
    <row r="1465" spans="1:9" hidden="1" x14ac:dyDescent="0.35">
      <c r="A1465" s="38" t="s">
        <v>773</v>
      </c>
      <c r="B1465" s="38" t="s">
        <v>750</v>
      </c>
      <c r="C1465" s="38" t="s">
        <v>704</v>
      </c>
      <c r="D1465" s="38" t="s">
        <v>746</v>
      </c>
      <c r="E1465" s="94">
        <v>6</v>
      </c>
      <c r="F1465" s="94">
        <v>1.49</v>
      </c>
      <c r="G1465" s="94">
        <v>8</v>
      </c>
      <c r="H1465" s="94">
        <v>2</v>
      </c>
      <c r="I1465" s="94">
        <v>2</v>
      </c>
    </row>
    <row r="1466" spans="1:9" hidden="1" x14ac:dyDescent="0.35">
      <c r="A1466" s="38" t="s">
        <v>773</v>
      </c>
      <c r="B1466" s="38" t="s">
        <v>750</v>
      </c>
      <c r="C1466" s="38" t="s">
        <v>707</v>
      </c>
      <c r="D1466" s="38" t="s">
        <v>708</v>
      </c>
      <c r="E1466" s="94">
        <v>14</v>
      </c>
      <c r="F1466" s="94">
        <v>10.39</v>
      </c>
      <c r="G1466" s="94">
        <v>12</v>
      </c>
      <c r="H1466" s="94">
        <v>3</v>
      </c>
      <c r="I1466" s="94">
        <v>4</v>
      </c>
    </row>
    <row r="1467" spans="1:9" hidden="1" x14ac:dyDescent="0.35">
      <c r="A1467" s="38" t="s">
        <v>773</v>
      </c>
      <c r="B1467" s="38" t="s">
        <v>751</v>
      </c>
      <c r="C1467" s="38" t="s">
        <v>686</v>
      </c>
      <c r="D1467" s="38" t="s">
        <v>746</v>
      </c>
      <c r="E1467" s="94">
        <f>E46*0.5</f>
        <v>3</v>
      </c>
      <c r="F1467" s="94">
        <f>F46*0.5</f>
        <v>3.6150000000000002</v>
      </c>
      <c r="G1467" s="94">
        <f>G46*0.5</f>
        <v>4.5</v>
      </c>
      <c r="H1467" s="94">
        <f>H46*0.5</f>
        <v>2</v>
      </c>
      <c r="I1467" s="94">
        <f>I46*0.5</f>
        <v>6</v>
      </c>
    </row>
    <row r="1468" spans="1:9" hidden="1" x14ac:dyDescent="0.35">
      <c r="A1468" s="38" t="s">
        <v>773</v>
      </c>
      <c r="B1468" s="38" t="s">
        <v>751</v>
      </c>
      <c r="C1468" s="38" t="s">
        <v>691</v>
      </c>
      <c r="D1468" s="38" t="s">
        <v>746</v>
      </c>
      <c r="E1468" s="94">
        <v>11.33</v>
      </c>
      <c r="F1468" s="94">
        <v>11.3</v>
      </c>
      <c r="G1468" s="94">
        <v>20</v>
      </c>
      <c r="H1468" s="94">
        <v>15.15</v>
      </c>
      <c r="I1468" s="94">
        <v>13</v>
      </c>
    </row>
    <row r="1469" spans="1:9" hidden="1" x14ac:dyDescent="0.35">
      <c r="A1469" s="38" t="s">
        <v>773</v>
      </c>
      <c r="B1469" s="38" t="s">
        <v>751</v>
      </c>
      <c r="C1469" s="38" t="s">
        <v>696</v>
      </c>
      <c r="D1469" s="38" t="s">
        <v>697</v>
      </c>
      <c r="E1469" s="94">
        <v>6.6</v>
      </c>
      <c r="F1469" s="94">
        <v>22.46</v>
      </c>
      <c r="G1469" s="94">
        <v>9</v>
      </c>
      <c r="H1469" s="94">
        <v>10</v>
      </c>
      <c r="I1469" s="94">
        <v>4</v>
      </c>
    </row>
    <row r="1470" spans="1:9" hidden="1" x14ac:dyDescent="0.35">
      <c r="A1470" s="38" t="s">
        <v>773</v>
      </c>
      <c r="B1470" s="38" t="s">
        <v>751</v>
      </c>
      <c r="C1470" s="38" t="s">
        <v>698</v>
      </c>
      <c r="D1470" s="38" t="s">
        <v>747</v>
      </c>
      <c r="E1470" s="94">
        <f>E49*0.5</f>
        <v>5</v>
      </c>
      <c r="F1470" s="94">
        <f>F49*0.5</f>
        <v>0.1</v>
      </c>
      <c r="G1470" s="94">
        <f>G49*0.5</f>
        <v>2.5</v>
      </c>
      <c r="H1470" s="94">
        <f>H49*0.5</f>
        <v>2.5</v>
      </c>
      <c r="I1470" s="94">
        <f>I49*0.5</f>
        <v>4</v>
      </c>
    </row>
    <row r="1471" spans="1:9" hidden="1" x14ac:dyDescent="0.35">
      <c r="A1471" s="38" t="s">
        <v>773</v>
      </c>
      <c r="B1471" s="38" t="s">
        <v>751</v>
      </c>
      <c r="C1471" s="38" t="s">
        <v>698</v>
      </c>
      <c r="D1471" s="38" t="s">
        <v>700</v>
      </c>
      <c r="E1471" s="94">
        <f t="shared" ref="E1471:I1473" si="36">E50*0.5</f>
        <v>7.5</v>
      </c>
      <c r="F1471" s="94">
        <f t="shared" si="36"/>
        <v>0.1</v>
      </c>
      <c r="G1471" s="94">
        <f t="shared" si="36"/>
        <v>2.5</v>
      </c>
      <c r="H1471" s="94">
        <f t="shared" si="36"/>
        <v>2.5</v>
      </c>
      <c r="I1471" s="94">
        <f t="shared" si="36"/>
        <v>4</v>
      </c>
    </row>
    <row r="1472" spans="1:9" hidden="1" x14ac:dyDescent="0.35">
      <c r="A1472" s="38" t="s">
        <v>773</v>
      </c>
      <c r="B1472" s="38" t="s">
        <v>751</v>
      </c>
      <c r="C1472" s="38" t="s">
        <v>698</v>
      </c>
      <c r="D1472" s="38" t="s">
        <v>521</v>
      </c>
      <c r="E1472" s="94">
        <f t="shared" si="36"/>
        <v>4</v>
      </c>
      <c r="F1472" s="94">
        <f t="shared" si="36"/>
        <v>0.115</v>
      </c>
      <c r="G1472" s="94">
        <f t="shared" si="36"/>
        <v>2.5</v>
      </c>
      <c r="H1472" s="94">
        <f t="shared" si="36"/>
        <v>2.5</v>
      </c>
      <c r="I1472" s="94">
        <f t="shared" si="36"/>
        <v>4</v>
      </c>
    </row>
    <row r="1473" spans="1:9" hidden="1" x14ac:dyDescent="0.35">
      <c r="A1473" s="38" t="s">
        <v>773</v>
      </c>
      <c r="B1473" s="38" t="s">
        <v>751</v>
      </c>
      <c r="C1473" s="38" t="s">
        <v>698</v>
      </c>
      <c r="D1473" s="38" t="s">
        <v>252</v>
      </c>
      <c r="E1473" s="94">
        <f t="shared" si="36"/>
        <v>4</v>
      </c>
      <c r="F1473" s="94">
        <f t="shared" si="36"/>
        <v>0.45</v>
      </c>
      <c r="G1473" s="94">
        <f t="shared" si="36"/>
        <v>2.5</v>
      </c>
      <c r="H1473" s="94">
        <f t="shared" si="36"/>
        <v>2.5</v>
      </c>
      <c r="I1473" s="94">
        <f t="shared" si="36"/>
        <v>4</v>
      </c>
    </row>
    <row r="1474" spans="1:9" hidden="1" x14ac:dyDescent="0.35">
      <c r="A1474" s="38" t="s">
        <v>773</v>
      </c>
      <c r="B1474" s="38" t="s">
        <v>751</v>
      </c>
      <c r="C1474" s="38" t="s">
        <v>701</v>
      </c>
      <c r="D1474" s="38" t="s">
        <v>702</v>
      </c>
      <c r="E1474" s="94">
        <v>6</v>
      </c>
      <c r="F1474" s="94">
        <v>4.8899999999999997</v>
      </c>
      <c r="G1474" s="94">
        <v>4.5</v>
      </c>
      <c r="H1474" s="94">
        <v>4</v>
      </c>
      <c r="I1474" s="94">
        <v>12</v>
      </c>
    </row>
    <row r="1475" spans="1:9" hidden="1" x14ac:dyDescent="0.35">
      <c r="A1475" s="38" t="s">
        <v>773</v>
      </c>
      <c r="B1475" s="38" t="s">
        <v>751</v>
      </c>
      <c r="C1475" s="38" t="s">
        <v>701</v>
      </c>
      <c r="D1475" s="38" t="s">
        <v>703</v>
      </c>
      <c r="E1475" s="94">
        <v>3.5</v>
      </c>
      <c r="F1475" s="94">
        <v>3.32</v>
      </c>
      <c r="G1475" s="94">
        <v>2</v>
      </c>
      <c r="H1475" s="94">
        <v>8</v>
      </c>
      <c r="I1475" s="94">
        <v>2</v>
      </c>
    </row>
    <row r="1476" spans="1:9" hidden="1" x14ac:dyDescent="0.35">
      <c r="A1476" s="38" t="s">
        <v>773</v>
      </c>
      <c r="B1476" s="38" t="s">
        <v>751</v>
      </c>
      <c r="C1476" s="38" t="s">
        <v>704</v>
      </c>
      <c r="D1476" s="38" t="s">
        <v>746</v>
      </c>
      <c r="E1476" s="94">
        <v>15</v>
      </c>
      <c r="F1476" s="94">
        <v>2.8</v>
      </c>
      <c r="G1476" s="94">
        <v>8</v>
      </c>
      <c r="H1476" s="94">
        <v>2</v>
      </c>
      <c r="I1476" s="94">
        <v>2</v>
      </c>
    </row>
    <row r="1477" spans="1:9" hidden="1" x14ac:dyDescent="0.35">
      <c r="A1477" s="38" t="s">
        <v>773</v>
      </c>
      <c r="B1477" s="38" t="s">
        <v>751</v>
      </c>
      <c r="C1477" s="38" t="s">
        <v>707</v>
      </c>
      <c r="D1477" s="38" t="s">
        <v>708</v>
      </c>
      <c r="E1477" s="94">
        <v>11.9</v>
      </c>
      <c r="F1477" s="94">
        <v>9.26</v>
      </c>
      <c r="G1477" s="94">
        <v>12</v>
      </c>
      <c r="H1477" s="94">
        <v>5.7</v>
      </c>
      <c r="I1477" s="94">
        <v>6</v>
      </c>
    </row>
    <row r="1478" spans="1:9" hidden="1" x14ac:dyDescent="0.35">
      <c r="A1478" s="38" t="s">
        <v>773</v>
      </c>
      <c r="B1478" s="38" t="s">
        <v>752</v>
      </c>
      <c r="C1478" s="38" t="s">
        <v>686</v>
      </c>
      <c r="D1478" s="38" t="s">
        <v>746</v>
      </c>
      <c r="E1478" s="94">
        <f>E57*0.5</f>
        <v>3.605</v>
      </c>
      <c r="F1478" s="94">
        <f>F57*0.5</f>
        <v>4.375</v>
      </c>
      <c r="G1478" s="94">
        <f>G57*0.5</f>
        <v>7.625</v>
      </c>
      <c r="H1478" s="94">
        <f>H57*0.5</f>
        <v>1</v>
      </c>
      <c r="I1478" s="94">
        <f>I57*0.5</f>
        <v>0.5</v>
      </c>
    </row>
    <row r="1479" spans="1:9" hidden="1" x14ac:dyDescent="0.35">
      <c r="A1479" s="38" t="s">
        <v>773</v>
      </c>
      <c r="B1479" s="38" t="s">
        <v>752</v>
      </c>
      <c r="C1479" s="38" t="s">
        <v>691</v>
      </c>
      <c r="D1479" s="38" t="s">
        <v>746</v>
      </c>
      <c r="E1479" s="94">
        <v>13.47</v>
      </c>
      <c r="F1479" s="94">
        <v>17.71</v>
      </c>
      <c r="G1479" s="94">
        <v>25</v>
      </c>
      <c r="H1479" s="94">
        <v>34.130000000000003</v>
      </c>
      <c r="I1479" s="94">
        <v>5</v>
      </c>
    </row>
    <row r="1480" spans="1:9" hidden="1" x14ac:dyDescent="0.35">
      <c r="A1480" s="38" t="s">
        <v>773</v>
      </c>
      <c r="B1480" s="38" t="s">
        <v>752</v>
      </c>
      <c r="C1480" s="38" t="s">
        <v>696</v>
      </c>
      <c r="D1480" s="38" t="s">
        <v>697</v>
      </c>
      <c r="E1480" s="94">
        <v>5.7</v>
      </c>
      <c r="F1480" s="94">
        <v>21.94</v>
      </c>
      <c r="G1480" s="94">
        <v>9</v>
      </c>
      <c r="H1480" s="94">
        <v>15</v>
      </c>
      <c r="I1480" s="94">
        <v>2</v>
      </c>
    </row>
    <row r="1481" spans="1:9" hidden="1" x14ac:dyDescent="0.35">
      <c r="A1481" s="38" t="s">
        <v>773</v>
      </c>
      <c r="B1481" s="38" t="s">
        <v>752</v>
      </c>
      <c r="C1481" s="38" t="s">
        <v>698</v>
      </c>
      <c r="D1481" s="38" t="s">
        <v>747</v>
      </c>
      <c r="E1481" s="94">
        <f>E60*0.5</f>
        <v>5</v>
      </c>
      <c r="F1481" s="94">
        <f>F60*0.5</f>
        <v>0.46500000000000002</v>
      </c>
      <c r="G1481" s="94">
        <f>G60*0.5</f>
        <v>2.5</v>
      </c>
      <c r="H1481" s="94">
        <f>H60*0.5</f>
        <v>3.5</v>
      </c>
      <c r="I1481" s="94">
        <f>I60*0.5</f>
        <v>1</v>
      </c>
    </row>
    <row r="1482" spans="1:9" hidden="1" x14ac:dyDescent="0.35">
      <c r="A1482" s="38" t="s">
        <v>773</v>
      </c>
      <c r="B1482" s="38" t="s">
        <v>752</v>
      </c>
      <c r="C1482" s="38" t="s">
        <v>698</v>
      </c>
      <c r="D1482" s="38" t="s">
        <v>700</v>
      </c>
      <c r="E1482" s="94">
        <f t="shared" ref="E1482:I1484" si="37">E61*0.5</f>
        <v>16.5</v>
      </c>
      <c r="F1482" s="94">
        <f t="shared" si="37"/>
        <v>0.1</v>
      </c>
      <c r="G1482" s="94">
        <f t="shared" si="37"/>
        <v>2.5</v>
      </c>
      <c r="H1482" s="94">
        <f t="shared" si="37"/>
        <v>3.5</v>
      </c>
      <c r="I1482" s="94">
        <f t="shared" si="37"/>
        <v>1</v>
      </c>
    </row>
    <row r="1483" spans="1:9" hidden="1" x14ac:dyDescent="0.35">
      <c r="A1483" s="38" t="s">
        <v>773</v>
      </c>
      <c r="B1483" s="38" t="s">
        <v>752</v>
      </c>
      <c r="C1483" s="38" t="s">
        <v>698</v>
      </c>
      <c r="D1483" s="38" t="s">
        <v>521</v>
      </c>
      <c r="E1483" s="94">
        <f t="shared" si="37"/>
        <v>5</v>
      </c>
      <c r="F1483" s="94">
        <f t="shared" si="37"/>
        <v>0.115</v>
      </c>
      <c r="G1483" s="94">
        <f t="shared" si="37"/>
        <v>2.5</v>
      </c>
      <c r="H1483" s="94">
        <f t="shared" si="37"/>
        <v>3.5</v>
      </c>
      <c r="I1483" s="94">
        <f t="shared" si="37"/>
        <v>1</v>
      </c>
    </row>
    <row r="1484" spans="1:9" hidden="1" x14ac:dyDescent="0.35">
      <c r="A1484" s="38" t="s">
        <v>773</v>
      </c>
      <c r="B1484" s="38" t="s">
        <v>752</v>
      </c>
      <c r="C1484" s="38" t="s">
        <v>698</v>
      </c>
      <c r="D1484" s="38" t="s">
        <v>252</v>
      </c>
      <c r="E1484" s="94">
        <f t="shared" si="37"/>
        <v>12.5</v>
      </c>
      <c r="F1484" s="94">
        <f t="shared" si="37"/>
        <v>0.45</v>
      </c>
      <c r="G1484" s="94">
        <f t="shared" si="37"/>
        <v>2.5</v>
      </c>
      <c r="H1484" s="94">
        <f t="shared" si="37"/>
        <v>3.5</v>
      </c>
      <c r="I1484" s="94">
        <f t="shared" si="37"/>
        <v>1</v>
      </c>
    </row>
    <row r="1485" spans="1:9" hidden="1" x14ac:dyDescent="0.35">
      <c r="A1485" s="38" t="s">
        <v>773</v>
      </c>
      <c r="B1485" s="38" t="s">
        <v>752</v>
      </c>
      <c r="C1485" s="38" t="s">
        <v>701</v>
      </c>
      <c r="D1485" s="38" t="s">
        <v>702</v>
      </c>
      <c r="E1485" s="94">
        <v>8</v>
      </c>
      <c r="F1485" s="94">
        <v>8.01</v>
      </c>
      <c r="G1485" s="94">
        <v>0.1</v>
      </c>
      <c r="H1485" s="94">
        <v>3</v>
      </c>
      <c r="I1485" s="94">
        <v>1</v>
      </c>
    </row>
    <row r="1486" spans="1:9" hidden="1" x14ac:dyDescent="0.35">
      <c r="A1486" s="38" t="s">
        <v>773</v>
      </c>
      <c r="B1486" s="38" t="s">
        <v>752</v>
      </c>
      <c r="C1486" s="38" t="s">
        <v>701</v>
      </c>
      <c r="D1486" s="38" t="s">
        <v>703</v>
      </c>
      <c r="E1486" s="94">
        <v>6</v>
      </c>
      <c r="F1486" s="94">
        <v>8.1999999999999993</v>
      </c>
      <c r="G1486" s="94">
        <v>2</v>
      </c>
      <c r="H1486" s="94">
        <v>10</v>
      </c>
      <c r="I1486" s="94">
        <v>0.1</v>
      </c>
    </row>
    <row r="1487" spans="1:9" hidden="1" x14ac:dyDescent="0.35">
      <c r="A1487" s="38" t="s">
        <v>773</v>
      </c>
      <c r="B1487" s="38" t="s">
        <v>752</v>
      </c>
      <c r="C1487" s="38" t="s">
        <v>704</v>
      </c>
      <c r="D1487" s="38" t="s">
        <v>746</v>
      </c>
      <c r="E1487" s="94">
        <v>12</v>
      </c>
      <c r="F1487" s="94">
        <v>8.18</v>
      </c>
      <c r="G1487" s="94">
        <v>8</v>
      </c>
      <c r="H1487" s="94">
        <v>2</v>
      </c>
      <c r="I1487" s="94">
        <v>1</v>
      </c>
    </row>
    <row r="1488" spans="1:9" hidden="1" x14ac:dyDescent="0.35">
      <c r="A1488" s="38" t="s">
        <v>773</v>
      </c>
      <c r="B1488" s="38" t="s">
        <v>752</v>
      </c>
      <c r="C1488" s="38" t="s">
        <v>707</v>
      </c>
      <c r="D1488" s="38" t="s">
        <v>708</v>
      </c>
      <c r="E1488" s="94">
        <v>14</v>
      </c>
      <c r="F1488" s="94">
        <v>16.940000000000001</v>
      </c>
      <c r="G1488" s="94">
        <v>15</v>
      </c>
      <c r="H1488" s="94">
        <v>5</v>
      </c>
      <c r="I1488" s="94">
        <v>2</v>
      </c>
    </row>
    <row r="1489" spans="1:9" hidden="1" x14ac:dyDescent="0.35">
      <c r="A1489" s="38" t="s">
        <v>773</v>
      </c>
      <c r="B1489" s="38" t="s">
        <v>753</v>
      </c>
      <c r="C1489" s="38" t="s">
        <v>686</v>
      </c>
      <c r="D1489" s="38" t="s">
        <v>746</v>
      </c>
      <c r="E1489" s="94">
        <f>E68*0.5</f>
        <v>3</v>
      </c>
      <c r="F1489" s="94">
        <f>F68*0.5</f>
        <v>3.2949999999999999</v>
      </c>
      <c r="G1489" s="94">
        <f>G68*0.5</f>
        <v>3.5</v>
      </c>
      <c r="H1489" s="94">
        <f>H68*0.5</f>
        <v>1.49</v>
      </c>
      <c r="I1489" s="94">
        <f>I68*0.5</f>
        <v>1.5</v>
      </c>
    </row>
    <row r="1490" spans="1:9" hidden="1" x14ac:dyDescent="0.35">
      <c r="A1490" s="38" t="s">
        <v>773</v>
      </c>
      <c r="B1490" s="38" t="s">
        <v>753</v>
      </c>
      <c r="C1490" s="38" t="s">
        <v>691</v>
      </c>
      <c r="D1490" s="38" t="s">
        <v>746</v>
      </c>
      <c r="E1490" s="94">
        <v>8.7100000000000009</v>
      </c>
      <c r="F1490" s="94">
        <v>9.8699999999999992</v>
      </c>
      <c r="G1490" s="94">
        <v>25</v>
      </c>
      <c r="H1490" s="94">
        <v>12.96</v>
      </c>
      <c r="I1490" s="94">
        <v>18.16</v>
      </c>
    </row>
    <row r="1491" spans="1:9" hidden="1" x14ac:dyDescent="0.35">
      <c r="A1491" s="38" t="s">
        <v>773</v>
      </c>
      <c r="B1491" s="38" t="s">
        <v>753</v>
      </c>
      <c r="C1491" s="38" t="s">
        <v>696</v>
      </c>
      <c r="D1491" s="38" t="s">
        <v>697</v>
      </c>
      <c r="E1491" s="94">
        <v>8.1999999999999993</v>
      </c>
      <c r="F1491" s="94">
        <v>25.47</v>
      </c>
      <c r="G1491" s="94">
        <v>9</v>
      </c>
      <c r="H1491" s="94">
        <v>12.33</v>
      </c>
      <c r="I1491" s="94">
        <v>2</v>
      </c>
    </row>
    <row r="1492" spans="1:9" hidden="1" x14ac:dyDescent="0.35">
      <c r="A1492" s="38" t="s">
        <v>773</v>
      </c>
      <c r="B1492" s="38" t="s">
        <v>753</v>
      </c>
      <c r="C1492" s="38" t="s">
        <v>698</v>
      </c>
      <c r="D1492" s="38" t="s">
        <v>747</v>
      </c>
      <c r="E1492" s="94">
        <f>E71*0.5</f>
        <v>5</v>
      </c>
      <c r="F1492" s="94">
        <f>F71*0.5</f>
        <v>0.105</v>
      </c>
      <c r="G1492" s="94">
        <f>G71*0.5</f>
        <v>2.5</v>
      </c>
      <c r="H1492" s="94">
        <f>H71*0.5</f>
        <v>3.5</v>
      </c>
      <c r="I1492" s="94">
        <f>I71*0.5</f>
        <v>2</v>
      </c>
    </row>
    <row r="1493" spans="1:9" hidden="1" x14ac:dyDescent="0.35">
      <c r="A1493" s="38" t="s">
        <v>773</v>
      </c>
      <c r="B1493" s="38" t="s">
        <v>753</v>
      </c>
      <c r="C1493" s="38" t="s">
        <v>698</v>
      </c>
      <c r="D1493" s="38" t="s">
        <v>700</v>
      </c>
      <c r="E1493" s="94">
        <f t="shared" ref="E1493:I1495" si="38">E72*0.5</f>
        <v>5</v>
      </c>
      <c r="F1493" s="94">
        <f t="shared" si="38"/>
        <v>0.1</v>
      </c>
      <c r="G1493" s="94">
        <f t="shared" si="38"/>
        <v>2.5</v>
      </c>
      <c r="H1493" s="94">
        <f t="shared" si="38"/>
        <v>3.5</v>
      </c>
      <c r="I1493" s="94">
        <f t="shared" si="38"/>
        <v>2</v>
      </c>
    </row>
    <row r="1494" spans="1:9" hidden="1" x14ac:dyDescent="0.35">
      <c r="A1494" s="38" t="s">
        <v>773</v>
      </c>
      <c r="B1494" s="38" t="s">
        <v>753</v>
      </c>
      <c r="C1494" s="38" t="s">
        <v>698</v>
      </c>
      <c r="D1494" s="38" t="s">
        <v>521</v>
      </c>
      <c r="E1494" s="94">
        <f t="shared" si="38"/>
        <v>3</v>
      </c>
      <c r="F1494" s="94">
        <f t="shared" si="38"/>
        <v>0.23499999999999999</v>
      </c>
      <c r="G1494" s="94">
        <f t="shared" si="38"/>
        <v>2.5</v>
      </c>
      <c r="H1494" s="94">
        <f t="shared" si="38"/>
        <v>3.5</v>
      </c>
      <c r="I1494" s="94">
        <f t="shared" si="38"/>
        <v>2</v>
      </c>
    </row>
    <row r="1495" spans="1:9" hidden="1" x14ac:dyDescent="0.35">
      <c r="A1495" s="38" t="s">
        <v>773</v>
      </c>
      <c r="B1495" s="38" t="s">
        <v>753</v>
      </c>
      <c r="C1495" s="38" t="s">
        <v>698</v>
      </c>
      <c r="D1495" s="38" t="s">
        <v>252</v>
      </c>
      <c r="E1495" s="94">
        <f t="shared" si="38"/>
        <v>4</v>
      </c>
      <c r="F1495" s="94">
        <f t="shared" si="38"/>
        <v>0.48499999999999999</v>
      </c>
      <c r="G1495" s="94">
        <f t="shared" si="38"/>
        <v>2.5</v>
      </c>
      <c r="H1495" s="94">
        <f t="shared" si="38"/>
        <v>3.5</v>
      </c>
      <c r="I1495" s="94">
        <f t="shared" si="38"/>
        <v>2</v>
      </c>
    </row>
    <row r="1496" spans="1:9" hidden="1" x14ac:dyDescent="0.35">
      <c r="A1496" s="38" t="s">
        <v>773</v>
      </c>
      <c r="B1496" s="38" t="s">
        <v>753</v>
      </c>
      <c r="C1496" s="38" t="s">
        <v>701</v>
      </c>
      <c r="D1496" s="38" t="s">
        <v>702</v>
      </c>
      <c r="E1496" s="94">
        <v>8</v>
      </c>
      <c r="F1496" s="94">
        <v>7.23</v>
      </c>
      <c r="G1496" s="94">
        <v>0.1</v>
      </c>
      <c r="H1496" s="94">
        <v>3</v>
      </c>
      <c r="I1496" s="94">
        <v>2</v>
      </c>
    </row>
    <row r="1497" spans="1:9" hidden="1" x14ac:dyDescent="0.35">
      <c r="A1497" s="38" t="s">
        <v>773</v>
      </c>
      <c r="B1497" s="38" t="s">
        <v>753</v>
      </c>
      <c r="C1497" s="38" t="s">
        <v>701</v>
      </c>
      <c r="D1497" s="38" t="s">
        <v>703</v>
      </c>
      <c r="E1497" s="94">
        <v>3.5</v>
      </c>
      <c r="F1497" s="94">
        <v>4.68</v>
      </c>
      <c r="G1497" s="94">
        <v>2</v>
      </c>
      <c r="H1497" s="94">
        <v>10</v>
      </c>
      <c r="I1497" s="94">
        <v>1</v>
      </c>
    </row>
    <row r="1498" spans="1:9" hidden="1" x14ac:dyDescent="0.35">
      <c r="A1498" s="38" t="s">
        <v>773</v>
      </c>
      <c r="B1498" s="38" t="s">
        <v>753</v>
      </c>
      <c r="C1498" s="38" t="s">
        <v>704</v>
      </c>
      <c r="D1498" s="38" t="s">
        <v>746</v>
      </c>
      <c r="E1498" s="94">
        <v>7</v>
      </c>
      <c r="F1498" s="94">
        <v>3.4</v>
      </c>
      <c r="G1498" s="94">
        <v>8</v>
      </c>
      <c r="H1498" s="94">
        <v>2</v>
      </c>
      <c r="I1498" s="94">
        <v>1</v>
      </c>
    </row>
    <row r="1499" spans="1:9" hidden="1" x14ac:dyDescent="0.35">
      <c r="A1499" s="38" t="s">
        <v>773</v>
      </c>
      <c r="B1499" s="38" t="s">
        <v>753</v>
      </c>
      <c r="C1499" s="38" t="s">
        <v>707</v>
      </c>
      <c r="D1499" s="38" t="s">
        <v>708</v>
      </c>
      <c r="E1499" s="94">
        <v>8.15</v>
      </c>
      <c r="F1499" s="94">
        <v>12.11</v>
      </c>
      <c r="G1499" s="94">
        <v>10</v>
      </c>
      <c r="H1499" s="94">
        <v>10.78</v>
      </c>
      <c r="I1499" s="94">
        <v>3.88</v>
      </c>
    </row>
    <row r="1500" spans="1:9" hidden="1" x14ac:dyDescent="0.35">
      <c r="A1500" s="38" t="s">
        <v>774</v>
      </c>
      <c r="B1500" s="38" t="s">
        <v>745</v>
      </c>
      <c r="C1500" s="38" t="s">
        <v>686</v>
      </c>
      <c r="D1500" s="38" t="s">
        <v>746</v>
      </c>
      <c r="E1500" s="94">
        <v>4.3</v>
      </c>
      <c r="F1500" s="94">
        <v>3.8</v>
      </c>
      <c r="G1500" s="94">
        <v>10.5</v>
      </c>
      <c r="H1500" s="94">
        <v>3</v>
      </c>
      <c r="I1500" s="94">
        <v>27</v>
      </c>
    </row>
    <row r="1501" spans="1:9" hidden="1" x14ac:dyDescent="0.35">
      <c r="A1501" s="38" t="s">
        <v>774</v>
      </c>
      <c r="B1501" s="38" t="s">
        <v>745</v>
      </c>
      <c r="C1501" s="38" t="s">
        <v>691</v>
      </c>
      <c r="D1501" s="38" t="s">
        <v>746</v>
      </c>
      <c r="E1501" s="94">
        <v>20</v>
      </c>
      <c r="F1501" s="94">
        <v>7.3</v>
      </c>
      <c r="G1501" s="94">
        <v>2</v>
      </c>
      <c r="H1501" s="94">
        <v>4.9000000000000004</v>
      </c>
      <c r="I1501" s="94">
        <v>19</v>
      </c>
    </row>
    <row r="1502" spans="1:9" hidden="1" x14ac:dyDescent="0.35">
      <c r="A1502" s="38" t="s">
        <v>774</v>
      </c>
      <c r="B1502" s="38" t="s">
        <v>745</v>
      </c>
      <c r="C1502" s="38" t="s">
        <v>696</v>
      </c>
      <c r="D1502" s="94" t="s">
        <v>697</v>
      </c>
      <c r="E1502" s="94">
        <f t="shared" ref="E1502:I1506" si="39">E4*0.5</f>
        <v>4.7</v>
      </c>
      <c r="F1502" s="94">
        <f t="shared" si="39"/>
        <v>3.95</v>
      </c>
      <c r="G1502" s="94">
        <f t="shared" si="39"/>
        <v>3</v>
      </c>
      <c r="H1502" s="94">
        <f t="shared" si="39"/>
        <v>4.5</v>
      </c>
      <c r="I1502" s="94">
        <f t="shared" si="39"/>
        <v>5.5</v>
      </c>
    </row>
    <row r="1503" spans="1:9" hidden="1" x14ac:dyDescent="0.35">
      <c r="A1503" s="38" t="s">
        <v>774</v>
      </c>
      <c r="B1503" s="38" t="s">
        <v>745</v>
      </c>
      <c r="C1503" s="38" t="s">
        <v>698</v>
      </c>
      <c r="D1503" s="38" t="s">
        <v>747</v>
      </c>
      <c r="E1503" s="94">
        <f t="shared" si="39"/>
        <v>1.1499999999999999</v>
      </c>
      <c r="F1503" s="94">
        <f t="shared" si="39"/>
        <v>0.3</v>
      </c>
      <c r="G1503" s="94">
        <f t="shared" si="39"/>
        <v>2.5</v>
      </c>
      <c r="H1503" s="94">
        <f t="shared" si="39"/>
        <v>2</v>
      </c>
      <c r="I1503" s="94">
        <f t="shared" si="39"/>
        <v>5.5</v>
      </c>
    </row>
    <row r="1504" spans="1:9" hidden="1" x14ac:dyDescent="0.35">
      <c r="A1504" s="38" t="s">
        <v>774</v>
      </c>
      <c r="B1504" s="38" t="s">
        <v>745</v>
      </c>
      <c r="C1504" s="38" t="s">
        <v>698</v>
      </c>
      <c r="D1504" s="38" t="s">
        <v>700</v>
      </c>
      <c r="E1504" s="94">
        <f t="shared" si="39"/>
        <v>5</v>
      </c>
      <c r="F1504" s="94">
        <f t="shared" si="39"/>
        <v>0.3</v>
      </c>
      <c r="G1504" s="94">
        <f t="shared" si="39"/>
        <v>2.5</v>
      </c>
      <c r="H1504" s="94">
        <f t="shared" si="39"/>
        <v>2</v>
      </c>
      <c r="I1504" s="94">
        <f t="shared" si="39"/>
        <v>5.5</v>
      </c>
    </row>
    <row r="1505" spans="1:9" hidden="1" x14ac:dyDescent="0.35">
      <c r="A1505" s="38" t="s">
        <v>774</v>
      </c>
      <c r="B1505" s="38" t="s">
        <v>745</v>
      </c>
      <c r="C1505" s="38" t="s">
        <v>698</v>
      </c>
      <c r="D1505" s="38" t="s">
        <v>521</v>
      </c>
      <c r="E1505" s="94">
        <f t="shared" si="39"/>
        <v>1.25</v>
      </c>
      <c r="F1505" s="94">
        <f t="shared" si="39"/>
        <v>0.15</v>
      </c>
      <c r="G1505" s="94">
        <f t="shared" si="39"/>
        <v>2.5</v>
      </c>
      <c r="H1505" s="94">
        <f t="shared" si="39"/>
        <v>2</v>
      </c>
      <c r="I1505" s="94">
        <f t="shared" si="39"/>
        <v>5.5</v>
      </c>
    </row>
    <row r="1506" spans="1:9" hidden="1" x14ac:dyDescent="0.35">
      <c r="A1506" s="38" t="s">
        <v>774</v>
      </c>
      <c r="B1506" s="38" t="s">
        <v>745</v>
      </c>
      <c r="C1506" s="38" t="s">
        <v>698</v>
      </c>
      <c r="D1506" s="38" t="s">
        <v>252</v>
      </c>
      <c r="E1506" s="94">
        <f t="shared" si="39"/>
        <v>3.5</v>
      </c>
      <c r="F1506" s="94">
        <f t="shared" si="39"/>
        <v>0.45</v>
      </c>
      <c r="G1506" s="94">
        <f t="shared" si="39"/>
        <v>2.5</v>
      </c>
      <c r="H1506" s="94">
        <f t="shared" si="39"/>
        <v>2</v>
      </c>
      <c r="I1506" s="94">
        <f t="shared" si="39"/>
        <v>5.5</v>
      </c>
    </row>
    <row r="1507" spans="1:9" hidden="1" x14ac:dyDescent="0.35">
      <c r="A1507" s="38" t="s">
        <v>774</v>
      </c>
      <c r="B1507" s="38" t="s">
        <v>745</v>
      </c>
      <c r="C1507" s="38" t="s">
        <v>701</v>
      </c>
      <c r="D1507" s="38" t="s">
        <v>702</v>
      </c>
      <c r="E1507" s="94">
        <v>4</v>
      </c>
      <c r="F1507" s="94">
        <v>1.9</v>
      </c>
      <c r="G1507" s="94">
        <v>0.5</v>
      </c>
      <c r="H1507" s="94">
        <v>2</v>
      </c>
      <c r="I1507" s="94">
        <v>8</v>
      </c>
    </row>
    <row r="1508" spans="1:9" hidden="1" x14ac:dyDescent="0.35">
      <c r="A1508" s="38" t="s">
        <v>774</v>
      </c>
      <c r="B1508" s="38" t="s">
        <v>745</v>
      </c>
      <c r="C1508" s="38" t="s">
        <v>701</v>
      </c>
      <c r="D1508" s="38" t="s">
        <v>703</v>
      </c>
      <c r="E1508" s="94">
        <v>3.5</v>
      </c>
      <c r="F1508" s="94">
        <v>1.7</v>
      </c>
      <c r="G1508" s="94">
        <v>1.2</v>
      </c>
      <c r="H1508" s="94">
        <v>0.82</v>
      </c>
      <c r="I1508" s="94">
        <v>7</v>
      </c>
    </row>
    <row r="1509" spans="1:9" hidden="1" x14ac:dyDescent="0.35">
      <c r="A1509" s="38" t="s">
        <v>774</v>
      </c>
      <c r="B1509" s="38" t="s">
        <v>745</v>
      </c>
      <c r="C1509" s="38" t="s">
        <v>704</v>
      </c>
      <c r="D1509" s="38" t="s">
        <v>746</v>
      </c>
      <c r="E1509" s="94">
        <v>5.3</v>
      </c>
      <c r="F1509" s="94">
        <v>1.2</v>
      </c>
      <c r="G1509" s="94">
        <v>5</v>
      </c>
      <c r="H1509" s="94">
        <v>1</v>
      </c>
      <c r="I1509" s="94">
        <v>4</v>
      </c>
    </row>
    <row r="1510" spans="1:9" hidden="1" x14ac:dyDescent="0.35">
      <c r="A1510" s="38" t="s">
        <v>774</v>
      </c>
      <c r="B1510" s="38" t="s">
        <v>745</v>
      </c>
      <c r="C1510" s="38" t="s">
        <v>707</v>
      </c>
      <c r="D1510" s="38" t="s">
        <v>708</v>
      </c>
      <c r="E1510" s="94">
        <v>20</v>
      </c>
      <c r="F1510" s="94">
        <v>7.6</v>
      </c>
      <c r="G1510" s="94">
        <v>13.8</v>
      </c>
      <c r="H1510" s="94">
        <v>7</v>
      </c>
      <c r="I1510" s="94">
        <v>17</v>
      </c>
    </row>
    <row r="1511" spans="1:9" hidden="1" x14ac:dyDescent="0.35">
      <c r="A1511" s="38" t="s">
        <v>774</v>
      </c>
      <c r="B1511" s="38" t="s">
        <v>748</v>
      </c>
      <c r="C1511" s="38" t="s">
        <v>686</v>
      </c>
      <c r="D1511" s="38" t="s">
        <v>746</v>
      </c>
      <c r="E1511" s="94">
        <v>3.92</v>
      </c>
      <c r="F1511" s="94">
        <v>4.24</v>
      </c>
      <c r="G1511" s="94">
        <v>11.8</v>
      </c>
      <c r="H1511" s="94">
        <v>2</v>
      </c>
      <c r="I1511" s="94">
        <v>13.65</v>
      </c>
    </row>
    <row r="1512" spans="1:9" hidden="1" x14ac:dyDescent="0.35">
      <c r="A1512" s="38" t="s">
        <v>774</v>
      </c>
      <c r="B1512" s="38" t="s">
        <v>748</v>
      </c>
      <c r="C1512" s="38" t="s">
        <v>691</v>
      </c>
      <c r="D1512" s="38" t="s">
        <v>746</v>
      </c>
      <c r="E1512" s="94">
        <v>10</v>
      </c>
      <c r="F1512" s="94">
        <v>8.3699999999999992</v>
      </c>
      <c r="G1512" s="94">
        <v>2</v>
      </c>
      <c r="H1512" s="94">
        <v>8</v>
      </c>
      <c r="I1512" s="94">
        <v>10.35</v>
      </c>
    </row>
    <row r="1513" spans="1:9" hidden="1" x14ac:dyDescent="0.35">
      <c r="A1513" s="38" t="s">
        <v>774</v>
      </c>
      <c r="B1513" s="38" t="s">
        <v>748</v>
      </c>
      <c r="C1513" s="38" t="s">
        <v>696</v>
      </c>
      <c r="D1513" s="94" t="s">
        <v>697</v>
      </c>
      <c r="E1513" s="94">
        <f t="shared" ref="E1513:I1517" si="40">E15*0.5</f>
        <v>7.5</v>
      </c>
      <c r="F1513" s="94">
        <f t="shared" si="40"/>
        <v>8.25</v>
      </c>
      <c r="G1513" s="94">
        <f t="shared" si="40"/>
        <v>3</v>
      </c>
      <c r="H1513" s="94">
        <f t="shared" si="40"/>
        <v>5.5</v>
      </c>
      <c r="I1513" s="94">
        <f t="shared" si="40"/>
        <v>3.65</v>
      </c>
    </row>
    <row r="1514" spans="1:9" hidden="1" x14ac:dyDescent="0.35">
      <c r="A1514" s="38" t="s">
        <v>774</v>
      </c>
      <c r="B1514" s="38" t="s">
        <v>748</v>
      </c>
      <c r="C1514" s="38" t="s">
        <v>698</v>
      </c>
      <c r="D1514" s="38" t="s">
        <v>747</v>
      </c>
      <c r="E1514" s="94">
        <f t="shared" si="40"/>
        <v>1.1499999999999999</v>
      </c>
      <c r="F1514" s="94">
        <f t="shared" si="40"/>
        <v>0.27500000000000002</v>
      </c>
      <c r="G1514" s="94">
        <f t="shared" si="40"/>
        <v>2.5</v>
      </c>
      <c r="H1514" s="94">
        <f t="shared" si="40"/>
        <v>3</v>
      </c>
      <c r="I1514" s="94">
        <f t="shared" si="40"/>
        <v>3.4</v>
      </c>
    </row>
    <row r="1515" spans="1:9" hidden="1" x14ac:dyDescent="0.35">
      <c r="A1515" s="38" t="s">
        <v>774</v>
      </c>
      <c r="B1515" s="38" t="s">
        <v>748</v>
      </c>
      <c r="C1515" s="38" t="s">
        <v>698</v>
      </c>
      <c r="D1515" s="38" t="s">
        <v>700</v>
      </c>
      <c r="E1515" s="94">
        <f t="shared" si="40"/>
        <v>5</v>
      </c>
      <c r="F1515" s="94">
        <f t="shared" si="40"/>
        <v>0.40500000000000003</v>
      </c>
      <c r="G1515" s="94">
        <f t="shared" si="40"/>
        <v>2.5</v>
      </c>
      <c r="H1515" s="94">
        <f t="shared" si="40"/>
        <v>3</v>
      </c>
      <c r="I1515" s="94">
        <f t="shared" si="40"/>
        <v>3.4</v>
      </c>
    </row>
    <row r="1516" spans="1:9" hidden="1" x14ac:dyDescent="0.35">
      <c r="A1516" s="38" t="s">
        <v>774</v>
      </c>
      <c r="B1516" s="38" t="s">
        <v>748</v>
      </c>
      <c r="C1516" s="38" t="s">
        <v>698</v>
      </c>
      <c r="D1516" s="38" t="s">
        <v>521</v>
      </c>
      <c r="E1516" s="94">
        <f t="shared" si="40"/>
        <v>1.25</v>
      </c>
      <c r="F1516" s="94">
        <f t="shared" si="40"/>
        <v>0.09</v>
      </c>
      <c r="G1516" s="94">
        <f t="shared" si="40"/>
        <v>2.5</v>
      </c>
      <c r="H1516" s="94">
        <f t="shared" si="40"/>
        <v>3</v>
      </c>
      <c r="I1516" s="94">
        <f t="shared" si="40"/>
        <v>3.4</v>
      </c>
    </row>
    <row r="1517" spans="1:9" hidden="1" x14ac:dyDescent="0.35">
      <c r="A1517" s="38" t="s">
        <v>774</v>
      </c>
      <c r="B1517" s="38" t="s">
        <v>748</v>
      </c>
      <c r="C1517" s="38" t="s">
        <v>698</v>
      </c>
      <c r="D1517" s="38" t="s">
        <v>252</v>
      </c>
      <c r="E1517" s="94">
        <f t="shared" si="40"/>
        <v>3.5</v>
      </c>
      <c r="F1517" s="94">
        <f t="shared" si="40"/>
        <v>0.51500000000000001</v>
      </c>
      <c r="G1517" s="94">
        <f t="shared" si="40"/>
        <v>2.5</v>
      </c>
      <c r="H1517" s="94">
        <f t="shared" si="40"/>
        <v>3</v>
      </c>
      <c r="I1517" s="94">
        <f t="shared" si="40"/>
        <v>3.4</v>
      </c>
    </row>
    <row r="1518" spans="1:9" hidden="1" x14ac:dyDescent="0.35">
      <c r="A1518" s="38" t="s">
        <v>774</v>
      </c>
      <c r="B1518" s="38" t="s">
        <v>748</v>
      </c>
      <c r="C1518" s="38" t="s">
        <v>701</v>
      </c>
      <c r="D1518" s="38" t="s">
        <v>702</v>
      </c>
      <c r="E1518" s="94">
        <v>6</v>
      </c>
      <c r="F1518" s="94">
        <v>2.38</v>
      </c>
      <c r="G1518" s="94">
        <v>0.5</v>
      </c>
      <c r="H1518" s="94">
        <v>4</v>
      </c>
      <c r="I1518" s="94">
        <v>3.65</v>
      </c>
    </row>
    <row r="1519" spans="1:9" hidden="1" x14ac:dyDescent="0.35">
      <c r="A1519" s="38" t="s">
        <v>774</v>
      </c>
      <c r="B1519" s="38" t="s">
        <v>748</v>
      </c>
      <c r="C1519" s="38" t="s">
        <v>701</v>
      </c>
      <c r="D1519" s="38" t="s">
        <v>703</v>
      </c>
      <c r="E1519" s="94">
        <v>3.5</v>
      </c>
      <c r="F1519" s="94">
        <v>2.2400000000000002</v>
      </c>
      <c r="G1519" s="94">
        <v>1.2</v>
      </c>
      <c r="H1519" s="94">
        <v>0.5</v>
      </c>
      <c r="I1519" s="94">
        <v>2.6</v>
      </c>
    </row>
    <row r="1520" spans="1:9" hidden="1" x14ac:dyDescent="0.35">
      <c r="A1520" s="38" t="s">
        <v>774</v>
      </c>
      <c r="B1520" s="38" t="s">
        <v>748</v>
      </c>
      <c r="C1520" s="38" t="s">
        <v>704</v>
      </c>
      <c r="D1520" s="38" t="s">
        <v>746</v>
      </c>
      <c r="E1520" s="94">
        <v>6</v>
      </c>
      <c r="F1520" s="94">
        <v>2.72</v>
      </c>
      <c r="G1520" s="94">
        <v>5</v>
      </c>
      <c r="H1520" s="94">
        <v>1</v>
      </c>
      <c r="I1520" s="94">
        <v>16.55</v>
      </c>
    </row>
    <row r="1521" spans="1:9" hidden="1" x14ac:dyDescent="0.35">
      <c r="A1521" s="38" t="s">
        <v>774</v>
      </c>
      <c r="B1521" s="38" t="s">
        <v>748</v>
      </c>
      <c r="C1521" s="38" t="s">
        <v>707</v>
      </c>
      <c r="D1521" s="38" t="s">
        <v>708</v>
      </c>
      <c r="E1521" s="94">
        <v>20</v>
      </c>
      <c r="F1521" s="94">
        <v>4.8499999999999996</v>
      </c>
      <c r="G1521" s="94">
        <v>15</v>
      </c>
      <c r="H1521" s="94">
        <v>9</v>
      </c>
      <c r="I1521" s="94">
        <v>7.15</v>
      </c>
    </row>
    <row r="1522" spans="1:9" hidden="1" x14ac:dyDescent="0.35">
      <c r="A1522" s="38" t="s">
        <v>774</v>
      </c>
      <c r="B1522" s="38" t="s">
        <v>749</v>
      </c>
      <c r="C1522" s="38" t="s">
        <v>686</v>
      </c>
      <c r="D1522" s="38" t="s">
        <v>746</v>
      </c>
      <c r="E1522" s="94">
        <v>7.17</v>
      </c>
      <c r="F1522" s="94">
        <v>3.25</v>
      </c>
      <c r="G1522" s="94">
        <v>10.5</v>
      </c>
      <c r="H1522" s="94">
        <v>9</v>
      </c>
      <c r="I1522" s="94">
        <v>23.99</v>
      </c>
    </row>
    <row r="1523" spans="1:9" hidden="1" x14ac:dyDescent="0.35">
      <c r="A1523" s="38" t="s">
        <v>774</v>
      </c>
      <c r="B1523" s="38" t="s">
        <v>749</v>
      </c>
      <c r="C1523" s="38" t="s">
        <v>691</v>
      </c>
      <c r="D1523" s="38" t="s">
        <v>746</v>
      </c>
      <c r="E1523" s="94">
        <v>20</v>
      </c>
      <c r="F1523" s="94">
        <v>15.3</v>
      </c>
      <c r="G1523" s="94">
        <v>2</v>
      </c>
      <c r="H1523" s="94">
        <v>9.35</v>
      </c>
      <c r="I1523" s="94">
        <v>25.43</v>
      </c>
    </row>
    <row r="1524" spans="1:9" hidden="1" x14ac:dyDescent="0.35">
      <c r="A1524" s="38" t="s">
        <v>774</v>
      </c>
      <c r="B1524" s="38" t="s">
        <v>749</v>
      </c>
      <c r="C1524" s="38" t="s">
        <v>696</v>
      </c>
      <c r="D1524" s="94" t="s">
        <v>697</v>
      </c>
      <c r="E1524" s="94">
        <f t="shared" ref="E1524:I1528" si="41">E26*0.5</f>
        <v>6</v>
      </c>
      <c r="F1524" s="94">
        <f t="shared" si="41"/>
        <v>1.1100000000000001</v>
      </c>
      <c r="G1524" s="94">
        <f t="shared" si="41"/>
        <v>3</v>
      </c>
      <c r="H1524" s="94">
        <f t="shared" si="41"/>
        <v>3.415</v>
      </c>
      <c r="I1524" s="94">
        <f t="shared" si="41"/>
        <v>14.085000000000001</v>
      </c>
    </row>
    <row r="1525" spans="1:9" hidden="1" x14ac:dyDescent="0.35">
      <c r="A1525" s="38" t="s">
        <v>774</v>
      </c>
      <c r="B1525" s="38" t="s">
        <v>749</v>
      </c>
      <c r="C1525" s="38" t="s">
        <v>698</v>
      </c>
      <c r="D1525" s="38" t="s">
        <v>747</v>
      </c>
      <c r="E1525" s="94">
        <f t="shared" si="41"/>
        <v>1.1499999999999999</v>
      </c>
      <c r="F1525" s="94">
        <f t="shared" si="41"/>
        <v>0.155</v>
      </c>
      <c r="G1525" s="94">
        <f t="shared" si="41"/>
        <v>2.5</v>
      </c>
      <c r="H1525" s="94">
        <f t="shared" si="41"/>
        <v>1.95</v>
      </c>
      <c r="I1525" s="94">
        <f t="shared" si="41"/>
        <v>10.595000000000001</v>
      </c>
    </row>
    <row r="1526" spans="1:9" hidden="1" x14ac:dyDescent="0.35">
      <c r="A1526" s="38" t="s">
        <v>774</v>
      </c>
      <c r="B1526" s="38" t="s">
        <v>749</v>
      </c>
      <c r="C1526" s="38" t="s">
        <v>698</v>
      </c>
      <c r="D1526" s="38" t="s">
        <v>700</v>
      </c>
      <c r="E1526" s="94">
        <f t="shared" si="41"/>
        <v>5</v>
      </c>
      <c r="F1526" s="94">
        <f t="shared" si="41"/>
        <v>0.4</v>
      </c>
      <c r="G1526" s="94">
        <f t="shared" si="41"/>
        <v>2.5</v>
      </c>
      <c r="H1526" s="94">
        <f t="shared" si="41"/>
        <v>1.95</v>
      </c>
      <c r="I1526" s="94">
        <f t="shared" si="41"/>
        <v>10.595000000000001</v>
      </c>
    </row>
    <row r="1527" spans="1:9" hidden="1" x14ac:dyDescent="0.35">
      <c r="A1527" s="38" t="s">
        <v>774</v>
      </c>
      <c r="B1527" s="38" t="s">
        <v>749</v>
      </c>
      <c r="C1527" s="38" t="s">
        <v>698</v>
      </c>
      <c r="D1527" s="38" t="s">
        <v>521</v>
      </c>
      <c r="E1527" s="94">
        <f t="shared" si="41"/>
        <v>1.25</v>
      </c>
      <c r="F1527" s="94">
        <f t="shared" si="41"/>
        <v>0.33</v>
      </c>
      <c r="G1527" s="94">
        <f t="shared" si="41"/>
        <v>2.5</v>
      </c>
      <c r="H1527" s="94">
        <f t="shared" si="41"/>
        <v>1.95</v>
      </c>
      <c r="I1527" s="94">
        <f t="shared" si="41"/>
        <v>10.595000000000001</v>
      </c>
    </row>
    <row r="1528" spans="1:9" hidden="1" x14ac:dyDescent="0.35">
      <c r="A1528" s="38" t="s">
        <v>774</v>
      </c>
      <c r="B1528" s="38" t="s">
        <v>749</v>
      </c>
      <c r="C1528" s="38" t="s">
        <v>698</v>
      </c>
      <c r="D1528" s="38" t="s">
        <v>252</v>
      </c>
      <c r="E1528" s="94">
        <f t="shared" si="41"/>
        <v>3.5</v>
      </c>
      <c r="F1528" s="94">
        <f t="shared" si="41"/>
        <v>0.44</v>
      </c>
      <c r="G1528" s="94">
        <f t="shared" si="41"/>
        <v>2.5</v>
      </c>
      <c r="H1528" s="94">
        <f t="shared" si="41"/>
        <v>1.95</v>
      </c>
      <c r="I1528" s="94">
        <f t="shared" si="41"/>
        <v>10.595000000000001</v>
      </c>
    </row>
    <row r="1529" spans="1:9" hidden="1" x14ac:dyDescent="0.35">
      <c r="A1529" s="38" t="s">
        <v>774</v>
      </c>
      <c r="B1529" s="38" t="s">
        <v>749</v>
      </c>
      <c r="C1529" s="38" t="s">
        <v>701</v>
      </c>
      <c r="D1529" s="38" t="s">
        <v>702</v>
      </c>
      <c r="E1529" s="94">
        <v>4</v>
      </c>
      <c r="F1529" s="94">
        <v>2.27</v>
      </c>
      <c r="G1529" s="94">
        <v>0.5</v>
      </c>
      <c r="H1529" s="94">
        <v>7</v>
      </c>
      <c r="I1529" s="94">
        <v>20.399999999999999</v>
      </c>
    </row>
    <row r="1530" spans="1:9" hidden="1" x14ac:dyDescent="0.35">
      <c r="A1530" s="38" t="s">
        <v>774</v>
      </c>
      <c r="B1530" s="38" t="s">
        <v>749</v>
      </c>
      <c r="C1530" s="38" t="s">
        <v>701</v>
      </c>
      <c r="D1530" s="38" t="s">
        <v>703</v>
      </c>
      <c r="E1530" s="94">
        <v>3.5</v>
      </c>
      <c r="F1530" s="94">
        <v>0.4</v>
      </c>
      <c r="G1530" s="94">
        <v>1.2</v>
      </c>
      <c r="H1530" s="94">
        <v>7.75</v>
      </c>
      <c r="I1530" s="94">
        <v>21</v>
      </c>
    </row>
    <row r="1531" spans="1:9" hidden="1" x14ac:dyDescent="0.35">
      <c r="A1531" s="38" t="s">
        <v>774</v>
      </c>
      <c r="B1531" s="38" t="s">
        <v>749</v>
      </c>
      <c r="C1531" s="38" t="s">
        <v>704</v>
      </c>
      <c r="D1531" s="38" t="s">
        <v>746</v>
      </c>
      <c r="E1531" s="94">
        <v>12</v>
      </c>
      <c r="F1531" s="94">
        <v>3.91</v>
      </c>
      <c r="G1531" s="94">
        <v>5</v>
      </c>
      <c r="H1531" s="94">
        <v>1</v>
      </c>
      <c r="I1531" s="94">
        <v>4</v>
      </c>
    </row>
    <row r="1532" spans="1:9" hidden="1" x14ac:dyDescent="0.35">
      <c r="A1532" s="38" t="s">
        <v>774</v>
      </c>
      <c r="B1532" s="38" t="s">
        <v>749</v>
      </c>
      <c r="C1532" s="38" t="s">
        <v>707</v>
      </c>
      <c r="D1532" s="38" t="s">
        <v>708</v>
      </c>
      <c r="E1532" s="94">
        <v>20</v>
      </c>
      <c r="F1532" s="94">
        <v>5.83</v>
      </c>
      <c r="G1532" s="94">
        <v>15</v>
      </c>
      <c r="H1532" s="94">
        <v>8</v>
      </c>
      <c r="I1532" s="94">
        <v>15</v>
      </c>
    </row>
    <row r="1533" spans="1:9" hidden="1" x14ac:dyDescent="0.35">
      <c r="A1533" s="38" t="s">
        <v>774</v>
      </c>
      <c r="B1533" s="38" t="s">
        <v>750</v>
      </c>
      <c r="C1533" s="38" t="s">
        <v>686</v>
      </c>
      <c r="D1533" s="38" t="s">
        <v>746</v>
      </c>
      <c r="E1533" s="94">
        <v>6</v>
      </c>
      <c r="F1533" s="94">
        <v>7.46</v>
      </c>
      <c r="G1533" s="94">
        <v>9</v>
      </c>
      <c r="H1533" s="94">
        <v>4</v>
      </c>
      <c r="I1533" s="94">
        <v>10</v>
      </c>
    </row>
    <row r="1534" spans="1:9" hidden="1" x14ac:dyDescent="0.35">
      <c r="A1534" s="38" t="s">
        <v>774</v>
      </c>
      <c r="B1534" s="38" t="s">
        <v>750</v>
      </c>
      <c r="C1534" s="38" t="s">
        <v>691</v>
      </c>
      <c r="D1534" s="38" t="s">
        <v>746</v>
      </c>
      <c r="E1534" s="94">
        <v>20</v>
      </c>
      <c r="F1534" s="94">
        <v>14.32</v>
      </c>
      <c r="G1534" s="94">
        <v>20</v>
      </c>
      <c r="H1534" s="94">
        <v>12</v>
      </c>
      <c r="I1534" s="94">
        <v>10</v>
      </c>
    </row>
    <row r="1535" spans="1:9" hidden="1" x14ac:dyDescent="0.35">
      <c r="A1535" s="38" t="s">
        <v>774</v>
      </c>
      <c r="B1535" s="38" t="s">
        <v>750</v>
      </c>
      <c r="C1535" s="38" t="s">
        <v>696</v>
      </c>
      <c r="D1535" s="94" t="s">
        <v>697</v>
      </c>
      <c r="E1535" s="94">
        <f t="shared" ref="E1535:I1539" si="42">E37*0.5</f>
        <v>2.85</v>
      </c>
      <c r="F1535" s="94">
        <f t="shared" si="42"/>
        <v>9.8049999999999997</v>
      </c>
      <c r="G1535" s="94">
        <f t="shared" si="42"/>
        <v>4.5</v>
      </c>
      <c r="H1535" s="94">
        <f t="shared" si="42"/>
        <v>5</v>
      </c>
      <c r="I1535" s="94">
        <f t="shared" si="42"/>
        <v>2</v>
      </c>
    </row>
    <row r="1536" spans="1:9" hidden="1" x14ac:dyDescent="0.35">
      <c r="A1536" s="38" t="s">
        <v>774</v>
      </c>
      <c r="B1536" s="38" t="s">
        <v>750</v>
      </c>
      <c r="C1536" s="38" t="s">
        <v>698</v>
      </c>
      <c r="D1536" s="38" t="s">
        <v>747</v>
      </c>
      <c r="E1536" s="94">
        <f t="shared" si="42"/>
        <v>2.5</v>
      </c>
      <c r="F1536" s="94">
        <f t="shared" si="42"/>
        <v>0.66</v>
      </c>
      <c r="G1536" s="94">
        <f t="shared" si="42"/>
        <v>2.5</v>
      </c>
      <c r="H1536" s="94">
        <f t="shared" si="42"/>
        <v>2.5</v>
      </c>
      <c r="I1536" s="94">
        <f t="shared" si="42"/>
        <v>3</v>
      </c>
    </row>
    <row r="1537" spans="1:9" hidden="1" x14ac:dyDescent="0.35">
      <c r="A1537" s="38" t="s">
        <v>774</v>
      </c>
      <c r="B1537" s="38" t="s">
        <v>750</v>
      </c>
      <c r="C1537" s="38" t="s">
        <v>698</v>
      </c>
      <c r="D1537" s="38" t="s">
        <v>700</v>
      </c>
      <c r="E1537" s="94">
        <f t="shared" si="42"/>
        <v>5</v>
      </c>
      <c r="F1537" s="94">
        <f t="shared" si="42"/>
        <v>0.52</v>
      </c>
      <c r="G1537" s="94">
        <f t="shared" si="42"/>
        <v>2.5</v>
      </c>
      <c r="H1537" s="94">
        <f t="shared" si="42"/>
        <v>2.5</v>
      </c>
      <c r="I1537" s="94">
        <f t="shared" si="42"/>
        <v>3</v>
      </c>
    </row>
    <row r="1538" spans="1:9" hidden="1" x14ac:dyDescent="0.35">
      <c r="A1538" s="38" t="s">
        <v>774</v>
      </c>
      <c r="B1538" s="38" t="s">
        <v>750</v>
      </c>
      <c r="C1538" s="38" t="s">
        <v>698</v>
      </c>
      <c r="D1538" s="38" t="s">
        <v>521</v>
      </c>
      <c r="E1538" s="94">
        <f t="shared" si="42"/>
        <v>3</v>
      </c>
      <c r="F1538" s="94">
        <f t="shared" si="42"/>
        <v>0.20499999999999999</v>
      </c>
      <c r="G1538" s="94">
        <f t="shared" si="42"/>
        <v>2.5</v>
      </c>
      <c r="H1538" s="94">
        <f t="shared" si="42"/>
        <v>2.5</v>
      </c>
      <c r="I1538" s="94">
        <f t="shared" si="42"/>
        <v>3</v>
      </c>
    </row>
    <row r="1539" spans="1:9" hidden="1" x14ac:dyDescent="0.35">
      <c r="A1539" s="38" t="s">
        <v>774</v>
      </c>
      <c r="B1539" s="38" t="s">
        <v>750</v>
      </c>
      <c r="C1539" s="38" t="s">
        <v>698</v>
      </c>
      <c r="D1539" s="38" t="s">
        <v>252</v>
      </c>
      <c r="E1539" s="94">
        <f t="shared" si="42"/>
        <v>3</v>
      </c>
      <c r="F1539" s="94">
        <f t="shared" si="42"/>
        <v>0.75</v>
      </c>
      <c r="G1539" s="94">
        <f t="shared" si="42"/>
        <v>2.5</v>
      </c>
      <c r="H1539" s="94">
        <f t="shared" si="42"/>
        <v>2.5</v>
      </c>
      <c r="I1539" s="94">
        <f t="shared" si="42"/>
        <v>3</v>
      </c>
    </row>
    <row r="1540" spans="1:9" hidden="1" x14ac:dyDescent="0.35">
      <c r="A1540" s="38" t="s">
        <v>774</v>
      </c>
      <c r="B1540" s="38" t="s">
        <v>750</v>
      </c>
      <c r="C1540" s="38" t="s">
        <v>701</v>
      </c>
      <c r="D1540" s="38" t="s">
        <v>702</v>
      </c>
      <c r="E1540" s="94">
        <v>6</v>
      </c>
      <c r="F1540" s="94">
        <v>6.21</v>
      </c>
      <c r="G1540" s="94">
        <v>0.5</v>
      </c>
      <c r="H1540" s="94">
        <v>4</v>
      </c>
      <c r="I1540" s="94">
        <v>4</v>
      </c>
    </row>
    <row r="1541" spans="1:9" hidden="1" x14ac:dyDescent="0.35">
      <c r="A1541" s="38" t="s">
        <v>774</v>
      </c>
      <c r="B1541" s="38" t="s">
        <v>750</v>
      </c>
      <c r="C1541" s="38" t="s">
        <v>701</v>
      </c>
      <c r="D1541" s="38" t="s">
        <v>703</v>
      </c>
      <c r="E1541" s="94">
        <v>3.5</v>
      </c>
      <c r="F1541" s="94">
        <v>3.74</v>
      </c>
      <c r="G1541" s="94">
        <v>2</v>
      </c>
      <c r="H1541" s="94">
        <v>8</v>
      </c>
      <c r="I1541" s="94">
        <v>4</v>
      </c>
    </row>
    <row r="1542" spans="1:9" hidden="1" x14ac:dyDescent="0.35">
      <c r="A1542" s="38" t="s">
        <v>774</v>
      </c>
      <c r="B1542" s="38" t="s">
        <v>750</v>
      </c>
      <c r="C1542" s="38" t="s">
        <v>704</v>
      </c>
      <c r="D1542" s="38" t="s">
        <v>746</v>
      </c>
      <c r="E1542" s="94">
        <v>6</v>
      </c>
      <c r="F1542" s="94">
        <v>1.49</v>
      </c>
      <c r="G1542" s="94">
        <v>8</v>
      </c>
      <c r="H1542" s="94">
        <v>2</v>
      </c>
      <c r="I1542" s="94">
        <v>2</v>
      </c>
    </row>
    <row r="1543" spans="1:9" hidden="1" x14ac:dyDescent="0.35">
      <c r="A1543" s="38" t="s">
        <v>774</v>
      </c>
      <c r="B1543" s="38" t="s">
        <v>750</v>
      </c>
      <c r="C1543" s="38" t="s">
        <v>707</v>
      </c>
      <c r="D1543" s="38" t="s">
        <v>708</v>
      </c>
      <c r="E1543" s="94">
        <v>14</v>
      </c>
      <c r="F1543" s="94">
        <v>10.39</v>
      </c>
      <c r="G1543" s="94">
        <v>12</v>
      </c>
      <c r="H1543" s="94">
        <v>3</v>
      </c>
      <c r="I1543" s="94">
        <v>4</v>
      </c>
    </row>
    <row r="1544" spans="1:9" hidden="1" x14ac:dyDescent="0.35">
      <c r="A1544" s="38" t="s">
        <v>774</v>
      </c>
      <c r="B1544" s="38" t="s">
        <v>751</v>
      </c>
      <c r="C1544" s="38" t="s">
        <v>686</v>
      </c>
      <c r="D1544" s="38" t="s">
        <v>746</v>
      </c>
      <c r="E1544" s="94">
        <v>6</v>
      </c>
      <c r="F1544" s="94">
        <v>7.23</v>
      </c>
      <c r="G1544" s="94">
        <v>9</v>
      </c>
      <c r="H1544" s="94">
        <v>4</v>
      </c>
      <c r="I1544" s="94">
        <v>12</v>
      </c>
    </row>
    <row r="1545" spans="1:9" hidden="1" x14ac:dyDescent="0.35">
      <c r="A1545" s="38" t="s">
        <v>774</v>
      </c>
      <c r="B1545" s="38" t="s">
        <v>751</v>
      </c>
      <c r="C1545" s="38" t="s">
        <v>691</v>
      </c>
      <c r="D1545" s="38" t="s">
        <v>746</v>
      </c>
      <c r="E1545" s="94">
        <v>11.33</v>
      </c>
      <c r="F1545" s="94">
        <v>11.3</v>
      </c>
      <c r="G1545" s="94">
        <v>20</v>
      </c>
      <c r="H1545" s="94">
        <v>15.15</v>
      </c>
      <c r="I1545" s="94">
        <v>13</v>
      </c>
    </row>
    <row r="1546" spans="1:9" hidden="1" x14ac:dyDescent="0.35">
      <c r="A1546" s="38" t="s">
        <v>774</v>
      </c>
      <c r="B1546" s="38" t="s">
        <v>751</v>
      </c>
      <c r="C1546" s="38" t="s">
        <v>696</v>
      </c>
      <c r="D1546" s="94" t="s">
        <v>697</v>
      </c>
      <c r="E1546" s="94">
        <f t="shared" ref="E1546:I1550" si="43">E48*0.5</f>
        <v>3.3</v>
      </c>
      <c r="F1546" s="94">
        <f t="shared" si="43"/>
        <v>11.23</v>
      </c>
      <c r="G1546" s="94">
        <f t="shared" si="43"/>
        <v>4.5</v>
      </c>
      <c r="H1546" s="94">
        <f t="shared" si="43"/>
        <v>5</v>
      </c>
      <c r="I1546" s="94">
        <f t="shared" si="43"/>
        <v>2</v>
      </c>
    </row>
    <row r="1547" spans="1:9" hidden="1" x14ac:dyDescent="0.35">
      <c r="A1547" s="38" t="s">
        <v>774</v>
      </c>
      <c r="B1547" s="38" t="s">
        <v>751</v>
      </c>
      <c r="C1547" s="38" t="s">
        <v>698</v>
      </c>
      <c r="D1547" s="38" t="s">
        <v>747</v>
      </c>
      <c r="E1547" s="94">
        <f t="shared" si="43"/>
        <v>5</v>
      </c>
      <c r="F1547" s="94">
        <f t="shared" si="43"/>
        <v>0.1</v>
      </c>
      <c r="G1547" s="94">
        <f t="shared" si="43"/>
        <v>2.5</v>
      </c>
      <c r="H1547" s="94">
        <f t="shared" si="43"/>
        <v>2.5</v>
      </c>
      <c r="I1547" s="94">
        <f t="shared" si="43"/>
        <v>4</v>
      </c>
    </row>
    <row r="1548" spans="1:9" hidden="1" x14ac:dyDescent="0.35">
      <c r="A1548" s="38" t="s">
        <v>774</v>
      </c>
      <c r="B1548" s="38" t="s">
        <v>751</v>
      </c>
      <c r="C1548" s="38" t="s">
        <v>698</v>
      </c>
      <c r="D1548" s="38" t="s">
        <v>700</v>
      </c>
      <c r="E1548" s="94">
        <f t="shared" si="43"/>
        <v>7.5</v>
      </c>
      <c r="F1548" s="94">
        <f t="shared" si="43"/>
        <v>0.1</v>
      </c>
      <c r="G1548" s="94">
        <f t="shared" si="43"/>
        <v>2.5</v>
      </c>
      <c r="H1548" s="94">
        <f t="shared" si="43"/>
        <v>2.5</v>
      </c>
      <c r="I1548" s="94">
        <f t="shared" si="43"/>
        <v>4</v>
      </c>
    </row>
    <row r="1549" spans="1:9" hidden="1" x14ac:dyDescent="0.35">
      <c r="A1549" s="38" t="s">
        <v>774</v>
      </c>
      <c r="B1549" s="38" t="s">
        <v>751</v>
      </c>
      <c r="C1549" s="38" t="s">
        <v>698</v>
      </c>
      <c r="D1549" s="38" t="s">
        <v>521</v>
      </c>
      <c r="E1549" s="94">
        <f t="shared" si="43"/>
        <v>4</v>
      </c>
      <c r="F1549" s="94">
        <f t="shared" si="43"/>
        <v>0.115</v>
      </c>
      <c r="G1549" s="94">
        <f t="shared" si="43"/>
        <v>2.5</v>
      </c>
      <c r="H1549" s="94">
        <f t="shared" si="43"/>
        <v>2.5</v>
      </c>
      <c r="I1549" s="94">
        <f t="shared" si="43"/>
        <v>4</v>
      </c>
    </row>
    <row r="1550" spans="1:9" hidden="1" x14ac:dyDescent="0.35">
      <c r="A1550" s="38" t="s">
        <v>774</v>
      </c>
      <c r="B1550" s="38" t="s">
        <v>751</v>
      </c>
      <c r="C1550" s="38" t="s">
        <v>698</v>
      </c>
      <c r="D1550" s="38" t="s">
        <v>252</v>
      </c>
      <c r="E1550" s="94">
        <f t="shared" si="43"/>
        <v>4</v>
      </c>
      <c r="F1550" s="94">
        <f t="shared" si="43"/>
        <v>0.45</v>
      </c>
      <c r="G1550" s="94">
        <f t="shared" si="43"/>
        <v>2.5</v>
      </c>
      <c r="H1550" s="94">
        <f t="shared" si="43"/>
        <v>2.5</v>
      </c>
      <c r="I1550" s="94">
        <f t="shared" si="43"/>
        <v>4</v>
      </c>
    </row>
    <row r="1551" spans="1:9" hidden="1" x14ac:dyDescent="0.35">
      <c r="A1551" s="38" t="s">
        <v>774</v>
      </c>
      <c r="B1551" s="38" t="s">
        <v>751</v>
      </c>
      <c r="C1551" s="38" t="s">
        <v>701</v>
      </c>
      <c r="D1551" s="38" t="s">
        <v>702</v>
      </c>
      <c r="E1551" s="94">
        <v>6</v>
      </c>
      <c r="F1551" s="94">
        <v>4.8899999999999997</v>
      </c>
      <c r="G1551" s="94">
        <v>4.5</v>
      </c>
      <c r="H1551" s="94">
        <v>4</v>
      </c>
      <c r="I1551" s="94">
        <v>12</v>
      </c>
    </row>
    <row r="1552" spans="1:9" hidden="1" x14ac:dyDescent="0.35">
      <c r="A1552" s="38" t="s">
        <v>774</v>
      </c>
      <c r="B1552" s="38" t="s">
        <v>751</v>
      </c>
      <c r="C1552" s="38" t="s">
        <v>701</v>
      </c>
      <c r="D1552" s="38" t="s">
        <v>703</v>
      </c>
      <c r="E1552" s="94">
        <v>3.5</v>
      </c>
      <c r="F1552" s="94">
        <v>3.32</v>
      </c>
      <c r="G1552" s="94">
        <v>2</v>
      </c>
      <c r="H1552" s="94">
        <v>8</v>
      </c>
      <c r="I1552" s="94">
        <v>2</v>
      </c>
    </row>
    <row r="1553" spans="1:9" hidden="1" x14ac:dyDescent="0.35">
      <c r="A1553" s="38" t="s">
        <v>774</v>
      </c>
      <c r="B1553" s="38" t="s">
        <v>751</v>
      </c>
      <c r="C1553" s="38" t="s">
        <v>704</v>
      </c>
      <c r="D1553" s="38" t="s">
        <v>746</v>
      </c>
      <c r="E1553" s="94">
        <v>15</v>
      </c>
      <c r="F1553" s="94">
        <v>2.8</v>
      </c>
      <c r="G1553" s="94">
        <v>8</v>
      </c>
      <c r="H1553" s="94">
        <v>2</v>
      </c>
      <c r="I1553" s="94">
        <v>2</v>
      </c>
    </row>
    <row r="1554" spans="1:9" hidden="1" x14ac:dyDescent="0.35">
      <c r="A1554" s="38" t="s">
        <v>774</v>
      </c>
      <c r="B1554" s="38" t="s">
        <v>751</v>
      </c>
      <c r="C1554" s="38" t="s">
        <v>707</v>
      </c>
      <c r="D1554" s="38" t="s">
        <v>708</v>
      </c>
      <c r="E1554" s="94">
        <v>11.9</v>
      </c>
      <c r="F1554" s="94">
        <v>9.26</v>
      </c>
      <c r="G1554" s="94">
        <v>12</v>
      </c>
      <c r="H1554" s="94">
        <v>5.7</v>
      </c>
      <c r="I1554" s="94">
        <v>6</v>
      </c>
    </row>
    <row r="1555" spans="1:9" hidden="1" x14ac:dyDescent="0.35">
      <c r="A1555" s="38" t="s">
        <v>774</v>
      </c>
      <c r="B1555" s="38" t="s">
        <v>752</v>
      </c>
      <c r="C1555" s="38" t="s">
        <v>686</v>
      </c>
      <c r="D1555" s="38" t="s">
        <v>746</v>
      </c>
      <c r="E1555" s="94">
        <v>7.21</v>
      </c>
      <c r="F1555" s="94">
        <v>8.75</v>
      </c>
      <c r="G1555" s="94">
        <v>15.25</v>
      </c>
      <c r="H1555" s="94">
        <v>2</v>
      </c>
      <c r="I1555" s="94">
        <v>1</v>
      </c>
    </row>
    <row r="1556" spans="1:9" hidden="1" x14ac:dyDescent="0.35">
      <c r="A1556" s="38" t="s">
        <v>774</v>
      </c>
      <c r="B1556" s="38" t="s">
        <v>752</v>
      </c>
      <c r="C1556" s="38" t="s">
        <v>691</v>
      </c>
      <c r="D1556" s="38" t="s">
        <v>746</v>
      </c>
      <c r="E1556" s="94">
        <v>13.47</v>
      </c>
      <c r="F1556" s="94">
        <v>17.71</v>
      </c>
      <c r="G1556" s="94">
        <v>25</v>
      </c>
      <c r="H1556" s="94">
        <v>34.130000000000003</v>
      </c>
      <c r="I1556" s="94">
        <v>5</v>
      </c>
    </row>
    <row r="1557" spans="1:9" hidden="1" x14ac:dyDescent="0.35">
      <c r="A1557" s="38" t="s">
        <v>774</v>
      </c>
      <c r="B1557" s="38" t="s">
        <v>752</v>
      </c>
      <c r="C1557" s="38" t="s">
        <v>696</v>
      </c>
      <c r="D1557" s="94" t="s">
        <v>697</v>
      </c>
      <c r="E1557" s="94">
        <f>E59*0.5</f>
        <v>2.85</v>
      </c>
      <c r="F1557" s="94">
        <f>F59*0.5</f>
        <v>10.97</v>
      </c>
      <c r="G1557" s="94">
        <f>G59*0.5</f>
        <v>4.5</v>
      </c>
      <c r="H1557" s="94">
        <f>H59*0.5</f>
        <v>7.5</v>
      </c>
      <c r="I1557" s="94">
        <f>I59*0.5</f>
        <v>1</v>
      </c>
    </row>
    <row r="1558" spans="1:9" hidden="1" x14ac:dyDescent="0.35">
      <c r="A1558" s="38" t="s">
        <v>774</v>
      </c>
      <c r="B1558" s="38" t="s">
        <v>752</v>
      </c>
      <c r="C1558" s="38" t="s">
        <v>698</v>
      </c>
      <c r="D1558" s="38" t="s">
        <v>747</v>
      </c>
      <c r="E1558" s="94">
        <f t="shared" ref="E1558:I1561" si="44">E60*0.5</f>
        <v>5</v>
      </c>
      <c r="F1558" s="94">
        <f t="shared" si="44"/>
        <v>0.46500000000000002</v>
      </c>
      <c r="G1558" s="94">
        <f t="shared" si="44"/>
        <v>2.5</v>
      </c>
      <c r="H1558" s="94">
        <f t="shared" si="44"/>
        <v>3.5</v>
      </c>
      <c r="I1558" s="94">
        <f t="shared" si="44"/>
        <v>1</v>
      </c>
    </row>
    <row r="1559" spans="1:9" hidden="1" x14ac:dyDescent="0.35">
      <c r="A1559" s="38" t="s">
        <v>774</v>
      </c>
      <c r="B1559" s="38" t="s">
        <v>752</v>
      </c>
      <c r="C1559" s="38" t="s">
        <v>698</v>
      </c>
      <c r="D1559" s="38" t="s">
        <v>700</v>
      </c>
      <c r="E1559" s="94">
        <f t="shared" si="44"/>
        <v>16.5</v>
      </c>
      <c r="F1559" s="94">
        <f t="shared" si="44"/>
        <v>0.1</v>
      </c>
      <c r="G1559" s="94">
        <f t="shared" si="44"/>
        <v>2.5</v>
      </c>
      <c r="H1559" s="94">
        <f t="shared" si="44"/>
        <v>3.5</v>
      </c>
      <c r="I1559" s="94">
        <f t="shared" si="44"/>
        <v>1</v>
      </c>
    </row>
    <row r="1560" spans="1:9" hidden="1" x14ac:dyDescent="0.35">
      <c r="A1560" s="38" t="s">
        <v>774</v>
      </c>
      <c r="B1560" s="38" t="s">
        <v>752</v>
      </c>
      <c r="C1560" s="38" t="s">
        <v>698</v>
      </c>
      <c r="D1560" s="38" t="s">
        <v>521</v>
      </c>
      <c r="E1560" s="94">
        <f t="shared" si="44"/>
        <v>5</v>
      </c>
      <c r="F1560" s="94">
        <f t="shared" si="44"/>
        <v>0.115</v>
      </c>
      <c r="G1560" s="94">
        <f t="shared" si="44"/>
        <v>2.5</v>
      </c>
      <c r="H1560" s="94">
        <f t="shared" si="44"/>
        <v>3.5</v>
      </c>
      <c r="I1560" s="94">
        <f t="shared" si="44"/>
        <v>1</v>
      </c>
    </row>
    <row r="1561" spans="1:9" hidden="1" x14ac:dyDescent="0.35">
      <c r="A1561" s="38" t="s">
        <v>774</v>
      </c>
      <c r="B1561" s="38" t="s">
        <v>752</v>
      </c>
      <c r="C1561" s="38" t="s">
        <v>698</v>
      </c>
      <c r="D1561" s="38" t="s">
        <v>252</v>
      </c>
      <c r="E1561" s="94">
        <f t="shared" si="44"/>
        <v>12.5</v>
      </c>
      <c r="F1561" s="94">
        <f t="shared" si="44"/>
        <v>0.45</v>
      </c>
      <c r="G1561" s="94">
        <f t="shared" si="44"/>
        <v>2.5</v>
      </c>
      <c r="H1561" s="94">
        <f t="shared" si="44"/>
        <v>3.5</v>
      </c>
      <c r="I1561" s="94">
        <f t="shared" si="44"/>
        <v>1</v>
      </c>
    </row>
    <row r="1562" spans="1:9" hidden="1" x14ac:dyDescent="0.35">
      <c r="A1562" s="38" t="s">
        <v>774</v>
      </c>
      <c r="B1562" s="38" t="s">
        <v>752</v>
      </c>
      <c r="C1562" s="38" t="s">
        <v>701</v>
      </c>
      <c r="D1562" s="38" t="s">
        <v>702</v>
      </c>
      <c r="E1562" s="94">
        <v>8</v>
      </c>
      <c r="F1562" s="94">
        <v>8.01</v>
      </c>
      <c r="G1562" s="94">
        <v>0.1</v>
      </c>
      <c r="H1562" s="94">
        <v>3</v>
      </c>
      <c r="I1562" s="94">
        <v>1</v>
      </c>
    </row>
    <row r="1563" spans="1:9" hidden="1" x14ac:dyDescent="0.35">
      <c r="A1563" s="38" t="s">
        <v>774</v>
      </c>
      <c r="B1563" s="38" t="s">
        <v>752</v>
      </c>
      <c r="C1563" s="38" t="s">
        <v>701</v>
      </c>
      <c r="D1563" s="38" t="s">
        <v>703</v>
      </c>
      <c r="E1563" s="94">
        <v>6</v>
      </c>
      <c r="F1563" s="94">
        <v>8.1999999999999993</v>
      </c>
      <c r="G1563" s="94">
        <v>2</v>
      </c>
      <c r="H1563" s="94">
        <v>10</v>
      </c>
      <c r="I1563" s="94">
        <v>0.1</v>
      </c>
    </row>
    <row r="1564" spans="1:9" hidden="1" x14ac:dyDescent="0.35">
      <c r="A1564" s="38" t="s">
        <v>774</v>
      </c>
      <c r="B1564" s="38" t="s">
        <v>752</v>
      </c>
      <c r="C1564" s="38" t="s">
        <v>704</v>
      </c>
      <c r="D1564" s="38" t="s">
        <v>746</v>
      </c>
      <c r="E1564" s="94">
        <v>12</v>
      </c>
      <c r="F1564" s="94">
        <v>8.18</v>
      </c>
      <c r="G1564" s="94">
        <v>8</v>
      </c>
      <c r="H1564" s="94">
        <v>2</v>
      </c>
      <c r="I1564" s="94">
        <v>1</v>
      </c>
    </row>
    <row r="1565" spans="1:9" hidden="1" x14ac:dyDescent="0.35">
      <c r="A1565" s="38" t="s">
        <v>774</v>
      </c>
      <c r="B1565" s="38" t="s">
        <v>752</v>
      </c>
      <c r="C1565" s="38" t="s">
        <v>707</v>
      </c>
      <c r="D1565" s="38" t="s">
        <v>708</v>
      </c>
      <c r="E1565" s="94">
        <v>14</v>
      </c>
      <c r="F1565" s="94">
        <v>16.940000000000001</v>
      </c>
      <c r="G1565" s="94">
        <v>15</v>
      </c>
      <c r="H1565" s="94">
        <v>5</v>
      </c>
      <c r="I1565" s="94">
        <v>2</v>
      </c>
    </row>
    <row r="1566" spans="1:9" hidden="1" x14ac:dyDescent="0.35">
      <c r="A1566" s="38" t="s">
        <v>774</v>
      </c>
      <c r="B1566" s="38" t="s">
        <v>753</v>
      </c>
      <c r="C1566" s="38" t="s">
        <v>686</v>
      </c>
      <c r="D1566" s="38" t="s">
        <v>746</v>
      </c>
      <c r="E1566" s="94">
        <v>6</v>
      </c>
      <c r="F1566" s="94">
        <v>6.59</v>
      </c>
      <c r="G1566" s="94">
        <v>7</v>
      </c>
      <c r="H1566" s="94">
        <v>2.98</v>
      </c>
      <c r="I1566" s="94">
        <v>3</v>
      </c>
    </row>
    <row r="1567" spans="1:9" hidden="1" x14ac:dyDescent="0.35">
      <c r="A1567" s="38" t="s">
        <v>774</v>
      </c>
      <c r="B1567" s="38" t="s">
        <v>753</v>
      </c>
      <c r="C1567" s="38" t="s">
        <v>691</v>
      </c>
      <c r="D1567" s="38" t="s">
        <v>746</v>
      </c>
      <c r="E1567" s="94">
        <v>8.7100000000000009</v>
      </c>
      <c r="F1567" s="94">
        <v>9.8699999999999992</v>
      </c>
      <c r="G1567" s="94">
        <v>25</v>
      </c>
      <c r="H1567" s="94">
        <v>12.96</v>
      </c>
      <c r="I1567" s="94">
        <v>18.16</v>
      </c>
    </row>
    <row r="1568" spans="1:9" hidden="1" x14ac:dyDescent="0.35">
      <c r="A1568" s="38" t="s">
        <v>774</v>
      </c>
      <c r="B1568" s="38" t="s">
        <v>753</v>
      </c>
      <c r="C1568" s="38" t="s">
        <v>696</v>
      </c>
      <c r="D1568" s="94" t="s">
        <v>697</v>
      </c>
      <c r="E1568" s="94">
        <f>E70*0.5</f>
        <v>4.0999999999999996</v>
      </c>
      <c r="F1568" s="94">
        <f>F70*0.5</f>
        <v>12.734999999999999</v>
      </c>
      <c r="G1568" s="94">
        <f>G70*0.5</f>
        <v>4.5</v>
      </c>
      <c r="H1568" s="94">
        <f>H70*0.5</f>
        <v>6.165</v>
      </c>
      <c r="I1568" s="94">
        <f>I70*0.5</f>
        <v>1</v>
      </c>
    </row>
    <row r="1569" spans="1:9" hidden="1" x14ac:dyDescent="0.35">
      <c r="A1569" s="38" t="s">
        <v>774</v>
      </c>
      <c r="B1569" s="38" t="s">
        <v>753</v>
      </c>
      <c r="C1569" s="38" t="s">
        <v>698</v>
      </c>
      <c r="D1569" s="38" t="s">
        <v>747</v>
      </c>
      <c r="E1569" s="94">
        <f t="shared" ref="E1569:I1572" si="45">E71*0.5</f>
        <v>5</v>
      </c>
      <c r="F1569" s="94">
        <f t="shared" si="45"/>
        <v>0.105</v>
      </c>
      <c r="G1569" s="94">
        <f t="shared" si="45"/>
        <v>2.5</v>
      </c>
      <c r="H1569" s="94">
        <f t="shared" si="45"/>
        <v>3.5</v>
      </c>
      <c r="I1569" s="94">
        <f t="shared" si="45"/>
        <v>2</v>
      </c>
    </row>
    <row r="1570" spans="1:9" hidden="1" x14ac:dyDescent="0.35">
      <c r="A1570" s="38" t="s">
        <v>774</v>
      </c>
      <c r="B1570" s="38" t="s">
        <v>753</v>
      </c>
      <c r="C1570" s="38" t="s">
        <v>698</v>
      </c>
      <c r="D1570" s="38" t="s">
        <v>700</v>
      </c>
      <c r="E1570" s="94">
        <f t="shared" si="45"/>
        <v>5</v>
      </c>
      <c r="F1570" s="94">
        <f t="shared" si="45"/>
        <v>0.1</v>
      </c>
      <c r="G1570" s="94">
        <f t="shared" si="45"/>
        <v>2.5</v>
      </c>
      <c r="H1570" s="94">
        <f t="shared" si="45"/>
        <v>3.5</v>
      </c>
      <c r="I1570" s="94">
        <f t="shared" si="45"/>
        <v>2</v>
      </c>
    </row>
    <row r="1571" spans="1:9" hidden="1" x14ac:dyDescent="0.35">
      <c r="A1571" s="38" t="s">
        <v>774</v>
      </c>
      <c r="B1571" s="38" t="s">
        <v>753</v>
      </c>
      <c r="C1571" s="38" t="s">
        <v>698</v>
      </c>
      <c r="D1571" s="38" t="s">
        <v>521</v>
      </c>
      <c r="E1571" s="94">
        <f t="shared" si="45"/>
        <v>3</v>
      </c>
      <c r="F1571" s="94">
        <f t="shared" si="45"/>
        <v>0.23499999999999999</v>
      </c>
      <c r="G1571" s="94">
        <f t="shared" si="45"/>
        <v>2.5</v>
      </c>
      <c r="H1571" s="94">
        <f t="shared" si="45"/>
        <v>3.5</v>
      </c>
      <c r="I1571" s="94">
        <f t="shared" si="45"/>
        <v>2</v>
      </c>
    </row>
    <row r="1572" spans="1:9" hidden="1" x14ac:dyDescent="0.35">
      <c r="A1572" s="38" t="s">
        <v>774</v>
      </c>
      <c r="B1572" s="38" t="s">
        <v>753</v>
      </c>
      <c r="C1572" s="38" t="s">
        <v>698</v>
      </c>
      <c r="D1572" s="38" t="s">
        <v>252</v>
      </c>
      <c r="E1572" s="94">
        <f t="shared" si="45"/>
        <v>4</v>
      </c>
      <c r="F1572" s="94">
        <f t="shared" si="45"/>
        <v>0.48499999999999999</v>
      </c>
      <c r="G1572" s="94">
        <f t="shared" si="45"/>
        <v>2.5</v>
      </c>
      <c r="H1572" s="94">
        <f t="shared" si="45"/>
        <v>3.5</v>
      </c>
      <c r="I1572" s="94">
        <f t="shared" si="45"/>
        <v>2</v>
      </c>
    </row>
    <row r="1573" spans="1:9" hidden="1" x14ac:dyDescent="0.35">
      <c r="A1573" s="38" t="s">
        <v>774</v>
      </c>
      <c r="B1573" s="38" t="s">
        <v>753</v>
      </c>
      <c r="C1573" s="38" t="s">
        <v>701</v>
      </c>
      <c r="D1573" s="38" t="s">
        <v>702</v>
      </c>
      <c r="E1573" s="94">
        <v>8</v>
      </c>
      <c r="F1573" s="94">
        <v>7.23</v>
      </c>
      <c r="G1573" s="94">
        <v>0.1</v>
      </c>
      <c r="H1573" s="94">
        <v>3</v>
      </c>
      <c r="I1573" s="94">
        <v>2</v>
      </c>
    </row>
    <row r="1574" spans="1:9" hidden="1" x14ac:dyDescent="0.35">
      <c r="A1574" s="38" t="s">
        <v>774</v>
      </c>
      <c r="B1574" s="38" t="s">
        <v>753</v>
      </c>
      <c r="C1574" s="38" t="s">
        <v>701</v>
      </c>
      <c r="D1574" s="38" t="s">
        <v>703</v>
      </c>
      <c r="E1574" s="94">
        <v>3.5</v>
      </c>
      <c r="F1574" s="94">
        <v>4.68</v>
      </c>
      <c r="G1574" s="94">
        <v>2</v>
      </c>
      <c r="H1574" s="94">
        <v>10</v>
      </c>
      <c r="I1574" s="94">
        <v>1</v>
      </c>
    </row>
    <row r="1575" spans="1:9" hidden="1" x14ac:dyDescent="0.35">
      <c r="A1575" s="38" t="s">
        <v>774</v>
      </c>
      <c r="B1575" s="38" t="s">
        <v>753</v>
      </c>
      <c r="C1575" s="38" t="s">
        <v>704</v>
      </c>
      <c r="D1575" s="38" t="s">
        <v>746</v>
      </c>
      <c r="E1575" s="94">
        <v>7</v>
      </c>
      <c r="F1575" s="94">
        <v>3.4</v>
      </c>
      <c r="G1575" s="94">
        <v>8</v>
      </c>
      <c r="H1575" s="94">
        <v>2</v>
      </c>
      <c r="I1575" s="94">
        <v>1</v>
      </c>
    </row>
    <row r="1576" spans="1:9" hidden="1" x14ac:dyDescent="0.35">
      <c r="A1576" s="38" t="s">
        <v>774</v>
      </c>
      <c r="B1576" s="38" t="s">
        <v>753</v>
      </c>
      <c r="C1576" s="38" t="s">
        <v>707</v>
      </c>
      <c r="D1576" s="38" t="s">
        <v>708</v>
      </c>
      <c r="E1576" s="94">
        <v>8.15</v>
      </c>
      <c r="F1576" s="94">
        <v>12.11</v>
      </c>
      <c r="G1576" s="94">
        <v>10</v>
      </c>
      <c r="H1576" s="94">
        <v>10.78</v>
      </c>
      <c r="I1576" s="94">
        <v>3.88</v>
      </c>
    </row>
    <row r="1577" spans="1:9" hidden="1" x14ac:dyDescent="0.35">
      <c r="A1577" s="38" t="s">
        <v>775</v>
      </c>
      <c r="B1577" s="38" t="s">
        <v>745</v>
      </c>
      <c r="C1577" s="38" t="s">
        <v>686</v>
      </c>
      <c r="D1577" s="38" t="s">
        <v>746</v>
      </c>
      <c r="E1577" s="190">
        <v>4.3</v>
      </c>
      <c r="F1577" s="190">
        <v>3.8</v>
      </c>
      <c r="G1577" s="190">
        <v>0</v>
      </c>
      <c r="H1577" s="190">
        <v>3</v>
      </c>
      <c r="I1577" s="190">
        <v>0</v>
      </c>
    </row>
    <row r="1578" spans="1:9" hidden="1" x14ac:dyDescent="0.35">
      <c r="A1578" s="38" t="s">
        <v>775</v>
      </c>
      <c r="B1578" s="38" t="s">
        <v>745</v>
      </c>
      <c r="C1578" s="38" t="s">
        <v>691</v>
      </c>
      <c r="D1578" s="38" t="s">
        <v>746</v>
      </c>
      <c r="E1578" s="190">
        <v>20</v>
      </c>
      <c r="F1578" s="190">
        <v>7.3</v>
      </c>
      <c r="G1578" s="190">
        <v>0</v>
      </c>
      <c r="H1578" s="190">
        <v>4.9000000000000004</v>
      </c>
      <c r="I1578" s="190">
        <v>0</v>
      </c>
    </row>
    <row r="1579" spans="1:9" hidden="1" x14ac:dyDescent="0.35">
      <c r="A1579" s="38" t="s">
        <v>775</v>
      </c>
      <c r="B1579" s="38" t="s">
        <v>745</v>
      </c>
      <c r="C1579" s="38" t="s">
        <v>696</v>
      </c>
      <c r="D1579" s="38" t="s">
        <v>697</v>
      </c>
      <c r="E1579" s="190">
        <v>9.4</v>
      </c>
      <c r="F1579" s="190">
        <v>7.9</v>
      </c>
      <c r="G1579" s="190">
        <v>0</v>
      </c>
      <c r="H1579" s="190">
        <v>9</v>
      </c>
      <c r="I1579" s="190">
        <v>0</v>
      </c>
    </row>
    <row r="1580" spans="1:9" hidden="1" x14ac:dyDescent="0.35">
      <c r="A1580" s="38" t="s">
        <v>775</v>
      </c>
      <c r="B1580" s="38" t="s">
        <v>745</v>
      </c>
      <c r="C1580" s="38" t="s">
        <v>698</v>
      </c>
      <c r="D1580" s="38" t="s">
        <v>747</v>
      </c>
      <c r="E1580" s="190">
        <v>2.2999999999999998</v>
      </c>
      <c r="F1580" s="190">
        <v>0.6</v>
      </c>
      <c r="G1580" s="190">
        <v>0</v>
      </c>
      <c r="H1580" s="190">
        <v>4</v>
      </c>
      <c r="I1580" s="190">
        <v>0</v>
      </c>
    </row>
    <row r="1581" spans="1:9" hidden="1" x14ac:dyDescent="0.35">
      <c r="A1581" s="38" t="s">
        <v>775</v>
      </c>
      <c r="B1581" s="38" t="s">
        <v>745</v>
      </c>
      <c r="C1581" s="38" t="s">
        <v>698</v>
      </c>
      <c r="D1581" s="38" t="s">
        <v>700</v>
      </c>
      <c r="E1581" s="190">
        <v>10</v>
      </c>
      <c r="F1581" s="190">
        <v>0.6</v>
      </c>
      <c r="G1581" s="190">
        <v>0</v>
      </c>
      <c r="H1581" s="190">
        <v>4</v>
      </c>
      <c r="I1581" s="190">
        <v>0</v>
      </c>
    </row>
    <row r="1582" spans="1:9" hidden="1" x14ac:dyDescent="0.35">
      <c r="A1582" s="38" t="s">
        <v>775</v>
      </c>
      <c r="B1582" s="38" t="s">
        <v>745</v>
      </c>
      <c r="C1582" s="38" t="s">
        <v>698</v>
      </c>
      <c r="D1582" s="38" t="s">
        <v>521</v>
      </c>
      <c r="E1582" s="190">
        <v>2.5</v>
      </c>
      <c r="F1582" s="190">
        <v>0.3</v>
      </c>
      <c r="G1582" s="190">
        <v>0</v>
      </c>
      <c r="H1582" s="190">
        <v>4</v>
      </c>
      <c r="I1582" s="190">
        <v>0</v>
      </c>
    </row>
    <row r="1583" spans="1:9" hidden="1" x14ac:dyDescent="0.35">
      <c r="A1583" s="38" t="s">
        <v>775</v>
      </c>
      <c r="B1583" s="38" t="s">
        <v>745</v>
      </c>
      <c r="C1583" s="38" t="s">
        <v>698</v>
      </c>
      <c r="D1583" s="38" t="s">
        <v>252</v>
      </c>
      <c r="E1583" s="190">
        <v>7</v>
      </c>
      <c r="F1583" s="190">
        <v>0.9</v>
      </c>
      <c r="G1583" s="190">
        <v>0</v>
      </c>
      <c r="H1583" s="190">
        <v>4</v>
      </c>
      <c r="I1583" s="190">
        <v>0</v>
      </c>
    </row>
    <row r="1584" spans="1:9" hidden="1" x14ac:dyDescent="0.35">
      <c r="A1584" s="38" t="s">
        <v>775</v>
      </c>
      <c r="B1584" s="38" t="s">
        <v>745</v>
      </c>
      <c r="C1584" s="38" t="s">
        <v>701</v>
      </c>
      <c r="D1584" s="38" t="s">
        <v>702</v>
      </c>
      <c r="E1584" s="190">
        <v>4</v>
      </c>
      <c r="F1584" s="190">
        <v>1.9</v>
      </c>
      <c r="G1584" s="190">
        <v>0</v>
      </c>
      <c r="H1584" s="190">
        <v>2</v>
      </c>
      <c r="I1584" s="190">
        <v>0</v>
      </c>
    </row>
    <row r="1585" spans="1:9" hidden="1" x14ac:dyDescent="0.35">
      <c r="A1585" s="38" t="s">
        <v>775</v>
      </c>
      <c r="B1585" s="38" t="s">
        <v>745</v>
      </c>
      <c r="C1585" s="38" t="s">
        <v>701</v>
      </c>
      <c r="D1585" s="38" t="s">
        <v>703</v>
      </c>
      <c r="E1585" s="190">
        <v>3.5</v>
      </c>
      <c r="F1585" s="190">
        <v>1.7</v>
      </c>
      <c r="G1585" s="190">
        <v>0</v>
      </c>
      <c r="H1585" s="190">
        <v>0.82</v>
      </c>
      <c r="I1585" s="190">
        <v>0</v>
      </c>
    </row>
    <row r="1586" spans="1:9" hidden="1" x14ac:dyDescent="0.35">
      <c r="A1586" s="38" t="s">
        <v>775</v>
      </c>
      <c r="B1586" s="38" t="s">
        <v>745</v>
      </c>
      <c r="C1586" s="38" t="s">
        <v>704</v>
      </c>
      <c r="D1586" s="38" t="s">
        <v>746</v>
      </c>
      <c r="E1586" s="190">
        <v>5.3</v>
      </c>
      <c r="F1586" s="190">
        <v>1.2</v>
      </c>
      <c r="G1586" s="190">
        <v>0</v>
      </c>
      <c r="H1586" s="190">
        <v>1</v>
      </c>
      <c r="I1586" s="190">
        <v>0</v>
      </c>
    </row>
    <row r="1587" spans="1:9" hidden="1" x14ac:dyDescent="0.35">
      <c r="A1587" s="38" t="s">
        <v>775</v>
      </c>
      <c r="B1587" s="38" t="s">
        <v>745</v>
      </c>
      <c r="C1587" s="38" t="s">
        <v>707</v>
      </c>
      <c r="D1587" s="38" t="s">
        <v>708</v>
      </c>
      <c r="E1587" s="190">
        <v>20</v>
      </c>
      <c r="F1587" s="190">
        <v>7.6</v>
      </c>
      <c r="G1587" s="190">
        <v>0</v>
      </c>
      <c r="H1587" s="190">
        <v>7</v>
      </c>
      <c r="I1587" s="190">
        <v>0</v>
      </c>
    </row>
    <row r="1588" spans="1:9" hidden="1" x14ac:dyDescent="0.35">
      <c r="A1588" s="38" t="s">
        <v>775</v>
      </c>
      <c r="B1588" s="38" t="s">
        <v>748</v>
      </c>
      <c r="C1588" s="38" t="s">
        <v>686</v>
      </c>
      <c r="D1588" s="38" t="s">
        <v>746</v>
      </c>
      <c r="E1588" s="190">
        <v>3.92</v>
      </c>
      <c r="F1588" s="190">
        <v>4.24</v>
      </c>
      <c r="G1588" s="190">
        <v>0</v>
      </c>
      <c r="H1588" s="190">
        <v>2</v>
      </c>
      <c r="I1588" s="190">
        <v>0</v>
      </c>
    </row>
    <row r="1589" spans="1:9" hidden="1" x14ac:dyDescent="0.35">
      <c r="A1589" s="38" t="s">
        <v>775</v>
      </c>
      <c r="B1589" s="38" t="s">
        <v>748</v>
      </c>
      <c r="C1589" s="38" t="s">
        <v>691</v>
      </c>
      <c r="D1589" s="38" t="s">
        <v>746</v>
      </c>
      <c r="E1589" s="190">
        <v>10</v>
      </c>
      <c r="F1589" s="190">
        <v>8.3699999999999992</v>
      </c>
      <c r="G1589" s="190">
        <v>0</v>
      </c>
      <c r="H1589" s="190">
        <v>8</v>
      </c>
      <c r="I1589" s="190">
        <v>0</v>
      </c>
    </row>
    <row r="1590" spans="1:9" hidden="1" x14ac:dyDescent="0.35">
      <c r="A1590" s="38" t="s">
        <v>775</v>
      </c>
      <c r="B1590" s="38" t="s">
        <v>748</v>
      </c>
      <c r="C1590" s="38" t="s">
        <v>696</v>
      </c>
      <c r="D1590" s="38" t="s">
        <v>697</v>
      </c>
      <c r="E1590" s="190">
        <v>15</v>
      </c>
      <c r="F1590" s="190">
        <v>16.5</v>
      </c>
      <c r="G1590" s="190">
        <v>0</v>
      </c>
      <c r="H1590" s="190">
        <v>11</v>
      </c>
      <c r="I1590" s="190">
        <v>0</v>
      </c>
    </row>
    <row r="1591" spans="1:9" hidden="1" x14ac:dyDescent="0.35">
      <c r="A1591" s="38" t="s">
        <v>775</v>
      </c>
      <c r="B1591" s="38" t="s">
        <v>748</v>
      </c>
      <c r="C1591" s="38" t="s">
        <v>698</v>
      </c>
      <c r="D1591" s="38" t="s">
        <v>747</v>
      </c>
      <c r="E1591" s="190">
        <v>2.2999999999999998</v>
      </c>
      <c r="F1591" s="190">
        <v>0.55000000000000004</v>
      </c>
      <c r="G1591" s="190">
        <v>0</v>
      </c>
      <c r="H1591" s="190">
        <v>6</v>
      </c>
      <c r="I1591" s="190">
        <v>0</v>
      </c>
    </row>
    <row r="1592" spans="1:9" hidden="1" x14ac:dyDescent="0.35">
      <c r="A1592" s="38" t="s">
        <v>775</v>
      </c>
      <c r="B1592" s="38" t="s">
        <v>748</v>
      </c>
      <c r="C1592" s="38" t="s">
        <v>698</v>
      </c>
      <c r="D1592" s="38" t="s">
        <v>700</v>
      </c>
      <c r="E1592" s="190">
        <v>10</v>
      </c>
      <c r="F1592" s="190">
        <v>0.81</v>
      </c>
      <c r="G1592" s="190">
        <v>0</v>
      </c>
      <c r="H1592" s="190">
        <v>6</v>
      </c>
      <c r="I1592" s="190">
        <v>0</v>
      </c>
    </row>
    <row r="1593" spans="1:9" hidden="1" x14ac:dyDescent="0.35">
      <c r="A1593" s="38" t="s">
        <v>775</v>
      </c>
      <c r="B1593" s="38" t="s">
        <v>748</v>
      </c>
      <c r="C1593" s="38" t="s">
        <v>698</v>
      </c>
      <c r="D1593" s="38" t="s">
        <v>521</v>
      </c>
      <c r="E1593" s="190">
        <v>2.5</v>
      </c>
      <c r="F1593" s="190">
        <v>0.18</v>
      </c>
      <c r="G1593" s="190">
        <v>0</v>
      </c>
      <c r="H1593" s="190">
        <v>6</v>
      </c>
      <c r="I1593" s="190">
        <v>0</v>
      </c>
    </row>
    <row r="1594" spans="1:9" hidden="1" x14ac:dyDescent="0.35">
      <c r="A1594" s="38" t="s">
        <v>775</v>
      </c>
      <c r="B1594" s="38" t="s">
        <v>748</v>
      </c>
      <c r="C1594" s="38" t="s">
        <v>698</v>
      </c>
      <c r="D1594" s="38" t="s">
        <v>252</v>
      </c>
      <c r="E1594" s="190">
        <v>7</v>
      </c>
      <c r="F1594" s="190">
        <v>1.03</v>
      </c>
      <c r="G1594" s="190">
        <v>0</v>
      </c>
      <c r="H1594" s="190">
        <v>6</v>
      </c>
      <c r="I1594" s="190">
        <v>0</v>
      </c>
    </row>
    <row r="1595" spans="1:9" hidden="1" x14ac:dyDescent="0.35">
      <c r="A1595" s="38" t="s">
        <v>775</v>
      </c>
      <c r="B1595" s="38" t="s">
        <v>748</v>
      </c>
      <c r="C1595" s="38" t="s">
        <v>701</v>
      </c>
      <c r="D1595" s="38" t="s">
        <v>702</v>
      </c>
      <c r="E1595" s="190">
        <v>6</v>
      </c>
      <c r="F1595" s="190">
        <v>2.38</v>
      </c>
      <c r="G1595" s="190">
        <v>0</v>
      </c>
      <c r="H1595" s="190">
        <v>4</v>
      </c>
      <c r="I1595" s="190">
        <v>0</v>
      </c>
    </row>
    <row r="1596" spans="1:9" hidden="1" x14ac:dyDescent="0.35">
      <c r="A1596" s="38" t="s">
        <v>775</v>
      </c>
      <c r="B1596" s="38" t="s">
        <v>748</v>
      </c>
      <c r="C1596" s="38" t="s">
        <v>701</v>
      </c>
      <c r="D1596" s="38" t="s">
        <v>703</v>
      </c>
      <c r="E1596" s="190">
        <v>3.5</v>
      </c>
      <c r="F1596" s="190">
        <v>2.2400000000000002</v>
      </c>
      <c r="G1596" s="190">
        <v>0</v>
      </c>
      <c r="H1596" s="190">
        <v>0.5</v>
      </c>
      <c r="I1596" s="190">
        <v>0</v>
      </c>
    </row>
    <row r="1597" spans="1:9" hidden="1" x14ac:dyDescent="0.35">
      <c r="A1597" s="38" t="s">
        <v>775</v>
      </c>
      <c r="B1597" s="38" t="s">
        <v>748</v>
      </c>
      <c r="C1597" s="38" t="s">
        <v>704</v>
      </c>
      <c r="D1597" s="38" t="s">
        <v>746</v>
      </c>
      <c r="E1597" s="190">
        <v>6</v>
      </c>
      <c r="F1597" s="190">
        <v>2.72</v>
      </c>
      <c r="G1597" s="190">
        <v>0</v>
      </c>
      <c r="H1597" s="190">
        <v>1</v>
      </c>
      <c r="I1597" s="190">
        <v>0</v>
      </c>
    </row>
    <row r="1598" spans="1:9" hidden="1" x14ac:dyDescent="0.35">
      <c r="A1598" s="38" t="s">
        <v>775</v>
      </c>
      <c r="B1598" s="38" t="s">
        <v>748</v>
      </c>
      <c r="C1598" s="38" t="s">
        <v>707</v>
      </c>
      <c r="D1598" s="38" t="s">
        <v>708</v>
      </c>
      <c r="E1598" s="190">
        <v>20</v>
      </c>
      <c r="F1598" s="190">
        <v>4.8499999999999996</v>
      </c>
      <c r="G1598" s="190">
        <v>0</v>
      </c>
      <c r="H1598" s="190">
        <v>9</v>
      </c>
      <c r="I1598" s="190">
        <v>0</v>
      </c>
    </row>
    <row r="1599" spans="1:9" hidden="1" x14ac:dyDescent="0.35">
      <c r="A1599" s="38" t="s">
        <v>775</v>
      </c>
      <c r="B1599" s="38" t="s">
        <v>749</v>
      </c>
      <c r="C1599" s="38" t="s">
        <v>686</v>
      </c>
      <c r="D1599" s="38" t="s">
        <v>746</v>
      </c>
      <c r="E1599" s="190">
        <v>7.17</v>
      </c>
      <c r="F1599" s="190">
        <v>3.25</v>
      </c>
      <c r="G1599" s="190">
        <v>0</v>
      </c>
      <c r="H1599" s="190">
        <v>9</v>
      </c>
      <c r="I1599" s="190">
        <v>0</v>
      </c>
    </row>
    <row r="1600" spans="1:9" hidden="1" x14ac:dyDescent="0.35">
      <c r="A1600" s="38" t="s">
        <v>775</v>
      </c>
      <c r="B1600" s="38" t="s">
        <v>749</v>
      </c>
      <c r="C1600" s="38" t="s">
        <v>691</v>
      </c>
      <c r="D1600" s="38" t="s">
        <v>746</v>
      </c>
      <c r="E1600" s="190">
        <v>20</v>
      </c>
      <c r="F1600" s="190">
        <v>15.3</v>
      </c>
      <c r="G1600" s="190">
        <v>0</v>
      </c>
      <c r="H1600" s="190">
        <v>9.35</v>
      </c>
      <c r="I1600" s="190">
        <v>0</v>
      </c>
    </row>
    <row r="1601" spans="1:9" hidden="1" x14ac:dyDescent="0.35">
      <c r="A1601" s="38" t="s">
        <v>775</v>
      </c>
      <c r="B1601" s="38" t="s">
        <v>749</v>
      </c>
      <c r="C1601" s="38" t="s">
        <v>696</v>
      </c>
      <c r="D1601" s="38" t="s">
        <v>697</v>
      </c>
      <c r="E1601" s="190">
        <v>12</v>
      </c>
      <c r="F1601" s="190">
        <v>2.2200000000000002</v>
      </c>
      <c r="G1601" s="190">
        <v>0</v>
      </c>
      <c r="H1601" s="190">
        <v>6.83</v>
      </c>
      <c r="I1601" s="190">
        <v>0</v>
      </c>
    </row>
    <row r="1602" spans="1:9" hidden="1" x14ac:dyDescent="0.35">
      <c r="A1602" s="38" t="s">
        <v>775</v>
      </c>
      <c r="B1602" s="38" t="s">
        <v>749</v>
      </c>
      <c r="C1602" s="38" t="s">
        <v>698</v>
      </c>
      <c r="D1602" s="38" t="s">
        <v>747</v>
      </c>
      <c r="E1602" s="190">
        <v>2.2999999999999998</v>
      </c>
      <c r="F1602" s="190">
        <v>0.31</v>
      </c>
      <c r="G1602" s="190">
        <v>0</v>
      </c>
      <c r="H1602" s="190">
        <v>3.9</v>
      </c>
      <c r="I1602" s="190">
        <v>0</v>
      </c>
    </row>
    <row r="1603" spans="1:9" hidden="1" x14ac:dyDescent="0.35">
      <c r="A1603" s="38" t="s">
        <v>775</v>
      </c>
      <c r="B1603" s="38" t="s">
        <v>749</v>
      </c>
      <c r="C1603" s="38" t="s">
        <v>698</v>
      </c>
      <c r="D1603" s="38" t="s">
        <v>700</v>
      </c>
      <c r="E1603" s="190">
        <v>10</v>
      </c>
      <c r="F1603" s="190">
        <v>0.8</v>
      </c>
      <c r="G1603" s="190">
        <v>0</v>
      </c>
      <c r="H1603" s="190">
        <v>3.9</v>
      </c>
      <c r="I1603" s="190">
        <v>0</v>
      </c>
    </row>
    <row r="1604" spans="1:9" hidden="1" x14ac:dyDescent="0.35">
      <c r="A1604" s="38" t="s">
        <v>775</v>
      </c>
      <c r="B1604" s="38" t="s">
        <v>749</v>
      </c>
      <c r="C1604" s="38" t="s">
        <v>698</v>
      </c>
      <c r="D1604" s="38" t="s">
        <v>521</v>
      </c>
      <c r="E1604" s="190">
        <v>2.5</v>
      </c>
      <c r="F1604" s="190">
        <v>0.66</v>
      </c>
      <c r="G1604" s="190">
        <v>0</v>
      </c>
      <c r="H1604" s="190">
        <v>3.9</v>
      </c>
      <c r="I1604" s="190">
        <v>0</v>
      </c>
    </row>
    <row r="1605" spans="1:9" hidden="1" x14ac:dyDescent="0.35">
      <c r="A1605" s="38" t="s">
        <v>775</v>
      </c>
      <c r="B1605" s="38" t="s">
        <v>749</v>
      </c>
      <c r="C1605" s="38" t="s">
        <v>698</v>
      </c>
      <c r="D1605" s="38" t="s">
        <v>252</v>
      </c>
      <c r="E1605" s="190">
        <v>7</v>
      </c>
      <c r="F1605" s="190">
        <v>0.88</v>
      </c>
      <c r="G1605" s="190">
        <v>0</v>
      </c>
      <c r="H1605" s="190">
        <v>3.9</v>
      </c>
      <c r="I1605" s="190">
        <v>0</v>
      </c>
    </row>
    <row r="1606" spans="1:9" hidden="1" x14ac:dyDescent="0.35">
      <c r="A1606" s="38" t="s">
        <v>775</v>
      </c>
      <c r="B1606" s="38" t="s">
        <v>749</v>
      </c>
      <c r="C1606" s="38" t="s">
        <v>701</v>
      </c>
      <c r="D1606" s="38" t="s">
        <v>702</v>
      </c>
      <c r="E1606" s="190">
        <v>4</v>
      </c>
      <c r="F1606" s="190">
        <v>2.27</v>
      </c>
      <c r="G1606" s="190">
        <v>0</v>
      </c>
      <c r="H1606" s="190">
        <v>7</v>
      </c>
      <c r="I1606" s="190">
        <v>0</v>
      </c>
    </row>
    <row r="1607" spans="1:9" hidden="1" x14ac:dyDescent="0.35">
      <c r="A1607" s="38" t="s">
        <v>775</v>
      </c>
      <c r="B1607" s="38" t="s">
        <v>749</v>
      </c>
      <c r="C1607" s="38" t="s">
        <v>701</v>
      </c>
      <c r="D1607" s="38" t="s">
        <v>703</v>
      </c>
      <c r="E1607" s="190">
        <v>3.5</v>
      </c>
      <c r="F1607" s="190">
        <v>0.4</v>
      </c>
      <c r="G1607" s="190">
        <v>0</v>
      </c>
      <c r="H1607" s="190">
        <v>7.75</v>
      </c>
      <c r="I1607" s="190">
        <v>0</v>
      </c>
    </row>
    <row r="1608" spans="1:9" hidden="1" x14ac:dyDescent="0.35">
      <c r="A1608" s="38" t="s">
        <v>775</v>
      </c>
      <c r="B1608" s="38" t="s">
        <v>749</v>
      </c>
      <c r="C1608" s="38" t="s">
        <v>704</v>
      </c>
      <c r="D1608" s="38" t="s">
        <v>746</v>
      </c>
      <c r="E1608" s="190">
        <v>12</v>
      </c>
      <c r="F1608" s="190">
        <v>3.91</v>
      </c>
      <c r="G1608" s="190">
        <v>0</v>
      </c>
      <c r="H1608" s="190">
        <v>1</v>
      </c>
      <c r="I1608" s="190">
        <v>0</v>
      </c>
    </row>
    <row r="1609" spans="1:9" hidden="1" x14ac:dyDescent="0.35">
      <c r="A1609" s="38" t="s">
        <v>775</v>
      </c>
      <c r="B1609" s="38" t="s">
        <v>749</v>
      </c>
      <c r="C1609" s="38" t="s">
        <v>707</v>
      </c>
      <c r="D1609" s="38" t="s">
        <v>708</v>
      </c>
      <c r="E1609" s="190">
        <v>20</v>
      </c>
      <c r="F1609" s="190">
        <v>5.83</v>
      </c>
      <c r="G1609" s="190">
        <v>0</v>
      </c>
      <c r="H1609" s="190">
        <v>8</v>
      </c>
      <c r="I1609" s="190">
        <v>0</v>
      </c>
    </row>
    <row r="1610" spans="1:9" hidden="1" x14ac:dyDescent="0.35">
      <c r="A1610" s="38" t="s">
        <v>775</v>
      </c>
      <c r="B1610" s="38" t="s">
        <v>750</v>
      </c>
      <c r="C1610" s="38" t="s">
        <v>686</v>
      </c>
      <c r="D1610" s="38" t="s">
        <v>746</v>
      </c>
      <c r="E1610" s="190">
        <v>6</v>
      </c>
      <c r="F1610" s="190">
        <v>7.46</v>
      </c>
      <c r="G1610" s="190">
        <v>0</v>
      </c>
      <c r="H1610" s="190">
        <v>4</v>
      </c>
      <c r="I1610" s="190">
        <v>0</v>
      </c>
    </row>
    <row r="1611" spans="1:9" hidden="1" x14ac:dyDescent="0.35">
      <c r="A1611" s="38" t="s">
        <v>775</v>
      </c>
      <c r="B1611" s="38" t="s">
        <v>750</v>
      </c>
      <c r="C1611" s="38" t="s">
        <v>691</v>
      </c>
      <c r="D1611" s="38" t="s">
        <v>746</v>
      </c>
      <c r="E1611" s="190">
        <v>20</v>
      </c>
      <c r="F1611" s="190">
        <v>14.32</v>
      </c>
      <c r="G1611" s="190">
        <v>0</v>
      </c>
      <c r="H1611" s="190">
        <v>12</v>
      </c>
      <c r="I1611" s="190">
        <v>0</v>
      </c>
    </row>
    <row r="1612" spans="1:9" hidden="1" x14ac:dyDescent="0.35">
      <c r="A1612" s="38" t="s">
        <v>775</v>
      </c>
      <c r="B1612" s="38" t="s">
        <v>750</v>
      </c>
      <c r="C1612" s="38" t="s">
        <v>696</v>
      </c>
      <c r="D1612" s="38" t="s">
        <v>697</v>
      </c>
      <c r="E1612" s="190">
        <v>5.7</v>
      </c>
      <c r="F1612" s="190">
        <v>19.61</v>
      </c>
      <c r="G1612" s="190">
        <v>0</v>
      </c>
      <c r="H1612" s="190">
        <v>10</v>
      </c>
      <c r="I1612" s="190">
        <v>0</v>
      </c>
    </row>
    <row r="1613" spans="1:9" hidden="1" x14ac:dyDescent="0.35">
      <c r="A1613" s="38" t="s">
        <v>775</v>
      </c>
      <c r="B1613" s="38" t="s">
        <v>750</v>
      </c>
      <c r="C1613" s="38" t="s">
        <v>698</v>
      </c>
      <c r="D1613" s="38" t="s">
        <v>747</v>
      </c>
      <c r="E1613" s="190">
        <v>5</v>
      </c>
      <c r="F1613" s="190">
        <v>1.32</v>
      </c>
      <c r="G1613" s="190">
        <v>0</v>
      </c>
      <c r="H1613" s="190">
        <v>5</v>
      </c>
      <c r="I1613" s="190">
        <v>0</v>
      </c>
    </row>
    <row r="1614" spans="1:9" hidden="1" x14ac:dyDescent="0.35">
      <c r="A1614" s="38" t="s">
        <v>775</v>
      </c>
      <c r="B1614" s="38" t="s">
        <v>750</v>
      </c>
      <c r="C1614" s="38" t="s">
        <v>698</v>
      </c>
      <c r="D1614" s="38" t="s">
        <v>700</v>
      </c>
      <c r="E1614" s="190">
        <v>10</v>
      </c>
      <c r="F1614" s="190">
        <v>1.04</v>
      </c>
      <c r="G1614" s="190">
        <v>0</v>
      </c>
      <c r="H1614" s="190">
        <v>5</v>
      </c>
      <c r="I1614" s="190">
        <v>0</v>
      </c>
    </row>
    <row r="1615" spans="1:9" hidden="1" x14ac:dyDescent="0.35">
      <c r="A1615" s="38" t="s">
        <v>775</v>
      </c>
      <c r="B1615" s="38" t="s">
        <v>750</v>
      </c>
      <c r="C1615" s="38" t="s">
        <v>698</v>
      </c>
      <c r="D1615" s="38" t="s">
        <v>521</v>
      </c>
      <c r="E1615" s="190">
        <v>6</v>
      </c>
      <c r="F1615" s="190">
        <v>0.41</v>
      </c>
      <c r="G1615" s="190">
        <v>0</v>
      </c>
      <c r="H1615" s="190">
        <v>5</v>
      </c>
      <c r="I1615" s="190">
        <v>0</v>
      </c>
    </row>
    <row r="1616" spans="1:9" hidden="1" x14ac:dyDescent="0.35">
      <c r="A1616" s="38" t="s">
        <v>775</v>
      </c>
      <c r="B1616" s="38" t="s">
        <v>750</v>
      </c>
      <c r="C1616" s="38" t="s">
        <v>698</v>
      </c>
      <c r="D1616" s="38" t="s">
        <v>252</v>
      </c>
      <c r="E1616" s="190">
        <v>6</v>
      </c>
      <c r="F1616" s="190">
        <v>1.5</v>
      </c>
      <c r="G1616" s="190">
        <v>0</v>
      </c>
      <c r="H1616" s="190">
        <v>5</v>
      </c>
      <c r="I1616" s="190">
        <v>0</v>
      </c>
    </row>
    <row r="1617" spans="1:9" hidden="1" x14ac:dyDescent="0.35">
      <c r="A1617" s="38" t="s">
        <v>775</v>
      </c>
      <c r="B1617" s="38" t="s">
        <v>750</v>
      </c>
      <c r="C1617" s="38" t="s">
        <v>701</v>
      </c>
      <c r="D1617" s="38" t="s">
        <v>702</v>
      </c>
      <c r="E1617" s="190">
        <v>6</v>
      </c>
      <c r="F1617" s="190">
        <v>6.21</v>
      </c>
      <c r="G1617" s="190">
        <v>0</v>
      </c>
      <c r="H1617" s="190">
        <v>4</v>
      </c>
      <c r="I1617" s="190">
        <v>0</v>
      </c>
    </row>
    <row r="1618" spans="1:9" hidden="1" x14ac:dyDescent="0.35">
      <c r="A1618" s="38" t="s">
        <v>775</v>
      </c>
      <c r="B1618" s="38" t="s">
        <v>750</v>
      </c>
      <c r="C1618" s="38" t="s">
        <v>701</v>
      </c>
      <c r="D1618" s="38" t="s">
        <v>703</v>
      </c>
      <c r="E1618" s="190">
        <v>3.5</v>
      </c>
      <c r="F1618" s="190">
        <v>3.74</v>
      </c>
      <c r="G1618" s="190">
        <v>0</v>
      </c>
      <c r="H1618" s="190">
        <v>8</v>
      </c>
      <c r="I1618" s="190">
        <v>0</v>
      </c>
    </row>
    <row r="1619" spans="1:9" hidden="1" x14ac:dyDescent="0.35">
      <c r="A1619" s="38" t="s">
        <v>775</v>
      </c>
      <c r="B1619" s="38" t="s">
        <v>750</v>
      </c>
      <c r="C1619" s="38" t="s">
        <v>704</v>
      </c>
      <c r="D1619" s="38" t="s">
        <v>746</v>
      </c>
      <c r="E1619" s="190">
        <v>6</v>
      </c>
      <c r="F1619" s="190">
        <v>1.49</v>
      </c>
      <c r="G1619" s="190">
        <v>0</v>
      </c>
      <c r="H1619" s="190">
        <v>2</v>
      </c>
      <c r="I1619" s="190">
        <v>0</v>
      </c>
    </row>
    <row r="1620" spans="1:9" hidden="1" x14ac:dyDescent="0.35">
      <c r="A1620" s="38" t="s">
        <v>775</v>
      </c>
      <c r="B1620" s="38" t="s">
        <v>750</v>
      </c>
      <c r="C1620" s="38" t="s">
        <v>707</v>
      </c>
      <c r="D1620" s="38" t="s">
        <v>708</v>
      </c>
      <c r="E1620" s="190">
        <v>14</v>
      </c>
      <c r="F1620" s="190">
        <v>10.39</v>
      </c>
      <c r="G1620" s="190">
        <v>0</v>
      </c>
      <c r="H1620" s="190">
        <v>3</v>
      </c>
      <c r="I1620" s="190">
        <v>0</v>
      </c>
    </row>
    <row r="1621" spans="1:9" hidden="1" x14ac:dyDescent="0.35">
      <c r="A1621" s="38" t="s">
        <v>775</v>
      </c>
      <c r="B1621" s="38" t="s">
        <v>751</v>
      </c>
      <c r="C1621" s="38" t="s">
        <v>686</v>
      </c>
      <c r="D1621" s="38" t="s">
        <v>746</v>
      </c>
      <c r="E1621" s="190">
        <v>6</v>
      </c>
      <c r="F1621" s="190">
        <v>7.23</v>
      </c>
      <c r="G1621" s="190">
        <v>0</v>
      </c>
      <c r="H1621" s="190">
        <v>4</v>
      </c>
      <c r="I1621" s="190">
        <v>0</v>
      </c>
    </row>
    <row r="1622" spans="1:9" hidden="1" x14ac:dyDescent="0.35">
      <c r="A1622" s="38" t="s">
        <v>775</v>
      </c>
      <c r="B1622" s="38" t="s">
        <v>751</v>
      </c>
      <c r="C1622" s="38" t="s">
        <v>691</v>
      </c>
      <c r="D1622" s="38" t="s">
        <v>746</v>
      </c>
      <c r="E1622" s="190">
        <v>11.33</v>
      </c>
      <c r="F1622" s="190">
        <v>11.3</v>
      </c>
      <c r="G1622" s="190">
        <v>0</v>
      </c>
      <c r="H1622" s="190">
        <v>15.15</v>
      </c>
      <c r="I1622" s="190">
        <v>0</v>
      </c>
    </row>
    <row r="1623" spans="1:9" hidden="1" x14ac:dyDescent="0.35">
      <c r="A1623" s="38" t="s">
        <v>775</v>
      </c>
      <c r="B1623" s="38" t="s">
        <v>751</v>
      </c>
      <c r="C1623" s="38" t="s">
        <v>696</v>
      </c>
      <c r="D1623" s="38" t="s">
        <v>697</v>
      </c>
      <c r="E1623" s="190">
        <v>6.6</v>
      </c>
      <c r="F1623" s="190">
        <v>22.46</v>
      </c>
      <c r="G1623" s="190">
        <v>0</v>
      </c>
      <c r="H1623" s="190">
        <v>10</v>
      </c>
      <c r="I1623" s="190">
        <v>0</v>
      </c>
    </row>
    <row r="1624" spans="1:9" hidden="1" x14ac:dyDescent="0.35">
      <c r="A1624" s="38" t="s">
        <v>775</v>
      </c>
      <c r="B1624" s="38" t="s">
        <v>751</v>
      </c>
      <c r="C1624" s="38" t="s">
        <v>698</v>
      </c>
      <c r="D1624" s="38" t="s">
        <v>747</v>
      </c>
      <c r="E1624" s="190">
        <v>10</v>
      </c>
      <c r="F1624" s="190">
        <v>0.2</v>
      </c>
      <c r="G1624" s="190">
        <v>0</v>
      </c>
      <c r="H1624" s="190">
        <v>5</v>
      </c>
      <c r="I1624" s="190">
        <v>0</v>
      </c>
    </row>
    <row r="1625" spans="1:9" hidden="1" x14ac:dyDescent="0.35">
      <c r="A1625" s="38" t="s">
        <v>775</v>
      </c>
      <c r="B1625" s="38" t="s">
        <v>751</v>
      </c>
      <c r="C1625" s="38" t="s">
        <v>698</v>
      </c>
      <c r="D1625" s="38" t="s">
        <v>700</v>
      </c>
      <c r="E1625" s="190">
        <v>15</v>
      </c>
      <c r="F1625" s="190">
        <v>0.2</v>
      </c>
      <c r="G1625" s="190">
        <v>0</v>
      </c>
      <c r="H1625" s="190">
        <v>5</v>
      </c>
      <c r="I1625" s="190">
        <v>0</v>
      </c>
    </row>
    <row r="1626" spans="1:9" hidden="1" x14ac:dyDescent="0.35">
      <c r="A1626" s="38" t="s">
        <v>775</v>
      </c>
      <c r="B1626" s="38" t="s">
        <v>751</v>
      </c>
      <c r="C1626" s="38" t="s">
        <v>698</v>
      </c>
      <c r="D1626" s="38" t="s">
        <v>521</v>
      </c>
      <c r="E1626" s="190">
        <v>8</v>
      </c>
      <c r="F1626" s="190">
        <v>0.23</v>
      </c>
      <c r="G1626" s="190">
        <v>0</v>
      </c>
      <c r="H1626" s="190">
        <v>5</v>
      </c>
      <c r="I1626" s="190">
        <v>0</v>
      </c>
    </row>
    <row r="1627" spans="1:9" hidden="1" x14ac:dyDescent="0.35">
      <c r="A1627" s="38" t="s">
        <v>775</v>
      </c>
      <c r="B1627" s="38" t="s">
        <v>751</v>
      </c>
      <c r="C1627" s="38" t="s">
        <v>698</v>
      </c>
      <c r="D1627" s="38" t="s">
        <v>252</v>
      </c>
      <c r="E1627" s="190">
        <v>8</v>
      </c>
      <c r="F1627" s="190">
        <v>0.9</v>
      </c>
      <c r="G1627" s="190">
        <v>0</v>
      </c>
      <c r="H1627" s="190">
        <v>5</v>
      </c>
      <c r="I1627" s="190">
        <v>0</v>
      </c>
    </row>
    <row r="1628" spans="1:9" hidden="1" x14ac:dyDescent="0.35">
      <c r="A1628" s="38" t="s">
        <v>775</v>
      </c>
      <c r="B1628" s="38" t="s">
        <v>751</v>
      </c>
      <c r="C1628" s="38" t="s">
        <v>701</v>
      </c>
      <c r="D1628" s="38" t="s">
        <v>702</v>
      </c>
      <c r="E1628" s="190">
        <v>6</v>
      </c>
      <c r="F1628" s="190">
        <v>4.8899999999999997</v>
      </c>
      <c r="G1628" s="190">
        <v>0</v>
      </c>
      <c r="H1628" s="190">
        <v>4</v>
      </c>
      <c r="I1628" s="190">
        <v>0</v>
      </c>
    </row>
    <row r="1629" spans="1:9" hidden="1" x14ac:dyDescent="0.35">
      <c r="A1629" s="38" t="s">
        <v>775</v>
      </c>
      <c r="B1629" s="38" t="s">
        <v>751</v>
      </c>
      <c r="C1629" s="38" t="s">
        <v>701</v>
      </c>
      <c r="D1629" s="38" t="s">
        <v>703</v>
      </c>
      <c r="E1629" s="190">
        <v>3.5</v>
      </c>
      <c r="F1629" s="190">
        <v>3.32</v>
      </c>
      <c r="G1629" s="190">
        <v>0</v>
      </c>
      <c r="H1629" s="190">
        <v>8</v>
      </c>
      <c r="I1629" s="190">
        <v>0</v>
      </c>
    </row>
    <row r="1630" spans="1:9" hidden="1" x14ac:dyDescent="0.35">
      <c r="A1630" s="38" t="s">
        <v>775</v>
      </c>
      <c r="B1630" s="38" t="s">
        <v>751</v>
      </c>
      <c r="C1630" s="38" t="s">
        <v>704</v>
      </c>
      <c r="D1630" s="38" t="s">
        <v>746</v>
      </c>
      <c r="E1630" s="190">
        <v>15</v>
      </c>
      <c r="F1630" s="190">
        <v>2.8</v>
      </c>
      <c r="G1630" s="190">
        <v>0</v>
      </c>
      <c r="H1630" s="190">
        <v>2</v>
      </c>
      <c r="I1630" s="190">
        <v>0</v>
      </c>
    </row>
    <row r="1631" spans="1:9" hidden="1" x14ac:dyDescent="0.35">
      <c r="A1631" s="38" t="s">
        <v>775</v>
      </c>
      <c r="B1631" s="38" t="s">
        <v>751</v>
      </c>
      <c r="C1631" s="38" t="s">
        <v>707</v>
      </c>
      <c r="D1631" s="38" t="s">
        <v>708</v>
      </c>
      <c r="E1631" s="190">
        <v>11.9</v>
      </c>
      <c r="F1631" s="190">
        <v>9.26</v>
      </c>
      <c r="G1631" s="190">
        <v>0</v>
      </c>
      <c r="H1631" s="190">
        <v>5.7</v>
      </c>
      <c r="I1631" s="190">
        <v>0</v>
      </c>
    </row>
    <row r="1632" spans="1:9" hidden="1" x14ac:dyDescent="0.35">
      <c r="A1632" s="38" t="s">
        <v>775</v>
      </c>
      <c r="B1632" s="38" t="s">
        <v>752</v>
      </c>
      <c r="C1632" s="38" t="s">
        <v>686</v>
      </c>
      <c r="D1632" s="38" t="s">
        <v>746</v>
      </c>
      <c r="E1632" s="190">
        <v>7.21</v>
      </c>
      <c r="F1632" s="190">
        <v>8.75</v>
      </c>
      <c r="G1632" s="190">
        <v>0</v>
      </c>
      <c r="H1632" s="190">
        <v>2</v>
      </c>
      <c r="I1632" s="190">
        <v>0</v>
      </c>
    </row>
    <row r="1633" spans="1:9" hidden="1" x14ac:dyDescent="0.35">
      <c r="A1633" s="38" t="s">
        <v>775</v>
      </c>
      <c r="B1633" s="38" t="s">
        <v>752</v>
      </c>
      <c r="C1633" s="38" t="s">
        <v>691</v>
      </c>
      <c r="D1633" s="38" t="s">
        <v>746</v>
      </c>
      <c r="E1633" s="190">
        <v>13.47</v>
      </c>
      <c r="F1633" s="190">
        <v>17.71</v>
      </c>
      <c r="G1633" s="190">
        <v>0</v>
      </c>
      <c r="H1633" s="190">
        <v>34.130000000000003</v>
      </c>
      <c r="I1633" s="190">
        <v>0</v>
      </c>
    </row>
    <row r="1634" spans="1:9" hidden="1" x14ac:dyDescent="0.35">
      <c r="A1634" s="38" t="s">
        <v>775</v>
      </c>
      <c r="B1634" s="38" t="s">
        <v>752</v>
      </c>
      <c r="C1634" s="38" t="s">
        <v>696</v>
      </c>
      <c r="D1634" s="38" t="s">
        <v>697</v>
      </c>
      <c r="E1634" s="190">
        <v>5.7</v>
      </c>
      <c r="F1634" s="190">
        <v>21.94</v>
      </c>
      <c r="G1634" s="190">
        <v>0</v>
      </c>
      <c r="H1634" s="190">
        <v>15</v>
      </c>
      <c r="I1634" s="190">
        <v>0</v>
      </c>
    </row>
    <row r="1635" spans="1:9" hidden="1" x14ac:dyDescent="0.35">
      <c r="A1635" s="38" t="s">
        <v>775</v>
      </c>
      <c r="B1635" s="38" t="s">
        <v>752</v>
      </c>
      <c r="C1635" s="38" t="s">
        <v>698</v>
      </c>
      <c r="D1635" s="38" t="s">
        <v>747</v>
      </c>
      <c r="E1635" s="190">
        <v>10</v>
      </c>
      <c r="F1635" s="190">
        <v>0.93</v>
      </c>
      <c r="G1635" s="190">
        <v>0</v>
      </c>
      <c r="H1635" s="190">
        <v>7</v>
      </c>
      <c r="I1635" s="190">
        <v>0</v>
      </c>
    </row>
    <row r="1636" spans="1:9" hidden="1" x14ac:dyDescent="0.35">
      <c r="A1636" s="38" t="s">
        <v>775</v>
      </c>
      <c r="B1636" s="38" t="s">
        <v>752</v>
      </c>
      <c r="C1636" s="38" t="s">
        <v>698</v>
      </c>
      <c r="D1636" s="38" t="s">
        <v>700</v>
      </c>
      <c r="E1636" s="190">
        <v>33</v>
      </c>
      <c r="F1636" s="190">
        <v>0.2</v>
      </c>
      <c r="G1636" s="190">
        <v>0</v>
      </c>
      <c r="H1636" s="190">
        <v>7</v>
      </c>
      <c r="I1636" s="190">
        <v>0</v>
      </c>
    </row>
    <row r="1637" spans="1:9" hidden="1" x14ac:dyDescent="0.35">
      <c r="A1637" s="38" t="s">
        <v>775</v>
      </c>
      <c r="B1637" s="38" t="s">
        <v>752</v>
      </c>
      <c r="C1637" s="38" t="s">
        <v>698</v>
      </c>
      <c r="D1637" s="38" t="s">
        <v>521</v>
      </c>
      <c r="E1637" s="190">
        <v>10</v>
      </c>
      <c r="F1637" s="190">
        <v>0.23</v>
      </c>
      <c r="G1637" s="190">
        <v>0</v>
      </c>
      <c r="H1637" s="190">
        <v>7</v>
      </c>
      <c r="I1637" s="190">
        <v>0</v>
      </c>
    </row>
    <row r="1638" spans="1:9" hidden="1" x14ac:dyDescent="0.35">
      <c r="A1638" s="38" t="s">
        <v>775</v>
      </c>
      <c r="B1638" s="38" t="s">
        <v>752</v>
      </c>
      <c r="C1638" s="38" t="s">
        <v>698</v>
      </c>
      <c r="D1638" s="38" t="s">
        <v>252</v>
      </c>
      <c r="E1638" s="190">
        <v>25</v>
      </c>
      <c r="F1638" s="190">
        <v>0.9</v>
      </c>
      <c r="G1638" s="190">
        <v>0</v>
      </c>
      <c r="H1638" s="190">
        <v>7</v>
      </c>
      <c r="I1638" s="190">
        <v>0</v>
      </c>
    </row>
    <row r="1639" spans="1:9" hidden="1" x14ac:dyDescent="0.35">
      <c r="A1639" s="38" t="s">
        <v>775</v>
      </c>
      <c r="B1639" s="38" t="s">
        <v>752</v>
      </c>
      <c r="C1639" s="38" t="s">
        <v>701</v>
      </c>
      <c r="D1639" s="38" t="s">
        <v>702</v>
      </c>
      <c r="E1639" s="190">
        <v>8</v>
      </c>
      <c r="F1639" s="190">
        <v>8.01</v>
      </c>
      <c r="G1639" s="190">
        <v>0</v>
      </c>
      <c r="H1639" s="190">
        <v>3</v>
      </c>
      <c r="I1639" s="190">
        <v>0</v>
      </c>
    </row>
    <row r="1640" spans="1:9" hidden="1" x14ac:dyDescent="0.35">
      <c r="A1640" s="38" t="s">
        <v>775</v>
      </c>
      <c r="B1640" s="38" t="s">
        <v>752</v>
      </c>
      <c r="C1640" s="38" t="s">
        <v>701</v>
      </c>
      <c r="D1640" s="38" t="s">
        <v>703</v>
      </c>
      <c r="E1640" s="190">
        <v>6</v>
      </c>
      <c r="F1640" s="190">
        <v>8.1999999999999993</v>
      </c>
      <c r="G1640" s="190">
        <v>0</v>
      </c>
      <c r="H1640" s="190">
        <v>10</v>
      </c>
      <c r="I1640" s="190">
        <v>0</v>
      </c>
    </row>
    <row r="1641" spans="1:9" hidden="1" x14ac:dyDescent="0.35">
      <c r="A1641" s="38" t="s">
        <v>775</v>
      </c>
      <c r="B1641" s="38" t="s">
        <v>752</v>
      </c>
      <c r="C1641" s="38" t="s">
        <v>704</v>
      </c>
      <c r="D1641" s="38" t="s">
        <v>746</v>
      </c>
      <c r="E1641" s="190">
        <v>12</v>
      </c>
      <c r="F1641" s="190">
        <v>8.18</v>
      </c>
      <c r="G1641" s="190">
        <v>0</v>
      </c>
      <c r="H1641" s="190">
        <v>2</v>
      </c>
      <c r="I1641" s="190">
        <v>0</v>
      </c>
    </row>
    <row r="1642" spans="1:9" hidden="1" x14ac:dyDescent="0.35">
      <c r="A1642" s="38" t="s">
        <v>775</v>
      </c>
      <c r="B1642" s="38" t="s">
        <v>752</v>
      </c>
      <c r="C1642" s="38" t="s">
        <v>707</v>
      </c>
      <c r="D1642" s="38" t="s">
        <v>708</v>
      </c>
      <c r="E1642" s="190">
        <v>14</v>
      </c>
      <c r="F1642" s="190">
        <v>16.940000000000001</v>
      </c>
      <c r="G1642" s="190">
        <v>0</v>
      </c>
      <c r="H1642" s="190">
        <v>5</v>
      </c>
      <c r="I1642" s="190">
        <v>0</v>
      </c>
    </row>
    <row r="1643" spans="1:9" hidden="1" x14ac:dyDescent="0.35">
      <c r="A1643" s="38" t="s">
        <v>775</v>
      </c>
      <c r="B1643" s="38" t="s">
        <v>753</v>
      </c>
      <c r="C1643" s="38" t="s">
        <v>686</v>
      </c>
      <c r="D1643" s="38" t="s">
        <v>746</v>
      </c>
      <c r="E1643" s="190">
        <v>6</v>
      </c>
      <c r="F1643" s="190">
        <v>6.59</v>
      </c>
      <c r="G1643" s="190">
        <v>0</v>
      </c>
      <c r="H1643" s="190">
        <v>2.98</v>
      </c>
      <c r="I1643" s="190">
        <v>0</v>
      </c>
    </row>
    <row r="1644" spans="1:9" hidden="1" x14ac:dyDescent="0.35">
      <c r="A1644" s="38" t="s">
        <v>775</v>
      </c>
      <c r="B1644" s="38" t="s">
        <v>753</v>
      </c>
      <c r="C1644" s="38" t="s">
        <v>691</v>
      </c>
      <c r="D1644" s="38" t="s">
        <v>746</v>
      </c>
      <c r="E1644" s="190">
        <v>8.7100000000000009</v>
      </c>
      <c r="F1644" s="190">
        <v>9.8699999999999992</v>
      </c>
      <c r="G1644" s="190">
        <v>0</v>
      </c>
      <c r="H1644" s="190">
        <v>12.96</v>
      </c>
      <c r="I1644" s="190">
        <v>0</v>
      </c>
    </row>
    <row r="1645" spans="1:9" hidden="1" x14ac:dyDescent="0.35">
      <c r="A1645" s="38" t="s">
        <v>775</v>
      </c>
      <c r="B1645" s="38" t="s">
        <v>753</v>
      </c>
      <c r="C1645" s="38" t="s">
        <v>696</v>
      </c>
      <c r="D1645" s="38" t="s">
        <v>697</v>
      </c>
      <c r="E1645" s="190">
        <v>8.1999999999999993</v>
      </c>
      <c r="F1645" s="190">
        <v>25.47</v>
      </c>
      <c r="G1645" s="190">
        <v>0</v>
      </c>
      <c r="H1645" s="190">
        <v>12.33</v>
      </c>
      <c r="I1645" s="190">
        <v>0</v>
      </c>
    </row>
    <row r="1646" spans="1:9" hidden="1" x14ac:dyDescent="0.35">
      <c r="A1646" s="38" t="s">
        <v>775</v>
      </c>
      <c r="B1646" s="38" t="s">
        <v>753</v>
      </c>
      <c r="C1646" s="38" t="s">
        <v>698</v>
      </c>
      <c r="D1646" s="38" t="s">
        <v>747</v>
      </c>
      <c r="E1646" s="190">
        <v>10</v>
      </c>
      <c r="F1646" s="190">
        <v>0.21</v>
      </c>
      <c r="G1646" s="190">
        <v>0</v>
      </c>
      <c r="H1646" s="190">
        <v>7</v>
      </c>
      <c r="I1646" s="190">
        <v>0</v>
      </c>
    </row>
    <row r="1647" spans="1:9" hidden="1" x14ac:dyDescent="0.35">
      <c r="A1647" s="38" t="s">
        <v>775</v>
      </c>
      <c r="B1647" s="38" t="s">
        <v>753</v>
      </c>
      <c r="C1647" s="38" t="s">
        <v>698</v>
      </c>
      <c r="D1647" s="38" t="s">
        <v>700</v>
      </c>
      <c r="E1647" s="190">
        <v>10</v>
      </c>
      <c r="F1647" s="190">
        <v>0.2</v>
      </c>
      <c r="G1647" s="190">
        <v>0</v>
      </c>
      <c r="H1647" s="190">
        <v>7</v>
      </c>
      <c r="I1647" s="190">
        <v>0</v>
      </c>
    </row>
    <row r="1648" spans="1:9" hidden="1" x14ac:dyDescent="0.35">
      <c r="A1648" s="38" t="s">
        <v>775</v>
      </c>
      <c r="B1648" s="38" t="s">
        <v>753</v>
      </c>
      <c r="C1648" s="38" t="s">
        <v>698</v>
      </c>
      <c r="D1648" s="38" t="s">
        <v>521</v>
      </c>
      <c r="E1648" s="190">
        <v>6</v>
      </c>
      <c r="F1648" s="190">
        <v>0.47</v>
      </c>
      <c r="G1648" s="190">
        <v>0</v>
      </c>
      <c r="H1648" s="190">
        <v>7</v>
      </c>
      <c r="I1648" s="190">
        <v>0</v>
      </c>
    </row>
    <row r="1649" spans="1:9" hidden="1" x14ac:dyDescent="0.35">
      <c r="A1649" s="38" t="s">
        <v>775</v>
      </c>
      <c r="B1649" s="38" t="s">
        <v>753</v>
      </c>
      <c r="C1649" s="38" t="s">
        <v>698</v>
      </c>
      <c r="D1649" s="38" t="s">
        <v>252</v>
      </c>
      <c r="E1649" s="190">
        <v>8</v>
      </c>
      <c r="F1649" s="190">
        <v>0.97</v>
      </c>
      <c r="G1649" s="190">
        <v>0</v>
      </c>
      <c r="H1649" s="190">
        <v>7</v>
      </c>
      <c r="I1649" s="190">
        <v>0</v>
      </c>
    </row>
    <row r="1650" spans="1:9" hidden="1" x14ac:dyDescent="0.35">
      <c r="A1650" s="38" t="s">
        <v>775</v>
      </c>
      <c r="B1650" s="38" t="s">
        <v>753</v>
      </c>
      <c r="C1650" s="38" t="s">
        <v>701</v>
      </c>
      <c r="D1650" s="38" t="s">
        <v>702</v>
      </c>
      <c r="E1650" s="190">
        <v>8</v>
      </c>
      <c r="F1650" s="190">
        <v>7.23</v>
      </c>
      <c r="G1650" s="190">
        <v>0</v>
      </c>
      <c r="H1650" s="190">
        <v>3</v>
      </c>
      <c r="I1650" s="190">
        <v>0</v>
      </c>
    </row>
    <row r="1651" spans="1:9" hidden="1" x14ac:dyDescent="0.35">
      <c r="A1651" s="38" t="s">
        <v>775</v>
      </c>
      <c r="B1651" s="38" t="s">
        <v>753</v>
      </c>
      <c r="C1651" s="38" t="s">
        <v>701</v>
      </c>
      <c r="D1651" s="38" t="s">
        <v>703</v>
      </c>
      <c r="E1651" s="190">
        <v>3.5</v>
      </c>
      <c r="F1651" s="190">
        <v>4.68</v>
      </c>
      <c r="G1651" s="190">
        <v>0</v>
      </c>
      <c r="H1651" s="190">
        <v>10</v>
      </c>
      <c r="I1651" s="190">
        <v>0</v>
      </c>
    </row>
    <row r="1652" spans="1:9" hidden="1" x14ac:dyDescent="0.35">
      <c r="A1652" s="38" t="s">
        <v>775</v>
      </c>
      <c r="B1652" s="38" t="s">
        <v>753</v>
      </c>
      <c r="C1652" s="38" t="s">
        <v>704</v>
      </c>
      <c r="D1652" s="38" t="s">
        <v>746</v>
      </c>
      <c r="E1652" s="190">
        <v>7</v>
      </c>
      <c r="F1652" s="190">
        <v>3.4</v>
      </c>
      <c r="G1652" s="190">
        <v>0</v>
      </c>
      <c r="H1652" s="190">
        <v>2</v>
      </c>
      <c r="I1652" s="190">
        <v>0</v>
      </c>
    </row>
    <row r="1653" spans="1:9" hidden="1" x14ac:dyDescent="0.35">
      <c r="A1653" s="38" t="s">
        <v>775</v>
      </c>
      <c r="B1653" s="38" t="s">
        <v>753</v>
      </c>
      <c r="C1653" s="38" t="s">
        <v>707</v>
      </c>
      <c r="D1653" s="38" t="s">
        <v>708</v>
      </c>
      <c r="E1653" s="190">
        <v>8.15</v>
      </c>
      <c r="F1653" s="190">
        <v>12.11</v>
      </c>
      <c r="G1653" s="190">
        <v>0</v>
      </c>
      <c r="H1653" s="190">
        <v>10.78</v>
      </c>
      <c r="I1653" s="190">
        <v>0</v>
      </c>
    </row>
    <row r="1654" spans="1:9" hidden="1" x14ac:dyDescent="0.35">
      <c r="A1654" s="38" t="s">
        <v>776</v>
      </c>
      <c r="B1654" s="38" t="s">
        <v>745</v>
      </c>
      <c r="C1654" s="38" t="s">
        <v>686</v>
      </c>
      <c r="D1654" s="38" t="s">
        <v>746</v>
      </c>
      <c r="E1654" s="94">
        <f>E2*0.5</f>
        <v>2.15</v>
      </c>
      <c r="F1654" s="94">
        <v>3.8</v>
      </c>
      <c r="G1654" s="94">
        <v>10.5</v>
      </c>
      <c r="H1654" s="94">
        <v>3</v>
      </c>
      <c r="I1654" s="94">
        <f>I2*0.5</f>
        <v>13.5</v>
      </c>
    </row>
    <row r="1655" spans="1:9" hidden="1" x14ac:dyDescent="0.35">
      <c r="A1655" s="38" t="s">
        <v>776</v>
      </c>
      <c r="B1655" s="38" t="s">
        <v>745</v>
      </c>
      <c r="C1655" s="38" t="s">
        <v>691</v>
      </c>
      <c r="D1655" s="38" t="s">
        <v>746</v>
      </c>
      <c r="E1655" s="94">
        <f t="shared" ref="E1655:E1718" si="46">E3*0.5</f>
        <v>10</v>
      </c>
      <c r="F1655" s="94">
        <v>7.3</v>
      </c>
      <c r="G1655" s="94">
        <v>2</v>
      </c>
      <c r="H1655" s="94">
        <v>4.9000000000000004</v>
      </c>
      <c r="I1655" s="94">
        <f t="shared" ref="I1655:I1718" si="47">I3*0.5</f>
        <v>9.5</v>
      </c>
    </row>
    <row r="1656" spans="1:9" hidden="1" x14ac:dyDescent="0.35">
      <c r="A1656" s="38" t="s">
        <v>776</v>
      </c>
      <c r="B1656" s="38" t="s">
        <v>745</v>
      </c>
      <c r="C1656" s="38" t="s">
        <v>696</v>
      </c>
      <c r="D1656" s="94" t="s">
        <v>697</v>
      </c>
      <c r="E1656" s="94">
        <f t="shared" si="46"/>
        <v>4.7</v>
      </c>
      <c r="F1656" s="94">
        <v>7.9</v>
      </c>
      <c r="G1656" s="94">
        <v>6</v>
      </c>
      <c r="H1656" s="94">
        <v>9</v>
      </c>
      <c r="I1656" s="94">
        <f t="shared" si="47"/>
        <v>5.5</v>
      </c>
    </row>
    <row r="1657" spans="1:9" hidden="1" x14ac:dyDescent="0.35">
      <c r="A1657" s="38" t="s">
        <v>776</v>
      </c>
      <c r="B1657" s="38" t="s">
        <v>745</v>
      </c>
      <c r="C1657" s="38" t="s">
        <v>698</v>
      </c>
      <c r="D1657" s="38" t="s">
        <v>747</v>
      </c>
      <c r="E1657" s="94">
        <f t="shared" si="46"/>
        <v>1.1499999999999999</v>
      </c>
      <c r="F1657" s="94">
        <v>0.6</v>
      </c>
      <c r="G1657" s="94">
        <v>5</v>
      </c>
      <c r="H1657" s="94">
        <v>4</v>
      </c>
      <c r="I1657" s="94">
        <f t="shared" si="47"/>
        <v>5.5</v>
      </c>
    </row>
    <row r="1658" spans="1:9" hidden="1" x14ac:dyDescent="0.35">
      <c r="A1658" s="38" t="s">
        <v>776</v>
      </c>
      <c r="B1658" s="38" t="s">
        <v>745</v>
      </c>
      <c r="C1658" s="38" t="s">
        <v>698</v>
      </c>
      <c r="D1658" s="38" t="s">
        <v>700</v>
      </c>
      <c r="E1658" s="94">
        <f t="shared" si="46"/>
        <v>5</v>
      </c>
      <c r="F1658" s="94">
        <v>0.6</v>
      </c>
      <c r="G1658" s="94">
        <v>5</v>
      </c>
      <c r="H1658" s="94">
        <v>4</v>
      </c>
      <c r="I1658" s="94">
        <f t="shared" si="47"/>
        <v>5.5</v>
      </c>
    </row>
    <row r="1659" spans="1:9" hidden="1" x14ac:dyDescent="0.35">
      <c r="A1659" s="38" t="s">
        <v>776</v>
      </c>
      <c r="B1659" s="38" t="s">
        <v>745</v>
      </c>
      <c r="C1659" s="38" t="s">
        <v>698</v>
      </c>
      <c r="D1659" s="38" t="s">
        <v>521</v>
      </c>
      <c r="E1659" s="94">
        <f t="shared" si="46"/>
        <v>1.25</v>
      </c>
      <c r="F1659" s="94">
        <v>0.3</v>
      </c>
      <c r="G1659" s="94">
        <v>5</v>
      </c>
      <c r="H1659" s="94">
        <v>4</v>
      </c>
      <c r="I1659" s="94">
        <f t="shared" si="47"/>
        <v>5.5</v>
      </c>
    </row>
    <row r="1660" spans="1:9" hidden="1" x14ac:dyDescent="0.35">
      <c r="A1660" s="38" t="s">
        <v>776</v>
      </c>
      <c r="B1660" s="38" t="s">
        <v>745</v>
      </c>
      <c r="C1660" s="38" t="s">
        <v>698</v>
      </c>
      <c r="D1660" s="38" t="s">
        <v>252</v>
      </c>
      <c r="E1660" s="94">
        <f t="shared" si="46"/>
        <v>3.5</v>
      </c>
      <c r="F1660" s="94">
        <v>0.9</v>
      </c>
      <c r="G1660" s="94">
        <v>5</v>
      </c>
      <c r="H1660" s="94">
        <v>4</v>
      </c>
      <c r="I1660" s="94">
        <f t="shared" si="47"/>
        <v>5.5</v>
      </c>
    </row>
    <row r="1661" spans="1:9" hidden="1" x14ac:dyDescent="0.35">
      <c r="A1661" s="38" t="s">
        <v>776</v>
      </c>
      <c r="B1661" s="38" t="s">
        <v>745</v>
      </c>
      <c r="C1661" s="38" t="s">
        <v>701</v>
      </c>
      <c r="D1661" s="38" t="s">
        <v>702</v>
      </c>
      <c r="E1661" s="94">
        <f t="shared" si="46"/>
        <v>2</v>
      </c>
      <c r="F1661" s="94">
        <v>1.9</v>
      </c>
      <c r="G1661" s="94">
        <v>0.5</v>
      </c>
      <c r="H1661" s="94">
        <v>2</v>
      </c>
      <c r="I1661" s="94">
        <f t="shared" si="47"/>
        <v>4</v>
      </c>
    </row>
    <row r="1662" spans="1:9" hidden="1" x14ac:dyDescent="0.35">
      <c r="A1662" s="38" t="s">
        <v>776</v>
      </c>
      <c r="B1662" s="38" t="s">
        <v>745</v>
      </c>
      <c r="C1662" s="38" t="s">
        <v>701</v>
      </c>
      <c r="D1662" s="38" t="s">
        <v>703</v>
      </c>
      <c r="E1662" s="94">
        <f t="shared" si="46"/>
        <v>1.75</v>
      </c>
      <c r="F1662" s="94">
        <v>1.7</v>
      </c>
      <c r="G1662" s="94">
        <v>1.2</v>
      </c>
      <c r="H1662" s="94">
        <v>0.82</v>
      </c>
      <c r="I1662" s="94">
        <f t="shared" si="47"/>
        <v>3.5</v>
      </c>
    </row>
    <row r="1663" spans="1:9" hidden="1" x14ac:dyDescent="0.35">
      <c r="A1663" s="38" t="s">
        <v>776</v>
      </c>
      <c r="B1663" s="38" t="s">
        <v>745</v>
      </c>
      <c r="C1663" s="38" t="s">
        <v>704</v>
      </c>
      <c r="D1663" s="38" t="s">
        <v>746</v>
      </c>
      <c r="E1663" s="94">
        <f t="shared" si="46"/>
        <v>2.65</v>
      </c>
      <c r="F1663" s="94">
        <v>1.2</v>
      </c>
      <c r="G1663" s="94">
        <v>5</v>
      </c>
      <c r="H1663" s="94">
        <v>1</v>
      </c>
      <c r="I1663" s="94">
        <f t="shared" si="47"/>
        <v>2</v>
      </c>
    </row>
    <row r="1664" spans="1:9" hidden="1" x14ac:dyDescent="0.35">
      <c r="A1664" s="38" t="s">
        <v>776</v>
      </c>
      <c r="B1664" s="38" t="s">
        <v>745</v>
      </c>
      <c r="C1664" s="38" t="s">
        <v>707</v>
      </c>
      <c r="D1664" s="38" t="s">
        <v>708</v>
      </c>
      <c r="E1664" s="94">
        <f t="shared" si="46"/>
        <v>10</v>
      </c>
      <c r="F1664" s="94">
        <v>7.6</v>
      </c>
      <c r="G1664" s="94">
        <v>13.8</v>
      </c>
      <c r="H1664" s="94">
        <v>7</v>
      </c>
      <c r="I1664" s="94">
        <f t="shared" si="47"/>
        <v>8.5</v>
      </c>
    </row>
    <row r="1665" spans="1:9" hidden="1" x14ac:dyDescent="0.35">
      <c r="A1665" s="38" t="s">
        <v>776</v>
      </c>
      <c r="B1665" s="38" t="s">
        <v>748</v>
      </c>
      <c r="C1665" s="38" t="s">
        <v>686</v>
      </c>
      <c r="D1665" s="38" t="s">
        <v>746</v>
      </c>
      <c r="E1665" s="94">
        <f t="shared" si="46"/>
        <v>1.96</v>
      </c>
      <c r="F1665" s="94">
        <v>4.24</v>
      </c>
      <c r="G1665" s="94">
        <v>11.8</v>
      </c>
      <c r="H1665" s="94">
        <v>2</v>
      </c>
      <c r="I1665" s="94">
        <f t="shared" si="47"/>
        <v>6.8250000000000002</v>
      </c>
    </row>
    <row r="1666" spans="1:9" hidden="1" x14ac:dyDescent="0.35">
      <c r="A1666" s="38" t="s">
        <v>776</v>
      </c>
      <c r="B1666" s="38" t="s">
        <v>748</v>
      </c>
      <c r="C1666" s="38" t="s">
        <v>691</v>
      </c>
      <c r="D1666" s="38" t="s">
        <v>746</v>
      </c>
      <c r="E1666" s="94">
        <f t="shared" si="46"/>
        <v>5</v>
      </c>
      <c r="F1666" s="94">
        <v>8.3699999999999992</v>
      </c>
      <c r="G1666" s="94">
        <v>2</v>
      </c>
      <c r="H1666" s="94">
        <v>8</v>
      </c>
      <c r="I1666" s="94">
        <f t="shared" si="47"/>
        <v>5.1749999999999998</v>
      </c>
    </row>
    <row r="1667" spans="1:9" hidden="1" x14ac:dyDescent="0.35">
      <c r="A1667" s="38" t="s">
        <v>776</v>
      </c>
      <c r="B1667" s="38" t="s">
        <v>748</v>
      </c>
      <c r="C1667" s="38" t="s">
        <v>696</v>
      </c>
      <c r="D1667" s="94" t="s">
        <v>697</v>
      </c>
      <c r="E1667" s="94">
        <f t="shared" si="46"/>
        <v>7.5</v>
      </c>
      <c r="F1667" s="94">
        <v>16.5</v>
      </c>
      <c r="G1667" s="94">
        <v>6</v>
      </c>
      <c r="H1667" s="94">
        <v>11</v>
      </c>
      <c r="I1667" s="94">
        <f t="shared" si="47"/>
        <v>3.65</v>
      </c>
    </row>
    <row r="1668" spans="1:9" hidden="1" x14ac:dyDescent="0.35">
      <c r="A1668" s="38" t="s">
        <v>776</v>
      </c>
      <c r="B1668" s="38" t="s">
        <v>748</v>
      </c>
      <c r="C1668" s="38" t="s">
        <v>698</v>
      </c>
      <c r="D1668" s="38" t="s">
        <v>747</v>
      </c>
      <c r="E1668" s="94">
        <f t="shared" si="46"/>
        <v>1.1499999999999999</v>
      </c>
      <c r="F1668" s="94">
        <v>0.55000000000000004</v>
      </c>
      <c r="G1668" s="94">
        <v>5</v>
      </c>
      <c r="H1668" s="94">
        <v>6</v>
      </c>
      <c r="I1668" s="94">
        <f t="shared" si="47"/>
        <v>3.4</v>
      </c>
    </row>
    <row r="1669" spans="1:9" hidden="1" x14ac:dyDescent="0.35">
      <c r="A1669" s="38" t="s">
        <v>776</v>
      </c>
      <c r="B1669" s="38" t="s">
        <v>748</v>
      </c>
      <c r="C1669" s="38" t="s">
        <v>698</v>
      </c>
      <c r="D1669" s="38" t="s">
        <v>700</v>
      </c>
      <c r="E1669" s="94">
        <f t="shared" si="46"/>
        <v>5</v>
      </c>
      <c r="F1669" s="94">
        <v>0.81</v>
      </c>
      <c r="G1669" s="94">
        <v>5</v>
      </c>
      <c r="H1669" s="94">
        <v>6</v>
      </c>
      <c r="I1669" s="94">
        <f t="shared" si="47"/>
        <v>3.4</v>
      </c>
    </row>
    <row r="1670" spans="1:9" hidden="1" x14ac:dyDescent="0.35">
      <c r="A1670" s="38" t="s">
        <v>776</v>
      </c>
      <c r="B1670" s="38" t="s">
        <v>748</v>
      </c>
      <c r="C1670" s="38" t="s">
        <v>698</v>
      </c>
      <c r="D1670" s="38" t="s">
        <v>521</v>
      </c>
      <c r="E1670" s="94">
        <f t="shared" si="46"/>
        <v>1.25</v>
      </c>
      <c r="F1670" s="94">
        <v>0.18</v>
      </c>
      <c r="G1670" s="94">
        <v>5</v>
      </c>
      <c r="H1670" s="94">
        <v>6</v>
      </c>
      <c r="I1670" s="94">
        <f t="shared" si="47"/>
        <v>3.4</v>
      </c>
    </row>
    <row r="1671" spans="1:9" hidden="1" x14ac:dyDescent="0.35">
      <c r="A1671" s="38" t="s">
        <v>776</v>
      </c>
      <c r="B1671" s="38" t="s">
        <v>748</v>
      </c>
      <c r="C1671" s="38" t="s">
        <v>698</v>
      </c>
      <c r="D1671" s="38" t="s">
        <v>252</v>
      </c>
      <c r="E1671" s="94">
        <f t="shared" si="46"/>
        <v>3.5</v>
      </c>
      <c r="F1671" s="94">
        <v>1.03</v>
      </c>
      <c r="G1671" s="94">
        <v>5</v>
      </c>
      <c r="H1671" s="94">
        <v>6</v>
      </c>
      <c r="I1671" s="94">
        <f t="shared" si="47"/>
        <v>3.4</v>
      </c>
    </row>
    <row r="1672" spans="1:9" hidden="1" x14ac:dyDescent="0.35">
      <c r="A1672" s="38" t="s">
        <v>776</v>
      </c>
      <c r="B1672" s="38" t="s">
        <v>748</v>
      </c>
      <c r="C1672" s="38" t="s">
        <v>701</v>
      </c>
      <c r="D1672" s="38" t="s">
        <v>702</v>
      </c>
      <c r="E1672" s="94">
        <f t="shared" si="46"/>
        <v>3</v>
      </c>
      <c r="F1672" s="94">
        <v>2.38</v>
      </c>
      <c r="G1672" s="94">
        <v>0.5</v>
      </c>
      <c r="H1672" s="94">
        <v>4</v>
      </c>
      <c r="I1672" s="94">
        <f t="shared" si="47"/>
        <v>1.825</v>
      </c>
    </row>
    <row r="1673" spans="1:9" hidden="1" x14ac:dyDescent="0.35">
      <c r="A1673" s="38" t="s">
        <v>776</v>
      </c>
      <c r="B1673" s="38" t="s">
        <v>748</v>
      </c>
      <c r="C1673" s="38" t="s">
        <v>701</v>
      </c>
      <c r="D1673" s="38" t="s">
        <v>703</v>
      </c>
      <c r="E1673" s="94">
        <f t="shared" si="46"/>
        <v>1.75</v>
      </c>
      <c r="F1673" s="94">
        <v>2.2400000000000002</v>
      </c>
      <c r="G1673" s="94">
        <v>1.2</v>
      </c>
      <c r="H1673" s="94">
        <v>0.5</v>
      </c>
      <c r="I1673" s="94">
        <f t="shared" si="47"/>
        <v>1.3</v>
      </c>
    </row>
    <row r="1674" spans="1:9" hidden="1" x14ac:dyDescent="0.35">
      <c r="A1674" s="38" t="s">
        <v>776</v>
      </c>
      <c r="B1674" s="38" t="s">
        <v>748</v>
      </c>
      <c r="C1674" s="38" t="s">
        <v>704</v>
      </c>
      <c r="D1674" s="38" t="s">
        <v>746</v>
      </c>
      <c r="E1674" s="94">
        <f t="shared" si="46"/>
        <v>3</v>
      </c>
      <c r="F1674" s="94">
        <v>2.72</v>
      </c>
      <c r="G1674" s="94">
        <v>5</v>
      </c>
      <c r="H1674" s="94">
        <v>1</v>
      </c>
      <c r="I1674" s="94">
        <f t="shared" si="47"/>
        <v>8.2750000000000004</v>
      </c>
    </row>
    <row r="1675" spans="1:9" hidden="1" x14ac:dyDescent="0.35">
      <c r="A1675" s="38" t="s">
        <v>776</v>
      </c>
      <c r="B1675" s="38" t="s">
        <v>748</v>
      </c>
      <c r="C1675" s="38" t="s">
        <v>707</v>
      </c>
      <c r="D1675" s="38" t="s">
        <v>708</v>
      </c>
      <c r="E1675" s="94">
        <f t="shared" si="46"/>
        <v>10</v>
      </c>
      <c r="F1675" s="94">
        <v>4.8499999999999996</v>
      </c>
      <c r="G1675" s="94">
        <v>15</v>
      </c>
      <c r="H1675" s="94">
        <v>9</v>
      </c>
      <c r="I1675" s="94">
        <f t="shared" si="47"/>
        <v>3.5750000000000002</v>
      </c>
    </row>
    <row r="1676" spans="1:9" hidden="1" x14ac:dyDescent="0.35">
      <c r="A1676" s="38" t="s">
        <v>776</v>
      </c>
      <c r="B1676" s="38" t="s">
        <v>749</v>
      </c>
      <c r="C1676" s="38" t="s">
        <v>686</v>
      </c>
      <c r="D1676" s="38" t="s">
        <v>746</v>
      </c>
      <c r="E1676" s="94">
        <f t="shared" si="46"/>
        <v>3.585</v>
      </c>
      <c r="F1676" s="94">
        <v>3.25</v>
      </c>
      <c r="G1676" s="94">
        <v>10.5</v>
      </c>
      <c r="H1676" s="94">
        <v>9</v>
      </c>
      <c r="I1676" s="94">
        <f t="shared" si="47"/>
        <v>11.994999999999999</v>
      </c>
    </row>
    <row r="1677" spans="1:9" hidden="1" x14ac:dyDescent="0.35">
      <c r="A1677" s="38" t="s">
        <v>776</v>
      </c>
      <c r="B1677" s="38" t="s">
        <v>749</v>
      </c>
      <c r="C1677" s="38" t="s">
        <v>691</v>
      </c>
      <c r="D1677" s="38" t="s">
        <v>746</v>
      </c>
      <c r="E1677" s="94">
        <f t="shared" si="46"/>
        <v>10</v>
      </c>
      <c r="F1677" s="94">
        <v>15.3</v>
      </c>
      <c r="G1677" s="94">
        <v>2</v>
      </c>
      <c r="H1677" s="94">
        <v>9.35</v>
      </c>
      <c r="I1677" s="94">
        <f t="shared" si="47"/>
        <v>12.715</v>
      </c>
    </row>
    <row r="1678" spans="1:9" hidden="1" x14ac:dyDescent="0.35">
      <c r="A1678" s="38" t="s">
        <v>776</v>
      </c>
      <c r="B1678" s="38" t="s">
        <v>749</v>
      </c>
      <c r="C1678" s="38" t="s">
        <v>696</v>
      </c>
      <c r="D1678" s="94" t="s">
        <v>697</v>
      </c>
      <c r="E1678" s="94">
        <f t="shared" si="46"/>
        <v>6</v>
      </c>
      <c r="F1678" s="94">
        <v>2.2200000000000002</v>
      </c>
      <c r="G1678" s="94">
        <v>6</v>
      </c>
      <c r="H1678" s="94">
        <v>6.83</v>
      </c>
      <c r="I1678" s="94">
        <f t="shared" si="47"/>
        <v>14.085000000000001</v>
      </c>
    </row>
    <row r="1679" spans="1:9" hidden="1" x14ac:dyDescent="0.35">
      <c r="A1679" s="38" t="s">
        <v>776</v>
      </c>
      <c r="B1679" s="38" t="s">
        <v>749</v>
      </c>
      <c r="C1679" s="38" t="s">
        <v>698</v>
      </c>
      <c r="D1679" s="38" t="s">
        <v>747</v>
      </c>
      <c r="E1679" s="94">
        <f t="shared" si="46"/>
        <v>1.1499999999999999</v>
      </c>
      <c r="F1679" s="94">
        <v>0.31</v>
      </c>
      <c r="G1679" s="94">
        <v>5</v>
      </c>
      <c r="H1679" s="94">
        <v>3.9</v>
      </c>
      <c r="I1679" s="94">
        <f t="shared" si="47"/>
        <v>10.595000000000001</v>
      </c>
    </row>
    <row r="1680" spans="1:9" hidden="1" x14ac:dyDescent="0.35">
      <c r="A1680" s="38" t="s">
        <v>776</v>
      </c>
      <c r="B1680" s="38" t="s">
        <v>749</v>
      </c>
      <c r="C1680" s="38" t="s">
        <v>698</v>
      </c>
      <c r="D1680" s="38" t="s">
        <v>700</v>
      </c>
      <c r="E1680" s="94">
        <f t="shared" si="46"/>
        <v>5</v>
      </c>
      <c r="F1680" s="94">
        <v>0.8</v>
      </c>
      <c r="G1680" s="94">
        <v>5</v>
      </c>
      <c r="H1680" s="94">
        <v>3.9</v>
      </c>
      <c r="I1680" s="94">
        <f t="shared" si="47"/>
        <v>10.595000000000001</v>
      </c>
    </row>
    <row r="1681" spans="1:9" hidden="1" x14ac:dyDescent="0.35">
      <c r="A1681" s="38" t="s">
        <v>776</v>
      </c>
      <c r="B1681" s="38" t="s">
        <v>749</v>
      </c>
      <c r="C1681" s="38" t="s">
        <v>698</v>
      </c>
      <c r="D1681" s="38" t="s">
        <v>521</v>
      </c>
      <c r="E1681" s="94">
        <f t="shared" si="46"/>
        <v>1.25</v>
      </c>
      <c r="F1681" s="94">
        <v>0.66</v>
      </c>
      <c r="G1681" s="94">
        <v>5</v>
      </c>
      <c r="H1681" s="94">
        <v>3.9</v>
      </c>
      <c r="I1681" s="94">
        <f t="shared" si="47"/>
        <v>10.595000000000001</v>
      </c>
    </row>
    <row r="1682" spans="1:9" hidden="1" x14ac:dyDescent="0.35">
      <c r="A1682" s="38" t="s">
        <v>776</v>
      </c>
      <c r="B1682" s="38" t="s">
        <v>749</v>
      </c>
      <c r="C1682" s="38" t="s">
        <v>698</v>
      </c>
      <c r="D1682" s="38" t="s">
        <v>252</v>
      </c>
      <c r="E1682" s="94">
        <f t="shared" si="46"/>
        <v>3.5</v>
      </c>
      <c r="F1682" s="94">
        <v>0.88</v>
      </c>
      <c r="G1682" s="94">
        <v>5</v>
      </c>
      <c r="H1682" s="94">
        <v>3.9</v>
      </c>
      <c r="I1682" s="94">
        <f t="shared" si="47"/>
        <v>10.595000000000001</v>
      </c>
    </row>
    <row r="1683" spans="1:9" hidden="1" x14ac:dyDescent="0.35">
      <c r="A1683" s="38" t="s">
        <v>776</v>
      </c>
      <c r="B1683" s="38" t="s">
        <v>749</v>
      </c>
      <c r="C1683" s="38" t="s">
        <v>701</v>
      </c>
      <c r="D1683" s="38" t="s">
        <v>702</v>
      </c>
      <c r="E1683" s="94">
        <f t="shared" si="46"/>
        <v>2</v>
      </c>
      <c r="F1683" s="94">
        <v>2.27</v>
      </c>
      <c r="G1683" s="94">
        <v>0.5</v>
      </c>
      <c r="H1683" s="94">
        <v>7</v>
      </c>
      <c r="I1683" s="94">
        <f t="shared" si="47"/>
        <v>10.199999999999999</v>
      </c>
    </row>
    <row r="1684" spans="1:9" hidden="1" x14ac:dyDescent="0.35">
      <c r="A1684" s="38" t="s">
        <v>776</v>
      </c>
      <c r="B1684" s="38" t="s">
        <v>749</v>
      </c>
      <c r="C1684" s="38" t="s">
        <v>701</v>
      </c>
      <c r="D1684" s="38" t="s">
        <v>703</v>
      </c>
      <c r="E1684" s="94">
        <f t="shared" si="46"/>
        <v>1.75</v>
      </c>
      <c r="F1684" s="94">
        <v>0.4</v>
      </c>
      <c r="G1684" s="94">
        <v>1.2</v>
      </c>
      <c r="H1684" s="94">
        <v>7.75</v>
      </c>
      <c r="I1684" s="94">
        <f t="shared" si="47"/>
        <v>10.5</v>
      </c>
    </row>
    <row r="1685" spans="1:9" hidden="1" x14ac:dyDescent="0.35">
      <c r="A1685" s="38" t="s">
        <v>776</v>
      </c>
      <c r="B1685" s="38" t="s">
        <v>749</v>
      </c>
      <c r="C1685" s="38" t="s">
        <v>704</v>
      </c>
      <c r="D1685" s="38" t="s">
        <v>746</v>
      </c>
      <c r="E1685" s="94">
        <f t="shared" si="46"/>
        <v>6</v>
      </c>
      <c r="F1685" s="94">
        <v>3.91</v>
      </c>
      <c r="G1685" s="94">
        <v>5</v>
      </c>
      <c r="H1685" s="94">
        <v>1</v>
      </c>
      <c r="I1685" s="94">
        <f t="shared" si="47"/>
        <v>2</v>
      </c>
    </row>
    <row r="1686" spans="1:9" hidden="1" x14ac:dyDescent="0.35">
      <c r="A1686" s="38" t="s">
        <v>776</v>
      </c>
      <c r="B1686" s="38" t="s">
        <v>749</v>
      </c>
      <c r="C1686" s="38" t="s">
        <v>707</v>
      </c>
      <c r="D1686" s="38" t="s">
        <v>708</v>
      </c>
      <c r="E1686" s="94">
        <f t="shared" si="46"/>
        <v>10</v>
      </c>
      <c r="F1686" s="94">
        <v>5.83</v>
      </c>
      <c r="G1686" s="94">
        <v>15</v>
      </c>
      <c r="H1686" s="94">
        <v>8</v>
      </c>
      <c r="I1686" s="94">
        <f t="shared" si="47"/>
        <v>7.5</v>
      </c>
    </row>
    <row r="1687" spans="1:9" hidden="1" x14ac:dyDescent="0.35">
      <c r="A1687" s="38" t="s">
        <v>776</v>
      </c>
      <c r="B1687" s="38" t="s">
        <v>750</v>
      </c>
      <c r="C1687" s="38" t="s">
        <v>686</v>
      </c>
      <c r="D1687" s="38" t="s">
        <v>746</v>
      </c>
      <c r="E1687" s="94">
        <f t="shared" si="46"/>
        <v>3</v>
      </c>
      <c r="F1687" s="94">
        <v>7.46</v>
      </c>
      <c r="G1687" s="94">
        <v>9</v>
      </c>
      <c r="H1687" s="94">
        <v>4</v>
      </c>
      <c r="I1687" s="94">
        <f t="shared" si="47"/>
        <v>5</v>
      </c>
    </row>
    <row r="1688" spans="1:9" hidden="1" x14ac:dyDescent="0.35">
      <c r="A1688" s="38" t="s">
        <v>776</v>
      </c>
      <c r="B1688" s="38" t="s">
        <v>750</v>
      </c>
      <c r="C1688" s="38" t="s">
        <v>691</v>
      </c>
      <c r="D1688" s="38" t="s">
        <v>746</v>
      </c>
      <c r="E1688" s="94">
        <f t="shared" si="46"/>
        <v>10</v>
      </c>
      <c r="F1688" s="94">
        <v>14.32</v>
      </c>
      <c r="G1688" s="94">
        <v>20</v>
      </c>
      <c r="H1688" s="94">
        <v>12</v>
      </c>
      <c r="I1688" s="94">
        <f t="shared" si="47"/>
        <v>5</v>
      </c>
    </row>
    <row r="1689" spans="1:9" hidden="1" x14ac:dyDescent="0.35">
      <c r="A1689" s="38" t="s">
        <v>776</v>
      </c>
      <c r="B1689" s="38" t="s">
        <v>750</v>
      </c>
      <c r="C1689" s="38" t="s">
        <v>696</v>
      </c>
      <c r="D1689" s="94" t="s">
        <v>697</v>
      </c>
      <c r="E1689" s="94">
        <f t="shared" si="46"/>
        <v>2.85</v>
      </c>
      <c r="F1689" s="94">
        <v>19.61</v>
      </c>
      <c r="G1689" s="94">
        <v>9</v>
      </c>
      <c r="H1689" s="94">
        <v>10</v>
      </c>
      <c r="I1689" s="94">
        <f t="shared" si="47"/>
        <v>2</v>
      </c>
    </row>
    <row r="1690" spans="1:9" hidden="1" x14ac:dyDescent="0.35">
      <c r="A1690" s="38" t="s">
        <v>776</v>
      </c>
      <c r="B1690" s="38" t="s">
        <v>750</v>
      </c>
      <c r="C1690" s="38" t="s">
        <v>698</v>
      </c>
      <c r="D1690" s="38" t="s">
        <v>747</v>
      </c>
      <c r="E1690" s="94">
        <f t="shared" si="46"/>
        <v>2.5</v>
      </c>
      <c r="F1690" s="94">
        <v>1.32</v>
      </c>
      <c r="G1690" s="94">
        <v>5</v>
      </c>
      <c r="H1690" s="94">
        <v>5</v>
      </c>
      <c r="I1690" s="94">
        <f t="shared" si="47"/>
        <v>3</v>
      </c>
    </row>
    <row r="1691" spans="1:9" hidden="1" x14ac:dyDescent="0.35">
      <c r="A1691" s="38" t="s">
        <v>776</v>
      </c>
      <c r="B1691" s="38" t="s">
        <v>750</v>
      </c>
      <c r="C1691" s="38" t="s">
        <v>698</v>
      </c>
      <c r="D1691" s="38" t="s">
        <v>700</v>
      </c>
      <c r="E1691" s="94">
        <f t="shared" si="46"/>
        <v>5</v>
      </c>
      <c r="F1691" s="94">
        <v>1.04</v>
      </c>
      <c r="G1691" s="94">
        <v>5</v>
      </c>
      <c r="H1691" s="94">
        <v>5</v>
      </c>
      <c r="I1691" s="94">
        <f t="shared" si="47"/>
        <v>3</v>
      </c>
    </row>
    <row r="1692" spans="1:9" hidden="1" x14ac:dyDescent="0.35">
      <c r="A1692" s="38" t="s">
        <v>776</v>
      </c>
      <c r="B1692" s="38" t="s">
        <v>750</v>
      </c>
      <c r="C1692" s="38" t="s">
        <v>698</v>
      </c>
      <c r="D1692" s="38" t="s">
        <v>521</v>
      </c>
      <c r="E1692" s="94">
        <f t="shared" si="46"/>
        <v>3</v>
      </c>
      <c r="F1692" s="94">
        <v>0.41</v>
      </c>
      <c r="G1692" s="94">
        <v>5</v>
      </c>
      <c r="H1692" s="94">
        <v>5</v>
      </c>
      <c r="I1692" s="94">
        <f t="shared" si="47"/>
        <v>3</v>
      </c>
    </row>
    <row r="1693" spans="1:9" hidden="1" x14ac:dyDescent="0.35">
      <c r="A1693" s="38" t="s">
        <v>776</v>
      </c>
      <c r="B1693" s="38" t="s">
        <v>750</v>
      </c>
      <c r="C1693" s="38" t="s">
        <v>698</v>
      </c>
      <c r="D1693" s="38" t="s">
        <v>252</v>
      </c>
      <c r="E1693" s="94">
        <f t="shared" si="46"/>
        <v>3</v>
      </c>
      <c r="F1693" s="94">
        <v>1.5</v>
      </c>
      <c r="G1693" s="94">
        <v>5</v>
      </c>
      <c r="H1693" s="94">
        <v>5</v>
      </c>
      <c r="I1693" s="94">
        <f t="shared" si="47"/>
        <v>3</v>
      </c>
    </row>
    <row r="1694" spans="1:9" hidden="1" x14ac:dyDescent="0.35">
      <c r="A1694" s="38" t="s">
        <v>776</v>
      </c>
      <c r="B1694" s="38" t="s">
        <v>750</v>
      </c>
      <c r="C1694" s="38" t="s">
        <v>701</v>
      </c>
      <c r="D1694" s="38" t="s">
        <v>702</v>
      </c>
      <c r="E1694" s="94">
        <f t="shared" si="46"/>
        <v>3</v>
      </c>
      <c r="F1694" s="94">
        <v>6.21</v>
      </c>
      <c r="G1694" s="94">
        <v>0.5</v>
      </c>
      <c r="H1694" s="94">
        <v>4</v>
      </c>
      <c r="I1694" s="94">
        <f t="shared" si="47"/>
        <v>2</v>
      </c>
    </row>
    <row r="1695" spans="1:9" hidden="1" x14ac:dyDescent="0.35">
      <c r="A1695" s="38" t="s">
        <v>776</v>
      </c>
      <c r="B1695" s="38" t="s">
        <v>750</v>
      </c>
      <c r="C1695" s="38" t="s">
        <v>701</v>
      </c>
      <c r="D1695" s="38" t="s">
        <v>703</v>
      </c>
      <c r="E1695" s="94">
        <f t="shared" si="46"/>
        <v>1.75</v>
      </c>
      <c r="F1695" s="94">
        <v>3.74</v>
      </c>
      <c r="G1695" s="94">
        <v>2</v>
      </c>
      <c r="H1695" s="94">
        <v>8</v>
      </c>
      <c r="I1695" s="94">
        <f t="shared" si="47"/>
        <v>2</v>
      </c>
    </row>
    <row r="1696" spans="1:9" hidden="1" x14ac:dyDescent="0.35">
      <c r="A1696" s="38" t="s">
        <v>776</v>
      </c>
      <c r="B1696" s="38" t="s">
        <v>750</v>
      </c>
      <c r="C1696" s="38" t="s">
        <v>704</v>
      </c>
      <c r="D1696" s="38" t="s">
        <v>746</v>
      </c>
      <c r="E1696" s="94">
        <f t="shared" si="46"/>
        <v>3</v>
      </c>
      <c r="F1696" s="94">
        <v>1.49</v>
      </c>
      <c r="G1696" s="94">
        <v>8</v>
      </c>
      <c r="H1696" s="94">
        <v>2</v>
      </c>
      <c r="I1696" s="94">
        <f t="shared" si="47"/>
        <v>1</v>
      </c>
    </row>
    <row r="1697" spans="1:9" hidden="1" x14ac:dyDescent="0.35">
      <c r="A1697" s="38" t="s">
        <v>776</v>
      </c>
      <c r="B1697" s="38" t="s">
        <v>750</v>
      </c>
      <c r="C1697" s="38" t="s">
        <v>707</v>
      </c>
      <c r="D1697" s="38" t="s">
        <v>708</v>
      </c>
      <c r="E1697" s="94">
        <f t="shared" si="46"/>
        <v>7</v>
      </c>
      <c r="F1697" s="94">
        <v>10.39</v>
      </c>
      <c r="G1697" s="94">
        <v>12</v>
      </c>
      <c r="H1697" s="94">
        <v>3</v>
      </c>
      <c r="I1697" s="94">
        <f t="shared" si="47"/>
        <v>2</v>
      </c>
    </row>
    <row r="1698" spans="1:9" hidden="1" x14ac:dyDescent="0.35">
      <c r="A1698" s="38" t="s">
        <v>776</v>
      </c>
      <c r="B1698" s="38" t="s">
        <v>751</v>
      </c>
      <c r="C1698" s="38" t="s">
        <v>686</v>
      </c>
      <c r="D1698" s="38" t="s">
        <v>746</v>
      </c>
      <c r="E1698" s="94">
        <f t="shared" si="46"/>
        <v>3</v>
      </c>
      <c r="F1698" s="94">
        <v>7.23</v>
      </c>
      <c r="G1698" s="94">
        <v>9</v>
      </c>
      <c r="H1698" s="94">
        <v>4</v>
      </c>
      <c r="I1698" s="94">
        <f t="shared" si="47"/>
        <v>6</v>
      </c>
    </row>
    <row r="1699" spans="1:9" hidden="1" x14ac:dyDescent="0.35">
      <c r="A1699" s="38" t="s">
        <v>776</v>
      </c>
      <c r="B1699" s="38" t="s">
        <v>751</v>
      </c>
      <c r="C1699" s="38" t="s">
        <v>691</v>
      </c>
      <c r="D1699" s="38" t="s">
        <v>746</v>
      </c>
      <c r="E1699" s="94">
        <f t="shared" si="46"/>
        <v>5.665</v>
      </c>
      <c r="F1699" s="94">
        <v>11.3</v>
      </c>
      <c r="G1699" s="94">
        <v>20</v>
      </c>
      <c r="H1699" s="94">
        <v>15.15</v>
      </c>
      <c r="I1699" s="94">
        <f t="shared" si="47"/>
        <v>6.5</v>
      </c>
    </row>
    <row r="1700" spans="1:9" hidden="1" x14ac:dyDescent="0.35">
      <c r="A1700" s="38" t="s">
        <v>776</v>
      </c>
      <c r="B1700" s="38" t="s">
        <v>751</v>
      </c>
      <c r="C1700" s="38" t="s">
        <v>696</v>
      </c>
      <c r="D1700" s="94" t="s">
        <v>697</v>
      </c>
      <c r="E1700" s="94">
        <f t="shared" si="46"/>
        <v>3.3</v>
      </c>
      <c r="F1700" s="94">
        <v>22.46</v>
      </c>
      <c r="G1700" s="94">
        <v>9</v>
      </c>
      <c r="H1700" s="94">
        <v>10</v>
      </c>
      <c r="I1700" s="94">
        <f t="shared" si="47"/>
        <v>2</v>
      </c>
    </row>
    <row r="1701" spans="1:9" hidden="1" x14ac:dyDescent="0.35">
      <c r="A1701" s="38" t="s">
        <v>776</v>
      </c>
      <c r="B1701" s="38" t="s">
        <v>751</v>
      </c>
      <c r="C1701" s="38" t="s">
        <v>698</v>
      </c>
      <c r="D1701" s="38" t="s">
        <v>747</v>
      </c>
      <c r="E1701" s="94">
        <f t="shared" si="46"/>
        <v>5</v>
      </c>
      <c r="F1701" s="94">
        <v>0.2</v>
      </c>
      <c r="G1701" s="94">
        <v>5</v>
      </c>
      <c r="H1701" s="94">
        <v>5</v>
      </c>
      <c r="I1701" s="94">
        <f t="shared" si="47"/>
        <v>4</v>
      </c>
    </row>
    <row r="1702" spans="1:9" hidden="1" x14ac:dyDescent="0.35">
      <c r="A1702" s="38" t="s">
        <v>776</v>
      </c>
      <c r="B1702" s="38" t="s">
        <v>751</v>
      </c>
      <c r="C1702" s="38" t="s">
        <v>698</v>
      </c>
      <c r="D1702" s="38" t="s">
        <v>700</v>
      </c>
      <c r="E1702" s="94">
        <f t="shared" si="46"/>
        <v>7.5</v>
      </c>
      <c r="F1702" s="94">
        <v>0.2</v>
      </c>
      <c r="G1702" s="94">
        <v>5</v>
      </c>
      <c r="H1702" s="94">
        <v>5</v>
      </c>
      <c r="I1702" s="94">
        <f t="shared" si="47"/>
        <v>4</v>
      </c>
    </row>
    <row r="1703" spans="1:9" hidden="1" x14ac:dyDescent="0.35">
      <c r="A1703" s="38" t="s">
        <v>776</v>
      </c>
      <c r="B1703" s="38" t="s">
        <v>751</v>
      </c>
      <c r="C1703" s="38" t="s">
        <v>698</v>
      </c>
      <c r="D1703" s="38" t="s">
        <v>521</v>
      </c>
      <c r="E1703" s="94">
        <f t="shared" si="46"/>
        <v>4</v>
      </c>
      <c r="F1703" s="94">
        <v>0.23</v>
      </c>
      <c r="G1703" s="94">
        <v>5</v>
      </c>
      <c r="H1703" s="94">
        <v>5</v>
      </c>
      <c r="I1703" s="94">
        <f t="shared" si="47"/>
        <v>4</v>
      </c>
    </row>
    <row r="1704" spans="1:9" hidden="1" x14ac:dyDescent="0.35">
      <c r="A1704" s="38" t="s">
        <v>776</v>
      </c>
      <c r="B1704" s="38" t="s">
        <v>751</v>
      </c>
      <c r="C1704" s="38" t="s">
        <v>698</v>
      </c>
      <c r="D1704" s="38" t="s">
        <v>252</v>
      </c>
      <c r="E1704" s="94">
        <f t="shared" si="46"/>
        <v>4</v>
      </c>
      <c r="F1704" s="94">
        <v>0.9</v>
      </c>
      <c r="G1704" s="94">
        <v>5</v>
      </c>
      <c r="H1704" s="94">
        <v>5</v>
      </c>
      <c r="I1704" s="94">
        <f t="shared" si="47"/>
        <v>4</v>
      </c>
    </row>
    <row r="1705" spans="1:9" hidden="1" x14ac:dyDescent="0.35">
      <c r="A1705" s="38" t="s">
        <v>776</v>
      </c>
      <c r="B1705" s="38" t="s">
        <v>751</v>
      </c>
      <c r="C1705" s="38" t="s">
        <v>701</v>
      </c>
      <c r="D1705" s="38" t="s">
        <v>702</v>
      </c>
      <c r="E1705" s="94">
        <f t="shared" si="46"/>
        <v>3</v>
      </c>
      <c r="F1705" s="94">
        <v>4.8899999999999997</v>
      </c>
      <c r="G1705" s="94">
        <v>4.5</v>
      </c>
      <c r="H1705" s="94">
        <v>4</v>
      </c>
      <c r="I1705" s="94">
        <f t="shared" si="47"/>
        <v>6</v>
      </c>
    </row>
    <row r="1706" spans="1:9" hidden="1" x14ac:dyDescent="0.35">
      <c r="A1706" s="38" t="s">
        <v>776</v>
      </c>
      <c r="B1706" s="38" t="s">
        <v>751</v>
      </c>
      <c r="C1706" s="38" t="s">
        <v>701</v>
      </c>
      <c r="D1706" s="38" t="s">
        <v>703</v>
      </c>
      <c r="E1706" s="94">
        <f t="shared" si="46"/>
        <v>1.75</v>
      </c>
      <c r="F1706" s="94">
        <v>3.32</v>
      </c>
      <c r="G1706" s="94">
        <v>2</v>
      </c>
      <c r="H1706" s="94">
        <v>8</v>
      </c>
      <c r="I1706" s="94">
        <f t="shared" si="47"/>
        <v>1</v>
      </c>
    </row>
    <row r="1707" spans="1:9" hidden="1" x14ac:dyDescent="0.35">
      <c r="A1707" s="38" t="s">
        <v>776</v>
      </c>
      <c r="B1707" s="38" t="s">
        <v>751</v>
      </c>
      <c r="C1707" s="38" t="s">
        <v>704</v>
      </c>
      <c r="D1707" s="38" t="s">
        <v>746</v>
      </c>
      <c r="E1707" s="94">
        <f t="shared" si="46"/>
        <v>7.5</v>
      </c>
      <c r="F1707" s="94">
        <v>2.8</v>
      </c>
      <c r="G1707" s="94">
        <v>8</v>
      </c>
      <c r="H1707" s="94">
        <v>2</v>
      </c>
      <c r="I1707" s="94">
        <f t="shared" si="47"/>
        <v>1</v>
      </c>
    </row>
    <row r="1708" spans="1:9" hidden="1" x14ac:dyDescent="0.35">
      <c r="A1708" s="38" t="s">
        <v>776</v>
      </c>
      <c r="B1708" s="38" t="s">
        <v>751</v>
      </c>
      <c r="C1708" s="38" t="s">
        <v>707</v>
      </c>
      <c r="D1708" s="38" t="s">
        <v>708</v>
      </c>
      <c r="E1708" s="94">
        <f t="shared" si="46"/>
        <v>5.95</v>
      </c>
      <c r="F1708" s="94">
        <v>9.26</v>
      </c>
      <c r="G1708" s="94">
        <v>12</v>
      </c>
      <c r="H1708" s="94">
        <v>5.7</v>
      </c>
      <c r="I1708" s="94">
        <f t="shared" si="47"/>
        <v>3</v>
      </c>
    </row>
    <row r="1709" spans="1:9" hidden="1" x14ac:dyDescent="0.35">
      <c r="A1709" s="38" t="s">
        <v>776</v>
      </c>
      <c r="B1709" s="38" t="s">
        <v>752</v>
      </c>
      <c r="C1709" s="38" t="s">
        <v>686</v>
      </c>
      <c r="D1709" s="38" t="s">
        <v>746</v>
      </c>
      <c r="E1709" s="94">
        <f t="shared" si="46"/>
        <v>3.605</v>
      </c>
      <c r="F1709" s="94">
        <v>8.75</v>
      </c>
      <c r="G1709" s="94">
        <v>15.25</v>
      </c>
      <c r="H1709" s="94">
        <v>2</v>
      </c>
      <c r="I1709" s="94">
        <f t="shared" si="47"/>
        <v>0.5</v>
      </c>
    </row>
    <row r="1710" spans="1:9" hidden="1" x14ac:dyDescent="0.35">
      <c r="A1710" s="38" t="s">
        <v>776</v>
      </c>
      <c r="B1710" s="38" t="s">
        <v>752</v>
      </c>
      <c r="C1710" s="38" t="s">
        <v>691</v>
      </c>
      <c r="D1710" s="38" t="s">
        <v>746</v>
      </c>
      <c r="E1710" s="94">
        <f t="shared" si="46"/>
        <v>6.7350000000000003</v>
      </c>
      <c r="F1710" s="94">
        <v>17.71</v>
      </c>
      <c r="G1710" s="94">
        <v>25</v>
      </c>
      <c r="H1710" s="94">
        <v>34.130000000000003</v>
      </c>
      <c r="I1710" s="94">
        <f t="shared" si="47"/>
        <v>2.5</v>
      </c>
    </row>
    <row r="1711" spans="1:9" hidden="1" x14ac:dyDescent="0.35">
      <c r="A1711" s="38" t="s">
        <v>776</v>
      </c>
      <c r="B1711" s="38" t="s">
        <v>752</v>
      </c>
      <c r="C1711" s="38" t="s">
        <v>696</v>
      </c>
      <c r="D1711" s="94" t="s">
        <v>697</v>
      </c>
      <c r="E1711" s="94">
        <f t="shared" si="46"/>
        <v>2.85</v>
      </c>
      <c r="F1711" s="94">
        <v>21.94</v>
      </c>
      <c r="G1711" s="94">
        <v>9</v>
      </c>
      <c r="H1711" s="94">
        <v>15</v>
      </c>
      <c r="I1711" s="94">
        <f t="shared" si="47"/>
        <v>1</v>
      </c>
    </row>
    <row r="1712" spans="1:9" hidden="1" x14ac:dyDescent="0.35">
      <c r="A1712" s="38" t="s">
        <v>776</v>
      </c>
      <c r="B1712" s="38" t="s">
        <v>752</v>
      </c>
      <c r="C1712" s="38" t="s">
        <v>698</v>
      </c>
      <c r="D1712" s="38" t="s">
        <v>747</v>
      </c>
      <c r="E1712" s="94">
        <f t="shared" si="46"/>
        <v>5</v>
      </c>
      <c r="F1712" s="94">
        <v>0.93</v>
      </c>
      <c r="G1712" s="94">
        <v>5</v>
      </c>
      <c r="H1712" s="94">
        <v>7</v>
      </c>
      <c r="I1712" s="94">
        <f t="shared" si="47"/>
        <v>1</v>
      </c>
    </row>
    <row r="1713" spans="1:9" hidden="1" x14ac:dyDescent="0.35">
      <c r="A1713" s="38" t="s">
        <v>776</v>
      </c>
      <c r="B1713" s="38" t="s">
        <v>752</v>
      </c>
      <c r="C1713" s="38" t="s">
        <v>698</v>
      </c>
      <c r="D1713" s="38" t="s">
        <v>700</v>
      </c>
      <c r="E1713" s="94">
        <f t="shared" si="46"/>
        <v>16.5</v>
      </c>
      <c r="F1713" s="94">
        <v>0.2</v>
      </c>
      <c r="G1713" s="94">
        <v>5</v>
      </c>
      <c r="H1713" s="94">
        <v>7</v>
      </c>
      <c r="I1713" s="94">
        <f t="shared" si="47"/>
        <v>1</v>
      </c>
    </row>
    <row r="1714" spans="1:9" hidden="1" x14ac:dyDescent="0.35">
      <c r="A1714" s="38" t="s">
        <v>776</v>
      </c>
      <c r="B1714" s="38" t="s">
        <v>752</v>
      </c>
      <c r="C1714" s="38" t="s">
        <v>698</v>
      </c>
      <c r="D1714" s="38" t="s">
        <v>521</v>
      </c>
      <c r="E1714" s="94">
        <f t="shared" si="46"/>
        <v>5</v>
      </c>
      <c r="F1714" s="94">
        <v>0.23</v>
      </c>
      <c r="G1714" s="94">
        <v>5</v>
      </c>
      <c r="H1714" s="94">
        <v>7</v>
      </c>
      <c r="I1714" s="94">
        <f t="shared" si="47"/>
        <v>1</v>
      </c>
    </row>
    <row r="1715" spans="1:9" hidden="1" x14ac:dyDescent="0.35">
      <c r="A1715" s="38" t="s">
        <v>776</v>
      </c>
      <c r="B1715" s="38" t="s">
        <v>752</v>
      </c>
      <c r="C1715" s="38" t="s">
        <v>698</v>
      </c>
      <c r="D1715" s="38" t="s">
        <v>252</v>
      </c>
      <c r="E1715" s="94">
        <f t="shared" si="46"/>
        <v>12.5</v>
      </c>
      <c r="F1715" s="94">
        <v>0.9</v>
      </c>
      <c r="G1715" s="94">
        <v>5</v>
      </c>
      <c r="H1715" s="94">
        <v>7</v>
      </c>
      <c r="I1715" s="94">
        <f t="shared" si="47"/>
        <v>1</v>
      </c>
    </row>
    <row r="1716" spans="1:9" hidden="1" x14ac:dyDescent="0.35">
      <c r="A1716" s="38" t="s">
        <v>776</v>
      </c>
      <c r="B1716" s="38" t="s">
        <v>752</v>
      </c>
      <c r="C1716" s="38" t="s">
        <v>701</v>
      </c>
      <c r="D1716" s="38" t="s">
        <v>702</v>
      </c>
      <c r="E1716" s="94">
        <f t="shared" si="46"/>
        <v>4</v>
      </c>
      <c r="F1716" s="94">
        <v>8.01</v>
      </c>
      <c r="G1716" s="94">
        <v>0.1</v>
      </c>
      <c r="H1716" s="94">
        <v>3</v>
      </c>
      <c r="I1716" s="94">
        <f t="shared" si="47"/>
        <v>0.5</v>
      </c>
    </row>
    <row r="1717" spans="1:9" hidden="1" x14ac:dyDescent="0.35">
      <c r="A1717" s="38" t="s">
        <v>776</v>
      </c>
      <c r="B1717" s="38" t="s">
        <v>752</v>
      </c>
      <c r="C1717" s="38" t="s">
        <v>701</v>
      </c>
      <c r="D1717" s="38" t="s">
        <v>703</v>
      </c>
      <c r="E1717" s="94">
        <f t="shared" si="46"/>
        <v>3</v>
      </c>
      <c r="F1717" s="94">
        <v>8.1999999999999993</v>
      </c>
      <c r="G1717" s="94">
        <v>2</v>
      </c>
      <c r="H1717" s="94">
        <v>10</v>
      </c>
      <c r="I1717" s="94">
        <f t="shared" si="47"/>
        <v>0.05</v>
      </c>
    </row>
    <row r="1718" spans="1:9" hidden="1" x14ac:dyDescent="0.35">
      <c r="A1718" s="38" t="s">
        <v>776</v>
      </c>
      <c r="B1718" s="38" t="s">
        <v>752</v>
      </c>
      <c r="C1718" s="38" t="s">
        <v>704</v>
      </c>
      <c r="D1718" s="38" t="s">
        <v>746</v>
      </c>
      <c r="E1718" s="94">
        <f t="shared" si="46"/>
        <v>6</v>
      </c>
      <c r="F1718" s="94">
        <v>8.18</v>
      </c>
      <c r="G1718" s="94">
        <v>8</v>
      </c>
      <c r="H1718" s="94">
        <v>2</v>
      </c>
      <c r="I1718" s="94">
        <f t="shared" si="47"/>
        <v>0.5</v>
      </c>
    </row>
    <row r="1719" spans="1:9" hidden="1" x14ac:dyDescent="0.35">
      <c r="A1719" s="38" t="s">
        <v>776</v>
      </c>
      <c r="B1719" s="38" t="s">
        <v>752</v>
      </c>
      <c r="C1719" s="38" t="s">
        <v>707</v>
      </c>
      <c r="D1719" s="38" t="s">
        <v>708</v>
      </c>
      <c r="E1719" s="94">
        <f t="shared" ref="E1719:E1730" si="48">E67*0.5</f>
        <v>7</v>
      </c>
      <c r="F1719" s="94">
        <v>16.940000000000001</v>
      </c>
      <c r="G1719" s="94">
        <v>15</v>
      </c>
      <c r="H1719" s="94">
        <v>5</v>
      </c>
      <c r="I1719" s="94">
        <f t="shared" ref="I1719:I1730" si="49">I67*0.5</f>
        <v>1</v>
      </c>
    </row>
    <row r="1720" spans="1:9" hidden="1" x14ac:dyDescent="0.35">
      <c r="A1720" s="38" t="s">
        <v>776</v>
      </c>
      <c r="B1720" s="38" t="s">
        <v>753</v>
      </c>
      <c r="C1720" s="38" t="s">
        <v>686</v>
      </c>
      <c r="D1720" s="38" t="s">
        <v>746</v>
      </c>
      <c r="E1720" s="94">
        <f t="shared" si="48"/>
        <v>3</v>
      </c>
      <c r="F1720" s="94">
        <v>6.59</v>
      </c>
      <c r="G1720" s="94">
        <v>7</v>
      </c>
      <c r="H1720" s="94">
        <v>2.98</v>
      </c>
      <c r="I1720" s="94">
        <f t="shared" si="49"/>
        <v>1.5</v>
      </c>
    </row>
    <row r="1721" spans="1:9" hidden="1" x14ac:dyDescent="0.35">
      <c r="A1721" s="38" t="s">
        <v>776</v>
      </c>
      <c r="B1721" s="38" t="s">
        <v>753</v>
      </c>
      <c r="C1721" s="38" t="s">
        <v>691</v>
      </c>
      <c r="D1721" s="38" t="s">
        <v>746</v>
      </c>
      <c r="E1721" s="94">
        <f t="shared" si="48"/>
        <v>4.3550000000000004</v>
      </c>
      <c r="F1721" s="94">
        <v>9.8699999999999992</v>
      </c>
      <c r="G1721" s="94">
        <v>25</v>
      </c>
      <c r="H1721" s="94">
        <v>12.96</v>
      </c>
      <c r="I1721" s="94">
        <f t="shared" si="49"/>
        <v>9.08</v>
      </c>
    </row>
    <row r="1722" spans="1:9" hidden="1" x14ac:dyDescent="0.35">
      <c r="A1722" s="38" t="s">
        <v>776</v>
      </c>
      <c r="B1722" s="38" t="s">
        <v>753</v>
      </c>
      <c r="C1722" s="38" t="s">
        <v>696</v>
      </c>
      <c r="D1722" s="94" t="s">
        <v>697</v>
      </c>
      <c r="E1722" s="94">
        <f t="shared" si="48"/>
        <v>4.0999999999999996</v>
      </c>
      <c r="F1722" s="94">
        <v>25.47</v>
      </c>
      <c r="G1722" s="94">
        <v>9</v>
      </c>
      <c r="H1722" s="94">
        <v>12.33</v>
      </c>
      <c r="I1722" s="94">
        <f t="shared" si="49"/>
        <v>1</v>
      </c>
    </row>
    <row r="1723" spans="1:9" hidden="1" x14ac:dyDescent="0.35">
      <c r="A1723" s="38" t="s">
        <v>776</v>
      </c>
      <c r="B1723" s="38" t="s">
        <v>753</v>
      </c>
      <c r="C1723" s="38" t="s">
        <v>698</v>
      </c>
      <c r="D1723" s="38" t="s">
        <v>747</v>
      </c>
      <c r="E1723" s="94">
        <f t="shared" si="48"/>
        <v>5</v>
      </c>
      <c r="F1723" s="94">
        <v>0.21</v>
      </c>
      <c r="G1723" s="94">
        <v>5</v>
      </c>
      <c r="H1723" s="94">
        <v>7</v>
      </c>
      <c r="I1723" s="94">
        <f t="shared" si="49"/>
        <v>2</v>
      </c>
    </row>
    <row r="1724" spans="1:9" hidden="1" x14ac:dyDescent="0.35">
      <c r="A1724" s="38" t="s">
        <v>776</v>
      </c>
      <c r="B1724" s="38" t="s">
        <v>753</v>
      </c>
      <c r="C1724" s="38" t="s">
        <v>698</v>
      </c>
      <c r="D1724" s="38" t="s">
        <v>700</v>
      </c>
      <c r="E1724" s="94">
        <f t="shared" si="48"/>
        <v>5</v>
      </c>
      <c r="F1724" s="94">
        <v>0.2</v>
      </c>
      <c r="G1724" s="94">
        <v>5</v>
      </c>
      <c r="H1724" s="94">
        <v>7</v>
      </c>
      <c r="I1724" s="94">
        <f t="shared" si="49"/>
        <v>2</v>
      </c>
    </row>
    <row r="1725" spans="1:9" hidden="1" x14ac:dyDescent="0.35">
      <c r="A1725" s="38" t="s">
        <v>776</v>
      </c>
      <c r="B1725" s="38" t="s">
        <v>753</v>
      </c>
      <c r="C1725" s="38" t="s">
        <v>698</v>
      </c>
      <c r="D1725" s="38" t="s">
        <v>521</v>
      </c>
      <c r="E1725" s="94">
        <f t="shared" si="48"/>
        <v>3</v>
      </c>
      <c r="F1725" s="94">
        <v>0.47</v>
      </c>
      <c r="G1725" s="94">
        <v>5</v>
      </c>
      <c r="H1725" s="94">
        <v>7</v>
      </c>
      <c r="I1725" s="94">
        <f t="shared" si="49"/>
        <v>2</v>
      </c>
    </row>
    <row r="1726" spans="1:9" hidden="1" x14ac:dyDescent="0.35">
      <c r="A1726" s="38" t="s">
        <v>776</v>
      </c>
      <c r="B1726" s="38" t="s">
        <v>753</v>
      </c>
      <c r="C1726" s="38" t="s">
        <v>698</v>
      </c>
      <c r="D1726" s="38" t="s">
        <v>252</v>
      </c>
      <c r="E1726" s="94">
        <f t="shared" si="48"/>
        <v>4</v>
      </c>
      <c r="F1726" s="94">
        <v>0.97</v>
      </c>
      <c r="G1726" s="94">
        <v>5</v>
      </c>
      <c r="H1726" s="94">
        <v>7</v>
      </c>
      <c r="I1726" s="94">
        <f t="shared" si="49"/>
        <v>2</v>
      </c>
    </row>
    <row r="1727" spans="1:9" hidden="1" x14ac:dyDescent="0.35">
      <c r="A1727" s="38" t="s">
        <v>776</v>
      </c>
      <c r="B1727" s="38" t="s">
        <v>753</v>
      </c>
      <c r="C1727" s="38" t="s">
        <v>701</v>
      </c>
      <c r="D1727" s="38" t="s">
        <v>702</v>
      </c>
      <c r="E1727" s="94">
        <f t="shared" si="48"/>
        <v>4</v>
      </c>
      <c r="F1727" s="94">
        <v>7.23</v>
      </c>
      <c r="G1727" s="94">
        <v>0.1</v>
      </c>
      <c r="H1727" s="94">
        <v>3</v>
      </c>
      <c r="I1727" s="94">
        <f t="shared" si="49"/>
        <v>1</v>
      </c>
    </row>
    <row r="1728" spans="1:9" hidden="1" x14ac:dyDescent="0.35">
      <c r="A1728" s="38" t="s">
        <v>776</v>
      </c>
      <c r="B1728" s="38" t="s">
        <v>753</v>
      </c>
      <c r="C1728" s="38" t="s">
        <v>701</v>
      </c>
      <c r="D1728" s="38" t="s">
        <v>703</v>
      </c>
      <c r="E1728" s="94">
        <f t="shared" si="48"/>
        <v>1.75</v>
      </c>
      <c r="F1728" s="94">
        <v>4.68</v>
      </c>
      <c r="G1728" s="94">
        <v>2</v>
      </c>
      <c r="H1728" s="94">
        <v>10</v>
      </c>
      <c r="I1728" s="94">
        <f t="shared" si="49"/>
        <v>0.5</v>
      </c>
    </row>
    <row r="1729" spans="1:9" hidden="1" x14ac:dyDescent="0.35">
      <c r="A1729" s="38" t="s">
        <v>776</v>
      </c>
      <c r="B1729" s="38" t="s">
        <v>753</v>
      </c>
      <c r="C1729" s="38" t="s">
        <v>704</v>
      </c>
      <c r="D1729" s="38" t="s">
        <v>746</v>
      </c>
      <c r="E1729" s="94">
        <f t="shared" si="48"/>
        <v>3.5</v>
      </c>
      <c r="F1729" s="94">
        <v>3.4</v>
      </c>
      <c r="G1729" s="94">
        <v>8</v>
      </c>
      <c r="H1729" s="94">
        <v>2</v>
      </c>
      <c r="I1729" s="94">
        <f t="shared" si="49"/>
        <v>0.5</v>
      </c>
    </row>
    <row r="1730" spans="1:9" hidden="1" x14ac:dyDescent="0.35">
      <c r="A1730" s="38" t="s">
        <v>776</v>
      </c>
      <c r="B1730" s="38" t="s">
        <v>753</v>
      </c>
      <c r="C1730" s="38" t="s">
        <v>707</v>
      </c>
      <c r="D1730" s="38" t="s">
        <v>708</v>
      </c>
      <c r="E1730" s="94">
        <f t="shared" si="48"/>
        <v>4.0750000000000002</v>
      </c>
      <c r="F1730" s="94">
        <v>12.11</v>
      </c>
      <c r="G1730" s="94">
        <v>10</v>
      </c>
      <c r="H1730" s="94">
        <v>10.78</v>
      </c>
      <c r="I1730" s="94">
        <f t="shared" si="49"/>
        <v>1.94</v>
      </c>
    </row>
    <row r="1731" spans="1:9" hidden="1" x14ac:dyDescent="0.35">
      <c r="A1731" s="38" t="s">
        <v>777</v>
      </c>
    </row>
    <row r="1732" spans="1:9" hidden="1" x14ac:dyDescent="0.35">
      <c r="A1732" s="38" t="s">
        <v>778</v>
      </c>
    </row>
    <row r="1733" spans="1:9" hidden="1" x14ac:dyDescent="0.35">
      <c r="A1733" s="38" t="s">
        <v>779</v>
      </c>
      <c r="B1733" s="38" t="s">
        <v>745</v>
      </c>
      <c r="C1733" s="38" t="s">
        <v>686</v>
      </c>
      <c r="D1733" s="38" t="s">
        <v>746</v>
      </c>
      <c r="E1733" s="94">
        <v>4.3</v>
      </c>
      <c r="F1733" s="94">
        <v>3.8</v>
      </c>
      <c r="G1733" s="94">
        <v>10.5</v>
      </c>
      <c r="H1733" s="94">
        <v>3</v>
      </c>
      <c r="I1733" s="94">
        <v>27</v>
      </c>
    </row>
    <row r="1734" spans="1:9" hidden="1" x14ac:dyDescent="0.35">
      <c r="A1734" s="38" t="s">
        <v>779</v>
      </c>
      <c r="B1734" s="38" t="s">
        <v>745</v>
      </c>
      <c r="C1734" s="38" t="s">
        <v>691</v>
      </c>
      <c r="D1734" s="38" t="s">
        <v>746</v>
      </c>
      <c r="E1734" s="94">
        <v>20</v>
      </c>
      <c r="F1734" s="94">
        <v>7.3</v>
      </c>
      <c r="G1734" s="94">
        <v>2</v>
      </c>
      <c r="H1734" s="94">
        <v>4.9000000000000004</v>
      </c>
      <c r="I1734" s="94">
        <v>19</v>
      </c>
    </row>
    <row r="1735" spans="1:9" hidden="1" x14ac:dyDescent="0.35">
      <c r="A1735" s="38" t="s">
        <v>779</v>
      </c>
      <c r="B1735" s="38" t="s">
        <v>745</v>
      </c>
      <c r="C1735" s="38" t="s">
        <v>696</v>
      </c>
      <c r="D1735" s="94" t="s">
        <v>697</v>
      </c>
      <c r="E1735" s="94">
        <v>9.4</v>
      </c>
      <c r="F1735" s="94">
        <v>7.9</v>
      </c>
      <c r="G1735" s="94">
        <v>6</v>
      </c>
      <c r="H1735" s="94">
        <v>9</v>
      </c>
      <c r="I1735" s="94">
        <v>11</v>
      </c>
    </row>
    <row r="1736" spans="1:9" hidden="1" x14ac:dyDescent="0.35">
      <c r="A1736" s="38" t="s">
        <v>779</v>
      </c>
      <c r="B1736" s="38" t="s">
        <v>745</v>
      </c>
      <c r="C1736" s="38" t="s">
        <v>698</v>
      </c>
      <c r="D1736" s="38" t="s">
        <v>747</v>
      </c>
      <c r="E1736" s="94">
        <v>2.2999999999999998</v>
      </c>
      <c r="F1736" s="94">
        <v>0.6</v>
      </c>
      <c r="G1736" s="94">
        <v>5</v>
      </c>
      <c r="H1736" s="94">
        <v>4</v>
      </c>
      <c r="I1736" s="94">
        <v>11</v>
      </c>
    </row>
    <row r="1737" spans="1:9" hidden="1" x14ac:dyDescent="0.35">
      <c r="A1737" s="38" t="s">
        <v>779</v>
      </c>
      <c r="B1737" s="38" t="s">
        <v>745</v>
      </c>
      <c r="C1737" s="38" t="s">
        <v>698</v>
      </c>
      <c r="D1737" s="38" t="s">
        <v>700</v>
      </c>
      <c r="E1737" s="94">
        <v>10</v>
      </c>
      <c r="F1737" s="94">
        <v>0.6</v>
      </c>
      <c r="G1737" s="94">
        <v>5</v>
      </c>
      <c r="H1737" s="94">
        <v>4</v>
      </c>
      <c r="I1737" s="94">
        <v>11</v>
      </c>
    </row>
    <row r="1738" spans="1:9" hidden="1" x14ac:dyDescent="0.35">
      <c r="A1738" s="38" t="s">
        <v>779</v>
      </c>
      <c r="B1738" s="38" t="s">
        <v>745</v>
      </c>
      <c r="C1738" s="38" t="s">
        <v>698</v>
      </c>
      <c r="D1738" s="38" t="s">
        <v>521</v>
      </c>
      <c r="E1738" s="94">
        <v>2.5</v>
      </c>
      <c r="F1738" s="94">
        <v>0.3</v>
      </c>
      <c r="G1738" s="94">
        <v>5</v>
      </c>
      <c r="H1738" s="94">
        <v>4</v>
      </c>
      <c r="I1738" s="94">
        <v>11</v>
      </c>
    </row>
    <row r="1739" spans="1:9" hidden="1" x14ac:dyDescent="0.35">
      <c r="A1739" s="38" t="s">
        <v>779</v>
      </c>
      <c r="B1739" s="38" t="s">
        <v>745</v>
      </c>
      <c r="C1739" s="38" t="s">
        <v>698</v>
      </c>
      <c r="D1739" s="38" t="s">
        <v>252</v>
      </c>
      <c r="E1739" s="94">
        <v>7</v>
      </c>
      <c r="F1739" s="94">
        <v>0.9</v>
      </c>
      <c r="G1739" s="94">
        <v>5</v>
      </c>
      <c r="H1739" s="94">
        <v>4</v>
      </c>
      <c r="I1739" s="94">
        <v>11</v>
      </c>
    </row>
    <row r="1740" spans="1:9" hidden="1" x14ac:dyDescent="0.35">
      <c r="A1740" s="38" t="s">
        <v>779</v>
      </c>
      <c r="B1740" s="38" t="s">
        <v>745</v>
      </c>
      <c r="C1740" s="38" t="s">
        <v>701</v>
      </c>
      <c r="D1740" s="38" t="s">
        <v>702</v>
      </c>
      <c r="E1740" s="94">
        <v>4</v>
      </c>
      <c r="F1740" s="94">
        <v>1.9</v>
      </c>
      <c r="G1740" s="94">
        <v>0.5</v>
      </c>
      <c r="H1740" s="94">
        <v>2</v>
      </c>
      <c r="I1740" s="94">
        <v>8</v>
      </c>
    </row>
    <row r="1741" spans="1:9" hidden="1" x14ac:dyDescent="0.35">
      <c r="A1741" s="38" t="s">
        <v>779</v>
      </c>
      <c r="B1741" s="38" t="s">
        <v>745</v>
      </c>
      <c r="C1741" s="38" t="s">
        <v>701</v>
      </c>
      <c r="D1741" s="38" t="s">
        <v>703</v>
      </c>
      <c r="E1741" s="94">
        <v>3.5</v>
      </c>
      <c r="F1741" s="94">
        <v>1.7</v>
      </c>
      <c r="G1741" s="94">
        <v>1.2</v>
      </c>
      <c r="H1741" s="94">
        <v>0.82</v>
      </c>
      <c r="I1741" s="94">
        <v>7</v>
      </c>
    </row>
    <row r="1742" spans="1:9" hidden="1" x14ac:dyDescent="0.35">
      <c r="A1742" s="38" t="s">
        <v>779</v>
      </c>
      <c r="B1742" s="38" t="s">
        <v>745</v>
      </c>
      <c r="C1742" s="38" t="s">
        <v>704</v>
      </c>
      <c r="D1742" s="38" t="s">
        <v>746</v>
      </c>
      <c r="E1742" s="94">
        <v>5.3</v>
      </c>
      <c r="F1742" s="94">
        <v>1.2</v>
      </c>
      <c r="G1742" s="94">
        <v>5</v>
      </c>
      <c r="H1742" s="94">
        <v>1</v>
      </c>
      <c r="I1742" s="94">
        <v>4</v>
      </c>
    </row>
    <row r="1743" spans="1:9" hidden="1" x14ac:dyDescent="0.35">
      <c r="A1743" s="38" t="s">
        <v>779</v>
      </c>
      <c r="B1743" s="38" t="s">
        <v>745</v>
      </c>
      <c r="C1743" s="38" t="s">
        <v>707</v>
      </c>
      <c r="D1743" s="38" t="s">
        <v>708</v>
      </c>
      <c r="E1743" s="94">
        <v>20</v>
      </c>
      <c r="F1743" s="94">
        <v>7.6</v>
      </c>
      <c r="G1743" s="94">
        <v>13.8</v>
      </c>
      <c r="H1743" s="94">
        <v>7</v>
      </c>
      <c r="I1743" s="94">
        <v>17</v>
      </c>
    </row>
    <row r="1744" spans="1:9" hidden="1" x14ac:dyDescent="0.35">
      <c r="A1744" s="38" t="s">
        <v>779</v>
      </c>
      <c r="B1744" s="38" t="s">
        <v>748</v>
      </c>
      <c r="C1744" s="38" t="s">
        <v>686</v>
      </c>
      <c r="D1744" s="38" t="s">
        <v>746</v>
      </c>
      <c r="E1744" s="94">
        <v>3.92</v>
      </c>
      <c r="F1744" s="94">
        <v>4.24</v>
      </c>
      <c r="G1744" s="94">
        <v>11.8</v>
      </c>
      <c r="H1744" s="94">
        <v>2</v>
      </c>
      <c r="I1744" s="94">
        <v>13.65</v>
      </c>
    </row>
    <row r="1745" spans="1:9" hidden="1" x14ac:dyDescent="0.35">
      <c r="A1745" s="38" t="s">
        <v>779</v>
      </c>
      <c r="B1745" s="38" t="s">
        <v>748</v>
      </c>
      <c r="C1745" s="38" t="s">
        <v>691</v>
      </c>
      <c r="D1745" s="38" t="s">
        <v>746</v>
      </c>
      <c r="E1745" s="94">
        <v>10</v>
      </c>
      <c r="F1745" s="94">
        <v>8.3699999999999992</v>
      </c>
      <c r="G1745" s="94">
        <v>2</v>
      </c>
      <c r="H1745" s="94">
        <v>8</v>
      </c>
      <c r="I1745" s="94">
        <v>10.35</v>
      </c>
    </row>
    <row r="1746" spans="1:9" hidden="1" x14ac:dyDescent="0.35">
      <c r="A1746" s="38" t="s">
        <v>779</v>
      </c>
      <c r="B1746" s="38" t="s">
        <v>748</v>
      </c>
      <c r="C1746" s="38" t="s">
        <v>696</v>
      </c>
      <c r="D1746" s="94" t="s">
        <v>697</v>
      </c>
      <c r="E1746" s="94">
        <v>15</v>
      </c>
      <c r="F1746" s="94">
        <v>16.5</v>
      </c>
      <c r="G1746" s="94">
        <v>6</v>
      </c>
      <c r="H1746" s="94">
        <v>11</v>
      </c>
      <c r="I1746" s="94">
        <v>7.3</v>
      </c>
    </row>
    <row r="1747" spans="1:9" hidden="1" x14ac:dyDescent="0.35">
      <c r="A1747" s="38" t="s">
        <v>779</v>
      </c>
      <c r="B1747" s="38" t="s">
        <v>748</v>
      </c>
      <c r="C1747" s="38" t="s">
        <v>698</v>
      </c>
      <c r="D1747" s="38" t="s">
        <v>747</v>
      </c>
      <c r="E1747" s="94">
        <v>2.2999999999999998</v>
      </c>
      <c r="F1747" s="94">
        <v>0.55000000000000004</v>
      </c>
      <c r="G1747" s="94">
        <v>5</v>
      </c>
      <c r="H1747" s="94">
        <v>6</v>
      </c>
      <c r="I1747" s="94">
        <v>6.8</v>
      </c>
    </row>
    <row r="1748" spans="1:9" hidden="1" x14ac:dyDescent="0.35">
      <c r="A1748" s="38" t="s">
        <v>779</v>
      </c>
      <c r="B1748" s="38" t="s">
        <v>748</v>
      </c>
      <c r="C1748" s="38" t="s">
        <v>698</v>
      </c>
      <c r="D1748" s="38" t="s">
        <v>700</v>
      </c>
      <c r="E1748" s="94">
        <v>10</v>
      </c>
      <c r="F1748" s="94">
        <v>0.81</v>
      </c>
      <c r="G1748" s="94">
        <v>5</v>
      </c>
      <c r="H1748" s="94">
        <v>6</v>
      </c>
      <c r="I1748" s="94">
        <v>6.8</v>
      </c>
    </row>
    <row r="1749" spans="1:9" hidden="1" x14ac:dyDescent="0.35">
      <c r="A1749" s="38" t="s">
        <v>779</v>
      </c>
      <c r="B1749" s="38" t="s">
        <v>748</v>
      </c>
      <c r="C1749" s="38" t="s">
        <v>698</v>
      </c>
      <c r="D1749" s="38" t="s">
        <v>521</v>
      </c>
      <c r="E1749" s="94">
        <v>2.5</v>
      </c>
      <c r="F1749" s="94">
        <v>0.18</v>
      </c>
      <c r="G1749" s="94">
        <v>5</v>
      </c>
      <c r="H1749" s="94">
        <v>6</v>
      </c>
      <c r="I1749" s="94">
        <v>6.8</v>
      </c>
    </row>
    <row r="1750" spans="1:9" hidden="1" x14ac:dyDescent="0.35">
      <c r="A1750" s="38" t="s">
        <v>779</v>
      </c>
      <c r="B1750" s="38" t="s">
        <v>748</v>
      </c>
      <c r="C1750" s="38" t="s">
        <v>698</v>
      </c>
      <c r="D1750" s="38" t="s">
        <v>252</v>
      </c>
      <c r="E1750" s="94">
        <v>7</v>
      </c>
      <c r="F1750" s="94">
        <v>1.03</v>
      </c>
      <c r="G1750" s="94">
        <v>5</v>
      </c>
      <c r="H1750" s="94">
        <v>6</v>
      </c>
      <c r="I1750" s="94">
        <v>6.8</v>
      </c>
    </row>
    <row r="1751" spans="1:9" hidden="1" x14ac:dyDescent="0.35">
      <c r="A1751" s="38" t="s">
        <v>779</v>
      </c>
      <c r="B1751" s="38" t="s">
        <v>748</v>
      </c>
      <c r="C1751" s="38" t="s">
        <v>701</v>
      </c>
      <c r="D1751" s="38" t="s">
        <v>702</v>
      </c>
      <c r="E1751" s="94">
        <v>6</v>
      </c>
      <c r="F1751" s="94">
        <v>2.38</v>
      </c>
      <c r="G1751" s="94">
        <v>0.5</v>
      </c>
      <c r="H1751" s="94">
        <v>4</v>
      </c>
      <c r="I1751" s="94">
        <v>3.65</v>
      </c>
    </row>
    <row r="1752" spans="1:9" hidden="1" x14ac:dyDescent="0.35">
      <c r="A1752" s="38" t="s">
        <v>779</v>
      </c>
      <c r="B1752" s="38" t="s">
        <v>748</v>
      </c>
      <c r="C1752" s="38" t="s">
        <v>701</v>
      </c>
      <c r="D1752" s="38" t="s">
        <v>703</v>
      </c>
      <c r="E1752" s="94">
        <v>3.5</v>
      </c>
      <c r="F1752" s="94">
        <v>2.2400000000000002</v>
      </c>
      <c r="G1752" s="94">
        <v>1.2</v>
      </c>
      <c r="H1752" s="94">
        <v>0.5</v>
      </c>
      <c r="I1752" s="94">
        <v>2.6</v>
      </c>
    </row>
    <row r="1753" spans="1:9" hidden="1" x14ac:dyDescent="0.35">
      <c r="A1753" s="38" t="s">
        <v>779</v>
      </c>
      <c r="B1753" s="38" t="s">
        <v>748</v>
      </c>
      <c r="C1753" s="38" t="s">
        <v>704</v>
      </c>
      <c r="D1753" s="38" t="s">
        <v>746</v>
      </c>
      <c r="E1753" s="94">
        <v>6</v>
      </c>
      <c r="F1753" s="94">
        <v>2.72</v>
      </c>
      <c r="G1753" s="94">
        <v>5</v>
      </c>
      <c r="H1753" s="94">
        <v>1</v>
      </c>
      <c r="I1753" s="94">
        <v>16.55</v>
      </c>
    </row>
    <row r="1754" spans="1:9" hidden="1" x14ac:dyDescent="0.35">
      <c r="A1754" s="38" t="s">
        <v>779</v>
      </c>
      <c r="B1754" s="38" t="s">
        <v>748</v>
      </c>
      <c r="C1754" s="38" t="s">
        <v>707</v>
      </c>
      <c r="D1754" s="38" t="s">
        <v>708</v>
      </c>
      <c r="E1754" s="94">
        <v>20</v>
      </c>
      <c r="F1754" s="94">
        <v>4.8499999999999996</v>
      </c>
      <c r="G1754" s="94">
        <v>15</v>
      </c>
      <c r="H1754" s="94">
        <v>9</v>
      </c>
      <c r="I1754" s="94">
        <v>7.15</v>
      </c>
    </row>
    <row r="1755" spans="1:9" hidden="1" x14ac:dyDescent="0.35">
      <c r="A1755" s="38" t="s">
        <v>779</v>
      </c>
      <c r="B1755" s="38" t="s">
        <v>749</v>
      </c>
      <c r="C1755" s="38" t="s">
        <v>686</v>
      </c>
      <c r="D1755" s="38" t="s">
        <v>746</v>
      </c>
      <c r="E1755" s="94">
        <v>7.17</v>
      </c>
      <c r="F1755" s="94">
        <v>3.25</v>
      </c>
      <c r="G1755" s="94">
        <v>10.5</v>
      </c>
      <c r="H1755" s="94">
        <v>9</v>
      </c>
      <c r="I1755" s="94">
        <v>23.99</v>
      </c>
    </row>
    <row r="1756" spans="1:9" hidden="1" x14ac:dyDescent="0.35">
      <c r="A1756" s="38" t="s">
        <v>779</v>
      </c>
      <c r="B1756" s="38" t="s">
        <v>749</v>
      </c>
      <c r="C1756" s="38" t="s">
        <v>691</v>
      </c>
      <c r="D1756" s="38" t="s">
        <v>746</v>
      </c>
      <c r="E1756" s="94">
        <v>20</v>
      </c>
      <c r="F1756" s="94">
        <v>15.3</v>
      </c>
      <c r="G1756" s="94">
        <v>2</v>
      </c>
      <c r="H1756" s="94">
        <v>9.35</v>
      </c>
      <c r="I1756" s="94">
        <v>25.43</v>
      </c>
    </row>
    <row r="1757" spans="1:9" hidden="1" x14ac:dyDescent="0.35">
      <c r="A1757" s="38" t="s">
        <v>779</v>
      </c>
      <c r="B1757" s="38" t="s">
        <v>749</v>
      </c>
      <c r="C1757" s="38" t="s">
        <v>696</v>
      </c>
      <c r="D1757" s="94" t="s">
        <v>697</v>
      </c>
      <c r="E1757" s="94">
        <v>12</v>
      </c>
      <c r="F1757" s="94">
        <v>2.2200000000000002</v>
      </c>
      <c r="G1757" s="94">
        <v>6</v>
      </c>
      <c r="H1757" s="94">
        <v>6.83</v>
      </c>
      <c r="I1757" s="94">
        <v>28.17</v>
      </c>
    </row>
    <row r="1758" spans="1:9" hidden="1" x14ac:dyDescent="0.35">
      <c r="A1758" s="38" t="s">
        <v>779</v>
      </c>
      <c r="B1758" s="38" t="s">
        <v>749</v>
      </c>
      <c r="C1758" s="38" t="s">
        <v>698</v>
      </c>
      <c r="D1758" s="38" t="s">
        <v>747</v>
      </c>
      <c r="E1758" s="94">
        <v>2.2999999999999998</v>
      </c>
      <c r="F1758" s="94">
        <v>0.31</v>
      </c>
      <c r="G1758" s="94">
        <v>5</v>
      </c>
      <c r="H1758" s="94">
        <v>3.9</v>
      </c>
      <c r="I1758" s="38">
        <v>21.19</v>
      </c>
    </row>
    <row r="1759" spans="1:9" hidden="1" x14ac:dyDescent="0.35">
      <c r="A1759" s="38" t="s">
        <v>779</v>
      </c>
      <c r="B1759" s="38" t="s">
        <v>749</v>
      </c>
      <c r="C1759" s="38" t="s">
        <v>698</v>
      </c>
      <c r="D1759" s="38" t="s">
        <v>700</v>
      </c>
      <c r="E1759" s="94">
        <v>10</v>
      </c>
      <c r="F1759" s="94">
        <v>0.8</v>
      </c>
      <c r="G1759" s="94">
        <v>5</v>
      </c>
      <c r="H1759" s="94">
        <v>3.9</v>
      </c>
      <c r="I1759" s="94">
        <v>21.19</v>
      </c>
    </row>
    <row r="1760" spans="1:9" hidden="1" x14ac:dyDescent="0.35">
      <c r="A1760" s="38" t="s">
        <v>779</v>
      </c>
      <c r="B1760" s="38" t="s">
        <v>749</v>
      </c>
      <c r="C1760" s="38" t="s">
        <v>698</v>
      </c>
      <c r="D1760" s="38" t="s">
        <v>521</v>
      </c>
      <c r="E1760" s="94">
        <v>2.5</v>
      </c>
      <c r="F1760" s="94">
        <v>0.66</v>
      </c>
      <c r="G1760" s="94">
        <v>5</v>
      </c>
      <c r="H1760" s="94">
        <v>3.9</v>
      </c>
      <c r="I1760" s="94">
        <v>21.19</v>
      </c>
    </row>
    <row r="1761" spans="1:9" hidden="1" x14ac:dyDescent="0.35">
      <c r="A1761" s="38" t="s">
        <v>779</v>
      </c>
      <c r="B1761" s="38" t="s">
        <v>749</v>
      </c>
      <c r="C1761" s="38" t="s">
        <v>698</v>
      </c>
      <c r="D1761" s="38" t="s">
        <v>252</v>
      </c>
      <c r="E1761" s="94">
        <v>7</v>
      </c>
      <c r="F1761" s="94">
        <v>0.88</v>
      </c>
      <c r="G1761" s="94">
        <v>5</v>
      </c>
      <c r="H1761" s="94">
        <v>3.9</v>
      </c>
      <c r="I1761" s="94">
        <v>21.19</v>
      </c>
    </row>
    <row r="1762" spans="1:9" hidden="1" x14ac:dyDescent="0.35">
      <c r="A1762" s="38" t="s">
        <v>779</v>
      </c>
      <c r="B1762" s="38" t="s">
        <v>749</v>
      </c>
      <c r="C1762" s="38" t="s">
        <v>701</v>
      </c>
      <c r="D1762" s="38" t="s">
        <v>702</v>
      </c>
      <c r="E1762" s="94">
        <v>4</v>
      </c>
      <c r="F1762" s="94">
        <v>2.27</v>
      </c>
      <c r="G1762" s="94">
        <v>0.5</v>
      </c>
      <c r="H1762" s="94">
        <v>7</v>
      </c>
      <c r="I1762" s="94">
        <v>20.399999999999999</v>
      </c>
    </row>
    <row r="1763" spans="1:9" hidden="1" x14ac:dyDescent="0.35">
      <c r="A1763" s="38" t="s">
        <v>779</v>
      </c>
      <c r="B1763" s="38" t="s">
        <v>749</v>
      </c>
      <c r="C1763" s="38" t="s">
        <v>701</v>
      </c>
      <c r="D1763" s="38" t="s">
        <v>703</v>
      </c>
      <c r="E1763" s="94">
        <v>3.5</v>
      </c>
      <c r="F1763" s="94">
        <v>0.4</v>
      </c>
      <c r="G1763" s="94">
        <v>1.2</v>
      </c>
      <c r="H1763" s="94">
        <v>7.75</v>
      </c>
      <c r="I1763" s="94">
        <v>21</v>
      </c>
    </row>
    <row r="1764" spans="1:9" hidden="1" x14ac:dyDescent="0.35">
      <c r="A1764" s="38" t="s">
        <v>779</v>
      </c>
      <c r="B1764" s="38" t="s">
        <v>749</v>
      </c>
      <c r="C1764" s="38" t="s">
        <v>704</v>
      </c>
      <c r="D1764" s="38" t="s">
        <v>746</v>
      </c>
      <c r="E1764" s="94">
        <v>12</v>
      </c>
      <c r="F1764" s="94">
        <v>3.91</v>
      </c>
      <c r="G1764" s="94">
        <v>5</v>
      </c>
      <c r="H1764" s="94">
        <v>1</v>
      </c>
      <c r="I1764" s="94">
        <v>4</v>
      </c>
    </row>
    <row r="1765" spans="1:9" hidden="1" x14ac:dyDescent="0.35">
      <c r="A1765" s="38" t="s">
        <v>779</v>
      </c>
      <c r="B1765" s="38" t="s">
        <v>749</v>
      </c>
      <c r="C1765" s="38" t="s">
        <v>707</v>
      </c>
      <c r="D1765" s="38" t="s">
        <v>708</v>
      </c>
      <c r="E1765" s="94">
        <v>20</v>
      </c>
      <c r="F1765" s="94">
        <v>5.83</v>
      </c>
      <c r="G1765" s="94">
        <v>15</v>
      </c>
      <c r="H1765" s="94">
        <v>8</v>
      </c>
      <c r="I1765" s="94">
        <v>15</v>
      </c>
    </row>
    <row r="1766" spans="1:9" hidden="1" x14ac:dyDescent="0.35">
      <c r="A1766" s="38" t="s">
        <v>779</v>
      </c>
      <c r="B1766" s="38" t="s">
        <v>750</v>
      </c>
      <c r="C1766" s="38" t="s">
        <v>686</v>
      </c>
      <c r="D1766" s="38" t="s">
        <v>746</v>
      </c>
      <c r="E1766" s="94">
        <v>6</v>
      </c>
      <c r="F1766" s="94">
        <v>7.46</v>
      </c>
      <c r="G1766" s="94">
        <v>9</v>
      </c>
      <c r="H1766" s="94">
        <v>4</v>
      </c>
      <c r="I1766" s="94">
        <v>10</v>
      </c>
    </row>
    <row r="1767" spans="1:9" hidden="1" x14ac:dyDescent="0.35">
      <c r="A1767" s="38" t="s">
        <v>779</v>
      </c>
      <c r="B1767" s="38" t="s">
        <v>750</v>
      </c>
      <c r="C1767" s="38" t="s">
        <v>691</v>
      </c>
      <c r="D1767" s="38" t="s">
        <v>746</v>
      </c>
      <c r="E1767" s="94">
        <v>20</v>
      </c>
      <c r="F1767" s="94">
        <v>14.32</v>
      </c>
      <c r="G1767" s="94">
        <v>20</v>
      </c>
      <c r="H1767" s="94">
        <v>12</v>
      </c>
      <c r="I1767" s="94">
        <v>10</v>
      </c>
    </row>
    <row r="1768" spans="1:9" hidden="1" x14ac:dyDescent="0.35">
      <c r="A1768" s="38" t="s">
        <v>779</v>
      </c>
      <c r="B1768" s="38" t="s">
        <v>750</v>
      </c>
      <c r="C1768" s="38" t="s">
        <v>696</v>
      </c>
      <c r="D1768" s="94" t="s">
        <v>697</v>
      </c>
      <c r="E1768" s="94">
        <v>5.7</v>
      </c>
      <c r="F1768" s="94">
        <v>19.61</v>
      </c>
      <c r="G1768" s="94">
        <v>9</v>
      </c>
      <c r="H1768" s="94">
        <v>10</v>
      </c>
      <c r="I1768" s="94">
        <v>4</v>
      </c>
    </row>
    <row r="1769" spans="1:9" hidden="1" x14ac:dyDescent="0.35">
      <c r="A1769" s="38" t="s">
        <v>779</v>
      </c>
      <c r="B1769" s="38" t="s">
        <v>750</v>
      </c>
      <c r="C1769" s="38" t="s">
        <v>698</v>
      </c>
      <c r="D1769" s="38" t="s">
        <v>747</v>
      </c>
      <c r="E1769" s="94">
        <v>5</v>
      </c>
      <c r="F1769" s="94">
        <v>1.32</v>
      </c>
      <c r="G1769" s="94">
        <v>5</v>
      </c>
      <c r="H1769" s="94">
        <v>5</v>
      </c>
      <c r="I1769" s="94">
        <v>6</v>
      </c>
    </row>
    <row r="1770" spans="1:9" hidden="1" x14ac:dyDescent="0.35">
      <c r="A1770" s="38" t="s">
        <v>779</v>
      </c>
      <c r="B1770" s="38" t="s">
        <v>750</v>
      </c>
      <c r="C1770" s="38" t="s">
        <v>698</v>
      </c>
      <c r="D1770" s="38" t="s">
        <v>700</v>
      </c>
      <c r="E1770" s="94">
        <v>10</v>
      </c>
      <c r="F1770" s="94">
        <v>1.04</v>
      </c>
      <c r="G1770" s="94">
        <v>5</v>
      </c>
      <c r="H1770" s="94">
        <v>5</v>
      </c>
      <c r="I1770" s="94">
        <v>6</v>
      </c>
    </row>
    <row r="1771" spans="1:9" hidden="1" x14ac:dyDescent="0.35">
      <c r="A1771" s="38" t="s">
        <v>779</v>
      </c>
      <c r="B1771" s="38" t="s">
        <v>750</v>
      </c>
      <c r="C1771" s="38" t="s">
        <v>698</v>
      </c>
      <c r="D1771" s="38" t="s">
        <v>521</v>
      </c>
      <c r="E1771" s="94">
        <v>6</v>
      </c>
      <c r="F1771" s="94">
        <v>0.41</v>
      </c>
      <c r="G1771" s="94">
        <v>5</v>
      </c>
      <c r="H1771" s="94">
        <v>5</v>
      </c>
      <c r="I1771" s="94">
        <v>6</v>
      </c>
    </row>
    <row r="1772" spans="1:9" hidden="1" x14ac:dyDescent="0.35">
      <c r="A1772" s="38" t="s">
        <v>779</v>
      </c>
      <c r="B1772" s="38" t="s">
        <v>750</v>
      </c>
      <c r="C1772" s="38" t="s">
        <v>698</v>
      </c>
      <c r="D1772" s="38" t="s">
        <v>252</v>
      </c>
      <c r="E1772" s="94">
        <v>6</v>
      </c>
      <c r="F1772" s="94">
        <v>1.5</v>
      </c>
      <c r="G1772" s="94">
        <v>5</v>
      </c>
      <c r="H1772" s="94">
        <v>5</v>
      </c>
      <c r="I1772" s="94">
        <v>6</v>
      </c>
    </row>
    <row r="1773" spans="1:9" hidden="1" x14ac:dyDescent="0.35">
      <c r="A1773" s="38" t="s">
        <v>779</v>
      </c>
      <c r="B1773" s="38" t="s">
        <v>750</v>
      </c>
      <c r="C1773" s="38" t="s">
        <v>701</v>
      </c>
      <c r="D1773" s="38" t="s">
        <v>702</v>
      </c>
      <c r="E1773" s="94">
        <v>6</v>
      </c>
      <c r="F1773" s="94">
        <v>6.21</v>
      </c>
      <c r="G1773" s="94">
        <v>0.5</v>
      </c>
      <c r="H1773" s="94">
        <v>4</v>
      </c>
      <c r="I1773" s="94">
        <v>4</v>
      </c>
    </row>
    <row r="1774" spans="1:9" hidden="1" x14ac:dyDescent="0.35">
      <c r="A1774" s="38" t="s">
        <v>779</v>
      </c>
      <c r="B1774" s="38" t="s">
        <v>750</v>
      </c>
      <c r="C1774" s="38" t="s">
        <v>701</v>
      </c>
      <c r="D1774" s="38" t="s">
        <v>703</v>
      </c>
      <c r="E1774" s="94">
        <v>3.5</v>
      </c>
      <c r="F1774" s="94">
        <v>3.74</v>
      </c>
      <c r="G1774" s="94">
        <v>2</v>
      </c>
      <c r="H1774" s="94">
        <v>8</v>
      </c>
      <c r="I1774" s="94">
        <v>4</v>
      </c>
    </row>
    <row r="1775" spans="1:9" hidden="1" x14ac:dyDescent="0.35">
      <c r="A1775" s="38" t="s">
        <v>779</v>
      </c>
      <c r="B1775" s="38" t="s">
        <v>750</v>
      </c>
      <c r="C1775" s="38" t="s">
        <v>704</v>
      </c>
      <c r="D1775" s="38" t="s">
        <v>746</v>
      </c>
      <c r="E1775" s="94">
        <v>6</v>
      </c>
      <c r="F1775" s="94">
        <v>1.49</v>
      </c>
      <c r="G1775" s="94">
        <v>8</v>
      </c>
      <c r="H1775" s="94">
        <v>2</v>
      </c>
      <c r="I1775" s="94">
        <v>2</v>
      </c>
    </row>
    <row r="1776" spans="1:9" hidden="1" x14ac:dyDescent="0.35">
      <c r="A1776" s="38" t="s">
        <v>779</v>
      </c>
      <c r="B1776" s="38" t="s">
        <v>750</v>
      </c>
      <c r="C1776" s="38" t="s">
        <v>707</v>
      </c>
      <c r="D1776" s="38" t="s">
        <v>708</v>
      </c>
      <c r="E1776" s="94">
        <v>14</v>
      </c>
      <c r="F1776" s="94">
        <v>10.39</v>
      </c>
      <c r="G1776" s="94">
        <v>12</v>
      </c>
      <c r="H1776" s="94">
        <v>3</v>
      </c>
      <c r="I1776" s="94">
        <v>4</v>
      </c>
    </row>
    <row r="1777" spans="1:9" hidden="1" x14ac:dyDescent="0.35">
      <c r="A1777" s="38" t="s">
        <v>779</v>
      </c>
      <c r="B1777" s="38" t="s">
        <v>751</v>
      </c>
      <c r="C1777" s="38" t="s">
        <v>686</v>
      </c>
      <c r="D1777" s="38" t="s">
        <v>746</v>
      </c>
      <c r="E1777" s="94">
        <v>6</v>
      </c>
      <c r="F1777" s="94">
        <v>7.23</v>
      </c>
      <c r="G1777" s="94">
        <v>9</v>
      </c>
      <c r="H1777" s="94">
        <v>4</v>
      </c>
      <c r="I1777" s="94">
        <v>12</v>
      </c>
    </row>
    <row r="1778" spans="1:9" hidden="1" x14ac:dyDescent="0.35">
      <c r="A1778" s="38" t="s">
        <v>779</v>
      </c>
      <c r="B1778" s="38" t="s">
        <v>751</v>
      </c>
      <c r="C1778" s="38" t="s">
        <v>691</v>
      </c>
      <c r="D1778" s="38" t="s">
        <v>746</v>
      </c>
      <c r="E1778" s="94">
        <v>11.33</v>
      </c>
      <c r="F1778" s="94">
        <v>11.3</v>
      </c>
      <c r="G1778" s="94">
        <v>20</v>
      </c>
      <c r="H1778" s="94">
        <v>15.15</v>
      </c>
      <c r="I1778" s="94">
        <v>13</v>
      </c>
    </row>
    <row r="1779" spans="1:9" hidden="1" x14ac:dyDescent="0.35">
      <c r="A1779" s="38" t="s">
        <v>779</v>
      </c>
      <c r="B1779" s="38" t="s">
        <v>751</v>
      </c>
      <c r="C1779" s="38" t="s">
        <v>696</v>
      </c>
      <c r="D1779" s="94" t="s">
        <v>697</v>
      </c>
      <c r="E1779" s="94">
        <v>6.6</v>
      </c>
      <c r="F1779" s="94">
        <v>22.46</v>
      </c>
      <c r="G1779" s="94">
        <v>9</v>
      </c>
      <c r="H1779" s="94">
        <v>10</v>
      </c>
      <c r="I1779" s="94">
        <v>4</v>
      </c>
    </row>
    <row r="1780" spans="1:9" hidden="1" x14ac:dyDescent="0.35">
      <c r="A1780" s="38" t="s">
        <v>779</v>
      </c>
      <c r="B1780" s="38" t="s">
        <v>751</v>
      </c>
      <c r="C1780" s="38" t="s">
        <v>698</v>
      </c>
      <c r="D1780" s="38" t="s">
        <v>747</v>
      </c>
      <c r="E1780" s="94">
        <v>10</v>
      </c>
      <c r="F1780" s="94">
        <v>0.2</v>
      </c>
      <c r="G1780" s="94">
        <v>5</v>
      </c>
      <c r="H1780" s="94">
        <v>5</v>
      </c>
      <c r="I1780" s="94">
        <v>8</v>
      </c>
    </row>
    <row r="1781" spans="1:9" hidden="1" x14ac:dyDescent="0.35">
      <c r="A1781" s="38" t="s">
        <v>779</v>
      </c>
      <c r="B1781" s="38" t="s">
        <v>751</v>
      </c>
      <c r="C1781" s="38" t="s">
        <v>698</v>
      </c>
      <c r="D1781" s="38" t="s">
        <v>700</v>
      </c>
      <c r="E1781" s="94">
        <v>15</v>
      </c>
      <c r="F1781" s="94">
        <v>0.2</v>
      </c>
      <c r="G1781" s="94">
        <v>5</v>
      </c>
      <c r="H1781" s="94">
        <v>5</v>
      </c>
      <c r="I1781" s="94">
        <v>8</v>
      </c>
    </row>
    <row r="1782" spans="1:9" hidden="1" x14ac:dyDescent="0.35">
      <c r="A1782" s="38" t="s">
        <v>779</v>
      </c>
      <c r="B1782" s="38" t="s">
        <v>751</v>
      </c>
      <c r="C1782" s="38" t="s">
        <v>698</v>
      </c>
      <c r="D1782" s="38" t="s">
        <v>521</v>
      </c>
      <c r="E1782" s="94">
        <v>8</v>
      </c>
      <c r="F1782" s="94">
        <v>0.23</v>
      </c>
      <c r="G1782" s="94">
        <v>5</v>
      </c>
      <c r="H1782" s="94">
        <v>5</v>
      </c>
      <c r="I1782" s="94">
        <v>8</v>
      </c>
    </row>
    <row r="1783" spans="1:9" hidden="1" x14ac:dyDescent="0.35">
      <c r="A1783" s="38" t="s">
        <v>779</v>
      </c>
      <c r="B1783" s="38" t="s">
        <v>751</v>
      </c>
      <c r="C1783" s="38" t="s">
        <v>698</v>
      </c>
      <c r="D1783" s="38" t="s">
        <v>252</v>
      </c>
      <c r="E1783" s="94">
        <v>8</v>
      </c>
      <c r="F1783" s="94">
        <v>0.9</v>
      </c>
      <c r="G1783" s="94">
        <v>5</v>
      </c>
      <c r="H1783" s="94">
        <v>5</v>
      </c>
      <c r="I1783" s="94">
        <v>8</v>
      </c>
    </row>
    <row r="1784" spans="1:9" hidden="1" x14ac:dyDescent="0.35">
      <c r="A1784" s="38" t="s">
        <v>779</v>
      </c>
      <c r="B1784" s="38" t="s">
        <v>751</v>
      </c>
      <c r="C1784" s="38" t="s">
        <v>701</v>
      </c>
      <c r="D1784" s="38" t="s">
        <v>702</v>
      </c>
      <c r="E1784" s="94">
        <v>6</v>
      </c>
      <c r="F1784" s="94">
        <v>4.8899999999999997</v>
      </c>
      <c r="G1784" s="94">
        <v>4.5</v>
      </c>
      <c r="H1784" s="94">
        <v>4</v>
      </c>
      <c r="I1784" s="94">
        <v>12</v>
      </c>
    </row>
    <row r="1785" spans="1:9" hidden="1" x14ac:dyDescent="0.35">
      <c r="A1785" s="38" t="s">
        <v>779</v>
      </c>
      <c r="B1785" s="38" t="s">
        <v>751</v>
      </c>
      <c r="C1785" s="38" t="s">
        <v>701</v>
      </c>
      <c r="D1785" s="38" t="s">
        <v>703</v>
      </c>
      <c r="E1785" s="94">
        <v>3.5</v>
      </c>
      <c r="F1785" s="94">
        <v>3.32</v>
      </c>
      <c r="G1785" s="94">
        <v>2</v>
      </c>
      <c r="H1785" s="94">
        <v>8</v>
      </c>
      <c r="I1785" s="94">
        <v>2</v>
      </c>
    </row>
    <row r="1786" spans="1:9" hidden="1" x14ac:dyDescent="0.35">
      <c r="A1786" s="38" t="s">
        <v>779</v>
      </c>
      <c r="B1786" s="38" t="s">
        <v>751</v>
      </c>
      <c r="C1786" s="38" t="s">
        <v>704</v>
      </c>
      <c r="D1786" s="38" t="s">
        <v>746</v>
      </c>
      <c r="E1786" s="94">
        <v>15</v>
      </c>
      <c r="F1786" s="94">
        <v>2.8</v>
      </c>
      <c r="G1786" s="94">
        <v>8</v>
      </c>
      <c r="H1786" s="94">
        <v>2</v>
      </c>
      <c r="I1786" s="94">
        <v>2</v>
      </c>
    </row>
    <row r="1787" spans="1:9" hidden="1" x14ac:dyDescent="0.35">
      <c r="A1787" s="38" t="s">
        <v>779</v>
      </c>
      <c r="B1787" s="38" t="s">
        <v>751</v>
      </c>
      <c r="C1787" s="38" t="s">
        <v>707</v>
      </c>
      <c r="D1787" s="38" t="s">
        <v>708</v>
      </c>
      <c r="E1787" s="94">
        <v>11.9</v>
      </c>
      <c r="F1787" s="94">
        <v>9.26</v>
      </c>
      <c r="G1787" s="94">
        <v>12</v>
      </c>
      <c r="H1787" s="94">
        <v>5.7</v>
      </c>
      <c r="I1787" s="94">
        <v>6</v>
      </c>
    </row>
    <row r="1788" spans="1:9" hidden="1" x14ac:dyDescent="0.35">
      <c r="A1788" s="38" t="s">
        <v>779</v>
      </c>
      <c r="B1788" s="38" t="s">
        <v>752</v>
      </c>
      <c r="C1788" s="38" t="s">
        <v>686</v>
      </c>
      <c r="D1788" s="38" t="s">
        <v>746</v>
      </c>
      <c r="E1788" s="94">
        <v>7.21</v>
      </c>
      <c r="F1788" s="94">
        <v>8.75</v>
      </c>
      <c r="G1788" s="94">
        <v>15.25</v>
      </c>
      <c r="H1788" s="94">
        <v>2</v>
      </c>
      <c r="I1788" s="94">
        <v>1</v>
      </c>
    </row>
    <row r="1789" spans="1:9" hidden="1" x14ac:dyDescent="0.35">
      <c r="A1789" s="38" t="s">
        <v>779</v>
      </c>
      <c r="B1789" s="38" t="s">
        <v>752</v>
      </c>
      <c r="C1789" s="38" t="s">
        <v>691</v>
      </c>
      <c r="D1789" s="38" t="s">
        <v>746</v>
      </c>
      <c r="E1789" s="94">
        <v>13.47</v>
      </c>
      <c r="F1789" s="94">
        <v>17.71</v>
      </c>
      <c r="G1789" s="94">
        <v>25</v>
      </c>
      <c r="H1789" s="94">
        <v>34.130000000000003</v>
      </c>
      <c r="I1789" s="94">
        <v>5</v>
      </c>
    </row>
    <row r="1790" spans="1:9" hidden="1" x14ac:dyDescent="0.35">
      <c r="A1790" s="38" t="s">
        <v>779</v>
      </c>
      <c r="B1790" s="38" t="s">
        <v>752</v>
      </c>
      <c r="C1790" s="38" t="s">
        <v>696</v>
      </c>
      <c r="D1790" s="94" t="s">
        <v>697</v>
      </c>
      <c r="E1790" s="94">
        <v>5.7</v>
      </c>
      <c r="F1790" s="94">
        <v>21.94</v>
      </c>
      <c r="G1790" s="94">
        <v>9</v>
      </c>
      <c r="H1790" s="94">
        <v>15</v>
      </c>
      <c r="I1790" s="94">
        <v>2</v>
      </c>
    </row>
    <row r="1791" spans="1:9" hidden="1" x14ac:dyDescent="0.35">
      <c r="A1791" s="38" t="s">
        <v>779</v>
      </c>
      <c r="B1791" s="38" t="s">
        <v>752</v>
      </c>
      <c r="C1791" s="38" t="s">
        <v>698</v>
      </c>
      <c r="D1791" s="38" t="s">
        <v>747</v>
      </c>
      <c r="E1791" s="94">
        <v>10</v>
      </c>
      <c r="F1791" s="94">
        <v>0.93</v>
      </c>
      <c r="G1791" s="94">
        <v>5</v>
      </c>
      <c r="H1791" s="94">
        <v>7</v>
      </c>
      <c r="I1791" s="94">
        <v>2</v>
      </c>
    </row>
    <row r="1792" spans="1:9" hidden="1" x14ac:dyDescent="0.35">
      <c r="A1792" s="38" t="s">
        <v>779</v>
      </c>
      <c r="B1792" s="38" t="s">
        <v>752</v>
      </c>
      <c r="C1792" s="38" t="s">
        <v>698</v>
      </c>
      <c r="D1792" s="38" t="s">
        <v>700</v>
      </c>
      <c r="E1792" s="94">
        <v>33</v>
      </c>
      <c r="F1792" s="94">
        <v>0.2</v>
      </c>
      <c r="G1792" s="94">
        <v>5</v>
      </c>
      <c r="H1792" s="94">
        <v>7</v>
      </c>
      <c r="I1792" s="94">
        <v>2</v>
      </c>
    </row>
    <row r="1793" spans="1:9" hidden="1" x14ac:dyDescent="0.35">
      <c r="A1793" s="38" t="s">
        <v>779</v>
      </c>
      <c r="B1793" s="38" t="s">
        <v>752</v>
      </c>
      <c r="C1793" s="38" t="s">
        <v>698</v>
      </c>
      <c r="D1793" s="38" t="s">
        <v>521</v>
      </c>
      <c r="E1793" s="94">
        <v>10</v>
      </c>
      <c r="F1793" s="94">
        <v>0.23</v>
      </c>
      <c r="G1793" s="94">
        <v>5</v>
      </c>
      <c r="H1793" s="94">
        <v>7</v>
      </c>
      <c r="I1793" s="94">
        <v>2</v>
      </c>
    </row>
    <row r="1794" spans="1:9" hidden="1" x14ac:dyDescent="0.35">
      <c r="A1794" s="38" t="s">
        <v>779</v>
      </c>
      <c r="B1794" s="38" t="s">
        <v>752</v>
      </c>
      <c r="C1794" s="38" t="s">
        <v>698</v>
      </c>
      <c r="D1794" s="38" t="s">
        <v>252</v>
      </c>
      <c r="E1794" s="94">
        <v>25</v>
      </c>
      <c r="F1794" s="94">
        <v>0.9</v>
      </c>
      <c r="G1794" s="94">
        <v>5</v>
      </c>
      <c r="H1794" s="94">
        <v>7</v>
      </c>
      <c r="I1794" s="94">
        <v>2</v>
      </c>
    </row>
    <row r="1795" spans="1:9" hidden="1" x14ac:dyDescent="0.35">
      <c r="A1795" s="38" t="s">
        <v>779</v>
      </c>
      <c r="B1795" s="38" t="s">
        <v>752</v>
      </c>
      <c r="C1795" s="38" t="s">
        <v>701</v>
      </c>
      <c r="D1795" s="38" t="s">
        <v>702</v>
      </c>
      <c r="E1795" s="94">
        <v>8</v>
      </c>
      <c r="F1795" s="94">
        <v>8.01</v>
      </c>
      <c r="G1795" s="94">
        <v>0.1</v>
      </c>
      <c r="H1795" s="94">
        <v>3</v>
      </c>
      <c r="I1795" s="94">
        <v>1</v>
      </c>
    </row>
    <row r="1796" spans="1:9" hidden="1" x14ac:dyDescent="0.35">
      <c r="A1796" s="38" t="s">
        <v>779</v>
      </c>
      <c r="B1796" s="38" t="s">
        <v>752</v>
      </c>
      <c r="C1796" s="38" t="s">
        <v>701</v>
      </c>
      <c r="D1796" s="38" t="s">
        <v>703</v>
      </c>
      <c r="E1796" s="94">
        <v>6</v>
      </c>
      <c r="F1796" s="94">
        <v>8.1999999999999993</v>
      </c>
      <c r="G1796" s="94">
        <v>2</v>
      </c>
      <c r="H1796" s="94">
        <v>10</v>
      </c>
      <c r="I1796" s="94">
        <v>0.1</v>
      </c>
    </row>
    <row r="1797" spans="1:9" hidden="1" x14ac:dyDescent="0.35">
      <c r="A1797" s="38" t="s">
        <v>779</v>
      </c>
      <c r="B1797" s="38" t="s">
        <v>752</v>
      </c>
      <c r="C1797" s="38" t="s">
        <v>704</v>
      </c>
      <c r="D1797" s="38" t="s">
        <v>746</v>
      </c>
      <c r="E1797" s="94">
        <v>12</v>
      </c>
      <c r="F1797" s="94">
        <v>8.18</v>
      </c>
      <c r="G1797" s="94">
        <v>8</v>
      </c>
      <c r="H1797" s="94">
        <v>2</v>
      </c>
      <c r="I1797" s="94">
        <v>1</v>
      </c>
    </row>
    <row r="1798" spans="1:9" hidden="1" x14ac:dyDescent="0.35">
      <c r="A1798" s="38" t="s">
        <v>779</v>
      </c>
      <c r="B1798" s="38" t="s">
        <v>752</v>
      </c>
      <c r="C1798" s="38" t="s">
        <v>707</v>
      </c>
      <c r="D1798" s="38" t="s">
        <v>708</v>
      </c>
      <c r="E1798" s="94">
        <v>14</v>
      </c>
      <c r="F1798" s="94">
        <v>16.940000000000001</v>
      </c>
      <c r="G1798" s="94">
        <v>15</v>
      </c>
      <c r="H1798" s="94">
        <v>5</v>
      </c>
      <c r="I1798" s="94">
        <v>2</v>
      </c>
    </row>
    <row r="1799" spans="1:9" hidden="1" x14ac:dyDescent="0.35">
      <c r="A1799" s="38" t="s">
        <v>779</v>
      </c>
      <c r="B1799" s="38" t="s">
        <v>753</v>
      </c>
      <c r="C1799" s="38" t="s">
        <v>686</v>
      </c>
      <c r="D1799" s="38" t="s">
        <v>746</v>
      </c>
      <c r="E1799" s="94">
        <f t="shared" ref="E1799:I1809" si="50">E68*0.5</f>
        <v>3</v>
      </c>
      <c r="F1799" s="94">
        <f t="shared" si="50"/>
        <v>3.2949999999999999</v>
      </c>
      <c r="G1799" s="94">
        <f t="shared" si="50"/>
        <v>3.5</v>
      </c>
      <c r="H1799" s="94">
        <f t="shared" si="50"/>
        <v>1.49</v>
      </c>
      <c r="I1799" s="94">
        <f t="shared" si="50"/>
        <v>1.5</v>
      </c>
    </row>
    <row r="1800" spans="1:9" hidden="1" x14ac:dyDescent="0.35">
      <c r="A1800" s="38" t="s">
        <v>779</v>
      </c>
      <c r="B1800" s="38" t="s">
        <v>753</v>
      </c>
      <c r="C1800" s="38" t="s">
        <v>691</v>
      </c>
      <c r="D1800" s="38" t="s">
        <v>746</v>
      </c>
      <c r="E1800" s="94">
        <f t="shared" si="50"/>
        <v>4.3550000000000004</v>
      </c>
      <c r="F1800" s="94">
        <f t="shared" si="50"/>
        <v>4.9349999999999996</v>
      </c>
      <c r="G1800" s="94">
        <f t="shared" si="50"/>
        <v>12.5</v>
      </c>
      <c r="H1800" s="94">
        <f t="shared" si="50"/>
        <v>6.48</v>
      </c>
      <c r="I1800" s="94">
        <f t="shared" si="50"/>
        <v>9.08</v>
      </c>
    </row>
    <row r="1801" spans="1:9" hidden="1" x14ac:dyDescent="0.35">
      <c r="A1801" s="38" t="s">
        <v>779</v>
      </c>
      <c r="B1801" s="38" t="s">
        <v>753</v>
      </c>
      <c r="C1801" s="38" t="s">
        <v>696</v>
      </c>
      <c r="D1801" s="94" t="s">
        <v>697</v>
      </c>
      <c r="E1801" s="94">
        <f t="shared" si="50"/>
        <v>4.0999999999999996</v>
      </c>
      <c r="F1801" s="94">
        <f t="shared" si="50"/>
        <v>12.734999999999999</v>
      </c>
      <c r="G1801" s="94">
        <f t="shared" si="50"/>
        <v>4.5</v>
      </c>
      <c r="H1801" s="94">
        <f t="shared" si="50"/>
        <v>6.165</v>
      </c>
      <c r="I1801" s="94">
        <f t="shared" si="50"/>
        <v>1</v>
      </c>
    </row>
    <row r="1802" spans="1:9" hidden="1" x14ac:dyDescent="0.35">
      <c r="A1802" s="38" t="s">
        <v>779</v>
      </c>
      <c r="B1802" s="38" t="s">
        <v>753</v>
      </c>
      <c r="C1802" s="38" t="s">
        <v>698</v>
      </c>
      <c r="D1802" s="38" t="s">
        <v>747</v>
      </c>
      <c r="E1802" s="94">
        <f t="shared" si="50"/>
        <v>5</v>
      </c>
      <c r="F1802" s="94">
        <f t="shared" si="50"/>
        <v>0.105</v>
      </c>
      <c r="G1802" s="94">
        <f t="shared" si="50"/>
        <v>2.5</v>
      </c>
      <c r="H1802" s="94">
        <f t="shared" si="50"/>
        <v>3.5</v>
      </c>
      <c r="I1802" s="94">
        <f t="shared" si="50"/>
        <v>2</v>
      </c>
    </row>
    <row r="1803" spans="1:9" hidden="1" x14ac:dyDescent="0.35">
      <c r="A1803" s="38" t="s">
        <v>779</v>
      </c>
      <c r="B1803" s="38" t="s">
        <v>753</v>
      </c>
      <c r="C1803" s="38" t="s">
        <v>698</v>
      </c>
      <c r="D1803" s="38" t="s">
        <v>700</v>
      </c>
      <c r="E1803" s="94">
        <f t="shared" si="50"/>
        <v>5</v>
      </c>
      <c r="F1803" s="94">
        <f t="shared" si="50"/>
        <v>0.1</v>
      </c>
      <c r="G1803" s="94">
        <f t="shared" si="50"/>
        <v>2.5</v>
      </c>
      <c r="H1803" s="94">
        <f t="shared" si="50"/>
        <v>3.5</v>
      </c>
      <c r="I1803" s="94">
        <f t="shared" si="50"/>
        <v>2</v>
      </c>
    </row>
    <row r="1804" spans="1:9" hidden="1" x14ac:dyDescent="0.35">
      <c r="A1804" s="38" t="s">
        <v>779</v>
      </c>
      <c r="B1804" s="38" t="s">
        <v>753</v>
      </c>
      <c r="C1804" s="38" t="s">
        <v>698</v>
      </c>
      <c r="D1804" s="38" t="s">
        <v>521</v>
      </c>
      <c r="E1804" s="94">
        <f t="shared" si="50"/>
        <v>3</v>
      </c>
      <c r="F1804" s="94">
        <f t="shared" si="50"/>
        <v>0.23499999999999999</v>
      </c>
      <c r="G1804" s="94">
        <f t="shared" si="50"/>
        <v>2.5</v>
      </c>
      <c r="H1804" s="94">
        <f t="shared" si="50"/>
        <v>3.5</v>
      </c>
      <c r="I1804" s="94">
        <f t="shared" si="50"/>
        <v>2</v>
      </c>
    </row>
    <row r="1805" spans="1:9" hidden="1" x14ac:dyDescent="0.35">
      <c r="A1805" s="38" t="s">
        <v>779</v>
      </c>
      <c r="B1805" s="38" t="s">
        <v>753</v>
      </c>
      <c r="C1805" s="38" t="s">
        <v>698</v>
      </c>
      <c r="D1805" s="38" t="s">
        <v>252</v>
      </c>
      <c r="E1805" s="94">
        <f t="shared" si="50"/>
        <v>4</v>
      </c>
      <c r="F1805" s="94">
        <f t="shared" si="50"/>
        <v>0.48499999999999999</v>
      </c>
      <c r="G1805" s="94">
        <f t="shared" si="50"/>
        <v>2.5</v>
      </c>
      <c r="H1805" s="94">
        <f t="shared" si="50"/>
        <v>3.5</v>
      </c>
      <c r="I1805" s="94">
        <f t="shared" si="50"/>
        <v>2</v>
      </c>
    </row>
    <row r="1806" spans="1:9" hidden="1" x14ac:dyDescent="0.35">
      <c r="A1806" s="38" t="s">
        <v>779</v>
      </c>
      <c r="B1806" s="38" t="s">
        <v>753</v>
      </c>
      <c r="C1806" s="38" t="s">
        <v>701</v>
      </c>
      <c r="D1806" s="38" t="s">
        <v>702</v>
      </c>
      <c r="E1806" s="94">
        <f t="shared" si="50"/>
        <v>4</v>
      </c>
      <c r="F1806" s="94">
        <f t="shared" si="50"/>
        <v>3.6150000000000002</v>
      </c>
      <c r="G1806" s="94">
        <f t="shared" si="50"/>
        <v>0.05</v>
      </c>
      <c r="H1806" s="94">
        <f t="shared" si="50"/>
        <v>1.5</v>
      </c>
      <c r="I1806" s="94">
        <f t="shared" si="50"/>
        <v>1</v>
      </c>
    </row>
    <row r="1807" spans="1:9" hidden="1" x14ac:dyDescent="0.35">
      <c r="A1807" s="38" t="s">
        <v>779</v>
      </c>
      <c r="B1807" s="38" t="s">
        <v>753</v>
      </c>
      <c r="C1807" s="38" t="s">
        <v>701</v>
      </c>
      <c r="D1807" s="38" t="s">
        <v>703</v>
      </c>
      <c r="E1807" s="94">
        <f t="shared" si="50"/>
        <v>1.75</v>
      </c>
      <c r="F1807" s="94">
        <f t="shared" si="50"/>
        <v>2.34</v>
      </c>
      <c r="G1807" s="94">
        <f t="shared" si="50"/>
        <v>1</v>
      </c>
      <c r="H1807" s="94">
        <f t="shared" si="50"/>
        <v>5</v>
      </c>
      <c r="I1807" s="94">
        <f t="shared" si="50"/>
        <v>0.5</v>
      </c>
    </row>
    <row r="1808" spans="1:9" hidden="1" x14ac:dyDescent="0.35">
      <c r="A1808" s="38" t="s">
        <v>779</v>
      </c>
      <c r="B1808" s="38" t="s">
        <v>753</v>
      </c>
      <c r="C1808" s="38" t="s">
        <v>704</v>
      </c>
      <c r="D1808" s="38" t="s">
        <v>746</v>
      </c>
      <c r="E1808" s="94">
        <f t="shared" si="50"/>
        <v>3.5</v>
      </c>
      <c r="F1808" s="94">
        <f t="shared" si="50"/>
        <v>1.7</v>
      </c>
      <c r="G1808" s="94">
        <f t="shared" si="50"/>
        <v>4</v>
      </c>
      <c r="H1808" s="94">
        <f t="shared" si="50"/>
        <v>1</v>
      </c>
      <c r="I1808" s="94">
        <f t="shared" si="50"/>
        <v>0.5</v>
      </c>
    </row>
    <row r="1809" spans="1:9" hidden="1" x14ac:dyDescent="0.35">
      <c r="A1809" s="38" t="s">
        <v>779</v>
      </c>
      <c r="B1809" s="38" t="s">
        <v>753</v>
      </c>
      <c r="C1809" s="38" t="s">
        <v>707</v>
      </c>
      <c r="D1809" s="38" t="s">
        <v>708</v>
      </c>
      <c r="E1809" s="94">
        <f t="shared" si="50"/>
        <v>4.0750000000000002</v>
      </c>
      <c r="F1809" s="94">
        <f t="shared" si="50"/>
        <v>6.0549999999999997</v>
      </c>
      <c r="G1809" s="94">
        <f t="shared" si="50"/>
        <v>5</v>
      </c>
      <c r="H1809" s="94">
        <f t="shared" si="50"/>
        <v>5.39</v>
      </c>
      <c r="I1809" s="94">
        <f t="shared" si="50"/>
        <v>1.94</v>
      </c>
    </row>
    <row r="1810" spans="1:9" hidden="1" x14ac:dyDescent="0.35">
      <c r="A1810" s="38" t="s">
        <v>780</v>
      </c>
      <c r="B1810" s="38" t="s">
        <v>745</v>
      </c>
      <c r="C1810" s="38" t="s">
        <v>686</v>
      </c>
      <c r="D1810" s="38" t="s">
        <v>746</v>
      </c>
      <c r="E1810" s="94">
        <v>4.3</v>
      </c>
      <c r="F1810" s="94">
        <v>3.8</v>
      </c>
      <c r="G1810" s="94">
        <v>10.5</v>
      </c>
      <c r="H1810" s="94">
        <v>3</v>
      </c>
      <c r="I1810" s="94">
        <v>27</v>
      </c>
    </row>
    <row r="1811" spans="1:9" hidden="1" x14ac:dyDescent="0.35">
      <c r="A1811" s="38" t="s">
        <v>780</v>
      </c>
      <c r="B1811" s="38" t="s">
        <v>745</v>
      </c>
      <c r="C1811" s="38" t="s">
        <v>691</v>
      </c>
      <c r="D1811" s="38" t="s">
        <v>746</v>
      </c>
      <c r="E1811" s="94">
        <v>20</v>
      </c>
      <c r="F1811" s="94">
        <v>7.3</v>
      </c>
      <c r="G1811" s="94">
        <v>2</v>
      </c>
      <c r="H1811" s="94">
        <v>4.9000000000000004</v>
      </c>
      <c r="I1811" s="94">
        <v>19</v>
      </c>
    </row>
    <row r="1812" spans="1:9" hidden="1" x14ac:dyDescent="0.35">
      <c r="A1812" s="38" t="s">
        <v>780</v>
      </c>
      <c r="B1812" s="38" t="s">
        <v>745</v>
      </c>
      <c r="C1812" s="38" t="s">
        <v>696</v>
      </c>
      <c r="D1812" s="94" t="s">
        <v>697</v>
      </c>
      <c r="E1812" s="94">
        <v>9.4</v>
      </c>
      <c r="F1812" s="94">
        <v>7.9</v>
      </c>
      <c r="G1812" s="94">
        <v>6</v>
      </c>
      <c r="H1812" s="94">
        <v>9</v>
      </c>
      <c r="I1812" s="94">
        <v>11</v>
      </c>
    </row>
    <row r="1813" spans="1:9" hidden="1" x14ac:dyDescent="0.35">
      <c r="A1813" s="38" t="s">
        <v>780</v>
      </c>
      <c r="B1813" s="38" t="s">
        <v>745</v>
      </c>
      <c r="C1813" s="38" t="s">
        <v>698</v>
      </c>
      <c r="D1813" s="38" t="s">
        <v>747</v>
      </c>
      <c r="E1813" s="94">
        <v>2.2999999999999998</v>
      </c>
      <c r="F1813" s="94">
        <v>0.6</v>
      </c>
      <c r="G1813" s="94">
        <v>5</v>
      </c>
      <c r="H1813" s="94">
        <v>4</v>
      </c>
      <c r="I1813" s="94">
        <v>11</v>
      </c>
    </row>
    <row r="1814" spans="1:9" hidden="1" x14ac:dyDescent="0.35">
      <c r="A1814" s="38" t="s">
        <v>780</v>
      </c>
      <c r="B1814" s="38" t="s">
        <v>745</v>
      </c>
      <c r="C1814" s="38" t="s">
        <v>698</v>
      </c>
      <c r="D1814" s="38" t="s">
        <v>700</v>
      </c>
      <c r="E1814" s="94">
        <v>10</v>
      </c>
      <c r="F1814" s="94">
        <v>0.6</v>
      </c>
      <c r="G1814" s="94">
        <v>5</v>
      </c>
      <c r="H1814" s="94">
        <v>4</v>
      </c>
      <c r="I1814" s="94">
        <v>11</v>
      </c>
    </row>
    <row r="1815" spans="1:9" hidden="1" x14ac:dyDescent="0.35">
      <c r="A1815" s="38" t="s">
        <v>780</v>
      </c>
      <c r="B1815" s="38" t="s">
        <v>745</v>
      </c>
      <c r="C1815" s="38" t="s">
        <v>698</v>
      </c>
      <c r="D1815" s="38" t="s">
        <v>521</v>
      </c>
      <c r="E1815" s="94">
        <v>2.5</v>
      </c>
      <c r="F1815" s="94">
        <v>0.3</v>
      </c>
      <c r="G1815" s="94">
        <v>5</v>
      </c>
      <c r="H1815" s="94">
        <v>4</v>
      </c>
      <c r="I1815" s="94">
        <v>11</v>
      </c>
    </row>
    <row r="1816" spans="1:9" hidden="1" x14ac:dyDescent="0.35">
      <c r="A1816" s="38" t="s">
        <v>780</v>
      </c>
      <c r="B1816" s="38" t="s">
        <v>745</v>
      </c>
      <c r="C1816" s="38" t="s">
        <v>698</v>
      </c>
      <c r="D1816" s="38" t="s">
        <v>252</v>
      </c>
      <c r="E1816" s="94">
        <v>7</v>
      </c>
      <c r="F1816" s="94">
        <v>0.9</v>
      </c>
      <c r="G1816" s="94">
        <v>5</v>
      </c>
      <c r="H1816" s="94">
        <v>4</v>
      </c>
      <c r="I1816" s="94">
        <v>11</v>
      </c>
    </row>
    <row r="1817" spans="1:9" hidden="1" x14ac:dyDescent="0.35">
      <c r="A1817" s="38" t="s">
        <v>780</v>
      </c>
      <c r="B1817" s="38" t="s">
        <v>745</v>
      </c>
      <c r="C1817" s="38" t="s">
        <v>701</v>
      </c>
      <c r="D1817" s="38" t="s">
        <v>702</v>
      </c>
      <c r="E1817" s="94">
        <v>4</v>
      </c>
      <c r="F1817" s="94">
        <v>1.9</v>
      </c>
      <c r="G1817" s="94">
        <v>0.5</v>
      </c>
      <c r="H1817" s="94">
        <v>2</v>
      </c>
      <c r="I1817" s="94">
        <v>8</v>
      </c>
    </row>
    <row r="1818" spans="1:9" hidden="1" x14ac:dyDescent="0.35">
      <c r="A1818" s="38" t="s">
        <v>780</v>
      </c>
      <c r="B1818" s="38" t="s">
        <v>745</v>
      </c>
      <c r="C1818" s="38" t="s">
        <v>701</v>
      </c>
      <c r="D1818" s="38" t="s">
        <v>703</v>
      </c>
      <c r="E1818" s="94">
        <v>3.5</v>
      </c>
      <c r="F1818" s="94">
        <v>1.7</v>
      </c>
      <c r="G1818" s="94">
        <v>1.2</v>
      </c>
      <c r="H1818" s="94">
        <v>0.82</v>
      </c>
      <c r="I1818" s="94">
        <v>7</v>
      </c>
    </row>
    <row r="1819" spans="1:9" hidden="1" x14ac:dyDescent="0.35">
      <c r="A1819" s="38" t="s">
        <v>780</v>
      </c>
      <c r="B1819" s="38" t="s">
        <v>745</v>
      </c>
      <c r="C1819" s="38" t="s">
        <v>704</v>
      </c>
      <c r="D1819" s="38" t="s">
        <v>746</v>
      </c>
      <c r="E1819" s="94">
        <v>5.3</v>
      </c>
      <c r="F1819" s="94">
        <v>1.2</v>
      </c>
      <c r="G1819" s="94">
        <v>5</v>
      </c>
      <c r="H1819" s="94">
        <v>1</v>
      </c>
      <c r="I1819" s="94">
        <v>4</v>
      </c>
    </row>
    <row r="1820" spans="1:9" hidden="1" x14ac:dyDescent="0.35">
      <c r="A1820" s="38" t="s">
        <v>780</v>
      </c>
      <c r="B1820" s="38" t="s">
        <v>745</v>
      </c>
      <c r="C1820" s="38" t="s">
        <v>707</v>
      </c>
      <c r="D1820" s="38" t="s">
        <v>708</v>
      </c>
      <c r="E1820" s="94">
        <v>20</v>
      </c>
      <c r="F1820" s="94">
        <v>7.6</v>
      </c>
      <c r="G1820" s="94">
        <v>13.8</v>
      </c>
      <c r="H1820" s="94">
        <v>7</v>
      </c>
      <c r="I1820" s="94">
        <v>17</v>
      </c>
    </row>
    <row r="1821" spans="1:9" hidden="1" x14ac:dyDescent="0.35">
      <c r="A1821" s="38" t="s">
        <v>780</v>
      </c>
      <c r="B1821" s="38" t="s">
        <v>748</v>
      </c>
      <c r="C1821" s="38" t="s">
        <v>686</v>
      </c>
      <c r="D1821" s="38" t="s">
        <v>746</v>
      </c>
      <c r="E1821" s="195">
        <f t="shared" ref="E1821:I1831" si="51">E13*0.5</f>
        <v>1.96</v>
      </c>
      <c r="F1821" s="195">
        <f t="shared" si="51"/>
        <v>2.12</v>
      </c>
      <c r="G1821" s="195">
        <f t="shared" si="51"/>
        <v>5.9</v>
      </c>
      <c r="H1821" s="195">
        <f t="shared" si="51"/>
        <v>1</v>
      </c>
      <c r="I1821" s="195">
        <f t="shared" si="51"/>
        <v>6.8250000000000002</v>
      </c>
    </row>
    <row r="1822" spans="1:9" hidden="1" x14ac:dyDescent="0.35">
      <c r="A1822" s="38" t="s">
        <v>780</v>
      </c>
      <c r="B1822" s="38" t="s">
        <v>748</v>
      </c>
      <c r="C1822" s="38" t="s">
        <v>691</v>
      </c>
      <c r="D1822" s="38" t="s">
        <v>746</v>
      </c>
      <c r="E1822" s="195">
        <f t="shared" si="51"/>
        <v>5</v>
      </c>
      <c r="F1822" s="195">
        <f t="shared" si="51"/>
        <v>4.1849999999999996</v>
      </c>
      <c r="G1822" s="195">
        <f t="shared" si="51"/>
        <v>1</v>
      </c>
      <c r="H1822" s="195">
        <f t="shared" si="51"/>
        <v>4</v>
      </c>
      <c r="I1822" s="195">
        <f t="shared" si="51"/>
        <v>5.1749999999999998</v>
      </c>
    </row>
    <row r="1823" spans="1:9" hidden="1" x14ac:dyDescent="0.35">
      <c r="A1823" s="38" t="s">
        <v>780</v>
      </c>
      <c r="B1823" s="38" t="s">
        <v>748</v>
      </c>
      <c r="C1823" s="38" t="s">
        <v>696</v>
      </c>
      <c r="D1823" s="94" t="s">
        <v>697</v>
      </c>
      <c r="E1823" s="195">
        <f t="shared" si="51"/>
        <v>7.5</v>
      </c>
      <c r="F1823" s="195">
        <f t="shared" si="51"/>
        <v>8.25</v>
      </c>
      <c r="G1823" s="195">
        <f t="shared" si="51"/>
        <v>3</v>
      </c>
      <c r="H1823" s="195">
        <f t="shared" si="51"/>
        <v>5.5</v>
      </c>
      <c r="I1823" s="195">
        <f t="shared" si="51"/>
        <v>3.65</v>
      </c>
    </row>
    <row r="1824" spans="1:9" hidden="1" x14ac:dyDescent="0.35">
      <c r="A1824" s="38" t="s">
        <v>780</v>
      </c>
      <c r="B1824" s="38" t="s">
        <v>748</v>
      </c>
      <c r="C1824" s="38" t="s">
        <v>698</v>
      </c>
      <c r="D1824" s="38" t="s">
        <v>747</v>
      </c>
      <c r="E1824" s="195">
        <f t="shared" si="51"/>
        <v>1.1499999999999999</v>
      </c>
      <c r="F1824" s="195">
        <f t="shared" si="51"/>
        <v>0.27500000000000002</v>
      </c>
      <c r="G1824" s="195">
        <f t="shared" si="51"/>
        <v>2.5</v>
      </c>
      <c r="H1824" s="195">
        <f t="shared" si="51"/>
        <v>3</v>
      </c>
      <c r="I1824" s="195">
        <f t="shared" si="51"/>
        <v>3.4</v>
      </c>
    </row>
    <row r="1825" spans="1:9" hidden="1" x14ac:dyDescent="0.35">
      <c r="A1825" s="38" t="s">
        <v>780</v>
      </c>
      <c r="B1825" s="38" t="s">
        <v>748</v>
      </c>
      <c r="C1825" s="38" t="s">
        <v>698</v>
      </c>
      <c r="D1825" s="38" t="s">
        <v>700</v>
      </c>
      <c r="E1825" s="195">
        <f t="shared" si="51"/>
        <v>5</v>
      </c>
      <c r="F1825" s="195">
        <f t="shared" si="51"/>
        <v>0.40500000000000003</v>
      </c>
      <c r="G1825" s="195">
        <f t="shared" si="51"/>
        <v>2.5</v>
      </c>
      <c r="H1825" s="195">
        <f t="shared" si="51"/>
        <v>3</v>
      </c>
      <c r="I1825" s="195">
        <f t="shared" si="51"/>
        <v>3.4</v>
      </c>
    </row>
    <row r="1826" spans="1:9" hidden="1" x14ac:dyDescent="0.35">
      <c r="A1826" s="38" t="s">
        <v>780</v>
      </c>
      <c r="B1826" s="38" t="s">
        <v>748</v>
      </c>
      <c r="C1826" s="38" t="s">
        <v>698</v>
      </c>
      <c r="D1826" s="38" t="s">
        <v>521</v>
      </c>
      <c r="E1826" s="195">
        <f t="shared" si="51"/>
        <v>1.25</v>
      </c>
      <c r="F1826" s="195">
        <f t="shared" si="51"/>
        <v>0.09</v>
      </c>
      <c r="G1826" s="195">
        <f t="shared" si="51"/>
        <v>2.5</v>
      </c>
      <c r="H1826" s="195">
        <f t="shared" si="51"/>
        <v>3</v>
      </c>
      <c r="I1826" s="195">
        <f t="shared" si="51"/>
        <v>3.4</v>
      </c>
    </row>
    <row r="1827" spans="1:9" hidden="1" x14ac:dyDescent="0.35">
      <c r="A1827" s="38" t="s">
        <v>780</v>
      </c>
      <c r="B1827" s="38" t="s">
        <v>748</v>
      </c>
      <c r="C1827" s="38" t="s">
        <v>698</v>
      </c>
      <c r="D1827" s="38" t="s">
        <v>252</v>
      </c>
      <c r="E1827" s="195">
        <f t="shared" si="51"/>
        <v>3.5</v>
      </c>
      <c r="F1827" s="195">
        <f t="shared" si="51"/>
        <v>0.51500000000000001</v>
      </c>
      <c r="G1827" s="195">
        <f t="shared" si="51"/>
        <v>2.5</v>
      </c>
      <c r="H1827" s="195">
        <f t="shared" si="51"/>
        <v>3</v>
      </c>
      <c r="I1827" s="195">
        <f t="shared" si="51"/>
        <v>3.4</v>
      </c>
    </row>
    <row r="1828" spans="1:9" hidden="1" x14ac:dyDescent="0.35">
      <c r="A1828" s="38" t="s">
        <v>780</v>
      </c>
      <c r="B1828" s="38" t="s">
        <v>748</v>
      </c>
      <c r="C1828" s="38" t="s">
        <v>701</v>
      </c>
      <c r="D1828" s="38" t="s">
        <v>702</v>
      </c>
      <c r="E1828" s="195">
        <f t="shared" si="51"/>
        <v>3</v>
      </c>
      <c r="F1828" s="195">
        <f t="shared" si="51"/>
        <v>1.19</v>
      </c>
      <c r="G1828" s="195">
        <f t="shared" si="51"/>
        <v>0.25</v>
      </c>
      <c r="H1828" s="195">
        <f t="shared" si="51"/>
        <v>2</v>
      </c>
      <c r="I1828" s="195">
        <f t="shared" si="51"/>
        <v>1.825</v>
      </c>
    </row>
    <row r="1829" spans="1:9" hidden="1" x14ac:dyDescent="0.35">
      <c r="A1829" s="38" t="s">
        <v>780</v>
      </c>
      <c r="B1829" s="38" t="s">
        <v>748</v>
      </c>
      <c r="C1829" s="38" t="s">
        <v>701</v>
      </c>
      <c r="D1829" s="38" t="s">
        <v>703</v>
      </c>
      <c r="E1829" s="195">
        <f t="shared" si="51"/>
        <v>1.75</v>
      </c>
      <c r="F1829" s="195">
        <f t="shared" si="51"/>
        <v>1.1200000000000001</v>
      </c>
      <c r="G1829" s="195">
        <f t="shared" si="51"/>
        <v>0.6</v>
      </c>
      <c r="H1829" s="195">
        <f t="shared" si="51"/>
        <v>0.25</v>
      </c>
      <c r="I1829" s="195">
        <f t="shared" si="51"/>
        <v>1.3</v>
      </c>
    </row>
    <row r="1830" spans="1:9" hidden="1" x14ac:dyDescent="0.35">
      <c r="A1830" s="38" t="s">
        <v>780</v>
      </c>
      <c r="B1830" s="38" t="s">
        <v>748</v>
      </c>
      <c r="C1830" s="38" t="s">
        <v>704</v>
      </c>
      <c r="D1830" s="38" t="s">
        <v>746</v>
      </c>
      <c r="E1830" s="195">
        <f t="shared" si="51"/>
        <v>3</v>
      </c>
      <c r="F1830" s="195">
        <f t="shared" si="51"/>
        <v>1.36</v>
      </c>
      <c r="G1830" s="195">
        <f t="shared" si="51"/>
        <v>2.5</v>
      </c>
      <c r="H1830" s="195">
        <f t="shared" si="51"/>
        <v>0.5</v>
      </c>
      <c r="I1830" s="195">
        <f t="shared" si="51"/>
        <v>8.2750000000000004</v>
      </c>
    </row>
    <row r="1831" spans="1:9" hidden="1" x14ac:dyDescent="0.35">
      <c r="A1831" s="38" t="s">
        <v>780</v>
      </c>
      <c r="B1831" s="38" t="s">
        <v>748</v>
      </c>
      <c r="C1831" s="38" t="s">
        <v>707</v>
      </c>
      <c r="D1831" s="38" t="s">
        <v>708</v>
      </c>
      <c r="E1831" s="195">
        <f t="shared" si="51"/>
        <v>10</v>
      </c>
      <c r="F1831" s="195">
        <f t="shared" si="51"/>
        <v>2.4249999999999998</v>
      </c>
      <c r="G1831" s="195">
        <f t="shared" si="51"/>
        <v>7.5</v>
      </c>
      <c r="H1831" s="195">
        <f t="shared" si="51"/>
        <v>4.5</v>
      </c>
      <c r="I1831" s="195">
        <f t="shared" si="51"/>
        <v>3.5750000000000002</v>
      </c>
    </row>
    <row r="1832" spans="1:9" hidden="1" x14ac:dyDescent="0.35">
      <c r="A1832" s="38" t="s">
        <v>780</v>
      </c>
      <c r="B1832" s="38" t="s">
        <v>749</v>
      </c>
      <c r="C1832" s="38" t="s">
        <v>686</v>
      </c>
      <c r="D1832" s="38" t="s">
        <v>746</v>
      </c>
      <c r="E1832" s="94">
        <v>7.17</v>
      </c>
      <c r="F1832" s="94">
        <v>3.25</v>
      </c>
      <c r="G1832" s="94">
        <v>10.5</v>
      </c>
      <c r="H1832" s="94">
        <v>9</v>
      </c>
      <c r="I1832" s="94">
        <v>23.99</v>
      </c>
    </row>
    <row r="1833" spans="1:9" hidden="1" x14ac:dyDescent="0.35">
      <c r="A1833" s="38" t="s">
        <v>780</v>
      </c>
      <c r="B1833" s="38" t="s">
        <v>749</v>
      </c>
      <c r="C1833" s="38" t="s">
        <v>691</v>
      </c>
      <c r="D1833" s="38" t="s">
        <v>746</v>
      </c>
      <c r="E1833" s="94">
        <v>20</v>
      </c>
      <c r="F1833" s="94">
        <v>15.3</v>
      </c>
      <c r="G1833" s="94">
        <v>2</v>
      </c>
      <c r="H1833" s="94">
        <v>9.35</v>
      </c>
      <c r="I1833" s="94">
        <v>25.43</v>
      </c>
    </row>
    <row r="1834" spans="1:9" hidden="1" x14ac:dyDescent="0.35">
      <c r="A1834" s="38" t="s">
        <v>780</v>
      </c>
      <c r="B1834" s="38" t="s">
        <v>749</v>
      </c>
      <c r="C1834" s="38" t="s">
        <v>696</v>
      </c>
      <c r="D1834" s="94" t="s">
        <v>697</v>
      </c>
      <c r="E1834" s="94">
        <v>12</v>
      </c>
      <c r="F1834" s="94">
        <v>2.2200000000000002</v>
      </c>
      <c r="G1834" s="94">
        <v>6</v>
      </c>
      <c r="H1834" s="94">
        <v>6.83</v>
      </c>
      <c r="I1834" s="94">
        <v>28.17</v>
      </c>
    </row>
    <row r="1835" spans="1:9" hidden="1" x14ac:dyDescent="0.35">
      <c r="A1835" s="38" t="s">
        <v>780</v>
      </c>
      <c r="B1835" s="38" t="s">
        <v>749</v>
      </c>
      <c r="C1835" s="38" t="s">
        <v>698</v>
      </c>
      <c r="D1835" s="38" t="s">
        <v>747</v>
      </c>
      <c r="E1835" s="94">
        <v>2.2999999999999998</v>
      </c>
      <c r="F1835" s="94">
        <v>0.31</v>
      </c>
      <c r="G1835" s="94">
        <v>5</v>
      </c>
      <c r="H1835" s="94">
        <v>3.9</v>
      </c>
      <c r="I1835" s="38">
        <v>21.19</v>
      </c>
    </row>
    <row r="1836" spans="1:9" hidden="1" x14ac:dyDescent="0.35">
      <c r="A1836" s="38" t="s">
        <v>780</v>
      </c>
      <c r="B1836" s="38" t="s">
        <v>749</v>
      </c>
      <c r="C1836" s="38" t="s">
        <v>698</v>
      </c>
      <c r="D1836" s="38" t="s">
        <v>700</v>
      </c>
      <c r="E1836" s="94">
        <v>10</v>
      </c>
      <c r="F1836" s="94">
        <v>0.8</v>
      </c>
      <c r="G1836" s="94">
        <v>5</v>
      </c>
      <c r="H1836" s="94">
        <v>3.9</v>
      </c>
      <c r="I1836" s="94">
        <v>21.19</v>
      </c>
    </row>
    <row r="1837" spans="1:9" hidden="1" x14ac:dyDescent="0.35">
      <c r="A1837" s="38" t="s">
        <v>780</v>
      </c>
      <c r="B1837" s="38" t="s">
        <v>749</v>
      </c>
      <c r="C1837" s="38" t="s">
        <v>698</v>
      </c>
      <c r="D1837" s="38" t="s">
        <v>521</v>
      </c>
      <c r="E1837" s="94">
        <v>2.5</v>
      </c>
      <c r="F1837" s="94">
        <v>0.66</v>
      </c>
      <c r="G1837" s="94">
        <v>5</v>
      </c>
      <c r="H1837" s="94">
        <v>3.9</v>
      </c>
      <c r="I1837" s="94">
        <v>21.19</v>
      </c>
    </row>
    <row r="1838" spans="1:9" hidden="1" x14ac:dyDescent="0.35">
      <c r="A1838" s="38" t="s">
        <v>780</v>
      </c>
      <c r="B1838" s="38" t="s">
        <v>749</v>
      </c>
      <c r="C1838" s="38" t="s">
        <v>698</v>
      </c>
      <c r="D1838" s="38" t="s">
        <v>252</v>
      </c>
      <c r="E1838" s="94">
        <v>7</v>
      </c>
      <c r="F1838" s="94">
        <v>0.88</v>
      </c>
      <c r="G1838" s="94">
        <v>5</v>
      </c>
      <c r="H1838" s="94">
        <v>3.9</v>
      </c>
      <c r="I1838" s="94">
        <v>21.19</v>
      </c>
    </row>
    <row r="1839" spans="1:9" hidden="1" x14ac:dyDescent="0.35">
      <c r="A1839" s="38" t="s">
        <v>780</v>
      </c>
      <c r="B1839" s="38" t="s">
        <v>749</v>
      </c>
      <c r="C1839" s="38" t="s">
        <v>701</v>
      </c>
      <c r="D1839" s="38" t="s">
        <v>702</v>
      </c>
      <c r="E1839" s="94">
        <v>4</v>
      </c>
      <c r="F1839" s="94">
        <v>2.27</v>
      </c>
      <c r="G1839" s="94">
        <v>0.5</v>
      </c>
      <c r="H1839" s="94">
        <v>7</v>
      </c>
      <c r="I1839" s="94">
        <v>20.399999999999999</v>
      </c>
    </row>
    <row r="1840" spans="1:9" hidden="1" x14ac:dyDescent="0.35">
      <c r="A1840" s="38" t="s">
        <v>780</v>
      </c>
      <c r="B1840" s="38" t="s">
        <v>749</v>
      </c>
      <c r="C1840" s="38" t="s">
        <v>701</v>
      </c>
      <c r="D1840" s="38" t="s">
        <v>703</v>
      </c>
      <c r="E1840" s="94">
        <v>3.5</v>
      </c>
      <c r="F1840" s="94">
        <v>0.4</v>
      </c>
      <c r="G1840" s="94">
        <v>1.2</v>
      </c>
      <c r="H1840" s="94">
        <v>7.75</v>
      </c>
      <c r="I1840" s="94">
        <v>21</v>
      </c>
    </row>
    <row r="1841" spans="1:9" hidden="1" x14ac:dyDescent="0.35">
      <c r="A1841" s="38" t="s">
        <v>780</v>
      </c>
      <c r="B1841" s="38" t="s">
        <v>749</v>
      </c>
      <c r="C1841" s="38" t="s">
        <v>704</v>
      </c>
      <c r="D1841" s="38" t="s">
        <v>746</v>
      </c>
      <c r="E1841" s="94">
        <v>12</v>
      </c>
      <c r="F1841" s="94">
        <v>3.91</v>
      </c>
      <c r="G1841" s="94">
        <v>5</v>
      </c>
      <c r="H1841" s="94">
        <v>1</v>
      </c>
      <c r="I1841" s="94">
        <v>4</v>
      </c>
    </row>
    <row r="1842" spans="1:9" hidden="1" x14ac:dyDescent="0.35">
      <c r="A1842" s="38" t="s">
        <v>780</v>
      </c>
      <c r="B1842" s="38" t="s">
        <v>749</v>
      </c>
      <c r="C1842" s="38" t="s">
        <v>707</v>
      </c>
      <c r="D1842" s="38" t="s">
        <v>708</v>
      </c>
      <c r="E1842" s="94">
        <v>20</v>
      </c>
      <c r="F1842" s="94">
        <v>5.83</v>
      </c>
      <c r="G1842" s="94">
        <v>15</v>
      </c>
      <c r="H1842" s="94">
        <v>8</v>
      </c>
      <c r="I1842" s="94">
        <v>15</v>
      </c>
    </row>
    <row r="1843" spans="1:9" hidden="1" x14ac:dyDescent="0.35">
      <c r="A1843" s="38" t="s">
        <v>780</v>
      </c>
      <c r="B1843" s="38" t="s">
        <v>750</v>
      </c>
      <c r="C1843" s="38" t="s">
        <v>686</v>
      </c>
      <c r="D1843" s="38" t="s">
        <v>746</v>
      </c>
      <c r="E1843" s="94">
        <v>6</v>
      </c>
      <c r="F1843" s="94">
        <v>7.46</v>
      </c>
      <c r="G1843" s="94">
        <v>9</v>
      </c>
      <c r="H1843" s="94">
        <v>4</v>
      </c>
      <c r="I1843" s="94">
        <v>10</v>
      </c>
    </row>
    <row r="1844" spans="1:9" hidden="1" x14ac:dyDescent="0.35">
      <c r="A1844" s="38" t="s">
        <v>780</v>
      </c>
      <c r="B1844" s="38" t="s">
        <v>750</v>
      </c>
      <c r="C1844" s="38" t="s">
        <v>691</v>
      </c>
      <c r="D1844" s="38" t="s">
        <v>746</v>
      </c>
      <c r="E1844" s="94">
        <v>20</v>
      </c>
      <c r="F1844" s="94">
        <v>14.32</v>
      </c>
      <c r="G1844" s="94">
        <v>20</v>
      </c>
      <c r="H1844" s="94">
        <v>12</v>
      </c>
      <c r="I1844" s="94">
        <v>10</v>
      </c>
    </row>
    <row r="1845" spans="1:9" hidden="1" x14ac:dyDescent="0.35">
      <c r="A1845" s="38" t="s">
        <v>780</v>
      </c>
      <c r="B1845" s="38" t="s">
        <v>750</v>
      </c>
      <c r="C1845" s="38" t="s">
        <v>696</v>
      </c>
      <c r="D1845" s="94" t="s">
        <v>697</v>
      </c>
      <c r="E1845" s="94">
        <v>5.7</v>
      </c>
      <c r="F1845" s="94">
        <v>19.61</v>
      </c>
      <c r="G1845" s="94">
        <v>9</v>
      </c>
      <c r="H1845" s="94">
        <v>10</v>
      </c>
      <c r="I1845" s="94">
        <v>4</v>
      </c>
    </row>
    <row r="1846" spans="1:9" hidden="1" x14ac:dyDescent="0.35">
      <c r="A1846" s="38" t="s">
        <v>780</v>
      </c>
      <c r="B1846" s="38" t="s">
        <v>750</v>
      </c>
      <c r="C1846" s="38" t="s">
        <v>698</v>
      </c>
      <c r="D1846" s="38" t="s">
        <v>747</v>
      </c>
      <c r="E1846" s="94">
        <v>5</v>
      </c>
      <c r="F1846" s="94">
        <v>1.32</v>
      </c>
      <c r="G1846" s="94">
        <v>5</v>
      </c>
      <c r="H1846" s="94">
        <v>5</v>
      </c>
      <c r="I1846" s="94">
        <v>6</v>
      </c>
    </row>
    <row r="1847" spans="1:9" hidden="1" x14ac:dyDescent="0.35">
      <c r="A1847" s="38" t="s">
        <v>780</v>
      </c>
      <c r="B1847" s="38" t="s">
        <v>750</v>
      </c>
      <c r="C1847" s="38" t="s">
        <v>698</v>
      </c>
      <c r="D1847" s="38" t="s">
        <v>700</v>
      </c>
      <c r="E1847" s="94">
        <v>10</v>
      </c>
      <c r="F1847" s="94">
        <v>1.04</v>
      </c>
      <c r="G1847" s="94">
        <v>5</v>
      </c>
      <c r="H1847" s="94">
        <v>5</v>
      </c>
      <c r="I1847" s="94">
        <v>6</v>
      </c>
    </row>
    <row r="1848" spans="1:9" hidden="1" x14ac:dyDescent="0.35">
      <c r="A1848" s="38" t="s">
        <v>780</v>
      </c>
      <c r="B1848" s="38" t="s">
        <v>750</v>
      </c>
      <c r="C1848" s="38" t="s">
        <v>698</v>
      </c>
      <c r="D1848" s="38" t="s">
        <v>521</v>
      </c>
      <c r="E1848" s="94">
        <v>6</v>
      </c>
      <c r="F1848" s="94">
        <v>0.41</v>
      </c>
      <c r="G1848" s="94">
        <v>5</v>
      </c>
      <c r="H1848" s="94">
        <v>5</v>
      </c>
      <c r="I1848" s="94">
        <v>6</v>
      </c>
    </row>
    <row r="1849" spans="1:9" hidden="1" x14ac:dyDescent="0.35">
      <c r="A1849" s="38" t="s">
        <v>780</v>
      </c>
      <c r="B1849" s="38" t="s">
        <v>750</v>
      </c>
      <c r="C1849" s="38" t="s">
        <v>698</v>
      </c>
      <c r="D1849" s="38" t="s">
        <v>252</v>
      </c>
      <c r="E1849" s="94">
        <v>6</v>
      </c>
      <c r="F1849" s="94">
        <v>1.5</v>
      </c>
      <c r="G1849" s="94">
        <v>5</v>
      </c>
      <c r="H1849" s="94">
        <v>5</v>
      </c>
      <c r="I1849" s="94">
        <v>6</v>
      </c>
    </row>
    <row r="1850" spans="1:9" hidden="1" x14ac:dyDescent="0.35">
      <c r="A1850" s="38" t="s">
        <v>780</v>
      </c>
      <c r="B1850" s="38" t="s">
        <v>750</v>
      </c>
      <c r="C1850" s="38" t="s">
        <v>701</v>
      </c>
      <c r="D1850" s="38" t="s">
        <v>702</v>
      </c>
      <c r="E1850" s="94">
        <v>6</v>
      </c>
      <c r="F1850" s="94">
        <v>6.21</v>
      </c>
      <c r="G1850" s="94">
        <v>0.5</v>
      </c>
      <c r="H1850" s="94">
        <v>4</v>
      </c>
      <c r="I1850" s="94">
        <v>4</v>
      </c>
    </row>
    <row r="1851" spans="1:9" hidden="1" x14ac:dyDescent="0.35">
      <c r="A1851" s="38" t="s">
        <v>780</v>
      </c>
      <c r="B1851" s="38" t="s">
        <v>750</v>
      </c>
      <c r="C1851" s="38" t="s">
        <v>701</v>
      </c>
      <c r="D1851" s="38" t="s">
        <v>703</v>
      </c>
      <c r="E1851" s="94">
        <v>3.5</v>
      </c>
      <c r="F1851" s="94">
        <v>3.74</v>
      </c>
      <c r="G1851" s="94">
        <v>2</v>
      </c>
      <c r="H1851" s="94">
        <v>8</v>
      </c>
      <c r="I1851" s="94">
        <v>4</v>
      </c>
    </row>
    <row r="1852" spans="1:9" hidden="1" x14ac:dyDescent="0.35">
      <c r="A1852" s="38" t="s">
        <v>780</v>
      </c>
      <c r="B1852" s="38" t="s">
        <v>750</v>
      </c>
      <c r="C1852" s="38" t="s">
        <v>704</v>
      </c>
      <c r="D1852" s="38" t="s">
        <v>746</v>
      </c>
      <c r="E1852" s="94">
        <v>6</v>
      </c>
      <c r="F1852" s="94">
        <v>1.49</v>
      </c>
      <c r="G1852" s="94">
        <v>8</v>
      </c>
      <c r="H1852" s="94">
        <v>2</v>
      </c>
      <c r="I1852" s="94">
        <v>2</v>
      </c>
    </row>
    <row r="1853" spans="1:9" hidden="1" x14ac:dyDescent="0.35">
      <c r="A1853" s="38" t="s">
        <v>780</v>
      </c>
      <c r="B1853" s="38" t="s">
        <v>750</v>
      </c>
      <c r="C1853" s="38" t="s">
        <v>707</v>
      </c>
      <c r="D1853" s="38" t="s">
        <v>708</v>
      </c>
      <c r="E1853" s="94">
        <v>14</v>
      </c>
      <c r="F1853" s="94">
        <v>10.39</v>
      </c>
      <c r="G1853" s="94">
        <v>12</v>
      </c>
      <c r="H1853" s="94">
        <v>3</v>
      </c>
      <c r="I1853" s="94">
        <v>4</v>
      </c>
    </row>
    <row r="1854" spans="1:9" hidden="1" x14ac:dyDescent="0.35">
      <c r="A1854" s="38" t="s">
        <v>780</v>
      </c>
      <c r="B1854" s="38" t="s">
        <v>751</v>
      </c>
      <c r="C1854" s="38" t="s">
        <v>686</v>
      </c>
      <c r="D1854" s="38" t="s">
        <v>746</v>
      </c>
      <c r="E1854" s="94">
        <v>6</v>
      </c>
      <c r="F1854" s="94">
        <v>7.23</v>
      </c>
      <c r="G1854" s="94">
        <v>9</v>
      </c>
      <c r="H1854" s="94">
        <v>4</v>
      </c>
      <c r="I1854" s="94">
        <v>12</v>
      </c>
    </row>
    <row r="1855" spans="1:9" hidden="1" x14ac:dyDescent="0.35">
      <c r="A1855" s="38" t="s">
        <v>780</v>
      </c>
      <c r="B1855" s="38" t="s">
        <v>751</v>
      </c>
      <c r="C1855" s="38" t="s">
        <v>691</v>
      </c>
      <c r="D1855" s="38" t="s">
        <v>746</v>
      </c>
      <c r="E1855" s="94">
        <v>11.33</v>
      </c>
      <c r="F1855" s="94">
        <v>11.3</v>
      </c>
      <c r="G1855" s="94">
        <v>20</v>
      </c>
      <c r="H1855" s="94">
        <v>15.15</v>
      </c>
      <c r="I1855" s="94">
        <v>13</v>
      </c>
    </row>
    <row r="1856" spans="1:9" hidden="1" x14ac:dyDescent="0.35">
      <c r="A1856" s="38" t="s">
        <v>780</v>
      </c>
      <c r="B1856" s="38" t="s">
        <v>751</v>
      </c>
      <c r="C1856" s="38" t="s">
        <v>696</v>
      </c>
      <c r="D1856" s="94" t="s">
        <v>697</v>
      </c>
      <c r="E1856" s="94">
        <v>6.6</v>
      </c>
      <c r="F1856" s="94">
        <v>22.46</v>
      </c>
      <c r="G1856" s="94">
        <v>9</v>
      </c>
      <c r="H1856" s="94">
        <v>10</v>
      </c>
      <c r="I1856" s="94">
        <v>4</v>
      </c>
    </row>
    <row r="1857" spans="1:9" hidden="1" x14ac:dyDescent="0.35">
      <c r="A1857" s="38" t="s">
        <v>780</v>
      </c>
      <c r="B1857" s="38" t="s">
        <v>751</v>
      </c>
      <c r="C1857" s="38" t="s">
        <v>698</v>
      </c>
      <c r="D1857" s="38" t="s">
        <v>747</v>
      </c>
      <c r="E1857" s="94">
        <v>10</v>
      </c>
      <c r="F1857" s="94">
        <v>0.2</v>
      </c>
      <c r="G1857" s="94">
        <v>5</v>
      </c>
      <c r="H1857" s="94">
        <v>5</v>
      </c>
      <c r="I1857" s="94">
        <v>8</v>
      </c>
    </row>
    <row r="1858" spans="1:9" hidden="1" x14ac:dyDescent="0.35">
      <c r="A1858" s="38" t="s">
        <v>780</v>
      </c>
      <c r="B1858" s="38" t="s">
        <v>751</v>
      </c>
      <c r="C1858" s="38" t="s">
        <v>698</v>
      </c>
      <c r="D1858" s="38" t="s">
        <v>700</v>
      </c>
      <c r="E1858" s="94">
        <v>15</v>
      </c>
      <c r="F1858" s="94">
        <v>0.2</v>
      </c>
      <c r="G1858" s="94">
        <v>5</v>
      </c>
      <c r="H1858" s="94">
        <v>5</v>
      </c>
      <c r="I1858" s="94">
        <v>8</v>
      </c>
    </row>
    <row r="1859" spans="1:9" hidden="1" x14ac:dyDescent="0.35">
      <c r="A1859" s="38" t="s">
        <v>780</v>
      </c>
      <c r="B1859" s="38" t="s">
        <v>751</v>
      </c>
      <c r="C1859" s="38" t="s">
        <v>698</v>
      </c>
      <c r="D1859" s="38" t="s">
        <v>521</v>
      </c>
      <c r="E1859" s="94">
        <v>8</v>
      </c>
      <c r="F1859" s="94">
        <v>0.23</v>
      </c>
      <c r="G1859" s="94">
        <v>5</v>
      </c>
      <c r="H1859" s="94">
        <v>5</v>
      </c>
      <c r="I1859" s="94">
        <v>8</v>
      </c>
    </row>
    <row r="1860" spans="1:9" hidden="1" x14ac:dyDescent="0.35">
      <c r="A1860" s="38" t="s">
        <v>780</v>
      </c>
      <c r="B1860" s="38" t="s">
        <v>751</v>
      </c>
      <c r="C1860" s="38" t="s">
        <v>698</v>
      </c>
      <c r="D1860" s="38" t="s">
        <v>252</v>
      </c>
      <c r="E1860" s="94">
        <v>8</v>
      </c>
      <c r="F1860" s="94">
        <v>0.9</v>
      </c>
      <c r="G1860" s="94">
        <v>5</v>
      </c>
      <c r="H1860" s="94">
        <v>5</v>
      </c>
      <c r="I1860" s="94">
        <v>8</v>
      </c>
    </row>
    <row r="1861" spans="1:9" hidden="1" x14ac:dyDescent="0.35">
      <c r="A1861" s="38" t="s">
        <v>780</v>
      </c>
      <c r="B1861" s="38" t="s">
        <v>751</v>
      </c>
      <c r="C1861" s="38" t="s">
        <v>701</v>
      </c>
      <c r="D1861" s="38" t="s">
        <v>702</v>
      </c>
      <c r="E1861" s="94">
        <v>6</v>
      </c>
      <c r="F1861" s="94">
        <v>4.8899999999999997</v>
      </c>
      <c r="G1861" s="94">
        <v>4.5</v>
      </c>
      <c r="H1861" s="94">
        <v>4</v>
      </c>
      <c r="I1861" s="94">
        <v>12</v>
      </c>
    </row>
    <row r="1862" spans="1:9" hidden="1" x14ac:dyDescent="0.35">
      <c r="A1862" s="38" t="s">
        <v>780</v>
      </c>
      <c r="B1862" s="38" t="s">
        <v>751</v>
      </c>
      <c r="C1862" s="38" t="s">
        <v>701</v>
      </c>
      <c r="D1862" s="38" t="s">
        <v>703</v>
      </c>
      <c r="E1862" s="94">
        <v>3.5</v>
      </c>
      <c r="F1862" s="94">
        <v>3.32</v>
      </c>
      <c r="G1862" s="94">
        <v>2</v>
      </c>
      <c r="H1862" s="94">
        <v>8</v>
      </c>
      <c r="I1862" s="94">
        <v>2</v>
      </c>
    </row>
    <row r="1863" spans="1:9" hidden="1" x14ac:dyDescent="0.35">
      <c r="A1863" s="38" t="s">
        <v>780</v>
      </c>
      <c r="B1863" s="38" t="s">
        <v>751</v>
      </c>
      <c r="C1863" s="38" t="s">
        <v>704</v>
      </c>
      <c r="D1863" s="38" t="s">
        <v>746</v>
      </c>
      <c r="E1863" s="94">
        <v>15</v>
      </c>
      <c r="F1863" s="94">
        <v>2.8</v>
      </c>
      <c r="G1863" s="94">
        <v>8</v>
      </c>
      <c r="H1863" s="94">
        <v>2</v>
      </c>
      <c r="I1863" s="94">
        <v>2</v>
      </c>
    </row>
    <row r="1864" spans="1:9" hidden="1" x14ac:dyDescent="0.35">
      <c r="A1864" s="38" t="s">
        <v>780</v>
      </c>
      <c r="B1864" s="38" t="s">
        <v>751</v>
      </c>
      <c r="C1864" s="38" t="s">
        <v>707</v>
      </c>
      <c r="D1864" s="38" t="s">
        <v>708</v>
      </c>
      <c r="E1864" s="94">
        <v>11.9</v>
      </c>
      <c r="F1864" s="94">
        <v>9.26</v>
      </c>
      <c r="G1864" s="94">
        <v>12</v>
      </c>
      <c r="H1864" s="94">
        <v>5.7</v>
      </c>
      <c r="I1864" s="94">
        <v>6</v>
      </c>
    </row>
    <row r="1865" spans="1:9" hidden="1" x14ac:dyDescent="0.35">
      <c r="A1865" s="38" t="s">
        <v>780</v>
      </c>
      <c r="B1865" s="38" t="s">
        <v>752</v>
      </c>
      <c r="C1865" s="38" t="s">
        <v>686</v>
      </c>
      <c r="D1865" s="38" t="s">
        <v>746</v>
      </c>
      <c r="E1865" s="94">
        <v>7.21</v>
      </c>
      <c r="F1865" s="94">
        <v>8.75</v>
      </c>
      <c r="G1865" s="94">
        <v>15.25</v>
      </c>
      <c r="H1865" s="94">
        <v>2</v>
      </c>
      <c r="I1865" s="94">
        <v>1</v>
      </c>
    </row>
    <row r="1866" spans="1:9" hidden="1" x14ac:dyDescent="0.35">
      <c r="A1866" s="38" t="s">
        <v>780</v>
      </c>
      <c r="B1866" s="38" t="s">
        <v>752</v>
      </c>
      <c r="C1866" s="38" t="s">
        <v>691</v>
      </c>
      <c r="D1866" s="38" t="s">
        <v>746</v>
      </c>
      <c r="E1866" s="94">
        <v>13.47</v>
      </c>
      <c r="F1866" s="94">
        <v>17.71</v>
      </c>
      <c r="G1866" s="94">
        <v>25</v>
      </c>
      <c r="H1866" s="94">
        <v>34.130000000000003</v>
      </c>
      <c r="I1866" s="94">
        <v>5</v>
      </c>
    </row>
    <row r="1867" spans="1:9" hidden="1" x14ac:dyDescent="0.35">
      <c r="A1867" s="38" t="s">
        <v>780</v>
      </c>
      <c r="B1867" s="38" t="s">
        <v>752</v>
      </c>
      <c r="C1867" s="38" t="s">
        <v>696</v>
      </c>
      <c r="D1867" s="94" t="s">
        <v>697</v>
      </c>
      <c r="E1867" s="94">
        <v>5.7</v>
      </c>
      <c r="F1867" s="94">
        <v>21.94</v>
      </c>
      <c r="G1867" s="94">
        <v>9</v>
      </c>
      <c r="H1867" s="94">
        <v>15</v>
      </c>
      <c r="I1867" s="94">
        <v>2</v>
      </c>
    </row>
    <row r="1868" spans="1:9" hidden="1" x14ac:dyDescent="0.35">
      <c r="A1868" s="38" t="s">
        <v>780</v>
      </c>
      <c r="B1868" s="38" t="s">
        <v>752</v>
      </c>
      <c r="C1868" s="38" t="s">
        <v>698</v>
      </c>
      <c r="D1868" s="38" t="s">
        <v>747</v>
      </c>
      <c r="E1868" s="94">
        <v>10</v>
      </c>
      <c r="F1868" s="94">
        <v>0.93</v>
      </c>
      <c r="G1868" s="94">
        <v>5</v>
      </c>
      <c r="H1868" s="94">
        <v>7</v>
      </c>
      <c r="I1868" s="94">
        <v>2</v>
      </c>
    </row>
    <row r="1869" spans="1:9" hidden="1" x14ac:dyDescent="0.35">
      <c r="A1869" s="38" t="s">
        <v>780</v>
      </c>
      <c r="B1869" s="38" t="s">
        <v>752</v>
      </c>
      <c r="C1869" s="38" t="s">
        <v>698</v>
      </c>
      <c r="D1869" s="38" t="s">
        <v>700</v>
      </c>
      <c r="E1869" s="94">
        <v>33</v>
      </c>
      <c r="F1869" s="94">
        <v>0.2</v>
      </c>
      <c r="G1869" s="94">
        <v>5</v>
      </c>
      <c r="H1869" s="94">
        <v>7</v>
      </c>
      <c r="I1869" s="94">
        <v>2</v>
      </c>
    </row>
    <row r="1870" spans="1:9" hidden="1" x14ac:dyDescent="0.35">
      <c r="A1870" s="38" t="s">
        <v>780</v>
      </c>
      <c r="B1870" s="38" t="s">
        <v>752</v>
      </c>
      <c r="C1870" s="38" t="s">
        <v>698</v>
      </c>
      <c r="D1870" s="38" t="s">
        <v>521</v>
      </c>
      <c r="E1870" s="94">
        <v>10</v>
      </c>
      <c r="F1870" s="94">
        <v>0.23</v>
      </c>
      <c r="G1870" s="94">
        <v>5</v>
      </c>
      <c r="H1870" s="94">
        <v>7</v>
      </c>
      <c r="I1870" s="94">
        <v>2</v>
      </c>
    </row>
    <row r="1871" spans="1:9" hidden="1" x14ac:dyDescent="0.35">
      <c r="A1871" s="38" t="s">
        <v>780</v>
      </c>
      <c r="B1871" s="38" t="s">
        <v>752</v>
      </c>
      <c r="C1871" s="38" t="s">
        <v>698</v>
      </c>
      <c r="D1871" s="38" t="s">
        <v>252</v>
      </c>
      <c r="E1871" s="94">
        <v>25</v>
      </c>
      <c r="F1871" s="94">
        <v>0.9</v>
      </c>
      <c r="G1871" s="94">
        <v>5</v>
      </c>
      <c r="H1871" s="94">
        <v>7</v>
      </c>
      <c r="I1871" s="94">
        <v>2</v>
      </c>
    </row>
    <row r="1872" spans="1:9" hidden="1" x14ac:dyDescent="0.35">
      <c r="A1872" s="38" t="s">
        <v>780</v>
      </c>
      <c r="B1872" s="38" t="s">
        <v>752</v>
      </c>
      <c r="C1872" s="38" t="s">
        <v>701</v>
      </c>
      <c r="D1872" s="38" t="s">
        <v>702</v>
      </c>
      <c r="E1872" s="94">
        <v>8</v>
      </c>
      <c r="F1872" s="94">
        <v>8.01</v>
      </c>
      <c r="G1872" s="94">
        <v>0.1</v>
      </c>
      <c r="H1872" s="94">
        <v>3</v>
      </c>
      <c r="I1872" s="94">
        <v>1</v>
      </c>
    </row>
    <row r="1873" spans="1:9" hidden="1" x14ac:dyDescent="0.35">
      <c r="A1873" s="38" t="s">
        <v>780</v>
      </c>
      <c r="B1873" s="38" t="s">
        <v>752</v>
      </c>
      <c r="C1873" s="38" t="s">
        <v>701</v>
      </c>
      <c r="D1873" s="38" t="s">
        <v>703</v>
      </c>
      <c r="E1873" s="94">
        <v>6</v>
      </c>
      <c r="F1873" s="94">
        <v>8.1999999999999993</v>
      </c>
      <c r="G1873" s="94">
        <v>2</v>
      </c>
      <c r="H1873" s="94">
        <v>10</v>
      </c>
      <c r="I1873" s="94">
        <v>0.1</v>
      </c>
    </row>
    <row r="1874" spans="1:9" hidden="1" x14ac:dyDescent="0.35">
      <c r="A1874" s="38" t="s">
        <v>780</v>
      </c>
      <c r="B1874" s="38" t="s">
        <v>752</v>
      </c>
      <c r="C1874" s="38" t="s">
        <v>704</v>
      </c>
      <c r="D1874" s="38" t="s">
        <v>746</v>
      </c>
      <c r="E1874" s="94">
        <v>12</v>
      </c>
      <c r="F1874" s="94">
        <v>8.18</v>
      </c>
      <c r="G1874" s="94">
        <v>8</v>
      </c>
      <c r="H1874" s="94">
        <v>2</v>
      </c>
      <c r="I1874" s="94">
        <v>1</v>
      </c>
    </row>
    <row r="1875" spans="1:9" hidden="1" x14ac:dyDescent="0.35">
      <c r="A1875" s="38" t="s">
        <v>780</v>
      </c>
      <c r="B1875" s="38" t="s">
        <v>752</v>
      </c>
      <c r="C1875" s="38" t="s">
        <v>707</v>
      </c>
      <c r="D1875" s="38" t="s">
        <v>708</v>
      </c>
      <c r="E1875" s="94">
        <v>14</v>
      </c>
      <c r="F1875" s="94">
        <v>16.940000000000001</v>
      </c>
      <c r="G1875" s="94">
        <v>15</v>
      </c>
      <c r="H1875" s="94">
        <v>5</v>
      </c>
      <c r="I1875" s="94">
        <v>2</v>
      </c>
    </row>
    <row r="1876" spans="1:9" hidden="1" x14ac:dyDescent="0.35">
      <c r="A1876" s="38" t="s">
        <v>780</v>
      </c>
      <c r="B1876" s="38" t="s">
        <v>753</v>
      </c>
      <c r="C1876" s="38" t="s">
        <v>686</v>
      </c>
      <c r="D1876" s="38" t="s">
        <v>746</v>
      </c>
      <c r="E1876" s="94">
        <v>6</v>
      </c>
      <c r="F1876" s="94">
        <v>6.59</v>
      </c>
      <c r="G1876" s="94">
        <v>7</v>
      </c>
      <c r="H1876" s="94">
        <v>2.98</v>
      </c>
      <c r="I1876" s="94">
        <v>3</v>
      </c>
    </row>
    <row r="1877" spans="1:9" hidden="1" x14ac:dyDescent="0.35">
      <c r="A1877" s="38" t="s">
        <v>780</v>
      </c>
      <c r="B1877" s="38" t="s">
        <v>753</v>
      </c>
      <c r="C1877" s="38" t="s">
        <v>691</v>
      </c>
      <c r="D1877" s="38" t="s">
        <v>746</v>
      </c>
      <c r="E1877" s="94">
        <v>8.7100000000000009</v>
      </c>
      <c r="F1877" s="94">
        <v>9.8699999999999992</v>
      </c>
      <c r="G1877" s="94">
        <v>25</v>
      </c>
      <c r="H1877" s="94">
        <v>12.96</v>
      </c>
      <c r="I1877" s="94">
        <v>18.16</v>
      </c>
    </row>
    <row r="1878" spans="1:9" hidden="1" x14ac:dyDescent="0.35">
      <c r="A1878" s="38" t="s">
        <v>780</v>
      </c>
      <c r="B1878" s="38" t="s">
        <v>753</v>
      </c>
      <c r="C1878" s="38" t="s">
        <v>696</v>
      </c>
      <c r="D1878" s="94" t="s">
        <v>697</v>
      </c>
      <c r="E1878" s="94">
        <v>8.1999999999999993</v>
      </c>
      <c r="F1878" s="94">
        <v>25.47</v>
      </c>
      <c r="G1878" s="94">
        <v>9</v>
      </c>
      <c r="H1878" s="94">
        <v>12.33</v>
      </c>
      <c r="I1878" s="94">
        <v>2</v>
      </c>
    </row>
    <row r="1879" spans="1:9" hidden="1" x14ac:dyDescent="0.35">
      <c r="A1879" s="38" t="s">
        <v>780</v>
      </c>
      <c r="B1879" s="38" t="s">
        <v>753</v>
      </c>
      <c r="C1879" s="38" t="s">
        <v>698</v>
      </c>
      <c r="D1879" s="38" t="s">
        <v>747</v>
      </c>
      <c r="E1879" s="94">
        <v>10</v>
      </c>
      <c r="F1879" s="94">
        <v>0.21</v>
      </c>
      <c r="G1879" s="94">
        <v>5</v>
      </c>
      <c r="H1879" s="94">
        <v>7</v>
      </c>
      <c r="I1879" s="94">
        <v>4</v>
      </c>
    </row>
    <row r="1880" spans="1:9" hidden="1" x14ac:dyDescent="0.35">
      <c r="A1880" s="38" t="s">
        <v>780</v>
      </c>
      <c r="B1880" s="38" t="s">
        <v>753</v>
      </c>
      <c r="C1880" s="38" t="s">
        <v>698</v>
      </c>
      <c r="D1880" s="38" t="s">
        <v>700</v>
      </c>
      <c r="E1880" s="94">
        <v>10</v>
      </c>
      <c r="F1880" s="94">
        <v>0.2</v>
      </c>
      <c r="G1880" s="94">
        <v>5</v>
      </c>
      <c r="H1880" s="94">
        <v>7</v>
      </c>
      <c r="I1880" s="94">
        <v>4</v>
      </c>
    </row>
    <row r="1881" spans="1:9" hidden="1" x14ac:dyDescent="0.35">
      <c r="A1881" s="38" t="s">
        <v>780</v>
      </c>
      <c r="B1881" s="38" t="s">
        <v>753</v>
      </c>
      <c r="C1881" s="38" t="s">
        <v>698</v>
      </c>
      <c r="D1881" s="38" t="s">
        <v>521</v>
      </c>
      <c r="E1881" s="94">
        <v>6</v>
      </c>
      <c r="F1881" s="94">
        <v>0.47</v>
      </c>
      <c r="G1881" s="94">
        <v>5</v>
      </c>
      <c r="H1881" s="94">
        <v>7</v>
      </c>
      <c r="I1881" s="94">
        <v>4</v>
      </c>
    </row>
    <row r="1882" spans="1:9" hidden="1" x14ac:dyDescent="0.35">
      <c r="A1882" s="38" t="s">
        <v>780</v>
      </c>
      <c r="B1882" s="38" t="s">
        <v>753</v>
      </c>
      <c r="C1882" s="38" t="s">
        <v>698</v>
      </c>
      <c r="D1882" s="38" t="s">
        <v>252</v>
      </c>
      <c r="E1882" s="94">
        <v>8</v>
      </c>
      <c r="F1882" s="94">
        <v>0.97</v>
      </c>
      <c r="G1882" s="94">
        <v>5</v>
      </c>
      <c r="H1882" s="94">
        <v>7</v>
      </c>
      <c r="I1882" s="94">
        <v>4</v>
      </c>
    </row>
    <row r="1883" spans="1:9" hidden="1" x14ac:dyDescent="0.35">
      <c r="A1883" s="38" t="s">
        <v>780</v>
      </c>
      <c r="B1883" s="38" t="s">
        <v>753</v>
      </c>
      <c r="C1883" s="38" t="s">
        <v>701</v>
      </c>
      <c r="D1883" s="38" t="s">
        <v>702</v>
      </c>
      <c r="E1883" s="94">
        <v>8</v>
      </c>
      <c r="F1883" s="94">
        <v>7.23</v>
      </c>
      <c r="G1883" s="94">
        <v>0.1</v>
      </c>
      <c r="H1883" s="94">
        <v>3</v>
      </c>
      <c r="I1883" s="94">
        <v>2</v>
      </c>
    </row>
    <row r="1884" spans="1:9" hidden="1" x14ac:dyDescent="0.35">
      <c r="A1884" s="38" t="s">
        <v>780</v>
      </c>
      <c r="B1884" s="38" t="s">
        <v>753</v>
      </c>
      <c r="C1884" s="38" t="s">
        <v>701</v>
      </c>
      <c r="D1884" s="38" t="s">
        <v>703</v>
      </c>
      <c r="E1884" s="94">
        <v>3.5</v>
      </c>
      <c r="F1884" s="94">
        <v>4.68</v>
      </c>
      <c r="G1884" s="94">
        <v>2</v>
      </c>
      <c r="H1884" s="94">
        <v>10</v>
      </c>
      <c r="I1884" s="94">
        <v>1</v>
      </c>
    </row>
    <row r="1885" spans="1:9" hidden="1" x14ac:dyDescent="0.35">
      <c r="A1885" s="38" t="s">
        <v>780</v>
      </c>
      <c r="B1885" s="38" t="s">
        <v>753</v>
      </c>
      <c r="C1885" s="38" t="s">
        <v>704</v>
      </c>
      <c r="D1885" s="38" t="s">
        <v>746</v>
      </c>
      <c r="E1885" s="94">
        <v>7</v>
      </c>
      <c r="F1885" s="94">
        <v>3.4</v>
      </c>
      <c r="G1885" s="94">
        <v>8</v>
      </c>
      <c r="H1885" s="94">
        <v>2</v>
      </c>
      <c r="I1885" s="94">
        <v>1</v>
      </c>
    </row>
    <row r="1886" spans="1:9" hidden="1" x14ac:dyDescent="0.35">
      <c r="A1886" s="38" t="s">
        <v>780</v>
      </c>
      <c r="B1886" s="38" t="s">
        <v>753</v>
      </c>
      <c r="C1886" s="38" t="s">
        <v>707</v>
      </c>
      <c r="D1886" s="38" t="s">
        <v>708</v>
      </c>
      <c r="E1886" s="94">
        <v>8.15</v>
      </c>
      <c r="F1886" s="94">
        <v>12.11</v>
      </c>
      <c r="G1886" s="94">
        <v>10</v>
      </c>
      <c r="H1886" s="94">
        <v>10.78</v>
      </c>
      <c r="I1886" s="94">
        <v>3.88</v>
      </c>
    </row>
    <row r="1887" spans="1:9" hidden="1" x14ac:dyDescent="0.35">
      <c r="A1887" s="38" t="s">
        <v>781</v>
      </c>
      <c r="B1887" s="38" t="s">
        <v>745</v>
      </c>
      <c r="C1887" s="38" t="s">
        <v>686</v>
      </c>
      <c r="D1887" s="38" t="s">
        <v>746</v>
      </c>
      <c r="E1887" s="94">
        <v>4.3</v>
      </c>
      <c r="F1887" s="94">
        <v>3.8</v>
      </c>
      <c r="G1887" s="94">
        <v>10.5</v>
      </c>
      <c r="H1887" s="94">
        <v>3</v>
      </c>
      <c r="I1887" s="94">
        <v>27</v>
      </c>
    </row>
    <row r="1888" spans="1:9" hidden="1" x14ac:dyDescent="0.35">
      <c r="A1888" s="38" t="s">
        <v>781</v>
      </c>
      <c r="B1888" s="38" t="s">
        <v>745</v>
      </c>
      <c r="C1888" s="38" t="s">
        <v>691</v>
      </c>
      <c r="D1888" s="38" t="s">
        <v>746</v>
      </c>
      <c r="E1888" s="94">
        <v>20</v>
      </c>
      <c r="F1888" s="94">
        <v>7.3</v>
      </c>
      <c r="G1888" s="94">
        <v>2</v>
      </c>
      <c r="H1888" s="94">
        <v>4.9000000000000004</v>
      </c>
      <c r="I1888" s="94">
        <v>19</v>
      </c>
    </row>
    <row r="1889" spans="1:9" hidden="1" x14ac:dyDescent="0.35">
      <c r="A1889" s="38" t="s">
        <v>781</v>
      </c>
      <c r="B1889" s="38" t="s">
        <v>745</v>
      </c>
      <c r="C1889" s="38" t="s">
        <v>696</v>
      </c>
      <c r="D1889" s="94" t="s">
        <v>697</v>
      </c>
      <c r="E1889" s="94">
        <v>9.4</v>
      </c>
      <c r="F1889" s="94">
        <v>7.9</v>
      </c>
      <c r="G1889" s="94">
        <v>6</v>
      </c>
      <c r="H1889" s="94">
        <v>9</v>
      </c>
      <c r="I1889" s="94">
        <v>11</v>
      </c>
    </row>
    <row r="1890" spans="1:9" hidden="1" x14ac:dyDescent="0.35">
      <c r="A1890" s="38" t="s">
        <v>781</v>
      </c>
      <c r="B1890" s="38" t="s">
        <v>745</v>
      </c>
      <c r="C1890" s="38" t="s">
        <v>698</v>
      </c>
      <c r="D1890" s="38" t="s">
        <v>747</v>
      </c>
      <c r="E1890" s="94">
        <v>2.2999999999999998</v>
      </c>
      <c r="F1890" s="94">
        <v>0.6</v>
      </c>
      <c r="G1890" s="94">
        <v>5</v>
      </c>
      <c r="H1890" s="94">
        <v>4</v>
      </c>
      <c r="I1890" s="94">
        <v>11</v>
      </c>
    </row>
    <row r="1891" spans="1:9" hidden="1" x14ac:dyDescent="0.35">
      <c r="A1891" s="38" t="s">
        <v>781</v>
      </c>
      <c r="B1891" s="38" t="s">
        <v>745</v>
      </c>
      <c r="C1891" s="38" t="s">
        <v>698</v>
      </c>
      <c r="D1891" s="38" t="s">
        <v>700</v>
      </c>
      <c r="E1891" s="94">
        <v>10</v>
      </c>
      <c r="F1891" s="94">
        <v>0.6</v>
      </c>
      <c r="G1891" s="94">
        <v>5</v>
      </c>
      <c r="H1891" s="94">
        <v>4</v>
      </c>
      <c r="I1891" s="94">
        <v>11</v>
      </c>
    </row>
    <row r="1892" spans="1:9" hidden="1" x14ac:dyDescent="0.35">
      <c r="A1892" s="38" t="s">
        <v>781</v>
      </c>
      <c r="B1892" s="38" t="s">
        <v>745</v>
      </c>
      <c r="C1892" s="38" t="s">
        <v>698</v>
      </c>
      <c r="D1892" s="38" t="s">
        <v>521</v>
      </c>
      <c r="E1892" s="94">
        <v>2.5</v>
      </c>
      <c r="F1892" s="94">
        <v>0.3</v>
      </c>
      <c r="G1892" s="94">
        <v>5</v>
      </c>
      <c r="H1892" s="94">
        <v>4</v>
      </c>
      <c r="I1892" s="94">
        <v>11</v>
      </c>
    </row>
    <row r="1893" spans="1:9" hidden="1" x14ac:dyDescent="0.35">
      <c r="A1893" s="38" t="s">
        <v>781</v>
      </c>
      <c r="B1893" s="38" t="s">
        <v>745</v>
      </c>
      <c r="C1893" s="38" t="s">
        <v>698</v>
      </c>
      <c r="D1893" s="38" t="s">
        <v>252</v>
      </c>
      <c r="E1893" s="94">
        <v>7</v>
      </c>
      <c r="F1893" s="94">
        <v>0.9</v>
      </c>
      <c r="G1893" s="94">
        <v>5</v>
      </c>
      <c r="H1893" s="94">
        <v>4</v>
      </c>
      <c r="I1893" s="94">
        <v>11</v>
      </c>
    </row>
    <row r="1894" spans="1:9" hidden="1" x14ac:dyDescent="0.35">
      <c r="A1894" s="38" t="s">
        <v>781</v>
      </c>
      <c r="B1894" s="38" t="s">
        <v>745</v>
      </c>
      <c r="C1894" s="38" t="s">
        <v>701</v>
      </c>
      <c r="D1894" s="38" t="s">
        <v>702</v>
      </c>
      <c r="E1894" s="94">
        <v>4</v>
      </c>
      <c r="F1894" s="94">
        <v>1.9</v>
      </c>
      <c r="G1894" s="94">
        <v>0.5</v>
      </c>
      <c r="H1894" s="94">
        <v>2</v>
      </c>
      <c r="I1894" s="94">
        <v>8</v>
      </c>
    </row>
    <row r="1895" spans="1:9" hidden="1" x14ac:dyDescent="0.35">
      <c r="A1895" s="38" t="s">
        <v>781</v>
      </c>
      <c r="B1895" s="38" t="s">
        <v>745</v>
      </c>
      <c r="C1895" s="38" t="s">
        <v>701</v>
      </c>
      <c r="D1895" s="38" t="s">
        <v>703</v>
      </c>
      <c r="E1895" s="94">
        <v>3.5</v>
      </c>
      <c r="F1895" s="94">
        <v>1.7</v>
      </c>
      <c r="G1895" s="94">
        <v>1.2</v>
      </c>
      <c r="H1895" s="94">
        <v>0.82</v>
      </c>
      <c r="I1895" s="94">
        <v>7</v>
      </c>
    </row>
    <row r="1896" spans="1:9" hidden="1" x14ac:dyDescent="0.35">
      <c r="A1896" s="38" t="s">
        <v>781</v>
      </c>
      <c r="B1896" s="38" t="s">
        <v>745</v>
      </c>
      <c r="C1896" s="38" t="s">
        <v>704</v>
      </c>
      <c r="D1896" s="38" t="s">
        <v>746</v>
      </c>
      <c r="E1896" s="94">
        <v>5.3</v>
      </c>
      <c r="F1896" s="94">
        <v>1.2</v>
      </c>
      <c r="G1896" s="94">
        <v>5</v>
      </c>
      <c r="H1896" s="94">
        <v>1</v>
      </c>
      <c r="I1896" s="94">
        <v>4</v>
      </c>
    </row>
    <row r="1897" spans="1:9" hidden="1" x14ac:dyDescent="0.35">
      <c r="A1897" s="38" t="s">
        <v>781</v>
      </c>
      <c r="B1897" s="38" t="s">
        <v>745</v>
      </c>
      <c r="C1897" s="38" t="s">
        <v>707</v>
      </c>
      <c r="D1897" s="38" t="s">
        <v>708</v>
      </c>
      <c r="E1897" s="94">
        <v>20</v>
      </c>
      <c r="F1897" s="94">
        <v>7.6</v>
      </c>
      <c r="G1897" s="94">
        <v>13.8</v>
      </c>
      <c r="H1897" s="94">
        <v>7</v>
      </c>
      <c r="I1897" s="94">
        <v>17</v>
      </c>
    </row>
    <row r="1898" spans="1:9" hidden="1" x14ac:dyDescent="0.35">
      <c r="A1898" s="38" t="s">
        <v>781</v>
      </c>
      <c r="B1898" s="38" t="s">
        <v>748</v>
      </c>
      <c r="C1898" s="38" t="s">
        <v>686</v>
      </c>
      <c r="D1898" s="38" t="s">
        <v>746</v>
      </c>
      <c r="E1898" s="195">
        <v>3.92</v>
      </c>
      <c r="F1898" s="195">
        <v>4.24</v>
      </c>
      <c r="G1898" s="195">
        <v>11.8</v>
      </c>
      <c r="H1898" s="195">
        <v>2</v>
      </c>
      <c r="I1898" s="195">
        <v>13.65</v>
      </c>
    </row>
    <row r="1899" spans="1:9" hidden="1" x14ac:dyDescent="0.35">
      <c r="A1899" s="38" t="s">
        <v>781</v>
      </c>
      <c r="B1899" s="38" t="s">
        <v>748</v>
      </c>
      <c r="C1899" s="38" t="s">
        <v>691</v>
      </c>
      <c r="D1899" s="38" t="s">
        <v>746</v>
      </c>
      <c r="E1899" s="195">
        <v>10</v>
      </c>
      <c r="F1899" s="195">
        <v>8.3699999999999992</v>
      </c>
      <c r="G1899" s="195">
        <v>2</v>
      </c>
      <c r="H1899" s="195">
        <v>8</v>
      </c>
      <c r="I1899" s="195">
        <v>10.35</v>
      </c>
    </row>
    <row r="1900" spans="1:9" hidden="1" x14ac:dyDescent="0.35">
      <c r="A1900" s="38" t="s">
        <v>781</v>
      </c>
      <c r="B1900" s="38" t="s">
        <v>748</v>
      </c>
      <c r="C1900" s="38" t="s">
        <v>696</v>
      </c>
      <c r="D1900" s="94" t="s">
        <v>697</v>
      </c>
      <c r="E1900" s="195">
        <v>15</v>
      </c>
      <c r="F1900" s="195">
        <v>16.5</v>
      </c>
      <c r="G1900" s="195">
        <v>6</v>
      </c>
      <c r="H1900" s="195">
        <v>11</v>
      </c>
      <c r="I1900" s="195">
        <v>7.3</v>
      </c>
    </row>
    <row r="1901" spans="1:9" hidden="1" x14ac:dyDescent="0.35">
      <c r="A1901" s="38" t="s">
        <v>781</v>
      </c>
      <c r="B1901" s="38" t="s">
        <v>748</v>
      </c>
      <c r="C1901" s="38" t="s">
        <v>698</v>
      </c>
      <c r="D1901" s="38" t="s">
        <v>747</v>
      </c>
      <c r="E1901" s="195">
        <v>2.2999999999999998</v>
      </c>
      <c r="F1901" s="195">
        <v>0.55000000000000004</v>
      </c>
      <c r="G1901" s="195">
        <v>5</v>
      </c>
      <c r="H1901" s="195">
        <v>6</v>
      </c>
      <c r="I1901" s="195">
        <v>6.8</v>
      </c>
    </row>
    <row r="1902" spans="1:9" hidden="1" x14ac:dyDescent="0.35">
      <c r="A1902" s="38" t="s">
        <v>781</v>
      </c>
      <c r="B1902" s="38" t="s">
        <v>748</v>
      </c>
      <c r="C1902" s="38" t="s">
        <v>698</v>
      </c>
      <c r="D1902" s="38" t="s">
        <v>700</v>
      </c>
      <c r="E1902" s="195">
        <v>10</v>
      </c>
      <c r="F1902" s="195">
        <v>0.81</v>
      </c>
      <c r="G1902" s="195">
        <v>5</v>
      </c>
      <c r="H1902" s="195">
        <v>6</v>
      </c>
      <c r="I1902" s="195">
        <v>6.8</v>
      </c>
    </row>
    <row r="1903" spans="1:9" hidden="1" x14ac:dyDescent="0.35">
      <c r="A1903" s="38" t="s">
        <v>781</v>
      </c>
      <c r="B1903" s="38" t="s">
        <v>748</v>
      </c>
      <c r="C1903" s="38" t="s">
        <v>698</v>
      </c>
      <c r="D1903" s="38" t="s">
        <v>521</v>
      </c>
      <c r="E1903" s="195">
        <v>2.5</v>
      </c>
      <c r="F1903" s="195">
        <v>0.18</v>
      </c>
      <c r="G1903" s="195">
        <v>5</v>
      </c>
      <c r="H1903" s="195">
        <v>6</v>
      </c>
      <c r="I1903" s="195">
        <v>6.8</v>
      </c>
    </row>
    <row r="1904" spans="1:9" hidden="1" x14ac:dyDescent="0.35">
      <c r="A1904" s="38" t="s">
        <v>781</v>
      </c>
      <c r="B1904" s="38" t="s">
        <v>748</v>
      </c>
      <c r="C1904" s="38" t="s">
        <v>698</v>
      </c>
      <c r="D1904" s="38" t="s">
        <v>252</v>
      </c>
      <c r="E1904" s="195">
        <v>7</v>
      </c>
      <c r="F1904" s="195">
        <v>1.03</v>
      </c>
      <c r="G1904" s="195">
        <v>5</v>
      </c>
      <c r="H1904" s="195">
        <v>6</v>
      </c>
      <c r="I1904" s="195">
        <v>6.8</v>
      </c>
    </row>
    <row r="1905" spans="1:9" hidden="1" x14ac:dyDescent="0.35">
      <c r="A1905" s="38" t="s">
        <v>781</v>
      </c>
      <c r="B1905" s="38" t="s">
        <v>748</v>
      </c>
      <c r="C1905" s="38" t="s">
        <v>701</v>
      </c>
      <c r="D1905" s="38" t="s">
        <v>702</v>
      </c>
      <c r="E1905" s="195">
        <v>6</v>
      </c>
      <c r="F1905" s="195">
        <v>2.38</v>
      </c>
      <c r="G1905" s="195">
        <v>0.5</v>
      </c>
      <c r="H1905" s="195">
        <v>4</v>
      </c>
      <c r="I1905" s="195">
        <v>3.65</v>
      </c>
    </row>
    <row r="1906" spans="1:9" hidden="1" x14ac:dyDescent="0.35">
      <c r="A1906" s="38" t="s">
        <v>781</v>
      </c>
      <c r="B1906" s="38" t="s">
        <v>748</v>
      </c>
      <c r="C1906" s="38" t="s">
        <v>701</v>
      </c>
      <c r="D1906" s="38" t="s">
        <v>703</v>
      </c>
      <c r="E1906" s="195">
        <v>3.5</v>
      </c>
      <c r="F1906" s="195">
        <v>2.2400000000000002</v>
      </c>
      <c r="G1906" s="195">
        <v>1.2</v>
      </c>
      <c r="H1906" s="195">
        <v>0.5</v>
      </c>
      <c r="I1906" s="195">
        <v>2.6</v>
      </c>
    </row>
    <row r="1907" spans="1:9" hidden="1" x14ac:dyDescent="0.35">
      <c r="A1907" s="38" t="s">
        <v>781</v>
      </c>
      <c r="B1907" s="38" t="s">
        <v>748</v>
      </c>
      <c r="C1907" s="38" t="s">
        <v>704</v>
      </c>
      <c r="D1907" s="38" t="s">
        <v>746</v>
      </c>
      <c r="E1907" s="195">
        <v>6</v>
      </c>
      <c r="F1907" s="195">
        <v>2.72</v>
      </c>
      <c r="G1907" s="195">
        <v>5</v>
      </c>
      <c r="H1907" s="195">
        <v>1</v>
      </c>
      <c r="I1907" s="195">
        <v>16.55</v>
      </c>
    </row>
    <row r="1908" spans="1:9" hidden="1" x14ac:dyDescent="0.35">
      <c r="A1908" s="38" t="s">
        <v>781</v>
      </c>
      <c r="B1908" s="38" t="s">
        <v>748</v>
      </c>
      <c r="C1908" s="38" t="s">
        <v>707</v>
      </c>
      <c r="D1908" s="38" t="s">
        <v>708</v>
      </c>
      <c r="E1908" s="195">
        <v>20</v>
      </c>
      <c r="F1908" s="195">
        <v>4.8499999999999996</v>
      </c>
      <c r="G1908" s="195">
        <v>15</v>
      </c>
      <c r="H1908" s="195">
        <v>9</v>
      </c>
      <c r="I1908" s="195">
        <v>7.15</v>
      </c>
    </row>
    <row r="1909" spans="1:9" hidden="1" x14ac:dyDescent="0.35">
      <c r="A1909" s="38" t="s">
        <v>781</v>
      </c>
      <c r="B1909" s="38" t="s">
        <v>749</v>
      </c>
      <c r="C1909" s="38" t="s">
        <v>686</v>
      </c>
      <c r="D1909" s="38" t="s">
        <v>746</v>
      </c>
      <c r="E1909" s="94">
        <v>7.17</v>
      </c>
      <c r="F1909" s="94">
        <v>3.25</v>
      </c>
      <c r="G1909" s="94">
        <v>10.5</v>
      </c>
      <c r="H1909" s="94">
        <v>9</v>
      </c>
      <c r="I1909" s="94">
        <v>23.99</v>
      </c>
    </row>
    <row r="1910" spans="1:9" hidden="1" x14ac:dyDescent="0.35">
      <c r="A1910" s="38" t="s">
        <v>781</v>
      </c>
      <c r="B1910" s="38" t="s">
        <v>749</v>
      </c>
      <c r="C1910" s="38" t="s">
        <v>691</v>
      </c>
      <c r="D1910" s="38" t="s">
        <v>746</v>
      </c>
      <c r="E1910" s="94">
        <v>20</v>
      </c>
      <c r="F1910" s="94">
        <v>15.3</v>
      </c>
      <c r="G1910" s="94">
        <v>2</v>
      </c>
      <c r="H1910" s="94">
        <v>9.35</v>
      </c>
      <c r="I1910" s="94">
        <v>25.43</v>
      </c>
    </row>
    <row r="1911" spans="1:9" hidden="1" x14ac:dyDescent="0.35">
      <c r="A1911" s="38" t="s">
        <v>781</v>
      </c>
      <c r="B1911" s="38" t="s">
        <v>749</v>
      </c>
      <c r="C1911" s="38" t="s">
        <v>696</v>
      </c>
      <c r="D1911" s="94" t="s">
        <v>697</v>
      </c>
      <c r="E1911" s="94">
        <v>12</v>
      </c>
      <c r="F1911" s="94">
        <v>2.2200000000000002</v>
      </c>
      <c r="G1911" s="94">
        <v>6</v>
      </c>
      <c r="H1911" s="94">
        <v>6.83</v>
      </c>
      <c r="I1911" s="94">
        <v>28.17</v>
      </c>
    </row>
    <row r="1912" spans="1:9" hidden="1" x14ac:dyDescent="0.35">
      <c r="A1912" s="38" t="s">
        <v>781</v>
      </c>
      <c r="B1912" s="38" t="s">
        <v>749</v>
      </c>
      <c r="C1912" s="38" t="s">
        <v>698</v>
      </c>
      <c r="D1912" s="38" t="s">
        <v>747</v>
      </c>
      <c r="E1912" s="94">
        <v>2.2999999999999998</v>
      </c>
      <c r="F1912" s="94">
        <v>0.31</v>
      </c>
      <c r="G1912" s="94">
        <v>5</v>
      </c>
      <c r="H1912" s="94">
        <v>3.9</v>
      </c>
      <c r="I1912" s="38">
        <v>21.19</v>
      </c>
    </row>
    <row r="1913" spans="1:9" hidden="1" x14ac:dyDescent="0.35">
      <c r="A1913" s="38" t="s">
        <v>781</v>
      </c>
      <c r="B1913" s="38" t="s">
        <v>749</v>
      </c>
      <c r="C1913" s="38" t="s">
        <v>698</v>
      </c>
      <c r="D1913" s="38" t="s">
        <v>700</v>
      </c>
      <c r="E1913" s="94">
        <v>10</v>
      </c>
      <c r="F1913" s="94">
        <v>0.8</v>
      </c>
      <c r="G1913" s="94">
        <v>5</v>
      </c>
      <c r="H1913" s="94">
        <v>3.9</v>
      </c>
      <c r="I1913" s="94">
        <v>21.19</v>
      </c>
    </row>
    <row r="1914" spans="1:9" hidden="1" x14ac:dyDescent="0.35">
      <c r="A1914" s="38" t="s">
        <v>781</v>
      </c>
      <c r="B1914" s="38" t="s">
        <v>749</v>
      </c>
      <c r="C1914" s="38" t="s">
        <v>698</v>
      </c>
      <c r="D1914" s="38" t="s">
        <v>521</v>
      </c>
      <c r="E1914" s="94">
        <v>2.5</v>
      </c>
      <c r="F1914" s="94">
        <v>0.66</v>
      </c>
      <c r="G1914" s="94">
        <v>5</v>
      </c>
      <c r="H1914" s="94">
        <v>3.9</v>
      </c>
      <c r="I1914" s="94">
        <v>21.19</v>
      </c>
    </row>
    <row r="1915" spans="1:9" hidden="1" x14ac:dyDescent="0.35">
      <c r="A1915" s="38" t="s">
        <v>781</v>
      </c>
      <c r="B1915" s="38" t="s">
        <v>749</v>
      </c>
      <c r="C1915" s="38" t="s">
        <v>698</v>
      </c>
      <c r="D1915" s="38" t="s">
        <v>252</v>
      </c>
      <c r="E1915" s="94">
        <v>7</v>
      </c>
      <c r="F1915" s="94">
        <v>0.88</v>
      </c>
      <c r="G1915" s="94">
        <v>5</v>
      </c>
      <c r="H1915" s="94">
        <v>3.9</v>
      </c>
      <c r="I1915" s="94">
        <v>21.19</v>
      </c>
    </row>
    <row r="1916" spans="1:9" hidden="1" x14ac:dyDescent="0.35">
      <c r="A1916" s="38" t="s">
        <v>781</v>
      </c>
      <c r="B1916" s="38" t="s">
        <v>749</v>
      </c>
      <c r="C1916" s="38" t="s">
        <v>701</v>
      </c>
      <c r="D1916" s="38" t="s">
        <v>702</v>
      </c>
      <c r="E1916" s="94">
        <v>4</v>
      </c>
      <c r="F1916" s="94">
        <v>2.27</v>
      </c>
      <c r="G1916" s="94">
        <v>0.5</v>
      </c>
      <c r="H1916" s="94">
        <v>7</v>
      </c>
      <c r="I1916" s="94">
        <v>20.399999999999999</v>
      </c>
    </row>
    <row r="1917" spans="1:9" hidden="1" x14ac:dyDescent="0.35">
      <c r="A1917" s="38" t="s">
        <v>781</v>
      </c>
      <c r="B1917" s="38" t="s">
        <v>749</v>
      </c>
      <c r="C1917" s="38" t="s">
        <v>701</v>
      </c>
      <c r="D1917" s="38" t="s">
        <v>703</v>
      </c>
      <c r="E1917" s="94">
        <v>3.5</v>
      </c>
      <c r="F1917" s="94">
        <v>0.4</v>
      </c>
      <c r="G1917" s="94">
        <v>1.2</v>
      </c>
      <c r="H1917" s="94">
        <v>7.75</v>
      </c>
      <c r="I1917" s="94">
        <v>21</v>
      </c>
    </row>
    <row r="1918" spans="1:9" hidden="1" x14ac:dyDescent="0.35">
      <c r="A1918" s="38" t="s">
        <v>781</v>
      </c>
      <c r="B1918" s="38" t="s">
        <v>749</v>
      </c>
      <c r="C1918" s="38" t="s">
        <v>704</v>
      </c>
      <c r="D1918" s="38" t="s">
        <v>746</v>
      </c>
      <c r="E1918" s="94">
        <v>12</v>
      </c>
      <c r="F1918" s="94">
        <v>3.91</v>
      </c>
      <c r="G1918" s="94">
        <v>5</v>
      </c>
      <c r="H1918" s="94">
        <v>1</v>
      </c>
      <c r="I1918" s="94">
        <v>4</v>
      </c>
    </row>
    <row r="1919" spans="1:9" hidden="1" x14ac:dyDescent="0.35">
      <c r="A1919" s="38" t="s">
        <v>781</v>
      </c>
      <c r="B1919" s="38" t="s">
        <v>749</v>
      </c>
      <c r="C1919" s="38" t="s">
        <v>707</v>
      </c>
      <c r="D1919" s="38" t="s">
        <v>708</v>
      </c>
      <c r="E1919" s="94">
        <v>20</v>
      </c>
      <c r="F1919" s="94">
        <v>5.83</v>
      </c>
      <c r="G1919" s="94">
        <v>15</v>
      </c>
      <c r="H1919" s="94">
        <v>8</v>
      </c>
      <c r="I1919" s="94">
        <v>15</v>
      </c>
    </row>
    <row r="1920" spans="1:9" hidden="1" x14ac:dyDescent="0.35">
      <c r="A1920" s="38" t="s">
        <v>781</v>
      </c>
      <c r="B1920" s="38" t="s">
        <v>750</v>
      </c>
      <c r="C1920" s="38" t="s">
        <v>686</v>
      </c>
      <c r="D1920" s="38" t="s">
        <v>746</v>
      </c>
      <c r="E1920" s="94">
        <v>6</v>
      </c>
      <c r="F1920" s="94">
        <v>7.46</v>
      </c>
      <c r="G1920" s="94">
        <v>9</v>
      </c>
      <c r="H1920" s="94">
        <v>4</v>
      </c>
      <c r="I1920" s="94">
        <v>10</v>
      </c>
    </row>
    <row r="1921" spans="1:9" hidden="1" x14ac:dyDescent="0.35">
      <c r="A1921" s="38" t="s">
        <v>781</v>
      </c>
      <c r="B1921" s="38" t="s">
        <v>750</v>
      </c>
      <c r="C1921" s="38" t="s">
        <v>691</v>
      </c>
      <c r="D1921" s="38" t="s">
        <v>746</v>
      </c>
      <c r="E1921" s="94">
        <v>20</v>
      </c>
      <c r="F1921" s="94">
        <v>14.32</v>
      </c>
      <c r="G1921" s="94">
        <v>20</v>
      </c>
      <c r="H1921" s="94">
        <v>12</v>
      </c>
      <c r="I1921" s="94">
        <v>10</v>
      </c>
    </row>
    <row r="1922" spans="1:9" hidden="1" x14ac:dyDescent="0.35">
      <c r="A1922" s="38" t="s">
        <v>781</v>
      </c>
      <c r="B1922" s="38" t="s">
        <v>750</v>
      </c>
      <c r="C1922" s="38" t="s">
        <v>696</v>
      </c>
      <c r="D1922" s="94" t="s">
        <v>697</v>
      </c>
      <c r="E1922" s="94">
        <v>5.7</v>
      </c>
      <c r="F1922" s="94">
        <v>19.61</v>
      </c>
      <c r="G1922" s="94">
        <v>9</v>
      </c>
      <c r="H1922" s="94">
        <v>10</v>
      </c>
      <c r="I1922" s="94">
        <v>4</v>
      </c>
    </row>
    <row r="1923" spans="1:9" hidden="1" x14ac:dyDescent="0.35">
      <c r="A1923" s="38" t="s">
        <v>781</v>
      </c>
      <c r="B1923" s="38" t="s">
        <v>750</v>
      </c>
      <c r="C1923" s="38" t="s">
        <v>698</v>
      </c>
      <c r="D1923" s="38" t="s">
        <v>747</v>
      </c>
      <c r="E1923" s="94">
        <v>5</v>
      </c>
      <c r="F1923" s="94">
        <v>1.32</v>
      </c>
      <c r="G1923" s="94">
        <v>5</v>
      </c>
      <c r="H1923" s="94">
        <v>5</v>
      </c>
      <c r="I1923" s="94">
        <v>6</v>
      </c>
    </row>
    <row r="1924" spans="1:9" hidden="1" x14ac:dyDescent="0.35">
      <c r="A1924" s="38" t="s">
        <v>781</v>
      </c>
      <c r="B1924" s="38" t="s">
        <v>750</v>
      </c>
      <c r="C1924" s="38" t="s">
        <v>698</v>
      </c>
      <c r="D1924" s="38" t="s">
        <v>700</v>
      </c>
      <c r="E1924" s="94">
        <v>10</v>
      </c>
      <c r="F1924" s="94">
        <v>1.04</v>
      </c>
      <c r="G1924" s="94">
        <v>5</v>
      </c>
      <c r="H1924" s="94">
        <v>5</v>
      </c>
      <c r="I1924" s="94">
        <v>6</v>
      </c>
    </row>
    <row r="1925" spans="1:9" hidden="1" x14ac:dyDescent="0.35">
      <c r="A1925" s="38" t="s">
        <v>781</v>
      </c>
      <c r="B1925" s="38" t="s">
        <v>750</v>
      </c>
      <c r="C1925" s="38" t="s">
        <v>698</v>
      </c>
      <c r="D1925" s="38" t="s">
        <v>521</v>
      </c>
      <c r="E1925" s="94">
        <v>6</v>
      </c>
      <c r="F1925" s="94">
        <v>0.41</v>
      </c>
      <c r="G1925" s="94">
        <v>5</v>
      </c>
      <c r="H1925" s="94">
        <v>5</v>
      </c>
      <c r="I1925" s="94">
        <v>6</v>
      </c>
    </row>
    <row r="1926" spans="1:9" hidden="1" x14ac:dyDescent="0.35">
      <c r="A1926" s="38" t="s">
        <v>781</v>
      </c>
      <c r="B1926" s="38" t="s">
        <v>750</v>
      </c>
      <c r="C1926" s="38" t="s">
        <v>698</v>
      </c>
      <c r="D1926" s="38" t="s">
        <v>252</v>
      </c>
      <c r="E1926" s="94">
        <v>6</v>
      </c>
      <c r="F1926" s="94">
        <v>1.5</v>
      </c>
      <c r="G1926" s="94">
        <v>5</v>
      </c>
      <c r="H1926" s="94">
        <v>5</v>
      </c>
      <c r="I1926" s="94">
        <v>6</v>
      </c>
    </row>
    <row r="1927" spans="1:9" hidden="1" x14ac:dyDescent="0.35">
      <c r="A1927" s="38" t="s">
        <v>781</v>
      </c>
      <c r="B1927" s="38" t="s">
        <v>750</v>
      </c>
      <c r="C1927" s="38" t="s">
        <v>701</v>
      </c>
      <c r="D1927" s="38" t="s">
        <v>702</v>
      </c>
      <c r="E1927" s="94">
        <v>6</v>
      </c>
      <c r="F1927" s="94">
        <v>6.21</v>
      </c>
      <c r="G1927" s="94">
        <v>0.5</v>
      </c>
      <c r="H1927" s="94">
        <v>4</v>
      </c>
      <c r="I1927" s="94">
        <v>4</v>
      </c>
    </row>
    <row r="1928" spans="1:9" hidden="1" x14ac:dyDescent="0.35">
      <c r="A1928" s="38" t="s">
        <v>781</v>
      </c>
      <c r="B1928" s="38" t="s">
        <v>750</v>
      </c>
      <c r="C1928" s="38" t="s">
        <v>701</v>
      </c>
      <c r="D1928" s="38" t="s">
        <v>703</v>
      </c>
      <c r="E1928" s="94">
        <v>3.5</v>
      </c>
      <c r="F1928" s="94">
        <v>3.74</v>
      </c>
      <c r="G1928" s="94">
        <v>2</v>
      </c>
      <c r="H1928" s="94">
        <v>8</v>
      </c>
      <c r="I1928" s="94">
        <v>4</v>
      </c>
    </row>
    <row r="1929" spans="1:9" hidden="1" x14ac:dyDescent="0.35">
      <c r="A1929" s="38" t="s">
        <v>781</v>
      </c>
      <c r="B1929" s="38" t="s">
        <v>750</v>
      </c>
      <c r="C1929" s="38" t="s">
        <v>704</v>
      </c>
      <c r="D1929" s="38" t="s">
        <v>746</v>
      </c>
      <c r="E1929" s="94">
        <v>6</v>
      </c>
      <c r="F1929" s="94">
        <v>1.49</v>
      </c>
      <c r="G1929" s="94">
        <v>8</v>
      </c>
      <c r="H1929" s="94">
        <v>2</v>
      </c>
      <c r="I1929" s="94">
        <v>2</v>
      </c>
    </row>
    <row r="1930" spans="1:9" hidden="1" x14ac:dyDescent="0.35">
      <c r="A1930" s="38" t="s">
        <v>781</v>
      </c>
      <c r="B1930" s="38" t="s">
        <v>750</v>
      </c>
      <c r="C1930" s="38" t="s">
        <v>707</v>
      </c>
      <c r="D1930" s="38" t="s">
        <v>708</v>
      </c>
      <c r="E1930" s="94">
        <v>14</v>
      </c>
      <c r="F1930" s="94">
        <v>10.39</v>
      </c>
      <c r="G1930" s="94">
        <v>12</v>
      </c>
      <c r="H1930" s="94">
        <v>3</v>
      </c>
      <c r="I1930" s="94">
        <v>4</v>
      </c>
    </row>
    <row r="1931" spans="1:9" hidden="1" x14ac:dyDescent="0.35">
      <c r="A1931" s="38" t="s">
        <v>781</v>
      </c>
      <c r="B1931" s="38" t="s">
        <v>751</v>
      </c>
      <c r="C1931" s="38" t="s">
        <v>686</v>
      </c>
      <c r="D1931" s="38" t="s">
        <v>746</v>
      </c>
      <c r="E1931" s="94">
        <v>6</v>
      </c>
      <c r="F1931" s="94">
        <v>7.23</v>
      </c>
      <c r="G1931" s="94">
        <v>9</v>
      </c>
      <c r="H1931" s="94">
        <v>4</v>
      </c>
      <c r="I1931" s="94">
        <v>12</v>
      </c>
    </row>
    <row r="1932" spans="1:9" hidden="1" x14ac:dyDescent="0.35">
      <c r="A1932" s="38" t="s">
        <v>781</v>
      </c>
      <c r="B1932" s="38" t="s">
        <v>751</v>
      </c>
      <c r="C1932" s="38" t="s">
        <v>691</v>
      </c>
      <c r="D1932" s="38" t="s">
        <v>746</v>
      </c>
      <c r="E1932" s="94">
        <v>11.33</v>
      </c>
      <c r="F1932" s="94">
        <v>11.3</v>
      </c>
      <c r="G1932" s="94">
        <v>20</v>
      </c>
      <c r="H1932" s="94">
        <v>15.15</v>
      </c>
      <c r="I1932" s="94">
        <v>13</v>
      </c>
    </row>
    <row r="1933" spans="1:9" hidden="1" x14ac:dyDescent="0.35">
      <c r="A1933" s="38" t="s">
        <v>781</v>
      </c>
      <c r="B1933" s="38" t="s">
        <v>751</v>
      </c>
      <c r="C1933" s="38" t="s">
        <v>696</v>
      </c>
      <c r="D1933" s="94" t="s">
        <v>697</v>
      </c>
      <c r="E1933" s="94">
        <v>6.6</v>
      </c>
      <c r="F1933" s="94">
        <v>22.46</v>
      </c>
      <c r="G1933" s="94">
        <v>9</v>
      </c>
      <c r="H1933" s="94">
        <v>10</v>
      </c>
      <c r="I1933" s="94">
        <v>4</v>
      </c>
    </row>
    <row r="1934" spans="1:9" hidden="1" x14ac:dyDescent="0.35">
      <c r="A1934" s="38" t="s">
        <v>781</v>
      </c>
      <c r="B1934" s="38" t="s">
        <v>751</v>
      </c>
      <c r="C1934" s="38" t="s">
        <v>698</v>
      </c>
      <c r="D1934" s="38" t="s">
        <v>747</v>
      </c>
      <c r="E1934" s="94">
        <v>10</v>
      </c>
      <c r="F1934" s="94">
        <v>0.2</v>
      </c>
      <c r="G1934" s="94">
        <v>5</v>
      </c>
      <c r="H1934" s="94">
        <v>5</v>
      </c>
      <c r="I1934" s="94">
        <v>8</v>
      </c>
    </row>
    <row r="1935" spans="1:9" hidden="1" x14ac:dyDescent="0.35">
      <c r="A1935" s="38" t="s">
        <v>781</v>
      </c>
      <c r="B1935" s="38" t="s">
        <v>751</v>
      </c>
      <c r="C1935" s="38" t="s">
        <v>698</v>
      </c>
      <c r="D1935" s="38" t="s">
        <v>700</v>
      </c>
      <c r="E1935" s="94">
        <v>15</v>
      </c>
      <c r="F1935" s="94">
        <v>0.2</v>
      </c>
      <c r="G1935" s="94">
        <v>5</v>
      </c>
      <c r="H1935" s="94">
        <v>5</v>
      </c>
      <c r="I1935" s="94">
        <v>8</v>
      </c>
    </row>
    <row r="1936" spans="1:9" hidden="1" x14ac:dyDescent="0.35">
      <c r="A1936" s="38" t="s">
        <v>781</v>
      </c>
      <c r="B1936" s="38" t="s">
        <v>751</v>
      </c>
      <c r="C1936" s="38" t="s">
        <v>698</v>
      </c>
      <c r="D1936" s="38" t="s">
        <v>521</v>
      </c>
      <c r="E1936" s="94">
        <v>8</v>
      </c>
      <c r="F1936" s="94">
        <v>0.23</v>
      </c>
      <c r="G1936" s="94">
        <v>5</v>
      </c>
      <c r="H1936" s="94">
        <v>5</v>
      </c>
      <c r="I1936" s="94">
        <v>8</v>
      </c>
    </row>
    <row r="1937" spans="1:9" hidden="1" x14ac:dyDescent="0.35">
      <c r="A1937" s="38" t="s">
        <v>781</v>
      </c>
      <c r="B1937" s="38" t="s">
        <v>751</v>
      </c>
      <c r="C1937" s="38" t="s">
        <v>698</v>
      </c>
      <c r="D1937" s="38" t="s">
        <v>252</v>
      </c>
      <c r="E1937" s="94">
        <v>8</v>
      </c>
      <c r="F1937" s="94">
        <v>0.9</v>
      </c>
      <c r="G1937" s="94">
        <v>5</v>
      </c>
      <c r="H1937" s="94">
        <v>5</v>
      </c>
      <c r="I1937" s="94">
        <v>8</v>
      </c>
    </row>
    <row r="1938" spans="1:9" hidden="1" x14ac:dyDescent="0.35">
      <c r="A1938" s="38" t="s">
        <v>781</v>
      </c>
      <c r="B1938" s="38" t="s">
        <v>751</v>
      </c>
      <c r="C1938" s="38" t="s">
        <v>701</v>
      </c>
      <c r="D1938" s="38" t="s">
        <v>702</v>
      </c>
      <c r="E1938" s="94">
        <v>6</v>
      </c>
      <c r="F1938" s="94">
        <v>4.8899999999999997</v>
      </c>
      <c r="G1938" s="94">
        <v>4.5</v>
      </c>
      <c r="H1938" s="94">
        <v>4</v>
      </c>
      <c r="I1938" s="94">
        <v>12</v>
      </c>
    </row>
    <row r="1939" spans="1:9" hidden="1" x14ac:dyDescent="0.35">
      <c r="A1939" s="38" t="s">
        <v>781</v>
      </c>
      <c r="B1939" s="38" t="s">
        <v>751</v>
      </c>
      <c r="C1939" s="38" t="s">
        <v>701</v>
      </c>
      <c r="D1939" s="38" t="s">
        <v>703</v>
      </c>
      <c r="E1939" s="94">
        <v>3.5</v>
      </c>
      <c r="F1939" s="94">
        <v>3.32</v>
      </c>
      <c r="G1939" s="94">
        <v>2</v>
      </c>
      <c r="H1939" s="94">
        <v>8</v>
      </c>
      <c r="I1939" s="94">
        <v>2</v>
      </c>
    </row>
    <row r="1940" spans="1:9" hidden="1" x14ac:dyDescent="0.35">
      <c r="A1940" s="38" t="s">
        <v>781</v>
      </c>
      <c r="B1940" s="38" t="s">
        <v>751</v>
      </c>
      <c r="C1940" s="38" t="s">
        <v>704</v>
      </c>
      <c r="D1940" s="38" t="s">
        <v>746</v>
      </c>
      <c r="E1940" s="94">
        <v>15</v>
      </c>
      <c r="F1940" s="94">
        <v>2.8</v>
      </c>
      <c r="G1940" s="94">
        <v>8</v>
      </c>
      <c r="H1940" s="94">
        <v>2</v>
      </c>
      <c r="I1940" s="94">
        <v>2</v>
      </c>
    </row>
    <row r="1941" spans="1:9" hidden="1" x14ac:dyDescent="0.35">
      <c r="A1941" s="38" t="s">
        <v>781</v>
      </c>
      <c r="B1941" s="38" t="s">
        <v>751</v>
      </c>
      <c r="C1941" s="38" t="s">
        <v>707</v>
      </c>
      <c r="D1941" s="38" t="s">
        <v>708</v>
      </c>
      <c r="E1941" s="94">
        <v>11.9</v>
      </c>
      <c r="F1941" s="94">
        <v>9.26</v>
      </c>
      <c r="G1941" s="94">
        <v>12</v>
      </c>
      <c r="H1941" s="94">
        <v>5.7</v>
      </c>
      <c r="I1941" s="94">
        <v>6</v>
      </c>
    </row>
    <row r="1942" spans="1:9" hidden="1" x14ac:dyDescent="0.35">
      <c r="A1942" s="38" t="s">
        <v>781</v>
      </c>
      <c r="B1942" s="38" t="s">
        <v>752</v>
      </c>
      <c r="C1942" s="38" t="s">
        <v>686</v>
      </c>
      <c r="D1942" s="38" t="s">
        <v>746</v>
      </c>
      <c r="E1942" s="195">
        <f t="shared" ref="E1942:I1952" si="52">E57*0.5</f>
        <v>3.605</v>
      </c>
      <c r="F1942" s="195">
        <f t="shared" si="52"/>
        <v>4.375</v>
      </c>
      <c r="G1942" s="195">
        <f t="shared" si="52"/>
        <v>7.625</v>
      </c>
      <c r="H1942" s="195">
        <f t="shared" si="52"/>
        <v>1</v>
      </c>
      <c r="I1942" s="195">
        <f t="shared" si="52"/>
        <v>0.5</v>
      </c>
    </row>
    <row r="1943" spans="1:9" hidden="1" x14ac:dyDescent="0.35">
      <c r="A1943" s="38" t="s">
        <v>781</v>
      </c>
      <c r="B1943" s="38" t="s">
        <v>752</v>
      </c>
      <c r="C1943" s="38" t="s">
        <v>691</v>
      </c>
      <c r="D1943" s="38" t="s">
        <v>746</v>
      </c>
      <c r="E1943" s="195">
        <f t="shared" si="52"/>
        <v>6.7350000000000003</v>
      </c>
      <c r="F1943" s="195">
        <f t="shared" si="52"/>
        <v>8.8550000000000004</v>
      </c>
      <c r="G1943" s="195">
        <f t="shared" si="52"/>
        <v>12.5</v>
      </c>
      <c r="H1943" s="195">
        <f t="shared" si="52"/>
        <v>17.065000000000001</v>
      </c>
      <c r="I1943" s="195">
        <f t="shared" si="52"/>
        <v>2.5</v>
      </c>
    </row>
    <row r="1944" spans="1:9" hidden="1" x14ac:dyDescent="0.35">
      <c r="A1944" s="38" t="s">
        <v>781</v>
      </c>
      <c r="B1944" s="38" t="s">
        <v>752</v>
      </c>
      <c r="C1944" s="38" t="s">
        <v>696</v>
      </c>
      <c r="D1944" s="94" t="s">
        <v>697</v>
      </c>
      <c r="E1944" s="195">
        <f t="shared" si="52"/>
        <v>2.85</v>
      </c>
      <c r="F1944" s="195">
        <f t="shared" si="52"/>
        <v>10.97</v>
      </c>
      <c r="G1944" s="195">
        <f t="shared" si="52"/>
        <v>4.5</v>
      </c>
      <c r="H1944" s="195">
        <f t="shared" si="52"/>
        <v>7.5</v>
      </c>
      <c r="I1944" s="195">
        <f t="shared" si="52"/>
        <v>1</v>
      </c>
    </row>
    <row r="1945" spans="1:9" hidden="1" x14ac:dyDescent="0.35">
      <c r="A1945" s="38" t="s">
        <v>781</v>
      </c>
      <c r="B1945" s="38" t="s">
        <v>752</v>
      </c>
      <c r="C1945" s="38" t="s">
        <v>698</v>
      </c>
      <c r="D1945" s="38" t="s">
        <v>747</v>
      </c>
      <c r="E1945" s="195">
        <f t="shared" si="52"/>
        <v>5</v>
      </c>
      <c r="F1945" s="195">
        <f t="shared" si="52"/>
        <v>0.46500000000000002</v>
      </c>
      <c r="G1945" s="195">
        <f t="shared" si="52"/>
        <v>2.5</v>
      </c>
      <c r="H1945" s="195">
        <f t="shared" si="52"/>
        <v>3.5</v>
      </c>
      <c r="I1945" s="195">
        <f t="shared" si="52"/>
        <v>1</v>
      </c>
    </row>
    <row r="1946" spans="1:9" hidden="1" x14ac:dyDescent="0.35">
      <c r="A1946" s="38" t="s">
        <v>781</v>
      </c>
      <c r="B1946" s="38" t="s">
        <v>752</v>
      </c>
      <c r="C1946" s="38" t="s">
        <v>698</v>
      </c>
      <c r="D1946" s="38" t="s">
        <v>700</v>
      </c>
      <c r="E1946" s="195">
        <f t="shared" si="52"/>
        <v>16.5</v>
      </c>
      <c r="F1946" s="195">
        <f t="shared" si="52"/>
        <v>0.1</v>
      </c>
      <c r="G1946" s="195">
        <f t="shared" si="52"/>
        <v>2.5</v>
      </c>
      <c r="H1946" s="195">
        <f t="shared" si="52"/>
        <v>3.5</v>
      </c>
      <c r="I1946" s="195">
        <f t="shared" si="52"/>
        <v>1</v>
      </c>
    </row>
    <row r="1947" spans="1:9" hidden="1" x14ac:dyDescent="0.35">
      <c r="A1947" s="38" t="s">
        <v>781</v>
      </c>
      <c r="B1947" s="38" t="s">
        <v>752</v>
      </c>
      <c r="C1947" s="38" t="s">
        <v>698</v>
      </c>
      <c r="D1947" s="38" t="s">
        <v>521</v>
      </c>
      <c r="E1947" s="195">
        <f t="shared" si="52"/>
        <v>5</v>
      </c>
      <c r="F1947" s="195">
        <f t="shared" si="52"/>
        <v>0.115</v>
      </c>
      <c r="G1947" s="195">
        <f t="shared" si="52"/>
        <v>2.5</v>
      </c>
      <c r="H1947" s="195">
        <f t="shared" si="52"/>
        <v>3.5</v>
      </c>
      <c r="I1947" s="195">
        <f t="shared" si="52"/>
        <v>1</v>
      </c>
    </row>
    <row r="1948" spans="1:9" hidden="1" x14ac:dyDescent="0.35">
      <c r="A1948" s="38" t="s">
        <v>781</v>
      </c>
      <c r="B1948" s="38" t="s">
        <v>752</v>
      </c>
      <c r="C1948" s="38" t="s">
        <v>698</v>
      </c>
      <c r="D1948" s="38" t="s">
        <v>252</v>
      </c>
      <c r="E1948" s="195">
        <f t="shared" si="52"/>
        <v>12.5</v>
      </c>
      <c r="F1948" s="195">
        <f t="shared" si="52"/>
        <v>0.45</v>
      </c>
      <c r="G1948" s="195">
        <f t="shared" si="52"/>
        <v>2.5</v>
      </c>
      <c r="H1948" s="195">
        <f t="shared" si="52"/>
        <v>3.5</v>
      </c>
      <c r="I1948" s="195">
        <f t="shared" si="52"/>
        <v>1</v>
      </c>
    </row>
    <row r="1949" spans="1:9" hidden="1" x14ac:dyDescent="0.35">
      <c r="A1949" s="38" t="s">
        <v>781</v>
      </c>
      <c r="B1949" s="38" t="s">
        <v>752</v>
      </c>
      <c r="C1949" s="38" t="s">
        <v>701</v>
      </c>
      <c r="D1949" s="38" t="s">
        <v>702</v>
      </c>
      <c r="E1949" s="195">
        <f t="shared" si="52"/>
        <v>4</v>
      </c>
      <c r="F1949" s="195">
        <f t="shared" si="52"/>
        <v>4.0049999999999999</v>
      </c>
      <c r="G1949" s="195">
        <f t="shared" si="52"/>
        <v>0.05</v>
      </c>
      <c r="H1949" s="195">
        <f t="shared" si="52"/>
        <v>1.5</v>
      </c>
      <c r="I1949" s="195">
        <f t="shared" si="52"/>
        <v>0.5</v>
      </c>
    </row>
    <row r="1950" spans="1:9" hidden="1" x14ac:dyDescent="0.35">
      <c r="A1950" s="38" t="s">
        <v>781</v>
      </c>
      <c r="B1950" s="38" t="s">
        <v>752</v>
      </c>
      <c r="C1950" s="38" t="s">
        <v>701</v>
      </c>
      <c r="D1950" s="38" t="s">
        <v>703</v>
      </c>
      <c r="E1950" s="195">
        <f t="shared" si="52"/>
        <v>3</v>
      </c>
      <c r="F1950" s="195">
        <f t="shared" si="52"/>
        <v>4.0999999999999996</v>
      </c>
      <c r="G1950" s="195">
        <f t="shared" si="52"/>
        <v>1</v>
      </c>
      <c r="H1950" s="195">
        <f t="shared" si="52"/>
        <v>5</v>
      </c>
      <c r="I1950" s="195">
        <f t="shared" si="52"/>
        <v>0.05</v>
      </c>
    </row>
    <row r="1951" spans="1:9" hidden="1" x14ac:dyDescent="0.35">
      <c r="A1951" s="38" t="s">
        <v>781</v>
      </c>
      <c r="B1951" s="38" t="s">
        <v>752</v>
      </c>
      <c r="C1951" s="38" t="s">
        <v>704</v>
      </c>
      <c r="D1951" s="38" t="s">
        <v>746</v>
      </c>
      <c r="E1951" s="195">
        <f t="shared" si="52"/>
        <v>6</v>
      </c>
      <c r="F1951" s="195">
        <f t="shared" si="52"/>
        <v>4.09</v>
      </c>
      <c r="G1951" s="195">
        <f t="shared" si="52"/>
        <v>4</v>
      </c>
      <c r="H1951" s="195">
        <f t="shared" si="52"/>
        <v>1</v>
      </c>
      <c r="I1951" s="195">
        <f t="shared" si="52"/>
        <v>0.5</v>
      </c>
    </row>
    <row r="1952" spans="1:9" hidden="1" x14ac:dyDescent="0.35">
      <c r="A1952" s="38" t="s">
        <v>781</v>
      </c>
      <c r="B1952" s="38" t="s">
        <v>752</v>
      </c>
      <c r="C1952" s="38" t="s">
        <v>707</v>
      </c>
      <c r="D1952" s="38" t="s">
        <v>708</v>
      </c>
      <c r="E1952" s="195">
        <f t="shared" si="52"/>
        <v>7</v>
      </c>
      <c r="F1952" s="195">
        <f t="shared" si="52"/>
        <v>8.4700000000000006</v>
      </c>
      <c r="G1952" s="195">
        <f t="shared" si="52"/>
        <v>7.5</v>
      </c>
      <c r="H1952" s="195">
        <f t="shared" si="52"/>
        <v>2.5</v>
      </c>
      <c r="I1952" s="195">
        <f t="shared" si="52"/>
        <v>1</v>
      </c>
    </row>
    <row r="1953" spans="1:9" hidden="1" x14ac:dyDescent="0.35">
      <c r="A1953" s="38" t="s">
        <v>781</v>
      </c>
      <c r="B1953" s="38" t="s">
        <v>753</v>
      </c>
      <c r="C1953" s="38" t="s">
        <v>686</v>
      </c>
      <c r="D1953" s="38" t="s">
        <v>746</v>
      </c>
      <c r="E1953" s="94">
        <v>6</v>
      </c>
      <c r="F1953" s="94">
        <v>6.59</v>
      </c>
      <c r="G1953" s="94">
        <v>7</v>
      </c>
      <c r="H1953" s="94">
        <v>2.98</v>
      </c>
      <c r="I1953" s="94">
        <v>3</v>
      </c>
    </row>
    <row r="1954" spans="1:9" hidden="1" x14ac:dyDescent="0.35">
      <c r="A1954" s="38" t="s">
        <v>781</v>
      </c>
      <c r="B1954" s="38" t="s">
        <v>753</v>
      </c>
      <c r="C1954" s="38" t="s">
        <v>691</v>
      </c>
      <c r="D1954" s="38" t="s">
        <v>746</v>
      </c>
      <c r="E1954" s="94">
        <v>8.7100000000000009</v>
      </c>
      <c r="F1954" s="94">
        <v>9.8699999999999992</v>
      </c>
      <c r="G1954" s="94">
        <v>25</v>
      </c>
      <c r="H1954" s="94">
        <v>12.96</v>
      </c>
      <c r="I1954" s="94">
        <v>18.16</v>
      </c>
    </row>
    <row r="1955" spans="1:9" hidden="1" x14ac:dyDescent="0.35">
      <c r="A1955" s="38" t="s">
        <v>781</v>
      </c>
      <c r="B1955" s="38" t="s">
        <v>753</v>
      </c>
      <c r="C1955" s="38" t="s">
        <v>696</v>
      </c>
      <c r="D1955" s="94" t="s">
        <v>697</v>
      </c>
      <c r="E1955" s="94">
        <v>8.1999999999999993</v>
      </c>
      <c r="F1955" s="94">
        <v>25.47</v>
      </c>
      <c r="G1955" s="94">
        <v>9</v>
      </c>
      <c r="H1955" s="94">
        <v>12.33</v>
      </c>
      <c r="I1955" s="94">
        <v>2</v>
      </c>
    </row>
    <row r="1956" spans="1:9" hidden="1" x14ac:dyDescent="0.35">
      <c r="A1956" s="38" t="s">
        <v>781</v>
      </c>
      <c r="B1956" s="38" t="s">
        <v>753</v>
      </c>
      <c r="C1956" s="38" t="s">
        <v>698</v>
      </c>
      <c r="D1956" s="38" t="s">
        <v>747</v>
      </c>
      <c r="E1956" s="94">
        <v>10</v>
      </c>
      <c r="F1956" s="94">
        <v>0.21</v>
      </c>
      <c r="G1956" s="94">
        <v>5</v>
      </c>
      <c r="H1956" s="94">
        <v>7</v>
      </c>
      <c r="I1956" s="94">
        <v>4</v>
      </c>
    </row>
    <row r="1957" spans="1:9" hidden="1" x14ac:dyDescent="0.35">
      <c r="A1957" s="38" t="s">
        <v>781</v>
      </c>
      <c r="B1957" s="38" t="s">
        <v>753</v>
      </c>
      <c r="C1957" s="38" t="s">
        <v>698</v>
      </c>
      <c r="D1957" s="38" t="s">
        <v>700</v>
      </c>
      <c r="E1957" s="94">
        <v>10</v>
      </c>
      <c r="F1957" s="94">
        <v>0.2</v>
      </c>
      <c r="G1957" s="94">
        <v>5</v>
      </c>
      <c r="H1957" s="94">
        <v>7</v>
      </c>
      <c r="I1957" s="94">
        <v>4</v>
      </c>
    </row>
    <row r="1958" spans="1:9" hidden="1" x14ac:dyDescent="0.35">
      <c r="A1958" s="38" t="s">
        <v>781</v>
      </c>
      <c r="B1958" s="38" t="s">
        <v>753</v>
      </c>
      <c r="C1958" s="38" t="s">
        <v>698</v>
      </c>
      <c r="D1958" s="38" t="s">
        <v>521</v>
      </c>
      <c r="E1958" s="94">
        <v>6</v>
      </c>
      <c r="F1958" s="94">
        <v>0.47</v>
      </c>
      <c r="G1958" s="94">
        <v>5</v>
      </c>
      <c r="H1958" s="94">
        <v>7</v>
      </c>
      <c r="I1958" s="94">
        <v>4</v>
      </c>
    </row>
    <row r="1959" spans="1:9" hidden="1" x14ac:dyDescent="0.35">
      <c r="A1959" s="38" t="s">
        <v>781</v>
      </c>
      <c r="B1959" s="38" t="s">
        <v>753</v>
      </c>
      <c r="C1959" s="38" t="s">
        <v>698</v>
      </c>
      <c r="D1959" s="38" t="s">
        <v>252</v>
      </c>
      <c r="E1959" s="94">
        <v>8</v>
      </c>
      <c r="F1959" s="94">
        <v>0.97</v>
      </c>
      <c r="G1959" s="94">
        <v>5</v>
      </c>
      <c r="H1959" s="94">
        <v>7</v>
      </c>
      <c r="I1959" s="94">
        <v>4</v>
      </c>
    </row>
    <row r="1960" spans="1:9" hidden="1" x14ac:dyDescent="0.35">
      <c r="A1960" s="38" t="s">
        <v>781</v>
      </c>
      <c r="B1960" s="38" t="s">
        <v>753</v>
      </c>
      <c r="C1960" s="38" t="s">
        <v>701</v>
      </c>
      <c r="D1960" s="38" t="s">
        <v>702</v>
      </c>
      <c r="E1960" s="94">
        <v>8</v>
      </c>
      <c r="F1960" s="94">
        <v>7.23</v>
      </c>
      <c r="G1960" s="94">
        <v>0.1</v>
      </c>
      <c r="H1960" s="94">
        <v>3</v>
      </c>
      <c r="I1960" s="94">
        <v>2</v>
      </c>
    </row>
    <row r="1961" spans="1:9" hidden="1" x14ac:dyDescent="0.35">
      <c r="A1961" s="38" t="s">
        <v>781</v>
      </c>
      <c r="B1961" s="38" t="s">
        <v>753</v>
      </c>
      <c r="C1961" s="38" t="s">
        <v>701</v>
      </c>
      <c r="D1961" s="38" t="s">
        <v>703</v>
      </c>
      <c r="E1961" s="94">
        <v>3.5</v>
      </c>
      <c r="F1961" s="94">
        <v>4.68</v>
      </c>
      <c r="G1961" s="94">
        <v>2</v>
      </c>
      <c r="H1961" s="94">
        <v>10</v>
      </c>
      <c r="I1961" s="94">
        <v>1</v>
      </c>
    </row>
    <row r="1962" spans="1:9" hidden="1" x14ac:dyDescent="0.35">
      <c r="A1962" s="38" t="s">
        <v>781</v>
      </c>
      <c r="B1962" s="38" t="s">
        <v>753</v>
      </c>
      <c r="C1962" s="38" t="s">
        <v>704</v>
      </c>
      <c r="D1962" s="38" t="s">
        <v>746</v>
      </c>
      <c r="E1962" s="94">
        <v>7</v>
      </c>
      <c r="F1962" s="94">
        <v>3.4</v>
      </c>
      <c r="G1962" s="94">
        <v>8</v>
      </c>
      <c r="H1962" s="94">
        <v>2</v>
      </c>
      <c r="I1962" s="94">
        <v>1</v>
      </c>
    </row>
    <row r="1963" spans="1:9" hidden="1" x14ac:dyDescent="0.35">
      <c r="A1963" s="38" t="s">
        <v>781</v>
      </c>
      <c r="B1963" s="38" t="s">
        <v>753</v>
      </c>
      <c r="C1963" s="38" t="s">
        <v>707</v>
      </c>
      <c r="D1963" s="38" t="s">
        <v>708</v>
      </c>
      <c r="E1963" s="94">
        <v>8.15</v>
      </c>
      <c r="F1963" s="94">
        <v>12.11</v>
      </c>
      <c r="G1963" s="94">
        <v>10</v>
      </c>
      <c r="H1963" s="94">
        <v>10.78</v>
      </c>
      <c r="I1963" s="94">
        <v>3.88</v>
      </c>
    </row>
  </sheetData>
  <autoFilter ref="A1:I1963" xr:uid="{00000000-0009-0000-0000-000001000000}">
    <filterColumn colId="0">
      <filters>
        <filter val="Baseline"/>
      </filters>
    </filterColumn>
    <filterColumn colId="1">
      <filters>
        <filter val="SSEA"/>
      </filters>
    </filterColumn>
  </autoFilter>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8F6C-03FF-4AC9-B88F-28C4470E718E}">
  <sheetPr filterMode="1">
    <tabColor theme="6" tint="0.39997558519241921"/>
  </sheetPr>
  <dimension ref="A1:D181"/>
  <sheetViews>
    <sheetView zoomScale="70" zoomScaleNormal="70" workbookViewId="0"/>
  </sheetViews>
  <sheetFormatPr defaultRowHeight="14.5" x14ac:dyDescent="0.35"/>
  <cols>
    <col min="1" max="1" width="8.7265625" style="38"/>
    <col min="2" max="2" width="19" style="38" bestFit="1" customWidth="1"/>
    <col min="3" max="3" width="16.81640625" style="38" bestFit="1" customWidth="1"/>
    <col min="4" max="4" width="8.7265625" style="38"/>
  </cols>
  <sheetData>
    <row r="1" spans="1:4" ht="15.5" x14ac:dyDescent="0.35">
      <c r="A1" s="200" t="s">
        <v>671</v>
      </c>
      <c r="B1" s="200" t="s">
        <v>672</v>
      </c>
      <c r="C1" s="200" t="s">
        <v>673</v>
      </c>
      <c r="D1" s="200" t="s">
        <v>782</v>
      </c>
    </row>
    <row r="2" spans="1:4" hidden="1" x14ac:dyDescent="0.35">
      <c r="A2" s="38" t="s">
        <v>745</v>
      </c>
      <c r="B2" s="38" t="s">
        <v>686</v>
      </c>
      <c r="C2" s="94" t="s">
        <v>480</v>
      </c>
      <c r="D2" s="94">
        <v>1.57</v>
      </c>
    </row>
    <row r="3" spans="1:4" hidden="1" x14ac:dyDescent="0.35">
      <c r="A3" s="38" t="s">
        <v>745</v>
      </c>
      <c r="B3" s="38" t="s">
        <v>686</v>
      </c>
      <c r="C3" s="94" t="s">
        <v>687</v>
      </c>
      <c r="D3" s="94">
        <v>0.45</v>
      </c>
    </row>
    <row r="4" spans="1:4" hidden="1" x14ac:dyDescent="0.35">
      <c r="A4" s="38" t="s">
        <v>745</v>
      </c>
      <c r="B4" s="38" t="s">
        <v>686</v>
      </c>
      <c r="C4" s="94" t="s">
        <v>508</v>
      </c>
      <c r="D4" s="94">
        <v>0.93</v>
      </c>
    </row>
    <row r="5" spans="1:4" hidden="1" x14ac:dyDescent="0.35">
      <c r="A5" s="38" t="s">
        <v>745</v>
      </c>
      <c r="B5" s="38" t="s">
        <v>686</v>
      </c>
      <c r="C5" s="94" t="s">
        <v>688</v>
      </c>
      <c r="D5" s="94">
        <v>0.61</v>
      </c>
    </row>
    <row r="6" spans="1:4" hidden="1" x14ac:dyDescent="0.35">
      <c r="A6" s="38" t="s">
        <v>745</v>
      </c>
      <c r="B6" s="38" t="s">
        <v>686</v>
      </c>
      <c r="C6" s="94" t="s">
        <v>689</v>
      </c>
      <c r="D6" s="94">
        <v>2.88</v>
      </c>
    </row>
    <row r="7" spans="1:4" hidden="1" x14ac:dyDescent="0.35">
      <c r="A7" s="38" t="s">
        <v>745</v>
      </c>
      <c r="B7" s="38" t="s">
        <v>686</v>
      </c>
      <c r="C7" s="94" t="s">
        <v>690</v>
      </c>
      <c r="D7" s="94">
        <v>0.46</v>
      </c>
    </row>
    <row r="8" spans="1:4" hidden="1" x14ac:dyDescent="0.35">
      <c r="A8" s="38" t="s">
        <v>745</v>
      </c>
      <c r="B8" s="38" t="s">
        <v>686</v>
      </c>
      <c r="C8" s="94" t="s">
        <v>532</v>
      </c>
      <c r="D8" s="94">
        <v>0.93</v>
      </c>
    </row>
    <row r="9" spans="1:4" hidden="1" x14ac:dyDescent="0.35">
      <c r="A9" s="38" t="s">
        <v>745</v>
      </c>
      <c r="B9" s="38" t="s">
        <v>686</v>
      </c>
      <c r="C9" s="94" t="s">
        <v>541</v>
      </c>
      <c r="D9" s="94">
        <v>0.61</v>
      </c>
    </row>
    <row r="10" spans="1:4" ht="15" hidden="1" customHeight="1" x14ac:dyDescent="0.35">
      <c r="A10" s="38" t="s">
        <v>745</v>
      </c>
      <c r="B10" s="38" t="s">
        <v>686</v>
      </c>
      <c r="C10" s="38" t="s">
        <v>783</v>
      </c>
      <c r="D10" s="94">
        <v>0.43</v>
      </c>
    </row>
    <row r="11" spans="1:4" hidden="1" x14ac:dyDescent="0.35">
      <c r="A11" s="38" t="s">
        <v>745</v>
      </c>
      <c r="B11" s="38" t="s">
        <v>784</v>
      </c>
      <c r="C11" s="94" t="s">
        <v>692</v>
      </c>
      <c r="D11" s="94">
        <v>0.25</v>
      </c>
    </row>
    <row r="12" spans="1:4" hidden="1" x14ac:dyDescent="0.35">
      <c r="A12" s="38" t="s">
        <v>745</v>
      </c>
      <c r="B12" s="38" t="s">
        <v>784</v>
      </c>
      <c r="C12" s="94" t="s">
        <v>356</v>
      </c>
      <c r="D12" s="94">
        <v>0.35</v>
      </c>
    </row>
    <row r="13" spans="1:4" hidden="1" x14ac:dyDescent="0.35">
      <c r="A13" s="38" t="s">
        <v>745</v>
      </c>
      <c r="B13" s="38" t="s">
        <v>784</v>
      </c>
      <c r="C13" s="94" t="s">
        <v>693</v>
      </c>
      <c r="D13" s="94">
        <v>0.36</v>
      </c>
    </row>
    <row r="14" spans="1:4" hidden="1" x14ac:dyDescent="0.35">
      <c r="A14" s="38" t="s">
        <v>745</v>
      </c>
      <c r="B14" s="38" t="s">
        <v>784</v>
      </c>
      <c r="C14" s="94" t="s">
        <v>694</v>
      </c>
      <c r="D14" s="94">
        <v>0.42</v>
      </c>
    </row>
    <row r="15" spans="1:4" hidden="1" x14ac:dyDescent="0.35">
      <c r="A15" s="38" t="s">
        <v>745</v>
      </c>
      <c r="B15" s="38" t="s">
        <v>784</v>
      </c>
      <c r="C15" s="94" t="s">
        <v>785</v>
      </c>
      <c r="D15" s="94">
        <v>2.2999999999999998</v>
      </c>
    </row>
    <row r="16" spans="1:4" hidden="1" x14ac:dyDescent="0.35">
      <c r="A16" s="38" t="s">
        <v>745</v>
      </c>
      <c r="B16" s="38" t="s">
        <v>784</v>
      </c>
      <c r="C16" s="94" t="s">
        <v>695</v>
      </c>
      <c r="D16" s="94">
        <v>0.84</v>
      </c>
    </row>
    <row r="17" spans="1:4" hidden="1" x14ac:dyDescent="0.35">
      <c r="A17" s="38" t="s">
        <v>745</v>
      </c>
      <c r="B17" s="38" t="s">
        <v>696</v>
      </c>
      <c r="C17" s="94" t="s">
        <v>697</v>
      </c>
      <c r="D17" s="94">
        <v>4.09</v>
      </c>
    </row>
    <row r="18" spans="1:4" hidden="1" x14ac:dyDescent="0.35">
      <c r="A18" s="38" t="s">
        <v>745</v>
      </c>
      <c r="B18" s="38" t="s">
        <v>698</v>
      </c>
      <c r="C18" s="94" t="s">
        <v>747</v>
      </c>
      <c r="D18" s="94">
        <v>22.86</v>
      </c>
    </row>
    <row r="19" spans="1:4" hidden="1" x14ac:dyDescent="0.35">
      <c r="A19" s="38" t="s">
        <v>745</v>
      </c>
      <c r="B19" s="38" t="s">
        <v>698</v>
      </c>
      <c r="C19" s="94" t="s">
        <v>700</v>
      </c>
      <c r="D19" s="94">
        <v>23.89</v>
      </c>
    </row>
    <row r="20" spans="1:4" hidden="1" x14ac:dyDescent="0.35">
      <c r="A20" s="38" t="s">
        <v>745</v>
      </c>
      <c r="B20" s="38" t="s">
        <v>698</v>
      </c>
      <c r="C20" s="94" t="s">
        <v>786</v>
      </c>
      <c r="D20" s="94">
        <v>5.0599999999999996</v>
      </c>
    </row>
    <row r="21" spans="1:4" hidden="1" x14ac:dyDescent="0.35">
      <c r="A21" s="38" t="s">
        <v>745</v>
      </c>
      <c r="B21" s="38" t="s">
        <v>698</v>
      </c>
      <c r="C21" s="94" t="s">
        <v>252</v>
      </c>
      <c r="D21" s="94">
        <v>3.58</v>
      </c>
    </row>
    <row r="22" spans="1:4" hidden="1" x14ac:dyDescent="0.35">
      <c r="A22" s="38" t="s">
        <v>745</v>
      </c>
      <c r="B22" s="38" t="s">
        <v>701</v>
      </c>
      <c r="C22" s="94" t="s">
        <v>702</v>
      </c>
      <c r="D22" s="94">
        <v>3.49</v>
      </c>
    </row>
    <row r="23" spans="1:4" hidden="1" x14ac:dyDescent="0.35">
      <c r="A23" s="38" t="s">
        <v>745</v>
      </c>
      <c r="B23" s="38" t="s">
        <v>701</v>
      </c>
      <c r="C23" s="94" t="s">
        <v>703</v>
      </c>
      <c r="D23" s="94">
        <v>1.33</v>
      </c>
    </row>
    <row r="24" spans="1:4" hidden="1" x14ac:dyDescent="0.35">
      <c r="A24" s="38" t="s">
        <v>745</v>
      </c>
      <c r="B24" s="38" t="s">
        <v>704</v>
      </c>
      <c r="C24" s="94" t="s">
        <v>705</v>
      </c>
      <c r="D24" s="94">
        <v>1.1299999999999999</v>
      </c>
    </row>
    <row r="25" spans="1:4" hidden="1" x14ac:dyDescent="0.35">
      <c r="A25" s="38" t="s">
        <v>745</v>
      </c>
      <c r="B25" s="38" t="s">
        <v>704</v>
      </c>
      <c r="C25" s="94" t="s">
        <v>706</v>
      </c>
      <c r="D25" s="94">
        <v>0.93</v>
      </c>
    </row>
    <row r="26" spans="1:4" hidden="1" x14ac:dyDescent="0.35">
      <c r="A26" s="38" t="s">
        <v>745</v>
      </c>
      <c r="B26" s="38" t="s">
        <v>707</v>
      </c>
      <c r="C26" s="94" t="s">
        <v>708</v>
      </c>
      <c r="D26" s="94">
        <v>0.25</v>
      </c>
    </row>
    <row r="27" spans="1:4" hidden="1" x14ac:dyDescent="0.35">
      <c r="A27" s="38" t="s">
        <v>748</v>
      </c>
      <c r="B27" s="38" t="s">
        <v>686</v>
      </c>
      <c r="C27" s="94" t="s">
        <v>480</v>
      </c>
      <c r="D27" s="94">
        <v>0.63</v>
      </c>
    </row>
    <row r="28" spans="1:4" hidden="1" x14ac:dyDescent="0.35">
      <c r="A28" s="38" t="s">
        <v>748</v>
      </c>
      <c r="B28" s="38" t="s">
        <v>686</v>
      </c>
      <c r="C28" s="94" t="s">
        <v>687</v>
      </c>
      <c r="D28" s="94">
        <v>0.44</v>
      </c>
    </row>
    <row r="29" spans="1:4" hidden="1" x14ac:dyDescent="0.35">
      <c r="A29" s="38" t="s">
        <v>748</v>
      </c>
      <c r="B29" s="38" t="s">
        <v>686</v>
      </c>
      <c r="C29" s="94" t="s">
        <v>508</v>
      </c>
      <c r="D29" s="94">
        <v>0.93</v>
      </c>
    </row>
    <row r="30" spans="1:4" hidden="1" x14ac:dyDescent="0.35">
      <c r="A30" s="38" t="s">
        <v>748</v>
      </c>
      <c r="B30" s="38" t="s">
        <v>686</v>
      </c>
      <c r="C30" s="94" t="s">
        <v>688</v>
      </c>
      <c r="D30" s="94">
        <v>0.93</v>
      </c>
    </row>
    <row r="31" spans="1:4" hidden="1" x14ac:dyDescent="0.35">
      <c r="A31" s="38" t="s">
        <v>748</v>
      </c>
      <c r="B31" s="38" t="s">
        <v>686</v>
      </c>
      <c r="C31" s="94" t="s">
        <v>689</v>
      </c>
      <c r="D31" s="94">
        <v>1.43</v>
      </c>
    </row>
    <row r="32" spans="1:4" hidden="1" x14ac:dyDescent="0.35">
      <c r="A32" s="38" t="s">
        <v>748</v>
      </c>
      <c r="B32" s="38" t="s">
        <v>686</v>
      </c>
      <c r="C32" s="94" t="s">
        <v>690</v>
      </c>
      <c r="D32" s="94">
        <v>1.02</v>
      </c>
    </row>
    <row r="33" spans="1:4" hidden="1" x14ac:dyDescent="0.35">
      <c r="A33" s="38" t="s">
        <v>748</v>
      </c>
      <c r="B33" s="38" t="s">
        <v>686</v>
      </c>
      <c r="C33" s="94" t="s">
        <v>532</v>
      </c>
      <c r="D33" s="94">
        <v>0.93</v>
      </c>
    </row>
    <row r="34" spans="1:4" hidden="1" x14ac:dyDescent="0.35">
      <c r="A34" s="38" t="s">
        <v>748</v>
      </c>
      <c r="B34" s="38" t="s">
        <v>686</v>
      </c>
      <c r="C34" s="94" t="s">
        <v>541</v>
      </c>
      <c r="D34" s="94">
        <v>0.62</v>
      </c>
    </row>
    <row r="35" spans="1:4" hidden="1" x14ac:dyDescent="0.35">
      <c r="A35" s="38" t="s">
        <v>748</v>
      </c>
      <c r="B35" s="38" t="s">
        <v>686</v>
      </c>
      <c r="C35" s="38" t="s">
        <v>783</v>
      </c>
      <c r="D35" s="94">
        <v>0.93</v>
      </c>
    </row>
    <row r="36" spans="1:4" hidden="1" x14ac:dyDescent="0.35">
      <c r="A36" s="38" t="s">
        <v>748</v>
      </c>
      <c r="B36" s="38" t="s">
        <v>784</v>
      </c>
      <c r="C36" s="94" t="s">
        <v>692</v>
      </c>
      <c r="D36" s="94">
        <v>0.17</v>
      </c>
    </row>
    <row r="37" spans="1:4" hidden="1" x14ac:dyDescent="0.35">
      <c r="A37" s="38" t="s">
        <v>748</v>
      </c>
      <c r="B37" s="38" t="s">
        <v>784</v>
      </c>
      <c r="C37" s="94" t="s">
        <v>356</v>
      </c>
      <c r="D37" s="94">
        <v>0.56000000000000005</v>
      </c>
    </row>
    <row r="38" spans="1:4" hidden="1" x14ac:dyDescent="0.35">
      <c r="A38" s="38" t="s">
        <v>748</v>
      </c>
      <c r="B38" s="38" t="s">
        <v>784</v>
      </c>
      <c r="C38" s="94" t="s">
        <v>693</v>
      </c>
      <c r="D38" s="94">
        <v>0.17</v>
      </c>
    </row>
    <row r="39" spans="1:4" hidden="1" x14ac:dyDescent="0.35">
      <c r="A39" s="38" t="s">
        <v>748</v>
      </c>
      <c r="B39" s="38" t="s">
        <v>784</v>
      </c>
      <c r="C39" s="94" t="s">
        <v>694</v>
      </c>
      <c r="D39" s="94">
        <v>0.62</v>
      </c>
    </row>
    <row r="40" spans="1:4" hidden="1" x14ac:dyDescent="0.35">
      <c r="A40" s="38" t="s">
        <v>748</v>
      </c>
      <c r="B40" s="38" t="s">
        <v>784</v>
      </c>
      <c r="C40" s="94" t="s">
        <v>785</v>
      </c>
      <c r="D40" s="94">
        <v>0.35</v>
      </c>
    </row>
    <row r="41" spans="1:4" hidden="1" x14ac:dyDescent="0.35">
      <c r="A41" s="38" t="s">
        <v>748</v>
      </c>
      <c r="B41" s="38" t="s">
        <v>784</v>
      </c>
      <c r="C41" s="94" t="s">
        <v>695</v>
      </c>
      <c r="D41" s="94">
        <v>0.3</v>
      </c>
    </row>
    <row r="42" spans="1:4" hidden="1" x14ac:dyDescent="0.35">
      <c r="A42" s="38" t="s">
        <v>748</v>
      </c>
      <c r="B42" s="38" t="s">
        <v>696</v>
      </c>
      <c r="C42" s="94" t="s">
        <v>697</v>
      </c>
      <c r="D42" s="94">
        <v>2.77</v>
      </c>
    </row>
    <row r="43" spans="1:4" hidden="1" x14ac:dyDescent="0.35">
      <c r="A43" s="38" t="s">
        <v>748</v>
      </c>
      <c r="B43" s="38" t="s">
        <v>698</v>
      </c>
      <c r="C43" s="94" t="s">
        <v>747</v>
      </c>
      <c r="D43" s="94">
        <v>33.26</v>
      </c>
    </row>
    <row r="44" spans="1:4" hidden="1" x14ac:dyDescent="0.35">
      <c r="A44" s="38" t="s">
        <v>748</v>
      </c>
      <c r="B44" s="38" t="s">
        <v>698</v>
      </c>
      <c r="C44" s="94" t="s">
        <v>700</v>
      </c>
      <c r="D44" s="94">
        <v>15.45</v>
      </c>
    </row>
    <row r="45" spans="1:4" hidden="1" x14ac:dyDescent="0.35">
      <c r="A45" s="38" t="s">
        <v>748</v>
      </c>
      <c r="B45" s="38" t="s">
        <v>698</v>
      </c>
      <c r="C45" s="94" t="s">
        <v>786</v>
      </c>
      <c r="D45" s="94">
        <v>5.85</v>
      </c>
    </row>
    <row r="46" spans="1:4" hidden="1" x14ac:dyDescent="0.35">
      <c r="A46" s="38" t="s">
        <v>748</v>
      </c>
      <c r="B46" s="38" t="s">
        <v>698</v>
      </c>
      <c r="C46" s="94" t="s">
        <v>252</v>
      </c>
      <c r="D46" s="94">
        <v>12.06</v>
      </c>
    </row>
    <row r="47" spans="1:4" hidden="1" x14ac:dyDescent="0.35">
      <c r="A47" s="38" t="s">
        <v>748</v>
      </c>
      <c r="B47" s="38" t="s">
        <v>701</v>
      </c>
      <c r="C47" s="94" t="s">
        <v>702</v>
      </c>
      <c r="D47" s="94">
        <v>4.3899999999999997</v>
      </c>
    </row>
    <row r="48" spans="1:4" hidden="1" x14ac:dyDescent="0.35">
      <c r="A48" s="38" t="s">
        <v>748</v>
      </c>
      <c r="B48" s="38" t="s">
        <v>701</v>
      </c>
      <c r="C48" s="94" t="s">
        <v>703</v>
      </c>
      <c r="D48" s="94">
        <v>1.26</v>
      </c>
    </row>
    <row r="49" spans="1:4" hidden="1" x14ac:dyDescent="0.35">
      <c r="A49" s="38" t="s">
        <v>748</v>
      </c>
      <c r="B49" s="38" t="s">
        <v>704</v>
      </c>
      <c r="C49" s="94" t="s">
        <v>705</v>
      </c>
      <c r="D49" s="94">
        <v>1.1000000000000001</v>
      </c>
    </row>
    <row r="50" spans="1:4" hidden="1" x14ac:dyDescent="0.35">
      <c r="A50" s="38" t="s">
        <v>748</v>
      </c>
      <c r="B50" s="38" t="s">
        <v>704</v>
      </c>
      <c r="C50" s="94" t="s">
        <v>706</v>
      </c>
      <c r="D50" s="94">
        <v>0.37</v>
      </c>
    </row>
    <row r="51" spans="1:4" hidden="1" x14ac:dyDescent="0.35">
      <c r="A51" s="38" t="s">
        <v>748</v>
      </c>
      <c r="B51" s="38" t="s">
        <v>707</v>
      </c>
      <c r="C51" s="94" t="s">
        <v>708</v>
      </c>
      <c r="D51" s="94">
        <v>0.19</v>
      </c>
    </row>
    <row r="52" spans="1:4" hidden="1" x14ac:dyDescent="0.35">
      <c r="A52" s="38" t="s">
        <v>749</v>
      </c>
      <c r="B52" s="38" t="s">
        <v>686</v>
      </c>
      <c r="C52" s="94" t="s">
        <v>480</v>
      </c>
      <c r="D52" s="94">
        <v>0.4</v>
      </c>
    </row>
    <row r="53" spans="1:4" hidden="1" x14ac:dyDescent="0.35">
      <c r="A53" s="38" t="s">
        <v>749</v>
      </c>
      <c r="B53" s="38" t="s">
        <v>686</v>
      </c>
      <c r="C53" s="94" t="s">
        <v>687</v>
      </c>
      <c r="D53" s="94">
        <v>0.38</v>
      </c>
    </row>
    <row r="54" spans="1:4" hidden="1" x14ac:dyDescent="0.35">
      <c r="A54" s="38" t="s">
        <v>749</v>
      </c>
      <c r="B54" s="38" t="s">
        <v>686</v>
      </c>
      <c r="C54" s="94" t="s">
        <v>508</v>
      </c>
      <c r="D54" s="94">
        <v>0.93</v>
      </c>
    </row>
    <row r="55" spans="1:4" hidden="1" x14ac:dyDescent="0.35">
      <c r="A55" s="38" t="s">
        <v>749</v>
      </c>
      <c r="B55" s="38" t="s">
        <v>686</v>
      </c>
      <c r="C55" s="94" t="s">
        <v>688</v>
      </c>
      <c r="D55" s="94">
        <v>0.93</v>
      </c>
    </row>
    <row r="56" spans="1:4" hidden="1" x14ac:dyDescent="0.35">
      <c r="A56" s="38" t="s">
        <v>749</v>
      </c>
      <c r="B56" s="38" t="s">
        <v>686</v>
      </c>
      <c r="C56" s="94" t="s">
        <v>689</v>
      </c>
      <c r="D56" s="94">
        <v>1.77</v>
      </c>
    </row>
    <row r="57" spans="1:4" hidden="1" x14ac:dyDescent="0.35">
      <c r="A57" s="38" t="s">
        <v>749</v>
      </c>
      <c r="B57" s="38" t="s">
        <v>686</v>
      </c>
      <c r="C57" s="94" t="s">
        <v>690</v>
      </c>
      <c r="D57" s="94">
        <v>0.5</v>
      </c>
    </row>
    <row r="58" spans="1:4" hidden="1" x14ac:dyDescent="0.35">
      <c r="A58" s="38" t="s">
        <v>749</v>
      </c>
      <c r="B58" s="38" t="s">
        <v>686</v>
      </c>
      <c r="C58" s="94" t="s">
        <v>532</v>
      </c>
      <c r="D58" s="94">
        <v>0.93</v>
      </c>
    </row>
    <row r="59" spans="1:4" hidden="1" x14ac:dyDescent="0.35">
      <c r="A59" s="38" t="s">
        <v>749</v>
      </c>
      <c r="B59" s="38" t="s">
        <v>686</v>
      </c>
      <c r="C59" s="94" t="s">
        <v>541</v>
      </c>
      <c r="D59" s="94">
        <v>0.36</v>
      </c>
    </row>
    <row r="60" spans="1:4" hidden="1" x14ac:dyDescent="0.35">
      <c r="A60" s="38" t="s">
        <v>749</v>
      </c>
      <c r="B60" s="38" t="s">
        <v>686</v>
      </c>
      <c r="C60" s="38" t="s">
        <v>783</v>
      </c>
      <c r="D60" s="94">
        <v>0.93</v>
      </c>
    </row>
    <row r="61" spans="1:4" hidden="1" x14ac:dyDescent="0.35">
      <c r="A61" s="38" t="s">
        <v>749</v>
      </c>
      <c r="B61" s="38" t="s">
        <v>784</v>
      </c>
      <c r="C61" s="94" t="s">
        <v>692</v>
      </c>
      <c r="D61" s="94">
        <v>0.15</v>
      </c>
    </row>
    <row r="62" spans="1:4" hidden="1" x14ac:dyDescent="0.35">
      <c r="A62" s="38" t="s">
        <v>749</v>
      </c>
      <c r="B62" s="38" t="s">
        <v>784</v>
      </c>
      <c r="C62" s="94" t="s">
        <v>356</v>
      </c>
      <c r="D62" s="94">
        <v>0.28000000000000003</v>
      </c>
    </row>
    <row r="63" spans="1:4" hidden="1" x14ac:dyDescent="0.35">
      <c r="A63" s="38" t="s">
        <v>749</v>
      </c>
      <c r="B63" s="38" t="s">
        <v>784</v>
      </c>
      <c r="C63" s="94" t="s">
        <v>693</v>
      </c>
      <c r="D63" s="94">
        <v>0.09</v>
      </c>
    </row>
    <row r="64" spans="1:4" hidden="1" x14ac:dyDescent="0.35">
      <c r="A64" s="38" t="s">
        <v>749</v>
      </c>
      <c r="B64" s="38" t="s">
        <v>784</v>
      </c>
      <c r="C64" s="94" t="s">
        <v>694</v>
      </c>
      <c r="D64" s="94">
        <v>0.67</v>
      </c>
    </row>
    <row r="65" spans="1:4" hidden="1" x14ac:dyDescent="0.35">
      <c r="A65" s="38" t="s">
        <v>749</v>
      </c>
      <c r="B65" s="38" t="s">
        <v>784</v>
      </c>
      <c r="C65" s="94" t="s">
        <v>785</v>
      </c>
      <c r="D65" s="94">
        <v>1</v>
      </c>
    </row>
    <row r="66" spans="1:4" hidden="1" x14ac:dyDescent="0.35">
      <c r="A66" s="38" t="s">
        <v>749</v>
      </c>
      <c r="B66" s="38" t="s">
        <v>784</v>
      </c>
      <c r="C66" s="94" t="s">
        <v>695</v>
      </c>
      <c r="D66" s="94">
        <v>0.57999999999999996</v>
      </c>
    </row>
    <row r="67" spans="1:4" hidden="1" x14ac:dyDescent="0.35">
      <c r="A67" s="38" t="s">
        <v>749</v>
      </c>
      <c r="B67" s="38" t="s">
        <v>696</v>
      </c>
      <c r="C67" s="94" t="s">
        <v>697</v>
      </c>
      <c r="D67" s="94">
        <v>4.42</v>
      </c>
    </row>
    <row r="68" spans="1:4" hidden="1" x14ac:dyDescent="0.35">
      <c r="A68" s="38" t="s">
        <v>749</v>
      </c>
      <c r="B68" s="38" t="s">
        <v>698</v>
      </c>
      <c r="C68" s="94" t="s">
        <v>747</v>
      </c>
      <c r="D68" s="94">
        <v>22.08</v>
      </c>
    </row>
    <row r="69" spans="1:4" hidden="1" x14ac:dyDescent="0.35">
      <c r="A69" s="38" t="s">
        <v>749</v>
      </c>
      <c r="B69" s="38" t="s">
        <v>698</v>
      </c>
      <c r="C69" s="94" t="s">
        <v>700</v>
      </c>
      <c r="D69" s="94">
        <v>15.35</v>
      </c>
    </row>
    <row r="70" spans="1:4" hidden="1" x14ac:dyDescent="0.35">
      <c r="A70" s="38" t="s">
        <v>749</v>
      </c>
      <c r="B70" s="38" t="s">
        <v>698</v>
      </c>
      <c r="C70" s="94" t="s">
        <v>786</v>
      </c>
      <c r="D70" s="94">
        <v>4.29</v>
      </c>
    </row>
    <row r="71" spans="1:4" hidden="1" x14ac:dyDescent="0.35">
      <c r="A71" s="38" t="s">
        <v>749</v>
      </c>
      <c r="B71" s="38" t="s">
        <v>698</v>
      </c>
      <c r="C71" s="94" t="s">
        <v>252</v>
      </c>
      <c r="D71" s="94">
        <v>4.3899999999999997</v>
      </c>
    </row>
    <row r="72" spans="1:4" hidden="1" x14ac:dyDescent="0.35">
      <c r="A72" s="38" t="s">
        <v>749</v>
      </c>
      <c r="B72" s="38" t="s">
        <v>701</v>
      </c>
      <c r="C72" s="94" t="s">
        <v>702</v>
      </c>
      <c r="D72" s="94">
        <v>3.66</v>
      </c>
    </row>
    <row r="73" spans="1:4" hidden="1" x14ac:dyDescent="0.35">
      <c r="A73" s="38" t="s">
        <v>749</v>
      </c>
      <c r="B73" s="38" t="s">
        <v>701</v>
      </c>
      <c r="C73" s="94" t="s">
        <v>703</v>
      </c>
      <c r="D73" s="94">
        <v>1.1299999999999999</v>
      </c>
    </row>
    <row r="74" spans="1:4" hidden="1" x14ac:dyDescent="0.35">
      <c r="A74" s="38" t="s">
        <v>749</v>
      </c>
      <c r="B74" s="38" t="s">
        <v>704</v>
      </c>
      <c r="C74" s="94" t="s">
        <v>705</v>
      </c>
      <c r="D74" s="94">
        <v>0.56000000000000005</v>
      </c>
    </row>
    <row r="75" spans="1:4" hidden="1" x14ac:dyDescent="0.35">
      <c r="A75" s="38" t="s">
        <v>749</v>
      </c>
      <c r="B75" s="38" t="s">
        <v>704</v>
      </c>
      <c r="C75" s="94" t="s">
        <v>706</v>
      </c>
      <c r="D75" s="94">
        <v>0.44</v>
      </c>
    </row>
    <row r="76" spans="1:4" hidden="1" x14ac:dyDescent="0.35">
      <c r="A76" s="38" t="s">
        <v>749</v>
      </c>
      <c r="B76" s="38" t="s">
        <v>707</v>
      </c>
      <c r="C76" s="94" t="s">
        <v>708</v>
      </c>
      <c r="D76" s="94">
        <v>0.17</v>
      </c>
    </row>
    <row r="77" spans="1:4" hidden="1" x14ac:dyDescent="0.35">
      <c r="A77" s="38" t="s">
        <v>752</v>
      </c>
      <c r="B77" s="38" t="s">
        <v>686</v>
      </c>
      <c r="C77" s="94" t="s">
        <v>480</v>
      </c>
      <c r="D77" s="94">
        <v>0.8</v>
      </c>
    </row>
    <row r="78" spans="1:4" hidden="1" x14ac:dyDescent="0.35">
      <c r="A78" s="38" t="s">
        <v>752</v>
      </c>
      <c r="B78" s="38" t="s">
        <v>686</v>
      </c>
      <c r="C78" s="94" t="s">
        <v>687</v>
      </c>
      <c r="D78" s="94">
        <v>1.56</v>
      </c>
    </row>
    <row r="79" spans="1:4" hidden="1" x14ac:dyDescent="0.35">
      <c r="A79" s="38" t="s">
        <v>752</v>
      </c>
      <c r="B79" s="38" t="s">
        <v>686</v>
      </c>
      <c r="C79" s="94" t="s">
        <v>508</v>
      </c>
      <c r="D79" s="94">
        <v>0.93</v>
      </c>
    </row>
    <row r="80" spans="1:4" hidden="1" x14ac:dyDescent="0.35">
      <c r="A80" s="38" t="s">
        <v>752</v>
      </c>
      <c r="B80" s="38" t="s">
        <v>686</v>
      </c>
      <c r="C80" s="94" t="s">
        <v>688</v>
      </c>
      <c r="D80" s="94">
        <v>0.93</v>
      </c>
    </row>
    <row r="81" spans="1:4" hidden="1" x14ac:dyDescent="0.35">
      <c r="A81" s="38" t="s">
        <v>752</v>
      </c>
      <c r="B81" s="38" t="s">
        <v>686</v>
      </c>
      <c r="C81" s="94" t="s">
        <v>689</v>
      </c>
      <c r="D81" s="94">
        <v>5.23</v>
      </c>
    </row>
    <row r="82" spans="1:4" hidden="1" x14ac:dyDescent="0.35">
      <c r="A82" s="38" t="s">
        <v>752</v>
      </c>
      <c r="B82" s="38" t="s">
        <v>686</v>
      </c>
      <c r="C82" s="94" t="s">
        <v>690</v>
      </c>
      <c r="D82" s="94">
        <v>0.38</v>
      </c>
    </row>
    <row r="83" spans="1:4" hidden="1" x14ac:dyDescent="0.35">
      <c r="A83" s="38" t="s">
        <v>752</v>
      </c>
      <c r="B83" s="38" t="s">
        <v>686</v>
      </c>
      <c r="C83" s="94" t="s">
        <v>532</v>
      </c>
      <c r="D83" s="94">
        <v>0.93</v>
      </c>
    </row>
    <row r="84" spans="1:4" hidden="1" x14ac:dyDescent="0.35">
      <c r="A84" s="38" t="s">
        <v>752</v>
      </c>
      <c r="B84" s="38" t="s">
        <v>686</v>
      </c>
      <c r="C84" s="94" t="s">
        <v>541</v>
      </c>
      <c r="D84" s="94">
        <v>0.46</v>
      </c>
    </row>
    <row r="85" spans="1:4" hidden="1" x14ac:dyDescent="0.35">
      <c r="A85" s="38" t="s">
        <v>752</v>
      </c>
      <c r="B85" s="38" t="s">
        <v>686</v>
      </c>
      <c r="C85" s="38" t="s">
        <v>783</v>
      </c>
      <c r="D85" s="94">
        <v>0.93</v>
      </c>
    </row>
    <row r="86" spans="1:4" hidden="1" x14ac:dyDescent="0.35">
      <c r="A86" s="38" t="s">
        <v>752</v>
      </c>
      <c r="B86" s="38" t="s">
        <v>784</v>
      </c>
      <c r="C86" s="94" t="s">
        <v>692</v>
      </c>
      <c r="D86" s="94">
        <v>0.12</v>
      </c>
    </row>
    <row r="87" spans="1:4" hidden="1" x14ac:dyDescent="0.35">
      <c r="A87" s="38" t="s">
        <v>752</v>
      </c>
      <c r="B87" s="38" t="s">
        <v>784</v>
      </c>
      <c r="C87" s="94" t="s">
        <v>356</v>
      </c>
      <c r="D87" s="94">
        <v>0.54</v>
      </c>
    </row>
    <row r="88" spans="1:4" hidden="1" x14ac:dyDescent="0.35">
      <c r="A88" s="38" t="s">
        <v>752</v>
      </c>
      <c r="B88" s="38" t="s">
        <v>784</v>
      </c>
      <c r="C88" s="94" t="s">
        <v>693</v>
      </c>
      <c r="D88" s="94">
        <v>0.27</v>
      </c>
    </row>
    <row r="89" spans="1:4" hidden="1" x14ac:dyDescent="0.35">
      <c r="A89" s="38" t="s">
        <v>752</v>
      </c>
      <c r="B89" s="38" t="s">
        <v>784</v>
      </c>
      <c r="C89" s="94" t="s">
        <v>694</v>
      </c>
      <c r="D89" s="94">
        <v>0.4</v>
      </c>
    </row>
    <row r="90" spans="1:4" hidden="1" x14ac:dyDescent="0.35">
      <c r="A90" s="38" t="s">
        <v>752</v>
      </c>
      <c r="B90" s="38" t="s">
        <v>784</v>
      </c>
      <c r="C90" s="94" t="s">
        <v>785</v>
      </c>
      <c r="D90" s="94">
        <v>0.19</v>
      </c>
    </row>
    <row r="91" spans="1:4" hidden="1" x14ac:dyDescent="0.35">
      <c r="A91" s="38" t="s">
        <v>752</v>
      </c>
      <c r="B91" s="38" t="s">
        <v>784</v>
      </c>
      <c r="C91" s="94" t="s">
        <v>695</v>
      </c>
      <c r="D91" s="94">
        <v>1.53</v>
      </c>
    </row>
    <row r="92" spans="1:4" hidden="1" x14ac:dyDescent="0.35">
      <c r="A92" s="38" t="s">
        <v>752</v>
      </c>
      <c r="B92" s="38" t="s">
        <v>696</v>
      </c>
      <c r="C92" s="94" t="s">
        <v>697</v>
      </c>
      <c r="D92" s="94">
        <v>9.19</v>
      </c>
    </row>
    <row r="93" spans="1:4" hidden="1" x14ac:dyDescent="0.35">
      <c r="A93" s="38" t="s">
        <v>752</v>
      </c>
      <c r="B93" s="38" t="s">
        <v>698</v>
      </c>
      <c r="C93" s="94" t="s">
        <v>747</v>
      </c>
      <c r="D93" s="94">
        <v>33.96</v>
      </c>
    </row>
    <row r="94" spans="1:4" hidden="1" x14ac:dyDescent="0.35">
      <c r="A94" s="38" t="s">
        <v>752</v>
      </c>
      <c r="B94" s="38" t="s">
        <v>698</v>
      </c>
      <c r="C94" s="94" t="s">
        <v>700</v>
      </c>
      <c r="D94" s="94">
        <v>16.89</v>
      </c>
    </row>
    <row r="95" spans="1:4" hidden="1" x14ac:dyDescent="0.35">
      <c r="A95" s="38" t="s">
        <v>752</v>
      </c>
      <c r="B95" s="38" t="s">
        <v>698</v>
      </c>
      <c r="C95" s="94" t="s">
        <v>786</v>
      </c>
      <c r="D95" s="94">
        <v>4.2699999999999996</v>
      </c>
    </row>
    <row r="96" spans="1:4" hidden="1" x14ac:dyDescent="0.35">
      <c r="A96" s="38" t="s">
        <v>752</v>
      </c>
      <c r="B96" s="38" t="s">
        <v>698</v>
      </c>
      <c r="C96" s="94" t="s">
        <v>252</v>
      </c>
      <c r="D96" s="94">
        <v>4.8899999999999997</v>
      </c>
    </row>
    <row r="97" spans="1:4" hidden="1" x14ac:dyDescent="0.35">
      <c r="A97" s="38" t="s">
        <v>752</v>
      </c>
      <c r="B97" s="38" t="s">
        <v>701</v>
      </c>
      <c r="C97" s="94" t="s">
        <v>702</v>
      </c>
      <c r="D97" s="94">
        <v>6.18</v>
      </c>
    </row>
    <row r="98" spans="1:4" hidden="1" x14ac:dyDescent="0.35">
      <c r="A98" s="38" t="s">
        <v>752</v>
      </c>
      <c r="B98" s="38" t="s">
        <v>701</v>
      </c>
      <c r="C98" s="94" t="s">
        <v>703</v>
      </c>
      <c r="D98" s="94">
        <v>4.16</v>
      </c>
    </row>
    <row r="99" spans="1:4" hidden="1" x14ac:dyDescent="0.35">
      <c r="A99" s="38" t="s">
        <v>752</v>
      </c>
      <c r="B99" s="38" t="s">
        <v>704</v>
      </c>
      <c r="C99" s="94" t="s">
        <v>705</v>
      </c>
      <c r="D99" s="94">
        <v>3.94</v>
      </c>
    </row>
    <row r="100" spans="1:4" hidden="1" x14ac:dyDescent="0.35">
      <c r="A100" s="38" t="s">
        <v>752</v>
      </c>
      <c r="B100" s="38" t="s">
        <v>704</v>
      </c>
      <c r="C100" s="94" t="s">
        <v>706</v>
      </c>
      <c r="D100" s="94">
        <v>0.12</v>
      </c>
    </row>
    <row r="101" spans="1:4" hidden="1" x14ac:dyDescent="0.35">
      <c r="A101" s="38" t="s">
        <v>752</v>
      </c>
      <c r="B101" s="38" t="s">
        <v>707</v>
      </c>
      <c r="C101" s="94" t="s">
        <v>708</v>
      </c>
      <c r="D101" s="94">
        <v>0.52</v>
      </c>
    </row>
    <row r="102" spans="1:4" x14ac:dyDescent="0.35">
      <c r="A102" s="38" t="s">
        <v>753</v>
      </c>
      <c r="B102" s="38" t="s">
        <v>686</v>
      </c>
      <c r="C102" s="94" t="s">
        <v>480</v>
      </c>
      <c r="D102" s="94">
        <v>0.75</v>
      </c>
    </row>
    <row r="103" spans="1:4" x14ac:dyDescent="0.35">
      <c r="A103" s="38" t="s">
        <v>753</v>
      </c>
      <c r="B103" s="38" t="s">
        <v>686</v>
      </c>
      <c r="C103" s="94" t="s">
        <v>687</v>
      </c>
      <c r="D103" s="94">
        <v>1.73</v>
      </c>
    </row>
    <row r="104" spans="1:4" x14ac:dyDescent="0.35">
      <c r="A104" s="38" t="s">
        <v>753</v>
      </c>
      <c r="B104" s="38" t="s">
        <v>686</v>
      </c>
      <c r="C104" s="94" t="s">
        <v>508</v>
      </c>
      <c r="D104" s="94">
        <v>0.93</v>
      </c>
    </row>
    <row r="105" spans="1:4" x14ac:dyDescent="0.35">
      <c r="A105" s="38" t="s">
        <v>753</v>
      </c>
      <c r="B105" s="38" t="s">
        <v>686</v>
      </c>
      <c r="C105" s="94" t="s">
        <v>688</v>
      </c>
      <c r="D105" s="94">
        <v>0.93</v>
      </c>
    </row>
    <row r="106" spans="1:4" x14ac:dyDescent="0.35">
      <c r="A106" s="38" t="s">
        <v>753</v>
      </c>
      <c r="B106" s="38" t="s">
        <v>686</v>
      </c>
      <c r="C106" s="94" t="s">
        <v>689</v>
      </c>
      <c r="D106" s="94">
        <v>1.91</v>
      </c>
    </row>
    <row r="107" spans="1:4" x14ac:dyDescent="0.35">
      <c r="A107" s="38" t="s">
        <v>753</v>
      </c>
      <c r="B107" s="38" t="s">
        <v>686</v>
      </c>
      <c r="C107" s="94" t="s">
        <v>690</v>
      </c>
      <c r="D107" s="94">
        <v>0.7</v>
      </c>
    </row>
    <row r="108" spans="1:4" x14ac:dyDescent="0.35">
      <c r="A108" s="38" t="s">
        <v>753</v>
      </c>
      <c r="B108" s="38" t="s">
        <v>686</v>
      </c>
      <c r="C108" s="94" t="s">
        <v>532</v>
      </c>
      <c r="D108" s="94">
        <v>0.93</v>
      </c>
    </row>
    <row r="109" spans="1:4" x14ac:dyDescent="0.35">
      <c r="A109" s="38" t="s">
        <v>753</v>
      </c>
      <c r="B109" s="38" t="s">
        <v>686</v>
      </c>
      <c r="C109" s="94" t="s">
        <v>541</v>
      </c>
      <c r="D109" s="94">
        <v>0.46</v>
      </c>
    </row>
    <row r="110" spans="1:4" x14ac:dyDescent="0.35">
      <c r="A110" s="38" t="s">
        <v>753</v>
      </c>
      <c r="B110" s="38" t="s">
        <v>686</v>
      </c>
      <c r="C110" s="38" t="s">
        <v>783</v>
      </c>
      <c r="D110" s="94">
        <v>0.93</v>
      </c>
    </row>
    <row r="111" spans="1:4" x14ac:dyDescent="0.35">
      <c r="A111" s="38" t="s">
        <v>753</v>
      </c>
      <c r="B111" s="38" t="s">
        <v>784</v>
      </c>
      <c r="C111" s="94" t="s">
        <v>692</v>
      </c>
      <c r="D111" s="94">
        <v>0.34</v>
      </c>
    </row>
    <row r="112" spans="1:4" x14ac:dyDescent="0.35">
      <c r="A112" s="38" t="s">
        <v>753</v>
      </c>
      <c r="B112" s="38" t="s">
        <v>784</v>
      </c>
      <c r="C112" s="94" t="s">
        <v>356</v>
      </c>
      <c r="D112" s="94">
        <v>0.45</v>
      </c>
    </row>
    <row r="113" spans="1:4" x14ac:dyDescent="0.35">
      <c r="A113" s="38" t="s">
        <v>753</v>
      </c>
      <c r="B113" s="38" t="s">
        <v>784</v>
      </c>
      <c r="C113" s="94" t="s">
        <v>693</v>
      </c>
      <c r="D113" s="94">
        <v>0.23</v>
      </c>
    </row>
    <row r="114" spans="1:4" x14ac:dyDescent="0.35">
      <c r="A114" s="38" t="s">
        <v>753</v>
      </c>
      <c r="B114" s="38" t="s">
        <v>784</v>
      </c>
      <c r="C114" s="94" t="s">
        <v>694</v>
      </c>
      <c r="D114" s="94">
        <v>0.62</v>
      </c>
    </row>
    <row r="115" spans="1:4" x14ac:dyDescent="0.35">
      <c r="A115" s="38" t="s">
        <v>753</v>
      </c>
      <c r="B115" s="38" t="s">
        <v>784</v>
      </c>
      <c r="C115" s="94" t="s">
        <v>785</v>
      </c>
      <c r="D115" s="94">
        <v>0.84</v>
      </c>
    </row>
    <row r="116" spans="1:4" x14ac:dyDescent="0.35">
      <c r="A116" s="38" t="s">
        <v>753</v>
      </c>
      <c r="B116" s="38" t="s">
        <v>784</v>
      </c>
      <c r="C116" s="94" t="s">
        <v>695</v>
      </c>
      <c r="D116" s="94">
        <v>0.81</v>
      </c>
    </row>
    <row r="117" spans="1:4" x14ac:dyDescent="0.35">
      <c r="A117" s="38" t="s">
        <v>753</v>
      </c>
      <c r="B117" s="38" t="s">
        <v>696</v>
      </c>
      <c r="C117" s="94" t="s">
        <v>697</v>
      </c>
      <c r="D117" s="94">
        <v>5.29</v>
      </c>
    </row>
    <row r="118" spans="1:4" x14ac:dyDescent="0.35">
      <c r="A118" s="38" t="s">
        <v>753</v>
      </c>
      <c r="B118" s="38" t="s">
        <v>698</v>
      </c>
      <c r="C118" s="94" t="s">
        <v>747</v>
      </c>
      <c r="D118" s="94">
        <v>39.08</v>
      </c>
    </row>
    <row r="119" spans="1:4" x14ac:dyDescent="0.35">
      <c r="A119" s="38" t="s">
        <v>753</v>
      </c>
      <c r="B119" s="38" t="s">
        <v>698</v>
      </c>
      <c r="C119" s="94" t="s">
        <v>700</v>
      </c>
      <c r="D119" s="94">
        <v>15.71</v>
      </c>
    </row>
    <row r="120" spans="1:4" x14ac:dyDescent="0.35">
      <c r="A120" s="38" t="s">
        <v>753</v>
      </c>
      <c r="B120" s="38" t="s">
        <v>698</v>
      </c>
      <c r="C120" s="94" t="s">
        <v>786</v>
      </c>
      <c r="D120" s="94">
        <v>6.92</v>
      </c>
    </row>
    <row r="121" spans="1:4" x14ac:dyDescent="0.35">
      <c r="A121" s="38" t="s">
        <v>753</v>
      </c>
      <c r="B121" s="38" t="s">
        <v>698</v>
      </c>
      <c r="C121" s="94" t="s">
        <v>252</v>
      </c>
      <c r="D121" s="94">
        <v>4.68</v>
      </c>
    </row>
    <row r="122" spans="1:4" x14ac:dyDescent="0.35">
      <c r="A122" s="38" t="s">
        <v>753</v>
      </c>
      <c r="B122" s="38" t="s">
        <v>701</v>
      </c>
      <c r="C122" s="94" t="s">
        <v>702</v>
      </c>
      <c r="D122" s="94">
        <v>3.06</v>
      </c>
    </row>
    <row r="123" spans="1:4" x14ac:dyDescent="0.35">
      <c r="A123" s="38" t="s">
        <v>753</v>
      </c>
      <c r="B123" s="38" t="s">
        <v>701</v>
      </c>
      <c r="C123" s="94" t="s">
        <v>703</v>
      </c>
      <c r="D123" s="94">
        <v>2.31</v>
      </c>
    </row>
    <row r="124" spans="1:4" x14ac:dyDescent="0.35">
      <c r="A124" s="38" t="s">
        <v>753</v>
      </c>
      <c r="B124" s="38" t="s">
        <v>704</v>
      </c>
      <c r="C124" s="94" t="s">
        <v>705</v>
      </c>
      <c r="D124" s="94">
        <v>1.96</v>
      </c>
    </row>
    <row r="125" spans="1:4" x14ac:dyDescent="0.35">
      <c r="A125" s="38" t="s">
        <v>753</v>
      </c>
      <c r="B125" s="38" t="s">
        <v>704</v>
      </c>
      <c r="C125" s="94" t="s">
        <v>706</v>
      </c>
      <c r="D125" s="94">
        <v>0.34</v>
      </c>
    </row>
    <row r="126" spans="1:4" x14ac:dyDescent="0.35">
      <c r="A126" s="38" t="s">
        <v>753</v>
      </c>
      <c r="B126" s="38" t="s">
        <v>707</v>
      </c>
      <c r="C126" s="94" t="s">
        <v>708</v>
      </c>
      <c r="D126" s="94">
        <v>0.16</v>
      </c>
    </row>
    <row r="127" spans="1:4" hidden="1" x14ac:dyDescent="0.35">
      <c r="A127" s="38" t="s">
        <v>750</v>
      </c>
      <c r="B127" s="38" t="s">
        <v>686</v>
      </c>
      <c r="C127" s="94" t="s">
        <v>480</v>
      </c>
      <c r="D127" s="94">
        <v>0.84</v>
      </c>
    </row>
    <row r="128" spans="1:4" hidden="1" x14ac:dyDescent="0.35">
      <c r="A128" s="38" t="s">
        <v>750</v>
      </c>
      <c r="B128" s="38" t="s">
        <v>686</v>
      </c>
      <c r="C128" s="94" t="s">
        <v>687</v>
      </c>
      <c r="D128" s="94">
        <v>0.81</v>
      </c>
    </row>
    <row r="129" spans="1:4" hidden="1" x14ac:dyDescent="0.35">
      <c r="A129" s="38" t="s">
        <v>750</v>
      </c>
      <c r="B129" s="38" t="s">
        <v>686</v>
      </c>
      <c r="C129" s="94" t="s">
        <v>508</v>
      </c>
      <c r="D129" s="94">
        <v>0.93</v>
      </c>
    </row>
    <row r="130" spans="1:4" hidden="1" x14ac:dyDescent="0.35">
      <c r="A130" s="38" t="s">
        <v>750</v>
      </c>
      <c r="B130" s="38" t="s">
        <v>686</v>
      </c>
      <c r="C130" s="94" t="s">
        <v>688</v>
      </c>
      <c r="D130" s="94">
        <v>0.93</v>
      </c>
    </row>
    <row r="131" spans="1:4" hidden="1" x14ac:dyDescent="0.35">
      <c r="A131" s="38" t="s">
        <v>750</v>
      </c>
      <c r="B131" s="38" t="s">
        <v>686</v>
      </c>
      <c r="C131" s="94" t="s">
        <v>689</v>
      </c>
      <c r="D131" s="94">
        <v>2.58</v>
      </c>
    </row>
    <row r="132" spans="1:4" hidden="1" x14ac:dyDescent="0.35">
      <c r="A132" s="38" t="s">
        <v>750</v>
      </c>
      <c r="B132" s="38" t="s">
        <v>686</v>
      </c>
      <c r="C132" s="94" t="s">
        <v>690</v>
      </c>
      <c r="D132" s="94">
        <v>0.76</v>
      </c>
    </row>
    <row r="133" spans="1:4" hidden="1" x14ac:dyDescent="0.35">
      <c r="A133" s="38" t="s">
        <v>750</v>
      </c>
      <c r="B133" s="38" t="s">
        <v>686</v>
      </c>
      <c r="C133" s="94" t="s">
        <v>532</v>
      </c>
      <c r="D133" s="94">
        <v>0.93</v>
      </c>
    </row>
    <row r="134" spans="1:4" hidden="1" x14ac:dyDescent="0.35">
      <c r="A134" s="38" t="s">
        <v>750</v>
      </c>
      <c r="B134" s="38" t="s">
        <v>686</v>
      </c>
      <c r="C134" s="94" t="s">
        <v>541</v>
      </c>
      <c r="D134" s="94">
        <v>0.6</v>
      </c>
    </row>
    <row r="135" spans="1:4" hidden="1" x14ac:dyDescent="0.35">
      <c r="A135" s="38" t="s">
        <v>750</v>
      </c>
      <c r="B135" s="38" t="s">
        <v>686</v>
      </c>
      <c r="C135" s="38" t="s">
        <v>783</v>
      </c>
      <c r="D135" s="94">
        <v>0.93</v>
      </c>
    </row>
    <row r="136" spans="1:4" hidden="1" x14ac:dyDescent="0.35">
      <c r="A136" s="38" t="s">
        <v>750</v>
      </c>
      <c r="B136" s="38" t="s">
        <v>784</v>
      </c>
      <c r="C136" s="94" t="s">
        <v>692</v>
      </c>
      <c r="D136" s="94">
        <v>0.15</v>
      </c>
    </row>
    <row r="137" spans="1:4" hidden="1" x14ac:dyDescent="0.35">
      <c r="A137" s="38" t="s">
        <v>750</v>
      </c>
      <c r="B137" s="38" t="s">
        <v>784</v>
      </c>
      <c r="C137" s="94" t="s">
        <v>356</v>
      </c>
      <c r="D137" s="94">
        <v>0.3</v>
      </c>
    </row>
    <row r="138" spans="1:4" hidden="1" x14ac:dyDescent="0.35">
      <c r="A138" s="38" t="s">
        <v>750</v>
      </c>
      <c r="B138" s="38" t="s">
        <v>784</v>
      </c>
      <c r="C138" s="94" t="s">
        <v>693</v>
      </c>
      <c r="D138" s="94">
        <v>0.19</v>
      </c>
    </row>
    <row r="139" spans="1:4" hidden="1" x14ac:dyDescent="0.35">
      <c r="A139" s="38" t="s">
        <v>750</v>
      </c>
      <c r="B139" s="38" t="s">
        <v>784</v>
      </c>
      <c r="C139" s="94" t="s">
        <v>694</v>
      </c>
      <c r="D139" s="94">
        <v>0.67</v>
      </c>
    </row>
    <row r="140" spans="1:4" hidden="1" x14ac:dyDescent="0.35">
      <c r="A140" s="38" t="s">
        <v>750</v>
      </c>
      <c r="B140" s="38" t="s">
        <v>784</v>
      </c>
      <c r="C140" s="94" t="s">
        <v>785</v>
      </c>
      <c r="D140" s="94">
        <v>0.41</v>
      </c>
    </row>
    <row r="141" spans="1:4" hidden="1" x14ac:dyDescent="0.35">
      <c r="A141" s="38" t="s">
        <v>750</v>
      </c>
      <c r="B141" s="38" t="s">
        <v>784</v>
      </c>
      <c r="C141" s="94" t="s">
        <v>695</v>
      </c>
      <c r="D141" s="94">
        <v>0.31</v>
      </c>
    </row>
    <row r="142" spans="1:4" hidden="1" x14ac:dyDescent="0.35">
      <c r="A142" s="38" t="s">
        <v>750</v>
      </c>
      <c r="B142" s="38" t="s">
        <v>696</v>
      </c>
      <c r="C142" s="94" t="s">
        <v>697</v>
      </c>
      <c r="D142" s="94">
        <v>3.01</v>
      </c>
    </row>
    <row r="143" spans="1:4" hidden="1" x14ac:dyDescent="0.35">
      <c r="A143" s="38" t="s">
        <v>750</v>
      </c>
      <c r="B143" s="38" t="s">
        <v>698</v>
      </c>
      <c r="C143" s="94" t="s">
        <v>747</v>
      </c>
      <c r="D143" s="94">
        <v>35.01</v>
      </c>
    </row>
    <row r="144" spans="1:4" hidden="1" x14ac:dyDescent="0.35">
      <c r="A144" s="38" t="s">
        <v>750</v>
      </c>
      <c r="B144" s="38" t="s">
        <v>698</v>
      </c>
      <c r="C144" s="94" t="s">
        <v>700</v>
      </c>
      <c r="D144" s="94">
        <v>20.89</v>
      </c>
    </row>
    <row r="145" spans="1:4" hidden="1" x14ac:dyDescent="0.35">
      <c r="A145" s="38" t="s">
        <v>750</v>
      </c>
      <c r="B145" s="38" t="s">
        <v>698</v>
      </c>
      <c r="C145" s="94" t="s">
        <v>786</v>
      </c>
      <c r="D145" s="94">
        <v>4.6500000000000004</v>
      </c>
    </row>
    <row r="146" spans="1:4" hidden="1" x14ac:dyDescent="0.35">
      <c r="A146" s="38" t="s">
        <v>750</v>
      </c>
      <c r="B146" s="38" t="s">
        <v>698</v>
      </c>
      <c r="C146" s="94" t="s">
        <v>252</v>
      </c>
      <c r="D146" s="94">
        <v>3.38</v>
      </c>
    </row>
    <row r="147" spans="1:4" hidden="1" x14ac:dyDescent="0.35">
      <c r="A147" s="38" t="s">
        <v>750</v>
      </c>
      <c r="B147" s="38" t="s">
        <v>701</v>
      </c>
      <c r="C147" s="94" t="s">
        <v>702</v>
      </c>
      <c r="D147" s="94">
        <v>5.2</v>
      </c>
    </row>
    <row r="148" spans="1:4" hidden="1" x14ac:dyDescent="0.35">
      <c r="A148" s="38" t="s">
        <v>750</v>
      </c>
      <c r="B148" s="38" t="s">
        <v>701</v>
      </c>
      <c r="C148" s="94" t="s">
        <v>703</v>
      </c>
      <c r="D148" s="94">
        <v>2.52</v>
      </c>
    </row>
    <row r="149" spans="1:4" hidden="1" x14ac:dyDescent="0.35">
      <c r="A149" s="38" t="s">
        <v>750</v>
      </c>
      <c r="B149" s="38" t="s">
        <v>704</v>
      </c>
      <c r="C149" s="94" t="s">
        <v>705</v>
      </c>
      <c r="D149" s="94">
        <v>0.91</v>
      </c>
    </row>
    <row r="150" spans="1:4" hidden="1" x14ac:dyDescent="0.35">
      <c r="A150" s="38" t="s">
        <v>750</v>
      </c>
      <c r="B150" s="38" t="s">
        <v>704</v>
      </c>
      <c r="C150" s="94" t="s">
        <v>706</v>
      </c>
      <c r="D150" s="94">
        <v>0.15</v>
      </c>
    </row>
    <row r="151" spans="1:4" hidden="1" x14ac:dyDescent="0.35">
      <c r="A151" s="38" t="s">
        <v>750</v>
      </c>
      <c r="B151" s="38" t="s">
        <v>707</v>
      </c>
      <c r="C151" s="94" t="s">
        <v>708</v>
      </c>
      <c r="D151" s="94">
        <v>0.18</v>
      </c>
    </row>
    <row r="152" spans="1:4" hidden="1" x14ac:dyDescent="0.35">
      <c r="A152" s="38" t="s">
        <v>751</v>
      </c>
      <c r="B152" s="38" t="s">
        <v>686</v>
      </c>
      <c r="C152" s="94" t="s">
        <v>480</v>
      </c>
      <c r="D152" s="94">
        <v>0.49</v>
      </c>
    </row>
    <row r="153" spans="1:4" hidden="1" x14ac:dyDescent="0.35">
      <c r="A153" s="38" t="s">
        <v>751</v>
      </c>
      <c r="B153" s="38" t="s">
        <v>686</v>
      </c>
      <c r="C153" s="94" t="s">
        <v>687</v>
      </c>
      <c r="D153" s="94">
        <v>0.56000000000000005</v>
      </c>
    </row>
    <row r="154" spans="1:4" hidden="1" x14ac:dyDescent="0.35">
      <c r="A154" s="38" t="s">
        <v>751</v>
      </c>
      <c r="B154" s="38" t="s">
        <v>686</v>
      </c>
      <c r="C154" s="94" t="s">
        <v>508</v>
      </c>
      <c r="D154" s="94">
        <v>0.93</v>
      </c>
    </row>
    <row r="155" spans="1:4" hidden="1" x14ac:dyDescent="0.35">
      <c r="A155" s="38" t="s">
        <v>751</v>
      </c>
      <c r="B155" s="38" t="s">
        <v>686</v>
      </c>
      <c r="C155" s="94" t="s">
        <v>688</v>
      </c>
      <c r="D155" s="94">
        <v>0.93</v>
      </c>
    </row>
    <row r="156" spans="1:4" hidden="1" x14ac:dyDescent="0.35">
      <c r="A156" s="38" t="s">
        <v>751</v>
      </c>
      <c r="B156" s="38" t="s">
        <v>686</v>
      </c>
      <c r="C156" s="94" t="s">
        <v>689</v>
      </c>
      <c r="D156" s="94">
        <v>2.36</v>
      </c>
    </row>
    <row r="157" spans="1:4" hidden="1" x14ac:dyDescent="0.35">
      <c r="A157" s="38" t="s">
        <v>751</v>
      </c>
      <c r="B157" s="38" t="s">
        <v>686</v>
      </c>
      <c r="C157" s="94" t="s">
        <v>690</v>
      </c>
      <c r="D157" s="94">
        <v>0.69</v>
      </c>
    </row>
    <row r="158" spans="1:4" hidden="1" x14ac:dyDescent="0.35">
      <c r="A158" s="38" t="s">
        <v>751</v>
      </c>
      <c r="B158" s="38" t="s">
        <v>686</v>
      </c>
      <c r="C158" s="94" t="s">
        <v>532</v>
      </c>
      <c r="D158" s="94">
        <v>0.93</v>
      </c>
    </row>
    <row r="159" spans="1:4" hidden="1" x14ac:dyDescent="0.35">
      <c r="A159" s="38" t="s">
        <v>751</v>
      </c>
      <c r="B159" s="38" t="s">
        <v>686</v>
      </c>
      <c r="C159" s="94" t="s">
        <v>541</v>
      </c>
      <c r="D159" s="94">
        <v>0.61</v>
      </c>
    </row>
    <row r="160" spans="1:4" hidden="1" x14ac:dyDescent="0.35">
      <c r="A160" s="38" t="s">
        <v>751</v>
      </c>
      <c r="B160" s="38" t="s">
        <v>686</v>
      </c>
      <c r="C160" s="38" t="s">
        <v>783</v>
      </c>
      <c r="D160" s="94">
        <v>0.93</v>
      </c>
    </row>
    <row r="161" spans="1:4" hidden="1" x14ac:dyDescent="0.35">
      <c r="A161" s="38" t="s">
        <v>751</v>
      </c>
      <c r="B161" s="38" t="s">
        <v>784</v>
      </c>
      <c r="C161" s="94" t="s">
        <v>692</v>
      </c>
      <c r="D161" s="94">
        <v>0.71</v>
      </c>
    </row>
    <row r="162" spans="1:4" hidden="1" x14ac:dyDescent="0.35">
      <c r="A162" s="38" t="s">
        <v>751</v>
      </c>
      <c r="B162" s="38" t="s">
        <v>784</v>
      </c>
      <c r="C162" s="94" t="s">
        <v>356</v>
      </c>
      <c r="D162" s="94">
        <v>0.51</v>
      </c>
    </row>
    <row r="163" spans="1:4" hidden="1" x14ac:dyDescent="0.35">
      <c r="A163" s="38" t="s">
        <v>751</v>
      </c>
      <c r="B163" s="38" t="s">
        <v>784</v>
      </c>
      <c r="C163" s="94" t="s">
        <v>693</v>
      </c>
      <c r="D163" s="94">
        <v>0.16</v>
      </c>
    </row>
    <row r="164" spans="1:4" hidden="1" x14ac:dyDescent="0.35">
      <c r="A164" s="38" t="s">
        <v>751</v>
      </c>
      <c r="B164" s="38" t="s">
        <v>784</v>
      </c>
      <c r="C164" s="94" t="s">
        <v>694</v>
      </c>
      <c r="D164" s="94">
        <v>0.55000000000000004</v>
      </c>
    </row>
    <row r="165" spans="1:4" hidden="1" x14ac:dyDescent="0.35">
      <c r="A165" s="38" t="s">
        <v>751</v>
      </c>
      <c r="B165" s="38" t="s">
        <v>784</v>
      </c>
      <c r="C165" s="94" t="s">
        <v>785</v>
      </c>
      <c r="D165" s="94">
        <v>0.34</v>
      </c>
    </row>
    <row r="166" spans="1:4" hidden="1" x14ac:dyDescent="0.35">
      <c r="A166" s="38" t="s">
        <v>751</v>
      </c>
      <c r="B166" s="38" t="s">
        <v>784</v>
      </c>
      <c r="C166" s="94" t="s">
        <v>695</v>
      </c>
      <c r="D166" s="94">
        <v>0.27</v>
      </c>
    </row>
    <row r="167" spans="1:4" hidden="1" x14ac:dyDescent="0.35">
      <c r="A167" s="38" t="s">
        <v>751</v>
      </c>
      <c r="B167" s="38" t="s">
        <v>696</v>
      </c>
      <c r="C167" s="94" t="s">
        <v>697</v>
      </c>
      <c r="D167" s="94">
        <v>6.86</v>
      </c>
    </row>
    <row r="168" spans="1:4" hidden="1" x14ac:dyDescent="0.35">
      <c r="A168" s="38" t="s">
        <v>751</v>
      </c>
      <c r="B168" s="38" t="s">
        <v>698</v>
      </c>
      <c r="C168" s="94" t="s">
        <v>747</v>
      </c>
      <c r="D168" s="94">
        <v>19.440000000000001</v>
      </c>
    </row>
    <row r="169" spans="1:4" hidden="1" x14ac:dyDescent="0.35">
      <c r="A169" s="38" t="s">
        <v>751</v>
      </c>
      <c r="B169" s="38" t="s">
        <v>698</v>
      </c>
      <c r="C169" s="94" t="s">
        <v>700</v>
      </c>
      <c r="D169" s="94">
        <v>20.29</v>
      </c>
    </row>
    <row r="170" spans="1:4" hidden="1" x14ac:dyDescent="0.35">
      <c r="A170" s="38" t="s">
        <v>751</v>
      </c>
      <c r="B170" s="38" t="s">
        <v>698</v>
      </c>
      <c r="C170" s="94" t="s">
        <v>786</v>
      </c>
      <c r="D170" s="94">
        <v>5.67</v>
      </c>
    </row>
    <row r="171" spans="1:4" hidden="1" x14ac:dyDescent="0.35">
      <c r="A171" s="38" t="s">
        <v>751</v>
      </c>
      <c r="B171" s="38" t="s">
        <v>698</v>
      </c>
      <c r="C171" s="94" t="s">
        <v>252</v>
      </c>
      <c r="D171" s="94">
        <v>4.55</v>
      </c>
    </row>
    <row r="172" spans="1:4" hidden="1" x14ac:dyDescent="0.35">
      <c r="A172" s="38" t="s">
        <v>751</v>
      </c>
      <c r="B172" s="38" t="s">
        <v>701</v>
      </c>
      <c r="C172" s="94" t="s">
        <v>702</v>
      </c>
      <c r="D172" s="94">
        <v>5.54</v>
      </c>
    </row>
    <row r="173" spans="1:4" hidden="1" x14ac:dyDescent="0.35">
      <c r="A173" s="38" t="s">
        <v>751</v>
      </c>
      <c r="B173" s="38" t="s">
        <v>701</v>
      </c>
      <c r="C173" s="94" t="s">
        <v>703</v>
      </c>
      <c r="D173" s="94">
        <v>2.77</v>
      </c>
    </row>
    <row r="174" spans="1:4" hidden="1" x14ac:dyDescent="0.35">
      <c r="A174" s="38" t="s">
        <v>751</v>
      </c>
      <c r="B174" s="38" t="s">
        <v>704</v>
      </c>
      <c r="C174" s="94" t="s">
        <v>705</v>
      </c>
      <c r="D174" s="94">
        <v>1.59</v>
      </c>
    </row>
    <row r="175" spans="1:4" hidden="1" x14ac:dyDescent="0.35">
      <c r="A175" s="38" t="s">
        <v>751</v>
      </c>
      <c r="B175" s="38" t="s">
        <v>704</v>
      </c>
      <c r="C175" s="94" t="s">
        <v>706</v>
      </c>
      <c r="D175" s="94">
        <v>0.71</v>
      </c>
    </row>
    <row r="176" spans="1:4" hidden="1" x14ac:dyDescent="0.35">
      <c r="A176" s="38" t="s">
        <v>751</v>
      </c>
      <c r="B176" s="38" t="s">
        <v>707</v>
      </c>
      <c r="C176" s="94" t="s">
        <v>708</v>
      </c>
      <c r="D176" s="94">
        <v>0.15</v>
      </c>
    </row>
    <row r="178" spans="4:4" x14ac:dyDescent="0.35">
      <c r="D178" s="94"/>
    </row>
    <row r="181" spans="4:4" x14ac:dyDescent="0.35">
      <c r="D181" s="94"/>
    </row>
  </sheetData>
  <autoFilter ref="A1:D176" xr:uid="{00000000-0009-0000-0000-000004000000}">
    <filterColumn colId="0">
      <filters>
        <filter val="SSEA"/>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499984740745262"/>
  </sheetPr>
  <dimension ref="B2:R113"/>
  <sheetViews>
    <sheetView zoomScale="75" zoomScaleNormal="70" workbookViewId="0">
      <pane ySplit="2" topLeftCell="A3" activePane="bottomLeft" state="frozen"/>
      <selection pane="bottomLeft" activeCell="B2" sqref="B2:M2"/>
    </sheetView>
  </sheetViews>
  <sheetFormatPr defaultRowHeight="14.5" x14ac:dyDescent="0.35"/>
  <cols>
    <col min="1" max="1" width="3" style="16" customWidth="1"/>
    <col min="2" max="2" width="28.90625" style="16" bestFit="1" customWidth="1"/>
    <col min="3" max="3" width="17.54296875" style="16" customWidth="1"/>
    <col min="4" max="4" width="15" style="16" customWidth="1"/>
    <col min="5" max="5" width="17" style="16" customWidth="1"/>
    <col min="6" max="6" width="12.54296875" style="16" customWidth="1"/>
    <col min="7" max="7" width="17.7265625" style="16" customWidth="1"/>
    <col min="8" max="8" width="17.81640625" style="16" customWidth="1"/>
    <col min="9" max="9" width="17.7265625" style="16" customWidth="1"/>
    <col min="10" max="10" width="16" style="16" customWidth="1"/>
    <col min="11" max="11" width="13.90625" style="16" customWidth="1"/>
    <col min="12" max="12" width="18.90625" style="16" customWidth="1"/>
    <col min="13" max="13" width="17.26953125" style="16" customWidth="1"/>
    <col min="14" max="14" width="13.7265625" style="16" customWidth="1"/>
    <col min="15" max="15" width="14.7265625" style="16" customWidth="1"/>
    <col min="16" max="16" width="15" style="16" customWidth="1"/>
    <col min="17" max="17" width="16.1796875" style="16" customWidth="1"/>
    <col min="18" max="18" width="15.36328125" style="16" customWidth="1"/>
    <col min="19" max="19" width="13.54296875" style="16" customWidth="1"/>
    <col min="20" max="16384" width="8.7265625" style="16"/>
  </cols>
  <sheetData>
    <row r="2" spans="2:13" x14ac:dyDescent="0.35">
      <c r="B2" s="267" t="s">
        <v>35</v>
      </c>
      <c r="C2" s="226"/>
      <c r="D2" s="226"/>
      <c r="E2" s="226"/>
      <c r="F2" s="226"/>
      <c r="G2" s="226"/>
      <c r="H2" s="226"/>
      <c r="I2" s="226"/>
      <c r="J2" s="226"/>
      <c r="K2" s="226"/>
      <c r="L2" s="226"/>
      <c r="M2" s="226"/>
    </row>
    <row r="4" spans="2:13" ht="14.5" customHeight="1" x14ac:dyDescent="0.35">
      <c r="B4" s="268" t="s">
        <v>282</v>
      </c>
      <c r="C4" s="268"/>
      <c r="D4" s="268"/>
    </row>
    <row r="5" spans="2:13" ht="26" x14ac:dyDescent="0.35">
      <c r="B5" s="8" t="s">
        <v>272</v>
      </c>
      <c r="C5" s="8" t="s">
        <v>273</v>
      </c>
      <c r="D5" s="8" t="s">
        <v>274</v>
      </c>
    </row>
    <row r="6" spans="2:13" ht="39" customHeight="1" x14ac:dyDescent="0.35">
      <c r="B6" s="45" t="s">
        <v>275</v>
      </c>
      <c r="C6" s="100">
        <f>15797746/1000000</f>
        <v>15.797746</v>
      </c>
      <c r="D6" s="102">
        <f>((190/1000*'Wedge Scale'!B28)/1000000)*0.9</f>
        <v>56.247029999999995</v>
      </c>
    </row>
    <row r="7" spans="2:13" x14ac:dyDescent="0.35">
      <c r="B7" s="99" t="s">
        <v>276</v>
      </c>
      <c r="C7" s="101">
        <v>13650</v>
      </c>
      <c r="D7" s="101">
        <f>D8/D6*1000</f>
        <v>15929.729978631764</v>
      </c>
    </row>
    <row r="8" spans="2:13" x14ac:dyDescent="0.35">
      <c r="B8" s="45" t="s">
        <v>278</v>
      </c>
      <c r="C8" s="100">
        <f>C6*C7/1000</f>
        <v>215.6392329</v>
      </c>
      <c r="D8" s="104">
        <f>3200*28%</f>
        <v>896.00000000000011</v>
      </c>
    </row>
    <row r="9" spans="2:13" x14ac:dyDescent="0.35">
      <c r="B9" s="99" t="s">
        <v>277</v>
      </c>
      <c r="C9" s="103">
        <f>7.9/100*8.94</f>
        <v>0.70626</v>
      </c>
      <c r="D9" s="110">
        <v>0.55000000000000004</v>
      </c>
    </row>
    <row r="10" spans="2:13" x14ac:dyDescent="0.35">
      <c r="B10" s="45" t="s">
        <v>295</v>
      </c>
      <c r="C10" s="102">
        <f>C9*('Power Sector Inputs'!$H$9*3.6)</f>
        <v>224.259302808</v>
      </c>
      <c r="D10" s="102">
        <f>D9*('Power Sector Inputs'!$H$9*3.6)</f>
        <v>174.64194000000001</v>
      </c>
    </row>
    <row r="11" spans="2:13" x14ac:dyDescent="0.35">
      <c r="B11" s="99" t="s">
        <v>279</v>
      </c>
      <c r="C11" s="103">
        <f>C8*C10/1000</f>
        <v>48.359104028205934</v>
      </c>
      <c r="D11" s="103">
        <f>D8*D10/1000</f>
        <v>156.47917824000004</v>
      </c>
    </row>
    <row r="12" spans="2:13" x14ac:dyDescent="0.35">
      <c r="B12" s="99"/>
    </row>
    <row r="13" spans="2:13" ht="14.5" customHeight="1" x14ac:dyDescent="0.35">
      <c r="B13" s="268" t="s">
        <v>283</v>
      </c>
      <c r="C13" s="268"/>
      <c r="D13" s="268"/>
    </row>
    <row r="14" spans="2:13" ht="26" x14ac:dyDescent="0.35">
      <c r="B14" s="8" t="s">
        <v>272</v>
      </c>
      <c r="C14" s="8" t="s">
        <v>273</v>
      </c>
      <c r="D14" s="8" t="s">
        <v>274</v>
      </c>
    </row>
    <row r="15" spans="2:13" x14ac:dyDescent="0.35">
      <c r="B15" s="44" t="s">
        <v>305</v>
      </c>
      <c r="C15" s="107"/>
      <c r="D15" s="107"/>
    </row>
    <row r="16" spans="2:13" x14ac:dyDescent="0.35">
      <c r="B16" s="99" t="s">
        <v>284</v>
      </c>
      <c r="C16" s="108">
        <v>1.1711711711711714E-2</v>
      </c>
      <c r="D16" s="108">
        <v>0.10540540540540543</v>
      </c>
      <c r="E16" s="111"/>
    </row>
    <row r="17" spans="2:8" x14ac:dyDescent="0.35">
      <c r="B17" s="45" t="s">
        <v>285</v>
      </c>
      <c r="C17" s="107">
        <v>1.17117117117117E-2</v>
      </c>
      <c r="D17" s="107">
        <v>3.5135135135135137E-2</v>
      </c>
    </row>
    <row r="18" spans="2:8" x14ac:dyDescent="0.35">
      <c r="B18" s="99" t="s">
        <v>286</v>
      </c>
      <c r="C18" s="108">
        <v>0.84324324324324318</v>
      </c>
      <c r="D18" s="108">
        <v>0.70270270270270263</v>
      </c>
    </row>
    <row r="19" spans="2:8" x14ac:dyDescent="0.35">
      <c r="B19" s="45" t="s">
        <v>287</v>
      </c>
      <c r="C19" s="107">
        <v>0.10133333333333332</v>
      </c>
      <c r="D19" s="107">
        <v>0.11199999999999997</v>
      </c>
      <c r="E19" s="111"/>
    </row>
    <row r="20" spans="2:8" x14ac:dyDescent="0.35">
      <c r="B20" s="99" t="s">
        <v>288</v>
      </c>
      <c r="C20" s="108">
        <v>3.1999999999999994E-2</v>
      </c>
      <c r="D20" s="108">
        <v>3.7333333333333329E-2</v>
      </c>
    </row>
    <row r="21" spans="2:8" x14ac:dyDescent="0.35">
      <c r="B21" s="44" t="s">
        <v>277</v>
      </c>
      <c r="C21" s="100"/>
      <c r="D21" s="104"/>
      <c r="F21" s="109"/>
      <c r="G21" s="109"/>
      <c r="H21" s="109"/>
    </row>
    <row r="22" spans="2:8" x14ac:dyDescent="0.35">
      <c r="B22" s="99" t="s">
        <v>284</v>
      </c>
      <c r="C22" s="103">
        <v>1</v>
      </c>
      <c r="D22" s="103">
        <v>0.83606557377049184</v>
      </c>
      <c r="G22" s="109"/>
      <c r="H22" s="109"/>
    </row>
    <row r="23" spans="2:8" x14ac:dyDescent="0.35">
      <c r="B23" s="45" t="s">
        <v>285</v>
      </c>
      <c r="C23" s="100">
        <v>6</v>
      </c>
      <c r="D23" s="102">
        <v>3.580645161290323</v>
      </c>
      <c r="G23" s="109"/>
      <c r="H23" s="109"/>
    </row>
    <row r="24" spans="2:8" x14ac:dyDescent="0.35">
      <c r="B24" s="99" t="s">
        <v>286</v>
      </c>
      <c r="C24" s="103">
        <v>5</v>
      </c>
      <c r="D24" s="103">
        <v>2.9838709677419355</v>
      </c>
      <c r="G24" s="109"/>
      <c r="H24" s="109"/>
    </row>
    <row r="25" spans="2:8" x14ac:dyDescent="0.35">
      <c r="B25" s="45" t="s">
        <v>287</v>
      </c>
      <c r="C25" s="100">
        <v>23.3</v>
      </c>
      <c r="D25" s="102">
        <v>19.480327868852459</v>
      </c>
      <c r="E25" s="76"/>
      <c r="G25" s="109"/>
      <c r="H25" s="109"/>
    </row>
    <row r="26" spans="2:8" x14ac:dyDescent="0.35">
      <c r="B26" s="99" t="s">
        <v>288</v>
      </c>
      <c r="C26" s="103">
        <v>29</v>
      </c>
      <c r="D26" s="103">
        <v>17.358772914328469</v>
      </c>
      <c r="G26" s="109"/>
    </row>
    <row r="27" spans="2:8" x14ac:dyDescent="0.35">
      <c r="B27" s="45" t="s">
        <v>289</v>
      </c>
      <c r="C27" s="100">
        <v>0.70626</v>
      </c>
      <c r="D27" s="102">
        <v>0.55000000000000004</v>
      </c>
    </row>
    <row r="28" spans="2:8" x14ac:dyDescent="0.35">
      <c r="B28" s="99" t="s">
        <v>290</v>
      </c>
      <c r="C28" s="103">
        <v>0.14299999999999999</v>
      </c>
      <c r="D28" s="103">
        <v>0.12155000000000001</v>
      </c>
    </row>
    <row r="29" spans="2:8" x14ac:dyDescent="0.35">
      <c r="B29" s="44" t="s">
        <v>291</v>
      </c>
      <c r="C29" s="100"/>
      <c r="D29" s="104"/>
    </row>
    <row r="30" spans="2:8" x14ac:dyDescent="0.35">
      <c r="B30" s="99" t="s">
        <v>292</v>
      </c>
      <c r="C30" s="103">
        <f>24.9</f>
        <v>24.9</v>
      </c>
      <c r="D30" s="103">
        <v>23.94230769230769</v>
      </c>
    </row>
    <row r="31" spans="2:8" x14ac:dyDescent="0.35">
      <c r="B31" s="45" t="s">
        <v>293</v>
      </c>
      <c r="C31" s="100">
        <f>(29066*10^6)/(124951*365/0.7)</f>
        <v>446.11898823242819</v>
      </c>
      <c r="D31" s="102">
        <v>450.80265215087888</v>
      </c>
    </row>
    <row r="32" spans="2:8" x14ac:dyDescent="0.35">
      <c r="B32" s="99" t="s">
        <v>294</v>
      </c>
      <c r="C32" s="103">
        <v>1.6</v>
      </c>
      <c r="D32" s="103">
        <v>1.6</v>
      </c>
    </row>
    <row r="33" spans="2:9" x14ac:dyDescent="0.35">
      <c r="B33" s="44" t="s">
        <v>296</v>
      </c>
      <c r="C33" s="100"/>
      <c r="D33" s="104"/>
    </row>
    <row r="34" spans="2:9" x14ac:dyDescent="0.35">
      <c r="B34" s="99" t="s">
        <v>284</v>
      </c>
      <c r="C34" s="103">
        <f>((C22*'Power Sector Inputs'!C66)/'Transport Inputs'!C30)</f>
        <v>34.751807228915666</v>
      </c>
      <c r="D34" s="103">
        <f>((D22*'Power Sector Inputs'!E66)/'Transport Inputs'!D30)</f>
        <v>0.48888011060635994</v>
      </c>
    </row>
    <row r="35" spans="2:9" x14ac:dyDescent="0.35">
      <c r="B35" s="45" t="s">
        <v>285</v>
      </c>
      <c r="C35" s="100">
        <f>((C23*'Power Sector Inputs'!H8*3.6)/'Transport Inputs'!C30)</f>
        <v>62.597060240963856</v>
      </c>
      <c r="D35" s="100">
        <f>((D23*'Power Sector Inputs'!H8*3.6)/'Transport Inputs'!D30)</f>
        <v>38.850562549553061</v>
      </c>
    </row>
    <row r="36" spans="2:9" x14ac:dyDescent="0.35">
      <c r="B36" s="99" t="s">
        <v>286</v>
      </c>
      <c r="C36" s="103">
        <f>((C24*'Power Sector Inputs'!H9*3.6)/'Transport Inputs'!C30)</f>
        <v>63.761204819277111</v>
      </c>
      <c r="D36" s="103">
        <f>((D24*'Power Sector Inputs'!H9*3.6)/'Transport Inputs'!D30)</f>
        <v>39.573083249125538</v>
      </c>
    </row>
    <row r="37" spans="2:9" x14ac:dyDescent="0.35">
      <c r="B37" s="45" t="s">
        <v>287</v>
      </c>
      <c r="C37" s="100">
        <f>((C25*'Power Sector Inputs'!C66)/'Transport Inputs'!C31)</f>
        <v>45.194122043277865</v>
      </c>
      <c r="D37" s="100">
        <f>((D25*'Power Sector Inputs'!E66)/'Transport Inputs'!D31)</f>
        <v>0.60497556716382483</v>
      </c>
    </row>
    <row r="38" spans="2:9" x14ac:dyDescent="0.35">
      <c r="B38" s="99" t="s">
        <v>288</v>
      </c>
      <c r="C38" s="103">
        <f>((C26*'Power Sector Inputs'!H9*3.6)/'Transport Inputs'!C31)</f>
        <v>20.641114686654905</v>
      </c>
      <c r="D38" s="103">
        <f>((D26*'Power Sector Inputs'!H9*3.6)/'Transport Inputs'!D31)</f>
        <v>12.226957903211847</v>
      </c>
    </row>
    <row r="39" spans="2:9" x14ac:dyDescent="0.35">
      <c r="B39" s="45" t="s">
        <v>297</v>
      </c>
      <c r="C39" s="100">
        <f>(C34*C16)+(C35*C17)+(C36*C18)+(C37*C19)+(C38*C20)</f>
        <v>60.146513719864579</v>
      </c>
      <c r="D39" s="100">
        <f>(D34*D16)+(D35*D17)+(D36*D18)+(D37*D19)+(D38*D20)</f>
        <v>29.748893283522822</v>
      </c>
    </row>
    <row r="40" spans="2:9" x14ac:dyDescent="0.35">
      <c r="B40" s="99" t="s">
        <v>289</v>
      </c>
      <c r="C40" s="103">
        <f>(C27*'Power Sector Inputs'!H9*3.6)/'Transport Inputs'!C32</f>
        <v>140.16206425499999</v>
      </c>
      <c r="D40" s="103">
        <f>(D27*'Power Sector Inputs'!H9*3.6)/'Transport Inputs'!D32</f>
        <v>109.1512125</v>
      </c>
    </row>
    <row r="41" spans="2:9" x14ac:dyDescent="0.35">
      <c r="B41" s="45" t="s">
        <v>290</v>
      </c>
      <c r="C41" s="100">
        <f>C28*'Power Sector Inputs'!C66/'Transport Inputs'!C32</f>
        <v>77.337974999999986</v>
      </c>
      <c r="D41" s="100">
        <f>D28*'Power Sector Inputs'!E66/'Transport Inputs'!D32</f>
        <v>1.0635625</v>
      </c>
    </row>
    <row r="43" spans="2:9" ht="14.5" customHeight="1" x14ac:dyDescent="0.35">
      <c r="B43" s="268" t="s">
        <v>794</v>
      </c>
      <c r="C43" s="268"/>
      <c r="D43" s="268"/>
      <c r="E43" s="268"/>
      <c r="F43" s="268"/>
      <c r="G43" s="268"/>
      <c r="H43" s="268"/>
      <c r="I43" s="268"/>
    </row>
    <row r="44" spans="2:9" ht="26" customHeight="1" x14ac:dyDescent="0.35">
      <c r="B44" s="269" t="s">
        <v>307</v>
      </c>
      <c r="C44" s="269" t="s">
        <v>308</v>
      </c>
      <c r="D44" s="269" t="s">
        <v>309</v>
      </c>
      <c r="E44" s="269" t="s">
        <v>310</v>
      </c>
      <c r="F44" s="271" t="s">
        <v>313</v>
      </c>
      <c r="G44" s="272"/>
      <c r="H44" s="269" t="s">
        <v>311</v>
      </c>
      <c r="I44" s="269" t="s">
        <v>312</v>
      </c>
    </row>
    <row r="45" spans="2:9" x14ac:dyDescent="0.35">
      <c r="B45" s="270"/>
      <c r="C45" s="270"/>
      <c r="D45" s="270"/>
      <c r="E45" s="270"/>
      <c r="F45" s="8" t="s">
        <v>315</v>
      </c>
      <c r="G45" s="8" t="s">
        <v>316</v>
      </c>
      <c r="H45" s="270"/>
      <c r="I45" s="270"/>
    </row>
    <row r="46" spans="2:9" ht="14.5" customHeight="1" x14ac:dyDescent="0.35">
      <c r="B46" s="45" t="s">
        <v>303</v>
      </c>
      <c r="C46" s="107">
        <v>0.192</v>
      </c>
      <c r="D46" s="112">
        <v>16.8</v>
      </c>
      <c r="E46" s="112">
        <v>1.6</v>
      </c>
      <c r="F46" s="112">
        <f>C46/E46</f>
        <v>0.12</v>
      </c>
      <c r="G46" s="105">
        <f>F46/SUM($F$46:$F$54)</f>
        <v>0.17908913057741074</v>
      </c>
      <c r="H46" s="112">
        <f>(C46*'Wedge Scale'!$A$28*2.56*'Transport Inputs'!D46*365)/10^12</f>
        <v>0.81251429253120011</v>
      </c>
      <c r="I46" s="112">
        <f>3.2*G46*E46</f>
        <v>0.91693634855634309</v>
      </c>
    </row>
    <row r="47" spans="2:9" x14ac:dyDescent="0.35">
      <c r="B47" s="99" t="s">
        <v>304</v>
      </c>
      <c r="C47" s="108">
        <v>0.69199999999999995</v>
      </c>
      <c r="D47" s="113">
        <v>9.3000000000000007</v>
      </c>
      <c r="E47" s="113">
        <v>1.4</v>
      </c>
      <c r="F47" s="113">
        <f t="shared" ref="F47:F54" si="0">C47/E47</f>
        <v>0.49428571428571427</v>
      </c>
      <c r="G47" s="114">
        <f t="shared" ref="G47:G54" si="1">F47/SUM($F$46:$F$54)</f>
        <v>0.73767665690219186</v>
      </c>
      <c r="H47" s="113">
        <f>(C47*'Wedge Scale'!$A$28*2.56*'Transport Inputs'!D47*365)/10^12</f>
        <v>1.6210990144511999</v>
      </c>
      <c r="I47" s="113">
        <f t="shared" ref="I47:I54" si="2">3.2*G47*E47</f>
        <v>3.3047914229218192</v>
      </c>
    </row>
    <row r="48" spans="2:9" x14ac:dyDescent="0.35">
      <c r="B48" s="45" t="s">
        <v>301</v>
      </c>
      <c r="C48" s="107">
        <v>3.0000000000000001E-3</v>
      </c>
      <c r="D48" s="112">
        <v>8.6999999999999993</v>
      </c>
      <c r="E48" s="112">
        <v>1.6</v>
      </c>
      <c r="F48" s="112">
        <f t="shared" si="0"/>
        <v>1.8749999999999999E-3</v>
      </c>
      <c r="G48" s="105">
        <f t="shared" si="1"/>
        <v>2.7982676652720429E-3</v>
      </c>
      <c r="H48" s="112">
        <f>(C48*'Wedge Scale'!$A$28*2.56*'Transport Inputs'!D48*365)/10^12</f>
        <v>6.5744739072000008E-3</v>
      </c>
      <c r="I48" s="112">
        <f>3.2*G48*E48</f>
        <v>1.4327130446192861E-2</v>
      </c>
    </row>
    <row r="49" spans="2:9" x14ac:dyDescent="0.35">
      <c r="B49" s="99" t="s">
        <v>300</v>
      </c>
      <c r="C49" s="108">
        <v>3.7999999999999999E-2</v>
      </c>
      <c r="D49" s="113">
        <v>5.4</v>
      </c>
      <c r="E49" s="113">
        <v>1.4</v>
      </c>
      <c r="F49" s="113">
        <f t="shared" si="0"/>
        <v>2.7142857142857142E-2</v>
      </c>
      <c r="G49" s="114">
        <f t="shared" si="1"/>
        <v>4.0508255725842907E-2</v>
      </c>
      <c r="H49" s="113">
        <f>(C49*'Wedge Scale'!$A$28*2.56*'Transport Inputs'!D49*365)/10^12</f>
        <v>5.1688967270400003E-2</v>
      </c>
      <c r="I49" s="113">
        <f>3.2*G49*E49</f>
        <v>0.18147698565177622</v>
      </c>
    </row>
    <row r="50" spans="2:9" x14ac:dyDescent="0.35">
      <c r="B50" s="45" t="s">
        <v>292</v>
      </c>
      <c r="C50" s="107">
        <v>1.2999999999999999E-2</v>
      </c>
      <c r="D50" s="112">
        <v>16.100000000000001</v>
      </c>
      <c r="E50" s="112">
        <v>24.9</v>
      </c>
      <c r="F50" s="112">
        <f t="shared" si="0"/>
        <v>5.2208835341365466E-4</v>
      </c>
      <c r="G50" s="105">
        <f t="shared" si="1"/>
        <v>7.7916957747869477E-4</v>
      </c>
      <c r="H50" s="112">
        <f>(C50*'Wedge Scale'!$A$28*2.56*'Transport Inputs'!D50*365)/10^12</f>
        <v>5.2721739033600008E-2</v>
      </c>
      <c r="I50" s="112">
        <f t="shared" si="2"/>
        <v>6.2084231933502404E-2</v>
      </c>
    </row>
    <row r="51" spans="2:9" x14ac:dyDescent="0.35">
      <c r="B51" s="99" t="s">
        <v>299</v>
      </c>
      <c r="C51" s="108">
        <v>4.4999999999999998E-2</v>
      </c>
      <c r="D51" s="113">
        <v>8.4</v>
      </c>
      <c r="E51" s="113">
        <v>4.4000000000000004</v>
      </c>
      <c r="F51" s="113">
        <f t="shared" si="0"/>
        <v>1.0227272727272725E-2</v>
      </c>
      <c r="G51" s="114">
        <f t="shared" si="1"/>
        <v>1.526327817421114E-2</v>
      </c>
      <c r="H51" s="113">
        <f>(C51*'Wedge Scale'!$A$28*2.56*'Transport Inputs'!D51*365)/10^12</f>
        <v>9.5216518656000004E-2</v>
      </c>
      <c r="I51" s="113">
        <f>3.2*G51*E51</f>
        <v>0.21490695669289289</v>
      </c>
    </row>
    <row r="52" spans="2:9" x14ac:dyDescent="0.35">
      <c r="B52" s="45" t="s">
        <v>314</v>
      </c>
      <c r="C52" s="107">
        <v>2E-3</v>
      </c>
      <c r="D52" s="102">
        <v>10</v>
      </c>
      <c r="E52" s="102">
        <v>446.11898823242819</v>
      </c>
      <c r="F52" s="112">
        <f t="shared" si="0"/>
        <v>4.4831088851972361E-6</v>
      </c>
      <c r="G52" s="105">
        <f t="shared" si="1"/>
        <v>6.6906339377819848E-6</v>
      </c>
      <c r="H52" s="102">
        <f>(C52*'Wedge Scale'!$A$28*2.56*'Transport Inputs'!D52*365)/10^12</f>
        <v>5.0379110399999998E-3</v>
      </c>
      <c r="I52" s="102">
        <f t="shared" si="2"/>
        <v>9.551420297461909E-3</v>
      </c>
    </row>
    <row r="53" spans="2:9" x14ac:dyDescent="0.35">
      <c r="B53" s="99" t="s">
        <v>298</v>
      </c>
      <c r="C53" s="108">
        <v>1.0999999999999999E-2</v>
      </c>
      <c r="D53" s="103">
        <v>2</v>
      </c>
      <c r="E53" s="103">
        <v>1</v>
      </c>
      <c r="F53" s="113">
        <f>C53/E53</f>
        <v>1.0999999999999999E-2</v>
      </c>
      <c r="G53" s="114">
        <f t="shared" si="1"/>
        <v>1.6416503636262653E-2</v>
      </c>
      <c r="H53" s="103">
        <f>(C53*'Wedge Scale'!$A$28*2.56*'Transport Inputs'!D53*365)/10^12</f>
        <v>5.5417021440000002E-3</v>
      </c>
      <c r="I53" s="103">
        <f t="shared" si="2"/>
        <v>5.253281163604049E-2</v>
      </c>
    </row>
    <row r="54" spans="2:9" x14ac:dyDescent="0.35">
      <c r="B54" s="45" t="s">
        <v>302</v>
      </c>
      <c r="C54" s="107">
        <v>5.0000000000000001E-3</v>
      </c>
      <c r="D54" s="102">
        <v>2</v>
      </c>
      <c r="E54" s="102">
        <v>1</v>
      </c>
      <c r="F54" s="112">
        <f t="shared" si="0"/>
        <v>5.0000000000000001E-3</v>
      </c>
      <c r="G54" s="105">
        <f t="shared" si="1"/>
        <v>7.4620471073921146E-3</v>
      </c>
      <c r="H54" s="102">
        <f>(C54*'Wedge Scale'!$A$28*2.56*'Transport Inputs'!D54*365)/10^12</f>
        <v>2.5189555199999999E-3</v>
      </c>
      <c r="I54" s="102">
        <f t="shared" si="2"/>
        <v>2.3878550743654768E-2</v>
      </c>
    </row>
    <row r="55" spans="2:9" x14ac:dyDescent="0.35">
      <c r="B55" s="99" t="s">
        <v>66</v>
      </c>
      <c r="C55" s="103"/>
      <c r="D55" s="103"/>
      <c r="E55" s="103"/>
      <c r="F55" s="103"/>
      <c r="G55" s="103"/>
      <c r="H55" s="103">
        <f>SUM(H46:H54)</f>
        <v>2.6529135745535997</v>
      </c>
      <c r="I55" s="103">
        <f>SUM(I46:I54)</f>
        <v>4.7804858588796844</v>
      </c>
    </row>
    <row r="57" spans="2:9" ht="26" customHeight="1" x14ac:dyDescent="0.35">
      <c r="B57" s="268" t="s">
        <v>803</v>
      </c>
      <c r="C57" s="268"/>
      <c r="D57" s="268"/>
    </row>
    <row r="58" spans="2:9" ht="26" x14ac:dyDescent="0.35">
      <c r="B58" s="8" t="s">
        <v>318</v>
      </c>
      <c r="C58" s="8" t="s">
        <v>310</v>
      </c>
      <c r="D58" s="8" t="s">
        <v>317</v>
      </c>
    </row>
    <row r="59" spans="2:9" x14ac:dyDescent="0.35">
      <c r="B59" s="102">
        <f>D28</f>
        <v>0.12155000000000001</v>
      </c>
      <c r="C59" s="100">
        <f>D32</f>
        <v>1.6</v>
      </c>
      <c r="D59" s="102">
        <f>(B59/C59)*('Effort &amp; Upper Bound'!E32*10^3)</f>
        <v>47.567039013308239</v>
      </c>
    </row>
    <row r="61" spans="2:9" ht="14.5" customHeight="1" x14ac:dyDescent="0.35">
      <c r="B61" s="268" t="s">
        <v>319</v>
      </c>
      <c r="C61" s="268"/>
      <c r="D61" s="268"/>
      <c r="E61" s="268"/>
      <c r="F61" s="268"/>
    </row>
    <row r="62" spans="2:9" ht="26" customHeight="1" x14ac:dyDescent="0.35">
      <c r="B62" s="269" t="s">
        <v>320</v>
      </c>
      <c r="C62" s="271" t="s">
        <v>321</v>
      </c>
      <c r="D62" s="277"/>
      <c r="E62" s="277"/>
      <c r="F62" s="272"/>
    </row>
    <row r="63" spans="2:9" ht="26" x14ac:dyDescent="0.35">
      <c r="B63" s="270"/>
      <c r="C63" s="8" t="s">
        <v>322</v>
      </c>
      <c r="D63" s="8" t="s">
        <v>323</v>
      </c>
      <c r="E63" s="8" t="s">
        <v>324</v>
      </c>
      <c r="F63" s="8" t="s">
        <v>325</v>
      </c>
    </row>
    <row r="64" spans="2:9" x14ac:dyDescent="0.35">
      <c r="B64" s="102" t="s">
        <v>326</v>
      </c>
      <c r="C64" s="100">
        <v>29.4</v>
      </c>
      <c r="D64" s="102">
        <v>37</v>
      </c>
      <c r="E64" s="102">
        <v>48.9</v>
      </c>
      <c r="F64" s="102">
        <f>SUM(C64:E64)</f>
        <v>115.30000000000001</v>
      </c>
    </row>
    <row r="66" spans="2:18" ht="14.5" customHeight="1" x14ac:dyDescent="0.35">
      <c r="B66" s="268" t="s">
        <v>336</v>
      </c>
      <c r="C66" s="268"/>
      <c r="D66" s="268"/>
      <c r="H66" s="276"/>
      <c r="I66" s="276"/>
      <c r="J66" s="276"/>
      <c r="K66" s="276"/>
      <c r="L66" s="276"/>
    </row>
    <row r="67" spans="2:18" ht="26" x14ac:dyDescent="0.35">
      <c r="B67" s="8" t="s">
        <v>272</v>
      </c>
      <c r="C67" s="8" t="s">
        <v>273</v>
      </c>
      <c r="D67" s="8" t="s">
        <v>274</v>
      </c>
      <c r="F67" s="273" t="s">
        <v>795</v>
      </c>
      <c r="G67" s="274"/>
      <c r="H67" s="274"/>
      <c r="I67" s="274"/>
      <c r="J67" s="274"/>
      <c r="K67" s="274"/>
      <c r="L67" s="273" t="s">
        <v>796</v>
      </c>
      <c r="M67" s="274"/>
      <c r="N67" s="274"/>
      <c r="O67" s="274"/>
      <c r="P67" s="274"/>
      <c r="Q67" s="274"/>
      <c r="R67" s="275" t="s">
        <v>73</v>
      </c>
    </row>
    <row r="68" spans="2:18" ht="25.5" customHeight="1" x14ac:dyDescent="0.35">
      <c r="B68" s="45" t="s">
        <v>327</v>
      </c>
      <c r="C68" s="100">
        <f>70.234+112.43</f>
        <v>182.66399999999999</v>
      </c>
      <c r="D68" s="102">
        <v>445.56968571428564</v>
      </c>
      <c r="F68" s="9" t="s">
        <v>334</v>
      </c>
      <c r="G68" s="115" t="s">
        <v>333</v>
      </c>
      <c r="H68" s="116" t="s">
        <v>330</v>
      </c>
      <c r="I68" s="116" t="s">
        <v>331</v>
      </c>
      <c r="J68" s="9" t="s">
        <v>332</v>
      </c>
      <c r="K68" s="9" t="s">
        <v>318</v>
      </c>
      <c r="L68" s="9" t="s">
        <v>105</v>
      </c>
      <c r="M68" s="115" t="s">
        <v>329</v>
      </c>
      <c r="N68" s="116" t="s">
        <v>330</v>
      </c>
      <c r="O68" s="116" t="s">
        <v>331</v>
      </c>
      <c r="P68" s="9" t="s">
        <v>332</v>
      </c>
      <c r="Q68" s="9" t="s">
        <v>318</v>
      </c>
      <c r="R68" s="275"/>
    </row>
    <row r="69" spans="2:18" ht="21" customHeight="1" x14ac:dyDescent="0.35">
      <c r="B69" s="99" t="s">
        <v>328</v>
      </c>
      <c r="C69" s="101">
        <v>97.14</v>
      </c>
      <c r="D69" s="101">
        <v>98.759</v>
      </c>
      <c r="F69" s="118">
        <v>1505477130</v>
      </c>
      <c r="G69" s="118">
        <f>F69*0.75</f>
        <v>1129107847.5</v>
      </c>
      <c r="H69" s="118">
        <f>G69*43.1</f>
        <v>48664548227.25</v>
      </c>
      <c r="I69" s="118">
        <f>H69/3.6</f>
        <v>13517930063.125</v>
      </c>
      <c r="J69" s="117">
        <v>578202000</v>
      </c>
      <c r="K69" s="101">
        <f>I69/J69</f>
        <v>23.379251651023345</v>
      </c>
      <c r="L69" s="118">
        <v>3670193467</v>
      </c>
      <c r="M69" s="118">
        <f>L69*0.75</f>
        <v>2752645100.25</v>
      </c>
      <c r="N69" s="118">
        <f>M69*43.1</f>
        <v>118639003820.77501</v>
      </c>
      <c r="O69" s="118">
        <f>N69/3.6</f>
        <v>32955278839.104168</v>
      </c>
      <c r="P69" s="117">
        <v>576372000</v>
      </c>
      <c r="Q69" s="101">
        <f>O69/P69</f>
        <v>57.17709888596977</v>
      </c>
      <c r="R69" s="101">
        <f>(K69+Q69)/2</f>
        <v>40.278175268496554</v>
      </c>
    </row>
    <row r="70" spans="2:18" ht="21" customHeight="1" x14ac:dyDescent="0.35">
      <c r="B70" s="45" t="s">
        <v>277</v>
      </c>
      <c r="C70" s="100">
        <v>40.278175268496554</v>
      </c>
      <c r="D70" s="102">
        <f>C70*75%</f>
        <v>30.208631451372415</v>
      </c>
    </row>
    <row r="71" spans="2:18" ht="21" customHeight="1" x14ac:dyDescent="0.35">
      <c r="B71" s="99" t="s">
        <v>335</v>
      </c>
      <c r="C71" s="103">
        <f>(((SUM('Power Sector Inputs'!$C$9:$E$9)*1.7*3.6)+('Power Sector Inputs'!$F$9*3.6))*'Transport Inputs'!C70)/'Transport Inputs'!C69</f>
        <v>208.50575851193079</v>
      </c>
      <c r="D71" s="103">
        <f>(((SUM('Power Sector Inputs'!$C$9:$E$9)*1.7*3.6)+('Power Sector Inputs'!$F$9*3.6))*'Transport Inputs'!D70)/'Transport Inputs'!D69</f>
        <v>153.81572349240795</v>
      </c>
    </row>
    <row r="72" spans="2:18" ht="21" customHeight="1" x14ac:dyDescent="0.35">
      <c r="B72" s="45" t="s">
        <v>279</v>
      </c>
      <c r="C72" s="102">
        <f>C71*C68/1000</f>
        <v>38.086495872823328</v>
      </c>
      <c r="D72" s="102">
        <f>D71*D68/1000</f>
        <v>68.535623574427674</v>
      </c>
    </row>
    <row r="74" spans="2:18" ht="14.5" customHeight="1" x14ac:dyDescent="0.35">
      <c r="B74" s="268" t="s">
        <v>797</v>
      </c>
      <c r="C74" s="268"/>
      <c r="D74" s="268"/>
      <c r="E74" s="268"/>
      <c r="F74" s="268"/>
      <c r="G74" s="268"/>
      <c r="H74" s="268"/>
    </row>
    <row r="75" spans="2:18" ht="39" customHeight="1" x14ac:dyDescent="0.35">
      <c r="B75" s="269" t="s">
        <v>338</v>
      </c>
      <c r="C75" s="271" t="s">
        <v>339</v>
      </c>
      <c r="D75" s="272"/>
      <c r="E75" s="271" t="s">
        <v>342</v>
      </c>
      <c r="F75" s="272"/>
      <c r="G75" s="271" t="s">
        <v>341</v>
      </c>
      <c r="H75" s="272"/>
    </row>
    <row r="76" spans="2:18" x14ac:dyDescent="0.35">
      <c r="B76" s="270"/>
      <c r="C76" s="8">
        <v>2020</v>
      </c>
      <c r="D76" s="8">
        <v>2050</v>
      </c>
      <c r="E76" s="8">
        <v>2020</v>
      </c>
      <c r="F76" s="119">
        <v>2050</v>
      </c>
      <c r="G76" s="8">
        <v>2020</v>
      </c>
      <c r="H76" s="119">
        <v>2050</v>
      </c>
    </row>
    <row r="77" spans="2:18" x14ac:dyDescent="0.35">
      <c r="B77" s="45" t="s">
        <v>340</v>
      </c>
      <c r="C77" s="105">
        <v>0.28699999999999998</v>
      </c>
      <c r="D77" s="105">
        <v>0.30420000000000003</v>
      </c>
      <c r="E77" s="112">
        <v>146</v>
      </c>
      <c r="F77" s="112">
        <v>434</v>
      </c>
      <c r="G77" s="102">
        <f>E77*C77</f>
        <v>41.901999999999994</v>
      </c>
      <c r="H77" s="102">
        <f>F77*D77</f>
        <v>132.02280000000002</v>
      </c>
    </row>
    <row r="83" spans="4:11" x14ac:dyDescent="0.35">
      <c r="I83" s="120"/>
      <c r="K83" s="120"/>
    </row>
    <row r="84" spans="4:11" x14ac:dyDescent="0.35">
      <c r="I84" s="120"/>
      <c r="K84" s="120"/>
    </row>
    <row r="85" spans="4:11" x14ac:dyDescent="0.35">
      <c r="D85" s="121"/>
      <c r="E85" s="121"/>
      <c r="F85" s="121"/>
      <c r="G85" s="121"/>
      <c r="H85" s="121"/>
      <c r="I85" s="120"/>
      <c r="K85" s="120"/>
    </row>
    <row r="86" spans="4:11" x14ac:dyDescent="0.35">
      <c r="D86" s="121"/>
      <c r="E86" s="121"/>
      <c r="F86" s="121"/>
      <c r="G86" s="121"/>
      <c r="H86" s="121"/>
      <c r="I86" s="120"/>
      <c r="K86" s="120"/>
    </row>
    <row r="87" spans="4:11" x14ac:dyDescent="0.35">
      <c r="K87" s="120"/>
    </row>
    <row r="88" spans="4:11" x14ac:dyDescent="0.35">
      <c r="K88" s="120"/>
    </row>
    <row r="89" spans="4:11" x14ac:dyDescent="0.35">
      <c r="K89" s="120"/>
    </row>
    <row r="90" spans="4:11" x14ac:dyDescent="0.35">
      <c r="K90" s="120"/>
    </row>
    <row r="91" spans="4:11" x14ac:dyDescent="0.35">
      <c r="K91" s="120"/>
    </row>
    <row r="92" spans="4:11" x14ac:dyDescent="0.35">
      <c r="K92" s="120"/>
    </row>
    <row r="93" spans="4:11" x14ac:dyDescent="0.35">
      <c r="K93" s="120"/>
    </row>
    <row r="94" spans="4:11" x14ac:dyDescent="0.35">
      <c r="K94" s="120"/>
    </row>
    <row r="95" spans="4:11" x14ac:dyDescent="0.35">
      <c r="K95" s="120"/>
    </row>
    <row r="96" spans="4:11" x14ac:dyDescent="0.35">
      <c r="K96" s="120"/>
    </row>
    <row r="97" spans="11:11" x14ac:dyDescent="0.35">
      <c r="K97" s="120"/>
    </row>
    <row r="98" spans="11:11" x14ac:dyDescent="0.35">
      <c r="K98" s="120"/>
    </row>
    <row r="99" spans="11:11" x14ac:dyDescent="0.35">
      <c r="K99" s="120"/>
    </row>
    <row r="100" spans="11:11" x14ac:dyDescent="0.35">
      <c r="K100" s="120"/>
    </row>
    <row r="101" spans="11:11" x14ac:dyDescent="0.35">
      <c r="K101" s="120"/>
    </row>
    <row r="102" spans="11:11" x14ac:dyDescent="0.35">
      <c r="K102" s="120"/>
    </row>
    <row r="103" spans="11:11" x14ac:dyDescent="0.35">
      <c r="K103" s="120"/>
    </row>
    <row r="104" spans="11:11" x14ac:dyDescent="0.35">
      <c r="K104" s="120"/>
    </row>
    <row r="105" spans="11:11" x14ac:dyDescent="0.35">
      <c r="K105" s="120"/>
    </row>
    <row r="106" spans="11:11" x14ac:dyDescent="0.35">
      <c r="K106" s="120"/>
    </row>
    <row r="107" spans="11:11" x14ac:dyDescent="0.35">
      <c r="K107" s="120"/>
    </row>
    <row r="108" spans="11:11" x14ac:dyDescent="0.35">
      <c r="K108" s="120"/>
    </row>
    <row r="109" spans="11:11" x14ac:dyDescent="0.35">
      <c r="K109" s="120"/>
    </row>
    <row r="110" spans="11:11" x14ac:dyDescent="0.35">
      <c r="K110" s="120"/>
    </row>
    <row r="111" spans="11:11" x14ac:dyDescent="0.35">
      <c r="K111" s="120"/>
    </row>
    <row r="112" spans="11:11" x14ac:dyDescent="0.35">
      <c r="K112" s="120"/>
    </row>
    <row r="113" spans="11:11" x14ac:dyDescent="0.35">
      <c r="K113" s="120"/>
    </row>
  </sheetData>
  <mergeCells count="25">
    <mergeCell ref="B4:D4"/>
    <mergeCell ref="G75:H75"/>
    <mergeCell ref="C75:D75"/>
    <mergeCell ref="B75:B76"/>
    <mergeCell ref="E75:F75"/>
    <mergeCell ref="B62:B63"/>
    <mergeCell ref="B74:H74"/>
    <mergeCell ref="B66:D66"/>
    <mergeCell ref="B61:F61"/>
    <mergeCell ref="B57:D57"/>
    <mergeCell ref="B43:I43"/>
    <mergeCell ref="B13:D13"/>
    <mergeCell ref="L67:Q67"/>
    <mergeCell ref="R67:R68"/>
    <mergeCell ref="H66:L66"/>
    <mergeCell ref="F67:K67"/>
    <mergeCell ref="C62:F62"/>
    <mergeCell ref="B2:M2"/>
    <mergeCell ref="H44:H45"/>
    <mergeCell ref="I44:I45"/>
    <mergeCell ref="F44:G44"/>
    <mergeCell ref="B44:B45"/>
    <mergeCell ref="C44:C45"/>
    <mergeCell ref="D44:D45"/>
    <mergeCell ref="E44:E4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sheetPr>
  <dimension ref="B2:M19"/>
  <sheetViews>
    <sheetView zoomScale="75" zoomScaleNormal="70" workbookViewId="0">
      <pane ySplit="2" topLeftCell="A3" activePane="bottomLeft" state="frozen"/>
      <selection pane="bottomLeft" activeCell="B2" sqref="B2:M2"/>
    </sheetView>
  </sheetViews>
  <sheetFormatPr defaultRowHeight="14.5" x14ac:dyDescent="0.35"/>
  <cols>
    <col min="1" max="1" width="3" style="16" customWidth="1"/>
    <col min="2" max="2" width="16.81640625" style="16" customWidth="1"/>
    <col min="3" max="3" width="14.90625" style="16" customWidth="1"/>
    <col min="4" max="4" width="16.08984375" style="16" customWidth="1"/>
    <col min="5" max="5" width="14" style="16" customWidth="1"/>
    <col min="6" max="6" width="23.6328125" style="16" customWidth="1"/>
    <col min="7" max="7" width="24.7265625" style="16" customWidth="1"/>
    <col min="8" max="8" width="19.81640625" style="16" customWidth="1"/>
    <col min="9" max="9" width="25.81640625" style="16" customWidth="1"/>
    <col min="10" max="10" width="16" style="16" customWidth="1"/>
    <col min="11" max="11" width="20" style="16" customWidth="1"/>
    <col min="12" max="12" width="20.453125" style="16" customWidth="1"/>
    <col min="13" max="13" width="14" style="16" customWidth="1"/>
    <col min="14" max="16384" width="8.7265625" style="16"/>
  </cols>
  <sheetData>
    <row r="2" spans="2:13" x14ac:dyDescent="0.35">
      <c r="B2" s="225" t="s">
        <v>50</v>
      </c>
      <c r="C2" s="226"/>
      <c r="D2" s="226"/>
      <c r="E2" s="226"/>
      <c r="F2" s="226"/>
      <c r="G2" s="226"/>
      <c r="H2" s="226"/>
      <c r="I2" s="226"/>
      <c r="J2" s="226"/>
      <c r="K2" s="226"/>
      <c r="L2" s="226"/>
      <c r="M2" s="226"/>
    </row>
    <row r="4" spans="2:13" ht="14.5" customHeight="1" x14ac:dyDescent="0.35">
      <c r="B4" s="224" t="s">
        <v>543</v>
      </c>
      <c r="C4" s="224"/>
      <c r="D4" s="224"/>
      <c r="E4" s="224"/>
      <c r="F4" s="224"/>
      <c r="G4" s="224"/>
      <c r="H4" s="224"/>
      <c r="I4" s="224"/>
      <c r="J4" s="224"/>
      <c r="K4" s="224"/>
    </row>
    <row r="5" spans="2:13" ht="43" customHeight="1" x14ac:dyDescent="0.35">
      <c r="B5" s="13" t="s">
        <v>542</v>
      </c>
      <c r="C5" s="13" t="s">
        <v>544</v>
      </c>
      <c r="D5" s="13" t="s">
        <v>545</v>
      </c>
      <c r="E5" s="13" t="s">
        <v>548</v>
      </c>
      <c r="F5" s="13" t="s">
        <v>546</v>
      </c>
      <c r="G5" s="13" t="s">
        <v>547</v>
      </c>
      <c r="H5" s="13" t="s">
        <v>554</v>
      </c>
      <c r="I5" s="13" t="s">
        <v>555</v>
      </c>
      <c r="J5" s="13" t="s">
        <v>549</v>
      </c>
      <c r="K5" s="13" t="s">
        <v>550</v>
      </c>
    </row>
    <row r="6" spans="2:13" x14ac:dyDescent="0.35">
      <c r="B6" s="134">
        <v>4600</v>
      </c>
      <c r="C6" s="132">
        <v>0.2</v>
      </c>
      <c r="D6" s="133">
        <v>0.5</v>
      </c>
      <c r="E6" s="134">
        <v>15</v>
      </c>
      <c r="F6" s="134">
        <v>1225</v>
      </c>
      <c r="G6" s="134">
        <v>567</v>
      </c>
      <c r="H6" s="135">
        <f>((B6/(C6*E6))*F6)/1000000</f>
        <v>1.8783333333333332</v>
      </c>
      <c r="I6" s="135">
        <f>((B6/(D6*E6))*G6)/1000000</f>
        <v>0.34776000000000001</v>
      </c>
      <c r="J6" s="134">
        <v>70628952</v>
      </c>
      <c r="K6" s="133">
        <v>0.1176</v>
      </c>
    </row>
    <row r="7" spans="2:13" x14ac:dyDescent="0.35">
      <c r="B7" s="185"/>
    </row>
    <row r="8" spans="2:13" ht="14.5" customHeight="1" x14ac:dyDescent="0.35">
      <c r="B8" s="224" t="s">
        <v>556</v>
      </c>
      <c r="C8" s="224"/>
      <c r="D8" s="224"/>
      <c r="E8" s="224"/>
      <c r="F8" s="224"/>
    </row>
    <row r="9" spans="2:13" ht="39" x14ac:dyDescent="0.35">
      <c r="B9" s="13" t="s">
        <v>557</v>
      </c>
      <c r="C9" s="13" t="s">
        <v>558</v>
      </c>
      <c r="D9" s="13" t="s">
        <v>559</v>
      </c>
      <c r="E9" s="13" t="s">
        <v>560</v>
      </c>
      <c r="F9" s="13" t="s">
        <v>561</v>
      </c>
    </row>
    <row r="10" spans="2:13" x14ac:dyDescent="0.35">
      <c r="B10" s="137">
        <v>1.2999999999999999E-2</v>
      </c>
      <c r="C10" s="134">
        <f>'Wedge Scale'!A28</f>
        <v>269580000</v>
      </c>
      <c r="D10" s="135">
        <v>0.379</v>
      </c>
      <c r="E10" s="134">
        <f>(B10*J6)*(C10/J6)</f>
        <v>3504539.9999999995</v>
      </c>
      <c r="F10" s="172">
        <f>E10*D10*365/1000000000</f>
        <v>0.48480054089999997</v>
      </c>
    </row>
    <row r="12" spans="2:13" ht="27" customHeight="1" x14ac:dyDescent="0.35">
      <c r="B12" s="224" t="s">
        <v>562</v>
      </c>
      <c r="C12" s="224"/>
      <c r="D12" s="224"/>
    </row>
    <row r="13" spans="2:13" x14ac:dyDescent="0.35">
      <c r="B13" s="13" t="s">
        <v>565</v>
      </c>
      <c r="C13" s="13" t="s">
        <v>273</v>
      </c>
      <c r="D13" s="13" t="s">
        <v>274</v>
      </c>
    </row>
    <row r="14" spans="2:13" ht="26" x14ac:dyDescent="0.35">
      <c r="B14" s="143" t="s">
        <v>802</v>
      </c>
      <c r="C14" s="142">
        <v>1033129</v>
      </c>
      <c r="D14" s="142">
        <v>4633361</v>
      </c>
    </row>
    <row r="15" spans="2:13" x14ac:dyDescent="0.35">
      <c r="B15" s="144" t="s">
        <v>563</v>
      </c>
      <c r="C15" s="146">
        <v>1.9</v>
      </c>
      <c r="D15" s="87">
        <v>1.4777777777777774</v>
      </c>
      <c r="F15" s="85"/>
    </row>
    <row r="16" spans="2:13" x14ac:dyDescent="0.35">
      <c r="B16" s="143" t="s">
        <v>564</v>
      </c>
      <c r="C16" s="145">
        <f>3.5*1.12</f>
        <v>3.9200000000000004</v>
      </c>
      <c r="D16" s="145">
        <v>5.0999999999999996</v>
      </c>
      <c r="F16" s="85"/>
    </row>
    <row r="17" spans="2:4" x14ac:dyDescent="0.35">
      <c r="B17" s="144" t="s">
        <v>567</v>
      </c>
      <c r="C17" s="147">
        <f>C14/3600</f>
        <v>286.98027777777776</v>
      </c>
      <c r="D17" s="147">
        <f>D14/3600</f>
        <v>1287.0447222222222</v>
      </c>
    </row>
    <row r="18" spans="2:4" x14ac:dyDescent="0.35">
      <c r="B18" s="143" t="s">
        <v>568</v>
      </c>
      <c r="C18" s="145">
        <f>C17/C16</f>
        <v>73.20925453514738</v>
      </c>
      <c r="D18" s="142">
        <f>D17/D16</f>
        <v>252.36171023965142</v>
      </c>
    </row>
    <row r="19" spans="2:4" x14ac:dyDescent="0.35">
      <c r="B19" s="144" t="s">
        <v>566</v>
      </c>
      <c r="C19" s="147">
        <f>C18*'Power Sector Inputs'!C66/1000</f>
        <v>63.349432134353741</v>
      </c>
      <c r="D19" s="147">
        <f>D18*'Power Sector Inputs'!D66/1000</f>
        <v>126.68557854030502</v>
      </c>
    </row>
  </sheetData>
  <mergeCells count="4">
    <mergeCell ref="B2:M2"/>
    <mergeCell ref="B12:D12"/>
    <mergeCell ref="B8:F8"/>
    <mergeCell ref="B4:K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546A"/>
  </sheetPr>
  <dimension ref="B2:M1048552"/>
  <sheetViews>
    <sheetView zoomScale="80" zoomScaleNormal="70" workbookViewId="0">
      <pane ySplit="3" topLeftCell="A4" activePane="bottomLeft" state="frozen"/>
      <selection pane="bottomLeft" activeCell="B2" sqref="B2:M2"/>
    </sheetView>
  </sheetViews>
  <sheetFormatPr defaultRowHeight="14.5" x14ac:dyDescent="0.35"/>
  <cols>
    <col min="1" max="1" width="3" style="16" customWidth="1"/>
    <col min="2" max="2" width="37.6328125" style="16" customWidth="1"/>
    <col min="3" max="3" width="16.26953125" style="16" customWidth="1"/>
    <col min="4" max="4" width="20.36328125" style="16" customWidth="1"/>
    <col min="5" max="5" width="14" style="16" customWidth="1"/>
    <col min="6" max="6" width="19.08984375" style="16" customWidth="1"/>
    <col min="7" max="7" width="17.36328125" style="16" customWidth="1"/>
    <col min="8" max="8" width="17.81640625" style="16" customWidth="1"/>
    <col min="9" max="9" width="14" style="16" customWidth="1"/>
    <col min="10" max="10" width="16" style="16" customWidth="1"/>
    <col min="11" max="11" width="21.6328125" style="16" customWidth="1"/>
    <col min="12" max="12" width="36" style="16" customWidth="1"/>
    <col min="13" max="13" width="14" style="16" customWidth="1"/>
    <col min="14" max="16384" width="8.7265625" style="16"/>
  </cols>
  <sheetData>
    <row r="2" spans="2:13" x14ac:dyDescent="0.35">
      <c r="B2" s="279" t="s">
        <v>43</v>
      </c>
      <c r="C2" s="226"/>
      <c r="D2" s="226"/>
      <c r="E2" s="226"/>
      <c r="F2" s="226"/>
      <c r="G2" s="226"/>
      <c r="H2" s="226"/>
      <c r="I2" s="226"/>
      <c r="J2" s="226"/>
      <c r="K2" s="226"/>
      <c r="L2" s="226"/>
      <c r="M2" s="226"/>
    </row>
    <row r="4" spans="2:13" ht="14.5" customHeight="1" x14ac:dyDescent="0.35">
      <c r="B4" s="278" t="s">
        <v>604</v>
      </c>
      <c r="C4" s="278"/>
      <c r="D4" s="278"/>
      <c r="E4" s="278"/>
      <c r="I4" s="76"/>
      <c r="J4" s="76"/>
      <c r="K4" s="76"/>
      <c r="L4" s="76"/>
      <c r="M4" s="76"/>
    </row>
    <row r="5" spans="2:13" ht="39" x14ac:dyDescent="0.35">
      <c r="B5" s="11" t="s">
        <v>565</v>
      </c>
      <c r="C5" s="158" t="s">
        <v>273</v>
      </c>
      <c r="D5" s="11" t="s">
        <v>798</v>
      </c>
      <c r="E5" s="11" t="s">
        <v>799</v>
      </c>
      <c r="G5" s="76"/>
      <c r="H5" s="76"/>
      <c r="I5" s="76"/>
      <c r="J5" s="76"/>
      <c r="K5" s="76"/>
    </row>
    <row r="6" spans="2:13" x14ac:dyDescent="0.35">
      <c r="B6" s="140" t="s">
        <v>591</v>
      </c>
      <c r="C6" s="46"/>
      <c r="D6" s="12"/>
      <c r="E6" s="12"/>
      <c r="G6" s="76"/>
      <c r="H6" s="76"/>
      <c r="I6" s="76"/>
      <c r="J6" s="76"/>
      <c r="K6" s="76"/>
    </row>
    <row r="7" spans="2:13" x14ac:dyDescent="0.35">
      <c r="B7" s="144" t="s">
        <v>592</v>
      </c>
      <c r="C7" s="146" t="s">
        <v>142</v>
      </c>
      <c r="D7" s="153">
        <v>0.15356098238298491</v>
      </c>
      <c r="E7" s="153">
        <v>0</v>
      </c>
      <c r="G7" s="76"/>
      <c r="H7" s="76"/>
      <c r="I7" s="76"/>
      <c r="J7" s="76"/>
      <c r="K7" s="76"/>
    </row>
    <row r="8" spans="2:13" x14ac:dyDescent="0.35">
      <c r="B8" s="46" t="s">
        <v>593</v>
      </c>
      <c r="C8" s="12" t="s">
        <v>142</v>
      </c>
      <c r="D8" s="159">
        <v>1.1099567794473119E-2</v>
      </c>
      <c r="E8" s="159">
        <v>0</v>
      </c>
      <c r="G8" s="76"/>
      <c r="H8" s="76"/>
      <c r="I8" s="76"/>
      <c r="J8" s="76"/>
      <c r="K8" s="76"/>
    </row>
    <row r="9" spans="2:13" x14ac:dyDescent="0.35">
      <c r="B9" s="144" t="s">
        <v>594</v>
      </c>
      <c r="C9" s="147" t="s">
        <v>142</v>
      </c>
      <c r="D9" s="153">
        <v>0.83533944982254205</v>
      </c>
      <c r="E9" s="153">
        <v>0.83533944982254205</v>
      </c>
      <c r="G9" s="76"/>
      <c r="H9" s="76"/>
      <c r="I9" s="76"/>
      <c r="J9" s="76"/>
      <c r="K9" s="76"/>
    </row>
    <row r="10" spans="2:13" x14ac:dyDescent="0.35">
      <c r="B10" s="46" t="s">
        <v>595</v>
      </c>
      <c r="C10" s="12" t="s">
        <v>142</v>
      </c>
      <c r="D10" s="159">
        <v>0</v>
      </c>
      <c r="E10" s="159">
        <v>0.15356098238298491</v>
      </c>
    </row>
    <row r="11" spans="2:13" x14ac:dyDescent="0.35">
      <c r="B11" s="144" t="s">
        <v>596</v>
      </c>
      <c r="C11" s="147" t="s">
        <v>142</v>
      </c>
      <c r="D11" s="153">
        <v>0</v>
      </c>
      <c r="E11" s="153">
        <v>1.1099567794473119E-2</v>
      </c>
    </row>
    <row r="12" spans="2:13" x14ac:dyDescent="0.35">
      <c r="B12" s="140" t="s">
        <v>597</v>
      </c>
      <c r="C12" s="46"/>
      <c r="D12" s="12"/>
      <c r="E12" s="12"/>
    </row>
    <row r="13" spans="2:13" x14ac:dyDescent="0.35">
      <c r="B13" s="144" t="s">
        <v>592</v>
      </c>
      <c r="C13" s="146" t="s">
        <v>142</v>
      </c>
      <c r="D13" s="153">
        <v>0.78</v>
      </c>
      <c r="E13" s="153">
        <v>0.78</v>
      </c>
    </row>
    <row r="14" spans="2:13" x14ac:dyDescent="0.35">
      <c r="B14" s="46" t="s">
        <v>593</v>
      </c>
      <c r="C14" s="12" t="s">
        <v>142</v>
      </c>
      <c r="D14" s="159">
        <v>0.47</v>
      </c>
      <c r="E14" s="159">
        <v>0.47</v>
      </c>
    </row>
    <row r="15" spans="2:13" x14ac:dyDescent="0.35">
      <c r="B15" s="144" t="s">
        <v>594</v>
      </c>
      <c r="C15" s="147" t="s">
        <v>142</v>
      </c>
      <c r="D15" s="153">
        <v>0.7</v>
      </c>
      <c r="E15" s="153">
        <v>0.7</v>
      </c>
    </row>
    <row r="16" spans="2:13" x14ac:dyDescent="0.35">
      <c r="B16" s="46" t="s">
        <v>595</v>
      </c>
      <c r="C16" s="12" t="s">
        <v>142</v>
      </c>
      <c r="D16" s="12" t="s">
        <v>599</v>
      </c>
      <c r="E16" s="12" t="s">
        <v>599</v>
      </c>
    </row>
    <row r="17" spans="2:5" x14ac:dyDescent="0.35">
      <c r="B17" s="144" t="s">
        <v>596</v>
      </c>
      <c r="C17" s="147" t="s">
        <v>142</v>
      </c>
      <c r="D17" s="153">
        <v>0.57999999999999996</v>
      </c>
      <c r="E17" s="153">
        <v>0.57999999999999996</v>
      </c>
    </row>
    <row r="18" spans="2:5" x14ac:dyDescent="0.35">
      <c r="B18" s="140" t="s">
        <v>598</v>
      </c>
      <c r="C18" s="46"/>
      <c r="D18" s="12"/>
      <c r="E18" s="12"/>
    </row>
    <row r="19" spans="2:5" x14ac:dyDescent="0.35">
      <c r="B19" s="144" t="s">
        <v>592</v>
      </c>
      <c r="C19" s="146" t="s">
        <v>142</v>
      </c>
      <c r="D19" s="160">
        <f>('Power Sector Inputs'!$H$8*3.6)/'Industry Inputs'!D13</f>
        <v>333.04846153846154</v>
      </c>
      <c r="E19" s="160">
        <f>('Power Sector Inputs'!$H$8*3.6)/'Industry Inputs'!E13</f>
        <v>333.04846153846154</v>
      </c>
    </row>
    <row r="20" spans="2:5" x14ac:dyDescent="0.35">
      <c r="B20" s="46" t="s">
        <v>593</v>
      </c>
      <c r="C20" s="12" t="s">
        <v>142</v>
      </c>
      <c r="D20" s="161">
        <f>('Power Sector Inputs'!$H$7*3.6)/'Industry Inputs'!D14</f>
        <v>879.98706382978719</v>
      </c>
      <c r="E20" s="161">
        <f>('Power Sector Inputs'!$H$7*3.6)/'Industry Inputs'!E14</f>
        <v>879.98706382978719</v>
      </c>
    </row>
    <row r="21" spans="2:5" x14ac:dyDescent="0.35">
      <c r="B21" s="144" t="s">
        <v>594</v>
      </c>
      <c r="C21" s="147" t="s">
        <v>142</v>
      </c>
      <c r="D21" s="160">
        <f>'Power Sector Inputs'!D66/'Industry Inputs'!D15</f>
        <v>717.14285714285722</v>
      </c>
      <c r="E21" s="160">
        <f>'Power Sector Inputs'!E66/'Industry Inputs'!E15</f>
        <v>20</v>
      </c>
    </row>
    <row r="22" spans="2:5" x14ac:dyDescent="0.35">
      <c r="B22" s="46" t="s">
        <v>595</v>
      </c>
      <c r="C22" s="12" t="s">
        <v>142</v>
      </c>
      <c r="D22" s="161">
        <f>D19*33%</f>
        <v>109.90599230769232</v>
      </c>
      <c r="E22" s="161">
        <f>E19*33%</f>
        <v>109.90599230769232</v>
      </c>
    </row>
    <row r="23" spans="2:5" x14ac:dyDescent="0.35">
      <c r="B23" s="144" t="s">
        <v>596</v>
      </c>
      <c r="C23" s="147" t="s">
        <v>142</v>
      </c>
      <c r="D23" s="160">
        <f>('Power Sector Inputs'!$H$7*3.6)/'Industry Inputs'!D17</f>
        <v>713.0929655172414</v>
      </c>
      <c r="E23" s="160">
        <f>('Power Sector Inputs'!$H$7*3.6)/'Industry Inputs'!E17</f>
        <v>713.0929655172414</v>
      </c>
    </row>
    <row r="24" spans="2:5" x14ac:dyDescent="0.35">
      <c r="B24" s="46" t="s">
        <v>600</v>
      </c>
      <c r="C24" s="12" t="s">
        <v>142</v>
      </c>
      <c r="D24" s="161">
        <f>(D19*D7)+(D20*D8)+(D21*D9)</f>
        <v>659.9684447381062</v>
      </c>
      <c r="E24" s="161">
        <f>(E21*E9)+(E22*E10)+(E23*E11)</f>
        <v>41.499084859517353</v>
      </c>
    </row>
    <row r="25" spans="2:5" x14ac:dyDescent="0.35">
      <c r="B25" s="162" t="s">
        <v>601</v>
      </c>
      <c r="C25" s="110"/>
      <c r="D25" s="164">
        <f>5711883/1000000</f>
        <v>5.7118830000000003</v>
      </c>
      <c r="E25" s="164">
        <f>5711883/1000000</f>
        <v>5.7118830000000003</v>
      </c>
    </row>
    <row r="26" spans="2:5" x14ac:dyDescent="0.35">
      <c r="B26" s="162" t="s">
        <v>621</v>
      </c>
      <c r="C26" s="110"/>
      <c r="D26" s="174"/>
      <c r="E26" s="86">
        <f>'Effort &amp; Upper Bound'!D3/(('Industry Inputs'!D24-'Industry Inputs'!E24)/1000)</f>
        <v>109.4281415177616</v>
      </c>
    </row>
    <row r="27" spans="2:5" x14ac:dyDescent="0.35">
      <c r="C27" s="163"/>
    </row>
    <row r="28" spans="2:5" ht="14.5" customHeight="1" x14ac:dyDescent="0.35">
      <c r="B28" s="278" t="s">
        <v>620</v>
      </c>
      <c r="C28" s="278"/>
      <c r="D28" s="278"/>
    </row>
    <row r="29" spans="2:5" x14ac:dyDescent="0.35">
      <c r="B29" s="11" t="s">
        <v>606</v>
      </c>
      <c r="C29" s="158" t="s">
        <v>273</v>
      </c>
      <c r="D29" s="11" t="s">
        <v>274</v>
      </c>
    </row>
    <row r="30" spans="2:5" x14ac:dyDescent="0.35">
      <c r="B30" s="140" t="s">
        <v>612</v>
      </c>
      <c r="C30" s="46"/>
      <c r="D30" s="12"/>
    </row>
    <row r="31" spans="2:5" x14ac:dyDescent="0.35">
      <c r="B31" s="144" t="s">
        <v>608</v>
      </c>
      <c r="C31" s="147">
        <f>20*'Power Sector Inputs'!H7/1000</f>
        <v>2.2977439999999998</v>
      </c>
      <c r="D31" s="147">
        <f>18*'Power Sector Inputs'!H7/1000</f>
        <v>2.0679696000000001</v>
      </c>
    </row>
    <row r="32" spans="2:5" x14ac:dyDescent="0.35">
      <c r="B32" s="46" t="s">
        <v>609</v>
      </c>
      <c r="C32" s="12" t="s">
        <v>142</v>
      </c>
      <c r="D32" s="166">
        <f>D31*((1-0.9)+(0.9*330*502*10^(-6)))</f>
        <v>0.51511881954240002</v>
      </c>
    </row>
    <row r="33" spans="2:4" x14ac:dyDescent="0.35">
      <c r="B33" s="165" t="s">
        <v>613</v>
      </c>
      <c r="C33" s="4" t="s">
        <v>142</v>
      </c>
      <c r="D33" s="167">
        <f>10*('Power Sector Inputs'!E66/3600)</f>
        <v>3.888888888888889E-2</v>
      </c>
    </row>
    <row r="34" spans="2:4" x14ac:dyDescent="0.35">
      <c r="B34" s="140" t="s">
        <v>607</v>
      </c>
      <c r="C34" s="12"/>
      <c r="D34" s="166"/>
    </row>
    <row r="35" spans="2:4" x14ac:dyDescent="0.35">
      <c r="B35" s="144" t="s">
        <v>608</v>
      </c>
      <c r="C35" s="72">
        <v>0.70967741935483875</v>
      </c>
      <c r="D35" s="167">
        <v>0.71951219512195119</v>
      </c>
    </row>
    <row r="36" spans="2:4" x14ac:dyDescent="0.35">
      <c r="B36" s="46" t="s">
        <v>609</v>
      </c>
      <c r="C36" s="12" t="s">
        <v>142</v>
      </c>
      <c r="D36" s="166">
        <f>D35*((1-0.9)+(0.9*330*502*10^(-6)))</f>
        <v>0.1792261707317073</v>
      </c>
    </row>
    <row r="37" spans="2:4" x14ac:dyDescent="0.35">
      <c r="B37" s="165" t="s">
        <v>610</v>
      </c>
      <c r="C37" s="4"/>
      <c r="D37" s="167"/>
    </row>
    <row r="38" spans="2:4" x14ac:dyDescent="0.35">
      <c r="B38" s="46" t="s">
        <v>611</v>
      </c>
      <c r="C38" s="12">
        <v>13</v>
      </c>
      <c r="D38" s="168">
        <v>44</v>
      </c>
    </row>
    <row r="39" spans="2:4" x14ac:dyDescent="0.35">
      <c r="B39" s="17" t="s">
        <v>605</v>
      </c>
      <c r="C39" s="139">
        <v>62</v>
      </c>
      <c r="D39" s="169">
        <v>105</v>
      </c>
    </row>
    <row r="40" spans="2:4" x14ac:dyDescent="0.35">
      <c r="B40" s="140" t="s">
        <v>622</v>
      </c>
      <c r="C40" s="12"/>
      <c r="D40" s="168">
        <f>(10/3.6)*'Effort &amp; Upper Bound'!E49</f>
        <v>92.64999260583825</v>
      </c>
    </row>
    <row r="42" spans="2:4" ht="14.5" customHeight="1" x14ac:dyDescent="0.35">
      <c r="B42" s="278" t="s">
        <v>630</v>
      </c>
      <c r="C42" s="278"/>
      <c r="D42" s="278"/>
    </row>
    <row r="43" spans="2:4" x14ac:dyDescent="0.35">
      <c r="B43" s="11" t="s">
        <v>606</v>
      </c>
      <c r="C43" s="158" t="s">
        <v>627</v>
      </c>
      <c r="D43" s="158" t="s">
        <v>628</v>
      </c>
    </row>
    <row r="44" spans="2:4" x14ac:dyDescent="0.35">
      <c r="B44" s="46" t="s">
        <v>629</v>
      </c>
      <c r="C44" s="175">
        <v>565.95999999999992</v>
      </c>
      <c r="D44" s="175">
        <v>486.74000000000018</v>
      </c>
    </row>
    <row r="45" spans="2:4" ht="31" customHeight="1" x14ac:dyDescent="0.35">
      <c r="B45" s="17" t="s">
        <v>631</v>
      </c>
      <c r="C45" s="72" t="s">
        <v>142</v>
      </c>
      <c r="D45" s="72">
        <f>C44-D44</f>
        <v>79.219999999999743</v>
      </c>
    </row>
    <row r="47" spans="2:4" ht="26" customHeight="1" x14ac:dyDescent="0.35">
      <c r="B47" s="278" t="s">
        <v>800</v>
      </c>
      <c r="C47" s="278"/>
    </row>
    <row r="48" spans="2:4" ht="26" x14ac:dyDescent="0.35">
      <c r="B48" s="11" t="s">
        <v>606</v>
      </c>
      <c r="C48" s="158" t="s">
        <v>657</v>
      </c>
    </row>
    <row r="49" spans="2:3" x14ac:dyDescent="0.35">
      <c r="B49" s="46" t="s">
        <v>654</v>
      </c>
      <c r="C49" s="175">
        <f>SUM('Add. Industry'!Y3:Y33)</f>
        <v>666.50278498076023</v>
      </c>
    </row>
    <row r="50" spans="2:3" x14ac:dyDescent="0.35">
      <c r="B50" s="17" t="s">
        <v>655</v>
      </c>
      <c r="C50" s="72">
        <f>SUM('Add. Industry'!Z3:Z33)</f>
        <v>679.73535608123541</v>
      </c>
    </row>
    <row r="51" spans="2:3" x14ac:dyDescent="0.35">
      <c r="B51" s="46" t="s">
        <v>656</v>
      </c>
      <c r="C51" s="175">
        <f>C49+C50</f>
        <v>1346.2381410619955</v>
      </c>
    </row>
    <row r="52" spans="2:3" x14ac:dyDescent="0.35">
      <c r="B52" s="77"/>
    </row>
    <row r="53" spans="2:3" x14ac:dyDescent="0.35">
      <c r="B53" s="278" t="s">
        <v>804</v>
      </c>
      <c r="C53" s="278"/>
    </row>
    <row r="54" spans="2:3" x14ac:dyDescent="0.35">
      <c r="B54" s="11" t="s">
        <v>606</v>
      </c>
      <c r="C54" s="158" t="s">
        <v>659</v>
      </c>
    </row>
    <row r="55" spans="2:3" ht="26" x14ac:dyDescent="0.35">
      <c r="B55" s="140" t="s">
        <v>662</v>
      </c>
      <c r="C55" s="175"/>
    </row>
    <row r="56" spans="2:3" x14ac:dyDescent="0.35">
      <c r="B56" s="17" t="s">
        <v>660</v>
      </c>
      <c r="C56" s="72">
        <v>278</v>
      </c>
    </row>
    <row r="57" spans="2:3" x14ac:dyDescent="0.35">
      <c r="B57" s="46" t="s">
        <v>661</v>
      </c>
      <c r="C57" s="175">
        <v>444.44444444444446</v>
      </c>
    </row>
    <row r="58" spans="2:3" x14ac:dyDescent="0.35">
      <c r="B58" s="162" t="s">
        <v>663</v>
      </c>
    </row>
    <row r="59" spans="2:3" x14ac:dyDescent="0.35">
      <c r="B59" s="46" t="s">
        <v>801</v>
      </c>
      <c r="C59" s="175">
        <f>'Power Sector Inputs'!E66</f>
        <v>14</v>
      </c>
    </row>
    <row r="60" spans="2:3" x14ac:dyDescent="0.35">
      <c r="B60" s="18" t="s">
        <v>664</v>
      </c>
      <c r="C60" s="72"/>
    </row>
    <row r="61" spans="2:3" x14ac:dyDescent="0.35">
      <c r="B61" s="46" t="s">
        <v>665</v>
      </c>
      <c r="C61" s="159">
        <f>1-((C56+C57)*(C59/1000000))</f>
        <v>0.98988577777777775</v>
      </c>
    </row>
    <row r="63" spans="2:3" x14ac:dyDescent="0.35">
      <c r="B63" s="185"/>
    </row>
    <row r="1048552" spans="4:4" x14ac:dyDescent="0.35">
      <c r="D1048552" s="72" t="s">
        <v>666</v>
      </c>
    </row>
  </sheetData>
  <mergeCells count="6">
    <mergeCell ref="B28:D28"/>
    <mergeCell ref="B4:E4"/>
    <mergeCell ref="B2:M2"/>
    <mergeCell ref="B47:C47"/>
    <mergeCell ref="B42:D42"/>
    <mergeCell ref="B53:C53"/>
  </mergeCells>
  <pageMargins left="0.75" right="0.75" top="1" bottom="1" header="0.5" footer="0.5"/>
  <ignoredErrors>
    <ignoredError sqref="D23"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2C3E-1F21-43F4-8A99-BC383FC1B8D3}">
  <sheetPr>
    <tabColor rgb="FF5A6F8C"/>
  </sheetPr>
  <dimension ref="A1:Z66"/>
  <sheetViews>
    <sheetView zoomScale="85" zoomScaleNormal="85" workbookViewId="0">
      <selection sqref="A1:C1"/>
    </sheetView>
  </sheetViews>
  <sheetFormatPr defaultRowHeight="14.5" x14ac:dyDescent="0.35"/>
  <cols>
    <col min="1" max="1" width="20.90625" customWidth="1"/>
    <col min="2" max="2" width="18.26953125" customWidth="1"/>
    <col min="3" max="3" width="14.453125" customWidth="1"/>
    <col min="6" max="6" width="14.90625" customWidth="1"/>
    <col min="7" max="7" width="15.36328125" customWidth="1"/>
    <col min="8" max="9" width="13" customWidth="1"/>
    <col min="10" max="10" width="10.6328125" customWidth="1"/>
    <col min="11" max="11" width="10.7265625" customWidth="1"/>
    <col min="12" max="12" width="14.7265625" customWidth="1"/>
    <col min="13" max="13" width="13.26953125" bestFit="1" customWidth="1"/>
    <col min="19" max="19" width="13.36328125" customWidth="1"/>
    <col min="20" max="20" width="13.08984375" customWidth="1"/>
    <col min="21" max="21" width="10.7265625" customWidth="1"/>
    <col min="22" max="22" width="9.81640625" customWidth="1"/>
    <col min="23" max="23" width="10" customWidth="1"/>
    <col min="24" max="24" width="10.08984375" customWidth="1"/>
    <col min="25" max="25" width="13.1796875" customWidth="1"/>
    <col min="26" max="26" width="12.453125" customWidth="1"/>
  </cols>
  <sheetData>
    <row r="1" spans="1:26" ht="14.5" customHeight="1" x14ac:dyDescent="0.35">
      <c r="A1" s="280" t="s">
        <v>636</v>
      </c>
      <c r="B1" s="281"/>
      <c r="C1" s="281"/>
      <c r="E1" s="280" t="s">
        <v>648</v>
      </c>
      <c r="F1" s="281"/>
      <c r="G1" s="281"/>
      <c r="H1" s="281"/>
      <c r="I1" s="281"/>
      <c r="J1" s="281"/>
      <c r="K1" s="281"/>
      <c r="L1" s="281"/>
      <c r="M1" s="281"/>
      <c r="N1" s="281"/>
      <c r="O1" s="281"/>
      <c r="P1" s="281"/>
      <c r="R1" s="280" t="s">
        <v>649</v>
      </c>
      <c r="S1" s="281"/>
      <c r="T1" s="281"/>
      <c r="U1" s="281"/>
      <c r="V1" s="281"/>
      <c r="W1" s="281"/>
      <c r="X1" s="281"/>
      <c r="Y1" s="281"/>
      <c r="Z1" s="281"/>
    </row>
    <row r="2" spans="1:26" ht="45" customHeight="1" x14ac:dyDescent="0.35">
      <c r="A2" s="176" t="s">
        <v>626</v>
      </c>
      <c r="B2" s="176" t="s">
        <v>632</v>
      </c>
      <c r="C2" s="176" t="s">
        <v>6</v>
      </c>
      <c r="E2" s="176" t="s">
        <v>6</v>
      </c>
      <c r="F2" s="177" t="s">
        <v>637</v>
      </c>
      <c r="G2" s="177" t="s">
        <v>640</v>
      </c>
      <c r="H2" s="177" t="s">
        <v>638</v>
      </c>
      <c r="I2" s="177" t="s">
        <v>639</v>
      </c>
      <c r="J2" s="177" t="s">
        <v>641</v>
      </c>
      <c r="K2" s="177" t="s">
        <v>642</v>
      </c>
      <c r="L2" s="177" t="s">
        <v>643</v>
      </c>
      <c r="M2" s="177" t="s">
        <v>644</v>
      </c>
      <c r="N2" s="177" t="s">
        <v>645</v>
      </c>
      <c r="O2" s="177" t="s">
        <v>646</v>
      </c>
      <c r="P2" s="177" t="s">
        <v>647</v>
      </c>
      <c r="R2" s="176" t="s">
        <v>6</v>
      </c>
      <c r="S2" s="177" t="s">
        <v>643</v>
      </c>
      <c r="T2" s="177" t="s">
        <v>644</v>
      </c>
      <c r="U2" s="177" t="s">
        <v>650</v>
      </c>
      <c r="V2" s="177" t="s">
        <v>651</v>
      </c>
      <c r="W2" s="177" t="s">
        <v>641</v>
      </c>
      <c r="X2" s="177" t="s">
        <v>642</v>
      </c>
      <c r="Y2" s="177" t="s">
        <v>652</v>
      </c>
      <c r="Z2" s="177" t="s">
        <v>653</v>
      </c>
    </row>
    <row r="3" spans="1:26" x14ac:dyDescent="0.35">
      <c r="A3" s="38">
        <v>16.899999999999999</v>
      </c>
      <c r="B3" s="38">
        <v>16.899999999999999</v>
      </c>
      <c r="C3" s="38">
        <v>2020</v>
      </c>
      <c r="E3" s="38">
        <v>2010</v>
      </c>
      <c r="F3" s="179">
        <v>1209.3800000000001</v>
      </c>
      <c r="G3" s="179">
        <f t="shared" ref="G3:G16" si="0">F3*30</f>
        <v>36281.4</v>
      </c>
      <c r="H3" s="179">
        <v>2821545</v>
      </c>
      <c r="I3" s="179">
        <v>1625437</v>
      </c>
      <c r="J3" s="178">
        <f>H3/3600</f>
        <v>783.76250000000005</v>
      </c>
      <c r="K3" s="178">
        <f>I3/3600</f>
        <v>451.51027777777779</v>
      </c>
      <c r="L3" s="178">
        <f>G3/J3</f>
        <v>46.291319117717421</v>
      </c>
      <c r="M3" s="178">
        <f>G3/K3</f>
        <v>80.355645897072606</v>
      </c>
      <c r="N3" s="181">
        <f>(L3-L4)/L3</f>
        <v>1.9396306097661398E-2</v>
      </c>
      <c r="O3" s="181">
        <f>(M3-M4)/M3</f>
        <v>-5.2868991498519487E-2</v>
      </c>
      <c r="P3" s="182">
        <f>AVERAGE(N3:O15)</f>
        <v>2.6971413853083919E-2</v>
      </c>
      <c r="R3" s="38">
        <v>2020</v>
      </c>
      <c r="S3" s="178">
        <v>36.667652417793128</v>
      </c>
      <c r="T3" s="178">
        <v>60.462639029116374</v>
      </c>
      <c r="U3" s="183">
        <v>2.8303289999999999</v>
      </c>
      <c r="V3" s="183">
        <v>1.7164569999999999</v>
      </c>
      <c r="W3" s="184">
        <f>U3*277.78</f>
        <v>786.20878961999983</v>
      </c>
      <c r="X3" s="184">
        <f t="shared" ref="X3:X33" si="1">V3*277.78</f>
        <v>476.79742545999994</v>
      </c>
      <c r="Y3" s="178">
        <f>(S3*W3)/1000</f>
        <v>28.828430625599996</v>
      </c>
      <c r="Z3" s="178">
        <f t="shared" ref="Z3:Z33" si="2">(T3*X3)/1000</f>
        <v>28.828430625599999</v>
      </c>
    </row>
    <row r="4" spans="1:26" x14ac:dyDescent="0.35">
      <c r="A4" s="38">
        <v>17.100000000000001</v>
      </c>
      <c r="B4" s="38">
        <v>17.100000000000001</v>
      </c>
      <c r="C4" s="38">
        <v>2021</v>
      </c>
      <c r="E4" s="38">
        <v>2011</v>
      </c>
      <c r="F4" s="179">
        <v>1169.53</v>
      </c>
      <c r="G4" s="180">
        <f t="shared" si="0"/>
        <v>35085.9</v>
      </c>
      <c r="H4" s="180">
        <v>2782544</v>
      </c>
      <c r="I4" s="180">
        <v>1492947</v>
      </c>
      <c r="J4" s="178">
        <f t="shared" ref="J4:J16" si="3">H4/3600</f>
        <v>772.92888888888888</v>
      </c>
      <c r="K4" s="178">
        <f t="shared" ref="K4:K16" si="4">I4/3600</f>
        <v>414.70749999999998</v>
      </c>
      <c r="L4" s="178">
        <f t="shared" ref="L4:L12" si="5">G4/J4</f>
        <v>45.393438522445649</v>
      </c>
      <c r="M4" s="178">
        <f t="shared" ref="M4:M12" si="6">G4/K4</f>
        <v>84.60396785686298</v>
      </c>
      <c r="N4" s="181">
        <f>(L4-L5)/L4</f>
        <v>0.10276783243569375</v>
      </c>
      <c r="O4" s="181">
        <f t="shared" ref="O4:O11" si="7">(M4-M5)/M4</f>
        <v>3.8216060133952033E-3</v>
      </c>
      <c r="R4" s="38">
        <v>2021</v>
      </c>
      <c r="S4" s="178">
        <v>34.649017110321545</v>
      </c>
      <c r="T4" s="178">
        <v>55.278488150387581</v>
      </c>
      <c r="U4" s="183">
        <v>2.8490989999999998</v>
      </c>
      <c r="V4" s="183">
        <v>1.785839</v>
      </c>
      <c r="W4" s="184">
        <f t="shared" ref="W4:W33" si="8">U4*277.78</f>
        <v>791.42272021999986</v>
      </c>
      <c r="X4" s="184">
        <f t="shared" si="1"/>
        <v>496.07035741999994</v>
      </c>
      <c r="Y4" s="178">
        <f t="shared" ref="Y4:Y33" si="9">(S4*W4)/1000</f>
        <v>27.422019374399994</v>
      </c>
      <c r="Z4" s="178">
        <f t="shared" si="2"/>
        <v>27.422019374399998</v>
      </c>
    </row>
    <row r="5" spans="1:26" x14ac:dyDescent="0.35">
      <c r="A5" s="38">
        <v>17.2</v>
      </c>
      <c r="B5" s="38">
        <v>17.2</v>
      </c>
      <c r="C5" s="38">
        <v>2022</v>
      </c>
      <c r="E5" s="38">
        <v>2012</v>
      </c>
      <c r="F5" s="179">
        <v>1143.75</v>
      </c>
      <c r="G5" s="180">
        <f t="shared" si="0"/>
        <v>34312.5</v>
      </c>
      <c r="H5" s="180">
        <v>3032892</v>
      </c>
      <c r="I5" s="180">
        <v>1465639</v>
      </c>
      <c r="J5" s="178">
        <f t="shared" si="3"/>
        <v>842.47</v>
      </c>
      <c r="K5" s="178">
        <f t="shared" si="4"/>
        <v>407.12194444444447</v>
      </c>
      <c r="L5" s="178">
        <f t="shared" si="5"/>
        <v>40.728453238690989</v>
      </c>
      <c r="M5" s="178">
        <f t="shared" si="6"/>
        <v>84.280644824544098</v>
      </c>
      <c r="N5" s="181">
        <f t="shared" ref="N5:N11" si="10">(L5-L6)/L5</f>
        <v>5.8825673804293467E-2</v>
      </c>
      <c r="O5" s="181">
        <f t="shared" si="7"/>
        <v>7.6451025402323611E-2</v>
      </c>
      <c r="R5" s="38">
        <v>2022</v>
      </c>
      <c r="S5" s="178">
        <v>31.34392134792445</v>
      </c>
      <c r="T5" s="178">
        <v>54.728193723745989</v>
      </c>
      <c r="U5" s="183">
        <v>3.0526339999999998</v>
      </c>
      <c r="V5" s="183">
        <v>1.7483040000000001</v>
      </c>
      <c r="W5" s="184">
        <f t="shared" si="8"/>
        <v>847.96067251999989</v>
      </c>
      <c r="X5" s="184">
        <f t="shared" si="1"/>
        <v>485.64388511999999</v>
      </c>
      <c r="Y5" s="178">
        <f t="shared" si="9"/>
        <v>26.578412625599999</v>
      </c>
      <c r="Z5" s="178">
        <f t="shared" si="2"/>
        <v>26.578412625600002</v>
      </c>
    </row>
    <row r="6" spans="1:26" x14ac:dyDescent="0.35">
      <c r="A6" s="38">
        <v>17.3</v>
      </c>
      <c r="B6" s="38">
        <v>17.3</v>
      </c>
      <c r="C6" s="38">
        <v>2023</v>
      </c>
      <c r="E6" s="38">
        <v>2013</v>
      </c>
      <c r="F6" s="179">
        <v>1101.56</v>
      </c>
      <c r="G6" s="180">
        <f t="shared" si="0"/>
        <v>33046.799999999996</v>
      </c>
      <c r="H6" s="180">
        <v>3103587</v>
      </c>
      <c r="I6" s="180">
        <v>1528425</v>
      </c>
      <c r="J6" s="178">
        <f t="shared" si="3"/>
        <v>862.10749999999996</v>
      </c>
      <c r="K6" s="178">
        <f t="shared" si="4"/>
        <v>424.5625</v>
      </c>
      <c r="L6" s="178">
        <f t="shared" si="5"/>
        <v>38.332574533918333</v>
      </c>
      <c r="M6" s="178">
        <f t="shared" si="6"/>
        <v>77.837303106138663</v>
      </c>
      <c r="N6" s="181">
        <f t="shared" si="10"/>
        <v>3.7043845641780641E-2</v>
      </c>
      <c r="O6" s="181">
        <f t="shared" si="7"/>
        <v>2.6085440772010231E-2</v>
      </c>
      <c r="R6" s="38">
        <v>2023</v>
      </c>
      <c r="S6" s="178">
        <v>32.314319331004732</v>
      </c>
      <c r="T6" s="178">
        <v>54.370058143879952</v>
      </c>
      <c r="U6" s="183">
        <v>3.039304</v>
      </c>
      <c r="V6" s="183">
        <v>1.806381</v>
      </c>
      <c r="W6" s="184">
        <f>U6*277.78</f>
        <v>844.25786511999991</v>
      </c>
      <c r="X6" s="184">
        <f t="shared" si="1"/>
        <v>501.77651417999994</v>
      </c>
      <c r="Y6" s="178">
        <f t="shared" si="9"/>
        <v>27.281618251199998</v>
      </c>
      <c r="Z6" s="178">
        <f t="shared" si="2"/>
        <v>27.281618251199998</v>
      </c>
    </row>
    <row r="7" spans="1:26" x14ac:dyDescent="0.35">
      <c r="A7" s="38">
        <v>17.2</v>
      </c>
      <c r="B7" s="38">
        <v>17.2</v>
      </c>
      <c r="C7" s="38">
        <v>2024</v>
      </c>
      <c r="E7" s="38">
        <v>2014</v>
      </c>
      <c r="F7" s="179">
        <v>1068.75</v>
      </c>
      <c r="G7" s="180">
        <f t="shared" si="0"/>
        <v>32062.5</v>
      </c>
      <c r="H7" s="180">
        <v>3126982</v>
      </c>
      <c r="I7" s="180">
        <v>1522619</v>
      </c>
      <c r="J7" s="178">
        <f t="shared" si="3"/>
        <v>868.60611111111109</v>
      </c>
      <c r="K7" s="178">
        <f t="shared" si="4"/>
        <v>422.94972222222225</v>
      </c>
      <c r="L7" s="178">
        <f t="shared" si="5"/>
        <v>36.912588559831811</v>
      </c>
      <c r="M7" s="178">
        <f t="shared" si="6"/>
        <v>75.806882746110475</v>
      </c>
      <c r="N7" s="181">
        <f t="shared" si="10"/>
        <v>-5.2870103252374956E-2</v>
      </c>
      <c r="O7" s="181">
        <f t="shared" si="7"/>
        <v>2.8856336345481726E-2</v>
      </c>
      <c r="R7" s="38">
        <v>2024</v>
      </c>
      <c r="S7" s="178">
        <f>L16*(1-$P$3)</f>
        <v>31.442756450947495</v>
      </c>
      <c r="T7" s="178">
        <f>M16*(1-$P$3)</f>
        <v>52.903620804465135</v>
      </c>
      <c r="U7" s="183">
        <v>3.2700000000000005</v>
      </c>
      <c r="V7" s="183">
        <v>1.7399999999999993</v>
      </c>
      <c r="W7" s="184">
        <f t="shared" si="8"/>
        <v>908.34059999999999</v>
      </c>
      <c r="X7" s="184">
        <f t="shared" si="1"/>
        <v>483.33719999999977</v>
      </c>
      <c r="Y7" s="178">
        <f t="shared" si="9"/>
        <v>28.560732260307518</v>
      </c>
      <c r="Z7" s="178">
        <f t="shared" si="2"/>
        <v>25.570287949491913</v>
      </c>
    </row>
    <row r="8" spans="1:26" x14ac:dyDescent="0.35">
      <c r="A8" s="38">
        <v>17.2</v>
      </c>
      <c r="B8" s="38">
        <v>23.46</v>
      </c>
      <c r="C8" s="38">
        <v>2025</v>
      </c>
      <c r="E8" s="38">
        <v>2015</v>
      </c>
      <c r="F8" s="179">
        <v>1073.44</v>
      </c>
      <c r="G8" s="180">
        <f t="shared" si="0"/>
        <v>32203.200000000001</v>
      </c>
      <c r="H8" s="180">
        <v>2982993</v>
      </c>
      <c r="I8" s="180">
        <v>1574742</v>
      </c>
      <c r="J8" s="178">
        <f t="shared" si="3"/>
        <v>828.60916666666662</v>
      </c>
      <c r="K8" s="178">
        <f t="shared" si="4"/>
        <v>437.42833333333334</v>
      </c>
      <c r="L8" s="178">
        <f t="shared" si="5"/>
        <v>38.864160928302553</v>
      </c>
      <c r="M8" s="178">
        <f t="shared" si="6"/>
        <v>73.619373840286215</v>
      </c>
      <c r="N8" s="181">
        <f t="shared" si="10"/>
        <v>-3.2785921036077824E-2</v>
      </c>
      <c r="O8" s="181">
        <f t="shared" si="7"/>
        <v>1.3608281931951077E-2</v>
      </c>
      <c r="R8" s="38">
        <v>2025</v>
      </c>
      <c r="S8" s="178">
        <f>S7*(1-$P$3)</f>
        <v>30.594700854027266</v>
      </c>
      <c r="T8" s="178">
        <f t="shared" ref="T8:T33" si="11">T7*(1-$P$3)</f>
        <v>51.47673535342129</v>
      </c>
      <c r="U8" s="183">
        <v>3.4</v>
      </c>
      <c r="V8" s="183">
        <v>1.6499999999999995</v>
      </c>
      <c r="W8" s="184">
        <f t="shared" si="8"/>
        <v>944.45199999999988</v>
      </c>
      <c r="X8" s="184">
        <f t="shared" si="1"/>
        <v>458.33699999999982</v>
      </c>
      <c r="Y8" s="178">
        <f t="shared" si="9"/>
        <v>28.895226410987757</v>
      </c>
      <c r="Z8" s="178">
        <f t="shared" si="2"/>
        <v>23.593692451681044</v>
      </c>
    </row>
    <row r="9" spans="1:26" x14ac:dyDescent="0.35">
      <c r="A9" s="38">
        <v>17.3</v>
      </c>
      <c r="B9" s="38">
        <v>23.46</v>
      </c>
      <c r="C9" s="38">
        <v>2026</v>
      </c>
      <c r="E9" s="38">
        <v>2016</v>
      </c>
      <c r="F9" s="179">
        <v>1092.19</v>
      </c>
      <c r="G9" s="180">
        <f t="shared" si="0"/>
        <v>32765.7</v>
      </c>
      <c r="H9" s="180">
        <v>2938748</v>
      </c>
      <c r="I9" s="180">
        <v>1624353</v>
      </c>
      <c r="J9" s="178">
        <f t="shared" si="3"/>
        <v>816.31888888888886</v>
      </c>
      <c r="K9" s="178">
        <f t="shared" si="4"/>
        <v>451.20916666666665</v>
      </c>
      <c r="L9" s="178">
        <f t="shared" si="5"/>
        <v>40.138358239631302</v>
      </c>
      <c r="M9" s="178">
        <f t="shared" si="6"/>
        <v>72.617540645413897</v>
      </c>
      <c r="N9" s="181">
        <f t="shared" si="10"/>
        <v>0.119099194416624</v>
      </c>
      <c r="O9" s="181">
        <f t="shared" si="7"/>
        <v>5.2208339172734451E-2</v>
      </c>
      <c r="R9" s="38">
        <v>2026</v>
      </c>
      <c r="S9" s="178">
        <f t="shared" ref="S9:S33" si="12">S8*(1-$P$3)</f>
        <v>29.769518515581996</v>
      </c>
      <c r="T9" s="178">
        <f t="shared" si="11"/>
        <v>50.088335020398489</v>
      </c>
      <c r="U9" s="183">
        <v>3.47</v>
      </c>
      <c r="V9" s="183">
        <v>1.8199999999999994</v>
      </c>
      <c r="W9" s="184">
        <f t="shared" si="8"/>
        <v>963.89659999999992</v>
      </c>
      <c r="X9" s="184">
        <f t="shared" si="1"/>
        <v>505.55959999999976</v>
      </c>
      <c r="Y9" s="178">
        <f t="shared" si="9"/>
        <v>28.694737680806529</v>
      </c>
      <c r="Z9" s="178">
        <f t="shared" si="2"/>
        <v>25.32263861757864</v>
      </c>
    </row>
    <row r="10" spans="1:26" x14ac:dyDescent="0.35">
      <c r="A10" s="38">
        <v>17.600000000000001</v>
      </c>
      <c r="B10" s="38">
        <v>23.46</v>
      </c>
      <c r="C10" s="38">
        <v>2027</v>
      </c>
      <c r="E10" s="38">
        <v>2017</v>
      </c>
      <c r="F10" s="179">
        <v>1021.88</v>
      </c>
      <c r="G10" s="180">
        <f t="shared" si="0"/>
        <v>30656.400000000001</v>
      </c>
      <c r="H10" s="180">
        <v>3121311</v>
      </c>
      <c r="I10" s="180">
        <v>1603501</v>
      </c>
      <c r="J10" s="178">
        <f t="shared" si="3"/>
        <v>867.03083333333336</v>
      </c>
      <c r="K10" s="178">
        <f t="shared" si="4"/>
        <v>445.41694444444443</v>
      </c>
      <c r="L10" s="178">
        <f t="shared" si="5"/>
        <v>35.357912108085351</v>
      </c>
      <c r="M10" s="178">
        <f t="shared" si="6"/>
        <v>68.826299453508298</v>
      </c>
      <c r="N10" s="181">
        <f t="shared" si="10"/>
        <v>7.8801303022496508E-2</v>
      </c>
      <c r="O10" s="181">
        <f t="shared" si="7"/>
        <v>2.3941313382131509E-2</v>
      </c>
      <c r="R10" s="38">
        <v>2027</v>
      </c>
      <c r="S10" s="178">
        <f t="shared" si="12"/>
        <v>28.966592511491189</v>
      </c>
      <c r="T10" s="178">
        <f t="shared" si="11"/>
        <v>48.737381807351404</v>
      </c>
      <c r="U10" s="183">
        <v>3.5500000000000003</v>
      </c>
      <c r="V10" s="183">
        <v>1.8099999999999996</v>
      </c>
      <c r="W10" s="184">
        <f t="shared" si="8"/>
        <v>986.11900000000003</v>
      </c>
      <c r="X10" s="184">
        <f t="shared" si="1"/>
        <v>502.78179999999986</v>
      </c>
      <c r="Y10" s="178">
        <f t="shared" si="9"/>
        <v>28.564507240839184</v>
      </c>
      <c r="Z10" s="178">
        <f t="shared" si="2"/>
        <v>24.504268552387384</v>
      </c>
    </row>
    <row r="11" spans="1:26" x14ac:dyDescent="0.35">
      <c r="A11" s="38">
        <v>17.600000000000001</v>
      </c>
      <c r="B11" s="38">
        <v>23.46</v>
      </c>
      <c r="C11" s="38">
        <v>2028</v>
      </c>
      <c r="E11" s="38">
        <v>2018</v>
      </c>
      <c r="F11" s="179">
        <v>1003.13</v>
      </c>
      <c r="G11" s="180">
        <f t="shared" si="0"/>
        <v>30093.9</v>
      </c>
      <c r="H11" s="180">
        <v>3326144</v>
      </c>
      <c r="I11" s="180">
        <v>1612689</v>
      </c>
      <c r="J11" s="178">
        <f t="shared" si="3"/>
        <v>923.92888888888888</v>
      </c>
      <c r="K11" s="178">
        <f t="shared" si="4"/>
        <v>447.96916666666669</v>
      </c>
      <c r="L11" s="178">
        <f t="shared" si="5"/>
        <v>32.571662561813319</v>
      </c>
      <c r="M11" s="178">
        <f t="shared" si="6"/>
        <v>67.178507449359429</v>
      </c>
      <c r="N11" s="181">
        <f t="shared" si="10"/>
        <v>-3.7320546572272946E-3</v>
      </c>
      <c r="O11" s="181">
        <f t="shared" si="7"/>
        <v>3.9370624672221438E-2</v>
      </c>
      <c r="R11" s="38">
        <v>2028</v>
      </c>
      <c r="S11" s="178">
        <f t="shared" si="12"/>
        <v>28.185322556950119</v>
      </c>
      <c r="T11" s="178">
        <f t="shared" si="11"/>
        <v>47.422865712509569</v>
      </c>
      <c r="U11" s="183">
        <v>3.7099999999999995</v>
      </c>
      <c r="V11" s="183">
        <v>1.7300000000000004</v>
      </c>
      <c r="W11" s="184">
        <f t="shared" si="8"/>
        <v>1030.5637999999997</v>
      </c>
      <c r="X11" s="184">
        <f t="shared" si="1"/>
        <v>480.5594000000001</v>
      </c>
      <c r="Y11" s="178">
        <f t="shared" si="9"/>
        <v>29.046773118516224</v>
      </c>
      <c r="Z11" s="178">
        <f t="shared" si="2"/>
        <v>22.789503893084177</v>
      </c>
    </row>
    <row r="12" spans="1:26" x14ac:dyDescent="0.35">
      <c r="A12" s="38">
        <v>17.600000000000001</v>
      </c>
      <c r="B12" s="38">
        <v>22.57</v>
      </c>
      <c r="C12" s="38">
        <v>2029</v>
      </c>
      <c r="E12" s="38">
        <v>2019</v>
      </c>
      <c r="F12" s="179">
        <v>970.31</v>
      </c>
      <c r="G12" s="180">
        <f t="shared" si="0"/>
        <v>29109.3</v>
      </c>
      <c r="H12" s="180">
        <v>3205358</v>
      </c>
      <c r="I12" s="180">
        <v>1623858</v>
      </c>
      <c r="J12" s="178">
        <f t="shared" si="3"/>
        <v>890.37722222222226</v>
      </c>
      <c r="K12" s="178">
        <f t="shared" si="4"/>
        <v>451.07166666666666</v>
      </c>
      <c r="L12" s="178">
        <f t="shared" si="5"/>
        <v>32.693221786770771</v>
      </c>
      <c r="M12" s="178">
        <f t="shared" si="6"/>
        <v>64.533647646530667</v>
      </c>
      <c r="N12" s="181">
        <f t="shared" ref="N12:O15" si="13">(L12-L13)/L12</f>
        <v>-0.12156742021156818</v>
      </c>
      <c r="O12" s="181">
        <f t="shared" si="13"/>
        <v>6.3083503968540205E-2</v>
      </c>
      <c r="R12" s="38">
        <v>2029</v>
      </c>
      <c r="S12" s="178">
        <f t="shared" si="12"/>
        <v>27.425124557683958</v>
      </c>
      <c r="T12" s="178">
        <f t="shared" si="11"/>
        <v>46.143803975278253</v>
      </c>
      <c r="U12" s="183">
        <v>3.7800000000000002</v>
      </c>
      <c r="V12" s="183">
        <v>1.8200000000000003</v>
      </c>
      <c r="W12" s="184">
        <f t="shared" si="8"/>
        <v>1050.0083999999999</v>
      </c>
      <c r="X12" s="184">
        <f t="shared" si="1"/>
        <v>505.55960000000005</v>
      </c>
      <c r="Y12" s="178">
        <f t="shared" si="9"/>
        <v>28.796611156614439</v>
      </c>
      <c r="Z12" s="178">
        <f t="shared" si="2"/>
        <v>23.328443080220083</v>
      </c>
    </row>
    <row r="13" spans="1:26" x14ac:dyDescent="0.35">
      <c r="A13" s="38">
        <v>17.7</v>
      </c>
      <c r="B13" s="38">
        <v>21.12</v>
      </c>
      <c r="C13" s="38">
        <v>2030</v>
      </c>
      <c r="E13" s="38">
        <v>2020</v>
      </c>
      <c r="F13" s="179">
        <v>960.94</v>
      </c>
      <c r="G13" s="180">
        <f t="shared" si="0"/>
        <v>28828.2</v>
      </c>
      <c r="H13" s="180">
        <v>2830329</v>
      </c>
      <c r="I13" s="180">
        <v>1716457</v>
      </c>
      <c r="J13" s="178">
        <f t="shared" si="3"/>
        <v>786.20249999999999</v>
      </c>
      <c r="K13" s="178">
        <f t="shared" si="4"/>
        <v>476.79361111111109</v>
      </c>
      <c r="L13" s="178">
        <f>G13/J13</f>
        <v>36.667652417793128</v>
      </c>
      <c r="M13" s="178">
        <f>G13/K13</f>
        <v>60.462639029116374</v>
      </c>
      <c r="N13" s="181">
        <f t="shared" si="13"/>
        <v>5.5052210173456122E-2</v>
      </c>
      <c r="O13" s="181">
        <f t="shared" si="13"/>
        <v>8.5741392733987593E-2</v>
      </c>
      <c r="R13" s="38">
        <v>2030</v>
      </c>
      <c r="S13" s="178">
        <f t="shared" si="12"/>
        <v>26.68543017326629</v>
      </c>
      <c r="T13" s="178">
        <f t="shared" si="11"/>
        <v>44.899240341505447</v>
      </c>
      <c r="U13" s="183">
        <v>3.8200000000000003</v>
      </c>
      <c r="V13" s="183">
        <v>1.9400000000000004</v>
      </c>
      <c r="W13" s="184">
        <f t="shared" si="8"/>
        <v>1061.1196</v>
      </c>
      <c r="X13" s="184">
        <f t="shared" si="1"/>
        <v>538.89320000000009</v>
      </c>
      <c r="Y13" s="178">
        <f t="shared" si="9"/>
        <v>28.316432991284255</v>
      </c>
      <c r="Z13" s="178">
        <f t="shared" si="2"/>
        <v>24.195895305202967</v>
      </c>
    </row>
    <row r="14" spans="1:26" x14ac:dyDescent="0.35">
      <c r="A14" s="38">
        <v>17.600000000000001</v>
      </c>
      <c r="B14" s="38">
        <v>21.12</v>
      </c>
      <c r="C14" s="38">
        <v>2031</v>
      </c>
      <c r="E14" s="38">
        <v>2021</v>
      </c>
      <c r="F14" s="179">
        <v>914.06</v>
      </c>
      <c r="G14" s="180">
        <f t="shared" si="0"/>
        <v>27421.8</v>
      </c>
      <c r="H14" s="180">
        <v>2849099</v>
      </c>
      <c r="I14" s="180">
        <v>1785839</v>
      </c>
      <c r="J14" s="178">
        <f t="shared" si="3"/>
        <v>791.41638888888883</v>
      </c>
      <c r="K14" s="178">
        <f t="shared" si="4"/>
        <v>496.06638888888887</v>
      </c>
      <c r="L14" s="178">
        <f>G14/J14</f>
        <v>34.649017110321545</v>
      </c>
      <c r="M14" s="178">
        <f>G14/K14</f>
        <v>55.278488150387581</v>
      </c>
      <c r="N14" s="181">
        <f t="shared" si="13"/>
        <v>9.5387864881527742E-2</v>
      </c>
      <c r="O14" s="181">
        <f t="shared" si="13"/>
        <v>9.9549471241777085E-3</v>
      </c>
      <c r="R14" s="38">
        <v>2031</v>
      </c>
      <c r="S14" s="178">
        <f t="shared" si="12"/>
        <v>25.965686392215552</v>
      </c>
      <c r="T14" s="178">
        <f t="shared" si="11"/>
        <v>43.688244348565625</v>
      </c>
      <c r="U14" s="183">
        <v>3.9400000000000004</v>
      </c>
      <c r="V14" s="183">
        <v>1.9000000000000004</v>
      </c>
      <c r="W14" s="184">
        <f t="shared" si="8"/>
        <v>1094.4531999999999</v>
      </c>
      <c r="X14" s="184">
        <f t="shared" si="1"/>
        <v>527.78200000000004</v>
      </c>
      <c r="Y14" s="178">
        <f t="shared" si="9"/>
        <v>28.418228562156763</v>
      </c>
      <c r="Z14" s="178">
        <f t="shared" si="2"/>
        <v>23.057868978774668</v>
      </c>
    </row>
    <row r="15" spans="1:26" x14ac:dyDescent="0.35">
      <c r="A15" s="38">
        <v>17.600000000000001</v>
      </c>
      <c r="B15" s="38">
        <v>21.12</v>
      </c>
      <c r="C15" s="38">
        <v>2032</v>
      </c>
      <c r="E15" s="38">
        <v>2022</v>
      </c>
      <c r="F15" s="179">
        <v>885.94</v>
      </c>
      <c r="G15" s="180">
        <f t="shared" si="0"/>
        <v>26578.2</v>
      </c>
      <c r="H15" s="180">
        <v>3052634</v>
      </c>
      <c r="I15" s="180">
        <v>1748304</v>
      </c>
      <c r="J15" s="178">
        <f t="shared" si="3"/>
        <v>847.95388888888886</v>
      </c>
      <c r="K15" s="178">
        <f t="shared" si="4"/>
        <v>485.64</v>
      </c>
      <c r="L15" s="178">
        <f>G15/J15</f>
        <v>31.34392134792445</v>
      </c>
      <c r="M15" s="178">
        <f>G15/K15</f>
        <v>54.728193723745989</v>
      </c>
      <c r="N15" s="181">
        <f t="shared" si="13"/>
        <v>-3.0959686642543869E-2</v>
      </c>
      <c r="O15" s="181">
        <f t="shared" si="13"/>
        <v>6.5438954860051511E-3</v>
      </c>
      <c r="R15" s="38">
        <v>2032</v>
      </c>
      <c r="S15" s="178">
        <f t="shared" si="12"/>
        <v>25.265355118551717</v>
      </c>
      <c r="T15" s="178">
        <f t="shared" si="11"/>
        <v>42.509910629725809</v>
      </c>
      <c r="U15" s="183">
        <v>3.9400000000000004</v>
      </c>
      <c r="V15" s="183">
        <v>1.9000000000000004</v>
      </c>
      <c r="W15" s="184">
        <f t="shared" si="8"/>
        <v>1094.4531999999999</v>
      </c>
      <c r="X15" s="184">
        <f t="shared" si="1"/>
        <v>527.78200000000004</v>
      </c>
      <c r="Y15" s="178">
        <f t="shared" si="9"/>
        <v>27.651748758635307</v>
      </c>
      <c r="Z15" s="178">
        <f t="shared" si="2"/>
        <v>22.435965651977948</v>
      </c>
    </row>
    <row r="16" spans="1:26" x14ac:dyDescent="0.35">
      <c r="A16" s="38">
        <v>17.48</v>
      </c>
      <c r="B16" s="38">
        <v>21.12</v>
      </c>
      <c r="C16" s="38">
        <v>2033</v>
      </c>
      <c r="E16" s="38">
        <v>2023</v>
      </c>
      <c r="F16" s="179">
        <v>909.38</v>
      </c>
      <c r="G16" s="180">
        <f t="shared" si="0"/>
        <v>27281.4</v>
      </c>
      <c r="H16" s="180">
        <v>3039304</v>
      </c>
      <c r="I16" s="180">
        <v>1806381</v>
      </c>
      <c r="J16" s="178">
        <f t="shared" si="3"/>
        <v>844.25111111111107</v>
      </c>
      <c r="K16" s="178">
        <f t="shared" si="4"/>
        <v>501.77249999999998</v>
      </c>
      <c r="L16" s="178">
        <f>G16/J16</f>
        <v>32.314319331004732</v>
      </c>
      <c r="M16" s="178">
        <f>G16/K16</f>
        <v>54.370058143879952</v>
      </c>
      <c r="N16" s="181"/>
      <c r="R16" s="38">
        <v>2033</v>
      </c>
      <c r="S16" s="178">
        <f t="shared" si="12"/>
        <v>24.583912769504128</v>
      </c>
      <c r="T16" s="178">
        <f t="shared" si="11"/>
        <v>41.363358237273864</v>
      </c>
      <c r="U16" s="183">
        <v>3.7800000000000002</v>
      </c>
      <c r="V16" s="183">
        <v>2.0600000000000005</v>
      </c>
      <c r="W16" s="184">
        <f t="shared" si="8"/>
        <v>1050.0083999999999</v>
      </c>
      <c r="X16" s="184">
        <f t="shared" si="1"/>
        <v>572.22680000000003</v>
      </c>
      <c r="Y16" s="178">
        <f t="shared" si="9"/>
        <v>25.813314912846597</v>
      </c>
      <c r="Z16" s="178">
        <f t="shared" si="2"/>
        <v>23.669222121368865</v>
      </c>
    </row>
    <row r="17" spans="1:26" x14ac:dyDescent="0.35">
      <c r="A17" s="38">
        <v>17.52</v>
      </c>
      <c r="B17" s="38">
        <v>21.12</v>
      </c>
      <c r="C17" s="38">
        <v>2034</v>
      </c>
      <c r="E17" s="38"/>
      <c r="F17" s="179"/>
      <c r="G17" s="180"/>
      <c r="R17" s="38">
        <v>2034</v>
      </c>
      <c r="S17" s="178">
        <f t="shared" si="12"/>
        <v>23.920849884069717</v>
      </c>
      <c r="T17" s="178">
        <f t="shared" si="11"/>
        <v>40.247729983902985</v>
      </c>
      <c r="U17" s="183">
        <v>3.7099999999999995</v>
      </c>
      <c r="V17" s="183">
        <v>2.0400000000000009</v>
      </c>
      <c r="W17" s="184">
        <f t="shared" si="8"/>
        <v>1030.5637999999997</v>
      </c>
      <c r="X17" s="184">
        <f t="shared" si="1"/>
        <v>566.67120000000023</v>
      </c>
      <c r="Y17" s="178">
        <f t="shared" si="9"/>
        <v>24.651961955756441</v>
      </c>
      <c r="Z17" s="178">
        <f t="shared" si="2"/>
        <v>22.807229447254297</v>
      </c>
    </row>
    <row r="18" spans="1:26" x14ac:dyDescent="0.35">
      <c r="A18" s="38">
        <v>17.45</v>
      </c>
      <c r="B18" s="38">
        <v>19.5</v>
      </c>
      <c r="C18" s="38">
        <v>2035</v>
      </c>
      <c r="E18" s="38"/>
      <c r="F18" s="179"/>
      <c r="G18" s="179"/>
      <c r="R18" s="38">
        <v>2035</v>
      </c>
      <c r="S18" s="178">
        <f t="shared" si="12"/>
        <v>23.27567074212898</v>
      </c>
      <c r="T18" s="178">
        <f t="shared" si="11"/>
        <v>39.162191801859962</v>
      </c>
      <c r="U18" s="183">
        <v>3.6299999999999994</v>
      </c>
      <c r="V18" s="183">
        <v>2.0500000000000007</v>
      </c>
      <c r="W18" s="184">
        <f t="shared" si="8"/>
        <v>1008.3413999999998</v>
      </c>
      <c r="X18" s="184">
        <f t="shared" si="1"/>
        <v>569.44900000000018</v>
      </c>
      <c r="Y18" s="178">
        <f t="shared" si="9"/>
        <v>23.469822422057373</v>
      </c>
      <c r="Z18" s="178">
        <f t="shared" si="2"/>
        <v>22.30087095937736</v>
      </c>
    </row>
    <row r="19" spans="1:26" x14ac:dyDescent="0.35">
      <c r="A19" s="38">
        <v>17.39</v>
      </c>
      <c r="B19" s="38">
        <v>16.510000000000002</v>
      </c>
      <c r="C19" s="38">
        <v>2036</v>
      </c>
      <c r="E19" s="38"/>
      <c r="R19" s="38">
        <v>2036</v>
      </c>
      <c r="S19" s="178">
        <f t="shared" si="12"/>
        <v>22.647892993834905</v>
      </c>
      <c r="T19" s="178">
        <f t="shared" si="11"/>
        <v>38.105932119378146</v>
      </c>
      <c r="U19" s="183">
        <v>3.5500000000000003</v>
      </c>
      <c r="V19" s="183">
        <v>2.0499999999999998</v>
      </c>
      <c r="W19" s="184">
        <f t="shared" si="8"/>
        <v>986.11900000000003</v>
      </c>
      <c r="X19" s="184">
        <f t="shared" si="1"/>
        <v>569.44899999999984</v>
      </c>
      <c r="Y19" s="178">
        <f t="shared" si="9"/>
        <v>22.333517591187483</v>
      </c>
      <c r="Z19" s="178">
        <f t="shared" si="2"/>
        <v>21.699384939447757</v>
      </c>
    </row>
    <row r="20" spans="1:26" x14ac:dyDescent="0.35">
      <c r="A20" s="38">
        <v>17.63</v>
      </c>
      <c r="B20" s="38">
        <v>16.510000000000002</v>
      </c>
      <c r="C20" s="38">
        <v>2037</v>
      </c>
      <c r="E20" s="38"/>
      <c r="R20" s="38">
        <v>2037</v>
      </c>
      <c r="S20" s="178">
        <f t="shared" si="12"/>
        <v>22.037047298997823</v>
      </c>
      <c r="T20" s="178">
        <f t="shared" si="11"/>
        <v>37.078161253928876</v>
      </c>
      <c r="U20" s="183">
        <v>3.55</v>
      </c>
      <c r="V20" s="183">
        <v>1.9699999999999998</v>
      </c>
      <c r="W20" s="184">
        <f t="shared" si="8"/>
        <v>986.1189999999998</v>
      </c>
      <c r="X20" s="184">
        <f t="shared" si="1"/>
        <v>547.22659999999985</v>
      </c>
      <c r="Y20" s="178">
        <f t="shared" si="9"/>
        <v>21.731151045440431</v>
      </c>
      <c r="Z20" s="178">
        <f t="shared" si="2"/>
        <v>20.290156117239228</v>
      </c>
    </row>
    <row r="21" spans="1:26" x14ac:dyDescent="0.35">
      <c r="A21" s="38">
        <v>17.79</v>
      </c>
      <c r="B21" s="38">
        <v>16.5</v>
      </c>
      <c r="C21" s="38">
        <v>2038</v>
      </c>
      <c r="E21" s="38"/>
      <c r="R21" s="38">
        <v>2038</v>
      </c>
      <c r="S21" s="178">
        <f t="shared" si="12"/>
        <v>21.442676976196569</v>
      </c>
      <c r="T21" s="178">
        <f t="shared" si="11"/>
        <v>36.078110821837782</v>
      </c>
      <c r="U21" s="183">
        <v>3.4699999999999998</v>
      </c>
      <c r="V21" s="183">
        <v>2.0000000000000009</v>
      </c>
      <c r="W21" s="184">
        <f t="shared" si="8"/>
        <v>963.89659999999981</v>
      </c>
      <c r="X21" s="184">
        <f t="shared" si="1"/>
        <v>555.56000000000017</v>
      </c>
      <c r="Y21" s="178">
        <f t="shared" si="9"/>
        <v>20.668523432254151</v>
      </c>
      <c r="Z21" s="178">
        <f t="shared" si="2"/>
        <v>20.043555248180205</v>
      </c>
    </row>
    <row r="22" spans="1:26" x14ac:dyDescent="0.35">
      <c r="A22" s="38">
        <v>17.96</v>
      </c>
      <c r="B22" s="38">
        <v>16.5</v>
      </c>
      <c r="C22" s="38">
        <v>2039</v>
      </c>
      <c r="E22" s="38"/>
      <c r="R22" s="38">
        <v>2039</v>
      </c>
      <c r="S22" s="178">
        <f t="shared" si="12"/>
        <v>20.864337661353577</v>
      </c>
      <c r="T22" s="178">
        <f t="shared" si="11"/>
        <v>35.105033163824572</v>
      </c>
      <c r="U22" s="183">
        <v>3.3900000000000006</v>
      </c>
      <c r="V22" s="183">
        <v>1.9699999999999989</v>
      </c>
      <c r="W22" s="184">
        <f t="shared" si="8"/>
        <v>941.67420000000004</v>
      </c>
      <c r="X22" s="184">
        <f t="shared" si="1"/>
        <v>547.22659999999962</v>
      </c>
      <c r="Y22" s="178">
        <f t="shared" si="9"/>
        <v>19.647408475785003</v>
      </c>
      <c r="Z22" s="178">
        <f t="shared" si="2"/>
        <v>19.210407941126949</v>
      </c>
    </row>
    <row r="23" spans="1:26" x14ac:dyDescent="0.35">
      <c r="A23" s="38">
        <v>18.04</v>
      </c>
      <c r="B23" s="38">
        <v>14.32</v>
      </c>
      <c r="C23" s="38">
        <v>2040</v>
      </c>
      <c r="E23" s="38"/>
      <c r="R23" s="38">
        <v>2040</v>
      </c>
      <c r="S23" s="178">
        <f t="shared" si="12"/>
        <v>20.301596975518727</v>
      </c>
      <c r="T23" s="178">
        <f t="shared" si="11"/>
        <v>34.158200786036822</v>
      </c>
      <c r="U23" s="183">
        <v>3.31</v>
      </c>
      <c r="V23" s="183">
        <v>1.8999999999999995</v>
      </c>
      <c r="W23" s="184">
        <f t="shared" si="8"/>
        <v>919.45179999999993</v>
      </c>
      <c r="X23" s="184">
        <f t="shared" si="1"/>
        <v>527.78199999999981</v>
      </c>
      <c r="Y23" s="178">
        <f t="shared" si="9"/>
        <v>18.666339882015247</v>
      </c>
      <c r="Z23" s="178">
        <f t="shared" si="2"/>
        <v>18.028083527256079</v>
      </c>
    </row>
    <row r="24" spans="1:26" x14ac:dyDescent="0.35">
      <c r="A24" s="38">
        <v>18.28</v>
      </c>
      <c r="B24" s="38">
        <v>11.73</v>
      </c>
      <c r="C24" s="38">
        <v>2041</v>
      </c>
      <c r="E24" s="38"/>
      <c r="R24" s="38">
        <v>2041</v>
      </c>
      <c r="S24" s="178">
        <f t="shared" si="12"/>
        <v>19.754034201613496</v>
      </c>
      <c r="T24" s="178">
        <f t="shared" si="11"/>
        <v>33.23690581615989</v>
      </c>
      <c r="U24" s="183">
        <v>2.99</v>
      </c>
      <c r="V24" s="183">
        <v>2.13</v>
      </c>
      <c r="W24" s="184">
        <f t="shared" si="8"/>
        <v>830.56219999999996</v>
      </c>
      <c r="X24" s="184">
        <f t="shared" si="1"/>
        <v>591.67139999999995</v>
      </c>
      <c r="Y24" s="178">
        <f t="shared" si="9"/>
        <v>16.406954105367348</v>
      </c>
      <c r="Z24" s="178">
        <f t="shared" si="2"/>
        <v>19.665326595915463</v>
      </c>
    </row>
    <row r="25" spans="1:26" x14ac:dyDescent="0.35">
      <c r="A25" s="38">
        <v>18.559999999999999</v>
      </c>
      <c r="B25" s="38">
        <v>11.73</v>
      </c>
      <c r="C25" s="38">
        <v>2042</v>
      </c>
      <c r="E25" s="38"/>
      <c r="R25" s="38">
        <v>2042</v>
      </c>
      <c r="S25" s="178">
        <f t="shared" si="12"/>
        <v>19.221239969893805</v>
      </c>
      <c r="T25" s="178">
        <f t="shared" si="11"/>
        <v>32.340459474196273</v>
      </c>
      <c r="U25" s="183">
        <v>2.92</v>
      </c>
      <c r="V25" s="183">
        <v>2.2000000000000002</v>
      </c>
      <c r="W25" s="184">
        <f t="shared" si="8"/>
        <v>811.11759999999992</v>
      </c>
      <c r="X25" s="184">
        <f t="shared" si="1"/>
        <v>611.11599999999999</v>
      </c>
      <c r="Y25" s="178">
        <f t="shared" si="9"/>
        <v>15.590686033404333</v>
      </c>
      <c r="Z25" s="178">
        <f t="shared" si="2"/>
        <v>19.763772232032931</v>
      </c>
    </row>
    <row r="26" spans="1:26" x14ac:dyDescent="0.35">
      <c r="A26" s="38">
        <v>18.93</v>
      </c>
      <c r="B26" s="38">
        <v>11.73</v>
      </c>
      <c r="C26" s="38">
        <v>2043</v>
      </c>
      <c r="E26" s="38"/>
      <c r="R26" s="38">
        <v>2043</v>
      </c>
      <c r="S26" s="178">
        <f t="shared" si="12"/>
        <v>18.702815951896362</v>
      </c>
      <c r="T26" s="178">
        <f t="shared" si="11"/>
        <v>31.468191557518839</v>
      </c>
      <c r="U26" s="183">
        <v>2.84</v>
      </c>
      <c r="V26" s="183">
        <v>2.21</v>
      </c>
      <c r="W26" s="184">
        <f t="shared" si="8"/>
        <v>788.89519999999993</v>
      </c>
      <c r="X26" s="184">
        <f t="shared" si="1"/>
        <v>613.89379999999994</v>
      </c>
      <c r="Y26" s="178">
        <f t="shared" si="9"/>
        <v>14.754561730934469</v>
      </c>
      <c r="Z26" s="178">
        <f t="shared" si="2"/>
        <v>19.318127694373157</v>
      </c>
    </row>
    <row r="27" spans="1:26" x14ac:dyDescent="0.35">
      <c r="A27" s="38">
        <v>19.25</v>
      </c>
      <c r="B27" s="38">
        <v>11.69</v>
      </c>
      <c r="C27" s="38">
        <v>2044</v>
      </c>
      <c r="E27" s="38"/>
      <c r="R27" s="38">
        <v>2044</v>
      </c>
      <c r="S27" s="178">
        <f t="shared" si="12"/>
        <v>18.198374562639707</v>
      </c>
      <c r="T27" s="178">
        <f t="shared" si="11"/>
        <v>30.619449939812878</v>
      </c>
      <c r="U27" s="183">
        <v>2.69</v>
      </c>
      <c r="V27" s="183">
        <v>2.2000000000000002</v>
      </c>
      <c r="W27" s="184">
        <f t="shared" si="8"/>
        <v>747.2281999999999</v>
      </c>
      <c r="X27" s="184">
        <f t="shared" si="1"/>
        <v>611.11599999999999</v>
      </c>
      <c r="Y27" s="178">
        <f t="shared" si="9"/>
        <v>13.598338667367054</v>
      </c>
      <c r="Z27" s="178">
        <f t="shared" si="2"/>
        <v>18.712035769418687</v>
      </c>
    </row>
    <row r="28" spans="1:26" x14ac:dyDescent="0.35">
      <c r="A28" s="38">
        <v>19.66</v>
      </c>
      <c r="B28" s="38">
        <v>8.66</v>
      </c>
      <c r="C28" s="38">
        <v>2045</v>
      </c>
      <c r="E28" s="38"/>
      <c r="R28" s="38">
        <v>2045</v>
      </c>
      <c r="S28" s="178">
        <f t="shared" si="12"/>
        <v>17.707538670857318</v>
      </c>
      <c r="T28" s="178">
        <f t="shared" si="11"/>
        <v>29.7936000835324</v>
      </c>
      <c r="U28" s="183">
        <v>2.5199999999999996</v>
      </c>
      <c r="V28" s="183">
        <v>2.37</v>
      </c>
      <c r="W28" s="184">
        <f t="shared" si="8"/>
        <v>700.00559999999984</v>
      </c>
      <c r="X28" s="184">
        <f t="shared" si="1"/>
        <v>658.33859999999993</v>
      </c>
      <c r="Y28" s="178">
        <f t="shared" si="9"/>
        <v>12.395376231816677</v>
      </c>
      <c r="Z28" s="178">
        <f t="shared" si="2"/>
        <v>19.614276967952602</v>
      </c>
    </row>
    <row r="29" spans="1:26" x14ac:dyDescent="0.35">
      <c r="A29" s="38">
        <v>20.059999999999999</v>
      </c>
      <c r="B29" s="38">
        <v>4.7300000000000004</v>
      </c>
      <c r="C29" s="38">
        <v>2046</v>
      </c>
      <c r="E29" s="38"/>
      <c r="R29" s="38">
        <v>2046</v>
      </c>
      <c r="S29" s="178">
        <f t="shared" si="12"/>
        <v>17.229941317046137</v>
      </c>
      <c r="T29" s="178">
        <f t="shared" si="11"/>
        <v>28.990024565506172</v>
      </c>
      <c r="U29" s="183">
        <v>2.48</v>
      </c>
      <c r="V29" s="183">
        <v>2.3299999999999996</v>
      </c>
      <c r="W29" s="184">
        <f t="shared" si="8"/>
        <v>688.89439999999991</v>
      </c>
      <c r="X29" s="184">
        <f t="shared" si="1"/>
        <v>647.22739999999988</v>
      </c>
      <c r="Y29" s="178">
        <f t="shared" si="9"/>
        <v>11.869610085641707</v>
      </c>
      <c r="Z29" s="178">
        <f t="shared" si="2"/>
        <v>18.763138225468687</v>
      </c>
    </row>
    <row r="30" spans="1:26" x14ac:dyDescent="0.35">
      <c r="A30" s="38">
        <v>20.39</v>
      </c>
      <c r="B30" s="38">
        <v>4.7300000000000004</v>
      </c>
      <c r="C30" s="38">
        <v>2047</v>
      </c>
      <c r="E30" s="38"/>
      <c r="R30" s="38">
        <v>2047</v>
      </c>
      <c r="S30" s="178">
        <f t="shared" si="12"/>
        <v>16.765225439119735</v>
      </c>
      <c r="T30" s="178">
        <f t="shared" si="11"/>
        <v>28.208122615338837</v>
      </c>
      <c r="U30" s="183">
        <v>2.21</v>
      </c>
      <c r="V30" s="183">
        <v>2.4400000000000004</v>
      </c>
      <c r="W30" s="184">
        <f t="shared" si="8"/>
        <v>613.89379999999994</v>
      </c>
      <c r="X30" s="184">
        <f t="shared" si="1"/>
        <v>677.78320000000008</v>
      </c>
      <c r="Y30" s="178">
        <f t="shared" si="9"/>
        <v>10.292067952677883</v>
      </c>
      <c r="Z30" s="178">
        <f t="shared" si="2"/>
        <v>19.118991612216728</v>
      </c>
    </row>
    <row r="31" spans="1:26" x14ac:dyDescent="0.35">
      <c r="A31" s="38">
        <v>20.79</v>
      </c>
      <c r="B31" s="38">
        <v>4.7300000000000004</v>
      </c>
      <c r="C31" s="38">
        <v>2048</v>
      </c>
      <c r="E31" s="38"/>
      <c r="R31" s="38">
        <v>2048</v>
      </c>
      <c r="S31" s="178">
        <f t="shared" si="12"/>
        <v>16.313043605460987</v>
      </c>
      <c r="T31" s="178">
        <f t="shared" si="11"/>
        <v>27.447309666261997</v>
      </c>
      <c r="U31" s="183">
        <v>2.21</v>
      </c>
      <c r="V31" s="183">
        <v>2.4099999999999997</v>
      </c>
      <c r="W31" s="184">
        <f t="shared" si="8"/>
        <v>613.89379999999994</v>
      </c>
      <c r="X31" s="184">
        <f t="shared" si="1"/>
        <v>669.44979999999987</v>
      </c>
      <c r="Y31" s="178">
        <f t="shared" si="9"/>
        <v>10.014476328522145</v>
      </c>
      <c r="Z31" s="178">
        <f t="shared" si="2"/>
        <v>18.374595966617157</v>
      </c>
    </row>
    <row r="32" spans="1:26" x14ac:dyDescent="0.35">
      <c r="A32" s="38">
        <v>21.24</v>
      </c>
      <c r="B32" s="38">
        <v>4.7300000000000004</v>
      </c>
      <c r="C32" s="38">
        <v>2049</v>
      </c>
      <c r="E32" s="38"/>
      <c r="R32" s="38">
        <v>2049</v>
      </c>
      <c r="S32" s="178">
        <f t="shared" si="12"/>
        <v>15.873057755174695</v>
      </c>
      <c r="T32" s="178">
        <f t="shared" si="11"/>
        <v>26.707016918099495</v>
      </c>
      <c r="U32" s="183">
        <v>2.13</v>
      </c>
      <c r="V32" s="183">
        <v>2.2899999999999996</v>
      </c>
      <c r="W32" s="184">
        <f t="shared" si="8"/>
        <v>591.67139999999995</v>
      </c>
      <c r="X32" s="184">
        <f t="shared" si="1"/>
        <v>636.11619999999982</v>
      </c>
      <c r="Y32" s="178">
        <f t="shared" si="9"/>
        <v>9.3916343042850681</v>
      </c>
      <c r="Z32" s="178">
        <f t="shared" si="2"/>
        <v>16.988766115277159</v>
      </c>
    </row>
    <row r="33" spans="1:26" x14ac:dyDescent="0.35">
      <c r="A33" s="38">
        <v>21.64</v>
      </c>
      <c r="B33" s="38">
        <v>4.7300000000000004</v>
      </c>
      <c r="C33" s="38">
        <v>2050</v>
      </c>
      <c r="E33" s="38"/>
      <c r="R33" s="38">
        <v>2050</v>
      </c>
      <c r="S33" s="178">
        <f t="shared" si="12"/>
        <v>15.444938945345976</v>
      </c>
      <c r="T33" s="178">
        <f t="shared" si="11"/>
        <v>25.986690912020119</v>
      </c>
      <c r="U33" s="183">
        <v>1.9000000000000001</v>
      </c>
      <c r="V33" s="183">
        <v>2.2800000000000002</v>
      </c>
      <c r="W33" s="184">
        <f t="shared" si="8"/>
        <v>527.78200000000004</v>
      </c>
      <c r="X33" s="184">
        <f t="shared" si="1"/>
        <v>633.33839999999998</v>
      </c>
      <c r="Y33" s="178">
        <f t="shared" si="9"/>
        <v>8.1515607664525902</v>
      </c>
      <c r="Z33" s="178">
        <f t="shared" si="2"/>
        <v>16.458369243513364</v>
      </c>
    </row>
    <row r="34" spans="1:26" x14ac:dyDescent="0.35">
      <c r="E34" s="38"/>
      <c r="Y34" s="178">
        <f>SUM(Y3:Y33)</f>
        <v>666.50278498076023</v>
      </c>
      <c r="Z34" s="178">
        <f>SUM(Z3:Z33)</f>
        <v>679.73535608123541</v>
      </c>
    </row>
    <row r="35" spans="1:26" x14ac:dyDescent="0.35">
      <c r="E35" s="38"/>
    </row>
    <row r="36" spans="1:26" x14ac:dyDescent="0.35">
      <c r="E36" s="38"/>
    </row>
    <row r="37" spans="1:26" x14ac:dyDescent="0.35">
      <c r="E37" s="38"/>
    </row>
    <row r="38" spans="1:26" x14ac:dyDescent="0.35">
      <c r="E38" s="38"/>
    </row>
    <row r="39" spans="1:26" x14ac:dyDescent="0.35">
      <c r="E39" s="38"/>
    </row>
    <row r="40" spans="1:26" x14ac:dyDescent="0.35">
      <c r="E40" s="38"/>
      <c r="R40" s="38"/>
    </row>
    <row r="41" spans="1:26" x14ac:dyDescent="0.35">
      <c r="E41" s="38"/>
      <c r="R41" s="38"/>
    </row>
    <row r="42" spans="1:26" x14ac:dyDescent="0.35">
      <c r="E42" s="38"/>
      <c r="R42" s="38"/>
    </row>
    <row r="43" spans="1:26" x14ac:dyDescent="0.35">
      <c r="E43" s="38"/>
      <c r="R43" s="38"/>
    </row>
    <row r="44" spans="1:26" x14ac:dyDescent="0.35">
      <c r="R44" s="38"/>
    </row>
    <row r="45" spans="1:26" x14ac:dyDescent="0.35">
      <c r="R45" s="38"/>
    </row>
    <row r="46" spans="1:26" x14ac:dyDescent="0.35">
      <c r="R46" s="38"/>
    </row>
    <row r="47" spans="1:26" x14ac:dyDescent="0.35">
      <c r="R47" s="38"/>
    </row>
    <row r="48" spans="1:26" x14ac:dyDescent="0.35">
      <c r="R48" s="38"/>
    </row>
    <row r="49" spans="18:18" x14ac:dyDescent="0.35">
      <c r="R49" s="38"/>
    </row>
    <row r="50" spans="18:18" x14ac:dyDescent="0.35">
      <c r="R50" s="38"/>
    </row>
    <row r="51" spans="18:18" x14ac:dyDescent="0.35">
      <c r="R51" s="38"/>
    </row>
    <row r="52" spans="18:18" x14ac:dyDescent="0.35">
      <c r="R52" s="38"/>
    </row>
    <row r="53" spans="18:18" x14ac:dyDescent="0.35">
      <c r="R53" s="38"/>
    </row>
    <row r="54" spans="18:18" x14ac:dyDescent="0.35">
      <c r="R54" s="38"/>
    </row>
    <row r="55" spans="18:18" x14ac:dyDescent="0.35">
      <c r="R55" s="38"/>
    </row>
    <row r="56" spans="18:18" x14ac:dyDescent="0.35">
      <c r="R56" s="38"/>
    </row>
    <row r="57" spans="18:18" x14ac:dyDescent="0.35">
      <c r="R57" s="38"/>
    </row>
    <row r="58" spans="18:18" x14ac:dyDescent="0.35">
      <c r="R58" s="38"/>
    </row>
    <row r="59" spans="18:18" x14ac:dyDescent="0.35">
      <c r="R59" s="38"/>
    </row>
    <row r="60" spans="18:18" x14ac:dyDescent="0.35">
      <c r="R60" s="38"/>
    </row>
    <row r="61" spans="18:18" x14ac:dyDescent="0.35">
      <c r="R61" s="38"/>
    </row>
    <row r="62" spans="18:18" x14ac:dyDescent="0.35">
      <c r="R62" s="38"/>
    </row>
    <row r="63" spans="18:18" x14ac:dyDescent="0.35">
      <c r="R63" s="38"/>
    </row>
    <row r="64" spans="18:18" x14ac:dyDescent="0.35">
      <c r="R64" s="38"/>
    </row>
    <row r="65" spans="18:18" x14ac:dyDescent="0.35">
      <c r="R65" s="38"/>
    </row>
    <row r="66" spans="18:18" x14ac:dyDescent="0.35">
      <c r="R66" s="38"/>
    </row>
  </sheetData>
  <mergeCells count="3">
    <mergeCell ref="A1:C1"/>
    <mergeCell ref="E1:P1"/>
    <mergeCell ref="R1:Z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Wedge Scale</vt:lpstr>
      <vt:lpstr>Effort &amp; Upper Bound</vt:lpstr>
      <vt:lpstr>Power Sector Inputs</vt:lpstr>
      <vt:lpstr>Land Use &amp; Food Inputs</vt:lpstr>
      <vt:lpstr>Calc. Soil Carbon</vt:lpstr>
      <vt:lpstr>Calc. Meat Cons.</vt:lpstr>
      <vt:lpstr>Emissions (IDN)</vt:lpstr>
      <vt:lpstr>Food loss and waste (IDN)</vt:lpstr>
      <vt:lpstr>FSC data (IDN)</vt:lpstr>
      <vt:lpstr>Loss factors</vt:lpstr>
      <vt:lpstr>Emissions factors</vt:lpstr>
      <vt:lpstr>Transport Inputs</vt:lpstr>
      <vt:lpstr>Buildings Inputs</vt:lpstr>
      <vt:lpstr>Industry Inputs</vt:lpstr>
      <vt:lpstr>Add. Industry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Riyanto, Putera H</cp:lastModifiedBy>
  <dcterms:created xsi:type="dcterms:W3CDTF">2026-06-07T18:47:11Z</dcterms:created>
  <dcterms:modified xsi:type="dcterms:W3CDTF">2026-08-31T22:12:46Z</dcterms:modified>
</cp:coreProperties>
</file>